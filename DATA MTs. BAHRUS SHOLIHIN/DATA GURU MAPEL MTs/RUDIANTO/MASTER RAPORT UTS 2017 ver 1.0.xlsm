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drawings/drawing17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externalLinks/externalLink5.xml" ContentType="application/vnd.openxmlformats-officedocument.spreadsheetml.externalLink+xml"/>
  <Override PartName="/xl/drawings/drawing2.xml" ContentType="application/vnd.openxmlformats-officedocument.drawing+xml"/>
  <Override PartName="/xl/drawings/drawing15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22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Default Extension="jpeg" ContentType="image/jpeg"/>
  <Override PartName="/xl/drawings/drawing5.xml" ContentType="application/vnd.openxmlformats-officedocument.drawing+xml"/>
  <Override PartName="/xl/drawings/drawing18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4.xml" ContentType="application/vnd.openxmlformats-officedocument.spreadsheetml.externalLink+xml"/>
  <Override PartName="/xl/drawings/drawing3.xml" ContentType="application/vnd.openxmlformats-officedocument.drawing+xml"/>
  <Override PartName="/xl/drawings/drawing16.xml" ContentType="application/vnd.openxmlformats-officedocument.drawing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showSheetTabs="0" xWindow="120" yWindow="105" windowWidth="12240" windowHeight="8010"/>
  </bookViews>
  <sheets>
    <sheet name="UTAMA" sheetId="22" r:id="rId1"/>
    <sheet name="profil" sheetId="23" r:id="rId2"/>
    <sheet name="DATA" sheetId="5" r:id="rId3"/>
    <sheet name="CETAK" sheetId="1" r:id="rId4"/>
    <sheet name="DESKRIPSI" sheetId="24" r:id="rId5"/>
    <sheet name="RANK" sheetId="25" r:id="rId6"/>
    <sheet name="QH" sheetId="20" r:id="rId7"/>
    <sheet name="AA" sheetId="19" r:id="rId8"/>
    <sheet name="FIKIH" sheetId="18" r:id="rId9"/>
    <sheet name="SKI" sheetId="17" r:id="rId10"/>
    <sheet name="PKN" sheetId="16" r:id="rId11"/>
    <sheet name="INDO" sheetId="15" r:id="rId12"/>
    <sheet name="ARAB" sheetId="14" r:id="rId13"/>
    <sheet name="MAT" sheetId="13" r:id="rId14"/>
    <sheet name="IPA" sheetId="12" r:id="rId15"/>
    <sheet name="IPS" sheetId="11" r:id="rId16"/>
    <sheet name="INGG" sheetId="10" r:id="rId17"/>
    <sheet name="SENBUD" sheetId="9" r:id="rId18"/>
    <sheet name="PRAKARYA" sheetId="8" r:id="rId19"/>
    <sheet name="PENJAS" sheetId="21" r:id="rId20"/>
    <sheet name="BADER" sheetId="7" r:id="rId21"/>
    <sheet name="TAMB1" sheetId="6" r:id="rId22"/>
    <sheet name="TAMB2" sheetId="2" r:id="rId23"/>
    <sheet name="Sheet3" sheetId="3" r:id="rId24"/>
  </sheets>
  <externalReferences>
    <externalReference r:id="rId25"/>
    <externalReference r:id="rId26"/>
    <externalReference r:id="rId27"/>
    <externalReference r:id="rId28"/>
    <externalReference r:id="rId29"/>
  </externalReferences>
  <definedNames>
    <definedName name="data_raport" localSheetId="4">'[1]Data Raport'!$A$4:$L$48</definedName>
    <definedName name="data_raport">'[2]Data Raport'!$A$16:$L$60</definedName>
    <definedName name="data_raport1" localSheetId="5">'[3]Data Raport'!$A$4:$L$52</definedName>
    <definedName name="data_raport1">'[1]Data Raport'!$A$4:$L$52</definedName>
    <definedName name="DATA_RAPORT2" localSheetId="5">'[3]Data Raport2'!$A$4:$S$52</definedName>
    <definedName name="DATA_RAPORT2">'[1]Data Raport2'!$A$4:$S$52</definedName>
    <definedName name="data_uts">[4]data_uts!$A$8:$I$51</definedName>
    <definedName name="KD" localSheetId="5">#REF!</definedName>
    <definedName name="KD">#REF!</definedName>
    <definedName name="nilai_jadi">[5]NILAI_JADI!$A$14:$S$61</definedName>
    <definedName name="_xlnm.Print_Area" localSheetId="3">CETAK!$A$1:$S$56</definedName>
    <definedName name="Z_3AAD01A2_9FF9_4DC3_96F0_2732E879BCFC_.wvu.Cols" localSheetId="4" hidden="1">DESKRIPSI!$EW:$XFD</definedName>
    <definedName name="Z_3AAD01A2_9FF9_4DC3_96F0_2732E879BCFC_.wvu.Rows" localSheetId="4" hidden="1">DESKRIPSI!$62:$1048576</definedName>
  </definedNames>
  <calcPr calcId="124519"/>
</workbook>
</file>

<file path=xl/calcChain.xml><?xml version="1.0" encoding="utf-8"?>
<calcChain xmlns="http://schemas.openxmlformats.org/spreadsheetml/2006/main">
  <c r="R10" i="1"/>
  <c r="R9"/>
  <c r="E9"/>
  <c r="J25"/>
  <c r="I25"/>
  <c r="H25"/>
  <c r="G25"/>
  <c r="F25"/>
  <c r="D56" i="5"/>
  <c r="I40" i="1" s="1"/>
  <c r="H2" i="25"/>
  <c r="S37" i="1"/>
  <c r="S36"/>
  <c r="S35"/>
  <c r="S34"/>
  <c r="S33"/>
  <c r="S31"/>
  <c r="S30"/>
  <c r="S29"/>
  <c r="S28"/>
  <c r="S27"/>
  <c r="S26"/>
  <c r="S25"/>
  <c r="S24"/>
  <c r="S23"/>
  <c r="S22"/>
  <c r="S21"/>
  <c r="S38"/>
  <c r="R38"/>
  <c r="R37"/>
  <c r="R36"/>
  <c r="R35"/>
  <c r="R34"/>
  <c r="R33"/>
  <c r="R31"/>
  <c r="R30"/>
  <c r="R29"/>
  <c r="R28"/>
  <c r="R27"/>
  <c r="R26"/>
  <c r="R25"/>
  <c r="R24"/>
  <c r="R23"/>
  <c r="R22"/>
  <c r="R21"/>
  <c r="L38"/>
  <c r="L37"/>
  <c r="L36"/>
  <c r="L35"/>
  <c r="L34"/>
  <c r="L33"/>
  <c r="L31"/>
  <c r="L30"/>
  <c r="L29"/>
  <c r="L28"/>
  <c r="L27"/>
  <c r="L26"/>
  <c r="L25"/>
  <c r="L24"/>
  <c r="L23"/>
  <c r="L22"/>
  <c r="K38"/>
  <c r="K37"/>
  <c r="K36"/>
  <c r="K35"/>
  <c r="K34"/>
  <c r="K33"/>
  <c r="K31"/>
  <c r="K30"/>
  <c r="K29"/>
  <c r="K28"/>
  <c r="K27"/>
  <c r="K26"/>
  <c r="K25"/>
  <c r="K24"/>
  <c r="K23"/>
  <c r="K22"/>
  <c r="L21"/>
  <c r="K21"/>
  <c r="J21"/>
  <c r="I21"/>
  <c r="H21"/>
  <c r="G21"/>
  <c r="F21"/>
  <c r="C7" i="25" l="1"/>
  <c r="D7"/>
  <c r="E7"/>
  <c r="F7"/>
  <c r="G7"/>
  <c r="H7"/>
  <c r="I7"/>
  <c r="J7"/>
  <c r="K7"/>
  <c r="L7"/>
  <c r="M7"/>
  <c r="N7"/>
  <c r="O7"/>
  <c r="P7"/>
  <c r="Q7"/>
  <c r="R7"/>
  <c r="S7"/>
  <c r="C8"/>
  <c r="D8"/>
  <c r="E8"/>
  <c r="F8"/>
  <c r="G8"/>
  <c r="H8"/>
  <c r="I8"/>
  <c r="J8"/>
  <c r="K8"/>
  <c r="L8"/>
  <c r="M8"/>
  <c r="N8"/>
  <c r="O8"/>
  <c r="P8"/>
  <c r="Q8"/>
  <c r="R8"/>
  <c r="S8"/>
  <c r="C9"/>
  <c r="D9"/>
  <c r="E9"/>
  <c r="F9"/>
  <c r="G9"/>
  <c r="H9"/>
  <c r="I9"/>
  <c r="J9"/>
  <c r="K9"/>
  <c r="L9"/>
  <c r="M9"/>
  <c r="N9"/>
  <c r="O9"/>
  <c r="P9"/>
  <c r="Q9"/>
  <c r="R9"/>
  <c r="S9"/>
  <c r="C10"/>
  <c r="D10"/>
  <c r="E10"/>
  <c r="F10"/>
  <c r="G10"/>
  <c r="H10"/>
  <c r="I10"/>
  <c r="J10"/>
  <c r="K10"/>
  <c r="L10"/>
  <c r="M10"/>
  <c r="N10"/>
  <c r="O10"/>
  <c r="P10"/>
  <c r="Q10"/>
  <c r="R10"/>
  <c r="S10"/>
  <c r="C11"/>
  <c r="D11"/>
  <c r="E11"/>
  <c r="F11"/>
  <c r="G11"/>
  <c r="H11"/>
  <c r="I11"/>
  <c r="J11"/>
  <c r="K11"/>
  <c r="L11"/>
  <c r="M11"/>
  <c r="N11"/>
  <c r="O11"/>
  <c r="P11"/>
  <c r="Q11"/>
  <c r="R11"/>
  <c r="S11"/>
  <c r="C12"/>
  <c r="D12"/>
  <c r="E12"/>
  <c r="F12"/>
  <c r="G12"/>
  <c r="H12"/>
  <c r="I12"/>
  <c r="J12"/>
  <c r="K12"/>
  <c r="L12"/>
  <c r="M12"/>
  <c r="N12"/>
  <c r="O12"/>
  <c r="P12"/>
  <c r="Q12"/>
  <c r="R12"/>
  <c r="S12"/>
  <c r="C13"/>
  <c r="D13"/>
  <c r="E13"/>
  <c r="F13"/>
  <c r="G13"/>
  <c r="H13"/>
  <c r="I13"/>
  <c r="J13"/>
  <c r="K13"/>
  <c r="L13"/>
  <c r="M13"/>
  <c r="N13"/>
  <c r="O13"/>
  <c r="P13"/>
  <c r="Q13"/>
  <c r="R13"/>
  <c r="S13"/>
  <c r="C14"/>
  <c r="D14"/>
  <c r="E14"/>
  <c r="F14"/>
  <c r="G14"/>
  <c r="H14"/>
  <c r="I14"/>
  <c r="J14"/>
  <c r="K14"/>
  <c r="L14"/>
  <c r="M14"/>
  <c r="N14"/>
  <c r="O14"/>
  <c r="P14"/>
  <c r="Q14"/>
  <c r="R14"/>
  <c r="S14"/>
  <c r="C15"/>
  <c r="D15"/>
  <c r="E15"/>
  <c r="F15"/>
  <c r="G15"/>
  <c r="H15"/>
  <c r="I15"/>
  <c r="J15"/>
  <c r="K15"/>
  <c r="L15"/>
  <c r="M15"/>
  <c r="N15"/>
  <c r="O15"/>
  <c r="P15"/>
  <c r="Q15"/>
  <c r="R15"/>
  <c r="S15"/>
  <c r="C16"/>
  <c r="D16"/>
  <c r="E16"/>
  <c r="F16"/>
  <c r="G16"/>
  <c r="H16"/>
  <c r="I16"/>
  <c r="J16"/>
  <c r="K16"/>
  <c r="L16"/>
  <c r="M16"/>
  <c r="N16"/>
  <c r="O16"/>
  <c r="P16"/>
  <c r="Q16"/>
  <c r="R16"/>
  <c r="S16"/>
  <c r="C17"/>
  <c r="D17"/>
  <c r="E17"/>
  <c r="F17"/>
  <c r="G17"/>
  <c r="H17"/>
  <c r="I17"/>
  <c r="J17"/>
  <c r="K17"/>
  <c r="L17"/>
  <c r="M17"/>
  <c r="N17"/>
  <c r="O17"/>
  <c r="P17"/>
  <c r="Q17"/>
  <c r="R17"/>
  <c r="S17"/>
  <c r="C18"/>
  <c r="D18"/>
  <c r="E18"/>
  <c r="F18"/>
  <c r="G18"/>
  <c r="H18"/>
  <c r="I18"/>
  <c r="J18"/>
  <c r="K18"/>
  <c r="L18"/>
  <c r="M18"/>
  <c r="N18"/>
  <c r="O18"/>
  <c r="P18"/>
  <c r="Q18"/>
  <c r="R18"/>
  <c r="S18"/>
  <c r="C19"/>
  <c r="D19"/>
  <c r="E19"/>
  <c r="F19"/>
  <c r="G19"/>
  <c r="H19"/>
  <c r="I19"/>
  <c r="J19"/>
  <c r="K19"/>
  <c r="L19"/>
  <c r="M19"/>
  <c r="N19"/>
  <c r="O19"/>
  <c r="P19"/>
  <c r="Q19"/>
  <c r="R19"/>
  <c r="S19"/>
  <c r="C20"/>
  <c r="D20"/>
  <c r="E20"/>
  <c r="F20"/>
  <c r="G20"/>
  <c r="H20"/>
  <c r="I20"/>
  <c r="J20"/>
  <c r="K20"/>
  <c r="L20"/>
  <c r="M20"/>
  <c r="N20"/>
  <c r="O20"/>
  <c r="P20"/>
  <c r="Q20"/>
  <c r="R20"/>
  <c r="S20"/>
  <c r="C21"/>
  <c r="D21"/>
  <c r="E21"/>
  <c r="F21"/>
  <c r="G21"/>
  <c r="H21"/>
  <c r="I21"/>
  <c r="J21"/>
  <c r="K21"/>
  <c r="L21"/>
  <c r="M21"/>
  <c r="N21"/>
  <c r="O21"/>
  <c r="P21"/>
  <c r="Q21"/>
  <c r="R21"/>
  <c r="S21"/>
  <c r="C22"/>
  <c r="D22"/>
  <c r="E22"/>
  <c r="F22"/>
  <c r="G22"/>
  <c r="H22"/>
  <c r="I22"/>
  <c r="J22"/>
  <c r="K22"/>
  <c r="L22"/>
  <c r="M22"/>
  <c r="N22"/>
  <c r="O22"/>
  <c r="P22"/>
  <c r="Q22"/>
  <c r="R22"/>
  <c r="S22"/>
  <c r="C23"/>
  <c r="D23"/>
  <c r="E23"/>
  <c r="F23"/>
  <c r="G23"/>
  <c r="H23"/>
  <c r="I23"/>
  <c r="J23"/>
  <c r="K23"/>
  <c r="L23"/>
  <c r="M23"/>
  <c r="N23"/>
  <c r="O23"/>
  <c r="P23"/>
  <c r="Q23"/>
  <c r="R23"/>
  <c r="S23"/>
  <c r="C24"/>
  <c r="D24"/>
  <c r="E24"/>
  <c r="F24"/>
  <c r="G24"/>
  <c r="H24"/>
  <c r="I24"/>
  <c r="J24"/>
  <c r="K24"/>
  <c r="L24"/>
  <c r="M24"/>
  <c r="N24"/>
  <c r="O24"/>
  <c r="P24"/>
  <c r="Q24"/>
  <c r="R24"/>
  <c r="S24"/>
  <c r="C25"/>
  <c r="D25"/>
  <c r="E25"/>
  <c r="F25"/>
  <c r="G25"/>
  <c r="H25"/>
  <c r="I25"/>
  <c r="J25"/>
  <c r="K25"/>
  <c r="L25"/>
  <c r="M25"/>
  <c r="N25"/>
  <c r="O25"/>
  <c r="P25"/>
  <c r="Q25"/>
  <c r="R25"/>
  <c r="S25"/>
  <c r="C26"/>
  <c r="D26"/>
  <c r="E26"/>
  <c r="F26"/>
  <c r="G26"/>
  <c r="H26"/>
  <c r="I26"/>
  <c r="J26"/>
  <c r="K26"/>
  <c r="L26"/>
  <c r="M26"/>
  <c r="N26"/>
  <c r="O26"/>
  <c r="P26"/>
  <c r="Q26"/>
  <c r="R26"/>
  <c r="S26"/>
  <c r="C27"/>
  <c r="D27"/>
  <c r="E27"/>
  <c r="F27"/>
  <c r="G27"/>
  <c r="H27"/>
  <c r="I27"/>
  <c r="J27"/>
  <c r="K27"/>
  <c r="L27"/>
  <c r="M27"/>
  <c r="N27"/>
  <c r="O27"/>
  <c r="P27"/>
  <c r="Q27"/>
  <c r="R27"/>
  <c r="S27"/>
  <c r="C28"/>
  <c r="D28"/>
  <c r="E28"/>
  <c r="F28"/>
  <c r="G28"/>
  <c r="H28"/>
  <c r="I28"/>
  <c r="J28"/>
  <c r="K28"/>
  <c r="L28"/>
  <c r="M28"/>
  <c r="N28"/>
  <c r="O28"/>
  <c r="P28"/>
  <c r="Q28"/>
  <c r="R28"/>
  <c r="S28"/>
  <c r="C29"/>
  <c r="D29"/>
  <c r="E29"/>
  <c r="F29"/>
  <c r="G29"/>
  <c r="H29"/>
  <c r="I29"/>
  <c r="J29"/>
  <c r="K29"/>
  <c r="L29"/>
  <c r="M29"/>
  <c r="N29"/>
  <c r="O29"/>
  <c r="P29"/>
  <c r="Q29"/>
  <c r="R29"/>
  <c r="S29"/>
  <c r="C30"/>
  <c r="D30"/>
  <c r="E30"/>
  <c r="F30"/>
  <c r="G30"/>
  <c r="H30"/>
  <c r="I30"/>
  <c r="J30"/>
  <c r="K30"/>
  <c r="L30"/>
  <c r="M30"/>
  <c r="N30"/>
  <c r="O30"/>
  <c r="P30"/>
  <c r="Q30"/>
  <c r="R30"/>
  <c r="S30"/>
  <c r="C31"/>
  <c r="D31"/>
  <c r="E31"/>
  <c r="F31"/>
  <c r="G31"/>
  <c r="H31"/>
  <c r="I31"/>
  <c r="J31"/>
  <c r="K31"/>
  <c r="L31"/>
  <c r="M31"/>
  <c r="N31"/>
  <c r="O31"/>
  <c r="P31"/>
  <c r="Q31"/>
  <c r="R31"/>
  <c r="S31"/>
  <c r="C32"/>
  <c r="D32"/>
  <c r="E32"/>
  <c r="F32"/>
  <c r="G32"/>
  <c r="H32"/>
  <c r="I32"/>
  <c r="J32"/>
  <c r="K32"/>
  <c r="L32"/>
  <c r="M32"/>
  <c r="N32"/>
  <c r="O32"/>
  <c r="P32"/>
  <c r="Q32"/>
  <c r="R32"/>
  <c r="S32"/>
  <c r="C33"/>
  <c r="D33"/>
  <c r="E33"/>
  <c r="F33"/>
  <c r="G33"/>
  <c r="H33"/>
  <c r="I33"/>
  <c r="J33"/>
  <c r="K33"/>
  <c r="L33"/>
  <c r="M33"/>
  <c r="N33"/>
  <c r="O33"/>
  <c r="P33"/>
  <c r="Q33"/>
  <c r="R33"/>
  <c r="S33"/>
  <c r="C34"/>
  <c r="D34"/>
  <c r="E34"/>
  <c r="F34"/>
  <c r="G34"/>
  <c r="H34"/>
  <c r="I34"/>
  <c r="J34"/>
  <c r="K34"/>
  <c r="L34"/>
  <c r="M34"/>
  <c r="N34"/>
  <c r="O34"/>
  <c r="P34"/>
  <c r="Q34"/>
  <c r="R34"/>
  <c r="S34"/>
  <c r="C35"/>
  <c r="D35"/>
  <c r="E35"/>
  <c r="F35"/>
  <c r="G35"/>
  <c r="H35"/>
  <c r="I35"/>
  <c r="J35"/>
  <c r="K35"/>
  <c r="L35"/>
  <c r="M35"/>
  <c r="N35"/>
  <c r="O35"/>
  <c r="P35"/>
  <c r="Q35"/>
  <c r="R35"/>
  <c r="S35"/>
  <c r="C36"/>
  <c r="D36"/>
  <c r="E36"/>
  <c r="F36"/>
  <c r="G36"/>
  <c r="H36"/>
  <c r="I36"/>
  <c r="J36"/>
  <c r="K36"/>
  <c r="L36"/>
  <c r="M36"/>
  <c r="N36"/>
  <c r="O36"/>
  <c r="P36"/>
  <c r="Q36"/>
  <c r="R36"/>
  <c r="S36"/>
  <c r="C37"/>
  <c r="D37"/>
  <c r="E37"/>
  <c r="F37"/>
  <c r="G37"/>
  <c r="H37"/>
  <c r="I37"/>
  <c r="J37"/>
  <c r="K37"/>
  <c r="L37"/>
  <c r="M37"/>
  <c r="N37"/>
  <c r="O37"/>
  <c r="P37"/>
  <c r="Q37"/>
  <c r="R37"/>
  <c r="S37"/>
  <c r="C38"/>
  <c r="D38"/>
  <c r="E38"/>
  <c r="F38"/>
  <c r="G38"/>
  <c r="H38"/>
  <c r="I38"/>
  <c r="J38"/>
  <c r="K38"/>
  <c r="L38"/>
  <c r="M38"/>
  <c r="N38"/>
  <c r="O38"/>
  <c r="P38"/>
  <c r="Q38"/>
  <c r="R38"/>
  <c r="S38"/>
  <c r="C39"/>
  <c r="D39"/>
  <c r="E39"/>
  <c r="F39"/>
  <c r="G39"/>
  <c r="H39"/>
  <c r="I39"/>
  <c r="J39"/>
  <c r="K39"/>
  <c r="L39"/>
  <c r="M39"/>
  <c r="N39"/>
  <c r="O39"/>
  <c r="P39"/>
  <c r="Q39"/>
  <c r="R39"/>
  <c r="S39"/>
  <c r="C40"/>
  <c r="D40"/>
  <c r="E40"/>
  <c r="F40"/>
  <c r="G40"/>
  <c r="H40"/>
  <c r="I40"/>
  <c r="J40"/>
  <c r="K40"/>
  <c r="L40"/>
  <c r="M40"/>
  <c r="N40"/>
  <c r="O40"/>
  <c r="P40"/>
  <c r="Q40"/>
  <c r="R40"/>
  <c r="S40"/>
  <c r="C41"/>
  <c r="D41"/>
  <c r="E41"/>
  <c r="F41"/>
  <c r="G41"/>
  <c r="H41"/>
  <c r="I41"/>
  <c r="J41"/>
  <c r="K41"/>
  <c r="L41"/>
  <c r="M41"/>
  <c r="N41"/>
  <c r="O41"/>
  <c r="P41"/>
  <c r="Q41"/>
  <c r="R41"/>
  <c r="S41"/>
  <c r="C42"/>
  <c r="D42"/>
  <c r="E42"/>
  <c r="F42"/>
  <c r="G42"/>
  <c r="H42"/>
  <c r="I42"/>
  <c r="J42"/>
  <c r="K42"/>
  <c r="L42"/>
  <c r="M42"/>
  <c r="N42"/>
  <c r="O42"/>
  <c r="P42"/>
  <c r="Q42"/>
  <c r="R42"/>
  <c r="S42"/>
  <c r="C43"/>
  <c r="D43"/>
  <c r="E43"/>
  <c r="F43"/>
  <c r="G43"/>
  <c r="H43"/>
  <c r="I43"/>
  <c r="J43"/>
  <c r="K43"/>
  <c r="L43"/>
  <c r="M43"/>
  <c r="N43"/>
  <c r="O43"/>
  <c r="P43"/>
  <c r="Q43"/>
  <c r="R43"/>
  <c r="S43"/>
  <c r="C44"/>
  <c r="D44"/>
  <c r="E44"/>
  <c r="F44"/>
  <c r="G44"/>
  <c r="H44"/>
  <c r="I44"/>
  <c r="J44"/>
  <c r="K44"/>
  <c r="L44"/>
  <c r="M44"/>
  <c r="N44"/>
  <c r="O44"/>
  <c r="P44"/>
  <c r="Q44"/>
  <c r="R44"/>
  <c r="S44"/>
  <c r="C45"/>
  <c r="D45"/>
  <c r="E45"/>
  <c r="F45"/>
  <c r="G45"/>
  <c r="H45"/>
  <c r="I45"/>
  <c r="J45"/>
  <c r="K45"/>
  <c r="L45"/>
  <c r="M45"/>
  <c r="N45"/>
  <c r="O45"/>
  <c r="P45"/>
  <c r="Q45"/>
  <c r="R45"/>
  <c r="S45"/>
  <c r="C46"/>
  <c r="D46"/>
  <c r="E46"/>
  <c r="F46"/>
  <c r="G46"/>
  <c r="H46"/>
  <c r="I46"/>
  <c r="J46"/>
  <c r="K46"/>
  <c r="L46"/>
  <c r="M46"/>
  <c r="N46"/>
  <c r="O46"/>
  <c r="P46"/>
  <c r="Q46"/>
  <c r="R46"/>
  <c r="S46"/>
  <c r="C47"/>
  <c r="D47"/>
  <c r="E47"/>
  <c r="F47"/>
  <c r="G47"/>
  <c r="H47"/>
  <c r="I47"/>
  <c r="J47"/>
  <c r="K47"/>
  <c r="L47"/>
  <c r="M47"/>
  <c r="N47"/>
  <c r="O47"/>
  <c r="P47"/>
  <c r="Q47"/>
  <c r="R47"/>
  <c r="S47"/>
  <c r="C48"/>
  <c r="D48"/>
  <c r="E48"/>
  <c r="F48"/>
  <c r="G48"/>
  <c r="H48"/>
  <c r="I48"/>
  <c r="J48"/>
  <c r="K48"/>
  <c r="L48"/>
  <c r="M48"/>
  <c r="N48"/>
  <c r="O48"/>
  <c r="P48"/>
  <c r="Q48"/>
  <c r="R48"/>
  <c r="S48"/>
  <c r="C49"/>
  <c r="D49"/>
  <c r="E49"/>
  <c r="F49"/>
  <c r="G49"/>
  <c r="H49"/>
  <c r="I49"/>
  <c r="J49"/>
  <c r="K49"/>
  <c r="L49"/>
  <c r="M49"/>
  <c r="N49"/>
  <c r="O49"/>
  <c r="P49"/>
  <c r="Q49"/>
  <c r="R49"/>
  <c r="S49"/>
  <c r="C50"/>
  <c r="D50"/>
  <c r="E50"/>
  <c r="F50"/>
  <c r="G50"/>
  <c r="H50"/>
  <c r="I50"/>
  <c r="J50"/>
  <c r="K50"/>
  <c r="L50"/>
  <c r="M50"/>
  <c r="N50"/>
  <c r="O50"/>
  <c r="P50"/>
  <c r="Q50"/>
  <c r="R50"/>
  <c r="S50"/>
  <c r="C51"/>
  <c r="D51"/>
  <c r="E51"/>
  <c r="F51"/>
  <c r="G51"/>
  <c r="H51"/>
  <c r="I51"/>
  <c r="J51"/>
  <c r="K51"/>
  <c r="L51"/>
  <c r="M51"/>
  <c r="N51"/>
  <c r="O51"/>
  <c r="P51"/>
  <c r="Q51"/>
  <c r="R51"/>
  <c r="S51"/>
  <c r="C52"/>
  <c r="D52"/>
  <c r="E52"/>
  <c r="F52"/>
  <c r="G52"/>
  <c r="H52"/>
  <c r="I52"/>
  <c r="J52"/>
  <c r="K52"/>
  <c r="L52"/>
  <c r="M52"/>
  <c r="N52"/>
  <c r="O52"/>
  <c r="P52"/>
  <c r="Q52"/>
  <c r="R52"/>
  <c r="S52"/>
  <c r="C53"/>
  <c r="D53"/>
  <c r="E53"/>
  <c r="F53"/>
  <c r="G53"/>
  <c r="H53"/>
  <c r="I53"/>
  <c r="J53"/>
  <c r="K53"/>
  <c r="L53"/>
  <c r="M53"/>
  <c r="N53"/>
  <c r="O53"/>
  <c r="P53"/>
  <c r="Q53"/>
  <c r="R53"/>
  <c r="S53"/>
  <c r="S6"/>
  <c r="R6"/>
  <c r="Q6"/>
  <c r="P6"/>
  <c r="O6"/>
  <c r="N6"/>
  <c r="M6"/>
  <c r="L6"/>
  <c r="K6"/>
  <c r="J6"/>
  <c r="I6"/>
  <c r="H6"/>
  <c r="G6"/>
  <c r="F6"/>
  <c r="E6"/>
  <c r="D6"/>
  <c r="C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6"/>
  <c r="T50"/>
  <c r="T46"/>
  <c r="T42"/>
  <c r="T40"/>
  <c r="T38"/>
  <c r="T34"/>
  <c r="T30"/>
  <c r="T28"/>
  <c r="E38" i="1"/>
  <c r="X38" s="1"/>
  <c r="Y38" s="1"/>
  <c r="Z38" s="1"/>
  <c r="E37"/>
  <c r="E36"/>
  <c r="E35"/>
  <c r="E34"/>
  <c r="E33"/>
  <c r="E31"/>
  <c r="X31" s="1"/>
  <c r="Y31" s="1"/>
  <c r="Z31" s="1"/>
  <c r="E30"/>
  <c r="X30" s="1"/>
  <c r="Y30" s="1"/>
  <c r="Z30" s="1"/>
  <c r="E29"/>
  <c r="E28"/>
  <c r="X28" s="1"/>
  <c r="Y28" s="1"/>
  <c r="Z28" s="1"/>
  <c r="E27"/>
  <c r="X27" s="1"/>
  <c r="Y27" s="1"/>
  <c r="Z27" s="1"/>
  <c r="E26"/>
  <c r="X26" s="1"/>
  <c r="Y26" s="1"/>
  <c r="Z26" s="1"/>
  <c r="E25"/>
  <c r="E24"/>
  <c r="X24" s="1"/>
  <c r="Y24" s="1"/>
  <c r="Z24" s="1"/>
  <c r="E23"/>
  <c r="X23" s="1"/>
  <c r="Y23" s="1"/>
  <c r="Z23" s="1"/>
  <c r="E22"/>
  <c r="X22" s="1"/>
  <c r="Y22" s="1"/>
  <c r="Z22" s="1"/>
  <c r="E21"/>
  <c r="X21" s="1"/>
  <c r="X25"/>
  <c r="Y25" s="1"/>
  <c r="Z25" s="1"/>
  <c r="X29"/>
  <c r="Y29" s="1"/>
  <c r="Z29" s="1"/>
  <c r="X32"/>
  <c r="Y32" s="1"/>
  <c r="X33"/>
  <c r="Y33" s="1"/>
  <c r="Z33" s="1"/>
  <c r="X34"/>
  <c r="Y34" s="1"/>
  <c r="Z34" s="1"/>
  <c r="X35"/>
  <c r="Y35" s="1"/>
  <c r="Z35" s="1"/>
  <c r="X36"/>
  <c r="Y36" s="1"/>
  <c r="Z36" s="1"/>
  <c r="X37"/>
  <c r="Y37" s="1"/>
  <c r="Z37" s="1"/>
  <c r="N21"/>
  <c r="O21"/>
  <c r="T48" i="25" l="1"/>
  <c r="T8"/>
  <c r="T32"/>
  <c r="T24"/>
  <c r="T16"/>
  <c r="T53"/>
  <c r="T49"/>
  <c r="T45"/>
  <c r="T41"/>
  <c r="T33"/>
  <c r="T52"/>
  <c r="T29"/>
  <c r="T36"/>
  <c r="T47"/>
  <c r="T43"/>
  <c r="T35"/>
  <c r="T37"/>
  <c r="T20"/>
  <c r="T39"/>
  <c r="T31"/>
  <c r="T44"/>
  <c r="T51"/>
  <c r="T12"/>
  <c r="T22"/>
  <c r="T18"/>
  <c r="T14"/>
  <c r="T10"/>
  <c r="T6"/>
  <c r="T26"/>
  <c r="T27"/>
  <c r="T25"/>
  <c r="T23"/>
  <c r="T21"/>
  <c r="T19"/>
  <c r="T17"/>
  <c r="T15"/>
  <c r="T13"/>
  <c r="T9"/>
  <c r="T11"/>
  <c r="T7"/>
  <c r="Z32" i="1"/>
  <c r="AA38"/>
  <c r="AA37"/>
  <c r="AA36"/>
  <c r="AA35"/>
  <c r="AA34"/>
  <c r="AA33"/>
  <c r="AA32"/>
  <c r="AA31"/>
  <c r="AA30"/>
  <c r="AA29"/>
  <c r="AA28"/>
  <c r="AA27"/>
  <c r="AA26"/>
  <c r="AA25"/>
  <c r="AA24"/>
  <c r="AA23"/>
  <c r="AA22"/>
  <c r="Y21"/>
  <c r="Z21" s="1"/>
  <c r="AA21" s="1"/>
  <c r="U53" i="25" l="1"/>
  <c r="U40"/>
  <c r="U32"/>
  <c r="U48"/>
  <c r="U36"/>
  <c r="U33"/>
  <c r="U34"/>
  <c r="U44"/>
  <c r="U51"/>
  <c r="U30"/>
  <c r="U45"/>
  <c r="U37"/>
  <c r="U50"/>
  <c r="U46"/>
  <c r="U42"/>
  <c r="U38"/>
  <c r="U49"/>
  <c r="U41"/>
  <c r="U29"/>
  <c r="U28"/>
  <c r="U52"/>
  <c r="U47"/>
  <c r="U43"/>
  <c r="U39"/>
  <c r="U35"/>
  <c r="U31"/>
  <c r="U12"/>
  <c r="U23"/>
  <c r="U13"/>
  <c r="U7"/>
  <c r="U17"/>
  <c r="U21"/>
  <c r="U15"/>
  <c r="U24"/>
  <c r="U14"/>
  <c r="U6"/>
  <c r="U27"/>
  <c r="U19"/>
  <c r="U11"/>
  <c r="U25"/>
  <c r="U22"/>
  <c r="U16"/>
  <c r="U20"/>
  <c r="U9"/>
  <c r="U10"/>
  <c r="U18"/>
  <c r="U8"/>
  <c r="U26"/>
  <c r="B12" i="24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11"/>
  <c r="C3"/>
  <c r="C2"/>
  <c r="E6"/>
  <c r="EM12"/>
  <c r="EN12"/>
  <c r="EO12"/>
  <c r="EP12"/>
  <c r="EQ12"/>
  <c r="ER12"/>
  <c r="ES12"/>
  <c r="ET12"/>
  <c r="EU12"/>
  <c r="EV12"/>
  <c r="EM13"/>
  <c r="EN13"/>
  <c r="EO13"/>
  <c r="EP13"/>
  <c r="EQ13"/>
  <c r="ER13"/>
  <c r="ES13"/>
  <c r="ET13"/>
  <c r="EU13"/>
  <c r="EV13"/>
  <c r="EM14"/>
  <c r="EN14"/>
  <c r="EO14"/>
  <c r="EP14"/>
  <c r="EQ14"/>
  <c r="ER14"/>
  <c r="ES14"/>
  <c r="ET14"/>
  <c r="EU14"/>
  <c r="EV14"/>
  <c r="EM15"/>
  <c r="EN15"/>
  <c r="EO15"/>
  <c r="EP15"/>
  <c r="EQ15"/>
  <c r="ER15"/>
  <c r="ES15"/>
  <c r="ET15"/>
  <c r="EU15"/>
  <c r="EV15"/>
  <c r="EM16"/>
  <c r="EN16"/>
  <c r="EO16"/>
  <c r="EP16"/>
  <c r="EQ16"/>
  <c r="ER16"/>
  <c r="ES16"/>
  <c r="ET16"/>
  <c r="EU16"/>
  <c r="EV16"/>
  <c r="EM17"/>
  <c r="EN17"/>
  <c r="EO17"/>
  <c r="EP17"/>
  <c r="EQ17"/>
  <c r="ER17"/>
  <c r="ES17"/>
  <c r="ET17"/>
  <c r="EU17"/>
  <c r="EV17"/>
  <c r="EM18"/>
  <c r="EN18"/>
  <c r="EO18"/>
  <c r="EP18"/>
  <c r="EQ18"/>
  <c r="ER18"/>
  <c r="ES18"/>
  <c r="ET18"/>
  <c r="EU18"/>
  <c r="EV18"/>
  <c r="EM19"/>
  <c r="EN19"/>
  <c r="EO19"/>
  <c r="EP19"/>
  <c r="EQ19"/>
  <c r="ER19"/>
  <c r="ES19"/>
  <c r="ET19"/>
  <c r="EU19"/>
  <c r="EV19"/>
  <c r="EM20"/>
  <c r="EN20"/>
  <c r="EO20"/>
  <c r="EP20"/>
  <c r="EQ20"/>
  <c r="ER20"/>
  <c r="ES20"/>
  <c r="ET20"/>
  <c r="EU20"/>
  <c r="EV20"/>
  <c r="EM21"/>
  <c r="EN21"/>
  <c r="EO21"/>
  <c r="EP21"/>
  <c r="EQ21"/>
  <c r="ER21"/>
  <c r="ES21"/>
  <c r="ET21"/>
  <c r="EU21"/>
  <c r="EV21"/>
  <c r="EM22"/>
  <c r="EN22"/>
  <c r="EO22"/>
  <c r="EP22"/>
  <c r="EQ22"/>
  <c r="ER22"/>
  <c r="ES22"/>
  <c r="ET22"/>
  <c r="EU22"/>
  <c r="EV22"/>
  <c r="EM23"/>
  <c r="EN23"/>
  <c r="EO23"/>
  <c r="EP23"/>
  <c r="EQ23"/>
  <c r="ER23"/>
  <c r="ES23"/>
  <c r="ET23"/>
  <c r="EU23"/>
  <c r="EV23"/>
  <c r="EM24"/>
  <c r="EN24"/>
  <c r="EO24"/>
  <c r="EP24"/>
  <c r="EQ24"/>
  <c r="ER24"/>
  <c r="ES24"/>
  <c r="ET24"/>
  <c r="EU24"/>
  <c r="EV24"/>
  <c r="EM25"/>
  <c r="EN25"/>
  <c r="EO25"/>
  <c r="EP25"/>
  <c r="EQ25"/>
  <c r="ER25"/>
  <c r="ES25"/>
  <c r="ET25"/>
  <c r="EU25"/>
  <c r="EV25"/>
  <c r="EM26"/>
  <c r="EN26"/>
  <c r="EO26"/>
  <c r="EP26"/>
  <c r="EQ26"/>
  <c r="ER26"/>
  <c r="ES26"/>
  <c r="ET26"/>
  <c r="EU26"/>
  <c r="EV26"/>
  <c r="EM27"/>
  <c r="EN27"/>
  <c r="EO27"/>
  <c r="EP27"/>
  <c r="EQ27"/>
  <c r="ER27"/>
  <c r="ES27"/>
  <c r="ET27"/>
  <c r="EU27"/>
  <c r="EV27"/>
  <c r="EM28"/>
  <c r="EN28"/>
  <c r="EO28"/>
  <c r="EP28"/>
  <c r="EQ28"/>
  <c r="ER28"/>
  <c r="ES28"/>
  <c r="ET28"/>
  <c r="EU28"/>
  <c r="EV28"/>
  <c r="EM29"/>
  <c r="EN29"/>
  <c r="EO29"/>
  <c r="EP29"/>
  <c r="EQ29"/>
  <c r="ER29"/>
  <c r="ES29"/>
  <c r="ET29"/>
  <c r="EU29"/>
  <c r="EV29"/>
  <c r="EM30"/>
  <c r="EN30"/>
  <c r="EO30"/>
  <c r="EP30"/>
  <c r="EQ30"/>
  <c r="ER30"/>
  <c r="ES30"/>
  <c r="ET30"/>
  <c r="EU30"/>
  <c r="EV30"/>
  <c r="EM31"/>
  <c r="EN31"/>
  <c r="EO31"/>
  <c r="EP31"/>
  <c r="EQ31"/>
  <c r="ER31"/>
  <c r="ES31"/>
  <c r="ET31"/>
  <c r="EU31"/>
  <c r="EV31"/>
  <c r="EM32"/>
  <c r="EN32"/>
  <c r="EO32"/>
  <c r="EP32"/>
  <c r="EQ32"/>
  <c r="ER32"/>
  <c r="ES32"/>
  <c r="ET32"/>
  <c r="EU32"/>
  <c r="EV32"/>
  <c r="EM33"/>
  <c r="EN33"/>
  <c r="EO33"/>
  <c r="EP33"/>
  <c r="EQ33"/>
  <c r="ER33"/>
  <c r="ES33"/>
  <c r="ET33"/>
  <c r="EU33"/>
  <c r="EV33"/>
  <c r="EM34"/>
  <c r="EN34"/>
  <c r="EO34"/>
  <c r="EP34"/>
  <c r="EQ34"/>
  <c r="ER34"/>
  <c r="ES34"/>
  <c r="ET34"/>
  <c r="EU34"/>
  <c r="EV34"/>
  <c r="EM35"/>
  <c r="EN35"/>
  <c r="EO35"/>
  <c r="EP35"/>
  <c r="EQ35"/>
  <c r="ER35"/>
  <c r="ES35"/>
  <c r="ET35"/>
  <c r="EU35"/>
  <c r="EV35"/>
  <c r="EM36"/>
  <c r="EN36"/>
  <c r="EO36"/>
  <c r="EP36"/>
  <c r="EQ36"/>
  <c r="ER36"/>
  <c r="ES36"/>
  <c r="ET36"/>
  <c r="EU36"/>
  <c r="EV36"/>
  <c r="EM37"/>
  <c r="EN37"/>
  <c r="EO37"/>
  <c r="EP37"/>
  <c r="EQ37"/>
  <c r="ER37"/>
  <c r="ES37"/>
  <c r="ET37"/>
  <c r="EU37"/>
  <c r="EV37"/>
  <c r="EM38"/>
  <c r="EN38"/>
  <c r="EO38"/>
  <c r="EP38"/>
  <c r="EQ38"/>
  <c r="ER38"/>
  <c r="ES38"/>
  <c r="ET38"/>
  <c r="EU38"/>
  <c r="EV38"/>
  <c r="EM39"/>
  <c r="EN39"/>
  <c r="EO39"/>
  <c r="EP39"/>
  <c r="EQ39"/>
  <c r="ER39"/>
  <c r="ES39"/>
  <c r="ET39"/>
  <c r="EU39"/>
  <c r="EV39"/>
  <c r="EM40"/>
  <c r="EN40"/>
  <c r="EO40"/>
  <c r="EP40"/>
  <c r="EQ40"/>
  <c r="ER40"/>
  <c r="ES40"/>
  <c r="ET40"/>
  <c r="EU40"/>
  <c r="EV40"/>
  <c r="EM41"/>
  <c r="EN41"/>
  <c r="EO41"/>
  <c r="EP41"/>
  <c r="EQ41"/>
  <c r="ER41"/>
  <c r="ES41"/>
  <c r="ET41"/>
  <c r="EU41"/>
  <c r="EV41"/>
  <c r="EM42"/>
  <c r="EN42"/>
  <c r="EO42"/>
  <c r="EP42"/>
  <c r="EQ42"/>
  <c r="ER42"/>
  <c r="ES42"/>
  <c r="ET42"/>
  <c r="EU42"/>
  <c r="EV42"/>
  <c r="EM43"/>
  <c r="EN43"/>
  <c r="EO43"/>
  <c r="EP43"/>
  <c r="EQ43"/>
  <c r="ER43"/>
  <c r="ES43"/>
  <c r="ET43"/>
  <c r="EU43"/>
  <c r="EV43"/>
  <c r="EM44"/>
  <c r="EN44"/>
  <c r="EO44"/>
  <c r="EP44"/>
  <c r="EQ44"/>
  <c r="ER44"/>
  <c r="ES44"/>
  <c r="ET44"/>
  <c r="EU44"/>
  <c r="EV44"/>
  <c r="EM45"/>
  <c r="EN45"/>
  <c r="EO45"/>
  <c r="EP45"/>
  <c r="EQ45"/>
  <c r="ER45"/>
  <c r="ES45"/>
  <c r="ET45"/>
  <c r="EU45"/>
  <c r="EV45"/>
  <c r="EM46"/>
  <c r="EN46"/>
  <c r="EO46"/>
  <c r="EP46"/>
  <c r="EQ46"/>
  <c r="ER46"/>
  <c r="ES46"/>
  <c r="ET46"/>
  <c r="EU46"/>
  <c r="EV46"/>
  <c r="EM47"/>
  <c r="EN47"/>
  <c r="EO47"/>
  <c r="EP47"/>
  <c r="EQ47"/>
  <c r="ER47"/>
  <c r="ES47"/>
  <c r="ET47"/>
  <c r="EU47"/>
  <c r="EV47"/>
  <c r="EM48"/>
  <c r="EN48"/>
  <c r="EO48"/>
  <c r="EP48"/>
  <c r="EQ48"/>
  <c r="ER48"/>
  <c r="ES48"/>
  <c r="ET48"/>
  <c r="EU48"/>
  <c r="EV48"/>
  <c r="EM49"/>
  <c r="EN49"/>
  <c r="EO49"/>
  <c r="EP49"/>
  <c r="EQ49"/>
  <c r="ER49"/>
  <c r="ES49"/>
  <c r="ET49"/>
  <c r="EU49"/>
  <c r="EV49"/>
  <c r="EM50"/>
  <c r="EN50"/>
  <c r="EO50"/>
  <c r="EP50"/>
  <c r="EQ50"/>
  <c r="ER50"/>
  <c r="ES50"/>
  <c r="ET50"/>
  <c r="EU50"/>
  <c r="EV50"/>
  <c r="EM51"/>
  <c r="EN51"/>
  <c r="EO51"/>
  <c r="EP51"/>
  <c r="EQ51"/>
  <c r="ER51"/>
  <c r="ES51"/>
  <c r="ET51"/>
  <c r="EU51"/>
  <c r="EV51"/>
  <c r="EM52"/>
  <c r="EN52"/>
  <c r="EO52"/>
  <c r="EP52"/>
  <c r="EQ52"/>
  <c r="ER52"/>
  <c r="ES52"/>
  <c r="ET52"/>
  <c r="EU52"/>
  <c r="EV52"/>
  <c r="EM53"/>
  <c r="EN53"/>
  <c r="EO53"/>
  <c r="EP53"/>
  <c r="EQ53"/>
  <c r="ER53"/>
  <c r="ES53"/>
  <c r="ET53"/>
  <c r="EU53"/>
  <c r="EV53"/>
  <c r="EM54"/>
  <c r="EN54"/>
  <c r="EO54"/>
  <c r="EP54"/>
  <c r="EQ54"/>
  <c r="ER54"/>
  <c r="ES54"/>
  <c r="ET54"/>
  <c r="EU54"/>
  <c r="EV54"/>
  <c r="EM55"/>
  <c r="EN55"/>
  <c r="EO55"/>
  <c r="EP55"/>
  <c r="EQ55"/>
  <c r="ER55"/>
  <c r="ES55"/>
  <c r="ET55"/>
  <c r="EU55"/>
  <c r="EV55"/>
  <c r="EM56"/>
  <c r="EN56"/>
  <c r="EO56"/>
  <c r="EP56"/>
  <c r="EQ56"/>
  <c r="ER56"/>
  <c r="ES56"/>
  <c r="ET56"/>
  <c r="EU56"/>
  <c r="EV56"/>
  <c r="EM57"/>
  <c r="EN57"/>
  <c r="EO57"/>
  <c r="EP57"/>
  <c r="EQ57"/>
  <c r="ER57"/>
  <c r="ES57"/>
  <c r="ET57"/>
  <c r="EU57"/>
  <c r="EV57"/>
  <c r="EM58"/>
  <c r="EN58"/>
  <c r="EO58"/>
  <c r="EP58"/>
  <c r="EQ58"/>
  <c r="ER58"/>
  <c r="ES58"/>
  <c r="ET58"/>
  <c r="EU58"/>
  <c r="EV58"/>
  <c r="EM59"/>
  <c r="EN59"/>
  <c r="EO59"/>
  <c r="EP59"/>
  <c r="EQ59"/>
  <c r="ER59"/>
  <c r="ES59"/>
  <c r="ET59"/>
  <c r="EU59"/>
  <c r="EV59"/>
  <c r="EN11"/>
  <c r="EO11"/>
  <c r="EP11"/>
  <c r="EQ11"/>
  <c r="ER11"/>
  <c r="ES11"/>
  <c r="ET11"/>
  <c r="EU11"/>
  <c r="EV11"/>
  <c r="EM11"/>
  <c r="EC12"/>
  <c r="ED12"/>
  <c r="EE12"/>
  <c r="EF12"/>
  <c r="EG12"/>
  <c r="EH12"/>
  <c r="EI12"/>
  <c r="EJ12"/>
  <c r="EK12"/>
  <c r="EL12"/>
  <c r="EC13"/>
  <c r="ED13"/>
  <c r="EE13"/>
  <c r="EF13"/>
  <c r="EG13"/>
  <c r="EH13"/>
  <c r="EI13"/>
  <c r="EJ13"/>
  <c r="EK13"/>
  <c r="EL13"/>
  <c r="EC14"/>
  <c r="ED14"/>
  <c r="EE14"/>
  <c r="EF14"/>
  <c r="EG14"/>
  <c r="EH14"/>
  <c r="EI14"/>
  <c r="EJ14"/>
  <c r="EK14"/>
  <c r="EL14"/>
  <c r="EC15"/>
  <c r="ED15"/>
  <c r="EE15"/>
  <c r="EF15"/>
  <c r="EG15"/>
  <c r="EH15"/>
  <c r="EI15"/>
  <c r="EJ15"/>
  <c r="EK15"/>
  <c r="EL15"/>
  <c r="EC16"/>
  <c r="ED16"/>
  <c r="EE16"/>
  <c r="EF16"/>
  <c r="EG16"/>
  <c r="EH16"/>
  <c r="EI16"/>
  <c r="EJ16"/>
  <c r="EK16"/>
  <c r="EL16"/>
  <c r="EC17"/>
  <c r="ED17"/>
  <c r="EE17"/>
  <c r="EF17"/>
  <c r="EG17"/>
  <c r="EH17"/>
  <c r="EI17"/>
  <c r="EJ17"/>
  <c r="EK17"/>
  <c r="EL17"/>
  <c r="EC18"/>
  <c r="ED18"/>
  <c r="EE18"/>
  <c r="EF18"/>
  <c r="EG18"/>
  <c r="EH18"/>
  <c r="EI18"/>
  <c r="EJ18"/>
  <c r="EK18"/>
  <c r="EL18"/>
  <c r="EC19"/>
  <c r="ED19"/>
  <c r="EE19"/>
  <c r="EF19"/>
  <c r="EG19"/>
  <c r="EH19"/>
  <c r="EI19"/>
  <c r="EJ19"/>
  <c r="EK19"/>
  <c r="EL19"/>
  <c r="EC20"/>
  <c r="ED20"/>
  <c r="EE20"/>
  <c r="EF20"/>
  <c r="EG20"/>
  <c r="EH20"/>
  <c r="EI20"/>
  <c r="EJ20"/>
  <c r="EK20"/>
  <c r="EL20"/>
  <c r="EC21"/>
  <c r="ED21"/>
  <c r="EE21"/>
  <c r="EF21"/>
  <c r="EG21"/>
  <c r="EH21"/>
  <c r="EI21"/>
  <c r="EJ21"/>
  <c r="EK21"/>
  <c r="EL21"/>
  <c r="EC22"/>
  <c r="ED22"/>
  <c r="EE22"/>
  <c r="EF22"/>
  <c r="EG22"/>
  <c r="EH22"/>
  <c r="EI22"/>
  <c r="EJ22"/>
  <c r="EK22"/>
  <c r="EL22"/>
  <c r="EC23"/>
  <c r="ED23"/>
  <c r="EE23"/>
  <c r="EF23"/>
  <c r="EG23"/>
  <c r="EH23"/>
  <c r="EI23"/>
  <c r="EJ23"/>
  <c r="EK23"/>
  <c r="EL23"/>
  <c r="EC24"/>
  <c r="ED24"/>
  <c r="EE24"/>
  <c r="EF24"/>
  <c r="EG24"/>
  <c r="EH24"/>
  <c r="EI24"/>
  <c r="EJ24"/>
  <c r="EK24"/>
  <c r="EL24"/>
  <c r="EC25"/>
  <c r="ED25"/>
  <c r="EE25"/>
  <c r="EF25"/>
  <c r="EG25"/>
  <c r="EH25"/>
  <c r="EI25"/>
  <c r="EJ25"/>
  <c r="EK25"/>
  <c r="EL25"/>
  <c r="EC26"/>
  <c r="ED26"/>
  <c r="EE26"/>
  <c r="EF26"/>
  <c r="EG26"/>
  <c r="EH26"/>
  <c r="EI26"/>
  <c r="EJ26"/>
  <c r="EK26"/>
  <c r="EL26"/>
  <c r="EC27"/>
  <c r="ED27"/>
  <c r="EE27"/>
  <c r="EF27"/>
  <c r="EG27"/>
  <c r="EH27"/>
  <c r="EI27"/>
  <c r="EJ27"/>
  <c r="EK27"/>
  <c r="EL27"/>
  <c r="EC28"/>
  <c r="ED28"/>
  <c r="EE28"/>
  <c r="EF28"/>
  <c r="EG28"/>
  <c r="EH28"/>
  <c r="EI28"/>
  <c r="EJ28"/>
  <c r="EK28"/>
  <c r="EL28"/>
  <c r="EC29"/>
  <c r="ED29"/>
  <c r="EE29"/>
  <c r="EF29"/>
  <c r="EG29"/>
  <c r="EH29"/>
  <c r="EI29"/>
  <c r="EJ29"/>
  <c r="EK29"/>
  <c r="EL29"/>
  <c r="EC30"/>
  <c r="ED30"/>
  <c r="EE30"/>
  <c r="EF30"/>
  <c r="EG30"/>
  <c r="EH30"/>
  <c r="EI30"/>
  <c r="EJ30"/>
  <c r="EK30"/>
  <c r="EL30"/>
  <c r="EC31"/>
  <c r="ED31"/>
  <c r="EE31"/>
  <c r="EF31"/>
  <c r="EG31"/>
  <c r="EH31"/>
  <c r="EI31"/>
  <c r="EJ31"/>
  <c r="EK31"/>
  <c r="EL31"/>
  <c r="EC32"/>
  <c r="ED32"/>
  <c r="EE32"/>
  <c r="EF32"/>
  <c r="EG32"/>
  <c r="EH32"/>
  <c r="EI32"/>
  <c r="EJ32"/>
  <c r="EK32"/>
  <c r="EL32"/>
  <c r="EC33"/>
  <c r="ED33"/>
  <c r="EE33"/>
  <c r="EF33"/>
  <c r="EG33"/>
  <c r="EH33"/>
  <c r="EI33"/>
  <c r="EJ33"/>
  <c r="EK33"/>
  <c r="EL33"/>
  <c r="EC34"/>
  <c r="ED34"/>
  <c r="EE34"/>
  <c r="EF34"/>
  <c r="EG34"/>
  <c r="EH34"/>
  <c r="EI34"/>
  <c r="EJ34"/>
  <c r="EK34"/>
  <c r="EL34"/>
  <c r="EC35"/>
  <c r="ED35"/>
  <c r="EE35"/>
  <c r="EF35"/>
  <c r="EG35"/>
  <c r="EH35"/>
  <c r="EI35"/>
  <c r="EJ35"/>
  <c r="EK35"/>
  <c r="EL35"/>
  <c r="EC36"/>
  <c r="ED36"/>
  <c r="EE36"/>
  <c r="EF36"/>
  <c r="EG36"/>
  <c r="EH36"/>
  <c r="EI36"/>
  <c r="EJ36"/>
  <c r="EK36"/>
  <c r="EL36"/>
  <c r="EC37"/>
  <c r="ED37"/>
  <c r="EE37"/>
  <c r="EF37"/>
  <c r="EG37"/>
  <c r="EH37"/>
  <c r="EI37"/>
  <c r="EJ37"/>
  <c r="EK37"/>
  <c r="EL37"/>
  <c r="EC38"/>
  <c r="ED38"/>
  <c r="EE38"/>
  <c r="EF38"/>
  <c r="EG38"/>
  <c r="EH38"/>
  <c r="EI38"/>
  <c r="EJ38"/>
  <c r="EK38"/>
  <c r="EL38"/>
  <c r="EC39"/>
  <c r="ED39"/>
  <c r="EE39"/>
  <c r="EF39"/>
  <c r="EG39"/>
  <c r="EH39"/>
  <c r="EI39"/>
  <c r="EJ39"/>
  <c r="EK39"/>
  <c r="EL39"/>
  <c r="EC40"/>
  <c r="ED40"/>
  <c r="EE40"/>
  <c r="EF40"/>
  <c r="EG40"/>
  <c r="EH40"/>
  <c r="EI40"/>
  <c r="EJ40"/>
  <c r="EK40"/>
  <c r="EL40"/>
  <c r="EC41"/>
  <c r="ED41"/>
  <c r="EE41"/>
  <c r="EF41"/>
  <c r="EG41"/>
  <c r="EH41"/>
  <c r="EI41"/>
  <c r="EJ41"/>
  <c r="EK41"/>
  <c r="EL41"/>
  <c r="EC42"/>
  <c r="ED42"/>
  <c r="EE42"/>
  <c r="EF42"/>
  <c r="EG42"/>
  <c r="EH42"/>
  <c r="EI42"/>
  <c r="EJ42"/>
  <c r="EK42"/>
  <c r="EL42"/>
  <c r="EC43"/>
  <c r="ED43"/>
  <c r="EE43"/>
  <c r="EF43"/>
  <c r="EG43"/>
  <c r="EH43"/>
  <c r="EI43"/>
  <c r="EJ43"/>
  <c r="EK43"/>
  <c r="EL43"/>
  <c r="EC44"/>
  <c r="ED44"/>
  <c r="EE44"/>
  <c r="EF44"/>
  <c r="EG44"/>
  <c r="EH44"/>
  <c r="EI44"/>
  <c r="EJ44"/>
  <c r="EK44"/>
  <c r="EL44"/>
  <c r="EC45"/>
  <c r="ED45"/>
  <c r="EE45"/>
  <c r="EF45"/>
  <c r="EG45"/>
  <c r="EH45"/>
  <c r="EI45"/>
  <c r="EJ45"/>
  <c r="EK45"/>
  <c r="EL45"/>
  <c r="EC46"/>
  <c r="ED46"/>
  <c r="EE46"/>
  <c r="EF46"/>
  <c r="EG46"/>
  <c r="EH46"/>
  <c r="EI46"/>
  <c r="EJ46"/>
  <c r="EK46"/>
  <c r="EL46"/>
  <c r="EC47"/>
  <c r="ED47"/>
  <c r="EE47"/>
  <c r="EF47"/>
  <c r="EG47"/>
  <c r="EH47"/>
  <c r="EI47"/>
  <c r="EJ47"/>
  <c r="EK47"/>
  <c r="EL47"/>
  <c r="EC48"/>
  <c r="ED48"/>
  <c r="EE48"/>
  <c r="EF48"/>
  <c r="EG48"/>
  <c r="EH48"/>
  <c r="EI48"/>
  <c r="EJ48"/>
  <c r="EK48"/>
  <c r="EL48"/>
  <c r="EC49"/>
  <c r="ED49"/>
  <c r="EE49"/>
  <c r="EF49"/>
  <c r="EG49"/>
  <c r="EH49"/>
  <c r="EI49"/>
  <c r="EJ49"/>
  <c r="EK49"/>
  <c r="EL49"/>
  <c r="EC50"/>
  <c r="ED50"/>
  <c r="EE50"/>
  <c r="EF50"/>
  <c r="EG50"/>
  <c r="EH50"/>
  <c r="EI50"/>
  <c r="EJ50"/>
  <c r="EK50"/>
  <c r="EL50"/>
  <c r="EC51"/>
  <c r="ED51"/>
  <c r="EE51"/>
  <c r="EF51"/>
  <c r="EG51"/>
  <c r="EH51"/>
  <c r="EI51"/>
  <c r="EJ51"/>
  <c r="EK51"/>
  <c r="EL51"/>
  <c r="EC52"/>
  <c r="ED52"/>
  <c r="EE52"/>
  <c r="EF52"/>
  <c r="EG52"/>
  <c r="EH52"/>
  <c r="EI52"/>
  <c r="EJ52"/>
  <c r="EK52"/>
  <c r="EL52"/>
  <c r="EC53"/>
  <c r="ED53"/>
  <c r="EE53"/>
  <c r="EF53"/>
  <c r="EG53"/>
  <c r="EH53"/>
  <c r="EI53"/>
  <c r="EJ53"/>
  <c r="EK53"/>
  <c r="EL53"/>
  <c r="EC54"/>
  <c r="ED54"/>
  <c r="EE54"/>
  <c r="EF54"/>
  <c r="EG54"/>
  <c r="EH54"/>
  <c r="EI54"/>
  <c r="EJ54"/>
  <c r="EK54"/>
  <c r="EL54"/>
  <c r="EC55"/>
  <c r="ED55"/>
  <c r="EE55"/>
  <c r="EF55"/>
  <c r="EG55"/>
  <c r="EH55"/>
  <c r="EI55"/>
  <c r="EJ55"/>
  <c r="EK55"/>
  <c r="EL55"/>
  <c r="EC56"/>
  <c r="ED56"/>
  <c r="EE56"/>
  <c r="EF56"/>
  <c r="EG56"/>
  <c r="EH56"/>
  <c r="EI56"/>
  <c r="EJ56"/>
  <c r="EK56"/>
  <c r="EL56"/>
  <c r="EC57"/>
  <c r="ED57"/>
  <c r="EE57"/>
  <c r="EF57"/>
  <c r="EG57"/>
  <c r="EH57"/>
  <c r="EI57"/>
  <c r="EJ57"/>
  <c r="EK57"/>
  <c r="EL57"/>
  <c r="EC58"/>
  <c r="ED58"/>
  <c r="EE58"/>
  <c r="EF58"/>
  <c r="EG58"/>
  <c r="EH58"/>
  <c r="EI58"/>
  <c r="EJ58"/>
  <c r="EK58"/>
  <c r="EL58"/>
  <c r="EC59"/>
  <c r="ED59"/>
  <c r="EE59"/>
  <c r="EF59"/>
  <c r="EG59"/>
  <c r="EH59"/>
  <c r="EI59"/>
  <c r="EJ59"/>
  <c r="EK59"/>
  <c r="EL59"/>
  <c r="ED11"/>
  <c r="EE11"/>
  <c r="EF11"/>
  <c r="EG11"/>
  <c r="EH11"/>
  <c r="EI11"/>
  <c r="EJ11"/>
  <c r="EK11"/>
  <c r="EL11"/>
  <c r="EC11"/>
  <c r="DS12"/>
  <c r="DT12"/>
  <c r="DU12"/>
  <c r="DV12"/>
  <c r="DW12"/>
  <c r="DX12"/>
  <c r="DY12"/>
  <c r="DZ12"/>
  <c r="EA12"/>
  <c r="EB12"/>
  <c r="DS13"/>
  <c r="DT13"/>
  <c r="DU13"/>
  <c r="DV13"/>
  <c r="DW13"/>
  <c r="DX13"/>
  <c r="DY13"/>
  <c r="DZ13"/>
  <c r="EA13"/>
  <c r="EB13"/>
  <c r="DS14"/>
  <c r="DT14"/>
  <c r="DU14"/>
  <c r="DV14"/>
  <c r="DW14"/>
  <c r="DX14"/>
  <c r="DY14"/>
  <c r="DZ14"/>
  <c r="EA14"/>
  <c r="EB14"/>
  <c r="DS15"/>
  <c r="DT15"/>
  <c r="DU15"/>
  <c r="DV15"/>
  <c r="DW15"/>
  <c r="DX15"/>
  <c r="DY15"/>
  <c r="DZ15"/>
  <c r="EA15"/>
  <c r="EB15"/>
  <c r="DS16"/>
  <c r="DT16"/>
  <c r="DU16"/>
  <c r="DV16"/>
  <c r="DW16"/>
  <c r="DX16"/>
  <c r="DY16"/>
  <c r="DZ16"/>
  <c r="EA16"/>
  <c r="EB16"/>
  <c r="DS17"/>
  <c r="DT17"/>
  <c r="DU17"/>
  <c r="DV17"/>
  <c r="DW17"/>
  <c r="DX17"/>
  <c r="DY17"/>
  <c r="DZ17"/>
  <c r="EA17"/>
  <c r="EB17"/>
  <c r="DS18"/>
  <c r="DT18"/>
  <c r="DU18"/>
  <c r="DV18"/>
  <c r="DW18"/>
  <c r="DX18"/>
  <c r="DY18"/>
  <c r="DZ18"/>
  <c r="EA18"/>
  <c r="EB18"/>
  <c r="DS19"/>
  <c r="DT19"/>
  <c r="DU19"/>
  <c r="DV19"/>
  <c r="DW19"/>
  <c r="DX19"/>
  <c r="DY19"/>
  <c r="DZ19"/>
  <c r="EA19"/>
  <c r="EB19"/>
  <c r="DS20"/>
  <c r="DT20"/>
  <c r="DU20"/>
  <c r="DV20"/>
  <c r="DW20"/>
  <c r="DX20"/>
  <c r="DY20"/>
  <c r="DZ20"/>
  <c r="EA20"/>
  <c r="EB20"/>
  <c r="DS21"/>
  <c r="DT21"/>
  <c r="DU21"/>
  <c r="DV21"/>
  <c r="DW21"/>
  <c r="DX21"/>
  <c r="DY21"/>
  <c r="DZ21"/>
  <c r="EA21"/>
  <c r="EB21"/>
  <c r="DS22"/>
  <c r="DT22"/>
  <c r="DU22"/>
  <c r="DV22"/>
  <c r="DW22"/>
  <c r="DX22"/>
  <c r="DY22"/>
  <c r="DZ22"/>
  <c r="EA22"/>
  <c r="EB22"/>
  <c r="DS23"/>
  <c r="DT23"/>
  <c r="DU23"/>
  <c r="DV23"/>
  <c r="DW23"/>
  <c r="DX23"/>
  <c r="DY23"/>
  <c r="DZ23"/>
  <c r="EA23"/>
  <c r="EB23"/>
  <c r="DS24"/>
  <c r="DT24"/>
  <c r="DU24"/>
  <c r="DV24"/>
  <c r="DW24"/>
  <c r="DX24"/>
  <c r="DY24"/>
  <c r="DZ24"/>
  <c r="EA24"/>
  <c r="EB24"/>
  <c r="DS25"/>
  <c r="DT25"/>
  <c r="DU25"/>
  <c r="DV25"/>
  <c r="DW25"/>
  <c r="DX25"/>
  <c r="DY25"/>
  <c r="DZ25"/>
  <c r="EA25"/>
  <c r="EB25"/>
  <c r="DS26"/>
  <c r="DT26"/>
  <c r="DU26"/>
  <c r="DV26"/>
  <c r="DW26"/>
  <c r="DX26"/>
  <c r="DY26"/>
  <c r="DZ26"/>
  <c r="EA26"/>
  <c r="EB26"/>
  <c r="DS27"/>
  <c r="DT27"/>
  <c r="DU27"/>
  <c r="DV27"/>
  <c r="DW27"/>
  <c r="DX27"/>
  <c r="DY27"/>
  <c r="DZ27"/>
  <c r="EA27"/>
  <c r="EB27"/>
  <c r="DS28"/>
  <c r="DT28"/>
  <c r="DU28"/>
  <c r="DV28"/>
  <c r="DW28"/>
  <c r="DX28"/>
  <c r="DY28"/>
  <c r="DZ28"/>
  <c r="EA28"/>
  <c r="EB28"/>
  <c r="DS29"/>
  <c r="DT29"/>
  <c r="DU29"/>
  <c r="DV29"/>
  <c r="DW29"/>
  <c r="DX29"/>
  <c r="DY29"/>
  <c r="DZ29"/>
  <c r="EA29"/>
  <c r="EB29"/>
  <c r="DS30"/>
  <c r="DT30"/>
  <c r="DU30"/>
  <c r="DV30"/>
  <c r="DW30"/>
  <c r="DX30"/>
  <c r="DY30"/>
  <c r="DZ30"/>
  <c r="EA30"/>
  <c r="EB30"/>
  <c r="DS31"/>
  <c r="DT31"/>
  <c r="DU31"/>
  <c r="DV31"/>
  <c r="DW31"/>
  <c r="DX31"/>
  <c r="DY31"/>
  <c r="DZ31"/>
  <c r="EA31"/>
  <c r="EB31"/>
  <c r="DS32"/>
  <c r="DT32"/>
  <c r="DU32"/>
  <c r="DV32"/>
  <c r="DW32"/>
  <c r="DX32"/>
  <c r="DY32"/>
  <c r="DZ32"/>
  <c r="EA32"/>
  <c r="EB32"/>
  <c r="DS33"/>
  <c r="DT33"/>
  <c r="DU33"/>
  <c r="DV33"/>
  <c r="DW33"/>
  <c r="DX33"/>
  <c r="DY33"/>
  <c r="DZ33"/>
  <c r="EA33"/>
  <c r="EB33"/>
  <c r="DS34"/>
  <c r="DT34"/>
  <c r="DU34"/>
  <c r="DV34"/>
  <c r="DW34"/>
  <c r="DX34"/>
  <c r="DY34"/>
  <c r="DZ34"/>
  <c r="EA34"/>
  <c r="EB34"/>
  <c r="DS35"/>
  <c r="DT35"/>
  <c r="DU35"/>
  <c r="DV35"/>
  <c r="DW35"/>
  <c r="DX35"/>
  <c r="DY35"/>
  <c r="DZ35"/>
  <c r="EA35"/>
  <c r="EB35"/>
  <c r="DS36"/>
  <c r="DT36"/>
  <c r="DU36"/>
  <c r="DV36"/>
  <c r="DW36"/>
  <c r="DX36"/>
  <c r="DY36"/>
  <c r="DZ36"/>
  <c r="EA36"/>
  <c r="EB36"/>
  <c r="DS37"/>
  <c r="DT37"/>
  <c r="DU37"/>
  <c r="DV37"/>
  <c r="DW37"/>
  <c r="DX37"/>
  <c r="DY37"/>
  <c r="DZ37"/>
  <c r="EA37"/>
  <c r="EB37"/>
  <c r="DS38"/>
  <c r="DT38"/>
  <c r="DU38"/>
  <c r="DV38"/>
  <c r="DW38"/>
  <c r="DX38"/>
  <c r="DY38"/>
  <c r="DZ38"/>
  <c r="EA38"/>
  <c r="EB38"/>
  <c r="DS39"/>
  <c r="DT39"/>
  <c r="DU39"/>
  <c r="DV39"/>
  <c r="DW39"/>
  <c r="DX39"/>
  <c r="DY39"/>
  <c r="DZ39"/>
  <c r="EA39"/>
  <c r="EB39"/>
  <c r="DS40"/>
  <c r="DT40"/>
  <c r="DU40"/>
  <c r="DV40"/>
  <c r="DW40"/>
  <c r="DX40"/>
  <c r="DY40"/>
  <c r="DZ40"/>
  <c r="EA40"/>
  <c r="EB40"/>
  <c r="DS41"/>
  <c r="DT41"/>
  <c r="DU41"/>
  <c r="DV41"/>
  <c r="DW41"/>
  <c r="DX41"/>
  <c r="DY41"/>
  <c r="DZ41"/>
  <c r="EA41"/>
  <c r="EB41"/>
  <c r="DS42"/>
  <c r="DT42"/>
  <c r="DU42"/>
  <c r="DV42"/>
  <c r="DW42"/>
  <c r="DX42"/>
  <c r="DY42"/>
  <c r="DZ42"/>
  <c r="EA42"/>
  <c r="EB42"/>
  <c r="DS43"/>
  <c r="DT43"/>
  <c r="DU43"/>
  <c r="DV43"/>
  <c r="DW43"/>
  <c r="DX43"/>
  <c r="DY43"/>
  <c r="DZ43"/>
  <c r="EA43"/>
  <c r="EB43"/>
  <c r="DS44"/>
  <c r="DT44"/>
  <c r="DU44"/>
  <c r="DV44"/>
  <c r="DW44"/>
  <c r="DX44"/>
  <c r="DY44"/>
  <c r="DZ44"/>
  <c r="EA44"/>
  <c r="EB44"/>
  <c r="DS45"/>
  <c r="DT45"/>
  <c r="DU45"/>
  <c r="DV45"/>
  <c r="DW45"/>
  <c r="DX45"/>
  <c r="DY45"/>
  <c r="DZ45"/>
  <c r="EA45"/>
  <c r="EB45"/>
  <c r="DS46"/>
  <c r="DT46"/>
  <c r="DU46"/>
  <c r="DV46"/>
  <c r="DW46"/>
  <c r="DX46"/>
  <c r="DY46"/>
  <c r="DZ46"/>
  <c r="EA46"/>
  <c r="EB46"/>
  <c r="DS47"/>
  <c r="DT47"/>
  <c r="DU47"/>
  <c r="DV47"/>
  <c r="DW47"/>
  <c r="DX47"/>
  <c r="DY47"/>
  <c r="DZ47"/>
  <c r="EA47"/>
  <c r="EB47"/>
  <c r="DS48"/>
  <c r="DT48"/>
  <c r="DU48"/>
  <c r="DV48"/>
  <c r="DW48"/>
  <c r="DX48"/>
  <c r="DY48"/>
  <c r="DZ48"/>
  <c r="EA48"/>
  <c r="EB48"/>
  <c r="DS49"/>
  <c r="DT49"/>
  <c r="DU49"/>
  <c r="DV49"/>
  <c r="DW49"/>
  <c r="DX49"/>
  <c r="DY49"/>
  <c r="DZ49"/>
  <c r="EA49"/>
  <c r="EB49"/>
  <c r="DS50"/>
  <c r="DT50"/>
  <c r="DU50"/>
  <c r="DV50"/>
  <c r="DW50"/>
  <c r="DX50"/>
  <c r="DY50"/>
  <c r="DZ50"/>
  <c r="EA50"/>
  <c r="EB50"/>
  <c r="DS51"/>
  <c r="DT51"/>
  <c r="DU51"/>
  <c r="DV51"/>
  <c r="DW51"/>
  <c r="DX51"/>
  <c r="DY51"/>
  <c r="DZ51"/>
  <c r="EA51"/>
  <c r="EB51"/>
  <c r="DS52"/>
  <c r="DT52"/>
  <c r="DU52"/>
  <c r="DV52"/>
  <c r="DW52"/>
  <c r="DX52"/>
  <c r="DY52"/>
  <c r="DZ52"/>
  <c r="EA52"/>
  <c r="EB52"/>
  <c r="DS53"/>
  <c r="DT53"/>
  <c r="DU53"/>
  <c r="DV53"/>
  <c r="DW53"/>
  <c r="DX53"/>
  <c r="DY53"/>
  <c r="DZ53"/>
  <c r="EA53"/>
  <c r="EB53"/>
  <c r="DS54"/>
  <c r="DT54"/>
  <c r="DU54"/>
  <c r="DV54"/>
  <c r="DW54"/>
  <c r="DX54"/>
  <c r="DY54"/>
  <c r="DZ54"/>
  <c r="EA54"/>
  <c r="EB54"/>
  <c r="DS55"/>
  <c r="DT55"/>
  <c r="DU55"/>
  <c r="DV55"/>
  <c r="DW55"/>
  <c r="DX55"/>
  <c r="DY55"/>
  <c r="DZ55"/>
  <c r="EA55"/>
  <c r="EB55"/>
  <c r="DS56"/>
  <c r="DT56"/>
  <c r="DU56"/>
  <c r="DV56"/>
  <c r="DW56"/>
  <c r="DX56"/>
  <c r="DY56"/>
  <c r="DZ56"/>
  <c r="EA56"/>
  <c r="EB56"/>
  <c r="DS57"/>
  <c r="DT57"/>
  <c r="DU57"/>
  <c r="DV57"/>
  <c r="DW57"/>
  <c r="DX57"/>
  <c r="DY57"/>
  <c r="DZ57"/>
  <c r="EA57"/>
  <c r="EB57"/>
  <c r="DS58"/>
  <c r="DT58"/>
  <c r="DU58"/>
  <c r="DV58"/>
  <c r="DW58"/>
  <c r="DX58"/>
  <c r="DY58"/>
  <c r="DZ58"/>
  <c r="EA58"/>
  <c r="EB58"/>
  <c r="DS59"/>
  <c r="DT59"/>
  <c r="DU59"/>
  <c r="DV59"/>
  <c r="DW59"/>
  <c r="DX59"/>
  <c r="DY59"/>
  <c r="DZ59"/>
  <c r="EA59"/>
  <c r="EB59"/>
  <c r="DT11"/>
  <c r="DU11"/>
  <c r="DV11"/>
  <c r="DW11"/>
  <c r="DX11"/>
  <c r="DY11"/>
  <c r="DZ11"/>
  <c r="EA11"/>
  <c r="EB11"/>
  <c r="DS11"/>
  <c r="DI12"/>
  <c r="DJ12"/>
  <c r="DK12"/>
  <c r="DL12"/>
  <c r="DM12"/>
  <c r="DN12"/>
  <c r="DO12"/>
  <c r="DP12"/>
  <c r="DQ12"/>
  <c r="DR12"/>
  <c r="DI13"/>
  <c r="DJ13"/>
  <c r="DK13"/>
  <c r="DL13"/>
  <c r="DM13"/>
  <c r="DN13"/>
  <c r="DO13"/>
  <c r="DP13"/>
  <c r="DQ13"/>
  <c r="DR13"/>
  <c r="DI14"/>
  <c r="DJ14"/>
  <c r="DK14"/>
  <c r="DL14"/>
  <c r="DM14"/>
  <c r="DN14"/>
  <c r="DO14"/>
  <c r="DP14"/>
  <c r="DQ14"/>
  <c r="DR14"/>
  <c r="DI15"/>
  <c r="DJ15"/>
  <c r="DK15"/>
  <c r="DL15"/>
  <c r="DM15"/>
  <c r="DN15"/>
  <c r="DO15"/>
  <c r="DP15"/>
  <c r="DQ15"/>
  <c r="DR15"/>
  <c r="DI16"/>
  <c r="DJ16"/>
  <c r="DK16"/>
  <c r="DL16"/>
  <c r="DM16"/>
  <c r="DN16"/>
  <c r="DO16"/>
  <c r="DP16"/>
  <c r="DQ16"/>
  <c r="DR16"/>
  <c r="DI17"/>
  <c r="DJ17"/>
  <c r="DK17"/>
  <c r="DL17"/>
  <c r="DM17"/>
  <c r="DN17"/>
  <c r="DO17"/>
  <c r="DP17"/>
  <c r="DQ17"/>
  <c r="DR17"/>
  <c r="DI18"/>
  <c r="DJ18"/>
  <c r="DK18"/>
  <c r="DL18"/>
  <c r="DM18"/>
  <c r="DN18"/>
  <c r="DO18"/>
  <c r="DP18"/>
  <c r="DQ18"/>
  <c r="DR18"/>
  <c r="DI19"/>
  <c r="DJ19"/>
  <c r="DK19"/>
  <c r="DL19"/>
  <c r="DM19"/>
  <c r="DN19"/>
  <c r="DO19"/>
  <c r="DP19"/>
  <c r="DQ19"/>
  <c r="DR19"/>
  <c r="DI20"/>
  <c r="DJ20"/>
  <c r="DK20"/>
  <c r="DL20"/>
  <c r="DM20"/>
  <c r="DN20"/>
  <c r="DO20"/>
  <c r="DP20"/>
  <c r="DQ20"/>
  <c r="DR20"/>
  <c r="DI21"/>
  <c r="DJ21"/>
  <c r="DK21"/>
  <c r="DL21"/>
  <c r="DM21"/>
  <c r="DN21"/>
  <c r="DO21"/>
  <c r="DP21"/>
  <c r="DQ21"/>
  <c r="DR21"/>
  <c r="DI22"/>
  <c r="DJ22"/>
  <c r="DK22"/>
  <c r="DL22"/>
  <c r="DM22"/>
  <c r="DN22"/>
  <c r="DO22"/>
  <c r="DP22"/>
  <c r="DQ22"/>
  <c r="DR22"/>
  <c r="DI23"/>
  <c r="DJ23"/>
  <c r="DK23"/>
  <c r="DL23"/>
  <c r="DM23"/>
  <c r="DN23"/>
  <c r="DO23"/>
  <c r="DP23"/>
  <c r="DQ23"/>
  <c r="DR23"/>
  <c r="DI24"/>
  <c r="DJ24"/>
  <c r="DK24"/>
  <c r="DL24"/>
  <c r="DM24"/>
  <c r="DN24"/>
  <c r="DO24"/>
  <c r="DP24"/>
  <c r="DQ24"/>
  <c r="DR24"/>
  <c r="DI25"/>
  <c r="DJ25"/>
  <c r="DK25"/>
  <c r="DL25"/>
  <c r="DM25"/>
  <c r="DN25"/>
  <c r="DO25"/>
  <c r="DP25"/>
  <c r="DQ25"/>
  <c r="DR25"/>
  <c r="DI26"/>
  <c r="DJ26"/>
  <c r="DK26"/>
  <c r="DL26"/>
  <c r="DM26"/>
  <c r="DN26"/>
  <c r="DO26"/>
  <c r="DP26"/>
  <c r="DQ26"/>
  <c r="DR26"/>
  <c r="DI27"/>
  <c r="DJ27"/>
  <c r="DK27"/>
  <c r="DL27"/>
  <c r="DM27"/>
  <c r="DN27"/>
  <c r="DO27"/>
  <c r="DP27"/>
  <c r="DQ27"/>
  <c r="DR27"/>
  <c r="DI28"/>
  <c r="DJ28"/>
  <c r="DK28"/>
  <c r="DL28"/>
  <c r="DM28"/>
  <c r="DN28"/>
  <c r="DO28"/>
  <c r="DP28"/>
  <c r="DQ28"/>
  <c r="DR28"/>
  <c r="DI29"/>
  <c r="DJ29"/>
  <c r="DK29"/>
  <c r="DL29"/>
  <c r="DM29"/>
  <c r="DN29"/>
  <c r="DO29"/>
  <c r="DP29"/>
  <c r="DQ29"/>
  <c r="DR29"/>
  <c r="DI30"/>
  <c r="DJ30"/>
  <c r="DK30"/>
  <c r="DL30"/>
  <c r="DM30"/>
  <c r="DN30"/>
  <c r="DO30"/>
  <c r="DP30"/>
  <c r="DQ30"/>
  <c r="DR30"/>
  <c r="DI31"/>
  <c r="DJ31"/>
  <c r="DK31"/>
  <c r="DL31"/>
  <c r="DM31"/>
  <c r="DN31"/>
  <c r="DO31"/>
  <c r="DP31"/>
  <c r="DQ31"/>
  <c r="DR31"/>
  <c r="DI32"/>
  <c r="DJ32"/>
  <c r="DK32"/>
  <c r="DL32"/>
  <c r="DM32"/>
  <c r="DN32"/>
  <c r="DO32"/>
  <c r="DP32"/>
  <c r="DQ32"/>
  <c r="DR32"/>
  <c r="DI33"/>
  <c r="DJ33"/>
  <c r="DK33"/>
  <c r="DL33"/>
  <c r="DM33"/>
  <c r="DN33"/>
  <c r="DO33"/>
  <c r="DP33"/>
  <c r="DQ33"/>
  <c r="DR33"/>
  <c r="DI34"/>
  <c r="DJ34"/>
  <c r="DK34"/>
  <c r="DL34"/>
  <c r="DM34"/>
  <c r="DN34"/>
  <c r="DO34"/>
  <c r="DP34"/>
  <c r="DQ34"/>
  <c r="DR34"/>
  <c r="DI35"/>
  <c r="DJ35"/>
  <c r="DK35"/>
  <c r="DL35"/>
  <c r="DM35"/>
  <c r="DN35"/>
  <c r="DO35"/>
  <c r="DP35"/>
  <c r="DQ35"/>
  <c r="DR35"/>
  <c r="DI36"/>
  <c r="DJ36"/>
  <c r="DK36"/>
  <c r="DL36"/>
  <c r="DM36"/>
  <c r="DN36"/>
  <c r="DO36"/>
  <c r="DP36"/>
  <c r="DQ36"/>
  <c r="DR36"/>
  <c r="DI37"/>
  <c r="DJ37"/>
  <c r="DK37"/>
  <c r="DL37"/>
  <c r="DM37"/>
  <c r="DN37"/>
  <c r="DO37"/>
  <c r="DP37"/>
  <c r="DQ37"/>
  <c r="DR37"/>
  <c r="DI38"/>
  <c r="DJ38"/>
  <c r="DK38"/>
  <c r="DL38"/>
  <c r="DM38"/>
  <c r="DN38"/>
  <c r="DO38"/>
  <c r="DP38"/>
  <c r="DQ38"/>
  <c r="DR38"/>
  <c r="DI39"/>
  <c r="DJ39"/>
  <c r="DK39"/>
  <c r="DL39"/>
  <c r="DM39"/>
  <c r="DN39"/>
  <c r="DO39"/>
  <c r="DP39"/>
  <c r="DQ39"/>
  <c r="DR39"/>
  <c r="DI40"/>
  <c r="DJ40"/>
  <c r="DK40"/>
  <c r="DL40"/>
  <c r="DM40"/>
  <c r="DN40"/>
  <c r="DO40"/>
  <c r="DP40"/>
  <c r="DQ40"/>
  <c r="DR40"/>
  <c r="DI41"/>
  <c r="DJ41"/>
  <c r="DK41"/>
  <c r="DL41"/>
  <c r="DM41"/>
  <c r="DN41"/>
  <c r="DO41"/>
  <c r="DP41"/>
  <c r="DQ41"/>
  <c r="DR41"/>
  <c r="DI42"/>
  <c r="DJ42"/>
  <c r="DK42"/>
  <c r="DL42"/>
  <c r="DM42"/>
  <c r="DN42"/>
  <c r="DO42"/>
  <c r="DP42"/>
  <c r="DQ42"/>
  <c r="DR42"/>
  <c r="DI43"/>
  <c r="DJ43"/>
  <c r="DK43"/>
  <c r="DL43"/>
  <c r="DM43"/>
  <c r="DN43"/>
  <c r="DO43"/>
  <c r="DP43"/>
  <c r="DQ43"/>
  <c r="DR43"/>
  <c r="DI44"/>
  <c r="DJ44"/>
  <c r="DK44"/>
  <c r="DL44"/>
  <c r="DM44"/>
  <c r="DN44"/>
  <c r="DO44"/>
  <c r="DP44"/>
  <c r="DQ44"/>
  <c r="DR44"/>
  <c r="DI45"/>
  <c r="DJ45"/>
  <c r="DK45"/>
  <c r="DL45"/>
  <c r="DM45"/>
  <c r="DN45"/>
  <c r="DO45"/>
  <c r="DP45"/>
  <c r="DQ45"/>
  <c r="DR45"/>
  <c r="DI46"/>
  <c r="DJ46"/>
  <c r="DK46"/>
  <c r="DL46"/>
  <c r="DM46"/>
  <c r="DN46"/>
  <c r="DO46"/>
  <c r="DP46"/>
  <c r="DQ46"/>
  <c r="DR46"/>
  <c r="DI47"/>
  <c r="DJ47"/>
  <c r="DK47"/>
  <c r="DL47"/>
  <c r="DM47"/>
  <c r="DN47"/>
  <c r="DO47"/>
  <c r="DP47"/>
  <c r="DQ47"/>
  <c r="DR47"/>
  <c r="DI48"/>
  <c r="DJ48"/>
  <c r="DK48"/>
  <c r="DL48"/>
  <c r="DM48"/>
  <c r="DN48"/>
  <c r="DO48"/>
  <c r="DP48"/>
  <c r="DQ48"/>
  <c r="DR48"/>
  <c r="DI49"/>
  <c r="DJ49"/>
  <c r="DK49"/>
  <c r="DL49"/>
  <c r="DM49"/>
  <c r="DN49"/>
  <c r="DO49"/>
  <c r="DP49"/>
  <c r="DQ49"/>
  <c r="DR49"/>
  <c r="DI50"/>
  <c r="DJ50"/>
  <c r="DK50"/>
  <c r="DL50"/>
  <c r="DM50"/>
  <c r="DN50"/>
  <c r="DO50"/>
  <c r="DP50"/>
  <c r="DQ50"/>
  <c r="DR50"/>
  <c r="DI51"/>
  <c r="DJ51"/>
  <c r="DK51"/>
  <c r="DL51"/>
  <c r="DM51"/>
  <c r="DN51"/>
  <c r="DO51"/>
  <c r="DP51"/>
  <c r="DQ51"/>
  <c r="DR51"/>
  <c r="DI52"/>
  <c r="DJ52"/>
  <c r="DK52"/>
  <c r="DL52"/>
  <c r="DM52"/>
  <c r="DN52"/>
  <c r="DO52"/>
  <c r="DP52"/>
  <c r="DQ52"/>
  <c r="DR52"/>
  <c r="DI53"/>
  <c r="DJ53"/>
  <c r="DK53"/>
  <c r="DL53"/>
  <c r="DM53"/>
  <c r="DN53"/>
  <c r="DO53"/>
  <c r="DP53"/>
  <c r="DQ53"/>
  <c r="DR53"/>
  <c r="DI54"/>
  <c r="DJ54"/>
  <c r="DK54"/>
  <c r="DL54"/>
  <c r="DM54"/>
  <c r="DN54"/>
  <c r="DO54"/>
  <c r="DP54"/>
  <c r="DQ54"/>
  <c r="DR54"/>
  <c r="DI55"/>
  <c r="DJ55"/>
  <c r="DK55"/>
  <c r="DL55"/>
  <c r="DM55"/>
  <c r="DN55"/>
  <c r="DO55"/>
  <c r="DP55"/>
  <c r="DQ55"/>
  <c r="DR55"/>
  <c r="DI56"/>
  <c r="DJ56"/>
  <c r="DK56"/>
  <c r="DL56"/>
  <c r="DM56"/>
  <c r="DN56"/>
  <c r="DO56"/>
  <c r="DP56"/>
  <c r="DQ56"/>
  <c r="DR56"/>
  <c r="DI57"/>
  <c r="DJ57"/>
  <c r="DK57"/>
  <c r="DL57"/>
  <c r="DM57"/>
  <c r="DN57"/>
  <c r="DO57"/>
  <c r="DP57"/>
  <c r="DQ57"/>
  <c r="DR57"/>
  <c r="DI58"/>
  <c r="DJ58"/>
  <c r="DK58"/>
  <c r="DL58"/>
  <c r="DM58"/>
  <c r="DN58"/>
  <c r="DO58"/>
  <c r="DP58"/>
  <c r="DQ58"/>
  <c r="DR58"/>
  <c r="DI59"/>
  <c r="DJ59"/>
  <c r="DK59"/>
  <c r="DL59"/>
  <c r="DM59"/>
  <c r="DN59"/>
  <c r="DO59"/>
  <c r="DP59"/>
  <c r="DQ59"/>
  <c r="DR59"/>
  <c r="DJ11"/>
  <c r="DK11"/>
  <c r="DL11"/>
  <c r="DM11"/>
  <c r="DN11"/>
  <c r="DO11"/>
  <c r="DP11"/>
  <c r="DQ11"/>
  <c r="DR11"/>
  <c r="DI11"/>
  <c r="CY12"/>
  <c r="CZ12"/>
  <c r="DA12"/>
  <c r="DB12"/>
  <c r="DC12"/>
  <c r="DD12"/>
  <c r="DE12"/>
  <c r="DF12"/>
  <c r="DG12"/>
  <c r="DH12"/>
  <c r="CY13"/>
  <c r="CZ13"/>
  <c r="DA13"/>
  <c r="DB13"/>
  <c r="DC13"/>
  <c r="DD13"/>
  <c r="DE13"/>
  <c r="DF13"/>
  <c r="DG13"/>
  <c r="DH13"/>
  <c r="CY14"/>
  <c r="CZ14"/>
  <c r="DA14"/>
  <c r="DB14"/>
  <c r="DC14"/>
  <c r="DD14"/>
  <c r="DE14"/>
  <c r="DF14"/>
  <c r="DG14"/>
  <c r="DH14"/>
  <c r="CY15"/>
  <c r="CZ15"/>
  <c r="DA15"/>
  <c r="DB15"/>
  <c r="DC15"/>
  <c r="DD15"/>
  <c r="DE15"/>
  <c r="DF15"/>
  <c r="DG15"/>
  <c r="DH15"/>
  <c r="CY16"/>
  <c r="CZ16"/>
  <c r="DA16"/>
  <c r="DB16"/>
  <c r="DC16"/>
  <c r="DD16"/>
  <c r="DE16"/>
  <c r="DF16"/>
  <c r="DG16"/>
  <c r="DH16"/>
  <c r="CY17"/>
  <c r="CZ17"/>
  <c r="DA17"/>
  <c r="DB17"/>
  <c r="DC17"/>
  <c r="DD17"/>
  <c r="DE17"/>
  <c r="DF17"/>
  <c r="DG17"/>
  <c r="DH17"/>
  <c r="CY18"/>
  <c r="CZ18"/>
  <c r="DA18"/>
  <c r="DB18"/>
  <c r="DC18"/>
  <c r="DD18"/>
  <c r="DE18"/>
  <c r="DF18"/>
  <c r="DG18"/>
  <c r="DH18"/>
  <c r="CY19"/>
  <c r="CZ19"/>
  <c r="DA19"/>
  <c r="DB19"/>
  <c r="DC19"/>
  <c r="DD19"/>
  <c r="DE19"/>
  <c r="DF19"/>
  <c r="DG19"/>
  <c r="DH19"/>
  <c r="CY20"/>
  <c r="CZ20"/>
  <c r="DA20"/>
  <c r="DB20"/>
  <c r="DC20"/>
  <c r="DD20"/>
  <c r="DE20"/>
  <c r="DF20"/>
  <c r="DG20"/>
  <c r="DH20"/>
  <c r="CY21"/>
  <c r="CZ21"/>
  <c r="DA21"/>
  <c r="DB21"/>
  <c r="DC21"/>
  <c r="DD21"/>
  <c r="DE21"/>
  <c r="DF21"/>
  <c r="DG21"/>
  <c r="DH21"/>
  <c r="CY22"/>
  <c r="CZ22"/>
  <c r="DA22"/>
  <c r="DB22"/>
  <c r="DC22"/>
  <c r="DD22"/>
  <c r="DE22"/>
  <c r="DF22"/>
  <c r="DG22"/>
  <c r="DH22"/>
  <c r="CY23"/>
  <c r="CZ23"/>
  <c r="DA23"/>
  <c r="DB23"/>
  <c r="DC23"/>
  <c r="DD23"/>
  <c r="DE23"/>
  <c r="DF23"/>
  <c r="DG23"/>
  <c r="DH23"/>
  <c r="CY24"/>
  <c r="CZ24"/>
  <c r="DA24"/>
  <c r="DB24"/>
  <c r="DC24"/>
  <c r="DD24"/>
  <c r="DE24"/>
  <c r="DF24"/>
  <c r="DG24"/>
  <c r="DH24"/>
  <c r="CY25"/>
  <c r="CZ25"/>
  <c r="DA25"/>
  <c r="DB25"/>
  <c r="DC25"/>
  <c r="DD25"/>
  <c r="DE25"/>
  <c r="DF25"/>
  <c r="DG25"/>
  <c r="DH25"/>
  <c r="CY26"/>
  <c r="CZ26"/>
  <c r="DA26"/>
  <c r="DB26"/>
  <c r="DC26"/>
  <c r="DD26"/>
  <c r="DE26"/>
  <c r="DF26"/>
  <c r="DG26"/>
  <c r="DH26"/>
  <c r="CY27"/>
  <c r="CZ27"/>
  <c r="DA27"/>
  <c r="DB27"/>
  <c r="DC27"/>
  <c r="DD27"/>
  <c r="DE27"/>
  <c r="DF27"/>
  <c r="DG27"/>
  <c r="DH27"/>
  <c r="CY28"/>
  <c r="CZ28"/>
  <c r="DA28"/>
  <c r="DB28"/>
  <c r="DC28"/>
  <c r="DD28"/>
  <c r="DE28"/>
  <c r="DF28"/>
  <c r="DG28"/>
  <c r="DH28"/>
  <c r="CY29"/>
  <c r="CZ29"/>
  <c r="DA29"/>
  <c r="DB29"/>
  <c r="DC29"/>
  <c r="DD29"/>
  <c r="DE29"/>
  <c r="DF29"/>
  <c r="DG29"/>
  <c r="DH29"/>
  <c r="CY30"/>
  <c r="CZ30"/>
  <c r="DA30"/>
  <c r="DB30"/>
  <c r="DC30"/>
  <c r="DD30"/>
  <c r="DE30"/>
  <c r="DF30"/>
  <c r="DG30"/>
  <c r="DH30"/>
  <c r="CY31"/>
  <c r="CZ31"/>
  <c r="DA31"/>
  <c r="DB31"/>
  <c r="DC31"/>
  <c r="DD31"/>
  <c r="DE31"/>
  <c r="DF31"/>
  <c r="DG31"/>
  <c r="DH31"/>
  <c r="CY32"/>
  <c r="CZ32"/>
  <c r="DA32"/>
  <c r="DB32"/>
  <c r="DC32"/>
  <c r="DD32"/>
  <c r="DE32"/>
  <c r="DF32"/>
  <c r="DG32"/>
  <c r="DH32"/>
  <c r="CY33"/>
  <c r="CZ33"/>
  <c r="DA33"/>
  <c r="DB33"/>
  <c r="DC33"/>
  <c r="DD33"/>
  <c r="DE33"/>
  <c r="DF33"/>
  <c r="DG33"/>
  <c r="DH33"/>
  <c r="CY34"/>
  <c r="CZ34"/>
  <c r="DA34"/>
  <c r="DB34"/>
  <c r="DC34"/>
  <c r="DD34"/>
  <c r="DE34"/>
  <c r="DF34"/>
  <c r="DG34"/>
  <c r="DH34"/>
  <c r="CY35"/>
  <c r="CZ35"/>
  <c r="DA35"/>
  <c r="DB35"/>
  <c r="DC35"/>
  <c r="DD35"/>
  <c r="DE35"/>
  <c r="DF35"/>
  <c r="DG35"/>
  <c r="DH35"/>
  <c r="CY36"/>
  <c r="CZ36"/>
  <c r="DA36"/>
  <c r="DB36"/>
  <c r="DC36"/>
  <c r="DD36"/>
  <c r="DE36"/>
  <c r="DF36"/>
  <c r="DG36"/>
  <c r="DH36"/>
  <c r="CY37"/>
  <c r="CZ37"/>
  <c r="DA37"/>
  <c r="DB37"/>
  <c r="DC37"/>
  <c r="DD37"/>
  <c r="DE37"/>
  <c r="DF37"/>
  <c r="DG37"/>
  <c r="DH37"/>
  <c r="CY38"/>
  <c r="CZ38"/>
  <c r="DA38"/>
  <c r="DB38"/>
  <c r="DC38"/>
  <c r="DD38"/>
  <c r="DE38"/>
  <c r="DF38"/>
  <c r="DG38"/>
  <c r="DH38"/>
  <c r="CY39"/>
  <c r="CZ39"/>
  <c r="DA39"/>
  <c r="DB39"/>
  <c r="DC39"/>
  <c r="DD39"/>
  <c r="DE39"/>
  <c r="DF39"/>
  <c r="DG39"/>
  <c r="DH39"/>
  <c r="CY40"/>
  <c r="CZ40"/>
  <c r="DA40"/>
  <c r="DB40"/>
  <c r="DC40"/>
  <c r="DD40"/>
  <c r="DE40"/>
  <c r="DF40"/>
  <c r="DG40"/>
  <c r="DH40"/>
  <c r="CY41"/>
  <c r="CZ41"/>
  <c r="DA41"/>
  <c r="DB41"/>
  <c r="DC41"/>
  <c r="DD41"/>
  <c r="DE41"/>
  <c r="DF41"/>
  <c r="DG41"/>
  <c r="DH41"/>
  <c r="CY42"/>
  <c r="CZ42"/>
  <c r="DA42"/>
  <c r="DB42"/>
  <c r="DC42"/>
  <c r="DD42"/>
  <c r="DE42"/>
  <c r="DF42"/>
  <c r="DG42"/>
  <c r="DH42"/>
  <c r="CY43"/>
  <c r="CZ43"/>
  <c r="DA43"/>
  <c r="DB43"/>
  <c r="DC43"/>
  <c r="DD43"/>
  <c r="DE43"/>
  <c r="DF43"/>
  <c r="DG43"/>
  <c r="DH43"/>
  <c r="CY44"/>
  <c r="CZ44"/>
  <c r="DA44"/>
  <c r="DB44"/>
  <c r="DC44"/>
  <c r="DD44"/>
  <c r="DE44"/>
  <c r="DF44"/>
  <c r="DG44"/>
  <c r="DH44"/>
  <c r="CY45"/>
  <c r="CZ45"/>
  <c r="DA45"/>
  <c r="DB45"/>
  <c r="DC45"/>
  <c r="DD45"/>
  <c r="DE45"/>
  <c r="DF45"/>
  <c r="DG45"/>
  <c r="DH45"/>
  <c r="CY46"/>
  <c r="CZ46"/>
  <c r="DA46"/>
  <c r="DB46"/>
  <c r="DC46"/>
  <c r="DD46"/>
  <c r="DE46"/>
  <c r="DF46"/>
  <c r="DG46"/>
  <c r="DH46"/>
  <c r="CY47"/>
  <c r="CZ47"/>
  <c r="DA47"/>
  <c r="DB47"/>
  <c r="DC47"/>
  <c r="DD47"/>
  <c r="DE47"/>
  <c r="DF47"/>
  <c r="DG47"/>
  <c r="DH47"/>
  <c r="CY48"/>
  <c r="CZ48"/>
  <c r="DA48"/>
  <c r="DB48"/>
  <c r="DC48"/>
  <c r="DD48"/>
  <c r="DE48"/>
  <c r="DF48"/>
  <c r="DG48"/>
  <c r="DH48"/>
  <c r="CY49"/>
  <c r="CZ49"/>
  <c r="DA49"/>
  <c r="DB49"/>
  <c r="DC49"/>
  <c r="DD49"/>
  <c r="DE49"/>
  <c r="DF49"/>
  <c r="DG49"/>
  <c r="DH49"/>
  <c r="CY50"/>
  <c r="CZ50"/>
  <c r="DA50"/>
  <c r="DB50"/>
  <c r="DC50"/>
  <c r="DD50"/>
  <c r="DE50"/>
  <c r="DF50"/>
  <c r="DG50"/>
  <c r="DH50"/>
  <c r="CY51"/>
  <c r="CZ51"/>
  <c r="DA51"/>
  <c r="DB51"/>
  <c r="DC51"/>
  <c r="DD51"/>
  <c r="DE51"/>
  <c r="DF51"/>
  <c r="DG51"/>
  <c r="DH51"/>
  <c r="CY52"/>
  <c r="CZ52"/>
  <c r="DA52"/>
  <c r="DB52"/>
  <c r="DC52"/>
  <c r="DD52"/>
  <c r="DE52"/>
  <c r="DF52"/>
  <c r="DG52"/>
  <c r="DH52"/>
  <c r="CY53"/>
  <c r="CZ53"/>
  <c r="DA53"/>
  <c r="DB53"/>
  <c r="DC53"/>
  <c r="DD53"/>
  <c r="DE53"/>
  <c r="DF53"/>
  <c r="DG53"/>
  <c r="DH53"/>
  <c r="CY54"/>
  <c r="CZ54"/>
  <c r="DA54"/>
  <c r="DB54"/>
  <c r="DC54"/>
  <c r="DD54"/>
  <c r="DE54"/>
  <c r="DF54"/>
  <c r="DG54"/>
  <c r="DH54"/>
  <c r="CY55"/>
  <c r="CZ55"/>
  <c r="DA55"/>
  <c r="DB55"/>
  <c r="DC55"/>
  <c r="DD55"/>
  <c r="DE55"/>
  <c r="DF55"/>
  <c r="DG55"/>
  <c r="DH55"/>
  <c r="CY56"/>
  <c r="CZ56"/>
  <c r="DA56"/>
  <c r="DB56"/>
  <c r="DC56"/>
  <c r="DD56"/>
  <c r="DE56"/>
  <c r="DF56"/>
  <c r="DG56"/>
  <c r="DH56"/>
  <c r="CY57"/>
  <c r="CZ57"/>
  <c r="DA57"/>
  <c r="DB57"/>
  <c r="DC57"/>
  <c r="DD57"/>
  <c r="DE57"/>
  <c r="DF57"/>
  <c r="DG57"/>
  <c r="DH57"/>
  <c r="CY58"/>
  <c r="CZ58"/>
  <c r="DA58"/>
  <c r="DB58"/>
  <c r="DC58"/>
  <c r="DD58"/>
  <c r="DE58"/>
  <c r="DF58"/>
  <c r="DG58"/>
  <c r="DH58"/>
  <c r="CY59"/>
  <c r="CZ59"/>
  <c r="DA59"/>
  <c r="DB59"/>
  <c r="DC59"/>
  <c r="DD59"/>
  <c r="DE59"/>
  <c r="DF59"/>
  <c r="DG59"/>
  <c r="DH59"/>
  <c r="CZ11"/>
  <c r="DA11"/>
  <c r="DB11"/>
  <c r="DC11"/>
  <c r="DD11"/>
  <c r="DE11"/>
  <c r="DF11"/>
  <c r="DG11"/>
  <c r="DH11"/>
  <c r="CY11"/>
  <c r="CO12"/>
  <c r="CP12"/>
  <c r="CQ12"/>
  <c r="CR12"/>
  <c r="CS12"/>
  <c r="CT12"/>
  <c r="CU12"/>
  <c r="CV12"/>
  <c r="CW12"/>
  <c r="CX12"/>
  <c r="CO13"/>
  <c r="CP13"/>
  <c r="CQ13"/>
  <c r="CR13"/>
  <c r="CS13"/>
  <c r="CT13"/>
  <c r="CU13"/>
  <c r="CV13"/>
  <c r="CW13"/>
  <c r="CX13"/>
  <c r="CO14"/>
  <c r="CP14"/>
  <c r="CQ14"/>
  <c r="CR14"/>
  <c r="CS14"/>
  <c r="CT14"/>
  <c r="CU14"/>
  <c r="CV14"/>
  <c r="CW14"/>
  <c r="CX14"/>
  <c r="CO15"/>
  <c r="CP15"/>
  <c r="CQ15"/>
  <c r="CR15"/>
  <c r="CS15"/>
  <c r="CT15"/>
  <c r="CU15"/>
  <c r="CV15"/>
  <c r="CW15"/>
  <c r="CX15"/>
  <c r="CO16"/>
  <c r="CP16"/>
  <c r="CQ16"/>
  <c r="CR16"/>
  <c r="CS16"/>
  <c r="CT16"/>
  <c r="CU16"/>
  <c r="CV16"/>
  <c r="CW16"/>
  <c r="CX16"/>
  <c r="CO17"/>
  <c r="CP17"/>
  <c r="CQ17"/>
  <c r="CR17"/>
  <c r="CS17"/>
  <c r="CT17"/>
  <c r="CU17"/>
  <c r="CV17"/>
  <c r="CW17"/>
  <c r="CX17"/>
  <c r="CO18"/>
  <c r="CP18"/>
  <c r="CQ18"/>
  <c r="CR18"/>
  <c r="CS18"/>
  <c r="CT18"/>
  <c r="CU18"/>
  <c r="CV18"/>
  <c r="CW18"/>
  <c r="CX18"/>
  <c r="CO19"/>
  <c r="CP19"/>
  <c r="CQ19"/>
  <c r="CR19"/>
  <c r="CS19"/>
  <c r="CT19"/>
  <c r="CU19"/>
  <c r="CV19"/>
  <c r="CW19"/>
  <c r="CX19"/>
  <c r="CO20"/>
  <c r="CP20"/>
  <c r="CQ20"/>
  <c r="CR20"/>
  <c r="CS20"/>
  <c r="CT20"/>
  <c r="CU20"/>
  <c r="CV20"/>
  <c r="CW20"/>
  <c r="CX20"/>
  <c r="CO21"/>
  <c r="CP21"/>
  <c r="CQ21"/>
  <c r="CR21"/>
  <c r="CS21"/>
  <c r="CT21"/>
  <c r="CU21"/>
  <c r="CV21"/>
  <c r="CW21"/>
  <c r="CX21"/>
  <c r="CO22"/>
  <c r="CP22"/>
  <c r="CQ22"/>
  <c r="CR22"/>
  <c r="CS22"/>
  <c r="CT22"/>
  <c r="CU22"/>
  <c r="CV22"/>
  <c r="CW22"/>
  <c r="CX22"/>
  <c r="CO23"/>
  <c r="CP23"/>
  <c r="CQ23"/>
  <c r="CR23"/>
  <c r="CS23"/>
  <c r="CT23"/>
  <c r="CU23"/>
  <c r="CV23"/>
  <c r="CW23"/>
  <c r="CX23"/>
  <c r="CO24"/>
  <c r="CP24"/>
  <c r="CQ24"/>
  <c r="CR24"/>
  <c r="CS24"/>
  <c r="CT24"/>
  <c r="CU24"/>
  <c r="CV24"/>
  <c r="CW24"/>
  <c r="CX24"/>
  <c r="CO25"/>
  <c r="CP25"/>
  <c r="CQ25"/>
  <c r="CR25"/>
  <c r="CS25"/>
  <c r="CT25"/>
  <c r="CU25"/>
  <c r="CV25"/>
  <c r="CW25"/>
  <c r="CX25"/>
  <c r="CO26"/>
  <c r="CP26"/>
  <c r="CQ26"/>
  <c r="CR26"/>
  <c r="CS26"/>
  <c r="CT26"/>
  <c r="CU26"/>
  <c r="CV26"/>
  <c r="CW26"/>
  <c r="CX26"/>
  <c r="CO27"/>
  <c r="CP27"/>
  <c r="CQ27"/>
  <c r="CR27"/>
  <c r="CS27"/>
  <c r="CT27"/>
  <c r="CU27"/>
  <c r="CV27"/>
  <c r="CW27"/>
  <c r="CX27"/>
  <c r="CO28"/>
  <c r="CP28"/>
  <c r="CQ28"/>
  <c r="CR28"/>
  <c r="CS28"/>
  <c r="CT28"/>
  <c r="CU28"/>
  <c r="CV28"/>
  <c r="CW28"/>
  <c r="CX28"/>
  <c r="CO29"/>
  <c r="CP29"/>
  <c r="CQ29"/>
  <c r="CR29"/>
  <c r="CS29"/>
  <c r="CT29"/>
  <c r="CU29"/>
  <c r="CV29"/>
  <c r="CW29"/>
  <c r="CX29"/>
  <c r="CO30"/>
  <c r="CP30"/>
  <c r="CQ30"/>
  <c r="CR30"/>
  <c r="CS30"/>
  <c r="CT30"/>
  <c r="CU30"/>
  <c r="CV30"/>
  <c r="CW30"/>
  <c r="CX30"/>
  <c r="CO31"/>
  <c r="CP31"/>
  <c r="CQ31"/>
  <c r="CR31"/>
  <c r="CS31"/>
  <c r="CT31"/>
  <c r="CU31"/>
  <c r="CV31"/>
  <c r="CW31"/>
  <c r="CX31"/>
  <c r="CO32"/>
  <c r="CP32"/>
  <c r="CQ32"/>
  <c r="CR32"/>
  <c r="CS32"/>
  <c r="CT32"/>
  <c r="CU32"/>
  <c r="CV32"/>
  <c r="CW32"/>
  <c r="CX32"/>
  <c r="CO33"/>
  <c r="CP33"/>
  <c r="CQ33"/>
  <c r="CR33"/>
  <c r="CS33"/>
  <c r="CT33"/>
  <c r="CU33"/>
  <c r="CV33"/>
  <c r="CW33"/>
  <c r="CX33"/>
  <c r="CO34"/>
  <c r="CP34"/>
  <c r="CQ34"/>
  <c r="CR34"/>
  <c r="CS34"/>
  <c r="CT34"/>
  <c r="CU34"/>
  <c r="CV34"/>
  <c r="CW34"/>
  <c r="CX34"/>
  <c r="CO35"/>
  <c r="CP35"/>
  <c r="CQ35"/>
  <c r="CR35"/>
  <c r="CS35"/>
  <c r="CT35"/>
  <c r="CU35"/>
  <c r="CV35"/>
  <c r="CW35"/>
  <c r="CX35"/>
  <c r="CO36"/>
  <c r="CP36"/>
  <c r="CQ36"/>
  <c r="CR36"/>
  <c r="CS36"/>
  <c r="CT36"/>
  <c r="CU36"/>
  <c r="CV36"/>
  <c r="CW36"/>
  <c r="CX36"/>
  <c r="CO37"/>
  <c r="CP37"/>
  <c r="CQ37"/>
  <c r="CR37"/>
  <c r="CS37"/>
  <c r="CT37"/>
  <c r="CU37"/>
  <c r="CV37"/>
  <c r="CW37"/>
  <c r="CX37"/>
  <c r="CO38"/>
  <c r="CP38"/>
  <c r="CQ38"/>
  <c r="CR38"/>
  <c r="CS38"/>
  <c r="CT38"/>
  <c r="CU38"/>
  <c r="CV38"/>
  <c r="CW38"/>
  <c r="CX38"/>
  <c r="CO39"/>
  <c r="CP39"/>
  <c r="CQ39"/>
  <c r="CR39"/>
  <c r="CS39"/>
  <c r="CT39"/>
  <c r="CU39"/>
  <c r="CV39"/>
  <c r="CW39"/>
  <c r="CX39"/>
  <c r="CO40"/>
  <c r="CP40"/>
  <c r="CQ40"/>
  <c r="CR40"/>
  <c r="CS40"/>
  <c r="CT40"/>
  <c r="CU40"/>
  <c r="CV40"/>
  <c r="CW40"/>
  <c r="CX40"/>
  <c r="CO41"/>
  <c r="CP41"/>
  <c r="CQ41"/>
  <c r="CR41"/>
  <c r="CS41"/>
  <c r="CT41"/>
  <c r="CU41"/>
  <c r="CV41"/>
  <c r="CW41"/>
  <c r="CX41"/>
  <c r="CO42"/>
  <c r="CP42"/>
  <c r="CQ42"/>
  <c r="CR42"/>
  <c r="CS42"/>
  <c r="CT42"/>
  <c r="CU42"/>
  <c r="CV42"/>
  <c r="CW42"/>
  <c r="CX42"/>
  <c r="CO43"/>
  <c r="CP43"/>
  <c r="CQ43"/>
  <c r="CR43"/>
  <c r="CS43"/>
  <c r="CT43"/>
  <c r="CU43"/>
  <c r="CV43"/>
  <c r="CW43"/>
  <c r="CX43"/>
  <c r="CO44"/>
  <c r="CP44"/>
  <c r="CQ44"/>
  <c r="CR44"/>
  <c r="CS44"/>
  <c r="CT44"/>
  <c r="CU44"/>
  <c r="CV44"/>
  <c r="CW44"/>
  <c r="CX44"/>
  <c r="CO45"/>
  <c r="CP45"/>
  <c r="CQ45"/>
  <c r="CR45"/>
  <c r="CS45"/>
  <c r="CT45"/>
  <c r="CU45"/>
  <c r="CV45"/>
  <c r="CW45"/>
  <c r="CX45"/>
  <c r="CO46"/>
  <c r="CP46"/>
  <c r="CQ46"/>
  <c r="CR46"/>
  <c r="CS46"/>
  <c r="CT46"/>
  <c r="CU46"/>
  <c r="CV46"/>
  <c r="CW46"/>
  <c r="CX46"/>
  <c r="CO47"/>
  <c r="CP47"/>
  <c r="CQ47"/>
  <c r="CR47"/>
  <c r="CS47"/>
  <c r="CT47"/>
  <c r="CU47"/>
  <c r="CV47"/>
  <c r="CW47"/>
  <c r="CX47"/>
  <c r="CO48"/>
  <c r="CP48"/>
  <c r="CQ48"/>
  <c r="CR48"/>
  <c r="CS48"/>
  <c r="CT48"/>
  <c r="CU48"/>
  <c r="CV48"/>
  <c r="CW48"/>
  <c r="CX48"/>
  <c r="CO49"/>
  <c r="CP49"/>
  <c r="CQ49"/>
  <c r="CR49"/>
  <c r="CS49"/>
  <c r="CT49"/>
  <c r="CU49"/>
  <c r="CV49"/>
  <c r="CW49"/>
  <c r="CX49"/>
  <c r="CO50"/>
  <c r="CP50"/>
  <c r="CQ50"/>
  <c r="CR50"/>
  <c r="CS50"/>
  <c r="CT50"/>
  <c r="CU50"/>
  <c r="CV50"/>
  <c r="CW50"/>
  <c r="CX50"/>
  <c r="CO51"/>
  <c r="CP51"/>
  <c r="CQ51"/>
  <c r="CR51"/>
  <c r="CS51"/>
  <c r="CT51"/>
  <c r="CU51"/>
  <c r="CV51"/>
  <c r="CW51"/>
  <c r="CX51"/>
  <c r="CO52"/>
  <c r="CP52"/>
  <c r="CQ52"/>
  <c r="CR52"/>
  <c r="CS52"/>
  <c r="CT52"/>
  <c r="CU52"/>
  <c r="CV52"/>
  <c r="CW52"/>
  <c r="CX52"/>
  <c r="CO53"/>
  <c r="CP53"/>
  <c r="CQ53"/>
  <c r="CR53"/>
  <c r="CS53"/>
  <c r="CT53"/>
  <c r="CU53"/>
  <c r="CV53"/>
  <c r="CW53"/>
  <c r="CX53"/>
  <c r="CO54"/>
  <c r="CP54"/>
  <c r="CQ54"/>
  <c r="CR54"/>
  <c r="CS54"/>
  <c r="CT54"/>
  <c r="CU54"/>
  <c r="CV54"/>
  <c r="CW54"/>
  <c r="CX54"/>
  <c r="CO55"/>
  <c r="CP55"/>
  <c r="CQ55"/>
  <c r="CR55"/>
  <c r="CS55"/>
  <c r="CT55"/>
  <c r="CU55"/>
  <c r="CV55"/>
  <c r="CW55"/>
  <c r="CX55"/>
  <c r="CO56"/>
  <c r="CP56"/>
  <c r="CQ56"/>
  <c r="CR56"/>
  <c r="CS56"/>
  <c r="CT56"/>
  <c r="CU56"/>
  <c r="CV56"/>
  <c r="CW56"/>
  <c r="CX56"/>
  <c r="CO57"/>
  <c r="CP57"/>
  <c r="CQ57"/>
  <c r="CR57"/>
  <c r="CS57"/>
  <c r="CT57"/>
  <c r="CU57"/>
  <c r="CV57"/>
  <c r="CW57"/>
  <c r="CX57"/>
  <c r="CO58"/>
  <c r="CP58"/>
  <c r="CQ58"/>
  <c r="CR58"/>
  <c r="CS58"/>
  <c r="CT58"/>
  <c r="CU58"/>
  <c r="CV58"/>
  <c r="CW58"/>
  <c r="CX58"/>
  <c r="CO59"/>
  <c r="CP59"/>
  <c r="CQ59"/>
  <c r="CR59"/>
  <c r="CS59"/>
  <c r="CT59"/>
  <c r="CU59"/>
  <c r="CV59"/>
  <c r="CW59"/>
  <c r="CX59"/>
  <c r="CP11"/>
  <c r="CQ11"/>
  <c r="CR11"/>
  <c r="CS11"/>
  <c r="CT11"/>
  <c r="CU11"/>
  <c r="CV11"/>
  <c r="CW11"/>
  <c r="CX11"/>
  <c r="CO11"/>
  <c r="CE12"/>
  <c r="CF12"/>
  <c r="CG12"/>
  <c r="CH12"/>
  <c r="CI12"/>
  <c r="CJ12"/>
  <c r="CK12"/>
  <c r="CL12"/>
  <c r="CM12"/>
  <c r="CN12"/>
  <c r="CE13"/>
  <c r="CF13"/>
  <c r="CG13"/>
  <c r="CH13"/>
  <c r="CI13"/>
  <c r="CJ13"/>
  <c r="CK13"/>
  <c r="CL13"/>
  <c r="CM13"/>
  <c r="CN13"/>
  <c r="CE14"/>
  <c r="CF14"/>
  <c r="CG14"/>
  <c r="CH14"/>
  <c r="CI14"/>
  <c r="CJ14"/>
  <c r="CK14"/>
  <c r="CL14"/>
  <c r="CM14"/>
  <c r="CN14"/>
  <c r="CE15"/>
  <c r="CF15"/>
  <c r="CG15"/>
  <c r="CH15"/>
  <c r="CI15"/>
  <c r="CJ15"/>
  <c r="CK15"/>
  <c r="CL15"/>
  <c r="CM15"/>
  <c r="CN15"/>
  <c r="CE16"/>
  <c r="CF16"/>
  <c r="CG16"/>
  <c r="CH16"/>
  <c r="CI16"/>
  <c r="CJ16"/>
  <c r="CK16"/>
  <c r="CL16"/>
  <c r="CM16"/>
  <c r="CN16"/>
  <c r="CE17"/>
  <c r="CF17"/>
  <c r="CG17"/>
  <c r="CH17"/>
  <c r="CI17"/>
  <c r="CJ17"/>
  <c r="CK17"/>
  <c r="CL17"/>
  <c r="CM17"/>
  <c r="CN17"/>
  <c r="CE18"/>
  <c r="CF18"/>
  <c r="CG18"/>
  <c r="CH18"/>
  <c r="CI18"/>
  <c r="CJ18"/>
  <c r="CK18"/>
  <c r="CL18"/>
  <c r="CM18"/>
  <c r="CN18"/>
  <c r="CE19"/>
  <c r="CF19"/>
  <c r="CG19"/>
  <c r="CH19"/>
  <c r="CI19"/>
  <c r="CJ19"/>
  <c r="CK19"/>
  <c r="CL19"/>
  <c r="CM19"/>
  <c r="CN19"/>
  <c r="CE20"/>
  <c r="CF20"/>
  <c r="CG20"/>
  <c r="CH20"/>
  <c r="CI20"/>
  <c r="CJ20"/>
  <c r="CK20"/>
  <c r="CL20"/>
  <c r="CM20"/>
  <c r="CN20"/>
  <c r="CE21"/>
  <c r="CF21"/>
  <c r="CG21"/>
  <c r="CH21"/>
  <c r="CI21"/>
  <c r="CJ21"/>
  <c r="CK21"/>
  <c r="CL21"/>
  <c r="CM21"/>
  <c r="CN21"/>
  <c r="CE22"/>
  <c r="CF22"/>
  <c r="CG22"/>
  <c r="CH22"/>
  <c r="CI22"/>
  <c r="CJ22"/>
  <c r="CK22"/>
  <c r="CL22"/>
  <c r="CM22"/>
  <c r="CN22"/>
  <c r="CE23"/>
  <c r="CF23"/>
  <c r="CG23"/>
  <c r="CH23"/>
  <c r="CI23"/>
  <c r="CJ23"/>
  <c r="CK23"/>
  <c r="CL23"/>
  <c r="CM23"/>
  <c r="CN23"/>
  <c r="CE24"/>
  <c r="CF24"/>
  <c r="CG24"/>
  <c r="CH24"/>
  <c r="CI24"/>
  <c r="CJ24"/>
  <c r="CK24"/>
  <c r="CL24"/>
  <c r="CM24"/>
  <c r="CN24"/>
  <c r="CE25"/>
  <c r="CF25"/>
  <c r="CG25"/>
  <c r="CH25"/>
  <c r="CI25"/>
  <c r="CJ25"/>
  <c r="CK25"/>
  <c r="CL25"/>
  <c r="CM25"/>
  <c r="CN25"/>
  <c r="CE26"/>
  <c r="CF26"/>
  <c r="CG26"/>
  <c r="CH26"/>
  <c r="CI26"/>
  <c r="CJ26"/>
  <c r="CK26"/>
  <c r="CL26"/>
  <c r="CM26"/>
  <c r="CN26"/>
  <c r="CE27"/>
  <c r="CF27"/>
  <c r="CG27"/>
  <c r="CH27"/>
  <c r="CI27"/>
  <c r="CJ27"/>
  <c r="CK27"/>
  <c r="CL27"/>
  <c r="CM27"/>
  <c r="CN27"/>
  <c r="CE28"/>
  <c r="CF28"/>
  <c r="CG28"/>
  <c r="CH28"/>
  <c r="CI28"/>
  <c r="CJ28"/>
  <c r="CK28"/>
  <c r="CL28"/>
  <c r="CM28"/>
  <c r="CN28"/>
  <c r="CE29"/>
  <c r="CF29"/>
  <c r="CG29"/>
  <c r="CH29"/>
  <c r="CI29"/>
  <c r="CJ29"/>
  <c r="CK29"/>
  <c r="CL29"/>
  <c r="CM29"/>
  <c r="CN29"/>
  <c r="CE30"/>
  <c r="CF30"/>
  <c r="CG30"/>
  <c r="CH30"/>
  <c r="CI30"/>
  <c r="CJ30"/>
  <c r="CK30"/>
  <c r="CL30"/>
  <c r="CM30"/>
  <c r="CN30"/>
  <c r="CE31"/>
  <c r="CF31"/>
  <c r="CG31"/>
  <c r="CH31"/>
  <c r="CI31"/>
  <c r="CJ31"/>
  <c r="CK31"/>
  <c r="CL31"/>
  <c r="CM31"/>
  <c r="CN31"/>
  <c r="CE32"/>
  <c r="CF32"/>
  <c r="CG32"/>
  <c r="CH32"/>
  <c r="CI32"/>
  <c r="CJ32"/>
  <c r="CK32"/>
  <c r="CL32"/>
  <c r="CM32"/>
  <c r="CN32"/>
  <c r="CE33"/>
  <c r="CF33"/>
  <c r="CG33"/>
  <c r="CH33"/>
  <c r="CI33"/>
  <c r="CJ33"/>
  <c r="CK33"/>
  <c r="CL33"/>
  <c r="CM33"/>
  <c r="CN33"/>
  <c r="CE34"/>
  <c r="CF34"/>
  <c r="CG34"/>
  <c r="CH34"/>
  <c r="CI34"/>
  <c r="CJ34"/>
  <c r="CK34"/>
  <c r="CL34"/>
  <c r="CM34"/>
  <c r="CN34"/>
  <c r="CE35"/>
  <c r="CF35"/>
  <c r="CG35"/>
  <c r="CH35"/>
  <c r="CI35"/>
  <c r="CJ35"/>
  <c r="CK35"/>
  <c r="CL35"/>
  <c r="CM35"/>
  <c r="CN35"/>
  <c r="CE36"/>
  <c r="CF36"/>
  <c r="CG36"/>
  <c r="CH36"/>
  <c r="CI36"/>
  <c r="CJ36"/>
  <c r="CK36"/>
  <c r="CL36"/>
  <c r="CM36"/>
  <c r="CN36"/>
  <c r="CE37"/>
  <c r="CF37"/>
  <c r="CG37"/>
  <c r="CH37"/>
  <c r="CI37"/>
  <c r="CJ37"/>
  <c r="CK37"/>
  <c r="CL37"/>
  <c r="CM37"/>
  <c r="CN37"/>
  <c r="CE38"/>
  <c r="CF38"/>
  <c r="CG38"/>
  <c r="CH38"/>
  <c r="CI38"/>
  <c r="CJ38"/>
  <c r="CK38"/>
  <c r="CL38"/>
  <c r="CM38"/>
  <c r="CN38"/>
  <c r="CE39"/>
  <c r="CF39"/>
  <c r="CG39"/>
  <c r="CH39"/>
  <c r="CI39"/>
  <c r="CJ39"/>
  <c r="CK39"/>
  <c r="CL39"/>
  <c r="CM39"/>
  <c r="CN39"/>
  <c r="CE40"/>
  <c r="CF40"/>
  <c r="CG40"/>
  <c r="CH40"/>
  <c r="CI40"/>
  <c r="CJ40"/>
  <c r="CK40"/>
  <c r="CL40"/>
  <c r="CM40"/>
  <c r="CN40"/>
  <c r="CE41"/>
  <c r="CF41"/>
  <c r="CG41"/>
  <c r="CH41"/>
  <c r="CI41"/>
  <c r="CJ41"/>
  <c r="CK41"/>
  <c r="CL41"/>
  <c r="CM41"/>
  <c r="CN41"/>
  <c r="CE42"/>
  <c r="CF42"/>
  <c r="CG42"/>
  <c r="CH42"/>
  <c r="CI42"/>
  <c r="CJ42"/>
  <c r="CK42"/>
  <c r="CL42"/>
  <c r="CM42"/>
  <c r="CN42"/>
  <c r="CE43"/>
  <c r="CF43"/>
  <c r="CG43"/>
  <c r="CH43"/>
  <c r="CI43"/>
  <c r="CJ43"/>
  <c r="CK43"/>
  <c r="CL43"/>
  <c r="CM43"/>
  <c r="CN43"/>
  <c r="CE44"/>
  <c r="CF44"/>
  <c r="CG44"/>
  <c r="CH44"/>
  <c r="CI44"/>
  <c r="CJ44"/>
  <c r="CK44"/>
  <c r="CL44"/>
  <c r="CM44"/>
  <c r="CN44"/>
  <c r="CE45"/>
  <c r="CF45"/>
  <c r="CG45"/>
  <c r="CH45"/>
  <c r="CI45"/>
  <c r="CJ45"/>
  <c r="CK45"/>
  <c r="CL45"/>
  <c r="CM45"/>
  <c r="CN45"/>
  <c r="CE46"/>
  <c r="CF46"/>
  <c r="CG46"/>
  <c r="CH46"/>
  <c r="CI46"/>
  <c r="CJ46"/>
  <c r="CK46"/>
  <c r="CL46"/>
  <c r="CM46"/>
  <c r="CN46"/>
  <c r="CE47"/>
  <c r="CF47"/>
  <c r="CG47"/>
  <c r="CH47"/>
  <c r="CI47"/>
  <c r="CJ47"/>
  <c r="CK47"/>
  <c r="CL47"/>
  <c r="CM47"/>
  <c r="CN47"/>
  <c r="CE48"/>
  <c r="CF48"/>
  <c r="CG48"/>
  <c r="CH48"/>
  <c r="CI48"/>
  <c r="CJ48"/>
  <c r="CK48"/>
  <c r="CL48"/>
  <c r="CM48"/>
  <c r="CN48"/>
  <c r="CE49"/>
  <c r="CF49"/>
  <c r="CG49"/>
  <c r="CH49"/>
  <c r="CI49"/>
  <c r="CJ49"/>
  <c r="CK49"/>
  <c r="CL49"/>
  <c r="CM49"/>
  <c r="CN49"/>
  <c r="CE50"/>
  <c r="CF50"/>
  <c r="CG50"/>
  <c r="CH50"/>
  <c r="CI50"/>
  <c r="CJ50"/>
  <c r="CK50"/>
  <c r="CL50"/>
  <c r="CM50"/>
  <c r="CN50"/>
  <c r="CE51"/>
  <c r="CF51"/>
  <c r="CG51"/>
  <c r="CH51"/>
  <c r="CI51"/>
  <c r="CJ51"/>
  <c r="CK51"/>
  <c r="CL51"/>
  <c r="CM51"/>
  <c r="CN51"/>
  <c r="CE52"/>
  <c r="CF52"/>
  <c r="CG52"/>
  <c r="CH52"/>
  <c r="CI52"/>
  <c r="CJ52"/>
  <c r="CK52"/>
  <c r="CL52"/>
  <c r="CM52"/>
  <c r="CN52"/>
  <c r="CE53"/>
  <c r="CF53"/>
  <c r="CG53"/>
  <c r="CH53"/>
  <c r="CI53"/>
  <c r="CJ53"/>
  <c r="CK53"/>
  <c r="CL53"/>
  <c r="CM53"/>
  <c r="CN53"/>
  <c r="CE54"/>
  <c r="CF54"/>
  <c r="CG54"/>
  <c r="CH54"/>
  <c r="CI54"/>
  <c r="CJ54"/>
  <c r="CK54"/>
  <c r="CL54"/>
  <c r="CM54"/>
  <c r="CN54"/>
  <c r="CE55"/>
  <c r="CF55"/>
  <c r="CG55"/>
  <c r="CH55"/>
  <c r="CI55"/>
  <c r="CJ55"/>
  <c r="CK55"/>
  <c r="CL55"/>
  <c r="CM55"/>
  <c r="CN55"/>
  <c r="CE56"/>
  <c r="CF56"/>
  <c r="CG56"/>
  <c r="CH56"/>
  <c r="CI56"/>
  <c r="CJ56"/>
  <c r="CK56"/>
  <c r="CL56"/>
  <c r="CM56"/>
  <c r="CN56"/>
  <c r="CE57"/>
  <c r="CF57"/>
  <c r="CG57"/>
  <c r="CH57"/>
  <c r="CI57"/>
  <c r="CJ57"/>
  <c r="CK57"/>
  <c r="CL57"/>
  <c r="CM57"/>
  <c r="CN57"/>
  <c r="CE58"/>
  <c r="CF58"/>
  <c r="CG58"/>
  <c r="CH58"/>
  <c r="CI58"/>
  <c r="CJ58"/>
  <c r="CK58"/>
  <c r="CL58"/>
  <c r="CM58"/>
  <c r="CN58"/>
  <c r="CE59"/>
  <c r="CF59"/>
  <c r="CG59"/>
  <c r="CH59"/>
  <c r="CI59"/>
  <c r="CJ59"/>
  <c r="CK59"/>
  <c r="CL59"/>
  <c r="CM59"/>
  <c r="CN59"/>
  <c r="CF11"/>
  <c r="CG11"/>
  <c r="CH11"/>
  <c r="CI11"/>
  <c r="CJ11"/>
  <c r="CK11"/>
  <c r="CL11"/>
  <c r="CM11"/>
  <c r="CN11"/>
  <c r="CE11"/>
  <c r="BU12"/>
  <c r="BV12"/>
  <c r="BW12"/>
  <c r="BX12"/>
  <c r="BY12"/>
  <c r="BZ12"/>
  <c r="CA12"/>
  <c r="CB12"/>
  <c r="CC12"/>
  <c r="CD12"/>
  <c r="BU13"/>
  <c r="BV13"/>
  <c r="BW13"/>
  <c r="BX13"/>
  <c r="BY13"/>
  <c r="BZ13"/>
  <c r="CA13"/>
  <c r="CB13"/>
  <c r="CC13"/>
  <c r="CD13"/>
  <c r="BU14"/>
  <c r="BV14"/>
  <c r="BW14"/>
  <c r="BX14"/>
  <c r="BY14"/>
  <c r="BZ14"/>
  <c r="CA14"/>
  <c r="CB14"/>
  <c r="CC14"/>
  <c r="CD14"/>
  <c r="BU15"/>
  <c r="BV15"/>
  <c r="BW15"/>
  <c r="BX15"/>
  <c r="BY15"/>
  <c r="BZ15"/>
  <c r="CA15"/>
  <c r="CB15"/>
  <c r="CC15"/>
  <c r="CD15"/>
  <c r="BU16"/>
  <c r="BV16"/>
  <c r="BW16"/>
  <c r="BX16"/>
  <c r="BY16"/>
  <c r="BZ16"/>
  <c r="CA16"/>
  <c r="CB16"/>
  <c r="CC16"/>
  <c r="CD16"/>
  <c r="BU17"/>
  <c r="BV17"/>
  <c r="BW17"/>
  <c r="BX17"/>
  <c r="BY17"/>
  <c r="BZ17"/>
  <c r="CA17"/>
  <c r="CB17"/>
  <c r="CC17"/>
  <c r="CD17"/>
  <c r="BU18"/>
  <c r="BV18"/>
  <c r="BW18"/>
  <c r="BX18"/>
  <c r="BY18"/>
  <c r="BZ18"/>
  <c r="CA18"/>
  <c r="CB18"/>
  <c r="CC18"/>
  <c r="CD18"/>
  <c r="BU19"/>
  <c r="BV19"/>
  <c r="BW19"/>
  <c r="BX19"/>
  <c r="BY19"/>
  <c r="BZ19"/>
  <c r="CA19"/>
  <c r="CB19"/>
  <c r="CC19"/>
  <c r="CD19"/>
  <c r="BU20"/>
  <c r="BV20"/>
  <c r="BW20"/>
  <c r="BX20"/>
  <c r="BY20"/>
  <c r="BZ20"/>
  <c r="CA20"/>
  <c r="CB20"/>
  <c r="CC20"/>
  <c r="CD20"/>
  <c r="BU21"/>
  <c r="BV21"/>
  <c r="BW21"/>
  <c r="BX21"/>
  <c r="BY21"/>
  <c r="BZ21"/>
  <c r="CA21"/>
  <c r="CB21"/>
  <c r="CC21"/>
  <c r="CD21"/>
  <c r="BU22"/>
  <c r="BV22"/>
  <c r="BW22"/>
  <c r="BX22"/>
  <c r="BY22"/>
  <c r="BZ22"/>
  <c r="CA22"/>
  <c r="CB22"/>
  <c r="CC22"/>
  <c r="CD22"/>
  <c r="BU23"/>
  <c r="BV23"/>
  <c r="BW23"/>
  <c r="BX23"/>
  <c r="BY23"/>
  <c r="BZ23"/>
  <c r="CA23"/>
  <c r="CB23"/>
  <c r="CC23"/>
  <c r="CD23"/>
  <c r="BU24"/>
  <c r="BV24"/>
  <c r="BW24"/>
  <c r="BX24"/>
  <c r="BY24"/>
  <c r="BZ24"/>
  <c r="CA24"/>
  <c r="CB24"/>
  <c r="CC24"/>
  <c r="CD24"/>
  <c r="BU25"/>
  <c r="BV25"/>
  <c r="BW25"/>
  <c r="BX25"/>
  <c r="BY25"/>
  <c r="BZ25"/>
  <c r="CA25"/>
  <c r="CB25"/>
  <c r="CC25"/>
  <c r="CD25"/>
  <c r="BU26"/>
  <c r="BV26"/>
  <c r="BW26"/>
  <c r="BX26"/>
  <c r="BY26"/>
  <c r="BZ26"/>
  <c r="CA26"/>
  <c r="CB26"/>
  <c r="CC26"/>
  <c r="CD26"/>
  <c r="BU27"/>
  <c r="BV27"/>
  <c r="BW27"/>
  <c r="BX27"/>
  <c r="BY27"/>
  <c r="BZ27"/>
  <c r="CA27"/>
  <c r="CB27"/>
  <c r="CC27"/>
  <c r="CD27"/>
  <c r="BU28"/>
  <c r="BV28"/>
  <c r="BW28"/>
  <c r="BX28"/>
  <c r="BY28"/>
  <c r="BZ28"/>
  <c r="CA28"/>
  <c r="CB28"/>
  <c r="CC28"/>
  <c r="CD28"/>
  <c r="BU29"/>
  <c r="BV29"/>
  <c r="BW29"/>
  <c r="BX29"/>
  <c r="BY29"/>
  <c r="BZ29"/>
  <c r="CA29"/>
  <c r="CB29"/>
  <c r="CC29"/>
  <c r="CD29"/>
  <c r="BU30"/>
  <c r="BV30"/>
  <c r="BW30"/>
  <c r="BX30"/>
  <c r="BY30"/>
  <c r="BZ30"/>
  <c r="CA30"/>
  <c r="CB30"/>
  <c r="CC30"/>
  <c r="CD30"/>
  <c r="BU31"/>
  <c r="BV31"/>
  <c r="BW31"/>
  <c r="BX31"/>
  <c r="BY31"/>
  <c r="BZ31"/>
  <c r="CA31"/>
  <c r="CB31"/>
  <c r="CC31"/>
  <c r="CD31"/>
  <c r="BU32"/>
  <c r="BV32"/>
  <c r="BW32"/>
  <c r="BX32"/>
  <c r="BY32"/>
  <c r="BZ32"/>
  <c r="CA32"/>
  <c r="CB32"/>
  <c r="CC32"/>
  <c r="CD32"/>
  <c r="BU33"/>
  <c r="BV33"/>
  <c r="BW33"/>
  <c r="BX33"/>
  <c r="BY33"/>
  <c r="BZ33"/>
  <c r="CA33"/>
  <c r="CB33"/>
  <c r="CC33"/>
  <c r="CD33"/>
  <c r="BU34"/>
  <c r="BV34"/>
  <c r="BW34"/>
  <c r="BX34"/>
  <c r="BY34"/>
  <c r="BZ34"/>
  <c r="CA34"/>
  <c r="CB34"/>
  <c r="CC34"/>
  <c r="CD34"/>
  <c r="BU35"/>
  <c r="BV35"/>
  <c r="BW35"/>
  <c r="BX35"/>
  <c r="BY35"/>
  <c r="BZ35"/>
  <c r="CA35"/>
  <c r="CB35"/>
  <c r="CC35"/>
  <c r="CD35"/>
  <c r="BU36"/>
  <c r="BV36"/>
  <c r="BW36"/>
  <c r="BX36"/>
  <c r="BY36"/>
  <c r="BZ36"/>
  <c r="CA36"/>
  <c r="CB36"/>
  <c r="CC36"/>
  <c r="CD36"/>
  <c r="BU37"/>
  <c r="BV37"/>
  <c r="BW37"/>
  <c r="BX37"/>
  <c r="BY37"/>
  <c r="BZ37"/>
  <c r="CA37"/>
  <c r="CB37"/>
  <c r="CC37"/>
  <c r="CD37"/>
  <c r="BU38"/>
  <c r="BV38"/>
  <c r="BW38"/>
  <c r="BX38"/>
  <c r="BY38"/>
  <c r="BZ38"/>
  <c r="CA38"/>
  <c r="CB38"/>
  <c r="CC38"/>
  <c r="CD38"/>
  <c r="BU39"/>
  <c r="BV39"/>
  <c r="BW39"/>
  <c r="BX39"/>
  <c r="BY39"/>
  <c r="BZ39"/>
  <c r="CA39"/>
  <c r="CB39"/>
  <c r="CC39"/>
  <c r="CD39"/>
  <c r="BU40"/>
  <c r="BV40"/>
  <c r="BW40"/>
  <c r="BX40"/>
  <c r="BY40"/>
  <c r="BZ40"/>
  <c r="CA40"/>
  <c r="CB40"/>
  <c r="CC40"/>
  <c r="CD40"/>
  <c r="BU41"/>
  <c r="BV41"/>
  <c r="BW41"/>
  <c r="BX41"/>
  <c r="BY41"/>
  <c r="BZ41"/>
  <c r="CA41"/>
  <c r="CB41"/>
  <c r="CC41"/>
  <c r="CD41"/>
  <c r="BU42"/>
  <c r="BV42"/>
  <c r="BW42"/>
  <c r="BX42"/>
  <c r="BY42"/>
  <c r="BZ42"/>
  <c r="CA42"/>
  <c r="CB42"/>
  <c r="CC42"/>
  <c r="CD42"/>
  <c r="BU43"/>
  <c r="BV43"/>
  <c r="BW43"/>
  <c r="BX43"/>
  <c r="BY43"/>
  <c r="BZ43"/>
  <c r="CA43"/>
  <c r="CB43"/>
  <c r="CC43"/>
  <c r="CD43"/>
  <c r="BU44"/>
  <c r="BV44"/>
  <c r="BW44"/>
  <c r="BX44"/>
  <c r="BY44"/>
  <c r="BZ44"/>
  <c r="CA44"/>
  <c r="CB44"/>
  <c r="CC44"/>
  <c r="CD44"/>
  <c r="BU45"/>
  <c r="BV45"/>
  <c r="BW45"/>
  <c r="BX45"/>
  <c r="BY45"/>
  <c r="BZ45"/>
  <c r="CA45"/>
  <c r="CB45"/>
  <c r="CC45"/>
  <c r="CD45"/>
  <c r="BU46"/>
  <c r="BV46"/>
  <c r="BW46"/>
  <c r="BX46"/>
  <c r="BY46"/>
  <c r="BZ46"/>
  <c r="CA46"/>
  <c r="CB46"/>
  <c r="CC46"/>
  <c r="CD46"/>
  <c r="BU47"/>
  <c r="BV47"/>
  <c r="BW47"/>
  <c r="BX47"/>
  <c r="BY47"/>
  <c r="BZ47"/>
  <c r="CA47"/>
  <c r="CB47"/>
  <c r="CC47"/>
  <c r="CD47"/>
  <c r="BU48"/>
  <c r="BV48"/>
  <c r="BW48"/>
  <c r="BX48"/>
  <c r="BY48"/>
  <c r="BZ48"/>
  <c r="CA48"/>
  <c r="CB48"/>
  <c r="CC48"/>
  <c r="CD48"/>
  <c r="BU49"/>
  <c r="BV49"/>
  <c r="BW49"/>
  <c r="BX49"/>
  <c r="BY49"/>
  <c r="BZ49"/>
  <c r="CA49"/>
  <c r="CB49"/>
  <c r="CC49"/>
  <c r="CD49"/>
  <c r="BU50"/>
  <c r="BV50"/>
  <c r="BW50"/>
  <c r="BX50"/>
  <c r="BY50"/>
  <c r="BZ50"/>
  <c r="CA50"/>
  <c r="CB50"/>
  <c r="CC50"/>
  <c r="CD50"/>
  <c r="BU51"/>
  <c r="BV51"/>
  <c r="BW51"/>
  <c r="BX51"/>
  <c r="BY51"/>
  <c r="BZ51"/>
  <c r="CA51"/>
  <c r="CB51"/>
  <c r="CC51"/>
  <c r="CD51"/>
  <c r="BU52"/>
  <c r="BV52"/>
  <c r="BW52"/>
  <c r="BX52"/>
  <c r="BY52"/>
  <c r="BZ52"/>
  <c r="CA52"/>
  <c r="CB52"/>
  <c r="CC52"/>
  <c r="CD52"/>
  <c r="BU53"/>
  <c r="BV53"/>
  <c r="BW53"/>
  <c r="BX53"/>
  <c r="BY53"/>
  <c r="BZ53"/>
  <c r="CA53"/>
  <c r="CB53"/>
  <c r="CC53"/>
  <c r="CD53"/>
  <c r="BU54"/>
  <c r="BV54"/>
  <c r="BW54"/>
  <c r="BX54"/>
  <c r="BY54"/>
  <c r="BZ54"/>
  <c r="CA54"/>
  <c r="CB54"/>
  <c r="CC54"/>
  <c r="CD54"/>
  <c r="BU55"/>
  <c r="BV55"/>
  <c r="BW55"/>
  <c r="BX55"/>
  <c r="BY55"/>
  <c r="BZ55"/>
  <c r="CA55"/>
  <c r="CB55"/>
  <c r="CC55"/>
  <c r="CD55"/>
  <c r="BU56"/>
  <c r="BV56"/>
  <c r="BW56"/>
  <c r="BX56"/>
  <c r="BY56"/>
  <c r="BZ56"/>
  <c r="CA56"/>
  <c r="CB56"/>
  <c r="CC56"/>
  <c r="CD56"/>
  <c r="BU57"/>
  <c r="BV57"/>
  <c r="BW57"/>
  <c r="BX57"/>
  <c r="BY57"/>
  <c r="BZ57"/>
  <c r="CA57"/>
  <c r="CB57"/>
  <c r="CC57"/>
  <c r="CD57"/>
  <c r="BU58"/>
  <c r="BV58"/>
  <c r="BW58"/>
  <c r="BX58"/>
  <c r="BY58"/>
  <c r="BZ58"/>
  <c r="CA58"/>
  <c r="CB58"/>
  <c r="CC58"/>
  <c r="CD58"/>
  <c r="BU59"/>
  <c r="BV59"/>
  <c r="BW59"/>
  <c r="BX59"/>
  <c r="BY59"/>
  <c r="BZ59"/>
  <c r="CA59"/>
  <c r="CB59"/>
  <c r="CC59"/>
  <c r="CD59"/>
  <c r="BV11"/>
  <c r="BW11"/>
  <c r="BX11"/>
  <c r="BY11"/>
  <c r="BZ11"/>
  <c r="CA11"/>
  <c r="CB11"/>
  <c r="CC11"/>
  <c r="CD11"/>
  <c r="BU11"/>
  <c r="BK12"/>
  <c r="BL12"/>
  <c r="BM12"/>
  <c r="BN12"/>
  <c r="BO12"/>
  <c r="BP12"/>
  <c r="BQ12"/>
  <c r="BR12"/>
  <c r="BS12"/>
  <c r="BT12"/>
  <c r="BK13"/>
  <c r="BL13"/>
  <c r="BM13"/>
  <c r="BN13"/>
  <c r="BO13"/>
  <c r="BP13"/>
  <c r="BQ13"/>
  <c r="BR13"/>
  <c r="BS13"/>
  <c r="BT13"/>
  <c r="BK14"/>
  <c r="BL14"/>
  <c r="BM14"/>
  <c r="BN14"/>
  <c r="BO14"/>
  <c r="BP14"/>
  <c r="BQ14"/>
  <c r="BR14"/>
  <c r="BS14"/>
  <c r="BT14"/>
  <c r="BK15"/>
  <c r="BL15"/>
  <c r="BM15"/>
  <c r="BN15"/>
  <c r="BO15"/>
  <c r="BP15"/>
  <c r="BQ15"/>
  <c r="BR15"/>
  <c r="BS15"/>
  <c r="BT15"/>
  <c r="BK16"/>
  <c r="BL16"/>
  <c r="BM16"/>
  <c r="BN16"/>
  <c r="BO16"/>
  <c r="BP16"/>
  <c r="BQ16"/>
  <c r="BR16"/>
  <c r="BS16"/>
  <c r="BT16"/>
  <c r="BK17"/>
  <c r="BL17"/>
  <c r="BM17"/>
  <c r="BN17"/>
  <c r="BO17"/>
  <c r="BP17"/>
  <c r="BQ17"/>
  <c r="BR17"/>
  <c r="BS17"/>
  <c r="BT17"/>
  <c r="BK18"/>
  <c r="BL18"/>
  <c r="BM18"/>
  <c r="BN18"/>
  <c r="BO18"/>
  <c r="BP18"/>
  <c r="BQ18"/>
  <c r="BR18"/>
  <c r="BS18"/>
  <c r="BT18"/>
  <c r="BK19"/>
  <c r="BL19"/>
  <c r="BM19"/>
  <c r="BN19"/>
  <c r="BO19"/>
  <c r="BP19"/>
  <c r="BQ19"/>
  <c r="BR19"/>
  <c r="BS19"/>
  <c r="BT19"/>
  <c r="BK20"/>
  <c r="BL20"/>
  <c r="BM20"/>
  <c r="BN20"/>
  <c r="BO20"/>
  <c r="BP20"/>
  <c r="BQ20"/>
  <c r="BR20"/>
  <c r="BS20"/>
  <c r="BT20"/>
  <c r="BK21"/>
  <c r="BL21"/>
  <c r="BM21"/>
  <c r="BN21"/>
  <c r="BO21"/>
  <c r="BP21"/>
  <c r="BQ21"/>
  <c r="BR21"/>
  <c r="BS21"/>
  <c r="BT21"/>
  <c r="BK22"/>
  <c r="BL22"/>
  <c r="BM22"/>
  <c r="BN22"/>
  <c r="BO22"/>
  <c r="BP22"/>
  <c r="BQ22"/>
  <c r="BR22"/>
  <c r="BS22"/>
  <c r="BT22"/>
  <c r="BK23"/>
  <c r="BL23"/>
  <c r="BM23"/>
  <c r="BN23"/>
  <c r="BO23"/>
  <c r="BP23"/>
  <c r="BQ23"/>
  <c r="BR23"/>
  <c r="BS23"/>
  <c r="BT23"/>
  <c r="BK24"/>
  <c r="BL24"/>
  <c r="BM24"/>
  <c r="BN24"/>
  <c r="BO24"/>
  <c r="BP24"/>
  <c r="BQ24"/>
  <c r="BR24"/>
  <c r="BS24"/>
  <c r="BT24"/>
  <c r="BK25"/>
  <c r="BL25"/>
  <c r="BM25"/>
  <c r="BN25"/>
  <c r="BO25"/>
  <c r="BP25"/>
  <c r="BQ25"/>
  <c r="BR25"/>
  <c r="BS25"/>
  <c r="BT25"/>
  <c r="BK26"/>
  <c r="BL26"/>
  <c r="BM26"/>
  <c r="BN26"/>
  <c r="BO26"/>
  <c r="BP26"/>
  <c r="BQ26"/>
  <c r="BR26"/>
  <c r="BS26"/>
  <c r="BT26"/>
  <c r="BK27"/>
  <c r="BL27"/>
  <c r="BM27"/>
  <c r="BN27"/>
  <c r="BO27"/>
  <c r="BP27"/>
  <c r="BQ27"/>
  <c r="BR27"/>
  <c r="BS27"/>
  <c r="BT27"/>
  <c r="BK28"/>
  <c r="BL28"/>
  <c r="BM28"/>
  <c r="BN28"/>
  <c r="BO28"/>
  <c r="BP28"/>
  <c r="BQ28"/>
  <c r="BR28"/>
  <c r="BS28"/>
  <c r="BT28"/>
  <c r="BK29"/>
  <c r="BL29"/>
  <c r="BM29"/>
  <c r="BN29"/>
  <c r="BO29"/>
  <c r="BP29"/>
  <c r="BQ29"/>
  <c r="BR29"/>
  <c r="BS29"/>
  <c r="BT29"/>
  <c r="BK30"/>
  <c r="BL30"/>
  <c r="BM30"/>
  <c r="BN30"/>
  <c r="BO30"/>
  <c r="BP30"/>
  <c r="BQ30"/>
  <c r="BR30"/>
  <c r="BS30"/>
  <c r="BT30"/>
  <c r="BK31"/>
  <c r="BL31"/>
  <c r="BM31"/>
  <c r="BN31"/>
  <c r="BO31"/>
  <c r="BP31"/>
  <c r="BQ31"/>
  <c r="BR31"/>
  <c r="BS31"/>
  <c r="BT31"/>
  <c r="BK32"/>
  <c r="BL32"/>
  <c r="BM32"/>
  <c r="BN32"/>
  <c r="BO32"/>
  <c r="BP32"/>
  <c r="BQ32"/>
  <c r="BR32"/>
  <c r="BS32"/>
  <c r="BT32"/>
  <c r="BK33"/>
  <c r="BL33"/>
  <c r="BM33"/>
  <c r="BN33"/>
  <c r="BO33"/>
  <c r="BP33"/>
  <c r="BQ33"/>
  <c r="BR33"/>
  <c r="BS33"/>
  <c r="BT33"/>
  <c r="BK34"/>
  <c r="BL34"/>
  <c r="BM34"/>
  <c r="BN34"/>
  <c r="BO34"/>
  <c r="BP34"/>
  <c r="BQ34"/>
  <c r="BR34"/>
  <c r="BS34"/>
  <c r="BT34"/>
  <c r="BK35"/>
  <c r="BL35"/>
  <c r="BM35"/>
  <c r="BN35"/>
  <c r="BO35"/>
  <c r="BP35"/>
  <c r="BQ35"/>
  <c r="BR35"/>
  <c r="BS35"/>
  <c r="BT35"/>
  <c r="BK36"/>
  <c r="BL36"/>
  <c r="BM36"/>
  <c r="BN36"/>
  <c r="BO36"/>
  <c r="BP36"/>
  <c r="BQ36"/>
  <c r="BR36"/>
  <c r="BS36"/>
  <c r="BT36"/>
  <c r="BK37"/>
  <c r="BL37"/>
  <c r="BM37"/>
  <c r="BN37"/>
  <c r="BO37"/>
  <c r="BP37"/>
  <c r="BQ37"/>
  <c r="BR37"/>
  <c r="BS37"/>
  <c r="BT37"/>
  <c r="BK38"/>
  <c r="BL38"/>
  <c r="BM38"/>
  <c r="BN38"/>
  <c r="BO38"/>
  <c r="BP38"/>
  <c r="BQ38"/>
  <c r="BR38"/>
  <c r="BS38"/>
  <c r="BT38"/>
  <c r="BK39"/>
  <c r="BL39"/>
  <c r="BM39"/>
  <c r="BN39"/>
  <c r="BO39"/>
  <c r="BP39"/>
  <c r="BQ39"/>
  <c r="BR39"/>
  <c r="BS39"/>
  <c r="BT39"/>
  <c r="BK40"/>
  <c r="BL40"/>
  <c r="BM40"/>
  <c r="BN40"/>
  <c r="BO40"/>
  <c r="BP40"/>
  <c r="BQ40"/>
  <c r="BR40"/>
  <c r="BS40"/>
  <c r="BT40"/>
  <c r="BK41"/>
  <c r="BL41"/>
  <c r="BM41"/>
  <c r="BN41"/>
  <c r="BO41"/>
  <c r="BP41"/>
  <c r="BQ41"/>
  <c r="BR41"/>
  <c r="BS41"/>
  <c r="BT41"/>
  <c r="BK42"/>
  <c r="BL42"/>
  <c r="BM42"/>
  <c r="BN42"/>
  <c r="BO42"/>
  <c r="BP42"/>
  <c r="BQ42"/>
  <c r="BR42"/>
  <c r="BS42"/>
  <c r="BT42"/>
  <c r="BK43"/>
  <c r="BL43"/>
  <c r="BM43"/>
  <c r="BN43"/>
  <c r="BO43"/>
  <c r="BP43"/>
  <c r="BQ43"/>
  <c r="BR43"/>
  <c r="BS43"/>
  <c r="BT43"/>
  <c r="BK44"/>
  <c r="BL44"/>
  <c r="BM44"/>
  <c r="BN44"/>
  <c r="BO44"/>
  <c r="BP44"/>
  <c r="BQ44"/>
  <c r="BR44"/>
  <c r="BS44"/>
  <c r="BT44"/>
  <c r="BK45"/>
  <c r="BL45"/>
  <c r="BM45"/>
  <c r="BN45"/>
  <c r="BO45"/>
  <c r="BP45"/>
  <c r="BQ45"/>
  <c r="BR45"/>
  <c r="BS45"/>
  <c r="BT45"/>
  <c r="BK46"/>
  <c r="BL46"/>
  <c r="BM46"/>
  <c r="BN46"/>
  <c r="BO46"/>
  <c r="BP46"/>
  <c r="BQ46"/>
  <c r="BR46"/>
  <c r="BS46"/>
  <c r="BT46"/>
  <c r="BK47"/>
  <c r="BL47"/>
  <c r="BM47"/>
  <c r="BN47"/>
  <c r="BO47"/>
  <c r="BP47"/>
  <c r="BQ47"/>
  <c r="BR47"/>
  <c r="BS47"/>
  <c r="BT47"/>
  <c r="BK48"/>
  <c r="BL48"/>
  <c r="BM48"/>
  <c r="BN48"/>
  <c r="BO48"/>
  <c r="BP48"/>
  <c r="BQ48"/>
  <c r="BR48"/>
  <c r="BS48"/>
  <c r="BT48"/>
  <c r="BK49"/>
  <c r="BL49"/>
  <c r="BM49"/>
  <c r="BN49"/>
  <c r="BO49"/>
  <c r="BP49"/>
  <c r="BQ49"/>
  <c r="BR49"/>
  <c r="BS49"/>
  <c r="BT49"/>
  <c r="BK50"/>
  <c r="BL50"/>
  <c r="BM50"/>
  <c r="BN50"/>
  <c r="BO50"/>
  <c r="BP50"/>
  <c r="BQ50"/>
  <c r="BR50"/>
  <c r="BS50"/>
  <c r="BT50"/>
  <c r="BK51"/>
  <c r="BL51"/>
  <c r="BM51"/>
  <c r="BN51"/>
  <c r="BO51"/>
  <c r="BP51"/>
  <c r="BQ51"/>
  <c r="BR51"/>
  <c r="BS51"/>
  <c r="BT51"/>
  <c r="BK52"/>
  <c r="BL52"/>
  <c r="BM52"/>
  <c r="BN52"/>
  <c r="BO52"/>
  <c r="BP52"/>
  <c r="BQ52"/>
  <c r="BR52"/>
  <c r="BS52"/>
  <c r="BT52"/>
  <c r="BK53"/>
  <c r="BL53"/>
  <c r="BM53"/>
  <c r="BN53"/>
  <c r="BO53"/>
  <c r="BP53"/>
  <c r="BQ53"/>
  <c r="BR53"/>
  <c r="BS53"/>
  <c r="BT53"/>
  <c r="BK54"/>
  <c r="BL54"/>
  <c r="BM54"/>
  <c r="BN54"/>
  <c r="BO54"/>
  <c r="BP54"/>
  <c r="BQ54"/>
  <c r="BR54"/>
  <c r="BS54"/>
  <c r="BT54"/>
  <c r="BK55"/>
  <c r="BL55"/>
  <c r="BM55"/>
  <c r="BN55"/>
  <c r="BO55"/>
  <c r="BP55"/>
  <c r="BQ55"/>
  <c r="BR55"/>
  <c r="BS55"/>
  <c r="BT55"/>
  <c r="BK56"/>
  <c r="BL56"/>
  <c r="BM56"/>
  <c r="BN56"/>
  <c r="BO56"/>
  <c r="BP56"/>
  <c r="BQ56"/>
  <c r="BR56"/>
  <c r="BS56"/>
  <c r="BT56"/>
  <c r="BK57"/>
  <c r="BL57"/>
  <c r="BM57"/>
  <c r="BN57"/>
  <c r="BO57"/>
  <c r="BP57"/>
  <c r="BQ57"/>
  <c r="BR57"/>
  <c r="BS57"/>
  <c r="BT57"/>
  <c r="BK58"/>
  <c r="BL58"/>
  <c r="BM58"/>
  <c r="BN58"/>
  <c r="BO58"/>
  <c r="BP58"/>
  <c r="BQ58"/>
  <c r="BR58"/>
  <c r="BS58"/>
  <c r="BT58"/>
  <c r="BK59"/>
  <c r="BL59"/>
  <c r="BM59"/>
  <c r="BN59"/>
  <c r="BO59"/>
  <c r="BP59"/>
  <c r="BQ59"/>
  <c r="BR59"/>
  <c r="BS59"/>
  <c r="BT59"/>
  <c r="BL11"/>
  <c r="BM11"/>
  <c r="BN11"/>
  <c r="BO11"/>
  <c r="BP11"/>
  <c r="BQ11"/>
  <c r="BR11"/>
  <c r="BS11"/>
  <c r="BT11"/>
  <c r="BK11"/>
  <c r="BA12"/>
  <c r="BB12"/>
  <c r="BC12"/>
  <c r="BD12"/>
  <c r="BE12"/>
  <c r="BF12"/>
  <c r="BG12"/>
  <c r="BH12"/>
  <c r="BI12"/>
  <c r="BJ12"/>
  <c r="BA13"/>
  <c r="BB13"/>
  <c r="BC13"/>
  <c r="BD13"/>
  <c r="BE13"/>
  <c r="BF13"/>
  <c r="BG13"/>
  <c r="BH13"/>
  <c r="BI13"/>
  <c r="BJ13"/>
  <c r="BA14"/>
  <c r="BB14"/>
  <c r="BC14"/>
  <c r="BD14"/>
  <c r="BE14"/>
  <c r="BF14"/>
  <c r="BG14"/>
  <c r="BH14"/>
  <c r="BI14"/>
  <c r="BJ14"/>
  <c r="BA15"/>
  <c r="BB15"/>
  <c r="BC15"/>
  <c r="BD15"/>
  <c r="BE15"/>
  <c r="BF15"/>
  <c r="BG15"/>
  <c r="BH15"/>
  <c r="BI15"/>
  <c r="BJ15"/>
  <c r="BA16"/>
  <c r="BB16"/>
  <c r="BC16"/>
  <c r="BD16"/>
  <c r="BE16"/>
  <c r="BF16"/>
  <c r="BG16"/>
  <c r="BH16"/>
  <c r="BI16"/>
  <c r="BJ16"/>
  <c r="BA17"/>
  <c r="BB17"/>
  <c r="BC17"/>
  <c r="BD17"/>
  <c r="BE17"/>
  <c r="BF17"/>
  <c r="BG17"/>
  <c r="BH17"/>
  <c r="BI17"/>
  <c r="BJ17"/>
  <c r="BA18"/>
  <c r="BB18"/>
  <c r="BC18"/>
  <c r="BD18"/>
  <c r="BE18"/>
  <c r="BF18"/>
  <c r="BG18"/>
  <c r="BH18"/>
  <c r="BI18"/>
  <c r="BJ18"/>
  <c r="BA19"/>
  <c r="BB19"/>
  <c r="BC19"/>
  <c r="BD19"/>
  <c r="BE19"/>
  <c r="BF19"/>
  <c r="BG19"/>
  <c r="BH19"/>
  <c r="BI19"/>
  <c r="BJ19"/>
  <c r="BA20"/>
  <c r="BB20"/>
  <c r="BC20"/>
  <c r="BD20"/>
  <c r="BE20"/>
  <c r="BF20"/>
  <c r="BG20"/>
  <c r="BH20"/>
  <c r="BI20"/>
  <c r="BJ20"/>
  <c r="BA21"/>
  <c r="BB21"/>
  <c r="BC21"/>
  <c r="BD21"/>
  <c r="BE21"/>
  <c r="BF21"/>
  <c r="BG21"/>
  <c r="BH21"/>
  <c r="BI21"/>
  <c r="BJ21"/>
  <c r="BA22"/>
  <c r="BB22"/>
  <c r="BC22"/>
  <c r="BD22"/>
  <c r="BE22"/>
  <c r="BF22"/>
  <c r="BG22"/>
  <c r="BH22"/>
  <c r="BI22"/>
  <c r="BJ22"/>
  <c r="BA23"/>
  <c r="BB23"/>
  <c r="BC23"/>
  <c r="BD23"/>
  <c r="BE23"/>
  <c r="BF23"/>
  <c r="BG23"/>
  <c r="BH23"/>
  <c r="BI23"/>
  <c r="BJ23"/>
  <c r="BA24"/>
  <c r="BB24"/>
  <c r="BC24"/>
  <c r="BD24"/>
  <c r="BE24"/>
  <c r="BF24"/>
  <c r="BG24"/>
  <c r="BH24"/>
  <c r="BI24"/>
  <c r="BJ24"/>
  <c r="BA25"/>
  <c r="BB25"/>
  <c r="BC25"/>
  <c r="BD25"/>
  <c r="BE25"/>
  <c r="BF25"/>
  <c r="BG25"/>
  <c r="BH25"/>
  <c r="BI25"/>
  <c r="BJ25"/>
  <c r="BA26"/>
  <c r="BB26"/>
  <c r="BC26"/>
  <c r="BD26"/>
  <c r="BE26"/>
  <c r="BF26"/>
  <c r="BG26"/>
  <c r="BH26"/>
  <c r="BI26"/>
  <c r="BJ26"/>
  <c r="BA27"/>
  <c r="BB27"/>
  <c r="BC27"/>
  <c r="BD27"/>
  <c r="BE27"/>
  <c r="BF27"/>
  <c r="BG27"/>
  <c r="BH27"/>
  <c r="BI27"/>
  <c r="BJ27"/>
  <c r="BA28"/>
  <c r="BB28"/>
  <c r="BC28"/>
  <c r="BD28"/>
  <c r="BE28"/>
  <c r="BF28"/>
  <c r="BG28"/>
  <c r="BH28"/>
  <c r="BI28"/>
  <c r="BJ28"/>
  <c r="BA29"/>
  <c r="BB29"/>
  <c r="BC29"/>
  <c r="BD29"/>
  <c r="BE29"/>
  <c r="BF29"/>
  <c r="BG29"/>
  <c r="BH29"/>
  <c r="BI29"/>
  <c r="BJ29"/>
  <c r="BA30"/>
  <c r="BB30"/>
  <c r="BC30"/>
  <c r="BD30"/>
  <c r="BE30"/>
  <c r="BF30"/>
  <c r="BG30"/>
  <c r="BH30"/>
  <c r="BI30"/>
  <c r="BJ30"/>
  <c r="BA31"/>
  <c r="BB31"/>
  <c r="BC31"/>
  <c r="BD31"/>
  <c r="BE31"/>
  <c r="BF31"/>
  <c r="BG31"/>
  <c r="BH31"/>
  <c r="BI31"/>
  <c r="BJ31"/>
  <c r="BA32"/>
  <c r="BB32"/>
  <c r="BC32"/>
  <c r="BD32"/>
  <c r="BE32"/>
  <c r="BF32"/>
  <c r="BG32"/>
  <c r="BH32"/>
  <c r="BI32"/>
  <c r="BJ32"/>
  <c r="BA33"/>
  <c r="BB33"/>
  <c r="BC33"/>
  <c r="BD33"/>
  <c r="BE33"/>
  <c r="BF33"/>
  <c r="BG33"/>
  <c r="BH33"/>
  <c r="BI33"/>
  <c r="BJ33"/>
  <c r="BA34"/>
  <c r="BB34"/>
  <c r="BC34"/>
  <c r="BD34"/>
  <c r="BE34"/>
  <c r="BF34"/>
  <c r="BG34"/>
  <c r="BH34"/>
  <c r="BI34"/>
  <c r="BJ34"/>
  <c r="BA35"/>
  <c r="BB35"/>
  <c r="BC35"/>
  <c r="BD35"/>
  <c r="BE35"/>
  <c r="BF35"/>
  <c r="BG35"/>
  <c r="BH35"/>
  <c r="BI35"/>
  <c r="BJ35"/>
  <c r="BA36"/>
  <c r="BB36"/>
  <c r="BC36"/>
  <c r="BD36"/>
  <c r="BE36"/>
  <c r="BF36"/>
  <c r="BG36"/>
  <c r="BH36"/>
  <c r="BI36"/>
  <c r="BJ36"/>
  <c r="BA37"/>
  <c r="BB37"/>
  <c r="BC37"/>
  <c r="BD37"/>
  <c r="BE37"/>
  <c r="BF37"/>
  <c r="BG37"/>
  <c r="BH37"/>
  <c r="BI37"/>
  <c r="BJ37"/>
  <c r="BA38"/>
  <c r="BB38"/>
  <c r="BC38"/>
  <c r="BD38"/>
  <c r="BE38"/>
  <c r="BF38"/>
  <c r="BG38"/>
  <c r="BH38"/>
  <c r="BI38"/>
  <c r="BJ38"/>
  <c r="BA39"/>
  <c r="BB39"/>
  <c r="BC39"/>
  <c r="BD39"/>
  <c r="BE39"/>
  <c r="BF39"/>
  <c r="BG39"/>
  <c r="BH39"/>
  <c r="BI39"/>
  <c r="BJ39"/>
  <c r="BA40"/>
  <c r="BB40"/>
  <c r="BC40"/>
  <c r="BD40"/>
  <c r="BE40"/>
  <c r="BF40"/>
  <c r="BG40"/>
  <c r="BH40"/>
  <c r="BI40"/>
  <c r="BJ40"/>
  <c r="BA41"/>
  <c r="BB41"/>
  <c r="BC41"/>
  <c r="BD41"/>
  <c r="BE41"/>
  <c r="BF41"/>
  <c r="BG41"/>
  <c r="BH41"/>
  <c r="BI41"/>
  <c r="BJ41"/>
  <c r="BA42"/>
  <c r="BB42"/>
  <c r="BC42"/>
  <c r="BD42"/>
  <c r="BE42"/>
  <c r="BF42"/>
  <c r="BG42"/>
  <c r="BH42"/>
  <c r="BI42"/>
  <c r="BJ42"/>
  <c r="BA43"/>
  <c r="BB43"/>
  <c r="BC43"/>
  <c r="BD43"/>
  <c r="BE43"/>
  <c r="BF43"/>
  <c r="BG43"/>
  <c r="BH43"/>
  <c r="BI43"/>
  <c r="BJ43"/>
  <c r="BA44"/>
  <c r="BB44"/>
  <c r="BC44"/>
  <c r="BD44"/>
  <c r="BE44"/>
  <c r="BF44"/>
  <c r="BG44"/>
  <c r="BH44"/>
  <c r="BI44"/>
  <c r="BJ44"/>
  <c r="BA45"/>
  <c r="BB45"/>
  <c r="BC45"/>
  <c r="BD45"/>
  <c r="BE45"/>
  <c r="BF45"/>
  <c r="BG45"/>
  <c r="BH45"/>
  <c r="BI45"/>
  <c r="BJ45"/>
  <c r="BA46"/>
  <c r="BB46"/>
  <c r="BC46"/>
  <c r="BD46"/>
  <c r="BE46"/>
  <c r="BF46"/>
  <c r="BG46"/>
  <c r="BH46"/>
  <c r="BI46"/>
  <c r="BJ46"/>
  <c r="BA47"/>
  <c r="BB47"/>
  <c r="BC47"/>
  <c r="BD47"/>
  <c r="BE47"/>
  <c r="BF47"/>
  <c r="BG47"/>
  <c r="BH47"/>
  <c r="BI47"/>
  <c r="BJ47"/>
  <c r="BA48"/>
  <c r="BB48"/>
  <c r="BC48"/>
  <c r="BD48"/>
  <c r="BE48"/>
  <c r="BF48"/>
  <c r="BG48"/>
  <c r="BH48"/>
  <c r="BI48"/>
  <c r="BJ48"/>
  <c r="BA49"/>
  <c r="BB49"/>
  <c r="BC49"/>
  <c r="BD49"/>
  <c r="BE49"/>
  <c r="BF49"/>
  <c r="BG49"/>
  <c r="BH49"/>
  <c r="BI49"/>
  <c r="BJ49"/>
  <c r="BA50"/>
  <c r="BB50"/>
  <c r="BC50"/>
  <c r="BD50"/>
  <c r="BE50"/>
  <c r="BF50"/>
  <c r="BG50"/>
  <c r="BH50"/>
  <c r="BI50"/>
  <c r="BJ50"/>
  <c r="BA51"/>
  <c r="BB51"/>
  <c r="BC51"/>
  <c r="BD51"/>
  <c r="BE51"/>
  <c r="BF51"/>
  <c r="BG51"/>
  <c r="BH51"/>
  <c r="BI51"/>
  <c r="BJ51"/>
  <c r="BA52"/>
  <c r="BB52"/>
  <c r="BC52"/>
  <c r="BD52"/>
  <c r="BE52"/>
  <c r="BF52"/>
  <c r="BG52"/>
  <c r="BH52"/>
  <c r="BI52"/>
  <c r="BJ52"/>
  <c r="BA53"/>
  <c r="BB53"/>
  <c r="BC53"/>
  <c r="BD53"/>
  <c r="BE53"/>
  <c r="BF53"/>
  <c r="BG53"/>
  <c r="BH53"/>
  <c r="BI53"/>
  <c r="BJ53"/>
  <c r="BA54"/>
  <c r="BB54"/>
  <c r="BC54"/>
  <c r="BD54"/>
  <c r="BE54"/>
  <c r="BF54"/>
  <c r="BG54"/>
  <c r="BH54"/>
  <c r="BI54"/>
  <c r="BJ54"/>
  <c r="BA55"/>
  <c r="BB55"/>
  <c r="BC55"/>
  <c r="BD55"/>
  <c r="BE55"/>
  <c r="BF55"/>
  <c r="BG55"/>
  <c r="BH55"/>
  <c r="BI55"/>
  <c r="BJ55"/>
  <c r="BA56"/>
  <c r="BB56"/>
  <c r="BC56"/>
  <c r="BD56"/>
  <c r="BE56"/>
  <c r="BF56"/>
  <c r="BG56"/>
  <c r="BH56"/>
  <c r="BI56"/>
  <c r="BJ56"/>
  <c r="BA57"/>
  <c r="BB57"/>
  <c r="BC57"/>
  <c r="BD57"/>
  <c r="BE57"/>
  <c r="BF57"/>
  <c r="BG57"/>
  <c r="BH57"/>
  <c r="BI57"/>
  <c r="BJ57"/>
  <c r="BA58"/>
  <c r="BB58"/>
  <c r="BC58"/>
  <c r="BD58"/>
  <c r="BE58"/>
  <c r="BF58"/>
  <c r="BG58"/>
  <c r="BH58"/>
  <c r="BI58"/>
  <c r="BJ58"/>
  <c r="BA59"/>
  <c r="BB59"/>
  <c r="BC59"/>
  <c r="BD59"/>
  <c r="BE59"/>
  <c r="BF59"/>
  <c r="BG59"/>
  <c r="BH59"/>
  <c r="BI59"/>
  <c r="BJ59"/>
  <c r="BB11"/>
  <c r="BC11"/>
  <c r="BD11"/>
  <c r="BE11"/>
  <c r="BF11"/>
  <c r="BG11"/>
  <c r="BH11"/>
  <c r="BI11"/>
  <c r="BJ11"/>
  <c r="BA11"/>
  <c r="AQ12"/>
  <c r="AR12"/>
  <c r="AS12"/>
  <c r="AT12"/>
  <c r="AU12"/>
  <c r="AV12"/>
  <c r="AW12"/>
  <c r="AX12"/>
  <c r="AY12"/>
  <c r="AZ12"/>
  <c r="AQ13"/>
  <c r="AR13"/>
  <c r="AS13"/>
  <c r="AT13"/>
  <c r="AU13"/>
  <c r="AV13"/>
  <c r="AW13"/>
  <c r="AX13"/>
  <c r="AY13"/>
  <c r="AZ13"/>
  <c r="AQ14"/>
  <c r="AR14"/>
  <c r="AS14"/>
  <c r="AT14"/>
  <c r="AU14"/>
  <c r="AV14"/>
  <c r="AW14"/>
  <c r="AX14"/>
  <c r="AY14"/>
  <c r="AZ14"/>
  <c r="AQ15"/>
  <c r="AR15"/>
  <c r="AS15"/>
  <c r="AT15"/>
  <c r="AU15"/>
  <c r="AV15"/>
  <c r="AW15"/>
  <c r="AX15"/>
  <c r="AY15"/>
  <c r="AZ15"/>
  <c r="AQ16"/>
  <c r="AR16"/>
  <c r="AS16"/>
  <c r="AT16"/>
  <c r="AU16"/>
  <c r="AV16"/>
  <c r="AW16"/>
  <c r="AX16"/>
  <c r="AY16"/>
  <c r="AZ16"/>
  <c r="AQ17"/>
  <c r="AR17"/>
  <c r="AS17"/>
  <c r="AT17"/>
  <c r="AU17"/>
  <c r="AV17"/>
  <c r="AW17"/>
  <c r="AX17"/>
  <c r="AY17"/>
  <c r="AZ17"/>
  <c r="AQ18"/>
  <c r="AR18"/>
  <c r="AS18"/>
  <c r="AT18"/>
  <c r="AU18"/>
  <c r="AV18"/>
  <c r="AW18"/>
  <c r="AX18"/>
  <c r="AY18"/>
  <c r="AZ18"/>
  <c r="AQ19"/>
  <c r="AR19"/>
  <c r="AS19"/>
  <c r="AT19"/>
  <c r="AU19"/>
  <c r="AV19"/>
  <c r="AW19"/>
  <c r="AX19"/>
  <c r="AY19"/>
  <c r="AZ19"/>
  <c r="AQ20"/>
  <c r="AR20"/>
  <c r="AS20"/>
  <c r="AT20"/>
  <c r="AU20"/>
  <c r="AV20"/>
  <c r="AW20"/>
  <c r="AX20"/>
  <c r="AY20"/>
  <c r="AZ20"/>
  <c r="AQ21"/>
  <c r="AR21"/>
  <c r="AS21"/>
  <c r="AT21"/>
  <c r="AU21"/>
  <c r="AV21"/>
  <c r="AW21"/>
  <c r="AX21"/>
  <c r="AY21"/>
  <c r="AZ21"/>
  <c r="AQ22"/>
  <c r="AR22"/>
  <c r="AS22"/>
  <c r="AT22"/>
  <c r="AU22"/>
  <c r="AV22"/>
  <c r="AW22"/>
  <c r="AX22"/>
  <c r="AY22"/>
  <c r="AZ22"/>
  <c r="AQ23"/>
  <c r="AR23"/>
  <c r="AS23"/>
  <c r="AT23"/>
  <c r="AU23"/>
  <c r="AV23"/>
  <c r="AW23"/>
  <c r="AX23"/>
  <c r="AY23"/>
  <c r="AZ23"/>
  <c r="AQ24"/>
  <c r="AR24"/>
  <c r="AS24"/>
  <c r="AT24"/>
  <c r="AU24"/>
  <c r="AV24"/>
  <c r="AW24"/>
  <c r="AX24"/>
  <c r="AY24"/>
  <c r="AZ24"/>
  <c r="AQ25"/>
  <c r="AR25"/>
  <c r="AS25"/>
  <c r="AT25"/>
  <c r="AU25"/>
  <c r="AV25"/>
  <c r="AW25"/>
  <c r="AX25"/>
  <c r="AY25"/>
  <c r="AZ25"/>
  <c r="AQ26"/>
  <c r="AR26"/>
  <c r="AS26"/>
  <c r="AT26"/>
  <c r="AU26"/>
  <c r="AV26"/>
  <c r="AW26"/>
  <c r="AX26"/>
  <c r="AY26"/>
  <c r="AZ26"/>
  <c r="AQ27"/>
  <c r="AR27"/>
  <c r="AS27"/>
  <c r="AT27"/>
  <c r="AU27"/>
  <c r="AV27"/>
  <c r="AW27"/>
  <c r="AX27"/>
  <c r="AY27"/>
  <c r="AZ27"/>
  <c r="AQ28"/>
  <c r="AR28"/>
  <c r="AS28"/>
  <c r="AT28"/>
  <c r="AU28"/>
  <c r="AV28"/>
  <c r="AW28"/>
  <c r="AX28"/>
  <c r="AY28"/>
  <c r="AZ28"/>
  <c r="AQ29"/>
  <c r="AR29"/>
  <c r="AS29"/>
  <c r="AT29"/>
  <c r="AU29"/>
  <c r="AV29"/>
  <c r="AW29"/>
  <c r="AX29"/>
  <c r="AY29"/>
  <c r="AZ29"/>
  <c r="AQ30"/>
  <c r="AR30"/>
  <c r="AS30"/>
  <c r="AT30"/>
  <c r="AU30"/>
  <c r="AV30"/>
  <c r="AW30"/>
  <c r="AX30"/>
  <c r="AY30"/>
  <c r="AZ30"/>
  <c r="AQ31"/>
  <c r="AR31"/>
  <c r="AS31"/>
  <c r="AT31"/>
  <c r="AU31"/>
  <c r="AV31"/>
  <c r="AW31"/>
  <c r="AX31"/>
  <c r="AY31"/>
  <c r="AZ31"/>
  <c r="AQ32"/>
  <c r="AR32"/>
  <c r="AS32"/>
  <c r="AT32"/>
  <c r="AU32"/>
  <c r="AV32"/>
  <c r="AW32"/>
  <c r="AX32"/>
  <c r="AY32"/>
  <c r="AZ32"/>
  <c r="AQ33"/>
  <c r="AR33"/>
  <c r="AS33"/>
  <c r="AT33"/>
  <c r="AU33"/>
  <c r="AV33"/>
  <c r="AW33"/>
  <c r="AX33"/>
  <c r="AY33"/>
  <c r="AZ33"/>
  <c r="AQ34"/>
  <c r="AR34"/>
  <c r="AS34"/>
  <c r="AT34"/>
  <c r="AU34"/>
  <c r="AV34"/>
  <c r="AW34"/>
  <c r="AX34"/>
  <c r="AY34"/>
  <c r="AZ34"/>
  <c r="AQ35"/>
  <c r="AR35"/>
  <c r="AS35"/>
  <c r="AT35"/>
  <c r="AU35"/>
  <c r="AV35"/>
  <c r="AW35"/>
  <c r="AX35"/>
  <c r="AY35"/>
  <c r="AZ35"/>
  <c r="AQ36"/>
  <c r="AR36"/>
  <c r="AS36"/>
  <c r="AT36"/>
  <c r="AU36"/>
  <c r="AV36"/>
  <c r="AW36"/>
  <c r="AX36"/>
  <c r="AY36"/>
  <c r="AZ36"/>
  <c r="AQ37"/>
  <c r="AR37"/>
  <c r="AS37"/>
  <c r="AT37"/>
  <c r="AU37"/>
  <c r="AV37"/>
  <c r="AW37"/>
  <c r="AX37"/>
  <c r="AY37"/>
  <c r="AZ37"/>
  <c r="AQ38"/>
  <c r="AR38"/>
  <c r="AS38"/>
  <c r="AT38"/>
  <c r="AU38"/>
  <c r="AV38"/>
  <c r="AW38"/>
  <c r="AX38"/>
  <c r="AY38"/>
  <c r="AZ38"/>
  <c r="AQ39"/>
  <c r="AR39"/>
  <c r="AS39"/>
  <c r="AT39"/>
  <c r="AU39"/>
  <c r="AV39"/>
  <c r="AW39"/>
  <c r="AX39"/>
  <c r="AY39"/>
  <c r="AZ39"/>
  <c r="AQ40"/>
  <c r="AR40"/>
  <c r="AS40"/>
  <c r="AT40"/>
  <c r="AU40"/>
  <c r="AV40"/>
  <c r="AW40"/>
  <c r="AX40"/>
  <c r="AY40"/>
  <c r="AZ40"/>
  <c r="AQ41"/>
  <c r="AR41"/>
  <c r="AS41"/>
  <c r="AT41"/>
  <c r="AU41"/>
  <c r="AV41"/>
  <c r="AW41"/>
  <c r="AX41"/>
  <c r="AY41"/>
  <c r="AZ41"/>
  <c r="AQ42"/>
  <c r="AR42"/>
  <c r="AS42"/>
  <c r="AT42"/>
  <c r="AU42"/>
  <c r="AV42"/>
  <c r="AW42"/>
  <c r="AX42"/>
  <c r="AY42"/>
  <c r="AZ42"/>
  <c r="AQ43"/>
  <c r="AR43"/>
  <c r="AS43"/>
  <c r="AT43"/>
  <c r="AU43"/>
  <c r="AV43"/>
  <c r="AW43"/>
  <c r="AX43"/>
  <c r="AY43"/>
  <c r="AZ43"/>
  <c r="AQ44"/>
  <c r="AR44"/>
  <c r="AS44"/>
  <c r="AT44"/>
  <c r="AU44"/>
  <c r="AV44"/>
  <c r="AW44"/>
  <c r="AX44"/>
  <c r="AY44"/>
  <c r="AZ44"/>
  <c r="AQ45"/>
  <c r="AR45"/>
  <c r="AS45"/>
  <c r="AT45"/>
  <c r="AU45"/>
  <c r="AV45"/>
  <c r="AW45"/>
  <c r="AX45"/>
  <c r="AY45"/>
  <c r="AZ45"/>
  <c r="AQ46"/>
  <c r="AR46"/>
  <c r="AS46"/>
  <c r="AT46"/>
  <c r="AU46"/>
  <c r="AV46"/>
  <c r="AW46"/>
  <c r="AX46"/>
  <c r="AY46"/>
  <c r="AZ46"/>
  <c r="AQ47"/>
  <c r="AR47"/>
  <c r="AS47"/>
  <c r="AT47"/>
  <c r="AU47"/>
  <c r="AV47"/>
  <c r="AW47"/>
  <c r="AX47"/>
  <c r="AY47"/>
  <c r="AZ47"/>
  <c r="AQ48"/>
  <c r="AR48"/>
  <c r="AS48"/>
  <c r="AT48"/>
  <c r="AU48"/>
  <c r="AV48"/>
  <c r="AW48"/>
  <c r="AX48"/>
  <c r="AY48"/>
  <c r="AZ48"/>
  <c r="AQ49"/>
  <c r="AR49"/>
  <c r="AS49"/>
  <c r="AT49"/>
  <c r="AU49"/>
  <c r="AV49"/>
  <c r="AW49"/>
  <c r="AX49"/>
  <c r="AY49"/>
  <c r="AZ49"/>
  <c r="AQ50"/>
  <c r="AR50"/>
  <c r="AS50"/>
  <c r="AT50"/>
  <c r="AU50"/>
  <c r="AV50"/>
  <c r="AW50"/>
  <c r="AX50"/>
  <c r="AY50"/>
  <c r="AZ50"/>
  <c r="AQ51"/>
  <c r="AR51"/>
  <c r="AS51"/>
  <c r="AT51"/>
  <c r="AU51"/>
  <c r="AV51"/>
  <c r="AW51"/>
  <c r="AX51"/>
  <c r="AY51"/>
  <c r="AZ51"/>
  <c r="AQ52"/>
  <c r="AR52"/>
  <c r="AS52"/>
  <c r="AT52"/>
  <c r="AU52"/>
  <c r="AV52"/>
  <c r="AW52"/>
  <c r="AX52"/>
  <c r="AY52"/>
  <c r="AZ52"/>
  <c r="AQ53"/>
  <c r="AR53"/>
  <c r="AS53"/>
  <c r="AT53"/>
  <c r="AU53"/>
  <c r="AV53"/>
  <c r="AW53"/>
  <c r="AX53"/>
  <c r="AY53"/>
  <c r="AZ53"/>
  <c r="AQ54"/>
  <c r="AR54"/>
  <c r="AS54"/>
  <c r="AT54"/>
  <c r="AU54"/>
  <c r="AV54"/>
  <c r="AW54"/>
  <c r="AX54"/>
  <c r="AY54"/>
  <c r="AZ54"/>
  <c r="AQ55"/>
  <c r="AR55"/>
  <c r="AS55"/>
  <c r="AT55"/>
  <c r="AU55"/>
  <c r="AV55"/>
  <c r="AW55"/>
  <c r="AX55"/>
  <c r="AY55"/>
  <c r="AZ55"/>
  <c r="AQ56"/>
  <c r="AR56"/>
  <c r="AS56"/>
  <c r="AT56"/>
  <c r="AU56"/>
  <c r="AV56"/>
  <c r="AW56"/>
  <c r="AX56"/>
  <c r="AY56"/>
  <c r="AZ56"/>
  <c r="AQ57"/>
  <c r="AR57"/>
  <c r="AS57"/>
  <c r="AT57"/>
  <c r="AU57"/>
  <c r="AV57"/>
  <c r="AW57"/>
  <c r="AX57"/>
  <c r="AY57"/>
  <c r="AZ57"/>
  <c r="AQ58"/>
  <c r="AR58"/>
  <c r="AS58"/>
  <c r="AT58"/>
  <c r="AU58"/>
  <c r="AV58"/>
  <c r="AW58"/>
  <c r="AX58"/>
  <c r="AY58"/>
  <c r="AZ58"/>
  <c r="AQ59"/>
  <c r="AR59"/>
  <c r="AS59"/>
  <c r="AT59"/>
  <c r="AU59"/>
  <c r="AV59"/>
  <c r="AW59"/>
  <c r="AX59"/>
  <c r="AY59"/>
  <c r="AZ59"/>
  <c r="AR11"/>
  <c r="AS11"/>
  <c r="AT11"/>
  <c r="AU11"/>
  <c r="AV11"/>
  <c r="AW11"/>
  <c r="AX11"/>
  <c r="AY11"/>
  <c r="AZ11"/>
  <c r="AQ11"/>
  <c r="AG12"/>
  <c r="AH12"/>
  <c r="AI12"/>
  <c r="AJ12"/>
  <c r="AK12"/>
  <c r="AL12"/>
  <c r="AM12"/>
  <c r="AN12"/>
  <c r="AO12"/>
  <c r="AP12"/>
  <c r="AG13"/>
  <c r="AH13"/>
  <c r="AI13"/>
  <c r="AJ13"/>
  <c r="AK13"/>
  <c r="AL13"/>
  <c r="AM13"/>
  <c r="AN13"/>
  <c r="AO13"/>
  <c r="AP13"/>
  <c r="AG14"/>
  <c r="AH14"/>
  <c r="AI14"/>
  <c r="AJ14"/>
  <c r="AK14"/>
  <c r="AL14"/>
  <c r="AM14"/>
  <c r="AN14"/>
  <c r="AO14"/>
  <c r="AP14"/>
  <c r="AG15"/>
  <c r="AH15"/>
  <c r="AI15"/>
  <c r="AJ15"/>
  <c r="AK15"/>
  <c r="AL15"/>
  <c r="AM15"/>
  <c r="AN15"/>
  <c r="AO15"/>
  <c r="AP15"/>
  <c r="AG16"/>
  <c r="AH16"/>
  <c r="AI16"/>
  <c r="AJ16"/>
  <c r="AK16"/>
  <c r="AL16"/>
  <c r="AM16"/>
  <c r="AN16"/>
  <c r="AO16"/>
  <c r="AP16"/>
  <c r="AG17"/>
  <c r="AH17"/>
  <c r="AI17"/>
  <c r="AJ17"/>
  <c r="AK17"/>
  <c r="AL17"/>
  <c r="AM17"/>
  <c r="AN17"/>
  <c r="AO17"/>
  <c r="AP17"/>
  <c r="AG18"/>
  <c r="AH18"/>
  <c r="AI18"/>
  <c r="AJ18"/>
  <c r="AK18"/>
  <c r="AL18"/>
  <c r="AM18"/>
  <c r="AN18"/>
  <c r="AO18"/>
  <c r="AP18"/>
  <c r="AG19"/>
  <c r="AH19"/>
  <c r="AI19"/>
  <c r="AJ19"/>
  <c r="AK19"/>
  <c r="AL19"/>
  <c r="AM19"/>
  <c r="AN19"/>
  <c r="AO19"/>
  <c r="AP19"/>
  <c r="AG20"/>
  <c r="AH20"/>
  <c r="AI20"/>
  <c r="AJ20"/>
  <c r="AK20"/>
  <c r="AL20"/>
  <c r="AM20"/>
  <c r="AN20"/>
  <c r="AO20"/>
  <c r="AP20"/>
  <c r="AG21"/>
  <c r="AH21"/>
  <c r="AI21"/>
  <c r="AJ21"/>
  <c r="AK21"/>
  <c r="AL21"/>
  <c r="AM21"/>
  <c r="AN21"/>
  <c r="AO21"/>
  <c r="AP21"/>
  <c r="AG22"/>
  <c r="AH22"/>
  <c r="AI22"/>
  <c r="AJ22"/>
  <c r="AK22"/>
  <c r="AL22"/>
  <c r="AM22"/>
  <c r="AN22"/>
  <c r="AO22"/>
  <c r="AP22"/>
  <c r="AG23"/>
  <c r="AH23"/>
  <c r="AI23"/>
  <c r="AJ23"/>
  <c r="AK23"/>
  <c r="AL23"/>
  <c r="AM23"/>
  <c r="AN23"/>
  <c r="AO23"/>
  <c r="AP23"/>
  <c r="AG24"/>
  <c r="AH24"/>
  <c r="AI24"/>
  <c r="AJ24"/>
  <c r="AK24"/>
  <c r="AL24"/>
  <c r="AM24"/>
  <c r="AN24"/>
  <c r="AO24"/>
  <c r="AP24"/>
  <c r="AG25"/>
  <c r="AH25"/>
  <c r="AI25"/>
  <c r="AJ25"/>
  <c r="AK25"/>
  <c r="AL25"/>
  <c r="AM25"/>
  <c r="AN25"/>
  <c r="AO25"/>
  <c r="AP25"/>
  <c r="AG26"/>
  <c r="AH26"/>
  <c r="AI26"/>
  <c r="AJ26"/>
  <c r="AK26"/>
  <c r="AL26"/>
  <c r="AM26"/>
  <c r="AN26"/>
  <c r="AO26"/>
  <c r="AP26"/>
  <c r="AG27"/>
  <c r="AH27"/>
  <c r="AI27"/>
  <c r="AJ27"/>
  <c r="AK27"/>
  <c r="AL27"/>
  <c r="AM27"/>
  <c r="AN27"/>
  <c r="AO27"/>
  <c r="AP27"/>
  <c r="AG28"/>
  <c r="AH28"/>
  <c r="AI28"/>
  <c r="AJ28"/>
  <c r="AK28"/>
  <c r="AL28"/>
  <c r="AM28"/>
  <c r="AN28"/>
  <c r="AO28"/>
  <c r="AP28"/>
  <c r="AG29"/>
  <c r="AH29"/>
  <c r="AI29"/>
  <c r="AJ29"/>
  <c r="AK29"/>
  <c r="AL29"/>
  <c r="AM29"/>
  <c r="AN29"/>
  <c r="AO29"/>
  <c r="AP29"/>
  <c r="AG30"/>
  <c r="AH30"/>
  <c r="AI30"/>
  <c r="AJ30"/>
  <c r="AK30"/>
  <c r="AL30"/>
  <c r="AM30"/>
  <c r="AN30"/>
  <c r="AO30"/>
  <c r="AP30"/>
  <c r="AG31"/>
  <c r="AH31"/>
  <c r="AI31"/>
  <c r="AJ31"/>
  <c r="AK31"/>
  <c r="AL31"/>
  <c r="AM31"/>
  <c r="AN31"/>
  <c r="AO31"/>
  <c r="AP31"/>
  <c r="AG32"/>
  <c r="AH32"/>
  <c r="AI32"/>
  <c r="AJ32"/>
  <c r="AK32"/>
  <c r="AL32"/>
  <c r="AM32"/>
  <c r="AN32"/>
  <c r="AO32"/>
  <c r="AP32"/>
  <c r="AG33"/>
  <c r="AH33"/>
  <c r="AI33"/>
  <c r="AJ33"/>
  <c r="AK33"/>
  <c r="AL33"/>
  <c r="AM33"/>
  <c r="AN33"/>
  <c r="AO33"/>
  <c r="AP33"/>
  <c r="AG34"/>
  <c r="AH34"/>
  <c r="AI34"/>
  <c r="AJ34"/>
  <c r="AK34"/>
  <c r="AL34"/>
  <c r="AM34"/>
  <c r="AN34"/>
  <c r="AO34"/>
  <c r="AP34"/>
  <c r="AG35"/>
  <c r="AH35"/>
  <c r="AI35"/>
  <c r="AJ35"/>
  <c r="AK35"/>
  <c r="AL35"/>
  <c r="AM35"/>
  <c r="AN35"/>
  <c r="AO35"/>
  <c r="AP35"/>
  <c r="AG36"/>
  <c r="AH36"/>
  <c r="AI36"/>
  <c r="AJ36"/>
  <c r="AK36"/>
  <c r="AL36"/>
  <c r="AM36"/>
  <c r="AN36"/>
  <c r="AO36"/>
  <c r="AP36"/>
  <c r="AG37"/>
  <c r="AH37"/>
  <c r="AI37"/>
  <c r="AJ37"/>
  <c r="AK37"/>
  <c r="AL37"/>
  <c r="AM37"/>
  <c r="AN37"/>
  <c r="AO37"/>
  <c r="AP37"/>
  <c r="AG38"/>
  <c r="AH38"/>
  <c r="AI38"/>
  <c r="AJ38"/>
  <c r="AK38"/>
  <c r="AL38"/>
  <c r="AM38"/>
  <c r="AN38"/>
  <c r="AO38"/>
  <c r="AP38"/>
  <c r="AG39"/>
  <c r="AH39"/>
  <c r="AI39"/>
  <c r="AJ39"/>
  <c r="AK39"/>
  <c r="AL39"/>
  <c r="AM39"/>
  <c r="AN39"/>
  <c r="AO39"/>
  <c r="AP39"/>
  <c r="AG40"/>
  <c r="AH40"/>
  <c r="AI40"/>
  <c r="AJ40"/>
  <c r="AK40"/>
  <c r="AL40"/>
  <c r="AM40"/>
  <c r="AN40"/>
  <c r="AO40"/>
  <c r="AP40"/>
  <c r="AG41"/>
  <c r="AH41"/>
  <c r="AI41"/>
  <c r="AJ41"/>
  <c r="AK41"/>
  <c r="AL41"/>
  <c r="AM41"/>
  <c r="AN41"/>
  <c r="AO41"/>
  <c r="AP41"/>
  <c r="AG42"/>
  <c r="AH42"/>
  <c r="AI42"/>
  <c r="AJ42"/>
  <c r="AK42"/>
  <c r="AL42"/>
  <c r="AM42"/>
  <c r="AN42"/>
  <c r="AO42"/>
  <c r="AP42"/>
  <c r="AG43"/>
  <c r="AH43"/>
  <c r="AI43"/>
  <c r="AJ43"/>
  <c r="AK43"/>
  <c r="AL43"/>
  <c r="AM43"/>
  <c r="AN43"/>
  <c r="AO43"/>
  <c r="AP43"/>
  <c r="AG44"/>
  <c r="AH44"/>
  <c r="AI44"/>
  <c r="AJ44"/>
  <c r="AK44"/>
  <c r="AL44"/>
  <c r="AM44"/>
  <c r="AN44"/>
  <c r="AO44"/>
  <c r="AP44"/>
  <c r="AG45"/>
  <c r="AH45"/>
  <c r="AI45"/>
  <c r="AJ45"/>
  <c r="AK45"/>
  <c r="AL45"/>
  <c r="AM45"/>
  <c r="AN45"/>
  <c r="AO45"/>
  <c r="AP45"/>
  <c r="AG46"/>
  <c r="AH46"/>
  <c r="AI46"/>
  <c r="AJ46"/>
  <c r="AK46"/>
  <c r="AL46"/>
  <c r="AM46"/>
  <c r="AN46"/>
  <c r="AO46"/>
  <c r="AP46"/>
  <c r="AG47"/>
  <c r="AH47"/>
  <c r="AI47"/>
  <c r="AJ47"/>
  <c r="AK47"/>
  <c r="AL47"/>
  <c r="AM47"/>
  <c r="AN47"/>
  <c r="AO47"/>
  <c r="AP47"/>
  <c r="AG48"/>
  <c r="AH48"/>
  <c r="AI48"/>
  <c r="AJ48"/>
  <c r="AK48"/>
  <c r="AL48"/>
  <c r="AM48"/>
  <c r="AN48"/>
  <c r="AO48"/>
  <c r="AP48"/>
  <c r="AG49"/>
  <c r="AH49"/>
  <c r="AI49"/>
  <c r="AJ49"/>
  <c r="AK49"/>
  <c r="AL49"/>
  <c r="AM49"/>
  <c r="AN49"/>
  <c r="AO49"/>
  <c r="AP49"/>
  <c r="AG50"/>
  <c r="AH50"/>
  <c r="AI50"/>
  <c r="AJ50"/>
  <c r="AK50"/>
  <c r="AL50"/>
  <c r="AM50"/>
  <c r="AN50"/>
  <c r="AO50"/>
  <c r="AP50"/>
  <c r="AG51"/>
  <c r="AH51"/>
  <c r="AI51"/>
  <c r="AJ51"/>
  <c r="AK51"/>
  <c r="AL51"/>
  <c r="AM51"/>
  <c r="AN51"/>
  <c r="AO51"/>
  <c r="AP51"/>
  <c r="AG52"/>
  <c r="AH52"/>
  <c r="AI52"/>
  <c r="AJ52"/>
  <c r="AK52"/>
  <c r="AL52"/>
  <c r="AM52"/>
  <c r="AN52"/>
  <c r="AO52"/>
  <c r="AP52"/>
  <c r="AG53"/>
  <c r="AH53"/>
  <c r="AI53"/>
  <c r="AJ53"/>
  <c r="AK53"/>
  <c r="AL53"/>
  <c r="AM53"/>
  <c r="AN53"/>
  <c r="AO53"/>
  <c r="AP53"/>
  <c r="AG54"/>
  <c r="AH54"/>
  <c r="AI54"/>
  <c r="AJ54"/>
  <c r="AK54"/>
  <c r="AL54"/>
  <c r="AM54"/>
  <c r="AN54"/>
  <c r="AO54"/>
  <c r="AP54"/>
  <c r="AG55"/>
  <c r="AH55"/>
  <c r="AI55"/>
  <c r="AJ55"/>
  <c r="AK55"/>
  <c r="AL55"/>
  <c r="AM55"/>
  <c r="AN55"/>
  <c r="AO55"/>
  <c r="AP55"/>
  <c r="AG56"/>
  <c r="AH56"/>
  <c r="AI56"/>
  <c r="AJ56"/>
  <c r="AK56"/>
  <c r="AL56"/>
  <c r="AM56"/>
  <c r="AN56"/>
  <c r="AO56"/>
  <c r="AP56"/>
  <c r="AG57"/>
  <c r="AH57"/>
  <c r="AI57"/>
  <c r="AJ57"/>
  <c r="AK57"/>
  <c r="AL57"/>
  <c r="AM57"/>
  <c r="AN57"/>
  <c r="AO57"/>
  <c r="AP57"/>
  <c r="AG58"/>
  <c r="AH58"/>
  <c r="AI58"/>
  <c r="AJ58"/>
  <c r="AK58"/>
  <c r="AL58"/>
  <c r="AM58"/>
  <c r="AN58"/>
  <c r="AO58"/>
  <c r="AP58"/>
  <c r="AG59"/>
  <c r="AH59"/>
  <c r="AI59"/>
  <c r="AJ59"/>
  <c r="AK59"/>
  <c r="AL59"/>
  <c r="AM59"/>
  <c r="AN59"/>
  <c r="AO59"/>
  <c r="AP59"/>
  <c r="AH11"/>
  <c r="AI11"/>
  <c r="AJ11"/>
  <c r="AK11"/>
  <c r="AL11"/>
  <c r="AM11"/>
  <c r="AN11"/>
  <c r="AO11"/>
  <c r="AP11"/>
  <c r="AG11"/>
  <c r="W12"/>
  <c r="X12"/>
  <c r="Y12"/>
  <c r="Z12"/>
  <c r="AA12"/>
  <c r="AB12"/>
  <c r="AC12"/>
  <c r="AD12"/>
  <c r="AE12"/>
  <c r="AF12"/>
  <c r="W13"/>
  <c r="X13"/>
  <c r="Y13"/>
  <c r="Z13"/>
  <c r="AA13"/>
  <c r="AB13"/>
  <c r="AC13"/>
  <c r="AD13"/>
  <c r="AE13"/>
  <c r="AF13"/>
  <c r="W14"/>
  <c r="X14"/>
  <c r="Y14"/>
  <c r="Z14"/>
  <c r="AA14"/>
  <c r="AB14"/>
  <c r="AC14"/>
  <c r="AD14"/>
  <c r="AE14"/>
  <c r="AF14"/>
  <c r="W15"/>
  <c r="X15"/>
  <c r="Y15"/>
  <c r="Z15"/>
  <c r="AA15"/>
  <c r="AB15"/>
  <c r="AC15"/>
  <c r="AD15"/>
  <c r="AE15"/>
  <c r="AF15"/>
  <c r="W16"/>
  <c r="X16"/>
  <c r="Y16"/>
  <c r="Z16"/>
  <c r="AA16"/>
  <c r="AB16"/>
  <c r="AC16"/>
  <c r="AD16"/>
  <c r="AE16"/>
  <c r="AF16"/>
  <c r="W17"/>
  <c r="X17"/>
  <c r="Y17"/>
  <c r="Z17"/>
  <c r="AA17"/>
  <c r="AB17"/>
  <c r="AC17"/>
  <c r="AD17"/>
  <c r="AE17"/>
  <c r="AF17"/>
  <c r="W18"/>
  <c r="X18"/>
  <c r="Y18"/>
  <c r="Z18"/>
  <c r="AA18"/>
  <c r="AB18"/>
  <c r="AC18"/>
  <c r="AD18"/>
  <c r="AE18"/>
  <c r="AF18"/>
  <c r="W19"/>
  <c r="X19"/>
  <c r="Y19"/>
  <c r="Z19"/>
  <c r="AA19"/>
  <c r="AB19"/>
  <c r="AC19"/>
  <c r="AD19"/>
  <c r="AE19"/>
  <c r="AF19"/>
  <c r="W20"/>
  <c r="X20"/>
  <c r="Y20"/>
  <c r="Z20"/>
  <c r="AA20"/>
  <c r="AB20"/>
  <c r="AC20"/>
  <c r="AD20"/>
  <c r="AE20"/>
  <c r="AF20"/>
  <c r="W21"/>
  <c r="X21"/>
  <c r="Y21"/>
  <c r="Z21"/>
  <c r="AA21"/>
  <c r="AB21"/>
  <c r="AC21"/>
  <c r="AD21"/>
  <c r="AE21"/>
  <c r="AF21"/>
  <c r="W22"/>
  <c r="X22"/>
  <c r="Y22"/>
  <c r="Z22"/>
  <c r="AA22"/>
  <c r="AB22"/>
  <c r="AC22"/>
  <c r="AD22"/>
  <c r="AE22"/>
  <c r="AF22"/>
  <c r="W23"/>
  <c r="X23"/>
  <c r="Y23"/>
  <c r="Z23"/>
  <c r="AA23"/>
  <c r="AB23"/>
  <c r="AC23"/>
  <c r="AD23"/>
  <c r="AE23"/>
  <c r="AF23"/>
  <c r="W24"/>
  <c r="X24"/>
  <c r="Y24"/>
  <c r="Z24"/>
  <c r="AA24"/>
  <c r="AB24"/>
  <c r="AC24"/>
  <c r="AD24"/>
  <c r="AE24"/>
  <c r="AF24"/>
  <c r="W25"/>
  <c r="X25"/>
  <c r="Y25"/>
  <c r="Z25"/>
  <c r="AA25"/>
  <c r="AB25"/>
  <c r="AC25"/>
  <c r="AD25"/>
  <c r="AE25"/>
  <c r="AF25"/>
  <c r="W26"/>
  <c r="X26"/>
  <c r="Y26"/>
  <c r="Z26"/>
  <c r="AA26"/>
  <c r="AB26"/>
  <c r="AC26"/>
  <c r="AD26"/>
  <c r="AE26"/>
  <c r="AF26"/>
  <c r="W27"/>
  <c r="X27"/>
  <c r="Y27"/>
  <c r="Z27"/>
  <c r="AA27"/>
  <c r="AB27"/>
  <c r="AC27"/>
  <c r="AD27"/>
  <c r="AE27"/>
  <c r="AF27"/>
  <c r="W28"/>
  <c r="X28"/>
  <c r="Y28"/>
  <c r="Z28"/>
  <c r="AA28"/>
  <c r="AB28"/>
  <c r="AC28"/>
  <c r="AD28"/>
  <c r="AE28"/>
  <c r="AF28"/>
  <c r="W29"/>
  <c r="X29"/>
  <c r="Y29"/>
  <c r="Z29"/>
  <c r="AA29"/>
  <c r="AB29"/>
  <c r="AC29"/>
  <c r="AD29"/>
  <c r="AE29"/>
  <c r="AF29"/>
  <c r="W30"/>
  <c r="X30"/>
  <c r="Y30"/>
  <c r="Z30"/>
  <c r="AA30"/>
  <c r="AB30"/>
  <c r="AC30"/>
  <c r="AD30"/>
  <c r="AE30"/>
  <c r="AF30"/>
  <c r="W31"/>
  <c r="X31"/>
  <c r="Y31"/>
  <c r="Z31"/>
  <c r="AA31"/>
  <c r="AB31"/>
  <c r="AC31"/>
  <c r="AD31"/>
  <c r="AE31"/>
  <c r="AF31"/>
  <c r="W32"/>
  <c r="X32"/>
  <c r="Y32"/>
  <c r="Z32"/>
  <c r="AA32"/>
  <c r="AB32"/>
  <c r="AC32"/>
  <c r="AD32"/>
  <c r="AE32"/>
  <c r="AF32"/>
  <c r="W33"/>
  <c r="X33"/>
  <c r="Y33"/>
  <c r="Z33"/>
  <c r="AA33"/>
  <c r="AB33"/>
  <c r="AC33"/>
  <c r="AD33"/>
  <c r="AE33"/>
  <c r="AF33"/>
  <c r="W34"/>
  <c r="X34"/>
  <c r="Y34"/>
  <c r="Z34"/>
  <c r="AA34"/>
  <c r="AB34"/>
  <c r="AC34"/>
  <c r="AD34"/>
  <c r="AE34"/>
  <c r="AF34"/>
  <c r="W35"/>
  <c r="X35"/>
  <c r="Y35"/>
  <c r="Z35"/>
  <c r="AA35"/>
  <c r="AB35"/>
  <c r="AC35"/>
  <c r="AD35"/>
  <c r="AE35"/>
  <c r="AF35"/>
  <c r="W36"/>
  <c r="X36"/>
  <c r="Y36"/>
  <c r="Z36"/>
  <c r="AA36"/>
  <c r="AB36"/>
  <c r="AC36"/>
  <c r="AD36"/>
  <c r="AE36"/>
  <c r="AF36"/>
  <c r="W37"/>
  <c r="X37"/>
  <c r="Y37"/>
  <c r="Z37"/>
  <c r="AA37"/>
  <c r="AB37"/>
  <c r="AC37"/>
  <c r="AD37"/>
  <c r="AE37"/>
  <c r="AF37"/>
  <c r="W38"/>
  <c r="X38"/>
  <c r="Y38"/>
  <c r="Z38"/>
  <c r="AA38"/>
  <c r="AB38"/>
  <c r="AC38"/>
  <c r="AD38"/>
  <c r="AE38"/>
  <c r="AF38"/>
  <c r="W39"/>
  <c r="X39"/>
  <c r="Y39"/>
  <c r="Z39"/>
  <c r="AA39"/>
  <c r="AB39"/>
  <c r="AC39"/>
  <c r="AD39"/>
  <c r="AE39"/>
  <c r="AF39"/>
  <c r="W40"/>
  <c r="X40"/>
  <c r="Y40"/>
  <c r="Z40"/>
  <c r="AA40"/>
  <c r="AB40"/>
  <c r="AC40"/>
  <c r="AD40"/>
  <c r="AE40"/>
  <c r="AF40"/>
  <c r="W41"/>
  <c r="X41"/>
  <c r="Y41"/>
  <c r="Z41"/>
  <c r="AA41"/>
  <c r="AB41"/>
  <c r="AC41"/>
  <c r="AD41"/>
  <c r="AE41"/>
  <c r="AF41"/>
  <c r="W42"/>
  <c r="X42"/>
  <c r="Y42"/>
  <c r="Z42"/>
  <c r="AA42"/>
  <c r="AB42"/>
  <c r="AC42"/>
  <c r="AD42"/>
  <c r="AE42"/>
  <c r="AF42"/>
  <c r="W43"/>
  <c r="X43"/>
  <c r="Y43"/>
  <c r="Z43"/>
  <c r="AA43"/>
  <c r="AB43"/>
  <c r="AC43"/>
  <c r="AD43"/>
  <c r="AE43"/>
  <c r="AF43"/>
  <c r="W44"/>
  <c r="X44"/>
  <c r="Y44"/>
  <c r="Z44"/>
  <c r="AA44"/>
  <c r="AB44"/>
  <c r="AC44"/>
  <c r="AD44"/>
  <c r="AE44"/>
  <c r="AF44"/>
  <c r="W45"/>
  <c r="X45"/>
  <c r="Y45"/>
  <c r="Z45"/>
  <c r="AA45"/>
  <c r="AB45"/>
  <c r="AC45"/>
  <c r="AD45"/>
  <c r="AE45"/>
  <c r="AF45"/>
  <c r="W46"/>
  <c r="X46"/>
  <c r="Y46"/>
  <c r="Z46"/>
  <c r="AA46"/>
  <c r="AB46"/>
  <c r="AC46"/>
  <c r="AD46"/>
  <c r="AE46"/>
  <c r="AF46"/>
  <c r="W47"/>
  <c r="X47"/>
  <c r="Y47"/>
  <c r="Z47"/>
  <c r="AA47"/>
  <c r="AB47"/>
  <c r="AC47"/>
  <c r="AD47"/>
  <c r="AE47"/>
  <c r="AF47"/>
  <c r="W48"/>
  <c r="X48"/>
  <c r="Y48"/>
  <c r="Z48"/>
  <c r="AA48"/>
  <c r="AB48"/>
  <c r="AC48"/>
  <c r="AD48"/>
  <c r="AE48"/>
  <c r="AF48"/>
  <c r="W49"/>
  <c r="X49"/>
  <c r="Y49"/>
  <c r="Z49"/>
  <c r="AA49"/>
  <c r="AB49"/>
  <c r="AC49"/>
  <c r="AD49"/>
  <c r="AE49"/>
  <c r="AF49"/>
  <c r="W50"/>
  <c r="X50"/>
  <c r="Y50"/>
  <c r="Z50"/>
  <c r="AA50"/>
  <c r="AB50"/>
  <c r="AC50"/>
  <c r="AD50"/>
  <c r="AE50"/>
  <c r="AF50"/>
  <c r="W51"/>
  <c r="X51"/>
  <c r="Y51"/>
  <c r="Z51"/>
  <c r="AA51"/>
  <c r="AB51"/>
  <c r="AC51"/>
  <c r="AD51"/>
  <c r="AE51"/>
  <c r="AF51"/>
  <c r="W52"/>
  <c r="X52"/>
  <c r="Y52"/>
  <c r="Z52"/>
  <c r="AA52"/>
  <c r="AB52"/>
  <c r="AC52"/>
  <c r="AD52"/>
  <c r="AE52"/>
  <c r="AF52"/>
  <c r="W53"/>
  <c r="X53"/>
  <c r="Y53"/>
  <c r="Z53"/>
  <c r="AA53"/>
  <c r="AB53"/>
  <c r="AC53"/>
  <c r="AD53"/>
  <c r="AE53"/>
  <c r="AF53"/>
  <c r="W54"/>
  <c r="X54"/>
  <c r="Y54"/>
  <c r="Z54"/>
  <c r="AA54"/>
  <c r="AB54"/>
  <c r="AC54"/>
  <c r="AD54"/>
  <c r="AE54"/>
  <c r="AF54"/>
  <c r="W55"/>
  <c r="X55"/>
  <c r="Y55"/>
  <c r="Z55"/>
  <c r="AA55"/>
  <c r="AB55"/>
  <c r="AC55"/>
  <c r="AD55"/>
  <c r="AE55"/>
  <c r="AF55"/>
  <c r="W56"/>
  <c r="X56"/>
  <c r="Y56"/>
  <c r="Z56"/>
  <c r="AA56"/>
  <c r="AB56"/>
  <c r="AC56"/>
  <c r="AD56"/>
  <c r="AE56"/>
  <c r="AF56"/>
  <c r="W57"/>
  <c r="X57"/>
  <c r="Y57"/>
  <c r="Z57"/>
  <c r="AA57"/>
  <c r="AB57"/>
  <c r="AC57"/>
  <c r="AD57"/>
  <c r="AE57"/>
  <c r="AF57"/>
  <c r="W58"/>
  <c r="X58"/>
  <c r="Y58"/>
  <c r="Z58"/>
  <c r="AA58"/>
  <c r="AB58"/>
  <c r="AC58"/>
  <c r="AD58"/>
  <c r="AE58"/>
  <c r="AF58"/>
  <c r="W59"/>
  <c r="X59"/>
  <c r="Y59"/>
  <c r="Z59"/>
  <c r="AA59"/>
  <c r="AB59"/>
  <c r="AC59"/>
  <c r="AD59"/>
  <c r="AE59"/>
  <c r="AF59"/>
  <c r="X11"/>
  <c r="Y11"/>
  <c r="Z11"/>
  <c r="AA11"/>
  <c r="AB11"/>
  <c r="AC11"/>
  <c r="AD11"/>
  <c r="AE11"/>
  <c r="AF11"/>
  <c r="W11"/>
  <c r="M12"/>
  <c r="N12"/>
  <c r="EX12" s="1"/>
  <c r="O12"/>
  <c r="P12"/>
  <c r="Q12"/>
  <c r="R12"/>
  <c r="S12"/>
  <c r="T12"/>
  <c r="U12"/>
  <c r="V12"/>
  <c r="M13"/>
  <c r="N13"/>
  <c r="O13"/>
  <c r="P13"/>
  <c r="Q13"/>
  <c r="R13"/>
  <c r="S13"/>
  <c r="T13"/>
  <c r="U13"/>
  <c r="V13"/>
  <c r="M14"/>
  <c r="N14"/>
  <c r="EX14" s="1"/>
  <c r="O14"/>
  <c r="P14"/>
  <c r="Q14"/>
  <c r="R14"/>
  <c r="S14"/>
  <c r="T14"/>
  <c r="U14"/>
  <c r="V14"/>
  <c r="M15"/>
  <c r="N15"/>
  <c r="O15"/>
  <c r="P15"/>
  <c r="Q15"/>
  <c r="R15"/>
  <c r="S15"/>
  <c r="T15"/>
  <c r="U15"/>
  <c r="V15"/>
  <c r="M16"/>
  <c r="N16"/>
  <c r="O16"/>
  <c r="P16"/>
  <c r="Q16"/>
  <c r="R16"/>
  <c r="S16"/>
  <c r="T16"/>
  <c r="U16"/>
  <c r="V16"/>
  <c r="M17"/>
  <c r="N17"/>
  <c r="O17"/>
  <c r="P17"/>
  <c r="Q17"/>
  <c r="R17"/>
  <c r="S17"/>
  <c r="T17"/>
  <c r="U17"/>
  <c r="V17"/>
  <c r="M18"/>
  <c r="N18"/>
  <c r="O18"/>
  <c r="P18"/>
  <c r="Q18"/>
  <c r="R18"/>
  <c r="S18"/>
  <c r="T18"/>
  <c r="U18"/>
  <c r="V18"/>
  <c r="M19"/>
  <c r="N19"/>
  <c r="O19"/>
  <c r="P19"/>
  <c r="Q19"/>
  <c r="R19"/>
  <c r="S19"/>
  <c r="T19"/>
  <c r="U19"/>
  <c r="V19"/>
  <c r="M20"/>
  <c r="N20"/>
  <c r="O20"/>
  <c r="P20"/>
  <c r="Q20"/>
  <c r="R20"/>
  <c r="S20"/>
  <c r="T20"/>
  <c r="U20"/>
  <c r="V20"/>
  <c r="M21"/>
  <c r="N21"/>
  <c r="O21"/>
  <c r="P21"/>
  <c r="Q21"/>
  <c r="R21"/>
  <c r="S21"/>
  <c r="T21"/>
  <c r="U21"/>
  <c r="V21"/>
  <c r="M22"/>
  <c r="N22"/>
  <c r="EX22" s="1"/>
  <c r="O22"/>
  <c r="P22"/>
  <c r="Q22"/>
  <c r="R22"/>
  <c r="S22"/>
  <c r="T22"/>
  <c r="U22"/>
  <c r="V22"/>
  <c r="M23"/>
  <c r="N23"/>
  <c r="EX23" s="1"/>
  <c r="O23"/>
  <c r="P23"/>
  <c r="Q23"/>
  <c r="R23"/>
  <c r="S23"/>
  <c r="T23"/>
  <c r="U23"/>
  <c r="V23"/>
  <c r="M24"/>
  <c r="N24"/>
  <c r="EX24" s="1"/>
  <c r="O24"/>
  <c r="P24"/>
  <c r="Q24"/>
  <c r="R24"/>
  <c r="S24"/>
  <c r="T24"/>
  <c r="U24"/>
  <c r="V24"/>
  <c r="M25"/>
  <c r="N25"/>
  <c r="O25"/>
  <c r="P25"/>
  <c r="Q25"/>
  <c r="R25"/>
  <c r="S25"/>
  <c r="T25"/>
  <c r="U25"/>
  <c r="V25"/>
  <c r="M26"/>
  <c r="N26"/>
  <c r="EX26" s="1"/>
  <c r="O26"/>
  <c r="P26"/>
  <c r="Q26"/>
  <c r="R26"/>
  <c r="S26"/>
  <c r="T26"/>
  <c r="U26"/>
  <c r="V26"/>
  <c r="M27"/>
  <c r="N27"/>
  <c r="EX27" s="1"/>
  <c r="O27"/>
  <c r="P27"/>
  <c r="Q27"/>
  <c r="R27"/>
  <c r="S27"/>
  <c r="T27"/>
  <c r="U27"/>
  <c r="V27"/>
  <c r="M28"/>
  <c r="N28"/>
  <c r="EX28" s="1"/>
  <c r="O28"/>
  <c r="P28"/>
  <c r="Q28"/>
  <c r="R28"/>
  <c r="S28"/>
  <c r="T28"/>
  <c r="U28"/>
  <c r="V28"/>
  <c r="M29"/>
  <c r="N29"/>
  <c r="O29"/>
  <c r="P29"/>
  <c r="Q29"/>
  <c r="R29"/>
  <c r="S29"/>
  <c r="T29"/>
  <c r="U29"/>
  <c r="V29"/>
  <c r="M30"/>
  <c r="N30"/>
  <c r="EX30" s="1"/>
  <c r="O30"/>
  <c r="P30"/>
  <c r="Q30"/>
  <c r="R30"/>
  <c r="S30"/>
  <c r="T30"/>
  <c r="U30"/>
  <c r="V30"/>
  <c r="M31"/>
  <c r="N31"/>
  <c r="O31"/>
  <c r="P31"/>
  <c r="Q31"/>
  <c r="R31"/>
  <c r="S31"/>
  <c r="T31"/>
  <c r="U31"/>
  <c r="V31"/>
  <c r="M32"/>
  <c r="N32"/>
  <c r="EX32" s="1"/>
  <c r="O32"/>
  <c r="P32"/>
  <c r="Q32"/>
  <c r="R32"/>
  <c r="S32"/>
  <c r="T32"/>
  <c r="U32"/>
  <c r="V32"/>
  <c r="M33"/>
  <c r="N33"/>
  <c r="EX33" s="1"/>
  <c r="O33"/>
  <c r="P33"/>
  <c r="Q33"/>
  <c r="R33"/>
  <c r="S33"/>
  <c r="T33"/>
  <c r="U33"/>
  <c r="V33"/>
  <c r="M34"/>
  <c r="N34"/>
  <c r="EX34" s="1"/>
  <c r="O34"/>
  <c r="P34"/>
  <c r="Q34"/>
  <c r="R34"/>
  <c r="S34"/>
  <c r="T34"/>
  <c r="U34"/>
  <c r="V34"/>
  <c r="M35"/>
  <c r="N35"/>
  <c r="O35"/>
  <c r="P35"/>
  <c r="Q35"/>
  <c r="R35"/>
  <c r="S35"/>
  <c r="T35"/>
  <c r="U35"/>
  <c r="V35"/>
  <c r="M36"/>
  <c r="N36"/>
  <c r="EX36" s="1"/>
  <c r="O36"/>
  <c r="P36"/>
  <c r="Q36"/>
  <c r="R36"/>
  <c r="S36"/>
  <c r="T36"/>
  <c r="U36"/>
  <c r="V36"/>
  <c r="M37"/>
  <c r="N37"/>
  <c r="O37"/>
  <c r="P37"/>
  <c r="Q37"/>
  <c r="R37"/>
  <c r="S37"/>
  <c r="T37"/>
  <c r="U37"/>
  <c r="V37"/>
  <c r="M38"/>
  <c r="N38"/>
  <c r="EX38" s="1"/>
  <c r="O38"/>
  <c r="P38"/>
  <c r="Q38"/>
  <c r="R38"/>
  <c r="S38"/>
  <c r="T38"/>
  <c r="U38"/>
  <c r="V38"/>
  <c r="M39"/>
  <c r="N39"/>
  <c r="O39"/>
  <c r="P39"/>
  <c r="Q39"/>
  <c r="R39"/>
  <c r="S39"/>
  <c r="T39"/>
  <c r="U39"/>
  <c r="V39"/>
  <c r="M40"/>
  <c r="N40"/>
  <c r="EX40" s="1"/>
  <c r="O40"/>
  <c r="P40"/>
  <c r="Q40"/>
  <c r="R40"/>
  <c r="S40"/>
  <c r="T40"/>
  <c r="U40"/>
  <c r="V40"/>
  <c r="M41"/>
  <c r="N41"/>
  <c r="EX41" s="1"/>
  <c r="O41"/>
  <c r="P41"/>
  <c r="Q41"/>
  <c r="R41"/>
  <c r="S41"/>
  <c r="T41"/>
  <c r="U41"/>
  <c r="V41"/>
  <c r="M42"/>
  <c r="N42"/>
  <c r="EX42" s="1"/>
  <c r="O42"/>
  <c r="P42"/>
  <c r="Q42"/>
  <c r="R42"/>
  <c r="S42"/>
  <c r="T42"/>
  <c r="U42"/>
  <c r="V42"/>
  <c r="M43"/>
  <c r="N43"/>
  <c r="O43"/>
  <c r="P43"/>
  <c r="Q43"/>
  <c r="R43"/>
  <c r="S43"/>
  <c r="T43"/>
  <c r="U43"/>
  <c r="V43"/>
  <c r="M44"/>
  <c r="N44"/>
  <c r="EX44" s="1"/>
  <c r="O44"/>
  <c r="P44"/>
  <c r="Q44"/>
  <c r="R44"/>
  <c r="S44"/>
  <c r="T44"/>
  <c r="U44"/>
  <c r="V44"/>
  <c r="M45"/>
  <c r="N45"/>
  <c r="EX45" s="1"/>
  <c r="O45"/>
  <c r="P45"/>
  <c r="Q45"/>
  <c r="R45"/>
  <c r="S45"/>
  <c r="T45"/>
  <c r="U45"/>
  <c r="V45"/>
  <c r="M46"/>
  <c r="N46"/>
  <c r="EX46" s="1"/>
  <c r="O46"/>
  <c r="P46"/>
  <c r="Q46"/>
  <c r="R46"/>
  <c r="S46"/>
  <c r="T46"/>
  <c r="U46"/>
  <c r="V46"/>
  <c r="M47"/>
  <c r="N47"/>
  <c r="O47"/>
  <c r="P47"/>
  <c r="Q47"/>
  <c r="R47"/>
  <c r="S47"/>
  <c r="T47"/>
  <c r="U47"/>
  <c r="V47"/>
  <c r="M48"/>
  <c r="N48"/>
  <c r="EX48" s="1"/>
  <c r="O48"/>
  <c r="P48"/>
  <c r="Q48"/>
  <c r="R48"/>
  <c r="S48"/>
  <c r="T48"/>
  <c r="U48"/>
  <c r="V48"/>
  <c r="M49"/>
  <c r="N49"/>
  <c r="EX49" s="1"/>
  <c r="O49"/>
  <c r="P49"/>
  <c r="Q49"/>
  <c r="R49"/>
  <c r="S49"/>
  <c r="T49"/>
  <c r="U49"/>
  <c r="V49"/>
  <c r="M50"/>
  <c r="N50"/>
  <c r="EX50" s="1"/>
  <c r="O50"/>
  <c r="P50"/>
  <c r="Q50"/>
  <c r="R50"/>
  <c r="S50"/>
  <c r="T50"/>
  <c r="U50"/>
  <c r="V50"/>
  <c r="M51"/>
  <c r="N51"/>
  <c r="EX51" s="1"/>
  <c r="O51"/>
  <c r="P51"/>
  <c r="Q51"/>
  <c r="R51"/>
  <c r="S51"/>
  <c r="T51"/>
  <c r="U51"/>
  <c r="V51"/>
  <c r="M52"/>
  <c r="N52"/>
  <c r="EX52" s="1"/>
  <c r="O52"/>
  <c r="P52"/>
  <c r="Q52"/>
  <c r="R52"/>
  <c r="S52"/>
  <c r="T52"/>
  <c r="U52"/>
  <c r="V52"/>
  <c r="M53"/>
  <c r="N53"/>
  <c r="EX53" s="1"/>
  <c r="O53"/>
  <c r="P53"/>
  <c r="Q53"/>
  <c r="R53"/>
  <c r="S53"/>
  <c r="T53"/>
  <c r="U53"/>
  <c r="V53"/>
  <c r="M54"/>
  <c r="N54"/>
  <c r="EX54" s="1"/>
  <c r="O54"/>
  <c r="P54"/>
  <c r="Q54"/>
  <c r="R54"/>
  <c r="S54"/>
  <c r="T54"/>
  <c r="U54"/>
  <c r="V54"/>
  <c r="M55"/>
  <c r="N55"/>
  <c r="EX55" s="1"/>
  <c r="O55"/>
  <c r="P55"/>
  <c r="Q55"/>
  <c r="R55"/>
  <c r="S55"/>
  <c r="T55"/>
  <c r="U55"/>
  <c r="V55"/>
  <c r="M56"/>
  <c r="N56"/>
  <c r="EX56" s="1"/>
  <c r="O56"/>
  <c r="P56"/>
  <c r="Q56"/>
  <c r="R56"/>
  <c r="S56"/>
  <c r="T56"/>
  <c r="U56"/>
  <c r="V56"/>
  <c r="M57"/>
  <c r="N57"/>
  <c r="EX57" s="1"/>
  <c r="O57"/>
  <c r="P57"/>
  <c r="Q57"/>
  <c r="R57"/>
  <c r="S57"/>
  <c r="T57"/>
  <c r="U57"/>
  <c r="V57"/>
  <c r="M58"/>
  <c r="N58"/>
  <c r="EX58" s="1"/>
  <c r="O58"/>
  <c r="P58"/>
  <c r="Q58"/>
  <c r="R58"/>
  <c r="S58"/>
  <c r="T58"/>
  <c r="U58"/>
  <c r="V58"/>
  <c r="M59"/>
  <c r="N59"/>
  <c r="O59"/>
  <c r="P59"/>
  <c r="Q59"/>
  <c r="R59"/>
  <c r="S59"/>
  <c r="T59"/>
  <c r="U59"/>
  <c r="V59"/>
  <c r="N11"/>
  <c r="EX11" s="1"/>
  <c r="O11"/>
  <c r="P11"/>
  <c r="Q11"/>
  <c r="R11"/>
  <c r="S11"/>
  <c r="T11"/>
  <c r="U11"/>
  <c r="V11"/>
  <c r="M11"/>
  <c r="C12"/>
  <c r="D12"/>
  <c r="E12"/>
  <c r="F12"/>
  <c r="G12"/>
  <c r="H12"/>
  <c r="FB12" s="1"/>
  <c r="FL12" s="1"/>
  <c r="I12"/>
  <c r="J12"/>
  <c r="K12"/>
  <c r="L12"/>
  <c r="C13"/>
  <c r="D13"/>
  <c r="E13"/>
  <c r="F13"/>
  <c r="EZ13" s="1"/>
  <c r="FJ13" s="1"/>
  <c r="G13"/>
  <c r="H13"/>
  <c r="FB13" s="1"/>
  <c r="FL13" s="1"/>
  <c r="I13"/>
  <c r="J13"/>
  <c r="FD13" s="1"/>
  <c r="FN13" s="1"/>
  <c r="K13"/>
  <c r="L13"/>
  <c r="C14"/>
  <c r="D14"/>
  <c r="E14"/>
  <c r="F14"/>
  <c r="G14"/>
  <c r="H14"/>
  <c r="FB14" s="1"/>
  <c r="FL14" s="1"/>
  <c r="I14"/>
  <c r="J14"/>
  <c r="K14"/>
  <c r="L14"/>
  <c r="C15"/>
  <c r="EW15" s="1"/>
  <c r="FG15" s="1"/>
  <c r="D15"/>
  <c r="E15"/>
  <c r="F15"/>
  <c r="EZ15" s="1"/>
  <c r="FJ15" s="1"/>
  <c r="G15"/>
  <c r="FA15" s="1"/>
  <c r="FK15" s="1"/>
  <c r="H15"/>
  <c r="I15"/>
  <c r="J15"/>
  <c r="FD15" s="1"/>
  <c r="FN15" s="1"/>
  <c r="K15"/>
  <c r="FE15" s="1"/>
  <c r="FO15" s="1"/>
  <c r="L15"/>
  <c r="C16"/>
  <c r="D16"/>
  <c r="E16"/>
  <c r="F16"/>
  <c r="EZ16" s="1"/>
  <c r="FJ16" s="1"/>
  <c r="G16"/>
  <c r="H16"/>
  <c r="I16"/>
  <c r="J16"/>
  <c r="FD16" s="1"/>
  <c r="FN16" s="1"/>
  <c r="K16"/>
  <c r="L16"/>
  <c r="C17"/>
  <c r="D17"/>
  <c r="E17"/>
  <c r="F17"/>
  <c r="EZ17" s="1"/>
  <c r="FJ17" s="1"/>
  <c r="G17"/>
  <c r="H17"/>
  <c r="I17"/>
  <c r="J17"/>
  <c r="FD17" s="1"/>
  <c r="FN17" s="1"/>
  <c r="K17"/>
  <c r="L17"/>
  <c r="C18"/>
  <c r="D18"/>
  <c r="E18"/>
  <c r="F18"/>
  <c r="EZ18" s="1"/>
  <c r="FJ18" s="1"/>
  <c r="G18"/>
  <c r="H18"/>
  <c r="I18"/>
  <c r="J18"/>
  <c r="FD18" s="1"/>
  <c r="FN18" s="1"/>
  <c r="K18"/>
  <c r="L18"/>
  <c r="C19"/>
  <c r="D19"/>
  <c r="E19"/>
  <c r="F19"/>
  <c r="EZ19" s="1"/>
  <c r="FJ19" s="1"/>
  <c r="G19"/>
  <c r="H19"/>
  <c r="I19"/>
  <c r="J19"/>
  <c r="FD19" s="1"/>
  <c r="FN19" s="1"/>
  <c r="K19"/>
  <c r="L19"/>
  <c r="C20"/>
  <c r="D20"/>
  <c r="E20"/>
  <c r="F20"/>
  <c r="EZ20" s="1"/>
  <c r="FJ20" s="1"/>
  <c r="G20"/>
  <c r="H20"/>
  <c r="I20"/>
  <c r="J20"/>
  <c r="FD20" s="1"/>
  <c r="FN20" s="1"/>
  <c r="K20"/>
  <c r="L20"/>
  <c r="C21"/>
  <c r="D21"/>
  <c r="E21"/>
  <c r="F21"/>
  <c r="EZ21" s="1"/>
  <c r="FJ21" s="1"/>
  <c r="G21"/>
  <c r="H21"/>
  <c r="I21"/>
  <c r="J21"/>
  <c r="FD21" s="1"/>
  <c r="FN21" s="1"/>
  <c r="K21"/>
  <c r="L21"/>
  <c r="C22"/>
  <c r="D22"/>
  <c r="E22"/>
  <c r="F22"/>
  <c r="EZ22" s="1"/>
  <c r="FJ22" s="1"/>
  <c r="G22"/>
  <c r="H22"/>
  <c r="I22"/>
  <c r="J22"/>
  <c r="FD22" s="1"/>
  <c r="FN22" s="1"/>
  <c r="K22"/>
  <c r="L22"/>
  <c r="C23"/>
  <c r="EW23" s="1"/>
  <c r="FG23" s="1"/>
  <c r="D23"/>
  <c r="E23"/>
  <c r="F23"/>
  <c r="EZ23" s="1"/>
  <c r="FJ23" s="1"/>
  <c r="G23"/>
  <c r="H23"/>
  <c r="FB23" s="1"/>
  <c r="FL23" s="1"/>
  <c r="I23"/>
  <c r="J23"/>
  <c r="FD23" s="1"/>
  <c r="FN23" s="1"/>
  <c r="K23"/>
  <c r="FE23" s="1"/>
  <c r="FO23" s="1"/>
  <c r="L23"/>
  <c r="C24"/>
  <c r="D24"/>
  <c r="E24"/>
  <c r="F24"/>
  <c r="G24"/>
  <c r="H24"/>
  <c r="FB24" s="1"/>
  <c r="FL24" s="1"/>
  <c r="I24"/>
  <c r="J24"/>
  <c r="FD24" s="1"/>
  <c r="FN24" s="1"/>
  <c r="K24"/>
  <c r="L24"/>
  <c r="C25"/>
  <c r="D25"/>
  <c r="E25"/>
  <c r="F25"/>
  <c r="EZ25" s="1"/>
  <c r="FJ25" s="1"/>
  <c r="G25"/>
  <c r="H25"/>
  <c r="FB25" s="1"/>
  <c r="FL25" s="1"/>
  <c r="I25"/>
  <c r="J25"/>
  <c r="FD25" s="1"/>
  <c r="FN25" s="1"/>
  <c r="K25"/>
  <c r="L25"/>
  <c r="C26"/>
  <c r="D26"/>
  <c r="E26"/>
  <c r="F26"/>
  <c r="G26"/>
  <c r="H26"/>
  <c r="FB26" s="1"/>
  <c r="FL26" s="1"/>
  <c r="I26"/>
  <c r="J26"/>
  <c r="K26"/>
  <c r="L26"/>
  <c r="C27"/>
  <c r="D27"/>
  <c r="E27"/>
  <c r="F27"/>
  <c r="EZ27" s="1"/>
  <c r="FJ27" s="1"/>
  <c r="G27"/>
  <c r="H27"/>
  <c r="FB27" s="1"/>
  <c r="FL27" s="1"/>
  <c r="I27"/>
  <c r="J27"/>
  <c r="FD27" s="1"/>
  <c r="FN27" s="1"/>
  <c r="K27"/>
  <c r="L27"/>
  <c r="C28"/>
  <c r="D28"/>
  <c r="E28"/>
  <c r="F28"/>
  <c r="EZ28" s="1"/>
  <c r="FJ28" s="1"/>
  <c r="G28"/>
  <c r="H28"/>
  <c r="FB28" s="1"/>
  <c r="FL28" s="1"/>
  <c r="I28"/>
  <c r="J28"/>
  <c r="FD28" s="1"/>
  <c r="FN28" s="1"/>
  <c r="K28"/>
  <c r="L28"/>
  <c r="C29"/>
  <c r="D29"/>
  <c r="E29"/>
  <c r="F29"/>
  <c r="EZ29" s="1"/>
  <c r="FJ29" s="1"/>
  <c r="G29"/>
  <c r="H29"/>
  <c r="FB29" s="1"/>
  <c r="FL29" s="1"/>
  <c r="I29"/>
  <c r="J29"/>
  <c r="FD29" s="1"/>
  <c r="FN29" s="1"/>
  <c r="K29"/>
  <c r="L29"/>
  <c r="C30"/>
  <c r="D30"/>
  <c r="E30"/>
  <c r="F30"/>
  <c r="G30"/>
  <c r="H30"/>
  <c r="FB30" s="1"/>
  <c r="FL30" s="1"/>
  <c r="I30"/>
  <c r="J30"/>
  <c r="FD30" s="1"/>
  <c r="FN30" s="1"/>
  <c r="K30"/>
  <c r="L30"/>
  <c r="C31"/>
  <c r="D31"/>
  <c r="E31"/>
  <c r="F31"/>
  <c r="EZ31" s="1"/>
  <c r="FJ31" s="1"/>
  <c r="G31"/>
  <c r="H31"/>
  <c r="FB31" s="1"/>
  <c r="FL31" s="1"/>
  <c r="I31"/>
  <c r="J31"/>
  <c r="FD31" s="1"/>
  <c r="FN31" s="1"/>
  <c r="K31"/>
  <c r="L31"/>
  <c r="C32"/>
  <c r="D32"/>
  <c r="E32"/>
  <c r="F32"/>
  <c r="EZ32" s="1"/>
  <c r="FJ32" s="1"/>
  <c r="G32"/>
  <c r="H32"/>
  <c r="FB32" s="1"/>
  <c r="FL32" s="1"/>
  <c r="I32"/>
  <c r="J32"/>
  <c r="FD32" s="1"/>
  <c r="FN32" s="1"/>
  <c r="K32"/>
  <c r="L32"/>
  <c r="C33"/>
  <c r="D33"/>
  <c r="E33"/>
  <c r="F33"/>
  <c r="EZ33" s="1"/>
  <c r="FJ33" s="1"/>
  <c r="G33"/>
  <c r="H33"/>
  <c r="FB33" s="1"/>
  <c r="FL33" s="1"/>
  <c r="I33"/>
  <c r="J33"/>
  <c r="FD33" s="1"/>
  <c r="FN33" s="1"/>
  <c r="K33"/>
  <c r="L33"/>
  <c r="C34"/>
  <c r="D34"/>
  <c r="E34"/>
  <c r="F34"/>
  <c r="EZ34" s="1"/>
  <c r="FJ34" s="1"/>
  <c r="G34"/>
  <c r="H34"/>
  <c r="FB34" s="1"/>
  <c r="FL34" s="1"/>
  <c r="I34"/>
  <c r="J34"/>
  <c r="FD34" s="1"/>
  <c r="FN34" s="1"/>
  <c r="K34"/>
  <c r="L34"/>
  <c r="C35"/>
  <c r="D35"/>
  <c r="E35"/>
  <c r="F35"/>
  <c r="EZ35" s="1"/>
  <c r="FJ35" s="1"/>
  <c r="G35"/>
  <c r="H35"/>
  <c r="FB35" s="1"/>
  <c r="FL35" s="1"/>
  <c r="I35"/>
  <c r="J35"/>
  <c r="FD35" s="1"/>
  <c r="FN35" s="1"/>
  <c r="K35"/>
  <c r="L35"/>
  <c r="C36"/>
  <c r="D36"/>
  <c r="E36"/>
  <c r="F36"/>
  <c r="EZ36" s="1"/>
  <c r="FJ36" s="1"/>
  <c r="G36"/>
  <c r="H36"/>
  <c r="FB36" s="1"/>
  <c r="FL36" s="1"/>
  <c r="I36"/>
  <c r="J36"/>
  <c r="FD36" s="1"/>
  <c r="FN36" s="1"/>
  <c r="K36"/>
  <c r="L36"/>
  <c r="C37"/>
  <c r="D37"/>
  <c r="E37"/>
  <c r="F37"/>
  <c r="EZ37" s="1"/>
  <c r="FJ37" s="1"/>
  <c r="G37"/>
  <c r="H37"/>
  <c r="I37"/>
  <c r="J37"/>
  <c r="FD37" s="1"/>
  <c r="FN37" s="1"/>
  <c r="K37"/>
  <c r="L37"/>
  <c r="C38"/>
  <c r="D38"/>
  <c r="E38"/>
  <c r="F38"/>
  <c r="EZ38" s="1"/>
  <c r="FJ38" s="1"/>
  <c r="G38"/>
  <c r="H38"/>
  <c r="FB38" s="1"/>
  <c r="FL38" s="1"/>
  <c r="I38"/>
  <c r="J38"/>
  <c r="FD38" s="1"/>
  <c r="FN38" s="1"/>
  <c r="K38"/>
  <c r="L38"/>
  <c r="C39"/>
  <c r="D39"/>
  <c r="E39"/>
  <c r="F39"/>
  <c r="G39"/>
  <c r="H39"/>
  <c r="FB39" s="1"/>
  <c r="FL39" s="1"/>
  <c r="I39"/>
  <c r="J39"/>
  <c r="K39"/>
  <c r="L39"/>
  <c r="C40"/>
  <c r="D40"/>
  <c r="E40"/>
  <c r="F40"/>
  <c r="G40"/>
  <c r="H40"/>
  <c r="I40"/>
  <c r="J40"/>
  <c r="K40"/>
  <c r="L40"/>
  <c r="C41"/>
  <c r="D41"/>
  <c r="E41"/>
  <c r="F41"/>
  <c r="G41"/>
  <c r="H41"/>
  <c r="I41"/>
  <c r="J41"/>
  <c r="K41"/>
  <c r="L41"/>
  <c r="C42"/>
  <c r="D42"/>
  <c r="E42"/>
  <c r="F42"/>
  <c r="G42"/>
  <c r="H42"/>
  <c r="I42"/>
  <c r="J42"/>
  <c r="K42"/>
  <c r="L42"/>
  <c r="C43"/>
  <c r="D43"/>
  <c r="E43"/>
  <c r="F43"/>
  <c r="G43"/>
  <c r="H43"/>
  <c r="I43"/>
  <c r="J43"/>
  <c r="K43"/>
  <c r="L43"/>
  <c r="C44"/>
  <c r="D44"/>
  <c r="E44"/>
  <c r="F44"/>
  <c r="G44"/>
  <c r="H44"/>
  <c r="I44"/>
  <c r="J44"/>
  <c r="K44"/>
  <c r="L44"/>
  <c r="C45"/>
  <c r="D45"/>
  <c r="E45"/>
  <c r="F45"/>
  <c r="G45"/>
  <c r="H45"/>
  <c r="I45"/>
  <c r="J45"/>
  <c r="K45"/>
  <c r="L45"/>
  <c r="C46"/>
  <c r="D46"/>
  <c r="E46"/>
  <c r="F46"/>
  <c r="G46"/>
  <c r="H46"/>
  <c r="I46"/>
  <c r="J46"/>
  <c r="K46"/>
  <c r="L46"/>
  <c r="C47"/>
  <c r="D47"/>
  <c r="E47"/>
  <c r="F47"/>
  <c r="G47"/>
  <c r="H47"/>
  <c r="I47"/>
  <c r="J47"/>
  <c r="K47"/>
  <c r="L47"/>
  <c r="C48"/>
  <c r="D48"/>
  <c r="E48"/>
  <c r="F48"/>
  <c r="G48"/>
  <c r="H48"/>
  <c r="I48"/>
  <c r="J48"/>
  <c r="K48"/>
  <c r="L48"/>
  <c r="C49"/>
  <c r="D49"/>
  <c r="E49"/>
  <c r="F49"/>
  <c r="G49"/>
  <c r="H49"/>
  <c r="I49"/>
  <c r="J49"/>
  <c r="K49"/>
  <c r="L49"/>
  <c r="C50"/>
  <c r="D50"/>
  <c r="E50"/>
  <c r="F50"/>
  <c r="G50"/>
  <c r="H50"/>
  <c r="I50"/>
  <c r="J50"/>
  <c r="K50"/>
  <c r="L50"/>
  <c r="C51"/>
  <c r="D51"/>
  <c r="E51"/>
  <c r="F51"/>
  <c r="G51"/>
  <c r="FA51" s="1"/>
  <c r="FK51" s="1"/>
  <c r="H51"/>
  <c r="I51"/>
  <c r="J51"/>
  <c r="K51"/>
  <c r="L51"/>
  <c r="C52"/>
  <c r="D52"/>
  <c r="E52"/>
  <c r="F52"/>
  <c r="G52"/>
  <c r="H52"/>
  <c r="I52"/>
  <c r="J52"/>
  <c r="FD52" s="1"/>
  <c r="FN52" s="1"/>
  <c r="K52"/>
  <c r="L52"/>
  <c r="C53"/>
  <c r="D53"/>
  <c r="E53"/>
  <c r="F53"/>
  <c r="G53"/>
  <c r="H53"/>
  <c r="I53"/>
  <c r="J53"/>
  <c r="FD53" s="1"/>
  <c r="FN53" s="1"/>
  <c r="K53"/>
  <c r="L53"/>
  <c r="C54"/>
  <c r="D54"/>
  <c r="E54"/>
  <c r="F54"/>
  <c r="G54"/>
  <c r="H54"/>
  <c r="I54"/>
  <c r="J54"/>
  <c r="K54"/>
  <c r="L54"/>
  <c r="C55"/>
  <c r="D55"/>
  <c r="E55"/>
  <c r="F55"/>
  <c r="G55"/>
  <c r="H55"/>
  <c r="I55"/>
  <c r="J55"/>
  <c r="FD55" s="1"/>
  <c r="FN55" s="1"/>
  <c r="K55"/>
  <c r="L55"/>
  <c r="C56"/>
  <c r="D56"/>
  <c r="E56"/>
  <c r="F56"/>
  <c r="G56"/>
  <c r="H56"/>
  <c r="I56"/>
  <c r="J56"/>
  <c r="K56"/>
  <c r="L56"/>
  <c r="C57"/>
  <c r="D57"/>
  <c r="E57"/>
  <c r="F57"/>
  <c r="G57"/>
  <c r="H57"/>
  <c r="I57"/>
  <c r="J57"/>
  <c r="K57"/>
  <c r="L57"/>
  <c r="C58"/>
  <c r="D58"/>
  <c r="E58"/>
  <c r="F58"/>
  <c r="G58"/>
  <c r="H58"/>
  <c r="I58"/>
  <c r="J58"/>
  <c r="K58"/>
  <c r="L58"/>
  <c r="C59"/>
  <c r="D59"/>
  <c r="E59"/>
  <c r="F59"/>
  <c r="G59"/>
  <c r="H59"/>
  <c r="I59"/>
  <c r="J59"/>
  <c r="K59"/>
  <c r="L59"/>
  <c r="D11"/>
  <c r="E11"/>
  <c r="F11"/>
  <c r="G11"/>
  <c r="FA11" s="1"/>
  <c r="FK11" s="1"/>
  <c r="H11"/>
  <c r="I11"/>
  <c r="J11"/>
  <c r="K11"/>
  <c r="FE11" s="1"/>
  <c r="FO11" s="1"/>
  <c r="L11"/>
  <c r="C11"/>
  <c r="EW11" s="1"/>
  <c r="FG11" s="1"/>
  <c r="FE60"/>
  <c r="FO60" s="1"/>
  <c r="FD60"/>
  <c r="FN60" s="1"/>
  <c r="FC60"/>
  <c r="FM60" s="1"/>
  <c r="FB60"/>
  <c r="FL60" s="1"/>
  <c r="FA60"/>
  <c r="FK60" s="1"/>
  <c r="EZ60"/>
  <c r="FJ60" s="1"/>
  <c r="EY60"/>
  <c r="FI60" s="1"/>
  <c r="EX60"/>
  <c r="EW60"/>
  <c r="FG60" s="1"/>
  <c r="FH60" s="1"/>
  <c r="FE59"/>
  <c r="FO59" s="1"/>
  <c r="FD59"/>
  <c r="FN59" s="1"/>
  <c r="FC59"/>
  <c r="FM59" s="1"/>
  <c r="FB59"/>
  <c r="FL59" s="1"/>
  <c r="FA59"/>
  <c r="FK59" s="1"/>
  <c r="EZ59"/>
  <c r="FJ59" s="1"/>
  <c r="EY59"/>
  <c r="EX59"/>
  <c r="EW59"/>
  <c r="FG59" s="1"/>
  <c r="FH59" s="1"/>
  <c r="FD58"/>
  <c r="FN58" s="1"/>
  <c r="FE51"/>
  <c r="FO51" s="1"/>
  <c r="FC51"/>
  <c r="FM51" s="1"/>
  <c r="EY51"/>
  <c r="EW51"/>
  <c r="FG51" s="1"/>
  <c r="FH51" s="1"/>
  <c r="EX47"/>
  <c r="EX43"/>
  <c r="EX39"/>
  <c r="EX37"/>
  <c r="FE35"/>
  <c r="FO35" s="1"/>
  <c r="FC35"/>
  <c r="FM35" s="1"/>
  <c r="FA35"/>
  <c r="FK35" s="1"/>
  <c r="EY35"/>
  <c r="EX35"/>
  <c r="EW35"/>
  <c r="FG35" s="1"/>
  <c r="EX31"/>
  <c r="EX29"/>
  <c r="FD26"/>
  <c r="FN26" s="1"/>
  <c r="EX25"/>
  <c r="FC23"/>
  <c r="FM23" s="1"/>
  <c r="FA23"/>
  <c r="FK23" s="1"/>
  <c r="EY23"/>
  <c r="FB22"/>
  <c r="FL22" s="1"/>
  <c r="EX21"/>
  <c r="EX20"/>
  <c r="EX19"/>
  <c r="EX18"/>
  <c r="EX17"/>
  <c r="EX16"/>
  <c r="FC15"/>
  <c r="FM15" s="1"/>
  <c r="FB15"/>
  <c r="FL15" s="1"/>
  <c r="EY15"/>
  <c r="EX15"/>
  <c r="EZ14"/>
  <c r="FJ14" s="1"/>
  <c r="EX13"/>
  <c r="EZ12"/>
  <c r="FJ12" s="1"/>
  <c r="AX6"/>
  <c r="FF60" l="1"/>
  <c r="FB37"/>
  <c r="FL37" s="1"/>
  <c r="EZ30"/>
  <c r="FJ30" s="1"/>
  <c r="EZ26"/>
  <c r="FJ26" s="1"/>
  <c r="EZ24"/>
  <c r="FJ24" s="1"/>
  <c r="FB21"/>
  <c r="FL21" s="1"/>
  <c r="FB19"/>
  <c r="FL19" s="1"/>
  <c r="FB17"/>
  <c r="FL17" s="1"/>
  <c r="FD14"/>
  <c r="FN14" s="1"/>
  <c r="FD12"/>
  <c r="FN12" s="1"/>
  <c r="FB20"/>
  <c r="FL20" s="1"/>
  <c r="FB18"/>
  <c r="FL18" s="1"/>
  <c r="FB16"/>
  <c r="FL16" s="1"/>
  <c r="FD54"/>
  <c r="FN54" s="1"/>
  <c r="EZ54"/>
  <c r="FJ54" s="1"/>
  <c r="EZ52"/>
  <c r="FJ52" s="1"/>
  <c r="FB49"/>
  <c r="FL49" s="1"/>
  <c r="FB47"/>
  <c r="FL47" s="1"/>
  <c r="FB45"/>
  <c r="FL45" s="1"/>
  <c r="FB43"/>
  <c r="FL43" s="1"/>
  <c r="FB41"/>
  <c r="FL41" s="1"/>
  <c r="FH23"/>
  <c r="FC11"/>
  <c r="FM11" s="1"/>
  <c r="EY11"/>
  <c r="FB56"/>
  <c r="FL56" s="1"/>
  <c r="EZ55"/>
  <c r="FJ55" s="1"/>
  <c r="EZ53"/>
  <c r="FJ53" s="1"/>
  <c r="FB50"/>
  <c r="FL50" s="1"/>
  <c r="FB48"/>
  <c r="FL48" s="1"/>
  <c r="FB46"/>
  <c r="FL46" s="1"/>
  <c r="FB44"/>
  <c r="FL44" s="1"/>
  <c r="FB42"/>
  <c r="FL42" s="1"/>
  <c r="FB40"/>
  <c r="FL40" s="1"/>
  <c r="FH15"/>
  <c r="FH35"/>
  <c r="FB58"/>
  <c r="FL58" s="1"/>
  <c r="EZ58"/>
  <c r="FJ58" s="1"/>
  <c r="FD57"/>
  <c r="FN57" s="1"/>
  <c r="FB57"/>
  <c r="FL57" s="1"/>
  <c r="EZ57"/>
  <c r="FJ57" s="1"/>
  <c r="FD56"/>
  <c r="FN56" s="1"/>
  <c r="EZ56"/>
  <c r="FJ56" s="1"/>
  <c r="FB55"/>
  <c r="FL55" s="1"/>
  <c r="FB54"/>
  <c r="FL54" s="1"/>
  <c r="FB53"/>
  <c r="FL53" s="1"/>
  <c r="FB52"/>
  <c r="FL52" s="1"/>
  <c r="FD51"/>
  <c r="FN51" s="1"/>
  <c r="FB51"/>
  <c r="FL51" s="1"/>
  <c r="EZ51"/>
  <c r="FJ51" s="1"/>
  <c r="FD50"/>
  <c r="FN50" s="1"/>
  <c r="EZ50"/>
  <c r="FJ50" s="1"/>
  <c r="FD49"/>
  <c r="FN49" s="1"/>
  <c r="EZ49"/>
  <c r="FJ49" s="1"/>
  <c r="FD48"/>
  <c r="FN48" s="1"/>
  <c r="EZ48"/>
  <c r="FJ48" s="1"/>
  <c r="FD47"/>
  <c r="FN47" s="1"/>
  <c r="EZ47"/>
  <c r="FJ47" s="1"/>
  <c r="FD46"/>
  <c r="FN46" s="1"/>
  <c r="EZ46"/>
  <c r="FJ46" s="1"/>
  <c r="FD45"/>
  <c r="FN45" s="1"/>
  <c r="EZ45"/>
  <c r="FJ45" s="1"/>
  <c r="FD44"/>
  <c r="FN44" s="1"/>
  <c r="EZ44"/>
  <c r="FJ44" s="1"/>
  <c r="FD43"/>
  <c r="FN43" s="1"/>
  <c r="EZ43"/>
  <c r="FJ43" s="1"/>
  <c r="FD42"/>
  <c r="FN42" s="1"/>
  <c r="EZ42"/>
  <c r="FJ42" s="1"/>
  <c r="FD41"/>
  <c r="FN41" s="1"/>
  <c r="EZ41"/>
  <c r="FJ41" s="1"/>
  <c r="FD40"/>
  <c r="FN40" s="1"/>
  <c r="EZ40"/>
  <c r="FJ40" s="1"/>
  <c r="FD39"/>
  <c r="FN39" s="1"/>
  <c r="EZ39"/>
  <c r="FJ39" s="1"/>
  <c r="FD11"/>
  <c r="FN11" s="1"/>
  <c r="FB11"/>
  <c r="FL11" s="1"/>
  <c r="EZ11"/>
  <c r="FJ11" s="1"/>
  <c r="FE58"/>
  <c r="FO58" s="1"/>
  <c r="FC58"/>
  <c r="FM58" s="1"/>
  <c r="FA58"/>
  <c r="FK58" s="1"/>
  <c r="EY58"/>
  <c r="EW58"/>
  <c r="FG58" s="1"/>
  <c r="FH58" s="1"/>
  <c r="FE57"/>
  <c r="FO57" s="1"/>
  <c r="FC57"/>
  <c r="FM57" s="1"/>
  <c r="FA57"/>
  <c r="FK57" s="1"/>
  <c r="EW57"/>
  <c r="FG57" s="1"/>
  <c r="FH57" s="1"/>
  <c r="FE56"/>
  <c r="FO56" s="1"/>
  <c r="FC56"/>
  <c r="FM56" s="1"/>
  <c r="FA56"/>
  <c r="FK56" s="1"/>
  <c r="EY56"/>
  <c r="EW56"/>
  <c r="FG56" s="1"/>
  <c r="FH56" s="1"/>
  <c r="FE55"/>
  <c r="FO55" s="1"/>
  <c r="FC55"/>
  <c r="FM55" s="1"/>
  <c r="FA55"/>
  <c r="FK55" s="1"/>
  <c r="EY55"/>
  <c r="FF55" s="1"/>
  <c r="EW55"/>
  <c r="FG55" s="1"/>
  <c r="FH55" s="1"/>
  <c r="FE54"/>
  <c r="FO54" s="1"/>
  <c r="FC54"/>
  <c r="FM54" s="1"/>
  <c r="FA54"/>
  <c r="FK54" s="1"/>
  <c r="EY54"/>
  <c r="FF54" s="1"/>
  <c r="EW54"/>
  <c r="FG54" s="1"/>
  <c r="FH54" s="1"/>
  <c r="FE53"/>
  <c r="FO53" s="1"/>
  <c r="FC53"/>
  <c r="FM53" s="1"/>
  <c r="FA53"/>
  <c r="FK53" s="1"/>
  <c r="EY53"/>
  <c r="EW53"/>
  <c r="FG53" s="1"/>
  <c r="FH53" s="1"/>
  <c r="FE52"/>
  <c r="FO52" s="1"/>
  <c r="FC52"/>
  <c r="FM52" s="1"/>
  <c r="FA52"/>
  <c r="FK52" s="1"/>
  <c r="EY52"/>
  <c r="EW52"/>
  <c r="FG52" s="1"/>
  <c r="FH52" s="1"/>
  <c r="FE50"/>
  <c r="FO50" s="1"/>
  <c r="FC50"/>
  <c r="FM50" s="1"/>
  <c r="FA50"/>
  <c r="FK50" s="1"/>
  <c r="EY50"/>
  <c r="FI50" s="1"/>
  <c r="EW50"/>
  <c r="FG50" s="1"/>
  <c r="FH50" s="1"/>
  <c r="FE49"/>
  <c r="FO49" s="1"/>
  <c r="FC49"/>
  <c r="FM49" s="1"/>
  <c r="FA49"/>
  <c r="FK49" s="1"/>
  <c r="EY49"/>
  <c r="FF49" s="1"/>
  <c r="EW49"/>
  <c r="FG49" s="1"/>
  <c r="FH49" s="1"/>
  <c r="FE48"/>
  <c r="FO48" s="1"/>
  <c r="FC48"/>
  <c r="FM48" s="1"/>
  <c r="FA48"/>
  <c r="FK48" s="1"/>
  <c r="EY48"/>
  <c r="EW48"/>
  <c r="FG48" s="1"/>
  <c r="FH48" s="1"/>
  <c r="FE47"/>
  <c r="FO47" s="1"/>
  <c r="FC47"/>
  <c r="FM47" s="1"/>
  <c r="FA47"/>
  <c r="FK47" s="1"/>
  <c r="EY47"/>
  <c r="EW47"/>
  <c r="FG47" s="1"/>
  <c r="FH47" s="1"/>
  <c r="FE46"/>
  <c r="FO46" s="1"/>
  <c r="FC46"/>
  <c r="FM46" s="1"/>
  <c r="FA46"/>
  <c r="FK46" s="1"/>
  <c r="EY46"/>
  <c r="FI46" s="1"/>
  <c r="EW46"/>
  <c r="FG46" s="1"/>
  <c r="FH46" s="1"/>
  <c r="FE45"/>
  <c r="FO45" s="1"/>
  <c r="FC45"/>
  <c r="FM45" s="1"/>
  <c r="FA45"/>
  <c r="FK45" s="1"/>
  <c r="EY45"/>
  <c r="FI45" s="1"/>
  <c r="EW45"/>
  <c r="FG45" s="1"/>
  <c r="FH45" s="1"/>
  <c r="FE44"/>
  <c r="FO44" s="1"/>
  <c r="FC44"/>
  <c r="FM44" s="1"/>
  <c r="FA44"/>
  <c r="FK44" s="1"/>
  <c r="EY44"/>
  <c r="EW44"/>
  <c r="FG44" s="1"/>
  <c r="FH44" s="1"/>
  <c r="FE42"/>
  <c r="FO42" s="1"/>
  <c r="FC42"/>
  <c r="FM42" s="1"/>
  <c r="FA42"/>
  <c r="FK42" s="1"/>
  <c r="EY42"/>
  <c r="FI42" s="1"/>
  <c r="EW42"/>
  <c r="FG42" s="1"/>
  <c r="FH42" s="1"/>
  <c r="FE41"/>
  <c r="FO41" s="1"/>
  <c r="FC41"/>
  <c r="FM41" s="1"/>
  <c r="FA41"/>
  <c r="FK41" s="1"/>
  <c r="EY41"/>
  <c r="FF41" s="1"/>
  <c r="EW41"/>
  <c r="FG41" s="1"/>
  <c r="FH41" s="1"/>
  <c r="FE40"/>
  <c r="FO40" s="1"/>
  <c r="FC40"/>
  <c r="FM40" s="1"/>
  <c r="FA40"/>
  <c r="FK40" s="1"/>
  <c r="EY40"/>
  <c r="FI40" s="1"/>
  <c r="EW40"/>
  <c r="FG40" s="1"/>
  <c r="FH40" s="1"/>
  <c r="FE39"/>
  <c r="FO39" s="1"/>
  <c r="FC39"/>
  <c r="FM39" s="1"/>
  <c r="FA39"/>
  <c r="FK39" s="1"/>
  <c r="EY39"/>
  <c r="EW39"/>
  <c r="FG39" s="1"/>
  <c r="FH39" s="1"/>
  <c r="FE38"/>
  <c r="FO38" s="1"/>
  <c r="FC38"/>
  <c r="FM38" s="1"/>
  <c r="FA38"/>
  <c r="FK38" s="1"/>
  <c r="EY38"/>
  <c r="FI38" s="1"/>
  <c r="EW38"/>
  <c r="FG38" s="1"/>
  <c r="FH38" s="1"/>
  <c r="FE37"/>
  <c r="FO37" s="1"/>
  <c r="FC37"/>
  <c r="FM37" s="1"/>
  <c r="FA37"/>
  <c r="FK37" s="1"/>
  <c r="EY37"/>
  <c r="FI37" s="1"/>
  <c r="EW37"/>
  <c r="FG37" s="1"/>
  <c r="FH37" s="1"/>
  <c r="FE36"/>
  <c r="FO36" s="1"/>
  <c r="FC36"/>
  <c r="FM36" s="1"/>
  <c r="FA36"/>
  <c r="FK36" s="1"/>
  <c r="EY36"/>
  <c r="FF36" s="1"/>
  <c r="EW36"/>
  <c r="FG36" s="1"/>
  <c r="FH36" s="1"/>
  <c r="FE34"/>
  <c r="FO34" s="1"/>
  <c r="FC34"/>
  <c r="FM34" s="1"/>
  <c r="FA34"/>
  <c r="FK34" s="1"/>
  <c r="EY34"/>
  <c r="EW34"/>
  <c r="FG34" s="1"/>
  <c r="FH34" s="1"/>
  <c r="FE33"/>
  <c r="FO33" s="1"/>
  <c r="FC33"/>
  <c r="FM33" s="1"/>
  <c r="FA33"/>
  <c r="FK33" s="1"/>
  <c r="EY33"/>
  <c r="FI33" s="1"/>
  <c r="EW33"/>
  <c r="FG33" s="1"/>
  <c r="FH33" s="1"/>
  <c r="FE32"/>
  <c r="FO32" s="1"/>
  <c r="FC32"/>
  <c r="FM32" s="1"/>
  <c r="FA32"/>
  <c r="FK32" s="1"/>
  <c r="EY32"/>
  <c r="FI32" s="1"/>
  <c r="EW32"/>
  <c r="FG32" s="1"/>
  <c r="FH32" s="1"/>
  <c r="FE31"/>
  <c r="FO31" s="1"/>
  <c r="FC31"/>
  <c r="FM31" s="1"/>
  <c r="FA31"/>
  <c r="FK31" s="1"/>
  <c r="EY31"/>
  <c r="FI31" s="1"/>
  <c r="EW31"/>
  <c r="FG31" s="1"/>
  <c r="FH31" s="1"/>
  <c r="FE30"/>
  <c r="FO30" s="1"/>
  <c r="FC30"/>
  <c r="FM30" s="1"/>
  <c r="FA30"/>
  <c r="FK30" s="1"/>
  <c r="EY30"/>
  <c r="EW30"/>
  <c r="FG30" s="1"/>
  <c r="FH30" s="1"/>
  <c r="FE29"/>
  <c r="FO29" s="1"/>
  <c r="FC29"/>
  <c r="FM29" s="1"/>
  <c r="FA29"/>
  <c r="FK29" s="1"/>
  <c r="EY29"/>
  <c r="FI29" s="1"/>
  <c r="EW29"/>
  <c r="FG29" s="1"/>
  <c r="FH29" s="1"/>
  <c r="FE28"/>
  <c r="FO28" s="1"/>
  <c r="FC28"/>
  <c r="FM28" s="1"/>
  <c r="FA28"/>
  <c r="FK28" s="1"/>
  <c r="EY28"/>
  <c r="FF28" s="1"/>
  <c r="EW28"/>
  <c r="FG28" s="1"/>
  <c r="FH28" s="1"/>
  <c r="FE26"/>
  <c r="FO26" s="1"/>
  <c r="FC26"/>
  <c r="FM26" s="1"/>
  <c r="FA26"/>
  <c r="FK26" s="1"/>
  <c r="EY26"/>
  <c r="FI26" s="1"/>
  <c r="EW26"/>
  <c r="FG26" s="1"/>
  <c r="FH26" s="1"/>
  <c r="FE25"/>
  <c r="FO25" s="1"/>
  <c r="FC25"/>
  <c r="FM25" s="1"/>
  <c r="FA25"/>
  <c r="FK25" s="1"/>
  <c r="EY25"/>
  <c r="EW25"/>
  <c r="FG25" s="1"/>
  <c r="FE24"/>
  <c r="FO24" s="1"/>
  <c r="FC24"/>
  <c r="FM24" s="1"/>
  <c r="FA24"/>
  <c r="FK24" s="1"/>
  <c r="EY24"/>
  <c r="FI24" s="1"/>
  <c r="EW24"/>
  <c r="FG24" s="1"/>
  <c r="FH24" s="1"/>
  <c r="FE22"/>
  <c r="FO22" s="1"/>
  <c r="FC22"/>
  <c r="FM22" s="1"/>
  <c r="FA22"/>
  <c r="FK22" s="1"/>
  <c r="EY22"/>
  <c r="FF22" s="1"/>
  <c r="EW22"/>
  <c r="FG22" s="1"/>
  <c r="FH22" s="1"/>
  <c r="FE21"/>
  <c r="FO21" s="1"/>
  <c r="FC21"/>
  <c r="FM21" s="1"/>
  <c r="FA21"/>
  <c r="FK21" s="1"/>
  <c r="EY21"/>
  <c r="FI21" s="1"/>
  <c r="EW21"/>
  <c r="FG21" s="1"/>
  <c r="FE20"/>
  <c r="FO20" s="1"/>
  <c r="FC20"/>
  <c r="FM20" s="1"/>
  <c r="FA20"/>
  <c r="FK20" s="1"/>
  <c r="EY20"/>
  <c r="EW20"/>
  <c r="FG20" s="1"/>
  <c r="FH20" s="1"/>
  <c r="FE18"/>
  <c r="FO18" s="1"/>
  <c r="FC18"/>
  <c r="FM18" s="1"/>
  <c r="FA18"/>
  <c r="FK18" s="1"/>
  <c r="EY18"/>
  <c r="FI18" s="1"/>
  <c r="EW18"/>
  <c r="FG18" s="1"/>
  <c r="FH18" s="1"/>
  <c r="FE17"/>
  <c r="FO17" s="1"/>
  <c r="FC17"/>
  <c r="FM17" s="1"/>
  <c r="FA17"/>
  <c r="FK17" s="1"/>
  <c r="EY17"/>
  <c r="FF17" s="1"/>
  <c r="EW17"/>
  <c r="FG17" s="1"/>
  <c r="FE16"/>
  <c r="FO16" s="1"/>
  <c r="FC16"/>
  <c r="FM16" s="1"/>
  <c r="FA16"/>
  <c r="FK16" s="1"/>
  <c r="EY16"/>
  <c r="FI16" s="1"/>
  <c r="EW16"/>
  <c r="FG16" s="1"/>
  <c r="FH16" s="1"/>
  <c r="FE14"/>
  <c r="FO14" s="1"/>
  <c r="FC14"/>
  <c r="FM14" s="1"/>
  <c r="FA14"/>
  <c r="FK14" s="1"/>
  <c r="EY14"/>
  <c r="EW14"/>
  <c r="FG14" s="1"/>
  <c r="FH14" s="1"/>
  <c r="FE12"/>
  <c r="FO12" s="1"/>
  <c r="FC12"/>
  <c r="FM12" s="1"/>
  <c r="FA12"/>
  <c r="FK12" s="1"/>
  <c r="EY12"/>
  <c r="FI12" s="1"/>
  <c r="EW12"/>
  <c r="FG12" s="1"/>
  <c r="FH12" s="1"/>
  <c r="EY57"/>
  <c r="FI57" s="1"/>
  <c r="FE43"/>
  <c r="FO43" s="1"/>
  <c r="FC43"/>
  <c r="FM43" s="1"/>
  <c r="FA43"/>
  <c r="FK43" s="1"/>
  <c r="EY43"/>
  <c r="FI43" s="1"/>
  <c r="EW43"/>
  <c r="FG43" s="1"/>
  <c r="FH43" s="1"/>
  <c r="FE27"/>
  <c r="FO27" s="1"/>
  <c r="FC27"/>
  <c r="FM27" s="1"/>
  <c r="FA27"/>
  <c r="FK27" s="1"/>
  <c r="EY27"/>
  <c r="EW27"/>
  <c r="FG27" s="1"/>
  <c r="FH27" s="1"/>
  <c r="FE19"/>
  <c r="FO19" s="1"/>
  <c r="FC19"/>
  <c r="FM19" s="1"/>
  <c r="FA19"/>
  <c r="FK19" s="1"/>
  <c r="EY19"/>
  <c r="FI19" s="1"/>
  <c r="EW19"/>
  <c r="FG19" s="1"/>
  <c r="FH19" s="1"/>
  <c r="FE13"/>
  <c r="FO13" s="1"/>
  <c r="FC13"/>
  <c r="FM13" s="1"/>
  <c r="FA13"/>
  <c r="FK13" s="1"/>
  <c r="EY13"/>
  <c r="FI13" s="1"/>
  <c r="EW13"/>
  <c r="FG13" s="1"/>
  <c r="FH13" s="1"/>
  <c r="FH11"/>
  <c r="FF12"/>
  <c r="FF20"/>
  <c r="FI20"/>
  <c r="FF24"/>
  <c r="FI28"/>
  <c r="FI36"/>
  <c r="FF40"/>
  <c r="FF44"/>
  <c r="FI44"/>
  <c r="FF48"/>
  <c r="FI48"/>
  <c r="FF52"/>
  <c r="FI52"/>
  <c r="FF56"/>
  <c r="FI56"/>
  <c r="FI17"/>
  <c r="FI25"/>
  <c r="FF25"/>
  <c r="FF29"/>
  <c r="FF33"/>
  <c r="FF37"/>
  <c r="FF45"/>
  <c r="FI49"/>
  <c r="FI53"/>
  <c r="FF53"/>
  <c r="FI14"/>
  <c r="FF14"/>
  <c r="FF18"/>
  <c r="FI22"/>
  <c r="FI30"/>
  <c r="FF30"/>
  <c r="FI34"/>
  <c r="FF34"/>
  <c r="FF38"/>
  <c r="FF42"/>
  <c r="FF50"/>
  <c r="FI54"/>
  <c r="FI58"/>
  <c r="FF58"/>
  <c r="FI11"/>
  <c r="FF11"/>
  <c r="FI15"/>
  <c r="FF15"/>
  <c r="FF19"/>
  <c r="FI23"/>
  <c r="FF23"/>
  <c r="FI27"/>
  <c r="FF27"/>
  <c r="FI35"/>
  <c r="FF35"/>
  <c r="FI39"/>
  <c r="FF39"/>
  <c r="FI47"/>
  <c r="FF47"/>
  <c r="FI51"/>
  <c r="FF51"/>
  <c r="FI55"/>
  <c r="FI59"/>
  <c r="FF59"/>
  <c r="FH17"/>
  <c r="FH21"/>
  <c r="FH25"/>
  <c r="FP60"/>
  <c r="FI41" l="1"/>
  <c r="FP41" s="1"/>
  <c r="FF32"/>
  <c r="FF31"/>
  <c r="FF46"/>
  <c r="FF26"/>
  <c r="FP26" s="1"/>
  <c r="FF21"/>
  <c r="A14" i="1"/>
  <c r="FF43" i="24"/>
  <c r="FF16"/>
  <c r="FP16" s="1"/>
  <c r="FF57"/>
  <c r="FF13"/>
  <c r="FP13" s="1"/>
  <c r="FP55"/>
  <c r="FP47"/>
  <c r="FP39"/>
  <c r="FP31"/>
  <c r="FP23"/>
  <c r="FP15"/>
  <c r="FP58"/>
  <c r="FP50"/>
  <c r="FP42"/>
  <c r="FP34"/>
  <c r="FP18"/>
  <c r="FP57"/>
  <c r="FP49"/>
  <c r="FP52"/>
  <c r="FP44"/>
  <c r="FP36"/>
  <c r="FP28"/>
  <c r="FP20"/>
  <c r="FP12"/>
  <c r="FP59"/>
  <c r="FP51"/>
  <c r="FP43"/>
  <c r="FP35"/>
  <c r="FP27"/>
  <c r="FP19"/>
  <c r="FP11"/>
  <c r="FP54"/>
  <c r="FP46"/>
  <c r="FP38"/>
  <c r="FP30"/>
  <c r="FP22"/>
  <c r="FP14"/>
  <c r="FP53"/>
  <c r="FP45"/>
  <c r="FP37"/>
  <c r="FP29"/>
  <c r="FP21"/>
  <c r="FP33"/>
  <c r="FP25"/>
  <c r="FP17"/>
  <c r="FP56"/>
  <c r="FP48"/>
  <c r="FP40"/>
  <c r="FP32"/>
  <c r="FP24"/>
  <c r="I14" i="1" l="1"/>
  <c r="F2" i="2"/>
  <c r="F2" i="6"/>
  <c r="F2" i="9"/>
  <c r="F2" i="21"/>
  <c r="F2" i="8"/>
  <c r="F2" i="16"/>
  <c r="F2" i="11"/>
  <c r="F2" i="12"/>
  <c r="F2" i="13"/>
  <c r="F2" i="7"/>
  <c r="F2" i="15"/>
  <c r="F2" i="10"/>
  <c r="F2" i="14"/>
  <c r="F2" i="18"/>
  <c r="F2" i="17"/>
  <c r="F2" i="19"/>
  <c r="F2" i="20"/>
  <c r="N50" i="1"/>
  <c r="N55"/>
  <c r="N54"/>
  <c r="R8"/>
  <c r="Q38" l="1"/>
  <c r="P38"/>
  <c r="O38"/>
  <c r="N38"/>
  <c r="J38"/>
  <c r="I38"/>
  <c r="H38"/>
  <c r="G38"/>
  <c r="F38"/>
  <c r="Q37"/>
  <c r="P37"/>
  <c r="O37"/>
  <c r="N37"/>
  <c r="J37"/>
  <c r="I37"/>
  <c r="H37"/>
  <c r="G37"/>
  <c r="F37"/>
  <c r="B13" i="11"/>
  <c r="B9" i="8"/>
  <c r="B55" i="2" l="1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55" i="6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55" i="7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55" i="21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55" i="8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8"/>
  <c r="B55" i="9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55" i="10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55" i="11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2"/>
  <c r="B11"/>
  <c r="B10"/>
  <c r="B9"/>
  <c r="B8"/>
  <c r="B55" i="12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55" i="13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55" i="14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55" i="1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55" i="16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55" i="17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55" i="18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55" i="19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9" i="20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Q21" i="1"/>
  <c r="B31" i="20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8"/>
  <c r="M46" i="1"/>
  <c r="M45"/>
  <c r="M44"/>
  <c r="E11"/>
  <c r="Q36"/>
  <c r="P36"/>
  <c r="O36"/>
  <c r="N36"/>
  <c r="J36"/>
  <c r="I36"/>
  <c r="H36"/>
  <c r="F36"/>
  <c r="Q35"/>
  <c r="P35"/>
  <c r="O35"/>
  <c r="N35"/>
  <c r="J35"/>
  <c r="I35"/>
  <c r="H35"/>
  <c r="F35"/>
  <c r="Q34"/>
  <c r="P34"/>
  <c r="O34"/>
  <c r="N34"/>
  <c r="J34"/>
  <c r="I34"/>
  <c r="H34"/>
  <c r="F34"/>
  <c r="Q33"/>
  <c r="P33"/>
  <c r="O33"/>
  <c r="N33"/>
  <c r="J33"/>
  <c r="I33"/>
  <c r="H33"/>
  <c r="F33"/>
  <c r="Q31"/>
  <c r="P31"/>
  <c r="O31"/>
  <c r="N31"/>
  <c r="J31"/>
  <c r="I31"/>
  <c r="H31"/>
  <c r="F31"/>
  <c r="Q30"/>
  <c r="P30"/>
  <c r="O30"/>
  <c r="N30"/>
  <c r="J30"/>
  <c r="I30"/>
  <c r="H30"/>
  <c r="F30"/>
  <c r="G31"/>
  <c r="G30"/>
  <c r="G36"/>
  <c r="G35"/>
  <c r="G34"/>
  <c r="G33"/>
  <c r="Q29"/>
  <c r="P29"/>
  <c r="O29"/>
  <c r="N29"/>
  <c r="J29"/>
  <c r="I29"/>
  <c r="H29"/>
  <c r="F29"/>
  <c r="G29"/>
  <c r="Q28"/>
  <c r="P28"/>
  <c r="O28"/>
  <c r="N28"/>
  <c r="J28"/>
  <c r="I28"/>
  <c r="H28"/>
  <c r="F28"/>
  <c r="G28"/>
  <c r="Q27"/>
  <c r="P27"/>
  <c r="O27"/>
  <c r="N27"/>
  <c r="J27"/>
  <c r="I27"/>
  <c r="H27"/>
  <c r="F27"/>
  <c r="G27"/>
  <c r="Q26"/>
  <c r="P26"/>
  <c r="O26"/>
  <c r="N26"/>
  <c r="J26"/>
  <c r="I26"/>
  <c r="H26"/>
  <c r="F26"/>
  <c r="G26"/>
  <c r="Q25"/>
  <c r="P25"/>
  <c r="O25"/>
  <c r="N25"/>
  <c r="Q24"/>
  <c r="P24"/>
  <c r="O24"/>
  <c r="N24"/>
  <c r="J24"/>
  <c r="I24"/>
  <c r="H24"/>
  <c r="F24"/>
  <c r="G24"/>
  <c r="Q23"/>
  <c r="P23"/>
  <c r="O23"/>
  <c r="N23"/>
  <c r="J23"/>
  <c r="I23"/>
  <c r="H23"/>
  <c r="G23"/>
  <c r="J22"/>
  <c r="I22"/>
  <c r="H22"/>
  <c r="G22"/>
  <c r="F22"/>
  <c r="F23"/>
  <c r="Q22"/>
  <c r="P22"/>
  <c r="O22"/>
  <c r="N22"/>
  <c r="E40"/>
  <c r="E10"/>
  <c r="P21" l="1"/>
  <c r="E8"/>
</calcChain>
</file>

<file path=xl/comments1.xml><?xml version="1.0" encoding="utf-8"?>
<comments xmlns="http://schemas.openxmlformats.org/spreadsheetml/2006/main">
  <authors>
    <author>SynComp</author>
  </authors>
  <commentList>
    <comment ref="R8" authorId="0">
      <text>
        <r>
          <rPr>
            <b/>
            <sz val="8"/>
            <color indexed="81"/>
            <rFont val="Tahoma"/>
            <family val="2"/>
          </rPr>
          <t xml:space="preserve">Keterangan :
</t>
        </r>
        <r>
          <rPr>
            <sz val="8"/>
            <color indexed="81"/>
            <rFont val="Tahoma"/>
            <family val="2"/>
          </rPr>
          <t>Tulis kelas yang anda kehendaki !!!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<sst xmlns="http://schemas.openxmlformats.org/spreadsheetml/2006/main" count="2524" uniqueCount="405">
  <si>
    <t>:</t>
  </si>
  <si>
    <t>Semester</t>
  </si>
  <si>
    <t>Tahun Pelajaran</t>
  </si>
  <si>
    <t>CAPAIAN</t>
  </si>
  <si>
    <t>Mata Pelajaran</t>
  </si>
  <si>
    <t>Pengetahuan</t>
  </si>
  <si>
    <t>Kelompok  A</t>
  </si>
  <si>
    <t>Pendidikan Agama Islam</t>
  </si>
  <si>
    <t>a. Al-Qur’an Hadis</t>
  </si>
  <si>
    <t>b. Akidah Akhlak</t>
  </si>
  <si>
    <t>c. Fikih</t>
  </si>
  <si>
    <t>d. Sejarah Kebudayaan Islam</t>
  </si>
  <si>
    <t>Pendidikan Pancasila dan Kewarganegaraan</t>
  </si>
  <si>
    <t>Bahasa Indonesia</t>
  </si>
  <si>
    <t>Bahasa Arab</t>
  </si>
  <si>
    <t>Matematika</t>
  </si>
  <si>
    <t>Ilmu Pengetahuan Alam</t>
  </si>
  <si>
    <t>Ilmu Pengetahuan Sosial</t>
  </si>
  <si>
    <t>Bahasa Inggris</t>
  </si>
  <si>
    <t>Kelompok  B</t>
  </si>
  <si>
    <t>Seni Budaya</t>
  </si>
  <si>
    <t>Pendidikan Jasmani, Olah Raga dan Kesehatan</t>
  </si>
  <si>
    <t>Prakarya</t>
  </si>
  <si>
    <t>Bahasa Daerah</t>
  </si>
  <si>
    <t>Ketidakhadiran</t>
  </si>
  <si>
    <t>Sakit</t>
  </si>
  <si>
    <t>Izin</t>
  </si>
  <si>
    <t>Tanpa Keterangan</t>
  </si>
  <si>
    <t>Mengetahui:</t>
  </si>
  <si>
    <t>Orangtua / Wali</t>
  </si>
  <si>
    <t>Wali Kelas</t>
  </si>
  <si>
    <t>KKM</t>
  </si>
  <si>
    <t>KD1</t>
  </si>
  <si>
    <t>KD2</t>
  </si>
  <si>
    <t>KD3</t>
  </si>
  <si>
    <t>KD4</t>
  </si>
  <si>
    <t>UTS</t>
  </si>
  <si>
    <t>PRESTASI</t>
  </si>
  <si>
    <t>KETRAMPILAN</t>
  </si>
  <si>
    <t>LAPORAN HASIL BELAJAR TENGAH SEMESTER (UTS)</t>
  </si>
  <si>
    <t xml:space="preserve">Kelas </t>
  </si>
  <si>
    <t>No. Absen</t>
  </si>
  <si>
    <t>Nama Siswa</t>
  </si>
  <si>
    <t>No. Induk</t>
  </si>
  <si>
    <t>NISN</t>
  </si>
  <si>
    <t>DAFTAR SETORAN NILAI UNTUK RAPORT UTS</t>
  </si>
  <si>
    <t>KELAS    :</t>
  </si>
  <si>
    <t>NAMA :</t>
  </si>
  <si>
    <t>MAPEL  :</t>
  </si>
  <si>
    <t>NO</t>
  </si>
  <si>
    <t>NAMA SISWA</t>
  </si>
  <si>
    <t>NILAI PENGETAHUAN</t>
  </si>
  <si>
    <t>NILAI KETRAMPILAN</t>
  </si>
  <si>
    <t>NILAI</t>
  </si>
  <si>
    <t>TENGAH SEMESTER</t>
  </si>
  <si>
    <t>KD-1</t>
  </si>
  <si>
    <t>KD-2</t>
  </si>
  <si>
    <t>KD-3</t>
  </si>
  <si>
    <t>KD-4</t>
  </si>
  <si>
    <t>KD-5</t>
  </si>
  <si>
    <t>KD-6</t>
  </si>
  <si>
    <t>SENI BUDAYA</t>
  </si>
  <si>
    <t>FIQIH</t>
  </si>
  <si>
    <t>SKI</t>
  </si>
  <si>
    <t>PRAKARYA</t>
  </si>
  <si>
    <t>BACK TO MENU</t>
  </si>
  <si>
    <t>NO INDUK</t>
  </si>
  <si>
    <t>L/P</t>
  </si>
  <si>
    <t>KETDAK HADIRAN</t>
  </si>
  <si>
    <t>SAKIT</t>
  </si>
  <si>
    <t>IJIN</t>
  </si>
  <si>
    <t>TANPA KETERANGAN</t>
  </si>
  <si>
    <t>DATA SISWA DAN KEHADIRAN</t>
  </si>
  <si>
    <t>ALQURAN HADIS</t>
  </si>
  <si>
    <t>AQIDAH AKHLAK</t>
  </si>
  <si>
    <t>PENDIDIKAN KEWARGANEGARAAN</t>
  </si>
  <si>
    <t>BAHASA INDONESIA</t>
  </si>
  <si>
    <t>BAHASA ARAB</t>
  </si>
  <si>
    <t>MATEMATIKA</t>
  </si>
  <si>
    <t>ILMU PENGETAHUAN ALAM</t>
  </si>
  <si>
    <t>ILMU PENGETAHUAN SOSIAL</t>
  </si>
  <si>
    <t>BAHASA INGGRIS</t>
  </si>
  <si>
    <t>BAHASA DAERAH</t>
  </si>
  <si>
    <t>TAMBAHAN 1</t>
  </si>
  <si>
    <t>TAMBAHAN 2</t>
  </si>
  <si>
    <t>PENDIDIKAN JASMANI</t>
  </si>
  <si>
    <t>CETAK NO :</t>
  </si>
  <si>
    <t>2,66</t>
  </si>
  <si>
    <t>Tambahan 1</t>
  </si>
  <si>
    <t>Tambahan 2</t>
  </si>
  <si>
    <t>2,67</t>
  </si>
  <si>
    <t>Prestasi = (2 X RATA-RATA KD + UTS)/3 untuk penilaian kemampuan dan Prestasi = Rata-rata semua KD pada penilaian ketrampilan</t>
  </si>
  <si>
    <t>KEMENTERIAN AGAMA RI</t>
  </si>
  <si>
    <t>NIP</t>
  </si>
  <si>
    <t>Kelas</t>
  </si>
  <si>
    <t>Nama Wali Kelas</t>
  </si>
  <si>
    <t>B</t>
  </si>
  <si>
    <t>PROGRAM RAPORT UTS 2016</t>
  </si>
  <si>
    <t>KEMENTERIAN AGAMA REPUBLIK INDONESIA</t>
  </si>
  <si>
    <t>My Profil</t>
  </si>
  <si>
    <t>NAMA</t>
  </si>
  <si>
    <t>INSTANSI KERJA</t>
  </si>
  <si>
    <t>: MTsN TUREN</t>
  </si>
  <si>
    <t>KAB/PROV</t>
  </si>
  <si>
    <t>: MALANG/JAWA TIMUR</t>
  </si>
  <si>
    <t>Email</t>
  </si>
  <si>
    <t>Greetings and thanks to my teacher</t>
  </si>
  <si>
    <t>SDN Turen 1</t>
  </si>
  <si>
    <t>SMPN 1Turen (espensa)</t>
  </si>
  <si>
    <t>SMAM5 Malang</t>
  </si>
  <si>
    <t>IKIP Malang</t>
  </si>
  <si>
    <t>ITB</t>
  </si>
  <si>
    <t>MADRASAH TSANAWIYAH NEGERI TUREN</t>
  </si>
  <si>
    <t>KANTOR KEMENTERIAN AGAMA KABUPATEN MALANG</t>
  </si>
  <si>
    <t>Jl. Kenongosari 16 Turen Kode Pos : 65175</t>
  </si>
  <si>
    <t>NILAI SIKAP</t>
  </si>
  <si>
    <t>Sikap spiritual</t>
  </si>
  <si>
    <t>Sikap Sosial</t>
  </si>
  <si>
    <t>DESKRIPSI</t>
  </si>
  <si>
    <t>Jujur</t>
  </si>
  <si>
    <t>Disiplin</t>
  </si>
  <si>
    <t>Tanggung jawab</t>
  </si>
  <si>
    <t>Toleransi</t>
  </si>
  <si>
    <t>Gotong Royong</t>
  </si>
  <si>
    <t>Santun</t>
  </si>
  <si>
    <t>Percaya diri</t>
  </si>
  <si>
    <t>Kelas  :</t>
  </si>
  <si>
    <t>Semester  :</t>
  </si>
  <si>
    <t>GANJIL</t>
  </si>
  <si>
    <t>Tahun Pelajaran  :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</si>
  <si>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</si>
  <si>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</si>
  <si>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</si>
  <si>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</si>
  <si>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</si>
  <si>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</si>
  <si>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</si>
  <si>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</si>
  <si>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</si>
  <si>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</si>
  <si>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</si>
  <si>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</si>
  <si>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</si>
  <si>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</si>
  <si>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</si>
  <si>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</si>
  <si>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</si>
  <si>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</si>
  <si>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</si>
  <si>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</si>
  <si>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</si>
  <si>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</si>
  <si>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</si>
  <si>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</si>
  <si>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</si>
  <si>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</si>
  <si>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</si>
  <si>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</si>
  <si>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</si>
  <si>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</si>
  <si>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</si>
  <si>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</si>
  <si>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</si>
  <si>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</si>
  <si>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</si>
  <si>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</si>
  <si>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</si>
  <si>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</si>
  <si>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</si>
  <si>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</si>
  <si>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</si>
  <si>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</si>
  <si>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</si>
  <si>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</si>
  <si>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</si>
  <si>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</si>
  <si>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</si>
  <si>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</si>
  <si>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</si>
  <si>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</si>
  <si>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</si>
  <si>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</si>
  <si>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</si>
  <si>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</si>
  <si>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</si>
  <si>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</si>
  <si>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</si>
  <si>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</si>
  <si>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</si>
  <si>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</si>
  <si>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</si>
  <si>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</si>
  <si>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</si>
  <si>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</si>
  <si>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</si>
  <si>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</si>
  <si>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</si>
  <si>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</si>
  <si>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</si>
  <si>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</si>
  <si>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</si>
  <si>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</si>
  <si>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</si>
  <si>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</si>
  <si>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</si>
  <si>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</si>
  <si>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</si>
  <si>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</si>
  <si>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</si>
  <si>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</si>
  <si>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</si>
  <si>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</si>
  <si>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</si>
  <si>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</si>
  <si>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</si>
  <si>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</si>
  <si>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</si>
  <si>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</si>
  <si>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</si>
  <si>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</si>
  <si>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</si>
  <si>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</si>
  <si>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</si>
  <si>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</si>
  <si>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</si>
  <si>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</si>
  <si>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</si>
  <si>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</si>
  <si>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</si>
  <si>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</si>
  <si>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</si>
  <si>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</si>
  <si>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</si>
  <si>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</si>
  <si>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</si>
  <si>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</si>
  <si>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</si>
  <si>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</si>
  <si>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</si>
  <si>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</si>
  <si>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</si>
  <si>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</si>
  <si>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</si>
  <si>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</si>
  <si>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</si>
  <si>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</si>
  <si>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</si>
  <si>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</si>
  <si>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</si>
  <si>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</si>
  <si>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</si>
  <si>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</si>
  <si>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</si>
  <si>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</si>
  <si>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</si>
  <si>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</si>
  <si>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</si>
  <si>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</si>
  <si>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</si>
  <si>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</si>
  <si>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</si>
  <si>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</si>
  <si>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</si>
  <si>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</si>
  <si>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</si>
  <si>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</si>
  <si>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</si>
  <si>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</si>
  <si>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</si>
  <si>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</si>
  <si>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</si>
  <si>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</si>
  <si>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</si>
  <si>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</si>
  <si>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</si>
  <si>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</si>
  <si>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</si>
  <si>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</si>
  <si>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</si>
  <si>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</si>
  <si>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</si>
  <si>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</si>
  <si>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</si>
  <si>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</si>
  <si>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</si>
  <si>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</si>
  <si>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</si>
  <si>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</si>
  <si>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</si>
  <si>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</si>
  <si>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</si>
  <si>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</si>
  <si>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</si>
  <si>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</si>
  <si>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</si>
  <si>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</si>
  <si>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</si>
  <si>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</si>
  <si>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</si>
  <si>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</si>
  <si>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</si>
  <si>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</si>
  <si>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No.</t>
  </si>
  <si>
    <t>Nama</t>
  </si>
  <si>
    <t>Al Quran Hadis</t>
  </si>
  <si>
    <t>akidah Akhlak</t>
  </si>
  <si>
    <t>Fikih</t>
  </si>
  <si>
    <t>PKn</t>
  </si>
  <si>
    <t>IPA</t>
  </si>
  <si>
    <t>IPS</t>
  </si>
  <si>
    <t>Penjas Orkes</t>
  </si>
  <si>
    <t>MODUS</t>
  </si>
  <si>
    <t>kejujuran</t>
  </si>
  <si>
    <t>kedisiplinan</t>
  </si>
  <si>
    <t>tanggung jawab</t>
  </si>
  <si>
    <t>kegotong royongan</t>
  </si>
  <si>
    <t>kesantunan</t>
  </si>
  <si>
    <t>dan kepercayaan dirinya</t>
  </si>
  <si>
    <t>SIKAP SPIRITUAL</t>
  </si>
  <si>
    <t>SIKAP SOSIAL</t>
  </si>
  <si>
    <t>Tmpt/Tgl Raport</t>
  </si>
  <si>
    <t>2017 VER 1.0</t>
  </si>
  <si>
    <t xml:space="preserve">created : SULIYAT, M.Si  </t>
  </si>
  <si>
    <t>PROGRAM CETAK RAPORT UTS</t>
  </si>
  <si>
    <t>REKAP NILAI DAN PERINGKAT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</si>
  <si>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</si>
  <si>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</si>
  <si>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</si>
  <si>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</si>
  <si>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</si>
  <si>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</si>
  <si>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</si>
  <si>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</si>
  <si>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</si>
  <si>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</si>
  <si>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</si>
  <si>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12.</t>
  </si>
  <si>
    <t>13.</t>
  </si>
  <si>
    <t>14.</t>
  </si>
  <si>
    <t>15.</t>
  </si>
  <si>
    <t>16.</t>
  </si>
  <si>
    <t>17.</t>
  </si>
  <si>
    <t>JML</t>
  </si>
  <si>
    <t>RANKING</t>
  </si>
  <si>
    <t>ANGKA</t>
  </si>
  <si>
    <t>HURUF</t>
  </si>
  <si>
    <t>RATA UH</t>
  </si>
  <si>
    <t>RATA-RATA</t>
  </si>
  <si>
    <t>Rangking</t>
  </si>
  <si>
    <t>dari</t>
  </si>
  <si>
    <t>SISWA</t>
  </si>
  <si>
    <t>Pembulatan</t>
  </si>
  <si>
    <t>JAM PEL</t>
  </si>
  <si>
    <t>RATA-RATA P&amp;K</t>
  </si>
  <si>
    <t>siswa</t>
  </si>
  <si>
    <t>NO HP/WA</t>
  </si>
  <si>
    <t>: 082232127360</t>
  </si>
  <si>
    <t>: suliyatsindra@gmail.com</t>
  </si>
  <si>
    <t>: SULIYAT, MSi</t>
  </si>
  <si>
    <t>Bangkalan, 7 oktober 2017</t>
  </si>
  <si>
    <t>AHMAD HAMBALI</t>
  </si>
  <si>
    <t>AHMADI</t>
  </si>
  <si>
    <t xml:space="preserve">AINUR ROFIK </t>
  </si>
  <si>
    <t>AT-THORIQ BINTANG PRAJA</t>
  </si>
  <si>
    <t>DEWI WULANDARI</t>
  </si>
  <si>
    <t>ENI UMAMAH</t>
  </si>
  <si>
    <t>FADIA FASSA</t>
  </si>
  <si>
    <t>FATIMATUZ  ZAHROH</t>
  </si>
  <si>
    <t>IMAM FATONI</t>
  </si>
  <si>
    <t>ISMA SRI WAHYUNI</t>
  </si>
  <si>
    <t>JAKFAR SODIK ROMADHONI</t>
  </si>
  <si>
    <t>KHOIRIL NISA'</t>
  </si>
  <si>
    <t>LATIFA MAHARANI</t>
  </si>
  <si>
    <t>LUQMANUL FIKRI SYAIFULLAH</t>
  </si>
  <si>
    <t>MAR'ATUS SOLEHAH</t>
  </si>
  <si>
    <t>MOCH.  SHOLEH W. H</t>
  </si>
  <si>
    <t>MOCH. FAWES</t>
  </si>
  <si>
    <t>MOH SAHRUL RAMADON</t>
  </si>
  <si>
    <t>MOHAMMAD RAMADAN PURNOMO</t>
  </si>
  <si>
    <t>MOHAMMAD ROFI'I</t>
  </si>
  <si>
    <t>NI'MATUS SHOLIHA</t>
  </si>
  <si>
    <t>PANJI FIKRI ISLAMI</t>
  </si>
  <si>
    <t>RACMAT MAULIDI ABDANY</t>
  </si>
  <si>
    <t>RAIHAN</t>
  </si>
  <si>
    <t>REFITA ANNASTASYA</t>
  </si>
  <si>
    <t>RISKIYAH</t>
  </si>
  <si>
    <t>SALILATUL HUSNA</t>
  </si>
  <si>
    <t>SALMA NABILA</t>
  </si>
  <si>
    <t>SITI AINUR ROHIMAH</t>
  </si>
  <si>
    <t>SYARIF HIDAYATULLOH</t>
  </si>
  <si>
    <t>URVIA ZAHNA ROHANDY</t>
  </si>
  <si>
    <t>C</t>
  </si>
  <si>
    <t/>
  </si>
  <si>
    <t>D</t>
  </si>
  <si>
    <t>Melaksanakan sholat dhuhur berjemaah, berdo'a di awal dan di akhir kegiatan pembelajaran , serta melaksanakan kegiatan amaliyah siswa</t>
  </si>
  <si>
    <t>Santun dalam bersikap, disiplin dalam mentaati tata tertib madrasah, peduli pada lingkungan, orang tua, bertanggung jawab dalam melaksanakan tugas, baik sebagai individu maupun makhluk sosial</t>
  </si>
  <si>
    <t>MADRASAH TSANAWIYAH BAHRUS SHOLIHIN</t>
  </si>
  <si>
    <t>Abd. Muis</t>
  </si>
  <si>
    <t>Achmad Buka</t>
  </si>
  <si>
    <t>L</t>
  </si>
  <si>
    <t>MOH. TAUFIK, S.Pd</t>
  </si>
  <si>
    <t>VII</t>
  </si>
  <si>
    <t>Ganjil</t>
  </si>
  <si>
    <t>2017-2018</t>
  </si>
  <si>
    <t>Jl. KH. Moh. Syarim Krasaan Bandung Konang Bangkalan</t>
  </si>
</sst>
</file>

<file path=xl/styles.xml><?xml version="1.0" encoding="utf-8"?>
<styleSheet xmlns="http://schemas.openxmlformats.org/spreadsheetml/2006/main">
  <numFmts count="1">
    <numFmt numFmtId="164" formatCode="0.0"/>
  </numFmts>
  <fonts count="78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Arial"/>
      <family val="2"/>
    </font>
    <font>
      <i/>
      <sz val="8"/>
      <name val="Arial"/>
      <family val="2"/>
    </font>
    <font>
      <sz val="10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1"/>
      <color theme="1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u/>
      <sz val="9"/>
      <name val="Arial"/>
      <family val="2"/>
    </font>
    <font>
      <b/>
      <sz val="1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11"/>
      <name val="Calibri"/>
      <family val="2"/>
      <charset val="1"/>
      <scheme val="minor"/>
    </font>
    <font>
      <u/>
      <sz val="11"/>
      <color theme="10"/>
      <name val="Calibri"/>
      <family val="2"/>
      <charset val="1"/>
    </font>
    <font>
      <b/>
      <sz val="12"/>
      <name val="Arial"/>
      <family val="2"/>
    </font>
    <font>
      <b/>
      <sz val="12"/>
      <color indexed="8"/>
      <name val="Calibri"/>
      <family val="2"/>
    </font>
    <font>
      <b/>
      <sz val="11"/>
      <color indexed="8"/>
      <name val="Calibri"/>
      <family val="2"/>
    </font>
    <font>
      <b/>
      <sz val="9"/>
      <color indexed="8"/>
      <name val="Calibri"/>
      <family val="2"/>
    </font>
    <font>
      <sz val="28"/>
      <color theme="1"/>
      <name val="Calibri"/>
      <family val="2"/>
      <charset val="1"/>
      <scheme val="minor"/>
    </font>
    <font>
      <sz val="16"/>
      <color theme="0"/>
      <name val="Calibri"/>
      <family val="2"/>
      <charset val="1"/>
      <scheme val="minor"/>
    </font>
    <font>
      <b/>
      <i/>
      <sz val="7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26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48"/>
      <color rgb="FFFF0000"/>
      <name val="Arial Black"/>
      <family val="2"/>
    </font>
    <font>
      <b/>
      <sz val="16"/>
      <color rgb="FFC00000"/>
      <name val="Calibri"/>
      <family val="2"/>
      <scheme val="minor"/>
    </font>
    <font>
      <sz val="14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4"/>
      <color theme="0"/>
      <name val="Arial Narrow"/>
      <family val="2"/>
    </font>
    <font>
      <b/>
      <i/>
      <sz val="11"/>
      <color theme="0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i/>
      <sz val="14"/>
      <color theme="1" tint="0.34998626667073579"/>
      <name val="Arial Narrow"/>
      <family val="2"/>
    </font>
    <font>
      <u/>
      <sz val="8.8000000000000007"/>
      <color theme="10"/>
      <name val="Calibri"/>
      <family val="2"/>
    </font>
    <font>
      <b/>
      <sz val="14"/>
      <color theme="0"/>
      <name val="Calibri"/>
      <family val="2"/>
    </font>
    <font>
      <b/>
      <i/>
      <sz val="11"/>
      <color theme="0"/>
      <name val="Lucida Sans Unicode"/>
      <family val="2"/>
    </font>
    <font>
      <i/>
      <sz val="12"/>
      <color theme="0"/>
      <name val="Mistral"/>
      <family val="4"/>
    </font>
    <font>
      <b/>
      <i/>
      <sz val="11"/>
      <color theme="1"/>
      <name val="Lucida Sans Unicode"/>
      <family val="2"/>
    </font>
    <font>
      <b/>
      <i/>
      <sz val="18"/>
      <color theme="0"/>
      <name val="Calibri"/>
      <family val="2"/>
      <scheme val="minor"/>
    </font>
    <font>
      <u/>
      <sz val="18"/>
      <color theme="10"/>
      <name val="Calibri"/>
      <family val="2"/>
      <charset val="1"/>
    </font>
    <font>
      <sz val="20"/>
      <color theme="0"/>
      <name val="Calibri"/>
      <family val="2"/>
      <scheme val="minor"/>
    </font>
    <font>
      <b/>
      <sz val="22"/>
      <color theme="0"/>
      <name val="Arial Black"/>
      <family val="2"/>
    </font>
    <font>
      <b/>
      <sz val="24"/>
      <color rgb="FF002060"/>
      <name val="Arial Black"/>
      <family val="2"/>
    </font>
    <font>
      <sz val="14"/>
      <color theme="1"/>
      <name val="Calibri"/>
      <family val="2"/>
      <charset val="1"/>
      <scheme val="minor"/>
    </font>
    <font>
      <b/>
      <u/>
      <sz val="26"/>
      <color theme="10"/>
      <name val="Calibri"/>
      <family val="2"/>
    </font>
    <font>
      <b/>
      <i/>
      <sz val="16"/>
      <color theme="1" tint="4.9989318521683403E-2"/>
      <name val="Arial Narrow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7"/>
      <color theme="1"/>
      <name val="Arial"/>
      <family val="2"/>
    </font>
    <font>
      <b/>
      <sz val="6"/>
      <color theme="1"/>
      <name val="Calibri"/>
      <family val="2"/>
      <scheme val="minor"/>
    </font>
    <font>
      <b/>
      <sz val="7"/>
      <color theme="1"/>
      <name val="Arial Narrow"/>
      <family val="2"/>
    </font>
    <font>
      <sz val="10"/>
      <color theme="1"/>
      <name val="Arial Narrow"/>
      <family val="2"/>
    </font>
    <font>
      <sz val="11"/>
      <color theme="1"/>
      <name val="Arial Narrow"/>
      <family val="2"/>
    </font>
    <font>
      <b/>
      <i/>
      <sz val="48"/>
      <color theme="0"/>
      <name val="Calibri"/>
      <family val="2"/>
      <scheme val="minor"/>
    </font>
    <font>
      <b/>
      <sz val="28"/>
      <color theme="0"/>
      <name val="Arial Black"/>
      <family val="2"/>
    </font>
    <font>
      <sz val="10"/>
      <color theme="1"/>
      <name val="Calibri"/>
      <family val="2"/>
      <charset val="1"/>
      <scheme val="minor"/>
    </font>
    <font>
      <b/>
      <sz val="9"/>
      <color theme="1"/>
      <name val="Calibri"/>
      <family val="2"/>
      <scheme val="minor"/>
    </font>
    <font>
      <sz val="8.25"/>
      <color theme="0"/>
      <name val="Tahoma"/>
      <family val="2"/>
    </font>
    <font>
      <b/>
      <sz val="48"/>
      <color rgb="FFFFFF00"/>
      <name val="Arial Black"/>
      <family val="2"/>
    </font>
    <font>
      <b/>
      <sz val="26"/>
      <color theme="0"/>
      <name val="Arial Black"/>
      <family val="2"/>
    </font>
    <font>
      <sz val="8.25"/>
      <color rgb="FFFF0000"/>
      <name val="Tahoma"/>
      <family val="2"/>
    </font>
    <font>
      <b/>
      <i/>
      <sz val="10"/>
      <color theme="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2">
    <xf numFmtId="0" fontId="0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49" fillId="0" borderId="0" applyNumberFormat="0" applyFill="0" applyBorder="0" applyAlignment="0" applyProtection="0">
      <alignment vertical="top"/>
      <protection locked="0"/>
    </xf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</cellStyleXfs>
  <cellXfs count="368">
    <xf numFmtId="0" fontId="0" fillId="0" borderId="0" xfId="0"/>
    <xf numFmtId="0" fontId="6" fillId="3" borderId="0" xfId="0" applyFont="1" applyFill="1" applyAlignment="1" applyProtection="1">
      <alignment horizontal="center"/>
      <protection locked="0"/>
    </xf>
    <xf numFmtId="0" fontId="6" fillId="3" borderId="0" xfId="0" applyFont="1" applyFill="1" applyAlignment="1" applyProtection="1">
      <protection locked="0"/>
    </xf>
    <xf numFmtId="0" fontId="6" fillId="3" borderId="0" xfId="0" applyFont="1" applyFill="1" applyBorder="1" applyProtection="1">
      <protection locked="0"/>
    </xf>
    <xf numFmtId="0" fontId="6" fillId="3" borderId="0" xfId="0" applyFont="1" applyFill="1" applyAlignment="1" applyProtection="1">
      <alignment horizontal="left"/>
      <protection locked="0"/>
    </xf>
    <xf numFmtId="0" fontId="6" fillId="3" borderId="0" xfId="0" applyFont="1" applyFill="1" applyProtection="1">
      <protection locked="0"/>
    </xf>
    <xf numFmtId="0" fontId="0" fillId="0" borderId="0" xfId="0" applyProtection="1">
      <protection locked="0"/>
    </xf>
    <xf numFmtId="0" fontId="8" fillId="3" borderId="0" xfId="0" applyFont="1" applyFill="1" applyAlignment="1" applyProtection="1">
      <protection locked="0"/>
    </xf>
    <xf numFmtId="0" fontId="7" fillId="3" borderId="0" xfId="0" applyFont="1" applyFill="1" applyAlignment="1" applyProtection="1">
      <alignment vertical="center"/>
      <protection locked="0"/>
    </xf>
    <xf numFmtId="0" fontId="7" fillId="3" borderId="0" xfId="0" applyFont="1" applyFill="1" applyAlignment="1" applyProtection="1">
      <protection locked="0"/>
    </xf>
    <xf numFmtId="0" fontId="14" fillId="0" borderId="0" xfId="0" applyFont="1" applyAlignment="1" applyProtection="1">
      <alignment vertical="center"/>
      <protection locked="0"/>
    </xf>
    <xf numFmtId="0" fontId="15" fillId="0" borderId="0" xfId="0" applyFont="1" applyBorder="1" applyAlignment="1" applyProtection="1">
      <alignment vertical="center"/>
      <protection locked="0"/>
    </xf>
    <xf numFmtId="0" fontId="16" fillId="0" borderId="0" xfId="0" applyFont="1" applyBorder="1" applyAlignment="1" applyProtection="1">
      <alignment vertical="center"/>
      <protection locked="0"/>
    </xf>
    <xf numFmtId="0" fontId="16" fillId="0" borderId="0" xfId="0" applyFont="1" applyAlignment="1" applyProtection="1">
      <alignment vertical="center"/>
      <protection locked="0"/>
    </xf>
    <xf numFmtId="0" fontId="17" fillId="0" borderId="0" xfId="0" applyFont="1" applyProtection="1">
      <protection locked="0"/>
    </xf>
    <xf numFmtId="0" fontId="18" fillId="0" borderId="0" xfId="0" applyFont="1" applyProtection="1">
      <protection locked="0"/>
    </xf>
    <xf numFmtId="0" fontId="4" fillId="5" borderId="10" xfId="0" applyFont="1" applyFill="1" applyBorder="1" applyAlignment="1" applyProtection="1">
      <alignment horizontal="center" vertical="center"/>
      <protection locked="0"/>
    </xf>
    <xf numFmtId="0" fontId="22" fillId="6" borderId="10" xfId="0" applyFont="1" applyFill="1" applyBorder="1" applyAlignment="1" applyProtection="1">
      <alignment horizontal="center" vertical="center"/>
      <protection locked="0"/>
    </xf>
    <xf numFmtId="0" fontId="23" fillId="0" borderId="10" xfId="0" applyFont="1" applyBorder="1" applyAlignment="1" applyProtection="1">
      <alignment horizontal="center" vertical="center"/>
    </xf>
    <xf numFmtId="0" fontId="6" fillId="0" borderId="15" xfId="0" applyNumberFormat="1" applyFont="1" applyFill="1" applyBorder="1" applyAlignment="1" applyProtection="1">
      <alignment horizontal="left" vertical="top"/>
    </xf>
    <xf numFmtId="0" fontId="24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0" fillId="0" borderId="32" xfId="0" quotePrefix="1" applyBorder="1" applyAlignment="1" applyProtection="1">
      <alignment horizontal="center" vertical="center"/>
    </xf>
    <xf numFmtId="0" fontId="9" fillId="3" borderId="0" xfId="0" applyFont="1" applyFill="1" applyBorder="1" applyAlignment="1" applyProtection="1">
      <alignment vertical="center"/>
      <protection locked="0"/>
    </xf>
    <xf numFmtId="0" fontId="14" fillId="0" borderId="0" xfId="0" applyFont="1" applyBorder="1" applyAlignment="1" applyProtection="1">
      <alignment vertical="center"/>
      <protection locked="0"/>
    </xf>
    <xf numFmtId="0" fontId="24" fillId="5" borderId="10" xfId="0" applyFont="1" applyFill="1" applyBorder="1" applyAlignment="1" applyProtection="1">
      <alignment horizontal="center" vertical="center"/>
      <protection locked="0"/>
    </xf>
    <xf numFmtId="0" fontId="0" fillId="6" borderId="10" xfId="0" applyFill="1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0" fillId="0" borderId="0" xfId="0" applyBorder="1" applyProtection="1">
      <protection locked="0"/>
    </xf>
    <xf numFmtId="1" fontId="2" fillId="0" borderId="10" xfId="0" applyNumberFormat="1" applyFont="1" applyBorder="1" applyAlignment="1" applyProtection="1">
      <alignment horizontal="center" vertical="center"/>
    </xf>
    <xf numFmtId="1" fontId="0" fillId="0" borderId="0" xfId="0" applyNumberFormat="1" applyProtection="1">
      <protection locked="0"/>
    </xf>
    <xf numFmtId="0" fontId="32" fillId="3" borderId="0" xfId="0" applyFont="1" applyFill="1" applyBorder="1" applyAlignment="1" applyProtection="1">
      <alignment horizontal="left"/>
      <protection locked="0"/>
    </xf>
    <xf numFmtId="0" fontId="6" fillId="3" borderId="0" xfId="0" applyFont="1" applyFill="1" applyAlignment="1" applyProtection="1">
      <alignment horizontal="right"/>
      <protection locked="0"/>
    </xf>
    <xf numFmtId="0" fontId="8" fillId="3" borderId="0" xfId="0" applyFont="1" applyFill="1" applyAlignment="1" applyProtection="1">
      <alignment horizontal="left"/>
      <protection locked="0"/>
    </xf>
    <xf numFmtId="0" fontId="8" fillId="3" borderId="0" xfId="0" applyFont="1" applyFill="1" applyBorder="1" applyAlignment="1" applyProtection="1">
      <alignment horizontal="left"/>
      <protection locked="0"/>
    </xf>
    <xf numFmtId="0" fontId="8" fillId="3" borderId="0" xfId="0" applyFont="1" applyFill="1" applyProtection="1">
      <protection locked="0"/>
    </xf>
    <xf numFmtId="0" fontId="10" fillId="4" borderId="0" xfId="0" applyFont="1" applyFill="1" applyBorder="1" applyAlignment="1" applyProtection="1">
      <protection locked="0"/>
    </xf>
    <xf numFmtId="0" fontId="4" fillId="3" borderId="0" xfId="0" applyFont="1" applyFill="1" applyProtection="1">
      <protection locked="0"/>
    </xf>
    <xf numFmtId="0" fontId="3" fillId="0" borderId="0" xfId="0" applyFont="1" applyBorder="1" applyAlignment="1" applyProtection="1">
      <alignment horizontal="left"/>
      <protection locked="0"/>
    </xf>
    <xf numFmtId="0" fontId="33" fillId="0" borderId="10" xfId="0" applyFont="1" applyBorder="1" applyAlignment="1" applyProtection="1">
      <alignment horizontal="left"/>
      <protection locked="0"/>
    </xf>
    <xf numFmtId="0" fontId="2" fillId="0" borderId="10" xfId="0" applyFont="1" applyBorder="1" applyAlignment="1" applyProtection="1">
      <alignment horizontal="left"/>
      <protection locked="0"/>
    </xf>
    <xf numFmtId="0" fontId="0" fillId="0" borderId="10" xfId="0" applyBorder="1" applyProtection="1">
      <protection locked="0"/>
    </xf>
    <xf numFmtId="0" fontId="34" fillId="0" borderId="10" xfId="0" applyFont="1" applyBorder="1" applyProtection="1">
      <protection locked="0"/>
    </xf>
    <xf numFmtId="0" fontId="0" fillId="0" borderId="10" xfId="0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protection locked="0"/>
    </xf>
    <xf numFmtId="2" fontId="0" fillId="0" borderId="10" xfId="0" applyNumberFormat="1" applyBorder="1" applyAlignment="1" applyProtection="1">
      <protection locked="0"/>
    </xf>
    <xf numFmtId="0" fontId="0" fillId="0" borderId="10" xfId="0" applyBorder="1" applyAlignment="1" applyProtection="1">
      <protection locked="0"/>
    </xf>
    <xf numFmtId="164" fontId="34" fillId="0" borderId="10" xfId="0" applyNumberFormat="1" applyFont="1" applyBorder="1" applyAlignment="1" applyProtection="1">
      <alignment horizontal="center" vertical="center"/>
      <protection locked="0"/>
    </xf>
    <xf numFmtId="0" fontId="34" fillId="0" borderId="10" xfId="0" applyFont="1" applyBorder="1" applyAlignment="1" applyProtection="1">
      <alignment horizontal="center"/>
      <protection locked="0"/>
    </xf>
    <xf numFmtId="0" fontId="0" fillId="0" borderId="13" xfId="0" applyBorder="1" applyProtection="1">
      <protection locked="0"/>
    </xf>
    <xf numFmtId="0" fontId="0" fillId="0" borderId="12" xfId="0" applyBorder="1" applyAlignment="1" applyProtection="1">
      <alignment horizontal="center"/>
      <protection locked="0"/>
    </xf>
    <xf numFmtId="1" fontId="34" fillId="0" borderId="10" xfId="0" applyNumberFormat="1" applyFont="1" applyBorder="1" applyAlignment="1" applyProtection="1">
      <alignment horizontal="center" vertical="center"/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1" fontId="34" fillId="0" borderId="10" xfId="0" applyNumberFormat="1" applyFont="1" applyBorder="1" applyAlignment="1" applyProtection="1">
      <alignment horizontal="center"/>
      <protection locked="0"/>
    </xf>
    <xf numFmtId="1" fontId="2" fillId="0" borderId="10" xfId="0" applyNumberFormat="1" applyFont="1" applyBorder="1" applyAlignment="1" applyProtection="1">
      <alignment horizontal="left"/>
      <protection locked="0"/>
    </xf>
    <xf numFmtId="0" fontId="3" fillId="0" borderId="0" xfId="0" applyFont="1" applyAlignment="1" applyProtection="1">
      <alignment horizontal="left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2" fillId="0" borderId="10" xfId="0" applyNumberFormat="1" applyFont="1" applyBorder="1" applyAlignment="1" applyProtection="1">
      <alignment horizontal="left"/>
      <protection locked="0"/>
    </xf>
    <xf numFmtId="0" fontId="2" fillId="0" borderId="10" xfId="0" applyNumberFormat="1" applyFont="1" applyBorder="1" applyAlignment="1" applyProtection="1">
      <protection locked="0"/>
    </xf>
    <xf numFmtId="0" fontId="1" fillId="0" borderId="0" xfId="2" applyProtection="1">
      <protection locked="0"/>
    </xf>
    <xf numFmtId="0" fontId="1" fillId="0" borderId="0" xfId="2" applyFill="1" applyProtection="1"/>
    <xf numFmtId="0" fontId="1" fillId="0" borderId="0" xfId="2" applyFill="1" applyProtection="1">
      <protection locked="0"/>
    </xf>
    <xf numFmtId="0" fontId="1" fillId="0" borderId="0" xfId="2" applyProtection="1"/>
    <xf numFmtId="49" fontId="16" fillId="0" borderId="0" xfId="0" applyNumberFormat="1" applyFont="1" applyAlignment="1" applyProtection="1">
      <alignment vertical="center"/>
    </xf>
    <xf numFmtId="0" fontId="0" fillId="0" borderId="23" xfId="0" quotePrefix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/>
      <protection locked="0"/>
    </xf>
    <xf numFmtId="0" fontId="0" fillId="0" borderId="10" xfId="0" quotePrefix="1" applyBorder="1" applyAlignment="1" applyProtection="1">
      <alignment horizontal="center" vertical="center"/>
      <protection locked="0"/>
    </xf>
    <xf numFmtId="0" fontId="0" fillId="9" borderId="0" xfId="0" applyFill="1"/>
    <xf numFmtId="0" fontId="58" fillId="9" borderId="0" xfId="0" applyFont="1" applyFill="1" applyAlignment="1">
      <alignment vertical="center"/>
    </xf>
    <xf numFmtId="0" fontId="0" fillId="9" borderId="0" xfId="0" applyFill="1" applyProtection="1"/>
    <xf numFmtId="0" fontId="58" fillId="9" borderId="0" xfId="0" applyFont="1" applyFill="1" applyAlignment="1" applyProtection="1">
      <alignment vertical="center"/>
    </xf>
    <xf numFmtId="0" fontId="0" fillId="6" borderId="16" xfId="0" applyFill="1" applyBorder="1" applyProtection="1"/>
    <xf numFmtId="0" fontId="0" fillId="6" borderId="17" xfId="0" applyFill="1" applyBorder="1" applyProtection="1"/>
    <xf numFmtId="0" fontId="0" fillId="6" borderId="34" xfId="0" applyFill="1" applyBorder="1" applyProtection="1"/>
    <xf numFmtId="0" fontId="0" fillId="6" borderId="35" xfId="0" applyFill="1" applyBorder="1" applyProtection="1"/>
    <xf numFmtId="0" fontId="0" fillId="6" borderId="18" xfId="0" applyFill="1" applyBorder="1" applyProtection="1"/>
    <xf numFmtId="0" fontId="0" fillId="6" borderId="19" xfId="0" applyFill="1" applyBorder="1" applyProtection="1"/>
    <xf numFmtId="0" fontId="0" fillId="0" borderId="10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left"/>
      <protection locked="0"/>
    </xf>
    <xf numFmtId="0" fontId="0" fillId="0" borderId="0" xfId="0" quotePrefix="1" applyAlignment="1" applyProtection="1">
      <alignment horizontal="center"/>
      <protection locked="0"/>
    </xf>
    <xf numFmtId="0" fontId="65" fillId="10" borderId="15" xfId="0" applyFont="1" applyFill="1" applyBorder="1" applyAlignment="1" applyProtection="1">
      <alignment horizontal="center" vertical="center"/>
      <protection locked="0"/>
    </xf>
    <xf numFmtId="0" fontId="65" fillId="0" borderId="10" xfId="0" applyFont="1" applyBorder="1" applyAlignment="1" applyProtection="1">
      <alignment horizontal="center" vertical="center"/>
      <protection locked="0"/>
    </xf>
    <xf numFmtId="0" fontId="65" fillId="11" borderId="10" xfId="0" applyFont="1" applyFill="1" applyBorder="1" applyAlignment="1" applyProtection="1">
      <alignment horizontal="center" vertical="center"/>
      <protection locked="0"/>
    </xf>
    <xf numFmtId="1" fontId="66" fillId="12" borderId="10" xfId="0" applyNumberFormat="1" applyFont="1" applyFill="1" applyBorder="1" applyAlignment="1" applyProtection="1">
      <alignment horizontal="center"/>
      <protection locked="0"/>
    </xf>
    <xf numFmtId="0" fontId="66" fillId="5" borderId="10" xfId="0" applyFont="1" applyFill="1" applyBorder="1" applyAlignment="1" applyProtection="1">
      <alignment horizontal="center"/>
      <protection locked="0"/>
    </xf>
    <xf numFmtId="0" fontId="65" fillId="0" borderId="15" xfId="0" applyFont="1" applyBorder="1" applyAlignment="1" applyProtection="1">
      <alignment horizontal="center" vertical="center"/>
      <protection locked="0"/>
    </xf>
    <xf numFmtId="0" fontId="65" fillId="11" borderId="15" xfId="0" applyFont="1" applyFill="1" applyBorder="1" applyAlignment="1" applyProtection="1">
      <alignment horizontal="center" vertical="center"/>
      <protection locked="0"/>
    </xf>
    <xf numFmtId="1" fontId="66" fillId="12" borderId="15" xfId="0" applyNumberFormat="1" applyFont="1" applyFill="1" applyBorder="1" applyAlignment="1" applyProtection="1">
      <alignment horizontal="center"/>
      <protection locked="0"/>
    </xf>
    <xf numFmtId="0" fontId="66" fillId="5" borderId="15" xfId="0" applyFont="1" applyFill="1" applyBorder="1" applyAlignment="1" applyProtection="1">
      <alignment horizontal="center"/>
      <protection locked="0"/>
    </xf>
    <xf numFmtId="0" fontId="0" fillId="0" borderId="10" xfId="0" applyBorder="1" applyProtection="1"/>
    <xf numFmtId="0" fontId="67" fillId="0" borderId="10" xfId="0" applyNumberFormat="1" applyFont="1" applyBorder="1" applyProtection="1"/>
    <xf numFmtId="0" fontId="67" fillId="0" borderId="10" xfId="0" applyNumberFormat="1" applyFont="1" applyBorder="1" applyAlignment="1" applyProtection="1">
      <alignment horizontal="center"/>
    </xf>
    <xf numFmtId="0" fontId="67" fillId="5" borderId="10" xfId="0" applyNumberFormat="1" applyFont="1" applyFill="1" applyBorder="1" applyAlignment="1" applyProtection="1">
      <alignment wrapText="1"/>
    </xf>
    <xf numFmtId="0" fontId="0" fillId="0" borderId="10" xfId="0" applyNumberFormat="1" applyBorder="1" applyProtection="1"/>
    <xf numFmtId="0" fontId="0" fillId="0" borderId="0" xfId="0" applyProtection="1"/>
    <xf numFmtId="0" fontId="68" fillId="0" borderId="10" xfId="0" applyFont="1" applyBorder="1" applyAlignment="1" applyProtection="1">
      <alignment horizontal="center"/>
      <protection locked="0"/>
    </xf>
    <xf numFmtId="0" fontId="68" fillId="0" borderId="10" xfId="0" applyFont="1" applyBorder="1" applyAlignment="1" applyProtection="1">
      <alignment horizontal="right"/>
      <protection locked="0"/>
    </xf>
    <xf numFmtId="0" fontId="68" fillId="0" borderId="10" xfId="0" applyNumberFormat="1" applyFont="1" applyBorder="1" applyProtection="1">
      <protection locked="0"/>
    </xf>
    <xf numFmtId="0" fontId="68" fillId="0" borderId="0" xfId="0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NumberFormat="1" applyAlignment="1" applyProtection="1">
      <alignment horizontal="center"/>
      <protection locked="0"/>
    </xf>
    <xf numFmtId="0" fontId="67" fillId="0" borderId="10" xfId="0" applyNumberFormat="1" applyFont="1" applyBorder="1" applyAlignment="1" applyProtection="1">
      <alignment horizontal="center"/>
      <protection locked="0"/>
    </xf>
    <xf numFmtId="0" fontId="67" fillId="5" borderId="10" xfId="0" applyNumberFormat="1" applyFont="1" applyFill="1" applyBorder="1" applyAlignment="1" applyProtection="1">
      <alignment wrapText="1"/>
      <protection locked="0"/>
    </xf>
    <xf numFmtId="0" fontId="0" fillId="0" borderId="10" xfId="0" applyNumberFormat="1" applyBorder="1" applyProtection="1">
      <protection locked="0"/>
    </xf>
    <xf numFmtId="0" fontId="0" fillId="0" borderId="10" xfId="0" applyNumberFormat="1" applyFont="1" applyFill="1" applyBorder="1" applyAlignment="1" applyProtection="1">
      <alignment horizontal="left" vertical="center" wrapText="1"/>
      <protection locked="0"/>
    </xf>
    <xf numFmtId="0" fontId="0" fillId="5" borderId="10" xfId="0" applyNumberFormat="1" applyFont="1" applyFill="1" applyBorder="1" applyAlignment="1" applyProtection="1">
      <alignment horizontal="center" vertical="center" wrapText="1"/>
      <protection locked="0"/>
    </xf>
    <xf numFmtId="0" fontId="67" fillId="0" borderId="10" xfId="0" applyNumberFormat="1" applyFont="1" applyBorder="1" applyAlignment="1" applyProtection="1">
      <alignment wrapText="1"/>
      <protection locked="0"/>
    </xf>
    <xf numFmtId="0" fontId="67" fillId="0" borderId="10" xfId="0" applyNumberFormat="1" applyFont="1" applyBorder="1" applyAlignment="1" applyProtection="1">
      <alignment vertical="top" wrapText="1"/>
      <protection locked="0"/>
    </xf>
    <xf numFmtId="1" fontId="63" fillId="0" borderId="10" xfId="0" applyNumberFormat="1" applyFont="1" applyFill="1" applyBorder="1" applyAlignment="1" applyProtection="1">
      <alignment horizontal="center" vertical="center" wrapText="1"/>
      <protection locked="0"/>
    </xf>
    <xf numFmtId="1" fontId="64" fillId="0" borderId="10" xfId="0" applyNumberFormat="1" applyFont="1" applyFill="1" applyBorder="1" applyAlignment="1" applyProtection="1">
      <alignment horizontal="center" wrapText="1"/>
      <protection locked="0"/>
    </xf>
    <xf numFmtId="1" fontId="63" fillId="0" borderId="10" xfId="0" applyNumberFormat="1" applyFont="1" applyFill="1" applyBorder="1" applyAlignment="1" applyProtection="1">
      <alignment horizontal="center" wrapText="1"/>
      <protection locked="0"/>
    </xf>
    <xf numFmtId="1" fontId="62" fillId="0" borderId="10" xfId="0" applyNumberFormat="1" applyFont="1" applyFill="1" applyBorder="1" applyAlignment="1" applyProtection="1">
      <alignment horizontal="center" wrapText="1"/>
      <protection locked="0"/>
    </xf>
    <xf numFmtId="0" fontId="1" fillId="13" borderId="0" xfId="2" applyFill="1" applyProtection="1">
      <protection locked="0"/>
    </xf>
    <xf numFmtId="0" fontId="1" fillId="14" borderId="33" xfId="2" applyFill="1" applyBorder="1" applyProtection="1">
      <protection locked="0"/>
    </xf>
    <xf numFmtId="0" fontId="36" fillId="14" borderId="33" xfId="2" applyFont="1" applyFill="1" applyBorder="1" applyAlignment="1" applyProtection="1">
      <protection locked="0"/>
    </xf>
    <xf numFmtId="0" fontId="1" fillId="14" borderId="0" xfId="2" applyFill="1" applyBorder="1" applyProtection="1">
      <protection locked="0"/>
    </xf>
    <xf numFmtId="0" fontId="37" fillId="14" borderId="0" xfId="2" applyFont="1" applyFill="1" applyBorder="1" applyAlignment="1" applyProtection="1">
      <alignment vertical="center"/>
      <protection locked="0"/>
    </xf>
    <xf numFmtId="1" fontId="8" fillId="3" borderId="0" xfId="0" applyNumberFormat="1" applyFont="1" applyFill="1" applyAlignment="1" applyProtection="1">
      <alignment horizontal="left"/>
    </xf>
    <xf numFmtId="49" fontId="0" fillId="0" borderId="0" xfId="0" applyNumberFormat="1" applyProtection="1"/>
    <xf numFmtId="49" fontId="13" fillId="3" borderId="0" xfId="0" applyNumberFormat="1" applyFont="1" applyFill="1" applyBorder="1" applyAlignment="1" applyProtection="1">
      <alignment horizontal="left"/>
    </xf>
    <xf numFmtId="0" fontId="0" fillId="0" borderId="11" xfId="0" applyBorder="1" applyAlignment="1" applyProtection="1">
      <alignment horizontal="center" vertical="center"/>
      <protection locked="0"/>
    </xf>
    <xf numFmtId="20" fontId="0" fillId="0" borderId="12" xfId="0" quotePrefix="1" applyNumberFormat="1" applyBorder="1" applyAlignment="1" applyProtection="1">
      <alignment horizontal="center" vertical="center" wrapText="1"/>
      <protection locked="0"/>
    </xf>
    <xf numFmtId="20" fontId="0" fillId="0" borderId="10" xfId="0" quotePrefix="1" applyNumberFormat="1" applyBorder="1" applyAlignment="1" applyProtection="1">
      <alignment horizontal="center" vertical="center" wrapText="1"/>
      <protection locked="0"/>
    </xf>
    <xf numFmtId="0" fontId="0" fillId="0" borderId="10" xfId="0" quotePrefix="1" applyBorder="1" applyAlignment="1" applyProtection="1">
      <alignment horizontal="center" vertical="center" wrapText="1"/>
      <protection locked="0"/>
    </xf>
    <xf numFmtId="0" fontId="23" fillId="0" borderId="10" xfId="0" applyFont="1" applyBorder="1" applyAlignment="1" applyProtection="1">
      <alignment horizontal="center" vertical="center"/>
      <protection locked="0"/>
    </xf>
    <xf numFmtId="0" fontId="6" fillId="0" borderId="10" xfId="0" applyNumberFormat="1" applyFont="1" applyFill="1" applyBorder="1" applyAlignment="1" applyProtection="1">
      <alignment horizontal="left" vertical="top"/>
    </xf>
    <xf numFmtId="0" fontId="2" fillId="12" borderId="10" xfId="0" applyFont="1" applyFill="1" applyBorder="1" applyAlignment="1" applyProtection="1">
      <alignment horizontal="center" vertical="center"/>
    </xf>
    <xf numFmtId="0" fontId="2" fillId="16" borderId="10" xfId="0" applyFont="1" applyFill="1" applyBorder="1" applyAlignment="1" applyProtection="1">
      <alignment horizontal="center" vertical="center"/>
    </xf>
    <xf numFmtId="0" fontId="72" fillId="2" borderId="10" xfId="0" applyFont="1" applyFill="1" applyBorder="1" applyAlignment="1" applyProtection="1">
      <alignment horizontal="center" vertical="center" wrapText="1"/>
      <protection locked="0"/>
    </xf>
    <xf numFmtId="0" fontId="17" fillId="0" borderId="0" xfId="0" quotePrefix="1" applyFont="1" applyProtection="1"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164" fontId="34" fillId="0" borderId="0" xfId="0" applyNumberFormat="1" applyFont="1" applyBorder="1" applyAlignment="1" applyProtection="1">
      <alignment horizontal="center" vertical="center"/>
      <protection locked="0"/>
    </xf>
    <xf numFmtId="1" fontId="2" fillId="0" borderId="0" xfId="0" applyNumberFormat="1" applyFont="1" applyBorder="1" applyAlignment="1" applyProtection="1">
      <alignment horizontal="center" vertical="center"/>
    </xf>
    <xf numFmtId="1" fontId="34" fillId="0" borderId="0" xfId="0" applyNumberFormat="1" applyFont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left" vertical="center" wrapText="1"/>
      <protection locked="0"/>
    </xf>
    <xf numFmtId="164" fontId="34" fillId="0" borderId="13" xfId="0" applyNumberFormat="1" applyFont="1" applyBorder="1" applyAlignment="1" applyProtection="1">
      <alignment horizontal="center" vertical="center"/>
      <protection locked="0"/>
    </xf>
    <xf numFmtId="1" fontId="2" fillId="0" borderId="13" xfId="0" applyNumberFormat="1" applyFont="1" applyBorder="1" applyAlignment="1" applyProtection="1">
      <alignment horizontal="center" vertical="center"/>
    </xf>
    <xf numFmtId="1" fontId="34" fillId="0" borderId="13" xfId="0" applyNumberFormat="1" applyFont="1" applyBorder="1" applyAlignment="1" applyProtection="1">
      <alignment horizontal="center" vertical="center"/>
      <protection locked="0"/>
    </xf>
    <xf numFmtId="1" fontId="2" fillId="0" borderId="12" xfId="0" applyNumberFormat="1" applyFont="1" applyBorder="1" applyAlignment="1" applyProtection="1">
      <alignment horizontal="center" vertical="center"/>
    </xf>
    <xf numFmtId="0" fontId="0" fillId="0" borderId="34" xfId="0" quotePrefix="1" applyBorder="1" applyAlignment="1" applyProtection="1">
      <alignment horizontal="center" vertical="center"/>
    </xf>
    <xf numFmtId="0" fontId="0" fillId="0" borderId="10" xfId="0" applyBorder="1" applyAlignment="1" applyProtection="1">
      <alignment horizontal="left" vertical="center"/>
      <protection locked="0"/>
    </xf>
    <xf numFmtId="0" fontId="3" fillId="0" borderId="10" xfId="0" applyFont="1" applyBorder="1" applyAlignment="1" applyProtection="1">
      <alignment horizontal="center"/>
    </xf>
    <xf numFmtId="0" fontId="0" fillId="0" borderId="11" xfId="0" applyBorder="1" applyProtection="1"/>
    <xf numFmtId="0" fontId="0" fillId="0" borderId="13" xfId="0" applyBorder="1" applyAlignment="1" applyProtection="1"/>
    <xf numFmtId="0" fontId="0" fillId="0" borderId="12" xfId="0" applyBorder="1" applyAlignment="1" applyProtection="1"/>
    <xf numFmtId="0" fontId="1" fillId="17" borderId="0" xfId="2" applyFill="1" applyBorder="1" applyProtection="1">
      <protection locked="0"/>
    </xf>
    <xf numFmtId="0" fontId="1" fillId="17" borderId="36" xfId="2" applyFill="1" applyBorder="1" applyProtection="1"/>
    <xf numFmtId="0" fontId="38" fillId="17" borderId="36" xfId="2" applyFont="1" applyFill="1" applyBorder="1" applyAlignment="1" applyProtection="1">
      <alignment vertical="center"/>
      <protection locked="0"/>
    </xf>
    <xf numFmtId="0" fontId="38" fillId="17" borderId="0" xfId="2" applyFont="1" applyFill="1" applyBorder="1" applyAlignment="1" applyProtection="1">
      <alignment vertical="center"/>
      <protection locked="0"/>
    </xf>
    <xf numFmtId="0" fontId="1" fillId="17" borderId="0" xfId="2" applyFill="1" applyBorder="1" applyProtection="1"/>
    <xf numFmtId="0" fontId="1" fillId="17" borderId="0" xfId="2" applyFill="1" applyProtection="1">
      <protection locked="0"/>
    </xf>
    <xf numFmtId="0" fontId="39" fillId="17" borderId="0" xfId="2" applyFont="1" applyFill="1" applyProtection="1">
      <protection locked="0"/>
    </xf>
    <xf numFmtId="0" fontId="38" fillId="17" borderId="0" xfId="2" applyFont="1" applyFill="1" applyBorder="1" applyAlignment="1" applyProtection="1">
      <alignment horizontal="center" vertical="center"/>
      <protection locked="0"/>
    </xf>
    <xf numFmtId="0" fontId="39" fillId="17" borderId="0" xfId="2" applyFont="1" applyFill="1" applyBorder="1" applyProtection="1"/>
    <xf numFmtId="0" fontId="40" fillId="17" borderId="0" xfId="2" applyFont="1" applyFill="1" applyBorder="1" applyAlignment="1" applyProtection="1">
      <alignment vertical="center" textRotation="255"/>
    </xf>
    <xf numFmtId="0" fontId="41" fillId="17" borderId="0" xfId="2" applyFont="1" applyFill="1" applyBorder="1" applyAlignment="1" applyProtection="1">
      <alignment horizontal="center" vertical="center"/>
      <protection locked="0"/>
    </xf>
    <xf numFmtId="0" fontId="42" fillId="17" borderId="0" xfId="2" applyFont="1" applyFill="1" applyBorder="1" applyAlignment="1" applyProtection="1">
      <alignment horizontal="center" vertical="center"/>
      <protection locked="0"/>
    </xf>
    <xf numFmtId="0" fontId="40" fillId="17" borderId="0" xfId="2" applyFont="1" applyFill="1" applyBorder="1" applyAlignment="1" applyProtection="1">
      <alignment vertical="center" textRotation="255"/>
      <protection locked="0"/>
    </xf>
    <xf numFmtId="0" fontId="45" fillId="17" borderId="0" xfId="2" applyFont="1" applyFill="1" applyProtection="1">
      <protection locked="0"/>
    </xf>
    <xf numFmtId="1" fontId="45" fillId="17" borderId="0" xfId="2" quotePrefix="1" applyNumberFormat="1" applyFont="1" applyFill="1" applyProtection="1">
      <protection locked="0"/>
    </xf>
    <xf numFmtId="1" fontId="45" fillId="17" borderId="0" xfId="2" applyNumberFormat="1" applyFont="1" applyFill="1" applyAlignment="1" applyProtection="1">
      <alignment horizontal="left" vertical="center"/>
      <protection locked="0"/>
    </xf>
    <xf numFmtId="0" fontId="46" fillId="17" borderId="0" xfId="2" applyFont="1" applyFill="1" applyAlignment="1" applyProtection="1">
      <alignment horizontal="left" vertical="center"/>
      <protection locked="0"/>
    </xf>
    <xf numFmtId="0" fontId="46" fillId="17" borderId="0" xfId="2" applyFont="1" applyFill="1" applyProtection="1">
      <protection locked="0"/>
    </xf>
    <xf numFmtId="0" fontId="47" fillId="17" borderId="0" xfId="2" applyFont="1" applyFill="1" applyBorder="1" applyAlignment="1" applyProtection="1">
      <protection locked="0"/>
    </xf>
    <xf numFmtId="0" fontId="43" fillId="17" borderId="0" xfId="2" applyFont="1" applyFill="1" applyBorder="1" applyAlignment="1" applyProtection="1">
      <alignment horizontal="right"/>
      <protection locked="0"/>
    </xf>
    <xf numFmtId="0" fontId="33" fillId="17" borderId="0" xfId="2" applyFont="1" applyFill="1" applyBorder="1" applyProtection="1">
      <protection locked="0"/>
    </xf>
    <xf numFmtId="1" fontId="61" fillId="17" borderId="33" xfId="2" applyNumberFormat="1" applyFont="1" applyFill="1" applyBorder="1" applyAlignment="1" applyProtection="1">
      <alignment vertical="center"/>
      <protection locked="0"/>
    </xf>
    <xf numFmtId="2" fontId="45" fillId="17" borderId="0" xfId="2" applyNumberFormat="1" applyFont="1" applyFill="1" applyBorder="1" applyAlignment="1" applyProtection="1">
      <alignment horizontal="center"/>
      <protection locked="0"/>
    </xf>
    <xf numFmtId="2" fontId="48" fillId="17" borderId="0" xfId="2" applyNumberFormat="1" applyFont="1" applyFill="1" applyBorder="1" applyAlignment="1" applyProtection="1">
      <alignment horizontal="center"/>
      <protection locked="0"/>
    </xf>
    <xf numFmtId="0" fontId="50" fillId="17" borderId="0" xfId="3" applyFont="1" applyFill="1" applyAlignment="1" applyProtection="1">
      <alignment horizontal="center" vertical="center"/>
    </xf>
    <xf numFmtId="0" fontId="1" fillId="17" borderId="0" xfId="2" applyFill="1" applyProtection="1"/>
    <xf numFmtId="0" fontId="53" fillId="17" borderId="0" xfId="2" applyFont="1" applyFill="1" applyBorder="1" applyAlignment="1" applyProtection="1">
      <alignment wrapText="1"/>
    </xf>
    <xf numFmtId="0" fontId="44" fillId="18" borderId="33" xfId="2" applyFont="1" applyFill="1" applyBorder="1" applyProtection="1">
      <protection locked="0"/>
    </xf>
    <xf numFmtId="49" fontId="45" fillId="18" borderId="33" xfId="2" applyNumberFormat="1" applyFont="1" applyFill="1" applyBorder="1" applyProtection="1">
      <protection locked="0"/>
    </xf>
    <xf numFmtId="49" fontId="45" fillId="18" borderId="17" xfId="2" applyNumberFormat="1" applyFont="1" applyFill="1" applyBorder="1" applyProtection="1">
      <protection locked="0"/>
    </xf>
    <xf numFmtId="0" fontId="44" fillId="18" borderId="0" xfId="2" applyFont="1" applyFill="1" applyBorder="1" applyProtection="1">
      <protection locked="0"/>
    </xf>
    <xf numFmtId="49" fontId="45" fillId="18" borderId="0" xfId="2" applyNumberFormat="1" applyFont="1" applyFill="1" applyBorder="1" applyProtection="1">
      <protection locked="0"/>
    </xf>
    <xf numFmtId="49" fontId="45" fillId="18" borderId="35" xfId="2" quotePrefix="1" applyNumberFormat="1" applyFont="1" applyFill="1" applyBorder="1" applyProtection="1">
      <protection locked="0"/>
    </xf>
    <xf numFmtId="49" fontId="46" fillId="18" borderId="0" xfId="2" applyNumberFormat="1" applyFont="1" applyFill="1" applyBorder="1" applyProtection="1">
      <protection locked="0"/>
    </xf>
    <xf numFmtId="49" fontId="46" fillId="18" borderId="35" xfId="2" applyNumberFormat="1" applyFont="1" applyFill="1" applyBorder="1" applyProtection="1">
      <protection locked="0"/>
    </xf>
    <xf numFmtId="0" fontId="24" fillId="20" borderId="10" xfId="0" applyFont="1" applyFill="1" applyBorder="1" applyAlignment="1" applyProtection="1">
      <alignment horizontal="center" vertical="center"/>
      <protection locked="0"/>
    </xf>
    <xf numFmtId="0" fontId="0" fillId="9" borderId="10" xfId="0" applyFill="1" applyBorder="1" applyAlignment="1" applyProtection="1">
      <alignment horizontal="center" vertical="center"/>
      <protection locked="0"/>
    </xf>
    <xf numFmtId="0" fontId="0" fillId="21" borderId="10" xfId="0" applyFill="1" applyBorder="1" applyAlignment="1" applyProtection="1">
      <alignment horizontal="center" vertical="center"/>
      <protection locked="0"/>
    </xf>
    <xf numFmtId="0" fontId="73" fillId="5" borderId="10" xfId="0" applyNumberFormat="1" applyFont="1" applyFill="1" applyBorder="1" applyAlignment="1" applyProtection="1">
      <alignment horizontal="center" vertical="center"/>
      <protection locked="0"/>
    </xf>
    <xf numFmtId="0" fontId="24" fillId="14" borderId="10" xfId="0" applyFont="1" applyFill="1" applyBorder="1" applyAlignment="1" applyProtection="1">
      <alignment horizontal="center" vertical="center"/>
      <protection locked="0"/>
    </xf>
    <xf numFmtId="0" fontId="24" fillId="22" borderId="10" xfId="0" applyFont="1" applyFill="1" applyBorder="1" applyAlignment="1" applyProtection="1">
      <alignment horizontal="center" vertical="center"/>
      <protection locked="0"/>
    </xf>
    <xf numFmtId="0" fontId="4" fillId="5" borderId="11" xfId="0" applyFont="1" applyFill="1" applyBorder="1" applyAlignment="1" applyProtection="1">
      <alignment horizontal="center" vertical="center"/>
      <protection locked="0"/>
    </xf>
    <xf numFmtId="1" fontId="63" fillId="22" borderId="10" xfId="0" applyNumberFormat="1" applyFont="1" applyFill="1" applyBorder="1" applyAlignment="1" applyProtection="1">
      <alignment horizontal="center" vertical="center" wrapText="1"/>
      <protection locked="0"/>
    </xf>
    <xf numFmtId="0" fontId="0" fillId="22" borderId="10" xfId="0" applyFill="1" applyBorder="1" applyAlignment="1" applyProtection="1">
      <alignment horizontal="center" vertical="center"/>
      <protection locked="0"/>
    </xf>
    <xf numFmtId="0" fontId="62" fillId="10" borderId="15" xfId="0" applyFont="1" applyFill="1" applyBorder="1" applyAlignment="1" applyProtection="1">
      <alignment horizontal="center" vertical="center" wrapText="1"/>
      <protection locked="0"/>
    </xf>
    <xf numFmtId="0" fontId="62" fillId="11" borderId="10" xfId="0" applyFont="1" applyFill="1" applyBorder="1" applyAlignment="1" applyProtection="1">
      <alignment horizontal="center" vertical="center" wrapText="1"/>
      <protection locked="0"/>
    </xf>
    <xf numFmtId="0" fontId="62" fillId="11" borderId="11" xfId="0" applyFont="1" applyFill="1" applyBorder="1" applyAlignment="1" applyProtection="1">
      <alignment horizontal="center" vertical="center" wrapText="1"/>
      <protection locked="0"/>
    </xf>
    <xf numFmtId="0" fontId="76" fillId="5" borderId="10" xfId="0" applyNumberFormat="1" applyFont="1" applyFill="1" applyBorder="1" applyAlignment="1" applyProtection="1">
      <alignment horizontal="center" vertical="center"/>
      <protection locked="0"/>
    </xf>
    <xf numFmtId="2" fontId="2" fillId="0" borderId="10" xfId="0" applyNumberFormat="1" applyFont="1" applyBorder="1" applyAlignment="1" applyProtection="1">
      <alignment horizontal="center" vertical="center"/>
    </xf>
    <xf numFmtId="49" fontId="8" fillId="3" borderId="0" xfId="0" applyNumberFormat="1" applyFont="1" applyFill="1" applyProtection="1"/>
    <xf numFmtId="0" fontId="77" fillId="18" borderId="16" xfId="2" applyFont="1" applyFill="1" applyBorder="1" applyAlignment="1" applyProtection="1">
      <alignment horizontal="right"/>
      <protection locked="0"/>
    </xf>
    <xf numFmtId="0" fontId="77" fillId="18" borderId="34" xfId="2" applyFont="1" applyFill="1" applyBorder="1" applyAlignment="1" applyProtection="1">
      <alignment horizontal="right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74" fillId="14" borderId="0" xfId="2" applyFont="1" applyFill="1" applyBorder="1" applyAlignment="1" applyProtection="1">
      <alignment horizontal="center"/>
      <protection locked="0"/>
    </xf>
    <xf numFmtId="0" fontId="75" fillId="14" borderId="0" xfId="2" applyFont="1" applyFill="1" applyBorder="1" applyAlignment="1" applyProtection="1">
      <alignment horizontal="center" vertical="center" wrapText="1"/>
      <protection locked="0"/>
    </xf>
    <xf numFmtId="0" fontId="57" fillId="14" borderId="0" xfId="2" applyFont="1" applyFill="1" applyBorder="1" applyAlignment="1" applyProtection="1">
      <alignment horizontal="center" vertical="center" wrapText="1"/>
      <protection locked="0"/>
    </xf>
    <xf numFmtId="0" fontId="56" fillId="0" borderId="0" xfId="2" applyFont="1" applyAlignment="1" applyProtection="1">
      <alignment horizontal="center" vertical="center"/>
    </xf>
    <xf numFmtId="0" fontId="38" fillId="17" borderId="0" xfId="2" applyFont="1" applyFill="1" applyBorder="1" applyAlignment="1" applyProtection="1">
      <alignment horizontal="center"/>
    </xf>
    <xf numFmtId="0" fontId="60" fillId="17" borderId="0" xfId="1" applyFont="1" applyFill="1" applyBorder="1" applyAlignment="1" applyProtection="1">
      <alignment horizontal="center" vertical="center" wrapText="1"/>
    </xf>
    <xf numFmtId="0" fontId="52" fillId="17" borderId="0" xfId="2" applyFont="1" applyFill="1" applyBorder="1" applyAlignment="1" applyProtection="1">
      <alignment horizontal="center"/>
    </xf>
    <xf numFmtId="0" fontId="53" fillId="17" borderId="0" xfId="2" applyFont="1" applyFill="1" applyBorder="1" applyAlignment="1" applyProtection="1">
      <alignment horizontal="center" vertical="top" wrapText="1"/>
    </xf>
    <xf numFmtId="49" fontId="45" fillId="18" borderId="0" xfId="2" applyNumberFormat="1" applyFont="1" applyFill="1" applyBorder="1" applyAlignment="1" applyProtection="1">
      <alignment horizontal="left" vertical="center"/>
      <protection locked="0"/>
    </xf>
    <xf numFmtId="49" fontId="45" fillId="18" borderId="35" xfId="2" applyNumberFormat="1" applyFont="1" applyFill="1" applyBorder="1" applyAlignment="1" applyProtection="1">
      <alignment horizontal="left" vertical="center"/>
      <protection locked="0"/>
    </xf>
    <xf numFmtId="49" fontId="46" fillId="18" borderId="0" xfId="2" applyNumberFormat="1" applyFont="1" applyFill="1" applyBorder="1" applyAlignment="1" applyProtection="1">
      <alignment horizontal="left" vertical="center"/>
      <protection locked="0"/>
    </xf>
    <xf numFmtId="49" fontId="46" fillId="18" borderId="35" xfId="2" applyNumberFormat="1" applyFont="1" applyFill="1" applyBorder="1" applyAlignment="1" applyProtection="1">
      <alignment horizontal="left" vertical="center"/>
      <protection locked="0"/>
    </xf>
    <xf numFmtId="0" fontId="54" fillId="18" borderId="18" xfId="2" applyFont="1" applyFill="1" applyBorder="1" applyAlignment="1" applyProtection="1">
      <alignment horizontal="center"/>
      <protection locked="0"/>
    </xf>
    <xf numFmtId="0" fontId="54" fillId="18" borderId="36" xfId="2" applyFont="1" applyFill="1" applyBorder="1" applyAlignment="1" applyProtection="1">
      <alignment horizontal="center"/>
      <protection locked="0"/>
    </xf>
    <xf numFmtId="0" fontId="54" fillId="18" borderId="19" xfId="2" applyFont="1" applyFill="1" applyBorder="1" applyAlignment="1" applyProtection="1">
      <alignment horizontal="center"/>
      <protection locked="0"/>
    </xf>
    <xf numFmtId="0" fontId="51" fillId="17" borderId="0" xfId="2" applyFont="1" applyFill="1" applyBorder="1" applyAlignment="1" applyProtection="1">
      <alignment horizontal="center"/>
    </xf>
    <xf numFmtId="0" fontId="69" fillId="9" borderId="16" xfId="2" applyFont="1" applyFill="1" applyBorder="1" applyAlignment="1" applyProtection="1">
      <alignment horizontal="center" vertical="center"/>
    </xf>
    <xf numFmtId="0" fontId="69" fillId="9" borderId="33" xfId="2" applyFont="1" applyFill="1" applyBorder="1" applyAlignment="1" applyProtection="1">
      <alignment horizontal="center" vertical="center"/>
    </xf>
    <xf numFmtId="0" fontId="69" fillId="9" borderId="17" xfId="2" applyFont="1" applyFill="1" applyBorder="1" applyAlignment="1" applyProtection="1">
      <alignment horizontal="center" vertical="center"/>
    </xf>
    <xf numFmtId="0" fontId="69" fillId="9" borderId="34" xfId="2" applyFont="1" applyFill="1" applyBorder="1" applyAlignment="1" applyProtection="1">
      <alignment horizontal="center" vertical="center"/>
    </xf>
    <xf numFmtId="0" fontId="69" fillId="9" borderId="0" xfId="2" applyFont="1" applyFill="1" applyBorder="1" applyAlignment="1" applyProtection="1">
      <alignment horizontal="center" vertical="center"/>
    </xf>
    <xf numFmtId="0" fontId="69" fillId="9" borderId="35" xfId="2" applyFont="1" applyFill="1" applyBorder="1" applyAlignment="1" applyProtection="1">
      <alignment horizontal="center" vertical="center"/>
    </xf>
    <xf numFmtId="0" fontId="69" fillId="9" borderId="18" xfId="2" applyFont="1" applyFill="1" applyBorder="1" applyAlignment="1" applyProtection="1">
      <alignment horizontal="center" vertical="center"/>
    </xf>
    <xf numFmtId="0" fontId="69" fillId="9" borderId="36" xfId="2" applyFont="1" applyFill="1" applyBorder="1" applyAlignment="1" applyProtection="1">
      <alignment horizontal="center" vertical="center"/>
    </xf>
    <xf numFmtId="0" fontId="69" fillId="9" borderId="19" xfId="2" applyFont="1" applyFill="1" applyBorder="1" applyAlignment="1" applyProtection="1">
      <alignment horizontal="center" vertical="center"/>
    </xf>
    <xf numFmtId="0" fontId="70" fillId="19" borderId="16" xfId="2" applyFont="1" applyFill="1" applyBorder="1" applyAlignment="1" applyProtection="1">
      <alignment horizontal="center" vertical="center" wrapText="1"/>
    </xf>
    <xf numFmtId="0" fontId="70" fillId="19" borderId="33" xfId="2" applyFont="1" applyFill="1" applyBorder="1" applyAlignment="1" applyProtection="1">
      <alignment horizontal="center" vertical="center" wrapText="1"/>
    </xf>
    <xf numFmtId="0" fontId="70" fillId="19" borderId="17" xfId="2" applyFont="1" applyFill="1" applyBorder="1" applyAlignment="1" applyProtection="1">
      <alignment horizontal="center" vertical="center" wrapText="1"/>
    </xf>
    <xf numFmtId="0" fontId="70" fillId="19" borderId="34" xfId="2" applyFont="1" applyFill="1" applyBorder="1" applyAlignment="1" applyProtection="1">
      <alignment horizontal="center" vertical="center" wrapText="1"/>
    </xf>
    <xf numFmtId="0" fontId="70" fillId="19" borderId="0" xfId="2" applyFont="1" applyFill="1" applyBorder="1" applyAlignment="1" applyProtection="1">
      <alignment horizontal="center" vertical="center" wrapText="1"/>
    </xf>
    <xf numFmtId="0" fontId="70" fillId="19" borderId="35" xfId="2" applyFont="1" applyFill="1" applyBorder="1" applyAlignment="1" applyProtection="1">
      <alignment horizontal="center" vertical="center" wrapText="1"/>
    </xf>
    <xf numFmtId="0" fontId="70" fillId="19" borderId="18" xfId="2" applyFont="1" applyFill="1" applyBorder="1" applyAlignment="1" applyProtection="1">
      <alignment horizontal="center" vertical="center" wrapText="1"/>
    </xf>
    <xf numFmtId="0" fontId="70" fillId="19" borderId="36" xfId="2" applyFont="1" applyFill="1" applyBorder="1" applyAlignment="1" applyProtection="1">
      <alignment horizontal="center" vertical="center" wrapText="1"/>
    </xf>
    <xf numFmtId="0" fontId="70" fillId="19" borderId="19" xfId="2" applyFont="1" applyFill="1" applyBorder="1" applyAlignment="1" applyProtection="1">
      <alignment horizontal="center" vertical="center" wrapText="1"/>
    </xf>
    <xf numFmtId="0" fontId="0" fillId="6" borderId="34" xfId="0" applyFill="1" applyBorder="1" applyAlignment="1" applyProtection="1">
      <alignment horizontal="center"/>
    </xf>
    <xf numFmtId="0" fontId="0" fillId="6" borderId="35" xfId="0" applyFill="1" applyBorder="1" applyAlignment="1" applyProtection="1">
      <alignment horizontal="center"/>
    </xf>
    <xf numFmtId="0" fontId="58" fillId="5" borderId="0" xfId="0" applyFont="1" applyFill="1" applyAlignment="1" applyProtection="1">
      <alignment horizontal="center" vertical="center"/>
    </xf>
    <xf numFmtId="0" fontId="59" fillId="6" borderId="34" xfId="0" applyFont="1" applyFill="1" applyBorder="1" applyAlignment="1" applyProtection="1">
      <alignment horizontal="center"/>
    </xf>
    <xf numFmtId="0" fontId="59" fillId="6" borderId="35" xfId="0" applyFont="1" applyFill="1" applyBorder="1" applyAlignment="1" applyProtection="1">
      <alignment horizontal="center"/>
    </xf>
    <xf numFmtId="0" fontId="0" fillId="0" borderId="10" xfId="0" applyBorder="1" applyAlignment="1" applyProtection="1">
      <alignment horizontal="center"/>
    </xf>
    <xf numFmtId="0" fontId="28" fillId="0" borderId="29" xfId="0" applyFont="1" applyBorder="1" applyAlignment="1" applyProtection="1">
      <alignment horizontal="center" vertical="center" textRotation="90" shrinkToFit="1"/>
    </xf>
    <xf numFmtId="0" fontId="28" fillId="0" borderId="37" xfId="0" applyFont="1" applyBorder="1" applyAlignment="1" applyProtection="1">
      <alignment horizontal="center" vertical="center" textRotation="90" shrinkToFit="1"/>
    </xf>
    <xf numFmtId="0" fontId="28" fillId="0" borderId="10" xfId="0" applyFont="1" applyBorder="1" applyAlignment="1" applyProtection="1">
      <alignment horizontal="center" vertical="center" textRotation="90" shrinkToFit="1"/>
    </xf>
    <xf numFmtId="0" fontId="28" fillId="0" borderId="4" xfId="0" applyFont="1" applyBorder="1" applyAlignment="1" applyProtection="1">
      <alignment horizontal="center" vertical="center" textRotation="90" shrinkToFit="1"/>
    </xf>
    <xf numFmtId="0" fontId="28" fillId="0" borderId="30" xfId="0" applyFont="1" applyBorder="1" applyAlignment="1" applyProtection="1">
      <alignment horizontal="center" vertical="center" textRotation="90" shrinkToFit="1"/>
    </xf>
    <xf numFmtId="0" fontId="28" fillId="0" borderId="38" xfId="0" applyFont="1" applyBorder="1" applyAlignment="1" applyProtection="1">
      <alignment horizontal="center" vertical="center" textRotation="90" shrinkToFit="1"/>
    </xf>
    <xf numFmtId="0" fontId="55" fillId="7" borderId="0" xfId="1" applyFont="1" applyFill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left"/>
      <protection locked="0"/>
    </xf>
    <xf numFmtId="0" fontId="26" fillId="0" borderId="0" xfId="0" applyFont="1" applyAlignment="1" applyProtection="1">
      <alignment horizontal="center"/>
      <protection locked="0"/>
    </xf>
    <xf numFmtId="0" fontId="27" fillId="0" borderId="20" xfId="0" applyFont="1" applyBorder="1" applyAlignment="1" applyProtection="1">
      <alignment horizontal="center" vertical="center"/>
    </xf>
    <xf numFmtId="0" fontId="27" fillId="0" borderId="26" xfId="0" applyFont="1" applyBorder="1" applyAlignment="1" applyProtection="1">
      <alignment horizontal="center" vertical="center"/>
    </xf>
    <xf numFmtId="0" fontId="27" fillId="0" borderId="31" xfId="0" applyFont="1" applyBorder="1" applyAlignment="1" applyProtection="1">
      <alignment horizontal="center" vertical="center"/>
    </xf>
    <xf numFmtId="0" fontId="27" fillId="0" borderId="21" xfId="0" applyFont="1" applyBorder="1" applyAlignment="1" applyProtection="1">
      <alignment horizontal="justify" vertical="center"/>
    </xf>
    <xf numFmtId="0" fontId="27" fillId="0" borderId="27" xfId="0" applyFont="1" applyBorder="1" applyAlignment="1" applyProtection="1">
      <alignment horizontal="justify" vertical="center"/>
    </xf>
    <xf numFmtId="0" fontId="27" fillId="0" borderId="21" xfId="0" applyFont="1" applyBorder="1" applyAlignment="1" applyProtection="1">
      <alignment horizontal="center" vertical="center"/>
    </xf>
    <xf numFmtId="0" fontId="27" fillId="0" borderId="27" xfId="0" applyFont="1" applyBorder="1" applyAlignment="1" applyProtection="1">
      <alignment horizontal="center" vertical="center"/>
    </xf>
    <xf numFmtId="0" fontId="27" fillId="0" borderId="22" xfId="0" applyFont="1" applyBorder="1" applyAlignment="1" applyProtection="1">
      <alignment horizontal="center" vertical="center"/>
    </xf>
    <xf numFmtId="0" fontId="27" fillId="0" borderId="28" xfId="0" applyFont="1" applyBorder="1" applyAlignment="1" applyProtection="1">
      <alignment horizontal="center" vertical="center"/>
    </xf>
    <xf numFmtId="0" fontId="29" fillId="0" borderId="23" xfId="0" applyFont="1" applyBorder="1" applyAlignment="1" applyProtection="1">
      <alignment horizontal="center" vertical="center"/>
    </xf>
    <xf numFmtId="0" fontId="29" fillId="0" borderId="24" xfId="0" applyFont="1" applyBorder="1" applyAlignment="1" applyProtection="1">
      <alignment horizontal="center" vertical="center"/>
    </xf>
    <xf numFmtId="0" fontId="29" fillId="0" borderId="25" xfId="0" applyFont="1" applyBorder="1" applyAlignment="1" applyProtection="1">
      <alignment horizontal="center" vertical="center"/>
    </xf>
    <xf numFmtId="0" fontId="3" fillId="0" borderId="1" xfId="0" applyFont="1" applyBorder="1" applyAlignment="1" applyProtection="1">
      <alignment horizontal="left"/>
      <protection locked="0"/>
    </xf>
    <xf numFmtId="0" fontId="3" fillId="0" borderId="0" xfId="0" applyFont="1" applyAlignment="1" applyProtection="1">
      <alignment horizontal="left"/>
      <protection locked="0"/>
    </xf>
    <xf numFmtId="0" fontId="3" fillId="2" borderId="10" xfId="0" applyFont="1" applyFill="1" applyBorder="1" applyAlignment="1" applyProtection="1">
      <alignment horizontal="center" vertical="center"/>
      <protection locked="0"/>
    </xf>
    <xf numFmtId="0" fontId="3" fillId="2" borderId="2" xfId="0" applyFont="1" applyFill="1" applyBorder="1" applyAlignment="1" applyProtection="1">
      <alignment horizontal="center" vertical="center"/>
      <protection locked="0"/>
    </xf>
    <xf numFmtId="0" fontId="3" fillId="2" borderId="5" xfId="0" applyFont="1" applyFill="1" applyBorder="1" applyAlignment="1" applyProtection="1">
      <alignment horizontal="center" vertical="center"/>
      <protection locked="0"/>
    </xf>
    <xf numFmtId="0" fontId="3" fillId="2" borderId="3" xfId="0" applyFont="1" applyFill="1" applyBorder="1" applyAlignment="1" applyProtection="1">
      <alignment horizontal="center" vertical="center"/>
      <protection locked="0"/>
    </xf>
    <xf numFmtId="0" fontId="3" fillId="2" borderId="6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Border="1" applyAlignment="1" applyProtection="1">
      <alignment horizontal="center" vertical="center"/>
      <protection locked="0"/>
    </xf>
    <xf numFmtId="0" fontId="3" fillId="2" borderId="7" xfId="0" applyFont="1" applyFill="1" applyBorder="1" applyAlignment="1" applyProtection="1">
      <alignment horizontal="center" vertical="center"/>
      <protection locked="0"/>
    </xf>
    <xf numFmtId="0" fontId="3" fillId="2" borderId="9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3" fillId="2" borderId="8" xfId="0" applyFont="1" applyFill="1" applyBorder="1" applyAlignment="1" applyProtection="1">
      <alignment horizontal="center" vertical="center"/>
      <protection locked="0"/>
    </xf>
    <xf numFmtId="0" fontId="0" fillId="2" borderId="10" xfId="0" applyFill="1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left" vertical="center" wrapText="1"/>
      <protection locked="0"/>
    </xf>
    <xf numFmtId="0" fontId="0" fillId="0" borderId="12" xfId="0" applyBorder="1" applyAlignment="1" applyProtection="1">
      <alignment horizontal="left" vertical="center" wrapText="1"/>
      <protection locked="0"/>
    </xf>
    <xf numFmtId="0" fontId="33" fillId="2" borderId="10" xfId="0" applyFont="1" applyFill="1" applyBorder="1" applyAlignment="1" applyProtection="1">
      <alignment horizontal="center" vertical="center"/>
      <protection locked="0"/>
    </xf>
    <xf numFmtId="0" fontId="2" fillId="2" borderId="4" xfId="0" applyFont="1" applyFill="1" applyBorder="1" applyAlignment="1" applyProtection="1">
      <alignment horizontal="center"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15" xfId="0" applyFont="1" applyFill="1" applyBorder="1" applyAlignment="1" applyProtection="1">
      <alignment horizontal="center" vertical="center"/>
      <protection locked="0"/>
    </xf>
    <xf numFmtId="0" fontId="3" fillId="2" borderId="10" xfId="0" applyFont="1" applyFill="1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</xf>
    <xf numFmtId="0" fontId="0" fillId="0" borderId="13" xfId="0" applyBorder="1" applyAlignment="1" applyProtection="1">
      <alignment horizontal="center"/>
    </xf>
    <xf numFmtId="0" fontId="3" fillId="2" borderId="11" xfId="0" applyFont="1" applyFill="1" applyBorder="1" applyAlignment="1" applyProtection="1">
      <alignment horizontal="center"/>
      <protection locked="0"/>
    </xf>
    <xf numFmtId="0" fontId="3" fillId="2" borderId="13" xfId="0" applyFont="1" applyFill="1" applyBorder="1" applyAlignment="1" applyProtection="1">
      <alignment horizontal="center"/>
      <protection locked="0"/>
    </xf>
    <xf numFmtId="0" fontId="3" fillId="2" borderId="12" xfId="0" applyFont="1" applyFill="1" applyBorder="1" applyAlignment="1" applyProtection="1">
      <alignment horizontal="center"/>
      <protection locked="0"/>
    </xf>
    <xf numFmtId="0" fontId="6" fillId="3" borderId="0" xfId="0" applyFont="1" applyFill="1" applyBorder="1" applyAlignment="1" applyProtection="1">
      <alignment horizontal="center"/>
      <protection locked="0"/>
    </xf>
    <xf numFmtId="0" fontId="9" fillId="3" borderId="14" xfId="0" applyFont="1" applyFill="1" applyBorder="1" applyAlignment="1" applyProtection="1">
      <alignment horizontal="center" vertical="center"/>
      <protection locked="0"/>
    </xf>
    <xf numFmtId="0" fontId="31" fillId="8" borderId="16" xfId="0" applyFont="1" applyFill="1" applyBorder="1" applyAlignment="1" applyProtection="1">
      <alignment horizontal="center" vertical="center"/>
      <protection locked="0"/>
    </xf>
    <xf numFmtId="0" fontId="31" fillId="8" borderId="17" xfId="0" applyFont="1" applyFill="1" applyBorder="1" applyAlignment="1" applyProtection="1">
      <alignment horizontal="center" vertical="center"/>
      <protection locked="0"/>
    </xf>
    <xf numFmtId="0" fontId="31" fillId="8" borderId="18" xfId="0" applyFont="1" applyFill="1" applyBorder="1" applyAlignment="1" applyProtection="1">
      <alignment horizontal="center" vertical="center"/>
      <protection locked="0"/>
    </xf>
    <xf numFmtId="0" fontId="31" fillId="8" borderId="19" xfId="0" applyFont="1" applyFill="1" applyBorder="1" applyAlignment="1" applyProtection="1">
      <alignment horizontal="center" vertical="center"/>
      <protection locked="0"/>
    </xf>
    <xf numFmtId="0" fontId="30" fillId="5" borderId="16" xfId="0" applyFont="1" applyFill="1" applyBorder="1" applyAlignment="1" applyProtection="1">
      <alignment horizontal="center" vertical="center"/>
      <protection locked="0"/>
    </xf>
    <xf numFmtId="0" fontId="30" fillId="5" borderId="17" xfId="0" applyFont="1" applyFill="1" applyBorder="1" applyAlignment="1" applyProtection="1">
      <alignment horizontal="center" vertical="center"/>
      <protection locked="0"/>
    </xf>
    <xf numFmtId="0" fontId="30" fillId="5" borderId="18" xfId="0" applyFont="1" applyFill="1" applyBorder="1" applyAlignment="1" applyProtection="1">
      <alignment horizontal="center" vertical="center"/>
      <protection locked="0"/>
    </xf>
    <xf numFmtId="0" fontId="30" fillId="5" borderId="19" xfId="0" applyFont="1" applyFill="1" applyBorder="1" applyAlignment="1" applyProtection="1">
      <alignment horizontal="center" vertical="center"/>
      <protection locked="0"/>
    </xf>
    <xf numFmtId="0" fontId="9" fillId="3" borderId="0" xfId="0" applyFont="1" applyFill="1" applyAlignment="1" applyProtection="1">
      <alignment horizontal="center"/>
      <protection locked="0"/>
    </xf>
    <xf numFmtId="0" fontId="26" fillId="3" borderId="0" xfId="0" applyFont="1" applyFill="1" applyAlignment="1" applyProtection="1">
      <alignment horizontal="center" vertical="center"/>
      <protection locked="0"/>
    </xf>
    <xf numFmtId="0" fontId="19" fillId="3" borderId="0" xfId="0" applyFont="1" applyFill="1" applyAlignment="1" applyProtection="1">
      <alignment horizontal="center"/>
      <protection locked="0"/>
    </xf>
    <xf numFmtId="0" fontId="14" fillId="0" borderId="0" xfId="0" applyFont="1" applyAlignment="1" applyProtection="1">
      <alignment horizontal="center"/>
      <protection locked="0"/>
    </xf>
    <xf numFmtId="0" fontId="8" fillId="3" borderId="0" xfId="0" applyFont="1" applyFill="1" applyAlignment="1" applyProtection="1">
      <alignment horizontal="left" vertical="center"/>
    </xf>
    <xf numFmtId="0" fontId="10" fillId="4" borderId="0" xfId="0" applyFont="1" applyFill="1" applyBorder="1" applyAlignment="1" applyProtection="1">
      <alignment horizontal="left" wrapText="1"/>
    </xf>
    <xf numFmtId="0" fontId="10" fillId="4" borderId="0" xfId="0" applyFont="1" applyFill="1" applyBorder="1" applyAlignment="1" applyProtection="1">
      <alignment horizontal="left" vertical="center"/>
    </xf>
    <xf numFmtId="0" fontId="0" fillId="0" borderId="10" xfId="0" applyBorder="1" applyAlignment="1" applyProtection="1">
      <alignment horizontal="center" vertical="center" wrapText="1"/>
    </xf>
    <xf numFmtId="0" fontId="2" fillId="2" borderId="10" xfId="0" applyFont="1" applyFill="1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/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0" borderId="36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14" fillId="0" borderId="0" xfId="0" applyFont="1" applyAlignment="1" applyProtection="1">
      <alignment horizontal="center"/>
    </xf>
    <xf numFmtId="2" fontId="36" fillId="0" borderId="0" xfId="0" applyNumberFormat="1" applyFont="1" applyAlignment="1" applyProtection="1">
      <alignment horizontal="center"/>
    </xf>
    <xf numFmtId="0" fontId="36" fillId="0" borderId="0" xfId="0" applyFont="1" applyAlignment="1" applyProtection="1">
      <alignment horizontal="center"/>
    </xf>
    <xf numFmtId="1" fontId="16" fillId="0" borderId="0" xfId="0" applyNumberFormat="1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49" fontId="2" fillId="0" borderId="0" xfId="0" applyNumberFormat="1" applyFont="1" applyBorder="1" applyAlignment="1" applyProtection="1">
      <alignment horizontal="left"/>
    </xf>
    <xf numFmtId="0" fontId="2" fillId="0" borderId="0" xfId="0" applyFont="1" applyBorder="1" applyAlignment="1" applyProtection="1">
      <alignment horizontal="left"/>
    </xf>
    <xf numFmtId="16" fontId="0" fillId="0" borderId="0" xfId="0" applyNumberForma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" fontId="0" fillId="0" borderId="0" xfId="0" applyNumberFormat="1" applyAlignment="1" applyProtection="1">
      <alignment horizontal="right"/>
      <protection locked="0"/>
    </xf>
    <xf numFmtId="1" fontId="0" fillId="0" borderId="0" xfId="0" applyNumberFormat="1" applyAlignment="1" applyProtection="1">
      <alignment horizontal="left"/>
    </xf>
    <xf numFmtId="0" fontId="71" fillId="15" borderId="11" xfId="0" applyFont="1" applyFill="1" applyBorder="1" applyAlignment="1" applyProtection="1">
      <alignment horizontal="center" vertical="center" wrapText="1"/>
      <protection locked="0"/>
    </xf>
    <xf numFmtId="0" fontId="71" fillId="15" borderId="12" xfId="0" applyFont="1" applyFill="1" applyBorder="1" applyAlignment="1" applyProtection="1">
      <alignment horizontal="center" vertical="center" wrapText="1"/>
      <protection locked="0"/>
    </xf>
    <xf numFmtId="0" fontId="2" fillId="12" borderId="4" xfId="0" applyFont="1" applyFill="1" applyBorder="1" applyAlignment="1" applyProtection="1">
      <alignment horizontal="center" vertical="center"/>
      <protection locked="0"/>
    </xf>
    <xf numFmtId="0" fontId="2" fillId="12" borderId="27" xfId="0" applyFont="1" applyFill="1" applyBorder="1" applyAlignment="1" applyProtection="1">
      <alignment horizontal="center" vertical="center"/>
      <protection locked="0"/>
    </xf>
    <xf numFmtId="0" fontId="2" fillId="12" borderId="15" xfId="0" applyFont="1" applyFill="1" applyBorder="1" applyAlignment="1" applyProtection="1">
      <alignment horizontal="center" vertical="center"/>
      <protection locked="0"/>
    </xf>
    <xf numFmtId="0" fontId="2" fillId="16" borderId="4" xfId="0" applyFont="1" applyFill="1" applyBorder="1" applyAlignment="1" applyProtection="1">
      <alignment horizontal="center" vertical="center"/>
      <protection locked="0"/>
    </xf>
    <xf numFmtId="0" fontId="2" fillId="16" borderId="27" xfId="0" applyFont="1" applyFill="1" applyBorder="1" applyAlignment="1" applyProtection="1">
      <alignment horizontal="center" vertical="center"/>
      <protection locked="0"/>
    </xf>
    <xf numFmtId="0" fontId="2" fillId="16" borderId="15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</xf>
    <xf numFmtId="0" fontId="20" fillId="0" borderId="11" xfId="0" applyFont="1" applyBorder="1" applyAlignment="1" applyProtection="1">
      <alignment horizontal="center" vertical="center"/>
      <protection locked="0"/>
    </xf>
    <xf numFmtId="0" fontId="20" fillId="0" borderId="13" xfId="0" applyFont="1" applyBorder="1" applyAlignment="1" applyProtection="1">
      <alignment horizontal="center" vertical="center"/>
      <protection locked="0"/>
    </xf>
    <xf numFmtId="0" fontId="21" fillId="14" borderId="10" xfId="0" applyFont="1" applyFill="1" applyBorder="1" applyAlignment="1" applyProtection="1">
      <alignment horizontal="center" vertical="center"/>
      <protection locked="0"/>
    </xf>
    <xf numFmtId="0" fontId="20" fillId="20" borderId="10" xfId="0" applyFont="1" applyFill="1" applyBorder="1" applyAlignment="1" applyProtection="1">
      <alignment horizontal="center" vertical="center" wrapText="1"/>
      <protection locked="0"/>
    </xf>
    <xf numFmtId="0" fontId="20" fillId="20" borderId="10" xfId="0" applyFont="1" applyFill="1" applyBorder="1" applyAlignment="1" applyProtection="1">
      <alignment horizontal="center" vertical="center"/>
      <protection locked="0"/>
    </xf>
    <xf numFmtId="0" fontId="2" fillId="10" borderId="11" xfId="0" applyFont="1" applyFill="1" applyBorder="1" applyAlignment="1" applyProtection="1">
      <alignment horizontal="center" vertical="center"/>
      <protection locked="0"/>
    </xf>
    <xf numFmtId="0" fontId="2" fillId="10" borderId="12" xfId="0" applyFont="1" applyFill="1" applyBorder="1" applyAlignment="1" applyProtection="1">
      <alignment horizontal="center" vertical="center"/>
      <protection locked="0"/>
    </xf>
    <xf numFmtId="0" fontId="2" fillId="11" borderId="11" xfId="0" applyFont="1" applyFill="1" applyBorder="1" applyAlignment="1" applyProtection="1">
      <alignment horizontal="center" vertical="center"/>
      <protection locked="0"/>
    </xf>
    <xf numFmtId="0" fontId="2" fillId="11" borderId="13" xfId="0" applyFont="1" applyFill="1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2" fillId="22" borderId="10" xfId="0" applyFont="1" applyFill="1" applyBorder="1" applyAlignment="1" applyProtection="1">
      <alignment horizontal="center" vertical="center"/>
      <protection locked="0"/>
    </xf>
    <xf numFmtId="0" fontId="10" fillId="0" borderId="10" xfId="0" applyFont="1" applyBorder="1" applyAlignment="1" applyProtection="1">
      <alignment horizontal="center" vertical="center"/>
      <protection locked="0"/>
    </xf>
    <xf numFmtId="0" fontId="19" fillId="0" borderId="10" xfId="0" applyFont="1" applyBorder="1" applyAlignment="1" applyProtection="1">
      <alignment horizontal="center" vertical="center"/>
      <protection locked="0"/>
    </xf>
    <xf numFmtId="0" fontId="20" fillId="0" borderId="10" xfId="0" applyFont="1" applyBorder="1" applyAlignment="1" applyProtection="1">
      <alignment horizontal="center" vertical="center"/>
      <protection locked="0"/>
    </xf>
    <xf numFmtId="0" fontId="21" fillId="0" borderId="11" xfId="0" applyFont="1" applyBorder="1" applyAlignment="1" applyProtection="1">
      <alignment horizontal="center" vertical="center"/>
      <protection locked="0"/>
    </xf>
    <xf numFmtId="0" fontId="21" fillId="0" borderId="13" xfId="0" applyFont="1" applyBorder="1" applyAlignment="1" applyProtection="1">
      <alignment horizontal="center" vertical="center"/>
      <protection locked="0"/>
    </xf>
    <xf numFmtId="0" fontId="21" fillId="0" borderId="12" xfId="0" applyFont="1" applyBorder="1" applyAlignment="1" applyProtection="1">
      <alignment horizontal="center" vertical="center"/>
      <protection locked="0"/>
    </xf>
    <xf numFmtId="0" fontId="21" fillId="5" borderId="4" xfId="0" applyFont="1" applyFill="1" applyBorder="1" applyAlignment="1" applyProtection="1">
      <alignment horizontal="center" vertical="center" wrapText="1"/>
      <protection locked="0"/>
    </xf>
    <xf numFmtId="0" fontId="21" fillId="5" borderId="27" xfId="0" applyFont="1" applyFill="1" applyBorder="1" applyAlignment="1" applyProtection="1">
      <alignment horizontal="center" vertical="center" wrapText="1"/>
      <protection locked="0"/>
    </xf>
    <xf numFmtId="0" fontId="21" fillId="5" borderId="15" xfId="0" applyFont="1" applyFill="1" applyBorder="1" applyAlignment="1" applyProtection="1">
      <alignment horizontal="center" vertical="center" wrapText="1"/>
      <protection locked="0"/>
    </xf>
    <xf numFmtId="0" fontId="22" fillId="9" borderId="5" xfId="0" applyFont="1" applyFill="1" applyBorder="1" applyAlignment="1" applyProtection="1">
      <alignment horizontal="center" vertical="center"/>
      <protection locked="0"/>
    </xf>
    <xf numFmtId="0" fontId="22" fillId="9" borderId="1" xfId="0" applyFont="1" applyFill="1" applyBorder="1" applyAlignment="1" applyProtection="1">
      <alignment horizontal="center" vertical="center"/>
      <protection locked="0"/>
    </xf>
    <xf numFmtId="0" fontId="22" fillId="21" borderId="10" xfId="0" applyFont="1" applyFill="1" applyBorder="1" applyAlignment="1" applyProtection="1">
      <alignment horizontal="center" vertical="center" wrapText="1"/>
      <protection locked="0"/>
    </xf>
    <xf numFmtId="0" fontId="20" fillId="22" borderId="10" xfId="0" applyFont="1" applyFill="1" applyBorder="1" applyAlignment="1" applyProtection="1">
      <alignment horizontal="center" vertical="center"/>
      <protection locked="0"/>
    </xf>
  </cellXfs>
  <cellStyles count="12">
    <cellStyle name="Hyperlink" xfId="1" builtinId="8"/>
    <cellStyle name="Hyperlink 2" xfId="3"/>
    <cellStyle name="Normal" xfId="0" builtinId="0"/>
    <cellStyle name="Normal 10" xfId="4"/>
    <cellStyle name="Normal 11" xfId="5"/>
    <cellStyle name="Normal 12" xfId="6"/>
    <cellStyle name="Normal 13" xfId="7"/>
    <cellStyle name="Normal 14" xfId="8"/>
    <cellStyle name="Normal 2" xfId="2"/>
    <cellStyle name="Normal 2 2" xfId="9"/>
    <cellStyle name="Normal 8" xfId="10"/>
    <cellStyle name="Normal 9" xfId="1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3.xml"/><Relationship Id="rId30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pin" dx="15" fmlaLink="$U$3" max="48" min="1" page="10" val="8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TAMB2!A1"/><Relationship Id="rId13" Type="http://schemas.openxmlformats.org/officeDocument/2006/relationships/hyperlink" Target="#RANK!A1"/><Relationship Id="rId18" Type="http://schemas.openxmlformats.org/officeDocument/2006/relationships/hyperlink" Target="#ARAB!A1"/><Relationship Id="rId3" Type="http://schemas.openxmlformats.org/officeDocument/2006/relationships/hyperlink" Target="#PKN!A1"/><Relationship Id="rId21" Type="http://schemas.openxmlformats.org/officeDocument/2006/relationships/hyperlink" Target="#BADER!A1"/><Relationship Id="rId7" Type="http://schemas.openxmlformats.org/officeDocument/2006/relationships/hyperlink" Target="#TAMB1!A1"/><Relationship Id="rId12" Type="http://schemas.openxmlformats.org/officeDocument/2006/relationships/hyperlink" Target="#DATA!A1"/><Relationship Id="rId17" Type="http://schemas.openxmlformats.org/officeDocument/2006/relationships/hyperlink" Target="#FIKIH!A1"/><Relationship Id="rId2" Type="http://schemas.openxmlformats.org/officeDocument/2006/relationships/image" Target="../media/image1.png"/><Relationship Id="rId16" Type="http://schemas.openxmlformats.org/officeDocument/2006/relationships/hyperlink" Target="#SKI!A1"/><Relationship Id="rId20" Type="http://schemas.openxmlformats.org/officeDocument/2006/relationships/hyperlink" Target="#INDO!A1"/><Relationship Id="rId1" Type="http://schemas.openxmlformats.org/officeDocument/2006/relationships/hyperlink" Target="#DESKRIPSI!A1"/><Relationship Id="rId6" Type="http://schemas.openxmlformats.org/officeDocument/2006/relationships/hyperlink" Target="#SENBUD!A1"/><Relationship Id="rId11" Type="http://schemas.openxmlformats.org/officeDocument/2006/relationships/hyperlink" Target="#TAMB2!A1"/><Relationship Id="rId24" Type="http://schemas.openxmlformats.org/officeDocument/2006/relationships/hyperlink" Target="#IPS!A1"/><Relationship Id="rId5" Type="http://schemas.openxmlformats.org/officeDocument/2006/relationships/hyperlink" Target="#PENJAS!A1"/><Relationship Id="rId15" Type="http://schemas.openxmlformats.org/officeDocument/2006/relationships/hyperlink" Target="#AA!A1"/><Relationship Id="rId23" Type="http://schemas.openxmlformats.org/officeDocument/2006/relationships/hyperlink" Target="#IPA!A1"/><Relationship Id="rId10" Type="http://schemas.openxmlformats.org/officeDocument/2006/relationships/hyperlink" Target="#TAMB1!A1"/><Relationship Id="rId19" Type="http://schemas.openxmlformats.org/officeDocument/2006/relationships/hyperlink" Target="#INGG!A1"/><Relationship Id="rId4" Type="http://schemas.openxmlformats.org/officeDocument/2006/relationships/hyperlink" Target="#PRAKARYA!A1"/><Relationship Id="rId9" Type="http://schemas.openxmlformats.org/officeDocument/2006/relationships/hyperlink" Target="#CETAK!A1"/><Relationship Id="rId14" Type="http://schemas.openxmlformats.org/officeDocument/2006/relationships/hyperlink" Target="#QH!A1"/><Relationship Id="rId22" Type="http://schemas.openxmlformats.org/officeDocument/2006/relationships/hyperlink" Target="#MAT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UTAMA!A1"/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UTAMA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Home!A1"/><Relationship Id="rId1" Type="http://schemas.openxmlformats.org/officeDocument/2006/relationships/hyperlink" Target="#UTAMA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435428</xdr:colOff>
      <xdr:row>4</xdr:row>
      <xdr:rowOff>190500</xdr:rowOff>
    </xdr:from>
    <xdr:to>
      <xdr:col>19</xdr:col>
      <xdr:colOff>206375</xdr:colOff>
      <xdr:row>9</xdr:row>
      <xdr:rowOff>143128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10722428" y="1746250"/>
          <a:ext cx="1580697" cy="12543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2000"/>
            <a:t>CEK DESKRIPSI SIKAP</a:t>
          </a:r>
          <a:endParaRPr lang="en-US" sz="2000" baseline="0"/>
        </a:p>
      </xdr:txBody>
    </xdr:sp>
    <xdr:clientData/>
  </xdr:twoCellAnchor>
  <xdr:oneCellAnchor>
    <xdr:from>
      <xdr:col>6</xdr:col>
      <xdr:colOff>227463</xdr:colOff>
      <xdr:row>10</xdr:row>
      <xdr:rowOff>75549</xdr:rowOff>
    </xdr:from>
    <xdr:ext cx="8202161" cy="511825"/>
    <xdr:sp macro="" textlink="">
      <xdr:nvSpPr>
        <xdr:cNvPr id="13" name="Rectangle 12"/>
        <xdr:cNvSpPr/>
      </xdr:nvSpPr>
      <xdr:spPr>
        <a:xfrm>
          <a:off x="4847088" y="3187049"/>
          <a:ext cx="8202161" cy="511825"/>
        </a:xfrm>
        <a:prstGeom prst="rect">
          <a:avLst/>
        </a:prstGeom>
        <a:solidFill>
          <a:srgbClr val="FFFF00"/>
        </a:solidFill>
        <a:ln w="28575">
          <a:solidFill>
            <a:schemeClr val="tx1"/>
          </a:solidFill>
        </a:ln>
      </xdr:spPr>
      <xdr:style>
        <a:lnRef idx="2">
          <a:schemeClr val="accent6"/>
        </a:lnRef>
        <a:fillRef idx="1002">
          <a:schemeClr val="dk2"/>
        </a:fillRef>
        <a:effectRef idx="0">
          <a:schemeClr val="accent6"/>
        </a:effectRef>
        <a:fontRef idx="minor">
          <a:schemeClr val="dk1"/>
        </a:fontRef>
      </xdr:style>
      <xdr:txBody>
        <a:bodyPr wrap="square" lIns="91440" tIns="45720" rIns="91440" bIns="45720">
          <a:noAutofit/>
        </a:bodyPr>
        <a:lstStyle/>
        <a:p>
          <a:pPr algn="ctr"/>
          <a:r>
            <a:rPr lang="en-US" sz="2400" b="1" cap="none" spc="0">
              <a:ln>
                <a:noFill/>
              </a:ln>
              <a:solidFill>
                <a:srgbClr val="FF0000"/>
              </a:solidFill>
              <a:effectLst/>
            </a:rPr>
            <a:t>ISIAN NILAI</a:t>
          </a:r>
          <a:r>
            <a:rPr lang="id-ID" sz="2400" b="1" cap="none" spc="0">
              <a:ln>
                <a:noFill/>
              </a:ln>
              <a:solidFill>
                <a:srgbClr val="FF0000"/>
              </a:solidFill>
              <a:effectLst/>
            </a:rPr>
            <a:t> DARI GURU MAPEL</a:t>
          </a:r>
          <a:endParaRPr lang="en-US" sz="2400" b="1" cap="none" spc="0">
            <a:ln>
              <a:noFill/>
            </a:ln>
            <a:solidFill>
              <a:srgbClr val="FF0000"/>
            </a:solidFill>
            <a:effectLst/>
          </a:endParaRPr>
        </a:p>
      </xdr:txBody>
    </xdr:sp>
    <xdr:clientData/>
  </xdr:oneCellAnchor>
  <xdr:twoCellAnchor editAs="oneCell">
    <xdr:from>
      <xdr:col>1</xdr:col>
      <xdr:colOff>394607</xdr:colOff>
      <xdr:row>0</xdr:row>
      <xdr:rowOff>0</xdr:rowOff>
    </xdr:from>
    <xdr:to>
      <xdr:col>3</xdr:col>
      <xdr:colOff>477006</xdr:colOff>
      <xdr:row>1</xdr:row>
      <xdr:rowOff>471567</xdr:rowOff>
    </xdr:to>
    <xdr:pic>
      <xdr:nvPicPr>
        <xdr:cNvPr id="16" name="Picture 15" descr="logo_kementerian_agama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98714" y="0"/>
          <a:ext cx="1388685" cy="1396853"/>
        </a:xfrm>
        <a:prstGeom prst="rect">
          <a:avLst/>
        </a:prstGeom>
        <a:effectLst>
          <a:glow rad="228600">
            <a:schemeClr val="accent3">
              <a:satMod val="175000"/>
              <a:alpha val="40000"/>
            </a:schemeClr>
          </a:glow>
        </a:effectLst>
      </xdr:spPr>
    </xdr:pic>
    <xdr:clientData/>
  </xdr:twoCellAnchor>
  <xdr:twoCellAnchor>
    <xdr:from>
      <xdr:col>17</xdr:col>
      <xdr:colOff>432594</xdr:colOff>
      <xdr:row>20</xdr:row>
      <xdr:rowOff>27782</xdr:rowOff>
    </xdr:from>
    <xdr:to>
      <xdr:col>20</xdr:col>
      <xdr:colOff>277814</xdr:colOff>
      <xdr:row>23</xdr:row>
      <xdr:rowOff>297657</xdr:rowOff>
    </xdr:to>
    <xdr:sp macro="" textlink="">
      <xdr:nvSpPr>
        <xdr:cNvPr id="29" name="Oval 28">
          <a:hlinkClick xmlns:r="http://schemas.openxmlformats.org/officeDocument/2006/relationships" r:id="rId3"/>
        </xdr:cNvPr>
        <xdr:cNvSpPr/>
      </xdr:nvSpPr>
      <xdr:spPr>
        <a:xfrm>
          <a:off x="11322844" y="5679282"/>
          <a:ext cx="1654970" cy="936625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800" b="1"/>
            <a:t>PPKn</a:t>
          </a:r>
        </a:p>
      </xdr:txBody>
    </xdr:sp>
    <xdr:clientData/>
  </xdr:twoCellAnchor>
  <xdr:twoCellAnchor>
    <xdr:from>
      <xdr:col>7</xdr:col>
      <xdr:colOff>19846</xdr:colOff>
      <xdr:row>24</xdr:row>
      <xdr:rowOff>31750</xdr:rowOff>
    </xdr:from>
    <xdr:to>
      <xdr:col>9</xdr:col>
      <xdr:colOff>190500</xdr:colOff>
      <xdr:row>25</xdr:row>
      <xdr:rowOff>318817</xdr:rowOff>
    </xdr:to>
    <xdr:sp macro="" textlink="">
      <xdr:nvSpPr>
        <xdr:cNvPr id="30" name="Oval 29">
          <a:hlinkClick xmlns:r="http://schemas.openxmlformats.org/officeDocument/2006/relationships" r:id="rId4"/>
        </xdr:cNvPr>
        <xdr:cNvSpPr/>
      </xdr:nvSpPr>
      <xdr:spPr>
        <a:xfrm>
          <a:off x="4909346" y="6746875"/>
          <a:ext cx="1662904" cy="779192"/>
        </a:xfrm>
        <a:prstGeom prst="ellipse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600" b="1"/>
            <a:t>PRAKARYA</a:t>
          </a:r>
        </a:p>
      </xdr:txBody>
    </xdr:sp>
    <xdr:clientData/>
  </xdr:twoCellAnchor>
  <xdr:twoCellAnchor>
    <xdr:from>
      <xdr:col>9</xdr:col>
      <xdr:colOff>329406</xdr:colOff>
      <xdr:row>24</xdr:row>
      <xdr:rowOff>95930</xdr:rowOff>
    </xdr:from>
    <xdr:to>
      <xdr:col>12</xdr:col>
      <xdr:colOff>380999</xdr:colOff>
      <xdr:row>25</xdr:row>
      <xdr:rowOff>396875</xdr:rowOff>
    </xdr:to>
    <xdr:sp macro="" textlink="">
      <xdr:nvSpPr>
        <xdr:cNvPr id="31" name="Oval 30">
          <a:hlinkClick xmlns:r="http://schemas.openxmlformats.org/officeDocument/2006/relationships" r:id="rId5"/>
        </xdr:cNvPr>
        <xdr:cNvSpPr/>
      </xdr:nvSpPr>
      <xdr:spPr>
        <a:xfrm>
          <a:off x="6711156" y="6811055"/>
          <a:ext cx="1893093" cy="793070"/>
        </a:xfrm>
        <a:prstGeom prst="ellipse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800" b="1"/>
            <a:t>PENJAS</a:t>
          </a:r>
        </a:p>
      </xdr:txBody>
    </xdr:sp>
    <xdr:clientData/>
  </xdr:twoCellAnchor>
  <xdr:twoCellAnchor>
    <xdr:from>
      <xdr:col>13</xdr:col>
      <xdr:colOff>170657</xdr:colOff>
      <xdr:row>24</xdr:row>
      <xdr:rowOff>139276</xdr:rowOff>
    </xdr:from>
    <xdr:to>
      <xdr:col>16</xdr:col>
      <xdr:colOff>531815</xdr:colOff>
      <xdr:row>25</xdr:row>
      <xdr:rowOff>469287</xdr:rowOff>
    </xdr:to>
    <xdr:sp macro="" textlink="">
      <xdr:nvSpPr>
        <xdr:cNvPr id="32" name="Oval 31">
          <a:hlinkClick xmlns:r="http://schemas.openxmlformats.org/officeDocument/2006/relationships" r:id="rId6"/>
        </xdr:cNvPr>
        <xdr:cNvSpPr/>
      </xdr:nvSpPr>
      <xdr:spPr>
        <a:xfrm>
          <a:off x="8997157" y="6854401"/>
          <a:ext cx="1821658" cy="822136"/>
        </a:xfrm>
        <a:prstGeom prst="ellipse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600" b="1"/>
            <a:t>SENI BUDAYA</a:t>
          </a:r>
        </a:p>
      </xdr:txBody>
    </xdr:sp>
    <xdr:clientData/>
  </xdr:twoCellAnchor>
  <xdr:twoCellAnchor>
    <xdr:from>
      <xdr:col>6</xdr:col>
      <xdr:colOff>142876</xdr:colOff>
      <xdr:row>26</xdr:row>
      <xdr:rowOff>119061</xdr:rowOff>
    </xdr:from>
    <xdr:to>
      <xdr:col>9</xdr:col>
      <xdr:colOff>381001</xdr:colOff>
      <xdr:row>26</xdr:row>
      <xdr:rowOff>452436</xdr:rowOff>
    </xdr:to>
    <xdr:sp macro="" textlink="">
      <xdr:nvSpPr>
        <xdr:cNvPr id="34" name="Rounded Rectangle 33">
          <a:hlinkClick xmlns:r="http://schemas.openxmlformats.org/officeDocument/2006/relationships" r:id="rId7"/>
        </xdr:cNvPr>
        <xdr:cNvSpPr/>
      </xdr:nvSpPr>
      <xdr:spPr>
        <a:xfrm>
          <a:off x="4762501" y="6762749"/>
          <a:ext cx="2000250" cy="33337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100" b="1"/>
            <a:t>TAMBAHAN 1</a:t>
          </a:r>
        </a:p>
      </xdr:txBody>
    </xdr:sp>
    <xdr:clientData/>
  </xdr:twoCellAnchor>
  <xdr:twoCellAnchor>
    <xdr:from>
      <xdr:col>9</xdr:col>
      <xdr:colOff>583407</xdr:colOff>
      <xdr:row>26</xdr:row>
      <xdr:rowOff>107155</xdr:rowOff>
    </xdr:from>
    <xdr:to>
      <xdr:col>13</xdr:col>
      <xdr:colOff>119063</xdr:colOff>
      <xdr:row>26</xdr:row>
      <xdr:rowOff>440530</xdr:rowOff>
    </xdr:to>
    <xdr:sp macro="" textlink="">
      <xdr:nvSpPr>
        <xdr:cNvPr id="35" name="Rounded Rectangle 34">
          <a:hlinkClick xmlns:r="http://schemas.openxmlformats.org/officeDocument/2006/relationships" r:id="rId8"/>
        </xdr:cNvPr>
        <xdr:cNvSpPr/>
      </xdr:nvSpPr>
      <xdr:spPr>
        <a:xfrm>
          <a:off x="6965157" y="6750843"/>
          <a:ext cx="2000250" cy="33337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100" b="1"/>
            <a:t>TAMBAHAN  2</a:t>
          </a:r>
        </a:p>
      </xdr:txBody>
    </xdr:sp>
    <xdr:clientData/>
  </xdr:twoCellAnchor>
  <xdr:twoCellAnchor>
    <xdr:from>
      <xdr:col>10</xdr:col>
      <xdr:colOff>904875</xdr:colOff>
      <xdr:row>4</xdr:row>
      <xdr:rowOff>176893</xdr:rowOff>
    </xdr:from>
    <xdr:to>
      <xdr:col>16</xdr:col>
      <xdr:colOff>353785</xdr:colOff>
      <xdr:row>9</xdr:row>
      <xdr:rowOff>136072</xdr:rowOff>
    </xdr:to>
    <xdr:sp macro="" textlink="">
      <xdr:nvSpPr>
        <xdr:cNvPr id="36" name="Bevel 35">
          <a:hlinkClick xmlns:r="http://schemas.openxmlformats.org/officeDocument/2006/relationships" r:id="rId9"/>
        </xdr:cNvPr>
        <xdr:cNvSpPr/>
      </xdr:nvSpPr>
      <xdr:spPr>
        <a:xfrm>
          <a:off x="7926161" y="1741714"/>
          <a:ext cx="2769053" cy="1292679"/>
        </a:xfrm>
        <a:prstGeom prst="bevel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400" b="1"/>
            <a:t>CETAK RAPORT </a:t>
          </a:r>
          <a:r>
            <a:rPr lang="id-ID" sz="3600" b="1"/>
            <a:t>UTS</a:t>
          </a:r>
          <a:endParaRPr lang="id-ID" sz="1400" b="1"/>
        </a:p>
      </xdr:txBody>
    </xdr:sp>
    <xdr:clientData/>
  </xdr:twoCellAnchor>
  <xdr:twoCellAnchor>
    <xdr:from>
      <xdr:col>18</xdr:col>
      <xdr:colOff>23518</xdr:colOff>
      <xdr:row>24</xdr:row>
      <xdr:rowOff>47625</xdr:rowOff>
    </xdr:from>
    <xdr:to>
      <xdr:col>20</xdr:col>
      <xdr:colOff>206376</xdr:colOff>
      <xdr:row>24</xdr:row>
      <xdr:rowOff>359834</xdr:rowOff>
    </xdr:to>
    <xdr:sp macro="" textlink="">
      <xdr:nvSpPr>
        <xdr:cNvPr id="37" name="Rectangle 36">
          <a:hlinkClick xmlns:r="http://schemas.openxmlformats.org/officeDocument/2006/relationships" r:id="rId10"/>
        </xdr:cNvPr>
        <xdr:cNvSpPr/>
      </xdr:nvSpPr>
      <xdr:spPr>
        <a:xfrm>
          <a:off x="11517018" y="6762750"/>
          <a:ext cx="1389358" cy="312209"/>
        </a:xfrm>
        <a:prstGeom prst="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100"/>
            <a:t>TAMB 1</a:t>
          </a:r>
        </a:p>
      </xdr:txBody>
    </xdr:sp>
    <xdr:clientData/>
  </xdr:twoCellAnchor>
  <xdr:twoCellAnchor>
    <xdr:from>
      <xdr:col>18</xdr:col>
      <xdr:colOff>12935</xdr:colOff>
      <xdr:row>24</xdr:row>
      <xdr:rowOff>433917</xdr:rowOff>
    </xdr:from>
    <xdr:to>
      <xdr:col>20</xdr:col>
      <xdr:colOff>195793</xdr:colOff>
      <xdr:row>25</xdr:row>
      <xdr:rowOff>259292</xdr:rowOff>
    </xdr:to>
    <xdr:sp macro="" textlink="">
      <xdr:nvSpPr>
        <xdr:cNvPr id="38" name="Rectangle 37">
          <a:hlinkClick xmlns:r="http://schemas.openxmlformats.org/officeDocument/2006/relationships" r:id="rId11"/>
        </xdr:cNvPr>
        <xdr:cNvSpPr/>
      </xdr:nvSpPr>
      <xdr:spPr>
        <a:xfrm>
          <a:off x="11506435" y="7149042"/>
          <a:ext cx="1389358" cy="317500"/>
        </a:xfrm>
        <a:prstGeom prst="rect">
          <a:avLst/>
        </a:prstGeom>
        <a:solidFill>
          <a:schemeClr val="tx2">
            <a:lumMod val="50000"/>
          </a:schemeClr>
        </a:solidFill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100" b="1"/>
            <a:t>TAMB  2</a:t>
          </a:r>
        </a:p>
      </xdr:txBody>
    </xdr:sp>
    <xdr:clientData/>
  </xdr:twoCellAnchor>
  <xdr:twoCellAnchor>
    <xdr:from>
      <xdr:col>7</xdr:col>
      <xdr:colOff>13608</xdr:colOff>
      <xdr:row>4</xdr:row>
      <xdr:rowOff>190500</xdr:rowOff>
    </xdr:from>
    <xdr:to>
      <xdr:col>10</xdr:col>
      <xdr:colOff>826633</xdr:colOff>
      <xdr:row>9</xdr:row>
      <xdr:rowOff>175444</xdr:rowOff>
    </xdr:to>
    <xdr:sp macro="" textlink="">
      <xdr:nvSpPr>
        <xdr:cNvPr id="33" name="Rounded Rectangle 32">
          <a:hlinkClick xmlns:r="http://schemas.openxmlformats.org/officeDocument/2006/relationships" r:id="rId12"/>
        </xdr:cNvPr>
        <xdr:cNvSpPr/>
      </xdr:nvSpPr>
      <xdr:spPr>
        <a:xfrm>
          <a:off x="4912179" y="1755321"/>
          <a:ext cx="2935740" cy="131844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000"/>
            <a:t>INPUT</a:t>
          </a:r>
        </a:p>
        <a:p>
          <a:pPr algn="ctr"/>
          <a:r>
            <a:rPr lang="en-US" sz="2000"/>
            <a:t>DATA</a:t>
          </a:r>
          <a:r>
            <a:rPr lang="en-US" sz="2000" baseline="0"/>
            <a:t> SISWA</a:t>
          </a:r>
        </a:p>
      </xdr:txBody>
    </xdr:sp>
    <xdr:clientData/>
  </xdr:twoCellAnchor>
  <xdr:twoCellAnchor>
    <xdr:from>
      <xdr:col>19</xdr:col>
      <xdr:colOff>317500</xdr:colOff>
      <xdr:row>4</xdr:row>
      <xdr:rowOff>206375</xdr:rowOff>
    </xdr:from>
    <xdr:to>
      <xdr:col>20</xdr:col>
      <xdr:colOff>460375</xdr:colOff>
      <xdr:row>9</xdr:row>
      <xdr:rowOff>79375</xdr:rowOff>
    </xdr:to>
    <xdr:sp macro="" textlink="">
      <xdr:nvSpPr>
        <xdr:cNvPr id="39" name="Rounded Rectangle 38">
          <a:hlinkClick xmlns:r="http://schemas.openxmlformats.org/officeDocument/2006/relationships" r:id="rId13"/>
        </xdr:cNvPr>
        <xdr:cNvSpPr/>
      </xdr:nvSpPr>
      <xdr:spPr>
        <a:xfrm>
          <a:off x="12414250" y="1762125"/>
          <a:ext cx="746125" cy="11747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600"/>
            <a:t>RANK</a:t>
          </a:r>
        </a:p>
      </xdr:txBody>
    </xdr:sp>
    <xdr:clientData/>
  </xdr:twoCellAnchor>
  <xdr:twoCellAnchor>
    <xdr:from>
      <xdr:col>7</xdr:col>
      <xdr:colOff>99221</xdr:colOff>
      <xdr:row>12</xdr:row>
      <xdr:rowOff>174625</xdr:rowOff>
    </xdr:from>
    <xdr:to>
      <xdr:col>9</xdr:col>
      <xdr:colOff>269875</xdr:colOff>
      <xdr:row>15</xdr:row>
      <xdr:rowOff>113029</xdr:rowOff>
    </xdr:to>
    <xdr:sp macro="" textlink="">
      <xdr:nvSpPr>
        <xdr:cNvPr id="40" name="Oval 39">
          <a:hlinkClick xmlns:r="http://schemas.openxmlformats.org/officeDocument/2006/relationships" r:id="rId14"/>
        </xdr:cNvPr>
        <xdr:cNvSpPr/>
      </xdr:nvSpPr>
      <xdr:spPr>
        <a:xfrm>
          <a:off x="4988721" y="3794125"/>
          <a:ext cx="1662904" cy="700404"/>
        </a:xfrm>
        <a:prstGeom prst="ellipse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100"/>
            <a:t>QUR'AN</a:t>
          </a:r>
          <a:r>
            <a:rPr lang="id-ID" sz="1100" baseline="0"/>
            <a:t> HADIST</a:t>
          </a:r>
          <a:endParaRPr lang="id-ID" sz="1100"/>
        </a:p>
      </xdr:txBody>
    </xdr:sp>
    <xdr:clientData/>
  </xdr:twoCellAnchor>
  <xdr:twoCellAnchor>
    <xdr:from>
      <xdr:col>9</xdr:col>
      <xdr:colOff>472281</xdr:colOff>
      <xdr:row>12</xdr:row>
      <xdr:rowOff>206871</xdr:rowOff>
    </xdr:from>
    <xdr:to>
      <xdr:col>12</xdr:col>
      <xdr:colOff>460374</xdr:colOff>
      <xdr:row>15</xdr:row>
      <xdr:rowOff>127000</xdr:rowOff>
    </xdr:to>
    <xdr:sp macro="" textlink="">
      <xdr:nvSpPr>
        <xdr:cNvPr id="41" name="Oval 40">
          <a:hlinkClick xmlns:r="http://schemas.openxmlformats.org/officeDocument/2006/relationships" r:id="rId15"/>
        </xdr:cNvPr>
        <xdr:cNvSpPr/>
      </xdr:nvSpPr>
      <xdr:spPr>
        <a:xfrm>
          <a:off x="6854031" y="3826371"/>
          <a:ext cx="1829593" cy="682129"/>
        </a:xfrm>
        <a:prstGeom prst="ellipse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800"/>
            <a:t>AKIDAH AKHLAK</a:t>
          </a:r>
        </a:p>
      </xdr:txBody>
    </xdr:sp>
    <xdr:clientData/>
  </xdr:twoCellAnchor>
  <xdr:twoCellAnchor>
    <xdr:from>
      <xdr:col>13</xdr:col>
      <xdr:colOff>75407</xdr:colOff>
      <xdr:row>12</xdr:row>
      <xdr:rowOff>179332</xdr:rowOff>
    </xdr:from>
    <xdr:to>
      <xdr:col>16</xdr:col>
      <xdr:colOff>436565</xdr:colOff>
      <xdr:row>15</xdr:row>
      <xdr:rowOff>61483</xdr:rowOff>
    </xdr:to>
    <xdr:sp macro="" textlink="">
      <xdr:nvSpPr>
        <xdr:cNvPr id="42" name="Oval 41">
          <a:hlinkClick xmlns:r="http://schemas.openxmlformats.org/officeDocument/2006/relationships" r:id="rId16"/>
        </xdr:cNvPr>
        <xdr:cNvSpPr/>
      </xdr:nvSpPr>
      <xdr:spPr>
        <a:xfrm>
          <a:off x="8901907" y="3798832"/>
          <a:ext cx="1821658" cy="644151"/>
        </a:xfrm>
        <a:prstGeom prst="ellipse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600" b="1"/>
            <a:t>SKI</a:t>
          </a:r>
        </a:p>
      </xdr:txBody>
    </xdr:sp>
    <xdr:clientData/>
  </xdr:twoCellAnchor>
  <xdr:twoCellAnchor>
    <xdr:from>
      <xdr:col>17</xdr:col>
      <xdr:colOff>492125</xdr:colOff>
      <xdr:row>12</xdr:row>
      <xdr:rowOff>206375</xdr:rowOff>
    </xdr:from>
    <xdr:to>
      <xdr:col>20</xdr:col>
      <xdr:colOff>337345</xdr:colOff>
      <xdr:row>15</xdr:row>
      <xdr:rowOff>142875</xdr:rowOff>
    </xdr:to>
    <xdr:sp macro="" textlink="">
      <xdr:nvSpPr>
        <xdr:cNvPr id="43" name="Oval 42">
          <a:hlinkClick xmlns:r="http://schemas.openxmlformats.org/officeDocument/2006/relationships" r:id="rId17"/>
        </xdr:cNvPr>
        <xdr:cNvSpPr/>
      </xdr:nvSpPr>
      <xdr:spPr>
        <a:xfrm>
          <a:off x="11382375" y="3825875"/>
          <a:ext cx="1654970" cy="698500"/>
        </a:xfrm>
        <a:prstGeom prst="ellipse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800" b="1"/>
            <a:t>FIQIH</a:t>
          </a:r>
        </a:p>
      </xdr:txBody>
    </xdr:sp>
    <xdr:clientData/>
  </xdr:twoCellAnchor>
  <xdr:twoCellAnchor>
    <xdr:from>
      <xdr:col>7</xdr:col>
      <xdr:colOff>83346</xdr:colOff>
      <xdr:row>16</xdr:row>
      <xdr:rowOff>47625</xdr:rowOff>
    </xdr:from>
    <xdr:to>
      <xdr:col>9</xdr:col>
      <xdr:colOff>254000</xdr:colOff>
      <xdr:row>19</xdr:row>
      <xdr:rowOff>142875</xdr:rowOff>
    </xdr:to>
    <xdr:sp macro="" textlink="">
      <xdr:nvSpPr>
        <xdr:cNvPr id="44" name="Oval 43">
          <a:hlinkClick xmlns:r="http://schemas.openxmlformats.org/officeDocument/2006/relationships" r:id="rId18"/>
        </xdr:cNvPr>
        <xdr:cNvSpPr/>
      </xdr:nvSpPr>
      <xdr:spPr>
        <a:xfrm>
          <a:off x="4972846" y="4683125"/>
          <a:ext cx="1662904" cy="857250"/>
        </a:xfrm>
        <a:prstGeom prst="ellipse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200" b="1"/>
            <a:t>BAHASA</a:t>
          </a:r>
          <a:r>
            <a:rPr lang="id-ID" sz="1200" b="1" baseline="0"/>
            <a:t> ARAB</a:t>
          </a:r>
          <a:endParaRPr lang="id-ID" sz="1200" b="1"/>
        </a:p>
      </xdr:txBody>
    </xdr:sp>
    <xdr:clientData/>
  </xdr:twoCellAnchor>
  <xdr:twoCellAnchor>
    <xdr:from>
      <xdr:col>9</xdr:col>
      <xdr:colOff>377032</xdr:colOff>
      <xdr:row>16</xdr:row>
      <xdr:rowOff>47626</xdr:rowOff>
    </xdr:from>
    <xdr:to>
      <xdr:col>12</xdr:col>
      <xdr:colOff>412750</xdr:colOff>
      <xdr:row>19</xdr:row>
      <xdr:rowOff>142876</xdr:rowOff>
    </xdr:to>
    <xdr:sp macro="" textlink="">
      <xdr:nvSpPr>
        <xdr:cNvPr id="45" name="Oval 44">
          <a:hlinkClick xmlns:r="http://schemas.openxmlformats.org/officeDocument/2006/relationships" r:id="rId19"/>
        </xdr:cNvPr>
        <xdr:cNvSpPr/>
      </xdr:nvSpPr>
      <xdr:spPr>
        <a:xfrm>
          <a:off x="6758782" y="4683126"/>
          <a:ext cx="1877218" cy="857250"/>
        </a:xfrm>
        <a:prstGeom prst="ellipse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600" b="1"/>
            <a:t>BAHASA INGGRIS</a:t>
          </a:r>
        </a:p>
      </xdr:txBody>
    </xdr:sp>
    <xdr:clientData/>
  </xdr:twoCellAnchor>
  <xdr:twoCellAnchor>
    <xdr:from>
      <xdr:col>13</xdr:col>
      <xdr:colOff>75407</xdr:colOff>
      <xdr:row>15</xdr:row>
      <xdr:rowOff>183437</xdr:rowOff>
    </xdr:from>
    <xdr:to>
      <xdr:col>16</xdr:col>
      <xdr:colOff>436565</xdr:colOff>
      <xdr:row>19</xdr:row>
      <xdr:rowOff>201465</xdr:rowOff>
    </xdr:to>
    <xdr:sp macro="" textlink="">
      <xdr:nvSpPr>
        <xdr:cNvPr id="46" name="Oval 45">
          <a:hlinkClick xmlns:r="http://schemas.openxmlformats.org/officeDocument/2006/relationships" r:id="rId20"/>
        </xdr:cNvPr>
        <xdr:cNvSpPr/>
      </xdr:nvSpPr>
      <xdr:spPr>
        <a:xfrm>
          <a:off x="8901907" y="4564937"/>
          <a:ext cx="1821658" cy="1034028"/>
        </a:xfrm>
        <a:prstGeom prst="ellipse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600" b="1"/>
            <a:t>BAHASA INDONESIA</a:t>
          </a:r>
        </a:p>
      </xdr:txBody>
    </xdr:sp>
    <xdr:clientData/>
  </xdr:twoCellAnchor>
  <xdr:twoCellAnchor>
    <xdr:from>
      <xdr:col>17</xdr:col>
      <xdr:colOff>492125</xdr:colOff>
      <xdr:row>15</xdr:row>
      <xdr:rowOff>246063</xdr:rowOff>
    </xdr:from>
    <xdr:to>
      <xdr:col>20</xdr:col>
      <xdr:colOff>337345</xdr:colOff>
      <xdr:row>19</xdr:row>
      <xdr:rowOff>198438</xdr:rowOff>
    </xdr:to>
    <xdr:sp macro="" textlink="">
      <xdr:nvSpPr>
        <xdr:cNvPr id="47" name="Oval 46">
          <a:hlinkClick xmlns:r="http://schemas.openxmlformats.org/officeDocument/2006/relationships" r:id="rId21"/>
        </xdr:cNvPr>
        <xdr:cNvSpPr/>
      </xdr:nvSpPr>
      <xdr:spPr>
        <a:xfrm>
          <a:off x="11382375" y="4627563"/>
          <a:ext cx="1654970" cy="968375"/>
        </a:xfrm>
        <a:prstGeom prst="ellipse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600" b="1"/>
            <a:t>BAHASA DAERAH</a:t>
          </a:r>
        </a:p>
      </xdr:txBody>
    </xdr:sp>
    <xdr:clientData/>
  </xdr:twoCellAnchor>
  <xdr:twoCellAnchor>
    <xdr:from>
      <xdr:col>7</xdr:col>
      <xdr:colOff>23814</xdr:colOff>
      <xdr:row>20</xdr:row>
      <xdr:rowOff>15876</xdr:rowOff>
    </xdr:from>
    <xdr:to>
      <xdr:col>9</xdr:col>
      <xdr:colOff>317499</xdr:colOff>
      <xdr:row>23</xdr:row>
      <xdr:rowOff>317500</xdr:rowOff>
    </xdr:to>
    <xdr:sp macro="" textlink="">
      <xdr:nvSpPr>
        <xdr:cNvPr id="48" name="Oval 47">
          <a:hlinkClick xmlns:r="http://schemas.openxmlformats.org/officeDocument/2006/relationships" r:id="rId22"/>
        </xdr:cNvPr>
        <xdr:cNvSpPr/>
      </xdr:nvSpPr>
      <xdr:spPr>
        <a:xfrm>
          <a:off x="4913314" y="5667376"/>
          <a:ext cx="1785935" cy="968374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400" b="1"/>
            <a:t>MATEMATIKA</a:t>
          </a:r>
        </a:p>
      </xdr:txBody>
    </xdr:sp>
    <xdr:clientData/>
  </xdr:twoCellAnchor>
  <xdr:twoCellAnchor>
    <xdr:from>
      <xdr:col>9</xdr:col>
      <xdr:colOff>508000</xdr:colOff>
      <xdr:row>20</xdr:row>
      <xdr:rowOff>63500</xdr:rowOff>
    </xdr:from>
    <xdr:to>
      <xdr:col>12</xdr:col>
      <xdr:colOff>349250</xdr:colOff>
      <xdr:row>23</xdr:row>
      <xdr:rowOff>321469</xdr:rowOff>
    </xdr:to>
    <xdr:sp macro="" textlink="">
      <xdr:nvSpPr>
        <xdr:cNvPr id="49" name="Oval 48">
          <a:hlinkClick xmlns:r="http://schemas.openxmlformats.org/officeDocument/2006/relationships" r:id="rId23"/>
        </xdr:cNvPr>
        <xdr:cNvSpPr/>
      </xdr:nvSpPr>
      <xdr:spPr>
        <a:xfrm>
          <a:off x="6889750" y="5715000"/>
          <a:ext cx="1682750" cy="924719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800" b="1"/>
            <a:t>I  P  A</a:t>
          </a:r>
        </a:p>
      </xdr:txBody>
    </xdr:sp>
    <xdr:clientData/>
  </xdr:twoCellAnchor>
  <xdr:twoCellAnchor>
    <xdr:from>
      <xdr:col>13</xdr:col>
      <xdr:colOff>127001</xdr:colOff>
      <xdr:row>20</xdr:row>
      <xdr:rowOff>79375</xdr:rowOff>
    </xdr:from>
    <xdr:to>
      <xdr:col>16</xdr:col>
      <xdr:colOff>488159</xdr:colOff>
      <xdr:row>24</xdr:row>
      <xdr:rowOff>15876</xdr:rowOff>
    </xdr:to>
    <xdr:sp macro="" textlink="">
      <xdr:nvSpPr>
        <xdr:cNvPr id="50" name="Oval 49">
          <a:hlinkClick xmlns:r="http://schemas.openxmlformats.org/officeDocument/2006/relationships" r:id="rId24"/>
        </xdr:cNvPr>
        <xdr:cNvSpPr/>
      </xdr:nvSpPr>
      <xdr:spPr>
        <a:xfrm>
          <a:off x="8953501" y="5730875"/>
          <a:ext cx="1821658" cy="1000126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600" b="1"/>
            <a:t>I  P  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117963</xdr:colOff>
      <xdr:row>0</xdr:row>
      <xdr:rowOff>110907</xdr:rowOff>
    </xdr:from>
    <xdr:to>
      <xdr:col>1</xdr:col>
      <xdr:colOff>1076325</xdr:colOff>
      <xdr:row>16</xdr:row>
      <xdr:rowOff>384119</xdr:rowOff>
    </xdr:to>
    <xdr:pic>
      <xdr:nvPicPr>
        <xdr:cNvPr id="2" name="Picture 1" descr="5-s-potrait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7963" y="110907"/>
          <a:ext cx="3215787" cy="3664112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2</xdr:col>
      <xdr:colOff>9525</xdr:colOff>
      <xdr:row>16</xdr:row>
      <xdr:rowOff>38101</xdr:rowOff>
    </xdr:from>
    <xdr:to>
      <xdr:col>3</xdr:col>
      <xdr:colOff>2057400</xdr:colOff>
      <xdr:row>16</xdr:row>
      <xdr:rowOff>381001</xdr:rowOff>
    </xdr:to>
    <xdr:sp macro="" textlink="">
      <xdr:nvSpPr>
        <xdr:cNvPr id="3" name="Flowchart: Alternate Process 2">
          <a:hlinkClick xmlns:r="http://schemas.openxmlformats.org/officeDocument/2006/relationships" r:id="rId2"/>
        </xdr:cNvPr>
        <xdr:cNvSpPr/>
      </xdr:nvSpPr>
      <xdr:spPr>
        <a:xfrm>
          <a:off x="3552825" y="3429001"/>
          <a:ext cx="3228975" cy="342900"/>
        </a:xfrm>
        <a:prstGeom prst="flowChartAlternateProcess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600" b="1"/>
            <a:t>BACK</a:t>
          </a:r>
          <a:r>
            <a:rPr lang="id-ID" sz="1600" b="1" baseline="0"/>
            <a:t> TO MENU</a:t>
          </a:r>
          <a:endParaRPr lang="id-ID" sz="16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583406</xdr:colOff>
      <xdr:row>16</xdr:row>
      <xdr:rowOff>47624</xdr:rowOff>
    </xdr:from>
    <xdr:to>
      <xdr:col>21</xdr:col>
      <xdr:colOff>566738</xdr:colOff>
      <xdr:row>19</xdr:row>
      <xdr:rowOff>42861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7227094" y="3226593"/>
          <a:ext cx="1197769" cy="81676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 editAs="oneCell">
    <xdr:from>
      <xdr:col>0</xdr:col>
      <xdr:colOff>23812</xdr:colOff>
      <xdr:row>0</xdr:row>
      <xdr:rowOff>180975</xdr:rowOff>
    </xdr:from>
    <xdr:to>
      <xdr:col>1</xdr:col>
      <xdr:colOff>814387</xdr:colOff>
      <xdr:row>4</xdr:row>
      <xdr:rowOff>146905</xdr:rowOff>
    </xdr:to>
    <xdr:pic>
      <xdr:nvPicPr>
        <xdr:cNvPr id="5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b="2314"/>
        <a:stretch>
          <a:fillRect/>
        </a:stretch>
      </xdr:blipFill>
      <xdr:spPr bwMode="auto">
        <a:xfrm>
          <a:off x="23812" y="180975"/>
          <a:ext cx="1016794" cy="944624"/>
        </a:xfrm>
        <a:prstGeom prst="rect">
          <a:avLst/>
        </a:prstGeom>
        <a:noFill/>
      </xdr:spPr>
    </xdr:pic>
    <xdr:clientData/>
  </xdr:twoCellAnchor>
  <xdr:twoCellAnchor>
    <xdr:from>
      <xdr:col>20</xdr:col>
      <xdr:colOff>47625</xdr:colOff>
      <xdr:row>9</xdr:row>
      <xdr:rowOff>83343</xdr:rowOff>
    </xdr:from>
    <xdr:to>
      <xdr:col>22</xdr:col>
      <xdr:colOff>11906</xdr:colOff>
      <xdr:row>15</xdr:row>
      <xdr:rowOff>333375</xdr:rowOff>
    </xdr:to>
    <xdr:sp macro="[0]!Cetak" textlink="">
      <xdr:nvSpPr>
        <xdr:cNvPr id="6" name="Oval 5"/>
        <xdr:cNvSpPr/>
      </xdr:nvSpPr>
      <xdr:spPr>
        <a:xfrm>
          <a:off x="7298531" y="2107406"/>
          <a:ext cx="1178719" cy="952500"/>
        </a:xfrm>
        <a:prstGeom prst="ellipse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800"/>
            <a:t>CETAK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498230</xdr:colOff>
      <xdr:row>4</xdr:row>
      <xdr:rowOff>43959</xdr:rowOff>
    </xdr:from>
    <xdr:to>
      <xdr:col>2</xdr:col>
      <xdr:colOff>3391</xdr:colOff>
      <xdr:row>5</xdr:row>
      <xdr:rowOff>162171</xdr:rowOff>
    </xdr:to>
    <xdr:sp macro="" textlink="">
      <xdr:nvSpPr>
        <xdr:cNvPr id="2" name="Rounded Rectangle 1">
          <a:hlinkClick xmlns:r="http://schemas.openxmlformats.org/officeDocument/2006/relationships" r:id="rId1" tooltip="Klik Home untuk kembali ke halaman Menu (Home)"/>
        </xdr:cNvPr>
        <xdr:cNvSpPr/>
      </xdr:nvSpPr>
      <xdr:spPr>
        <a:xfrm>
          <a:off x="812555" y="1167909"/>
          <a:ext cx="1295861" cy="356337"/>
        </a:xfrm>
        <a:prstGeom prst="roundRect">
          <a:avLst/>
        </a:prstGeom>
        <a:gradFill>
          <a:gsLst>
            <a:gs pos="0">
              <a:srgbClr val="000000"/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/>
            </a:gs>
          </a:gsLst>
          <a:lin ang="5400000" scaled="0"/>
        </a:gradFill>
        <a:effectLst>
          <a:outerShdw blurRad="50800" dist="50800" dir="5400000" algn="ctr" rotWithShape="0">
            <a:srgbClr val="FF00FF"/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2400" b="1">
              <a:solidFill>
                <a:srgbClr val="FFFF00"/>
              </a:solidFill>
              <a:latin typeface="Arial Narrow" pitchFamily="34" charset="0"/>
            </a:rPr>
            <a:t>Home</a:t>
          </a:r>
        </a:p>
      </xdr:txBody>
    </xdr:sp>
    <xdr:clientData/>
  </xdr:twoCellAnchor>
  <xdr:twoCellAnchor>
    <xdr:from>
      <xdr:col>150</xdr:col>
      <xdr:colOff>14654</xdr:colOff>
      <xdr:row>4</xdr:row>
      <xdr:rowOff>21981</xdr:rowOff>
    </xdr:from>
    <xdr:to>
      <xdr:col>151</xdr:col>
      <xdr:colOff>635000</xdr:colOff>
      <xdr:row>5</xdr:row>
      <xdr:rowOff>140193</xdr:rowOff>
    </xdr:to>
    <xdr:sp macro="" textlink="">
      <xdr:nvSpPr>
        <xdr:cNvPr id="3" name="Rounded Rectangle 2">
          <a:hlinkClick xmlns:r="http://schemas.openxmlformats.org/officeDocument/2006/relationships" r:id="rId2" tooltip="Klik Home untuk kembali ke halaman Menu (Home)"/>
        </xdr:cNvPr>
        <xdr:cNvSpPr/>
      </xdr:nvSpPr>
      <xdr:spPr>
        <a:xfrm>
          <a:off x="48696929" y="1145931"/>
          <a:ext cx="1029921" cy="356337"/>
        </a:xfrm>
        <a:prstGeom prst="roundRect">
          <a:avLst/>
        </a:prstGeom>
        <a:gradFill>
          <a:gsLst>
            <a:gs pos="0">
              <a:srgbClr val="000000"/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/>
            </a:gs>
          </a:gsLst>
          <a:lin ang="5400000" scaled="0"/>
        </a:gradFill>
        <a:effectLst>
          <a:outerShdw blurRad="50800" dist="50800" dir="5400000" algn="ctr" rotWithShape="0">
            <a:srgbClr val="FF00FF"/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2400" b="1">
              <a:solidFill>
                <a:srgbClr val="FFFF00"/>
              </a:solidFill>
              <a:latin typeface="Arial Narrow" pitchFamily="34" charset="0"/>
            </a:rPr>
            <a:t>Home</a:t>
          </a:r>
        </a:p>
      </xdr:txBody>
    </xdr:sp>
    <xdr:clientData/>
  </xdr:twoCellAnchor>
  <xdr:twoCellAnchor>
    <xdr:from>
      <xdr:col>66</xdr:col>
      <xdr:colOff>36635</xdr:colOff>
      <xdr:row>4</xdr:row>
      <xdr:rowOff>14654</xdr:rowOff>
    </xdr:from>
    <xdr:to>
      <xdr:col>70</xdr:col>
      <xdr:colOff>151385</xdr:colOff>
      <xdr:row>5</xdr:row>
      <xdr:rowOff>132866</xdr:rowOff>
    </xdr:to>
    <xdr:sp macro="" textlink="">
      <xdr:nvSpPr>
        <xdr:cNvPr id="4" name="Rounded Rectangle 3">
          <a:hlinkClick xmlns:r="http://schemas.openxmlformats.org/officeDocument/2006/relationships" r:id="rId3" tooltip="Klik Home untuk kembali ke halaman Menu (Home)"/>
        </xdr:cNvPr>
        <xdr:cNvSpPr/>
      </xdr:nvSpPr>
      <xdr:spPr>
        <a:xfrm>
          <a:off x="20734460" y="1138604"/>
          <a:ext cx="1257750" cy="356337"/>
        </a:xfrm>
        <a:prstGeom prst="roundRect">
          <a:avLst/>
        </a:prstGeom>
        <a:gradFill>
          <a:gsLst>
            <a:gs pos="0">
              <a:srgbClr val="000000"/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/>
            </a:gs>
          </a:gsLst>
          <a:lin ang="5400000" scaled="0"/>
        </a:gradFill>
        <a:effectLst>
          <a:outerShdw blurRad="50800" dist="50800" dir="5400000" algn="ctr" rotWithShape="0">
            <a:srgbClr val="FF00FF"/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2400" b="1">
              <a:solidFill>
                <a:srgbClr val="FFFF00"/>
              </a:solidFill>
              <a:latin typeface="Arial Narrow" pitchFamily="34" charset="0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0</xdr:row>
      <xdr:rowOff>228600</xdr:rowOff>
    </xdr:from>
    <xdr:to>
      <xdr:col>1</xdr:col>
      <xdr:colOff>704850</xdr:colOff>
      <xdr:row>2</xdr:row>
      <xdr:rowOff>171450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238125" y="228600"/>
          <a:ext cx="1076325" cy="371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17</xdr:col>
      <xdr:colOff>152400</xdr:colOff>
      <xdr:row>0</xdr:row>
      <xdr:rowOff>47625</xdr:rowOff>
    </xdr:from>
    <xdr:to>
      <xdr:col>22</xdr:col>
      <xdr:colOff>228600</xdr:colOff>
      <xdr:row>2</xdr:row>
      <xdr:rowOff>9525</xdr:rowOff>
    </xdr:to>
    <xdr:sp macro="[0]!CopPasValue" textlink="">
      <xdr:nvSpPr>
        <xdr:cNvPr id="3" name="Rounded Rectangle 2"/>
        <xdr:cNvSpPr/>
      </xdr:nvSpPr>
      <xdr:spPr>
        <a:xfrm>
          <a:off x="6953250" y="47625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SMK%20ISLAM%20KEPANJEN/RAPORT%20MTS%20PERTAHUN%20JATIM%202017%20EDIT%2030-3-2017%20LOCK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dministrator.MLG-4D0D7C9B122/Application%20Data/Microsoft/Excel/RAPORT%20MTS%20KAB%20MALANG%202013%20jadi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SMK%20ISLAM%20KEPANJEN/CONTOH%20APLIKASI/RAPORT%20MTS%20PERTAHUN%20JATIM%202017%20EDIT%2030-3-2017%20LOCK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dministrator.MLG-4D0D7C9B122/Application%20Data/Microsoft/Excel/Rapot__UTS_Genap_2014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RAPORT%20JATIM%20OKE\DAFTAR%20NILAI%2053%20JAWA%20TIMUR%20MASTER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UTAMA"/>
      <sheetName val="UTAMA 2"/>
      <sheetName val="Home"/>
      <sheetName val="Data Identitas"/>
      <sheetName val="Data Raport2"/>
      <sheetName val="QH2"/>
      <sheetName val="AA2"/>
      <sheetName val="SKI2"/>
      <sheetName val="FIQIH2"/>
      <sheetName val="PPKn2"/>
      <sheetName val="B.Ind2"/>
      <sheetName val="B.ARAB2"/>
      <sheetName val="MAT2"/>
      <sheetName val="IPA2"/>
      <sheetName val="IPS2"/>
      <sheetName val="BIng2"/>
      <sheetName val="SBd2"/>
      <sheetName val="Pjk2"/>
      <sheetName val="Prk2"/>
      <sheetName val="BADER2"/>
      <sheetName val="TAMB12"/>
      <sheetName val="TAMB22"/>
      <sheetName val="DESKRIPSI2"/>
      <sheetName val="MULTI NK"/>
      <sheetName val="NK2"/>
      <sheetName val="LEDGER GENAP2"/>
      <sheetName val="NK1"/>
      <sheetName val="LEDGER GANJIL"/>
      <sheetName val="DKN2"/>
      <sheetName val="Raport GENAP1KKM"/>
      <sheetName val="RaportGENAPMULTIKKM"/>
      <sheetName val="Raport GENAP2"/>
      <sheetName val="Raport_Ganjil multi_KKM"/>
      <sheetName val="Raport_Ganjil_1KKM"/>
      <sheetName val="Raport Ganjil"/>
      <sheetName val="Data Raport"/>
      <sheetName val="QH"/>
      <sheetName val="AA"/>
      <sheetName val="SKI"/>
      <sheetName val="FIQIH"/>
      <sheetName val="PPKn"/>
      <sheetName val="B.Ind"/>
      <sheetName val="B.ARAB"/>
      <sheetName val="MAT"/>
      <sheetName val="IPA"/>
      <sheetName val="IPS"/>
      <sheetName val="BIng"/>
      <sheetName val="SBd"/>
      <sheetName val="Pjk"/>
      <sheetName val="Prk"/>
      <sheetName val="BADER"/>
      <sheetName val="TAMB1"/>
      <sheetName val="TAMB2"/>
      <sheetName val="DESKRIPSI"/>
      <sheetName val="hal depan"/>
      <sheetName val="Coper dan Petunjuk"/>
      <sheetName val="Ket Pindah &amp; Prestasi"/>
      <sheetName val="Sheet1"/>
    </sheetNames>
    <sheetDataSet>
      <sheetData sheetId="0" refreshError="1"/>
      <sheetData sheetId="1" refreshError="1"/>
      <sheetData sheetId="2"/>
      <sheetData sheetId="3" refreshError="1"/>
      <sheetData sheetId="4">
        <row r="4">
          <cell r="A4">
            <v>1</v>
          </cell>
          <cell r="B4" t="str">
            <v>1</v>
          </cell>
          <cell r="C4" t="str">
            <v>1</v>
          </cell>
          <cell r="D4">
            <v>2</v>
          </cell>
          <cell r="E4">
            <v>1</v>
          </cell>
          <cell r="F4">
            <v>3</v>
          </cell>
          <cell r="G4" t="str">
            <v>Ekstra 1</v>
          </cell>
          <cell r="H4" t="str">
            <v>Memuaskan. Aktif dalam perkemahan dan latihan mingguan.</v>
          </cell>
          <cell r="I4" t="str">
            <v>Palang Merah Ramaja (PMR)</v>
          </cell>
          <cell r="J4" t="str">
            <v>Memuaskan. Aktif dalam Perkemahan Wirakarya dan Raimuna Cabang Jakarta Selatan]</v>
          </cell>
          <cell r="K4" t="str">
            <v xml:space="preserve">Bola Kaki. </v>
          </cell>
          <cell r="L4" t="str">
            <v>Memuaskan. Aktif dalam latihan, pertandingan LPI Cup</v>
          </cell>
          <cell r="M4" t="str">
            <v>LOMBA KIR TINGKAT KABUPATEN</v>
          </cell>
          <cell r="N4" t="str">
            <v>JUARA I</v>
          </cell>
          <cell r="O4" t="str">
            <v>LOMBA MAKAN</v>
          </cell>
          <cell r="P4" t="str">
            <v>JUARA 4</v>
          </cell>
          <cell r="Q4" t="str">
            <v>LOMBA MANCING</v>
          </cell>
          <cell r="R4" t="str">
            <v>JUARA 7</v>
          </cell>
          <cell r="S4" t="str">
            <v>Tingkatkan prestasi dan patuhi tata tertib madrasah</v>
          </cell>
        </row>
        <row r="5">
          <cell r="A5">
            <v>2</v>
          </cell>
          <cell r="B5" t="str">
            <v>2</v>
          </cell>
          <cell r="C5" t="str">
            <v>2</v>
          </cell>
          <cell r="D5">
            <v>2</v>
          </cell>
          <cell r="E5">
            <v>2</v>
          </cell>
          <cell r="F5">
            <v>2</v>
          </cell>
          <cell r="G5" t="str">
            <v>Praja Muda Karana (Pramuka)</v>
          </cell>
          <cell r="M5" t="str">
            <v>Praja Muda Karana (Pramuka)</v>
          </cell>
        </row>
        <row r="6">
          <cell r="A6">
            <v>3</v>
          </cell>
          <cell r="B6" t="str">
            <v>3</v>
          </cell>
          <cell r="C6" t="str">
            <v>3</v>
          </cell>
          <cell r="G6" t="str">
            <v>Praja Muda Karana (Pramuka)</v>
          </cell>
          <cell r="M6" t="str">
            <v>Praja Muda Karana (Pramuka)</v>
          </cell>
        </row>
        <row r="7">
          <cell r="A7">
            <v>4</v>
          </cell>
          <cell r="B7" t="str">
            <v>4</v>
          </cell>
          <cell r="C7" t="str">
            <v>4</v>
          </cell>
          <cell r="G7" t="str">
            <v>Praja Muda Karana (Pramuka)</v>
          </cell>
          <cell r="M7" t="str">
            <v>Praja Muda Karana (Pramuka)</v>
          </cell>
        </row>
        <row r="8">
          <cell r="A8">
            <v>5</v>
          </cell>
          <cell r="B8" t="str">
            <v>5</v>
          </cell>
          <cell r="C8" t="str">
            <v>5</v>
          </cell>
          <cell r="G8" t="str">
            <v>Praja Muda Karana (Pramuka)</v>
          </cell>
          <cell r="M8" t="str">
            <v>Praja Muda Karana (Pramuka)</v>
          </cell>
        </row>
        <row r="9">
          <cell r="A9">
            <v>6</v>
          </cell>
          <cell r="B9" t="str">
            <v>6</v>
          </cell>
          <cell r="C9" t="str">
            <v>6</v>
          </cell>
          <cell r="G9" t="str">
            <v>Praja Muda Karana (Pramuka)</v>
          </cell>
          <cell r="M9" t="str">
            <v>Praja Muda Karana (Pramuka)</v>
          </cell>
        </row>
        <row r="10">
          <cell r="A10">
            <v>7</v>
          </cell>
          <cell r="B10" t="str">
            <v>7</v>
          </cell>
          <cell r="C10" t="str">
            <v>7</v>
          </cell>
          <cell r="G10" t="str">
            <v>Praja Muda Karana (Pramuka)</v>
          </cell>
          <cell r="M10" t="str">
            <v>Praja Muda Karana (Pramuka)</v>
          </cell>
        </row>
        <row r="11">
          <cell r="A11">
            <v>8</v>
          </cell>
          <cell r="B11" t="str">
            <v>8</v>
          </cell>
          <cell r="C11" t="str">
            <v>8</v>
          </cell>
          <cell r="G11" t="str">
            <v>Praja Muda Karana (Pramuka)</v>
          </cell>
          <cell r="M11" t="str">
            <v>Praja Muda Karana (Pramuka)</v>
          </cell>
        </row>
        <row r="12">
          <cell r="A12">
            <v>9</v>
          </cell>
          <cell r="B12" t="str">
            <v>9</v>
          </cell>
          <cell r="C12" t="str">
            <v>9</v>
          </cell>
          <cell r="G12" t="str">
            <v>Praja Muda Karana (Pramuka)</v>
          </cell>
          <cell r="M12" t="str">
            <v>Praja Muda Karana (Pramuka)</v>
          </cell>
        </row>
        <row r="13">
          <cell r="A13">
            <v>10</v>
          </cell>
          <cell r="B13" t="str">
            <v>10</v>
          </cell>
          <cell r="C13" t="str">
            <v>10</v>
          </cell>
          <cell r="G13" t="str">
            <v>Praja Muda Karana (Pramuka)</v>
          </cell>
          <cell r="M13" t="str">
            <v>Praja Muda Karana (Pramuka)</v>
          </cell>
        </row>
        <row r="14">
          <cell r="A14">
            <v>11</v>
          </cell>
          <cell r="B14" t="str">
            <v>11</v>
          </cell>
          <cell r="C14" t="str">
            <v>11</v>
          </cell>
          <cell r="G14" t="str">
            <v>Praja Muda Karana (Pramuka)</v>
          </cell>
          <cell r="M14" t="str">
            <v>Praja Muda Karana (Pramuka)</v>
          </cell>
        </row>
        <row r="15">
          <cell r="A15">
            <v>12</v>
          </cell>
          <cell r="B15" t="str">
            <v>dua belas</v>
          </cell>
          <cell r="C15" t="str">
            <v>12</v>
          </cell>
          <cell r="G15" t="str">
            <v>Praja Muda Karana (Pramuka)</v>
          </cell>
          <cell r="M15" t="str">
            <v>Praja Muda Karana (Pramuka)</v>
          </cell>
        </row>
        <row r="16">
          <cell r="A16">
            <v>13</v>
          </cell>
          <cell r="B16" t="str">
            <v>13</v>
          </cell>
          <cell r="C16" t="str">
            <v>13</v>
          </cell>
          <cell r="G16" t="str">
            <v>Praja Muda Karana (Pramuka)</v>
          </cell>
          <cell r="M16" t="str">
            <v>Praja Muda Karana (Pramuka)</v>
          </cell>
        </row>
        <row r="17">
          <cell r="A17">
            <v>14</v>
          </cell>
          <cell r="B17" t="str">
            <v>14</v>
          </cell>
          <cell r="C17" t="str">
            <v>14</v>
          </cell>
          <cell r="G17" t="str">
            <v>Praja Muda Karana (Pramuka)</v>
          </cell>
          <cell r="M17" t="str">
            <v>Praja Muda Karana (Pramuka)</v>
          </cell>
        </row>
        <row r="18">
          <cell r="A18">
            <v>15</v>
          </cell>
          <cell r="B18" t="str">
            <v>15</v>
          </cell>
          <cell r="C18" t="str">
            <v>15</v>
          </cell>
          <cell r="G18" t="str">
            <v>Praja Muda Karana (Pramuka)</v>
          </cell>
          <cell r="M18" t="str">
            <v>Praja Muda Karana (Pramuka)</v>
          </cell>
        </row>
        <row r="19">
          <cell r="A19">
            <v>16</v>
          </cell>
          <cell r="B19" t="str">
            <v>16</v>
          </cell>
          <cell r="C19" t="str">
            <v>16</v>
          </cell>
          <cell r="G19" t="str">
            <v>Praja Muda Karana (Pramuka)</v>
          </cell>
          <cell r="M19" t="str">
            <v>Praja Muda Karana (Pramuka)</v>
          </cell>
        </row>
        <row r="20">
          <cell r="A20">
            <v>17</v>
          </cell>
          <cell r="B20" t="str">
            <v>17</v>
          </cell>
          <cell r="C20" t="str">
            <v>17</v>
          </cell>
          <cell r="G20" t="str">
            <v>Praja Muda Karana (Pramuka)</v>
          </cell>
          <cell r="M20" t="str">
            <v>Praja Muda Karana (Pramuka)</v>
          </cell>
        </row>
        <row r="21">
          <cell r="A21">
            <v>18</v>
          </cell>
          <cell r="B21" t="str">
            <v>18</v>
          </cell>
          <cell r="C21" t="str">
            <v>18</v>
          </cell>
          <cell r="G21" t="str">
            <v>Praja Muda Karana (Pramuka)</v>
          </cell>
          <cell r="M21" t="str">
            <v>Praja Muda Karana (Pramuka)</v>
          </cell>
        </row>
        <row r="22">
          <cell r="A22">
            <v>19</v>
          </cell>
          <cell r="B22" t="str">
            <v>19</v>
          </cell>
          <cell r="C22" t="str">
            <v>19</v>
          </cell>
          <cell r="G22" t="str">
            <v>Praja Muda Karana (Pramuka)</v>
          </cell>
          <cell r="M22" t="str">
            <v>Praja Muda Karana (Pramuka)</v>
          </cell>
        </row>
        <row r="23">
          <cell r="A23">
            <v>20</v>
          </cell>
          <cell r="B23" t="str">
            <v>20</v>
          </cell>
          <cell r="C23" t="str">
            <v>20</v>
          </cell>
          <cell r="G23" t="str">
            <v>Praja Muda Karana (Pramuka)</v>
          </cell>
          <cell r="M23" t="str">
            <v>Praja Muda Karana (Pramuka)</v>
          </cell>
        </row>
        <row r="24">
          <cell r="A24">
            <v>21</v>
          </cell>
          <cell r="B24" t="str">
            <v>21</v>
          </cell>
          <cell r="C24" t="str">
            <v>21</v>
          </cell>
          <cell r="G24" t="str">
            <v>Praja Muda Karana (Pramuka)</v>
          </cell>
          <cell r="M24" t="str">
            <v>Praja Muda Karana (Pramuka)</v>
          </cell>
        </row>
        <row r="25">
          <cell r="A25">
            <v>22</v>
          </cell>
          <cell r="B25" t="str">
            <v>22</v>
          </cell>
          <cell r="C25" t="str">
            <v>22</v>
          </cell>
          <cell r="G25" t="str">
            <v>Praja Muda Karana (Pramuka)</v>
          </cell>
          <cell r="M25" t="str">
            <v>Praja Muda Karana (Pramuka)</v>
          </cell>
        </row>
        <row r="26">
          <cell r="A26">
            <v>23</v>
          </cell>
          <cell r="B26" t="str">
            <v>23</v>
          </cell>
          <cell r="C26" t="str">
            <v>23</v>
          </cell>
          <cell r="G26" t="str">
            <v>Praja Muda Karana (Pramuka)</v>
          </cell>
          <cell r="M26" t="str">
            <v>Praja Muda Karana (Pramuka)</v>
          </cell>
        </row>
        <row r="27">
          <cell r="A27">
            <v>24</v>
          </cell>
          <cell r="B27" t="str">
            <v>24</v>
          </cell>
          <cell r="C27" t="str">
            <v>24</v>
          </cell>
          <cell r="G27" t="str">
            <v>Praja Muda Karana (Pramuka)</v>
          </cell>
          <cell r="M27" t="str">
            <v>Praja Muda Karana (Pramuka)</v>
          </cell>
        </row>
        <row r="28">
          <cell r="A28">
            <v>25</v>
          </cell>
          <cell r="B28" t="str">
            <v>25</v>
          </cell>
          <cell r="C28" t="str">
            <v>25</v>
          </cell>
          <cell r="G28" t="str">
            <v>Praja Muda Karana (Pramuka)</v>
          </cell>
          <cell r="M28" t="str">
            <v>Praja Muda Karana (Pramuka)</v>
          </cell>
        </row>
        <row r="29">
          <cell r="A29">
            <v>26</v>
          </cell>
          <cell r="B29" t="str">
            <v>26</v>
          </cell>
          <cell r="C29" t="str">
            <v>26</v>
          </cell>
          <cell r="G29" t="str">
            <v>Praja Muda Karana (Pramuka)</v>
          </cell>
          <cell r="M29" t="str">
            <v>Praja Muda Karana (Pramuka)</v>
          </cell>
        </row>
        <row r="30">
          <cell r="A30">
            <v>27</v>
          </cell>
          <cell r="B30" t="str">
            <v>27</v>
          </cell>
          <cell r="C30" t="str">
            <v>27</v>
          </cell>
          <cell r="G30" t="str">
            <v>Praja Muda Karana (Pramuka)</v>
          </cell>
          <cell r="M30" t="str">
            <v>Praja Muda Karana (Pramuka)</v>
          </cell>
        </row>
        <row r="31">
          <cell r="A31">
            <v>28</v>
          </cell>
          <cell r="B31" t="str">
            <v>28</v>
          </cell>
          <cell r="C31" t="str">
            <v>28</v>
          </cell>
          <cell r="G31" t="str">
            <v>Praja Muda Karana (Pramuka)</v>
          </cell>
          <cell r="M31" t="str">
            <v>Praja Muda Karana (Pramuka)</v>
          </cell>
        </row>
        <row r="32">
          <cell r="A32">
            <v>29</v>
          </cell>
          <cell r="B32" t="str">
            <v>29</v>
          </cell>
          <cell r="C32" t="str">
            <v>29</v>
          </cell>
          <cell r="G32" t="str">
            <v>Praja Muda Karana (Pramuka)</v>
          </cell>
          <cell r="M32" t="str">
            <v>Praja Muda Karana (Pramuka)</v>
          </cell>
        </row>
        <row r="33">
          <cell r="A33">
            <v>30</v>
          </cell>
          <cell r="B33" t="str">
            <v>30</v>
          </cell>
          <cell r="C33" t="str">
            <v>30</v>
          </cell>
          <cell r="G33" t="str">
            <v>Praja Muda Karana (Pramuka)</v>
          </cell>
          <cell r="M33" t="str">
            <v>Praja Muda Karana (Pramuka)</v>
          </cell>
        </row>
        <row r="34">
          <cell r="A34">
            <v>31</v>
          </cell>
          <cell r="B34" t="str">
            <v>31</v>
          </cell>
          <cell r="C34" t="str">
            <v>31</v>
          </cell>
          <cell r="G34" t="str">
            <v>Praja Muda Karana (Pramuka)</v>
          </cell>
          <cell r="M34" t="str">
            <v>Praja Muda Karana (Pramuka)</v>
          </cell>
        </row>
        <row r="35">
          <cell r="A35">
            <v>32</v>
          </cell>
          <cell r="B35" t="str">
            <v>32</v>
          </cell>
          <cell r="C35" t="str">
            <v>32</v>
          </cell>
          <cell r="G35" t="str">
            <v>Praja Muda Karana (Pramuka)</v>
          </cell>
          <cell r="M35" t="str">
            <v>Praja Muda Karana (Pramuka)</v>
          </cell>
        </row>
        <row r="36">
          <cell r="A36">
            <v>33</v>
          </cell>
          <cell r="B36" t="str">
            <v>33</v>
          </cell>
          <cell r="C36" t="str">
            <v>33</v>
          </cell>
          <cell r="G36" t="str">
            <v>Praja Muda Karana (Pramuka)</v>
          </cell>
          <cell r="M36" t="str">
            <v>Praja Muda Karana (Pramuka)</v>
          </cell>
        </row>
        <row r="37">
          <cell r="A37">
            <v>34</v>
          </cell>
          <cell r="B37" t="str">
            <v>34</v>
          </cell>
          <cell r="C37" t="str">
            <v>34</v>
          </cell>
          <cell r="G37" t="str">
            <v>Praja Muda Karana (Pramuka)</v>
          </cell>
          <cell r="M37" t="str">
            <v>Praja Muda Karana (Pramuka)</v>
          </cell>
        </row>
        <row r="38">
          <cell r="A38">
            <v>35</v>
          </cell>
          <cell r="B38" t="str">
            <v>35</v>
          </cell>
          <cell r="C38" t="str">
            <v>35</v>
          </cell>
          <cell r="G38" t="str">
            <v>Praja Muda Karana (Pramuka)</v>
          </cell>
          <cell r="M38" t="str">
            <v>Praja Muda Karana (Pramuka)</v>
          </cell>
        </row>
        <row r="39">
          <cell r="A39">
            <v>36</v>
          </cell>
          <cell r="B39" t="str">
            <v>36</v>
          </cell>
          <cell r="C39" t="str">
            <v>36</v>
          </cell>
          <cell r="G39" t="str">
            <v>Praja Muda Karana (Pramuka)</v>
          </cell>
          <cell r="M39" t="str">
            <v>Praja Muda Karana (Pramuka)</v>
          </cell>
        </row>
        <row r="40">
          <cell r="A40">
            <v>37</v>
          </cell>
          <cell r="B40" t="str">
            <v>37</v>
          </cell>
          <cell r="C40" t="str">
            <v>37</v>
          </cell>
          <cell r="G40" t="str">
            <v>Praja Muda Karana (Pramuka)</v>
          </cell>
          <cell r="M40" t="str">
            <v>Praja Muda Karana (Pramuka)</v>
          </cell>
        </row>
        <row r="41">
          <cell r="A41">
            <v>38</v>
          </cell>
          <cell r="B41" t="str">
            <v>38</v>
          </cell>
          <cell r="C41" t="str">
            <v>38</v>
          </cell>
          <cell r="G41" t="str">
            <v>Praja Muda Karana (Pramuka)</v>
          </cell>
          <cell r="M41" t="str">
            <v>Praja Muda Karana (Pramuka)</v>
          </cell>
        </row>
        <row r="42">
          <cell r="A42">
            <v>39</v>
          </cell>
          <cell r="B42" t="str">
            <v>39</v>
          </cell>
          <cell r="C42" t="str">
            <v>39</v>
          </cell>
          <cell r="G42" t="str">
            <v>Praja Muda Karana (Pramuka)</v>
          </cell>
          <cell r="M42" t="str">
            <v>Praja Muda Karana (Pramuka)</v>
          </cell>
        </row>
        <row r="43">
          <cell r="A43">
            <v>40</v>
          </cell>
          <cell r="B43" t="str">
            <v>40</v>
          </cell>
          <cell r="C43" t="str">
            <v>40</v>
          </cell>
          <cell r="G43" t="str">
            <v>Praja Muda Karana (Pramuka)</v>
          </cell>
          <cell r="M43" t="str">
            <v>Praja Muda Karana (Pramuka)</v>
          </cell>
        </row>
        <row r="44">
          <cell r="A44">
            <v>41</v>
          </cell>
          <cell r="B44" t="str">
            <v>41</v>
          </cell>
          <cell r="C44" t="str">
            <v>41</v>
          </cell>
          <cell r="G44" t="str">
            <v>Praja Muda Karana (Pramuka)</v>
          </cell>
          <cell r="M44" t="str">
            <v>Praja Muda Karana (Pramuka)</v>
          </cell>
        </row>
        <row r="45">
          <cell r="A45">
            <v>42</v>
          </cell>
          <cell r="B45" t="str">
            <v>42</v>
          </cell>
          <cell r="C45" t="str">
            <v>42</v>
          </cell>
          <cell r="G45" t="str">
            <v>Praja Muda Karana (Pramuka)</v>
          </cell>
          <cell r="M45" t="str">
            <v>Praja Muda Karana (Pramuka)</v>
          </cell>
        </row>
        <row r="46">
          <cell r="A46">
            <v>43</v>
          </cell>
          <cell r="B46" t="str">
            <v>43</v>
          </cell>
          <cell r="C46" t="str">
            <v>43</v>
          </cell>
          <cell r="G46" t="str">
            <v>Praja Muda Karana (Pramuka)</v>
          </cell>
          <cell r="M46" t="str">
            <v>Praja Muda Karana (Pramuka)</v>
          </cell>
        </row>
        <row r="47">
          <cell r="A47">
            <v>44</v>
          </cell>
          <cell r="B47" t="str">
            <v>44</v>
          </cell>
          <cell r="C47" t="str">
            <v>44</v>
          </cell>
          <cell r="G47" t="str">
            <v>Praja Muda Karana (Pramuka)</v>
          </cell>
          <cell r="M47" t="str">
            <v>Praja Muda Karana (Pramuka)</v>
          </cell>
        </row>
        <row r="48">
          <cell r="A48">
            <v>45</v>
          </cell>
          <cell r="B48" t="str">
            <v>45</v>
          </cell>
          <cell r="C48" t="str">
            <v>45</v>
          </cell>
          <cell r="G48" t="str">
            <v>Praja Muda Karana (Pramuka)</v>
          </cell>
          <cell r="M48" t="str">
            <v>Praja Muda Karana (Pramuka)</v>
          </cell>
        </row>
        <row r="49">
          <cell r="A49">
            <v>46</v>
          </cell>
          <cell r="B49" t="str">
            <v>46</v>
          </cell>
          <cell r="C49" t="str">
            <v>46</v>
          </cell>
        </row>
        <row r="50">
          <cell r="A50">
            <v>47</v>
          </cell>
          <cell r="B50" t="str">
            <v>47</v>
          </cell>
          <cell r="C50" t="str">
            <v>47</v>
          </cell>
        </row>
        <row r="51">
          <cell r="A51">
            <v>48</v>
          </cell>
          <cell r="B51" t="str">
            <v>48</v>
          </cell>
          <cell r="C51" t="str">
            <v>48</v>
          </cell>
        </row>
        <row r="52">
          <cell r="A52">
            <v>49</v>
          </cell>
          <cell r="B52" t="str">
            <v>49</v>
          </cell>
          <cell r="C52" t="str">
            <v>49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>
        <row r="4">
          <cell r="A4">
            <v>1</v>
          </cell>
          <cell r="B4" t="str">
            <v>1</v>
          </cell>
          <cell r="C4" t="str">
            <v>1</v>
          </cell>
          <cell r="D4">
            <v>2</v>
          </cell>
          <cell r="E4">
            <v>1</v>
          </cell>
          <cell r="F4">
            <v>3</v>
          </cell>
          <cell r="G4" t="str">
            <v>Praja Muda Karana (Pramuka)</v>
          </cell>
          <cell r="H4" t="str">
            <v>Memuaskan. Aktif dalam perkemahan dan latihan mingguan.</v>
          </cell>
          <cell r="I4" t="str">
            <v>Palang Merah Ramaja (PMR)</v>
          </cell>
          <cell r="J4" t="str">
            <v>Memuaskan. Aktif dalam Perkemahan Wirakarya dan Raimuna Cabang Jakarta Selatan]</v>
          </cell>
          <cell r="K4" t="str">
            <v xml:space="preserve">Bola Kaki. </v>
          </cell>
          <cell r="L4" t="str">
            <v>Memuaskan. Aktif dalam latihan, pertandingan LPI Cup</v>
          </cell>
        </row>
        <row r="5">
          <cell r="A5">
            <v>2</v>
          </cell>
          <cell r="B5" t="str">
            <v>2</v>
          </cell>
          <cell r="C5" t="str">
            <v>2</v>
          </cell>
          <cell r="D5">
            <v>2</v>
          </cell>
          <cell r="E5">
            <v>2</v>
          </cell>
          <cell r="F5">
            <v>2</v>
          </cell>
          <cell r="G5" t="str">
            <v>Praja Muda Karana (Pramuka)</v>
          </cell>
        </row>
        <row r="6">
          <cell r="A6">
            <v>3</v>
          </cell>
          <cell r="B6" t="str">
            <v>3</v>
          </cell>
          <cell r="C6" t="str">
            <v>3</v>
          </cell>
          <cell r="G6" t="str">
            <v>Praja Muda Karana (Pramuka)</v>
          </cell>
        </row>
        <row r="7">
          <cell r="A7">
            <v>4</v>
          </cell>
          <cell r="B7" t="str">
            <v>4</v>
          </cell>
          <cell r="C7" t="str">
            <v>4</v>
          </cell>
          <cell r="G7" t="str">
            <v>Praja Muda Karana (Pramuka)</v>
          </cell>
        </row>
        <row r="8">
          <cell r="A8">
            <v>5</v>
          </cell>
          <cell r="B8" t="str">
            <v>5</v>
          </cell>
          <cell r="C8" t="str">
            <v>5</v>
          </cell>
          <cell r="G8" t="str">
            <v>Praja Muda Karana (Pramuka)</v>
          </cell>
        </row>
        <row r="9">
          <cell r="A9">
            <v>6</v>
          </cell>
          <cell r="B9" t="str">
            <v>6</v>
          </cell>
          <cell r="C9" t="str">
            <v>6</v>
          </cell>
          <cell r="G9" t="str">
            <v>Praja Muda Karana (Pramuka)</v>
          </cell>
        </row>
        <row r="10">
          <cell r="A10">
            <v>7</v>
          </cell>
          <cell r="B10" t="str">
            <v>7</v>
          </cell>
          <cell r="C10" t="str">
            <v>7</v>
          </cell>
          <cell r="G10" t="str">
            <v>Praja Muda Karana (Pramuka)</v>
          </cell>
        </row>
        <row r="11">
          <cell r="A11">
            <v>8</v>
          </cell>
          <cell r="B11" t="str">
            <v>8</v>
          </cell>
          <cell r="C11" t="str">
            <v>8</v>
          </cell>
          <cell r="G11" t="str">
            <v>Praja Muda Karana (Pramuka)</v>
          </cell>
        </row>
        <row r="12">
          <cell r="A12">
            <v>9</v>
          </cell>
          <cell r="B12" t="str">
            <v>9</v>
          </cell>
          <cell r="C12" t="str">
            <v>9</v>
          </cell>
          <cell r="G12" t="str">
            <v>Praja Muda Karana (Pramuka)</v>
          </cell>
        </row>
        <row r="13">
          <cell r="A13">
            <v>10</v>
          </cell>
          <cell r="B13" t="str">
            <v>10</v>
          </cell>
          <cell r="C13" t="str">
            <v>10</v>
          </cell>
          <cell r="G13" t="str">
            <v>Praja Muda Karana (Pramuka)</v>
          </cell>
        </row>
        <row r="14">
          <cell r="A14">
            <v>11</v>
          </cell>
          <cell r="B14" t="str">
            <v>11</v>
          </cell>
          <cell r="C14" t="str">
            <v>11</v>
          </cell>
          <cell r="G14" t="str">
            <v>Praja Muda Karana (Pramuka)</v>
          </cell>
        </row>
        <row r="15">
          <cell r="A15">
            <v>12</v>
          </cell>
          <cell r="B15" t="str">
            <v>12</v>
          </cell>
          <cell r="C15" t="str">
            <v>12</v>
          </cell>
          <cell r="G15" t="str">
            <v>Praja Muda Karana (Pramuka)</v>
          </cell>
        </row>
        <row r="16">
          <cell r="A16">
            <v>13</v>
          </cell>
          <cell r="B16" t="str">
            <v>13</v>
          </cell>
          <cell r="C16" t="str">
            <v>13</v>
          </cell>
          <cell r="G16" t="str">
            <v>Praja Muda Karana (Pramuka)</v>
          </cell>
        </row>
        <row r="17">
          <cell r="A17">
            <v>14</v>
          </cell>
          <cell r="B17" t="str">
            <v>14</v>
          </cell>
          <cell r="C17" t="str">
            <v>14</v>
          </cell>
          <cell r="G17" t="str">
            <v>Praja Muda Karana (Pramuka)</v>
          </cell>
        </row>
        <row r="18">
          <cell r="A18">
            <v>15</v>
          </cell>
          <cell r="B18" t="str">
            <v>15</v>
          </cell>
          <cell r="C18" t="str">
            <v>15</v>
          </cell>
          <cell r="G18" t="str">
            <v>Praja Muda Karana (Pramuka)</v>
          </cell>
        </row>
        <row r="19">
          <cell r="A19">
            <v>16</v>
          </cell>
          <cell r="B19" t="str">
            <v>16</v>
          </cell>
          <cell r="C19" t="str">
            <v>16</v>
          </cell>
          <cell r="G19" t="str">
            <v>Praja Muda Karana (Pramuka)</v>
          </cell>
        </row>
        <row r="20">
          <cell r="A20">
            <v>17</v>
          </cell>
          <cell r="B20" t="str">
            <v>17</v>
          </cell>
          <cell r="C20" t="str">
            <v>17</v>
          </cell>
          <cell r="G20" t="str">
            <v>Praja Muda Karana (Pramuka)</v>
          </cell>
        </row>
        <row r="21">
          <cell r="A21">
            <v>18</v>
          </cell>
          <cell r="B21" t="str">
            <v>18</v>
          </cell>
          <cell r="C21" t="str">
            <v>18</v>
          </cell>
          <cell r="G21" t="str">
            <v>Praja Muda Karana (Pramuka)</v>
          </cell>
        </row>
        <row r="22">
          <cell r="A22">
            <v>19</v>
          </cell>
          <cell r="B22" t="str">
            <v>19</v>
          </cell>
          <cell r="C22" t="str">
            <v>19</v>
          </cell>
          <cell r="G22" t="str">
            <v>Praja Muda Karana (Pramuka)</v>
          </cell>
        </row>
        <row r="23">
          <cell r="A23">
            <v>20</v>
          </cell>
          <cell r="B23" t="str">
            <v>20</v>
          </cell>
          <cell r="C23" t="str">
            <v>20</v>
          </cell>
          <cell r="G23" t="str">
            <v>Praja Muda Karana (Pramuka)</v>
          </cell>
        </row>
        <row r="24">
          <cell r="A24">
            <v>21</v>
          </cell>
          <cell r="B24" t="str">
            <v>21</v>
          </cell>
          <cell r="C24" t="str">
            <v>21</v>
          </cell>
          <cell r="G24" t="str">
            <v>Praja Muda Karana (Pramuka)</v>
          </cell>
        </row>
        <row r="25">
          <cell r="A25">
            <v>22</v>
          </cell>
          <cell r="B25" t="str">
            <v>22</v>
          </cell>
          <cell r="C25" t="str">
            <v>22</v>
          </cell>
          <cell r="G25" t="str">
            <v>Praja Muda Karana (Pramuka)</v>
          </cell>
        </row>
        <row r="26">
          <cell r="A26">
            <v>23</v>
          </cell>
          <cell r="B26" t="str">
            <v>23</v>
          </cell>
          <cell r="C26" t="str">
            <v>23</v>
          </cell>
          <cell r="G26" t="str">
            <v>Praja Muda Karana (Pramuka)</v>
          </cell>
        </row>
        <row r="27">
          <cell r="A27">
            <v>24</v>
          </cell>
          <cell r="B27" t="str">
            <v>24</v>
          </cell>
          <cell r="C27" t="str">
            <v>24</v>
          </cell>
          <cell r="G27" t="str">
            <v>Praja Muda Karana (Pramuka)</v>
          </cell>
        </row>
        <row r="28">
          <cell r="A28">
            <v>25</v>
          </cell>
          <cell r="B28" t="str">
            <v>25</v>
          </cell>
          <cell r="C28" t="str">
            <v>25</v>
          </cell>
          <cell r="G28" t="str">
            <v>Praja Muda Karana (Pramuka)</v>
          </cell>
        </row>
        <row r="29">
          <cell r="A29">
            <v>26</v>
          </cell>
          <cell r="B29" t="str">
            <v>26</v>
          </cell>
          <cell r="C29" t="str">
            <v>26</v>
          </cell>
          <cell r="G29" t="str">
            <v>Praja Muda Karana (Pramuka)</v>
          </cell>
        </row>
        <row r="30">
          <cell r="A30">
            <v>27</v>
          </cell>
          <cell r="B30" t="str">
            <v>27</v>
          </cell>
          <cell r="C30" t="str">
            <v>27</v>
          </cell>
          <cell r="G30" t="str">
            <v>Praja Muda Karana (Pramuka)</v>
          </cell>
        </row>
        <row r="31">
          <cell r="A31">
            <v>28</v>
          </cell>
          <cell r="B31" t="str">
            <v>28</v>
          </cell>
          <cell r="C31" t="str">
            <v>28</v>
          </cell>
          <cell r="G31" t="str">
            <v>Praja Muda Karana (Pramuka)</v>
          </cell>
        </row>
        <row r="32">
          <cell r="A32">
            <v>29</v>
          </cell>
          <cell r="B32" t="str">
            <v>29</v>
          </cell>
          <cell r="C32" t="str">
            <v>29</v>
          </cell>
          <cell r="G32" t="str">
            <v>Praja Muda Karana (Pramuka)</v>
          </cell>
        </row>
        <row r="33">
          <cell r="A33">
            <v>30</v>
          </cell>
          <cell r="B33" t="str">
            <v>30</v>
          </cell>
          <cell r="C33" t="str">
            <v>30</v>
          </cell>
          <cell r="G33" t="str">
            <v>Praja Muda Karana (Pramuka)</v>
          </cell>
        </row>
        <row r="34">
          <cell r="A34">
            <v>31</v>
          </cell>
          <cell r="B34" t="str">
            <v>31</v>
          </cell>
          <cell r="C34" t="str">
            <v>31</v>
          </cell>
          <cell r="G34" t="str">
            <v>Praja Muda Karana (Pramuka)</v>
          </cell>
        </row>
        <row r="35">
          <cell r="A35">
            <v>32</v>
          </cell>
          <cell r="B35" t="str">
            <v>32</v>
          </cell>
          <cell r="C35" t="str">
            <v>32</v>
          </cell>
          <cell r="G35" t="str">
            <v>Praja Muda Karana (Pramuka)</v>
          </cell>
        </row>
        <row r="36">
          <cell r="A36">
            <v>33</v>
          </cell>
          <cell r="B36" t="str">
            <v>33</v>
          </cell>
          <cell r="C36" t="str">
            <v>33</v>
          </cell>
          <cell r="G36" t="str">
            <v>Praja Muda Karana (Pramuka)</v>
          </cell>
        </row>
        <row r="37">
          <cell r="A37">
            <v>34</v>
          </cell>
          <cell r="B37" t="str">
            <v>34</v>
          </cell>
          <cell r="C37" t="str">
            <v>34</v>
          </cell>
          <cell r="G37" t="str">
            <v>Praja Muda Karana (Pramuka)</v>
          </cell>
        </row>
        <row r="38">
          <cell r="A38">
            <v>35</v>
          </cell>
          <cell r="B38" t="str">
            <v>35</v>
          </cell>
          <cell r="C38" t="str">
            <v>35</v>
          </cell>
          <cell r="G38" t="str">
            <v>Praja Muda Karana (Pramuka)</v>
          </cell>
        </row>
        <row r="39">
          <cell r="A39">
            <v>36</v>
          </cell>
          <cell r="B39" t="str">
            <v>36</v>
          </cell>
          <cell r="C39" t="str">
            <v>36</v>
          </cell>
          <cell r="G39" t="str">
            <v>Praja Muda Karana (Pramuka)</v>
          </cell>
        </row>
        <row r="40">
          <cell r="A40">
            <v>37</v>
          </cell>
          <cell r="B40" t="str">
            <v>37</v>
          </cell>
          <cell r="C40" t="str">
            <v>37</v>
          </cell>
          <cell r="G40" t="str">
            <v>Praja Muda Karana (Pramuka)</v>
          </cell>
        </row>
        <row r="41">
          <cell r="A41">
            <v>38</v>
          </cell>
          <cell r="B41" t="str">
            <v>38</v>
          </cell>
          <cell r="C41" t="str">
            <v>38</v>
          </cell>
          <cell r="G41" t="str">
            <v>Praja Muda Karana (Pramuka)</v>
          </cell>
        </row>
        <row r="42">
          <cell r="A42">
            <v>39</v>
          </cell>
          <cell r="B42" t="str">
            <v>39</v>
          </cell>
          <cell r="C42" t="str">
            <v>39</v>
          </cell>
          <cell r="G42" t="str">
            <v>Praja Muda Karana (Pramuka)</v>
          </cell>
        </row>
        <row r="43">
          <cell r="A43">
            <v>40</v>
          </cell>
          <cell r="B43" t="str">
            <v>40</v>
          </cell>
          <cell r="C43" t="str">
            <v>40</v>
          </cell>
          <cell r="G43" t="str">
            <v>Praja Muda Karana (Pramuka)</v>
          </cell>
        </row>
        <row r="44">
          <cell r="A44">
            <v>41</v>
          </cell>
          <cell r="B44" t="str">
            <v>41</v>
          </cell>
          <cell r="C44" t="str">
            <v>41</v>
          </cell>
          <cell r="G44" t="str">
            <v>Praja Muda Karana (Pramuka)</v>
          </cell>
        </row>
        <row r="45">
          <cell r="A45">
            <v>42</v>
          </cell>
          <cell r="B45" t="str">
            <v>42</v>
          </cell>
          <cell r="C45" t="str">
            <v>42</v>
          </cell>
          <cell r="G45" t="str">
            <v>Praja Muda Karana (Pramuka)</v>
          </cell>
        </row>
        <row r="46">
          <cell r="A46">
            <v>43</v>
          </cell>
          <cell r="B46" t="str">
            <v>43</v>
          </cell>
          <cell r="C46" t="str">
            <v>43</v>
          </cell>
          <cell r="G46" t="str">
            <v>Praja Muda Karana (Pramuka)</v>
          </cell>
        </row>
        <row r="47">
          <cell r="A47">
            <v>44</v>
          </cell>
          <cell r="B47" t="str">
            <v>44</v>
          </cell>
          <cell r="C47" t="str">
            <v>44</v>
          </cell>
          <cell r="G47" t="str">
            <v>Praja Muda Karana (Pramuka)</v>
          </cell>
        </row>
        <row r="48">
          <cell r="A48">
            <v>45</v>
          </cell>
          <cell r="B48" t="str">
            <v>45</v>
          </cell>
          <cell r="C48" t="str">
            <v>45</v>
          </cell>
          <cell r="G48" t="str">
            <v>Praja Muda Karana (Pramuka)</v>
          </cell>
        </row>
        <row r="49">
          <cell r="A49">
            <v>46</v>
          </cell>
          <cell r="B49" t="str">
            <v>46</v>
          </cell>
          <cell r="C49" t="str">
            <v>46</v>
          </cell>
        </row>
        <row r="50">
          <cell r="A50">
            <v>47</v>
          </cell>
          <cell r="B50" t="str">
            <v>47</v>
          </cell>
          <cell r="C50" t="str">
            <v>47</v>
          </cell>
        </row>
        <row r="51">
          <cell r="A51">
            <v>48</v>
          </cell>
          <cell r="B51" t="str">
            <v>48</v>
          </cell>
          <cell r="C51" t="str">
            <v>48</v>
          </cell>
        </row>
        <row r="52">
          <cell r="A52">
            <v>49</v>
          </cell>
          <cell r="B52" t="str">
            <v>49</v>
          </cell>
          <cell r="C52" t="str">
            <v>49</v>
          </cell>
        </row>
      </sheetData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Data Identitas"/>
      <sheetName val="Data Raport"/>
      <sheetName val="QH"/>
      <sheetName val="AA"/>
      <sheetName val="SKI"/>
      <sheetName val="FIQIH"/>
      <sheetName val="PPKn"/>
      <sheetName val="B.Ind"/>
      <sheetName val="B.ARAB"/>
      <sheetName val="MAT"/>
      <sheetName val="IPA"/>
      <sheetName val="IPS"/>
      <sheetName val="BIng"/>
      <sheetName val="SBd"/>
      <sheetName val="Pjk"/>
      <sheetName val="Prk"/>
      <sheetName val="BADER"/>
      <sheetName val="TAMB1"/>
      <sheetName val="TAMB2"/>
      <sheetName val="DESKRIPSI"/>
      <sheetName val="DKN"/>
      <sheetName val="hal depan"/>
      <sheetName val="Raport Genap"/>
      <sheetName val="Raport Ganjil"/>
      <sheetName val="Coper dan Petunjuk"/>
      <sheetName val="Ket Pindah &amp; Prestasi"/>
      <sheetName val="Sheet1"/>
    </sheetNames>
    <sheetDataSet>
      <sheetData sheetId="0">
        <row r="12">
          <cell r="D12" t="str">
            <v>Suliyat, M.Si</v>
          </cell>
        </row>
      </sheetData>
      <sheetData sheetId="1"/>
      <sheetData sheetId="2">
        <row r="9">
          <cell r="B9" t="str">
            <v>Tanggal Raport</v>
          </cell>
        </row>
        <row r="16">
          <cell r="A16">
            <v>1</v>
          </cell>
          <cell r="B16" t="str">
            <v>ADHE JUNAEDY</v>
          </cell>
          <cell r="C16">
            <v>1</v>
          </cell>
          <cell r="D16">
            <v>2</v>
          </cell>
          <cell r="E16">
            <v>1</v>
          </cell>
          <cell r="F16">
            <v>3</v>
          </cell>
          <cell r="G16" t="str">
            <v>Praja Muda Karana (Pramuka)</v>
          </cell>
          <cell r="H16" t="str">
            <v>Memuaskan. Aktif dalam perkemahan dan latihan mingguan.</v>
          </cell>
          <cell r="I16" t="str">
            <v>Palang Merah Ramaja (PMR)</v>
          </cell>
          <cell r="J16" t="str">
            <v>Memuaskan. Aktif dalam Perkemahan Wirakarya dan Raimuna Cabang Jakarta Selatan]</v>
          </cell>
          <cell r="K16" t="str">
            <v xml:space="preserve">Bola Kaki. </v>
          </cell>
          <cell r="L16" t="str">
            <v>Memuaskan. Aktif dalam latihan, pertandingan LPI Cup</v>
          </cell>
        </row>
        <row r="17">
          <cell r="A17">
            <v>2</v>
          </cell>
          <cell r="B17" t="str">
            <v>ANDRE WINDO SINAGA</v>
          </cell>
          <cell r="C17">
            <v>2</v>
          </cell>
          <cell r="D17">
            <v>2</v>
          </cell>
          <cell r="E17">
            <v>2</v>
          </cell>
          <cell r="F17">
            <v>2</v>
          </cell>
          <cell r="G17" t="str">
            <v>Praja Muda Karana (Pramuka)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</row>
        <row r="18">
          <cell r="A18">
            <v>3</v>
          </cell>
          <cell r="B18" t="str">
            <v>ANDRIAN DWI PUTRA</v>
          </cell>
          <cell r="C18">
            <v>3</v>
          </cell>
          <cell r="D18">
            <v>0</v>
          </cell>
          <cell r="E18">
            <v>0</v>
          </cell>
          <cell r="F18">
            <v>0</v>
          </cell>
          <cell r="G18" t="str">
            <v>Praja Muda Karana (Pramuka)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</row>
        <row r="19">
          <cell r="A19">
            <v>4</v>
          </cell>
          <cell r="B19" t="str">
            <v>BAGAS RESTU ANDINA</v>
          </cell>
          <cell r="C19">
            <v>4</v>
          </cell>
          <cell r="D19">
            <v>0</v>
          </cell>
          <cell r="E19">
            <v>0</v>
          </cell>
          <cell r="F19">
            <v>0</v>
          </cell>
          <cell r="G19" t="str">
            <v>Praja Muda Karana (Pramuka)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</row>
        <row r="20">
          <cell r="A20">
            <v>5</v>
          </cell>
          <cell r="B20" t="str">
            <v>BAMBANG EDI NURCHOLIC</v>
          </cell>
          <cell r="C20">
            <v>5</v>
          </cell>
          <cell r="D20">
            <v>0</v>
          </cell>
          <cell r="E20">
            <v>0</v>
          </cell>
          <cell r="F20">
            <v>0</v>
          </cell>
          <cell r="G20" t="str">
            <v>Praja Muda Karana (Pramuka)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</row>
        <row r="21">
          <cell r="A21">
            <v>6</v>
          </cell>
          <cell r="B21" t="str">
            <v>CHEIRANNY SINAGA</v>
          </cell>
          <cell r="C21">
            <v>6</v>
          </cell>
          <cell r="D21">
            <v>0</v>
          </cell>
          <cell r="E21">
            <v>0</v>
          </cell>
          <cell r="F21">
            <v>0</v>
          </cell>
          <cell r="G21" t="str">
            <v>Praja Muda Karana (Pramuka)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</row>
        <row r="22">
          <cell r="A22">
            <v>7</v>
          </cell>
          <cell r="B22" t="str">
            <v>CIKA VIRANTY</v>
          </cell>
          <cell r="C22">
            <v>7</v>
          </cell>
          <cell r="D22">
            <v>0</v>
          </cell>
          <cell r="E22">
            <v>0</v>
          </cell>
          <cell r="F22">
            <v>0</v>
          </cell>
          <cell r="G22" t="str">
            <v>Praja Muda Karana (Pramuka)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</row>
        <row r="23">
          <cell r="A23">
            <v>8</v>
          </cell>
          <cell r="B23" t="str">
            <v>DITAMI ASWANDA SARAGIH</v>
          </cell>
          <cell r="C23">
            <v>8</v>
          </cell>
          <cell r="D23">
            <v>0</v>
          </cell>
          <cell r="E23">
            <v>0</v>
          </cell>
          <cell r="F23">
            <v>0</v>
          </cell>
          <cell r="G23" t="str">
            <v>Praja Muda Karana (Pramuka)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</row>
        <row r="24">
          <cell r="A24">
            <v>9</v>
          </cell>
          <cell r="B24" t="str">
            <v>DZIHAN CHAIRANI</v>
          </cell>
          <cell r="C24">
            <v>9</v>
          </cell>
          <cell r="D24">
            <v>0</v>
          </cell>
          <cell r="E24">
            <v>0</v>
          </cell>
          <cell r="F24">
            <v>0</v>
          </cell>
          <cell r="G24" t="str">
            <v>Praja Muda Karana (Pramuka)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</row>
        <row r="25">
          <cell r="A25">
            <v>10</v>
          </cell>
          <cell r="B25" t="str">
            <v>ERVINA GAMARIA HUTAGALUNG</v>
          </cell>
          <cell r="C25">
            <v>10</v>
          </cell>
          <cell r="D25">
            <v>0</v>
          </cell>
          <cell r="E25">
            <v>0</v>
          </cell>
          <cell r="F25">
            <v>0</v>
          </cell>
          <cell r="G25" t="str">
            <v>Praja Muda Karana (Pramuka)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</row>
        <row r="26">
          <cell r="A26">
            <v>11</v>
          </cell>
          <cell r="B26" t="str">
            <v>EURICA IMANNUELA ELFRI Br. P</v>
          </cell>
          <cell r="C26">
            <v>11</v>
          </cell>
          <cell r="D26">
            <v>0</v>
          </cell>
          <cell r="E26">
            <v>0</v>
          </cell>
          <cell r="F26">
            <v>0</v>
          </cell>
          <cell r="G26" t="str">
            <v>Praja Muda Karana (Pramuka)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</row>
        <row r="27">
          <cell r="A27">
            <v>12</v>
          </cell>
          <cell r="B27" t="str">
            <v>FRIZHA ANANTA</v>
          </cell>
          <cell r="C27">
            <v>12</v>
          </cell>
          <cell r="D27">
            <v>0</v>
          </cell>
          <cell r="E27">
            <v>0</v>
          </cell>
          <cell r="F27">
            <v>0</v>
          </cell>
          <cell r="G27" t="str">
            <v>Praja Muda Karana (Pramuka)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</row>
        <row r="28">
          <cell r="A28">
            <v>13</v>
          </cell>
          <cell r="B28" t="str">
            <v>HOTMAN MANULLANG</v>
          </cell>
          <cell r="C28">
            <v>13</v>
          </cell>
          <cell r="D28">
            <v>0</v>
          </cell>
          <cell r="E28">
            <v>0</v>
          </cell>
          <cell r="F28">
            <v>0</v>
          </cell>
          <cell r="G28" t="str">
            <v>Praja Muda Karana (Pramuka)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</row>
        <row r="29">
          <cell r="A29">
            <v>14</v>
          </cell>
          <cell r="B29" t="str">
            <v>IMAM AKBARI</v>
          </cell>
          <cell r="C29">
            <v>14</v>
          </cell>
          <cell r="D29">
            <v>0</v>
          </cell>
          <cell r="E29">
            <v>0</v>
          </cell>
          <cell r="F29">
            <v>0</v>
          </cell>
          <cell r="G29" t="str">
            <v>Praja Muda Karana (Pramuka)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</row>
        <row r="30">
          <cell r="A30">
            <v>15</v>
          </cell>
          <cell r="B30" t="str">
            <v>INDAH PUSPITA SARI</v>
          </cell>
          <cell r="C30">
            <v>15</v>
          </cell>
          <cell r="D30">
            <v>0</v>
          </cell>
          <cell r="E30">
            <v>0</v>
          </cell>
          <cell r="F30">
            <v>0</v>
          </cell>
          <cell r="G30" t="str">
            <v>Praja Muda Karana (Pramuka)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</row>
        <row r="31">
          <cell r="A31">
            <v>16</v>
          </cell>
          <cell r="B31" t="str">
            <v>JHONA TEZIARDO DAMANIK</v>
          </cell>
          <cell r="C31">
            <v>16</v>
          </cell>
          <cell r="D31">
            <v>0</v>
          </cell>
          <cell r="E31">
            <v>0</v>
          </cell>
          <cell r="F31">
            <v>0</v>
          </cell>
          <cell r="G31" t="str">
            <v>Praja Muda Karana (Pramuka)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</row>
        <row r="32">
          <cell r="A32">
            <v>17</v>
          </cell>
          <cell r="B32" t="str">
            <v>JIMMI ANDRIO</v>
          </cell>
          <cell r="C32">
            <v>17</v>
          </cell>
          <cell r="D32">
            <v>0</v>
          </cell>
          <cell r="E32">
            <v>0</v>
          </cell>
          <cell r="F32">
            <v>0</v>
          </cell>
          <cell r="G32" t="str">
            <v>Praja Muda Karana (Pramuka)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</row>
        <row r="33">
          <cell r="A33">
            <v>18</v>
          </cell>
          <cell r="B33" t="str">
            <v>JOY HOSANNA</v>
          </cell>
          <cell r="C33">
            <v>18</v>
          </cell>
          <cell r="D33">
            <v>0</v>
          </cell>
          <cell r="E33">
            <v>0</v>
          </cell>
          <cell r="F33">
            <v>0</v>
          </cell>
          <cell r="G33" t="str">
            <v>Praja Muda Karana (Pramuka)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</row>
        <row r="34">
          <cell r="A34">
            <v>19</v>
          </cell>
          <cell r="B34" t="str">
            <v>LIDYA SEPTIANI SIMATUPANG</v>
          </cell>
          <cell r="C34">
            <v>19</v>
          </cell>
          <cell r="D34">
            <v>0</v>
          </cell>
          <cell r="E34">
            <v>0</v>
          </cell>
          <cell r="F34">
            <v>0</v>
          </cell>
          <cell r="G34" t="str">
            <v>Praja Muda Karana (Pramuka)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</row>
        <row r="35">
          <cell r="A35">
            <v>20</v>
          </cell>
          <cell r="B35" t="str">
            <v>LORENZ OCTAVIA SIMAMORA</v>
          </cell>
          <cell r="C35">
            <v>20</v>
          </cell>
          <cell r="D35">
            <v>0</v>
          </cell>
          <cell r="E35">
            <v>0</v>
          </cell>
          <cell r="F35">
            <v>0</v>
          </cell>
          <cell r="G35" t="str">
            <v>Praja Muda Karana (Pramuka)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</row>
        <row r="36">
          <cell r="A36">
            <v>21</v>
          </cell>
          <cell r="B36" t="str">
            <v>MACHRIZA ADDARUNNAFIS PAYFI</v>
          </cell>
          <cell r="C36">
            <v>21</v>
          </cell>
          <cell r="D36">
            <v>0</v>
          </cell>
          <cell r="E36">
            <v>0</v>
          </cell>
          <cell r="F36">
            <v>0</v>
          </cell>
          <cell r="G36" t="str">
            <v>Praja Muda Karana (Pramuka)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</row>
        <row r="37">
          <cell r="A37">
            <v>22</v>
          </cell>
          <cell r="B37" t="str">
            <v>MAHARANI PUTRI</v>
          </cell>
          <cell r="C37">
            <v>22</v>
          </cell>
          <cell r="D37">
            <v>0</v>
          </cell>
          <cell r="E37">
            <v>0</v>
          </cell>
          <cell r="F37">
            <v>0</v>
          </cell>
          <cell r="G37" t="str">
            <v>Praja Muda Karana (Pramuka)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</row>
        <row r="38">
          <cell r="A38">
            <v>23</v>
          </cell>
          <cell r="B38" t="str">
            <v>MARCELLINO SIANTURI</v>
          </cell>
          <cell r="C38">
            <v>23</v>
          </cell>
          <cell r="D38">
            <v>0</v>
          </cell>
          <cell r="E38">
            <v>0</v>
          </cell>
          <cell r="F38">
            <v>0</v>
          </cell>
          <cell r="G38" t="str">
            <v>Praja Muda Karana (Pramuka)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</row>
        <row r="39">
          <cell r="A39">
            <v>24</v>
          </cell>
          <cell r="B39" t="str">
            <v>MUTIARA ABDILLA SIREGAR</v>
          </cell>
          <cell r="C39">
            <v>24</v>
          </cell>
          <cell r="D39">
            <v>0</v>
          </cell>
          <cell r="E39">
            <v>0</v>
          </cell>
          <cell r="F39">
            <v>0</v>
          </cell>
          <cell r="G39" t="str">
            <v>Praja Muda Karana (Pramuka)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</row>
        <row r="40">
          <cell r="A40">
            <v>25</v>
          </cell>
          <cell r="B40" t="str">
            <v>NIA MARSELA Br. SEMBIRING</v>
          </cell>
          <cell r="C40">
            <v>25</v>
          </cell>
          <cell r="D40">
            <v>0</v>
          </cell>
          <cell r="E40">
            <v>0</v>
          </cell>
          <cell r="F40">
            <v>0</v>
          </cell>
          <cell r="G40" t="str">
            <v>Praja Muda Karana (Pramuka)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</row>
        <row r="41">
          <cell r="A41">
            <v>26</v>
          </cell>
          <cell r="B41" t="str">
            <v>NOVITASARI HANDAYANI</v>
          </cell>
          <cell r="C41">
            <v>26</v>
          </cell>
          <cell r="D41">
            <v>0</v>
          </cell>
          <cell r="E41">
            <v>0</v>
          </cell>
          <cell r="F41">
            <v>0</v>
          </cell>
          <cell r="G41" t="str">
            <v>Praja Muda Karana (Pramuka)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</row>
        <row r="42">
          <cell r="A42">
            <v>27</v>
          </cell>
          <cell r="B42" t="str">
            <v>PIERRE SAHADUTA SIMBOLON</v>
          </cell>
          <cell r="C42">
            <v>27</v>
          </cell>
          <cell r="D42">
            <v>0</v>
          </cell>
          <cell r="E42">
            <v>0</v>
          </cell>
          <cell r="F42">
            <v>0</v>
          </cell>
          <cell r="G42" t="str">
            <v>Praja Muda Karana (Pramuka)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</row>
        <row r="43">
          <cell r="A43">
            <v>28</v>
          </cell>
          <cell r="B43" t="str">
            <v>RAISSA LORETTA PURBA</v>
          </cell>
          <cell r="C43">
            <v>28</v>
          </cell>
          <cell r="D43">
            <v>0</v>
          </cell>
          <cell r="E43">
            <v>0</v>
          </cell>
          <cell r="F43">
            <v>0</v>
          </cell>
          <cell r="G43" t="str">
            <v>Praja Muda Karana (Pramuka)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</row>
        <row r="44">
          <cell r="A44">
            <v>29</v>
          </cell>
          <cell r="B44" t="str">
            <v>RIDHO CHRISTOVER ZALUCHU</v>
          </cell>
          <cell r="C44">
            <v>29</v>
          </cell>
          <cell r="D44">
            <v>0</v>
          </cell>
          <cell r="E44">
            <v>0</v>
          </cell>
          <cell r="F44">
            <v>0</v>
          </cell>
          <cell r="G44" t="str">
            <v>Praja Muda Karana (Pramuka)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</row>
        <row r="45">
          <cell r="A45">
            <v>30</v>
          </cell>
          <cell r="B45" t="str">
            <v>SAMUEL ANDREY PALEN MNRG</v>
          </cell>
          <cell r="C45">
            <v>30</v>
          </cell>
          <cell r="D45">
            <v>0</v>
          </cell>
          <cell r="E45">
            <v>0</v>
          </cell>
          <cell r="F45">
            <v>0</v>
          </cell>
          <cell r="G45" t="str">
            <v>Praja Muda Karana (Pramuka)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</row>
        <row r="46">
          <cell r="A46">
            <v>31</v>
          </cell>
          <cell r="B46" t="str">
            <v>SHELDON JHOAN SHABON SITOMPUL</v>
          </cell>
          <cell r="C46">
            <v>31</v>
          </cell>
          <cell r="D46">
            <v>0</v>
          </cell>
          <cell r="E46">
            <v>0</v>
          </cell>
          <cell r="F46">
            <v>0</v>
          </cell>
          <cell r="G46" t="str">
            <v>Praja Muda Karana (Pramuka)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</row>
        <row r="47">
          <cell r="A47">
            <v>32</v>
          </cell>
          <cell r="B47" t="str">
            <v>SULTAN FARID FAUZI HASIBUAN</v>
          </cell>
          <cell r="C47">
            <v>32</v>
          </cell>
          <cell r="D47">
            <v>0</v>
          </cell>
          <cell r="E47">
            <v>0</v>
          </cell>
          <cell r="F47">
            <v>0</v>
          </cell>
          <cell r="G47" t="str">
            <v>Praja Muda Karana (Pramuka)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</row>
        <row r="48">
          <cell r="A48">
            <v>33</v>
          </cell>
          <cell r="B48" t="str">
            <v>SYEMA ELSA PUTRI SIRINGO2</v>
          </cell>
          <cell r="C48">
            <v>33</v>
          </cell>
          <cell r="D48">
            <v>0</v>
          </cell>
          <cell r="E48">
            <v>0</v>
          </cell>
          <cell r="F48">
            <v>0</v>
          </cell>
          <cell r="G48" t="str">
            <v>Praja Muda Karana (Pramuka)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</row>
        <row r="49">
          <cell r="A49">
            <v>34</v>
          </cell>
          <cell r="B49" t="str">
            <v>TERESIA OKARINA BUTAR2</v>
          </cell>
          <cell r="C49">
            <v>34</v>
          </cell>
          <cell r="D49">
            <v>0</v>
          </cell>
          <cell r="E49">
            <v>0</v>
          </cell>
          <cell r="F49">
            <v>0</v>
          </cell>
          <cell r="G49" t="str">
            <v>Praja Muda Karana (Pramuka)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</row>
        <row r="50">
          <cell r="A50">
            <v>35</v>
          </cell>
          <cell r="B50" t="str">
            <v>WINDY ANDRIANTI</v>
          </cell>
          <cell r="C50">
            <v>35</v>
          </cell>
          <cell r="D50">
            <v>0</v>
          </cell>
          <cell r="E50">
            <v>0</v>
          </cell>
          <cell r="F50">
            <v>0</v>
          </cell>
          <cell r="G50" t="str">
            <v>Praja Muda Karana (Pramuka)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</row>
        <row r="51">
          <cell r="A51">
            <v>36</v>
          </cell>
          <cell r="B51" t="str">
            <v>YOHANA MARGARETA SILALAHI</v>
          </cell>
          <cell r="C51">
            <v>36</v>
          </cell>
          <cell r="D51">
            <v>0</v>
          </cell>
          <cell r="E51">
            <v>0</v>
          </cell>
          <cell r="F51">
            <v>0</v>
          </cell>
          <cell r="G51" t="str">
            <v>Praja Muda Karana (Pramuka)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</row>
        <row r="52">
          <cell r="A52">
            <v>37</v>
          </cell>
          <cell r="B52" t="str">
            <v>YONATHAN ELEAZER PANJAITAN</v>
          </cell>
          <cell r="C52">
            <v>37</v>
          </cell>
          <cell r="D52">
            <v>0</v>
          </cell>
          <cell r="E52">
            <v>0</v>
          </cell>
          <cell r="F52">
            <v>0</v>
          </cell>
          <cell r="G52" t="str">
            <v>Praja Muda Karana (Pramuka)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</row>
        <row r="53">
          <cell r="A53">
            <v>38</v>
          </cell>
          <cell r="B53" t="str">
            <v>ZAHARA 1</v>
          </cell>
          <cell r="C53">
            <v>38</v>
          </cell>
          <cell r="D53">
            <v>0</v>
          </cell>
          <cell r="E53">
            <v>0</v>
          </cell>
          <cell r="F53">
            <v>0</v>
          </cell>
          <cell r="G53" t="str">
            <v>Praja Muda Karana (Pramuka)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</row>
        <row r="54">
          <cell r="A54">
            <v>39</v>
          </cell>
          <cell r="B54" t="str">
            <v>ZAHARA 2</v>
          </cell>
          <cell r="C54">
            <v>39</v>
          </cell>
          <cell r="D54">
            <v>0</v>
          </cell>
          <cell r="E54">
            <v>0</v>
          </cell>
          <cell r="F54">
            <v>0</v>
          </cell>
          <cell r="G54" t="str">
            <v>Praja Muda Karana (Pramuka)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</row>
        <row r="55">
          <cell r="A55">
            <v>40</v>
          </cell>
          <cell r="B55" t="str">
            <v>ZAHARA 3</v>
          </cell>
          <cell r="C55">
            <v>40</v>
          </cell>
          <cell r="D55">
            <v>0</v>
          </cell>
          <cell r="E55">
            <v>0</v>
          </cell>
          <cell r="F55">
            <v>0</v>
          </cell>
          <cell r="G55" t="str">
            <v>Praja Muda Karana (Pramuka)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</row>
        <row r="56">
          <cell r="A56">
            <v>41</v>
          </cell>
          <cell r="B56" t="str">
            <v>ZAHARA 4</v>
          </cell>
          <cell r="C56">
            <v>41</v>
          </cell>
          <cell r="D56">
            <v>0</v>
          </cell>
          <cell r="E56">
            <v>0</v>
          </cell>
          <cell r="F56">
            <v>0</v>
          </cell>
          <cell r="G56" t="str">
            <v>Praja Muda Karana (Pramuka)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</row>
        <row r="57">
          <cell r="A57">
            <v>42</v>
          </cell>
          <cell r="B57" t="str">
            <v>ZAHARA 5</v>
          </cell>
          <cell r="C57">
            <v>42</v>
          </cell>
          <cell r="D57">
            <v>0</v>
          </cell>
          <cell r="E57">
            <v>0</v>
          </cell>
          <cell r="F57">
            <v>0</v>
          </cell>
          <cell r="G57" t="str">
            <v>Praja Muda Karana (Pramuka)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</row>
        <row r="58">
          <cell r="A58">
            <v>43</v>
          </cell>
          <cell r="B58" t="str">
            <v>ZAHARA 6</v>
          </cell>
          <cell r="C58">
            <v>43</v>
          </cell>
          <cell r="D58">
            <v>0</v>
          </cell>
          <cell r="E58">
            <v>0</v>
          </cell>
          <cell r="F58">
            <v>0</v>
          </cell>
          <cell r="G58" t="str">
            <v>Praja Muda Karana (Pramuka)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</row>
        <row r="59">
          <cell r="A59">
            <v>44</v>
          </cell>
          <cell r="B59" t="str">
            <v>ZAHARA 7</v>
          </cell>
          <cell r="C59">
            <v>44</v>
          </cell>
          <cell r="D59">
            <v>0</v>
          </cell>
          <cell r="E59">
            <v>0</v>
          </cell>
          <cell r="F59">
            <v>0</v>
          </cell>
          <cell r="G59" t="str">
            <v>Praja Muda Karana (Pramuka)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</row>
        <row r="60">
          <cell r="A60">
            <v>45</v>
          </cell>
          <cell r="B60" t="str">
            <v>ZAHARA 8</v>
          </cell>
          <cell r="C60">
            <v>45</v>
          </cell>
          <cell r="D60">
            <v>0</v>
          </cell>
          <cell r="E60">
            <v>0</v>
          </cell>
          <cell r="F60">
            <v>0</v>
          </cell>
          <cell r="G60" t="str">
            <v>Praja Muda Karana (Pramuka)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</row>
      </sheetData>
      <sheetData sheetId="3">
        <row r="14">
          <cell r="A14">
            <v>1</v>
          </cell>
        </row>
      </sheetData>
      <sheetData sheetId="4">
        <row r="14">
          <cell r="A14">
            <v>1</v>
          </cell>
        </row>
      </sheetData>
      <sheetData sheetId="5">
        <row r="14">
          <cell r="A14">
            <v>1</v>
          </cell>
        </row>
      </sheetData>
      <sheetData sheetId="6">
        <row r="14">
          <cell r="A14">
            <v>1</v>
          </cell>
        </row>
      </sheetData>
      <sheetData sheetId="7">
        <row r="14">
          <cell r="A14">
            <v>1</v>
          </cell>
        </row>
      </sheetData>
      <sheetData sheetId="8">
        <row r="14">
          <cell r="A14">
            <v>1</v>
          </cell>
        </row>
      </sheetData>
      <sheetData sheetId="9">
        <row r="14">
          <cell r="A14">
            <v>1</v>
          </cell>
        </row>
      </sheetData>
      <sheetData sheetId="10">
        <row r="14">
          <cell r="A14">
            <v>1</v>
          </cell>
        </row>
      </sheetData>
      <sheetData sheetId="11">
        <row r="14">
          <cell r="A14">
            <v>1</v>
          </cell>
        </row>
      </sheetData>
      <sheetData sheetId="12">
        <row r="14">
          <cell r="A14">
            <v>1</v>
          </cell>
        </row>
      </sheetData>
      <sheetData sheetId="13"/>
      <sheetData sheetId="14">
        <row r="14">
          <cell r="A14">
            <v>1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UTAMA"/>
      <sheetName val="UTAMA 2"/>
      <sheetName val="Home"/>
      <sheetName val="Data Identitas"/>
      <sheetName val="Data Raport2"/>
      <sheetName val="QH2"/>
      <sheetName val="AA2"/>
      <sheetName val="SKI2"/>
      <sheetName val="FIQIH2"/>
      <sheetName val="PPKn2"/>
      <sheetName val="B.Ind2"/>
      <sheetName val="B.ARAB2"/>
      <sheetName val="MAT2"/>
      <sheetName val="IPA2"/>
      <sheetName val="IPS2"/>
      <sheetName val="BIng2"/>
      <sheetName val="SBd2"/>
      <sheetName val="Pjk2"/>
      <sheetName val="Prk2"/>
      <sheetName val="BADER2"/>
      <sheetName val="TAMB12"/>
      <sheetName val="TAMB22"/>
      <sheetName val="DESKRIPSI2"/>
      <sheetName val="MULTI NK"/>
      <sheetName val="NK2"/>
      <sheetName val="LEDGER GENAP2"/>
      <sheetName val="NK1"/>
      <sheetName val="LEDGER GANJIL"/>
      <sheetName val="DKN2"/>
      <sheetName val="Raport GENAP1KKM"/>
      <sheetName val="RaportGENAPMULTIKKM"/>
      <sheetName val="Raport GENAP2"/>
      <sheetName val="Raport_Ganjil multi_KKM"/>
      <sheetName val="Raport_Ganjil_1KKM"/>
      <sheetName val="Raport Ganjil"/>
      <sheetName val="Data Raport"/>
      <sheetName val="QH"/>
      <sheetName val="AA"/>
      <sheetName val="SKI"/>
      <sheetName val="FIQIH"/>
      <sheetName val="PPKn"/>
      <sheetName val="B.Ind"/>
      <sheetName val="B.ARAB"/>
      <sheetName val="MAT"/>
      <sheetName val="IPA"/>
      <sheetName val="IPS"/>
      <sheetName val="BIng"/>
      <sheetName val="SBd"/>
      <sheetName val="Pjk"/>
      <sheetName val="Prk"/>
      <sheetName val="BADER"/>
      <sheetName val="TAMB1"/>
      <sheetName val="TAMB2"/>
      <sheetName val="DESKRIPSI"/>
      <sheetName val="hal depan"/>
      <sheetName val="Coper dan Petunjuk"/>
      <sheetName val="Ket Pindah &amp; Prestasi"/>
      <sheetName val="Sheet1"/>
    </sheetNames>
    <sheetDataSet>
      <sheetData sheetId="0" refreshError="1"/>
      <sheetData sheetId="1" refreshError="1"/>
      <sheetData sheetId="2"/>
      <sheetData sheetId="3" refreshError="1"/>
      <sheetData sheetId="4">
        <row r="4">
          <cell r="A4">
            <v>1</v>
          </cell>
          <cell r="B4" t="str">
            <v>1</v>
          </cell>
          <cell r="C4" t="str">
            <v>1</v>
          </cell>
          <cell r="D4">
            <v>2</v>
          </cell>
          <cell r="E4">
            <v>1</v>
          </cell>
          <cell r="F4">
            <v>3</v>
          </cell>
          <cell r="G4" t="str">
            <v>Ekstra 1</v>
          </cell>
          <cell r="H4" t="str">
            <v>Memuaskan. Aktif dalam perkemahan dan latihan mingguan.</v>
          </cell>
          <cell r="I4" t="str">
            <v>Palang Merah Ramaja (PMR)</v>
          </cell>
          <cell r="J4" t="str">
            <v>Memuaskan. Aktif dalam Perkemahan Wirakarya dan Raimuna Cabang Jakarta Selatan]</v>
          </cell>
          <cell r="K4" t="str">
            <v xml:space="preserve">Bola Kaki. </v>
          </cell>
          <cell r="L4" t="str">
            <v>Memuaskan. Aktif dalam latihan, pertandingan LPI Cup</v>
          </cell>
          <cell r="M4" t="str">
            <v>LOMBA KIR TINGKAT KABUPATEN</v>
          </cell>
          <cell r="N4" t="str">
            <v>JUARA I</v>
          </cell>
          <cell r="O4" t="str">
            <v>LOMBA MAKAN</v>
          </cell>
          <cell r="P4" t="str">
            <v>JUARA 4</v>
          </cell>
          <cell r="Q4" t="str">
            <v>LOMBA MANCING</v>
          </cell>
          <cell r="R4" t="str">
            <v>JUARA 7</v>
          </cell>
          <cell r="S4" t="str">
            <v>Tingkatkan prestasi dan patuhi tata tertib madrasah</v>
          </cell>
        </row>
        <row r="5">
          <cell r="A5">
            <v>2</v>
          </cell>
          <cell r="B5" t="str">
            <v>2</v>
          </cell>
          <cell r="C5" t="str">
            <v>2</v>
          </cell>
          <cell r="D5">
            <v>2</v>
          </cell>
          <cell r="E5">
            <v>2</v>
          </cell>
          <cell r="F5">
            <v>2</v>
          </cell>
          <cell r="G5" t="str">
            <v>Praja Muda Karana (Pramuka)</v>
          </cell>
          <cell r="M5" t="str">
            <v>Praja Muda Karana (Pramuka)</v>
          </cell>
        </row>
        <row r="6">
          <cell r="A6">
            <v>3</v>
          </cell>
          <cell r="B6" t="str">
            <v>3</v>
          </cell>
          <cell r="C6" t="str">
            <v>3</v>
          </cell>
          <cell r="G6" t="str">
            <v>Praja Muda Karana (Pramuka)</v>
          </cell>
          <cell r="M6" t="str">
            <v>Praja Muda Karana (Pramuka)</v>
          </cell>
        </row>
        <row r="7">
          <cell r="A7">
            <v>4</v>
          </cell>
          <cell r="B7" t="str">
            <v>4</v>
          </cell>
          <cell r="C7" t="str">
            <v>4</v>
          </cell>
          <cell r="G7" t="str">
            <v>Praja Muda Karana (Pramuka)</v>
          </cell>
          <cell r="M7" t="str">
            <v>Praja Muda Karana (Pramuka)</v>
          </cell>
        </row>
        <row r="8">
          <cell r="A8">
            <v>5</v>
          </cell>
          <cell r="B8" t="str">
            <v>5</v>
          </cell>
          <cell r="C8" t="str">
            <v>5</v>
          </cell>
          <cell r="G8" t="str">
            <v>Praja Muda Karana (Pramuka)</v>
          </cell>
          <cell r="M8" t="str">
            <v>Praja Muda Karana (Pramuka)</v>
          </cell>
        </row>
        <row r="9">
          <cell r="A9">
            <v>6</v>
          </cell>
          <cell r="B9" t="str">
            <v>6</v>
          </cell>
          <cell r="C9" t="str">
            <v>6</v>
          </cell>
          <cell r="G9" t="str">
            <v>Praja Muda Karana (Pramuka)</v>
          </cell>
          <cell r="M9" t="str">
            <v>Praja Muda Karana (Pramuka)</v>
          </cell>
        </row>
        <row r="10">
          <cell r="A10">
            <v>7</v>
          </cell>
          <cell r="B10" t="str">
            <v>7</v>
          </cell>
          <cell r="C10" t="str">
            <v>7</v>
          </cell>
          <cell r="G10" t="str">
            <v>Praja Muda Karana (Pramuka)</v>
          </cell>
          <cell r="M10" t="str">
            <v>Praja Muda Karana (Pramuka)</v>
          </cell>
        </row>
        <row r="11">
          <cell r="A11">
            <v>8</v>
          </cell>
          <cell r="B11" t="str">
            <v>8</v>
          </cell>
          <cell r="C11" t="str">
            <v>8</v>
          </cell>
          <cell r="G11" t="str">
            <v>Praja Muda Karana (Pramuka)</v>
          </cell>
          <cell r="M11" t="str">
            <v>Praja Muda Karana (Pramuka)</v>
          </cell>
        </row>
        <row r="12">
          <cell r="A12">
            <v>9</v>
          </cell>
          <cell r="B12" t="str">
            <v>9</v>
          </cell>
          <cell r="C12" t="str">
            <v>9</v>
          </cell>
          <cell r="G12" t="str">
            <v>Praja Muda Karana (Pramuka)</v>
          </cell>
          <cell r="M12" t="str">
            <v>Praja Muda Karana (Pramuka)</v>
          </cell>
        </row>
        <row r="13">
          <cell r="A13">
            <v>10</v>
          </cell>
          <cell r="B13" t="str">
            <v>10</v>
          </cell>
          <cell r="C13" t="str">
            <v>10</v>
          </cell>
          <cell r="G13" t="str">
            <v>Praja Muda Karana (Pramuka)</v>
          </cell>
          <cell r="M13" t="str">
            <v>Praja Muda Karana (Pramuka)</v>
          </cell>
        </row>
        <row r="14">
          <cell r="A14">
            <v>11</v>
          </cell>
          <cell r="B14" t="str">
            <v>11</v>
          </cell>
          <cell r="C14" t="str">
            <v>11</v>
          </cell>
          <cell r="G14" t="str">
            <v>Praja Muda Karana (Pramuka)</v>
          </cell>
          <cell r="M14" t="str">
            <v>Praja Muda Karana (Pramuka)</v>
          </cell>
        </row>
        <row r="15">
          <cell r="A15">
            <v>12</v>
          </cell>
          <cell r="B15" t="str">
            <v>dua belas</v>
          </cell>
          <cell r="C15" t="str">
            <v>12</v>
          </cell>
          <cell r="G15" t="str">
            <v>Praja Muda Karana (Pramuka)</v>
          </cell>
          <cell r="M15" t="str">
            <v>Praja Muda Karana (Pramuka)</v>
          </cell>
        </row>
        <row r="16">
          <cell r="A16">
            <v>13</v>
          </cell>
          <cell r="B16" t="str">
            <v>13</v>
          </cell>
          <cell r="C16" t="str">
            <v>13</v>
          </cell>
          <cell r="G16" t="str">
            <v>Praja Muda Karana (Pramuka)</v>
          </cell>
          <cell r="M16" t="str">
            <v>Praja Muda Karana (Pramuka)</v>
          </cell>
        </row>
        <row r="17">
          <cell r="A17">
            <v>14</v>
          </cell>
          <cell r="B17" t="str">
            <v>14</v>
          </cell>
          <cell r="C17" t="str">
            <v>14</v>
          </cell>
          <cell r="G17" t="str">
            <v>Praja Muda Karana (Pramuka)</v>
          </cell>
          <cell r="M17" t="str">
            <v>Praja Muda Karana (Pramuka)</v>
          </cell>
        </row>
        <row r="18">
          <cell r="A18">
            <v>15</v>
          </cell>
          <cell r="B18" t="str">
            <v>15</v>
          </cell>
          <cell r="C18" t="str">
            <v>15</v>
          </cell>
          <cell r="G18" t="str">
            <v>Praja Muda Karana (Pramuka)</v>
          </cell>
          <cell r="M18" t="str">
            <v>Praja Muda Karana (Pramuka)</v>
          </cell>
        </row>
        <row r="19">
          <cell r="A19">
            <v>16</v>
          </cell>
          <cell r="B19" t="str">
            <v>16</v>
          </cell>
          <cell r="C19" t="str">
            <v>16</v>
          </cell>
          <cell r="G19" t="str">
            <v>Praja Muda Karana (Pramuka)</v>
          </cell>
          <cell r="M19" t="str">
            <v>Praja Muda Karana (Pramuka)</v>
          </cell>
        </row>
        <row r="20">
          <cell r="A20">
            <v>17</v>
          </cell>
          <cell r="B20" t="str">
            <v>17</v>
          </cell>
          <cell r="C20" t="str">
            <v>17</v>
          </cell>
          <cell r="G20" t="str">
            <v>Praja Muda Karana (Pramuka)</v>
          </cell>
          <cell r="M20" t="str">
            <v>Praja Muda Karana (Pramuka)</v>
          </cell>
        </row>
        <row r="21">
          <cell r="A21">
            <v>18</v>
          </cell>
          <cell r="B21" t="str">
            <v>18</v>
          </cell>
          <cell r="C21" t="str">
            <v>18</v>
          </cell>
          <cell r="G21" t="str">
            <v>Praja Muda Karana (Pramuka)</v>
          </cell>
          <cell r="M21" t="str">
            <v>Praja Muda Karana (Pramuka)</v>
          </cell>
        </row>
        <row r="22">
          <cell r="A22">
            <v>19</v>
          </cell>
          <cell r="B22" t="str">
            <v>19</v>
          </cell>
          <cell r="C22" t="str">
            <v>19</v>
          </cell>
          <cell r="G22" t="str">
            <v>Praja Muda Karana (Pramuka)</v>
          </cell>
          <cell r="M22" t="str">
            <v>Praja Muda Karana (Pramuka)</v>
          </cell>
        </row>
        <row r="23">
          <cell r="A23">
            <v>20</v>
          </cell>
          <cell r="B23" t="str">
            <v>20</v>
          </cell>
          <cell r="C23" t="str">
            <v>20</v>
          </cell>
          <cell r="G23" t="str">
            <v>Praja Muda Karana (Pramuka)</v>
          </cell>
          <cell r="M23" t="str">
            <v>Praja Muda Karana (Pramuka)</v>
          </cell>
        </row>
        <row r="24">
          <cell r="A24">
            <v>21</v>
          </cell>
          <cell r="B24" t="str">
            <v>21</v>
          </cell>
          <cell r="C24" t="str">
            <v>21</v>
          </cell>
          <cell r="G24" t="str">
            <v>Praja Muda Karana (Pramuka)</v>
          </cell>
          <cell r="M24" t="str">
            <v>Praja Muda Karana (Pramuka)</v>
          </cell>
        </row>
        <row r="25">
          <cell r="A25">
            <v>22</v>
          </cell>
          <cell r="B25" t="str">
            <v>22</v>
          </cell>
          <cell r="C25" t="str">
            <v>22</v>
          </cell>
          <cell r="G25" t="str">
            <v>Praja Muda Karana (Pramuka)</v>
          </cell>
          <cell r="M25" t="str">
            <v>Praja Muda Karana (Pramuka)</v>
          </cell>
        </row>
        <row r="26">
          <cell r="A26">
            <v>23</v>
          </cell>
          <cell r="B26" t="str">
            <v>23</v>
          </cell>
          <cell r="C26" t="str">
            <v>23</v>
          </cell>
          <cell r="G26" t="str">
            <v>Praja Muda Karana (Pramuka)</v>
          </cell>
          <cell r="M26" t="str">
            <v>Praja Muda Karana (Pramuka)</v>
          </cell>
        </row>
        <row r="27">
          <cell r="A27">
            <v>24</v>
          </cell>
          <cell r="B27" t="str">
            <v>24</v>
          </cell>
          <cell r="C27" t="str">
            <v>24</v>
          </cell>
          <cell r="G27" t="str">
            <v>Praja Muda Karana (Pramuka)</v>
          </cell>
          <cell r="M27" t="str">
            <v>Praja Muda Karana (Pramuka)</v>
          </cell>
        </row>
        <row r="28">
          <cell r="A28">
            <v>25</v>
          </cell>
          <cell r="B28" t="str">
            <v>25</v>
          </cell>
          <cell r="C28" t="str">
            <v>25</v>
          </cell>
          <cell r="G28" t="str">
            <v>Praja Muda Karana (Pramuka)</v>
          </cell>
          <cell r="M28" t="str">
            <v>Praja Muda Karana (Pramuka)</v>
          </cell>
        </row>
        <row r="29">
          <cell r="A29">
            <v>26</v>
          </cell>
          <cell r="B29" t="str">
            <v>26</v>
          </cell>
          <cell r="C29" t="str">
            <v>26</v>
          </cell>
          <cell r="G29" t="str">
            <v>Praja Muda Karana (Pramuka)</v>
          </cell>
          <cell r="M29" t="str">
            <v>Praja Muda Karana (Pramuka)</v>
          </cell>
        </row>
        <row r="30">
          <cell r="A30">
            <v>27</v>
          </cell>
          <cell r="B30" t="str">
            <v>27</v>
          </cell>
          <cell r="C30" t="str">
            <v>27</v>
          </cell>
          <cell r="G30" t="str">
            <v>Praja Muda Karana (Pramuka)</v>
          </cell>
          <cell r="M30" t="str">
            <v>Praja Muda Karana (Pramuka)</v>
          </cell>
        </row>
        <row r="31">
          <cell r="A31">
            <v>28</v>
          </cell>
          <cell r="B31" t="str">
            <v>28</v>
          </cell>
          <cell r="C31" t="str">
            <v>28</v>
          </cell>
          <cell r="G31" t="str">
            <v>Praja Muda Karana (Pramuka)</v>
          </cell>
          <cell r="M31" t="str">
            <v>Praja Muda Karana (Pramuka)</v>
          </cell>
        </row>
        <row r="32">
          <cell r="A32">
            <v>29</v>
          </cell>
          <cell r="B32" t="str">
            <v>29</v>
          </cell>
          <cell r="C32" t="str">
            <v>29</v>
          </cell>
          <cell r="G32" t="str">
            <v>Praja Muda Karana (Pramuka)</v>
          </cell>
          <cell r="M32" t="str">
            <v>Praja Muda Karana (Pramuka)</v>
          </cell>
        </row>
        <row r="33">
          <cell r="A33">
            <v>30</v>
          </cell>
          <cell r="B33" t="str">
            <v>30</v>
          </cell>
          <cell r="C33" t="str">
            <v>30</v>
          </cell>
          <cell r="G33" t="str">
            <v>Praja Muda Karana (Pramuka)</v>
          </cell>
          <cell r="M33" t="str">
            <v>Praja Muda Karana (Pramuka)</v>
          </cell>
        </row>
        <row r="34">
          <cell r="A34">
            <v>31</v>
          </cell>
          <cell r="B34" t="str">
            <v>31</v>
          </cell>
          <cell r="C34" t="str">
            <v>31</v>
          </cell>
          <cell r="G34" t="str">
            <v>Praja Muda Karana (Pramuka)</v>
          </cell>
          <cell r="M34" t="str">
            <v>Praja Muda Karana (Pramuka)</v>
          </cell>
        </row>
        <row r="35">
          <cell r="A35">
            <v>32</v>
          </cell>
          <cell r="B35" t="str">
            <v>32</v>
          </cell>
          <cell r="C35" t="str">
            <v>32</v>
          </cell>
          <cell r="G35" t="str">
            <v>Praja Muda Karana (Pramuka)</v>
          </cell>
          <cell r="M35" t="str">
            <v>Praja Muda Karana (Pramuka)</v>
          </cell>
        </row>
        <row r="36">
          <cell r="A36">
            <v>33</v>
          </cell>
          <cell r="B36" t="str">
            <v>33</v>
          </cell>
          <cell r="C36" t="str">
            <v>33</v>
          </cell>
          <cell r="G36" t="str">
            <v>Praja Muda Karana (Pramuka)</v>
          </cell>
          <cell r="M36" t="str">
            <v>Praja Muda Karana (Pramuka)</v>
          </cell>
        </row>
        <row r="37">
          <cell r="A37">
            <v>34</v>
          </cell>
          <cell r="B37" t="str">
            <v>34</v>
          </cell>
          <cell r="C37" t="str">
            <v>34</v>
          </cell>
          <cell r="G37" t="str">
            <v>Praja Muda Karana (Pramuka)</v>
          </cell>
          <cell r="M37" t="str">
            <v>Praja Muda Karana (Pramuka)</v>
          </cell>
        </row>
        <row r="38">
          <cell r="A38">
            <v>35</v>
          </cell>
          <cell r="B38" t="str">
            <v>35</v>
          </cell>
          <cell r="C38" t="str">
            <v>35</v>
          </cell>
          <cell r="G38" t="str">
            <v>Praja Muda Karana (Pramuka)</v>
          </cell>
          <cell r="M38" t="str">
            <v>Praja Muda Karana (Pramuka)</v>
          </cell>
        </row>
        <row r="39">
          <cell r="A39">
            <v>36</v>
          </cell>
          <cell r="B39" t="str">
            <v>36</v>
          </cell>
          <cell r="C39" t="str">
            <v>36</v>
          </cell>
          <cell r="G39" t="str">
            <v>Praja Muda Karana (Pramuka)</v>
          </cell>
          <cell r="M39" t="str">
            <v>Praja Muda Karana (Pramuka)</v>
          </cell>
        </row>
        <row r="40">
          <cell r="A40">
            <v>37</v>
          </cell>
          <cell r="B40" t="str">
            <v>37</v>
          </cell>
          <cell r="C40" t="str">
            <v>37</v>
          </cell>
          <cell r="G40" t="str">
            <v>Praja Muda Karana (Pramuka)</v>
          </cell>
          <cell r="M40" t="str">
            <v>Praja Muda Karana (Pramuka)</v>
          </cell>
        </row>
        <row r="41">
          <cell r="A41">
            <v>38</v>
          </cell>
          <cell r="B41" t="str">
            <v>38</v>
          </cell>
          <cell r="C41" t="str">
            <v>38</v>
          </cell>
          <cell r="G41" t="str">
            <v>Praja Muda Karana (Pramuka)</v>
          </cell>
          <cell r="M41" t="str">
            <v>Praja Muda Karana (Pramuka)</v>
          </cell>
        </row>
        <row r="42">
          <cell r="A42">
            <v>39</v>
          </cell>
          <cell r="B42" t="str">
            <v>39</v>
          </cell>
          <cell r="C42" t="str">
            <v>39</v>
          </cell>
          <cell r="G42" t="str">
            <v>Praja Muda Karana (Pramuka)</v>
          </cell>
          <cell r="M42" t="str">
            <v>Praja Muda Karana (Pramuka)</v>
          </cell>
        </row>
        <row r="43">
          <cell r="A43">
            <v>40</v>
          </cell>
          <cell r="B43" t="str">
            <v>40</v>
          </cell>
          <cell r="C43" t="str">
            <v>40</v>
          </cell>
          <cell r="G43" t="str">
            <v>Praja Muda Karana (Pramuka)</v>
          </cell>
          <cell r="M43" t="str">
            <v>Praja Muda Karana (Pramuka)</v>
          </cell>
        </row>
        <row r="44">
          <cell r="A44">
            <v>41</v>
          </cell>
          <cell r="B44" t="str">
            <v>41</v>
          </cell>
          <cell r="C44" t="str">
            <v>41</v>
          </cell>
          <cell r="G44" t="str">
            <v>Praja Muda Karana (Pramuka)</v>
          </cell>
          <cell r="M44" t="str">
            <v>Praja Muda Karana (Pramuka)</v>
          </cell>
        </row>
        <row r="45">
          <cell r="A45">
            <v>42</v>
          </cell>
          <cell r="B45" t="str">
            <v>42</v>
          </cell>
          <cell r="C45" t="str">
            <v>42</v>
          </cell>
          <cell r="G45" t="str">
            <v>Praja Muda Karana (Pramuka)</v>
          </cell>
          <cell r="M45" t="str">
            <v>Praja Muda Karana (Pramuka)</v>
          </cell>
        </row>
        <row r="46">
          <cell r="A46">
            <v>43</v>
          </cell>
          <cell r="B46" t="str">
            <v>43</v>
          </cell>
          <cell r="C46" t="str">
            <v>43</v>
          </cell>
          <cell r="G46" t="str">
            <v>Praja Muda Karana (Pramuka)</v>
          </cell>
          <cell r="M46" t="str">
            <v>Praja Muda Karana (Pramuka)</v>
          </cell>
        </row>
        <row r="47">
          <cell r="A47">
            <v>44</v>
          </cell>
          <cell r="B47" t="str">
            <v>44</v>
          </cell>
          <cell r="C47" t="str">
            <v>44</v>
          </cell>
          <cell r="G47" t="str">
            <v>Praja Muda Karana (Pramuka)</v>
          </cell>
          <cell r="M47" t="str">
            <v>Praja Muda Karana (Pramuka)</v>
          </cell>
        </row>
        <row r="48">
          <cell r="A48">
            <v>45</v>
          </cell>
          <cell r="B48" t="str">
            <v>45</v>
          </cell>
          <cell r="C48" t="str">
            <v>45</v>
          </cell>
          <cell r="G48" t="str">
            <v>Praja Muda Karana (Pramuka)</v>
          </cell>
          <cell r="M48" t="str">
            <v>Praja Muda Karana (Pramuka)</v>
          </cell>
        </row>
        <row r="49">
          <cell r="A49">
            <v>46</v>
          </cell>
          <cell r="B49" t="str">
            <v>46</v>
          </cell>
          <cell r="C49" t="str">
            <v>46</v>
          </cell>
        </row>
        <row r="50">
          <cell r="A50">
            <v>47</v>
          </cell>
          <cell r="B50" t="str">
            <v>47</v>
          </cell>
          <cell r="C50" t="str">
            <v>47</v>
          </cell>
        </row>
        <row r="51">
          <cell r="A51">
            <v>48</v>
          </cell>
          <cell r="B51" t="str">
            <v>48</v>
          </cell>
          <cell r="C51" t="str">
            <v>48</v>
          </cell>
        </row>
        <row r="52">
          <cell r="A52">
            <v>49</v>
          </cell>
          <cell r="B52" t="str">
            <v>49</v>
          </cell>
          <cell r="C52" t="str">
            <v>49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>
        <row r="4">
          <cell r="A4">
            <v>1</v>
          </cell>
          <cell r="B4" t="str">
            <v>1</v>
          </cell>
          <cell r="C4" t="str">
            <v>1</v>
          </cell>
          <cell r="D4">
            <v>2</v>
          </cell>
          <cell r="E4">
            <v>1</v>
          </cell>
          <cell r="F4">
            <v>3</v>
          </cell>
          <cell r="G4" t="str">
            <v>Praja Muda Karana (Pramuka)</v>
          </cell>
          <cell r="H4" t="str">
            <v>Memuaskan. Aktif dalam perkemahan dan latihan mingguan.</v>
          </cell>
          <cell r="I4" t="str">
            <v>Palang Merah Ramaja (PMR)</v>
          </cell>
          <cell r="J4" t="str">
            <v>Memuaskan. Aktif dalam Perkemahan Wirakarya dan Raimuna Cabang Jakarta Selatan]</v>
          </cell>
          <cell r="K4" t="str">
            <v xml:space="preserve">Bola Kaki. </v>
          </cell>
          <cell r="L4" t="str">
            <v>Memuaskan. Aktif dalam latihan, pertandingan LPI Cup</v>
          </cell>
        </row>
        <row r="5">
          <cell r="A5">
            <v>2</v>
          </cell>
          <cell r="B5" t="str">
            <v>2</v>
          </cell>
          <cell r="C5" t="str">
            <v>2</v>
          </cell>
          <cell r="D5">
            <v>2</v>
          </cell>
          <cell r="E5">
            <v>2</v>
          </cell>
          <cell r="F5">
            <v>2</v>
          </cell>
          <cell r="G5" t="str">
            <v>Praja Muda Karana (Pramuka)</v>
          </cell>
        </row>
        <row r="6">
          <cell r="A6">
            <v>3</v>
          </cell>
          <cell r="B6" t="str">
            <v>3</v>
          </cell>
          <cell r="C6" t="str">
            <v>3</v>
          </cell>
          <cell r="G6" t="str">
            <v>Praja Muda Karana (Pramuka)</v>
          </cell>
        </row>
        <row r="7">
          <cell r="A7">
            <v>4</v>
          </cell>
          <cell r="B7" t="str">
            <v>4</v>
          </cell>
          <cell r="C7" t="str">
            <v>4</v>
          </cell>
          <cell r="G7" t="str">
            <v>Praja Muda Karana (Pramuka)</v>
          </cell>
        </row>
        <row r="8">
          <cell r="A8">
            <v>5</v>
          </cell>
          <cell r="B8" t="str">
            <v>5</v>
          </cell>
          <cell r="C8" t="str">
            <v>5</v>
          </cell>
          <cell r="G8" t="str">
            <v>Praja Muda Karana (Pramuka)</v>
          </cell>
        </row>
        <row r="9">
          <cell r="A9">
            <v>6</v>
          </cell>
          <cell r="B9" t="str">
            <v>6</v>
          </cell>
          <cell r="C9" t="str">
            <v>6</v>
          </cell>
          <cell r="G9" t="str">
            <v>Praja Muda Karana (Pramuka)</v>
          </cell>
        </row>
        <row r="10">
          <cell r="A10">
            <v>7</v>
          </cell>
          <cell r="B10" t="str">
            <v>7</v>
          </cell>
          <cell r="C10" t="str">
            <v>7</v>
          </cell>
          <cell r="G10" t="str">
            <v>Praja Muda Karana (Pramuka)</v>
          </cell>
        </row>
        <row r="11">
          <cell r="A11">
            <v>8</v>
          </cell>
          <cell r="B11" t="str">
            <v>8</v>
          </cell>
          <cell r="C11" t="str">
            <v>8</v>
          </cell>
          <cell r="G11" t="str">
            <v>Praja Muda Karana (Pramuka)</v>
          </cell>
        </row>
        <row r="12">
          <cell r="A12">
            <v>9</v>
          </cell>
          <cell r="B12" t="str">
            <v>9</v>
          </cell>
          <cell r="C12" t="str">
            <v>9</v>
          </cell>
          <cell r="G12" t="str">
            <v>Praja Muda Karana (Pramuka)</v>
          </cell>
        </row>
        <row r="13">
          <cell r="A13">
            <v>10</v>
          </cell>
          <cell r="B13" t="str">
            <v>10</v>
          </cell>
          <cell r="C13" t="str">
            <v>10</v>
          </cell>
          <cell r="G13" t="str">
            <v>Praja Muda Karana (Pramuka)</v>
          </cell>
        </row>
        <row r="14">
          <cell r="A14">
            <v>11</v>
          </cell>
          <cell r="B14" t="str">
            <v>11</v>
          </cell>
          <cell r="C14" t="str">
            <v>11</v>
          </cell>
          <cell r="G14" t="str">
            <v>Praja Muda Karana (Pramuka)</v>
          </cell>
        </row>
        <row r="15">
          <cell r="A15">
            <v>12</v>
          </cell>
          <cell r="B15" t="str">
            <v>12</v>
          </cell>
          <cell r="C15" t="str">
            <v>12</v>
          </cell>
          <cell r="G15" t="str">
            <v>Praja Muda Karana (Pramuka)</v>
          </cell>
        </row>
        <row r="16">
          <cell r="A16">
            <v>13</v>
          </cell>
          <cell r="B16" t="str">
            <v>13</v>
          </cell>
          <cell r="C16" t="str">
            <v>13</v>
          </cell>
          <cell r="G16" t="str">
            <v>Praja Muda Karana (Pramuka)</v>
          </cell>
        </row>
        <row r="17">
          <cell r="A17">
            <v>14</v>
          </cell>
          <cell r="B17" t="str">
            <v>14</v>
          </cell>
          <cell r="C17" t="str">
            <v>14</v>
          </cell>
          <cell r="G17" t="str">
            <v>Praja Muda Karana (Pramuka)</v>
          </cell>
        </row>
        <row r="18">
          <cell r="A18">
            <v>15</v>
          </cell>
          <cell r="B18" t="str">
            <v>15</v>
          </cell>
          <cell r="C18" t="str">
            <v>15</v>
          </cell>
          <cell r="G18" t="str">
            <v>Praja Muda Karana (Pramuka)</v>
          </cell>
        </row>
        <row r="19">
          <cell r="A19">
            <v>16</v>
          </cell>
          <cell r="B19" t="str">
            <v>16</v>
          </cell>
          <cell r="C19" t="str">
            <v>16</v>
          </cell>
          <cell r="G19" t="str">
            <v>Praja Muda Karana (Pramuka)</v>
          </cell>
        </row>
        <row r="20">
          <cell r="A20">
            <v>17</v>
          </cell>
          <cell r="B20" t="str">
            <v>17</v>
          </cell>
          <cell r="C20" t="str">
            <v>17</v>
          </cell>
          <cell r="G20" t="str">
            <v>Praja Muda Karana (Pramuka)</v>
          </cell>
        </row>
        <row r="21">
          <cell r="A21">
            <v>18</v>
          </cell>
          <cell r="B21" t="str">
            <v>18</v>
          </cell>
          <cell r="C21" t="str">
            <v>18</v>
          </cell>
          <cell r="G21" t="str">
            <v>Praja Muda Karana (Pramuka)</v>
          </cell>
        </row>
        <row r="22">
          <cell r="A22">
            <v>19</v>
          </cell>
          <cell r="B22" t="str">
            <v>19</v>
          </cell>
          <cell r="C22" t="str">
            <v>19</v>
          </cell>
          <cell r="G22" t="str">
            <v>Praja Muda Karana (Pramuka)</v>
          </cell>
        </row>
        <row r="23">
          <cell r="A23">
            <v>20</v>
          </cell>
          <cell r="B23" t="str">
            <v>20</v>
          </cell>
          <cell r="C23" t="str">
            <v>20</v>
          </cell>
          <cell r="G23" t="str">
            <v>Praja Muda Karana (Pramuka)</v>
          </cell>
        </row>
        <row r="24">
          <cell r="A24">
            <v>21</v>
          </cell>
          <cell r="B24" t="str">
            <v>21</v>
          </cell>
          <cell r="C24" t="str">
            <v>21</v>
          </cell>
          <cell r="G24" t="str">
            <v>Praja Muda Karana (Pramuka)</v>
          </cell>
        </row>
        <row r="25">
          <cell r="A25">
            <v>22</v>
          </cell>
          <cell r="B25" t="str">
            <v>22</v>
          </cell>
          <cell r="C25" t="str">
            <v>22</v>
          </cell>
          <cell r="G25" t="str">
            <v>Praja Muda Karana (Pramuka)</v>
          </cell>
        </row>
        <row r="26">
          <cell r="A26">
            <v>23</v>
          </cell>
          <cell r="B26" t="str">
            <v>23</v>
          </cell>
          <cell r="C26" t="str">
            <v>23</v>
          </cell>
          <cell r="G26" t="str">
            <v>Praja Muda Karana (Pramuka)</v>
          </cell>
        </row>
        <row r="27">
          <cell r="A27">
            <v>24</v>
          </cell>
          <cell r="B27" t="str">
            <v>24</v>
          </cell>
          <cell r="C27" t="str">
            <v>24</v>
          </cell>
          <cell r="G27" t="str">
            <v>Praja Muda Karana (Pramuka)</v>
          </cell>
        </row>
        <row r="28">
          <cell r="A28">
            <v>25</v>
          </cell>
          <cell r="B28" t="str">
            <v>25</v>
          </cell>
          <cell r="C28" t="str">
            <v>25</v>
          </cell>
          <cell r="G28" t="str">
            <v>Praja Muda Karana (Pramuka)</v>
          </cell>
        </row>
        <row r="29">
          <cell r="A29">
            <v>26</v>
          </cell>
          <cell r="B29" t="str">
            <v>26</v>
          </cell>
          <cell r="C29" t="str">
            <v>26</v>
          </cell>
          <cell r="G29" t="str">
            <v>Praja Muda Karana (Pramuka)</v>
          </cell>
        </row>
        <row r="30">
          <cell r="A30">
            <v>27</v>
          </cell>
          <cell r="B30" t="str">
            <v>27</v>
          </cell>
          <cell r="C30" t="str">
            <v>27</v>
          </cell>
          <cell r="G30" t="str">
            <v>Praja Muda Karana (Pramuka)</v>
          </cell>
        </row>
        <row r="31">
          <cell r="A31">
            <v>28</v>
          </cell>
          <cell r="B31" t="str">
            <v>28</v>
          </cell>
          <cell r="C31" t="str">
            <v>28</v>
          </cell>
          <cell r="G31" t="str">
            <v>Praja Muda Karana (Pramuka)</v>
          </cell>
        </row>
        <row r="32">
          <cell r="A32">
            <v>29</v>
          </cell>
          <cell r="B32" t="str">
            <v>29</v>
          </cell>
          <cell r="C32" t="str">
            <v>29</v>
          </cell>
          <cell r="G32" t="str">
            <v>Praja Muda Karana (Pramuka)</v>
          </cell>
        </row>
        <row r="33">
          <cell r="A33">
            <v>30</v>
          </cell>
          <cell r="B33" t="str">
            <v>30</v>
          </cell>
          <cell r="C33" t="str">
            <v>30</v>
          </cell>
          <cell r="G33" t="str">
            <v>Praja Muda Karana (Pramuka)</v>
          </cell>
        </row>
        <row r="34">
          <cell r="A34">
            <v>31</v>
          </cell>
          <cell r="B34" t="str">
            <v>31</v>
          </cell>
          <cell r="C34" t="str">
            <v>31</v>
          </cell>
          <cell r="G34" t="str">
            <v>Praja Muda Karana (Pramuka)</v>
          </cell>
        </row>
        <row r="35">
          <cell r="A35">
            <v>32</v>
          </cell>
          <cell r="B35" t="str">
            <v>32</v>
          </cell>
          <cell r="C35" t="str">
            <v>32</v>
          </cell>
          <cell r="G35" t="str">
            <v>Praja Muda Karana (Pramuka)</v>
          </cell>
        </row>
        <row r="36">
          <cell r="A36">
            <v>33</v>
          </cell>
          <cell r="B36" t="str">
            <v>33</v>
          </cell>
          <cell r="C36" t="str">
            <v>33</v>
          </cell>
          <cell r="G36" t="str">
            <v>Praja Muda Karana (Pramuka)</v>
          </cell>
        </row>
        <row r="37">
          <cell r="A37">
            <v>34</v>
          </cell>
          <cell r="B37" t="str">
            <v>34</v>
          </cell>
          <cell r="C37" t="str">
            <v>34</v>
          </cell>
          <cell r="G37" t="str">
            <v>Praja Muda Karana (Pramuka)</v>
          </cell>
        </row>
        <row r="38">
          <cell r="A38">
            <v>35</v>
          </cell>
          <cell r="B38" t="str">
            <v>35</v>
          </cell>
          <cell r="C38" t="str">
            <v>35</v>
          </cell>
          <cell r="G38" t="str">
            <v>Praja Muda Karana (Pramuka)</v>
          </cell>
        </row>
        <row r="39">
          <cell r="A39">
            <v>36</v>
          </cell>
          <cell r="B39" t="str">
            <v>36</v>
          </cell>
          <cell r="C39" t="str">
            <v>36</v>
          </cell>
          <cell r="G39" t="str">
            <v>Praja Muda Karana (Pramuka)</v>
          </cell>
        </row>
        <row r="40">
          <cell r="A40">
            <v>37</v>
          </cell>
          <cell r="B40" t="str">
            <v>37</v>
          </cell>
          <cell r="C40" t="str">
            <v>37</v>
          </cell>
          <cell r="G40" t="str">
            <v>Praja Muda Karana (Pramuka)</v>
          </cell>
        </row>
        <row r="41">
          <cell r="A41">
            <v>38</v>
          </cell>
          <cell r="B41" t="str">
            <v>38</v>
          </cell>
          <cell r="C41" t="str">
            <v>38</v>
          </cell>
          <cell r="G41" t="str">
            <v>Praja Muda Karana (Pramuka)</v>
          </cell>
        </row>
        <row r="42">
          <cell r="A42">
            <v>39</v>
          </cell>
          <cell r="B42" t="str">
            <v>39</v>
          </cell>
          <cell r="C42" t="str">
            <v>39</v>
          </cell>
          <cell r="G42" t="str">
            <v>Praja Muda Karana (Pramuka)</v>
          </cell>
        </row>
        <row r="43">
          <cell r="A43">
            <v>40</v>
          </cell>
          <cell r="B43" t="str">
            <v>40</v>
          </cell>
          <cell r="C43" t="str">
            <v>40</v>
          </cell>
          <cell r="G43" t="str">
            <v>Praja Muda Karana (Pramuka)</v>
          </cell>
        </row>
        <row r="44">
          <cell r="A44">
            <v>41</v>
          </cell>
          <cell r="B44" t="str">
            <v>41</v>
          </cell>
          <cell r="C44" t="str">
            <v>41</v>
          </cell>
          <cell r="G44" t="str">
            <v>Praja Muda Karana (Pramuka)</v>
          </cell>
        </row>
        <row r="45">
          <cell r="A45">
            <v>42</v>
          </cell>
          <cell r="B45" t="str">
            <v>42</v>
          </cell>
          <cell r="C45" t="str">
            <v>42</v>
          </cell>
          <cell r="G45" t="str">
            <v>Praja Muda Karana (Pramuka)</v>
          </cell>
        </row>
        <row r="46">
          <cell r="A46">
            <v>43</v>
          </cell>
          <cell r="B46" t="str">
            <v>43</v>
          </cell>
          <cell r="C46" t="str">
            <v>43</v>
          </cell>
          <cell r="G46" t="str">
            <v>Praja Muda Karana (Pramuka)</v>
          </cell>
        </row>
        <row r="47">
          <cell r="A47">
            <v>44</v>
          </cell>
          <cell r="B47" t="str">
            <v>44</v>
          </cell>
          <cell r="C47" t="str">
            <v>44</v>
          </cell>
          <cell r="G47" t="str">
            <v>Praja Muda Karana (Pramuka)</v>
          </cell>
        </row>
        <row r="48">
          <cell r="A48">
            <v>45</v>
          </cell>
          <cell r="B48" t="str">
            <v>45</v>
          </cell>
          <cell r="C48" t="str">
            <v>45</v>
          </cell>
          <cell r="G48" t="str">
            <v>Praja Muda Karana (Pramuka)</v>
          </cell>
        </row>
        <row r="49">
          <cell r="A49">
            <v>46</v>
          </cell>
          <cell r="B49" t="str">
            <v>46</v>
          </cell>
          <cell r="C49" t="str">
            <v>46</v>
          </cell>
        </row>
        <row r="50">
          <cell r="A50">
            <v>47</v>
          </cell>
          <cell r="B50" t="str">
            <v>47</v>
          </cell>
          <cell r="C50" t="str">
            <v>47</v>
          </cell>
        </row>
        <row r="51">
          <cell r="A51">
            <v>48</v>
          </cell>
          <cell r="B51" t="str">
            <v>48</v>
          </cell>
          <cell r="C51" t="str">
            <v>48</v>
          </cell>
        </row>
        <row r="52">
          <cell r="A52">
            <v>49</v>
          </cell>
          <cell r="B52" t="str">
            <v>49</v>
          </cell>
          <cell r="C52" t="str">
            <v>49</v>
          </cell>
        </row>
      </sheetData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opening"/>
      <sheetName val="RAPORT_UTS"/>
      <sheetName val="RAPORT"/>
      <sheetName val="data_uts"/>
      <sheetName val="ledger"/>
      <sheetName val="QH"/>
      <sheetName val="AA"/>
      <sheetName val="FIQ"/>
      <sheetName val="SKI"/>
      <sheetName val="PKN"/>
      <sheetName val="INDO"/>
      <sheetName val="ARAB"/>
      <sheetName val="INGG"/>
      <sheetName val="MAT"/>
      <sheetName val="IPA"/>
      <sheetName val="FIS"/>
      <sheetName val="BIO"/>
      <sheetName val="IPS"/>
      <sheetName val="SENI"/>
      <sheetName val="PENJAS"/>
      <sheetName val="TIK"/>
      <sheetName val="JAWA"/>
      <sheetName val="Sheet2"/>
      <sheetName val="Sheet3"/>
    </sheetNames>
    <sheetDataSet>
      <sheetData sheetId="0"/>
      <sheetData sheetId="1"/>
      <sheetData sheetId="2"/>
      <sheetData sheetId="3">
        <row r="8">
          <cell r="A8">
            <v>1</v>
          </cell>
          <cell r="B8">
            <v>4511</v>
          </cell>
          <cell r="C8" t="str">
            <v>0005370078</v>
          </cell>
          <cell r="D8" t="str">
            <v>Afif Nur Yasin</v>
          </cell>
          <cell r="E8" t="str">
            <v>L</v>
          </cell>
        </row>
        <row r="9">
          <cell r="A9">
            <v>2</v>
          </cell>
          <cell r="B9">
            <v>4512</v>
          </cell>
          <cell r="C9" t="str">
            <v>0005359619</v>
          </cell>
          <cell r="D9" t="str">
            <v>Afriana Viro Fadilla</v>
          </cell>
          <cell r="E9" t="str">
            <v>P</v>
          </cell>
        </row>
        <row r="10">
          <cell r="A10">
            <v>3</v>
          </cell>
          <cell r="B10">
            <v>4516</v>
          </cell>
          <cell r="C10" t="str">
            <v>0003364151</v>
          </cell>
          <cell r="D10" t="str">
            <v>Ahmad Muzahim</v>
          </cell>
          <cell r="E10" t="str">
            <v>L</v>
          </cell>
        </row>
        <row r="11">
          <cell r="A11">
            <v>4</v>
          </cell>
          <cell r="B11">
            <v>4522</v>
          </cell>
          <cell r="C11" t="str">
            <v>0007353831</v>
          </cell>
          <cell r="D11" t="str">
            <v>Alif Dion Indra Jaya</v>
          </cell>
          <cell r="E11" t="str">
            <v>L</v>
          </cell>
          <cell r="G11">
            <v>1</v>
          </cell>
        </row>
        <row r="12">
          <cell r="A12">
            <v>5</v>
          </cell>
          <cell r="B12">
            <v>4523</v>
          </cell>
          <cell r="C12" t="str">
            <v>0004488947</v>
          </cell>
          <cell r="D12" t="str">
            <v>Alifia Kurniawati</v>
          </cell>
          <cell r="E12" t="str">
            <v>P</v>
          </cell>
        </row>
        <row r="13">
          <cell r="A13">
            <v>6</v>
          </cell>
          <cell r="B13">
            <v>4528</v>
          </cell>
          <cell r="C13" t="str">
            <v>0007438584</v>
          </cell>
          <cell r="D13" t="str">
            <v>Ammallul Khusnia</v>
          </cell>
          <cell r="E13" t="str">
            <v>P</v>
          </cell>
        </row>
        <row r="14">
          <cell r="A14">
            <v>7</v>
          </cell>
          <cell r="B14">
            <v>4537</v>
          </cell>
          <cell r="C14" t="str">
            <v>0007438847</v>
          </cell>
          <cell r="D14" t="str">
            <v>Aninia Lestari</v>
          </cell>
          <cell r="E14" t="str">
            <v>P</v>
          </cell>
        </row>
        <row r="15">
          <cell r="A15">
            <v>8</v>
          </cell>
          <cell r="B15">
            <v>4550</v>
          </cell>
          <cell r="C15" t="str">
            <v>9998637377</v>
          </cell>
          <cell r="D15" t="str">
            <v>Ayu Lestari</v>
          </cell>
          <cell r="E15" t="str">
            <v>P</v>
          </cell>
        </row>
        <row r="16">
          <cell r="A16">
            <v>9</v>
          </cell>
          <cell r="B16">
            <v>4551</v>
          </cell>
          <cell r="C16" t="str">
            <v>0018918230</v>
          </cell>
          <cell r="D16" t="str">
            <v>Ayu Putri Wahyuni</v>
          </cell>
          <cell r="E16" t="str">
            <v>P</v>
          </cell>
        </row>
        <row r="17">
          <cell r="A17">
            <v>10</v>
          </cell>
          <cell r="B17">
            <v>4553</v>
          </cell>
          <cell r="C17" t="str">
            <v>9998638131</v>
          </cell>
          <cell r="D17" t="str">
            <v>Aziza Nur Fadila</v>
          </cell>
          <cell r="E17" t="str">
            <v>P</v>
          </cell>
        </row>
        <row r="18">
          <cell r="A18">
            <v>11</v>
          </cell>
          <cell r="B18">
            <v>4777</v>
          </cell>
          <cell r="C18">
            <v>0</v>
          </cell>
          <cell r="D18" t="str">
            <v>Clarisa Tiara Chebilita</v>
          </cell>
          <cell r="E18" t="str">
            <v>P</v>
          </cell>
        </row>
        <row r="19">
          <cell r="A19">
            <v>12</v>
          </cell>
          <cell r="B19">
            <v>4557</v>
          </cell>
          <cell r="C19" t="str">
            <v>0003364479</v>
          </cell>
          <cell r="D19" t="str">
            <v>David Setyawan</v>
          </cell>
          <cell r="E19" t="str">
            <v>L</v>
          </cell>
          <cell r="G19">
            <v>2</v>
          </cell>
          <cell r="I19">
            <v>2</v>
          </cell>
        </row>
        <row r="20">
          <cell r="A20">
            <v>13</v>
          </cell>
          <cell r="B20">
            <v>4587</v>
          </cell>
          <cell r="C20" t="str">
            <v>0007433837</v>
          </cell>
          <cell r="D20" t="str">
            <v>Feriq Yudha Irfanudin</v>
          </cell>
          <cell r="E20" t="str">
            <v>L</v>
          </cell>
        </row>
        <row r="21">
          <cell r="A21">
            <v>14</v>
          </cell>
          <cell r="B21">
            <v>4618</v>
          </cell>
          <cell r="C21" t="str">
            <v>0003364216</v>
          </cell>
          <cell r="D21" t="str">
            <v>Ken Alfi Rozana</v>
          </cell>
          <cell r="E21" t="str">
            <v>P</v>
          </cell>
        </row>
        <row r="22">
          <cell r="A22">
            <v>15</v>
          </cell>
          <cell r="B22">
            <v>4628</v>
          </cell>
          <cell r="C22" t="str">
            <v>9998639717</v>
          </cell>
          <cell r="D22" t="str">
            <v>Lenny Wahyuningsi</v>
          </cell>
          <cell r="E22" t="str">
            <v>P</v>
          </cell>
        </row>
        <row r="23">
          <cell r="A23">
            <v>16</v>
          </cell>
          <cell r="B23">
            <v>4635</v>
          </cell>
          <cell r="C23" t="str">
            <v>0003364543</v>
          </cell>
          <cell r="D23" t="str">
            <v>M Bustanul Farizi</v>
          </cell>
          <cell r="E23" t="str">
            <v>L</v>
          </cell>
        </row>
        <row r="24">
          <cell r="A24">
            <v>17</v>
          </cell>
          <cell r="B24">
            <v>4639</v>
          </cell>
          <cell r="C24" t="str">
            <v>0003363846</v>
          </cell>
          <cell r="D24" t="str">
            <v>M. Fery Dwi Candra</v>
          </cell>
          <cell r="E24" t="str">
            <v>L</v>
          </cell>
        </row>
        <row r="25">
          <cell r="A25">
            <v>18</v>
          </cell>
          <cell r="B25">
            <v>4644</v>
          </cell>
          <cell r="C25" t="str">
            <v>0003362322</v>
          </cell>
          <cell r="D25" t="str">
            <v>M. Viecye Laksono</v>
          </cell>
          <cell r="E25" t="str">
            <v>L</v>
          </cell>
        </row>
        <row r="26">
          <cell r="A26">
            <v>19</v>
          </cell>
          <cell r="B26">
            <v>4645</v>
          </cell>
          <cell r="C26" t="str">
            <v>0007371974</v>
          </cell>
          <cell r="D26" t="str">
            <v>Mahmuda Setyawan</v>
          </cell>
          <cell r="E26" t="str">
            <v>L</v>
          </cell>
        </row>
        <row r="27">
          <cell r="A27">
            <v>20</v>
          </cell>
          <cell r="B27">
            <v>4648</v>
          </cell>
          <cell r="C27" t="str">
            <v>0007438849</v>
          </cell>
          <cell r="D27" t="str">
            <v>Melga Askarima Eka Saputri</v>
          </cell>
          <cell r="E27" t="str">
            <v>P</v>
          </cell>
        </row>
        <row r="28">
          <cell r="A28">
            <v>21</v>
          </cell>
          <cell r="B28">
            <v>4638</v>
          </cell>
          <cell r="C28">
            <v>0</v>
          </cell>
          <cell r="D28" t="str">
            <v>Mochamad Daniar D</v>
          </cell>
          <cell r="E28" t="str">
            <v>L</v>
          </cell>
          <cell r="G28">
            <v>2</v>
          </cell>
        </row>
        <row r="29">
          <cell r="A29">
            <v>22</v>
          </cell>
          <cell r="B29">
            <v>4666</v>
          </cell>
          <cell r="C29" t="str">
            <v>0005359602</v>
          </cell>
          <cell r="D29" t="str">
            <v>Muhammad Rizal Ariyadi</v>
          </cell>
          <cell r="E29" t="str">
            <v>L</v>
          </cell>
        </row>
        <row r="30">
          <cell r="A30">
            <v>23</v>
          </cell>
          <cell r="B30">
            <v>4671</v>
          </cell>
          <cell r="C30">
            <v>0</v>
          </cell>
          <cell r="D30" t="str">
            <v>M. Agam G.F</v>
          </cell>
          <cell r="E30" t="str">
            <v>L</v>
          </cell>
        </row>
        <row r="31">
          <cell r="A31">
            <v>24</v>
          </cell>
          <cell r="B31">
            <v>4688</v>
          </cell>
          <cell r="C31">
            <v>0</v>
          </cell>
          <cell r="D31" t="str">
            <v>Nisrina Cahyaning Farida</v>
          </cell>
          <cell r="E31" t="str">
            <v>P</v>
          </cell>
        </row>
        <row r="32">
          <cell r="A32">
            <v>25</v>
          </cell>
          <cell r="B32">
            <v>4696</v>
          </cell>
          <cell r="C32" t="str">
            <v>9993341716</v>
          </cell>
          <cell r="D32" t="str">
            <v>Nur Alfan Zakaria</v>
          </cell>
          <cell r="E32" t="str">
            <v>L</v>
          </cell>
          <cell r="G32">
            <v>3</v>
          </cell>
        </row>
        <row r="33">
          <cell r="A33">
            <v>26</v>
          </cell>
          <cell r="B33">
            <v>4697</v>
          </cell>
          <cell r="C33" t="str">
            <v>0004182651</v>
          </cell>
          <cell r="D33" t="str">
            <v>Nur Baiti Azizah</v>
          </cell>
          <cell r="E33" t="str">
            <v>P</v>
          </cell>
        </row>
        <row r="34">
          <cell r="A34">
            <v>27</v>
          </cell>
          <cell r="B34">
            <v>4700</v>
          </cell>
          <cell r="C34" t="str">
            <v>0003264929</v>
          </cell>
          <cell r="D34" t="str">
            <v>Okik Nur Hidayat</v>
          </cell>
          <cell r="E34" t="str">
            <v>L</v>
          </cell>
        </row>
        <row r="35">
          <cell r="A35">
            <v>28</v>
          </cell>
          <cell r="B35">
            <v>4710</v>
          </cell>
          <cell r="C35" t="str">
            <v>0007458842</v>
          </cell>
          <cell r="D35" t="str">
            <v>Ratna Wulan Sari</v>
          </cell>
          <cell r="E35" t="str">
            <v>P</v>
          </cell>
        </row>
        <row r="36">
          <cell r="A36">
            <v>29</v>
          </cell>
          <cell r="B36">
            <v>4714</v>
          </cell>
          <cell r="C36" t="str">
            <v>9998650313</v>
          </cell>
          <cell r="D36" t="str">
            <v>Reykhan Arul Rizkillah</v>
          </cell>
          <cell r="E36" t="str">
            <v>L</v>
          </cell>
        </row>
        <row r="37">
          <cell r="A37">
            <v>30</v>
          </cell>
          <cell r="B37">
            <v>4724</v>
          </cell>
          <cell r="C37" t="str">
            <v>9998638139</v>
          </cell>
          <cell r="D37" t="str">
            <v>Riski Rahmadani</v>
          </cell>
          <cell r="E37" t="str">
            <v>P</v>
          </cell>
        </row>
        <row r="38">
          <cell r="A38">
            <v>31</v>
          </cell>
          <cell r="B38">
            <v>4745</v>
          </cell>
          <cell r="C38" t="str">
            <v>0003364140</v>
          </cell>
          <cell r="D38" t="str">
            <v>Shilvia Ufi Umarah</v>
          </cell>
          <cell r="E38" t="str">
            <v>P</v>
          </cell>
        </row>
        <row r="39">
          <cell r="A39">
            <v>32</v>
          </cell>
          <cell r="B39">
            <v>4747</v>
          </cell>
          <cell r="C39" t="str">
            <v>9998574072</v>
          </cell>
          <cell r="D39" t="str">
            <v>Sinta Mayyukha</v>
          </cell>
          <cell r="E39" t="str">
            <v>P</v>
          </cell>
        </row>
        <row r="40">
          <cell r="A40">
            <v>33</v>
          </cell>
          <cell r="B40">
            <v>4754</v>
          </cell>
          <cell r="C40" t="str">
            <v>0007371696</v>
          </cell>
          <cell r="D40" t="str">
            <v>Syahfri Amirul Rafi</v>
          </cell>
          <cell r="E40" t="str">
            <v>L</v>
          </cell>
        </row>
        <row r="41">
          <cell r="A41">
            <v>34</v>
          </cell>
          <cell r="B41">
            <v>4755</v>
          </cell>
          <cell r="C41" t="str">
            <v>0007438869</v>
          </cell>
          <cell r="D41" t="str">
            <v>Tanti Dwi Jayanti</v>
          </cell>
          <cell r="E41" t="str">
            <v>P</v>
          </cell>
        </row>
        <row r="42">
          <cell r="A42">
            <v>35</v>
          </cell>
          <cell r="B42">
            <v>4759</v>
          </cell>
          <cell r="C42" t="str">
            <v>9998574070</v>
          </cell>
          <cell r="D42" t="str">
            <v>Tria Agustina</v>
          </cell>
          <cell r="E42" t="str">
            <v>P</v>
          </cell>
          <cell r="I42">
            <v>2</v>
          </cell>
        </row>
        <row r="43">
          <cell r="A43">
            <v>36</v>
          </cell>
          <cell r="B43">
            <v>4760</v>
          </cell>
          <cell r="C43">
            <v>0</v>
          </cell>
          <cell r="D43" t="str">
            <v>Tria Khotami Ayuba</v>
          </cell>
          <cell r="E43" t="str">
            <v>P</v>
          </cell>
          <cell r="I43">
            <v>1</v>
          </cell>
        </row>
        <row r="44">
          <cell r="A44">
            <v>37</v>
          </cell>
          <cell r="B44">
            <v>4762</v>
          </cell>
          <cell r="C44">
            <v>0</v>
          </cell>
          <cell r="D44" t="str">
            <v>Tuwilatul Rosita</v>
          </cell>
          <cell r="E44" t="str">
            <v>P</v>
          </cell>
          <cell r="I44">
            <v>1</v>
          </cell>
        </row>
        <row r="45">
          <cell r="A45">
            <v>38</v>
          </cell>
          <cell r="B45">
            <v>4764</v>
          </cell>
          <cell r="C45" t="str">
            <v>0004228017</v>
          </cell>
          <cell r="D45" t="str">
            <v>Vicky Suryo Lelono</v>
          </cell>
          <cell r="E45" t="str">
            <v>L</v>
          </cell>
        </row>
        <row r="46">
          <cell r="A46">
            <v>39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</row>
        <row r="47">
          <cell r="A47">
            <v>40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</row>
        <row r="48">
          <cell r="A48">
            <v>41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</row>
        <row r="49">
          <cell r="A49">
            <v>42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</row>
        <row r="50">
          <cell r="A50">
            <v>43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</row>
        <row r="51">
          <cell r="A51">
            <v>44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</row>
      </sheetData>
      <sheetData sheetId="4">
        <row r="8">
          <cell r="D8" t="str">
            <v>Afif Nur Yasin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menu"/>
      <sheetName val="KDOKE"/>
      <sheetName val="LIHAT"/>
      <sheetName val="DATA SISWA"/>
      <sheetName val="UTSangka"/>
      <sheetName val="NILAI_JADI"/>
      <sheetName val="Form Nilai Pengetahuan"/>
      <sheetName val="Input Nilai Pengetahuan"/>
      <sheetName val="DATAPENG"/>
      <sheetName val="Sheet1"/>
      <sheetName val="Form NilKet"/>
      <sheetName val="Input Nilai Ketrampilan"/>
      <sheetName val="DATAKET"/>
      <sheetName val="proyek"/>
      <sheetName val="praktek"/>
      <sheetName val="form penilaian teman"/>
      <sheetName val="form penilaian diri"/>
      <sheetName val="rekap antar teman"/>
      <sheetName val="FORM Nil Sikap"/>
      <sheetName val="Input Nilai Sikap"/>
      <sheetName val="observasi2"/>
      <sheetName val="observasi1"/>
      <sheetName val="rekap observasi"/>
      <sheetName val="Sheet2"/>
      <sheetName val="REKAP PENILAIAN DIRI"/>
      <sheetName val="jurnal"/>
      <sheetName val="PORTOFOLIO"/>
      <sheetName val="FORM PORTOFOLI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4">
          <cell r="A14">
            <v>1</v>
          </cell>
          <cell r="B14">
            <v>0</v>
          </cell>
          <cell r="C14">
            <v>0</v>
          </cell>
          <cell r="D14" t="str">
            <v/>
          </cell>
          <cell r="E14" t="str">
            <v/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 t="str">
            <v/>
          </cell>
          <cell r="P14" t="str">
            <v/>
          </cell>
          <cell r="Q14" t="str">
            <v/>
          </cell>
          <cell r="R14" t="str">
            <v/>
          </cell>
          <cell r="S14" t="str">
            <v/>
          </cell>
        </row>
        <row r="15">
          <cell r="A15">
            <v>2</v>
          </cell>
          <cell r="B15">
            <v>0</v>
          </cell>
          <cell r="C15">
            <v>0</v>
          </cell>
          <cell r="D15" t="str">
            <v/>
          </cell>
          <cell r="E15" t="str">
            <v/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 t="str">
            <v/>
          </cell>
          <cell r="P15" t="str">
            <v/>
          </cell>
          <cell r="Q15" t="str">
            <v/>
          </cell>
          <cell r="R15" t="str">
            <v/>
          </cell>
          <cell r="S15" t="str">
            <v/>
          </cell>
        </row>
        <row r="16">
          <cell r="A16">
            <v>3</v>
          </cell>
          <cell r="B16">
            <v>0</v>
          </cell>
          <cell r="C16">
            <v>0</v>
          </cell>
          <cell r="D16" t="str">
            <v/>
          </cell>
          <cell r="E16" t="str">
            <v/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 t="str">
            <v/>
          </cell>
          <cell r="P16" t="str">
            <v/>
          </cell>
          <cell r="Q16" t="str">
            <v/>
          </cell>
          <cell r="R16" t="str">
            <v/>
          </cell>
          <cell r="S16" t="str">
            <v/>
          </cell>
        </row>
        <row r="17">
          <cell r="A17">
            <v>4</v>
          </cell>
          <cell r="B17">
            <v>0</v>
          </cell>
          <cell r="C17">
            <v>0</v>
          </cell>
          <cell r="D17" t="str">
            <v/>
          </cell>
          <cell r="E17" t="str">
            <v/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 t="str">
            <v/>
          </cell>
          <cell r="P17" t="str">
            <v/>
          </cell>
          <cell r="Q17" t="str">
            <v/>
          </cell>
          <cell r="R17" t="str">
            <v/>
          </cell>
          <cell r="S17" t="str">
            <v/>
          </cell>
        </row>
        <row r="18">
          <cell r="A18">
            <v>5</v>
          </cell>
          <cell r="B18">
            <v>0</v>
          </cell>
          <cell r="C18">
            <v>0</v>
          </cell>
          <cell r="D18" t="str">
            <v/>
          </cell>
          <cell r="E18" t="str">
            <v/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 t="str">
            <v/>
          </cell>
          <cell r="P18" t="str">
            <v/>
          </cell>
          <cell r="Q18" t="str">
            <v/>
          </cell>
          <cell r="R18" t="str">
            <v/>
          </cell>
          <cell r="S18" t="str">
            <v/>
          </cell>
        </row>
        <row r="19">
          <cell r="A19">
            <v>6</v>
          </cell>
          <cell r="B19">
            <v>0</v>
          </cell>
          <cell r="C19">
            <v>0</v>
          </cell>
          <cell r="D19" t="str">
            <v/>
          </cell>
          <cell r="E19" t="str">
            <v/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 t="str">
            <v/>
          </cell>
          <cell r="P19" t="str">
            <v/>
          </cell>
          <cell r="Q19" t="str">
            <v/>
          </cell>
          <cell r="R19" t="str">
            <v/>
          </cell>
          <cell r="S19" t="str">
            <v/>
          </cell>
        </row>
        <row r="20">
          <cell r="A20">
            <v>7</v>
          </cell>
          <cell r="B20">
            <v>0</v>
          </cell>
          <cell r="C20">
            <v>0</v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str">
            <v/>
          </cell>
          <cell r="P20" t="str">
            <v/>
          </cell>
          <cell r="Q20" t="str">
            <v/>
          </cell>
          <cell r="R20" t="str">
            <v/>
          </cell>
          <cell r="S20" t="str">
            <v/>
          </cell>
        </row>
        <row r="21">
          <cell r="A21">
            <v>8</v>
          </cell>
          <cell r="B21">
            <v>0</v>
          </cell>
          <cell r="C21">
            <v>0</v>
          </cell>
          <cell r="D21" t="str">
            <v/>
          </cell>
          <cell r="E21" t="str">
            <v/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</row>
        <row r="22">
          <cell r="A22">
            <v>9</v>
          </cell>
          <cell r="B22">
            <v>0</v>
          </cell>
          <cell r="C22">
            <v>0</v>
          </cell>
          <cell r="D22" t="str">
            <v/>
          </cell>
          <cell r="E22" t="str">
            <v/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 t="str">
            <v/>
          </cell>
          <cell r="P22" t="str">
            <v/>
          </cell>
          <cell r="Q22" t="str">
            <v/>
          </cell>
          <cell r="R22" t="str">
            <v/>
          </cell>
          <cell r="S22" t="str">
            <v/>
          </cell>
        </row>
        <row r="23">
          <cell r="A23">
            <v>10</v>
          </cell>
          <cell r="B23">
            <v>0</v>
          </cell>
          <cell r="C23">
            <v>0</v>
          </cell>
          <cell r="D23" t="str">
            <v/>
          </cell>
          <cell r="E23" t="str">
            <v/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 t="str">
            <v/>
          </cell>
          <cell r="P23" t="str">
            <v/>
          </cell>
          <cell r="Q23" t="str">
            <v/>
          </cell>
          <cell r="R23" t="str">
            <v/>
          </cell>
          <cell r="S23" t="str">
            <v/>
          </cell>
        </row>
        <row r="24">
          <cell r="A24">
            <v>11</v>
          </cell>
          <cell r="B24">
            <v>0</v>
          </cell>
          <cell r="C24">
            <v>0</v>
          </cell>
          <cell r="D24" t="str">
            <v/>
          </cell>
          <cell r="E24" t="str">
            <v/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 t="str">
            <v/>
          </cell>
          <cell r="P24" t="str">
            <v/>
          </cell>
          <cell r="Q24" t="str">
            <v/>
          </cell>
          <cell r="R24" t="str">
            <v/>
          </cell>
          <cell r="S24" t="str">
            <v/>
          </cell>
        </row>
        <row r="25">
          <cell r="A25">
            <v>12</v>
          </cell>
          <cell r="B25">
            <v>0</v>
          </cell>
          <cell r="C25">
            <v>0</v>
          </cell>
          <cell r="D25" t="str">
            <v/>
          </cell>
          <cell r="E25" t="str">
            <v/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 t="str">
            <v/>
          </cell>
          <cell r="P25" t="str">
            <v/>
          </cell>
          <cell r="Q25" t="str">
            <v/>
          </cell>
          <cell r="R25" t="str">
            <v/>
          </cell>
          <cell r="S25" t="str">
            <v/>
          </cell>
        </row>
        <row r="26">
          <cell r="A26">
            <v>13</v>
          </cell>
          <cell r="B26">
            <v>0</v>
          </cell>
          <cell r="C26">
            <v>0</v>
          </cell>
          <cell r="D26" t="str">
            <v/>
          </cell>
          <cell r="E26" t="str">
            <v/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 t="str">
            <v/>
          </cell>
          <cell r="P26" t="str">
            <v/>
          </cell>
          <cell r="Q26" t="str">
            <v/>
          </cell>
          <cell r="R26" t="str">
            <v/>
          </cell>
          <cell r="S26" t="str">
            <v/>
          </cell>
        </row>
        <row r="27">
          <cell r="A27">
            <v>14</v>
          </cell>
          <cell r="B27">
            <v>0</v>
          </cell>
          <cell r="C27">
            <v>0</v>
          </cell>
          <cell r="D27" t="str">
            <v/>
          </cell>
          <cell r="E27" t="str">
            <v/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 t="str">
            <v/>
          </cell>
          <cell r="P27" t="str">
            <v/>
          </cell>
          <cell r="Q27" t="str">
            <v/>
          </cell>
          <cell r="R27" t="str">
            <v/>
          </cell>
          <cell r="S27" t="str">
            <v/>
          </cell>
        </row>
        <row r="28">
          <cell r="A28">
            <v>15</v>
          </cell>
          <cell r="B28">
            <v>0</v>
          </cell>
          <cell r="C28">
            <v>0</v>
          </cell>
          <cell r="D28" t="str">
            <v/>
          </cell>
          <cell r="E28" t="str">
            <v/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 t="str">
            <v/>
          </cell>
          <cell r="P28" t="str">
            <v/>
          </cell>
          <cell r="Q28" t="str">
            <v/>
          </cell>
          <cell r="R28" t="str">
            <v/>
          </cell>
          <cell r="S28" t="str">
            <v/>
          </cell>
        </row>
        <row r="29">
          <cell r="A29">
            <v>16</v>
          </cell>
          <cell r="B29">
            <v>0</v>
          </cell>
          <cell r="C29">
            <v>0</v>
          </cell>
          <cell r="D29" t="str">
            <v/>
          </cell>
          <cell r="E29" t="str">
            <v/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 t="str">
            <v/>
          </cell>
          <cell r="P29" t="str">
            <v/>
          </cell>
          <cell r="Q29" t="str">
            <v/>
          </cell>
          <cell r="R29" t="str">
            <v/>
          </cell>
          <cell r="S29" t="str">
            <v/>
          </cell>
        </row>
        <row r="30">
          <cell r="A30">
            <v>17</v>
          </cell>
          <cell r="B30">
            <v>0</v>
          </cell>
          <cell r="C30">
            <v>0</v>
          </cell>
          <cell r="D30" t="str">
            <v/>
          </cell>
          <cell r="E30" t="str">
            <v/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 t="str">
            <v/>
          </cell>
          <cell r="P30" t="str">
            <v/>
          </cell>
          <cell r="Q30" t="str">
            <v/>
          </cell>
          <cell r="R30" t="str">
            <v/>
          </cell>
          <cell r="S30" t="str">
            <v/>
          </cell>
        </row>
        <row r="31">
          <cell r="A31">
            <v>18</v>
          </cell>
          <cell r="B31">
            <v>0</v>
          </cell>
          <cell r="C31">
            <v>0</v>
          </cell>
          <cell r="D31" t="str">
            <v/>
          </cell>
          <cell r="E31" t="str">
            <v/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 t="str">
            <v/>
          </cell>
          <cell r="P31" t="str">
            <v/>
          </cell>
          <cell r="Q31" t="str">
            <v/>
          </cell>
          <cell r="R31" t="str">
            <v/>
          </cell>
          <cell r="S31" t="str">
            <v/>
          </cell>
        </row>
        <row r="32">
          <cell r="A32">
            <v>19</v>
          </cell>
          <cell r="B32">
            <v>0</v>
          </cell>
          <cell r="C32">
            <v>0</v>
          </cell>
          <cell r="D32" t="str">
            <v/>
          </cell>
          <cell r="E32" t="str">
            <v/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 t="str">
            <v/>
          </cell>
          <cell r="P32" t="str">
            <v/>
          </cell>
          <cell r="Q32" t="str">
            <v/>
          </cell>
          <cell r="R32" t="str">
            <v/>
          </cell>
          <cell r="S32" t="str">
            <v/>
          </cell>
        </row>
        <row r="33">
          <cell r="A33">
            <v>20</v>
          </cell>
          <cell r="B33">
            <v>0</v>
          </cell>
          <cell r="C33">
            <v>0</v>
          </cell>
          <cell r="D33" t="str">
            <v/>
          </cell>
          <cell r="E33" t="str">
            <v/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 t="str">
            <v/>
          </cell>
          <cell r="P33" t="str">
            <v/>
          </cell>
          <cell r="Q33" t="str">
            <v/>
          </cell>
          <cell r="R33" t="str">
            <v/>
          </cell>
          <cell r="S33" t="str">
            <v/>
          </cell>
        </row>
        <row r="34">
          <cell r="A34">
            <v>21</v>
          </cell>
          <cell r="B34">
            <v>0</v>
          </cell>
          <cell r="C34">
            <v>0</v>
          </cell>
          <cell r="D34" t="str">
            <v/>
          </cell>
          <cell r="E34" t="str">
            <v/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 t="str">
            <v/>
          </cell>
          <cell r="P34" t="str">
            <v/>
          </cell>
          <cell r="Q34" t="str">
            <v/>
          </cell>
          <cell r="R34" t="str">
            <v/>
          </cell>
          <cell r="S34" t="str">
            <v/>
          </cell>
        </row>
        <row r="35">
          <cell r="A35">
            <v>22</v>
          </cell>
          <cell r="B35">
            <v>0</v>
          </cell>
          <cell r="C35">
            <v>0</v>
          </cell>
          <cell r="D35" t="str">
            <v/>
          </cell>
          <cell r="E35" t="str">
            <v/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 t="str">
            <v/>
          </cell>
          <cell r="P35" t="str">
            <v/>
          </cell>
          <cell r="Q35" t="str">
            <v/>
          </cell>
          <cell r="R35" t="str">
            <v/>
          </cell>
          <cell r="S35" t="str">
            <v/>
          </cell>
        </row>
        <row r="36">
          <cell r="A36">
            <v>23</v>
          </cell>
          <cell r="B36">
            <v>0</v>
          </cell>
          <cell r="C36">
            <v>0</v>
          </cell>
          <cell r="D36" t="str">
            <v/>
          </cell>
          <cell r="E36" t="str">
            <v/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 t="str">
            <v/>
          </cell>
          <cell r="P36" t="str">
            <v/>
          </cell>
          <cell r="Q36" t="str">
            <v/>
          </cell>
          <cell r="R36" t="str">
            <v/>
          </cell>
          <cell r="S36" t="str">
            <v/>
          </cell>
        </row>
        <row r="37">
          <cell r="A37">
            <v>24</v>
          </cell>
          <cell r="B37">
            <v>0</v>
          </cell>
          <cell r="C37">
            <v>0</v>
          </cell>
          <cell r="D37" t="str">
            <v/>
          </cell>
          <cell r="E37" t="str">
            <v/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 t="str">
            <v/>
          </cell>
          <cell r="P37" t="str">
            <v/>
          </cell>
          <cell r="Q37" t="str">
            <v/>
          </cell>
          <cell r="R37" t="str">
            <v/>
          </cell>
          <cell r="S37" t="str">
            <v/>
          </cell>
        </row>
        <row r="38">
          <cell r="A38">
            <v>25</v>
          </cell>
          <cell r="B38">
            <v>0</v>
          </cell>
          <cell r="C38">
            <v>0</v>
          </cell>
          <cell r="D38" t="str">
            <v/>
          </cell>
          <cell r="E38" t="str">
            <v/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 t="str">
            <v/>
          </cell>
          <cell r="P38" t="str">
            <v/>
          </cell>
          <cell r="Q38" t="str">
            <v/>
          </cell>
          <cell r="R38" t="str">
            <v/>
          </cell>
          <cell r="S38" t="str">
            <v/>
          </cell>
        </row>
        <row r="39">
          <cell r="A39">
            <v>26</v>
          </cell>
          <cell r="B39">
            <v>0</v>
          </cell>
          <cell r="C39">
            <v>0</v>
          </cell>
          <cell r="D39" t="str">
            <v/>
          </cell>
          <cell r="E39" t="str">
            <v/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 t="str">
            <v/>
          </cell>
          <cell r="P39" t="str">
            <v/>
          </cell>
          <cell r="Q39" t="str">
            <v/>
          </cell>
          <cell r="R39" t="str">
            <v/>
          </cell>
          <cell r="S39" t="str">
            <v/>
          </cell>
        </row>
        <row r="40">
          <cell r="A40">
            <v>27</v>
          </cell>
          <cell r="B40">
            <v>0</v>
          </cell>
          <cell r="C40">
            <v>0</v>
          </cell>
          <cell r="D40" t="str">
            <v/>
          </cell>
          <cell r="E40" t="str">
            <v/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 t="str">
            <v/>
          </cell>
          <cell r="P40" t="str">
            <v/>
          </cell>
          <cell r="Q40" t="str">
            <v/>
          </cell>
          <cell r="R40" t="str">
            <v/>
          </cell>
          <cell r="S40" t="str">
            <v/>
          </cell>
        </row>
        <row r="41">
          <cell r="A41">
            <v>28</v>
          </cell>
          <cell r="B41">
            <v>0</v>
          </cell>
          <cell r="C41">
            <v>0</v>
          </cell>
          <cell r="D41" t="str">
            <v/>
          </cell>
          <cell r="E41" t="str">
            <v/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 t="str">
            <v/>
          </cell>
          <cell r="P41" t="str">
            <v/>
          </cell>
          <cell r="Q41" t="str">
            <v/>
          </cell>
          <cell r="R41" t="str">
            <v/>
          </cell>
          <cell r="S41" t="str">
            <v/>
          </cell>
        </row>
        <row r="42">
          <cell r="A42">
            <v>29</v>
          </cell>
          <cell r="B42">
            <v>0</v>
          </cell>
          <cell r="C42">
            <v>0</v>
          </cell>
          <cell r="D42" t="str">
            <v/>
          </cell>
          <cell r="E42" t="str">
            <v/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 t="str">
            <v/>
          </cell>
          <cell r="P42" t="str">
            <v/>
          </cell>
          <cell r="Q42" t="str">
            <v/>
          </cell>
          <cell r="R42" t="str">
            <v/>
          </cell>
          <cell r="S42" t="str">
            <v/>
          </cell>
        </row>
        <row r="43">
          <cell r="A43">
            <v>30</v>
          </cell>
          <cell r="B43">
            <v>0</v>
          </cell>
          <cell r="C43">
            <v>0</v>
          </cell>
          <cell r="D43" t="str">
            <v/>
          </cell>
          <cell r="E43" t="str">
            <v/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 t="str">
            <v/>
          </cell>
          <cell r="P43" t="str">
            <v/>
          </cell>
          <cell r="Q43" t="str">
            <v/>
          </cell>
          <cell r="R43" t="str">
            <v/>
          </cell>
          <cell r="S43" t="str">
            <v/>
          </cell>
        </row>
        <row r="44">
          <cell r="A44">
            <v>31</v>
          </cell>
          <cell r="B44">
            <v>0</v>
          </cell>
          <cell r="C44">
            <v>0</v>
          </cell>
          <cell r="D44" t="str">
            <v/>
          </cell>
          <cell r="E44" t="str">
            <v/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 t="str">
            <v/>
          </cell>
          <cell r="P44" t="str">
            <v/>
          </cell>
          <cell r="Q44" t="str">
            <v/>
          </cell>
          <cell r="R44" t="str">
            <v/>
          </cell>
          <cell r="S44" t="str">
            <v/>
          </cell>
        </row>
        <row r="45">
          <cell r="A45">
            <v>32</v>
          </cell>
          <cell r="B45">
            <v>0</v>
          </cell>
          <cell r="C45">
            <v>0</v>
          </cell>
          <cell r="D45" t="str">
            <v/>
          </cell>
          <cell r="E45" t="str">
            <v/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 t="str">
            <v/>
          </cell>
          <cell r="P45" t="str">
            <v/>
          </cell>
          <cell r="Q45" t="str">
            <v/>
          </cell>
          <cell r="R45" t="str">
            <v/>
          </cell>
          <cell r="S45" t="str">
            <v/>
          </cell>
        </row>
        <row r="46">
          <cell r="A46">
            <v>33</v>
          </cell>
          <cell r="B46">
            <v>0</v>
          </cell>
          <cell r="C46">
            <v>0</v>
          </cell>
          <cell r="D46" t="str">
            <v/>
          </cell>
          <cell r="E46" t="str">
            <v/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 t="str">
            <v/>
          </cell>
          <cell r="P46" t="str">
            <v/>
          </cell>
          <cell r="Q46" t="str">
            <v/>
          </cell>
          <cell r="R46" t="str">
            <v/>
          </cell>
          <cell r="S46" t="str">
            <v/>
          </cell>
        </row>
        <row r="47">
          <cell r="A47">
            <v>34</v>
          </cell>
          <cell r="B47">
            <v>0</v>
          </cell>
          <cell r="C47">
            <v>0</v>
          </cell>
          <cell r="D47" t="str">
            <v/>
          </cell>
          <cell r="E47" t="str">
            <v/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 t="str">
            <v/>
          </cell>
          <cell r="P47" t="str">
            <v/>
          </cell>
          <cell r="Q47" t="str">
            <v/>
          </cell>
          <cell r="R47" t="str">
            <v/>
          </cell>
          <cell r="S47" t="str">
            <v/>
          </cell>
        </row>
        <row r="48">
          <cell r="A48">
            <v>35</v>
          </cell>
          <cell r="B48">
            <v>0</v>
          </cell>
          <cell r="C48">
            <v>0</v>
          </cell>
          <cell r="D48" t="str">
            <v/>
          </cell>
          <cell r="E48" t="str">
            <v/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 t="str">
            <v/>
          </cell>
          <cell r="P48" t="str">
            <v/>
          </cell>
          <cell r="Q48" t="str">
            <v/>
          </cell>
          <cell r="R48" t="str">
            <v/>
          </cell>
          <cell r="S48" t="str">
            <v/>
          </cell>
        </row>
        <row r="49">
          <cell r="A49">
            <v>36</v>
          </cell>
          <cell r="B49">
            <v>0</v>
          </cell>
          <cell r="C49">
            <v>0</v>
          </cell>
          <cell r="D49" t="str">
            <v/>
          </cell>
          <cell r="E49" t="str">
            <v/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 t="str">
            <v/>
          </cell>
          <cell r="P49" t="str">
            <v/>
          </cell>
          <cell r="Q49" t="str">
            <v/>
          </cell>
          <cell r="R49" t="str">
            <v/>
          </cell>
          <cell r="S49" t="str">
            <v/>
          </cell>
        </row>
        <row r="50">
          <cell r="A50">
            <v>37</v>
          </cell>
          <cell r="B50">
            <v>0</v>
          </cell>
          <cell r="C50">
            <v>0</v>
          </cell>
          <cell r="D50" t="str">
            <v/>
          </cell>
          <cell r="E50" t="str">
            <v/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 t="str">
            <v/>
          </cell>
          <cell r="P50" t="str">
            <v/>
          </cell>
          <cell r="Q50" t="str">
            <v/>
          </cell>
          <cell r="R50" t="str">
            <v/>
          </cell>
          <cell r="S50" t="str">
            <v/>
          </cell>
        </row>
        <row r="51">
          <cell r="A51">
            <v>38</v>
          </cell>
          <cell r="B51">
            <v>0</v>
          </cell>
          <cell r="C51">
            <v>0</v>
          </cell>
          <cell r="D51" t="str">
            <v/>
          </cell>
          <cell r="E51" t="str">
            <v/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 t="str">
            <v/>
          </cell>
          <cell r="P51" t="str">
            <v/>
          </cell>
          <cell r="Q51" t="str">
            <v/>
          </cell>
          <cell r="R51" t="str">
            <v/>
          </cell>
          <cell r="S51" t="str">
            <v/>
          </cell>
        </row>
        <row r="52">
          <cell r="A52">
            <v>39</v>
          </cell>
          <cell r="B52">
            <v>0</v>
          </cell>
          <cell r="C52">
            <v>0</v>
          </cell>
          <cell r="D52" t="str">
            <v/>
          </cell>
          <cell r="E52" t="str">
            <v/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 t="str">
            <v/>
          </cell>
          <cell r="P52" t="str">
            <v/>
          </cell>
          <cell r="Q52" t="str">
            <v/>
          </cell>
          <cell r="R52" t="str">
            <v/>
          </cell>
          <cell r="S52" t="str">
            <v/>
          </cell>
        </row>
        <row r="53">
          <cell r="A53">
            <v>40</v>
          </cell>
          <cell r="B53">
            <v>0</v>
          </cell>
          <cell r="C53">
            <v>0</v>
          </cell>
          <cell r="D53" t="str">
            <v/>
          </cell>
          <cell r="E53" t="str">
            <v/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 t="str">
            <v/>
          </cell>
          <cell r="P53" t="str">
            <v/>
          </cell>
          <cell r="Q53" t="str">
            <v/>
          </cell>
          <cell r="R53" t="str">
            <v/>
          </cell>
          <cell r="S53" t="str">
            <v/>
          </cell>
        </row>
        <row r="54">
          <cell r="A54">
            <v>41</v>
          </cell>
          <cell r="B54">
            <v>0</v>
          </cell>
          <cell r="C54">
            <v>0</v>
          </cell>
          <cell r="D54" t="str">
            <v/>
          </cell>
          <cell r="E54" t="str">
            <v/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  <cell r="P54" t="str">
            <v/>
          </cell>
          <cell r="Q54" t="str">
            <v/>
          </cell>
          <cell r="R54" t="str">
            <v/>
          </cell>
          <cell r="S54" t="str">
            <v/>
          </cell>
        </row>
        <row r="55">
          <cell r="A55">
            <v>42</v>
          </cell>
          <cell r="B55">
            <v>0</v>
          </cell>
          <cell r="C55">
            <v>0</v>
          </cell>
          <cell r="D55" t="str">
            <v/>
          </cell>
          <cell r="E55" t="str">
            <v/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 t="str">
            <v/>
          </cell>
          <cell r="P55" t="str">
            <v/>
          </cell>
          <cell r="Q55" t="str">
            <v/>
          </cell>
          <cell r="R55" t="str">
            <v/>
          </cell>
          <cell r="S55" t="str">
            <v/>
          </cell>
        </row>
        <row r="56">
          <cell r="A56">
            <v>43</v>
          </cell>
          <cell r="B56">
            <v>0</v>
          </cell>
          <cell r="C56">
            <v>0</v>
          </cell>
          <cell r="D56" t="str">
            <v/>
          </cell>
          <cell r="E56" t="str">
            <v/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 t="str">
            <v/>
          </cell>
          <cell r="P56" t="str">
            <v/>
          </cell>
          <cell r="Q56" t="str">
            <v/>
          </cell>
          <cell r="R56" t="str">
            <v/>
          </cell>
          <cell r="S56" t="str">
            <v/>
          </cell>
        </row>
        <row r="57">
          <cell r="A57">
            <v>44</v>
          </cell>
          <cell r="B57">
            <v>0</v>
          </cell>
          <cell r="C57">
            <v>0</v>
          </cell>
          <cell r="D57" t="str">
            <v/>
          </cell>
          <cell r="E57" t="str">
            <v/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 t="str">
            <v/>
          </cell>
          <cell r="P57" t="str">
            <v/>
          </cell>
          <cell r="Q57" t="str">
            <v/>
          </cell>
          <cell r="R57" t="str">
            <v/>
          </cell>
          <cell r="S57" t="str">
            <v/>
          </cell>
        </row>
        <row r="58">
          <cell r="A58">
            <v>45</v>
          </cell>
          <cell r="B58">
            <v>0</v>
          </cell>
          <cell r="C58">
            <v>0</v>
          </cell>
          <cell r="D58" t="str">
            <v/>
          </cell>
          <cell r="E58" t="str">
            <v/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 t="str">
            <v/>
          </cell>
          <cell r="P58" t="str">
            <v/>
          </cell>
          <cell r="Q58" t="str">
            <v/>
          </cell>
          <cell r="R58" t="str">
            <v/>
          </cell>
          <cell r="S58" t="str">
            <v/>
          </cell>
        </row>
        <row r="59">
          <cell r="A59">
            <v>46</v>
          </cell>
          <cell r="B59">
            <v>0</v>
          </cell>
          <cell r="C59">
            <v>0</v>
          </cell>
          <cell r="D59" t="str">
            <v/>
          </cell>
          <cell r="E59" t="str">
            <v/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 t="str">
            <v/>
          </cell>
          <cell r="P59" t="str">
            <v/>
          </cell>
          <cell r="Q59" t="str">
            <v/>
          </cell>
          <cell r="R59" t="str">
            <v/>
          </cell>
          <cell r="S59" t="str">
            <v/>
          </cell>
        </row>
        <row r="60">
          <cell r="A60">
            <v>47</v>
          </cell>
          <cell r="B60">
            <v>0</v>
          </cell>
          <cell r="C60">
            <v>0</v>
          </cell>
          <cell r="D60" t="str">
            <v/>
          </cell>
          <cell r="E60" t="str">
            <v/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 t="str">
            <v/>
          </cell>
          <cell r="P60" t="str">
            <v/>
          </cell>
          <cell r="Q60" t="str">
            <v/>
          </cell>
          <cell r="R60" t="str">
            <v/>
          </cell>
          <cell r="S60" t="str">
            <v/>
          </cell>
        </row>
        <row r="61">
          <cell r="A61">
            <v>48</v>
          </cell>
          <cell r="B61">
            <v>0</v>
          </cell>
          <cell r="C61">
            <v>0</v>
          </cell>
          <cell r="D61" t="str">
            <v/>
          </cell>
          <cell r="E61" t="str">
            <v/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 t="str">
            <v/>
          </cell>
          <cell r="P61" t="str">
            <v/>
          </cell>
          <cell r="Q61" t="str">
            <v/>
          </cell>
          <cell r="R61" t="str">
            <v/>
          </cell>
          <cell r="S61" t="str">
            <v/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66"/>
  <sheetViews>
    <sheetView showGridLines="0" showRowColHeaders="0" tabSelected="1" topLeftCell="A17" zoomScale="90" zoomScaleNormal="90" workbookViewId="0"/>
  </sheetViews>
  <sheetFormatPr defaultColWidth="0" defaultRowHeight="0" customHeight="1" zeroHeight="1"/>
  <cols>
    <col min="1" max="1" width="3.140625" style="60" customWidth="1"/>
    <col min="2" max="2" width="17.85546875" style="60" customWidth="1"/>
    <col min="3" max="3" width="1.7109375" style="60" bestFit="1" customWidth="1"/>
    <col min="4" max="4" width="9" style="60" customWidth="1"/>
    <col min="5" max="5" width="34" style="60" customWidth="1"/>
    <col min="6" max="6" width="3.5703125" style="62" customWidth="1"/>
    <col min="7" max="7" width="4" style="60" customWidth="1"/>
    <col min="8" max="8" width="13.42578125" style="60" customWidth="1"/>
    <col min="9" max="10" width="9.140625" style="60" customWidth="1"/>
    <col min="11" max="11" width="14.140625" style="60" customWidth="1"/>
    <col min="12" max="12" width="4.5703125" style="60" customWidth="1"/>
    <col min="13" max="13" width="9.140625" style="60" customWidth="1"/>
    <col min="14" max="14" width="3.7109375" style="60" customWidth="1"/>
    <col min="15" max="21" width="9.140625" style="60" customWidth="1"/>
    <col min="22" max="16384" width="9.140625" style="62" hidden="1"/>
  </cols>
  <sheetData>
    <row r="1" spans="1:21" ht="72.75">
      <c r="A1" s="118"/>
      <c r="B1" s="116"/>
      <c r="C1" s="116"/>
      <c r="D1" s="117"/>
      <c r="E1" s="202" t="s">
        <v>92</v>
      </c>
      <c r="F1" s="202"/>
      <c r="G1" s="202"/>
      <c r="H1" s="202"/>
      <c r="I1" s="202"/>
      <c r="J1" s="202"/>
      <c r="K1" s="202"/>
      <c r="L1" s="202"/>
      <c r="M1" s="202"/>
      <c r="N1" s="202"/>
      <c r="O1" s="202"/>
      <c r="P1" s="202"/>
      <c r="Q1" s="202"/>
      <c r="R1" s="202"/>
      <c r="S1" s="202"/>
      <c r="T1" s="202"/>
      <c r="U1" s="202"/>
    </row>
    <row r="2" spans="1:21" ht="39" customHeight="1">
      <c r="A2" s="118"/>
      <c r="B2" s="118"/>
      <c r="C2" s="118"/>
      <c r="D2" s="119"/>
      <c r="E2" s="203" t="s">
        <v>396</v>
      </c>
      <c r="F2" s="203"/>
      <c r="G2" s="203"/>
      <c r="H2" s="203"/>
      <c r="I2" s="203"/>
      <c r="J2" s="203"/>
      <c r="K2" s="203"/>
      <c r="L2" s="203"/>
      <c r="M2" s="203"/>
      <c r="N2" s="203"/>
      <c r="O2" s="203"/>
      <c r="P2" s="203"/>
      <c r="Q2" s="203"/>
      <c r="R2" s="203"/>
      <c r="S2" s="203"/>
      <c r="T2" s="203"/>
      <c r="U2" s="203"/>
    </row>
    <row r="3" spans="1:21" ht="31.5" customHeight="1">
      <c r="A3" s="118"/>
      <c r="B3" s="118"/>
      <c r="C3" s="118"/>
      <c r="D3" s="119"/>
      <c r="E3" s="204" t="s">
        <v>404</v>
      </c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</row>
    <row r="4" spans="1:21" ht="5.25" customHeight="1">
      <c r="A4" s="118"/>
      <c r="B4" s="118"/>
      <c r="C4" s="118"/>
      <c r="D4" s="119"/>
      <c r="E4" s="204"/>
      <c r="F4" s="204"/>
      <c r="G4" s="204"/>
      <c r="H4" s="204"/>
      <c r="I4" s="204"/>
      <c r="J4" s="204"/>
      <c r="K4" s="204"/>
      <c r="L4" s="204"/>
      <c r="M4" s="204"/>
      <c r="N4" s="204"/>
      <c r="O4" s="204"/>
      <c r="P4" s="204"/>
      <c r="Q4" s="204"/>
      <c r="R4" s="204"/>
      <c r="S4" s="204"/>
      <c r="T4" s="204"/>
      <c r="U4" s="204"/>
    </row>
    <row r="5" spans="1:21" s="115" customFormat="1" ht="33" customHeight="1" thickBot="1">
      <c r="A5" s="149"/>
      <c r="B5" s="150"/>
      <c r="C5" s="150"/>
      <c r="D5" s="151"/>
      <c r="E5" s="151"/>
      <c r="F5" s="152"/>
      <c r="G5" s="152"/>
      <c r="H5" s="153"/>
      <c r="I5" s="153"/>
      <c r="J5" s="153"/>
      <c r="K5" s="153"/>
      <c r="L5" s="153"/>
      <c r="M5" s="153"/>
      <c r="N5" s="154"/>
      <c r="O5" s="149"/>
      <c r="P5" s="149"/>
      <c r="Q5" s="154"/>
      <c r="R5" s="154"/>
      <c r="S5" s="154"/>
      <c r="T5" s="154"/>
      <c r="U5" s="154"/>
    </row>
    <row r="6" spans="1:21" s="115" customFormat="1" ht="10.5" customHeight="1">
      <c r="A6" s="154"/>
      <c r="B6" s="227" t="s">
        <v>323</v>
      </c>
      <c r="C6" s="228"/>
      <c r="D6" s="228"/>
      <c r="E6" s="229"/>
      <c r="F6" s="153"/>
      <c r="G6" s="153"/>
      <c r="H6" s="153"/>
      <c r="I6" s="153"/>
      <c r="J6" s="153"/>
      <c r="K6" s="153"/>
      <c r="L6" s="153"/>
      <c r="M6" s="153"/>
      <c r="N6" s="153"/>
      <c r="O6" s="153"/>
      <c r="P6" s="149"/>
      <c r="Q6" s="154"/>
      <c r="R6" s="154"/>
      <c r="S6" s="154"/>
      <c r="T6" s="154"/>
      <c r="U6" s="154"/>
    </row>
    <row r="7" spans="1:21" s="115" customFormat="1" ht="20.25" customHeight="1">
      <c r="A7" s="155"/>
      <c r="B7" s="230"/>
      <c r="C7" s="231"/>
      <c r="D7" s="231"/>
      <c r="E7" s="232"/>
      <c r="F7" s="156"/>
      <c r="G7" s="157"/>
      <c r="H7" s="206"/>
      <c r="I7" s="206"/>
      <c r="J7" s="206"/>
      <c r="K7" s="206"/>
      <c r="L7" s="206"/>
      <c r="M7" s="206"/>
      <c r="N7" s="158"/>
      <c r="O7" s="158"/>
      <c r="P7" s="149"/>
      <c r="Q7" s="154"/>
      <c r="R7" s="154"/>
      <c r="S7" s="154"/>
      <c r="T7" s="154"/>
      <c r="U7" s="154"/>
    </row>
    <row r="8" spans="1:21" s="115" customFormat="1" ht="20.25" customHeight="1">
      <c r="A8" s="155"/>
      <c r="B8" s="230"/>
      <c r="C8" s="231"/>
      <c r="D8" s="231"/>
      <c r="E8" s="232"/>
      <c r="F8" s="156"/>
      <c r="G8" s="157"/>
      <c r="H8" s="153"/>
      <c r="I8" s="153"/>
      <c r="J8" s="153"/>
      <c r="K8" s="153"/>
      <c r="L8" s="153"/>
      <c r="M8" s="153"/>
      <c r="N8" s="158"/>
      <c r="O8" s="149"/>
      <c r="P8" s="158"/>
      <c r="Q8" s="154"/>
      <c r="R8" s="154"/>
      <c r="S8" s="154"/>
      <c r="T8" s="154"/>
      <c r="U8" s="154"/>
    </row>
    <row r="9" spans="1:21" s="115" customFormat="1" ht="20.25" customHeight="1">
      <c r="A9" s="154"/>
      <c r="B9" s="230"/>
      <c r="C9" s="231"/>
      <c r="D9" s="231"/>
      <c r="E9" s="232"/>
      <c r="F9" s="159"/>
      <c r="G9" s="153"/>
      <c r="H9" s="153"/>
      <c r="I9" s="153"/>
      <c r="J9" s="153"/>
      <c r="K9" s="153"/>
      <c r="L9" s="153"/>
      <c r="M9" s="153"/>
      <c r="N9" s="158"/>
      <c r="O9" s="158"/>
      <c r="P9" s="149"/>
      <c r="Q9" s="154"/>
      <c r="R9" s="154"/>
      <c r="S9" s="154"/>
      <c r="T9" s="154"/>
      <c r="U9" s="154"/>
    </row>
    <row r="10" spans="1:21" s="115" customFormat="1" ht="20.25" customHeight="1">
      <c r="A10" s="154"/>
      <c r="B10" s="230"/>
      <c r="C10" s="231"/>
      <c r="D10" s="231"/>
      <c r="E10" s="232"/>
      <c r="F10" s="159"/>
      <c r="G10" s="153"/>
      <c r="H10" s="153"/>
      <c r="I10" s="153"/>
      <c r="J10" s="153"/>
      <c r="K10" s="153"/>
      <c r="L10" s="153"/>
      <c r="M10" s="153"/>
      <c r="N10" s="158"/>
      <c r="O10" s="158"/>
      <c r="P10" s="149"/>
      <c r="Q10" s="154"/>
      <c r="R10" s="154"/>
      <c r="S10" s="154"/>
      <c r="T10" s="154"/>
      <c r="U10" s="154"/>
    </row>
    <row r="11" spans="1:21" ht="20.25" customHeight="1" thickBot="1">
      <c r="A11" s="154"/>
      <c r="B11" s="233"/>
      <c r="C11" s="234"/>
      <c r="D11" s="234"/>
      <c r="E11" s="235"/>
      <c r="F11" s="160"/>
      <c r="G11" s="153"/>
      <c r="H11" s="153"/>
      <c r="I11" s="153"/>
      <c r="J11" s="153"/>
      <c r="K11" s="153"/>
      <c r="L11" s="153"/>
      <c r="M11" s="153"/>
      <c r="N11" s="158"/>
      <c r="O11" s="158"/>
      <c r="P11" s="149"/>
      <c r="Q11" s="154"/>
      <c r="R11" s="154"/>
      <c r="S11" s="154"/>
      <c r="T11" s="154"/>
      <c r="U11" s="154"/>
    </row>
    <row r="12" spans="1:21" ht="20.25" customHeight="1" thickBot="1">
      <c r="A12" s="154"/>
      <c r="B12" s="154"/>
      <c r="C12" s="154"/>
      <c r="D12" s="154"/>
      <c r="E12" s="154"/>
      <c r="F12" s="149"/>
      <c r="G12" s="153"/>
      <c r="H12" s="153"/>
      <c r="I12" s="153"/>
      <c r="J12" s="153"/>
      <c r="K12" s="153"/>
      <c r="L12" s="153"/>
      <c r="M12" s="153"/>
      <c r="N12" s="158"/>
      <c r="O12" s="161"/>
      <c r="P12" s="161"/>
      <c r="Q12" s="161"/>
      <c r="R12" s="161"/>
      <c r="S12" s="161"/>
      <c r="T12" s="161"/>
      <c r="U12" s="161"/>
    </row>
    <row r="13" spans="1:21" ht="20.25" customHeight="1">
      <c r="A13" s="154"/>
      <c r="B13" s="199" t="s">
        <v>95</v>
      </c>
      <c r="C13" s="176" t="s">
        <v>0</v>
      </c>
      <c r="D13" s="177" t="s">
        <v>400</v>
      </c>
      <c r="E13" s="178"/>
      <c r="F13" s="162"/>
      <c r="G13" s="153"/>
      <c r="H13" s="153"/>
      <c r="I13" s="153"/>
      <c r="J13" s="153"/>
      <c r="K13" s="153"/>
      <c r="L13" s="153"/>
      <c r="M13" s="153"/>
      <c r="N13" s="158"/>
      <c r="O13" s="161"/>
      <c r="P13" s="161"/>
      <c r="Q13" s="161"/>
      <c r="R13" s="161"/>
      <c r="S13" s="161"/>
      <c r="T13" s="161"/>
      <c r="U13" s="161"/>
    </row>
    <row r="14" spans="1:21" ht="20.25" customHeight="1">
      <c r="A14" s="154"/>
      <c r="B14" s="200" t="s">
        <v>93</v>
      </c>
      <c r="C14" s="179" t="s">
        <v>0</v>
      </c>
      <c r="D14" s="180"/>
      <c r="E14" s="181"/>
      <c r="F14" s="163"/>
      <c r="G14" s="153"/>
      <c r="H14" s="153"/>
      <c r="I14" s="153"/>
      <c r="J14" s="153"/>
      <c r="K14" s="153"/>
      <c r="L14" s="153"/>
      <c r="M14" s="153"/>
      <c r="N14" s="158"/>
      <c r="O14" s="161"/>
      <c r="P14" s="161"/>
      <c r="Q14" s="161"/>
      <c r="R14" s="161"/>
      <c r="S14" s="161"/>
      <c r="T14" s="161"/>
      <c r="U14" s="161"/>
    </row>
    <row r="15" spans="1:21" ht="20.25" customHeight="1">
      <c r="A15" s="154"/>
      <c r="B15" s="200" t="s">
        <v>94</v>
      </c>
      <c r="C15" s="179" t="s">
        <v>0</v>
      </c>
      <c r="D15" s="210" t="s">
        <v>401</v>
      </c>
      <c r="E15" s="211"/>
      <c r="F15" s="164"/>
      <c r="G15" s="153"/>
      <c r="H15" s="153"/>
      <c r="I15" s="153"/>
      <c r="J15" s="153"/>
      <c r="K15" s="153"/>
      <c r="L15" s="153"/>
      <c r="M15" s="153"/>
      <c r="N15" s="158"/>
      <c r="O15" s="161"/>
      <c r="P15" s="161"/>
      <c r="Q15" s="161"/>
      <c r="R15" s="161"/>
      <c r="S15" s="161"/>
      <c r="T15" s="161"/>
      <c r="U15" s="161"/>
    </row>
    <row r="16" spans="1:21" ht="20.25" customHeight="1">
      <c r="A16" s="154"/>
      <c r="B16" s="200" t="s">
        <v>1</v>
      </c>
      <c r="C16" s="179" t="s">
        <v>0</v>
      </c>
      <c r="D16" s="212" t="s">
        <v>402</v>
      </c>
      <c r="E16" s="213"/>
      <c r="F16" s="165"/>
      <c r="G16" s="153"/>
      <c r="H16" s="153"/>
      <c r="I16" s="153"/>
      <c r="J16" s="153"/>
      <c r="K16" s="153"/>
      <c r="L16" s="153"/>
      <c r="M16" s="153"/>
      <c r="N16" s="158"/>
      <c r="O16" s="161"/>
      <c r="P16" s="161"/>
      <c r="Q16" s="161"/>
      <c r="R16" s="161"/>
      <c r="S16" s="161"/>
      <c r="T16" s="161"/>
      <c r="U16" s="161"/>
    </row>
    <row r="17" spans="1:21" ht="20.25" customHeight="1">
      <c r="A17" s="154"/>
      <c r="B17" s="200" t="s">
        <v>2</v>
      </c>
      <c r="C17" s="179" t="s">
        <v>0</v>
      </c>
      <c r="D17" s="182" t="s">
        <v>403</v>
      </c>
      <c r="E17" s="183"/>
      <c r="F17" s="166"/>
      <c r="G17" s="153"/>
      <c r="H17" s="153"/>
      <c r="I17" s="153"/>
      <c r="J17" s="153"/>
      <c r="K17" s="153"/>
      <c r="L17" s="153"/>
      <c r="M17" s="153"/>
      <c r="N17" s="158"/>
      <c r="O17" s="161"/>
      <c r="P17" s="161"/>
      <c r="Q17" s="161"/>
      <c r="R17" s="161"/>
      <c r="S17" s="161"/>
      <c r="T17" s="161"/>
      <c r="U17" s="161"/>
    </row>
    <row r="18" spans="1:21" ht="20.25" customHeight="1">
      <c r="A18" s="154"/>
      <c r="B18" s="200" t="s">
        <v>320</v>
      </c>
      <c r="C18" s="179" t="s">
        <v>0</v>
      </c>
      <c r="D18" s="182" t="s">
        <v>359</v>
      </c>
      <c r="E18" s="183"/>
      <c r="F18" s="166"/>
      <c r="G18" s="153"/>
      <c r="H18" s="153"/>
      <c r="I18" s="153"/>
      <c r="J18" s="153"/>
      <c r="K18" s="153"/>
      <c r="L18" s="153"/>
      <c r="M18" s="153"/>
      <c r="N18" s="158"/>
      <c r="O18" s="161"/>
      <c r="P18" s="161"/>
      <c r="Q18" s="161"/>
      <c r="R18" s="161"/>
      <c r="S18" s="161"/>
      <c r="T18" s="161"/>
      <c r="U18" s="161"/>
    </row>
    <row r="19" spans="1:21" ht="20.25" customHeight="1" thickBot="1">
      <c r="A19" s="154"/>
      <c r="B19" s="214"/>
      <c r="C19" s="215"/>
      <c r="D19" s="215"/>
      <c r="E19" s="216"/>
      <c r="F19" s="167"/>
      <c r="G19" s="153"/>
      <c r="H19" s="153"/>
      <c r="I19" s="153"/>
      <c r="J19" s="153"/>
      <c r="K19" s="153"/>
      <c r="L19" s="153"/>
      <c r="M19" s="153"/>
      <c r="N19" s="158"/>
      <c r="O19" s="161"/>
      <c r="P19" s="161"/>
      <c r="Q19" s="161"/>
      <c r="R19" s="161"/>
      <c r="S19" s="161"/>
      <c r="T19" s="161"/>
      <c r="U19" s="161"/>
    </row>
    <row r="20" spans="1:21" ht="20.25" customHeight="1" thickBot="1">
      <c r="A20" s="154"/>
      <c r="B20" s="168"/>
      <c r="C20" s="169"/>
      <c r="D20" s="170"/>
      <c r="E20" s="171"/>
      <c r="F20" s="172"/>
      <c r="G20" s="153"/>
      <c r="H20" s="153"/>
      <c r="I20" s="153"/>
      <c r="J20" s="153"/>
      <c r="K20" s="153"/>
      <c r="L20" s="153"/>
      <c r="M20" s="153"/>
      <c r="N20" s="158"/>
      <c r="O20" s="161"/>
      <c r="P20" s="161"/>
      <c r="Q20" s="161"/>
      <c r="R20" s="161"/>
      <c r="S20" s="161"/>
      <c r="T20" s="161"/>
      <c r="U20" s="161"/>
    </row>
    <row r="21" spans="1:21" ht="17.25" customHeight="1">
      <c r="A21" s="154"/>
      <c r="B21" s="218" t="s">
        <v>321</v>
      </c>
      <c r="C21" s="219"/>
      <c r="D21" s="219"/>
      <c r="E21" s="220"/>
      <c r="F21" s="172"/>
      <c r="G21" s="153"/>
      <c r="H21" s="153"/>
      <c r="I21" s="153"/>
      <c r="J21" s="153"/>
      <c r="K21" s="153"/>
      <c r="L21" s="153"/>
      <c r="M21" s="153"/>
      <c r="N21" s="158"/>
      <c r="O21" s="161"/>
      <c r="P21" s="161"/>
      <c r="Q21" s="161"/>
      <c r="R21" s="161"/>
      <c r="S21" s="161"/>
      <c r="T21" s="161"/>
      <c r="U21" s="161"/>
    </row>
    <row r="22" spans="1:21" ht="17.25" customHeight="1">
      <c r="A22" s="154"/>
      <c r="B22" s="221"/>
      <c r="C22" s="222"/>
      <c r="D22" s="222"/>
      <c r="E22" s="223"/>
      <c r="F22" s="154"/>
      <c r="G22" s="153"/>
      <c r="H22" s="153"/>
      <c r="I22" s="153"/>
      <c r="J22" s="153"/>
      <c r="K22" s="153"/>
      <c r="L22" s="153"/>
      <c r="M22" s="153"/>
      <c r="N22" s="158"/>
      <c r="O22" s="161"/>
      <c r="P22" s="161"/>
      <c r="Q22" s="161"/>
      <c r="R22" s="161"/>
      <c r="S22" s="161"/>
      <c r="T22" s="161"/>
      <c r="U22" s="161"/>
    </row>
    <row r="23" spans="1:21" ht="17.25" customHeight="1">
      <c r="A23" s="154"/>
      <c r="B23" s="221"/>
      <c r="C23" s="222"/>
      <c r="D23" s="222"/>
      <c r="E23" s="223"/>
      <c r="F23" s="173"/>
      <c r="G23" s="153"/>
      <c r="H23" s="153"/>
      <c r="I23" s="153"/>
      <c r="J23" s="153"/>
      <c r="K23" s="153"/>
      <c r="L23" s="153"/>
      <c r="M23" s="153"/>
      <c r="N23" s="158"/>
      <c r="O23" s="161"/>
      <c r="P23" s="161"/>
      <c r="Q23" s="161"/>
      <c r="R23" s="161"/>
      <c r="S23" s="161"/>
      <c r="T23" s="161"/>
      <c r="U23" s="161"/>
    </row>
    <row r="24" spans="1:21" ht="30.75" customHeight="1" thickBot="1">
      <c r="A24" s="154"/>
      <c r="B24" s="224"/>
      <c r="C24" s="225"/>
      <c r="D24" s="225"/>
      <c r="E24" s="226"/>
      <c r="F24" s="174"/>
      <c r="G24" s="153"/>
      <c r="H24" s="217"/>
      <c r="I24" s="217"/>
      <c r="J24" s="217"/>
      <c r="K24" s="153"/>
      <c r="L24" s="153"/>
      <c r="M24" s="153"/>
      <c r="N24" s="158"/>
      <c r="O24" s="161"/>
      <c r="P24" s="161"/>
      <c r="Q24" s="161"/>
      <c r="R24" s="161"/>
      <c r="S24" s="161"/>
      <c r="T24" s="161"/>
      <c r="U24" s="161"/>
    </row>
    <row r="25" spans="1:21" ht="39" customHeight="1">
      <c r="A25" s="154"/>
      <c r="B25" s="207" t="s">
        <v>322</v>
      </c>
      <c r="C25" s="207"/>
      <c r="D25" s="207"/>
      <c r="E25" s="207"/>
      <c r="F25" s="174"/>
      <c r="G25" s="153"/>
      <c r="H25" s="208"/>
      <c r="I25" s="208"/>
      <c r="J25" s="208"/>
      <c r="K25" s="153"/>
      <c r="L25" s="153"/>
      <c r="M25" s="153"/>
      <c r="N25" s="158"/>
      <c r="O25" s="161"/>
      <c r="P25" s="161"/>
      <c r="Q25" s="161"/>
      <c r="R25" s="161"/>
      <c r="S25" s="161"/>
      <c r="T25" s="161"/>
      <c r="U25" s="161"/>
    </row>
    <row r="26" spans="1:21" ht="38.25" customHeight="1">
      <c r="A26" s="154"/>
      <c r="B26" s="207"/>
      <c r="C26" s="207"/>
      <c r="D26" s="207"/>
      <c r="E26" s="207"/>
      <c r="F26" s="174"/>
      <c r="G26" s="153"/>
      <c r="H26" s="209"/>
      <c r="I26" s="209"/>
      <c r="J26" s="209"/>
      <c r="K26" s="153"/>
      <c r="L26" s="153"/>
      <c r="M26" s="153"/>
      <c r="N26" s="158"/>
      <c r="O26" s="161"/>
      <c r="P26" s="161"/>
      <c r="Q26" s="161"/>
      <c r="R26" s="161"/>
      <c r="S26" s="161"/>
      <c r="T26" s="161"/>
      <c r="U26" s="161"/>
    </row>
    <row r="27" spans="1:21" ht="15.75" hidden="1" customHeight="1" thickBot="1">
      <c r="A27" s="174"/>
      <c r="B27" s="207"/>
      <c r="C27" s="207"/>
      <c r="D27" s="207"/>
      <c r="E27" s="207"/>
      <c r="F27" s="174"/>
      <c r="G27" s="153"/>
      <c r="H27" s="175"/>
      <c r="I27" s="175"/>
      <c r="J27" s="175"/>
      <c r="K27" s="153"/>
      <c r="L27" s="153"/>
      <c r="M27" s="153"/>
      <c r="N27" s="158"/>
      <c r="O27" s="154"/>
      <c r="P27" s="154"/>
      <c r="Q27" s="154"/>
      <c r="R27" s="154"/>
      <c r="S27" s="154"/>
      <c r="T27" s="154"/>
      <c r="U27" s="154"/>
    </row>
    <row r="28" spans="1:21" ht="15" hidden="1">
      <c r="B28" s="63"/>
      <c r="C28" s="63"/>
      <c r="D28" s="63"/>
      <c r="E28" s="63"/>
      <c r="F28" s="61"/>
      <c r="G28" s="63"/>
      <c r="H28" s="63"/>
      <c r="I28" s="63"/>
      <c r="J28" s="63"/>
      <c r="K28" s="63"/>
      <c r="L28" s="63"/>
      <c r="M28" s="63"/>
      <c r="N28" s="63"/>
    </row>
    <row r="29" spans="1:21" ht="15" hidden="1">
      <c r="B29" s="63"/>
      <c r="C29" s="63"/>
      <c r="D29" s="63"/>
      <c r="E29" s="63"/>
      <c r="F29" s="61"/>
      <c r="G29" s="63"/>
      <c r="H29" s="63"/>
      <c r="I29" s="63"/>
      <c r="J29" s="63"/>
      <c r="K29" s="63"/>
      <c r="L29" s="63"/>
      <c r="M29" s="63"/>
      <c r="N29" s="63"/>
    </row>
    <row r="30" spans="1:21" ht="15" hidden="1">
      <c r="B30" s="63"/>
      <c r="C30" s="63"/>
      <c r="D30" s="63"/>
      <c r="E30" s="63"/>
      <c r="F30" s="61"/>
      <c r="G30" s="63"/>
      <c r="H30" s="63"/>
      <c r="I30" s="63"/>
      <c r="J30" s="63"/>
      <c r="K30" s="63"/>
      <c r="L30" s="63"/>
      <c r="M30" s="63"/>
      <c r="N30" s="63"/>
    </row>
    <row r="31" spans="1:21" ht="15" hidden="1">
      <c r="B31" s="63"/>
      <c r="C31" s="63"/>
      <c r="D31" s="63"/>
      <c r="E31" s="63"/>
      <c r="F31" s="61"/>
      <c r="G31" s="63"/>
      <c r="H31" s="63"/>
      <c r="I31" s="63"/>
      <c r="J31" s="63"/>
      <c r="K31" s="63"/>
      <c r="L31" s="63"/>
      <c r="M31" s="63"/>
      <c r="N31" s="63"/>
    </row>
    <row r="32" spans="1:21" ht="15" hidden="1">
      <c r="B32" s="63"/>
      <c r="C32" s="63"/>
      <c r="D32" s="63"/>
      <c r="E32" s="63"/>
      <c r="F32" s="61"/>
      <c r="G32" s="63"/>
      <c r="H32" s="63"/>
      <c r="I32" s="63"/>
      <c r="J32" s="63"/>
      <c r="K32" s="63"/>
      <c r="L32" s="63"/>
      <c r="M32" s="63"/>
      <c r="N32" s="63"/>
    </row>
    <row r="33" spans="2:14" ht="15" hidden="1">
      <c r="B33" s="63"/>
      <c r="C33" s="63"/>
      <c r="D33" s="63"/>
      <c r="E33" s="63"/>
      <c r="F33" s="61"/>
      <c r="G33" s="63"/>
      <c r="H33" s="63"/>
      <c r="I33" s="63"/>
      <c r="J33" s="63"/>
      <c r="K33" s="63"/>
      <c r="L33" s="63"/>
      <c r="M33" s="63"/>
      <c r="N33" s="63"/>
    </row>
    <row r="34" spans="2:14" ht="15" hidden="1">
      <c r="B34" s="63"/>
      <c r="C34" s="63"/>
      <c r="D34" s="63"/>
      <c r="E34" s="63"/>
      <c r="F34" s="61"/>
      <c r="G34" s="63"/>
      <c r="H34" s="63"/>
      <c r="I34" s="63"/>
      <c r="J34" s="63"/>
      <c r="K34" s="63"/>
      <c r="L34" s="63"/>
      <c r="M34" s="63"/>
      <c r="N34" s="63"/>
    </row>
    <row r="35" spans="2:14" ht="15" hidden="1">
      <c r="B35" s="63"/>
      <c r="C35" s="63"/>
      <c r="D35" s="63"/>
      <c r="E35" s="63"/>
      <c r="F35" s="61"/>
      <c r="G35" s="63"/>
      <c r="H35" s="63"/>
      <c r="I35" s="63"/>
      <c r="J35" s="63"/>
      <c r="K35" s="63"/>
      <c r="L35" s="63"/>
      <c r="M35" s="63"/>
      <c r="N35" s="63"/>
    </row>
    <row r="36" spans="2:14" ht="15" hidden="1">
      <c r="B36" s="63"/>
      <c r="C36" s="63"/>
      <c r="D36" s="63"/>
      <c r="E36" s="63"/>
      <c r="F36" s="61"/>
      <c r="G36" s="63"/>
      <c r="H36" s="63"/>
      <c r="I36" s="63"/>
      <c r="J36" s="63"/>
      <c r="K36" s="63"/>
      <c r="L36" s="63"/>
      <c r="M36" s="63"/>
      <c r="N36" s="63"/>
    </row>
    <row r="37" spans="2:14" ht="15" hidden="1">
      <c r="B37" s="63"/>
      <c r="C37" s="63"/>
      <c r="D37" s="63"/>
      <c r="E37" s="63"/>
      <c r="F37" s="61"/>
      <c r="G37" s="63"/>
      <c r="H37" s="63"/>
      <c r="I37" s="63"/>
      <c r="J37" s="63"/>
      <c r="K37" s="63"/>
      <c r="L37" s="63"/>
      <c r="M37" s="63"/>
      <c r="N37" s="63"/>
    </row>
    <row r="38" spans="2:14" ht="15" hidden="1">
      <c r="B38" s="63"/>
      <c r="C38" s="63"/>
      <c r="D38" s="63"/>
      <c r="E38" s="63"/>
      <c r="F38" s="61"/>
      <c r="G38" s="63"/>
      <c r="H38" s="63"/>
      <c r="I38" s="63"/>
      <c r="J38" s="63"/>
      <c r="K38" s="63"/>
      <c r="L38" s="63"/>
      <c r="M38" s="63"/>
      <c r="N38" s="63"/>
    </row>
    <row r="39" spans="2:14" ht="15" hidden="1">
      <c r="B39" s="63"/>
      <c r="C39" s="63"/>
      <c r="D39" s="63"/>
      <c r="E39" s="63"/>
      <c r="F39" s="61"/>
      <c r="G39" s="63"/>
      <c r="H39" s="63"/>
      <c r="I39" s="63"/>
      <c r="J39" s="63"/>
      <c r="K39" s="63"/>
      <c r="L39" s="63"/>
      <c r="M39" s="63"/>
      <c r="N39" s="63"/>
    </row>
    <row r="40" spans="2:14" ht="15" hidden="1">
      <c r="B40" s="63"/>
      <c r="C40" s="63"/>
      <c r="D40" s="63"/>
      <c r="E40" s="63"/>
      <c r="F40" s="61"/>
      <c r="G40" s="63"/>
      <c r="H40" s="63"/>
      <c r="I40" s="63"/>
      <c r="J40" s="63"/>
      <c r="K40" s="63"/>
      <c r="L40" s="63"/>
      <c r="M40" s="63"/>
      <c r="N40" s="63"/>
    </row>
    <row r="41" spans="2:14" ht="15" hidden="1">
      <c r="B41" s="63"/>
      <c r="C41" s="63"/>
      <c r="D41" s="63"/>
      <c r="E41" s="63"/>
      <c r="F41" s="61"/>
      <c r="G41" s="63"/>
      <c r="H41" s="63"/>
      <c r="I41" s="63"/>
      <c r="J41" s="63"/>
      <c r="K41" s="63"/>
      <c r="L41" s="63"/>
      <c r="M41" s="63"/>
      <c r="N41" s="63"/>
    </row>
    <row r="42" spans="2:14" ht="15" hidden="1">
      <c r="B42" s="63"/>
      <c r="C42" s="63"/>
      <c r="D42" s="63"/>
      <c r="E42" s="63"/>
      <c r="F42" s="61"/>
      <c r="G42" s="63"/>
      <c r="H42" s="63"/>
      <c r="I42" s="63"/>
      <c r="J42" s="63"/>
      <c r="K42" s="63"/>
      <c r="L42" s="63"/>
      <c r="M42" s="63"/>
      <c r="N42" s="63"/>
    </row>
    <row r="43" spans="2:14" ht="15" hidden="1">
      <c r="B43" s="63"/>
      <c r="C43" s="63"/>
      <c r="D43" s="63"/>
      <c r="E43" s="63"/>
      <c r="F43" s="61"/>
      <c r="G43" s="63"/>
      <c r="H43" s="63"/>
      <c r="I43" s="63"/>
      <c r="J43" s="63"/>
      <c r="K43" s="63"/>
      <c r="L43" s="63"/>
      <c r="M43" s="63"/>
      <c r="N43" s="63"/>
    </row>
    <row r="44" spans="2:14" ht="15" hidden="1">
      <c r="B44" s="63"/>
      <c r="C44" s="63"/>
      <c r="D44" s="63"/>
      <c r="E44" s="63"/>
      <c r="F44" s="61"/>
      <c r="G44" s="63"/>
      <c r="H44" s="63"/>
      <c r="I44" s="63"/>
      <c r="J44" s="63"/>
      <c r="K44" s="63"/>
      <c r="L44" s="63"/>
      <c r="M44" s="63"/>
      <c r="N44" s="63"/>
    </row>
    <row r="45" spans="2:14" ht="15" hidden="1">
      <c r="B45" s="63"/>
      <c r="C45" s="63"/>
      <c r="D45" s="63"/>
      <c r="E45" s="63"/>
      <c r="F45" s="61"/>
      <c r="G45" s="63"/>
      <c r="H45" s="63"/>
      <c r="I45" s="63"/>
      <c r="J45" s="63"/>
      <c r="K45" s="63"/>
      <c r="L45" s="63"/>
      <c r="M45" s="63"/>
      <c r="N45" s="63"/>
    </row>
    <row r="46" spans="2:14" ht="15" hidden="1">
      <c r="B46" s="63"/>
      <c r="C46" s="63"/>
      <c r="D46" s="63"/>
      <c r="E46" s="63"/>
      <c r="F46" s="61"/>
      <c r="G46" s="63"/>
      <c r="H46" s="63"/>
      <c r="I46" s="63"/>
      <c r="J46" s="63"/>
      <c r="K46" s="63"/>
      <c r="L46" s="63"/>
      <c r="M46" s="63"/>
      <c r="N46" s="63"/>
    </row>
    <row r="47" spans="2:14" ht="15" hidden="1">
      <c r="B47" s="63"/>
      <c r="C47" s="63"/>
      <c r="D47" s="63"/>
      <c r="E47" s="63"/>
      <c r="F47" s="61"/>
      <c r="G47" s="63"/>
      <c r="H47" s="63"/>
      <c r="I47" s="63"/>
      <c r="J47" s="63"/>
      <c r="K47" s="63"/>
      <c r="L47" s="63"/>
      <c r="M47" s="63"/>
      <c r="N47" s="63"/>
    </row>
    <row r="48" spans="2:14" ht="15" hidden="1">
      <c r="B48" s="63"/>
      <c r="C48" s="63"/>
      <c r="D48" s="63"/>
      <c r="E48" s="63"/>
      <c r="F48" s="61"/>
      <c r="G48" s="63"/>
      <c r="H48" s="63"/>
      <c r="I48" s="63"/>
      <c r="J48" s="63"/>
      <c r="K48" s="63"/>
      <c r="L48" s="63"/>
      <c r="M48" s="63"/>
      <c r="N48" s="63"/>
    </row>
    <row r="49" spans="2:14" ht="15" hidden="1">
      <c r="B49" s="63"/>
      <c r="C49" s="63"/>
      <c r="D49" s="63"/>
      <c r="E49" s="63"/>
      <c r="F49" s="61"/>
      <c r="G49" s="63"/>
      <c r="H49" s="63"/>
      <c r="I49" s="63"/>
      <c r="J49" s="63"/>
      <c r="K49" s="63"/>
      <c r="L49" s="63"/>
      <c r="M49" s="63"/>
      <c r="N49" s="63"/>
    </row>
    <row r="50" spans="2:14" ht="15" hidden="1">
      <c r="B50" s="63"/>
      <c r="C50" s="63"/>
      <c r="D50" s="63"/>
      <c r="E50" s="63"/>
      <c r="F50" s="61"/>
      <c r="G50" s="63"/>
      <c r="H50" s="63"/>
      <c r="I50" s="63"/>
      <c r="J50" s="63"/>
      <c r="K50" s="63"/>
      <c r="L50" s="63"/>
      <c r="M50" s="63"/>
      <c r="N50" s="63"/>
    </row>
    <row r="51" spans="2:14" ht="15" hidden="1">
      <c r="B51" s="63"/>
      <c r="C51" s="63"/>
      <c r="D51" s="63"/>
      <c r="E51" s="63"/>
      <c r="F51" s="61"/>
      <c r="G51" s="63"/>
      <c r="H51" s="63"/>
      <c r="I51" s="63"/>
      <c r="J51" s="63"/>
      <c r="K51" s="63"/>
      <c r="L51" s="63"/>
      <c r="M51" s="63"/>
      <c r="N51" s="63"/>
    </row>
    <row r="52" spans="2:14" ht="15" hidden="1">
      <c r="B52" s="63"/>
      <c r="C52" s="63"/>
      <c r="D52" s="63"/>
      <c r="E52" s="63"/>
      <c r="F52" s="61"/>
      <c r="G52" s="63"/>
      <c r="H52" s="63"/>
      <c r="I52" s="63"/>
      <c r="J52" s="63"/>
      <c r="K52" s="63"/>
      <c r="L52" s="63"/>
      <c r="M52" s="63"/>
      <c r="N52" s="63"/>
    </row>
    <row r="53" spans="2:14" ht="15" hidden="1">
      <c r="B53" s="63"/>
      <c r="C53" s="63"/>
      <c r="D53" s="63"/>
      <c r="E53" s="63"/>
      <c r="F53" s="61"/>
      <c r="G53" s="63"/>
      <c r="H53" s="63"/>
      <c r="I53" s="63"/>
      <c r="J53" s="63"/>
      <c r="K53" s="63"/>
      <c r="L53" s="63"/>
      <c r="M53" s="63"/>
      <c r="N53" s="63"/>
    </row>
    <row r="54" spans="2:14" ht="15" hidden="1">
      <c r="B54" s="63"/>
      <c r="C54" s="63"/>
      <c r="D54" s="63"/>
      <c r="E54" s="63"/>
      <c r="F54" s="61"/>
      <c r="G54" s="63"/>
      <c r="H54" s="63"/>
      <c r="I54" s="63"/>
      <c r="J54" s="63"/>
      <c r="K54" s="63"/>
      <c r="L54" s="63"/>
      <c r="M54" s="63"/>
      <c r="N54" s="63"/>
    </row>
    <row r="55" spans="2:14" ht="15" hidden="1">
      <c r="B55" s="63"/>
      <c r="C55" s="63"/>
      <c r="D55" s="63"/>
      <c r="E55" s="63"/>
      <c r="F55" s="61"/>
      <c r="G55" s="63"/>
      <c r="H55" s="63"/>
      <c r="I55" s="63"/>
      <c r="J55" s="63"/>
      <c r="K55" s="63"/>
      <c r="L55" s="63"/>
      <c r="M55" s="63"/>
      <c r="N55" s="63"/>
    </row>
    <row r="56" spans="2:14" ht="15" hidden="1">
      <c r="B56" s="63"/>
      <c r="C56" s="63"/>
      <c r="D56" s="63"/>
      <c r="E56" s="63"/>
      <c r="F56" s="61"/>
      <c r="G56" s="63"/>
      <c r="H56" s="63"/>
      <c r="I56" s="63"/>
      <c r="J56" s="63"/>
      <c r="K56" s="63"/>
      <c r="L56" s="63"/>
      <c r="M56" s="63"/>
      <c r="N56" s="63"/>
    </row>
    <row r="57" spans="2:14" ht="15" hidden="1">
      <c r="B57" s="63"/>
      <c r="C57" s="63"/>
      <c r="D57" s="63"/>
      <c r="E57" s="63"/>
      <c r="F57" s="61"/>
      <c r="G57" s="63"/>
      <c r="H57" s="63"/>
      <c r="I57" s="63"/>
      <c r="J57" s="63"/>
      <c r="K57" s="63"/>
      <c r="L57" s="63"/>
      <c r="M57" s="63"/>
      <c r="N57" s="63"/>
    </row>
    <row r="58" spans="2:14" ht="15" hidden="1">
      <c r="B58" s="63"/>
      <c r="C58" s="63"/>
      <c r="D58" s="63"/>
      <c r="E58" s="63"/>
      <c r="F58" s="61"/>
      <c r="G58" s="63"/>
      <c r="H58" s="63"/>
      <c r="I58" s="63"/>
      <c r="J58" s="63"/>
      <c r="K58" s="63"/>
      <c r="L58" s="63"/>
      <c r="M58" s="63"/>
      <c r="N58" s="63"/>
    </row>
    <row r="59" spans="2:14" ht="15" hidden="1">
      <c r="B59" s="63"/>
      <c r="C59" s="63"/>
      <c r="D59" s="63"/>
      <c r="E59" s="63"/>
      <c r="F59" s="61"/>
      <c r="G59" s="63"/>
      <c r="H59" s="63"/>
      <c r="I59" s="63"/>
      <c r="J59" s="63"/>
      <c r="K59" s="63"/>
      <c r="L59" s="63"/>
      <c r="M59" s="63"/>
      <c r="N59" s="63"/>
    </row>
    <row r="60" spans="2:14" ht="15" hidden="1">
      <c r="B60" s="63"/>
      <c r="C60" s="63"/>
      <c r="D60" s="63"/>
      <c r="E60" s="63"/>
      <c r="F60" s="61"/>
      <c r="G60" s="63"/>
      <c r="H60" s="63"/>
      <c r="I60" s="63"/>
      <c r="J60" s="63"/>
      <c r="K60" s="63"/>
      <c r="L60" s="63"/>
      <c r="M60" s="63"/>
      <c r="N60" s="63"/>
    </row>
    <row r="61" spans="2:14" ht="15" hidden="1">
      <c r="B61" s="63"/>
      <c r="C61" s="63"/>
      <c r="D61" s="63"/>
      <c r="E61" s="63"/>
      <c r="F61" s="61"/>
      <c r="G61" s="63"/>
      <c r="H61" s="63"/>
      <c r="I61" s="63"/>
      <c r="J61" s="63"/>
      <c r="K61" s="63"/>
      <c r="L61" s="63"/>
      <c r="M61" s="63"/>
      <c r="N61" s="63"/>
    </row>
    <row r="62" spans="2:14" ht="15" hidden="1">
      <c r="B62" s="63"/>
      <c r="C62" s="63"/>
      <c r="D62" s="63"/>
      <c r="E62" s="63"/>
      <c r="F62" s="61"/>
      <c r="G62" s="63"/>
      <c r="H62" s="63"/>
      <c r="I62" s="63"/>
      <c r="J62" s="63"/>
      <c r="K62" s="63"/>
      <c r="L62" s="63"/>
      <c r="M62" s="63"/>
      <c r="N62" s="63"/>
    </row>
    <row r="63" spans="2:14" ht="15" hidden="1">
      <c r="B63" s="63"/>
      <c r="C63" s="63"/>
      <c r="D63" s="63"/>
      <c r="E63" s="63"/>
      <c r="F63" s="61"/>
      <c r="G63" s="63"/>
      <c r="H63" s="63"/>
      <c r="I63" s="63"/>
      <c r="J63" s="63"/>
      <c r="K63" s="63"/>
      <c r="L63" s="63"/>
      <c r="M63" s="63"/>
      <c r="N63" s="63"/>
    </row>
    <row r="64" spans="2:14" ht="15" customHeight="1">
      <c r="B64" s="205" t="s">
        <v>97</v>
      </c>
      <c r="C64" s="205"/>
      <c r="D64" s="205"/>
      <c r="E64" s="205"/>
      <c r="F64" s="205"/>
      <c r="G64" s="205"/>
      <c r="H64" s="205"/>
      <c r="I64" s="205"/>
      <c r="J64" s="205"/>
      <c r="K64" s="205"/>
      <c r="L64" s="205"/>
      <c r="M64" s="205"/>
      <c r="N64" s="205"/>
    </row>
    <row r="65" spans="2:14" ht="15" customHeight="1">
      <c r="B65" s="205"/>
      <c r="C65" s="205"/>
      <c r="D65" s="205"/>
      <c r="E65" s="205"/>
      <c r="F65" s="205"/>
      <c r="G65" s="205"/>
      <c r="H65" s="205"/>
      <c r="I65" s="205"/>
      <c r="J65" s="205"/>
      <c r="K65" s="205"/>
      <c r="L65" s="205"/>
      <c r="M65" s="205"/>
      <c r="N65" s="205"/>
    </row>
    <row r="66" spans="2:14" ht="0" hidden="1" customHeight="1"/>
  </sheetData>
  <sheetProtection password="D4C3" sheet="1" scenarios="1" formatCells="0" formatColumns="0" formatRows="0"/>
  <mergeCells count="15">
    <mergeCell ref="E1:U1"/>
    <mergeCell ref="E2:U2"/>
    <mergeCell ref="E3:U3"/>
    <mergeCell ref="E4:U4"/>
    <mergeCell ref="B64:N65"/>
    <mergeCell ref="H7:M7"/>
    <mergeCell ref="B25:E27"/>
    <mergeCell ref="H25:J25"/>
    <mergeCell ref="H26:J26"/>
    <mergeCell ref="D15:E15"/>
    <mergeCell ref="D16:E16"/>
    <mergeCell ref="B19:E19"/>
    <mergeCell ref="H24:J24"/>
    <mergeCell ref="B21:E24"/>
    <mergeCell ref="B6:E11"/>
  </mergeCells>
  <hyperlinks>
    <hyperlink ref="B25:E27" location="profil!A1" display="created : SULIYAT, M.Si ( KLIK UNTUK LIHAT PROFIL)"/>
  </hyperlinks>
  <pageMargins left="0.7" right="0.7" top="0.75" bottom="0.75" header="0.3" footer="0.3"/>
  <pageSetup paperSize="51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2"/>
  <dimension ref="A1:F17"/>
  <sheetViews>
    <sheetView zoomScale="120" zoomScaleNormal="120" workbookViewId="0"/>
  </sheetViews>
  <sheetFormatPr defaultColWidth="0" defaultRowHeight="15" customHeight="1" zeroHeight="1"/>
  <cols>
    <col min="1" max="1" width="33.85546875" customWidth="1"/>
    <col min="2" max="2" width="19.28515625" customWidth="1"/>
    <col min="3" max="3" width="17.7109375" customWidth="1"/>
    <col min="4" max="4" width="31.140625" customWidth="1"/>
    <col min="5" max="5" width="1" customWidth="1"/>
    <col min="6" max="6" width="0" hidden="1" customWidth="1"/>
    <col min="7" max="16384" width="9.140625" hidden="1"/>
  </cols>
  <sheetData>
    <row r="1" spans="1:5" ht="36.75" customHeight="1">
      <c r="A1" s="70"/>
      <c r="B1" s="71"/>
      <c r="C1" s="238" t="s">
        <v>99</v>
      </c>
      <c r="D1" s="238"/>
      <c r="E1" s="69"/>
    </row>
    <row r="2" spans="1:5">
      <c r="A2" s="70"/>
      <c r="B2" s="70"/>
      <c r="C2" s="238"/>
      <c r="D2" s="238"/>
      <c r="E2" s="68"/>
    </row>
    <row r="3" spans="1:5">
      <c r="A3" s="70"/>
      <c r="B3" s="70"/>
      <c r="C3" s="238"/>
      <c r="D3" s="238"/>
      <c r="E3" s="68"/>
    </row>
    <row r="4" spans="1:5" ht="15.75" thickBot="1">
      <c r="A4" s="70"/>
      <c r="B4" s="70"/>
      <c r="C4" s="70"/>
      <c r="D4" s="70"/>
      <c r="E4" s="68"/>
    </row>
    <row r="5" spans="1:5">
      <c r="A5" s="70"/>
      <c r="B5" s="70"/>
      <c r="C5" s="72"/>
      <c r="D5" s="73"/>
      <c r="E5" s="68"/>
    </row>
    <row r="6" spans="1:5">
      <c r="A6" s="70"/>
      <c r="B6" s="70"/>
      <c r="C6" s="74" t="s">
        <v>100</v>
      </c>
      <c r="D6" s="75" t="s">
        <v>358</v>
      </c>
      <c r="E6" s="68"/>
    </row>
    <row r="7" spans="1:5">
      <c r="A7" s="70"/>
      <c r="B7" s="70"/>
      <c r="C7" s="74" t="s">
        <v>101</v>
      </c>
      <c r="D7" s="75" t="s">
        <v>102</v>
      </c>
      <c r="E7" s="68"/>
    </row>
    <row r="8" spans="1:5">
      <c r="A8" s="70"/>
      <c r="B8" s="70"/>
      <c r="C8" s="74" t="s">
        <v>103</v>
      </c>
      <c r="D8" s="75" t="s">
        <v>104</v>
      </c>
      <c r="E8" s="68"/>
    </row>
    <row r="9" spans="1:5">
      <c r="A9" s="70"/>
      <c r="B9" s="70"/>
      <c r="C9" s="74" t="s">
        <v>105</v>
      </c>
      <c r="D9" s="75" t="s">
        <v>357</v>
      </c>
      <c r="E9" s="68"/>
    </row>
    <row r="10" spans="1:5" ht="18.75">
      <c r="A10" s="70"/>
      <c r="B10" s="70"/>
      <c r="C10" s="239" t="s">
        <v>106</v>
      </c>
      <c r="D10" s="240"/>
      <c r="E10" s="68"/>
    </row>
    <row r="11" spans="1:5">
      <c r="A11" s="70"/>
      <c r="B11" s="70"/>
      <c r="C11" s="236" t="s">
        <v>107</v>
      </c>
      <c r="D11" s="237"/>
      <c r="E11" s="68"/>
    </row>
    <row r="12" spans="1:5">
      <c r="A12" s="70"/>
      <c r="B12" s="70"/>
      <c r="C12" s="236" t="s">
        <v>108</v>
      </c>
      <c r="D12" s="237"/>
      <c r="E12" s="68"/>
    </row>
    <row r="13" spans="1:5">
      <c r="A13" s="70"/>
      <c r="B13" s="70"/>
      <c r="C13" s="236" t="s">
        <v>109</v>
      </c>
      <c r="D13" s="237"/>
      <c r="E13" s="68"/>
    </row>
    <row r="14" spans="1:5">
      <c r="A14" s="70"/>
      <c r="B14" s="70"/>
      <c r="C14" s="236" t="s">
        <v>110</v>
      </c>
      <c r="D14" s="237"/>
      <c r="E14" s="68"/>
    </row>
    <row r="15" spans="1:5">
      <c r="A15" s="70"/>
      <c r="B15" s="70"/>
      <c r="C15" s="236" t="s">
        <v>111</v>
      </c>
      <c r="D15" s="237"/>
      <c r="E15" s="68"/>
    </row>
    <row r="16" spans="1:5" ht="15.75" thickBot="1">
      <c r="A16" s="70"/>
      <c r="B16" s="70"/>
      <c r="C16" s="76" t="s">
        <v>355</v>
      </c>
      <c r="D16" s="77" t="s">
        <v>356</v>
      </c>
      <c r="E16" s="68"/>
    </row>
    <row r="17" spans="1:5" ht="36" customHeight="1">
      <c r="A17" s="70"/>
      <c r="B17" s="70"/>
      <c r="C17" s="70"/>
      <c r="D17" s="70"/>
      <c r="E17" s="68"/>
    </row>
  </sheetData>
  <sheetProtection password="C704" sheet="1" objects="1" scenarios="1"/>
  <mergeCells count="7">
    <mergeCell ref="C15:D15"/>
    <mergeCell ref="C1:D3"/>
    <mergeCell ref="C10:D10"/>
    <mergeCell ref="C11:D11"/>
    <mergeCell ref="C12:D12"/>
    <mergeCell ref="C13:D13"/>
    <mergeCell ref="C14:D14"/>
  </mergeCells>
  <pageMargins left="0.7" right="0.7" top="0.75" bottom="0.75" header="0.3" footer="0.3"/>
  <pageSetup paperSize="9" orientation="portrait" horizontalDpi="4294967292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H57"/>
  <sheetViews>
    <sheetView workbookViewId="0">
      <selection sqref="A1:H2"/>
    </sheetView>
  </sheetViews>
  <sheetFormatPr defaultRowHeight="15"/>
  <cols>
    <col min="1" max="1" width="4.28515625" customWidth="1"/>
    <col min="2" max="2" width="11.42578125" customWidth="1"/>
    <col min="3" max="3" width="14.5703125" customWidth="1"/>
    <col min="4" max="4" width="29.140625" customWidth="1"/>
    <col min="5" max="5" width="7.28515625" customWidth="1"/>
    <col min="6" max="8" width="5.42578125" customWidth="1"/>
  </cols>
  <sheetData>
    <row r="1" spans="1:8">
      <c r="A1" s="248" t="s">
        <v>65</v>
      </c>
      <c r="B1" s="248"/>
      <c r="C1" s="248"/>
      <c r="D1" s="248"/>
      <c r="E1" s="248"/>
      <c r="F1" s="248"/>
      <c r="G1" s="248"/>
      <c r="H1" s="248"/>
    </row>
    <row r="2" spans="1:8">
      <c r="A2" s="248"/>
      <c r="B2" s="248"/>
      <c r="C2" s="248"/>
      <c r="D2" s="248"/>
      <c r="E2" s="248"/>
      <c r="F2" s="248"/>
      <c r="G2" s="248"/>
      <c r="H2" s="248"/>
    </row>
    <row r="3" spans="1:8" ht="15.75">
      <c r="A3" s="249" t="s">
        <v>72</v>
      </c>
      <c r="B3" s="249"/>
      <c r="C3" s="249"/>
      <c r="D3" s="249"/>
      <c r="E3" s="6"/>
      <c r="F3" s="250"/>
      <c r="G3" s="250"/>
      <c r="H3" s="250"/>
    </row>
    <row r="4" spans="1:8" ht="15.75" thickBot="1">
      <c r="A4" s="6"/>
      <c r="B4" s="6"/>
      <c r="C4" s="6"/>
      <c r="D4" s="6"/>
      <c r="E4" s="6"/>
      <c r="F4" s="6"/>
      <c r="G4" s="6"/>
      <c r="H4" s="6"/>
    </row>
    <row r="5" spans="1:8">
      <c r="A5" s="251" t="s">
        <v>49</v>
      </c>
      <c r="B5" s="254" t="s">
        <v>66</v>
      </c>
      <c r="C5" s="256" t="s">
        <v>44</v>
      </c>
      <c r="D5" s="256" t="s">
        <v>50</v>
      </c>
      <c r="E5" s="258" t="s">
        <v>67</v>
      </c>
      <c r="F5" s="260" t="s">
        <v>68</v>
      </c>
      <c r="G5" s="261"/>
      <c r="H5" s="262"/>
    </row>
    <row r="6" spans="1:8" ht="20.25" customHeight="1">
      <c r="A6" s="252"/>
      <c r="B6" s="255"/>
      <c r="C6" s="257"/>
      <c r="D6" s="257"/>
      <c r="E6" s="259"/>
      <c r="F6" s="242" t="s">
        <v>69</v>
      </c>
      <c r="G6" s="244" t="s">
        <v>70</v>
      </c>
      <c r="H6" s="246" t="s">
        <v>71</v>
      </c>
    </row>
    <row r="7" spans="1:8" ht="54" customHeight="1" thickBot="1">
      <c r="A7" s="253"/>
      <c r="B7" s="255"/>
      <c r="C7" s="257"/>
      <c r="D7" s="257"/>
      <c r="E7" s="259"/>
      <c r="F7" s="243"/>
      <c r="G7" s="245"/>
      <c r="H7" s="247"/>
    </row>
    <row r="8" spans="1:8">
      <c r="A8" s="65">
        <v>1</v>
      </c>
      <c r="B8" s="67"/>
      <c r="C8" s="67"/>
      <c r="D8" s="144" t="s">
        <v>397</v>
      </c>
      <c r="E8" s="201" t="s">
        <v>399</v>
      </c>
      <c r="F8" s="67"/>
      <c r="G8" s="67"/>
      <c r="H8" s="67"/>
    </row>
    <row r="9" spans="1:8">
      <c r="A9" s="22">
        <v>2</v>
      </c>
      <c r="B9" s="67"/>
      <c r="C9" s="67"/>
      <c r="D9" s="144" t="s">
        <v>398</v>
      </c>
      <c r="E9" s="66" t="s">
        <v>399</v>
      </c>
      <c r="F9" s="67"/>
      <c r="G9" s="67"/>
      <c r="H9" s="67"/>
    </row>
    <row r="10" spans="1:8">
      <c r="A10" s="22">
        <v>3</v>
      </c>
      <c r="B10" s="67"/>
      <c r="C10" s="67"/>
      <c r="D10" s="144" t="s">
        <v>360</v>
      </c>
      <c r="E10" s="67"/>
      <c r="F10" s="67"/>
      <c r="G10" s="67"/>
      <c r="H10" s="67"/>
    </row>
    <row r="11" spans="1:8">
      <c r="A11" s="22">
        <v>4</v>
      </c>
      <c r="B11" s="67"/>
      <c r="C11" s="67"/>
      <c r="D11" s="144" t="s">
        <v>361</v>
      </c>
      <c r="E11" s="67"/>
      <c r="F11" s="67"/>
      <c r="G11" s="67"/>
      <c r="H11" s="67"/>
    </row>
    <row r="12" spans="1:8">
      <c r="A12" s="22">
        <v>5</v>
      </c>
      <c r="B12" s="67"/>
      <c r="C12" s="67"/>
      <c r="D12" s="144" t="s">
        <v>362</v>
      </c>
      <c r="E12" s="67"/>
      <c r="F12" s="67"/>
      <c r="G12" s="67"/>
      <c r="H12" s="67"/>
    </row>
    <row r="13" spans="1:8">
      <c r="A13" s="22">
        <v>6</v>
      </c>
      <c r="B13" s="67"/>
      <c r="C13" s="67"/>
      <c r="D13" s="144" t="s">
        <v>363</v>
      </c>
      <c r="E13" s="66"/>
      <c r="F13" s="67"/>
      <c r="G13" s="67"/>
      <c r="H13" s="67"/>
    </row>
    <row r="14" spans="1:8">
      <c r="A14" s="22">
        <v>7</v>
      </c>
      <c r="B14" s="67"/>
      <c r="C14" s="67"/>
      <c r="D14" s="144" t="s">
        <v>364</v>
      </c>
      <c r="E14" s="67"/>
      <c r="F14" s="67"/>
      <c r="G14" s="67"/>
      <c r="H14" s="67"/>
    </row>
    <row r="15" spans="1:8">
      <c r="A15" s="22">
        <v>8</v>
      </c>
      <c r="B15" s="67"/>
      <c r="C15" s="67"/>
      <c r="D15" s="144" t="s">
        <v>365</v>
      </c>
      <c r="E15" s="67"/>
      <c r="F15" s="67"/>
      <c r="G15" s="67"/>
      <c r="H15" s="67"/>
    </row>
    <row r="16" spans="1:8">
      <c r="A16" s="22">
        <v>9</v>
      </c>
      <c r="B16" s="67"/>
      <c r="C16" s="67"/>
      <c r="D16" s="144" t="s">
        <v>366</v>
      </c>
      <c r="E16" s="66"/>
      <c r="F16" s="67"/>
      <c r="G16" s="67"/>
      <c r="H16" s="67"/>
    </row>
    <row r="17" spans="1:8">
      <c r="A17" s="22">
        <v>10</v>
      </c>
      <c r="B17" s="67"/>
      <c r="C17" s="67"/>
      <c r="D17" s="144" t="s">
        <v>367</v>
      </c>
      <c r="E17" s="66"/>
      <c r="F17" s="67"/>
      <c r="G17" s="67"/>
      <c r="H17" s="67"/>
    </row>
    <row r="18" spans="1:8">
      <c r="A18" s="22">
        <v>11</v>
      </c>
      <c r="B18" s="67"/>
      <c r="C18" s="67"/>
      <c r="D18" s="144" t="s">
        <v>368</v>
      </c>
      <c r="E18" s="67"/>
      <c r="F18" s="67"/>
      <c r="G18" s="67"/>
      <c r="H18" s="67"/>
    </row>
    <row r="19" spans="1:8">
      <c r="A19" s="22">
        <v>12</v>
      </c>
      <c r="B19" s="67"/>
      <c r="C19" s="67"/>
      <c r="D19" s="144" t="s">
        <v>369</v>
      </c>
      <c r="E19" s="67"/>
      <c r="F19" s="67"/>
      <c r="G19" s="67"/>
      <c r="H19" s="67"/>
    </row>
    <row r="20" spans="1:8">
      <c r="A20" s="22">
        <v>13</v>
      </c>
      <c r="B20" s="67"/>
      <c r="C20" s="67"/>
      <c r="D20" s="144" t="s">
        <v>370</v>
      </c>
      <c r="E20" s="67"/>
      <c r="F20" s="67"/>
      <c r="G20" s="67"/>
      <c r="H20" s="67"/>
    </row>
    <row r="21" spans="1:8">
      <c r="A21" s="22">
        <v>14</v>
      </c>
      <c r="B21" s="67"/>
      <c r="C21" s="67"/>
      <c r="D21" s="144" t="s">
        <v>371</v>
      </c>
      <c r="E21" s="67"/>
      <c r="F21" s="67"/>
      <c r="G21" s="67"/>
      <c r="H21" s="67"/>
    </row>
    <row r="22" spans="1:8">
      <c r="A22" s="22">
        <v>15</v>
      </c>
      <c r="B22" s="67"/>
      <c r="C22" s="67"/>
      <c r="D22" s="144" t="s">
        <v>372</v>
      </c>
      <c r="E22" s="67"/>
      <c r="F22" s="67"/>
      <c r="G22" s="67"/>
      <c r="H22" s="67"/>
    </row>
    <row r="23" spans="1:8">
      <c r="A23" s="22">
        <v>16</v>
      </c>
      <c r="B23" s="67"/>
      <c r="C23" s="67"/>
      <c r="D23" s="144" t="s">
        <v>373</v>
      </c>
      <c r="E23" s="67"/>
      <c r="F23" s="67"/>
      <c r="G23" s="67"/>
      <c r="H23" s="67"/>
    </row>
    <row r="24" spans="1:8">
      <c r="A24" s="22">
        <v>17</v>
      </c>
      <c r="B24" s="67"/>
      <c r="C24" s="67"/>
      <c r="D24" s="144" t="s">
        <v>374</v>
      </c>
      <c r="E24" s="67"/>
      <c r="F24" s="67"/>
      <c r="G24" s="67"/>
      <c r="H24" s="67"/>
    </row>
    <row r="25" spans="1:8">
      <c r="A25" s="22">
        <v>18</v>
      </c>
      <c r="B25" s="67"/>
      <c r="C25" s="67"/>
      <c r="D25" s="144" t="s">
        <v>375</v>
      </c>
      <c r="E25" s="78"/>
      <c r="F25" s="67"/>
      <c r="G25" s="67"/>
      <c r="H25" s="67"/>
    </row>
    <row r="26" spans="1:8">
      <c r="A26" s="22">
        <v>19</v>
      </c>
      <c r="B26" s="67"/>
      <c r="C26" s="67"/>
      <c r="D26" s="144" t="s">
        <v>376</v>
      </c>
      <c r="E26" s="67"/>
      <c r="F26" s="67"/>
      <c r="G26" s="67"/>
      <c r="H26" s="67"/>
    </row>
    <row r="27" spans="1:8">
      <c r="A27" s="22">
        <v>20</v>
      </c>
      <c r="B27" s="67"/>
      <c r="C27" s="67"/>
      <c r="D27" s="144" t="s">
        <v>377</v>
      </c>
      <c r="E27" s="67"/>
      <c r="F27" s="67"/>
      <c r="G27" s="67"/>
      <c r="H27" s="67"/>
    </row>
    <row r="28" spans="1:8">
      <c r="A28" s="22">
        <v>21</v>
      </c>
      <c r="B28" s="67"/>
      <c r="C28" s="67"/>
      <c r="D28" s="144" t="s">
        <v>378</v>
      </c>
      <c r="E28" s="67"/>
      <c r="F28" s="67"/>
      <c r="G28" s="67"/>
      <c r="H28" s="67"/>
    </row>
    <row r="29" spans="1:8">
      <c r="A29" s="22">
        <v>22</v>
      </c>
      <c r="B29" s="67"/>
      <c r="C29" s="67"/>
      <c r="D29" s="144" t="s">
        <v>379</v>
      </c>
      <c r="E29" s="67"/>
      <c r="F29" s="67"/>
      <c r="G29" s="67"/>
      <c r="H29" s="67"/>
    </row>
    <row r="30" spans="1:8">
      <c r="A30" s="22">
        <v>23</v>
      </c>
      <c r="B30" s="67"/>
      <c r="C30" s="67"/>
      <c r="D30" s="144" t="s">
        <v>380</v>
      </c>
      <c r="E30" s="67"/>
      <c r="F30" s="67"/>
      <c r="G30" s="67"/>
      <c r="H30" s="67"/>
    </row>
    <row r="31" spans="1:8">
      <c r="A31" s="22">
        <v>24</v>
      </c>
      <c r="B31" s="67"/>
      <c r="C31" s="67"/>
      <c r="D31" s="144" t="s">
        <v>381</v>
      </c>
      <c r="E31" s="67"/>
      <c r="F31" s="67"/>
      <c r="G31" s="67"/>
      <c r="H31" s="67"/>
    </row>
    <row r="32" spans="1:8">
      <c r="A32" s="22">
        <v>25</v>
      </c>
      <c r="B32" s="67"/>
      <c r="C32" s="67"/>
      <c r="D32" s="144" t="s">
        <v>382</v>
      </c>
      <c r="E32" s="67"/>
      <c r="F32" s="67"/>
      <c r="G32" s="67"/>
      <c r="H32" s="67"/>
    </row>
    <row r="33" spans="1:8">
      <c r="A33" s="22">
        <v>26</v>
      </c>
      <c r="B33" s="67"/>
      <c r="C33" s="67"/>
      <c r="D33" s="144" t="s">
        <v>383</v>
      </c>
      <c r="E33" s="78"/>
      <c r="F33" s="67"/>
      <c r="G33" s="67"/>
      <c r="H33" s="67"/>
    </row>
    <row r="34" spans="1:8">
      <c r="A34" s="22">
        <v>27</v>
      </c>
      <c r="B34" s="67"/>
      <c r="C34" s="67"/>
      <c r="D34" s="144" t="s">
        <v>384</v>
      </c>
      <c r="E34" s="78"/>
      <c r="F34" s="67"/>
      <c r="G34" s="67"/>
      <c r="H34" s="67"/>
    </row>
    <row r="35" spans="1:8">
      <c r="A35" s="22">
        <v>28</v>
      </c>
      <c r="B35" s="67"/>
      <c r="C35" s="67"/>
      <c r="D35" s="144" t="s">
        <v>385</v>
      </c>
      <c r="E35" s="67"/>
      <c r="F35" s="67"/>
      <c r="G35" s="67"/>
      <c r="H35" s="67"/>
    </row>
    <row r="36" spans="1:8">
      <c r="A36" s="22">
        <v>29</v>
      </c>
      <c r="B36" s="67"/>
      <c r="C36" s="67"/>
      <c r="D36" s="144" t="s">
        <v>386</v>
      </c>
      <c r="E36" s="67"/>
      <c r="F36" s="67"/>
      <c r="G36" s="67"/>
      <c r="H36" s="67"/>
    </row>
    <row r="37" spans="1:8">
      <c r="A37" s="22">
        <v>30</v>
      </c>
      <c r="B37" s="67"/>
      <c r="C37" s="67"/>
      <c r="D37" s="144" t="s">
        <v>387</v>
      </c>
      <c r="E37" s="67"/>
      <c r="F37" s="67"/>
      <c r="G37" s="67"/>
      <c r="H37" s="67"/>
    </row>
    <row r="38" spans="1:8">
      <c r="A38" s="22">
        <v>31</v>
      </c>
      <c r="B38" s="67"/>
      <c r="C38" s="67"/>
      <c r="D38" s="144" t="s">
        <v>388</v>
      </c>
      <c r="E38" s="78"/>
      <c r="F38" s="67"/>
      <c r="G38" s="67"/>
      <c r="H38" s="67"/>
    </row>
    <row r="39" spans="1:8">
      <c r="A39" s="22">
        <v>32</v>
      </c>
      <c r="B39" s="67"/>
      <c r="C39" s="67"/>
      <c r="D39" s="144" t="s">
        <v>389</v>
      </c>
      <c r="E39" s="67"/>
      <c r="F39" s="67"/>
      <c r="G39" s="67"/>
      <c r="H39" s="67"/>
    </row>
    <row r="40" spans="1:8">
      <c r="A40" s="22">
        <v>33</v>
      </c>
      <c r="B40" s="67"/>
      <c r="C40" s="67"/>
      <c r="D40" s="144" t="s">
        <v>390</v>
      </c>
      <c r="E40" s="67"/>
      <c r="F40" s="67"/>
      <c r="G40" s="67"/>
      <c r="H40" s="67"/>
    </row>
    <row r="41" spans="1:8">
      <c r="A41" s="22">
        <v>34</v>
      </c>
      <c r="B41" s="67"/>
      <c r="C41" s="67"/>
      <c r="D41" s="144"/>
      <c r="E41" s="67"/>
      <c r="F41" s="67"/>
      <c r="G41" s="67"/>
      <c r="H41" s="67"/>
    </row>
    <row r="42" spans="1:8">
      <c r="A42" s="22">
        <v>35</v>
      </c>
      <c r="B42" s="67"/>
      <c r="C42" s="67"/>
      <c r="D42" s="144"/>
      <c r="E42" s="67"/>
      <c r="F42" s="67"/>
      <c r="G42" s="67"/>
      <c r="H42" s="67"/>
    </row>
    <row r="43" spans="1:8">
      <c r="A43" s="22">
        <v>36</v>
      </c>
      <c r="B43" s="67"/>
      <c r="C43" s="67"/>
      <c r="D43" s="144"/>
      <c r="E43" s="67"/>
      <c r="F43" s="67"/>
      <c r="G43" s="67"/>
      <c r="H43" s="67"/>
    </row>
    <row r="44" spans="1:8">
      <c r="A44" s="22">
        <v>37</v>
      </c>
      <c r="B44" s="67"/>
      <c r="C44" s="67"/>
      <c r="D44" s="144"/>
      <c r="E44" s="67"/>
      <c r="F44" s="67"/>
      <c r="G44" s="67"/>
      <c r="H44" s="67"/>
    </row>
    <row r="45" spans="1:8">
      <c r="A45" s="22">
        <v>38</v>
      </c>
      <c r="B45" s="67"/>
      <c r="C45" s="67"/>
      <c r="D45" s="144"/>
      <c r="E45" s="67"/>
      <c r="F45" s="67"/>
      <c r="G45" s="67"/>
      <c r="H45" s="67"/>
    </row>
    <row r="46" spans="1:8">
      <c r="A46" s="22">
        <v>39</v>
      </c>
      <c r="B46" s="67"/>
      <c r="C46" s="67"/>
      <c r="D46" s="144"/>
      <c r="E46" s="67"/>
      <c r="F46" s="67"/>
      <c r="G46" s="67"/>
      <c r="H46" s="67"/>
    </row>
    <row r="47" spans="1:8">
      <c r="A47" s="22">
        <v>40</v>
      </c>
      <c r="B47" s="67"/>
      <c r="C47" s="67"/>
      <c r="D47" s="144"/>
      <c r="E47" s="67"/>
      <c r="F47" s="67"/>
      <c r="G47" s="67"/>
      <c r="H47" s="67"/>
    </row>
    <row r="48" spans="1:8">
      <c r="A48" s="22">
        <v>41</v>
      </c>
      <c r="B48" s="67"/>
      <c r="C48" s="67"/>
      <c r="D48" s="144"/>
      <c r="E48" s="67"/>
      <c r="F48" s="67"/>
      <c r="G48" s="67"/>
      <c r="H48" s="67"/>
    </row>
    <row r="49" spans="1:8">
      <c r="A49" s="22">
        <v>42</v>
      </c>
      <c r="B49" s="67"/>
      <c r="C49" s="67"/>
      <c r="D49" s="144"/>
      <c r="E49" s="78"/>
      <c r="F49" s="67"/>
      <c r="G49" s="67"/>
      <c r="H49" s="67"/>
    </row>
    <row r="50" spans="1:8">
      <c r="A50" s="22">
        <v>43</v>
      </c>
      <c r="B50" s="67"/>
      <c r="C50" s="67"/>
      <c r="D50" s="144"/>
      <c r="E50" s="67"/>
      <c r="F50" s="67"/>
      <c r="G50" s="67"/>
      <c r="H50" s="67"/>
    </row>
    <row r="51" spans="1:8">
      <c r="A51" s="22">
        <v>44</v>
      </c>
      <c r="B51" s="67"/>
      <c r="C51" s="67"/>
      <c r="D51" s="144"/>
      <c r="E51" s="78"/>
      <c r="F51" s="67"/>
      <c r="G51" s="67"/>
      <c r="H51" s="67"/>
    </row>
    <row r="52" spans="1:8">
      <c r="A52" s="22">
        <v>45</v>
      </c>
      <c r="B52" s="67"/>
      <c r="C52" s="67"/>
      <c r="D52" s="144"/>
      <c r="E52" s="67"/>
      <c r="F52" s="67"/>
      <c r="G52" s="67"/>
      <c r="H52" s="67"/>
    </row>
    <row r="53" spans="1:8">
      <c r="A53" s="22">
        <v>46</v>
      </c>
      <c r="B53" s="67"/>
      <c r="C53" s="67"/>
      <c r="D53" s="144"/>
      <c r="E53" s="67"/>
      <c r="F53" s="67"/>
      <c r="G53" s="67"/>
      <c r="H53" s="67"/>
    </row>
    <row r="54" spans="1:8">
      <c r="A54" s="22">
        <v>47</v>
      </c>
      <c r="B54" s="67"/>
      <c r="C54" s="67"/>
      <c r="D54" s="144"/>
      <c r="E54" s="67"/>
      <c r="F54" s="67"/>
      <c r="G54" s="67"/>
      <c r="H54" s="67"/>
    </row>
    <row r="55" spans="1:8">
      <c r="A55" s="143">
        <v>48</v>
      </c>
      <c r="B55" s="67"/>
      <c r="C55" s="67"/>
      <c r="D55" s="144"/>
      <c r="E55" s="67"/>
      <c r="F55" s="67"/>
      <c r="G55" s="67"/>
      <c r="H55" s="67"/>
    </row>
    <row r="56" spans="1:8" ht="15.75">
      <c r="A56" s="241"/>
      <c r="B56" s="241"/>
      <c r="C56" s="241"/>
      <c r="D56" s="145">
        <f>IF(D8="","",COUNTA($D$8:$D$55))</f>
        <v>33</v>
      </c>
      <c r="E56" s="146" t="s">
        <v>350</v>
      </c>
      <c r="F56" s="147"/>
      <c r="G56" s="147"/>
      <c r="H56" s="148"/>
    </row>
    <row r="57" spans="1:8">
      <c r="A57" s="6"/>
      <c r="B57" s="6"/>
      <c r="C57" s="6"/>
      <c r="D57" s="6"/>
      <c r="E57" s="6"/>
      <c r="F57" s="21"/>
      <c r="G57" s="21"/>
      <c r="H57" s="21"/>
    </row>
  </sheetData>
  <sheetProtection password="D4C3" sheet="1" objects="1" scenarios="1"/>
  <sortState ref="D8:E55">
    <sortCondition ref="D8:D55"/>
  </sortState>
  <mergeCells count="13">
    <mergeCell ref="A56:C56"/>
    <mergeCell ref="F6:F7"/>
    <mergeCell ref="G6:G7"/>
    <mergeCell ref="H6:H7"/>
    <mergeCell ref="A1:H2"/>
    <mergeCell ref="A3:D3"/>
    <mergeCell ref="F3:H3"/>
    <mergeCell ref="A5:A7"/>
    <mergeCell ref="B5:B7"/>
    <mergeCell ref="C5:C7"/>
    <mergeCell ref="D5:D7"/>
    <mergeCell ref="E5:E7"/>
    <mergeCell ref="F5:H5"/>
  </mergeCells>
  <hyperlinks>
    <hyperlink ref="A1:B2" location="Sheet1!A1" display="BACK TO MENU"/>
    <hyperlink ref="A1:D2" location="opening!A1" display="BACK TO MENU"/>
    <hyperlink ref="A1:H2" location="UTAMA!A1" display="BACK TO MENU"/>
  </hyperlinks>
  <pageMargins left="0.7" right="0.7" top="0.75" bottom="0.75" header="0.3" footer="0.3"/>
  <pageSetup paperSize="9" orientation="portrait" horizontalDpi="4294967292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A55"/>
  <sheetViews>
    <sheetView zoomScale="80" zoomScaleNormal="80" zoomScaleSheetLayoutView="100" workbookViewId="0"/>
  </sheetViews>
  <sheetFormatPr defaultColWidth="0" defaultRowHeight="15"/>
  <cols>
    <col min="1" max="1" width="3.42578125" style="6" customWidth="1"/>
    <col min="2" max="2" width="25.85546875" style="6" customWidth="1"/>
    <col min="3" max="3" width="1.85546875" style="6" customWidth="1"/>
    <col min="4" max="4" width="4.28515625" style="6" hidden="1" customWidth="1"/>
    <col min="5" max="5" width="5.28515625" style="6" customWidth="1"/>
    <col min="6" max="10" width="4.42578125" style="6" customWidth="1"/>
    <col min="11" max="11" width="5.140625" style="6" customWidth="1"/>
    <col min="12" max="12" width="6.140625" style="6" customWidth="1"/>
    <col min="13" max="13" width="4.42578125" style="6" hidden="1" customWidth="1"/>
    <col min="14" max="15" width="4.42578125" style="6" customWidth="1"/>
    <col min="16" max="16" width="5.28515625" style="6" customWidth="1"/>
    <col min="17" max="17" width="4.85546875" style="6" customWidth="1"/>
    <col min="18" max="18" width="4.42578125" style="6" customWidth="1"/>
    <col min="19" max="19" width="6" style="6" customWidth="1"/>
    <col min="20" max="23" width="9.140625" style="6" customWidth="1"/>
    <col min="24" max="27" width="0" style="6" hidden="1" customWidth="1"/>
    <col min="28" max="16384" width="9.140625" style="6" hidden="1"/>
  </cols>
  <sheetData>
    <row r="1" spans="1:22" ht="7.5" customHeight="1">
      <c r="U1" s="290" t="s">
        <v>86</v>
      </c>
      <c r="V1" s="291"/>
    </row>
    <row r="2" spans="1:22" ht="21.75" thickBot="1">
      <c r="B2" s="301" t="s">
        <v>98</v>
      </c>
      <c r="C2" s="301"/>
      <c r="D2" s="301"/>
      <c r="E2" s="301"/>
      <c r="F2" s="301"/>
      <c r="G2" s="301"/>
      <c r="H2" s="301"/>
      <c r="I2" s="301"/>
      <c r="J2" s="301"/>
      <c r="K2" s="301"/>
      <c r="L2" s="301"/>
      <c r="M2" s="301"/>
      <c r="N2" s="301"/>
      <c r="O2" s="301"/>
      <c r="P2" s="301"/>
      <c r="Q2" s="301"/>
      <c r="R2" s="301"/>
      <c r="S2" s="301"/>
      <c r="U2" s="292"/>
      <c r="V2" s="293"/>
    </row>
    <row r="3" spans="1:22" ht="20.25">
      <c r="A3" s="1"/>
      <c r="B3" s="298" t="s">
        <v>113</v>
      </c>
      <c r="C3" s="298"/>
      <c r="D3" s="298"/>
      <c r="E3" s="298"/>
      <c r="F3" s="298"/>
      <c r="G3" s="298"/>
      <c r="H3" s="298"/>
      <c r="I3" s="298"/>
      <c r="J3" s="298"/>
      <c r="K3" s="298"/>
      <c r="L3" s="298"/>
      <c r="M3" s="298"/>
      <c r="N3" s="298"/>
      <c r="O3" s="298"/>
      <c r="P3" s="298"/>
      <c r="Q3" s="298"/>
      <c r="R3" s="298"/>
      <c r="S3" s="298"/>
      <c r="T3" s="9"/>
      <c r="U3" s="294">
        <v>1</v>
      </c>
      <c r="V3" s="295"/>
    </row>
    <row r="4" spans="1:22" ht="21" thickBot="1">
      <c r="A4" s="1"/>
      <c r="B4" s="299" t="s">
        <v>112</v>
      </c>
      <c r="C4" s="299"/>
      <c r="D4" s="299"/>
      <c r="E4" s="299"/>
      <c r="F4" s="299"/>
      <c r="G4" s="299"/>
      <c r="H4" s="299"/>
      <c r="I4" s="299"/>
      <c r="J4" s="299"/>
      <c r="K4" s="299"/>
      <c r="L4" s="299"/>
      <c r="M4" s="299"/>
      <c r="N4" s="299"/>
      <c r="O4" s="299"/>
      <c r="P4" s="299"/>
      <c r="Q4" s="299"/>
      <c r="R4" s="299"/>
      <c r="S4" s="299"/>
      <c r="T4" s="8"/>
      <c r="U4" s="296"/>
      <c r="V4" s="297"/>
    </row>
    <row r="5" spans="1:22">
      <c r="A5" s="2"/>
      <c r="B5" s="300" t="s">
        <v>114</v>
      </c>
      <c r="C5" s="300"/>
      <c r="D5" s="300"/>
      <c r="E5" s="300"/>
      <c r="F5" s="300"/>
      <c r="G5" s="300"/>
      <c r="H5" s="300"/>
      <c r="I5" s="300"/>
      <c r="J5" s="300"/>
      <c r="K5" s="300"/>
      <c r="L5" s="300"/>
      <c r="M5" s="300"/>
      <c r="N5" s="300"/>
      <c r="O5" s="300"/>
      <c r="P5" s="300"/>
      <c r="Q5" s="300"/>
      <c r="R5" s="300"/>
      <c r="S5" s="300"/>
      <c r="T5" s="7"/>
    </row>
    <row r="6" spans="1:22" ht="15.75" thickBot="1">
      <c r="A6" s="288"/>
      <c r="B6" s="288"/>
      <c r="C6" s="288"/>
      <c r="D6" s="288"/>
      <c r="E6" s="288"/>
      <c r="F6" s="288"/>
      <c r="G6" s="288"/>
      <c r="H6" s="288"/>
      <c r="I6" s="288"/>
      <c r="J6" s="288"/>
      <c r="K6" s="288"/>
      <c r="L6" s="288"/>
      <c r="M6" s="288"/>
      <c r="N6" s="288"/>
      <c r="O6" s="288"/>
      <c r="P6" s="288"/>
      <c r="Q6" s="288"/>
      <c r="R6" s="288"/>
      <c r="S6" s="288"/>
      <c r="T6" s="3"/>
    </row>
    <row r="7" spans="1:22" ht="26.25" customHeight="1" thickTop="1">
      <c r="A7" s="289" t="s">
        <v>39</v>
      </c>
      <c r="B7" s="289"/>
      <c r="C7" s="289"/>
      <c r="D7" s="289"/>
      <c r="E7" s="289"/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3"/>
    </row>
    <row r="8" spans="1:22">
      <c r="B8" s="4" t="s">
        <v>41</v>
      </c>
      <c r="C8" s="32" t="s">
        <v>0</v>
      </c>
      <c r="E8" s="302">
        <f>U3</f>
        <v>1</v>
      </c>
      <c r="F8" s="302"/>
      <c r="G8" s="302"/>
      <c r="H8" s="302"/>
      <c r="I8" s="302"/>
      <c r="J8" s="302"/>
      <c r="K8" s="302"/>
      <c r="L8" s="302"/>
      <c r="N8" s="4" t="s">
        <v>40</v>
      </c>
      <c r="O8" s="4"/>
      <c r="Q8" s="32" t="s">
        <v>0</v>
      </c>
      <c r="R8" s="120" t="str">
        <f>UTAMA!D15</f>
        <v>VII</v>
      </c>
      <c r="S8" s="33"/>
      <c r="T8" s="4"/>
    </row>
    <row r="9" spans="1:22" ht="25.5" customHeight="1">
      <c r="B9" s="4" t="s">
        <v>42</v>
      </c>
      <c r="C9" s="32" t="s">
        <v>0</v>
      </c>
      <c r="E9" s="303" t="str">
        <f>IF(VLOOKUP($U$3,DATA!$A$8:$H$55,4)="","",VLOOKUP($U$3,DATA!$A$8:$H$55,4))</f>
        <v>Abd. Muis</v>
      </c>
      <c r="F9" s="303"/>
      <c r="G9" s="303"/>
      <c r="H9" s="303"/>
      <c r="I9" s="303"/>
      <c r="J9" s="303"/>
      <c r="K9" s="303"/>
      <c r="L9" s="303"/>
      <c r="N9" s="5" t="s">
        <v>1</v>
      </c>
      <c r="O9" s="34"/>
      <c r="Q9" s="32" t="s">
        <v>0</v>
      </c>
      <c r="R9" s="198" t="str">
        <f>UTAMA!D16</f>
        <v>Ganjil</v>
      </c>
      <c r="S9" s="35"/>
      <c r="T9" s="5"/>
    </row>
    <row r="10" spans="1:22">
      <c r="B10" s="4" t="s">
        <v>43</v>
      </c>
      <c r="C10" s="32" t="s">
        <v>0</v>
      </c>
      <c r="E10" s="304" t="str">
        <f>IF(VLOOKUP($U$3,DATA!$A$8:$H$55,2)="","",VLOOKUP($U$3,DATA!$A$8:$H$55,2))</f>
        <v/>
      </c>
      <c r="F10" s="304"/>
      <c r="G10" s="304"/>
      <c r="H10" s="304"/>
      <c r="I10" s="304"/>
      <c r="J10" s="304"/>
      <c r="K10" s="304"/>
      <c r="L10" s="304"/>
      <c r="N10" s="5" t="s">
        <v>2</v>
      </c>
      <c r="O10" s="34"/>
      <c r="Q10" s="32" t="s">
        <v>0</v>
      </c>
      <c r="R10" s="198" t="str">
        <f>UTAMA!D17</f>
        <v>2017-2018</v>
      </c>
      <c r="S10" s="35"/>
      <c r="T10" s="5"/>
    </row>
    <row r="11" spans="1:22">
      <c r="B11" s="4" t="s">
        <v>44</v>
      </c>
      <c r="C11" s="32" t="s">
        <v>0</v>
      </c>
      <c r="E11" s="304" t="str">
        <f>IF(VLOOKUP($U$3,DATA!$A$8:$H$55,3)="","",VLOOKUP($U$3,DATA!$A$8:$H$55,3))</f>
        <v/>
      </c>
      <c r="F11" s="304"/>
      <c r="G11" s="304"/>
      <c r="H11" s="304"/>
      <c r="I11" s="304"/>
      <c r="J11" s="304"/>
      <c r="K11" s="304"/>
      <c r="L11" s="304"/>
      <c r="M11" s="36"/>
      <c r="N11" s="36"/>
      <c r="O11" s="34"/>
      <c r="P11" s="5"/>
      <c r="Q11" s="5"/>
      <c r="R11" s="37"/>
      <c r="S11" s="37"/>
      <c r="T11" s="5"/>
    </row>
    <row r="12" spans="1:22" ht="9" customHeight="1">
      <c r="O12" s="34"/>
      <c r="P12" s="5"/>
      <c r="Q12" s="5"/>
      <c r="R12" s="37"/>
      <c r="S12" s="37"/>
      <c r="T12" s="5"/>
    </row>
    <row r="13" spans="1:22" ht="15.75" customHeight="1">
      <c r="A13" s="306" t="s">
        <v>318</v>
      </c>
      <c r="B13" s="306"/>
      <c r="C13" s="306"/>
      <c r="D13" s="306"/>
      <c r="E13" s="306"/>
      <c r="F13" s="306"/>
      <c r="G13" s="306"/>
      <c r="H13" s="306"/>
      <c r="I13" s="306" t="s">
        <v>319</v>
      </c>
      <c r="J13" s="306"/>
      <c r="K13" s="306"/>
      <c r="L13" s="306"/>
      <c r="M13" s="306"/>
      <c r="N13" s="306"/>
      <c r="O13" s="306"/>
      <c r="P13" s="306"/>
      <c r="Q13" s="306"/>
      <c r="R13" s="306"/>
      <c r="S13" s="306"/>
      <c r="T13" s="5"/>
    </row>
    <row r="14" spans="1:22" ht="66.75" customHeight="1">
      <c r="A14" s="305" t="str">
        <f>VLOOKUP($U$3,DESKRIPSI!$A$11:$FP$60,164,FALSE)</f>
        <v/>
      </c>
      <c r="B14" s="305"/>
      <c r="C14" s="305"/>
      <c r="D14" s="305"/>
      <c r="E14" s="305"/>
      <c r="F14" s="305"/>
      <c r="G14" s="305"/>
      <c r="H14" s="305"/>
      <c r="I14" s="305" t="str">
        <f>VLOOKUP($U$3,DESKRIPSI!$A$11:$FP$60,172,FALSE)</f>
        <v xml:space="preserve">,  ,  ,  ,  ,  ,  ,  </v>
      </c>
      <c r="J14" s="305"/>
      <c r="K14" s="305"/>
      <c r="L14" s="305"/>
      <c r="M14" s="305"/>
      <c r="N14" s="305"/>
      <c r="O14" s="305"/>
      <c r="P14" s="305"/>
      <c r="Q14" s="305"/>
      <c r="R14" s="305"/>
      <c r="S14" s="305"/>
      <c r="T14" s="5"/>
    </row>
    <row r="15" spans="1:22" ht="15.75">
      <c r="A15" s="263" t="s">
        <v>3</v>
      </c>
      <c r="B15" s="263"/>
      <c r="C15" s="38"/>
    </row>
    <row r="16" spans="1:22" ht="36" customHeight="1">
      <c r="A16" s="266" t="s">
        <v>4</v>
      </c>
      <c r="B16" s="267"/>
      <c r="C16" s="268"/>
      <c r="D16" s="278" t="s">
        <v>31</v>
      </c>
      <c r="E16" s="279" t="s">
        <v>31</v>
      </c>
      <c r="F16" s="265" t="s">
        <v>5</v>
      </c>
      <c r="G16" s="265"/>
      <c r="H16" s="265"/>
      <c r="I16" s="265"/>
      <c r="J16" s="265"/>
      <c r="K16" s="265"/>
      <c r="L16" s="265"/>
      <c r="M16" s="278" t="s">
        <v>31</v>
      </c>
      <c r="N16" s="266" t="s">
        <v>38</v>
      </c>
      <c r="O16" s="267"/>
      <c r="P16" s="267"/>
      <c r="Q16" s="267"/>
      <c r="R16" s="267"/>
      <c r="S16" s="268"/>
    </row>
    <row r="17" spans="1:27" ht="16.5" customHeight="1">
      <c r="A17" s="269"/>
      <c r="B17" s="270"/>
      <c r="C17" s="271"/>
      <c r="D17" s="278"/>
      <c r="E17" s="280"/>
      <c r="F17" s="275" t="s">
        <v>32</v>
      </c>
      <c r="G17" s="275" t="s">
        <v>33</v>
      </c>
      <c r="H17" s="275" t="s">
        <v>34</v>
      </c>
      <c r="I17" s="275" t="s">
        <v>35</v>
      </c>
      <c r="J17" s="275" t="s">
        <v>36</v>
      </c>
      <c r="K17" s="265" t="s">
        <v>37</v>
      </c>
      <c r="L17" s="265"/>
      <c r="M17" s="278"/>
      <c r="N17" s="275" t="s">
        <v>32</v>
      </c>
      <c r="O17" s="275" t="s">
        <v>33</v>
      </c>
      <c r="P17" s="275" t="s">
        <v>34</v>
      </c>
      <c r="Q17" s="275" t="s">
        <v>35</v>
      </c>
      <c r="R17" s="265" t="s">
        <v>37</v>
      </c>
      <c r="S17" s="265"/>
    </row>
    <row r="18" spans="1:27" ht="24">
      <c r="A18" s="272"/>
      <c r="B18" s="273"/>
      <c r="C18" s="274"/>
      <c r="D18" s="278"/>
      <c r="E18" s="281"/>
      <c r="F18" s="275"/>
      <c r="G18" s="275"/>
      <c r="H18" s="275"/>
      <c r="I18" s="275"/>
      <c r="J18" s="275"/>
      <c r="K18" s="131" t="s">
        <v>344</v>
      </c>
      <c r="L18" s="131" t="s">
        <v>345</v>
      </c>
      <c r="M18" s="278"/>
      <c r="N18" s="275"/>
      <c r="O18" s="275"/>
      <c r="P18" s="275"/>
      <c r="Q18" s="275"/>
      <c r="R18" s="131" t="s">
        <v>344</v>
      </c>
      <c r="S18" s="131" t="s">
        <v>345</v>
      </c>
    </row>
    <row r="19" spans="1:27" ht="15.75">
      <c r="A19" s="264" t="s">
        <v>6</v>
      </c>
      <c r="B19" s="264"/>
      <c r="C19" s="55"/>
      <c r="D19" s="39"/>
      <c r="E19" s="58"/>
      <c r="F19" s="40"/>
      <c r="G19" s="40"/>
      <c r="H19" s="40"/>
      <c r="I19" s="40"/>
      <c r="J19" s="40"/>
      <c r="K19" s="40"/>
      <c r="L19" s="41"/>
      <c r="M19" s="42"/>
      <c r="N19" s="40"/>
      <c r="O19" s="40"/>
      <c r="P19" s="40"/>
      <c r="Q19" s="40"/>
      <c r="R19" s="40"/>
      <c r="S19" s="40"/>
    </row>
    <row r="20" spans="1:27" ht="15" customHeight="1">
      <c r="A20" s="43">
        <v>1</v>
      </c>
      <c r="B20" s="276" t="s">
        <v>7</v>
      </c>
      <c r="C20" s="277"/>
      <c r="D20" s="44"/>
      <c r="E20" s="59"/>
      <c r="F20" s="45"/>
      <c r="G20" s="46"/>
      <c r="H20" s="46"/>
      <c r="I20" s="46"/>
      <c r="J20" s="46"/>
      <c r="K20" s="46"/>
      <c r="L20" s="46"/>
      <c r="M20" s="44"/>
      <c r="N20" s="46"/>
      <c r="O20" s="46"/>
      <c r="P20" s="46"/>
      <c r="Q20" s="46"/>
      <c r="R20" s="46"/>
      <c r="S20" s="46"/>
    </row>
    <row r="21" spans="1:27">
      <c r="A21" s="43"/>
      <c r="B21" s="276" t="s">
        <v>8</v>
      </c>
      <c r="C21" s="277"/>
      <c r="D21" s="47" t="s">
        <v>87</v>
      </c>
      <c r="E21" s="29" t="str">
        <f>IF(QH!AH8="","",QH!AH8)</f>
        <v/>
      </c>
      <c r="F21" s="29">
        <f>IF(VLOOKUP($U$3,QH!$A$8:$W$55,3)="","",VLOOKUP($U$3,QH!$A$8:$W$55,3))</f>
        <v>80</v>
      </c>
      <c r="G21" s="29">
        <f>IF(VLOOKUP($U$3,QH!$A$8:$W$55,4)="","",VLOOKUP($U$3,QH!$A$8:$W$55,4))</f>
        <v>80</v>
      </c>
      <c r="H21" s="29">
        <f>IF(VLOOKUP($U$3,QH!$A$8:$W$55,5)="","",VLOOKUP($U$3,QH!$A$8:$W$55,5))</f>
        <v>80</v>
      </c>
      <c r="I21" s="29">
        <f>IF(VLOOKUP($U$3,QH!$A$8:$W$55,6)="","",VLOOKUP($U$3,QH!$A$8:$W$55,6))</f>
        <v>85</v>
      </c>
      <c r="J21" s="29" t="str">
        <f>IF(VLOOKUP($U$3,QH!$A$8:$W$55,7)="","",VLOOKUP($U$3,QH!$A$8:$W$55,7))</f>
        <v/>
      </c>
      <c r="K21" s="29" t="str">
        <f>IF(VLOOKUP($U$3,QH!$A$8:$W$55,11)="","",VLOOKUP($U$3,QH!$A$8:$W$55,11))</f>
        <v/>
      </c>
      <c r="L21" s="29" t="str">
        <f>IF(VLOOKUP($U$3,QH!$A$8:$W$55,12)="","",VLOOKUP($U$3,QH!$A$8:$W$55,12))</f>
        <v/>
      </c>
      <c r="M21" s="51" t="s">
        <v>87</v>
      </c>
      <c r="N21" s="29" t="str">
        <f>IF(VLOOKUP($U$3,QH!$A$8:$W$55,13)="","",VLOOKUP($U$3,QH!A8:W55,13))</f>
        <v/>
      </c>
      <c r="O21" s="29" t="str">
        <f>IF(VLOOKUP($U$3,QH!$A$8:$W$55,14)="","",VLOOKUP($U$3,QH!A8:W55,14))</f>
        <v/>
      </c>
      <c r="P21" s="29" t="str">
        <f>IF(VLOOKUP($U$3,QH!$A$8:$W$55,15)="","",VLOOKUP($U$3,QH!A8:W55,15))</f>
        <v/>
      </c>
      <c r="Q21" s="29" t="str">
        <f>IF(VLOOKUP($U$3,QH!$A$8:$W$55,16)="","",VLOOKUP($U$3,QH!A8:W55,16))</f>
        <v/>
      </c>
      <c r="R21" s="29" t="str">
        <f>IF(VLOOKUP($U$3,QH!$A$8:$W$55,21)="","",VLOOKUP($U$3,QH!$A$8:$W$55,21))</f>
        <v/>
      </c>
      <c r="S21" s="29" t="str">
        <f>IF(VLOOKUP($U$3,QH!$A$8:$W$55,22)="","",VLOOKUP($U$3,QH!$A$8:$W$55,22))</f>
        <v/>
      </c>
      <c r="U21" s="30"/>
      <c r="X21" s="97" t="str">
        <f>IF(E21="","",E21)</f>
        <v/>
      </c>
      <c r="Y21" s="97" t="str">
        <f>IF(X21="","",(ROUND((100-X21)/3,0)))</f>
        <v/>
      </c>
      <c r="Z21" s="97" t="str">
        <f>IF(X21="","",X21+Y21+1)</f>
        <v/>
      </c>
      <c r="AA21" s="97" t="str">
        <f>IF(X21="","",Z21+Y21)</f>
        <v/>
      </c>
    </row>
    <row r="22" spans="1:27">
      <c r="A22" s="43"/>
      <c r="B22" s="276" t="s">
        <v>9</v>
      </c>
      <c r="C22" s="277"/>
      <c r="D22" s="47" t="s">
        <v>87</v>
      </c>
      <c r="E22" s="29" t="str">
        <f>IF(AA!AH8="","",AA!AH8)</f>
        <v/>
      </c>
      <c r="F22" s="29" t="str">
        <f>IF(VLOOKUP($U$3,AA!$A$8:$W$55,3)="","",VLOOKUP($U$3,AA!$A$8:$W$55,3))</f>
        <v/>
      </c>
      <c r="G22" s="29" t="str">
        <f>IF(VLOOKUP($U$3,AA!$A$8:$W$55,4)="","",VLOOKUP($U$3,AA!$A$8:$W$55,4))</f>
        <v/>
      </c>
      <c r="H22" s="29" t="str">
        <f>IF(VLOOKUP($U$3,AA!$A$8:$W$55,5)="","",VLOOKUP($U$3,AA!$A$8:$W$55,5))</f>
        <v/>
      </c>
      <c r="I22" s="29" t="str">
        <f>IF(VLOOKUP($U$3,AA!$A$8:$W$55,6)="","",VLOOKUP($U$3,AA!$A$8:$W$55,6))</f>
        <v/>
      </c>
      <c r="J22" s="29" t="str">
        <f>IF(VLOOKUP($U$3,AA!$A$8:$W$55,7)="","",VLOOKUP($U$3,AA!$A$8:$W$55,7))</f>
        <v/>
      </c>
      <c r="K22" s="29" t="str">
        <f>IF(VLOOKUP($U$3,AA!$A$8:$W$55,11)="","",VLOOKUP($U$3,AA!$A$8:$W$55,11))</f>
        <v/>
      </c>
      <c r="L22" s="29" t="str">
        <f>IF(VLOOKUP($U$3,AA!$A$8:$W$55,12)="","",VLOOKUP($U$3,AA!$A$8:$W$55,12))</f>
        <v/>
      </c>
      <c r="M22" s="51" t="s">
        <v>87</v>
      </c>
      <c r="N22" s="29" t="str">
        <f>IF(VLOOKUP($U$3,AA!$A$8:$W$55,13)="","",VLOOKUP($U$3,AA!$A$8:$W$55,13))</f>
        <v/>
      </c>
      <c r="O22" s="29" t="str">
        <f>IF(VLOOKUP($U$3,AA!$A$8:$W$55,14)="","",VLOOKUP($U$3,AA!$A$8:$W$55,14))</f>
        <v/>
      </c>
      <c r="P22" s="29" t="str">
        <f>IF(VLOOKUP($U$3,AA!$A$8:$W$55,15)="","",VLOOKUP($U$3,AA!$A$8:$W$55,15))</f>
        <v/>
      </c>
      <c r="Q22" s="29" t="str">
        <f>IF(VLOOKUP($U$3,AA!$A$8:$W$55,16)="","",VLOOKUP($U$3,AA!$A$8:$W$55,16))</f>
        <v/>
      </c>
      <c r="R22" s="29" t="str">
        <f>IF(VLOOKUP($U$3,AA!$A$8:$W$55,21)="","",VLOOKUP($U$3,AA!$A$8:$W$55,21))</f>
        <v/>
      </c>
      <c r="S22" s="29" t="str">
        <f>IF(VLOOKUP($U$3,AA!$A$8:$W$55,22)="","",VLOOKUP($U$3,AA!$A$8:$W$55,22))</f>
        <v/>
      </c>
      <c r="X22" s="97" t="str">
        <f t="shared" ref="X22:X38" si="0">IF(E22="","",E22)</f>
        <v/>
      </c>
      <c r="Y22" s="97" t="str">
        <f t="shared" ref="Y22:Y38" si="1">IF(X22="","",(ROUND((100-X22)/3,0)))</f>
        <v/>
      </c>
      <c r="Z22" s="97" t="str">
        <f t="shared" ref="Z22:Z38" si="2">IF(X22="","",X22+Y22+1)</f>
        <v/>
      </c>
      <c r="AA22" s="97" t="str">
        <f t="shared" ref="AA22:AA38" si="3">IF(X22="","",Z22+Y22)</f>
        <v/>
      </c>
    </row>
    <row r="23" spans="1:27">
      <c r="A23" s="43"/>
      <c r="B23" s="276" t="s">
        <v>10</v>
      </c>
      <c r="C23" s="277"/>
      <c r="D23" s="47" t="s">
        <v>87</v>
      </c>
      <c r="E23" s="29" t="str">
        <f>IF(FIKIH!AH8="","",FIKIH!AH8)</f>
        <v/>
      </c>
      <c r="F23" s="29" t="str">
        <f>IF(VLOOKUP($U$3,FIKIH!$A$8:$W$55,3)="","",VLOOKUP($U$3,FIKIH!$A$8:$W$55,3))</f>
        <v/>
      </c>
      <c r="G23" s="29" t="str">
        <f>IF(VLOOKUP($U$3,FIKIH!$A$8:$W$55,4)="","",VLOOKUP($U$3,FIKIH!$A$8:$W$55,4))</f>
        <v/>
      </c>
      <c r="H23" s="29" t="str">
        <f>IF(VLOOKUP($U$3,FIKIH!$A$8:$W$55,5)="","",VLOOKUP($U$3,FIKIH!$A$8:$W$55,5))</f>
        <v/>
      </c>
      <c r="I23" s="29" t="str">
        <f>IF(VLOOKUP($U$3,FIKIH!$A$8:$W$55,6)="","",VLOOKUP($U$3,FIKIH!$A$8:$W$55,6))</f>
        <v/>
      </c>
      <c r="J23" s="29" t="str">
        <f>IF(VLOOKUP($U$3,FIKIH!$A$8:$W$55,7)="","",VLOOKUP($U$3,FIKIH!$A$8:$W$55,7))</f>
        <v/>
      </c>
      <c r="K23" s="29" t="str">
        <f>IF(VLOOKUP($U$3,FIKIH!$A$8:$W$55,11)="","",VLOOKUP($U$3,FIKIH!$A$8:$W$55,11))</f>
        <v/>
      </c>
      <c r="L23" s="29" t="str">
        <f>IF(VLOOKUP($U$3,FIKIH!$A$8:$W$55,12)="","",VLOOKUP($U$3,FIKIH!$A$8:$W$55,12))</f>
        <v/>
      </c>
      <c r="M23" s="51" t="s">
        <v>87</v>
      </c>
      <c r="N23" s="29" t="str">
        <f>IF(VLOOKUP($U$3,FIKIH!$A$8:$W$55,13)="","",VLOOKUP($U$3,FIKIH!$A$8:$W$55,13))</f>
        <v/>
      </c>
      <c r="O23" s="29" t="str">
        <f>IF(VLOOKUP($U$3,FIKIH!$A$8:$W$55,14)="","",VLOOKUP($U$3,FIKIH!$A$8:$W$55,14))</f>
        <v/>
      </c>
      <c r="P23" s="29" t="str">
        <f>IF(VLOOKUP($U$3,FIKIH!$A$8:$W$55,15)="","",VLOOKUP($U$3,FIKIH!$A$8:$W$55,15))</f>
        <v/>
      </c>
      <c r="Q23" s="29" t="str">
        <f>IF(VLOOKUP($U$3,FIKIH!$A$8:$W$55,16)="","",VLOOKUP($U$3,FIKIH!$A$8:$W$55,16))</f>
        <v/>
      </c>
      <c r="R23" s="29" t="str">
        <f>IF(VLOOKUP($U$3,FIKIH!$A$8:$W$55,21)="","",VLOOKUP($U$3,FIKIH!$A$8:$W$55,21))</f>
        <v/>
      </c>
      <c r="S23" s="29" t="str">
        <f>IF(VLOOKUP($U$3,FIKIH!$A$8:$W$55,22)="","",VLOOKUP($U$3,FIKIH!$A$8:$W$55,22))</f>
        <v/>
      </c>
      <c r="X23" s="97" t="str">
        <f t="shared" si="0"/>
        <v/>
      </c>
      <c r="Y23" s="97" t="str">
        <f t="shared" si="1"/>
        <v/>
      </c>
      <c r="Z23" s="97" t="str">
        <f t="shared" si="2"/>
        <v/>
      </c>
      <c r="AA23" s="97" t="str">
        <f t="shared" si="3"/>
        <v/>
      </c>
    </row>
    <row r="24" spans="1:27" ht="30" customHeight="1">
      <c r="A24" s="43"/>
      <c r="B24" s="276" t="s">
        <v>11</v>
      </c>
      <c r="C24" s="277"/>
      <c r="D24" s="47" t="s">
        <v>87</v>
      </c>
      <c r="E24" s="29">
        <f>IF(SKI!AH8="","",SKI!AH8)</f>
        <v>80</v>
      </c>
      <c r="F24" s="29">
        <f>IF(VLOOKUP($U$3,SKI!$A$8:$W$55,3)="","",VLOOKUP($U$3,SKI!$A$8:$W$55,3))</f>
        <v>80</v>
      </c>
      <c r="G24" s="29">
        <f>IF(VLOOKUP($U$3,SKI!$A$8:$W$55,4)="","",VLOOKUP($U$3,SKI!$A$8:$W$55,4))</f>
        <v>80</v>
      </c>
      <c r="H24" s="29">
        <f>IF(VLOOKUP($U$3,SKI!$A$8:$W$55,5)="","",VLOOKUP($U$3,SKI!$A$8:$W$55,5))</f>
        <v>85</v>
      </c>
      <c r="I24" s="29">
        <f>IF(VLOOKUP($U$3,SKI!$A$8:$W$55,6)="","",VLOOKUP($U$3,SKI!$A$8:$W$55,6))</f>
        <v>85</v>
      </c>
      <c r="J24" s="29">
        <f>IF(VLOOKUP($U$3,SKI!$A$8:$W$55,7)="","",VLOOKUP($U$3,SKI!$A$8:$W$55,7))</f>
        <v>85</v>
      </c>
      <c r="K24" s="29">
        <f>IF(VLOOKUP($U$3,SKI!$A$8:$W$55,11)="","",VLOOKUP($U$3,SKI!$A$8:$W$55,11))</f>
        <v>86</v>
      </c>
      <c r="L24" s="29" t="str">
        <f>IF(VLOOKUP($U$3,SKI!$A$8:$W$55,12)="","",VLOOKUP($U$3,SKI!$A$8:$W$55,12))</f>
        <v>C</v>
      </c>
      <c r="M24" s="51" t="s">
        <v>87</v>
      </c>
      <c r="N24" s="29">
        <f>IF(VLOOKUP($U$3,SKI!$A$8:$W$55,13)="","",VLOOKUP($U$3,SKI!$A$8:$W$55,13))</f>
        <v>78</v>
      </c>
      <c r="O24" s="29" t="str">
        <f>IF(VLOOKUP($U$3,SKI!$A$8:$W$55,14)="","",VLOOKUP($U$3,SKI!$A$8:$W$55,14))</f>
        <v/>
      </c>
      <c r="P24" s="29" t="str">
        <f>IF(VLOOKUP($U$3,SKI!$A$8:$W$55,15)="","",VLOOKUP($U$3,SKI!$A$8:$W$55,15))</f>
        <v/>
      </c>
      <c r="Q24" s="29" t="str">
        <f>IF(VLOOKUP($U$3,SKI!$A$8:$W$55,16)="","",VLOOKUP($U$3,SKI!$A$8:$W$55,16))</f>
        <v/>
      </c>
      <c r="R24" s="29">
        <f>IF(VLOOKUP($U$3,SKI!$A$8:$W$55,21)="","",VLOOKUP($U$3,SKI!$A$8:$W$55,21))</f>
        <v>78</v>
      </c>
      <c r="S24" s="29" t="str">
        <f>IF(VLOOKUP($U$3,SKI!$A$8:$W$55,22)="","",VLOOKUP($U$3,SKI!$A$8:$W$55,22))</f>
        <v>D</v>
      </c>
      <c r="X24" s="97">
        <f t="shared" si="0"/>
        <v>80</v>
      </c>
      <c r="Y24" s="97">
        <f t="shared" si="1"/>
        <v>7</v>
      </c>
      <c r="Z24" s="97">
        <f t="shared" si="2"/>
        <v>88</v>
      </c>
      <c r="AA24" s="97">
        <f t="shared" si="3"/>
        <v>95</v>
      </c>
    </row>
    <row r="25" spans="1:27" ht="30" customHeight="1">
      <c r="A25" s="43">
        <v>2</v>
      </c>
      <c r="B25" s="276" t="s">
        <v>12</v>
      </c>
      <c r="C25" s="277"/>
      <c r="D25" s="47" t="s">
        <v>87</v>
      </c>
      <c r="E25" s="29" t="str">
        <f>IF(PKN!AH8="","",PKN!AH8)</f>
        <v/>
      </c>
      <c r="F25" s="29" t="str">
        <f>IF(VLOOKUP($U$3,PKN!$A$8:$W$55,3)="","",VLOOKUP($U$3,PKN!$A$8:$W$55,3))</f>
        <v/>
      </c>
      <c r="G25" s="29" t="str">
        <f>IF(VLOOKUP($U$3,PKN!$A$8:$W$55,4)="","",VLOOKUP($U$3,PKN!$A$8:$W$55,4))</f>
        <v/>
      </c>
      <c r="H25" s="29" t="str">
        <f>IF(VLOOKUP($U$3,PKN!$A$8:$W$55,5)="","",VLOOKUP($U$3,PKN!$A$8:$W$55,5))</f>
        <v/>
      </c>
      <c r="I25" s="29" t="str">
        <f>IF(VLOOKUP($U$3,PKN!$A$8:$W$55,6)="","",VLOOKUP($U$3,PKN!$A$8:$W$55,6))</f>
        <v/>
      </c>
      <c r="J25" s="29" t="str">
        <f>IF(VLOOKUP($U$3,PKN!$A$8:$W$55,7)="","",VLOOKUP($U$3,PKN!$A$8:$W$55,7))</f>
        <v/>
      </c>
      <c r="K25" s="29" t="str">
        <f>IF(VLOOKUP($U$3,PKN!$A$8:$W$55,11)="","",VLOOKUP($U$3,PKN!$A$8:$W$55,11))</f>
        <v/>
      </c>
      <c r="L25" s="29" t="str">
        <f>IF(VLOOKUP($U$3,PKN!$A$8:$W$55,12)="","",VLOOKUP($U$3,PKN!$A$8:$W$55,12))</f>
        <v/>
      </c>
      <c r="M25" s="51" t="s">
        <v>87</v>
      </c>
      <c r="N25" s="29" t="str">
        <f>IF(VLOOKUP($U$3,PKN!$A$8:$W$55,13)="","",VLOOKUP($U$3,PKN!$A$8:$W$55,13))</f>
        <v/>
      </c>
      <c r="O25" s="29" t="str">
        <f>IF(VLOOKUP($U$3,PKN!$A$8:$W$55,14)="","",VLOOKUP($U$3,PKN!$A$8:$W$55,14))</f>
        <v/>
      </c>
      <c r="P25" s="29" t="str">
        <f>IF(VLOOKUP($U$3,PKN!$A$8:$W$55,15)="","",VLOOKUP($U$3,PKN!$A$8:$W$55,15))</f>
        <v/>
      </c>
      <c r="Q25" s="29" t="str">
        <f>IF(VLOOKUP($U$3,PKN!$A$8:$W$55,16)="","",VLOOKUP($U$3,PKN!$A$8:$W$55,16))</f>
        <v/>
      </c>
      <c r="R25" s="29" t="str">
        <f>IF(VLOOKUP($U$3,PKN!$A$8:$W$55,21)="","",VLOOKUP($U$3,PKN!$A$8:$W$55,21))</f>
        <v/>
      </c>
      <c r="S25" s="29" t="str">
        <f>IF(VLOOKUP($U$3,PKN!$A$8:$W$55,22)="","",VLOOKUP($U$3,PKN!$A$8:$W$55,22))</f>
        <v/>
      </c>
      <c r="X25" s="97" t="str">
        <f t="shared" si="0"/>
        <v/>
      </c>
      <c r="Y25" s="97" t="str">
        <f t="shared" si="1"/>
        <v/>
      </c>
      <c r="Z25" s="97" t="str">
        <f t="shared" si="2"/>
        <v/>
      </c>
      <c r="AA25" s="97" t="str">
        <f t="shared" si="3"/>
        <v/>
      </c>
    </row>
    <row r="26" spans="1:27">
      <c r="A26" s="43">
        <v>3</v>
      </c>
      <c r="B26" s="276" t="s">
        <v>13</v>
      </c>
      <c r="C26" s="277"/>
      <c r="D26" s="47" t="s">
        <v>87</v>
      </c>
      <c r="E26" s="29" t="str">
        <f>IF(INDO!AH8="","",INDO!AH8)</f>
        <v/>
      </c>
      <c r="F26" s="29" t="str">
        <f>IF(VLOOKUP($U$3,INDO!$A$8:$W$55,3)="","",VLOOKUP($U$3,INDO!$A$8:$W$55,3))</f>
        <v/>
      </c>
      <c r="G26" s="29" t="str">
        <f>IF(VLOOKUP($U$3,INDO!$A$8:$W$55,4)="","",VLOOKUP($U$3,INDO!$A$8:$W$55,4))</f>
        <v/>
      </c>
      <c r="H26" s="29" t="str">
        <f>IF(VLOOKUP($U$3,INDO!$A$8:$W$55,5)="","",VLOOKUP($U$3,INDO!$A$8:$W$55,5))</f>
        <v/>
      </c>
      <c r="I26" s="29" t="str">
        <f>IF(VLOOKUP($U$3,INDO!$A$8:$W$55,6)="","",VLOOKUP($U$3,INDO!$A$8:$W$55,6))</f>
        <v/>
      </c>
      <c r="J26" s="29" t="str">
        <f>IF(VLOOKUP($U$3,INDO!$A$8:$W$55,7)="","",VLOOKUP($U$3,INDO!$A$8:$W$55,7))</f>
        <v/>
      </c>
      <c r="K26" s="29" t="str">
        <f>IF(VLOOKUP($U$3,INDO!$A$8:$W$55,11)="","",VLOOKUP($U$3,INDO!$A$8:$W$55,11))</f>
        <v/>
      </c>
      <c r="L26" s="29" t="str">
        <f>IF(VLOOKUP($U$3,INDO!$A$8:$W$55,12)="","",VLOOKUP($U$3,INDO!$A$8:$W$55,12))</f>
        <v/>
      </c>
      <c r="M26" s="51" t="s">
        <v>87</v>
      </c>
      <c r="N26" s="29" t="str">
        <f>IF(VLOOKUP($U$3,INDO!$A$8:$W$55,13)="","",VLOOKUP($U$3,INDO!$A$8:$W$55,13))</f>
        <v/>
      </c>
      <c r="O26" s="29" t="str">
        <f>IF(VLOOKUP($U$3,INDO!$A$8:$W$55,14)="","",VLOOKUP($U$3,INDO!$A$8:$W$55,14))</f>
        <v/>
      </c>
      <c r="P26" s="29" t="str">
        <f>IF(VLOOKUP($U$3,INDO!$A$8:$W$55,15)="","",VLOOKUP($U$3,INDO!$A$8:$W$55,15))</f>
        <v/>
      </c>
      <c r="Q26" s="29" t="str">
        <f>IF(VLOOKUP($U$3,INDO!$A$8:$W$55,16)="","",VLOOKUP($U$3,INDO!$A$8:$W$55,16))</f>
        <v/>
      </c>
      <c r="R26" s="29" t="str">
        <f>IF(VLOOKUP($U$3,INDO!$A$8:$W$55,21)="","",VLOOKUP($U$3,INDO!$A$8:$W$55,21))</f>
        <v/>
      </c>
      <c r="S26" s="29" t="str">
        <f>IF(VLOOKUP($U$3,INDO!$A$8:$W$55,22)="","",VLOOKUP($U$3,INDO!$A$8:$W$55,22))</f>
        <v/>
      </c>
      <c r="X26" s="97" t="str">
        <f t="shared" si="0"/>
        <v/>
      </c>
      <c r="Y26" s="97" t="str">
        <f t="shared" si="1"/>
        <v/>
      </c>
      <c r="Z26" s="97" t="str">
        <f t="shared" si="2"/>
        <v/>
      </c>
      <c r="AA26" s="97" t="str">
        <f t="shared" si="3"/>
        <v/>
      </c>
    </row>
    <row r="27" spans="1:27">
      <c r="A27" s="43">
        <v>4</v>
      </c>
      <c r="B27" s="276" t="s">
        <v>14</v>
      </c>
      <c r="C27" s="277"/>
      <c r="D27" s="47" t="s">
        <v>87</v>
      </c>
      <c r="E27" s="29" t="str">
        <f>IF(ARAB!AH8="","",ARAB!AH8)</f>
        <v/>
      </c>
      <c r="F27" s="29" t="str">
        <f>IF(VLOOKUP($U$3,ARAB!$A$8:$W$55,3)="","",VLOOKUP($U$3,ARAB!$A$8:$W$55,3))</f>
        <v/>
      </c>
      <c r="G27" s="29" t="str">
        <f>IF(VLOOKUP($U$3,ARAB!$A$8:$W$55,4)="","",VLOOKUP($U$3,ARAB!$A$8:$W$55,4))</f>
        <v/>
      </c>
      <c r="H27" s="29" t="str">
        <f>IF(VLOOKUP($U$3,ARAB!$A$8:$W$55,5)="","",VLOOKUP($U$3,ARAB!$A$8:$W$55,5))</f>
        <v/>
      </c>
      <c r="I27" s="29" t="str">
        <f>IF(VLOOKUP($U$3,ARAB!$A$8:$W$55,6)="","",VLOOKUP($U$3,ARAB!$A$8:$W$55,6))</f>
        <v/>
      </c>
      <c r="J27" s="29" t="str">
        <f>IF(VLOOKUP($U$3,ARAB!$A$8:$W$55,7)="","",VLOOKUP($U$3,ARAB!$A$8:$W$55,7))</f>
        <v/>
      </c>
      <c r="K27" s="29" t="str">
        <f>IF(VLOOKUP($U$3,ARAB!$A$8:$W$55,11)="","",VLOOKUP($U$3,ARAB!$A$8:$W$55,11))</f>
        <v/>
      </c>
      <c r="L27" s="29" t="str">
        <f>IF(VLOOKUP($U$3,ARAB!$A$8:$W$55,12)="","",VLOOKUP($U$3,ARAB!$A$8:$W$55,12))</f>
        <v/>
      </c>
      <c r="M27" s="51" t="s">
        <v>87</v>
      </c>
      <c r="N27" s="29" t="str">
        <f>IF(VLOOKUP($U$3,ARAB!$A$8:$W$55,13)="","",VLOOKUP($U$3,ARAB!$A$8:$W$55,13))</f>
        <v/>
      </c>
      <c r="O27" s="29" t="str">
        <f>IF(VLOOKUP($U$3,ARAB!$A$8:$W$55,14)="","",VLOOKUP($U$3,ARAB!$A$8:$W$55,14))</f>
        <v/>
      </c>
      <c r="P27" s="29" t="str">
        <f>IF(VLOOKUP($U$3,ARAB!$A$8:$W$55,15)="","",VLOOKUP($U$3,ARAB!$A$8:$W$55,15))</f>
        <v/>
      </c>
      <c r="Q27" s="29" t="str">
        <f>IF(VLOOKUP($U$3,ARAB!$A$8:$W$55,16)="","",VLOOKUP($U$3,ARAB!$A$8:$W$55,16))</f>
        <v/>
      </c>
      <c r="R27" s="29" t="str">
        <f>IF(VLOOKUP($U$3,ARAB!$A$8:$W$55,21)="","",VLOOKUP($U$3,ARAB!$A$8:$W$55,21))</f>
        <v/>
      </c>
      <c r="S27" s="29" t="str">
        <f>IF(VLOOKUP($U$3,ARAB!$A$8:$W$55,22)="","",VLOOKUP($U$3,ARAB!$A$8:$W$55,22))</f>
        <v/>
      </c>
      <c r="X27" s="97" t="str">
        <f t="shared" si="0"/>
        <v/>
      </c>
      <c r="Y27" s="97" t="str">
        <f t="shared" si="1"/>
        <v/>
      </c>
      <c r="Z27" s="97" t="str">
        <f t="shared" si="2"/>
        <v/>
      </c>
      <c r="AA27" s="97" t="str">
        <f t="shared" si="3"/>
        <v/>
      </c>
    </row>
    <row r="28" spans="1:27">
      <c r="A28" s="43">
        <v>5</v>
      </c>
      <c r="B28" s="276" t="s">
        <v>15</v>
      </c>
      <c r="C28" s="277"/>
      <c r="D28" s="47" t="s">
        <v>87</v>
      </c>
      <c r="E28" s="29" t="str">
        <f>IF(MAT!AH8="","",MAT!AH8)</f>
        <v/>
      </c>
      <c r="F28" s="29" t="str">
        <f>IF(VLOOKUP($U$3,MAT!$A$8:$W$55,3)="","",VLOOKUP($U$3,MAT!$A$8:$W$55,3))</f>
        <v/>
      </c>
      <c r="G28" s="29" t="str">
        <f>IF(VLOOKUP($U$3,MAT!$A$8:$W$55,4)="","",VLOOKUP($U$3,MAT!$A$8:$W$55,4))</f>
        <v/>
      </c>
      <c r="H28" s="29" t="str">
        <f>IF(VLOOKUP($U$3,MAT!$A$8:$W$55,5)="","",VLOOKUP($U$3,MAT!$A$8:$W$55,5))</f>
        <v/>
      </c>
      <c r="I28" s="29" t="str">
        <f>IF(VLOOKUP($U$3,MAT!$A$8:$W$55,6)="","",VLOOKUP($U$3,MAT!$A$8:$W$55,6))</f>
        <v/>
      </c>
      <c r="J28" s="29" t="str">
        <f>IF(VLOOKUP($U$3,MAT!$A$8:$W$55,7)="","",VLOOKUP($U$3,MAT!$A$8:$W$55,7))</f>
        <v/>
      </c>
      <c r="K28" s="29" t="str">
        <f>IF(VLOOKUP($U$3,MAT!$A$8:$W$55,11)="","",VLOOKUP($U$3,MAT!$A$8:$W$55,11))</f>
        <v/>
      </c>
      <c r="L28" s="29" t="str">
        <f>IF(VLOOKUP($U$3,MAT!$A$8:$W$55,12)="","",VLOOKUP($U$3,MAT!$A$8:$W$55,12))</f>
        <v/>
      </c>
      <c r="M28" s="51" t="s">
        <v>87</v>
      </c>
      <c r="N28" s="29" t="str">
        <f>IF(VLOOKUP($U$3,MAT!$A$8:$W$55,13)="","",VLOOKUP($U$3,MAT!$A$8:$W$55,13))</f>
        <v/>
      </c>
      <c r="O28" s="29" t="str">
        <f>IF(VLOOKUP($U$3,MAT!$A$8:$W$55,14)="","",VLOOKUP($U$3,MAT!$A$8:$W$55,14))</f>
        <v/>
      </c>
      <c r="P28" s="29" t="str">
        <f>IF(VLOOKUP($U$3,MAT!$A$8:$W$55,15)="","",VLOOKUP($U$3,MAT!$A$8:$W$55,15))</f>
        <v/>
      </c>
      <c r="Q28" s="29" t="str">
        <f>IF(VLOOKUP($U$3,MAT!$A$8:$W$55,16)="","",VLOOKUP($U$3,MAT!$A$8:$W$55,16))</f>
        <v/>
      </c>
      <c r="R28" s="29" t="str">
        <f>IF(VLOOKUP($U$3,MAT!$A$8:$W$55,21)="","",VLOOKUP($U$3,MAT!$A$8:$W$55,21))</f>
        <v/>
      </c>
      <c r="S28" s="29" t="str">
        <f>IF(VLOOKUP($U$3,MAT!$A$8:$W$55,22)="","",VLOOKUP($U$3,MAT!$A$8:$W$55,22))</f>
        <v/>
      </c>
      <c r="X28" s="97" t="str">
        <f t="shared" si="0"/>
        <v/>
      </c>
      <c r="Y28" s="97" t="str">
        <f t="shared" si="1"/>
        <v/>
      </c>
      <c r="Z28" s="97" t="str">
        <f t="shared" si="2"/>
        <v/>
      </c>
      <c r="AA28" s="97" t="str">
        <f t="shared" si="3"/>
        <v/>
      </c>
    </row>
    <row r="29" spans="1:27">
      <c r="A29" s="43">
        <v>6</v>
      </c>
      <c r="B29" s="276" t="s">
        <v>16</v>
      </c>
      <c r="C29" s="277"/>
      <c r="D29" s="47" t="s">
        <v>87</v>
      </c>
      <c r="E29" s="29" t="str">
        <f>IF(IPA!AH8="","",IPA!AH8)</f>
        <v/>
      </c>
      <c r="F29" s="29" t="str">
        <f>IF(VLOOKUP($U$3,IPA!$A$8:$W$55,3)="","",VLOOKUP($U$3,IPA!$A$8:$W$55,3))</f>
        <v/>
      </c>
      <c r="G29" s="29" t="str">
        <f>IF(VLOOKUP($U$3,IPA!$A$8:$W$55,4)="","",VLOOKUP($U$3,IPA!$A$8:$W$55,4))</f>
        <v/>
      </c>
      <c r="H29" s="29" t="str">
        <f>IF(VLOOKUP($U$3,IPA!$A$8:$W$55,5)="","",VLOOKUP($U$3,IPA!$A$8:$W$55,5))</f>
        <v/>
      </c>
      <c r="I29" s="29" t="str">
        <f>IF(VLOOKUP($U$3,IPA!$A$8:$W$55,6)="","",VLOOKUP($U$3,IPA!$A$8:$W$55,6))</f>
        <v/>
      </c>
      <c r="J29" s="29" t="str">
        <f>IF(VLOOKUP($U$3,IPA!$A$8:$W$55,7)="","",VLOOKUP($U$3,IPA!$A$8:$W$55,7))</f>
        <v/>
      </c>
      <c r="K29" s="29" t="str">
        <f>IF(VLOOKUP($U$3,IPA!$A$8:$W$55,11)="","",VLOOKUP($U$3,IPA!$A$8:$W$55,11))</f>
        <v/>
      </c>
      <c r="L29" s="29" t="str">
        <f>IF(VLOOKUP($U$3,IPA!$A$8:$W$55,12)="","",VLOOKUP($U$3,IPA!$A$8:$W$55,12))</f>
        <v/>
      </c>
      <c r="M29" s="51" t="s">
        <v>87</v>
      </c>
      <c r="N29" s="29" t="str">
        <f>IF(VLOOKUP($U$3,IPA!$A$8:$W$55,13)="","",VLOOKUP($U$3,IPA!$A$8:$W$55,13))</f>
        <v/>
      </c>
      <c r="O29" s="29" t="str">
        <f>IF(VLOOKUP($U$3,IPA!$A$8:$W$55,14)="","",VLOOKUP($U$3,IPA!$A$8:$W$55,14))</f>
        <v/>
      </c>
      <c r="P29" s="29" t="str">
        <f>IF(VLOOKUP($U$3,IPA!$A$8:$W$55,15)="","",VLOOKUP($U$3,IPA!$A$8:$W$55,15))</f>
        <v/>
      </c>
      <c r="Q29" s="29" t="str">
        <f>IF(VLOOKUP($U$3,IPA!$A$8:$W$55,16)="","",VLOOKUP($U$3,IPA!$A$8:$W$55,16))</f>
        <v/>
      </c>
      <c r="R29" s="29" t="str">
        <f>IF(VLOOKUP($U$3,IPA!$A$8:$W$55,21)="","",VLOOKUP($U$3,IPA!$A$8:$W$55,21))</f>
        <v/>
      </c>
      <c r="S29" s="29" t="str">
        <f>IF(VLOOKUP($U$3,IPA!$A$8:$W$55,22)="","",VLOOKUP($U$3,IPA!$A$8:$W$55,22))</f>
        <v/>
      </c>
      <c r="X29" s="97" t="str">
        <f t="shared" si="0"/>
        <v/>
      </c>
      <c r="Y29" s="97" t="str">
        <f t="shared" si="1"/>
        <v/>
      </c>
      <c r="Z29" s="97" t="str">
        <f t="shared" si="2"/>
        <v/>
      </c>
      <c r="AA29" s="97" t="str">
        <f t="shared" si="3"/>
        <v/>
      </c>
    </row>
    <row r="30" spans="1:27">
      <c r="A30" s="43">
        <v>7</v>
      </c>
      <c r="B30" s="276" t="s">
        <v>17</v>
      </c>
      <c r="C30" s="277"/>
      <c r="D30" s="47" t="s">
        <v>87</v>
      </c>
      <c r="E30" s="29" t="str">
        <f>IF(IPS!AH8="","",IPS!AH8)</f>
        <v/>
      </c>
      <c r="F30" s="29" t="str">
        <f>IF(VLOOKUP($U$3,IPS!$A$8:$W$55,3)="","",VLOOKUP($U$3,IPS!$A$8:$W$55,3))</f>
        <v/>
      </c>
      <c r="G30" s="29" t="str">
        <f>IF(VLOOKUP($U$3,IPS!$A$8:$W$55,4)="","",VLOOKUP($U$3,IPS!$A$8:$W$55,4))</f>
        <v/>
      </c>
      <c r="H30" s="29" t="str">
        <f>IF(VLOOKUP($U$3,IPS!$A$8:$W$55,5)="","",VLOOKUP($U$3,IPS!$A$8:$W$55,5))</f>
        <v/>
      </c>
      <c r="I30" s="29" t="str">
        <f>IF(VLOOKUP($U$3,IPS!$A$8:$W$55,6)="","",VLOOKUP($U$3,IPS!$A$8:$W$55,6))</f>
        <v/>
      </c>
      <c r="J30" s="29" t="str">
        <f>IF(VLOOKUP($U$3,IPS!$A$8:$W$55,7)="","",VLOOKUP($U$3,IPS!$A$8:$W$55,7))</f>
        <v/>
      </c>
      <c r="K30" s="29" t="str">
        <f>IF(VLOOKUP($U$3,IPS!$A$8:$W$55,11)="","",VLOOKUP($U$3,IPS!$A$8:$W$55,11))</f>
        <v/>
      </c>
      <c r="L30" s="29" t="str">
        <f>IF(VLOOKUP($U$3,IPS!$A$8:$W$55,12)="","",VLOOKUP($U$3,IPS!$A$8:$W$55,12))</f>
        <v/>
      </c>
      <c r="M30" s="51" t="s">
        <v>87</v>
      </c>
      <c r="N30" s="29" t="str">
        <f>IF(VLOOKUP($U$3,IPS!$A$8:$W$55,13)="","",VLOOKUP($U$3,IPS!$A$8:$W$55,13))</f>
        <v/>
      </c>
      <c r="O30" s="29" t="str">
        <f>IF(VLOOKUP($U$3,IPS!$A$8:$W$55,14)="","",VLOOKUP($U$3,IPS!$A$8:$W$55,14))</f>
        <v/>
      </c>
      <c r="P30" s="29" t="str">
        <f>IF(VLOOKUP($U$3,IPS!$A$8:$W$55,15)="","",VLOOKUP($U$3,IPS!$A$8:$W$55,15))</f>
        <v/>
      </c>
      <c r="Q30" s="29" t="str">
        <f>IF(VLOOKUP($U$3,IPS!$A$8:$W$55,16)="","",VLOOKUP($U$3,IPS!$A$8:$W$55,16))</f>
        <v/>
      </c>
      <c r="R30" s="29" t="str">
        <f>IF(VLOOKUP($U$3,IPS!$A$8:$W$55,21)="","",VLOOKUP($U$3,IPS!$A$8:$W$55,21))</f>
        <v/>
      </c>
      <c r="S30" s="29" t="str">
        <f>IF(VLOOKUP($U$3,IPS!$A$8:$W$55,22)="","",VLOOKUP($U$3,IPS!$A$8:$W$55,22))</f>
        <v/>
      </c>
      <c r="X30" s="97" t="str">
        <f t="shared" si="0"/>
        <v/>
      </c>
      <c r="Y30" s="97" t="str">
        <f t="shared" si="1"/>
        <v/>
      </c>
      <c r="Z30" s="97" t="str">
        <f t="shared" si="2"/>
        <v/>
      </c>
      <c r="AA30" s="97" t="str">
        <f t="shared" si="3"/>
        <v/>
      </c>
    </row>
    <row r="31" spans="1:27">
      <c r="A31" s="43">
        <v>8</v>
      </c>
      <c r="B31" s="276" t="s">
        <v>18</v>
      </c>
      <c r="C31" s="277"/>
      <c r="D31" s="47" t="s">
        <v>87</v>
      </c>
      <c r="E31" s="29" t="str">
        <f>IF(INGG!AH8="","",INGG!AH8)</f>
        <v/>
      </c>
      <c r="F31" s="29" t="str">
        <f>IF(VLOOKUP($U$3,INGG!$A$8:$W$55,3)="","",VLOOKUP($U$3,INGG!$A$8:$W$55,3))</f>
        <v/>
      </c>
      <c r="G31" s="29" t="str">
        <f>IF(VLOOKUP($U$3,INGG!$A$8:$W$55,4)="","",VLOOKUP($U$3,INGG!$A$8:$W$55,4))</f>
        <v/>
      </c>
      <c r="H31" s="29" t="str">
        <f>IF(VLOOKUP($U$3,INGG!$A$8:$W$55,5)="","",VLOOKUP($U$3,INGG!$A$8:$W$55,5))</f>
        <v/>
      </c>
      <c r="I31" s="29" t="str">
        <f>IF(VLOOKUP($U$3,INGG!$A$8:$W$55,6)="","",VLOOKUP($U$3,INGG!$A$8:$W$55,6))</f>
        <v/>
      </c>
      <c r="J31" s="29" t="str">
        <f>IF(VLOOKUP($U$3,INGG!$A$8:$W$55,7)="","",VLOOKUP($U$3,INGG!$A$8:$W$55,7))</f>
        <v/>
      </c>
      <c r="K31" s="29" t="str">
        <f>IF(VLOOKUP($U$3,INGG!$A$8:$W$55,11)="","",VLOOKUP($U$3,INGG!$A$8:$W$55,11))</f>
        <v/>
      </c>
      <c r="L31" s="29" t="str">
        <f>IF(VLOOKUP($U$3,INGG!$A$8:$W$55,12)="","",VLOOKUP($U$3,INGG!$A$8:$W$55,12))</f>
        <v/>
      </c>
      <c r="M31" s="51" t="s">
        <v>87</v>
      </c>
      <c r="N31" s="29" t="str">
        <f>IF(VLOOKUP($U$3,INGG!$A$8:$W$55,13)="","",VLOOKUP($U$3,INGG!$A$8:$W$55,13))</f>
        <v/>
      </c>
      <c r="O31" s="29" t="str">
        <f>IF(VLOOKUP($U$3,INGG!$A$8:$W$55,14)="","",VLOOKUP($U$3,INGG!$A$8:$W$55,14))</f>
        <v/>
      </c>
      <c r="P31" s="29" t="str">
        <f>IF(VLOOKUP($U$3,INGG!$A$8:$W$55,15)="","",VLOOKUP($U$3,INGG!$A$8:$W$55,15))</f>
        <v/>
      </c>
      <c r="Q31" s="29" t="str">
        <f>IF(VLOOKUP($U$3,INGG!$A$8:$W$55,16)="","",VLOOKUP($U$3,INGG!$A$8:$W$55,16))</f>
        <v/>
      </c>
      <c r="R31" s="29" t="str">
        <f>IF(VLOOKUP($U$3,INGG!$A$8:$W$55,21)="","",VLOOKUP($U$3,INGG!$A$8:$W$55,21))</f>
        <v/>
      </c>
      <c r="S31" s="29" t="str">
        <f>IF(VLOOKUP($U$3,INGG!$A$8:$W$55,22)="","",VLOOKUP($U$3,INGG!$A$8:$W$55,22))</f>
        <v/>
      </c>
      <c r="X31" s="97" t="str">
        <f t="shared" si="0"/>
        <v/>
      </c>
      <c r="Y31" s="97" t="str">
        <f t="shared" si="1"/>
        <v/>
      </c>
      <c r="Z31" s="97" t="str">
        <f t="shared" si="2"/>
        <v/>
      </c>
      <c r="AA31" s="97" t="str">
        <f t="shared" si="3"/>
        <v/>
      </c>
    </row>
    <row r="32" spans="1:27" ht="15.75">
      <c r="A32" s="264" t="s">
        <v>19</v>
      </c>
      <c r="B32" s="264"/>
      <c r="C32" s="55"/>
      <c r="D32" s="48"/>
      <c r="E32" s="52"/>
      <c r="F32" s="52"/>
      <c r="G32" s="52"/>
      <c r="H32" s="52"/>
      <c r="I32" s="52"/>
      <c r="J32" s="52"/>
      <c r="K32" s="52"/>
      <c r="L32" s="52"/>
      <c r="M32" s="53"/>
      <c r="N32" s="54"/>
      <c r="O32" s="54"/>
      <c r="P32" s="54"/>
      <c r="Q32" s="54"/>
      <c r="R32" s="54"/>
      <c r="S32" s="54"/>
      <c r="X32" s="97" t="str">
        <f t="shared" si="0"/>
        <v/>
      </c>
      <c r="Y32" s="97" t="str">
        <f t="shared" si="1"/>
        <v/>
      </c>
      <c r="Z32" s="97" t="str">
        <f t="shared" si="2"/>
        <v/>
      </c>
      <c r="AA32" s="97" t="str">
        <f t="shared" si="3"/>
        <v/>
      </c>
    </row>
    <row r="33" spans="1:27">
      <c r="A33" s="56">
        <v>1</v>
      </c>
      <c r="B33" s="276" t="s">
        <v>20</v>
      </c>
      <c r="C33" s="277"/>
      <c r="D33" s="47" t="s">
        <v>87</v>
      </c>
      <c r="E33" s="29" t="str">
        <f>IF(SENBUD!AH8="","",SENBUD!AH8)</f>
        <v/>
      </c>
      <c r="F33" s="29" t="str">
        <f>IF(VLOOKUP($U$3,SENBUD!$A$8:$W$55,3)="","",VLOOKUP($U$3,SENBUD!$A$8:$W$55,3))</f>
        <v/>
      </c>
      <c r="G33" s="29" t="str">
        <f>IF(VLOOKUP($U$3,SENBUD!$A$8:$W$55,4)="","",VLOOKUP($U$3,SENBUD!$A$8:$W$55,4))</f>
        <v/>
      </c>
      <c r="H33" s="29" t="str">
        <f>IF(VLOOKUP($U$3,SENBUD!$A$8:$W$55,5)="","",VLOOKUP($U$3,SENBUD!$A$8:$W$55,5))</f>
        <v/>
      </c>
      <c r="I33" s="29" t="str">
        <f>IF(VLOOKUP($U$3,SENBUD!$A$8:$W$55,6)="","",VLOOKUP($U$3,SENBUD!$A$8:$W$55,6))</f>
        <v/>
      </c>
      <c r="J33" s="29" t="str">
        <f>IF(VLOOKUP($U$3,SENBUD!$A$8:$W$55,7)="","",VLOOKUP($U$3,SENBUD!$A$8:$W$55,7))</f>
        <v/>
      </c>
      <c r="K33" s="29" t="str">
        <f>IF(VLOOKUP($U$3,SENBUD!$A$8:$W$55,11)="","",VLOOKUP($U$3,SENBUD!$A$8:$W$55,11))</f>
        <v/>
      </c>
      <c r="L33" s="29" t="str">
        <f>IF(VLOOKUP($U$3,SENBUD!$A$8:$W$55,12)="","",VLOOKUP($U$3,SENBUD!$A$8:$W$55,12))</f>
        <v/>
      </c>
      <c r="M33" s="51" t="s">
        <v>87</v>
      </c>
      <c r="N33" s="29" t="str">
        <f>IF(VLOOKUP($U$3,SENBUD!$A$8:$W$55,13)="","",VLOOKUP($U$3,SENBUD!$A$8:$W$55,13))</f>
        <v/>
      </c>
      <c r="O33" s="29" t="str">
        <f>IF(VLOOKUP($U$3,SENBUD!$A$8:$W$55,14)="","",VLOOKUP($U$3,SENBUD!$A$8:$W$55,14))</f>
        <v/>
      </c>
      <c r="P33" s="29" t="str">
        <f>IF(VLOOKUP($U$3,SENBUD!$A$8:$W$55,15)="","",VLOOKUP($U$3,SENBUD!$A$8:$W$55,15))</f>
        <v/>
      </c>
      <c r="Q33" s="29" t="str">
        <f>IF(VLOOKUP($U$3,SENBUD!$A$8:$W$55,16)="","",VLOOKUP($U$3,SENBUD!$A$8:$W$55,16))</f>
        <v/>
      </c>
      <c r="R33" s="29" t="str">
        <f>IF(VLOOKUP($U$3,SENBUD!$A$8:$W$55,21)="","",VLOOKUP($U$3,SENBUD!$A$8:$W$55,21))</f>
        <v/>
      </c>
      <c r="S33" s="29" t="str">
        <f>IF(VLOOKUP($U$3,SENBUD!$A$8:$W$55,22)="","",VLOOKUP($U$3,SENBUD!$A$8:$W$55,22))</f>
        <v/>
      </c>
      <c r="X33" s="97" t="str">
        <f t="shared" si="0"/>
        <v/>
      </c>
      <c r="Y33" s="97" t="str">
        <f t="shared" si="1"/>
        <v/>
      </c>
      <c r="Z33" s="97" t="str">
        <f t="shared" si="2"/>
        <v/>
      </c>
      <c r="AA33" s="97" t="str">
        <f t="shared" si="3"/>
        <v/>
      </c>
    </row>
    <row r="34" spans="1:27" ht="30" customHeight="1">
      <c r="A34" s="56">
        <v>2</v>
      </c>
      <c r="B34" s="276" t="s">
        <v>21</v>
      </c>
      <c r="C34" s="277"/>
      <c r="D34" s="47" t="s">
        <v>87</v>
      </c>
      <c r="E34" s="29" t="str">
        <f>IF(PENJAS!AH8="","",PENJAS!AH8)</f>
        <v/>
      </c>
      <c r="F34" s="29" t="str">
        <f>IF(VLOOKUP($U$3,PENJAS!$A$8:$W$55,3)="","",VLOOKUP($U$3,PENJAS!$A$8:$W$55,3))</f>
        <v/>
      </c>
      <c r="G34" s="29" t="str">
        <f>IF(VLOOKUP($U$3,PENJAS!$A$8:$W$55,4)="","",VLOOKUP($U$3,PENJAS!$A$8:$W$55,4))</f>
        <v/>
      </c>
      <c r="H34" s="29" t="str">
        <f>IF(VLOOKUP($U$3,PENJAS!$A$8:$W$55,5)="","",VLOOKUP($U$3,PENJAS!$A$8:$W$55,5))</f>
        <v/>
      </c>
      <c r="I34" s="29" t="str">
        <f>IF(VLOOKUP($U$3,PENJAS!$A$8:$W$55,6)="","",VLOOKUP($U$3,PENJAS!$A$8:$W$55,6))</f>
        <v/>
      </c>
      <c r="J34" s="29" t="str">
        <f>IF(VLOOKUP($U$3,PENJAS!$A$8:$W$55,7)="","",VLOOKUP($U$3,PENJAS!$A$8:$W$55,7))</f>
        <v/>
      </c>
      <c r="K34" s="29" t="str">
        <f>IF(VLOOKUP($U$3,PENJAS!$A$8:$W$55,11)="","",VLOOKUP($U$3,PENJAS!$A$8:$W$55,11))</f>
        <v/>
      </c>
      <c r="L34" s="29" t="str">
        <f>IF(VLOOKUP($U$3,PENJAS!$A$8:$W$55,12)="","",VLOOKUP($U$3,PENJAS!$A$8:$W$55,12))</f>
        <v/>
      </c>
      <c r="M34" s="51" t="s">
        <v>87</v>
      </c>
      <c r="N34" s="29" t="str">
        <f>IF(VLOOKUP($U$3,PENJAS!$A$8:$W$55,13)="","",VLOOKUP($U$3,PENJAS!$A$8:$W$55,13))</f>
        <v/>
      </c>
      <c r="O34" s="29" t="str">
        <f>IF(VLOOKUP($U$3,PENJAS!$A$8:$W$55,14)="","",VLOOKUP($U$3,PENJAS!$A$8:$W$55,14))</f>
        <v/>
      </c>
      <c r="P34" s="29" t="str">
        <f>IF(VLOOKUP($U$3,PENJAS!$A$8:$W$55,15)="","",VLOOKUP($U$3,PENJAS!$A$8:$W$55,15))</f>
        <v/>
      </c>
      <c r="Q34" s="29" t="str">
        <f>IF(VLOOKUP($U$3,PENJAS!$A$8:$W$55,16)="","",VLOOKUP($U$3,PENJAS!$A$8:$W$55,16))</f>
        <v/>
      </c>
      <c r="R34" s="29" t="str">
        <f>IF(VLOOKUP($U$3,PENJAS!$A$8:$W$55,21)="","",VLOOKUP($U$3,PENJAS!$A$8:$W$55,21))</f>
        <v/>
      </c>
      <c r="S34" s="29" t="str">
        <f>IF(VLOOKUP($U$3,PENJAS!$A$8:$W$55,22)="","",VLOOKUP($U$3,PENJAS!$A$8:$W$55,22))</f>
        <v/>
      </c>
      <c r="X34" s="97" t="str">
        <f t="shared" si="0"/>
        <v/>
      </c>
      <c r="Y34" s="97" t="str">
        <f t="shared" si="1"/>
        <v/>
      </c>
      <c r="Z34" s="97" t="str">
        <f t="shared" si="2"/>
        <v/>
      </c>
      <c r="AA34" s="97" t="str">
        <f t="shared" si="3"/>
        <v/>
      </c>
    </row>
    <row r="35" spans="1:27">
      <c r="A35" s="56">
        <v>3</v>
      </c>
      <c r="B35" s="276" t="s">
        <v>22</v>
      </c>
      <c r="C35" s="277"/>
      <c r="D35" s="47" t="s">
        <v>87</v>
      </c>
      <c r="E35" s="29" t="str">
        <f>IF(PRAKARYA!AH8="","",PRAKARYA!AH8)</f>
        <v/>
      </c>
      <c r="F35" s="29" t="str">
        <f>IF(VLOOKUP($U$3,PRAKARYA!$A$8:$W$55,3)="","",VLOOKUP($U$3,PRAKARYA!$A$8:$W$55,3))</f>
        <v/>
      </c>
      <c r="G35" s="29" t="str">
        <f>IF(VLOOKUP($U$3,PRAKARYA!$A$8:$W$55,4)="","",VLOOKUP($U$3,PRAKARYA!$A$8:$W$55,4))</f>
        <v/>
      </c>
      <c r="H35" s="29" t="str">
        <f>IF(VLOOKUP($U$3,PRAKARYA!$A$8:$W$55,5)="","",VLOOKUP($U$3,PRAKARYA!$A$8:$W$55,5))</f>
        <v/>
      </c>
      <c r="I35" s="29" t="str">
        <f>IF(VLOOKUP($U$3,PRAKARYA!$A$8:$W$55,6)="","",VLOOKUP($U$3,PRAKARYA!$A$8:$W$55,6))</f>
        <v/>
      </c>
      <c r="J35" s="29" t="str">
        <f>IF(VLOOKUP($U$3,PRAKARYA!$A$8:$W$55,7)="","",VLOOKUP($U$3,PRAKARYA!$A$8:$W$55,7))</f>
        <v/>
      </c>
      <c r="K35" s="29" t="str">
        <f>IF(VLOOKUP($U$3,PRAKARYA!$A$8:$W$55,11)="","",VLOOKUP($U$3,PRAKARYA!$A$8:$W$55,11))</f>
        <v/>
      </c>
      <c r="L35" s="29" t="str">
        <f>IF(VLOOKUP($U$3,PRAKARYA!$A$8:$W$55,12)="","",VLOOKUP($U$3,PRAKARYA!$A$8:$W$55,12))</f>
        <v/>
      </c>
      <c r="M35" s="51" t="s">
        <v>87</v>
      </c>
      <c r="N35" s="29" t="str">
        <f>IF(VLOOKUP($U$3,PRAKARYA!$A$8:$W$55,13)="","",VLOOKUP($U$3,PRAKARYA!$A$8:$W$55,13))</f>
        <v/>
      </c>
      <c r="O35" s="29" t="str">
        <f>IF(VLOOKUP($U$3,PRAKARYA!$A$8:$W$55,14)="","",VLOOKUP($U$3,PRAKARYA!$A$8:$W$55,14))</f>
        <v/>
      </c>
      <c r="P35" s="29" t="str">
        <f>IF(VLOOKUP($U$3,PRAKARYA!$A$8:$W$55,15)="","",VLOOKUP($U$3,PRAKARYA!$A$8:$W$55,15))</f>
        <v/>
      </c>
      <c r="Q35" s="29" t="str">
        <f>IF(VLOOKUP($U$3,PRAKARYA!$A$8:$W$55,16)="","",VLOOKUP($U$3,PRAKARYA!$A$8:$W$55,16))</f>
        <v/>
      </c>
      <c r="R35" s="29" t="str">
        <f>IF(VLOOKUP($U$3,PRAKARYA!$A$8:$W$55,21)="","",VLOOKUP($U$3,PRAKARYA!$A$8:$W$55,21))</f>
        <v/>
      </c>
      <c r="S35" s="29" t="str">
        <f>IF(VLOOKUP($U$3,PRAKARYA!$A$8:$W$55,22)="","",VLOOKUP($U$3,PRAKARYA!$A$8:$W$55,22))</f>
        <v/>
      </c>
      <c r="X35" s="97" t="str">
        <f t="shared" si="0"/>
        <v/>
      </c>
      <c r="Y35" s="97" t="str">
        <f t="shared" si="1"/>
        <v/>
      </c>
      <c r="Z35" s="97" t="str">
        <f t="shared" si="2"/>
        <v/>
      </c>
      <c r="AA35" s="97" t="str">
        <f t="shared" si="3"/>
        <v/>
      </c>
    </row>
    <row r="36" spans="1:27">
      <c r="A36" s="56">
        <v>4</v>
      </c>
      <c r="B36" s="276" t="s">
        <v>23</v>
      </c>
      <c r="C36" s="277"/>
      <c r="D36" s="47" t="s">
        <v>87</v>
      </c>
      <c r="E36" s="29" t="str">
        <f>IF(BADER!AH8="","",BADER!AH8)</f>
        <v/>
      </c>
      <c r="F36" s="29" t="str">
        <f>IF(VLOOKUP($U$3,BADER!$A$8:$W$55,3)="","",VLOOKUP($U$3,BADER!$A$8:$W$55,3))</f>
        <v/>
      </c>
      <c r="G36" s="29" t="str">
        <f>IF(VLOOKUP($U$3,BADER!$A$8:$W$55,4)="","",VLOOKUP($U$3,BADER!$A$8:$W$55,4))</f>
        <v/>
      </c>
      <c r="H36" s="29" t="str">
        <f>IF(VLOOKUP($U$3,BADER!$A$8:$W$55,5)="","",VLOOKUP($U$3,BADER!$A$8:$W$55,5))</f>
        <v/>
      </c>
      <c r="I36" s="29" t="str">
        <f>IF(VLOOKUP($U$3,BADER!$A$8:$W$55,6)="","",VLOOKUP($U$3,BADER!$A$8:$W$55,6))</f>
        <v/>
      </c>
      <c r="J36" s="29" t="str">
        <f>IF(VLOOKUP($U$3,BADER!$A$8:$W$55,7)="","",VLOOKUP($U$3,BADER!$A$8:$W$55,7))</f>
        <v/>
      </c>
      <c r="K36" s="29" t="str">
        <f>IF(VLOOKUP($U$3,BADER!$A$8:$W$55,11)="","",VLOOKUP($U$3,BADER!$A$8:$W$55,11))</f>
        <v/>
      </c>
      <c r="L36" s="29" t="str">
        <f>IF(VLOOKUP($U$3,BADER!$A$8:$W$55,12)="","",VLOOKUP($U$3,BADER!$A$8:$W$55,12))</f>
        <v/>
      </c>
      <c r="M36" s="51" t="s">
        <v>87</v>
      </c>
      <c r="N36" s="29" t="str">
        <f>IF(VLOOKUP($U$3,BADER!$A$8:$W$55,13)="","",VLOOKUP($U$3,BADER!$A$8:$W$55,13))</f>
        <v/>
      </c>
      <c r="O36" s="29" t="str">
        <f>IF(VLOOKUP($U$3,BADER!$A$8:$W$55,14)="","",VLOOKUP($U$3,BADER!$A$8:$W$55,14))</f>
        <v/>
      </c>
      <c r="P36" s="29" t="str">
        <f>IF(VLOOKUP($U$3,BADER!$A$8:$W$55,15)="","",VLOOKUP($U$3,BADER!$A$8:$W$55,15))</f>
        <v/>
      </c>
      <c r="Q36" s="29" t="str">
        <f>IF(VLOOKUP($U$3,BADER!$A$8:$W$55,16)="","",VLOOKUP($U$3,BADER!$A$8:$W$55,16))</f>
        <v/>
      </c>
      <c r="R36" s="29" t="str">
        <f>IF(VLOOKUP($U$3,BADER!$A$8:$W$55,21)="","",VLOOKUP($U$3,BADER!$A$8:$W$55,21))</f>
        <v/>
      </c>
      <c r="S36" s="29" t="str">
        <f>IF(VLOOKUP($U$3,BADER!$A$8:$W$55,22)="","",VLOOKUP($U$3,BADER!$A$8:$W$55,22))</f>
        <v/>
      </c>
      <c r="X36" s="97" t="str">
        <f t="shared" si="0"/>
        <v/>
      </c>
      <c r="Y36" s="97" t="str">
        <f t="shared" si="1"/>
        <v/>
      </c>
      <c r="Z36" s="97" t="str">
        <f t="shared" si="2"/>
        <v/>
      </c>
      <c r="AA36" s="97" t="str">
        <f t="shared" si="3"/>
        <v/>
      </c>
    </row>
    <row r="37" spans="1:27">
      <c r="A37" s="56">
        <v>5</v>
      </c>
      <c r="B37" s="276" t="s">
        <v>88</v>
      </c>
      <c r="C37" s="277"/>
      <c r="D37" s="47"/>
      <c r="E37" s="29" t="str">
        <f>IF(TAMB1!AH8="","",TAMB1!AH8)</f>
        <v/>
      </c>
      <c r="F37" s="29" t="str">
        <f>IF(VLOOKUP($U$3,TAMB1!$A$8:$W$55,3)="","",VLOOKUP($U$3,TAMB1!$A$8:$W$55,3))</f>
        <v/>
      </c>
      <c r="G37" s="29" t="str">
        <f>IF(VLOOKUP($U$3,TAMB1!$A$8:$W$55,4)="","",VLOOKUP($U$3,TAMB1!$A$8:$W$55,4))</f>
        <v/>
      </c>
      <c r="H37" s="29" t="str">
        <f>IF(VLOOKUP($U$3,TAMB1!$A$8:$W$55,5)="","",VLOOKUP($U$3,TAMB1!$A$8:$W$55,5))</f>
        <v/>
      </c>
      <c r="I37" s="29" t="str">
        <f>IF(VLOOKUP($U$3,TAMB1!$A$8:$W$55,6)="","",VLOOKUP($U$3,TAMB1!$A$8:$W$55,6))</f>
        <v/>
      </c>
      <c r="J37" s="29" t="str">
        <f>IF(VLOOKUP($U$3,TAMB1!$A$8:$W$55,7)="","",VLOOKUP($U$3,TAMB1!$A$8:$W$55,7))</f>
        <v/>
      </c>
      <c r="K37" s="29" t="str">
        <f>IF(VLOOKUP($U$3,TAMB1!$A$8:$W$55,11)="","",VLOOKUP($U$3,TAMB1!$A$8:$W$55,11))</f>
        <v/>
      </c>
      <c r="L37" s="29" t="str">
        <f>IF(VLOOKUP($U$3,TAMB1!$A$8:$W$55,12)="","",VLOOKUP($U$3,TAMB1!$A$8:$W$55,12))</f>
        <v/>
      </c>
      <c r="M37" s="51" t="s">
        <v>87</v>
      </c>
      <c r="N37" s="29" t="str">
        <f>IF(VLOOKUP($U$3,TAMB1!$A$8:$W$55,13)="","",VLOOKUP($U$3,TAMB1!$A$8:$W$55,13))</f>
        <v/>
      </c>
      <c r="O37" s="29" t="str">
        <f>IF(VLOOKUP($U$3,TAMB1!$A$8:$W$55,14)="","",VLOOKUP($U$3,TAMB1!$A$8:$W$55,14))</f>
        <v/>
      </c>
      <c r="P37" s="29" t="str">
        <f>IF(VLOOKUP($U$3,TAMB1!$A$8:$W$55,15)="","",VLOOKUP($U$3,TAMB1!$A$8:$W$55,15))</f>
        <v/>
      </c>
      <c r="Q37" s="29" t="str">
        <f>IF(VLOOKUP($U$3,TAMB1!$A$8:$W$55,16)="","",VLOOKUP($U$3,TAMB1!$A$8:$W$55,16))</f>
        <v/>
      </c>
      <c r="R37" s="29" t="str">
        <f>IF(VLOOKUP($U$3,TAMB1!$A$8:$W$55,21)="","",VLOOKUP($U$3,TAMB1!$A$8:$W$55,21))</f>
        <v/>
      </c>
      <c r="S37" s="29" t="str">
        <f>IF(VLOOKUP($U$3,TAMB1!$A$8:$W$55,22)="","",VLOOKUP($U$3,TAMB1!$A$8:$W$55,22))</f>
        <v/>
      </c>
      <c r="X37" s="97" t="str">
        <f t="shared" si="0"/>
        <v/>
      </c>
      <c r="Y37" s="97" t="str">
        <f t="shared" si="1"/>
        <v/>
      </c>
      <c r="Z37" s="97" t="str">
        <f t="shared" si="2"/>
        <v/>
      </c>
      <c r="AA37" s="97" t="str">
        <f t="shared" si="3"/>
        <v/>
      </c>
    </row>
    <row r="38" spans="1:27">
      <c r="A38" s="56">
        <v>6</v>
      </c>
      <c r="B38" s="276" t="s">
        <v>89</v>
      </c>
      <c r="C38" s="277"/>
      <c r="D38" s="47"/>
      <c r="E38" s="29" t="str">
        <f>IF(TAMB2!AH8="","",TAMB2!AH8)</f>
        <v/>
      </c>
      <c r="F38" s="29" t="str">
        <f>IF(VLOOKUP($U$3,TAMB2!$A$8:$W$55,3)="","",VLOOKUP($U$3,TAMB2!$A$8:$W$55,3))</f>
        <v/>
      </c>
      <c r="G38" s="29" t="str">
        <f>IF(VLOOKUP($U$3,TAMB2!$A$8:$W$55,4)="","",VLOOKUP($U$3,TAMB2!$A$8:$W$55,4))</f>
        <v/>
      </c>
      <c r="H38" s="29" t="str">
        <f>IF(VLOOKUP($U$3,TAMB2!$A$8:$W$55,5)="","",VLOOKUP($U$3,TAMB2!$A$8:$W$55,5))</f>
        <v/>
      </c>
      <c r="I38" s="29" t="str">
        <f>IF(VLOOKUP($U$3,TAMB2!$A$8:$W$55,6)="","",VLOOKUP($U$3,TAMB2!$A$8:$W$55,6))</f>
        <v/>
      </c>
      <c r="J38" s="29" t="str">
        <f>IF(VLOOKUP($U$3,TAMB2!$A$8:$W$55,7)="","",VLOOKUP($U$3,TAMB2!$A$8:$W$55,7))</f>
        <v/>
      </c>
      <c r="K38" s="29" t="str">
        <f>IF(VLOOKUP($U$3,TAMB2!$A$8:$W$55,11)="","",VLOOKUP($U$3,TAMB2!$A$8:$W$55,11))</f>
        <v/>
      </c>
      <c r="L38" s="29" t="str">
        <f>IF(VLOOKUP($U$3,TAMB2!$A$8:$W$55,12)="","",VLOOKUP($U$3,TAMB2!$A$8:$W$55,12))</f>
        <v/>
      </c>
      <c r="M38" s="51" t="s">
        <v>90</v>
      </c>
      <c r="N38" s="29" t="str">
        <f>IF(VLOOKUP($U$3,TAMB2!$A$8:$W$55,13)="","",VLOOKUP($U$3,TAMB2!$A$8:$W$55,13))</f>
        <v/>
      </c>
      <c r="O38" s="29" t="str">
        <f>IF(VLOOKUP($U$3,TAMB2!$A$8:$W$55,14)="","",VLOOKUP($U$3,TAMB2!$A$8:$W$55,14))</f>
        <v/>
      </c>
      <c r="P38" s="29" t="str">
        <f>IF(VLOOKUP($U$3,TAMB2!$A$8:$W$55,15)="","",VLOOKUP($U$3,TAMB2!$A$8:$W$55,15))</f>
        <v/>
      </c>
      <c r="Q38" s="29" t="str">
        <f>IF(VLOOKUP($U$3,TAMB2!$A$8:$W$55,16)="","",VLOOKUP($U$3,TAMB2!$A$8:$W$55,16))</f>
        <v/>
      </c>
      <c r="R38" s="29" t="str">
        <f>IF(VLOOKUP($U$3,TAMB2!$A$8:$W$55,22)="","",VLOOKUP($U$3,TAMB2!$A$8:$W$55,22))</f>
        <v/>
      </c>
      <c r="S38" s="29" t="str">
        <f>IF(VLOOKUP($U$3,TAMB2!$A$8:$W$55,22)="","",VLOOKUP($U$3,TAMB2!$A$8:$W$55,22))</f>
        <v/>
      </c>
      <c r="X38" s="97" t="str">
        <f t="shared" si="0"/>
        <v/>
      </c>
      <c r="Y38" s="97" t="str">
        <f t="shared" si="1"/>
        <v/>
      </c>
      <c r="Z38" s="97" t="str">
        <f t="shared" si="2"/>
        <v/>
      </c>
      <c r="AA38" s="97" t="str">
        <f t="shared" si="3"/>
        <v/>
      </c>
    </row>
    <row r="39" spans="1:27">
      <c r="A39" s="133"/>
      <c r="B39" s="134"/>
      <c r="C39" s="134"/>
      <c r="D39" s="135"/>
      <c r="E39" s="136"/>
      <c r="F39" s="136"/>
      <c r="G39" s="136"/>
      <c r="H39" s="136"/>
      <c r="I39" s="136"/>
      <c r="J39" s="136"/>
      <c r="K39" s="136"/>
      <c r="L39" s="136"/>
      <c r="M39" s="137"/>
      <c r="N39" s="136"/>
      <c r="O39" s="136"/>
      <c r="P39" s="136"/>
      <c r="Q39" s="136"/>
      <c r="R39" s="136"/>
      <c r="S39" s="136"/>
      <c r="X39" s="97"/>
      <c r="Y39" s="97"/>
      <c r="Z39" s="97"/>
      <c r="AA39" s="97"/>
    </row>
    <row r="40" spans="1:27">
      <c r="A40" s="123"/>
      <c r="B40" s="138" t="s">
        <v>348</v>
      </c>
      <c r="C40" s="138" t="s">
        <v>0</v>
      </c>
      <c r="D40" s="139"/>
      <c r="E40" s="140" t="str">
        <f>IF(E9="","",VLOOKUP($U$3,RANK!$A$6:$U$53,21))</f>
        <v/>
      </c>
      <c r="F40" s="140"/>
      <c r="G40" s="140" t="s">
        <v>349</v>
      </c>
      <c r="H40" s="140"/>
      <c r="I40" s="140">
        <f>IF(DATA!$D$56="","",DATA!$D$56)</f>
        <v>33</v>
      </c>
      <c r="J40" s="140" t="s">
        <v>354</v>
      </c>
      <c r="K40" s="140"/>
      <c r="L40" s="140"/>
      <c r="M40" s="141"/>
      <c r="N40" s="140"/>
      <c r="O40" s="140"/>
      <c r="P40" s="140"/>
      <c r="Q40" s="140"/>
      <c r="R40" s="140"/>
      <c r="S40" s="142"/>
      <c r="X40" s="97"/>
      <c r="Y40" s="97"/>
      <c r="Z40" s="97"/>
      <c r="AA40" s="97"/>
    </row>
    <row r="41" spans="1:27" ht="6.75" customHeight="1"/>
    <row r="42" spans="1:27" ht="3" customHeight="1"/>
    <row r="43" spans="1:27" ht="15.75">
      <c r="A43" s="285" t="s">
        <v>24</v>
      </c>
      <c r="B43" s="286"/>
      <c r="C43" s="286"/>
      <c r="D43" s="286"/>
      <c r="E43" s="286"/>
      <c r="F43" s="286"/>
      <c r="G43" s="286"/>
      <c r="H43" s="286"/>
      <c r="I43" s="286"/>
      <c r="J43" s="286"/>
      <c r="K43" s="286"/>
      <c r="L43" s="287"/>
      <c r="M43" s="282"/>
      <c r="N43" s="282"/>
      <c r="O43" s="282"/>
      <c r="P43" s="282"/>
      <c r="Q43" s="282"/>
      <c r="R43" s="282"/>
      <c r="S43" s="282"/>
    </row>
    <row r="44" spans="1:27">
      <c r="A44" s="56">
        <v>1</v>
      </c>
      <c r="B44" s="49" t="s">
        <v>25</v>
      </c>
      <c r="C44" s="49"/>
      <c r="D44" s="49"/>
      <c r="E44" s="49"/>
      <c r="F44" s="49"/>
      <c r="G44" s="49"/>
      <c r="H44" s="49"/>
      <c r="I44" s="49"/>
      <c r="J44" s="49"/>
      <c r="K44" s="49"/>
      <c r="L44" s="50"/>
      <c r="M44" s="283" t="str">
        <f>IF(VLOOKUP($U$3,DATA!$A$8:$H$55,6)="","-",VLOOKUP($U$3,DATA!$A$8:$H$55,6))&amp;" "&amp;"hari"</f>
        <v>- hari</v>
      </c>
      <c r="N44" s="284"/>
      <c r="O44" s="284"/>
      <c r="P44" s="284"/>
      <c r="Q44" s="284"/>
      <c r="R44" s="284"/>
      <c r="S44" s="284"/>
    </row>
    <row r="45" spans="1:27">
      <c r="A45" s="56">
        <v>2</v>
      </c>
      <c r="B45" s="49" t="s">
        <v>26</v>
      </c>
      <c r="C45" s="49"/>
      <c r="D45" s="49"/>
      <c r="E45" s="49"/>
      <c r="F45" s="49"/>
      <c r="G45" s="49"/>
      <c r="H45" s="49"/>
      <c r="I45" s="49"/>
      <c r="J45" s="49"/>
      <c r="K45" s="49"/>
      <c r="L45" s="50"/>
      <c r="M45" s="241" t="str">
        <f>IF(VLOOKUP($U$3,DATA!$A$8:$H$55,7)="","-",VLOOKUP($U$3,DATA!$A$8:$H$55,7))&amp;" "&amp;"hari"</f>
        <v>- hari</v>
      </c>
      <c r="N45" s="241"/>
      <c r="O45" s="241"/>
      <c r="P45" s="241"/>
      <c r="Q45" s="241"/>
      <c r="R45" s="241"/>
      <c r="S45" s="241"/>
    </row>
    <row r="46" spans="1:27">
      <c r="A46" s="56">
        <v>3</v>
      </c>
      <c r="B46" s="49" t="s">
        <v>27</v>
      </c>
      <c r="C46" s="49"/>
      <c r="D46" s="49"/>
      <c r="E46" s="49"/>
      <c r="F46" s="49"/>
      <c r="G46" s="49"/>
      <c r="H46" s="49"/>
      <c r="I46" s="49"/>
      <c r="J46" s="49"/>
      <c r="K46" s="49"/>
      <c r="L46" s="50"/>
      <c r="M46" s="241" t="str">
        <f>IF(VLOOKUP($U$3,DATA!$A$8:$H$55,8)="","-",VLOOKUP($U$3,DATA!$A$8:$H$55,8))&amp;" "&amp;"hari"</f>
        <v>- hari</v>
      </c>
      <c r="N46" s="241"/>
      <c r="O46" s="241"/>
      <c r="P46" s="241"/>
      <c r="Q46" s="241"/>
      <c r="R46" s="241"/>
      <c r="S46" s="241"/>
    </row>
    <row r="47" spans="1:27" ht="12" customHeight="1">
      <c r="A47" s="31"/>
    </row>
    <row r="48" spans="1:27">
      <c r="A48" s="57" t="s">
        <v>91</v>
      </c>
    </row>
    <row r="50" spans="2:14">
      <c r="B50" s="6" t="s">
        <v>28</v>
      </c>
      <c r="N50" s="121" t="str">
        <f>UTAMA!D18</f>
        <v>Bangkalan, 7 oktober 2017</v>
      </c>
    </row>
    <row r="51" spans="2:14">
      <c r="B51" s="6" t="s">
        <v>29</v>
      </c>
      <c r="N51" s="6" t="s">
        <v>30</v>
      </c>
    </row>
    <row r="54" spans="2:14">
      <c r="B54" s="27"/>
      <c r="C54" s="28"/>
      <c r="N54" s="122" t="str">
        <f>UTAMA!D13</f>
        <v>MOH. TAUFIK, S.Pd</v>
      </c>
    </row>
    <row r="55" spans="2:14">
      <c r="N55" s="97" t="str">
        <f>"NIP : "&amp;UTAMA!D14</f>
        <v xml:space="preserve">NIP : </v>
      </c>
    </row>
  </sheetData>
  <sheetProtection password="D6DD" sheet="1" scenarios="1" formatCells="0" formatColumns="0" formatRows="0" insertRows="0" deleteColumns="0" deleteRows="0"/>
  <mergeCells count="59">
    <mergeCell ref="E8:L8"/>
    <mergeCell ref="E9:L9"/>
    <mergeCell ref="E10:L10"/>
    <mergeCell ref="E11:L11"/>
    <mergeCell ref="A14:H14"/>
    <mergeCell ref="A13:H13"/>
    <mergeCell ref="I14:S14"/>
    <mergeCell ref="I13:S13"/>
    <mergeCell ref="A6:S6"/>
    <mergeCell ref="A7:S7"/>
    <mergeCell ref="U1:V2"/>
    <mergeCell ref="U3:V4"/>
    <mergeCell ref="B3:S3"/>
    <mergeCell ref="B4:S4"/>
    <mergeCell ref="B5:S5"/>
    <mergeCell ref="B2:S2"/>
    <mergeCell ref="M46:S46"/>
    <mergeCell ref="B22:C22"/>
    <mergeCell ref="B23:C23"/>
    <mergeCell ref="B37:C37"/>
    <mergeCell ref="B38:C38"/>
    <mergeCell ref="B30:C30"/>
    <mergeCell ref="B31:C31"/>
    <mergeCell ref="B33:C33"/>
    <mergeCell ref="B34:C34"/>
    <mergeCell ref="M43:S43"/>
    <mergeCell ref="M44:S44"/>
    <mergeCell ref="A32:B32"/>
    <mergeCell ref="B35:C35"/>
    <mergeCell ref="B36:C36"/>
    <mergeCell ref="A43:L43"/>
    <mergeCell ref="M45:S45"/>
    <mergeCell ref="B20:C20"/>
    <mergeCell ref="B21:C21"/>
    <mergeCell ref="M16:M18"/>
    <mergeCell ref="D16:D18"/>
    <mergeCell ref="E16:E18"/>
    <mergeCell ref="K17:L17"/>
    <mergeCell ref="F17:F18"/>
    <mergeCell ref="G17:G18"/>
    <mergeCell ref="H17:H18"/>
    <mergeCell ref="I17:I18"/>
    <mergeCell ref="J17:J18"/>
    <mergeCell ref="B29:C29"/>
    <mergeCell ref="B24:C24"/>
    <mergeCell ref="B25:C25"/>
    <mergeCell ref="B26:C26"/>
    <mergeCell ref="B27:C27"/>
    <mergeCell ref="B28:C28"/>
    <mergeCell ref="A15:B15"/>
    <mergeCell ref="A19:B19"/>
    <mergeCell ref="F16:L16"/>
    <mergeCell ref="A16:C18"/>
    <mergeCell ref="N16:S16"/>
    <mergeCell ref="R17:S17"/>
    <mergeCell ref="N17:N18"/>
    <mergeCell ref="O17:O18"/>
    <mergeCell ref="P17:P18"/>
    <mergeCell ref="Q17:Q18"/>
  </mergeCells>
  <pageMargins left="0.62" right="0.27559055118110237" top="0.23622047244094491" bottom="0.39370078740157483" header="0.19685039370078741" footer="0.31496062992125984"/>
  <pageSetup paperSize="14" scale="95" orientation="portrait" horizontalDpi="4294967293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3">
    <tabColor rgb="FF0000CC"/>
  </sheetPr>
  <dimension ref="A1:XFD61"/>
  <sheetViews>
    <sheetView showGridLines="0" workbookViewId="0">
      <selection activeCell="E11" sqref="E11"/>
    </sheetView>
  </sheetViews>
  <sheetFormatPr defaultColWidth="0" defaultRowHeight="15" customHeight="1" zeroHeight="1"/>
  <cols>
    <col min="1" max="1" width="4.7109375" style="79" customWidth="1"/>
    <col min="2" max="2" width="26.85546875" style="6" customWidth="1"/>
    <col min="3" max="4" width="4.85546875" style="6" customWidth="1"/>
    <col min="5" max="5" width="4.85546875" style="80" customWidth="1"/>
    <col min="6" max="6" width="4.85546875" style="6" customWidth="1"/>
    <col min="7" max="10" width="4.85546875" style="80" customWidth="1"/>
    <col min="11" max="24" width="4.28515625" style="80" customWidth="1"/>
    <col min="25" max="25" width="4.28515625" style="80" bestFit="1" customWidth="1"/>
    <col min="26" max="27" width="4.28515625" style="80" customWidth="1"/>
    <col min="28" max="28" width="4.28515625" style="6" customWidth="1"/>
    <col min="29" max="29" width="4.28515625" style="80" customWidth="1"/>
    <col min="30" max="30" width="4.28515625" style="6" customWidth="1"/>
    <col min="31" max="31" width="4.28515625" style="80" customWidth="1"/>
    <col min="32" max="32" width="4.28515625" style="6" customWidth="1"/>
    <col min="33" max="34" width="4.28515625" style="80" customWidth="1"/>
    <col min="35" max="35" width="4.28515625" style="6" customWidth="1"/>
    <col min="36" max="36" width="4.28515625" style="80" customWidth="1"/>
    <col min="37" max="37" width="4.28515625" style="6" customWidth="1"/>
    <col min="38" max="38" width="4.28515625" style="80" customWidth="1"/>
    <col min="39" max="39" width="4.28515625" style="6" customWidth="1"/>
    <col min="40" max="48" width="4.28515625" style="80" customWidth="1"/>
    <col min="49" max="49" width="4.28515625" style="6" customWidth="1"/>
    <col min="50" max="50" width="4.28515625" style="80" customWidth="1"/>
    <col min="51" max="51" width="4.28515625" style="6" customWidth="1"/>
    <col min="52" max="52" width="4.28515625" style="80" customWidth="1"/>
    <col min="53" max="53" width="4.28515625" style="6" customWidth="1"/>
    <col min="54" max="55" width="4.28515625" style="80" customWidth="1"/>
    <col min="56" max="56" width="4.28515625" style="6" customWidth="1"/>
    <col min="57" max="57" width="4.28515625" style="80" customWidth="1"/>
    <col min="58" max="58" width="4.28515625" style="6" customWidth="1"/>
    <col min="59" max="59" width="4.28515625" style="80" customWidth="1"/>
    <col min="60" max="60" width="4.28515625" style="6" customWidth="1"/>
    <col min="61" max="62" width="4.28515625" style="80" customWidth="1"/>
    <col min="63" max="63" width="4.28515625" style="6" customWidth="1"/>
    <col min="64" max="64" width="4.28515625" style="80" customWidth="1"/>
    <col min="65" max="65" width="4.28515625" style="6" customWidth="1"/>
    <col min="66" max="66" width="4.28515625" style="80" customWidth="1"/>
    <col min="67" max="67" width="4.28515625" style="6" customWidth="1"/>
    <col min="68" max="69" width="4.28515625" style="80" customWidth="1"/>
    <col min="70" max="70" width="4.28515625" style="6" customWidth="1"/>
    <col min="71" max="71" width="4.28515625" style="80" customWidth="1"/>
    <col min="72" max="72" width="4.28515625" style="6" customWidth="1"/>
    <col min="73" max="73" width="4.28515625" style="80" customWidth="1"/>
    <col min="74" max="74" width="4.28515625" style="6" customWidth="1"/>
    <col min="75" max="76" width="4.28515625" style="80" customWidth="1"/>
    <col min="77" max="77" width="4.28515625" style="6" customWidth="1"/>
    <col min="78" max="78" width="4.28515625" style="80" customWidth="1"/>
    <col min="79" max="79" width="4.28515625" style="6" customWidth="1"/>
    <col min="80" max="80" width="4.28515625" style="80" customWidth="1"/>
    <col min="81" max="81" width="4.28515625" style="6" customWidth="1"/>
    <col min="82" max="83" width="4.28515625" style="80" customWidth="1"/>
    <col min="84" max="84" width="4.28515625" style="6" customWidth="1"/>
    <col min="85" max="85" width="4.28515625" style="80" customWidth="1"/>
    <col min="86" max="86" width="4.28515625" style="6" customWidth="1"/>
    <col min="87" max="87" width="4.28515625" style="80" customWidth="1"/>
    <col min="88" max="88" width="4.28515625" style="6" customWidth="1"/>
    <col min="89" max="90" width="4.28515625" style="80" customWidth="1"/>
    <col min="91" max="91" width="4.28515625" style="6" customWidth="1"/>
    <col min="92" max="92" width="4.28515625" style="80" customWidth="1"/>
    <col min="93" max="93" width="4.28515625" style="6" customWidth="1"/>
    <col min="94" max="94" width="4.28515625" style="80" customWidth="1"/>
    <col min="95" max="95" width="4.28515625" style="6" customWidth="1"/>
    <col min="96" max="110" width="4.28515625" style="80" customWidth="1"/>
    <col min="111" max="111" width="5.28515625" style="80" customWidth="1"/>
    <col min="112" max="112" width="4.28515625" style="6" customWidth="1"/>
    <col min="113" max="113" width="4.28515625" style="80" customWidth="1"/>
    <col min="114" max="114" width="4.28515625" style="6" customWidth="1"/>
    <col min="115" max="115" width="4.28515625" style="80" customWidth="1"/>
    <col min="116" max="116" width="4.28515625" style="6" customWidth="1"/>
    <col min="117" max="118" width="4.28515625" style="80" customWidth="1"/>
    <col min="119" max="119" width="7" style="6" bestFit="1" customWidth="1"/>
    <col min="120" max="120" width="6.42578125" style="6" bestFit="1" customWidth="1"/>
    <col min="121" max="122" width="6" style="6" customWidth="1"/>
    <col min="123" max="132" width="5.7109375" style="6" customWidth="1"/>
    <col min="133" max="145" width="6.28515625" style="6" customWidth="1"/>
    <col min="146" max="146" width="5.5703125" style="6" bestFit="1" customWidth="1"/>
    <col min="147" max="147" width="6" style="6" bestFit="1" customWidth="1"/>
    <col min="148" max="149" width="5.5703125" style="6" bestFit="1" customWidth="1"/>
    <col min="150" max="150" width="8.85546875" style="6" bestFit="1" customWidth="1"/>
    <col min="151" max="151" width="6.140625" style="6" bestFit="1" customWidth="1"/>
    <col min="152" max="152" width="10.28515625" style="6" customWidth="1"/>
    <col min="153" max="153" width="6.140625" style="6" bestFit="1" customWidth="1"/>
    <col min="154" max="154" width="6" style="6" bestFit="1" customWidth="1"/>
    <col min="155" max="155" width="3.28515625" style="6" bestFit="1" customWidth="1"/>
    <col min="156" max="156" width="4.140625" style="6" bestFit="1" customWidth="1"/>
    <col min="157" max="157" width="8.85546875" style="6" bestFit="1" customWidth="1"/>
    <col min="158" max="158" width="5.28515625" style="6" bestFit="1" customWidth="1"/>
    <col min="159" max="159" width="8.28515625" style="6" bestFit="1" customWidth="1"/>
    <col min="160" max="160" width="4.140625" style="6" bestFit="1" customWidth="1"/>
    <col min="161" max="161" width="7.28515625" style="6" bestFit="1" customWidth="1"/>
    <col min="162" max="162" width="7" style="6" bestFit="1" customWidth="1"/>
    <col min="163" max="171" width="10.28515625" style="6" customWidth="1"/>
    <col min="172" max="172" width="11.85546875" style="6" customWidth="1"/>
    <col min="173" max="173" width="10.28515625" style="6" customWidth="1"/>
    <col min="174" max="16383" width="10.28515625" style="6" hidden="1" customWidth="1"/>
    <col min="16384" max="16384" width="6.140625" style="6" hidden="1" customWidth="1"/>
  </cols>
  <sheetData>
    <row r="1" spans="1:172" ht="18.75">
      <c r="C1" s="322"/>
      <c r="D1" s="322"/>
      <c r="E1" s="322"/>
      <c r="F1" s="322"/>
      <c r="G1" s="322"/>
      <c r="H1" s="322"/>
      <c r="I1" s="322"/>
      <c r="J1" s="322"/>
      <c r="K1" s="322"/>
      <c r="L1" s="322"/>
      <c r="M1" s="322"/>
      <c r="N1" s="322"/>
      <c r="O1" s="322"/>
      <c r="P1" s="322"/>
      <c r="Q1" s="322"/>
      <c r="R1" s="322"/>
      <c r="S1" s="322"/>
      <c r="T1" s="322"/>
      <c r="U1" s="322"/>
      <c r="V1" s="322"/>
      <c r="W1" s="322"/>
      <c r="X1" s="322"/>
      <c r="Y1" s="322"/>
      <c r="Z1" s="322"/>
      <c r="AA1" s="322"/>
      <c r="AB1" s="322"/>
      <c r="AC1" s="322"/>
      <c r="AD1" s="322"/>
      <c r="AE1" s="322"/>
      <c r="AF1" s="322"/>
      <c r="AG1" s="322"/>
      <c r="AH1" s="322"/>
      <c r="AI1" s="322"/>
      <c r="AJ1" s="322"/>
      <c r="AK1" s="322"/>
      <c r="AL1" s="322"/>
      <c r="AM1" s="322"/>
      <c r="AN1" s="322"/>
      <c r="AO1" s="322"/>
      <c r="AP1" s="322"/>
      <c r="AQ1" s="322"/>
      <c r="AR1" s="322"/>
      <c r="AS1" s="322"/>
      <c r="AT1" s="322"/>
      <c r="AU1" s="322"/>
      <c r="AV1" s="322"/>
      <c r="AW1" s="322"/>
      <c r="AX1" s="322"/>
      <c r="AY1" s="322"/>
      <c r="AZ1" s="322"/>
      <c r="BA1" s="322"/>
      <c r="BB1" s="322"/>
      <c r="BC1" s="322"/>
      <c r="BD1" s="322"/>
      <c r="BE1" s="322"/>
      <c r="BF1" s="322"/>
    </row>
    <row r="2" spans="1:172" ht="21">
      <c r="C2" s="323" t="str">
        <f>UTAMA!E1</f>
        <v>KEMENTERIAN AGAMA RI</v>
      </c>
      <c r="D2" s="323"/>
      <c r="E2" s="323"/>
      <c r="F2" s="323"/>
      <c r="G2" s="323"/>
      <c r="H2" s="323"/>
      <c r="I2" s="323"/>
      <c r="J2" s="323"/>
      <c r="K2" s="323"/>
      <c r="L2" s="323"/>
      <c r="M2" s="323"/>
      <c r="N2" s="323"/>
      <c r="O2" s="323"/>
      <c r="P2" s="323"/>
      <c r="Q2" s="323"/>
      <c r="R2" s="323"/>
      <c r="S2" s="323"/>
      <c r="T2" s="323"/>
      <c r="U2" s="323"/>
      <c r="V2" s="323"/>
      <c r="W2" s="323"/>
      <c r="X2" s="323"/>
      <c r="Y2" s="323"/>
      <c r="Z2" s="323"/>
      <c r="AA2" s="323"/>
      <c r="AB2" s="323"/>
      <c r="AC2" s="323"/>
      <c r="AD2" s="323"/>
      <c r="AE2" s="323"/>
      <c r="AF2" s="323"/>
      <c r="AG2" s="323"/>
      <c r="AH2" s="323"/>
      <c r="AI2" s="323"/>
      <c r="AJ2" s="323"/>
      <c r="AK2" s="323"/>
      <c r="AL2" s="323"/>
      <c r="AM2" s="323"/>
      <c r="AN2" s="323"/>
      <c r="AO2" s="323"/>
      <c r="AP2" s="323"/>
      <c r="AQ2" s="323"/>
      <c r="AR2" s="323"/>
      <c r="AS2" s="323"/>
      <c r="AT2" s="323"/>
      <c r="AU2" s="323"/>
      <c r="AV2" s="323"/>
      <c r="AW2" s="323"/>
      <c r="AX2" s="323"/>
      <c r="AY2" s="323"/>
      <c r="AZ2" s="323"/>
      <c r="BA2" s="323"/>
      <c r="BB2" s="323"/>
      <c r="BC2" s="323"/>
      <c r="BD2" s="323"/>
      <c r="BE2" s="323"/>
      <c r="BF2" s="323"/>
    </row>
    <row r="3" spans="1:172" ht="33.75">
      <c r="C3" s="324" t="str">
        <f>UTAMA!E2</f>
        <v>MADRASAH TSANAWIYAH BAHRUS SHOLIHIN</v>
      </c>
      <c r="D3" s="325"/>
      <c r="E3" s="325"/>
      <c r="F3" s="325"/>
      <c r="G3" s="325"/>
      <c r="H3" s="325"/>
      <c r="I3" s="325"/>
      <c r="J3" s="325"/>
      <c r="K3" s="325"/>
      <c r="L3" s="325"/>
      <c r="M3" s="325"/>
      <c r="N3" s="325"/>
      <c r="O3" s="325"/>
      <c r="P3" s="325"/>
      <c r="Q3" s="325"/>
      <c r="R3" s="325"/>
      <c r="S3" s="325"/>
      <c r="T3" s="325"/>
      <c r="U3" s="325"/>
      <c r="V3" s="325"/>
      <c r="W3" s="325"/>
      <c r="X3" s="325"/>
      <c r="Y3" s="325"/>
      <c r="Z3" s="325"/>
      <c r="AA3" s="325"/>
      <c r="AB3" s="325"/>
      <c r="AC3" s="325"/>
      <c r="AD3" s="325"/>
      <c r="AE3" s="325"/>
      <c r="AF3" s="325"/>
      <c r="AG3" s="325"/>
      <c r="AH3" s="325"/>
      <c r="AI3" s="325"/>
      <c r="AJ3" s="325"/>
      <c r="AK3" s="325"/>
      <c r="AL3" s="325"/>
      <c r="AM3" s="325"/>
      <c r="AN3" s="325"/>
      <c r="AO3" s="325"/>
      <c r="AP3" s="325"/>
      <c r="AQ3" s="325"/>
      <c r="AR3" s="325"/>
      <c r="AS3" s="325"/>
      <c r="AT3" s="325"/>
      <c r="AU3" s="325"/>
      <c r="AV3" s="325"/>
      <c r="AW3" s="325"/>
      <c r="AX3" s="325"/>
      <c r="AY3" s="325"/>
      <c r="AZ3" s="325"/>
      <c r="BA3" s="325"/>
      <c r="BB3" s="325"/>
      <c r="BC3" s="325"/>
      <c r="BD3" s="325"/>
      <c r="BE3" s="325"/>
      <c r="BF3" s="325"/>
    </row>
    <row r="4" spans="1:172"/>
    <row r="5" spans="1:172" ht="18.75">
      <c r="D5" s="326"/>
      <c r="E5" s="326"/>
      <c r="F5" s="326"/>
      <c r="G5" s="326"/>
      <c r="H5" s="326"/>
      <c r="I5" s="326"/>
      <c r="J5" s="326"/>
      <c r="K5" s="326"/>
      <c r="L5" s="326"/>
      <c r="M5" s="326"/>
      <c r="N5" s="326"/>
      <c r="O5" s="326"/>
      <c r="P5" s="326"/>
      <c r="Q5" s="326"/>
      <c r="R5" s="326"/>
      <c r="S5" s="326"/>
      <c r="T5" s="326"/>
      <c r="U5" s="326"/>
      <c r="V5" s="326"/>
      <c r="W5" s="326"/>
      <c r="X5" s="326"/>
      <c r="Y5" s="326"/>
      <c r="Z5" s="326"/>
      <c r="AA5" s="326"/>
      <c r="AB5" s="326"/>
      <c r="AC5" s="326"/>
      <c r="AD5" s="326"/>
      <c r="AE5" s="326"/>
      <c r="AF5" s="326"/>
      <c r="AG5" s="326"/>
      <c r="AH5" s="326"/>
      <c r="AI5" s="326"/>
      <c r="AJ5" s="326"/>
      <c r="AK5" s="326"/>
      <c r="AL5" s="326"/>
      <c r="AM5" s="326"/>
      <c r="AN5" s="326"/>
      <c r="AO5" s="326"/>
      <c r="AP5" s="326"/>
      <c r="AQ5" s="326"/>
      <c r="AR5" s="326"/>
      <c r="AS5" s="326"/>
      <c r="AT5" s="326"/>
      <c r="AU5" s="326"/>
      <c r="AV5" s="326"/>
      <c r="AW5" s="326"/>
      <c r="AX5" s="326"/>
      <c r="AY5" s="326"/>
      <c r="AZ5" s="326"/>
      <c r="BA5" s="326"/>
      <c r="BB5" s="326"/>
      <c r="BC5" s="326"/>
      <c r="BD5" s="326"/>
      <c r="BE5" s="326"/>
    </row>
    <row r="6" spans="1:172">
      <c r="C6" s="327" t="s">
        <v>126</v>
      </c>
      <c r="D6" s="327"/>
      <c r="E6" s="328" t="str">
        <f>UTAMA!D15</f>
        <v>VII</v>
      </c>
      <c r="F6" s="329"/>
      <c r="G6" s="329"/>
      <c r="H6" s="81"/>
      <c r="I6" s="81"/>
      <c r="J6" s="81"/>
      <c r="K6" s="81"/>
      <c r="L6" s="81"/>
      <c r="M6" s="81"/>
      <c r="N6" s="81"/>
      <c r="O6" s="81"/>
      <c r="P6" s="81"/>
      <c r="Q6" s="81"/>
      <c r="R6" s="81"/>
      <c r="S6" s="81"/>
      <c r="T6" s="81"/>
      <c r="U6" s="81"/>
      <c r="V6" s="81"/>
      <c r="W6" s="81"/>
      <c r="X6" s="81"/>
      <c r="Y6" s="81"/>
      <c r="Z6" s="81"/>
      <c r="AA6" s="81"/>
      <c r="AB6" s="327" t="s">
        <v>127</v>
      </c>
      <c r="AC6" s="327"/>
      <c r="AD6" s="327"/>
      <c r="AE6" s="327"/>
      <c r="AF6" s="330" t="s">
        <v>128</v>
      </c>
      <c r="AG6" s="331"/>
      <c r="AH6" s="331"/>
      <c r="AI6" s="331"/>
      <c r="AJ6" s="331"/>
      <c r="AL6" s="332" t="s">
        <v>129</v>
      </c>
      <c r="AM6" s="332"/>
      <c r="AN6" s="332"/>
      <c r="AO6" s="332"/>
      <c r="AP6" s="332"/>
      <c r="AQ6" s="332"/>
      <c r="AR6" s="332"/>
      <c r="AS6" s="332"/>
      <c r="AT6" s="332"/>
      <c r="AU6" s="332"/>
      <c r="AV6" s="332"/>
      <c r="AW6" s="332"/>
      <c r="AX6" s="333">
        <f>[1]Home!D20</f>
        <v>0</v>
      </c>
      <c r="AY6" s="333"/>
      <c r="AZ6" s="333"/>
    </row>
    <row r="7" spans="1:172" ht="15.75" thickBot="1">
      <c r="A7" s="82" t="s">
        <v>130</v>
      </c>
      <c r="B7" s="82" t="s">
        <v>131</v>
      </c>
      <c r="C7" s="82" t="s">
        <v>132</v>
      </c>
      <c r="D7" s="82" t="s">
        <v>133</v>
      </c>
      <c r="E7" s="82" t="s">
        <v>134</v>
      </c>
      <c r="F7" s="82" t="s">
        <v>135</v>
      </c>
      <c r="G7" s="82" t="s">
        <v>136</v>
      </c>
      <c r="H7" s="82" t="s">
        <v>137</v>
      </c>
      <c r="I7" s="82" t="s">
        <v>138</v>
      </c>
      <c r="J7" s="82" t="s">
        <v>139</v>
      </c>
      <c r="K7" s="82" t="s">
        <v>140</v>
      </c>
      <c r="L7" s="82" t="s">
        <v>141</v>
      </c>
      <c r="M7" s="82" t="s">
        <v>142</v>
      </c>
      <c r="N7" s="82" t="s">
        <v>143</v>
      </c>
      <c r="O7" s="82" t="s">
        <v>144</v>
      </c>
      <c r="P7" s="82" t="s">
        <v>145</v>
      </c>
      <c r="Q7" s="82" t="s">
        <v>146</v>
      </c>
      <c r="R7" s="82" t="s">
        <v>147</v>
      </c>
      <c r="S7" s="82" t="s">
        <v>148</v>
      </c>
      <c r="T7" s="82" t="s">
        <v>149</v>
      </c>
      <c r="U7" s="82" t="s">
        <v>150</v>
      </c>
      <c r="V7" s="82" t="s">
        <v>151</v>
      </c>
      <c r="W7" s="82" t="s">
        <v>152</v>
      </c>
      <c r="X7" s="82" t="s">
        <v>153</v>
      </c>
      <c r="Y7" s="82" t="s">
        <v>154</v>
      </c>
      <c r="Z7" s="82" t="s">
        <v>155</v>
      </c>
      <c r="AA7" s="82" t="s">
        <v>156</v>
      </c>
      <c r="AB7" s="82" t="s">
        <v>157</v>
      </c>
      <c r="AC7" s="82" t="s">
        <v>158</v>
      </c>
      <c r="AD7" s="82" t="s">
        <v>159</v>
      </c>
      <c r="AE7" s="82" t="s">
        <v>160</v>
      </c>
      <c r="AF7" s="82" t="s">
        <v>161</v>
      </c>
      <c r="AG7" s="82" t="s">
        <v>162</v>
      </c>
      <c r="AH7" s="82" t="s">
        <v>163</v>
      </c>
      <c r="AI7" s="82" t="s">
        <v>164</v>
      </c>
      <c r="AJ7" s="82" t="s">
        <v>165</v>
      </c>
      <c r="AK7" s="82" t="s">
        <v>166</v>
      </c>
      <c r="AL7" s="82" t="s">
        <v>167</v>
      </c>
      <c r="AM7" s="82" t="s">
        <v>168</v>
      </c>
      <c r="AN7" s="82" t="s">
        <v>169</v>
      </c>
      <c r="AO7" s="82" t="s">
        <v>170</v>
      </c>
      <c r="AP7" s="82" t="s">
        <v>171</v>
      </c>
      <c r="AQ7" s="82" t="s">
        <v>172</v>
      </c>
      <c r="AR7" s="82" t="s">
        <v>173</v>
      </c>
      <c r="AS7" s="82" t="s">
        <v>174</v>
      </c>
      <c r="AT7" s="82" t="s">
        <v>175</v>
      </c>
      <c r="AU7" s="82" t="s">
        <v>176</v>
      </c>
      <c r="AV7" s="82" t="s">
        <v>177</v>
      </c>
      <c r="AW7" s="82" t="s">
        <v>178</v>
      </c>
      <c r="AX7" s="82" t="s">
        <v>179</v>
      </c>
      <c r="AY7" s="82" t="s">
        <v>180</v>
      </c>
      <c r="AZ7" s="82" t="s">
        <v>181</v>
      </c>
      <c r="BA7" s="82" t="s">
        <v>182</v>
      </c>
      <c r="BB7" s="82" t="s">
        <v>183</v>
      </c>
      <c r="BC7" s="82" t="s">
        <v>184</v>
      </c>
      <c r="BD7" s="82" t="s">
        <v>185</v>
      </c>
      <c r="BE7" s="82" t="s">
        <v>186</v>
      </c>
      <c r="BF7" s="82" t="s">
        <v>187</v>
      </c>
      <c r="BG7" s="82" t="s">
        <v>188</v>
      </c>
      <c r="BH7" s="82" t="s">
        <v>189</v>
      </c>
      <c r="BI7" s="82" t="s">
        <v>190</v>
      </c>
      <c r="BJ7" s="82" t="s">
        <v>191</v>
      </c>
      <c r="BK7" s="82" t="s">
        <v>192</v>
      </c>
      <c r="BL7" s="82" t="s">
        <v>193</v>
      </c>
      <c r="BM7" s="82" t="s">
        <v>194</v>
      </c>
      <c r="BN7" s="82" t="s">
        <v>195</v>
      </c>
      <c r="BO7" s="82" t="s">
        <v>196</v>
      </c>
      <c r="BP7" s="82" t="s">
        <v>197</v>
      </c>
      <c r="BQ7" s="82" t="s">
        <v>198</v>
      </c>
      <c r="BR7" s="82" t="s">
        <v>199</v>
      </c>
      <c r="BS7" s="82" t="s">
        <v>200</v>
      </c>
      <c r="BT7" s="82" t="s">
        <v>201</v>
      </c>
      <c r="BU7" s="82" t="s">
        <v>202</v>
      </c>
      <c r="BV7" s="82" t="s">
        <v>203</v>
      </c>
      <c r="BW7" s="82" t="s">
        <v>204</v>
      </c>
      <c r="BX7" s="82" t="s">
        <v>205</v>
      </c>
      <c r="BY7" s="82" t="s">
        <v>206</v>
      </c>
      <c r="BZ7" s="82" t="s">
        <v>207</v>
      </c>
      <c r="CA7" s="82" t="s">
        <v>208</v>
      </c>
      <c r="CB7" s="82" t="s">
        <v>209</v>
      </c>
      <c r="CC7" s="82" t="s">
        <v>210</v>
      </c>
      <c r="CD7" s="82" t="s">
        <v>211</v>
      </c>
      <c r="CE7" s="82" t="s">
        <v>212</v>
      </c>
      <c r="CF7" s="82" t="s">
        <v>213</v>
      </c>
      <c r="CG7" s="82" t="s">
        <v>214</v>
      </c>
      <c r="CH7" s="82" t="s">
        <v>215</v>
      </c>
      <c r="CI7" s="82" t="s">
        <v>216</v>
      </c>
      <c r="CJ7" s="82" t="s">
        <v>217</v>
      </c>
      <c r="CK7" s="82" t="s">
        <v>218</v>
      </c>
      <c r="CL7" s="82" t="s">
        <v>219</v>
      </c>
      <c r="CM7" s="82" t="s">
        <v>220</v>
      </c>
      <c r="CN7" s="82" t="s">
        <v>221</v>
      </c>
      <c r="CO7" s="82" t="s">
        <v>222</v>
      </c>
      <c r="CP7" s="82" t="s">
        <v>223</v>
      </c>
      <c r="CQ7" s="82" t="s">
        <v>224</v>
      </c>
      <c r="CR7" s="82" t="s">
        <v>225</v>
      </c>
      <c r="CS7" s="82" t="s">
        <v>226</v>
      </c>
      <c r="CT7" s="82" t="s">
        <v>227</v>
      </c>
      <c r="CU7" s="82" t="s">
        <v>228</v>
      </c>
      <c r="CV7" s="82" t="s">
        <v>229</v>
      </c>
      <c r="CW7" s="82" t="s">
        <v>230</v>
      </c>
      <c r="CX7" s="82" t="s">
        <v>231</v>
      </c>
      <c r="CY7" s="82" t="s">
        <v>232</v>
      </c>
      <c r="CZ7" s="82" t="s">
        <v>233</v>
      </c>
      <c r="DA7" s="82" t="s">
        <v>234</v>
      </c>
      <c r="DB7" s="82" t="s">
        <v>235</v>
      </c>
      <c r="DC7" s="82" t="s">
        <v>236</v>
      </c>
      <c r="DD7" s="82" t="s">
        <v>237</v>
      </c>
      <c r="DE7" s="82" t="s">
        <v>238</v>
      </c>
      <c r="DF7" s="82" t="s">
        <v>239</v>
      </c>
      <c r="DG7" s="82" t="s">
        <v>240</v>
      </c>
      <c r="DH7" s="82" t="s">
        <v>241</v>
      </c>
      <c r="DI7" s="82" t="s">
        <v>242</v>
      </c>
      <c r="DJ7" s="82" t="s">
        <v>243</v>
      </c>
      <c r="DK7" s="82" t="s">
        <v>244</v>
      </c>
      <c r="DL7" s="82" t="s">
        <v>245</v>
      </c>
      <c r="DM7" s="82" t="s">
        <v>246</v>
      </c>
      <c r="DN7" s="82" t="s">
        <v>247</v>
      </c>
      <c r="DO7" s="82" t="s">
        <v>248</v>
      </c>
      <c r="DP7" s="82" t="s">
        <v>249</v>
      </c>
      <c r="DQ7" s="82" t="s">
        <v>250</v>
      </c>
      <c r="DR7" s="82" t="s">
        <v>251</v>
      </c>
      <c r="DS7" s="82" t="s">
        <v>252</v>
      </c>
      <c r="DT7" s="82" t="s">
        <v>253</v>
      </c>
      <c r="DU7" s="82" t="s">
        <v>254</v>
      </c>
      <c r="DV7" s="82" t="s">
        <v>255</v>
      </c>
      <c r="DW7" s="82" t="s">
        <v>256</v>
      </c>
      <c r="DX7" s="82" t="s">
        <v>257</v>
      </c>
      <c r="DY7" s="82" t="s">
        <v>258</v>
      </c>
      <c r="DZ7" s="82" t="s">
        <v>259</v>
      </c>
      <c r="EA7" s="82" t="s">
        <v>260</v>
      </c>
      <c r="EB7" s="82" t="s">
        <v>261</v>
      </c>
      <c r="EC7" s="82" t="s">
        <v>262</v>
      </c>
      <c r="ED7" s="82" t="s">
        <v>263</v>
      </c>
      <c r="EE7" s="82" t="s">
        <v>264</v>
      </c>
      <c r="EF7" s="82" t="s">
        <v>265</v>
      </c>
      <c r="EG7" s="82" t="s">
        <v>266</v>
      </c>
      <c r="EH7" s="82" t="s">
        <v>267</v>
      </c>
      <c r="EI7" s="82" t="s">
        <v>268</v>
      </c>
      <c r="EJ7" s="82" t="s">
        <v>269</v>
      </c>
      <c r="EK7" s="82" t="s">
        <v>270</v>
      </c>
      <c r="EL7" s="82" t="s">
        <v>271</v>
      </c>
      <c r="EM7" s="82" t="s">
        <v>272</v>
      </c>
      <c r="EN7" s="82" t="s">
        <v>273</v>
      </c>
      <c r="EO7" s="82" t="s">
        <v>274</v>
      </c>
      <c r="EP7" s="82" t="s">
        <v>275</v>
      </c>
      <c r="EQ7" s="82" t="s">
        <v>276</v>
      </c>
      <c r="ER7" s="82" t="s">
        <v>277</v>
      </c>
      <c r="ES7" s="82" t="s">
        <v>278</v>
      </c>
      <c r="ET7" s="82" t="s">
        <v>279</v>
      </c>
      <c r="EU7" s="82" t="s">
        <v>280</v>
      </c>
      <c r="EV7" s="82" t="s">
        <v>281</v>
      </c>
      <c r="EW7" s="82" t="s">
        <v>282</v>
      </c>
      <c r="EX7" s="82" t="s">
        <v>283</v>
      </c>
      <c r="EY7" s="82" t="s">
        <v>284</v>
      </c>
      <c r="EZ7" s="82" t="s">
        <v>285</v>
      </c>
      <c r="FA7" s="82" t="s">
        <v>286</v>
      </c>
      <c r="FB7" s="82" t="s">
        <v>287</v>
      </c>
      <c r="FC7" s="82" t="s">
        <v>288</v>
      </c>
      <c r="FD7" s="82" t="s">
        <v>289</v>
      </c>
      <c r="FE7" s="82" t="s">
        <v>290</v>
      </c>
      <c r="FF7" s="82" t="s">
        <v>291</v>
      </c>
      <c r="FG7" s="82" t="s">
        <v>292</v>
      </c>
      <c r="FH7" s="82" t="s">
        <v>293</v>
      </c>
      <c r="FI7" s="82" t="s">
        <v>294</v>
      </c>
      <c r="FJ7" s="82" t="s">
        <v>295</v>
      </c>
      <c r="FK7" s="82" t="s">
        <v>296</v>
      </c>
      <c r="FL7" s="82" t="s">
        <v>297</v>
      </c>
      <c r="FM7" s="82" t="s">
        <v>298</v>
      </c>
      <c r="FN7" s="82" t="s">
        <v>299</v>
      </c>
      <c r="FO7" s="82" t="s">
        <v>300</v>
      </c>
      <c r="FP7" s="82" t="s">
        <v>301</v>
      </c>
    </row>
    <row r="8" spans="1:172" ht="15" customHeight="1">
      <c r="A8" s="319" t="s">
        <v>302</v>
      </c>
      <c r="B8" s="319" t="s">
        <v>303</v>
      </c>
      <c r="C8" s="313" t="s">
        <v>304</v>
      </c>
      <c r="D8" s="314"/>
      <c r="E8" s="314"/>
      <c r="F8" s="314"/>
      <c r="G8" s="314"/>
      <c r="H8" s="314"/>
      <c r="I8" s="314"/>
      <c r="J8" s="314"/>
      <c r="K8" s="314"/>
      <c r="L8" s="314"/>
      <c r="M8" s="313" t="s">
        <v>305</v>
      </c>
      <c r="N8" s="314"/>
      <c r="O8" s="314"/>
      <c r="P8" s="314"/>
      <c r="Q8" s="314"/>
      <c r="R8" s="314"/>
      <c r="S8" s="314"/>
      <c r="T8" s="314"/>
      <c r="U8" s="314"/>
      <c r="V8" s="314"/>
      <c r="W8" s="313" t="s">
        <v>306</v>
      </c>
      <c r="X8" s="314"/>
      <c r="Y8" s="314"/>
      <c r="Z8" s="314"/>
      <c r="AA8" s="314"/>
      <c r="AB8" s="314"/>
      <c r="AC8" s="314"/>
      <c r="AD8" s="314"/>
      <c r="AE8" s="314"/>
      <c r="AF8" s="314"/>
      <c r="AG8" s="313" t="s">
        <v>63</v>
      </c>
      <c r="AH8" s="314"/>
      <c r="AI8" s="314"/>
      <c r="AJ8" s="314"/>
      <c r="AK8" s="314"/>
      <c r="AL8" s="314"/>
      <c r="AM8" s="314"/>
      <c r="AN8" s="314"/>
      <c r="AO8" s="314"/>
      <c r="AP8" s="314"/>
      <c r="AQ8" s="313" t="s">
        <v>307</v>
      </c>
      <c r="AR8" s="314"/>
      <c r="AS8" s="314"/>
      <c r="AT8" s="314"/>
      <c r="AU8" s="314"/>
      <c r="AV8" s="314"/>
      <c r="AW8" s="314"/>
      <c r="AX8" s="314"/>
      <c r="AY8" s="314"/>
      <c r="AZ8" s="314"/>
      <c r="BA8" s="313" t="s">
        <v>13</v>
      </c>
      <c r="BB8" s="314"/>
      <c r="BC8" s="314"/>
      <c r="BD8" s="314"/>
      <c r="BE8" s="314"/>
      <c r="BF8" s="314"/>
      <c r="BG8" s="314"/>
      <c r="BH8" s="314"/>
      <c r="BI8" s="314"/>
      <c r="BJ8" s="314"/>
      <c r="BK8" s="313" t="s">
        <v>14</v>
      </c>
      <c r="BL8" s="314"/>
      <c r="BM8" s="314"/>
      <c r="BN8" s="314"/>
      <c r="BO8" s="314"/>
      <c r="BP8" s="314"/>
      <c r="BQ8" s="314"/>
      <c r="BR8" s="314"/>
      <c r="BS8" s="314"/>
      <c r="BT8" s="314"/>
      <c r="BU8" s="313" t="s">
        <v>15</v>
      </c>
      <c r="BV8" s="314"/>
      <c r="BW8" s="314"/>
      <c r="BX8" s="314"/>
      <c r="BY8" s="314"/>
      <c r="BZ8" s="314"/>
      <c r="CA8" s="314"/>
      <c r="CB8" s="314"/>
      <c r="CC8" s="314"/>
      <c r="CD8" s="314"/>
      <c r="CE8" s="313" t="s">
        <v>308</v>
      </c>
      <c r="CF8" s="314"/>
      <c r="CG8" s="314"/>
      <c r="CH8" s="314"/>
      <c r="CI8" s="314"/>
      <c r="CJ8" s="314"/>
      <c r="CK8" s="314"/>
      <c r="CL8" s="314"/>
      <c r="CM8" s="314"/>
      <c r="CN8" s="314"/>
      <c r="CO8" s="313" t="s">
        <v>309</v>
      </c>
      <c r="CP8" s="314"/>
      <c r="CQ8" s="314"/>
      <c r="CR8" s="314"/>
      <c r="CS8" s="314"/>
      <c r="CT8" s="314"/>
      <c r="CU8" s="314"/>
      <c r="CV8" s="314"/>
      <c r="CW8" s="314"/>
      <c r="CX8" s="314"/>
      <c r="CY8" s="313" t="s">
        <v>18</v>
      </c>
      <c r="CZ8" s="314"/>
      <c r="DA8" s="314"/>
      <c r="DB8" s="314"/>
      <c r="DC8" s="314"/>
      <c r="DD8" s="314"/>
      <c r="DE8" s="314"/>
      <c r="DF8" s="314"/>
      <c r="DG8" s="314"/>
      <c r="DH8" s="314"/>
      <c r="DI8" s="313" t="s">
        <v>20</v>
      </c>
      <c r="DJ8" s="314"/>
      <c r="DK8" s="314"/>
      <c r="DL8" s="314"/>
      <c r="DM8" s="314"/>
      <c r="DN8" s="314"/>
      <c r="DO8" s="314"/>
      <c r="DP8" s="314"/>
      <c r="DQ8" s="314"/>
      <c r="DR8" s="314"/>
      <c r="DS8" s="313" t="s">
        <v>310</v>
      </c>
      <c r="DT8" s="314"/>
      <c r="DU8" s="314"/>
      <c r="DV8" s="314"/>
      <c r="DW8" s="314"/>
      <c r="DX8" s="314"/>
      <c r="DY8" s="314"/>
      <c r="DZ8" s="314"/>
      <c r="EA8" s="314"/>
      <c r="EB8" s="314"/>
      <c r="EC8" s="313" t="s">
        <v>22</v>
      </c>
      <c r="ED8" s="314"/>
      <c r="EE8" s="314"/>
      <c r="EF8" s="314"/>
      <c r="EG8" s="314"/>
      <c r="EH8" s="314"/>
      <c r="EI8" s="314"/>
      <c r="EJ8" s="314"/>
      <c r="EK8" s="314"/>
      <c r="EL8" s="314"/>
      <c r="EM8" s="317" t="s">
        <v>23</v>
      </c>
      <c r="EN8" s="317"/>
      <c r="EO8" s="317"/>
      <c r="EP8" s="317"/>
      <c r="EQ8" s="317"/>
      <c r="ER8" s="317"/>
      <c r="ES8" s="317"/>
      <c r="ET8" s="317"/>
      <c r="EU8" s="317"/>
      <c r="EV8" s="317"/>
      <c r="EW8" s="317" t="s">
        <v>311</v>
      </c>
      <c r="EX8" s="317"/>
      <c r="EY8" s="317"/>
      <c r="EZ8" s="317"/>
      <c r="FA8" s="317"/>
      <c r="FB8" s="317"/>
      <c r="FC8" s="317"/>
      <c r="FD8" s="317"/>
      <c r="FE8" s="317"/>
      <c r="FF8" s="318"/>
      <c r="FG8" s="307" t="s">
        <v>118</v>
      </c>
      <c r="FH8" s="308"/>
      <c r="FI8" s="308"/>
      <c r="FJ8" s="308"/>
      <c r="FK8" s="308"/>
      <c r="FL8" s="308"/>
      <c r="FM8" s="308"/>
      <c r="FN8" s="308"/>
      <c r="FO8" s="308"/>
      <c r="FP8" s="309"/>
    </row>
    <row r="9" spans="1:172" ht="18" customHeight="1" thickBot="1">
      <c r="A9" s="320"/>
      <c r="B9" s="320"/>
      <c r="C9" s="315"/>
      <c r="D9" s="316"/>
      <c r="E9" s="316"/>
      <c r="F9" s="316"/>
      <c r="G9" s="316"/>
      <c r="H9" s="316"/>
      <c r="I9" s="316"/>
      <c r="J9" s="316"/>
      <c r="K9" s="316"/>
      <c r="L9" s="316"/>
      <c r="M9" s="315"/>
      <c r="N9" s="316"/>
      <c r="O9" s="316"/>
      <c r="P9" s="316"/>
      <c r="Q9" s="316"/>
      <c r="R9" s="316"/>
      <c r="S9" s="316"/>
      <c r="T9" s="316"/>
      <c r="U9" s="316"/>
      <c r="V9" s="316"/>
      <c r="W9" s="315"/>
      <c r="X9" s="316"/>
      <c r="Y9" s="316"/>
      <c r="Z9" s="316"/>
      <c r="AA9" s="316"/>
      <c r="AB9" s="316"/>
      <c r="AC9" s="316"/>
      <c r="AD9" s="316"/>
      <c r="AE9" s="316"/>
      <c r="AF9" s="316"/>
      <c r="AG9" s="315"/>
      <c r="AH9" s="316"/>
      <c r="AI9" s="316"/>
      <c r="AJ9" s="316"/>
      <c r="AK9" s="316"/>
      <c r="AL9" s="316"/>
      <c r="AM9" s="316"/>
      <c r="AN9" s="316"/>
      <c r="AO9" s="316"/>
      <c r="AP9" s="316"/>
      <c r="AQ9" s="315"/>
      <c r="AR9" s="316"/>
      <c r="AS9" s="316"/>
      <c r="AT9" s="316"/>
      <c r="AU9" s="316"/>
      <c r="AV9" s="316"/>
      <c r="AW9" s="316"/>
      <c r="AX9" s="316"/>
      <c r="AY9" s="316"/>
      <c r="AZ9" s="316"/>
      <c r="BA9" s="315"/>
      <c r="BB9" s="316"/>
      <c r="BC9" s="316"/>
      <c r="BD9" s="316"/>
      <c r="BE9" s="316"/>
      <c r="BF9" s="316"/>
      <c r="BG9" s="316"/>
      <c r="BH9" s="316"/>
      <c r="BI9" s="316"/>
      <c r="BJ9" s="316"/>
      <c r="BK9" s="315"/>
      <c r="BL9" s="316"/>
      <c r="BM9" s="316"/>
      <c r="BN9" s="316"/>
      <c r="BO9" s="316"/>
      <c r="BP9" s="316"/>
      <c r="BQ9" s="316"/>
      <c r="BR9" s="316"/>
      <c r="BS9" s="316"/>
      <c r="BT9" s="316"/>
      <c r="BU9" s="315"/>
      <c r="BV9" s="316"/>
      <c r="BW9" s="316"/>
      <c r="BX9" s="316"/>
      <c r="BY9" s="316"/>
      <c r="BZ9" s="316"/>
      <c r="CA9" s="316"/>
      <c r="CB9" s="316"/>
      <c r="CC9" s="316"/>
      <c r="CD9" s="316"/>
      <c r="CE9" s="315"/>
      <c r="CF9" s="316"/>
      <c r="CG9" s="316"/>
      <c r="CH9" s="316"/>
      <c r="CI9" s="316"/>
      <c r="CJ9" s="316"/>
      <c r="CK9" s="316"/>
      <c r="CL9" s="316"/>
      <c r="CM9" s="316"/>
      <c r="CN9" s="316"/>
      <c r="CO9" s="315"/>
      <c r="CP9" s="316"/>
      <c r="CQ9" s="316"/>
      <c r="CR9" s="316"/>
      <c r="CS9" s="316"/>
      <c r="CT9" s="316"/>
      <c r="CU9" s="316"/>
      <c r="CV9" s="316"/>
      <c r="CW9" s="316"/>
      <c r="CX9" s="316"/>
      <c r="CY9" s="315"/>
      <c r="CZ9" s="316"/>
      <c r="DA9" s="316"/>
      <c r="DB9" s="316"/>
      <c r="DC9" s="316"/>
      <c r="DD9" s="316"/>
      <c r="DE9" s="316"/>
      <c r="DF9" s="316"/>
      <c r="DG9" s="316"/>
      <c r="DH9" s="316"/>
      <c r="DI9" s="315"/>
      <c r="DJ9" s="316"/>
      <c r="DK9" s="316"/>
      <c r="DL9" s="316"/>
      <c r="DM9" s="316"/>
      <c r="DN9" s="316"/>
      <c r="DO9" s="316"/>
      <c r="DP9" s="316"/>
      <c r="DQ9" s="316"/>
      <c r="DR9" s="316"/>
      <c r="DS9" s="315"/>
      <c r="DT9" s="316"/>
      <c r="DU9" s="316"/>
      <c r="DV9" s="316"/>
      <c r="DW9" s="316"/>
      <c r="DX9" s="316"/>
      <c r="DY9" s="316"/>
      <c r="DZ9" s="316"/>
      <c r="EA9" s="316"/>
      <c r="EB9" s="316"/>
      <c r="EC9" s="315"/>
      <c r="ED9" s="316"/>
      <c r="EE9" s="316"/>
      <c r="EF9" s="316"/>
      <c r="EG9" s="316"/>
      <c r="EH9" s="316"/>
      <c r="EI9" s="316"/>
      <c r="EJ9" s="316"/>
      <c r="EK9" s="316"/>
      <c r="EL9" s="316"/>
      <c r="EM9" s="317"/>
      <c r="EN9" s="317"/>
      <c r="EO9" s="317"/>
      <c r="EP9" s="317"/>
      <c r="EQ9" s="317"/>
      <c r="ER9" s="317"/>
      <c r="ES9" s="317"/>
      <c r="ET9" s="317"/>
      <c r="EU9" s="317"/>
      <c r="EV9" s="317"/>
      <c r="EW9" s="317"/>
      <c r="EX9" s="317"/>
      <c r="EY9" s="317"/>
      <c r="EZ9" s="317"/>
      <c r="FA9" s="317"/>
      <c r="FB9" s="317"/>
      <c r="FC9" s="317"/>
      <c r="FD9" s="317"/>
      <c r="FE9" s="317"/>
      <c r="FF9" s="318"/>
      <c r="FG9" s="310"/>
      <c r="FH9" s="311"/>
      <c r="FI9" s="311"/>
      <c r="FJ9" s="311"/>
      <c r="FK9" s="311"/>
      <c r="FL9" s="311"/>
      <c r="FM9" s="311"/>
      <c r="FN9" s="311"/>
      <c r="FO9" s="311"/>
      <c r="FP9" s="312"/>
    </row>
    <row r="10" spans="1:172">
      <c r="A10" s="321"/>
      <c r="B10" s="321"/>
      <c r="C10" s="83" t="s">
        <v>53</v>
      </c>
      <c r="D10" s="84" t="s">
        <v>118</v>
      </c>
      <c r="E10" s="84" t="s">
        <v>119</v>
      </c>
      <c r="F10" s="84" t="s">
        <v>120</v>
      </c>
      <c r="G10" s="84" t="s">
        <v>121</v>
      </c>
      <c r="H10" s="84" t="s">
        <v>122</v>
      </c>
      <c r="I10" s="84" t="s">
        <v>123</v>
      </c>
      <c r="J10" s="85" t="s">
        <v>124</v>
      </c>
      <c r="K10" s="86" t="s">
        <v>125</v>
      </c>
      <c r="L10" s="87" t="s">
        <v>118</v>
      </c>
      <c r="M10" s="83" t="s">
        <v>53</v>
      </c>
      <c r="N10" s="84" t="s">
        <v>118</v>
      </c>
      <c r="O10" s="84" t="s">
        <v>119</v>
      </c>
      <c r="P10" s="84" t="s">
        <v>120</v>
      </c>
      <c r="Q10" s="84" t="s">
        <v>121</v>
      </c>
      <c r="R10" s="84" t="s">
        <v>122</v>
      </c>
      <c r="S10" s="84" t="s">
        <v>123</v>
      </c>
      <c r="T10" s="85" t="s">
        <v>124</v>
      </c>
      <c r="U10" s="86" t="s">
        <v>125</v>
      </c>
      <c r="V10" s="87" t="s">
        <v>118</v>
      </c>
      <c r="W10" s="83" t="s">
        <v>53</v>
      </c>
      <c r="X10" s="84" t="s">
        <v>118</v>
      </c>
      <c r="Y10" s="84" t="s">
        <v>119</v>
      </c>
      <c r="Z10" s="84" t="s">
        <v>120</v>
      </c>
      <c r="AA10" s="84" t="s">
        <v>121</v>
      </c>
      <c r="AB10" s="84" t="s">
        <v>122</v>
      </c>
      <c r="AC10" s="84" t="s">
        <v>123</v>
      </c>
      <c r="AD10" s="85" t="s">
        <v>124</v>
      </c>
      <c r="AE10" s="86" t="s">
        <v>125</v>
      </c>
      <c r="AF10" s="87" t="s">
        <v>118</v>
      </c>
      <c r="AG10" s="83" t="s">
        <v>53</v>
      </c>
      <c r="AH10" s="84" t="s">
        <v>118</v>
      </c>
      <c r="AI10" s="84" t="s">
        <v>119</v>
      </c>
      <c r="AJ10" s="84" t="s">
        <v>120</v>
      </c>
      <c r="AK10" s="84" t="s">
        <v>121</v>
      </c>
      <c r="AL10" s="84" t="s">
        <v>122</v>
      </c>
      <c r="AM10" s="84" t="s">
        <v>123</v>
      </c>
      <c r="AN10" s="85" t="s">
        <v>124</v>
      </c>
      <c r="AO10" s="86" t="s">
        <v>125</v>
      </c>
      <c r="AP10" s="87" t="s">
        <v>118</v>
      </c>
      <c r="AQ10" s="83" t="s">
        <v>53</v>
      </c>
      <c r="AR10" s="84" t="s">
        <v>118</v>
      </c>
      <c r="AS10" s="84" t="s">
        <v>119</v>
      </c>
      <c r="AT10" s="84" t="s">
        <v>120</v>
      </c>
      <c r="AU10" s="84" t="s">
        <v>121</v>
      </c>
      <c r="AV10" s="84" t="s">
        <v>122</v>
      </c>
      <c r="AW10" s="84" t="s">
        <v>123</v>
      </c>
      <c r="AX10" s="85" t="s">
        <v>124</v>
      </c>
      <c r="AY10" s="86" t="s">
        <v>125</v>
      </c>
      <c r="AZ10" s="87" t="s">
        <v>118</v>
      </c>
      <c r="BA10" s="83" t="s">
        <v>53</v>
      </c>
      <c r="BB10" s="84" t="s">
        <v>118</v>
      </c>
      <c r="BC10" s="84" t="s">
        <v>119</v>
      </c>
      <c r="BD10" s="84" t="s">
        <v>120</v>
      </c>
      <c r="BE10" s="84" t="s">
        <v>121</v>
      </c>
      <c r="BF10" s="84" t="s">
        <v>122</v>
      </c>
      <c r="BG10" s="84" t="s">
        <v>123</v>
      </c>
      <c r="BH10" s="85" t="s">
        <v>124</v>
      </c>
      <c r="BI10" s="86" t="s">
        <v>125</v>
      </c>
      <c r="BJ10" s="87" t="s">
        <v>118</v>
      </c>
      <c r="BK10" s="83" t="s">
        <v>53</v>
      </c>
      <c r="BL10" s="84" t="s">
        <v>118</v>
      </c>
      <c r="BM10" s="84" t="s">
        <v>119</v>
      </c>
      <c r="BN10" s="84" t="s">
        <v>120</v>
      </c>
      <c r="BO10" s="84" t="s">
        <v>121</v>
      </c>
      <c r="BP10" s="84" t="s">
        <v>122</v>
      </c>
      <c r="BQ10" s="84" t="s">
        <v>123</v>
      </c>
      <c r="BR10" s="85" t="s">
        <v>124</v>
      </c>
      <c r="BS10" s="86" t="s">
        <v>125</v>
      </c>
      <c r="BT10" s="87" t="s">
        <v>118</v>
      </c>
      <c r="BU10" s="83" t="s">
        <v>53</v>
      </c>
      <c r="BV10" s="84" t="s">
        <v>118</v>
      </c>
      <c r="BW10" s="84" t="s">
        <v>119</v>
      </c>
      <c r="BX10" s="84" t="s">
        <v>120</v>
      </c>
      <c r="BY10" s="84" t="s">
        <v>121</v>
      </c>
      <c r="BZ10" s="84" t="s">
        <v>122</v>
      </c>
      <c r="CA10" s="84" t="s">
        <v>123</v>
      </c>
      <c r="CB10" s="85" t="s">
        <v>124</v>
      </c>
      <c r="CC10" s="86" t="s">
        <v>125</v>
      </c>
      <c r="CD10" s="87" t="s">
        <v>118</v>
      </c>
      <c r="CE10" s="83" t="s">
        <v>53</v>
      </c>
      <c r="CF10" s="84" t="s">
        <v>118</v>
      </c>
      <c r="CG10" s="84" t="s">
        <v>119</v>
      </c>
      <c r="CH10" s="84" t="s">
        <v>120</v>
      </c>
      <c r="CI10" s="84" t="s">
        <v>121</v>
      </c>
      <c r="CJ10" s="84" t="s">
        <v>122</v>
      </c>
      <c r="CK10" s="84" t="s">
        <v>123</v>
      </c>
      <c r="CL10" s="85" t="s">
        <v>124</v>
      </c>
      <c r="CM10" s="86" t="s">
        <v>125</v>
      </c>
      <c r="CN10" s="87" t="s">
        <v>118</v>
      </c>
      <c r="CO10" s="83" t="s">
        <v>53</v>
      </c>
      <c r="CP10" s="84" t="s">
        <v>118</v>
      </c>
      <c r="CQ10" s="84" t="s">
        <v>119</v>
      </c>
      <c r="CR10" s="84" t="s">
        <v>120</v>
      </c>
      <c r="CS10" s="84" t="s">
        <v>121</v>
      </c>
      <c r="CT10" s="84" t="s">
        <v>122</v>
      </c>
      <c r="CU10" s="84" t="s">
        <v>123</v>
      </c>
      <c r="CV10" s="85" t="s">
        <v>124</v>
      </c>
      <c r="CW10" s="86" t="s">
        <v>125</v>
      </c>
      <c r="CX10" s="87" t="s">
        <v>118</v>
      </c>
      <c r="CY10" s="83" t="s">
        <v>53</v>
      </c>
      <c r="CZ10" s="84" t="s">
        <v>118</v>
      </c>
      <c r="DA10" s="84" t="s">
        <v>119</v>
      </c>
      <c r="DB10" s="84" t="s">
        <v>120</v>
      </c>
      <c r="DC10" s="84" t="s">
        <v>121</v>
      </c>
      <c r="DD10" s="84" t="s">
        <v>122</v>
      </c>
      <c r="DE10" s="84" t="s">
        <v>123</v>
      </c>
      <c r="DF10" s="85" t="s">
        <v>124</v>
      </c>
      <c r="DG10" s="86" t="s">
        <v>125</v>
      </c>
      <c r="DH10" s="87" t="s">
        <v>118</v>
      </c>
      <c r="DI10" s="83" t="s">
        <v>53</v>
      </c>
      <c r="DJ10" s="84" t="s">
        <v>118</v>
      </c>
      <c r="DK10" s="84" t="s">
        <v>119</v>
      </c>
      <c r="DL10" s="84" t="s">
        <v>120</v>
      </c>
      <c r="DM10" s="84" t="s">
        <v>121</v>
      </c>
      <c r="DN10" s="84" t="s">
        <v>122</v>
      </c>
      <c r="DO10" s="84" t="s">
        <v>123</v>
      </c>
      <c r="DP10" s="85" t="s">
        <v>124</v>
      </c>
      <c r="DQ10" s="86" t="s">
        <v>125</v>
      </c>
      <c r="DR10" s="87" t="s">
        <v>118</v>
      </c>
      <c r="DS10" s="83" t="s">
        <v>53</v>
      </c>
      <c r="DT10" s="84" t="s">
        <v>118</v>
      </c>
      <c r="DU10" s="84" t="s">
        <v>119</v>
      </c>
      <c r="DV10" s="84" t="s">
        <v>120</v>
      </c>
      <c r="DW10" s="84" t="s">
        <v>121</v>
      </c>
      <c r="DX10" s="84" t="s">
        <v>122</v>
      </c>
      <c r="DY10" s="84" t="s">
        <v>123</v>
      </c>
      <c r="DZ10" s="85" t="s">
        <v>124</v>
      </c>
      <c r="EA10" s="86" t="s">
        <v>125</v>
      </c>
      <c r="EB10" s="87" t="s">
        <v>118</v>
      </c>
      <c r="EC10" s="83" t="s">
        <v>53</v>
      </c>
      <c r="ED10" s="84" t="s">
        <v>118</v>
      </c>
      <c r="EE10" s="84" t="s">
        <v>119</v>
      </c>
      <c r="EF10" s="84" t="s">
        <v>120</v>
      </c>
      <c r="EG10" s="84" t="s">
        <v>121</v>
      </c>
      <c r="EH10" s="84" t="s">
        <v>122</v>
      </c>
      <c r="EI10" s="84" t="s">
        <v>123</v>
      </c>
      <c r="EJ10" s="85" t="s">
        <v>124</v>
      </c>
      <c r="EK10" s="86" t="s">
        <v>125</v>
      </c>
      <c r="EL10" s="87" t="s">
        <v>118</v>
      </c>
      <c r="EM10" s="83" t="s">
        <v>53</v>
      </c>
      <c r="EN10" s="84" t="s">
        <v>118</v>
      </c>
      <c r="EO10" s="84" t="s">
        <v>119</v>
      </c>
      <c r="EP10" s="84" t="s">
        <v>120</v>
      </c>
      <c r="EQ10" s="84" t="s">
        <v>121</v>
      </c>
      <c r="ER10" s="84" t="s">
        <v>122</v>
      </c>
      <c r="ES10" s="84" t="s">
        <v>123</v>
      </c>
      <c r="ET10" s="85" t="s">
        <v>124</v>
      </c>
      <c r="EU10" s="86" t="s">
        <v>125</v>
      </c>
      <c r="EV10" s="87" t="s">
        <v>118</v>
      </c>
      <c r="EW10" s="83" t="s">
        <v>53</v>
      </c>
      <c r="EX10" s="84" t="s">
        <v>118</v>
      </c>
      <c r="EY10" s="84" t="s">
        <v>312</v>
      </c>
      <c r="EZ10" s="84" t="s">
        <v>313</v>
      </c>
      <c r="FA10" s="84" t="s">
        <v>314</v>
      </c>
      <c r="FB10" s="84" t="s">
        <v>122</v>
      </c>
      <c r="FC10" s="84" t="s">
        <v>315</v>
      </c>
      <c r="FD10" s="85" t="s">
        <v>316</v>
      </c>
      <c r="FE10" s="86" t="s">
        <v>317</v>
      </c>
      <c r="FF10" s="87" t="s">
        <v>118</v>
      </c>
      <c r="FG10" s="83" t="s">
        <v>53</v>
      </c>
      <c r="FH10" s="88" t="s">
        <v>118</v>
      </c>
      <c r="FI10" s="88" t="s">
        <v>312</v>
      </c>
      <c r="FJ10" s="88" t="s">
        <v>313</v>
      </c>
      <c r="FK10" s="88" t="s">
        <v>314</v>
      </c>
      <c r="FL10" s="88" t="s">
        <v>122</v>
      </c>
      <c r="FM10" s="88" t="s">
        <v>315</v>
      </c>
      <c r="FN10" s="89" t="s">
        <v>316</v>
      </c>
      <c r="FO10" s="90" t="s">
        <v>317</v>
      </c>
      <c r="FP10" s="91" t="s">
        <v>118</v>
      </c>
    </row>
    <row r="11" spans="1:172">
      <c r="A11" s="66">
        <v>1</v>
      </c>
      <c r="B11" s="92" t="str">
        <f>IF(DATA!D8="","",DATA!D8)</f>
        <v>Abd. Muis</v>
      </c>
      <c r="C11" s="93" t="str">
        <f>IF(QH!X8="","",QH!X8)</f>
        <v/>
      </c>
      <c r="D11" s="93" t="str">
        <f>IF(QH!Y8="","",QH!Y8)</f>
        <v/>
      </c>
      <c r="E11" s="93" t="str">
        <f>IF(QH!Z8="","",QH!Z8)</f>
        <v/>
      </c>
      <c r="F11" s="93" t="str">
        <f>IF(QH!AA8="","",QH!AA8)</f>
        <v/>
      </c>
      <c r="G11" s="93" t="str">
        <f>IF(QH!AB8="","",QH!AB8)</f>
        <v/>
      </c>
      <c r="H11" s="93" t="str">
        <f>IF(QH!AC8="","",QH!AC8)</f>
        <v/>
      </c>
      <c r="I11" s="93" t="str">
        <f>IF(QH!AD8="","",QH!AD8)</f>
        <v/>
      </c>
      <c r="J11" s="93" t="str">
        <f>IF(QH!AE8="","",QH!AE8)</f>
        <v/>
      </c>
      <c r="K11" s="93" t="str">
        <f>IF(QH!AF8="","",QH!AF8)</f>
        <v/>
      </c>
      <c r="L11" s="93" t="str">
        <f>IF(QH!AG8="","",QH!AG8)</f>
        <v/>
      </c>
      <c r="M11" s="94" t="str">
        <f>IF(AA!X8="","",AA!X8)</f>
        <v/>
      </c>
      <c r="N11" s="94" t="str">
        <f>IF(AA!Y8="","",AA!Y8)</f>
        <v/>
      </c>
      <c r="O11" s="94" t="str">
        <f>IF(AA!Z8="","",AA!Z8)</f>
        <v/>
      </c>
      <c r="P11" s="94" t="str">
        <f>IF(AA!AA8="","",AA!AA8)</f>
        <v/>
      </c>
      <c r="Q11" s="94" t="str">
        <f>IF(AA!AB8="","",AA!AB8)</f>
        <v/>
      </c>
      <c r="R11" s="94" t="str">
        <f>IF(AA!AC8="","",AA!AC8)</f>
        <v/>
      </c>
      <c r="S11" s="94" t="str">
        <f>IF(AA!AD8="","",AA!AD8)</f>
        <v/>
      </c>
      <c r="T11" s="94" t="str">
        <f>IF(AA!AE8="","",AA!AE8)</f>
        <v/>
      </c>
      <c r="U11" s="94" t="str">
        <f>IF(AA!AF8="","",AA!AF8)</f>
        <v/>
      </c>
      <c r="V11" s="94" t="str">
        <f>IF(AA!AG8="","",AA!AG8)</f>
        <v/>
      </c>
      <c r="W11" s="94" t="str">
        <f>IF(FIKIH!X8="","",FIKIH!X8)</f>
        <v/>
      </c>
      <c r="X11" s="94" t="str">
        <f>IF(FIKIH!Y8="","",FIKIH!Y8)</f>
        <v/>
      </c>
      <c r="Y11" s="94" t="str">
        <f>IF(FIKIH!Z8="","",FIKIH!Z8)</f>
        <v/>
      </c>
      <c r="Z11" s="94" t="str">
        <f>IF(FIKIH!AA8="","",FIKIH!AA8)</f>
        <v/>
      </c>
      <c r="AA11" s="94" t="str">
        <f>IF(FIKIH!AB8="","",FIKIH!AB8)</f>
        <v/>
      </c>
      <c r="AB11" s="94" t="str">
        <f>IF(FIKIH!AC8="","",FIKIH!AC8)</f>
        <v/>
      </c>
      <c r="AC11" s="94" t="str">
        <f>IF(FIKIH!AD8="","",FIKIH!AD8)</f>
        <v/>
      </c>
      <c r="AD11" s="94" t="str">
        <f>IF(FIKIH!AE8="","",FIKIH!AE8)</f>
        <v/>
      </c>
      <c r="AE11" s="94" t="str">
        <f>IF(FIKIH!AF8="","",FIKIH!AF8)</f>
        <v/>
      </c>
      <c r="AF11" s="94" t="str">
        <f>IF(FIKIH!AG8="","",FIKIH!AG8)</f>
        <v/>
      </c>
      <c r="AG11" s="94">
        <f>IF(SKI!X8="","",SKI!X8)</f>
        <v>3</v>
      </c>
      <c r="AH11" s="94" t="str">
        <f>IF(SKI!Y8="","",SKI!Y8)</f>
        <v>Melaksanakan sholat dhuhur berjemaah, berdo'a di awal dan di akhir kegiatan pembelajaran , serta melaksanakan kegiatan amaliyah siswa</v>
      </c>
      <c r="AI11" s="94">
        <f>IF(SKI!Z8="","",SKI!Z8)</f>
        <v>3</v>
      </c>
      <c r="AJ11" s="94">
        <f>IF(SKI!AA8="","",SKI!AA8)</f>
        <v>3</v>
      </c>
      <c r="AK11" s="94">
        <f>IF(SKI!AB8="","",SKI!AB8)</f>
        <v>3</v>
      </c>
      <c r="AL11" s="94">
        <f>IF(SKI!AC8="","",SKI!AC8)</f>
        <v>3</v>
      </c>
      <c r="AM11" s="94">
        <f>IF(SKI!AD8="","",SKI!AD8)</f>
        <v>3</v>
      </c>
      <c r="AN11" s="94">
        <f>IF(SKI!AE8="","",SKI!AE8)</f>
        <v>3</v>
      </c>
      <c r="AO11" s="94">
        <f>IF(SKI!AF8="","",SKI!AF8)</f>
        <v>3</v>
      </c>
      <c r="AP11" s="94" t="str">
        <f>IF(SKI!AG8="","",SKI!AG8)</f>
        <v>Santun dalam bersikap, disiplin dalam mentaati tata tertib madrasah, peduli pada lingkungan, orang tua, bertanggung jawab dalam melaksanakan tugas, baik sebagai individu maupun makhluk sosial</v>
      </c>
      <c r="AQ11" s="94" t="str">
        <f>IF(PKN!X8="","",PKN!X8)</f>
        <v/>
      </c>
      <c r="AR11" s="94" t="str">
        <f>IF(PKN!Y8="","",PKN!Y8)</f>
        <v/>
      </c>
      <c r="AS11" s="94" t="str">
        <f>IF(PKN!Z8="","",PKN!Z8)</f>
        <v/>
      </c>
      <c r="AT11" s="94" t="str">
        <f>IF(PKN!AA8="","",PKN!AA8)</f>
        <v/>
      </c>
      <c r="AU11" s="94" t="str">
        <f>IF(PKN!AB8="","",PKN!AB8)</f>
        <v/>
      </c>
      <c r="AV11" s="94" t="str">
        <f>IF(PKN!AC8="","",PKN!AC8)</f>
        <v/>
      </c>
      <c r="AW11" s="94" t="str">
        <f>IF(PKN!AD8="","",PKN!AD8)</f>
        <v/>
      </c>
      <c r="AX11" s="94" t="str">
        <f>IF(PKN!AE8="","",PKN!AE8)</f>
        <v/>
      </c>
      <c r="AY11" s="94" t="str">
        <f>IF(PKN!AF8="","",PKN!AF8)</f>
        <v/>
      </c>
      <c r="AZ11" s="94" t="str">
        <f>IF(PKN!AG8="","",PKN!AG8)</f>
        <v/>
      </c>
      <c r="BA11" s="93" t="str">
        <f>IF(INDO!X8="","",INDO!X8)</f>
        <v/>
      </c>
      <c r="BB11" s="93" t="str">
        <f>IF(INDO!Y8="","",INDO!Y8)</f>
        <v/>
      </c>
      <c r="BC11" s="93" t="str">
        <f>IF(INDO!Z8="","",INDO!Z8)</f>
        <v/>
      </c>
      <c r="BD11" s="93" t="str">
        <f>IF(INDO!AA8="","",INDO!AA8)</f>
        <v/>
      </c>
      <c r="BE11" s="93" t="str">
        <f>IF(INDO!AB8="","",INDO!AB8)</f>
        <v/>
      </c>
      <c r="BF11" s="93" t="str">
        <f>IF(INDO!AC8="","",INDO!AC8)</f>
        <v/>
      </c>
      <c r="BG11" s="93" t="str">
        <f>IF(INDO!AD8="","",INDO!AD8)</f>
        <v/>
      </c>
      <c r="BH11" s="93" t="str">
        <f>IF(INDO!AE8="","",INDO!AE8)</f>
        <v/>
      </c>
      <c r="BI11" s="93" t="str">
        <f>IF(INDO!AF8="","",INDO!AF8)</f>
        <v/>
      </c>
      <c r="BJ11" s="93" t="str">
        <f>IF(INDO!AG8="","",INDO!AG8)</f>
        <v/>
      </c>
      <c r="BK11" s="93" t="str">
        <f>IF(ARAB!X8="","",ARAB!X8)</f>
        <v/>
      </c>
      <c r="BL11" s="93" t="str">
        <f>IF(ARAB!Y8="","",ARAB!Y8)</f>
        <v/>
      </c>
      <c r="BM11" s="93" t="str">
        <f>IF(ARAB!Z8="","",ARAB!Z8)</f>
        <v/>
      </c>
      <c r="BN11" s="93" t="str">
        <f>IF(ARAB!AA8="","",ARAB!AA8)</f>
        <v/>
      </c>
      <c r="BO11" s="93" t="str">
        <f>IF(ARAB!AB8="","",ARAB!AB8)</f>
        <v/>
      </c>
      <c r="BP11" s="93" t="str">
        <f>IF(ARAB!AC8="","",ARAB!AC8)</f>
        <v/>
      </c>
      <c r="BQ11" s="93" t="str">
        <f>IF(ARAB!AD8="","",ARAB!AD8)</f>
        <v/>
      </c>
      <c r="BR11" s="93" t="str">
        <f>IF(ARAB!AE8="","",ARAB!AE8)</f>
        <v/>
      </c>
      <c r="BS11" s="93" t="str">
        <f>IF(ARAB!AF8="","",ARAB!AF8)</f>
        <v/>
      </c>
      <c r="BT11" s="93" t="str">
        <f>IF(ARAB!AG8="","",ARAB!AG8)</f>
        <v/>
      </c>
      <c r="BU11" s="94" t="str">
        <f>IF(MAT!X8="","",MAT!X8)</f>
        <v/>
      </c>
      <c r="BV11" s="94" t="str">
        <f>IF(MAT!Y8="","",MAT!Y8)</f>
        <v/>
      </c>
      <c r="BW11" s="94" t="str">
        <f>IF(MAT!Z8="","",MAT!Z8)</f>
        <v/>
      </c>
      <c r="BX11" s="94" t="str">
        <f>IF(MAT!AA8="","",MAT!AA8)</f>
        <v/>
      </c>
      <c r="BY11" s="94" t="str">
        <f>IF(MAT!AB8="","",MAT!AB8)</f>
        <v/>
      </c>
      <c r="BZ11" s="94" t="str">
        <f>IF(MAT!AC8="","",MAT!AC8)</f>
        <v/>
      </c>
      <c r="CA11" s="94" t="str">
        <f>IF(MAT!AD8="","",MAT!AD8)</f>
        <v/>
      </c>
      <c r="CB11" s="94" t="str">
        <f>IF(MAT!AE8="","",MAT!AE8)</f>
        <v/>
      </c>
      <c r="CC11" s="94" t="str">
        <f>IF(MAT!AF8="","",MAT!AF8)</f>
        <v/>
      </c>
      <c r="CD11" s="94" t="str">
        <f>IF(MAT!AG8="","",MAT!AG8)</f>
        <v/>
      </c>
      <c r="CE11" s="94" t="str">
        <f>IF(IPA!X8="","",IPA!X8)</f>
        <v/>
      </c>
      <c r="CF11" s="94" t="str">
        <f>IF(IPA!Y8="","",IPA!Y8)</f>
        <v/>
      </c>
      <c r="CG11" s="94" t="str">
        <f>IF(IPA!Z8="","",IPA!Z8)</f>
        <v/>
      </c>
      <c r="CH11" s="94" t="str">
        <f>IF(IPA!AA8="","",IPA!AA8)</f>
        <v/>
      </c>
      <c r="CI11" s="94" t="str">
        <f>IF(IPA!AB8="","",IPA!AB8)</f>
        <v/>
      </c>
      <c r="CJ11" s="94" t="str">
        <f>IF(IPA!AC8="","",IPA!AC8)</f>
        <v/>
      </c>
      <c r="CK11" s="94" t="str">
        <f>IF(IPA!AD8="","",IPA!AD8)</f>
        <v/>
      </c>
      <c r="CL11" s="94" t="str">
        <f>IF(IPA!AE8="","",IPA!AE8)</f>
        <v/>
      </c>
      <c r="CM11" s="94" t="str">
        <f>IF(IPA!AF8="","",IPA!AF8)</f>
        <v/>
      </c>
      <c r="CN11" s="94" t="str">
        <f>IF(IPA!AG8="","",IPA!AG8)</f>
        <v/>
      </c>
      <c r="CO11" s="93" t="str">
        <f>IF(IPS!X8="","",IPS!X8)</f>
        <v/>
      </c>
      <c r="CP11" s="93" t="str">
        <f>IF(IPS!Y8="","",IPS!Y8)</f>
        <v/>
      </c>
      <c r="CQ11" s="93" t="str">
        <f>IF(IPS!Z8="","",IPS!Z8)</f>
        <v/>
      </c>
      <c r="CR11" s="93" t="str">
        <f>IF(IPS!AA8="","",IPS!AA8)</f>
        <v/>
      </c>
      <c r="CS11" s="93" t="str">
        <f>IF(IPS!AB8="","",IPS!AB8)</f>
        <v/>
      </c>
      <c r="CT11" s="93" t="str">
        <f>IF(IPS!AC8="","",IPS!AC8)</f>
        <v/>
      </c>
      <c r="CU11" s="93" t="str">
        <f>IF(IPS!AD8="","",IPS!AD8)</f>
        <v/>
      </c>
      <c r="CV11" s="93" t="str">
        <f>IF(IPS!AE8="","",IPS!AE8)</f>
        <v/>
      </c>
      <c r="CW11" s="93" t="str">
        <f>IF(IPS!AF8="","",IPS!AF8)</f>
        <v/>
      </c>
      <c r="CX11" s="93" t="str">
        <f>IF(IPS!AG8="","",IPS!AG8)</f>
        <v/>
      </c>
      <c r="CY11" s="94" t="str">
        <f>IF(INGG!X8="","",INGG!X8)</f>
        <v/>
      </c>
      <c r="CZ11" s="94" t="str">
        <f>IF(INGG!Y8="","",INGG!Y8)</f>
        <v/>
      </c>
      <c r="DA11" s="94" t="str">
        <f>IF(INGG!Z8="","",INGG!Z8)</f>
        <v/>
      </c>
      <c r="DB11" s="94" t="str">
        <f>IF(INGG!AA8="","",INGG!AA8)</f>
        <v/>
      </c>
      <c r="DC11" s="94" t="str">
        <f>IF(INGG!AB8="","",INGG!AB8)</f>
        <v/>
      </c>
      <c r="DD11" s="94" t="str">
        <f>IF(INGG!AC8="","",INGG!AC8)</f>
        <v/>
      </c>
      <c r="DE11" s="94" t="str">
        <f>IF(INGG!AD8="","",INGG!AD8)</f>
        <v/>
      </c>
      <c r="DF11" s="94" t="str">
        <f>IF(INGG!AE8="","",INGG!AE8)</f>
        <v/>
      </c>
      <c r="DG11" s="94" t="str">
        <f>IF(INGG!AF8="","",INGG!AF8)</f>
        <v/>
      </c>
      <c r="DH11" s="94" t="str">
        <f>IF(INGG!AG8="","",INGG!AG8)</f>
        <v/>
      </c>
      <c r="DI11" s="94" t="str">
        <f>IF(SENBUD!X8="","",SENBUD!X8)</f>
        <v/>
      </c>
      <c r="DJ11" s="94" t="str">
        <f>IF(SENBUD!Y8="","",SENBUD!Y8)</f>
        <v/>
      </c>
      <c r="DK11" s="94" t="str">
        <f>IF(SENBUD!Z8="","",SENBUD!Z8)</f>
        <v/>
      </c>
      <c r="DL11" s="94" t="str">
        <f>IF(SENBUD!AA8="","",SENBUD!AA8)</f>
        <v/>
      </c>
      <c r="DM11" s="94" t="str">
        <f>IF(SENBUD!AB8="","",SENBUD!AB8)</f>
        <v/>
      </c>
      <c r="DN11" s="94" t="str">
        <f>IF(SENBUD!AC8="","",SENBUD!AC8)</f>
        <v/>
      </c>
      <c r="DO11" s="94" t="str">
        <f>IF(SENBUD!AD8="","",SENBUD!AD8)</f>
        <v/>
      </c>
      <c r="DP11" s="94" t="str">
        <f>IF(SENBUD!AE8="","",SENBUD!AE8)</f>
        <v/>
      </c>
      <c r="DQ11" s="94" t="str">
        <f>IF(SENBUD!AF8="","",SENBUD!AF8)</f>
        <v/>
      </c>
      <c r="DR11" s="94" t="str">
        <f>IF(SENBUD!AG8="","",SENBUD!AG8)</f>
        <v/>
      </c>
      <c r="DS11" s="93" t="str">
        <f>IF(PENJAS!X8="","",PENJAS!X8)</f>
        <v/>
      </c>
      <c r="DT11" s="93" t="str">
        <f>IF(PENJAS!Y8="","",PENJAS!Y8)</f>
        <v/>
      </c>
      <c r="DU11" s="93" t="str">
        <f>IF(PENJAS!Z8="","",PENJAS!Z8)</f>
        <v/>
      </c>
      <c r="DV11" s="93" t="str">
        <f>IF(PENJAS!AA8="","",PENJAS!AA8)</f>
        <v/>
      </c>
      <c r="DW11" s="93" t="str">
        <f>IF(PENJAS!AB8="","",PENJAS!AB8)</f>
        <v/>
      </c>
      <c r="DX11" s="93" t="str">
        <f>IF(PENJAS!AC8="","",PENJAS!AC8)</f>
        <v/>
      </c>
      <c r="DY11" s="93" t="str">
        <f>IF(PENJAS!AD8="","",PENJAS!AD8)</f>
        <v/>
      </c>
      <c r="DZ11" s="93" t="str">
        <f>IF(PENJAS!AE8="","",PENJAS!AE8)</f>
        <v/>
      </c>
      <c r="EA11" s="93" t="str">
        <f>IF(PENJAS!AF8="","",PENJAS!AF8)</f>
        <v/>
      </c>
      <c r="EB11" s="93" t="str">
        <f>IF(PENJAS!AG8="","",PENJAS!AG8)</f>
        <v/>
      </c>
      <c r="EC11" s="93" t="str">
        <f>IF(PRAKARYA!X8="","",PRAKARYA!X8)</f>
        <v/>
      </c>
      <c r="ED11" s="93" t="str">
        <f>IF(PRAKARYA!Y8="","",PRAKARYA!Y8)</f>
        <v/>
      </c>
      <c r="EE11" s="93" t="str">
        <f>IF(PRAKARYA!Z8="","",PRAKARYA!Z8)</f>
        <v/>
      </c>
      <c r="EF11" s="93" t="str">
        <f>IF(PRAKARYA!AA8="","",PRAKARYA!AA8)</f>
        <v/>
      </c>
      <c r="EG11" s="93" t="str">
        <f>IF(PRAKARYA!AB8="","",PRAKARYA!AB8)</f>
        <v/>
      </c>
      <c r="EH11" s="93" t="str">
        <f>IF(PRAKARYA!AC8="","",PRAKARYA!AC8)</f>
        <v/>
      </c>
      <c r="EI11" s="93" t="str">
        <f>IF(PRAKARYA!AD8="","",PRAKARYA!AD8)</f>
        <v/>
      </c>
      <c r="EJ11" s="93" t="str">
        <f>IF(PRAKARYA!AE8="","",PRAKARYA!AE8)</f>
        <v/>
      </c>
      <c r="EK11" s="93" t="str">
        <f>IF(PRAKARYA!AF8="","",PRAKARYA!AF8)</f>
        <v/>
      </c>
      <c r="EL11" s="93" t="str">
        <f>IF(PRAKARYA!AG8="","",PRAKARYA!AG8)</f>
        <v/>
      </c>
      <c r="EM11" s="95" t="str">
        <f>IF(BADER!X8="","",BADER!X8)</f>
        <v/>
      </c>
      <c r="EN11" s="95" t="str">
        <f>IF(BADER!Y8="","",BADER!Y8)</f>
        <v/>
      </c>
      <c r="EO11" s="95" t="str">
        <f>IF(BADER!Z8="","",BADER!Z8)</f>
        <v/>
      </c>
      <c r="EP11" s="95" t="str">
        <f>IF(BADER!AA8="","",BADER!AA8)</f>
        <v/>
      </c>
      <c r="EQ11" s="95" t="str">
        <f>IF(BADER!AB8="","",BADER!AB8)</f>
        <v/>
      </c>
      <c r="ER11" s="95" t="str">
        <f>IF(BADER!AC8="","",BADER!AC8)</f>
        <v/>
      </c>
      <c r="ES11" s="95" t="str">
        <f>IF(BADER!AD8="","",BADER!AD8)</f>
        <v/>
      </c>
      <c r="ET11" s="95" t="str">
        <f>IF(BADER!AE8="","",BADER!AE8)</f>
        <v/>
      </c>
      <c r="EU11" s="95" t="str">
        <f>IF(BADER!AF8="","",BADER!AF8)</f>
        <v/>
      </c>
      <c r="EV11" s="95" t="str">
        <f>IF(BADER!AG8="","",BADER!AG8)</f>
        <v/>
      </c>
      <c r="EW11" s="96" t="str">
        <f>IF(M11="","",MODE(C11,M11,W11,AG11,AQ11,BA11,BK11,BU11,CE11,CO11,CY11,DI11,DS11,EC11,EM11))</f>
        <v/>
      </c>
      <c r="EX11" s="96" t="str">
        <f>IF(N11="","",N11)</f>
        <v/>
      </c>
      <c r="EY11" s="96" t="str">
        <f t="shared" ref="EY11:FE26" si="0">IF(O11="","",MODE(E11,O11,Y11,AI11,AS11,BC11,BM11,BW11,CG11,CQ11,DA11,DK11,DU11,EE11,EO11))</f>
        <v/>
      </c>
      <c r="EZ11" s="96" t="str">
        <f t="shared" si="0"/>
        <v/>
      </c>
      <c r="FA11" s="96" t="str">
        <f t="shared" si="0"/>
        <v/>
      </c>
      <c r="FB11" s="96" t="str">
        <f t="shared" si="0"/>
        <v/>
      </c>
      <c r="FC11" s="96" t="str">
        <f t="shared" si="0"/>
        <v/>
      </c>
      <c r="FD11" s="96" t="str">
        <f t="shared" si="0"/>
        <v/>
      </c>
      <c r="FE11" s="96" t="str">
        <f t="shared" si="0"/>
        <v/>
      </c>
      <c r="FF11" s="96" t="str">
        <f>IF(EY11="","",IF(MODE(EY11:FE11)=4,"Sikapnya sangat baik dalam ",IF(MODE(EY11:FE11)=3,"Sikapnya baik dalam ",IF(MODE(EY11:FE11)=2,"Sikapnya cukup baik dalam ",IF(MODE(EY11:FE11)=1,"Sikapnya kurang baik dalam ","")))))</f>
        <v/>
      </c>
      <c r="FG11" s="96" t="str">
        <f>IF(EW11="","",IF(EW11=4,"Sangat baik",IF(EW11=3,"Baik",IF(EW11=2,"Cukup","Kurang"))))</f>
        <v/>
      </c>
      <c r="FH11" s="92" t="str">
        <f>IF(FG11="","","Sikap spiritual yang ditunjukkan "&amp;FG11&amp;" dalam "&amp;EX11)</f>
        <v/>
      </c>
      <c r="FI11" s="92" t="str">
        <f>IF(EY11="","",$FI$10)&amp;" "&amp;IF(EY11="","",IF(EY11=4,"sangat baik",IF(EY11=3,"baik",IF(EY11=2,"cukup","kurang"))))</f>
        <v xml:space="preserve"> </v>
      </c>
      <c r="FJ11" s="92" t="str">
        <f>IF(EZ11="","",$FJ$10)&amp;" "&amp;IF(EZ11="","",IF(EZ11=4,"sangat baik",IF(EZ11=3,"baik",IF(EZ11=2,"cukup","kurang"))))</f>
        <v xml:space="preserve"> </v>
      </c>
      <c r="FK11" s="92" t="str">
        <f>IF(FA11="","",$FK$10)&amp;" "&amp;IF(FA11="","",IF(FA11=4,"sangat baik",IF(FA11=3,"baik",IF(FA11=2,"cukup","kurang"))))</f>
        <v xml:space="preserve"> </v>
      </c>
      <c r="FL11" s="92" t="str">
        <f>IF(FB11="","",$FL$10)&amp;" "&amp;IF(FB11="","",IF(FB11=4,"sangat baik",IF(FB11=3,"baik",IF(FB11=2,"cukup","kurang"))))</f>
        <v xml:space="preserve"> </v>
      </c>
      <c r="FM11" s="92" t="str">
        <f>IF(FC11="","",$FM$10)&amp;" "&amp;IF(FC11="","",IF(FC11=4,"sangat baik",IF(FC11=3,"baik",IF(FC11=2,"cukup","kurang"))))</f>
        <v xml:space="preserve"> </v>
      </c>
      <c r="FN11" s="92" t="str">
        <f>IF(FD11="","",$FN$10)&amp;" "&amp;IF(FD11="","",IF(FD11=4,"sangat baik",IF(FD11=3,"baik",IF(FD11=2,"cukup","kurang"))))</f>
        <v xml:space="preserve"> </v>
      </c>
      <c r="FO11" s="92" t="str">
        <f>IF(FE11="","",$FO$10)&amp;" "&amp;IF(FE11="","",IF(FE11=4,"sangat baik",IF(FE11=3,"baik",IF(FE11=2,"cukup","kurang"))))</f>
        <v xml:space="preserve"> </v>
      </c>
      <c r="FP11" s="92" t="str">
        <f>IF(FI11="","",CONCATENATE(FF11,AZ11,", ",FI11,", ",FJ11,", ",FK11,", ",FL11,", ",FM11,", ",FN11,", ",FO11))</f>
        <v xml:space="preserve">,  ,  ,  ,  ,  ,  ,  </v>
      </c>
    </row>
    <row r="12" spans="1:172">
      <c r="A12" s="66">
        <v>2</v>
      </c>
      <c r="B12" s="92" t="str">
        <f>IF(DATA!D9="","",DATA!D9)</f>
        <v>Achmad Buka</v>
      </c>
      <c r="C12" s="93" t="str">
        <f>IF(QH!X9="","",QH!X9)</f>
        <v/>
      </c>
      <c r="D12" s="93" t="str">
        <f>IF(QH!Y9="","",QH!Y9)</f>
        <v/>
      </c>
      <c r="E12" s="93" t="str">
        <f>IF(QH!Z9="","",QH!Z9)</f>
        <v/>
      </c>
      <c r="F12" s="93" t="str">
        <f>IF(QH!AA9="","",QH!AA9)</f>
        <v/>
      </c>
      <c r="G12" s="93" t="str">
        <f>IF(QH!AB9="","",QH!AB9)</f>
        <v/>
      </c>
      <c r="H12" s="93" t="str">
        <f>IF(QH!AC9="","",QH!AC9)</f>
        <v/>
      </c>
      <c r="I12" s="93" t="str">
        <f>IF(QH!AD9="","",QH!AD9)</f>
        <v/>
      </c>
      <c r="J12" s="93" t="str">
        <f>IF(QH!AE9="","",QH!AE9)</f>
        <v/>
      </c>
      <c r="K12" s="93" t="str">
        <f>IF(QH!AF9="","",QH!AF9)</f>
        <v/>
      </c>
      <c r="L12" s="93" t="str">
        <f>IF(QH!AG9="","",QH!AG9)</f>
        <v/>
      </c>
      <c r="M12" s="94" t="str">
        <f>IF(AA!X9="","",AA!X9)</f>
        <v/>
      </c>
      <c r="N12" s="94" t="str">
        <f>IF(AA!Y9="","",AA!Y9)</f>
        <v/>
      </c>
      <c r="O12" s="94" t="str">
        <f>IF(AA!Z9="","",AA!Z9)</f>
        <v/>
      </c>
      <c r="P12" s="94" t="str">
        <f>IF(AA!AA9="","",AA!AA9)</f>
        <v/>
      </c>
      <c r="Q12" s="94" t="str">
        <f>IF(AA!AB9="","",AA!AB9)</f>
        <v/>
      </c>
      <c r="R12" s="94" t="str">
        <f>IF(AA!AC9="","",AA!AC9)</f>
        <v/>
      </c>
      <c r="S12" s="94" t="str">
        <f>IF(AA!AD9="","",AA!AD9)</f>
        <v/>
      </c>
      <c r="T12" s="94" t="str">
        <f>IF(AA!AE9="","",AA!AE9)</f>
        <v/>
      </c>
      <c r="U12" s="94" t="str">
        <f>IF(AA!AF9="","",AA!AF9)</f>
        <v/>
      </c>
      <c r="V12" s="94" t="str">
        <f>IF(AA!AG9="","",AA!AG9)</f>
        <v/>
      </c>
      <c r="W12" s="94" t="str">
        <f>IF(FIKIH!X9="","",FIKIH!X9)</f>
        <v/>
      </c>
      <c r="X12" s="94" t="str">
        <f>IF(FIKIH!Y9="","",FIKIH!Y9)</f>
        <v/>
      </c>
      <c r="Y12" s="94" t="str">
        <f>IF(FIKIH!Z9="","",FIKIH!Z9)</f>
        <v/>
      </c>
      <c r="Z12" s="94" t="str">
        <f>IF(FIKIH!AA9="","",FIKIH!AA9)</f>
        <v/>
      </c>
      <c r="AA12" s="94" t="str">
        <f>IF(FIKIH!AB9="","",FIKIH!AB9)</f>
        <v/>
      </c>
      <c r="AB12" s="94" t="str">
        <f>IF(FIKIH!AC9="","",FIKIH!AC9)</f>
        <v/>
      </c>
      <c r="AC12" s="94" t="str">
        <f>IF(FIKIH!AD9="","",FIKIH!AD9)</f>
        <v/>
      </c>
      <c r="AD12" s="94" t="str">
        <f>IF(FIKIH!AE9="","",FIKIH!AE9)</f>
        <v/>
      </c>
      <c r="AE12" s="94" t="str">
        <f>IF(FIKIH!AF9="","",FIKIH!AF9)</f>
        <v/>
      </c>
      <c r="AF12" s="94" t="str">
        <f>IF(FIKIH!AG9="","",FIKIH!AG9)</f>
        <v/>
      </c>
      <c r="AG12" s="94">
        <f>IF(SKI!X9="","",SKI!X9)</f>
        <v>3</v>
      </c>
      <c r="AH12" s="94" t="str">
        <f>IF(SKI!Y9="","",SKI!Y9)</f>
        <v>Melaksanakan sholat dhuhur berjemaah, berdo'a di awal dan di akhir kegiatan pembelajaran , serta melaksanakan kegiatan amaliyah siswa</v>
      </c>
      <c r="AI12" s="94">
        <f>IF(SKI!Z9="","",SKI!Z9)</f>
        <v>3</v>
      </c>
      <c r="AJ12" s="94">
        <f>IF(SKI!AA9="","",SKI!AA9)</f>
        <v>3</v>
      </c>
      <c r="AK12" s="94">
        <f>IF(SKI!AB9="","",SKI!AB9)</f>
        <v>3</v>
      </c>
      <c r="AL12" s="94">
        <f>IF(SKI!AC9="","",SKI!AC9)</f>
        <v>3</v>
      </c>
      <c r="AM12" s="94">
        <f>IF(SKI!AD9="","",SKI!AD9)</f>
        <v>3</v>
      </c>
      <c r="AN12" s="94">
        <f>IF(SKI!AE9="","",SKI!AE9)</f>
        <v>3</v>
      </c>
      <c r="AO12" s="94">
        <f>IF(SKI!AF9="","",SKI!AF9)</f>
        <v>3</v>
      </c>
      <c r="AP12" s="94" t="str">
        <f>IF(SKI!AG9="","",SKI!AG9)</f>
        <v>Santun dalam bersikap, disiplin dalam mentaati tata tertib madrasah, peduli pada lingkungan, orang tua, bertanggung jawab dalam melaksanakan tugas, baik sebagai individu maupun makhluk sosial</v>
      </c>
      <c r="AQ12" s="94" t="str">
        <f>IF(PKN!X9="","",PKN!X9)</f>
        <v/>
      </c>
      <c r="AR12" s="94" t="str">
        <f>IF(PKN!Y9="","",PKN!Y9)</f>
        <v/>
      </c>
      <c r="AS12" s="94" t="str">
        <f>IF(PKN!Z9="","",PKN!Z9)</f>
        <v/>
      </c>
      <c r="AT12" s="94" t="str">
        <f>IF(PKN!AA9="","",PKN!AA9)</f>
        <v/>
      </c>
      <c r="AU12" s="94" t="str">
        <f>IF(PKN!AB9="","",PKN!AB9)</f>
        <v/>
      </c>
      <c r="AV12" s="94" t="str">
        <f>IF(PKN!AC9="","",PKN!AC9)</f>
        <v/>
      </c>
      <c r="AW12" s="94" t="str">
        <f>IF(PKN!AD9="","",PKN!AD9)</f>
        <v/>
      </c>
      <c r="AX12" s="94" t="str">
        <f>IF(PKN!AE9="","",PKN!AE9)</f>
        <v/>
      </c>
      <c r="AY12" s="94" t="str">
        <f>IF(PKN!AF9="","",PKN!AF9)</f>
        <v/>
      </c>
      <c r="AZ12" s="94" t="str">
        <f>IF(PKN!AG9="","",PKN!AG9)</f>
        <v/>
      </c>
      <c r="BA12" s="93" t="str">
        <f>IF(INDO!X9="","",INDO!X9)</f>
        <v/>
      </c>
      <c r="BB12" s="93" t="str">
        <f>IF(INDO!Y9="","",INDO!Y9)</f>
        <v/>
      </c>
      <c r="BC12" s="93" t="str">
        <f>IF(INDO!Z9="","",INDO!Z9)</f>
        <v/>
      </c>
      <c r="BD12" s="93" t="str">
        <f>IF(INDO!AA9="","",INDO!AA9)</f>
        <v/>
      </c>
      <c r="BE12" s="93" t="str">
        <f>IF(INDO!AB9="","",INDO!AB9)</f>
        <v/>
      </c>
      <c r="BF12" s="93" t="str">
        <f>IF(INDO!AC9="","",INDO!AC9)</f>
        <v/>
      </c>
      <c r="BG12" s="93" t="str">
        <f>IF(INDO!AD9="","",INDO!AD9)</f>
        <v/>
      </c>
      <c r="BH12" s="93" t="str">
        <f>IF(INDO!AE9="","",INDO!AE9)</f>
        <v/>
      </c>
      <c r="BI12" s="93" t="str">
        <f>IF(INDO!AF9="","",INDO!AF9)</f>
        <v/>
      </c>
      <c r="BJ12" s="93" t="str">
        <f>IF(INDO!AG9="","",INDO!AG9)</f>
        <v/>
      </c>
      <c r="BK12" s="93" t="str">
        <f>IF(ARAB!X9="","",ARAB!X9)</f>
        <v/>
      </c>
      <c r="BL12" s="93" t="str">
        <f>IF(ARAB!Y9="","",ARAB!Y9)</f>
        <v/>
      </c>
      <c r="BM12" s="93" t="str">
        <f>IF(ARAB!Z9="","",ARAB!Z9)</f>
        <v/>
      </c>
      <c r="BN12" s="93" t="str">
        <f>IF(ARAB!AA9="","",ARAB!AA9)</f>
        <v/>
      </c>
      <c r="BO12" s="93" t="str">
        <f>IF(ARAB!AB9="","",ARAB!AB9)</f>
        <v/>
      </c>
      <c r="BP12" s="93" t="str">
        <f>IF(ARAB!AC9="","",ARAB!AC9)</f>
        <v/>
      </c>
      <c r="BQ12" s="93" t="str">
        <f>IF(ARAB!AD9="","",ARAB!AD9)</f>
        <v/>
      </c>
      <c r="BR12" s="93" t="str">
        <f>IF(ARAB!AE9="","",ARAB!AE9)</f>
        <v/>
      </c>
      <c r="BS12" s="93" t="str">
        <f>IF(ARAB!AF9="","",ARAB!AF9)</f>
        <v/>
      </c>
      <c r="BT12" s="93" t="str">
        <f>IF(ARAB!AG9="","",ARAB!AG9)</f>
        <v/>
      </c>
      <c r="BU12" s="94" t="str">
        <f>IF(MAT!X9="","",MAT!X9)</f>
        <v/>
      </c>
      <c r="BV12" s="94" t="str">
        <f>IF(MAT!Y9="","",MAT!Y9)</f>
        <v/>
      </c>
      <c r="BW12" s="94" t="str">
        <f>IF(MAT!Z9="","",MAT!Z9)</f>
        <v/>
      </c>
      <c r="BX12" s="94" t="str">
        <f>IF(MAT!AA9="","",MAT!AA9)</f>
        <v/>
      </c>
      <c r="BY12" s="94" t="str">
        <f>IF(MAT!AB9="","",MAT!AB9)</f>
        <v/>
      </c>
      <c r="BZ12" s="94" t="str">
        <f>IF(MAT!AC9="","",MAT!AC9)</f>
        <v/>
      </c>
      <c r="CA12" s="94" t="str">
        <f>IF(MAT!AD9="","",MAT!AD9)</f>
        <v/>
      </c>
      <c r="CB12" s="94" t="str">
        <f>IF(MAT!AE9="","",MAT!AE9)</f>
        <v/>
      </c>
      <c r="CC12" s="94" t="str">
        <f>IF(MAT!AF9="","",MAT!AF9)</f>
        <v/>
      </c>
      <c r="CD12" s="94" t="str">
        <f>IF(MAT!AG9="","",MAT!AG9)</f>
        <v/>
      </c>
      <c r="CE12" s="94" t="str">
        <f>IF(IPA!X9="","",IPA!X9)</f>
        <v/>
      </c>
      <c r="CF12" s="94" t="str">
        <f>IF(IPA!Y9="","",IPA!Y9)</f>
        <v/>
      </c>
      <c r="CG12" s="94" t="str">
        <f>IF(IPA!Z9="","",IPA!Z9)</f>
        <v/>
      </c>
      <c r="CH12" s="94" t="str">
        <f>IF(IPA!AA9="","",IPA!AA9)</f>
        <v/>
      </c>
      <c r="CI12" s="94" t="str">
        <f>IF(IPA!AB9="","",IPA!AB9)</f>
        <v/>
      </c>
      <c r="CJ12" s="94" t="str">
        <f>IF(IPA!AC9="","",IPA!AC9)</f>
        <v/>
      </c>
      <c r="CK12" s="94" t="str">
        <f>IF(IPA!AD9="","",IPA!AD9)</f>
        <v/>
      </c>
      <c r="CL12" s="94" t="str">
        <f>IF(IPA!AE9="","",IPA!AE9)</f>
        <v/>
      </c>
      <c r="CM12" s="94" t="str">
        <f>IF(IPA!AF9="","",IPA!AF9)</f>
        <v/>
      </c>
      <c r="CN12" s="94" t="str">
        <f>IF(IPA!AG9="","",IPA!AG9)</f>
        <v/>
      </c>
      <c r="CO12" s="93" t="str">
        <f>IF(IPS!X9="","",IPS!X9)</f>
        <v/>
      </c>
      <c r="CP12" s="93" t="str">
        <f>IF(IPS!Y9="","",IPS!Y9)</f>
        <v/>
      </c>
      <c r="CQ12" s="93" t="str">
        <f>IF(IPS!Z9="","",IPS!Z9)</f>
        <v/>
      </c>
      <c r="CR12" s="93" t="str">
        <f>IF(IPS!AA9="","",IPS!AA9)</f>
        <v/>
      </c>
      <c r="CS12" s="93" t="str">
        <f>IF(IPS!AB9="","",IPS!AB9)</f>
        <v/>
      </c>
      <c r="CT12" s="93" t="str">
        <f>IF(IPS!AC9="","",IPS!AC9)</f>
        <v/>
      </c>
      <c r="CU12" s="93" t="str">
        <f>IF(IPS!AD9="","",IPS!AD9)</f>
        <v/>
      </c>
      <c r="CV12" s="93" t="str">
        <f>IF(IPS!AE9="","",IPS!AE9)</f>
        <v/>
      </c>
      <c r="CW12" s="93" t="str">
        <f>IF(IPS!AF9="","",IPS!AF9)</f>
        <v/>
      </c>
      <c r="CX12" s="93" t="str">
        <f>IF(IPS!AG9="","",IPS!AG9)</f>
        <v/>
      </c>
      <c r="CY12" s="94" t="str">
        <f>IF(INGG!X9="","",INGG!X9)</f>
        <v/>
      </c>
      <c r="CZ12" s="94" t="str">
        <f>IF(INGG!Y9="","",INGG!Y9)</f>
        <v/>
      </c>
      <c r="DA12" s="94" t="str">
        <f>IF(INGG!Z9="","",INGG!Z9)</f>
        <v/>
      </c>
      <c r="DB12" s="94" t="str">
        <f>IF(INGG!AA9="","",INGG!AA9)</f>
        <v/>
      </c>
      <c r="DC12" s="94" t="str">
        <f>IF(INGG!AB9="","",INGG!AB9)</f>
        <v/>
      </c>
      <c r="DD12" s="94" t="str">
        <f>IF(INGG!AC9="","",INGG!AC9)</f>
        <v/>
      </c>
      <c r="DE12" s="94" t="str">
        <f>IF(INGG!AD9="","",INGG!AD9)</f>
        <v/>
      </c>
      <c r="DF12" s="94" t="str">
        <f>IF(INGG!AE9="","",INGG!AE9)</f>
        <v/>
      </c>
      <c r="DG12" s="94" t="str">
        <f>IF(INGG!AF9="","",INGG!AF9)</f>
        <v/>
      </c>
      <c r="DH12" s="94" t="str">
        <f>IF(INGG!AG9="","",INGG!AG9)</f>
        <v/>
      </c>
      <c r="DI12" s="94" t="str">
        <f>IF(SENBUD!X9="","",SENBUD!X9)</f>
        <v/>
      </c>
      <c r="DJ12" s="94" t="str">
        <f>IF(SENBUD!Y9="","",SENBUD!Y9)</f>
        <v/>
      </c>
      <c r="DK12" s="94" t="str">
        <f>IF(SENBUD!Z9="","",SENBUD!Z9)</f>
        <v/>
      </c>
      <c r="DL12" s="94" t="str">
        <f>IF(SENBUD!AA9="","",SENBUD!AA9)</f>
        <v/>
      </c>
      <c r="DM12" s="94" t="str">
        <f>IF(SENBUD!AB9="","",SENBUD!AB9)</f>
        <v/>
      </c>
      <c r="DN12" s="94" t="str">
        <f>IF(SENBUD!AC9="","",SENBUD!AC9)</f>
        <v/>
      </c>
      <c r="DO12" s="94" t="str">
        <f>IF(SENBUD!AD9="","",SENBUD!AD9)</f>
        <v/>
      </c>
      <c r="DP12" s="94" t="str">
        <f>IF(SENBUD!AE9="","",SENBUD!AE9)</f>
        <v/>
      </c>
      <c r="DQ12" s="94" t="str">
        <f>IF(SENBUD!AF9="","",SENBUD!AF9)</f>
        <v/>
      </c>
      <c r="DR12" s="94" t="str">
        <f>IF(SENBUD!AG9="","",SENBUD!AG9)</f>
        <v/>
      </c>
      <c r="DS12" s="93" t="str">
        <f>IF(PENJAS!X9="","",PENJAS!X9)</f>
        <v/>
      </c>
      <c r="DT12" s="93" t="str">
        <f>IF(PENJAS!Y9="","",PENJAS!Y9)</f>
        <v/>
      </c>
      <c r="DU12" s="93" t="str">
        <f>IF(PENJAS!Z9="","",PENJAS!Z9)</f>
        <v/>
      </c>
      <c r="DV12" s="93" t="str">
        <f>IF(PENJAS!AA9="","",PENJAS!AA9)</f>
        <v/>
      </c>
      <c r="DW12" s="93" t="str">
        <f>IF(PENJAS!AB9="","",PENJAS!AB9)</f>
        <v/>
      </c>
      <c r="DX12" s="93" t="str">
        <f>IF(PENJAS!AC9="","",PENJAS!AC9)</f>
        <v/>
      </c>
      <c r="DY12" s="93" t="str">
        <f>IF(PENJAS!AD9="","",PENJAS!AD9)</f>
        <v/>
      </c>
      <c r="DZ12" s="93" t="str">
        <f>IF(PENJAS!AE9="","",PENJAS!AE9)</f>
        <v/>
      </c>
      <c r="EA12" s="93" t="str">
        <f>IF(PENJAS!AF9="","",PENJAS!AF9)</f>
        <v/>
      </c>
      <c r="EB12" s="93" t="str">
        <f>IF(PENJAS!AG9="","",PENJAS!AG9)</f>
        <v/>
      </c>
      <c r="EC12" s="93" t="str">
        <f>IF(PRAKARYA!X9="","",PRAKARYA!X9)</f>
        <v/>
      </c>
      <c r="ED12" s="93" t="str">
        <f>IF(PRAKARYA!Y9="","",PRAKARYA!Y9)</f>
        <v/>
      </c>
      <c r="EE12" s="93" t="str">
        <f>IF(PRAKARYA!Z9="","",PRAKARYA!Z9)</f>
        <v/>
      </c>
      <c r="EF12" s="93" t="str">
        <f>IF(PRAKARYA!AA9="","",PRAKARYA!AA9)</f>
        <v/>
      </c>
      <c r="EG12" s="93" t="str">
        <f>IF(PRAKARYA!AB9="","",PRAKARYA!AB9)</f>
        <v/>
      </c>
      <c r="EH12" s="93" t="str">
        <f>IF(PRAKARYA!AC9="","",PRAKARYA!AC9)</f>
        <v/>
      </c>
      <c r="EI12" s="93" t="str">
        <f>IF(PRAKARYA!AD9="","",PRAKARYA!AD9)</f>
        <v/>
      </c>
      <c r="EJ12" s="93" t="str">
        <f>IF(PRAKARYA!AE9="","",PRAKARYA!AE9)</f>
        <v/>
      </c>
      <c r="EK12" s="93" t="str">
        <f>IF(PRAKARYA!AF9="","",PRAKARYA!AF9)</f>
        <v/>
      </c>
      <c r="EL12" s="93" t="str">
        <f>IF(PRAKARYA!AG9="","",PRAKARYA!AG9)</f>
        <v/>
      </c>
      <c r="EM12" s="95" t="str">
        <f>IF(BADER!X9="","",BADER!X9)</f>
        <v/>
      </c>
      <c r="EN12" s="95" t="str">
        <f>IF(BADER!Y9="","",BADER!Y9)</f>
        <v/>
      </c>
      <c r="EO12" s="95" t="str">
        <f>IF(BADER!Z9="","",BADER!Z9)</f>
        <v/>
      </c>
      <c r="EP12" s="95" t="str">
        <f>IF(BADER!AA9="","",BADER!AA9)</f>
        <v/>
      </c>
      <c r="EQ12" s="95" t="str">
        <f>IF(BADER!AB9="","",BADER!AB9)</f>
        <v/>
      </c>
      <c r="ER12" s="95" t="str">
        <f>IF(BADER!AC9="","",BADER!AC9)</f>
        <v/>
      </c>
      <c r="ES12" s="95" t="str">
        <f>IF(BADER!AD9="","",BADER!AD9)</f>
        <v/>
      </c>
      <c r="ET12" s="95" t="str">
        <f>IF(BADER!AE9="","",BADER!AE9)</f>
        <v/>
      </c>
      <c r="EU12" s="95" t="str">
        <f>IF(BADER!AF9="","",BADER!AF9)</f>
        <v/>
      </c>
      <c r="EV12" s="95" t="str">
        <f>IF(BADER!AG9="","",BADER!AG9)</f>
        <v/>
      </c>
      <c r="EW12" s="96" t="str">
        <f t="shared" ref="EW12:EW60" si="1">IF(M12="","",MODE(C12,M12,W12,AG12,AQ12,BA12,BK12,BU12,CE12,CO12,CY12,DI12,DS12,EC12,EM12))</f>
        <v/>
      </c>
      <c r="EX12" s="96" t="str">
        <f t="shared" ref="EX12:EX60" si="2">IF(N12="","",N12)</f>
        <v/>
      </c>
      <c r="EY12" s="96" t="str">
        <f t="shared" si="0"/>
        <v/>
      </c>
      <c r="EZ12" s="96" t="str">
        <f t="shared" si="0"/>
        <v/>
      </c>
      <c r="FA12" s="96" t="str">
        <f t="shared" si="0"/>
        <v/>
      </c>
      <c r="FB12" s="96" t="str">
        <f t="shared" si="0"/>
        <v/>
      </c>
      <c r="FC12" s="96" t="str">
        <f t="shared" si="0"/>
        <v/>
      </c>
      <c r="FD12" s="96" t="str">
        <f t="shared" si="0"/>
        <v/>
      </c>
      <c r="FE12" s="96" t="str">
        <f t="shared" si="0"/>
        <v/>
      </c>
      <c r="FF12" s="96" t="str">
        <f t="shared" ref="FF12:FF60" si="3">IF(EY12="","",IF(MODE(EY12:FE12)=4,"Sikapnya sangat baik dalam ",IF(MODE(EY12:FE12)=3,"Sikapnya baik dalam ",IF(MODE(EY12:FE12)=2,"Sikapnya cukup baik dalam ",IF(MODE(EY12:FE12)=1,"Sikapnya kurang baik dalam ","")))))</f>
        <v/>
      </c>
      <c r="FG12" s="96" t="str">
        <f t="shared" ref="FG12:FG60" si="4">IF(EW12="","",IF(EW12=4,"Sangat baik",IF(EW12=3,"Baik",IF(EW12=2,"Cukup","Kurang"))))</f>
        <v/>
      </c>
      <c r="FH12" s="92" t="str">
        <f t="shared" ref="FH12:FH60" si="5">IF(FG12="","","Sikap spiritual yang ditunjukkan "&amp;FG12&amp;" dalam "&amp;EX12)</f>
        <v/>
      </c>
      <c r="FI12" s="92" t="str">
        <f t="shared" ref="FI12:FI60" si="6">IF(EY12="","",$FI$10)&amp;" "&amp;IF(EY12="","",IF(EY12=4,"sangat baik",IF(EY12=3,"baik",IF(EY12=2,"cukup","kurang"))))</f>
        <v xml:space="preserve"> </v>
      </c>
      <c r="FJ12" s="92" t="str">
        <f t="shared" ref="FJ12:FJ60" si="7">IF(EZ12="","",$FJ$10)&amp;" "&amp;IF(EZ12="","",IF(EZ12=4,"sangat baik",IF(EZ12=3,"baik",IF(EZ12=2,"cukup","kurang"))))</f>
        <v xml:space="preserve"> </v>
      </c>
      <c r="FK12" s="92" t="str">
        <f t="shared" ref="FK12:FK60" si="8">IF(FA12="","",$FK$10)&amp;" "&amp;IF(FA12="","",IF(FA12=4,"sangat baik",IF(FA12=3,"baik",IF(FA12=2,"cukup","kurang"))))</f>
        <v xml:space="preserve"> </v>
      </c>
      <c r="FL12" s="92" t="str">
        <f t="shared" ref="FL12:FL60" si="9">IF(FB12="","",$FL$10)&amp;" "&amp;IF(FB12="","",IF(FB12=4,"sangat baik",IF(FB12=3,"baik",IF(FB12=2,"cukup","kurang"))))</f>
        <v xml:space="preserve"> </v>
      </c>
      <c r="FM12" s="92" t="str">
        <f t="shared" ref="FM12:FM60" si="10">IF(FC12="","",$FM$10)&amp;" "&amp;IF(FC12="","",IF(FC12=4,"sangat baik",IF(FC12=3,"baik",IF(FC12=2,"cukup","kurang"))))</f>
        <v xml:space="preserve"> </v>
      </c>
      <c r="FN12" s="92" t="str">
        <f t="shared" ref="FN12:FN60" si="11">IF(FD12="","",$FN$10)&amp;" "&amp;IF(FD12="","",IF(FD12=4,"sangat baik",IF(FD12=3,"baik",IF(FD12=2,"cukup","kurang"))))</f>
        <v xml:space="preserve"> </v>
      </c>
      <c r="FO12" s="92" t="str">
        <f t="shared" ref="FO12:FO60" si="12">IF(FE12="","",$FO$10)&amp;" "&amp;IF(FE12="","",IF(FE12=4,"sangat baik",IF(FE12=3,"baik",IF(FE12=2,"cukup","kurang"))))</f>
        <v xml:space="preserve"> </v>
      </c>
      <c r="FP12" s="92" t="str">
        <f t="shared" ref="FP12:FP60" si="13">IF(FI12="","",CONCATENATE(FF12,AZ12,", ",FI12,", ",FJ12,", ",FK12,", ",FL12,", ",FM12,", ",FN12,", ",FO12))</f>
        <v xml:space="preserve">,  ,  ,  ,  ,  ,  ,  </v>
      </c>
    </row>
    <row r="13" spans="1:172">
      <c r="A13" s="66">
        <v>3</v>
      </c>
      <c r="B13" s="92" t="str">
        <f>IF(DATA!D10="","",DATA!D10)</f>
        <v>AHMAD HAMBALI</v>
      </c>
      <c r="C13" s="93" t="str">
        <f>IF(QH!X10="","",QH!X10)</f>
        <v/>
      </c>
      <c r="D13" s="93" t="str">
        <f>IF(QH!Y10="","",QH!Y10)</f>
        <v/>
      </c>
      <c r="E13" s="93" t="str">
        <f>IF(QH!Z10="","",QH!Z10)</f>
        <v/>
      </c>
      <c r="F13" s="93" t="str">
        <f>IF(QH!AA10="","",QH!AA10)</f>
        <v/>
      </c>
      <c r="G13" s="93" t="str">
        <f>IF(QH!AB10="","",QH!AB10)</f>
        <v/>
      </c>
      <c r="H13" s="93" t="str">
        <f>IF(QH!AC10="","",QH!AC10)</f>
        <v/>
      </c>
      <c r="I13" s="93" t="str">
        <f>IF(QH!AD10="","",QH!AD10)</f>
        <v/>
      </c>
      <c r="J13" s="93" t="str">
        <f>IF(QH!AE10="","",QH!AE10)</f>
        <v/>
      </c>
      <c r="K13" s="93" t="str">
        <f>IF(QH!AF10="","",QH!AF10)</f>
        <v/>
      </c>
      <c r="L13" s="93" t="str">
        <f>IF(QH!AG10="","",QH!AG10)</f>
        <v/>
      </c>
      <c r="M13" s="94" t="str">
        <f>IF(AA!X10="","",AA!X10)</f>
        <v/>
      </c>
      <c r="N13" s="94" t="str">
        <f>IF(AA!Y10="","",AA!Y10)</f>
        <v/>
      </c>
      <c r="O13" s="94" t="str">
        <f>IF(AA!Z10="","",AA!Z10)</f>
        <v/>
      </c>
      <c r="P13" s="94" t="str">
        <f>IF(AA!AA10="","",AA!AA10)</f>
        <v/>
      </c>
      <c r="Q13" s="94" t="str">
        <f>IF(AA!AB10="","",AA!AB10)</f>
        <v/>
      </c>
      <c r="R13" s="94" t="str">
        <f>IF(AA!AC10="","",AA!AC10)</f>
        <v/>
      </c>
      <c r="S13" s="94" t="str">
        <f>IF(AA!AD10="","",AA!AD10)</f>
        <v/>
      </c>
      <c r="T13" s="94" t="str">
        <f>IF(AA!AE10="","",AA!AE10)</f>
        <v/>
      </c>
      <c r="U13" s="94" t="str">
        <f>IF(AA!AF10="","",AA!AF10)</f>
        <v/>
      </c>
      <c r="V13" s="94" t="str">
        <f>IF(AA!AG10="","",AA!AG10)</f>
        <v/>
      </c>
      <c r="W13" s="94" t="str">
        <f>IF(FIKIH!X10="","",FIKIH!X10)</f>
        <v/>
      </c>
      <c r="X13" s="94" t="str">
        <f>IF(FIKIH!Y10="","",FIKIH!Y10)</f>
        <v/>
      </c>
      <c r="Y13" s="94" t="str">
        <f>IF(FIKIH!Z10="","",FIKIH!Z10)</f>
        <v/>
      </c>
      <c r="Z13" s="94" t="str">
        <f>IF(FIKIH!AA10="","",FIKIH!AA10)</f>
        <v/>
      </c>
      <c r="AA13" s="94" t="str">
        <f>IF(FIKIH!AB10="","",FIKIH!AB10)</f>
        <v/>
      </c>
      <c r="AB13" s="94" t="str">
        <f>IF(FIKIH!AC10="","",FIKIH!AC10)</f>
        <v/>
      </c>
      <c r="AC13" s="94" t="str">
        <f>IF(FIKIH!AD10="","",FIKIH!AD10)</f>
        <v/>
      </c>
      <c r="AD13" s="94" t="str">
        <f>IF(FIKIH!AE10="","",FIKIH!AE10)</f>
        <v/>
      </c>
      <c r="AE13" s="94" t="str">
        <f>IF(FIKIH!AF10="","",FIKIH!AF10)</f>
        <v/>
      </c>
      <c r="AF13" s="94" t="str">
        <f>IF(FIKIH!AG10="","",FIKIH!AG10)</f>
        <v/>
      </c>
      <c r="AG13" s="94">
        <f>IF(SKI!X10="","",SKI!X10)</f>
        <v>3</v>
      </c>
      <c r="AH13" s="94" t="str">
        <f>IF(SKI!Y10="","",SKI!Y10)</f>
        <v>Melaksanakan sholat dhuhur berjemaah, berdo'a di awal dan di akhir kegiatan pembelajaran , serta melaksanakan kegiatan amaliyah siswa</v>
      </c>
      <c r="AI13" s="94">
        <f>IF(SKI!Z10="","",SKI!Z10)</f>
        <v>3</v>
      </c>
      <c r="AJ13" s="94">
        <f>IF(SKI!AA10="","",SKI!AA10)</f>
        <v>3</v>
      </c>
      <c r="AK13" s="94">
        <f>IF(SKI!AB10="","",SKI!AB10)</f>
        <v>3</v>
      </c>
      <c r="AL13" s="94">
        <f>IF(SKI!AC10="","",SKI!AC10)</f>
        <v>3</v>
      </c>
      <c r="AM13" s="94">
        <f>IF(SKI!AD10="","",SKI!AD10)</f>
        <v>3</v>
      </c>
      <c r="AN13" s="94">
        <f>IF(SKI!AE10="","",SKI!AE10)</f>
        <v>3</v>
      </c>
      <c r="AO13" s="94">
        <f>IF(SKI!AF10="","",SKI!AF10)</f>
        <v>3</v>
      </c>
      <c r="AP13" s="94" t="str">
        <f>IF(SKI!AG10="","",SKI!AG10)</f>
        <v>Santun dalam bersikap, disiplin dalam mentaati tata tertib madrasah, peduli pada lingkungan, orang tua, bertanggung jawab dalam melaksanakan tugas, baik sebagai individu maupun makhluk sosial</v>
      </c>
      <c r="AQ13" s="94" t="str">
        <f>IF(PKN!X10="","",PKN!X10)</f>
        <v/>
      </c>
      <c r="AR13" s="94" t="str">
        <f>IF(PKN!Y10="","",PKN!Y10)</f>
        <v/>
      </c>
      <c r="AS13" s="94" t="str">
        <f>IF(PKN!Z10="","",PKN!Z10)</f>
        <v/>
      </c>
      <c r="AT13" s="94" t="str">
        <f>IF(PKN!AA10="","",PKN!AA10)</f>
        <v/>
      </c>
      <c r="AU13" s="94" t="str">
        <f>IF(PKN!AB10="","",PKN!AB10)</f>
        <v/>
      </c>
      <c r="AV13" s="94" t="str">
        <f>IF(PKN!AC10="","",PKN!AC10)</f>
        <v/>
      </c>
      <c r="AW13" s="94" t="str">
        <f>IF(PKN!AD10="","",PKN!AD10)</f>
        <v/>
      </c>
      <c r="AX13" s="94" t="str">
        <f>IF(PKN!AE10="","",PKN!AE10)</f>
        <v/>
      </c>
      <c r="AY13" s="94" t="str">
        <f>IF(PKN!AF10="","",PKN!AF10)</f>
        <v/>
      </c>
      <c r="AZ13" s="94" t="str">
        <f>IF(PKN!AG10="","",PKN!AG10)</f>
        <v/>
      </c>
      <c r="BA13" s="93" t="str">
        <f>IF(INDO!X10="","",INDO!X10)</f>
        <v/>
      </c>
      <c r="BB13" s="93" t="str">
        <f>IF(INDO!Y10="","",INDO!Y10)</f>
        <v/>
      </c>
      <c r="BC13" s="93" t="str">
        <f>IF(INDO!Z10="","",INDO!Z10)</f>
        <v/>
      </c>
      <c r="BD13" s="93" t="str">
        <f>IF(INDO!AA10="","",INDO!AA10)</f>
        <v/>
      </c>
      <c r="BE13" s="93" t="str">
        <f>IF(INDO!AB10="","",INDO!AB10)</f>
        <v/>
      </c>
      <c r="BF13" s="93" t="str">
        <f>IF(INDO!AC10="","",INDO!AC10)</f>
        <v/>
      </c>
      <c r="BG13" s="93" t="str">
        <f>IF(INDO!AD10="","",INDO!AD10)</f>
        <v/>
      </c>
      <c r="BH13" s="93" t="str">
        <f>IF(INDO!AE10="","",INDO!AE10)</f>
        <v/>
      </c>
      <c r="BI13" s="93" t="str">
        <f>IF(INDO!AF10="","",INDO!AF10)</f>
        <v/>
      </c>
      <c r="BJ13" s="93" t="str">
        <f>IF(INDO!AG10="","",INDO!AG10)</f>
        <v/>
      </c>
      <c r="BK13" s="93" t="str">
        <f>IF(ARAB!X10="","",ARAB!X10)</f>
        <v/>
      </c>
      <c r="BL13" s="93" t="str">
        <f>IF(ARAB!Y10="","",ARAB!Y10)</f>
        <v/>
      </c>
      <c r="BM13" s="93" t="str">
        <f>IF(ARAB!Z10="","",ARAB!Z10)</f>
        <v/>
      </c>
      <c r="BN13" s="93" t="str">
        <f>IF(ARAB!AA10="","",ARAB!AA10)</f>
        <v/>
      </c>
      <c r="BO13" s="93" t="str">
        <f>IF(ARAB!AB10="","",ARAB!AB10)</f>
        <v/>
      </c>
      <c r="BP13" s="93" t="str">
        <f>IF(ARAB!AC10="","",ARAB!AC10)</f>
        <v/>
      </c>
      <c r="BQ13" s="93" t="str">
        <f>IF(ARAB!AD10="","",ARAB!AD10)</f>
        <v/>
      </c>
      <c r="BR13" s="93" t="str">
        <f>IF(ARAB!AE10="","",ARAB!AE10)</f>
        <v/>
      </c>
      <c r="BS13" s="93" t="str">
        <f>IF(ARAB!AF10="","",ARAB!AF10)</f>
        <v/>
      </c>
      <c r="BT13" s="93" t="str">
        <f>IF(ARAB!AG10="","",ARAB!AG10)</f>
        <v/>
      </c>
      <c r="BU13" s="94" t="str">
        <f>IF(MAT!X10="","",MAT!X10)</f>
        <v/>
      </c>
      <c r="BV13" s="94" t="str">
        <f>IF(MAT!Y10="","",MAT!Y10)</f>
        <v/>
      </c>
      <c r="BW13" s="94" t="str">
        <f>IF(MAT!Z10="","",MAT!Z10)</f>
        <v/>
      </c>
      <c r="BX13" s="94" t="str">
        <f>IF(MAT!AA10="","",MAT!AA10)</f>
        <v/>
      </c>
      <c r="BY13" s="94" t="str">
        <f>IF(MAT!AB10="","",MAT!AB10)</f>
        <v/>
      </c>
      <c r="BZ13" s="94" t="str">
        <f>IF(MAT!AC10="","",MAT!AC10)</f>
        <v/>
      </c>
      <c r="CA13" s="94" t="str">
        <f>IF(MAT!AD10="","",MAT!AD10)</f>
        <v/>
      </c>
      <c r="CB13" s="94" t="str">
        <f>IF(MAT!AE10="","",MAT!AE10)</f>
        <v/>
      </c>
      <c r="CC13" s="94" t="str">
        <f>IF(MAT!AF10="","",MAT!AF10)</f>
        <v/>
      </c>
      <c r="CD13" s="94" t="str">
        <f>IF(MAT!AG10="","",MAT!AG10)</f>
        <v/>
      </c>
      <c r="CE13" s="94" t="str">
        <f>IF(IPA!X10="","",IPA!X10)</f>
        <v/>
      </c>
      <c r="CF13" s="94" t="str">
        <f>IF(IPA!Y10="","",IPA!Y10)</f>
        <v/>
      </c>
      <c r="CG13" s="94" t="str">
        <f>IF(IPA!Z10="","",IPA!Z10)</f>
        <v/>
      </c>
      <c r="CH13" s="94" t="str">
        <f>IF(IPA!AA10="","",IPA!AA10)</f>
        <v/>
      </c>
      <c r="CI13" s="94" t="str">
        <f>IF(IPA!AB10="","",IPA!AB10)</f>
        <v/>
      </c>
      <c r="CJ13" s="94" t="str">
        <f>IF(IPA!AC10="","",IPA!AC10)</f>
        <v/>
      </c>
      <c r="CK13" s="94" t="str">
        <f>IF(IPA!AD10="","",IPA!AD10)</f>
        <v/>
      </c>
      <c r="CL13" s="94" t="str">
        <f>IF(IPA!AE10="","",IPA!AE10)</f>
        <v/>
      </c>
      <c r="CM13" s="94" t="str">
        <f>IF(IPA!AF10="","",IPA!AF10)</f>
        <v/>
      </c>
      <c r="CN13" s="94" t="str">
        <f>IF(IPA!AG10="","",IPA!AG10)</f>
        <v/>
      </c>
      <c r="CO13" s="93" t="str">
        <f>IF(IPS!X10="","",IPS!X10)</f>
        <v/>
      </c>
      <c r="CP13" s="93" t="str">
        <f>IF(IPS!Y10="","",IPS!Y10)</f>
        <v/>
      </c>
      <c r="CQ13" s="93" t="str">
        <f>IF(IPS!Z10="","",IPS!Z10)</f>
        <v/>
      </c>
      <c r="CR13" s="93" t="str">
        <f>IF(IPS!AA10="","",IPS!AA10)</f>
        <v/>
      </c>
      <c r="CS13" s="93" t="str">
        <f>IF(IPS!AB10="","",IPS!AB10)</f>
        <v/>
      </c>
      <c r="CT13" s="93" t="str">
        <f>IF(IPS!AC10="","",IPS!AC10)</f>
        <v/>
      </c>
      <c r="CU13" s="93" t="str">
        <f>IF(IPS!AD10="","",IPS!AD10)</f>
        <v/>
      </c>
      <c r="CV13" s="93" t="str">
        <f>IF(IPS!AE10="","",IPS!AE10)</f>
        <v/>
      </c>
      <c r="CW13" s="93" t="str">
        <f>IF(IPS!AF10="","",IPS!AF10)</f>
        <v/>
      </c>
      <c r="CX13" s="93" t="str">
        <f>IF(IPS!AG10="","",IPS!AG10)</f>
        <v/>
      </c>
      <c r="CY13" s="94" t="str">
        <f>IF(INGG!X10="","",INGG!X10)</f>
        <v/>
      </c>
      <c r="CZ13" s="94" t="str">
        <f>IF(INGG!Y10="","",INGG!Y10)</f>
        <v/>
      </c>
      <c r="DA13" s="94" t="str">
        <f>IF(INGG!Z10="","",INGG!Z10)</f>
        <v/>
      </c>
      <c r="DB13" s="94" t="str">
        <f>IF(INGG!AA10="","",INGG!AA10)</f>
        <v/>
      </c>
      <c r="DC13" s="94" t="str">
        <f>IF(INGG!AB10="","",INGG!AB10)</f>
        <v/>
      </c>
      <c r="DD13" s="94" t="str">
        <f>IF(INGG!AC10="","",INGG!AC10)</f>
        <v/>
      </c>
      <c r="DE13" s="94" t="str">
        <f>IF(INGG!AD10="","",INGG!AD10)</f>
        <v/>
      </c>
      <c r="DF13" s="94" t="str">
        <f>IF(INGG!AE10="","",INGG!AE10)</f>
        <v/>
      </c>
      <c r="DG13" s="94" t="str">
        <f>IF(INGG!AF10="","",INGG!AF10)</f>
        <v/>
      </c>
      <c r="DH13" s="94" t="str">
        <f>IF(INGG!AG10="","",INGG!AG10)</f>
        <v/>
      </c>
      <c r="DI13" s="94" t="str">
        <f>IF(SENBUD!X10="","",SENBUD!X10)</f>
        <v/>
      </c>
      <c r="DJ13" s="94" t="str">
        <f>IF(SENBUD!Y10="","",SENBUD!Y10)</f>
        <v/>
      </c>
      <c r="DK13" s="94" t="str">
        <f>IF(SENBUD!Z10="","",SENBUD!Z10)</f>
        <v/>
      </c>
      <c r="DL13" s="94" t="str">
        <f>IF(SENBUD!AA10="","",SENBUD!AA10)</f>
        <v/>
      </c>
      <c r="DM13" s="94" t="str">
        <f>IF(SENBUD!AB10="","",SENBUD!AB10)</f>
        <v/>
      </c>
      <c r="DN13" s="94" t="str">
        <f>IF(SENBUD!AC10="","",SENBUD!AC10)</f>
        <v/>
      </c>
      <c r="DO13" s="94" t="str">
        <f>IF(SENBUD!AD10="","",SENBUD!AD10)</f>
        <v/>
      </c>
      <c r="DP13" s="94" t="str">
        <f>IF(SENBUD!AE10="","",SENBUD!AE10)</f>
        <v/>
      </c>
      <c r="DQ13" s="94" t="str">
        <f>IF(SENBUD!AF10="","",SENBUD!AF10)</f>
        <v/>
      </c>
      <c r="DR13" s="94" t="str">
        <f>IF(SENBUD!AG10="","",SENBUD!AG10)</f>
        <v/>
      </c>
      <c r="DS13" s="93" t="str">
        <f>IF(PENJAS!X10="","",PENJAS!X10)</f>
        <v/>
      </c>
      <c r="DT13" s="93" t="str">
        <f>IF(PENJAS!Y10="","",PENJAS!Y10)</f>
        <v/>
      </c>
      <c r="DU13" s="93" t="str">
        <f>IF(PENJAS!Z10="","",PENJAS!Z10)</f>
        <v/>
      </c>
      <c r="DV13" s="93" t="str">
        <f>IF(PENJAS!AA10="","",PENJAS!AA10)</f>
        <v/>
      </c>
      <c r="DW13" s="93" t="str">
        <f>IF(PENJAS!AB10="","",PENJAS!AB10)</f>
        <v/>
      </c>
      <c r="DX13" s="93" t="str">
        <f>IF(PENJAS!AC10="","",PENJAS!AC10)</f>
        <v/>
      </c>
      <c r="DY13" s="93" t="str">
        <f>IF(PENJAS!AD10="","",PENJAS!AD10)</f>
        <v/>
      </c>
      <c r="DZ13" s="93" t="str">
        <f>IF(PENJAS!AE10="","",PENJAS!AE10)</f>
        <v/>
      </c>
      <c r="EA13" s="93" t="str">
        <f>IF(PENJAS!AF10="","",PENJAS!AF10)</f>
        <v/>
      </c>
      <c r="EB13" s="93" t="str">
        <f>IF(PENJAS!AG10="","",PENJAS!AG10)</f>
        <v/>
      </c>
      <c r="EC13" s="93" t="str">
        <f>IF(PRAKARYA!X10="","",PRAKARYA!X10)</f>
        <v/>
      </c>
      <c r="ED13" s="93" t="str">
        <f>IF(PRAKARYA!Y10="","",PRAKARYA!Y10)</f>
        <v/>
      </c>
      <c r="EE13" s="93" t="str">
        <f>IF(PRAKARYA!Z10="","",PRAKARYA!Z10)</f>
        <v/>
      </c>
      <c r="EF13" s="93" t="str">
        <f>IF(PRAKARYA!AA10="","",PRAKARYA!AA10)</f>
        <v/>
      </c>
      <c r="EG13" s="93" t="str">
        <f>IF(PRAKARYA!AB10="","",PRAKARYA!AB10)</f>
        <v/>
      </c>
      <c r="EH13" s="93" t="str">
        <f>IF(PRAKARYA!AC10="","",PRAKARYA!AC10)</f>
        <v/>
      </c>
      <c r="EI13" s="93" t="str">
        <f>IF(PRAKARYA!AD10="","",PRAKARYA!AD10)</f>
        <v/>
      </c>
      <c r="EJ13" s="93" t="str">
        <f>IF(PRAKARYA!AE10="","",PRAKARYA!AE10)</f>
        <v/>
      </c>
      <c r="EK13" s="93" t="str">
        <f>IF(PRAKARYA!AF10="","",PRAKARYA!AF10)</f>
        <v/>
      </c>
      <c r="EL13" s="93" t="str">
        <f>IF(PRAKARYA!AG10="","",PRAKARYA!AG10)</f>
        <v/>
      </c>
      <c r="EM13" s="95" t="str">
        <f>IF(BADER!X10="","",BADER!X10)</f>
        <v/>
      </c>
      <c r="EN13" s="95" t="str">
        <f>IF(BADER!Y10="","",BADER!Y10)</f>
        <v/>
      </c>
      <c r="EO13" s="95" t="str">
        <f>IF(BADER!Z10="","",BADER!Z10)</f>
        <v/>
      </c>
      <c r="EP13" s="95" t="str">
        <f>IF(BADER!AA10="","",BADER!AA10)</f>
        <v/>
      </c>
      <c r="EQ13" s="95" t="str">
        <f>IF(BADER!AB10="","",BADER!AB10)</f>
        <v/>
      </c>
      <c r="ER13" s="95" t="str">
        <f>IF(BADER!AC10="","",BADER!AC10)</f>
        <v/>
      </c>
      <c r="ES13" s="95" t="str">
        <f>IF(BADER!AD10="","",BADER!AD10)</f>
        <v/>
      </c>
      <c r="ET13" s="95" t="str">
        <f>IF(BADER!AE10="","",BADER!AE10)</f>
        <v/>
      </c>
      <c r="EU13" s="95" t="str">
        <f>IF(BADER!AF10="","",BADER!AF10)</f>
        <v/>
      </c>
      <c r="EV13" s="95" t="str">
        <f>IF(BADER!AG10="","",BADER!AG10)</f>
        <v/>
      </c>
      <c r="EW13" s="96" t="str">
        <f t="shared" si="1"/>
        <v/>
      </c>
      <c r="EX13" s="96" t="str">
        <f t="shared" si="2"/>
        <v/>
      </c>
      <c r="EY13" s="96" t="str">
        <f t="shared" si="0"/>
        <v/>
      </c>
      <c r="EZ13" s="96" t="str">
        <f t="shared" si="0"/>
        <v/>
      </c>
      <c r="FA13" s="96" t="str">
        <f t="shared" si="0"/>
        <v/>
      </c>
      <c r="FB13" s="96" t="str">
        <f t="shared" si="0"/>
        <v/>
      </c>
      <c r="FC13" s="96" t="str">
        <f t="shared" si="0"/>
        <v/>
      </c>
      <c r="FD13" s="96" t="str">
        <f t="shared" si="0"/>
        <v/>
      </c>
      <c r="FE13" s="96" t="str">
        <f t="shared" si="0"/>
        <v/>
      </c>
      <c r="FF13" s="96" t="str">
        <f t="shared" si="3"/>
        <v/>
      </c>
      <c r="FG13" s="96" t="str">
        <f t="shared" si="4"/>
        <v/>
      </c>
      <c r="FH13" s="92" t="str">
        <f t="shared" si="5"/>
        <v/>
      </c>
      <c r="FI13" s="92" t="str">
        <f t="shared" si="6"/>
        <v xml:space="preserve"> </v>
      </c>
      <c r="FJ13" s="92" t="str">
        <f t="shared" si="7"/>
        <v xml:space="preserve"> </v>
      </c>
      <c r="FK13" s="92" t="str">
        <f t="shared" si="8"/>
        <v xml:space="preserve"> </v>
      </c>
      <c r="FL13" s="92" t="str">
        <f t="shared" si="9"/>
        <v xml:space="preserve"> </v>
      </c>
      <c r="FM13" s="92" t="str">
        <f t="shared" si="10"/>
        <v xml:space="preserve"> </v>
      </c>
      <c r="FN13" s="92" t="str">
        <f t="shared" si="11"/>
        <v xml:space="preserve"> </v>
      </c>
      <c r="FO13" s="92" t="str">
        <f t="shared" si="12"/>
        <v xml:space="preserve"> </v>
      </c>
      <c r="FP13" s="92" t="str">
        <f t="shared" si="13"/>
        <v xml:space="preserve">,  ,  ,  ,  ,  ,  ,  </v>
      </c>
    </row>
    <row r="14" spans="1:172">
      <c r="A14" s="66">
        <v>4</v>
      </c>
      <c r="B14" s="92" t="str">
        <f>IF(DATA!D11="","",DATA!D11)</f>
        <v>AHMADI</v>
      </c>
      <c r="C14" s="93" t="str">
        <f>IF(QH!X11="","",QH!X11)</f>
        <v/>
      </c>
      <c r="D14" s="93" t="str">
        <f>IF(QH!Y11="","",QH!Y11)</f>
        <v/>
      </c>
      <c r="E14" s="93" t="str">
        <f>IF(QH!Z11="","",QH!Z11)</f>
        <v/>
      </c>
      <c r="F14" s="93" t="str">
        <f>IF(QH!AA11="","",QH!AA11)</f>
        <v/>
      </c>
      <c r="G14" s="93" t="str">
        <f>IF(QH!AB11="","",QH!AB11)</f>
        <v/>
      </c>
      <c r="H14" s="93" t="str">
        <f>IF(QH!AC11="","",QH!AC11)</f>
        <v/>
      </c>
      <c r="I14" s="93" t="str">
        <f>IF(QH!AD11="","",QH!AD11)</f>
        <v/>
      </c>
      <c r="J14" s="93" t="str">
        <f>IF(QH!AE11="","",QH!AE11)</f>
        <v/>
      </c>
      <c r="K14" s="93" t="str">
        <f>IF(QH!AF11="","",QH!AF11)</f>
        <v/>
      </c>
      <c r="L14" s="93" t="str">
        <f>IF(QH!AG11="","",QH!AG11)</f>
        <v/>
      </c>
      <c r="M14" s="94" t="str">
        <f>IF(AA!X11="","",AA!X11)</f>
        <v/>
      </c>
      <c r="N14" s="94" t="str">
        <f>IF(AA!Y11="","",AA!Y11)</f>
        <v/>
      </c>
      <c r="O14" s="94" t="str">
        <f>IF(AA!Z11="","",AA!Z11)</f>
        <v/>
      </c>
      <c r="P14" s="94" t="str">
        <f>IF(AA!AA11="","",AA!AA11)</f>
        <v/>
      </c>
      <c r="Q14" s="94" t="str">
        <f>IF(AA!AB11="","",AA!AB11)</f>
        <v/>
      </c>
      <c r="R14" s="94" t="str">
        <f>IF(AA!AC11="","",AA!AC11)</f>
        <v/>
      </c>
      <c r="S14" s="94" t="str">
        <f>IF(AA!AD11="","",AA!AD11)</f>
        <v/>
      </c>
      <c r="T14" s="94" t="str">
        <f>IF(AA!AE11="","",AA!AE11)</f>
        <v/>
      </c>
      <c r="U14" s="94" t="str">
        <f>IF(AA!AF11="","",AA!AF11)</f>
        <v/>
      </c>
      <c r="V14" s="94" t="str">
        <f>IF(AA!AG11="","",AA!AG11)</f>
        <v/>
      </c>
      <c r="W14" s="94" t="str">
        <f>IF(FIKIH!X11="","",FIKIH!X11)</f>
        <v/>
      </c>
      <c r="X14" s="94" t="str">
        <f>IF(FIKIH!Y11="","",FIKIH!Y11)</f>
        <v/>
      </c>
      <c r="Y14" s="94" t="str">
        <f>IF(FIKIH!Z11="","",FIKIH!Z11)</f>
        <v/>
      </c>
      <c r="Z14" s="94" t="str">
        <f>IF(FIKIH!AA11="","",FIKIH!AA11)</f>
        <v/>
      </c>
      <c r="AA14" s="94" t="str">
        <f>IF(FIKIH!AB11="","",FIKIH!AB11)</f>
        <v/>
      </c>
      <c r="AB14" s="94" t="str">
        <f>IF(FIKIH!AC11="","",FIKIH!AC11)</f>
        <v/>
      </c>
      <c r="AC14" s="94" t="str">
        <f>IF(FIKIH!AD11="","",FIKIH!AD11)</f>
        <v/>
      </c>
      <c r="AD14" s="94" t="str">
        <f>IF(FIKIH!AE11="","",FIKIH!AE11)</f>
        <v/>
      </c>
      <c r="AE14" s="94" t="str">
        <f>IF(FIKIH!AF11="","",FIKIH!AF11)</f>
        <v/>
      </c>
      <c r="AF14" s="94" t="str">
        <f>IF(FIKIH!AG11="","",FIKIH!AG11)</f>
        <v/>
      </c>
      <c r="AG14" s="94">
        <f>IF(SKI!X11="","",SKI!X11)</f>
        <v>3</v>
      </c>
      <c r="AH14" s="94" t="str">
        <f>IF(SKI!Y11="","",SKI!Y11)</f>
        <v>Melaksanakan sholat dhuhur berjemaah, berdo'a di awal dan di akhir kegiatan pembelajaran , serta melaksanakan kegiatan amaliyah siswa</v>
      </c>
      <c r="AI14" s="94">
        <f>IF(SKI!Z11="","",SKI!Z11)</f>
        <v>3</v>
      </c>
      <c r="AJ14" s="94">
        <f>IF(SKI!AA11="","",SKI!AA11)</f>
        <v>3</v>
      </c>
      <c r="AK14" s="94">
        <f>IF(SKI!AB11="","",SKI!AB11)</f>
        <v>3</v>
      </c>
      <c r="AL14" s="94">
        <f>IF(SKI!AC11="","",SKI!AC11)</f>
        <v>3</v>
      </c>
      <c r="AM14" s="94">
        <f>IF(SKI!AD11="","",SKI!AD11)</f>
        <v>3</v>
      </c>
      <c r="AN14" s="94">
        <f>IF(SKI!AE11="","",SKI!AE11)</f>
        <v>3</v>
      </c>
      <c r="AO14" s="94">
        <f>IF(SKI!AF11="","",SKI!AF11)</f>
        <v>3</v>
      </c>
      <c r="AP14" s="94" t="str">
        <f>IF(SKI!AG11="","",SKI!AG11)</f>
        <v>Santun dalam bersikap, disiplin dalam mentaati tata tertib madrasah, peduli pada lingkungan, orang tua, bertanggung jawab dalam melaksanakan tugas, baik sebagai individu maupun makhluk sosial</v>
      </c>
      <c r="AQ14" s="94" t="str">
        <f>IF(PKN!X11="","",PKN!X11)</f>
        <v/>
      </c>
      <c r="AR14" s="94" t="str">
        <f>IF(PKN!Y11="","",PKN!Y11)</f>
        <v/>
      </c>
      <c r="AS14" s="94" t="str">
        <f>IF(PKN!Z11="","",PKN!Z11)</f>
        <v/>
      </c>
      <c r="AT14" s="94" t="str">
        <f>IF(PKN!AA11="","",PKN!AA11)</f>
        <v/>
      </c>
      <c r="AU14" s="94" t="str">
        <f>IF(PKN!AB11="","",PKN!AB11)</f>
        <v/>
      </c>
      <c r="AV14" s="94" t="str">
        <f>IF(PKN!AC11="","",PKN!AC11)</f>
        <v/>
      </c>
      <c r="AW14" s="94" t="str">
        <f>IF(PKN!AD11="","",PKN!AD11)</f>
        <v/>
      </c>
      <c r="AX14" s="94" t="str">
        <f>IF(PKN!AE11="","",PKN!AE11)</f>
        <v/>
      </c>
      <c r="AY14" s="94" t="str">
        <f>IF(PKN!AF11="","",PKN!AF11)</f>
        <v/>
      </c>
      <c r="AZ14" s="94" t="str">
        <f>IF(PKN!AG11="","",PKN!AG11)</f>
        <v/>
      </c>
      <c r="BA14" s="93" t="str">
        <f>IF(INDO!X11="","",INDO!X11)</f>
        <v/>
      </c>
      <c r="BB14" s="93" t="str">
        <f>IF(INDO!Y11="","",INDO!Y11)</f>
        <v/>
      </c>
      <c r="BC14" s="93" t="str">
        <f>IF(INDO!Z11="","",INDO!Z11)</f>
        <v/>
      </c>
      <c r="BD14" s="93" t="str">
        <f>IF(INDO!AA11="","",INDO!AA11)</f>
        <v/>
      </c>
      <c r="BE14" s="93" t="str">
        <f>IF(INDO!AB11="","",INDO!AB11)</f>
        <v/>
      </c>
      <c r="BF14" s="93" t="str">
        <f>IF(INDO!AC11="","",INDO!AC11)</f>
        <v/>
      </c>
      <c r="BG14" s="93" t="str">
        <f>IF(INDO!AD11="","",INDO!AD11)</f>
        <v/>
      </c>
      <c r="BH14" s="93" t="str">
        <f>IF(INDO!AE11="","",INDO!AE11)</f>
        <v/>
      </c>
      <c r="BI14" s="93" t="str">
        <f>IF(INDO!AF11="","",INDO!AF11)</f>
        <v/>
      </c>
      <c r="BJ14" s="93" t="str">
        <f>IF(INDO!AG11="","",INDO!AG11)</f>
        <v/>
      </c>
      <c r="BK14" s="93" t="str">
        <f>IF(ARAB!X11="","",ARAB!X11)</f>
        <v/>
      </c>
      <c r="BL14" s="93" t="str">
        <f>IF(ARAB!Y11="","",ARAB!Y11)</f>
        <v/>
      </c>
      <c r="BM14" s="93" t="str">
        <f>IF(ARAB!Z11="","",ARAB!Z11)</f>
        <v/>
      </c>
      <c r="BN14" s="93" t="str">
        <f>IF(ARAB!AA11="","",ARAB!AA11)</f>
        <v/>
      </c>
      <c r="BO14" s="93" t="str">
        <f>IF(ARAB!AB11="","",ARAB!AB11)</f>
        <v/>
      </c>
      <c r="BP14" s="93" t="str">
        <f>IF(ARAB!AC11="","",ARAB!AC11)</f>
        <v/>
      </c>
      <c r="BQ14" s="93" t="str">
        <f>IF(ARAB!AD11="","",ARAB!AD11)</f>
        <v/>
      </c>
      <c r="BR14" s="93" t="str">
        <f>IF(ARAB!AE11="","",ARAB!AE11)</f>
        <v/>
      </c>
      <c r="BS14" s="93" t="str">
        <f>IF(ARAB!AF11="","",ARAB!AF11)</f>
        <v/>
      </c>
      <c r="BT14" s="93" t="str">
        <f>IF(ARAB!AG11="","",ARAB!AG11)</f>
        <v/>
      </c>
      <c r="BU14" s="94" t="str">
        <f>IF(MAT!X11="","",MAT!X11)</f>
        <v/>
      </c>
      <c r="BV14" s="94" t="str">
        <f>IF(MAT!Y11="","",MAT!Y11)</f>
        <v/>
      </c>
      <c r="BW14" s="94" t="str">
        <f>IF(MAT!Z11="","",MAT!Z11)</f>
        <v/>
      </c>
      <c r="BX14" s="94" t="str">
        <f>IF(MAT!AA11="","",MAT!AA11)</f>
        <v/>
      </c>
      <c r="BY14" s="94" t="str">
        <f>IF(MAT!AB11="","",MAT!AB11)</f>
        <v/>
      </c>
      <c r="BZ14" s="94" t="str">
        <f>IF(MAT!AC11="","",MAT!AC11)</f>
        <v/>
      </c>
      <c r="CA14" s="94" t="str">
        <f>IF(MAT!AD11="","",MAT!AD11)</f>
        <v/>
      </c>
      <c r="CB14" s="94" t="str">
        <f>IF(MAT!AE11="","",MAT!AE11)</f>
        <v/>
      </c>
      <c r="CC14" s="94" t="str">
        <f>IF(MAT!AF11="","",MAT!AF11)</f>
        <v/>
      </c>
      <c r="CD14" s="94" t="str">
        <f>IF(MAT!AG11="","",MAT!AG11)</f>
        <v/>
      </c>
      <c r="CE14" s="94" t="str">
        <f>IF(IPA!X11="","",IPA!X11)</f>
        <v/>
      </c>
      <c r="CF14" s="94" t="str">
        <f>IF(IPA!Y11="","",IPA!Y11)</f>
        <v/>
      </c>
      <c r="CG14" s="94" t="str">
        <f>IF(IPA!Z11="","",IPA!Z11)</f>
        <v/>
      </c>
      <c r="CH14" s="94" t="str">
        <f>IF(IPA!AA11="","",IPA!AA11)</f>
        <v/>
      </c>
      <c r="CI14" s="94" t="str">
        <f>IF(IPA!AB11="","",IPA!AB11)</f>
        <v/>
      </c>
      <c r="CJ14" s="94" t="str">
        <f>IF(IPA!AC11="","",IPA!AC11)</f>
        <v/>
      </c>
      <c r="CK14" s="94" t="str">
        <f>IF(IPA!AD11="","",IPA!AD11)</f>
        <v/>
      </c>
      <c r="CL14" s="94" t="str">
        <f>IF(IPA!AE11="","",IPA!AE11)</f>
        <v/>
      </c>
      <c r="CM14" s="94" t="str">
        <f>IF(IPA!AF11="","",IPA!AF11)</f>
        <v/>
      </c>
      <c r="CN14" s="94" t="str">
        <f>IF(IPA!AG11="","",IPA!AG11)</f>
        <v/>
      </c>
      <c r="CO14" s="93" t="str">
        <f>IF(IPS!X11="","",IPS!X11)</f>
        <v/>
      </c>
      <c r="CP14" s="93" t="str">
        <f>IF(IPS!Y11="","",IPS!Y11)</f>
        <v/>
      </c>
      <c r="CQ14" s="93" t="str">
        <f>IF(IPS!Z11="","",IPS!Z11)</f>
        <v/>
      </c>
      <c r="CR14" s="93" t="str">
        <f>IF(IPS!AA11="","",IPS!AA11)</f>
        <v/>
      </c>
      <c r="CS14" s="93" t="str">
        <f>IF(IPS!AB11="","",IPS!AB11)</f>
        <v/>
      </c>
      <c r="CT14" s="93" t="str">
        <f>IF(IPS!AC11="","",IPS!AC11)</f>
        <v/>
      </c>
      <c r="CU14" s="93" t="str">
        <f>IF(IPS!AD11="","",IPS!AD11)</f>
        <v/>
      </c>
      <c r="CV14" s="93" t="str">
        <f>IF(IPS!AE11="","",IPS!AE11)</f>
        <v/>
      </c>
      <c r="CW14" s="93" t="str">
        <f>IF(IPS!AF11="","",IPS!AF11)</f>
        <v/>
      </c>
      <c r="CX14" s="93" t="str">
        <f>IF(IPS!AG11="","",IPS!AG11)</f>
        <v/>
      </c>
      <c r="CY14" s="94" t="str">
        <f>IF(INGG!X11="","",INGG!X11)</f>
        <v/>
      </c>
      <c r="CZ14" s="94" t="str">
        <f>IF(INGG!Y11="","",INGG!Y11)</f>
        <v/>
      </c>
      <c r="DA14" s="94" t="str">
        <f>IF(INGG!Z11="","",INGG!Z11)</f>
        <v/>
      </c>
      <c r="DB14" s="94" t="str">
        <f>IF(INGG!AA11="","",INGG!AA11)</f>
        <v/>
      </c>
      <c r="DC14" s="94" t="str">
        <f>IF(INGG!AB11="","",INGG!AB11)</f>
        <v/>
      </c>
      <c r="DD14" s="94" t="str">
        <f>IF(INGG!AC11="","",INGG!AC11)</f>
        <v/>
      </c>
      <c r="DE14" s="94" t="str">
        <f>IF(INGG!AD11="","",INGG!AD11)</f>
        <v/>
      </c>
      <c r="DF14" s="94" t="str">
        <f>IF(INGG!AE11="","",INGG!AE11)</f>
        <v/>
      </c>
      <c r="DG14" s="94" t="str">
        <f>IF(INGG!AF11="","",INGG!AF11)</f>
        <v/>
      </c>
      <c r="DH14" s="94" t="str">
        <f>IF(INGG!AG11="","",INGG!AG11)</f>
        <v/>
      </c>
      <c r="DI14" s="94" t="str">
        <f>IF(SENBUD!X11="","",SENBUD!X11)</f>
        <v/>
      </c>
      <c r="DJ14" s="94" t="str">
        <f>IF(SENBUD!Y11="","",SENBUD!Y11)</f>
        <v/>
      </c>
      <c r="DK14" s="94" t="str">
        <f>IF(SENBUD!Z11="","",SENBUD!Z11)</f>
        <v/>
      </c>
      <c r="DL14" s="94" t="str">
        <f>IF(SENBUD!AA11="","",SENBUD!AA11)</f>
        <v/>
      </c>
      <c r="DM14" s="94" t="str">
        <f>IF(SENBUD!AB11="","",SENBUD!AB11)</f>
        <v/>
      </c>
      <c r="DN14" s="94" t="str">
        <f>IF(SENBUD!AC11="","",SENBUD!AC11)</f>
        <v/>
      </c>
      <c r="DO14" s="94" t="str">
        <f>IF(SENBUD!AD11="","",SENBUD!AD11)</f>
        <v/>
      </c>
      <c r="DP14" s="94" t="str">
        <f>IF(SENBUD!AE11="","",SENBUD!AE11)</f>
        <v/>
      </c>
      <c r="DQ14" s="94" t="str">
        <f>IF(SENBUD!AF11="","",SENBUD!AF11)</f>
        <v/>
      </c>
      <c r="DR14" s="94" t="str">
        <f>IF(SENBUD!AG11="","",SENBUD!AG11)</f>
        <v/>
      </c>
      <c r="DS14" s="93" t="str">
        <f>IF(PENJAS!X11="","",PENJAS!X11)</f>
        <v/>
      </c>
      <c r="DT14" s="93" t="str">
        <f>IF(PENJAS!Y11="","",PENJAS!Y11)</f>
        <v/>
      </c>
      <c r="DU14" s="93" t="str">
        <f>IF(PENJAS!Z11="","",PENJAS!Z11)</f>
        <v/>
      </c>
      <c r="DV14" s="93" t="str">
        <f>IF(PENJAS!AA11="","",PENJAS!AA11)</f>
        <v/>
      </c>
      <c r="DW14" s="93" t="str">
        <f>IF(PENJAS!AB11="","",PENJAS!AB11)</f>
        <v/>
      </c>
      <c r="DX14" s="93" t="str">
        <f>IF(PENJAS!AC11="","",PENJAS!AC11)</f>
        <v/>
      </c>
      <c r="DY14" s="93" t="str">
        <f>IF(PENJAS!AD11="","",PENJAS!AD11)</f>
        <v/>
      </c>
      <c r="DZ14" s="93" t="str">
        <f>IF(PENJAS!AE11="","",PENJAS!AE11)</f>
        <v/>
      </c>
      <c r="EA14" s="93" t="str">
        <f>IF(PENJAS!AF11="","",PENJAS!AF11)</f>
        <v/>
      </c>
      <c r="EB14" s="93" t="str">
        <f>IF(PENJAS!AG11="","",PENJAS!AG11)</f>
        <v/>
      </c>
      <c r="EC14" s="93" t="str">
        <f>IF(PRAKARYA!X11="","",PRAKARYA!X11)</f>
        <v/>
      </c>
      <c r="ED14" s="93" t="str">
        <f>IF(PRAKARYA!Y11="","",PRAKARYA!Y11)</f>
        <v/>
      </c>
      <c r="EE14" s="93" t="str">
        <f>IF(PRAKARYA!Z11="","",PRAKARYA!Z11)</f>
        <v/>
      </c>
      <c r="EF14" s="93" t="str">
        <f>IF(PRAKARYA!AA11="","",PRAKARYA!AA11)</f>
        <v/>
      </c>
      <c r="EG14" s="93" t="str">
        <f>IF(PRAKARYA!AB11="","",PRAKARYA!AB11)</f>
        <v/>
      </c>
      <c r="EH14" s="93" t="str">
        <f>IF(PRAKARYA!AC11="","",PRAKARYA!AC11)</f>
        <v/>
      </c>
      <c r="EI14" s="93" t="str">
        <f>IF(PRAKARYA!AD11="","",PRAKARYA!AD11)</f>
        <v/>
      </c>
      <c r="EJ14" s="93" t="str">
        <f>IF(PRAKARYA!AE11="","",PRAKARYA!AE11)</f>
        <v/>
      </c>
      <c r="EK14" s="93" t="str">
        <f>IF(PRAKARYA!AF11="","",PRAKARYA!AF11)</f>
        <v/>
      </c>
      <c r="EL14" s="93" t="str">
        <f>IF(PRAKARYA!AG11="","",PRAKARYA!AG11)</f>
        <v/>
      </c>
      <c r="EM14" s="95" t="str">
        <f>IF(BADER!X11="","",BADER!X11)</f>
        <v/>
      </c>
      <c r="EN14" s="95" t="str">
        <f>IF(BADER!Y11="","",BADER!Y11)</f>
        <v/>
      </c>
      <c r="EO14" s="95" t="str">
        <f>IF(BADER!Z11="","",BADER!Z11)</f>
        <v/>
      </c>
      <c r="EP14" s="95" t="str">
        <f>IF(BADER!AA11="","",BADER!AA11)</f>
        <v/>
      </c>
      <c r="EQ14" s="95" t="str">
        <f>IF(BADER!AB11="","",BADER!AB11)</f>
        <v/>
      </c>
      <c r="ER14" s="95" t="str">
        <f>IF(BADER!AC11="","",BADER!AC11)</f>
        <v/>
      </c>
      <c r="ES14" s="95" t="str">
        <f>IF(BADER!AD11="","",BADER!AD11)</f>
        <v/>
      </c>
      <c r="ET14" s="95" t="str">
        <f>IF(BADER!AE11="","",BADER!AE11)</f>
        <v/>
      </c>
      <c r="EU14" s="95" t="str">
        <f>IF(BADER!AF11="","",BADER!AF11)</f>
        <v/>
      </c>
      <c r="EV14" s="95" t="str">
        <f>IF(BADER!AG11="","",BADER!AG11)</f>
        <v/>
      </c>
      <c r="EW14" s="96" t="str">
        <f t="shared" si="1"/>
        <v/>
      </c>
      <c r="EX14" s="96" t="str">
        <f t="shared" si="2"/>
        <v/>
      </c>
      <c r="EY14" s="96" t="str">
        <f t="shared" si="0"/>
        <v/>
      </c>
      <c r="EZ14" s="96" t="str">
        <f t="shared" si="0"/>
        <v/>
      </c>
      <c r="FA14" s="96" t="str">
        <f t="shared" si="0"/>
        <v/>
      </c>
      <c r="FB14" s="96" t="str">
        <f t="shared" si="0"/>
        <v/>
      </c>
      <c r="FC14" s="96" t="str">
        <f t="shared" si="0"/>
        <v/>
      </c>
      <c r="FD14" s="96" t="str">
        <f t="shared" si="0"/>
        <v/>
      </c>
      <c r="FE14" s="96" t="str">
        <f t="shared" si="0"/>
        <v/>
      </c>
      <c r="FF14" s="96" t="str">
        <f t="shared" si="3"/>
        <v/>
      </c>
      <c r="FG14" s="96" t="str">
        <f t="shared" si="4"/>
        <v/>
      </c>
      <c r="FH14" s="92" t="str">
        <f t="shared" si="5"/>
        <v/>
      </c>
      <c r="FI14" s="92" t="str">
        <f t="shared" si="6"/>
        <v xml:space="preserve"> </v>
      </c>
      <c r="FJ14" s="92" t="str">
        <f t="shared" si="7"/>
        <v xml:space="preserve"> </v>
      </c>
      <c r="FK14" s="92" t="str">
        <f t="shared" si="8"/>
        <v xml:space="preserve"> </v>
      </c>
      <c r="FL14" s="92" t="str">
        <f t="shared" si="9"/>
        <v xml:space="preserve"> </v>
      </c>
      <c r="FM14" s="92" t="str">
        <f t="shared" si="10"/>
        <v xml:space="preserve"> </v>
      </c>
      <c r="FN14" s="92" t="str">
        <f t="shared" si="11"/>
        <v xml:space="preserve"> </v>
      </c>
      <c r="FO14" s="92" t="str">
        <f t="shared" si="12"/>
        <v xml:space="preserve"> </v>
      </c>
      <c r="FP14" s="92" t="str">
        <f t="shared" si="13"/>
        <v xml:space="preserve">,  ,  ,  ,  ,  ,  ,  </v>
      </c>
    </row>
    <row r="15" spans="1:172">
      <c r="A15" s="66">
        <v>5</v>
      </c>
      <c r="B15" s="92" t="str">
        <f>IF(DATA!D12="","",DATA!D12)</f>
        <v xml:space="preserve">AINUR ROFIK </v>
      </c>
      <c r="C15" s="93" t="str">
        <f>IF(QH!X12="","",QH!X12)</f>
        <v/>
      </c>
      <c r="D15" s="93" t="str">
        <f>IF(QH!Y12="","",QH!Y12)</f>
        <v/>
      </c>
      <c r="E15" s="93" t="str">
        <f>IF(QH!Z12="","",QH!Z12)</f>
        <v/>
      </c>
      <c r="F15" s="93" t="str">
        <f>IF(QH!AA12="","",QH!AA12)</f>
        <v/>
      </c>
      <c r="G15" s="93" t="str">
        <f>IF(QH!AB12="","",QH!AB12)</f>
        <v/>
      </c>
      <c r="H15" s="93" t="str">
        <f>IF(QH!AC12="","",QH!AC12)</f>
        <v/>
      </c>
      <c r="I15" s="93" t="str">
        <f>IF(QH!AD12="","",QH!AD12)</f>
        <v/>
      </c>
      <c r="J15" s="93" t="str">
        <f>IF(QH!AE12="","",QH!AE12)</f>
        <v/>
      </c>
      <c r="K15" s="93" t="str">
        <f>IF(QH!AF12="","",QH!AF12)</f>
        <v/>
      </c>
      <c r="L15" s="93" t="str">
        <f>IF(QH!AG12="","",QH!AG12)</f>
        <v/>
      </c>
      <c r="M15" s="94" t="str">
        <f>IF(AA!X12="","",AA!X12)</f>
        <v/>
      </c>
      <c r="N15" s="94" t="str">
        <f>IF(AA!Y12="","",AA!Y12)</f>
        <v/>
      </c>
      <c r="O15" s="94" t="str">
        <f>IF(AA!Z12="","",AA!Z12)</f>
        <v/>
      </c>
      <c r="P15" s="94" t="str">
        <f>IF(AA!AA12="","",AA!AA12)</f>
        <v/>
      </c>
      <c r="Q15" s="94" t="str">
        <f>IF(AA!AB12="","",AA!AB12)</f>
        <v/>
      </c>
      <c r="R15" s="94" t="str">
        <f>IF(AA!AC12="","",AA!AC12)</f>
        <v/>
      </c>
      <c r="S15" s="94" t="str">
        <f>IF(AA!AD12="","",AA!AD12)</f>
        <v/>
      </c>
      <c r="T15" s="94" t="str">
        <f>IF(AA!AE12="","",AA!AE12)</f>
        <v/>
      </c>
      <c r="U15" s="94" t="str">
        <f>IF(AA!AF12="","",AA!AF12)</f>
        <v/>
      </c>
      <c r="V15" s="94" t="str">
        <f>IF(AA!AG12="","",AA!AG12)</f>
        <v/>
      </c>
      <c r="W15" s="94" t="str">
        <f>IF(FIKIH!X12="","",FIKIH!X12)</f>
        <v/>
      </c>
      <c r="X15" s="94" t="str">
        <f>IF(FIKIH!Y12="","",FIKIH!Y12)</f>
        <v/>
      </c>
      <c r="Y15" s="94" t="str">
        <f>IF(FIKIH!Z12="","",FIKIH!Z12)</f>
        <v/>
      </c>
      <c r="Z15" s="94" t="str">
        <f>IF(FIKIH!AA12="","",FIKIH!AA12)</f>
        <v/>
      </c>
      <c r="AA15" s="94" t="str">
        <f>IF(FIKIH!AB12="","",FIKIH!AB12)</f>
        <v/>
      </c>
      <c r="AB15" s="94" t="str">
        <f>IF(FIKIH!AC12="","",FIKIH!AC12)</f>
        <v/>
      </c>
      <c r="AC15" s="94" t="str">
        <f>IF(FIKIH!AD12="","",FIKIH!AD12)</f>
        <v/>
      </c>
      <c r="AD15" s="94" t="str">
        <f>IF(FIKIH!AE12="","",FIKIH!AE12)</f>
        <v/>
      </c>
      <c r="AE15" s="94" t="str">
        <f>IF(FIKIH!AF12="","",FIKIH!AF12)</f>
        <v/>
      </c>
      <c r="AF15" s="94" t="str">
        <f>IF(FIKIH!AG12="","",FIKIH!AG12)</f>
        <v/>
      </c>
      <c r="AG15" s="94">
        <f>IF(SKI!X12="","",SKI!X12)</f>
        <v>3</v>
      </c>
      <c r="AH15" s="94" t="str">
        <f>IF(SKI!Y12="","",SKI!Y12)</f>
        <v>Melaksanakan sholat dhuhur berjemaah, berdo'a di awal dan di akhir kegiatan pembelajaran , serta melaksanakan kegiatan amaliyah siswa</v>
      </c>
      <c r="AI15" s="94">
        <f>IF(SKI!Z12="","",SKI!Z12)</f>
        <v>3</v>
      </c>
      <c r="AJ15" s="94">
        <f>IF(SKI!AA12="","",SKI!AA12)</f>
        <v>3</v>
      </c>
      <c r="AK15" s="94">
        <f>IF(SKI!AB12="","",SKI!AB12)</f>
        <v>3</v>
      </c>
      <c r="AL15" s="94">
        <f>IF(SKI!AC12="","",SKI!AC12)</f>
        <v>3</v>
      </c>
      <c r="AM15" s="94">
        <f>IF(SKI!AD12="","",SKI!AD12)</f>
        <v>3</v>
      </c>
      <c r="AN15" s="94">
        <f>IF(SKI!AE12="","",SKI!AE12)</f>
        <v>3</v>
      </c>
      <c r="AO15" s="94">
        <f>IF(SKI!AF12="","",SKI!AF12)</f>
        <v>3</v>
      </c>
      <c r="AP15" s="94" t="str">
        <f>IF(SKI!AG12="","",SKI!AG12)</f>
        <v>Santun dalam bersikap, disiplin dalam mentaati tata tertib madrasah, peduli pada lingkungan, orang tua, bertanggung jawab dalam melaksanakan tugas, baik sebagai individu maupun makhluk sosial</v>
      </c>
      <c r="AQ15" s="94" t="str">
        <f>IF(PKN!X12="","",PKN!X12)</f>
        <v/>
      </c>
      <c r="AR15" s="94" t="str">
        <f>IF(PKN!Y12="","",PKN!Y12)</f>
        <v/>
      </c>
      <c r="AS15" s="94" t="str">
        <f>IF(PKN!Z12="","",PKN!Z12)</f>
        <v/>
      </c>
      <c r="AT15" s="94" t="str">
        <f>IF(PKN!AA12="","",PKN!AA12)</f>
        <v/>
      </c>
      <c r="AU15" s="94" t="str">
        <f>IF(PKN!AB12="","",PKN!AB12)</f>
        <v/>
      </c>
      <c r="AV15" s="94" t="str">
        <f>IF(PKN!AC12="","",PKN!AC12)</f>
        <v/>
      </c>
      <c r="AW15" s="94" t="str">
        <f>IF(PKN!AD12="","",PKN!AD12)</f>
        <v/>
      </c>
      <c r="AX15" s="94" t="str">
        <f>IF(PKN!AE12="","",PKN!AE12)</f>
        <v/>
      </c>
      <c r="AY15" s="94" t="str">
        <f>IF(PKN!AF12="","",PKN!AF12)</f>
        <v/>
      </c>
      <c r="AZ15" s="94" t="str">
        <f>IF(PKN!AG12="","",PKN!AG12)</f>
        <v/>
      </c>
      <c r="BA15" s="93" t="str">
        <f>IF(INDO!X12="","",INDO!X12)</f>
        <v/>
      </c>
      <c r="BB15" s="93" t="str">
        <f>IF(INDO!Y12="","",INDO!Y12)</f>
        <v/>
      </c>
      <c r="BC15" s="93" t="str">
        <f>IF(INDO!Z12="","",INDO!Z12)</f>
        <v/>
      </c>
      <c r="BD15" s="93" t="str">
        <f>IF(INDO!AA12="","",INDO!AA12)</f>
        <v/>
      </c>
      <c r="BE15" s="93" t="str">
        <f>IF(INDO!AB12="","",INDO!AB12)</f>
        <v/>
      </c>
      <c r="BF15" s="93" t="str">
        <f>IF(INDO!AC12="","",INDO!AC12)</f>
        <v/>
      </c>
      <c r="BG15" s="93" t="str">
        <f>IF(INDO!AD12="","",INDO!AD12)</f>
        <v/>
      </c>
      <c r="BH15" s="93" t="str">
        <f>IF(INDO!AE12="","",INDO!AE12)</f>
        <v/>
      </c>
      <c r="BI15" s="93" t="str">
        <f>IF(INDO!AF12="","",INDO!AF12)</f>
        <v/>
      </c>
      <c r="BJ15" s="93" t="str">
        <f>IF(INDO!AG12="","",INDO!AG12)</f>
        <v/>
      </c>
      <c r="BK15" s="93" t="str">
        <f>IF(ARAB!X12="","",ARAB!X12)</f>
        <v/>
      </c>
      <c r="BL15" s="93" t="str">
        <f>IF(ARAB!Y12="","",ARAB!Y12)</f>
        <v/>
      </c>
      <c r="BM15" s="93" t="str">
        <f>IF(ARAB!Z12="","",ARAB!Z12)</f>
        <v/>
      </c>
      <c r="BN15" s="93" t="str">
        <f>IF(ARAB!AA12="","",ARAB!AA12)</f>
        <v/>
      </c>
      <c r="BO15" s="93" t="str">
        <f>IF(ARAB!AB12="","",ARAB!AB12)</f>
        <v/>
      </c>
      <c r="BP15" s="93" t="str">
        <f>IF(ARAB!AC12="","",ARAB!AC12)</f>
        <v/>
      </c>
      <c r="BQ15" s="93" t="str">
        <f>IF(ARAB!AD12="","",ARAB!AD12)</f>
        <v/>
      </c>
      <c r="BR15" s="93" t="str">
        <f>IF(ARAB!AE12="","",ARAB!AE12)</f>
        <v/>
      </c>
      <c r="BS15" s="93" t="str">
        <f>IF(ARAB!AF12="","",ARAB!AF12)</f>
        <v/>
      </c>
      <c r="BT15" s="93" t="str">
        <f>IF(ARAB!AG12="","",ARAB!AG12)</f>
        <v/>
      </c>
      <c r="BU15" s="94" t="str">
        <f>IF(MAT!X12="","",MAT!X12)</f>
        <v/>
      </c>
      <c r="BV15" s="94" t="str">
        <f>IF(MAT!Y12="","",MAT!Y12)</f>
        <v/>
      </c>
      <c r="BW15" s="94" t="str">
        <f>IF(MAT!Z12="","",MAT!Z12)</f>
        <v/>
      </c>
      <c r="BX15" s="94" t="str">
        <f>IF(MAT!AA12="","",MAT!AA12)</f>
        <v/>
      </c>
      <c r="BY15" s="94" t="str">
        <f>IF(MAT!AB12="","",MAT!AB12)</f>
        <v/>
      </c>
      <c r="BZ15" s="94" t="str">
        <f>IF(MAT!AC12="","",MAT!AC12)</f>
        <v/>
      </c>
      <c r="CA15" s="94" t="str">
        <f>IF(MAT!AD12="","",MAT!AD12)</f>
        <v/>
      </c>
      <c r="CB15" s="94" t="str">
        <f>IF(MAT!AE12="","",MAT!AE12)</f>
        <v/>
      </c>
      <c r="CC15" s="94" t="str">
        <f>IF(MAT!AF12="","",MAT!AF12)</f>
        <v/>
      </c>
      <c r="CD15" s="94" t="str">
        <f>IF(MAT!AG12="","",MAT!AG12)</f>
        <v/>
      </c>
      <c r="CE15" s="94" t="str">
        <f>IF(IPA!X12="","",IPA!X12)</f>
        <v/>
      </c>
      <c r="CF15" s="94" t="str">
        <f>IF(IPA!Y12="","",IPA!Y12)</f>
        <v/>
      </c>
      <c r="CG15" s="94" t="str">
        <f>IF(IPA!Z12="","",IPA!Z12)</f>
        <v/>
      </c>
      <c r="CH15" s="94" t="str">
        <f>IF(IPA!AA12="","",IPA!AA12)</f>
        <v/>
      </c>
      <c r="CI15" s="94" t="str">
        <f>IF(IPA!AB12="","",IPA!AB12)</f>
        <v/>
      </c>
      <c r="CJ15" s="94" t="str">
        <f>IF(IPA!AC12="","",IPA!AC12)</f>
        <v/>
      </c>
      <c r="CK15" s="94" t="str">
        <f>IF(IPA!AD12="","",IPA!AD12)</f>
        <v/>
      </c>
      <c r="CL15" s="94" t="str">
        <f>IF(IPA!AE12="","",IPA!AE12)</f>
        <v/>
      </c>
      <c r="CM15" s="94" t="str">
        <f>IF(IPA!AF12="","",IPA!AF12)</f>
        <v/>
      </c>
      <c r="CN15" s="94" t="str">
        <f>IF(IPA!AG12="","",IPA!AG12)</f>
        <v/>
      </c>
      <c r="CO15" s="93" t="str">
        <f>IF(IPS!X12="","",IPS!X12)</f>
        <v/>
      </c>
      <c r="CP15" s="93" t="str">
        <f>IF(IPS!Y12="","",IPS!Y12)</f>
        <v/>
      </c>
      <c r="CQ15" s="93" t="str">
        <f>IF(IPS!Z12="","",IPS!Z12)</f>
        <v/>
      </c>
      <c r="CR15" s="93" t="str">
        <f>IF(IPS!AA12="","",IPS!AA12)</f>
        <v/>
      </c>
      <c r="CS15" s="93" t="str">
        <f>IF(IPS!AB12="","",IPS!AB12)</f>
        <v/>
      </c>
      <c r="CT15" s="93" t="str">
        <f>IF(IPS!AC12="","",IPS!AC12)</f>
        <v/>
      </c>
      <c r="CU15" s="93" t="str">
        <f>IF(IPS!AD12="","",IPS!AD12)</f>
        <v/>
      </c>
      <c r="CV15" s="93" t="str">
        <f>IF(IPS!AE12="","",IPS!AE12)</f>
        <v/>
      </c>
      <c r="CW15" s="93" t="str">
        <f>IF(IPS!AF12="","",IPS!AF12)</f>
        <v/>
      </c>
      <c r="CX15" s="93" t="str">
        <f>IF(IPS!AG12="","",IPS!AG12)</f>
        <v/>
      </c>
      <c r="CY15" s="94" t="str">
        <f>IF(INGG!X12="","",INGG!X12)</f>
        <v/>
      </c>
      <c r="CZ15" s="94" t="str">
        <f>IF(INGG!Y12="","",INGG!Y12)</f>
        <v/>
      </c>
      <c r="DA15" s="94" t="str">
        <f>IF(INGG!Z12="","",INGG!Z12)</f>
        <v/>
      </c>
      <c r="DB15" s="94" t="str">
        <f>IF(INGG!AA12="","",INGG!AA12)</f>
        <v/>
      </c>
      <c r="DC15" s="94" t="str">
        <f>IF(INGG!AB12="","",INGG!AB12)</f>
        <v/>
      </c>
      <c r="DD15" s="94" t="str">
        <f>IF(INGG!AC12="","",INGG!AC12)</f>
        <v/>
      </c>
      <c r="DE15" s="94" t="str">
        <f>IF(INGG!AD12="","",INGG!AD12)</f>
        <v/>
      </c>
      <c r="DF15" s="94" t="str">
        <f>IF(INGG!AE12="","",INGG!AE12)</f>
        <v/>
      </c>
      <c r="DG15" s="94" t="str">
        <f>IF(INGG!AF12="","",INGG!AF12)</f>
        <v/>
      </c>
      <c r="DH15" s="94" t="str">
        <f>IF(INGG!AG12="","",INGG!AG12)</f>
        <v/>
      </c>
      <c r="DI15" s="94" t="str">
        <f>IF(SENBUD!X12="","",SENBUD!X12)</f>
        <v/>
      </c>
      <c r="DJ15" s="94" t="str">
        <f>IF(SENBUD!Y12="","",SENBUD!Y12)</f>
        <v/>
      </c>
      <c r="DK15" s="94" t="str">
        <f>IF(SENBUD!Z12="","",SENBUD!Z12)</f>
        <v/>
      </c>
      <c r="DL15" s="94" t="str">
        <f>IF(SENBUD!AA12="","",SENBUD!AA12)</f>
        <v/>
      </c>
      <c r="DM15" s="94" t="str">
        <f>IF(SENBUD!AB12="","",SENBUD!AB12)</f>
        <v/>
      </c>
      <c r="DN15" s="94" t="str">
        <f>IF(SENBUD!AC12="","",SENBUD!AC12)</f>
        <v/>
      </c>
      <c r="DO15" s="94" t="str">
        <f>IF(SENBUD!AD12="","",SENBUD!AD12)</f>
        <v/>
      </c>
      <c r="DP15" s="94" t="str">
        <f>IF(SENBUD!AE12="","",SENBUD!AE12)</f>
        <v/>
      </c>
      <c r="DQ15" s="94" t="str">
        <f>IF(SENBUD!AF12="","",SENBUD!AF12)</f>
        <v/>
      </c>
      <c r="DR15" s="94" t="str">
        <f>IF(SENBUD!AG12="","",SENBUD!AG12)</f>
        <v/>
      </c>
      <c r="DS15" s="93" t="str">
        <f>IF(PENJAS!X12="","",PENJAS!X12)</f>
        <v/>
      </c>
      <c r="DT15" s="93" t="str">
        <f>IF(PENJAS!Y12="","",PENJAS!Y12)</f>
        <v/>
      </c>
      <c r="DU15" s="93" t="str">
        <f>IF(PENJAS!Z12="","",PENJAS!Z12)</f>
        <v/>
      </c>
      <c r="DV15" s="93" t="str">
        <f>IF(PENJAS!AA12="","",PENJAS!AA12)</f>
        <v/>
      </c>
      <c r="DW15" s="93" t="str">
        <f>IF(PENJAS!AB12="","",PENJAS!AB12)</f>
        <v/>
      </c>
      <c r="DX15" s="93" t="str">
        <f>IF(PENJAS!AC12="","",PENJAS!AC12)</f>
        <v/>
      </c>
      <c r="DY15" s="93" t="str">
        <f>IF(PENJAS!AD12="","",PENJAS!AD12)</f>
        <v/>
      </c>
      <c r="DZ15" s="93" t="str">
        <f>IF(PENJAS!AE12="","",PENJAS!AE12)</f>
        <v/>
      </c>
      <c r="EA15" s="93" t="str">
        <f>IF(PENJAS!AF12="","",PENJAS!AF12)</f>
        <v/>
      </c>
      <c r="EB15" s="93" t="str">
        <f>IF(PENJAS!AG12="","",PENJAS!AG12)</f>
        <v/>
      </c>
      <c r="EC15" s="93" t="str">
        <f>IF(PRAKARYA!X12="","",PRAKARYA!X12)</f>
        <v/>
      </c>
      <c r="ED15" s="93" t="str">
        <f>IF(PRAKARYA!Y12="","",PRAKARYA!Y12)</f>
        <v/>
      </c>
      <c r="EE15" s="93" t="str">
        <f>IF(PRAKARYA!Z12="","",PRAKARYA!Z12)</f>
        <v/>
      </c>
      <c r="EF15" s="93" t="str">
        <f>IF(PRAKARYA!AA12="","",PRAKARYA!AA12)</f>
        <v/>
      </c>
      <c r="EG15" s="93" t="str">
        <f>IF(PRAKARYA!AB12="","",PRAKARYA!AB12)</f>
        <v/>
      </c>
      <c r="EH15" s="93" t="str">
        <f>IF(PRAKARYA!AC12="","",PRAKARYA!AC12)</f>
        <v/>
      </c>
      <c r="EI15" s="93" t="str">
        <f>IF(PRAKARYA!AD12="","",PRAKARYA!AD12)</f>
        <v/>
      </c>
      <c r="EJ15" s="93" t="str">
        <f>IF(PRAKARYA!AE12="","",PRAKARYA!AE12)</f>
        <v/>
      </c>
      <c r="EK15" s="93" t="str">
        <f>IF(PRAKARYA!AF12="","",PRAKARYA!AF12)</f>
        <v/>
      </c>
      <c r="EL15" s="93" t="str">
        <f>IF(PRAKARYA!AG12="","",PRAKARYA!AG12)</f>
        <v/>
      </c>
      <c r="EM15" s="95" t="str">
        <f>IF(BADER!X12="","",BADER!X12)</f>
        <v/>
      </c>
      <c r="EN15" s="95" t="str">
        <f>IF(BADER!Y12="","",BADER!Y12)</f>
        <v/>
      </c>
      <c r="EO15" s="95" t="str">
        <f>IF(BADER!Z12="","",BADER!Z12)</f>
        <v/>
      </c>
      <c r="EP15" s="95" t="str">
        <f>IF(BADER!AA12="","",BADER!AA12)</f>
        <v/>
      </c>
      <c r="EQ15" s="95" t="str">
        <f>IF(BADER!AB12="","",BADER!AB12)</f>
        <v/>
      </c>
      <c r="ER15" s="95" t="str">
        <f>IF(BADER!AC12="","",BADER!AC12)</f>
        <v/>
      </c>
      <c r="ES15" s="95" t="str">
        <f>IF(BADER!AD12="","",BADER!AD12)</f>
        <v/>
      </c>
      <c r="ET15" s="95" t="str">
        <f>IF(BADER!AE12="","",BADER!AE12)</f>
        <v/>
      </c>
      <c r="EU15" s="95" t="str">
        <f>IF(BADER!AF12="","",BADER!AF12)</f>
        <v/>
      </c>
      <c r="EV15" s="95" t="str">
        <f>IF(BADER!AG12="","",BADER!AG12)</f>
        <v/>
      </c>
      <c r="EW15" s="96" t="str">
        <f t="shared" si="1"/>
        <v/>
      </c>
      <c r="EX15" s="96" t="str">
        <f t="shared" si="2"/>
        <v/>
      </c>
      <c r="EY15" s="96" t="str">
        <f t="shared" si="0"/>
        <v/>
      </c>
      <c r="EZ15" s="96" t="str">
        <f t="shared" si="0"/>
        <v/>
      </c>
      <c r="FA15" s="96" t="str">
        <f t="shared" si="0"/>
        <v/>
      </c>
      <c r="FB15" s="96" t="str">
        <f t="shared" si="0"/>
        <v/>
      </c>
      <c r="FC15" s="96" t="str">
        <f t="shared" si="0"/>
        <v/>
      </c>
      <c r="FD15" s="96" t="str">
        <f t="shared" si="0"/>
        <v/>
      </c>
      <c r="FE15" s="96" t="str">
        <f t="shared" si="0"/>
        <v/>
      </c>
      <c r="FF15" s="96" t="str">
        <f t="shared" si="3"/>
        <v/>
      </c>
      <c r="FG15" s="96" t="str">
        <f t="shared" si="4"/>
        <v/>
      </c>
      <c r="FH15" s="92" t="str">
        <f t="shared" si="5"/>
        <v/>
      </c>
      <c r="FI15" s="92" t="str">
        <f t="shared" si="6"/>
        <v xml:space="preserve"> </v>
      </c>
      <c r="FJ15" s="92" t="str">
        <f t="shared" si="7"/>
        <v xml:space="preserve"> </v>
      </c>
      <c r="FK15" s="92" t="str">
        <f t="shared" si="8"/>
        <v xml:space="preserve"> </v>
      </c>
      <c r="FL15" s="92" t="str">
        <f t="shared" si="9"/>
        <v xml:space="preserve"> </v>
      </c>
      <c r="FM15" s="92" t="str">
        <f t="shared" si="10"/>
        <v xml:space="preserve"> </v>
      </c>
      <c r="FN15" s="92" t="str">
        <f t="shared" si="11"/>
        <v xml:space="preserve"> </v>
      </c>
      <c r="FO15" s="92" t="str">
        <f t="shared" si="12"/>
        <v xml:space="preserve"> </v>
      </c>
      <c r="FP15" s="92" t="str">
        <f t="shared" si="13"/>
        <v xml:space="preserve">,  ,  ,  ,  ,  ,  ,  </v>
      </c>
    </row>
    <row r="16" spans="1:172">
      <c r="A16" s="66">
        <v>6</v>
      </c>
      <c r="B16" s="92" t="str">
        <f>IF(DATA!D13="","",DATA!D13)</f>
        <v>AT-THORIQ BINTANG PRAJA</v>
      </c>
      <c r="C16" s="93" t="str">
        <f>IF(QH!X13="","",QH!X13)</f>
        <v/>
      </c>
      <c r="D16" s="93" t="str">
        <f>IF(QH!Y13="","",QH!Y13)</f>
        <v/>
      </c>
      <c r="E16" s="93" t="str">
        <f>IF(QH!Z13="","",QH!Z13)</f>
        <v/>
      </c>
      <c r="F16" s="93" t="str">
        <f>IF(QH!AA13="","",QH!AA13)</f>
        <v/>
      </c>
      <c r="G16" s="93" t="str">
        <f>IF(QH!AB13="","",QH!AB13)</f>
        <v/>
      </c>
      <c r="H16" s="93" t="str">
        <f>IF(QH!AC13="","",QH!AC13)</f>
        <v/>
      </c>
      <c r="I16" s="93" t="str">
        <f>IF(QH!AD13="","",QH!AD13)</f>
        <v/>
      </c>
      <c r="J16" s="93" t="str">
        <f>IF(QH!AE13="","",QH!AE13)</f>
        <v/>
      </c>
      <c r="K16" s="93" t="str">
        <f>IF(QH!AF13="","",QH!AF13)</f>
        <v/>
      </c>
      <c r="L16" s="93" t="str">
        <f>IF(QH!AG13="","",QH!AG13)</f>
        <v/>
      </c>
      <c r="M16" s="94" t="str">
        <f>IF(AA!X13="","",AA!X13)</f>
        <v/>
      </c>
      <c r="N16" s="94" t="str">
        <f>IF(AA!Y13="","",AA!Y13)</f>
        <v/>
      </c>
      <c r="O16" s="94" t="str">
        <f>IF(AA!Z13="","",AA!Z13)</f>
        <v/>
      </c>
      <c r="P16" s="94" t="str">
        <f>IF(AA!AA13="","",AA!AA13)</f>
        <v/>
      </c>
      <c r="Q16" s="94" t="str">
        <f>IF(AA!AB13="","",AA!AB13)</f>
        <v/>
      </c>
      <c r="R16" s="94" t="str">
        <f>IF(AA!AC13="","",AA!AC13)</f>
        <v/>
      </c>
      <c r="S16" s="94" t="str">
        <f>IF(AA!AD13="","",AA!AD13)</f>
        <v/>
      </c>
      <c r="T16" s="94" t="str">
        <f>IF(AA!AE13="","",AA!AE13)</f>
        <v/>
      </c>
      <c r="U16" s="94" t="str">
        <f>IF(AA!AF13="","",AA!AF13)</f>
        <v/>
      </c>
      <c r="V16" s="94" t="str">
        <f>IF(AA!AG13="","",AA!AG13)</f>
        <v/>
      </c>
      <c r="W16" s="94" t="str">
        <f>IF(FIKIH!X13="","",FIKIH!X13)</f>
        <v/>
      </c>
      <c r="X16" s="94" t="str">
        <f>IF(FIKIH!Y13="","",FIKIH!Y13)</f>
        <v/>
      </c>
      <c r="Y16" s="94" t="str">
        <f>IF(FIKIH!Z13="","",FIKIH!Z13)</f>
        <v/>
      </c>
      <c r="Z16" s="94" t="str">
        <f>IF(FIKIH!AA13="","",FIKIH!AA13)</f>
        <v/>
      </c>
      <c r="AA16" s="94" t="str">
        <f>IF(FIKIH!AB13="","",FIKIH!AB13)</f>
        <v/>
      </c>
      <c r="AB16" s="94" t="str">
        <f>IF(FIKIH!AC13="","",FIKIH!AC13)</f>
        <v/>
      </c>
      <c r="AC16" s="94" t="str">
        <f>IF(FIKIH!AD13="","",FIKIH!AD13)</f>
        <v/>
      </c>
      <c r="AD16" s="94" t="str">
        <f>IF(FIKIH!AE13="","",FIKIH!AE13)</f>
        <v/>
      </c>
      <c r="AE16" s="94" t="str">
        <f>IF(FIKIH!AF13="","",FIKIH!AF13)</f>
        <v/>
      </c>
      <c r="AF16" s="94" t="str">
        <f>IF(FIKIH!AG13="","",FIKIH!AG13)</f>
        <v/>
      </c>
      <c r="AG16" s="94">
        <f>IF(SKI!X13="","",SKI!X13)</f>
        <v>3</v>
      </c>
      <c r="AH16" s="94" t="str">
        <f>IF(SKI!Y13="","",SKI!Y13)</f>
        <v>Melaksanakan sholat dhuhur berjemaah, berdo'a di awal dan di akhir kegiatan pembelajaran , serta melaksanakan kegiatan amaliyah siswa</v>
      </c>
      <c r="AI16" s="94">
        <f>IF(SKI!Z13="","",SKI!Z13)</f>
        <v>3</v>
      </c>
      <c r="AJ16" s="94">
        <f>IF(SKI!AA13="","",SKI!AA13)</f>
        <v>3</v>
      </c>
      <c r="AK16" s="94">
        <f>IF(SKI!AB13="","",SKI!AB13)</f>
        <v>3</v>
      </c>
      <c r="AL16" s="94">
        <f>IF(SKI!AC13="","",SKI!AC13)</f>
        <v>3</v>
      </c>
      <c r="AM16" s="94">
        <f>IF(SKI!AD13="","",SKI!AD13)</f>
        <v>3</v>
      </c>
      <c r="AN16" s="94">
        <f>IF(SKI!AE13="","",SKI!AE13)</f>
        <v>3</v>
      </c>
      <c r="AO16" s="94">
        <f>IF(SKI!AF13="","",SKI!AF13)</f>
        <v>3</v>
      </c>
      <c r="AP16" s="94" t="str">
        <f>IF(SKI!AG13="","",SKI!AG13)</f>
        <v>Santun dalam bersikap, disiplin dalam mentaati tata tertib madrasah, peduli pada lingkungan, orang tua, bertanggung jawab dalam melaksanakan tugas, baik sebagai individu maupun makhluk sosial</v>
      </c>
      <c r="AQ16" s="94" t="str">
        <f>IF(PKN!X13="","",PKN!X13)</f>
        <v/>
      </c>
      <c r="AR16" s="94" t="str">
        <f>IF(PKN!Y13="","",PKN!Y13)</f>
        <v/>
      </c>
      <c r="AS16" s="94" t="str">
        <f>IF(PKN!Z13="","",PKN!Z13)</f>
        <v/>
      </c>
      <c r="AT16" s="94" t="str">
        <f>IF(PKN!AA13="","",PKN!AA13)</f>
        <v/>
      </c>
      <c r="AU16" s="94" t="str">
        <f>IF(PKN!AB13="","",PKN!AB13)</f>
        <v/>
      </c>
      <c r="AV16" s="94" t="str">
        <f>IF(PKN!AC13="","",PKN!AC13)</f>
        <v/>
      </c>
      <c r="AW16" s="94" t="str">
        <f>IF(PKN!AD13="","",PKN!AD13)</f>
        <v/>
      </c>
      <c r="AX16" s="94" t="str">
        <f>IF(PKN!AE13="","",PKN!AE13)</f>
        <v/>
      </c>
      <c r="AY16" s="94" t="str">
        <f>IF(PKN!AF13="","",PKN!AF13)</f>
        <v/>
      </c>
      <c r="AZ16" s="94" t="str">
        <f>IF(PKN!AG13="","",PKN!AG13)</f>
        <v/>
      </c>
      <c r="BA16" s="93" t="str">
        <f>IF(INDO!X13="","",INDO!X13)</f>
        <v/>
      </c>
      <c r="BB16" s="93" t="str">
        <f>IF(INDO!Y13="","",INDO!Y13)</f>
        <v/>
      </c>
      <c r="BC16" s="93" t="str">
        <f>IF(INDO!Z13="","",INDO!Z13)</f>
        <v/>
      </c>
      <c r="BD16" s="93" t="str">
        <f>IF(INDO!AA13="","",INDO!AA13)</f>
        <v/>
      </c>
      <c r="BE16" s="93" t="str">
        <f>IF(INDO!AB13="","",INDO!AB13)</f>
        <v/>
      </c>
      <c r="BF16" s="93" t="str">
        <f>IF(INDO!AC13="","",INDO!AC13)</f>
        <v/>
      </c>
      <c r="BG16" s="93" t="str">
        <f>IF(INDO!AD13="","",INDO!AD13)</f>
        <v/>
      </c>
      <c r="BH16" s="93" t="str">
        <f>IF(INDO!AE13="","",INDO!AE13)</f>
        <v/>
      </c>
      <c r="BI16" s="93" t="str">
        <f>IF(INDO!AF13="","",INDO!AF13)</f>
        <v/>
      </c>
      <c r="BJ16" s="93" t="str">
        <f>IF(INDO!AG13="","",INDO!AG13)</f>
        <v/>
      </c>
      <c r="BK16" s="93" t="str">
        <f>IF(ARAB!X13="","",ARAB!X13)</f>
        <v/>
      </c>
      <c r="BL16" s="93" t="str">
        <f>IF(ARAB!Y13="","",ARAB!Y13)</f>
        <v/>
      </c>
      <c r="BM16" s="93" t="str">
        <f>IF(ARAB!Z13="","",ARAB!Z13)</f>
        <v/>
      </c>
      <c r="BN16" s="93" t="str">
        <f>IF(ARAB!AA13="","",ARAB!AA13)</f>
        <v/>
      </c>
      <c r="BO16" s="93" t="str">
        <f>IF(ARAB!AB13="","",ARAB!AB13)</f>
        <v/>
      </c>
      <c r="BP16" s="93" t="str">
        <f>IF(ARAB!AC13="","",ARAB!AC13)</f>
        <v/>
      </c>
      <c r="BQ16" s="93" t="str">
        <f>IF(ARAB!AD13="","",ARAB!AD13)</f>
        <v/>
      </c>
      <c r="BR16" s="93" t="str">
        <f>IF(ARAB!AE13="","",ARAB!AE13)</f>
        <v/>
      </c>
      <c r="BS16" s="93" t="str">
        <f>IF(ARAB!AF13="","",ARAB!AF13)</f>
        <v/>
      </c>
      <c r="BT16" s="93" t="str">
        <f>IF(ARAB!AG13="","",ARAB!AG13)</f>
        <v/>
      </c>
      <c r="BU16" s="94" t="str">
        <f>IF(MAT!X13="","",MAT!X13)</f>
        <v/>
      </c>
      <c r="BV16" s="94" t="str">
        <f>IF(MAT!Y13="","",MAT!Y13)</f>
        <v/>
      </c>
      <c r="BW16" s="94" t="str">
        <f>IF(MAT!Z13="","",MAT!Z13)</f>
        <v/>
      </c>
      <c r="BX16" s="94" t="str">
        <f>IF(MAT!AA13="","",MAT!AA13)</f>
        <v/>
      </c>
      <c r="BY16" s="94" t="str">
        <f>IF(MAT!AB13="","",MAT!AB13)</f>
        <v/>
      </c>
      <c r="BZ16" s="94" t="str">
        <f>IF(MAT!AC13="","",MAT!AC13)</f>
        <v/>
      </c>
      <c r="CA16" s="94" t="str">
        <f>IF(MAT!AD13="","",MAT!AD13)</f>
        <v/>
      </c>
      <c r="CB16" s="94" t="str">
        <f>IF(MAT!AE13="","",MAT!AE13)</f>
        <v/>
      </c>
      <c r="CC16" s="94" t="str">
        <f>IF(MAT!AF13="","",MAT!AF13)</f>
        <v/>
      </c>
      <c r="CD16" s="94" t="str">
        <f>IF(MAT!AG13="","",MAT!AG13)</f>
        <v/>
      </c>
      <c r="CE16" s="94" t="str">
        <f>IF(IPA!X13="","",IPA!X13)</f>
        <v/>
      </c>
      <c r="CF16" s="94" t="str">
        <f>IF(IPA!Y13="","",IPA!Y13)</f>
        <v/>
      </c>
      <c r="CG16" s="94" t="str">
        <f>IF(IPA!Z13="","",IPA!Z13)</f>
        <v/>
      </c>
      <c r="CH16" s="94" t="str">
        <f>IF(IPA!AA13="","",IPA!AA13)</f>
        <v/>
      </c>
      <c r="CI16" s="94" t="str">
        <f>IF(IPA!AB13="","",IPA!AB13)</f>
        <v/>
      </c>
      <c r="CJ16" s="94" t="str">
        <f>IF(IPA!AC13="","",IPA!AC13)</f>
        <v/>
      </c>
      <c r="CK16" s="94" t="str">
        <f>IF(IPA!AD13="","",IPA!AD13)</f>
        <v/>
      </c>
      <c r="CL16" s="94" t="str">
        <f>IF(IPA!AE13="","",IPA!AE13)</f>
        <v/>
      </c>
      <c r="CM16" s="94" t="str">
        <f>IF(IPA!AF13="","",IPA!AF13)</f>
        <v/>
      </c>
      <c r="CN16" s="94" t="str">
        <f>IF(IPA!AG13="","",IPA!AG13)</f>
        <v/>
      </c>
      <c r="CO16" s="93" t="str">
        <f>IF(IPS!X13="","",IPS!X13)</f>
        <v/>
      </c>
      <c r="CP16" s="93" t="str">
        <f>IF(IPS!Y13="","",IPS!Y13)</f>
        <v/>
      </c>
      <c r="CQ16" s="93" t="str">
        <f>IF(IPS!Z13="","",IPS!Z13)</f>
        <v/>
      </c>
      <c r="CR16" s="93" t="str">
        <f>IF(IPS!AA13="","",IPS!AA13)</f>
        <v/>
      </c>
      <c r="CS16" s="93" t="str">
        <f>IF(IPS!AB13="","",IPS!AB13)</f>
        <v/>
      </c>
      <c r="CT16" s="93" t="str">
        <f>IF(IPS!AC13="","",IPS!AC13)</f>
        <v/>
      </c>
      <c r="CU16" s="93" t="str">
        <f>IF(IPS!AD13="","",IPS!AD13)</f>
        <v/>
      </c>
      <c r="CV16" s="93" t="str">
        <f>IF(IPS!AE13="","",IPS!AE13)</f>
        <v/>
      </c>
      <c r="CW16" s="93" t="str">
        <f>IF(IPS!AF13="","",IPS!AF13)</f>
        <v/>
      </c>
      <c r="CX16" s="93" t="str">
        <f>IF(IPS!AG13="","",IPS!AG13)</f>
        <v/>
      </c>
      <c r="CY16" s="94" t="str">
        <f>IF(INGG!X13="","",INGG!X13)</f>
        <v/>
      </c>
      <c r="CZ16" s="94" t="str">
        <f>IF(INGG!Y13="","",INGG!Y13)</f>
        <v/>
      </c>
      <c r="DA16" s="94" t="str">
        <f>IF(INGG!Z13="","",INGG!Z13)</f>
        <v/>
      </c>
      <c r="DB16" s="94" t="str">
        <f>IF(INGG!AA13="","",INGG!AA13)</f>
        <v/>
      </c>
      <c r="DC16" s="94" t="str">
        <f>IF(INGG!AB13="","",INGG!AB13)</f>
        <v/>
      </c>
      <c r="DD16" s="94" t="str">
        <f>IF(INGG!AC13="","",INGG!AC13)</f>
        <v/>
      </c>
      <c r="DE16" s="94" t="str">
        <f>IF(INGG!AD13="","",INGG!AD13)</f>
        <v/>
      </c>
      <c r="DF16" s="94" t="str">
        <f>IF(INGG!AE13="","",INGG!AE13)</f>
        <v/>
      </c>
      <c r="DG16" s="94" t="str">
        <f>IF(INGG!AF13="","",INGG!AF13)</f>
        <v/>
      </c>
      <c r="DH16" s="94" t="str">
        <f>IF(INGG!AG13="","",INGG!AG13)</f>
        <v/>
      </c>
      <c r="DI16" s="94" t="str">
        <f>IF(SENBUD!X13="","",SENBUD!X13)</f>
        <v/>
      </c>
      <c r="DJ16" s="94" t="str">
        <f>IF(SENBUD!Y13="","",SENBUD!Y13)</f>
        <v/>
      </c>
      <c r="DK16" s="94" t="str">
        <f>IF(SENBUD!Z13="","",SENBUD!Z13)</f>
        <v/>
      </c>
      <c r="DL16" s="94" t="str">
        <f>IF(SENBUD!AA13="","",SENBUD!AA13)</f>
        <v/>
      </c>
      <c r="DM16" s="94" t="str">
        <f>IF(SENBUD!AB13="","",SENBUD!AB13)</f>
        <v/>
      </c>
      <c r="DN16" s="94" t="str">
        <f>IF(SENBUD!AC13="","",SENBUD!AC13)</f>
        <v/>
      </c>
      <c r="DO16" s="94" t="str">
        <f>IF(SENBUD!AD13="","",SENBUD!AD13)</f>
        <v/>
      </c>
      <c r="DP16" s="94" t="str">
        <f>IF(SENBUD!AE13="","",SENBUD!AE13)</f>
        <v/>
      </c>
      <c r="DQ16" s="94" t="str">
        <f>IF(SENBUD!AF13="","",SENBUD!AF13)</f>
        <v/>
      </c>
      <c r="DR16" s="94" t="str">
        <f>IF(SENBUD!AG13="","",SENBUD!AG13)</f>
        <v/>
      </c>
      <c r="DS16" s="93" t="str">
        <f>IF(PENJAS!X13="","",PENJAS!X13)</f>
        <v/>
      </c>
      <c r="DT16" s="93" t="str">
        <f>IF(PENJAS!Y13="","",PENJAS!Y13)</f>
        <v/>
      </c>
      <c r="DU16" s="93" t="str">
        <f>IF(PENJAS!Z13="","",PENJAS!Z13)</f>
        <v/>
      </c>
      <c r="DV16" s="93" t="str">
        <f>IF(PENJAS!AA13="","",PENJAS!AA13)</f>
        <v/>
      </c>
      <c r="DW16" s="93" t="str">
        <f>IF(PENJAS!AB13="","",PENJAS!AB13)</f>
        <v/>
      </c>
      <c r="DX16" s="93" t="str">
        <f>IF(PENJAS!AC13="","",PENJAS!AC13)</f>
        <v/>
      </c>
      <c r="DY16" s="93" t="str">
        <f>IF(PENJAS!AD13="","",PENJAS!AD13)</f>
        <v/>
      </c>
      <c r="DZ16" s="93" t="str">
        <f>IF(PENJAS!AE13="","",PENJAS!AE13)</f>
        <v/>
      </c>
      <c r="EA16" s="93" t="str">
        <f>IF(PENJAS!AF13="","",PENJAS!AF13)</f>
        <v/>
      </c>
      <c r="EB16" s="93" t="str">
        <f>IF(PENJAS!AG13="","",PENJAS!AG13)</f>
        <v/>
      </c>
      <c r="EC16" s="93" t="str">
        <f>IF(PRAKARYA!X13="","",PRAKARYA!X13)</f>
        <v/>
      </c>
      <c r="ED16" s="93" t="str">
        <f>IF(PRAKARYA!Y13="","",PRAKARYA!Y13)</f>
        <v/>
      </c>
      <c r="EE16" s="93" t="str">
        <f>IF(PRAKARYA!Z13="","",PRAKARYA!Z13)</f>
        <v/>
      </c>
      <c r="EF16" s="93" t="str">
        <f>IF(PRAKARYA!AA13="","",PRAKARYA!AA13)</f>
        <v/>
      </c>
      <c r="EG16" s="93" t="str">
        <f>IF(PRAKARYA!AB13="","",PRAKARYA!AB13)</f>
        <v/>
      </c>
      <c r="EH16" s="93" t="str">
        <f>IF(PRAKARYA!AC13="","",PRAKARYA!AC13)</f>
        <v/>
      </c>
      <c r="EI16" s="93" t="str">
        <f>IF(PRAKARYA!AD13="","",PRAKARYA!AD13)</f>
        <v/>
      </c>
      <c r="EJ16" s="93" t="str">
        <f>IF(PRAKARYA!AE13="","",PRAKARYA!AE13)</f>
        <v/>
      </c>
      <c r="EK16" s="93" t="str">
        <f>IF(PRAKARYA!AF13="","",PRAKARYA!AF13)</f>
        <v/>
      </c>
      <c r="EL16" s="93" t="str">
        <f>IF(PRAKARYA!AG13="","",PRAKARYA!AG13)</f>
        <v/>
      </c>
      <c r="EM16" s="95" t="str">
        <f>IF(BADER!X13="","",BADER!X13)</f>
        <v/>
      </c>
      <c r="EN16" s="95" t="str">
        <f>IF(BADER!Y13="","",BADER!Y13)</f>
        <v/>
      </c>
      <c r="EO16" s="95" t="str">
        <f>IF(BADER!Z13="","",BADER!Z13)</f>
        <v/>
      </c>
      <c r="EP16" s="95" t="str">
        <f>IF(BADER!AA13="","",BADER!AA13)</f>
        <v/>
      </c>
      <c r="EQ16" s="95" t="str">
        <f>IF(BADER!AB13="","",BADER!AB13)</f>
        <v/>
      </c>
      <c r="ER16" s="95" t="str">
        <f>IF(BADER!AC13="","",BADER!AC13)</f>
        <v/>
      </c>
      <c r="ES16" s="95" t="str">
        <f>IF(BADER!AD13="","",BADER!AD13)</f>
        <v/>
      </c>
      <c r="ET16" s="95" t="str">
        <f>IF(BADER!AE13="","",BADER!AE13)</f>
        <v/>
      </c>
      <c r="EU16" s="95" t="str">
        <f>IF(BADER!AF13="","",BADER!AF13)</f>
        <v/>
      </c>
      <c r="EV16" s="95" t="str">
        <f>IF(BADER!AG13="","",BADER!AG13)</f>
        <v/>
      </c>
      <c r="EW16" s="96" t="str">
        <f t="shared" si="1"/>
        <v/>
      </c>
      <c r="EX16" s="96" t="str">
        <f t="shared" si="2"/>
        <v/>
      </c>
      <c r="EY16" s="96" t="str">
        <f t="shared" si="0"/>
        <v/>
      </c>
      <c r="EZ16" s="96" t="str">
        <f t="shared" si="0"/>
        <v/>
      </c>
      <c r="FA16" s="96" t="str">
        <f t="shared" si="0"/>
        <v/>
      </c>
      <c r="FB16" s="96" t="str">
        <f t="shared" si="0"/>
        <v/>
      </c>
      <c r="FC16" s="96" t="str">
        <f t="shared" si="0"/>
        <v/>
      </c>
      <c r="FD16" s="96" t="str">
        <f t="shared" si="0"/>
        <v/>
      </c>
      <c r="FE16" s="96" t="str">
        <f t="shared" si="0"/>
        <v/>
      </c>
      <c r="FF16" s="96" t="str">
        <f t="shared" si="3"/>
        <v/>
      </c>
      <c r="FG16" s="96" t="str">
        <f t="shared" si="4"/>
        <v/>
      </c>
      <c r="FH16" s="92" t="str">
        <f t="shared" si="5"/>
        <v/>
      </c>
      <c r="FI16" s="92" t="str">
        <f t="shared" si="6"/>
        <v xml:space="preserve"> </v>
      </c>
      <c r="FJ16" s="92" t="str">
        <f t="shared" si="7"/>
        <v xml:space="preserve"> </v>
      </c>
      <c r="FK16" s="92" t="str">
        <f t="shared" si="8"/>
        <v xml:space="preserve"> </v>
      </c>
      <c r="FL16" s="92" t="str">
        <f t="shared" si="9"/>
        <v xml:space="preserve"> </v>
      </c>
      <c r="FM16" s="92" t="str">
        <f t="shared" si="10"/>
        <v xml:space="preserve"> </v>
      </c>
      <c r="FN16" s="92" t="str">
        <f t="shared" si="11"/>
        <v xml:space="preserve"> </v>
      </c>
      <c r="FO16" s="92" t="str">
        <f t="shared" si="12"/>
        <v xml:space="preserve"> </v>
      </c>
      <c r="FP16" s="92" t="str">
        <f t="shared" si="13"/>
        <v xml:space="preserve">,  ,  ,  ,  ,  ,  ,  </v>
      </c>
    </row>
    <row r="17" spans="1:172">
      <c r="A17" s="66">
        <v>7</v>
      </c>
      <c r="B17" s="92" t="str">
        <f>IF(DATA!D14="","",DATA!D14)</f>
        <v>DEWI WULANDARI</v>
      </c>
      <c r="C17" s="93" t="str">
        <f>IF(QH!X14="","",QH!X14)</f>
        <v/>
      </c>
      <c r="D17" s="93" t="str">
        <f>IF(QH!Y14="","",QH!Y14)</f>
        <v/>
      </c>
      <c r="E17" s="93" t="str">
        <f>IF(QH!Z14="","",QH!Z14)</f>
        <v/>
      </c>
      <c r="F17" s="93" t="str">
        <f>IF(QH!AA14="","",QH!AA14)</f>
        <v/>
      </c>
      <c r="G17" s="93" t="str">
        <f>IF(QH!AB14="","",QH!AB14)</f>
        <v/>
      </c>
      <c r="H17" s="93" t="str">
        <f>IF(QH!AC14="","",QH!AC14)</f>
        <v/>
      </c>
      <c r="I17" s="93" t="str">
        <f>IF(QH!AD14="","",QH!AD14)</f>
        <v/>
      </c>
      <c r="J17" s="93" t="str">
        <f>IF(QH!AE14="","",QH!AE14)</f>
        <v/>
      </c>
      <c r="K17" s="93" t="str">
        <f>IF(QH!AF14="","",QH!AF14)</f>
        <v/>
      </c>
      <c r="L17" s="93" t="str">
        <f>IF(QH!AG14="","",QH!AG14)</f>
        <v/>
      </c>
      <c r="M17" s="94" t="str">
        <f>IF(AA!X14="","",AA!X14)</f>
        <v/>
      </c>
      <c r="N17" s="94" t="str">
        <f>IF(AA!Y14="","",AA!Y14)</f>
        <v/>
      </c>
      <c r="O17" s="94" t="str">
        <f>IF(AA!Z14="","",AA!Z14)</f>
        <v/>
      </c>
      <c r="P17" s="94" t="str">
        <f>IF(AA!AA14="","",AA!AA14)</f>
        <v/>
      </c>
      <c r="Q17" s="94" t="str">
        <f>IF(AA!AB14="","",AA!AB14)</f>
        <v/>
      </c>
      <c r="R17" s="94" t="str">
        <f>IF(AA!AC14="","",AA!AC14)</f>
        <v/>
      </c>
      <c r="S17" s="94" t="str">
        <f>IF(AA!AD14="","",AA!AD14)</f>
        <v/>
      </c>
      <c r="T17" s="94" t="str">
        <f>IF(AA!AE14="","",AA!AE14)</f>
        <v/>
      </c>
      <c r="U17" s="94" t="str">
        <f>IF(AA!AF14="","",AA!AF14)</f>
        <v/>
      </c>
      <c r="V17" s="94" t="str">
        <f>IF(AA!AG14="","",AA!AG14)</f>
        <v/>
      </c>
      <c r="W17" s="94" t="str">
        <f>IF(FIKIH!X14="","",FIKIH!X14)</f>
        <v/>
      </c>
      <c r="X17" s="94" t="str">
        <f>IF(FIKIH!Y14="","",FIKIH!Y14)</f>
        <v/>
      </c>
      <c r="Y17" s="94" t="str">
        <f>IF(FIKIH!Z14="","",FIKIH!Z14)</f>
        <v/>
      </c>
      <c r="Z17" s="94" t="str">
        <f>IF(FIKIH!AA14="","",FIKIH!AA14)</f>
        <v/>
      </c>
      <c r="AA17" s="94" t="str">
        <f>IF(FIKIH!AB14="","",FIKIH!AB14)</f>
        <v/>
      </c>
      <c r="AB17" s="94" t="str">
        <f>IF(FIKIH!AC14="","",FIKIH!AC14)</f>
        <v/>
      </c>
      <c r="AC17" s="94" t="str">
        <f>IF(FIKIH!AD14="","",FIKIH!AD14)</f>
        <v/>
      </c>
      <c r="AD17" s="94" t="str">
        <f>IF(FIKIH!AE14="","",FIKIH!AE14)</f>
        <v/>
      </c>
      <c r="AE17" s="94" t="str">
        <f>IF(FIKIH!AF14="","",FIKIH!AF14)</f>
        <v/>
      </c>
      <c r="AF17" s="94" t="str">
        <f>IF(FIKIH!AG14="","",FIKIH!AG14)</f>
        <v/>
      </c>
      <c r="AG17" s="94">
        <f>IF(SKI!X14="","",SKI!X14)</f>
        <v>3</v>
      </c>
      <c r="AH17" s="94" t="str">
        <f>IF(SKI!Y14="","",SKI!Y14)</f>
        <v>Melaksanakan sholat dhuhur berjemaah, berdo'a di awal dan di akhir kegiatan pembelajaran , serta melaksanakan kegiatan amaliyah siswa</v>
      </c>
      <c r="AI17" s="94">
        <f>IF(SKI!Z14="","",SKI!Z14)</f>
        <v>3</v>
      </c>
      <c r="AJ17" s="94">
        <f>IF(SKI!AA14="","",SKI!AA14)</f>
        <v>3</v>
      </c>
      <c r="AK17" s="94">
        <f>IF(SKI!AB14="","",SKI!AB14)</f>
        <v>3</v>
      </c>
      <c r="AL17" s="94">
        <f>IF(SKI!AC14="","",SKI!AC14)</f>
        <v>3</v>
      </c>
      <c r="AM17" s="94">
        <f>IF(SKI!AD14="","",SKI!AD14)</f>
        <v>3</v>
      </c>
      <c r="AN17" s="94">
        <f>IF(SKI!AE14="","",SKI!AE14)</f>
        <v>3</v>
      </c>
      <c r="AO17" s="94">
        <f>IF(SKI!AF14="","",SKI!AF14)</f>
        <v>3</v>
      </c>
      <c r="AP17" s="94" t="str">
        <f>IF(SKI!AG14="","",SKI!AG14)</f>
        <v>Santun dalam bersikap, disiplin dalam mentaati tata tertib madrasah, peduli pada lingkungan, orang tua, bertanggung jawab dalam melaksanakan tugas, baik sebagai individu maupun makhluk sosial</v>
      </c>
      <c r="AQ17" s="94" t="str">
        <f>IF(PKN!X14="","",PKN!X14)</f>
        <v/>
      </c>
      <c r="AR17" s="94" t="str">
        <f>IF(PKN!Y14="","",PKN!Y14)</f>
        <v/>
      </c>
      <c r="AS17" s="94" t="str">
        <f>IF(PKN!Z14="","",PKN!Z14)</f>
        <v/>
      </c>
      <c r="AT17" s="94" t="str">
        <f>IF(PKN!AA14="","",PKN!AA14)</f>
        <v/>
      </c>
      <c r="AU17" s="94" t="str">
        <f>IF(PKN!AB14="","",PKN!AB14)</f>
        <v/>
      </c>
      <c r="AV17" s="94" t="str">
        <f>IF(PKN!AC14="","",PKN!AC14)</f>
        <v/>
      </c>
      <c r="AW17" s="94" t="str">
        <f>IF(PKN!AD14="","",PKN!AD14)</f>
        <v/>
      </c>
      <c r="AX17" s="94" t="str">
        <f>IF(PKN!AE14="","",PKN!AE14)</f>
        <v/>
      </c>
      <c r="AY17" s="94" t="str">
        <f>IF(PKN!AF14="","",PKN!AF14)</f>
        <v/>
      </c>
      <c r="AZ17" s="94" t="str">
        <f>IF(PKN!AG14="","",PKN!AG14)</f>
        <v/>
      </c>
      <c r="BA17" s="93" t="str">
        <f>IF(INDO!X14="","",INDO!X14)</f>
        <v/>
      </c>
      <c r="BB17" s="93" t="str">
        <f>IF(INDO!Y14="","",INDO!Y14)</f>
        <v/>
      </c>
      <c r="BC17" s="93" t="str">
        <f>IF(INDO!Z14="","",INDO!Z14)</f>
        <v/>
      </c>
      <c r="BD17" s="93" t="str">
        <f>IF(INDO!AA14="","",INDO!AA14)</f>
        <v/>
      </c>
      <c r="BE17" s="93" t="str">
        <f>IF(INDO!AB14="","",INDO!AB14)</f>
        <v/>
      </c>
      <c r="BF17" s="93" t="str">
        <f>IF(INDO!AC14="","",INDO!AC14)</f>
        <v/>
      </c>
      <c r="BG17" s="93" t="str">
        <f>IF(INDO!AD14="","",INDO!AD14)</f>
        <v/>
      </c>
      <c r="BH17" s="93" t="str">
        <f>IF(INDO!AE14="","",INDO!AE14)</f>
        <v/>
      </c>
      <c r="BI17" s="93" t="str">
        <f>IF(INDO!AF14="","",INDO!AF14)</f>
        <v/>
      </c>
      <c r="BJ17" s="93" t="str">
        <f>IF(INDO!AG14="","",INDO!AG14)</f>
        <v/>
      </c>
      <c r="BK17" s="93" t="str">
        <f>IF(ARAB!X14="","",ARAB!X14)</f>
        <v/>
      </c>
      <c r="BL17" s="93" t="str">
        <f>IF(ARAB!Y14="","",ARAB!Y14)</f>
        <v/>
      </c>
      <c r="BM17" s="93" t="str">
        <f>IF(ARAB!Z14="","",ARAB!Z14)</f>
        <v/>
      </c>
      <c r="BN17" s="93" t="str">
        <f>IF(ARAB!AA14="","",ARAB!AA14)</f>
        <v/>
      </c>
      <c r="BO17" s="93" t="str">
        <f>IF(ARAB!AB14="","",ARAB!AB14)</f>
        <v/>
      </c>
      <c r="BP17" s="93" t="str">
        <f>IF(ARAB!AC14="","",ARAB!AC14)</f>
        <v/>
      </c>
      <c r="BQ17" s="93" t="str">
        <f>IF(ARAB!AD14="","",ARAB!AD14)</f>
        <v/>
      </c>
      <c r="BR17" s="93" t="str">
        <f>IF(ARAB!AE14="","",ARAB!AE14)</f>
        <v/>
      </c>
      <c r="BS17" s="93" t="str">
        <f>IF(ARAB!AF14="","",ARAB!AF14)</f>
        <v/>
      </c>
      <c r="BT17" s="93" t="str">
        <f>IF(ARAB!AG14="","",ARAB!AG14)</f>
        <v/>
      </c>
      <c r="BU17" s="94" t="str">
        <f>IF(MAT!X14="","",MAT!X14)</f>
        <v/>
      </c>
      <c r="BV17" s="94" t="str">
        <f>IF(MAT!Y14="","",MAT!Y14)</f>
        <v/>
      </c>
      <c r="BW17" s="94" t="str">
        <f>IF(MAT!Z14="","",MAT!Z14)</f>
        <v/>
      </c>
      <c r="BX17" s="94" t="str">
        <f>IF(MAT!AA14="","",MAT!AA14)</f>
        <v/>
      </c>
      <c r="BY17" s="94" t="str">
        <f>IF(MAT!AB14="","",MAT!AB14)</f>
        <v/>
      </c>
      <c r="BZ17" s="94" t="str">
        <f>IF(MAT!AC14="","",MAT!AC14)</f>
        <v/>
      </c>
      <c r="CA17" s="94" t="str">
        <f>IF(MAT!AD14="","",MAT!AD14)</f>
        <v/>
      </c>
      <c r="CB17" s="94" t="str">
        <f>IF(MAT!AE14="","",MAT!AE14)</f>
        <v/>
      </c>
      <c r="CC17" s="94" t="str">
        <f>IF(MAT!AF14="","",MAT!AF14)</f>
        <v/>
      </c>
      <c r="CD17" s="94" t="str">
        <f>IF(MAT!AG14="","",MAT!AG14)</f>
        <v/>
      </c>
      <c r="CE17" s="94" t="str">
        <f>IF(IPA!X14="","",IPA!X14)</f>
        <v/>
      </c>
      <c r="CF17" s="94" t="str">
        <f>IF(IPA!Y14="","",IPA!Y14)</f>
        <v/>
      </c>
      <c r="CG17" s="94" t="str">
        <f>IF(IPA!Z14="","",IPA!Z14)</f>
        <v/>
      </c>
      <c r="CH17" s="94" t="str">
        <f>IF(IPA!AA14="","",IPA!AA14)</f>
        <v/>
      </c>
      <c r="CI17" s="94" t="str">
        <f>IF(IPA!AB14="","",IPA!AB14)</f>
        <v/>
      </c>
      <c r="CJ17" s="94" t="str">
        <f>IF(IPA!AC14="","",IPA!AC14)</f>
        <v/>
      </c>
      <c r="CK17" s="94" t="str">
        <f>IF(IPA!AD14="","",IPA!AD14)</f>
        <v/>
      </c>
      <c r="CL17" s="94" t="str">
        <f>IF(IPA!AE14="","",IPA!AE14)</f>
        <v/>
      </c>
      <c r="CM17" s="94" t="str">
        <f>IF(IPA!AF14="","",IPA!AF14)</f>
        <v/>
      </c>
      <c r="CN17" s="94" t="str">
        <f>IF(IPA!AG14="","",IPA!AG14)</f>
        <v/>
      </c>
      <c r="CO17" s="93" t="str">
        <f>IF(IPS!X14="","",IPS!X14)</f>
        <v/>
      </c>
      <c r="CP17" s="93" t="str">
        <f>IF(IPS!Y14="","",IPS!Y14)</f>
        <v/>
      </c>
      <c r="CQ17" s="93" t="str">
        <f>IF(IPS!Z14="","",IPS!Z14)</f>
        <v/>
      </c>
      <c r="CR17" s="93" t="str">
        <f>IF(IPS!AA14="","",IPS!AA14)</f>
        <v/>
      </c>
      <c r="CS17" s="93" t="str">
        <f>IF(IPS!AB14="","",IPS!AB14)</f>
        <v/>
      </c>
      <c r="CT17" s="93" t="str">
        <f>IF(IPS!AC14="","",IPS!AC14)</f>
        <v/>
      </c>
      <c r="CU17" s="93" t="str">
        <f>IF(IPS!AD14="","",IPS!AD14)</f>
        <v/>
      </c>
      <c r="CV17" s="93" t="str">
        <f>IF(IPS!AE14="","",IPS!AE14)</f>
        <v/>
      </c>
      <c r="CW17" s="93" t="str">
        <f>IF(IPS!AF14="","",IPS!AF14)</f>
        <v/>
      </c>
      <c r="CX17" s="93" t="str">
        <f>IF(IPS!AG14="","",IPS!AG14)</f>
        <v/>
      </c>
      <c r="CY17" s="94" t="str">
        <f>IF(INGG!X14="","",INGG!X14)</f>
        <v/>
      </c>
      <c r="CZ17" s="94" t="str">
        <f>IF(INGG!Y14="","",INGG!Y14)</f>
        <v/>
      </c>
      <c r="DA17" s="94" t="str">
        <f>IF(INGG!Z14="","",INGG!Z14)</f>
        <v/>
      </c>
      <c r="DB17" s="94" t="str">
        <f>IF(INGG!AA14="","",INGG!AA14)</f>
        <v/>
      </c>
      <c r="DC17" s="94" t="str">
        <f>IF(INGG!AB14="","",INGG!AB14)</f>
        <v/>
      </c>
      <c r="DD17" s="94" t="str">
        <f>IF(INGG!AC14="","",INGG!AC14)</f>
        <v/>
      </c>
      <c r="DE17" s="94" t="str">
        <f>IF(INGG!AD14="","",INGG!AD14)</f>
        <v/>
      </c>
      <c r="DF17" s="94" t="str">
        <f>IF(INGG!AE14="","",INGG!AE14)</f>
        <v/>
      </c>
      <c r="DG17" s="94" t="str">
        <f>IF(INGG!AF14="","",INGG!AF14)</f>
        <v/>
      </c>
      <c r="DH17" s="94" t="str">
        <f>IF(INGG!AG14="","",INGG!AG14)</f>
        <v/>
      </c>
      <c r="DI17" s="94" t="str">
        <f>IF(SENBUD!X14="","",SENBUD!X14)</f>
        <v/>
      </c>
      <c r="DJ17" s="94" t="str">
        <f>IF(SENBUD!Y14="","",SENBUD!Y14)</f>
        <v/>
      </c>
      <c r="DK17" s="94" t="str">
        <f>IF(SENBUD!Z14="","",SENBUD!Z14)</f>
        <v/>
      </c>
      <c r="DL17" s="94" t="str">
        <f>IF(SENBUD!AA14="","",SENBUD!AA14)</f>
        <v/>
      </c>
      <c r="DM17" s="94" t="str">
        <f>IF(SENBUD!AB14="","",SENBUD!AB14)</f>
        <v/>
      </c>
      <c r="DN17" s="94" t="str">
        <f>IF(SENBUD!AC14="","",SENBUD!AC14)</f>
        <v/>
      </c>
      <c r="DO17" s="94" t="str">
        <f>IF(SENBUD!AD14="","",SENBUD!AD14)</f>
        <v/>
      </c>
      <c r="DP17" s="94" t="str">
        <f>IF(SENBUD!AE14="","",SENBUD!AE14)</f>
        <v/>
      </c>
      <c r="DQ17" s="94" t="str">
        <f>IF(SENBUD!AF14="","",SENBUD!AF14)</f>
        <v/>
      </c>
      <c r="DR17" s="94" t="str">
        <f>IF(SENBUD!AG14="","",SENBUD!AG14)</f>
        <v/>
      </c>
      <c r="DS17" s="93" t="str">
        <f>IF(PENJAS!X14="","",PENJAS!X14)</f>
        <v/>
      </c>
      <c r="DT17" s="93" t="str">
        <f>IF(PENJAS!Y14="","",PENJAS!Y14)</f>
        <v/>
      </c>
      <c r="DU17" s="93" t="str">
        <f>IF(PENJAS!Z14="","",PENJAS!Z14)</f>
        <v/>
      </c>
      <c r="DV17" s="93" t="str">
        <f>IF(PENJAS!AA14="","",PENJAS!AA14)</f>
        <v/>
      </c>
      <c r="DW17" s="93" t="str">
        <f>IF(PENJAS!AB14="","",PENJAS!AB14)</f>
        <v/>
      </c>
      <c r="DX17" s="93" t="str">
        <f>IF(PENJAS!AC14="","",PENJAS!AC14)</f>
        <v/>
      </c>
      <c r="DY17" s="93" t="str">
        <f>IF(PENJAS!AD14="","",PENJAS!AD14)</f>
        <v/>
      </c>
      <c r="DZ17" s="93" t="str">
        <f>IF(PENJAS!AE14="","",PENJAS!AE14)</f>
        <v/>
      </c>
      <c r="EA17" s="93" t="str">
        <f>IF(PENJAS!AF14="","",PENJAS!AF14)</f>
        <v/>
      </c>
      <c r="EB17" s="93" t="str">
        <f>IF(PENJAS!AG14="","",PENJAS!AG14)</f>
        <v/>
      </c>
      <c r="EC17" s="93" t="str">
        <f>IF(PRAKARYA!X14="","",PRAKARYA!X14)</f>
        <v/>
      </c>
      <c r="ED17" s="93" t="str">
        <f>IF(PRAKARYA!Y14="","",PRAKARYA!Y14)</f>
        <v/>
      </c>
      <c r="EE17" s="93" t="str">
        <f>IF(PRAKARYA!Z14="","",PRAKARYA!Z14)</f>
        <v/>
      </c>
      <c r="EF17" s="93" t="str">
        <f>IF(PRAKARYA!AA14="","",PRAKARYA!AA14)</f>
        <v/>
      </c>
      <c r="EG17" s="93" t="str">
        <f>IF(PRAKARYA!AB14="","",PRAKARYA!AB14)</f>
        <v/>
      </c>
      <c r="EH17" s="93" t="str">
        <f>IF(PRAKARYA!AC14="","",PRAKARYA!AC14)</f>
        <v/>
      </c>
      <c r="EI17" s="93" t="str">
        <f>IF(PRAKARYA!AD14="","",PRAKARYA!AD14)</f>
        <v/>
      </c>
      <c r="EJ17" s="93" t="str">
        <f>IF(PRAKARYA!AE14="","",PRAKARYA!AE14)</f>
        <v/>
      </c>
      <c r="EK17" s="93" t="str">
        <f>IF(PRAKARYA!AF14="","",PRAKARYA!AF14)</f>
        <v/>
      </c>
      <c r="EL17" s="93" t="str">
        <f>IF(PRAKARYA!AG14="","",PRAKARYA!AG14)</f>
        <v/>
      </c>
      <c r="EM17" s="95" t="str">
        <f>IF(BADER!X14="","",BADER!X14)</f>
        <v/>
      </c>
      <c r="EN17" s="95" t="str">
        <f>IF(BADER!Y14="","",BADER!Y14)</f>
        <v/>
      </c>
      <c r="EO17" s="95" t="str">
        <f>IF(BADER!Z14="","",BADER!Z14)</f>
        <v/>
      </c>
      <c r="EP17" s="95" t="str">
        <f>IF(BADER!AA14="","",BADER!AA14)</f>
        <v/>
      </c>
      <c r="EQ17" s="95" t="str">
        <f>IF(BADER!AB14="","",BADER!AB14)</f>
        <v/>
      </c>
      <c r="ER17" s="95" t="str">
        <f>IF(BADER!AC14="","",BADER!AC14)</f>
        <v/>
      </c>
      <c r="ES17" s="95" t="str">
        <f>IF(BADER!AD14="","",BADER!AD14)</f>
        <v/>
      </c>
      <c r="ET17" s="95" t="str">
        <f>IF(BADER!AE14="","",BADER!AE14)</f>
        <v/>
      </c>
      <c r="EU17" s="95" t="str">
        <f>IF(BADER!AF14="","",BADER!AF14)</f>
        <v/>
      </c>
      <c r="EV17" s="95" t="str">
        <f>IF(BADER!AG14="","",BADER!AG14)</f>
        <v/>
      </c>
      <c r="EW17" s="96" t="str">
        <f t="shared" si="1"/>
        <v/>
      </c>
      <c r="EX17" s="96" t="str">
        <f t="shared" si="2"/>
        <v/>
      </c>
      <c r="EY17" s="96" t="str">
        <f t="shared" si="0"/>
        <v/>
      </c>
      <c r="EZ17" s="96" t="str">
        <f t="shared" si="0"/>
        <v/>
      </c>
      <c r="FA17" s="96" t="str">
        <f t="shared" si="0"/>
        <v/>
      </c>
      <c r="FB17" s="96" t="str">
        <f t="shared" si="0"/>
        <v/>
      </c>
      <c r="FC17" s="96" t="str">
        <f t="shared" si="0"/>
        <v/>
      </c>
      <c r="FD17" s="96" t="str">
        <f t="shared" si="0"/>
        <v/>
      </c>
      <c r="FE17" s="96" t="str">
        <f t="shared" si="0"/>
        <v/>
      </c>
      <c r="FF17" s="96" t="str">
        <f t="shared" si="3"/>
        <v/>
      </c>
      <c r="FG17" s="96" t="str">
        <f t="shared" si="4"/>
        <v/>
      </c>
      <c r="FH17" s="92" t="str">
        <f t="shared" si="5"/>
        <v/>
      </c>
      <c r="FI17" s="92" t="str">
        <f t="shared" si="6"/>
        <v xml:space="preserve"> </v>
      </c>
      <c r="FJ17" s="92" t="str">
        <f t="shared" si="7"/>
        <v xml:space="preserve"> </v>
      </c>
      <c r="FK17" s="92" t="str">
        <f t="shared" si="8"/>
        <v xml:space="preserve"> </v>
      </c>
      <c r="FL17" s="92" t="str">
        <f t="shared" si="9"/>
        <v xml:space="preserve"> </v>
      </c>
      <c r="FM17" s="92" t="str">
        <f t="shared" si="10"/>
        <v xml:space="preserve"> </v>
      </c>
      <c r="FN17" s="92" t="str">
        <f t="shared" si="11"/>
        <v xml:space="preserve"> </v>
      </c>
      <c r="FO17" s="92" t="str">
        <f t="shared" si="12"/>
        <v xml:space="preserve"> </v>
      </c>
      <c r="FP17" s="92" t="str">
        <f t="shared" si="13"/>
        <v xml:space="preserve">,  ,  ,  ,  ,  ,  ,  </v>
      </c>
    </row>
    <row r="18" spans="1:172">
      <c r="A18" s="66">
        <v>8</v>
      </c>
      <c r="B18" s="92" t="str">
        <f>IF(DATA!D15="","",DATA!D15)</f>
        <v>ENI UMAMAH</v>
      </c>
      <c r="C18" s="93" t="str">
        <f>IF(QH!X15="","",QH!X15)</f>
        <v/>
      </c>
      <c r="D18" s="93" t="str">
        <f>IF(QH!Y15="","",QH!Y15)</f>
        <v/>
      </c>
      <c r="E18" s="93" t="str">
        <f>IF(QH!Z15="","",QH!Z15)</f>
        <v/>
      </c>
      <c r="F18" s="93" t="str">
        <f>IF(QH!AA15="","",QH!AA15)</f>
        <v/>
      </c>
      <c r="G18" s="93" t="str">
        <f>IF(QH!AB15="","",QH!AB15)</f>
        <v/>
      </c>
      <c r="H18" s="93" t="str">
        <f>IF(QH!AC15="","",QH!AC15)</f>
        <v/>
      </c>
      <c r="I18" s="93" t="str">
        <f>IF(QH!AD15="","",QH!AD15)</f>
        <v/>
      </c>
      <c r="J18" s="93" t="str">
        <f>IF(QH!AE15="","",QH!AE15)</f>
        <v/>
      </c>
      <c r="K18" s="93" t="str">
        <f>IF(QH!AF15="","",QH!AF15)</f>
        <v/>
      </c>
      <c r="L18" s="93" t="str">
        <f>IF(QH!AG15="","",QH!AG15)</f>
        <v/>
      </c>
      <c r="M18" s="94" t="str">
        <f>IF(AA!X15="","",AA!X15)</f>
        <v/>
      </c>
      <c r="N18" s="94" t="str">
        <f>IF(AA!Y15="","",AA!Y15)</f>
        <v/>
      </c>
      <c r="O18" s="94" t="str">
        <f>IF(AA!Z15="","",AA!Z15)</f>
        <v/>
      </c>
      <c r="P18" s="94" t="str">
        <f>IF(AA!AA15="","",AA!AA15)</f>
        <v/>
      </c>
      <c r="Q18" s="94" t="str">
        <f>IF(AA!AB15="","",AA!AB15)</f>
        <v/>
      </c>
      <c r="R18" s="94" t="str">
        <f>IF(AA!AC15="","",AA!AC15)</f>
        <v/>
      </c>
      <c r="S18" s="94" t="str">
        <f>IF(AA!AD15="","",AA!AD15)</f>
        <v/>
      </c>
      <c r="T18" s="94" t="str">
        <f>IF(AA!AE15="","",AA!AE15)</f>
        <v/>
      </c>
      <c r="U18" s="94" t="str">
        <f>IF(AA!AF15="","",AA!AF15)</f>
        <v/>
      </c>
      <c r="V18" s="94" t="str">
        <f>IF(AA!AG15="","",AA!AG15)</f>
        <v/>
      </c>
      <c r="W18" s="94" t="str">
        <f>IF(FIKIH!X15="","",FIKIH!X15)</f>
        <v/>
      </c>
      <c r="X18" s="94" t="str">
        <f>IF(FIKIH!Y15="","",FIKIH!Y15)</f>
        <v/>
      </c>
      <c r="Y18" s="94" t="str">
        <f>IF(FIKIH!Z15="","",FIKIH!Z15)</f>
        <v/>
      </c>
      <c r="Z18" s="94" t="str">
        <f>IF(FIKIH!AA15="","",FIKIH!AA15)</f>
        <v/>
      </c>
      <c r="AA18" s="94" t="str">
        <f>IF(FIKIH!AB15="","",FIKIH!AB15)</f>
        <v/>
      </c>
      <c r="AB18" s="94" t="str">
        <f>IF(FIKIH!AC15="","",FIKIH!AC15)</f>
        <v/>
      </c>
      <c r="AC18" s="94" t="str">
        <f>IF(FIKIH!AD15="","",FIKIH!AD15)</f>
        <v/>
      </c>
      <c r="AD18" s="94" t="str">
        <f>IF(FIKIH!AE15="","",FIKIH!AE15)</f>
        <v/>
      </c>
      <c r="AE18" s="94" t="str">
        <f>IF(FIKIH!AF15="","",FIKIH!AF15)</f>
        <v/>
      </c>
      <c r="AF18" s="94" t="str">
        <f>IF(FIKIH!AG15="","",FIKIH!AG15)</f>
        <v/>
      </c>
      <c r="AG18" s="94">
        <f>IF(SKI!X15="","",SKI!X15)</f>
        <v>3</v>
      </c>
      <c r="AH18" s="94" t="str">
        <f>IF(SKI!Y15="","",SKI!Y15)</f>
        <v>Melaksanakan sholat dhuhur berjemaah, berdo'a di awal dan di akhir kegiatan pembelajaran , serta melaksanakan kegiatan amaliyah siswa</v>
      </c>
      <c r="AI18" s="94">
        <f>IF(SKI!Z15="","",SKI!Z15)</f>
        <v>3</v>
      </c>
      <c r="AJ18" s="94">
        <f>IF(SKI!AA15="","",SKI!AA15)</f>
        <v>3</v>
      </c>
      <c r="AK18" s="94">
        <f>IF(SKI!AB15="","",SKI!AB15)</f>
        <v>3</v>
      </c>
      <c r="AL18" s="94">
        <f>IF(SKI!AC15="","",SKI!AC15)</f>
        <v>3</v>
      </c>
      <c r="AM18" s="94">
        <f>IF(SKI!AD15="","",SKI!AD15)</f>
        <v>3</v>
      </c>
      <c r="AN18" s="94">
        <f>IF(SKI!AE15="","",SKI!AE15)</f>
        <v>3</v>
      </c>
      <c r="AO18" s="94">
        <f>IF(SKI!AF15="","",SKI!AF15)</f>
        <v>3</v>
      </c>
      <c r="AP18" s="94" t="str">
        <f>IF(SKI!AG15="","",SKI!AG15)</f>
        <v>Santun dalam bersikap, disiplin dalam mentaati tata tertib madrasah, peduli pada lingkungan, orang tua, bertanggung jawab dalam melaksanakan tugas, baik sebagai individu maupun makhluk sosial</v>
      </c>
      <c r="AQ18" s="94" t="str">
        <f>IF(PKN!X15="","",PKN!X15)</f>
        <v/>
      </c>
      <c r="AR18" s="94" t="str">
        <f>IF(PKN!Y15="","",PKN!Y15)</f>
        <v/>
      </c>
      <c r="AS18" s="94" t="str">
        <f>IF(PKN!Z15="","",PKN!Z15)</f>
        <v/>
      </c>
      <c r="AT18" s="94" t="str">
        <f>IF(PKN!AA15="","",PKN!AA15)</f>
        <v/>
      </c>
      <c r="AU18" s="94" t="str">
        <f>IF(PKN!AB15="","",PKN!AB15)</f>
        <v/>
      </c>
      <c r="AV18" s="94" t="str">
        <f>IF(PKN!AC15="","",PKN!AC15)</f>
        <v/>
      </c>
      <c r="AW18" s="94" t="str">
        <f>IF(PKN!AD15="","",PKN!AD15)</f>
        <v/>
      </c>
      <c r="AX18" s="94" t="str">
        <f>IF(PKN!AE15="","",PKN!AE15)</f>
        <v/>
      </c>
      <c r="AY18" s="94" t="str">
        <f>IF(PKN!AF15="","",PKN!AF15)</f>
        <v/>
      </c>
      <c r="AZ18" s="94" t="str">
        <f>IF(PKN!AG15="","",PKN!AG15)</f>
        <v/>
      </c>
      <c r="BA18" s="93" t="str">
        <f>IF(INDO!X15="","",INDO!X15)</f>
        <v/>
      </c>
      <c r="BB18" s="93" t="str">
        <f>IF(INDO!Y15="","",INDO!Y15)</f>
        <v/>
      </c>
      <c r="BC18" s="93" t="str">
        <f>IF(INDO!Z15="","",INDO!Z15)</f>
        <v/>
      </c>
      <c r="BD18" s="93" t="str">
        <f>IF(INDO!AA15="","",INDO!AA15)</f>
        <v/>
      </c>
      <c r="BE18" s="93" t="str">
        <f>IF(INDO!AB15="","",INDO!AB15)</f>
        <v/>
      </c>
      <c r="BF18" s="93" t="str">
        <f>IF(INDO!AC15="","",INDO!AC15)</f>
        <v/>
      </c>
      <c r="BG18" s="93" t="str">
        <f>IF(INDO!AD15="","",INDO!AD15)</f>
        <v/>
      </c>
      <c r="BH18" s="93" t="str">
        <f>IF(INDO!AE15="","",INDO!AE15)</f>
        <v/>
      </c>
      <c r="BI18" s="93" t="str">
        <f>IF(INDO!AF15="","",INDO!AF15)</f>
        <v/>
      </c>
      <c r="BJ18" s="93" t="str">
        <f>IF(INDO!AG15="","",INDO!AG15)</f>
        <v/>
      </c>
      <c r="BK18" s="93" t="str">
        <f>IF(ARAB!X15="","",ARAB!X15)</f>
        <v/>
      </c>
      <c r="BL18" s="93" t="str">
        <f>IF(ARAB!Y15="","",ARAB!Y15)</f>
        <v/>
      </c>
      <c r="BM18" s="93" t="str">
        <f>IF(ARAB!Z15="","",ARAB!Z15)</f>
        <v/>
      </c>
      <c r="BN18" s="93" t="str">
        <f>IF(ARAB!AA15="","",ARAB!AA15)</f>
        <v/>
      </c>
      <c r="BO18" s="93" t="str">
        <f>IF(ARAB!AB15="","",ARAB!AB15)</f>
        <v/>
      </c>
      <c r="BP18" s="93" t="str">
        <f>IF(ARAB!AC15="","",ARAB!AC15)</f>
        <v/>
      </c>
      <c r="BQ18" s="93" t="str">
        <f>IF(ARAB!AD15="","",ARAB!AD15)</f>
        <v/>
      </c>
      <c r="BR18" s="93" t="str">
        <f>IF(ARAB!AE15="","",ARAB!AE15)</f>
        <v/>
      </c>
      <c r="BS18" s="93" t="str">
        <f>IF(ARAB!AF15="","",ARAB!AF15)</f>
        <v/>
      </c>
      <c r="BT18" s="93" t="str">
        <f>IF(ARAB!AG15="","",ARAB!AG15)</f>
        <v/>
      </c>
      <c r="BU18" s="94" t="str">
        <f>IF(MAT!X15="","",MAT!X15)</f>
        <v/>
      </c>
      <c r="BV18" s="94" t="str">
        <f>IF(MAT!Y15="","",MAT!Y15)</f>
        <v/>
      </c>
      <c r="BW18" s="94" t="str">
        <f>IF(MAT!Z15="","",MAT!Z15)</f>
        <v/>
      </c>
      <c r="BX18" s="94" t="str">
        <f>IF(MAT!AA15="","",MAT!AA15)</f>
        <v/>
      </c>
      <c r="BY18" s="94" t="str">
        <f>IF(MAT!AB15="","",MAT!AB15)</f>
        <v/>
      </c>
      <c r="BZ18" s="94" t="str">
        <f>IF(MAT!AC15="","",MAT!AC15)</f>
        <v/>
      </c>
      <c r="CA18" s="94" t="str">
        <f>IF(MAT!AD15="","",MAT!AD15)</f>
        <v/>
      </c>
      <c r="CB18" s="94" t="str">
        <f>IF(MAT!AE15="","",MAT!AE15)</f>
        <v/>
      </c>
      <c r="CC18" s="94" t="str">
        <f>IF(MAT!AF15="","",MAT!AF15)</f>
        <v/>
      </c>
      <c r="CD18" s="94" t="str">
        <f>IF(MAT!AG15="","",MAT!AG15)</f>
        <v/>
      </c>
      <c r="CE18" s="94" t="str">
        <f>IF(IPA!X15="","",IPA!X15)</f>
        <v/>
      </c>
      <c r="CF18" s="94" t="str">
        <f>IF(IPA!Y15="","",IPA!Y15)</f>
        <v/>
      </c>
      <c r="CG18" s="94" t="str">
        <f>IF(IPA!Z15="","",IPA!Z15)</f>
        <v/>
      </c>
      <c r="CH18" s="94" t="str">
        <f>IF(IPA!AA15="","",IPA!AA15)</f>
        <v/>
      </c>
      <c r="CI18" s="94" t="str">
        <f>IF(IPA!AB15="","",IPA!AB15)</f>
        <v/>
      </c>
      <c r="CJ18" s="94" t="str">
        <f>IF(IPA!AC15="","",IPA!AC15)</f>
        <v/>
      </c>
      <c r="CK18" s="94" t="str">
        <f>IF(IPA!AD15="","",IPA!AD15)</f>
        <v/>
      </c>
      <c r="CL18" s="94" t="str">
        <f>IF(IPA!AE15="","",IPA!AE15)</f>
        <v/>
      </c>
      <c r="CM18" s="94" t="str">
        <f>IF(IPA!AF15="","",IPA!AF15)</f>
        <v/>
      </c>
      <c r="CN18" s="94" t="str">
        <f>IF(IPA!AG15="","",IPA!AG15)</f>
        <v/>
      </c>
      <c r="CO18" s="93" t="str">
        <f>IF(IPS!X15="","",IPS!X15)</f>
        <v/>
      </c>
      <c r="CP18" s="93" t="str">
        <f>IF(IPS!Y15="","",IPS!Y15)</f>
        <v/>
      </c>
      <c r="CQ18" s="93" t="str">
        <f>IF(IPS!Z15="","",IPS!Z15)</f>
        <v/>
      </c>
      <c r="CR18" s="93" t="str">
        <f>IF(IPS!AA15="","",IPS!AA15)</f>
        <v/>
      </c>
      <c r="CS18" s="93" t="str">
        <f>IF(IPS!AB15="","",IPS!AB15)</f>
        <v/>
      </c>
      <c r="CT18" s="93" t="str">
        <f>IF(IPS!AC15="","",IPS!AC15)</f>
        <v/>
      </c>
      <c r="CU18" s="93" t="str">
        <f>IF(IPS!AD15="","",IPS!AD15)</f>
        <v/>
      </c>
      <c r="CV18" s="93" t="str">
        <f>IF(IPS!AE15="","",IPS!AE15)</f>
        <v/>
      </c>
      <c r="CW18" s="93" t="str">
        <f>IF(IPS!AF15="","",IPS!AF15)</f>
        <v/>
      </c>
      <c r="CX18" s="93" t="str">
        <f>IF(IPS!AG15="","",IPS!AG15)</f>
        <v/>
      </c>
      <c r="CY18" s="94" t="str">
        <f>IF(INGG!X15="","",INGG!X15)</f>
        <v/>
      </c>
      <c r="CZ18" s="94" t="str">
        <f>IF(INGG!Y15="","",INGG!Y15)</f>
        <v/>
      </c>
      <c r="DA18" s="94" t="str">
        <f>IF(INGG!Z15="","",INGG!Z15)</f>
        <v/>
      </c>
      <c r="DB18" s="94" t="str">
        <f>IF(INGG!AA15="","",INGG!AA15)</f>
        <v/>
      </c>
      <c r="DC18" s="94" t="str">
        <f>IF(INGG!AB15="","",INGG!AB15)</f>
        <v/>
      </c>
      <c r="DD18" s="94" t="str">
        <f>IF(INGG!AC15="","",INGG!AC15)</f>
        <v/>
      </c>
      <c r="DE18" s="94" t="str">
        <f>IF(INGG!AD15="","",INGG!AD15)</f>
        <v/>
      </c>
      <c r="DF18" s="94" t="str">
        <f>IF(INGG!AE15="","",INGG!AE15)</f>
        <v/>
      </c>
      <c r="DG18" s="94" t="str">
        <f>IF(INGG!AF15="","",INGG!AF15)</f>
        <v/>
      </c>
      <c r="DH18" s="94" t="str">
        <f>IF(INGG!AG15="","",INGG!AG15)</f>
        <v/>
      </c>
      <c r="DI18" s="94" t="str">
        <f>IF(SENBUD!X15="","",SENBUD!X15)</f>
        <v/>
      </c>
      <c r="DJ18" s="94" t="str">
        <f>IF(SENBUD!Y15="","",SENBUD!Y15)</f>
        <v/>
      </c>
      <c r="DK18" s="94" t="str">
        <f>IF(SENBUD!Z15="","",SENBUD!Z15)</f>
        <v/>
      </c>
      <c r="DL18" s="94" t="str">
        <f>IF(SENBUD!AA15="","",SENBUD!AA15)</f>
        <v/>
      </c>
      <c r="DM18" s="94" t="str">
        <f>IF(SENBUD!AB15="","",SENBUD!AB15)</f>
        <v/>
      </c>
      <c r="DN18" s="94" t="str">
        <f>IF(SENBUD!AC15="","",SENBUD!AC15)</f>
        <v/>
      </c>
      <c r="DO18" s="94" t="str">
        <f>IF(SENBUD!AD15="","",SENBUD!AD15)</f>
        <v/>
      </c>
      <c r="DP18" s="94" t="str">
        <f>IF(SENBUD!AE15="","",SENBUD!AE15)</f>
        <v/>
      </c>
      <c r="DQ18" s="94" t="str">
        <f>IF(SENBUD!AF15="","",SENBUD!AF15)</f>
        <v/>
      </c>
      <c r="DR18" s="94" t="str">
        <f>IF(SENBUD!AG15="","",SENBUD!AG15)</f>
        <v/>
      </c>
      <c r="DS18" s="93" t="str">
        <f>IF(PENJAS!X15="","",PENJAS!X15)</f>
        <v/>
      </c>
      <c r="DT18" s="93" t="str">
        <f>IF(PENJAS!Y15="","",PENJAS!Y15)</f>
        <v/>
      </c>
      <c r="DU18" s="93" t="str">
        <f>IF(PENJAS!Z15="","",PENJAS!Z15)</f>
        <v/>
      </c>
      <c r="DV18" s="93" t="str">
        <f>IF(PENJAS!AA15="","",PENJAS!AA15)</f>
        <v/>
      </c>
      <c r="DW18" s="93" t="str">
        <f>IF(PENJAS!AB15="","",PENJAS!AB15)</f>
        <v/>
      </c>
      <c r="DX18" s="93" t="str">
        <f>IF(PENJAS!AC15="","",PENJAS!AC15)</f>
        <v/>
      </c>
      <c r="DY18" s="93" t="str">
        <f>IF(PENJAS!AD15="","",PENJAS!AD15)</f>
        <v/>
      </c>
      <c r="DZ18" s="93" t="str">
        <f>IF(PENJAS!AE15="","",PENJAS!AE15)</f>
        <v/>
      </c>
      <c r="EA18" s="93" t="str">
        <f>IF(PENJAS!AF15="","",PENJAS!AF15)</f>
        <v/>
      </c>
      <c r="EB18" s="93" t="str">
        <f>IF(PENJAS!AG15="","",PENJAS!AG15)</f>
        <v/>
      </c>
      <c r="EC18" s="93" t="str">
        <f>IF(PRAKARYA!X15="","",PRAKARYA!X15)</f>
        <v/>
      </c>
      <c r="ED18" s="93" t="str">
        <f>IF(PRAKARYA!Y15="","",PRAKARYA!Y15)</f>
        <v/>
      </c>
      <c r="EE18" s="93" t="str">
        <f>IF(PRAKARYA!Z15="","",PRAKARYA!Z15)</f>
        <v/>
      </c>
      <c r="EF18" s="93" t="str">
        <f>IF(PRAKARYA!AA15="","",PRAKARYA!AA15)</f>
        <v/>
      </c>
      <c r="EG18" s="93" t="str">
        <f>IF(PRAKARYA!AB15="","",PRAKARYA!AB15)</f>
        <v/>
      </c>
      <c r="EH18" s="93" t="str">
        <f>IF(PRAKARYA!AC15="","",PRAKARYA!AC15)</f>
        <v/>
      </c>
      <c r="EI18" s="93" t="str">
        <f>IF(PRAKARYA!AD15="","",PRAKARYA!AD15)</f>
        <v/>
      </c>
      <c r="EJ18" s="93" t="str">
        <f>IF(PRAKARYA!AE15="","",PRAKARYA!AE15)</f>
        <v/>
      </c>
      <c r="EK18" s="93" t="str">
        <f>IF(PRAKARYA!AF15="","",PRAKARYA!AF15)</f>
        <v/>
      </c>
      <c r="EL18" s="93" t="str">
        <f>IF(PRAKARYA!AG15="","",PRAKARYA!AG15)</f>
        <v/>
      </c>
      <c r="EM18" s="95" t="str">
        <f>IF(BADER!X15="","",BADER!X15)</f>
        <v/>
      </c>
      <c r="EN18" s="95" t="str">
        <f>IF(BADER!Y15="","",BADER!Y15)</f>
        <v/>
      </c>
      <c r="EO18" s="95" t="str">
        <f>IF(BADER!Z15="","",BADER!Z15)</f>
        <v/>
      </c>
      <c r="EP18" s="95" t="str">
        <f>IF(BADER!AA15="","",BADER!AA15)</f>
        <v/>
      </c>
      <c r="EQ18" s="95" t="str">
        <f>IF(BADER!AB15="","",BADER!AB15)</f>
        <v/>
      </c>
      <c r="ER18" s="95" t="str">
        <f>IF(BADER!AC15="","",BADER!AC15)</f>
        <v/>
      </c>
      <c r="ES18" s="95" t="str">
        <f>IF(BADER!AD15="","",BADER!AD15)</f>
        <v/>
      </c>
      <c r="ET18" s="95" t="str">
        <f>IF(BADER!AE15="","",BADER!AE15)</f>
        <v/>
      </c>
      <c r="EU18" s="95" t="str">
        <f>IF(BADER!AF15="","",BADER!AF15)</f>
        <v/>
      </c>
      <c r="EV18" s="95" t="str">
        <f>IF(BADER!AG15="","",BADER!AG15)</f>
        <v/>
      </c>
      <c r="EW18" s="96" t="str">
        <f t="shared" si="1"/>
        <v/>
      </c>
      <c r="EX18" s="96" t="str">
        <f t="shared" si="2"/>
        <v/>
      </c>
      <c r="EY18" s="96" t="str">
        <f t="shared" si="0"/>
        <v/>
      </c>
      <c r="EZ18" s="96" t="str">
        <f t="shared" si="0"/>
        <v/>
      </c>
      <c r="FA18" s="96" t="str">
        <f t="shared" si="0"/>
        <v/>
      </c>
      <c r="FB18" s="96" t="str">
        <f t="shared" si="0"/>
        <v/>
      </c>
      <c r="FC18" s="96" t="str">
        <f t="shared" si="0"/>
        <v/>
      </c>
      <c r="FD18" s="96" t="str">
        <f t="shared" si="0"/>
        <v/>
      </c>
      <c r="FE18" s="96" t="str">
        <f t="shared" si="0"/>
        <v/>
      </c>
      <c r="FF18" s="96" t="str">
        <f t="shared" si="3"/>
        <v/>
      </c>
      <c r="FG18" s="96" t="str">
        <f t="shared" si="4"/>
        <v/>
      </c>
      <c r="FH18" s="92" t="str">
        <f t="shared" si="5"/>
        <v/>
      </c>
      <c r="FI18" s="92" t="str">
        <f t="shared" si="6"/>
        <v xml:space="preserve"> </v>
      </c>
      <c r="FJ18" s="92" t="str">
        <f t="shared" si="7"/>
        <v xml:space="preserve"> </v>
      </c>
      <c r="FK18" s="92" t="str">
        <f t="shared" si="8"/>
        <v xml:space="preserve"> </v>
      </c>
      <c r="FL18" s="92" t="str">
        <f t="shared" si="9"/>
        <v xml:space="preserve"> </v>
      </c>
      <c r="FM18" s="92" t="str">
        <f t="shared" si="10"/>
        <v xml:space="preserve"> </v>
      </c>
      <c r="FN18" s="92" t="str">
        <f t="shared" si="11"/>
        <v xml:space="preserve"> </v>
      </c>
      <c r="FO18" s="92" t="str">
        <f t="shared" si="12"/>
        <v xml:space="preserve"> </v>
      </c>
      <c r="FP18" s="92" t="str">
        <f t="shared" si="13"/>
        <v xml:space="preserve">,  ,  ,  ,  ,  ,  ,  </v>
      </c>
    </row>
    <row r="19" spans="1:172">
      <c r="A19" s="66">
        <v>9</v>
      </c>
      <c r="B19" s="92" t="str">
        <f>IF(DATA!D16="","",DATA!D16)</f>
        <v>FADIA FASSA</v>
      </c>
      <c r="C19" s="93" t="str">
        <f>IF(QH!X16="","",QH!X16)</f>
        <v/>
      </c>
      <c r="D19" s="93" t="str">
        <f>IF(QH!Y16="","",QH!Y16)</f>
        <v/>
      </c>
      <c r="E19" s="93" t="str">
        <f>IF(QH!Z16="","",QH!Z16)</f>
        <v/>
      </c>
      <c r="F19" s="93" t="str">
        <f>IF(QH!AA16="","",QH!AA16)</f>
        <v/>
      </c>
      <c r="G19" s="93" t="str">
        <f>IF(QH!AB16="","",QH!AB16)</f>
        <v/>
      </c>
      <c r="H19" s="93" t="str">
        <f>IF(QH!AC16="","",QH!AC16)</f>
        <v/>
      </c>
      <c r="I19" s="93" t="str">
        <f>IF(QH!AD16="","",QH!AD16)</f>
        <v/>
      </c>
      <c r="J19" s="93" t="str">
        <f>IF(QH!AE16="","",QH!AE16)</f>
        <v/>
      </c>
      <c r="K19" s="93" t="str">
        <f>IF(QH!AF16="","",QH!AF16)</f>
        <v/>
      </c>
      <c r="L19" s="93" t="str">
        <f>IF(QH!AG16="","",QH!AG16)</f>
        <v/>
      </c>
      <c r="M19" s="94" t="str">
        <f>IF(AA!X16="","",AA!X16)</f>
        <v/>
      </c>
      <c r="N19" s="94" t="str">
        <f>IF(AA!Y16="","",AA!Y16)</f>
        <v/>
      </c>
      <c r="O19" s="94" t="str">
        <f>IF(AA!Z16="","",AA!Z16)</f>
        <v/>
      </c>
      <c r="P19" s="94" t="str">
        <f>IF(AA!AA16="","",AA!AA16)</f>
        <v/>
      </c>
      <c r="Q19" s="94" t="str">
        <f>IF(AA!AB16="","",AA!AB16)</f>
        <v/>
      </c>
      <c r="R19" s="94" t="str">
        <f>IF(AA!AC16="","",AA!AC16)</f>
        <v/>
      </c>
      <c r="S19" s="94" t="str">
        <f>IF(AA!AD16="","",AA!AD16)</f>
        <v/>
      </c>
      <c r="T19" s="94" t="str">
        <f>IF(AA!AE16="","",AA!AE16)</f>
        <v/>
      </c>
      <c r="U19" s="94" t="str">
        <f>IF(AA!AF16="","",AA!AF16)</f>
        <v/>
      </c>
      <c r="V19" s="94" t="str">
        <f>IF(AA!AG16="","",AA!AG16)</f>
        <v/>
      </c>
      <c r="W19" s="94" t="str">
        <f>IF(FIKIH!X16="","",FIKIH!X16)</f>
        <v/>
      </c>
      <c r="X19" s="94" t="str">
        <f>IF(FIKIH!Y16="","",FIKIH!Y16)</f>
        <v/>
      </c>
      <c r="Y19" s="94" t="str">
        <f>IF(FIKIH!Z16="","",FIKIH!Z16)</f>
        <v/>
      </c>
      <c r="Z19" s="94" t="str">
        <f>IF(FIKIH!AA16="","",FIKIH!AA16)</f>
        <v/>
      </c>
      <c r="AA19" s="94" t="str">
        <f>IF(FIKIH!AB16="","",FIKIH!AB16)</f>
        <v/>
      </c>
      <c r="AB19" s="94" t="str">
        <f>IF(FIKIH!AC16="","",FIKIH!AC16)</f>
        <v/>
      </c>
      <c r="AC19" s="94" t="str">
        <f>IF(FIKIH!AD16="","",FIKIH!AD16)</f>
        <v/>
      </c>
      <c r="AD19" s="94" t="str">
        <f>IF(FIKIH!AE16="","",FIKIH!AE16)</f>
        <v/>
      </c>
      <c r="AE19" s="94" t="str">
        <f>IF(FIKIH!AF16="","",FIKIH!AF16)</f>
        <v/>
      </c>
      <c r="AF19" s="94" t="str">
        <f>IF(FIKIH!AG16="","",FIKIH!AG16)</f>
        <v/>
      </c>
      <c r="AG19" s="94">
        <f>IF(SKI!X16="","",SKI!X16)</f>
        <v>3</v>
      </c>
      <c r="AH19" s="94" t="str">
        <f>IF(SKI!Y16="","",SKI!Y16)</f>
        <v>Melaksanakan sholat dhuhur berjemaah, berdo'a di awal dan di akhir kegiatan pembelajaran , serta melaksanakan kegiatan amaliyah siswa</v>
      </c>
      <c r="AI19" s="94">
        <f>IF(SKI!Z16="","",SKI!Z16)</f>
        <v>3</v>
      </c>
      <c r="AJ19" s="94">
        <f>IF(SKI!AA16="","",SKI!AA16)</f>
        <v>3</v>
      </c>
      <c r="AK19" s="94">
        <f>IF(SKI!AB16="","",SKI!AB16)</f>
        <v>3</v>
      </c>
      <c r="AL19" s="94">
        <f>IF(SKI!AC16="","",SKI!AC16)</f>
        <v>3</v>
      </c>
      <c r="AM19" s="94">
        <f>IF(SKI!AD16="","",SKI!AD16)</f>
        <v>3</v>
      </c>
      <c r="AN19" s="94">
        <f>IF(SKI!AE16="","",SKI!AE16)</f>
        <v>3</v>
      </c>
      <c r="AO19" s="94">
        <f>IF(SKI!AF16="","",SKI!AF16)</f>
        <v>3</v>
      </c>
      <c r="AP19" s="94" t="str">
        <f>IF(SKI!AG16="","",SKI!AG16)</f>
        <v>Santun dalam bersikap, disiplin dalam mentaati tata tertib madrasah, peduli pada lingkungan, orang tua, bertanggung jawab dalam melaksanakan tugas, baik sebagai individu maupun makhluk sosial</v>
      </c>
      <c r="AQ19" s="94" t="str">
        <f>IF(PKN!X16="","",PKN!X16)</f>
        <v/>
      </c>
      <c r="AR19" s="94" t="str">
        <f>IF(PKN!Y16="","",PKN!Y16)</f>
        <v/>
      </c>
      <c r="AS19" s="94" t="str">
        <f>IF(PKN!Z16="","",PKN!Z16)</f>
        <v/>
      </c>
      <c r="AT19" s="94" t="str">
        <f>IF(PKN!AA16="","",PKN!AA16)</f>
        <v/>
      </c>
      <c r="AU19" s="94" t="str">
        <f>IF(PKN!AB16="","",PKN!AB16)</f>
        <v/>
      </c>
      <c r="AV19" s="94" t="str">
        <f>IF(PKN!AC16="","",PKN!AC16)</f>
        <v/>
      </c>
      <c r="AW19" s="94" t="str">
        <f>IF(PKN!AD16="","",PKN!AD16)</f>
        <v/>
      </c>
      <c r="AX19" s="94" t="str">
        <f>IF(PKN!AE16="","",PKN!AE16)</f>
        <v/>
      </c>
      <c r="AY19" s="94" t="str">
        <f>IF(PKN!AF16="","",PKN!AF16)</f>
        <v/>
      </c>
      <c r="AZ19" s="94" t="str">
        <f>IF(PKN!AG16="","",PKN!AG16)</f>
        <v/>
      </c>
      <c r="BA19" s="93" t="str">
        <f>IF(INDO!X16="","",INDO!X16)</f>
        <v/>
      </c>
      <c r="BB19" s="93" t="str">
        <f>IF(INDO!Y16="","",INDO!Y16)</f>
        <v/>
      </c>
      <c r="BC19" s="93" t="str">
        <f>IF(INDO!Z16="","",INDO!Z16)</f>
        <v/>
      </c>
      <c r="BD19" s="93" t="str">
        <f>IF(INDO!AA16="","",INDO!AA16)</f>
        <v/>
      </c>
      <c r="BE19" s="93" t="str">
        <f>IF(INDO!AB16="","",INDO!AB16)</f>
        <v/>
      </c>
      <c r="BF19" s="93" t="str">
        <f>IF(INDO!AC16="","",INDO!AC16)</f>
        <v/>
      </c>
      <c r="BG19" s="93" t="str">
        <f>IF(INDO!AD16="","",INDO!AD16)</f>
        <v/>
      </c>
      <c r="BH19" s="93" t="str">
        <f>IF(INDO!AE16="","",INDO!AE16)</f>
        <v/>
      </c>
      <c r="BI19" s="93" t="str">
        <f>IF(INDO!AF16="","",INDO!AF16)</f>
        <v/>
      </c>
      <c r="BJ19" s="93" t="str">
        <f>IF(INDO!AG16="","",INDO!AG16)</f>
        <v/>
      </c>
      <c r="BK19" s="93" t="str">
        <f>IF(ARAB!X16="","",ARAB!X16)</f>
        <v/>
      </c>
      <c r="BL19" s="93" t="str">
        <f>IF(ARAB!Y16="","",ARAB!Y16)</f>
        <v/>
      </c>
      <c r="BM19" s="93" t="str">
        <f>IF(ARAB!Z16="","",ARAB!Z16)</f>
        <v/>
      </c>
      <c r="BN19" s="93" t="str">
        <f>IF(ARAB!AA16="","",ARAB!AA16)</f>
        <v/>
      </c>
      <c r="BO19" s="93" t="str">
        <f>IF(ARAB!AB16="","",ARAB!AB16)</f>
        <v/>
      </c>
      <c r="BP19" s="93" t="str">
        <f>IF(ARAB!AC16="","",ARAB!AC16)</f>
        <v/>
      </c>
      <c r="BQ19" s="93" t="str">
        <f>IF(ARAB!AD16="","",ARAB!AD16)</f>
        <v/>
      </c>
      <c r="BR19" s="93" t="str">
        <f>IF(ARAB!AE16="","",ARAB!AE16)</f>
        <v/>
      </c>
      <c r="BS19" s="93" t="str">
        <f>IF(ARAB!AF16="","",ARAB!AF16)</f>
        <v/>
      </c>
      <c r="BT19" s="93" t="str">
        <f>IF(ARAB!AG16="","",ARAB!AG16)</f>
        <v/>
      </c>
      <c r="BU19" s="94" t="str">
        <f>IF(MAT!X16="","",MAT!X16)</f>
        <v/>
      </c>
      <c r="BV19" s="94" t="str">
        <f>IF(MAT!Y16="","",MAT!Y16)</f>
        <v/>
      </c>
      <c r="BW19" s="94" t="str">
        <f>IF(MAT!Z16="","",MAT!Z16)</f>
        <v/>
      </c>
      <c r="BX19" s="94" t="str">
        <f>IF(MAT!AA16="","",MAT!AA16)</f>
        <v/>
      </c>
      <c r="BY19" s="94" t="str">
        <f>IF(MAT!AB16="","",MAT!AB16)</f>
        <v/>
      </c>
      <c r="BZ19" s="94" t="str">
        <f>IF(MAT!AC16="","",MAT!AC16)</f>
        <v/>
      </c>
      <c r="CA19" s="94" t="str">
        <f>IF(MAT!AD16="","",MAT!AD16)</f>
        <v/>
      </c>
      <c r="CB19" s="94" t="str">
        <f>IF(MAT!AE16="","",MAT!AE16)</f>
        <v/>
      </c>
      <c r="CC19" s="94" t="str">
        <f>IF(MAT!AF16="","",MAT!AF16)</f>
        <v/>
      </c>
      <c r="CD19" s="94" t="str">
        <f>IF(MAT!AG16="","",MAT!AG16)</f>
        <v/>
      </c>
      <c r="CE19" s="94" t="str">
        <f>IF(IPA!X16="","",IPA!X16)</f>
        <v/>
      </c>
      <c r="CF19" s="94" t="str">
        <f>IF(IPA!Y16="","",IPA!Y16)</f>
        <v/>
      </c>
      <c r="CG19" s="94" t="str">
        <f>IF(IPA!Z16="","",IPA!Z16)</f>
        <v/>
      </c>
      <c r="CH19" s="94" t="str">
        <f>IF(IPA!AA16="","",IPA!AA16)</f>
        <v/>
      </c>
      <c r="CI19" s="94" t="str">
        <f>IF(IPA!AB16="","",IPA!AB16)</f>
        <v/>
      </c>
      <c r="CJ19" s="94" t="str">
        <f>IF(IPA!AC16="","",IPA!AC16)</f>
        <v/>
      </c>
      <c r="CK19" s="94" t="str">
        <f>IF(IPA!AD16="","",IPA!AD16)</f>
        <v/>
      </c>
      <c r="CL19" s="94" t="str">
        <f>IF(IPA!AE16="","",IPA!AE16)</f>
        <v/>
      </c>
      <c r="CM19" s="94" t="str">
        <f>IF(IPA!AF16="","",IPA!AF16)</f>
        <v/>
      </c>
      <c r="CN19" s="94" t="str">
        <f>IF(IPA!AG16="","",IPA!AG16)</f>
        <v/>
      </c>
      <c r="CO19" s="93" t="str">
        <f>IF(IPS!X16="","",IPS!X16)</f>
        <v/>
      </c>
      <c r="CP19" s="93" t="str">
        <f>IF(IPS!Y16="","",IPS!Y16)</f>
        <v/>
      </c>
      <c r="CQ19" s="93" t="str">
        <f>IF(IPS!Z16="","",IPS!Z16)</f>
        <v/>
      </c>
      <c r="CR19" s="93" t="str">
        <f>IF(IPS!AA16="","",IPS!AA16)</f>
        <v/>
      </c>
      <c r="CS19" s="93" t="str">
        <f>IF(IPS!AB16="","",IPS!AB16)</f>
        <v/>
      </c>
      <c r="CT19" s="93" t="str">
        <f>IF(IPS!AC16="","",IPS!AC16)</f>
        <v/>
      </c>
      <c r="CU19" s="93" t="str">
        <f>IF(IPS!AD16="","",IPS!AD16)</f>
        <v/>
      </c>
      <c r="CV19" s="93" t="str">
        <f>IF(IPS!AE16="","",IPS!AE16)</f>
        <v/>
      </c>
      <c r="CW19" s="93" t="str">
        <f>IF(IPS!AF16="","",IPS!AF16)</f>
        <v/>
      </c>
      <c r="CX19" s="93" t="str">
        <f>IF(IPS!AG16="","",IPS!AG16)</f>
        <v/>
      </c>
      <c r="CY19" s="94" t="str">
        <f>IF(INGG!X16="","",INGG!X16)</f>
        <v/>
      </c>
      <c r="CZ19" s="94" t="str">
        <f>IF(INGG!Y16="","",INGG!Y16)</f>
        <v/>
      </c>
      <c r="DA19" s="94" t="str">
        <f>IF(INGG!Z16="","",INGG!Z16)</f>
        <v/>
      </c>
      <c r="DB19" s="94" t="str">
        <f>IF(INGG!AA16="","",INGG!AA16)</f>
        <v/>
      </c>
      <c r="DC19" s="94" t="str">
        <f>IF(INGG!AB16="","",INGG!AB16)</f>
        <v/>
      </c>
      <c r="DD19" s="94" t="str">
        <f>IF(INGG!AC16="","",INGG!AC16)</f>
        <v/>
      </c>
      <c r="DE19" s="94" t="str">
        <f>IF(INGG!AD16="","",INGG!AD16)</f>
        <v/>
      </c>
      <c r="DF19" s="94" t="str">
        <f>IF(INGG!AE16="","",INGG!AE16)</f>
        <v/>
      </c>
      <c r="DG19" s="94" t="str">
        <f>IF(INGG!AF16="","",INGG!AF16)</f>
        <v/>
      </c>
      <c r="DH19" s="94" t="str">
        <f>IF(INGG!AG16="","",INGG!AG16)</f>
        <v/>
      </c>
      <c r="DI19" s="94" t="str">
        <f>IF(SENBUD!X16="","",SENBUD!X16)</f>
        <v/>
      </c>
      <c r="DJ19" s="94" t="str">
        <f>IF(SENBUD!Y16="","",SENBUD!Y16)</f>
        <v/>
      </c>
      <c r="DK19" s="94" t="str">
        <f>IF(SENBUD!Z16="","",SENBUD!Z16)</f>
        <v/>
      </c>
      <c r="DL19" s="94" t="str">
        <f>IF(SENBUD!AA16="","",SENBUD!AA16)</f>
        <v/>
      </c>
      <c r="DM19" s="94" t="str">
        <f>IF(SENBUD!AB16="","",SENBUD!AB16)</f>
        <v/>
      </c>
      <c r="DN19" s="94" t="str">
        <f>IF(SENBUD!AC16="","",SENBUD!AC16)</f>
        <v/>
      </c>
      <c r="DO19" s="94" t="str">
        <f>IF(SENBUD!AD16="","",SENBUD!AD16)</f>
        <v/>
      </c>
      <c r="DP19" s="94" t="str">
        <f>IF(SENBUD!AE16="","",SENBUD!AE16)</f>
        <v/>
      </c>
      <c r="DQ19" s="94" t="str">
        <f>IF(SENBUD!AF16="","",SENBUD!AF16)</f>
        <v/>
      </c>
      <c r="DR19" s="94" t="str">
        <f>IF(SENBUD!AG16="","",SENBUD!AG16)</f>
        <v/>
      </c>
      <c r="DS19" s="93" t="str">
        <f>IF(PENJAS!X16="","",PENJAS!X16)</f>
        <v/>
      </c>
      <c r="DT19" s="93" t="str">
        <f>IF(PENJAS!Y16="","",PENJAS!Y16)</f>
        <v/>
      </c>
      <c r="DU19" s="93" t="str">
        <f>IF(PENJAS!Z16="","",PENJAS!Z16)</f>
        <v/>
      </c>
      <c r="DV19" s="93" t="str">
        <f>IF(PENJAS!AA16="","",PENJAS!AA16)</f>
        <v/>
      </c>
      <c r="DW19" s="93" t="str">
        <f>IF(PENJAS!AB16="","",PENJAS!AB16)</f>
        <v/>
      </c>
      <c r="DX19" s="93" t="str">
        <f>IF(PENJAS!AC16="","",PENJAS!AC16)</f>
        <v/>
      </c>
      <c r="DY19" s="93" t="str">
        <f>IF(PENJAS!AD16="","",PENJAS!AD16)</f>
        <v/>
      </c>
      <c r="DZ19" s="93" t="str">
        <f>IF(PENJAS!AE16="","",PENJAS!AE16)</f>
        <v/>
      </c>
      <c r="EA19" s="93" t="str">
        <f>IF(PENJAS!AF16="","",PENJAS!AF16)</f>
        <v/>
      </c>
      <c r="EB19" s="93" t="str">
        <f>IF(PENJAS!AG16="","",PENJAS!AG16)</f>
        <v/>
      </c>
      <c r="EC19" s="93" t="str">
        <f>IF(PRAKARYA!X16="","",PRAKARYA!X16)</f>
        <v/>
      </c>
      <c r="ED19" s="93" t="str">
        <f>IF(PRAKARYA!Y16="","",PRAKARYA!Y16)</f>
        <v/>
      </c>
      <c r="EE19" s="93" t="str">
        <f>IF(PRAKARYA!Z16="","",PRAKARYA!Z16)</f>
        <v/>
      </c>
      <c r="EF19" s="93" t="str">
        <f>IF(PRAKARYA!AA16="","",PRAKARYA!AA16)</f>
        <v/>
      </c>
      <c r="EG19" s="93" t="str">
        <f>IF(PRAKARYA!AB16="","",PRAKARYA!AB16)</f>
        <v/>
      </c>
      <c r="EH19" s="93" t="str">
        <f>IF(PRAKARYA!AC16="","",PRAKARYA!AC16)</f>
        <v/>
      </c>
      <c r="EI19" s="93" t="str">
        <f>IF(PRAKARYA!AD16="","",PRAKARYA!AD16)</f>
        <v/>
      </c>
      <c r="EJ19" s="93" t="str">
        <f>IF(PRAKARYA!AE16="","",PRAKARYA!AE16)</f>
        <v/>
      </c>
      <c r="EK19" s="93" t="str">
        <f>IF(PRAKARYA!AF16="","",PRAKARYA!AF16)</f>
        <v/>
      </c>
      <c r="EL19" s="93" t="str">
        <f>IF(PRAKARYA!AG16="","",PRAKARYA!AG16)</f>
        <v/>
      </c>
      <c r="EM19" s="95" t="str">
        <f>IF(BADER!X16="","",BADER!X16)</f>
        <v/>
      </c>
      <c r="EN19" s="95" t="str">
        <f>IF(BADER!Y16="","",BADER!Y16)</f>
        <v/>
      </c>
      <c r="EO19" s="95" t="str">
        <f>IF(BADER!Z16="","",BADER!Z16)</f>
        <v/>
      </c>
      <c r="EP19" s="95" t="str">
        <f>IF(BADER!AA16="","",BADER!AA16)</f>
        <v/>
      </c>
      <c r="EQ19" s="95" t="str">
        <f>IF(BADER!AB16="","",BADER!AB16)</f>
        <v/>
      </c>
      <c r="ER19" s="95" t="str">
        <f>IF(BADER!AC16="","",BADER!AC16)</f>
        <v/>
      </c>
      <c r="ES19" s="95" t="str">
        <f>IF(BADER!AD16="","",BADER!AD16)</f>
        <v/>
      </c>
      <c r="ET19" s="95" t="str">
        <f>IF(BADER!AE16="","",BADER!AE16)</f>
        <v/>
      </c>
      <c r="EU19" s="95" t="str">
        <f>IF(BADER!AF16="","",BADER!AF16)</f>
        <v/>
      </c>
      <c r="EV19" s="95" t="str">
        <f>IF(BADER!AG16="","",BADER!AG16)</f>
        <v/>
      </c>
      <c r="EW19" s="96" t="str">
        <f t="shared" si="1"/>
        <v/>
      </c>
      <c r="EX19" s="96" t="str">
        <f t="shared" si="2"/>
        <v/>
      </c>
      <c r="EY19" s="96" t="str">
        <f t="shared" si="0"/>
        <v/>
      </c>
      <c r="EZ19" s="96" t="str">
        <f t="shared" si="0"/>
        <v/>
      </c>
      <c r="FA19" s="96" t="str">
        <f t="shared" si="0"/>
        <v/>
      </c>
      <c r="FB19" s="96" t="str">
        <f t="shared" si="0"/>
        <v/>
      </c>
      <c r="FC19" s="96" t="str">
        <f t="shared" si="0"/>
        <v/>
      </c>
      <c r="FD19" s="96" t="str">
        <f t="shared" si="0"/>
        <v/>
      </c>
      <c r="FE19" s="96" t="str">
        <f t="shared" si="0"/>
        <v/>
      </c>
      <c r="FF19" s="96" t="str">
        <f t="shared" si="3"/>
        <v/>
      </c>
      <c r="FG19" s="96" t="str">
        <f t="shared" si="4"/>
        <v/>
      </c>
      <c r="FH19" s="92" t="str">
        <f t="shared" si="5"/>
        <v/>
      </c>
      <c r="FI19" s="92" t="str">
        <f t="shared" si="6"/>
        <v xml:space="preserve"> </v>
      </c>
      <c r="FJ19" s="92" t="str">
        <f t="shared" si="7"/>
        <v xml:space="preserve"> </v>
      </c>
      <c r="FK19" s="92" t="str">
        <f t="shared" si="8"/>
        <v xml:space="preserve"> </v>
      </c>
      <c r="FL19" s="92" t="str">
        <f t="shared" si="9"/>
        <v xml:space="preserve"> </v>
      </c>
      <c r="FM19" s="92" t="str">
        <f t="shared" si="10"/>
        <v xml:space="preserve"> </v>
      </c>
      <c r="FN19" s="92" t="str">
        <f t="shared" si="11"/>
        <v xml:space="preserve"> </v>
      </c>
      <c r="FO19" s="92" t="str">
        <f t="shared" si="12"/>
        <v xml:space="preserve"> </v>
      </c>
      <c r="FP19" s="92" t="str">
        <f t="shared" si="13"/>
        <v xml:space="preserve">,  ,  ,  ,  ,  ,  ,  </v>
      </c>
    </row>
    <row r="20" spans="1:172">
      <c r="A20" s="66">
        <v>10</v>
      </c>
      <c r="B20" s="92" t="str">
        <f>IF(DATA!D17="","",DATA!D17)</f>
        <v>FATIMATUZ  ZAHROH</v>
      </c>
      <c r="C20" s="93" t="str">
        <f>IF(QH!X17="","",QH!X17)</f>
        <v/>
      </c>
      <c r="D20" s="93" t="str">
        <f>IF(QH!Y17="","",QH!Y17)</f>
        <v/>
      </c>
      <c r="E20" s="93" t="str">
        <f>IF(QH!Z17="","",QH!Z17)</f>
        <v/>
      </c>
      <c r="F20" s="93" t="str">
        <f>IF(QH!AA17="","",QH!AA17)</f>
        <v/>
      </c>
      <c r="G20" s="93" t="str">
        <f>IF(QH!AB17="","",QH!AB17)</f>
        <v/>
      </c>
      <c r="H20" s="93" t="str">
        <f>IF(QH!AC17="","",QH!AC17)</f>
        <v/>
      </c>
      <c r="I20" s="93" t="str">
        <f>IF(QH!AD17="","",QH!AD17)</f>
        <v/>
      </c>
      <c r="J20" s="93" t="str">
        <f>IF(QH!AE17="","",QH!AE17)</f>
        <v/>
      </c>
      <c r="K20" s="93" t="str">
        <f>IF(QH!AF17="","",QH!AF17)</f>
        <v/>
      </c>
      <c r="L20" s="93" t="str">
        <f>IF(QH!AG17="","",QH!AG17)</f>
        <v/>
      </c>
      <c r="M20" s="94" t="str">
        <f>IF(AA!X17="","",AA!X17)</f>
        <v/>
      </c>
      <c r="N20" s="94" t="str">
        <f>IF(AA!Y17="","",AA!Y17)</f>
        <v/>
      </c>
      <c r="O20" s="94" t="str">
        <f>IF(AA!Z17="","",AA!Z17)</f>
        <v/>
      </c>
      <c r="P20" s="94" t="str">
        <f>IF(AA!AA17="","",AA!AA17)</f>
        <v/>
      </c>
      <c r="Q20" s="94" t="str">
        <f>IF(AA!AB17="","",AA!AB17)</f>
        <v/>
      </c>
      <c r="R20" s="94" t="str">
        <f>IF(AA!AC17="","",AA!AC17)</f>
        <v/>
      </c>
      <c r="S20" s="94" t="str">
        <f>IF(AA!AD17="","",AA!AD17)</f>
        <v/>
      </c>
      <c r="T20" s="94" t="str">
        <f>IF(AA!AE17="","",AA!AE17)</f>
        <v/>
      </c>
      <c r="U20" s="94" t="str">
        <f>IF(AA!AF17="","",AA!AF17)</f>
        <v/>
      </c>
      <c r="V20" s="94" t="str">
        <f>IF(AA!AG17="","",AA!AG17)</f>
        <v/>
      </c>
      <c r="W20" s="94" t="str">
        <f>IF(FIKIH!X17="","",FIKIH!X17)</f>
        <v/>
      </c>
      <c r="X20" s="94" t="str">
        <f>IF(FIKIH!Y17="","",FIKIH!Y17)</f>
        <v/>
      </c>
      <c r="Y20" s="94" t="str">
        <f>IF(FIKIH!Z17="","",FIKIH!Z17)</f>
        <v/>
      </c>
      <c r="Z20" s="94" t="str">
        <f>IF(FIKIH!AA17="","",FIKIH!AA17)</f>
        <v/>
      </c>
      <c r="AA20" s="94" t="str">
        <f>IF(FIKIH!AB17="","",FIKIH!AB17)</f>
        <v/>
      </c>
      <c r="AB20" s="94" t="str">
        <f>IF(FIKIH!AC17="","",FIKIH!AC17)</f>
        <v/>
      </c>
      <c r="AC20" s="94" t="str">
        <f>IF(FIKIH!AD17="","",FIKIH!AD17)</f>
        <v/>
      </c>
      <c r="AD20" s="94" t="str">
        <f>IF(FIKIH!AE17="","",FIKIH!AE17)</f>
        <v/>
      </c>
      <c r="AE20" s="94" t="str">
        <f>IF(FIKIH!AF17="","",FIKIH!AF17)</f>
        <v/>
      </c>
      <c r="AF20" s="94" t="str">
        <f>IF(FIKIH!AG17="","",FIKIH!AG17)</f>
        <v/>
      </c>
      <c r="AG20" s="94">
        <f>IF(SKI!X17="","",SKI!X17)</f>
        <v>3</v>
      </c>
      <c r="AH20" s="94" t="str">
        <f>IF(SKI!Y17="","",SKI!Y17)</f>
        <v>Melaksanakan sholat dhuhur berjemaah, berdo'a di awal dan di akhir kegiatan pembelajaran , serta melaksanakan kegiatan amaliyah siswa</v>
      </c>
      <c r="AI20" s="94">
        <f>IF(SKI!Z17="","",SKI!Z17)</f>
        <v>3</v>
      </c>
      <c r="AJ20" s="94">
        <f>IF(SKI!AA17="","",SKI!AA17)</f>
        <v>3</v>
      </c>
      <c r="AK20" s="94">
        <f>IF(SKI!AB17="","",SKI!AB17)</f>
        <v>3</v>
      </c>
      <c r="AL20" s="94">
        <f>IF(SKI!AC17="","",SKI!AC17)</f>
        <v>3</v>
      </c>
      <c r="AM20" s="94">
        <f>IF(SKI!AD17="","",SKI!AD17)</f>
        <v>3</v>
      </c>
      <c r="AN20" s="94">
        <f>IF(SKI!AE17="","",SKI!AE17)</f>
        <v>3</v>
      </c>
      <c r="AO20" s="94">
        <f>IF(SKI!AF17="","",SKI!AF17)</f>
        <v>3</v>
      </c>
      <c r="AP20" s="94" t="str">
        <f>IF(SKI!AG17="","",SKI!AG17)</f>
        <v>Santun dalam bersikap, disiplin dalam mentaati tata tertib madrasah, peduli pada lingkungan, orang tua, bertanggung jawab dalam melaksanakan tugas, baik sebagai individu maupun makhluk sosial</v>
      </c>
      <c r="AQ20" s="94" t="str">
        <f>IF(PKN!X17="","",PKN!X17)</f>
        <v/>
      </c>
      <c r="AR20" s="94" t="str">
        <f>IF(PKN!Y17="","",PKN!Y17)</f>
        <v/>
      </c>
      <c r="AS20" s="94" t="str">
        <f>IF(PKN!Z17="","",PKN!Z17)</f>
        <v/>
      </c>
      <c r="AT20" s="94" t="str">
        <f>IF(PKN!AA17="","",PKN!AA17)</f>
        <v/>
      </c>
      <c r="AU20" s="94" t="str">
        <f>IF(PKN!AB17="","",PKN!AB17)</f>
        <v/>
      </c>
      <c r="AV20" s="94" t="str">
        <f>IF(PKN!AC17="","",PKN!AC17)</f>
        <v/>
      </c>
      <c r="AW20" s="94" t="str">
        <f>IF(PKN!AD17="","",PKN!AD17)</f>
        <v/>
      </c>
      <c r="AX20" s="94" t="str">
        <f>IF(PKN!AE17="","",PKN!AE17)</f>
        <v/>
      </c>
      <c r="AY20" s="94" t="str">
        <f>IF(PKN!AF17="","",PKN!AF17)</f>
        <v/>
      </c>
      <c r="AZ20" s="94" t="str">
        <f>IF(PKN!AG17="","",PKN!AG17)</f>
        <v/>
      </c>
      <c r="BA20" s="93" t="str">
        <f>IF(INDO!X17="","",INDO!X17)</f>
        <v/>
      </c>
      <c r="BB20" s="93" t="str">
        <f>IF(INDO!Y17="","",INDO!Y17)</f>
        <v/>
      </c>
      <c r="BC20" s="93" t="str">
        <f>IF(INDO!Z17="","",INDO!Z17)</f>
        <v/>
      </c>
      <c r="BD20" s="93" t="str">
        <f>IF(INDO!AA17="","",INDO!AA17)</f>
        <v/>
      </c>
      <c r="BE20" s="93" t="str">
        <f>IF(INDO!AB17="","",INDO!AB17)</f>
        <v/>
      </c>
      <c r="BF20" s="93" t="str">
        <f>IF(INDO!AC17="","",INDO!AC17)</f>
        <v/>
      </c>
      <c r="BG20" s="93" t="str">
        <f>IF(INDO!AD17="","",INDO!AD17)</f>
        <v/>
      </c>
      <c r="BH20" s="93" t="str">
        <f>IF(INDO!AE17="","",INDO!AE17)</f>
        <v/>
      </c>
      <c r="BI20" s="93" t="str">
        <f>IF(INDO!AF17="","",INDO!AF17)</f>
        <v/>
      </c>
      <c r="BJ20" s="93" t="str">
        <f>IF(INDO!AG17="","",INDO!AG17)</f>
        <v/>
      </c>
      <c r="BK20" s="93" t="str">
        <f>IF(ARAB!X17="","",ARAB!X17)</f>
        <v/>
      </c>
      <c r="BL20" s="93" t="str">
        <f>IF(ARAB!Y17="","",ARAB!Y17)</f>
        <v/>
      </c>
      <c r="BM20" s="93" t="str">
        <f>IF(ARAB!Z17="","",ARAB!Z17)</f>
        <v/>
      </c>
      <c r="BN20" s="93" t="str">
        <f>IF(ARAB!AA17="","",ARAB!AA17)</f>
        <v/>
      </c>
      <c r="BO20" s="93" t="str">
        <f>IF(ARAB!AB17="","",ARAB!AB17)</f>
        <v/>
      </c>
      <c r="BP20" s="93" t="str">
        <f>IF(ARAB!AC17="","",ARAB!AC17)</f>
        <v/>
      </c>
      <c r="BQ20" s="93" t="str">
        <f>IF(ARAB!AD17="","",ARAB!AD17)</f>
        <v/>
      </c>
      <c r="BR20" s="93" t="str">
        <f>IF(ARAB!AE17="","",ARAB!AE17)</f>
        <v/>
      </c>
      <c r="BS20" s="93" t="str">
        <f>IF(ARAB!AF17="","",ARAB!AF17)</f>
        <v/>
      </c>
      <c r="BT20" s="93" t="str">
        <f>IF(ARAB!AG17="","",ARAB!AG17)</f>
        <v/>
      </c>
      <c r="BU20" s="94" t="str">
        <f>IF(MAT!X17="","",MAT!X17)</f>
        <v/>
      </c>
      <c r="BV20" s="94" t="str">
        <f>IF(MAT!Y17="","",MAT!Y17)</f>
        <v/>
      </c>
      <c r="BW20" s="94" t="str">
        <f>IF(MAT!Z17="","",MAT!Z17)</f>
        <v/>
      </c>
      <c r="BX20" s="94" t="str">
        <f>IF(MAT!AA17="","",MAT!AA17)</f>
        <v/>
      </c>
      <c r="BY20" s="94" t="str">
        <f>IF(MAT!AB17="","",MAT!AB17)</f>
        <v/>
      </c>
      <c r="BZ20" s="94" t="str">
        <f>IF(MAT!AC17="","",MAT!AC17)</f>
        <v/>
      </c>
      <c r="CA20" s="94" t="str">
        <f>IF(MAT!AD17="","",MAT!AD17)</f>
        <v/>
      </c>
      <c r="CB20" s="94" t="str">
        <f>IF(MAT!AE17="","",MAT!AE17)</f>
        <v/>
      </c>
      <c r="CC20" s="94" t="str">
        <f>IF(MAT!AF17="","",MAT!AF17)</f>
        <v/>
      </c>
      <c r="CD20" s="94" t="str">
        <f>IF(MAT!AG17="","",MAT!AG17)</f>
        <v/>
      </c>
      <c r="CE20" s="94" t="str">
        <f>IF(IPA!X17="","",IPA!X17)</f>
        <v/>
      </c>
      <c r="CF20" s="94" t="str">
        <f>IF(IPA!Y17="","",IPA!Y17)</f>
        <v/>
      </c>
      <c r="CG20" s="94" t="str">
        <f>IF(IPA!Z17="","",IPA!Z17)</f>
        <v/>
      </c>
      <c r="CH20" s="94" t="str">
        <f>IF(IPA!AA17="","",IPA!AA17)</f>
        <v/>
      </c>
      <c r="CI20" s="94" t="str">
        <f>IF(IPA!AB17="","",IPA!AB17)</f>
        <v/>
      </c>
      <c r="CJ20" s="94" t="str">
        <f>IF(IPA!AC17="","",IPA!AC17)</f>
        <v/>
      </c>
      <c r="CK20" s="94" t="str">
        <f>IF(IPA!AD17="","",IPA!AD17)</f>
        <v/>
      </c>
      <c r="CL20" s="94" t="str">
        <f>IF(IPA!AE17="","",IPA!AE17)</f>
        <v/>
      </c>
      <c r="CM20" s="94" t="str">
        <f>IF(IPA!AF17="","",IPA!AF17)</f>
        <v/>
      </c>
      <c r="CN20" s="94" t="str">
        <f>IF(IPA!AG17="","",IPA!AG17)</f>
        <v/>
      </c>
      <c r="CO20" s="93" t="str">
        <f>IF(IPS!X17="","",IPS!X17)</f>
        <v/>
      </c>
      <c r="CP20" s="93" t="str">
        <f>IF(IPS!Y17="","",IPS!Y17)</f>
        <v/>
      </c>
      <c r="CQ20" s="93" t="str">
        <f>IF(IPS!Z17="","",IPS!Z17)</f>
        <v/>
      </c>
      <c r="CR20" s="93" t="str">
        <f>IF(IPS!AA17="","",IPS!AA17)</f>
        <v/>
      </c>
      <c r="CS20" s="93" t="str">
        <f>IF(IPS!AB17="","",IPS!AB17)</f>
        <v/>
      </c>
      <c r="CT20" s="93" t="str">
        <f>IF(IPS!AC17="","",IPS!AC17)</f>
        <v/>
      </c>
      <c r="CU20" s="93" t="str">
        <f>IF(IPS!AD17="","",IPS!AD17)</f>
        <v/>
      </c>
      <c r="CV20" s="93" t="str">
        <f>IF(IPS!AE17="","",IPS!AE17)</f>
        <v/>
      </c>
      <c r="CW20" s="93" t="str">
        <f>IF(IPS!AF17="","",IPS!AF17)</f>
        <v/>
      </c>
      <c r="CX20" s="93" t="str">
        <f>IF(IPS!AG17="","",IPS!AG17)</f>
        <v/>
      </c>
      <c r="CY20" s="94" t="str">
        <f>IF(INGG!X17="","",INGG!X17)</f>
        <v/>
      </c>
      <c r="CZ20" s="94" t="str">
        <f>IF(INGG!Y17="","",INGG!Y17)</f>
        <v/>
      </c>
      <c r="DA20" s="94" t="str">
        <f>IF(INGG!Z17="","",INGG!Z17)</f>
        <v/>
      </c>
      <c r="DB20" s="94" t="str">
        <f>IF(INGG!AA17="","",INGG!AA17)</f>
        <v/>
      </c>
      <c r="DC20" s="94" t="str">
        <f>IF(INGG!AB17="","",INGG!AB17)</f>
        <v/>
      </c>
      <c r="DD20" s="94" t="str">
        <f>IF(INGG!AC17="","",INGG!AC17)</f>
        <v/>
      </c>
      <c r="DE20" s="94" t="str">
        <f>IF(INGG!AD17="","",INGG!AD17)</f>
        <v/>
      </c>
      <c r="DF20" s="94" t="str">
        <f>IF(INGG!AE17="","",INGG!AE17)</f>
        <v/>
      </c>
      <c r="DG20" s="94" t="str">
        <f>IF(INGG!AF17="","",INGG!AF17)</f>
        <v/>
      </c>
      <c r="DH20" s="94" t="str">
        <f>IF(INGG!AG17="","",INGG!AG17)</f>
        <v/>
      </c>
      <c r="DI20" s="94" t="str">
        <f>IF(SENBUD!X17="","",SENBUD!X17)</f>
        <v/>
      </c>
      <c r="DJ20" s="94" t="str">
        <f>IF(SENBUD!Y17="","",SENBUD!Y17)</f>
        <v/>
      </c>
      <c r="DK20" s="94" t="str">
        <f>IF(SENBUD!Z17="","",SENBUD!Z17)</f>
        <v/>
      </c>
      <c r="DL20" s="94" t="str">
        <f>IF(SENBUD!AA17="","",SENBUD!AA17)</f>
        <v/>
      </c>
      <c r="DM20" s="94" t="str">
        <f>IF(SENBUD!AB17="","",SENBUD!AB17)</f>
        <v/>
      </c>
      <c r="DN20" s="94" t="str">
        <f>IF(SENBUD!AC17="","",SENBUD!AC17)</f>
        <v/>
      </c>
      <c r="DO20" s="94" t="str">
        <f>IF(SENBUD!AD17="","",SENBUD!AD17)</f>
        <v/>
      </c>
      <c r="DP20" s="94" t="str">
        <f>IF(SENBUD!AE17="","",SENBUD!AE17)</f>
        <v/>
      </c>
      <c r="DQ20" s="94" t="str">
        <f>IF(SENBUD!AF17="","",SENBUD!AF17)</f>
        <v/>
      </c>
      <c r="DR20" s="94" t="str">
        <f>IF(SENBUD!AG17="","",SENBUD!AG17)</f>
        <v/>
      </c>
      <c r="DS20" s="93" t="str">
        <f>IF(PENJAS!X17="","",PENJAS!X17)</f>
        <v/>
      </c>
      <c r="DT20" s="93" t="str">
        <f>IF(PENJAS!Y17="","",PENJAS!Y17)</f>
        <v/>
      </c>
      <c r="DU20" s="93" t="str">
        <f>IF(PENJAS!Z17="","",PENJAS!Z17)</f>
        <v/>
      </c>
      <c r="DV20" s="93" t="str">
        <f>IF(PENJAS!AA17="","",PENJAS!AA17)</f>
        <v/>
      </c>
      <c r="DW20" s="93" t="str">
        <f>IF(PENJAS!AB17="","",PENJAS!AB17)</f>
        <v/>
      </c>
      <c r="DX20" s="93" t="str">
        <f>IF(PENJAS!AC17="","",PENJAS!AC17)</f>
        <v/>
      </c>
      <c r="DY20" s="93" t="str">
        <f>IF(PENJAS!AD17="","",PENJAS!AD17)</f>
        <v/>
      </c>
      <c r="DZ20" s="93" t="str">
        <f>IF(PENJAS!AE17="","",PENJAS!AE17)</f>
        <v/>
      </c>
      <c r="EA20" s="93" t="str">
        <f>IF(PENJAS!AF17="","",PENJAS!AF17)</f>
        <v/>
      </c>
      <c r="EB20" s="93" t="str">
        <f>IF(PENJAS!AG17="","",PENJAS!AG17)</f>
        <v/>
      </c>
      <c r="EC20" s="93" t="str">
        <f>IF(PRAKARYA!X17="","",PRAKARYA!X17)</f>
        <v/>
      </c>
      <c r="ED20" s="93" t="str">
        <f>IF(PRAKARYA!Y17="","",PRAKARYA!Y17)</f>
        <v/>
      </c>
      <c r="EE20" s="93" t="str">
        <f>IF(PRAKARYA!Z17="","",PRAKARYA!Z17)</f>
        <v/>
      </c>
      <c r="EF20" s="93" t="str">
        <f>IF(PRAKARYA!AA17="","",PRAKARYA!AA17)</f>
        <v/>
      </c>
      <c r="EG20" s="93" t="str">
        <f>IF(PRAKARYA!AB17="","",PRAKARYA!AB17)</f>
        <v/>
      </c>
      <c r="EH20" s="93" t="str">
        <f>IF(PRAKARYA!AC17="","",PRAKARYA!AC17)</f>
        <v/>
      </c>
      <c r="EI20" s="93" t="str">
        <f>IF(PRAKARYA!AD17="","",PRAKARYA!AD17)</f>
        <v/>
      </c>
      <c r="EJ20" s="93" t="str">
        <f>IF(PRAKARYA!AE17="","",PRAKARYA!AE17)</f>
        <v/>
      </c>
      <c r="EK20" s="93" t="str">
        <f>IF(PRAKARYA!AF17="","",PRAKARYA!AF17)</f>
        <v/>
      </c>
      <c r="EL20" s="93" t="str">
        <f>IF(PRAKARYA!AG17="","",PRAKARYA!AG17)</f>
        <v/>
      </c>
      <c r="EM20" s="95" t="str">
        <f>IF(BADER!X17="","",BADER!X17)</f>
        <v/>
      </c>
      <c r="EN20" s="95" t="str">
        <f>IF(BADER!Y17="","",BADER!Y17)</f>
        <v/>
      </c>
      <c r="EO20" s="95" t="str">
        <f>IF(BADER!Z17="","",BADER!Z17)</f>
        <v/>
      </c>
      <c r="EP20" s="95" t="str">
        <f>IF(BADER!AA17="","",BADER!AA17)</f>
        <v/>
      </c>
      <c r="EQ20" s="95" t="str">
        <f>IF(BADER!AB17="","",BADER!AB17)</f>
        <v/>
      </c>
      <c r="ER20" s="95" t="str">
        <f>IF(BADER!AC17="","",BADER!AC17)</f>
        <v/>
      </c>
      <c r="ES20" s="95" t="str">
        <f>IF(BADER!AD17="","",BADER!AD17)</f>
        <v/>
      </c>
      <c r="ET20" s="95" t="str">
        <f>IF(BADER!AE17="","",BADER!AE17)</f>
        <v/>
      </c>
      <c r="EU20" s="95" t="str">
        <f>IF(BADER!AF17="","",BADER!AF17)</f>
        <v/>
      </c>
      <c r="EV20" s="95" t="str">
        <f>IF(BADER!AG17="","",BADER!AG17)</f>
        <v/>
      </c>
      <c r="EW20" s="96" t="str">
        <f t="shared" si="1"/>
        <v/>
      </c>
      <c r="EX20" s="96" t="str">
        <f t="shared" si="2"/>
        <v/>
      </c>
      <c r="EY20" s="96" t="str">
        <f t="shared" si="0"/>
        <v/>
      </c>
      <c r="EZ20" s="96" t="str">
        <f t="shared" si="0"/>
        <v/>
      </c>
      <c r="FA20" s="96" t="str">
        <f t="shared" si="0"/>
        <v/>
      </c>
      <c r="FB20" s="96" t="str">
        <f t="shared" si="0"/>
        <v/>
      </c>
      <c r="FC20" s="96" t="str">
        <f t="shared" si="0"/>
        <v/>
      </c>
      <c r="FD20" s="96" t="str">
        <f t="shared" si="0"/>
        <v/>
      </c>
      <c r="FE20" s="96" t="str">
        <f t="shared" si="0"/>
        <v/>
      </c>
      <c r="FF20" s="96" t="str">
        <f t="shared" si="3"/>
        <v/>
      </c>
      <c r="FG20" s="96" t="str">
        <f t="shared" si="4"/>
        <v/>
      </c>
      <c r="FH20" s="92" t="str">
        <f t="shared" si="5"/>
        <v/>
      </c>
      <c r="FI20" s="92" t="str">
        <f t="shared" si="6"/>
        <v xml:space="preserve"> </v>
      </c>
      <c r="FJ20" s="92" t="str">
        <f t="shared" si="7"/>
        <v xml:space="preserve"> </v>
      </c>
      <c r="FK20" s="92" t="str">
        <f t="shared" si="8"/>
        <v xml:space="preserve"> </v>
      </c>
      <c r="FL20" s="92" t="str">
        <f t="shared" si="9"/>
        <v xml:space="preserve"> </v>
      </c>
      <c r="FM20" s="92" t="str">
        <f t="shared" si="10"/>
        <v xml:space="preserve"> </v>
      </c>
      <c r="FN20" s="92" t="str">
        <f t="shared" si="11"/>
        <v xml:space="preserve"> </v>
      </c>
      <c r="FO20" s="92" t="str">
        <f t="shared" si="12"/>
        <v xml:space="preserve"> </v>
      </c>
      <c r="FP20" s="92" t="str">
        <f t="shared" si="13"/>
        <v xml:space="preserve">,  ,  ,  ,  ,  ,  ,  </v>
      </c>
    </row>
    <row r="21" spans="1:172">
      <c r="A21" s="66">
        <v>11</v>
      </c>
      <c r="B21" s="92" t="str">
        <f>IF(DATA!D18="","",DATA!D18)</f>
        <v>IMAM FATONI</v>
      </c>
      <c r="C21" s="93" t="str">
        <f>IF(QH!X18="","",QH!X18)</f>
        <v/>
      </c>
      <c r="D21" s="93" t="str">
        <f>IF(QH!Y18="","",QH!Y18)</f>
        <v/>
      </c>
      <c r="E21" s="93" t="str">
        <f>IF(QH!Z18="","",QH!Z18)</f>
        <v/>
      </c>
      <c r="F21" s="93" t="str">
        <f>IF(QH!AA18="","",QH!AA18)</f>
        <v/>
      </c>
      <c r="G21" s="93" t="str">
        <f>IF(QH!AB18="","",QH!AB18)</f>
        <v/>
      </c>
      <c r="H21" s="93" t="str">
        <f>IF(QH!AC18="","",QH!AC18)</f>
        <v/>
      </c>
      <c r="I21" s="93" t="str">
        <f>IF(QH!AD18="","",QH!AD18)</f>
        <v/>
      </c>
      <c r="J21" s="93" t="str">
        <f>IF(QH!AE18="","",QH!AE18)</f>
        <v/>
      </c>
      <c r="K21" s="93" t="str">
        <f>IF(QH!AF18="","",QH!AF18)</f>
        <v/>
      </c>
      <c r="L21" s="93" t="str">
        <f>IF(QH!AG18="","",QH!AG18)</f>
        <v/>
      </c>
      <c r="M21" s="94" t="str">
        <f>IF(AA!X18="","",AA!X18)</f>
        <v/>
      </c>
      <c r="N21" s="94" t="str">
        <f>IF(AA!Y18="","",AA!Y18)</f>
        <v/>
      </c>
      <c r="O21" s="94" t="str">
        <f>IF(AA!Z18="","",AA!Z18)</f>
        <v/>
      </c>
      <c r="P21" s="94" t="str">
        <f>IF(AA!AA18="","",AA!AA18)</f>
        <v/>
      </c>
      <c r="Q21" s="94" t="str">
        <f>IF(AA!AB18="","",AA!AB18)</f>
        <v/>
      </c>
      <c r="R21" s="94" t="str">
        <f>IF(AA!AC18="","",AA!AC18)</f>
        <v/>
      </c>
      <c r="S21" s="94" t="str">
        <f>IF(AA!AD18="","",AA!AD18)</f>
        <v/>
      </c>
      <c r="T21" s="94" t="str">
        <f>IF(AA!AE18="","",AA!AE18)</f>
        <v/>
      </c>
      <c r="U21" s="94" t="str">
        <f>IF(AA!AF18="","",AA!AF18)</f>
        <v/>
      </c>
      <c r="V21" s="94" t="str">
        <f>IF(AA!AG18="","",AA!AG18)</f>
        <v/>
      </c>
      <c r="W21" s="94" t="str">
        <f>IF(FIKIH!X18="","",FIKIH!X18)</f>
        <v/>
      </c>
      <c r="X21" s="94" t="str">
        <f>IF(FIKIH!Y18="","",FIKIH!Y18)</f>
        <v/>
      </c>
      <c r="Y21" s="94" t="str">
        <f>IF(FIKIH!Z18="","",FIKIH!Z18)</f>
        <v/>
      </c>
      <c r="Z21" s="94" t="str">
        <f>IF(FIKIH!AA18="","",FIKIH!AA18)</f>
        <v/>
      </c>
      <c r="AA21" s="94" t="str">
        <f>IF(FIKIH!AB18="","",FIKIH!AB18)</f>
        <v/>
      </c>
      <c r="AB21" s="94" t="str">
        <f>IF(FIKIH!AC18="","",FIKIH!AC18)</f>
        <v/>
      </c>
      <c r="AC21" s="94" t="str">
        <f>IF(FIKIH!AD18="","",FIKIH!AD18)</f>
        <v/>
      </c>
      <c r="AD21" s="94" t="str">
        <f>IF(FIKIH!AE18="","",FIKIH!AE18)</f>
        <v/>
      </c>
      <c r="AE21" s="94" t="str">
        <f>IF(FIKIH!AF18="","",FIKIH!AF18)</f>
        <v/>
      </c>
      <c r="AF21" s="94" t="str">
        <f>IF(FIKIH!AG18="","",FIKIH!AG18)</f>
        <v/>
      </c>
      <c r="AG21" s="94">
        <f>IF(SKI!X18="","",SKI!X18)</f>
        <v>3</v>
      </c>
      <c r="AH21" s="94" t="str">
        <f>IF(SKI!Y18="","",SKI!Y18)</f>
        <v>Melaksanakan sholat dhuhur berjemaah, berdo'a di awal dan di akhir kegiatan pembelajaran , serta melaksanakan kegiatan amaliyah siswa</v>
      </c>
      <c r="AI21" s="94">
        <f>IF(SKI!Z18="","",SKI!Z18)</f>
        <v>3</v>
      </c>
      <c r="AJ21" s="94">
        <f>IF(SKI!AA18="","",SKI!AA18)</f>
        <v>3</v>
      </c>
      <c r="AK21" s="94">
        <f>IF(SKI!AB18="","",SKI!AB18)</f>
        <v>3</v>
      </c>
      <c r="AL21" s="94">
        <f>IF(SKI!AC18="","",SKI!AC18)</f>
        <v>3</v>
      </c>
      <c r="AM21" s="94">
        <f>IF(SKI!AD18="","",SKI!AD18)</f>
        <v>3</v>
      </c>
      <c r="AN21" s="94">
        <f>IF(SKI!AE18="","",SKI!AE18)</f>
        <v>3</v>
      </c>
      <c r="AO21" s="94">
        <f>IF(SKI!AF18="","",SKI!AF18)</f>
        <v>3</v>
      </c>
      <c r="AP21" s="94" t="str">
        <f>IF(SKI!AG18="","",SKI!AG18)</f>
        <v>Santun dalam bersikap, disiplin dalam mentaati tata tertib madrasah, peduli pada lingkungan, orang tua, bertanggung jawab dalam melaksanakan tugas, baik sebagai individu maupun makhluk sosial</v>
      </c>
      <c r="AQ21" s="94" t="str">
        <f>IF(PKN!X18="","",PKN!X18)</f>
        <v/>
      </c>
      <c r="AR21" s="94" t="str">
        <f>IF(PKN!Y18="","",PKN!Y18)</f>
        <v/>
      </c>
      <c r="AS21" s="94" t="str">
        <f>IF(PKN!Z18="","",PKN!Z18)</f>
        <v/>
      </c>
      <c r="AT21" s="94" t="str">
        <f>IF(PKN!AA18="","",PKN!AA18)</f>
        <v/>
      </c>
      <c r="AU21" s="94" t="str">
        <f>IF(PKN!AB18="","",PKN!AB18)</f>
        <v/>
      </c>
      <c r="AV21" s="94" t="str">
        <f>IF(PKN!AC18="","",PKN!AC18)</f>
        <v/>
      </c>
      <c r="AW21" s="94" t="str">
        <f>IF(PKN!AD18="","",PKN!AD18)</f>
        <v/>
      </c>
      <c r="AX21" s="94" t="str">
        <f>IF(PKN!AE18="","",PKN!AE18)</f>
        <v/>
      </c>
      <c r="AY21" s="94" t="str">
        <f>IF(PKN!AF18="","",PKN!AF18)</f>
        <v/>
      </c>
      <c r="AZ21" s="94" t="str">
        <f>IF(PKN!AG18="","",PKN!AG18)</f>
        <v/>
      </c>
      <c r="BA21" s="93" t="str">
        <f>IF(INDO!X18="","",INDO!X18)</f>
        <v/>
      </c>
      <c r="BB21" s="93" t="str">
        <f>IF(INDO!Y18="","",INDO!Y18)</f>
        <v/>
      </c>
      <c r="BC21" s="93" t="str">
        <f>IF(INDO!Z18="","",INDO!Z18)</f>
        <v/>
      </c>
      <c r="BD21" s="93" t="str">
        <f>IF(INDO!AA18="","",INDO!AA18)</f>
        <v/>
      </c>
      <c r="BE21" s="93" t="str">
        <f>IF(INDO!AB18="","",INDO!AB18)</f>
        <v/>
      </c>
      <c r="BF21" s="93" t="str">
        <f>IF(INDO!AC18="","",INDO!AC18)</f>
        <v/>
      </c>
      <c r="BG21" s="93" t="str">
        <f>IF(INDO!AD18="","",INDO!AD18)</f>
        <v/>
      </c>
      <c r="BH21" s="93" t="str">
        <f>IF(INDO!AE18="","",INDO!AE18)</f>
        <v/>
      </c>
      <c r="BI21" s="93" t="str">
        <f>IF(INDO!AF18="","",INDO!AF18)</f>
        <v/>
      </c>
      <c r="BJ21" s="93" t="str">
        <f>IF(INDO!AG18="","",INDO!AG18)</f>
        <v/>
      </c>
      <c r="BK21" s="93" t="str">
        <f>IF(ARAB!X18="","",ARAB!X18)</f>
        <v/>
      </c>
      <c r="BL21" s="93" t="str">
        <f>IF(ARAB!Y18="","",ARAB!Y18)</f>
        <v/>
      </c>
      <c r="BM21" s="93" t="str">
        <f>IF(ARAB!Z18="","",ARAB!Z18)</f>
        <v/>
      </c>
      <c r="BN21" s="93" t="str">
        <f>IF(ARAB!AA18="","",ARAB!AA18)</f>
        <v/>
      </c>
      <c r="BO21" s="93" t="str">
        <f>IF(ARAB!AB18="","",ARAB!AB18)</f>
        <v/>
      </c>
      <c r="BP21" s="93" t="str">
        <f>IF(ARAB!AC18="","",ARAB!AC18)</f>
        <v/>
      </c>
      <c r="BQ21" s="93" t="str">
        <f>IF(ARAB!AD18="","",ARAB!AD18)</f>
        <v/>
      </c>
      <c r="BR21" s="93" t="str">
        <f>IF(ARAB!AE18="","",ARAB!AE18)</f>
        <v/>
      </c>
      <c r="BS21" s="93" t="str">
        <f>IF(ARAB!AF18="","",ARAB!AF18)</f>
        <v/>
      </c>
      <c r="BT21" s="93" t="str">
        <f>IF(ARAB!AG18="","",ARAB!AG18)</f>
        <v/>
      </c>
      <c r="BU21" s="94" t="str">
        <f>IF(MAT!X18="","",MAT!X18)</f>
        <v/>
      </c>
      <c r="BV21" s="94" t="str">
        <f>IF(MAT!Y18="","",MAT!Y18)</f>
        <v/>
      </c>
      <c r="BW21" s="94" t="str">
        <f>IF(MAT!Z18="","",MAT!Z18)</f>
        <v/>
      </c>
      <c r="BX21" s="94" t="str">
        <f>IF(MAT!AA18="","",MAT!AA18)</f>
        <v/>
      </c>
      <c r="BY21" s="94" t="str">
        <f>IF(MAT!AB18="","",MAT!AB18)</f>
        <v/>
      </c>
      <c r="BZ21" s="94" t="str">
        <f>IF(MAT!AC18="","",MAT!AC18)</f>
        <v/>
      </c>
      <c r="CA21" s="94" t="str">
        <f>IF(MAT!AD18="","",MAT!AD18)</f>
        <v/>
      </c>
      <c r="CB21" s="94" t="str">
        <f>IF(MAT!AE18="","",MAT!AE18)</f>
        <v/>
      </c>
      <c r="CC21" s="94" t="str">
        <f>IF(MAT!AF18="","",MAT!AF18)</f>
        <v/>
      </c>
      <c r="CD21" s="94" t="str">
        <f>IF(MAT!AG18="","",MAT!AG18)</f>
        <v/>
      </c>
      <c r="CE21" s="94" t="str">
        <f>IF(IPA!X18="","",IPA!X18)</f>
        <v/>
      </c>
      <c r="CF21" s="94" t="str">
        <f>IF(IPA!Y18="","",IPA!Y18)</f>
        <v/>
      </c>
      <c r="CG21" s="94" t="str">
        <f>IF(IPA!Z18="","",IPA!Z18)</f>
        <v/>
      </c>
      <c r="CH21" s="94" t="str">
        <f>IF(IPA!AA18="","",IPA!AA18)</f>
        <v/>
      </c>
      <c r="CI21" s="94" t="str">
        <f>IF(IPA!AB18="","",IPA!AB18)</f>
        <v/>
      </c>
      <c r="CJ21" s="94" t="str">
        <f>IF(IPA!AC18="","",IPA!AC18)</f>
        <v/>
      </c>
      <c r="CK21" s="94" t="str">
        <f>IF(IPA!AD18="","",IPA!AD18)</f>
        <v/>
      </c>
      <c r="CL21" s="94" t="str">
        <f>IF(IPA!AE18="","",IPA!AE18)</f>
        <v/>
      </c>
      <c r="CM21" s="94" t="str">
        <f>IF(IPA!AF18="","",IPA!AF18)</f>
        <v/>
      </c>
      <c r="CN21" s="94" t="str">
        <f>IF(IPA!AG18="","",IPA!AG18)</f>
        <v/>
      </c>
      <c r="CO21" s="93" t="str">
        <f>IF(IPS!X18="","",IPS!X18)</f>
        <v/>
      </c>
      <c r="CP21" s="93" t="str">
        <f>IF(IPS!Y18="","",IPS!Y18)</f>
        <v/>
      </c>
      <c r="CQ21" s="93" t="str">
        <f>IF(IPS!Z18="","",IPS!Z18)</f>
        <v/>
      </c>
      <c r="CR21" s="93" t="str">
        <f>IF(IPS!AA18="","",IPS!AA18)</f>
        <v/>
      </c>
      <c r="CS21" s="93" t="str">
        <f>IF(IPS!AB18="","",IPS!AB18)</f>
        <v/>
      </c>
      <c r="CT21" s="93" t="str">
        <f>IF(IPS!AC18="","",IPS!AC18)</f>
        <v/>
      </c>
      <c r="CU21" s="93" t="str">
        <f>IF(IPS!AD18="","",IPS!AD18)</f>
        <v/>
      </c>
      <c r="CV21" s="93" t="str">
        <f>IF(IPS!AE18="","",IPS!AE18)</f>
        <v/>
      </c>
      <c r="CW21" s="93" t="str">
        <f>IF(IPS!AF18="","",IPS!AF18)</f>
        <v/>
      </c>
      <c r="CX21" s="93" t="str">
        <f>IF(IPS!AG18="","",IPS!AG18)</f>
        <v/>
      </c>
      <c r="CY21" s="94" t="str">
        <f>IF(INGG!X18="","",INGG!X18)</f>
        <v/>
      </c>
      <c r="CZ21" s="94" t="str">
        <f>IF(INGG!Y18="","",INGG!Y18)</f>
        <v/>
      </c>
      <c r="DA21" s="94" t="str">
        <f>IF(INGG!Z18="","",INGG!Z18)</f>
        <v/>
      </c>
      <c r="DB21" s="94" t="str">
        <f>IF(INGG!AA18="","",INGG!AA18)</f>
        <v/>
      </c>
      <c r="DC21" s="94" t="str">
        <f>IF(INGG!AB18="","",INGG!AB18)</f>
        <v/>
      </c>
      <c r="DD21" s="94" t="str">
        <f>IF(INGG!AC18="","",INGG!AC18)</f>
        <v/>
      </c>
      <c r="DE21" s="94" t="str">
        <f>IF(INGG!AD18="","",INGG!AD18)</f>
        <v/>
      </c>
      <c r="DF21" s="94" t="str">
        <f>IF(INGG!AE18="","",INGG!AE18)</f>
        <v/>
      </c>
      <c r="DG21" s="94" t="str">
        <f>IF(INGG!AF18="","",INGG!AF18)</f>
        <v/>
      </c>
      <c r="DH21" s="94" t="str">
        <f>IF(INGG!AG18="","",INGG!AG18)</f>
        <v/>
      </c>
      <c r="DI21" s="94" t="str">
        <f>IF(SENBUD!X18="","",SENBUD!X18)</f>
        <v/>
      </c>
      <c r="DJ21" s="94" t="str">
        <f>IF(SENBUD!Y18="","",SENBUD!Y18)</f>
        <v/>
      </c>
      <c r="DK21" s="94" t="str">
        <f>IF(SENBUD!Z18="","",SENBUD!Z18)</f>
        <v/>
      </c>
      <c r="DL21" s="94" t="str">
        <f>IF(SENBUD!AA18="","",SENBUD!AA18)</f>
        <v/>
      </c>
      <c r="DM21" s="94" t="str">
        <f>IF(SENBUD!AB18="","",SENBUD!AB18)</f>
        <v/>
      </c>
      <c r="DN21" s="94" t="str">
        <f>IF(SENBUD!AC18="","",SENBUD!AC18)</f>
        <v/>
      </c>
      <c r="DO21" s="94" t="str">
        <f>IF(SENBUD!AD18="","",SENBUD!AD18)</f>
        <v/>
      </c>
      <c r="DP21" s="94" t="str">
        <f>IF(SENBUD!AE18="","",SENBUD!AE18)</f>
        <v/>
      </c>
      <c r="DQ21" s="94" t="str">
        <f>IF(SENBUD!AF18="","",SENBUD!AF18)</f>
        <v/>
      </c>
      <c r="DR21" s="94" t="str">
        <f>IF(SENBUD!AG18="","",SENBUD!AG18)</f>
        <v/>
      </c>
      <c r="DS21" s="93" t="str">
        <f>IF(PENJAS!X18="","",PENJAS!X18)</f>
        <v/>
      </c>
      <c r="DT21" s="93" t="str">
        <f>IF(PENJAS!Y18="","",PENJAS!Y18)</f>
        <v/>
      </c>
      <c r="DU21" s="93" t="str">
        <f>IF(PENJAS!Z18="","",PENJAS!Z18)</f>
        <v/>
      </c>
      <c r="DV21" s="93" t="str">
        <f>IF(PENJAS!AA18="","",PENJAS!AA18)</f>
        <v/>
      </c>
      <c r="DW21" s="93" t="str">
        <f>IF(PENJAS!AB18="","",PENJAS!AB18)</f>
        <v/>
      </c>
      <c r="DX21" s="93" t="str">
        <f>IF(PENJAS!AC18="","",PENJAS!AC18)</f>
        <v/>
      </c>
      <c r="DY21" s="93" t="str">
        <f>IF(PENJAS!AD18="","",PENJAS!AD18)</f>
        <v/>
      </c>
      <c r="DZ21" s="93" t="str">
        <f>IF(PENJAS!AE18="","",PENJAS!AE18)</f>
        <v/>
      </c>
      <c r="EA21" s="93" t="str">
        <f>IF(PENJAS!AF18="","",PENJAS!AF18)</f>
        <v/>
      </c>
      <c r="EB21" s="93" t="str">
        <f>IF(PENJAS!AG18="","",PENJAS!AG18)</f>
        <v/>
      </c>
      <c r="EC21" s="93" t="str">
        <f>IF(PRAKARYA!X18="","",PRAKARYA!X18)</f>
        <v/>
      </c>
      <c r="ED21" s="93" t="str">
        <f>IF(PRAKARYA!Y18="","",PRAKARYA!Y18)</f>
        <v/>
      </c>
      <c r="EE21" s="93" t="str">
        <f>IF(PRAKARYA!Z18="","",PRAKARYA!Z18)</f>
        <v/>
      </c>
      <c r="EF21" s="93" t="str">
        <f>IF(PRAKARYA!AA18="","",PRAKARYA!AA18)</f>
        <v/>
      </c>
      <c r="EG21" s="93" t="str">
        <f>IF(PRAKARYA!AB18="","",PRAKARYA!AB18)</f>
        <v/>
      </c>
      <c r="EH21" s="93" t="str">
        <f>IF(PRAKARYA!AC18="","",PRAKARYA!AC18)</f>
        <v/>
      </c>
      <c r="EI21" s="93" t="str">
        <f>IF(PRAKARYA!AD18="","",PRAKARYA!AD18)</f>
        <v/>
      </c>
      <c r="EJ21" s="93" t="str">
        <f>IF(PRAKARYA!AE18="","",PRAKARYA!AE18)</f>
        <v/>
      </c>
      <c r="EK21" s="93" t="str">
        <f>IF(PRAKARYA!AF18="","",PRAKARYA!AF18)</f>
        <v/>
      </c>
      <c r="EL21" s="93" t="str">
        <f>IF(PRAKARYA!AG18="","",PRAKARYA!AG18)</f>
        <v/>
      </c>
      <c r="EM21" s="95" t="str">
        <f>IF(BADER!X18="","",BADER!X18)</f>
        <v/>
      </c>
      <c r="EN21" s="95" t="str">
        <f>IF(BADER!Y18="","",BADER!Y18)</f>
        <v/>
      </c>
      <c r="EO21" s="95" t="str">
        <f>IF(BADER!Z18="","",BADER!Z18)</f>
        <v/>
      </c>
      <c r="EP21" s="95" t="str">
        <f>IF(BADER!AA18="","",BADER!AA18)</f>
        <v/>
      </c>
      <c r="EQ21" s="95" t="str">
        <f>IF(BADER!AB18="","",BADER!AB18)</f>
        <v/>
      </c>
      <c r="ER21" s="95" t="str">
        <f>IF(BADER!AC18="","",BADER!AC18)</f>
        <v/>
      </c>
      <c r="ES21" s="95" t="str">
        <f>IF(BADER!AD18="","",BADER!AD18)</f>
        <v/>
      </c>
      <c r="ET21" s="95" t="str">
        <f>IF(BADER!AE18="","",BADER!AE18)</f>
        <v/>
      </c>
      <c r="EU21" s="95" t="str">
        <f>IF(BADER!AF18="","",BADER!AF18)</f>
        <v/>
      </c>
      <c r="EV21" s="95" t="str">
        <f>IF(BADER!AG18="","",BADER!AG18)</f>
        <v/>
      </c>
      <c r="EW21" s="96" t="str">
        <f t="shared" si="1"/>
        <v/>
      </c>
      <c r="EX21" s="96" t="str">
        <f t="shared" si="2"/>
        <v/>
      </c>
      <c r="EY21" s="96" t="str">
        <f t="shared" si="0"/>
        <v/>
      </c>
      <c r="EZ21" s="96" t="str">
        <f t="shared" si="0"/>
        <v/>
      </c>
      <c r="FA21" s="96" t="str">
        <f t="shared" si="0"/>
        <v/>
      </c>
      <c r="FB21" s="96" t="str">
        <f t="shared" si="0"/>
        <v/>
      </c>
      <c r="FC21" s="96" t="str">
        <f t="shared" si="0"/>
        <v/>
      </c>
      <c r="FD21" s="96" t="str">
        <f t="shared" si="0"/>
        <v/>
      </c>
      <c r="FE21" s="96" t="str">
        <f t="shared" si="0"/>
        <v/>
      </c>
      <c r="FF21" s="96" t="str">
        <f t="shared" si="3"/>
        <v/>
      </c>
      <c r="FG21" s="96" t="str">
        <f t="shared" si="4"/>
        <v/>
      </c>
      <c r="FH21" s="92" t="str">
        <f t="shared" si="5"/>
        <v/>
      </c>
      <c r="FI21" s="92" t="str">
        <f t="shared" si="6"/>
        <v xml:space="preserve"> </v>
      </c>
      <c r="FJ21" s="92" t="str">
        <f t="shared" si="7"/>
        <v xml:space="preserve"> </v>
      </c>
      <c r="FK21" s="92" t="str">
        <f t="shared" si="8"/>
        <v xml:space="preserve"> </v>
      </c>
      <c r="FL21" s="92" t="str">
        <f t="shared" si="9"/>
        <v xml:space="preserve"> </v>
      </c>
      <c r="FM21" s="92" t="str">
        <f t="shared" si="10"/>
        <v xml:space="preserve"> </v>
      </c>
      <c r="FN21" s="92" t="str">
        <f t="shared" si="11"/>
        <v xml:space="preserve"> </v>
      </c>
      <c r="FO21" s="92" t="str">
        <f t="shared" si="12"/>
        <v xml:space="preserve"> </v>
      </c>
      <c r="FP21" s="92" t="str">
        <f t="shared" si="13"/>
        <v xml:space="preserve">,  ,  ,  ,  ,  ,  ,  </v>
      </c>
    </row>
    <row r="22" spans="1:172">
      <c r="A22" s="66">
        <v>12</v>
      </c>
      <c r="B22" s="92" t="str">
        <f>IF(DATA!D19="","",DATA!D19)</f>
        <v>ISMA SRI WAHYUNI</v>
      </c>
      <c r="C22" s="93" t="str">
        <f>IF(QH!X19="","",QH!X19)</f>
        <v/>
      </c>
      <c r="D22" s="93" t="str">
        <f>IF(QH!Y19="","",QH!Y19)</f>
        <v/>
      </c>
      <c r="E22" s="93" t="str">
        <f>IF(QH!Z19="","",QH!Z19)</f>
        <v/>
      </c>
      <c r="F22" s="93" t="str">
        <f>IF(QH!AA19="","",QH!AA19)</f>
        <v/>
      </c>
      <c r="G22" s="93" t="str">
        <f>IF(QH!AB19="","",QH!AB19)</f>
        <v/>
      </c>
      <c r="H22" s="93" t="str">
        <f>IF(QH!AC19="","",QH!AC19)</f>
        <v/>
      </c>
      <c r="I22" s="93" t="str">
        <f>IF(QH!AD19="","",QH!AD19)</f>
        <v/>
      </c>
      <c r="J22" s="93" t="str">
        <f>IF(QH!AE19="","",QH!AE19)</f>
        <v/>
      </c>
      <c r="K22" s="93" t="str">
        <f>IF(QH!AF19="","",QH!AF19)</f>
        <v/>
      </c>
      <c r="L22" s="93" t="str">
        <f>IF(QH!AG19="","",QH!AG19)</f>
        <v/>
      </c>
      <c r="M22" s="94" t="str">
        <f>IF(AA!X19="","",AA!X19)</f>
        <v/>
      </c>
      <c r="N22" s="94" t="str">
        <f>IF(AA!Y19="","",AA!Y19)</f>
        <v/>
      </c>
      <c r="O22" s="94" t="str">
        <f>IF(AA!Z19="","",AA!Z19)</f>
        <v/>
      </c>
      <c r="P22" s="94" t="str">
        <f>IF(AA!AA19="","",AA!AA19)</f>
        <v/>
      </c>
      <c r="Q22" s="94" t="str">
        <f>IF(AA!AB19="","",AA!AB19)</f>
        <v/>
      </c>
      <c r="R22" s="94" t="str">
        <f>IF(AA!AC19="","",AA!AC19)</f>
        <v/>
      </c>
      <c r="S22" s="94" t="str">
        <f>IF(AA!AD19="","",AA!AD19)</f>
        <v/>
      </c>
      <c r="T22" s="94" t="str">
        <f>IF(AA!AE19="","",AA!AE19)</f>
        <v/>
      </c>
      <c r="U22" s="94" t="str">
        <f>IF(AA!AF19="","",AA!AF19)</f>
        <v/>
      </c>
      <c r="V22" s="94" t="str">
        <f>IF(AA!AG19="","",AA!AG19)</f>
        <v/>
      </c>
      <c r="W22" s="94" t="str">
        <f>IF(FIKIH!X19="","",FIKIH!X19)</f>
        <v/>
      </c>
      <c r="X22" s="94" t="str">
        <f>IF(FIKIH!Y19="","",FIKIH!Y19)</f>
        <v/>
      </c>
      <c r="Y22" s="94" t="str">
        <f>IF(FIKIH!Z19="","",FIKIH!Z19)</f>
        <v/>
      </c>
      <c r="Z22" s="94" t="str">
        <f>IF(FIKIH!AA19="","",FIKIH!AA19)</f>
        <v/>
      </c>
      <c r="AA22" s="94" t="str">
        <f>IF(FIKIH!AB19="","",FIKIH!AB19)</f>
        <v/>
      </c>
      <c r="AB22" s="94" t="str">
        <f>IF(FIKIH!AC19="","",FIKIH!AC19)</f>
        <v/>
      </c>
      <c r="AC22" s="94" t="str">
        <f>IF(FIKIH!AD19="","",FIKIH!AD19)</f>
        <v/>
      </c>
      <c r="AD22" s="94" t="str">
        <f>IF(FIKIH!AE19="","",FIKIH!AE19)</f>
        <v/>
      </c>
      <c r="AE22" s="94" t="str">
        <f>IF(FIKIH!AF19="","",FIKIH!AF19)</f>
        <v/>
      </c>
      <c r="AF22" s="94" t="str">
        <f>IF(FIKIH!AG19="","",FIKIH!AG19)</f>
        <v/>
      </c>
      <c r="AG22" s="94">
        <f>IF(SKI!X19="","",SKI!X19)</f>
        <v>3</v>
      </c>
      <c r="AH22" s="94" t="str">
        <f>IF(SKI!Y19="","",SKI!Y19)</f>
        <v>Melaksanakan sholat dhuhur berjemaah, berdo'a di awal dan di akhir kegiatan pembelajaran , serta melaksanakan kegiatan amaliyah siswa</v>
      </c>
      <c r="AI22" s="94">
        <f>IF(SKI!Z19="","",SKI!Z19)</f>
        <v>3</v>
      </c>
      <c r="AJ22" s="94">
        <f>IF(SKI!AA19="","",SKI!AA19)</f>
        <v>3</v>
      </c>
      <c r="AK22" s="94">
        <f>IF(SKI!AB19="","",SKI!AB19)</f>
        <v>3</v>
      </c>
      <c r="AL22" s="94">
        <f>IF(SKI!AC19="","",SKI!AC19)</f>
        <v>3</v>
      </c>
      <c r="AM22" s="94">
        <f>IF(SKI!AD19="","",SKI!AD19)</f>
        <v>3</v>
      </c>
      <c r="AN22" s="94">
        <f>IF(SKI!AE19="","",SKI!AE19)</f>
        <v>3</v>
      </c>
      <c r="AO22" s="94">
        <f>IF(SKI!AF19="","",SKI!AF19)</f>
        <v>3</v>
      </c>
      <c r="AP22" s="94" t="str">
        <f>IF(SKI!AG19="","",SKI!AG19)</f>
        <v>Santun dalam bersikap, disiplin dalam mentaati tata tertib madrasah, peduli pada lingkungan, orang tua, bertanggung jawab dalam melaksanakan tugas, baik sebagai individu maupun makhluk sosial</v>
      </c>
      <c r="AQ22" s="94" t="str">
        <f>IF(PKN!X19="","",PKN!X19)</f>
        <v/>
      </c>
      <c r="AR22" s="94" t="str">
        <f>IF(PKN!Y19="","",PKN!Y19)</f>
        <v/>
      </c>
      <c r="AS22" s="94" t="str">
        <f>IF(PKN!Z19="","",PKN!Z19)</f>
        <v/>
      </c>
      <c r="AT22" s="94" t="str">
        <f>IF(PKN!AA19="","",PKN!AA19)</f>
        <v/>
      </c>
      <c r="AU22" s="94" t="str">
        <f>IF(PKN!AB19="","",PKN!AB19)</f>
        <v/>
      </c>
      <c r="AV22" s="94" t="str">
        <f>IF(PKN!AC19="","",PKN!AC19)</f>
        <v/>
      </c>
      <c r="AW22" s="94" t="str">
        <f>IF(PKN!AD19="","",PKN!AD19)</f>
        <v/>
      </c>
      <c r="AX22" s="94" t="str">
        <f>IF(PKN!AE19="","",PKN!AE19)</f>
        <v/>
      </c>
      <c r="AY22" s="94" t="str">
        <f>IF(PKN!AF19="","",PKN!AF19)</f>
        <v/>
      </c>
      <c r="AZ22" s="94" t="str">
        <f>IF(PKN!AG19="","",PKN!AG19)</f>
        <v/>
      </c>
      <c r="BA22" s="93" t="str">
        <f>IF(INDO!X19="","",INDO!X19)</f>
        <v/>
      </c>
      <c r="BB22" s="93" t="str">
        <f>IF(INDO!Y19="","",INDO!Y19)</f>
        <v/>
      </c>
      <c r="BC22" s="93" t="str">
        <f>IF(INDO!Z19="","",INDO!Z19)</f>
        <v/>
      </c>
      <c r="BD22" s="93" t="str">
        <f>IF(INDO!AA19="","",INDO!AA19)</f>
        <v/>
      </c>
      <c r="BE22" s="93" t="str">
        <f>IF(INDO!AB19="","",INDO!AB19)</f>
        <v/>
      </c>
      <c r="BF22" s="93" t="str">
        <f>IF(INDO!AC19="","",INDO!AC19)</f>
        <v/>
      </c>
      <c r="BG22" s="93" t="str">
        <f>IF(INDO!AD19="","",INDO!AD19)</f>
        <v/>
      </c>
      <c r="BH22" s="93" t="str">
        <f>IF(INDO!AE19="","",INDO!AE19)</f>
        <v/>
      </c>
      <c r="BI22" s="93" t="str">
        <f>IF(INDO!AF19="","",INDO!AF19)</f>
        <v/>
      </c>
      <c r="BJ22" s="93" t="str">
        <f>IF(INDO!AG19="","",INDO!AG19)</f>
        <v/>
      </c>
      <c r="BK22" s="93" t="str">
        <f>IF(ARAB!X19="","",ARAB!X19)</f>
        <v/>
      </c>
      <c r="BL22" s="93" t="str">
        <f>IF(ARAB!Y19="","",ARAB!Y19)</f>
        <v/>
      </c>
      <c r="BM22" s="93" t="str">
        <f>IF(ARAB!Z19="","",ARAB!Z19)</f>
        <v/>
      </c>
      <c r="BN22" s="93" t="str">
        <f>IF(ARAB!AA19="","",ARAB!AA19)</f>
        <v/>
      </c>
      <c r="BO22" s="93" t="str">
        <f>IF(ARAB!AB19="","",ARAB!AB19)</f>
        <v/>
      </c>
      <c r="BP22" s="93" t="str">
        <f>IF(ARAB!AC19="","",ARAB!AC19)</f>
        <v/>
      </c>
      <c r="BQ22" s="93" t="str">
        <f>IF(ARAB!AD19="","",ARAB!AD19)</f>
        <v/>
      </c>
      <c r="BR22" s="93" t="str">
        <f>IF(ARAB!AE19="","",ARAB!AE19)</f>
        <v/>
      </c>
      <c r="BS22" s="93" t="str">
        <f>IF(ARAB!AF19="","",ARAB!AF19)</f>
        <v/>
      </c>
      <c r="BT22" s="93" t="str">
        <f>IF(ARAB!AG19="","",ARAB!AG19)</f>
        <v/>
      </c>
      <c r="BU22" s="94" t="str">
        <f>IF(MAT!X19="","",MAT!X19)</f>
        <v/>
      </c>
      <c r="BV22" s="94" t="str">
        <f>IF(MAT!Y19="","",MAT!Y19)</f>
        <v/>
      </c>
      <c r="BW22" s="94" t="str">
        <f>IF(MAT!Z19="","",MAT!Z19)</f>
        <v/>
      </c>
      <c r="BX22" s="94" t="str">
        <f>IF(MAT!AA19="","",MAT!AA19)</f>
        <v/>
      </c>
      <c r="BY22" s="94" t="str">
        <f>IF(MAT!AB19="","",MAT!AB19)</f>
        <v/>
      </c>
      <c r="BZ22" s="94" t="str">
        <f>IF(MAT!AC19="","",MAT!AC19)</f>
        <v/>
      </c>
      <c r="CA22" s="94" t="str">
        <f>IF(MAT!AD19="","",MAT!AD19)</f>
        <v/>
      </c>
      <c r="CB22" s="94" t="str">
        <f>IF(MAT!AE19="","",MAT!AE19)</f>
        <v/>
      </c>
      <c r="CC22" s="94" t="str">
        <f>IF(MAT!AF19="","",MAT!AF19)</f>
        <v/>
      </c>
      <c r="CD22" s="94" t="str">
        <f>IF(MAT!AG19="","",MAT!AG19)</f>
        <v/>
      </c>
      <c r="CE22" s="94" t="str">
        <f>IF(IPA!X19="","",IPA!X19)</f>
        <v/>
      </c>
      <c r="CF22" s="94" t="str">
        <f>IF(IPA!Y19="","",IPA!Y19)</f>
        <v/>
      </c>
      <c r="CG22" s="94" t="str">
        <f>IF(IPA!Z19="","",IPA!Z19)</f>
        <v/>
      </c>
      <c r="CH22" s="94" t="str">
        <f>IF(IPA!AA19="","",IPA!AA19)</f>
        <v/>
      </c>
      <c r="CI22" s="94" t="str">
        <f>IF(IPA!AB19="","",IPA!AB19)</f>
        <v/>
      </c>
      <c r="CJ22" s="94" t="str">
        <f>IF(IPA!AC19="","",IPA!AC19)</f>
        <v/>
      </c>
      <c r="CK22" s="94" t="str">
        <f>IF(IPA!AD19="","",IPA!AD19)</f>
        <v/>
      </c>
      <c r="CL22" s="94" t="str">
        <f>IF(IPA!AE19="","",IPA!AE19)</f>
        <v/>
      </c>
      <c r="CM22" s="94" t="str">
        <f>IF(IPA!AF19="","",IPA!AF19)</f>
        <v/>
      </c>
      <c r="CN22" s="94" t="str">
        <f>IF(IPA!AG19="","",IPA!AG19)</f>
        <v/>
      </c>
      <c r="CO22" s="93" t="str">
        <f>IF(IPS!X19="","",IPS!X19)</f>
        <v/>
      </c>
      <c r="CP22" s="93" t="str">
        <f>IF(IPS!Y19="","",IPS!Y19)</f>
        <v/>
      </c>
      <c r="CQ22" s="93" t="str">
        <f>IF(IPS!Z19="","",IPS!Z19)</f>
        <v/>
      </c>
      <c r="CR22" s="93" t="str">
        <f>IF(IPS!AA19="","",IPS!AA19)</f>
        <v/>
      </c>
      <c r="CS22" s="93" t="str">
        <f>IF(IPS!AB19="","",IPS!AB19)</f>
        <v/>
      </c>
      <c r="CT22" s="93" t="str">
        <f>IF(IPS!AC19="","",IPS!AC19)</f>
        <v/>
      </c>
      <c r="CU22" s="93" t="str">
        <f>IF(IPS!AD19="","",IPS!AD19)</f>
        <v/>
      </c>
      <c r="CV22" s="93" t="str">
        <f>IF(IPS!AE19="","",IPS!AE19)</f>
        <v/>
      </c>
      <c r="CW22" s="93" t="str">
        <f>IF(IPS!AF19="","",IPS!AF19)</f>
        <v/>
      </c>
      <c r="CX22" s="93" t="str">
        <f>IF(IPS!AG19="","",IPS!AG19)</f>
        <v/>
      </c>
      <c r="CY22" s="94" t="str">
        <f>IF(INGG!X19="","",INGG!X19)</f>
        <v/>
      </c>
      <c r="CZ22" s="94" t="str">
        <f>IF(INGG!Y19="","",INGG!Y19)</f>
        <v/>
      </c>
      <c r="DA22" s="94" t="str">
        <f>IF(INGG!Z19="","",INGG!Z19)</f>
        <v/>
      </c>
      <c r="DB22" s="94" t="str">
        <f>IF(INGG!AA19="","",INGG!AA19)</f>
        <v/>
      </c>
      <c r="DC22" s="94" t="str">
        <f>IF(INGG!AB19="","",INGG!AB19)</f>
        <v/>
      </c>
      <c r="DD22" s="94" t="str">
        <f>IF(INGG!AC19="","",INGG!AC19)</f>
        <v/>
      </c>
      <c r="DE22" s="94" t="str">
        <f>IF(INGG!AD19="","",INGG!AD19)</f>
        <v/>
      </c>
      <c r="DF22" s="94" t="str">
        <f>IF(INGG!AE19="","",INGG!AE19)</f>
        <v/>
      </c>
      <c r="DG22" s="94" t="str">
        <f>IF(INGG!AF19="","",INGG!AF19)</f>
        <v/>
      </c>
      <c r="DH22" s="94" t="str">
        <f>IF(INGG!AG19="","",INGG!AG19)</f>
        <v/>
      </c>
      <c r="DI22" s="94" t="str">
        <f>IF(SENBUD!X19="","",SENBUD!X19)</f>
        <v/>
      </c>
      <c r="DJ22" s="94" t="str">
        <f>IF(SENBUD!Y19="","",SENBUD!Y19)</f>
        <v/>
      </c>
      <c r="DK22" s="94" t="str">
        <f>IF(SENBUD!Z19="","",SENBUD!Z19)</f>
        <v/>
      </c>
      <c r="DL22" s="94" t="str">
        <f>IF(SENBUD!AA19="","",SENBUD!AA19)</f>
        <v/>
      </c>
      <c r="DM22" s="94" t="str">
        <f>IF(SENBUD!AB19="","",SENBUD!AB19)</f>
        <v/>
      </c>
      <c r="DN22" s="94" t="str">
        <f>IF(SENBUD!AC19="","",SENBUD!AC19)</f>
        <v/>
      </c>
      <c r="DO22" s="94" t="str">
        <f>IF(SENBUD!AD19="","",SENBUD!AD19)</f>
        <v/>
      </c>
      <c r="DP22" s="94" t="str">
        <f>IF(SENBUD!AE19="","",SENBUD!AE19)</f>
        <v/>
      </c>
      <c r="DQ22" s="94" t="str">
        <f>IF(SENBUD!AF19="","",SENBUD!AF19)</f>
        <v/>
      </c>
      <c r="DR22" s="94" t="str">
        <f>IF(SENBUD!AG19="","",SENBUD!AG19)</f>
        <v/>
      </c>
      <c r="DS22" s="93" t="str">
        <f>IF(PENJAS!X19="","",PENJAS!X19)</f>
        <v/>
      </c>
      <c r="DT22" s="93" t="str">
        <f>IF(PENJAS!Y19="","",PENJAS!Y19)</f>
        <v/>
      </c>
      <c r="DU22" s="93" t="str">
        <f>IF(PENJAS!Z19="","",PENJAS!Z19)</f>
        <v/>
      </c>
      <c r="DV22" s="93" t="str">
        <f>IF(PENJAS!AA19="","",PENJAS!AA19)</f>
        <v/>
      </c>
      <c r="DW22" s="93" t="str">
        <f>IF(PENJAS!AB19="","",PENJAS!AB19)</f>
        <v/>
      </c>
      <c r="DX22" s="93" t="str">
        <f>IF(PENJAS!AC19="","",PENJAS!AC19)</f>
        <v/>
      </c>
      <c r="DY22" s="93" t="str">
        <f>IF(PENJAS!AD19="","",PENJAS!AD19)</f>
        <v/>
      </c>
      <c r="DZ22" s="93" t="str">
        <f>IF(PENJAS!AE19="","",PENJAS!AE19)</f>
        <v/>
      </c>
      <c r="EA22" s="93" t="str">
        <f>IF(PENJAS!AF19="","",PENJAS!AF19)</f>
        <v/>
      </c>
      <c r="EB22" s="93" t="str">
        <f>IF(PENJAS!AG19="","",PENJAS!AG19)</f>
        <v/>
      </c>
      <c r="EC22" s="93" t="str">
        <f>IF(PRAKARYA!X19="","",PRAKARYA!X19)</f>
        <v/>
      </c>
      <c r="ED22" s="93" t="str">
        <f>IF(PRAKARYA!Y19="","",PRAKARYA!Y19)</f>
        <v/>
      </c>
      <c r="EE22" s="93" t="str">
        <f>IF(PRAKARYA!Z19="","",PRAKARYA!Z19)</f>
        <v/>
      </c>
      <c r="EF22" s="93" t="str">
        <f>IF(PRAKARYA!AA19="","",PRAKARYA!AA19)</f>
        <v/>
      </c>
      <c r="EG22" s="93" t="str">
        <f>IF(PRAKARYA!AB19="","",PRAKARYA!AB19)</f>
        <v/>
      </c>
      <c r="EH22" s="93" t="str">
        <f>IF(PRAKARYA!AC19="","",PRAKARYA!AC19)</f>
        <v/>
      </c>
      <c r="EI22" s="93" t="str">
        <f>IF(PRAKARYA!AD19="","",PRAKARYA!AD19)</f>
        <v/>
      </c>
      <c r="EJ22" s="93" t="str">
        <f>IF(PRAKARYA!AE19="","",PRAKARYA!AE19)</f>
        <v/>
      </c>
      <c r="EK22" s="93" t="str">
        <f>IF(PRAKARYA!AF19="","",PRAKARYA!AF19)</f>
        <v/>
      </c>
      <c r="EL22" s="93" t="str">
        <f>IF(PRAKARYA!AG19="","",PRAKARYA!AG19)</f>
        <v/>
      </c>
      <c r="EM22" s="95" t="str">
        <f>IF(BADER!X19="","",BADER!X19)</f>
        <v/>
      </c>
      <c r="EN22" s="95" t="str">
        <f>IF(BADER!Y19="","",BADER!Y19)</f>
        <v/>
      </c>
      <c r="EO22" s="95" t="str">
        <f>IF(BADER!Z19="","",BADER!Z19)</f>
        <v/>
      </c>
      <c r="EP22" s="95" t="str">
        <f>IF(BADER!AA19="","",BADER!AA19)</f>
        <v/>
      </c>
      <c r="EQ22" s="95" t="str">
        <f>IF(BADER!AB19="","",BADER!AB19)</f>
        <v/>
      </c>
      <c r="ER22" s="95" t="str">
        <f>IF(BADER!AC19="","",BADER!AC19)</f>
        <v/>
      </c>
      <c r="ES22" s="95" t="str">
        <f>IF(BADER!AD19="","",BADER!AD19)</f>
        <v/>
      </c>
      <c r="ET22" s="95" t="str">
        <f>IF(BADER!AE19="","",BADER!AE19)</f>
        <v/>
      </c>
      <c r="EU22" s="95" t="str">
        <f>IF(BADER!AF19="","",BADER!AF19)</f>
        <v/>
      </c>
      <c r="EV22" s="95" t="str">
        <f>IF(BADER!AG19="","",BADER!AG19)</f>
        <v/>
      </c>
      <c r="EW22" s="96" t="str">
        <f t="shared" si="1"/>
        <v/>
      </c>
      <c r="EX22" s="96" t="str">
        <f t="shared" si="2"/>
        <v/>
      </c>
      <c r="EY22" s="96" t="str">
        <f t="shared" si="0"/>
        <v/>
      </c>
      <c r="EZ22" s="96" t="str">
        <f t="shared" si="0"/>
        <v/>
      </c>
      <c r="FA22" s="96" t="str">
        <f t="shared" si="0"/>
        <v/>
      </c>
      <c r="FB22" s="96" t="str">
        <f t="shared" si="0"/>
        <v/>
      </c>
      <c r="FC22" s="96" t="str">
        <f t="shared" si="0"/>
        <v/>
      </c>
      <c r="FD22" s="96" t="str">
        <f t="shared" si="0"/>
        <v/>
      </c>
      <c r="FE22" s="96" t="str">
        <f t="shared" si="0"/>
        <v/>
      </c>
      <c r="FF22" s="96" t="str">
        <f t="shared" si="3"/>
        <v/>
      </c>
      <c r="FG22" s="96" t="str">
        <f t="shared" si="4"/>
        <v/>
      </c>
      <c r="FH22" s="92" t="str">
        <f t="shared" si="5"/>
        <v/>
      </c>
      <c r="FI22" s="92" t="str">
        <f t="shared" si="6"/>
        <v xml:space="preserve"> </v>
      </c>
      <c r="FJ22" s="92" t="str">
        <f t="shared" si="7"/>
        <v xml:space="preserve"> </v>
      </c>
      <c r="FK22" s="92" t="str">
        <f t="shared" si="8"/>
        <v xml:space="preserve"> </v>
      </c>
      <c r="FL22" s="92" t="str">
        <f t="shared" si="9"/>
        <v xml:space="preserve"> </v>
      </c>
      <c r="FM22" s="92" t="str">
        <f t="shared" si="10"/>
        <v xml:space="preserve"> </v>
      </c>
      <c r="FN22" s="92" t="str">
        <f t="shared" si="11"/>
        <v xml:space="preserve"> </v>
      </c>
      <c r="FO22" s="92" t="str">
        <f t="shared" si="12"/>
        <v xml:space="preserve"> </v>
      </c>
      <c r="FP22" s="92" t="str">
        <f t="shared" si="13"/>
        <v xml:space="preserve">,  ,  ,  ,  ,  ,  ,  </v>
      </c>
    </row>
    <row r="23" spans="1:172">
      <c r="A23" s="66">
        <v>13</v>
      </c>
      <c r="B23" s="92" t="str">
        <f>IF(DATA!D20="","",DATA!D20)</f>
        <v>JAKFAR SODIK ROMADHONI</v>
      </c>
      <c r="C23" s="93" t="str">
        <f>IF(QH!X20="","",QH!X20)</f>
        <v/>
      </c>
      <c r="D23" s="93" t="str">
        <f>IF(QH!Y20="","",QH!Y20)</f>
        <v/>
      </c>
      <c r="E23" s="93" t="str">
        <f>IF(QH!Z20="","",QH!Z20)</f>
        <v/>
      </c>
      <c r="F23" s="93" t="str">
        <f>IF(QH!AA20="","",QH!AA20)</f>
        <v/>
      </c>
      <c r="G23" s="93" t="str">
        <f>IF(QH!AB20="","",QH!AB20)</f>
        <v/>
      </c>
      <c r="H23" s="93" t="str">
        <f>IF(QH!AC20="","",QH!AC20)</f>
        <v/>
      </c>
      <c r="I23" s="93" t="str">
        <f>IF(QH!AD20="","",QH!AD20)</f>
        <v/>
      </c>
      <c r="J23" s="93" t="str">
        <f>IF(QH!AE20="","",QH!AE20)</f>
        <v/>
      </c>
      <c r="K23" s="93" t="str">
        <f>IF(QH!AF20="","",QH!AF20)</f>
        <v/>
      </c>
      <c r="L23" s="93" t="str">
        <f>IF(QH!AG20="","",QH!AG20)</f>
        <v/>
      </c>
      <c r="M23" s="94" t="str">
        <f>IF(AA!X20="","",AA!X20)</f>
        <v/>
      </c>
      <c r="N23" s="94" t="str">
        <f>IF(AA!Y20="","",AA!Y20)</f>
        <v/>
      </c>
      <c r="O23" s="94" t="str">
        <f>IF(AA!Z20="","",AA!Z20)</f>
        <v/>
      </c>
      <c r="P23" s="94" t="str">
        <f>IF(AA!AA20="","",AA!AA20)</f>
        <v/>
      </c>
      <c r="Q23" s="94" t="str">
        <f>IF(AA!AB20="","",AA!AB20)</f>
        <v/>
      </c>
      <c r="R23" s="94" t="str">
        <f>IF(AA!AC20="","",AA!AC20)</f>
        <v/>
      </c>
      <c r="S23" s="94" t="str">
        <f>IF(AA!AD20="","",AA!AD20)</f>
        <v/>
      </c>
      <c r="T23" s="94" t="str">
        <f>IF(AA!AE20="","",AA!AE20)</f>
        <v/>
      </c>
      <c r="U23" s="94" t="str">
        <f>IF(AA!AF20="","",AA!AF20)</f>
        <v/>
      </c>
      <c r="V23" s="94" t="str">
        <f>IF(AA!AG20="","",AA!AG20)</f>
        <v/>
      </c>
      <c r="W23" s="94" t="str">
        <f>IF(FIKIH!X20="","",FIKIH!X20)</f>
        <v/>
      </c>
      <c r="X23" s="94" t="str">
        <f>IF(FIKIH!Y20="","",FIKIH!Y20)</f>
        <v/>
      </c>
      <c r="Y23" s="94" t="str">
        <f>IF(FIKIH!Z20="","",FIKIH!Z20)</f>
        <v/>
      </c>
      <c r="Z23" s="94" t="str">
        <f>IF(FIKIH!AA20="","",FIKIH!AA20)</f>
        <v/>
      </c>
      <c r="AA23" s="94" t="str">
        <f>IF(FIKIH!AB20="","",FIKIH!AB20)</f>
        <v/>
      </c>
      <c r="AB23" s="94" t="str">
        <f>IF(FIKIH!AC20="","",FIKIH!AC20)</f>
        <v/>
      </c>
      <c r="AC23" s="94" t="str">
        <f>IF(FIKIH!AD20="","",FIKIH!AD20)</f>
        <v/>
      </c>
      <c r="AD23" s="94" t="str">
        <f>IF(FIKIH!AE20="","",FIKIH!AE20)</f>
        <v/>
      </c>
      <c r="AE23" s="94" t="str">
        <f>IF(FIKIH!AF20="","",FIKIH!AF20)</f>
        <v/>
      </c>
      <c r="AF23" s="94" t="str">
        <f>IF(FIKIH!AG20="","",FIKIH!AG20)</f>
        <v/>
      </c>
      <c r="AG23" s="94">
        <f>IF(SKI!X20="","",SKI!X20)</f>
        <v>3</v>
      </c>
      <c r="AH23" s="94" t="str">
        <f>IF(SKI!Y20="","",SKI!Y20)</f>
        <v>Melaksanakan sholat dhuhur berjemaah, berdo'a di awal dan di akhir kegiatan pembelajaran , serta melaksanakan kegiatan amaliyah siswa</v>
      </c>
      <c r="AI23" s="94">
        <f>IF(SKI!Z20="","",SKI!Z20)</f>
        <v>3</v>
      </c>
      <c r="AJ23" s="94">
        <f>IF(SKI!AA20="","",SKI!AA20)</f>
        <v>3</v>
      </c>
      <c r="AK23" s="94">
        <f>IF(SKI!AB20="","",SKI!AB20)</f>
        <v>3</v>
      </c>
      <c r="AL23" s="94">
        <f>IF(SKI!AC20="","",SKI!AC20)</f>
        <v>3</v>
      </c>
      <c r="AM23" s="94">
        <f>IF(SKI!AD20="","",SKI!AD20)</f>
        <v>3</v>
      </c>
      <c r="AN23" s="94">
        <f>IF(SKI!AE20="","",SKI!AE20)</f>
        <v>3</v>
      </c>
      <c r="AO23" s="94">
        <f>IF(SKI!AF20="","",SKI!AF20)</f>
        <v>3</v>
      </c>
      <c r="AP23" s="94" t="str">
        <f>IF(SKI!AG20="","",SKI!AG20)</f>
        <v>Santun dalam bersikap, disiplin dalam mentaati tata tertib madrasah, peduli pada lingkungan, orang tua, bertanggung jawab dalam melaksanakan tugas, baik sebagai individu maupun makhluk sosial</v>
      </c>
      <c r="AQ23" s="94" t="str">
        <f>IF(PKN!X20="","",PKN!X20)</f>
        <v/>
      </c>
      <c r="AR23" s="94" t="str">
        <f>IF(PKN!Y20="","",PKN!Y20)</f>
        <v/>
      </c>
      <c r="AS23" s="94" t="str">
        <f>IF(PKN!Z20="","",PKN!Z20)</f>
        <v/>
      </c>
      <c r="AT23" s="94" t="str">
        <f>IF(PKN!AA20="","",PKN!AA20)</f>
        <v/>
      </c>
      <c r="AU23" s="94" t="str">
        <f>IF(PKN!AB20="","",PKN!AB20)</f>
        <v/>
      </c>
      <c r="AV23" s="94" t="str">
        <f>IF(PKN!AC20="","",PKN!AC20)</f>
        <v/>
      </c>
      <c r="AW23" s="94" t="str">
        <f>IF(PKN!AD20="","",PKN!AD20)</f>
        <v/>
      </c>
      <c r="AX23" s="94" t="str">
        <f>IF(PKN!AE20="","",PKN!AE20)</f>
        <v/>
      </c>
      <c r="AY23" s="94" t="str">
        <f>IF(PKN!AF20="","",PKN!AF20)</f>
        <v/>
      </c>
      <c r="AZ23" s="94" t="str">
        <f>IF(PKN!AG20="","",PKN!AG20)</f>
        <v/>
      </c>
      <c r="BA23" s="93" t="str">
        <f>IF(INDO!X20="","",INDO!X20)</f>
        <v/>
      </c>
      <c r="BB23" s="93" t="str">
        <f>IF(INDO!Y20="","",INDO!Y20)</f>
        <v/>
      </c>
      <c r="BC23" s="93" t="str">
        <f>IF(INDO!Z20="","",INDO!Z20)</f>
        <v/>
      </c>
      <c r="BD23" s="93" t="str">
        <f>IF(INDO!AA20="","",INDO!AA20)</f>
        <v/>
      </c>
      <c r="BE23" s="93" t="str">
        <f>IF(INDO!AB20="","",INDO!AB20)</f>
        <v/>
      </c>
      <c r="BF23" s="93" t="str">
        <f>IF(INDO!AC20="","",INDO!AC20)</f>
        <v/>
      </c>
      <c r="BG23" s="93" t="str">
        <f>IF(INDO!AD20="","",INDO!AD20)</f>
        <v/>
      </c>
      <c r="BH23" s="93" t="str">
        <f>IF(INDO!AE20="","",INDO!AE20)</f>
        <v/>
      </c>
      <c r="BI23" s="93" t="str">
        <f>IF(INDO!AF20="","",INDO!AF20)</f>
        <v/>
      </c>
      <c r="BJ23" s="93" t="str">
        <f>IF(INDO!AG20="","",INDO!AG20)</f>
        <v/>
      </c>
      <c r="BK23" s="93" t="str">
        <f>IF(ARAB!X20="","",ARAB!X20)</f>
        <v/>
      </c>
      <c r="BL23" s="93" t="str">
        <f>IF(ARAB!Y20="","",ARAB!Y20)</f>
        <v/>
      </c>
      <c r="BM23" s="93" t="str">
        <f>IF(ARAB!Z20="","",ARAB!Z20)</f>
        <v/>
      </c>
      <c r="BN23" s="93" t="str">
        <f>IF(ARAB!AA20="","",ARAB!AA20)</f>
        <v/>
      </c>
      <c r="BO23" s="93" t="str">
        <f>IF(ARAB!AB20="","",ARAB!AB20)</f>
        <v/>
      </c>
      <c r="BP23" s="93" t="str">
        <f>IF(ARAB!AC20="","",ARAB!AC20)</f>
        <v/>
      </c>
      <c r="BQ23" s="93" t="str">
        <f>IF(ARAB!AD20="","",ARAB!AD20)</f>
        <v/>
      </c>
      <c r="BR23" s="93" t="str">
        <f>IF(ARAB!AE20="","",ARAB!AE20)</f>
        <v/>
      </c>
      <c r="BS23" s="93" t="str">
        <f>IF(ARAB!AF20="","",ARAB!AF20)</f>
        <v/>
      </c>
      <c r="BT23" s="93" t="str">
        <f>IF(ARAB!AG20="","",ARAB!AG20)</f>
        <v/>
      </c>
      <c r="BU23" s="94" t="str">
        <f>IF(MAT!X20="","",MAT!X20)</f>
        <v/>
      </c>
      <c r="BV23" s="94" t="str">
        <f>IF(MAT!Y20="","",MAT!Y20)</f>
        <v/>
      </c>
      <c r="BW23" s="94" t="str">
        <f>IF(MAT!Z20="","",MAT!Z20)</f>
        <v/>
      </c>
      <c r="BX23" s="94" t="str">
        <f>IF(MAT!AA20="","",MAT!AA20)</f>
        <v/>
      </c>
      <c r="BY23" s="94" t="str">
        <f>IF(MAT!AB20="","",MAT!AB20)</f>
        <v/>
      </c>
      <c r="BZ23" s="94" t="str">
        <f>IF(MAT!AC20="","",MAT!AC20)</f>
        <v/>
      </c>
      <c r="CA23" s="94" t="str">
        <f>IF(MAT!AD20="","",MAT!AD20)</f>
        <v/>
      </c>
      <c r="CB23" s="94" t="str">
        <f>IF(MAT!AE20="","",MAT!AE20)</f>
        <v/>
      </c>
      <c r="CC23" s="94" t="str">
        <f>IF(MAT!AF20="","",MAT!AF20)</f>
        <v/>
      </c>
      <c r="CD23" s="94" t="str">
        <f>IF(MAT!AG20="","",MAT!AG20)</f>
        <v/>
      </c>
      <c r="CE23" s="94" t="str">
        <f>IF(IPA!X20="","",IPA!X20)</f>
        <v/>
      </c>
      <c r="CF23" s="94" t="str">
        <f>IF(IPA!Y20="","",IPA!Y20)</f>
        <v/>
      </c>
      <c r="CG23" s="94" t="str">
        <f>IF(IPA!Z20="","",IPA!Z20)</f>
        <v/>
      </c>
      <c r="CH23" s="94" t="str">
        <f>IF(IPA!AA20="","",IPA!AA20)</f>
        <v/>
      </c>
      <c r="CI23" s="94" t="str">
        <f>IF(IPA!AB20="","",IPA!AB20)</f>
        <v/>
      </c>
      <c r="CJ23" s="94" t="str">
        <f>IF(IPA!AC20="","",IPA!AC20)</f>
        <v/>
      </c>
      <c r="CK23" s="94" t="str">
        <f>IF(IPA!AD20="","",IPA!AD20)</f>
        <v/>
      </c>
      <c r="CL23" s="94" t="str">
        <f>IF(IPA!AE20="","",IPA!AE20)</f>
        <v/>
      </c>
      <c r="CM23" s="94" t="str">
        <f>IF(IPA!AF20="","",IPA!AF20)</f>
        <v/>
      </c>
      <c r="CN23" s="94" t="str">
        <f>IF(IPA!AG20="","",IPA!AG20)</f>
        <v/>
      </c>
      <c r="CO23" s="93" t="str">
        <f>IF(IPS!X20="","",IPS!X20)</f>
        <v/>
      </c>
      <c r="CP23" s="93" t="str">
        <f>IF(IPS!Y20="","",IPS!Y20)</f>
        <v/>
      </c>
      <c r="CQ23" s="93" t="str">
        <f>IF(IPS!Z20="","",IPS!Z20)</f>
        <v/>
      </c>
      <c r="CR23" s="93" t="str">
        <f>IF(IPS!AA20="","",IPS!AA20)</f>
        <v/>
      </c>
      <c r="CS23" s="93" t="str">
        <f>IF(IPS!AB20="","",IPS!AB20)</f>
        <v/>
      </c>
      <c r="CT23" s="93" t="str">
        <f>IF(IPS!AC20="","",IPS!AC20)</f>
        <v/>
      </c>
      <c r="CU23" s="93" t="str">
        <f>IF(IPS!AD20="","",IPS!AD20)</f>
        <v/>
      </c>
      <c r="CV23" s="93" t="str">
        <f>IF(IPS!AE20="","",IPS!AE20)</f>
        <v/>
      </c>
      <c r="CW23" s="93" t="str">
        <f>IF(IPS!AF20="","",IPS!AF20)</f>
        <v/>
      </c>
      <c r="CX23" s="93" t="str">
        <f>IF(IPS!AG20="","",IPS!AG20)</f>
        <v/>
      </c>
      <c r="CY23" s="94" t="str">
        <f>IF(INGG!X20="","",INGG!X20)</f>
        <v/>
      </c>
      <c r="CZ23" s="94" t="str">
        <f>IF(INGG!Y20="","",INGG!Y20)</f>
        <v/>
      </c>
      <c r="DA23" s="94" t="str">
        <f>IF(INGG!Z20="","",INGG!Z20)</f>
        <v/>
      </c>
      <c r="DB23" s="94" t="str">
        <f>IF(INGG!AA20="","",INGG!AA20)</f>
        <v/>
      </c>
      <c r="DC23" s="94" t="str">
        <f>IF(INGG!AB20="","",INGG!AB20)</f>
        <v/>
      </c>
      <c r="DD23" s="94" t="str">
        <f>IF(INGG!AC20="","",INGG!AC20)</f>
        <v/>
      </c>
      <c r="DE23" s="94" t="str">
        <f>IF(INGG!AD20="","",INGG!AD20)</f>
        <v/>
      </c>
      <c r="DF23" s="94" t="str">
        <f>IF(INGG!AE20="","",INGG!AE20)</f>
        <v/>
      </c>
      <c r="DG23" s="94" t="str">
        <f>IF(INGG!AF20="","",INGG!AF20)</f>
        <v/>
      </c>
      <c r="DH23" s="94" t="str">
        <f>IF(INGG!AG20="","",INGG!AG20)</f>
        <v/>
      </c>
      <c r="DI23" s="94" t="str">
        <f>IF(SENBUD!X20="","",SENBUD!X20)</f>
        <v/>
      </c>
      <c r="DJ23" s="94" t="str">
        <f>IF(SENBUD!Y20="","",SENBUD!Y20)</f>
        <v/>
      </c>
      <c r="DK23" s="94" t="str">
        <f>IF(SENBUD!Z20="","",SENBUD!Z20)</f>
        <v/>
      </c>
      <c r="DL23" s="94" t="str">
        <f>IF(SENBUD!AA20="","",SENBUD!AA20)</f>
        <v/>
      </c>
      <c r="DM23" s="94" t="str">
        <f>IF(SENBUD!AB20="","",SENBUD!AB20)</f>
        <v/>
      </c>
      <c r="DN23" s="94" t="str">
        <f>IF(SENBUD!AC20="","",SENBUD!AC20)</f>
        <v/>
      </c>
      <c r="DO23" s="94" t="str">
        <f>IF(SENBUD!AD20="","",SENBUD!AD20)</f>
        <v/>
      </c>
      <c r="DP23" s="94" t="str">
        <f>IF(SENBUD!AE20="","",SENBUD!AE20)</f>
        <v/>
      </c>
      <c r="DQ23" s="94" t="str">
        <f>IF(SENBUD!AF20="","",SENBUD!AF20)</f>
        <v/>
      </c>
      <c r="DR23" s="94" t="str">
        <f>IF(SENBUD!AG20="","",SENBUD!AG20)</f>
        <v/>
      </c>
      <c r="DS23" s="93" t="str">
        <f>IF(PENJAS!X20="","",PENJAS!X20)</f>
        <v/>
      </c>
      <c r="DT23" s="93" t="str">
        <f>IF(PENJAS!Y20="","",PENJAS!Y20)</f>
        <v/>
      </c>
      <c r="DU23" s="93" t="str">
        <f>IF(PENJAS!Z20="","",PENJAS!Z20)</f>
        <v/>
      </c>
      <c r="DV23" s="93" t="str">
        <f>IF(PENJAS!AA20="","",PENJAS!AA20)</f>
        <v/>
      </c>
      <c r="DW23" s="93" t="str">
        <f>IF(PENJAS!AB20="","",PENJAS!AB20)</f>
        <v/>
      </c>
      <c r="DX23" s="93" t="str">
        <f>IF(PENJAS!AC20="","",PENJAS!AC20)</f>
        <v/>
      </c>
      <c r="DY23" s="93" t="str">
        <f>IF(PENJAS!AD20="","",PENJAS!AD20)</f>
        <v/>
      </c>
      <c r="DZ23" s="93" t="str">
        <f>IF(PENJAS!AE20="","",PENJAS!AE20)</f>
        <v/>
      </c>
      <c r="EA23" s="93" t="str">
        <f>IF(PENJAS!AF20="","",PENJAS!AF20)</f>
        <v/>
      </c>
      <c r="EB23" s="93" t="str">
        <f>IF(PENJAS!AG20="","",PENJAS!AG20)</f>
        <v/>
      </c>
      <c r="EC23" s="93" t="str">
        <f>IF(PRAKARYA!X20="","",PRAKARYA!X20)</f>
        <v/>
      </c>
      <c r="ED23" s="93" t="str">
        <f>IF(PRAKARYA!Y20="","",PRAKARYA!Y20)</f>
        <v/>
      </c>
      <c r="EE23" s="93" t="str">
        <f>IF(PRAKARYA!Z20="","",PRAKARYA!Z20)</f>
        <v/>
      </c>
      <c r="EF23" s="93" t="str">
        <f>IF(PRAKARYA!AA20="","",PRAKARYA!AA20)</f>
        <v/>
      </c>
      <c r="EG23" s="93" t="str">
        <f>IF(PRAKARYA!AB20="","",PRAKARYA!AB20)</f>
        <v/>
      </c>
      <c r="EH23" s="93" t="str">
        <f>IF(PRAKARYA!AC20="","",PRAKARYA!AC20)</f>
        <v/>
      </c>
      <c r="EI23" s="93" t="str">
        <f>IF(PRAKARYA!AD20="","",PRAKARYA!AD20)</f>
        <v/>
      </c>
      <c r="EJ23" s="93" t="str">
        <f>IF(PRAKARYA!AE20="","",PRAKARYA!AE20)</f>
        <v/>
      </c>
      <c r="EK23" s="93" t="str">
        <f>IF(PRAKARYA!AF20="","",PRAKARYA!AF20)</f>
        <v/>
      </c>
      <c r="EL23" s="93" t="str">
        <f>IF(PRAKARYA!AG20="","",PRAKARYA!AG20)</f>
        <v/>
      </c>
      <c r="EM23" s="95" t="str">
        <f>IF(BADER!X20="","",BADER!X20)</f>
        <v/>
      </c>
      <c r="EN23" s="95" t="str">
        <f>IF(BADER!Y20="","",BADER!Y20)</f>
        <v/>
      </c>
      <c r="EO23" s="95" t="str">
        <f>IF(BADER!Z20="","",BADER!Z20)</f>
        <v/>
      </c>
      <c r="EP23" s="95" t="str">
        <f>IF(BADER!AA20="","",BADER!AA20)</f>
        <v/>
      </c>
      <c r="EQ23" s="95" t="str">
        <f>IF(BADER!AB20="","",BADER!AB20)</f>
        <v/>
      </c>
      <c r="ER23" s="95" t="str">
        <f>IF(BADER!AC20="","",BADER!AC20)</f>
        <v/>
      </c>
      <c r="ES23" s="95" t="str">
        <f>IF(BADER!AD20="","",BADER!AD20)</f>
        <v/>
      </c>
      <c r="ET23" s="95" t="str">
        <f>IF(BADER!AE20="","",BADER!AE20)</f>
        <v/>
      </c>
      <c r="EU23" s="95" t="str">
        <f>IF(BADER!AF20="","",BADER!AF20)</f>
        <v/>
      </c>
      <c r="EV23" s="95" t="str">
        <f>IF(BADER!AG20="","",BADER!AG20)</f>
        <v/>
      </c>
      <c r="EW23" s="96" t="str">
        <f t="shared" si="1"/>
        <v/>
      </c>
      <c r="EX23" s="96" t="str">
        <f t="shared" si="2"/>
        <v/>
      </c>
      <c r="EY23" s="96" t="str">
        <f t="shared" si="0"/>
        <v/>
      </c>
      <c r="EZ23" s="96" t="str">
        <f t="shared" si="0"/>
        <v/>
      </c>
      <c r="FA23" s="96" t="str">
        <f t="shared" si="0"/>
        <v/>
      </c>
      <c r="FB23" s="96" t="str">
        <f t="shared" si="0"/>
        <v/>
      </c>
      <c r="FC23" s="96" t="str">
        <f t="shared" si="0"/>
        <v/>
      </c>
      <c r="FD23" s="96" t="str">
        <f t="shared" si="0"/>
        <v/>
      </c>
      <c r="FE23" s="96" t="str">
        <f t="shared" si="0"/>
        <v/>
      </c>
      <c r="FF23" s="96" t="str">
        <f t="shared" si="3"/>
        <v/>
      </c>
      <c r="FG23" s="96" t="str">
        <f t="shared" si="4"/>
        <v/>
      </c>
      <c r="FH23" s="92" t="str">
        <f t="shared" si="5"/>
        <v/>
      </c>
      <c r="FI23" s="92" t="str">
        <f t="shared" si="6"/>
        <v xml:space="preserve"> </v>
      </c>
      <c r="FJ23" s="92" t="str">
        <f t="shared" si="7"/>
        <v xml:space="preserve"> </v>
      </c>
      <c r="FK23" s="92" t="str">
        <f t="shared" si="8"/>
        <v xml:space="preserve"> </v>
      </c>
      <c r="FL23" s="92" t="str">
        <f t="shared" si="9"/>
        <v xml:space="preserve"> </v>
      </c>
      <c r="FM23" s="92" t="str">
        <f t="shared" si="10"/>
        <v xml:space="preserve"> </v>
      </c>
      <c r="FN23" s="92" t="str">
        <f t="shared" si="11"/>
        <v xml:space="preserve"> </v>
      </c>
      <c r="FO23" s="92" t="str">
        <f t="shared" si="12"/>
        <v xml:space="preserve"> </v>
      </c>
      <c r="FP23" s="92" t="str">
        <f t="shared" si="13"/>
        <v xml:space="preserve">,  ,  ,  ,  ,  ,  ,  </v>
      </c>
    </row>
    <row r="24" spans="1:172">
      <c r="A24" s="66">
        <v>14</v>
      </c>
      <c r="B24" s="92" t="str">
        <f>IF(DATA!D21="","",DATA!D21)</f>
        <v>KHOIRIL NISA'</v>
      </c>
      <c r="C24" s="93" t="str">
        <f>IF(QH!X21="","",QH!X21)</f>
        <v/>
      </c>
      <c r="D24" s="93" t="str">
        <f>IF(QH!Y21="","",QH!Y21)</f>
        <v/>
      </c>
      <c r="E24" s="93" t="str">
        <f>IF(QH!Z21="","",QH!Z21)</f>
        <v/>
      </c>
      <c r="F24" s="93" t="str">
        <f>IF(QH!AA21="","",QH!AA21)</f>
        <v/>
      </c>
      <c r="G24" s="93" t="str">
        <f>IF(QH!AB21="","",QH!AB21)</f>
        <v/>
      </c>
      <c r="H24" s="93" t="str">
        <f>IF(QH!AC21="","",QH!AC21)</f>
        <v/>
      </c>
      <c r="I24" s="93" t="str">
        <f>IF(QH!AD21="","",QH!AD21)</f>
        <v/>
      </c>
      <c r="J24" s="93" t="str">
        <f>IF(QH!AE21="","",QH!AE21)</f>
        <v/>
      </c>
      <c r="K24" s="93" t="str">
        <f>IF(QH!AF21="","",QH!AF21)</f>
        <v/>
      </c>
      <c r="L24" s="93" t="str">
        <f>IF(QH!AG21="","",QH!AG21)</f>
        <v/>
      </c>
      <c r="M24" s="94" t="str">
        <f>IF(AA!X21="","",AA!X21)</f>
        <v/>
      </c>
      <c r="N24" s="94" t="str">
        <f>IF(AA!Y21="","",AA!Y21)</f>
        <v/>
      </c>
      <c r="O24" s="94" t="str">
        <f>IF(AA!Z21="","",AA!Z21)</f>
        <v/>
      </c>
      <c r="P24" s="94" t="str">
        <f>IF(AA!AA21="","",AA!AA21)</f>
        <v/>
      </c>
      <c r="Q24" s="94" t="str">
        <f>IF(AA!AB21="","",AA!AB21)</f>
        <v/>
      </c>
      <c r="R24" s="94" t="str">
        <f>IF(AA!AC21="","",AA!AC21)</f>
        <v/>
      </c>
      <c r="S24" s="94" t="str">
        <f>IF(AA!AD21="","",AA!AD21)</f>
        <v/>
      </c>
      <c r="T24" s="94" t="str">
        <f>IF(AA!AE21="","",AA!AE21)</f>
        <v/>
      </c>
      <c r="U24" s="94" t="str">
        <f>IF(AA!AF21="","",AA!AF21)</f>
        <v/>
      </c>
      <c r="V24" s="94" t="str">
        <f>IF(AA!AG21="","",AA!AG21)</f>
        <v/>
      </c>
      <c r="W24" s="94" t="str">
        <f>IF(FIKIH!X21="","",FIKIH!X21)</f>
        <v/>
      </c>
      <c r="X24" s="94" t="str">
        <f>IF(FIKIH!Y21="","",FIKIH!Y21)</f>
        <v/>
      </c>
      <c r="Y24" s="94" t="str">
        <f>IF(FIKIH!Z21="","",FIKIH!Z21)</f>
        <v/>
      </c>
      <c r="Z24" s="94" t="str">
        <f>IF(FIKIH!AA21="","",FIKIH!AA21)</f>
        <v/>
      </c>
      <c r="AA24" s="94" t="str">
        <f>IF(FIKIH!AB21="","",FIKIH!AB21)</f>
        <v/>
      </c>
      <c r="AB24" s="94" t="str">
        <f>IF(FIKIH!AC21="","",FIKIH!AC21)</f>
        <v/>
      </c>
      <c r="AC24" s="94" t="str">
        <f>IF(FIKIH!AD21="","",FIKIH!AD21)</f>
        <v/>
      </c>
      <c r="AD24" s="94" t="str">
        <f>IF(FIKIH!AE21="","",FIKIH!AE21)</f>
        <v/>
      </c>
      <c r="AE24" s="94" t="str">
        <f>IF(FIKIH!AF21="","",FIKIH!AF21)</f>
        <v/>
      </c>
      <c r="AF24" s="94" t="str">
        <f>IF(FIKIH!AG21="","",FIKIH!AG21)</f>
        <v/>
      </c>
      <c r="AG24" s="94">
        <f>IF(SKI!X21="","",SKI!X21)</f>
        <v>3</v>
      </c>
      <c r="AH24" s="94" t="str">
        <f>IF(SKI!Y21="","",SKI!Y21)</f>
        <v>Melaksanakan sholat dhuhur berjemaah, berdo'a di awal dan di akhir kegiatan pembelajaran , serta melaksanakan kegiatan amaliyah siswa</v>
      </c>
      <c r="AI24" s="94">
        <f>IF(SKI!Z21="","",SKI!Z21)</f>
        <v>3</v>
      </c>
      <c r="AJ24" s="94">
        <f>IF(SKI!AA21="","",SKI!AA21)</f>
        <v>3</v>
      </c>
      <c r="AK24" s="94">
        <f>IF(SKI!AB21="","",SKI!AB21)</f>
        <v>3</v>
      </c>
      <c r="AL24" s="94">
        <f>IF(SKI!AC21="","",SKI!AC21)</f>
        <v>3</v>
      </c>
      <c r="AM24" s="94">
        <f>IF(SKI!AD21="","",SKI!AD21)</f>
        <v>3</v>
      </c>
      <c r="AN24" s="94">
        <f>IF(SKI!AE21="","",SKI!AE21)</f>
        <v>3</v>
      </c>
      <c r="AO24" s="94">
        <f>IF(SKI!AF21="","",SKI!AF21)</f>
        <v>3</v>
      </c>
      <c r="AP24" s="94" t="str">
        <f>IF(SKI!AG21="","",SKI!AG21)</f>
        <v>Santun dalam bersikap, disiplin dalam mentaati tata tertib madrasah, peduli pada lingkungan, orang tua, bertanggung jawab dalam melaksanakan tugas, baik sebagai individu maupun makhluk sosial</v>
      </c>
      <c r="AQ24" s="94" t="str">
        <f>IF(PKN!X21="","",PKN!X21)</f>
        <v/>
      </c>
      <c r="AR24" s="94" t="str">
        <f>IF(PKN!Y21="","",PKN!Y21)</f>
        <v/>
      </c>
      <c r="AS24" s="94" t="str">
        <f>IF(PKN!Z21="","",PKN!Z21)</f>
        <v/>
      </c>
      <c r="AT24" s="94" t="str">
        <f>IF(PKN!AA21="","",PKN!AA21)</f>
        <v/>
      </c>
      <c r="AU24" s="94" t="str">
        <f>IF(PKN!AB21="","",PKN!AB21)</f>
        <v/>
      </c>
      <c r="AV24" s="94" t="str">
        <f>IF(PKN!AC21="","",PKN!AC21)</f>
        <v/>
      </c>
      <c r="AW24" s="94" t="str">
        <f>IF(PKN!AD21="","",PKN!AD21)</f>
        <v/>
      </c>
      <c r="AX24" s="94" t="str">
        <f>IF(PKN!AE21="","",PKN!AE21)</f>
        <v/>
      </c>
      <c r="AY24" s="94" t="str">
        <f>IF(PKN!AF21="","",PKN!AF21)</f>
        <v/>
      </c>
      <c r="AZ24" s="94" t="str">
        <f>IF(PKN!AG21="","",PKN!AG21)</f>
        <v/>
      </c>
      <c r="BA24" s="93" t="str">
        <f>IF(INDO!X21="","",INDO!X21)</f>
        <v/>
      </c>
      <c r="BB24" s="93" t="str">
        <f>IF(INDO!Y21="","",INDO!Y21)</f>
        <v/>
      </c>
      <c r="BC24" s="93" t="str">
        <f>IF(INDO!Z21="","",INDO!Z21)</f>
        <v/>
      </c>
      <c r="BD24" s="93" t="str">
        <f>IF(INDO!AA21="","",INDO!AA21)</f>
        <v/>
      </c>
      <c r="BE24" s="93" t="str">
        <f>IF(INDO!AB21="","",INDO!AB21)</f>
        <v/>
      </c>
      <c r="BF24" s="93" t="str">
        <f>IF(INDO!AC21="","",INDO!AC21)</f>
        <v/>
      </c>
      <c r="BG24" s="93" t="str">
        <f>IF(INDO!AD21="","",INDO!AD21)</f>
        <v/>
      </c>
      <c r="BH24" s="93" t="str">
        <f>IF(INDO!AE21="","",INDO!AE21)</f>
        <v/>
      </c>
      <c r="BI24" s="93" t="str">
        <f>IF(INDO!AF21="","",INDO!AF21)</f>
        <v/>
      </c>
      <c r="BJ24" s="93" t="str">
        <f>IF(INDO!AG21="","",INDO!AG21)</f>
        <v/>
      </c>
      <c r="BK24" s="93" t="str">
        <f>IF(ARAB!X21="","",ARAB!X21)</f>
        <v/>
      </c>
      <c r="BL24" s="93" t="str">
        <f>IF(ARAB!Y21="","",ARAB!Y21)</f>
        <v/>
      </c>
      <c r="BM24" s="93" t="str">
        <f>IF(ARAB!Z21="","",ARAB!Z21)</f>
        <v/>
      </c>
      <c r="BN24" s="93" t="str">
        <f>IF(ARAB!AA21="","",ARAB!AA21)</f>
        <v/>
      </c>
      <c r="BO24" s="93" t="str">
        <f>IF(ARAB!AB21="","",ARAB!AB21)</f>
        <v/>
      </c>
      <c r="BP24" s="93" t="str">
        <f>IF(ARAB!AC21="","",ARAB!AC21)</f>
        <v/>
      </c>
      <c r="BQ24" s="93" t="str">
        <f>IF(ARAB!AD21="","",ARAB!AD21)</f>
        <v/>
      </c>
      <c r="BR24" s="93" t="str">
        <f>IF(ARAB!AE21="","",ARAB!AE21)</f>
        <v/>
      </c>
      <c r="BS24" s="93" t="str">
        <f>IF(ARAB!AF21="","",ARAB!AF21)</f>
        <v/>
      </c>
      <c r="BT24" s="93" t="str">
        <f>IF(ARAB!AG21="","",ARAB!AG21)</f>
        <v/>
      </c>
      <c r="BU24" s="94" t="str">
        <f>IF(MAT!X21="","",MAT!X21)</f>
        <v/>
      </c>
      <c r="BV24" s="94" t="str">
        <f>IF(MAT!Y21="","",MAT!Y21)</f>
        <v/>
      </c>
      <c r="BW24" s="94" t="str">
        <f>IF(MAT!Z21="","",MAT!Z21)</f>
        <v/>
      </c>
      <c r="BX24" s="94" t="str">
        <f>IF(MAT!AA21="","",MAT!AA21)</f>
        <v/>
      </c>
      <c r="BY24" s="94" t="str">
        <f>IF(MAT!AB21="","",MAT!AB21)</f>
        <v/>
      </c>
      <c r="BZ24" s="94" t="str">
        <f>IF(MAT!AC21="","",MAT!AC21)</f>
        <v/>
      </c>
      <c r="CA24" s="94" t="str">
        <f>IF(MAT!AD21="","",MAT!AD21)</f>
        <v/>
      </c>
      <c r="CB24" s="94" t="str">
        <f>IF(MAT!AE21="","",MAT!AE21)</f>
        <v/>
      </c>
      <c r="CC24" s="94" t="str">
        <f>IF(MAT!AF21="","",MAT!AF21)</f>
        <v/>
      </c>
      <c r="CD24" s="94" t="str">
        <f>IF(MAT!AG21="","",MAT!AG21)</f>
        <v/>
      </c>
      <c r="CE24" s="94" t="str">
        <f>IF(IPA!X21="","",IPA!X21)</f>
        <v/>
      </c>
      <c r="CF24" s="94" t="str">
        <f>IF(IPA!Y21="","",IPA!Y21)</f>
        <v/>
      </c>
      <c r="CG24" s="94" t="str">
        <f>IF(IPA!Z21="","",IPA!Z21)</f>
        <v/>
      </c>
      <c r="CH24" s="94" t="str">
        <f>IF(IPA!AA21="","",IPA!AA21)</f>
        <v/>
      </c>
      <c r="CI24" s="94" t="str">
        <f>IF(IPA!AB21="","",IPA!AB21)</f>
        <v/>
      </c>
      <c r="CJ24" s="94" t="str">
        <f>IF(IPA!AC21="","",IPA!AC21)</f>
        <v/>
      </c>
      <c r="CK24" s="94" t="str">
        <f>IF(IPA!AD21="","",IPA!AD21)</f>
        <v/>
      </c>
      <c r="CL24" s="94" t="str">
        <f>IF(IPA!AE21="","",IPA!AE21)</f>
        <v/>
      </c>
      <c r="CM24" s="94" t="str">
        <f>IF(IPA!AF21="","",IPA!AF21)</f>
        <v/>
      </c>
      <c r="CN24" s="94" t="str">
        <f>IF(IPA!AG21="","",IPA!AG21)</f>
        <v/>
      </c>
      <c r="CO24" s="93" t="str">
        <f>IF(IPS!X21="","",IPS!X21)</f>
        <v/>
      </c>
      <c r="CP24" s="93" t="str">
        <f>IF(IPS!Y21="","",IPS!Y21)</f>
        <v/>
      </c>
      <c r="CQ24" s="93" t="str">
        <f>IF(IPS!Z21="","",IPS!Z21)</f>
        <v/>
      </c>
      <c r="CR24" s="93" t="str">
        <f>IF(IPS!AA21="","",IPS!AA21)</f>
        <v/>
      </c>
      <c r="CS24" s="93" t="str">
        <f>IF(IPS!AB21="","",IPS!AB21)</f>
        <v/>
      </c>
      <c r="CT24" s="93" t="str">
        <f>IF(IPS!AC21="","",IPS!AC21)</f>
        <v/>
      </c>
      <c r="CU24" s="93" t="str">
        <f>IF(IPS!AD21="","",IPS!AD21)</f>
        <v/>
      </c>
      <c r="CV24" s="93" t="str">
        <f>IF(IPS!AE21="","",IPS!AE21)</f>
        <v/>
      </c>
      <c r="CW24" s="93" t="str">
        <f>IF(IPS!AF21="","",IPS!AF21)</f>
        <v/>
      </c>
      <c r="CX24" s="93" t="str">
        <f>IF(IPS!AG21="","",IPS!AG21)</f>
        <v/>
      </c>
      <c r="CY24" s="94" t="str">
        <f>IF(INGG!X21="","",INGG!X21)</f>
        <v/>
      </c>
      <c r="CZ24" s="94" t="str">
        <f>IF(INGG!Y21="","",INGG!Y21)</f>
        <v/>
      </c>
      <c r="DA24" s="94" t="str">
        <f>IF(INGG!Z21="","",INGG!Z21)</f>
        <v/>
      </c>
      <c r="DB24" s="94" t="str">
        <f>IF(INGG!AA21="","",INGG!AA21)</f>
        <v/>
      </c>
      <c r="DC24" s="94" t="str">
        <f>IF(INGG!AB21="","",INGG!AB21)</f>
        <v/>
      </c>
      <c r="DD24" s="94" t="str">
        <f>IF(INGG!AC21="","",INGG!AC21)</f>
        <v/>
      </c>
      <c r="DE24" s="94" t="str">
        <f>IF(INGG!AD21="","",INGG!AD21)</f>
        <v/>
      </c>
      <c r="DF24" s="94" t="str">
        <f>IF(INGG!AE21="","",INGG!AE21)</f>
        <v/>
      </c>
      <c r="DG24" s="94" t="str">
        <f>IF(INGG!AF21="","",INGG!AF21)</f>
        <v/>
      </c>
      <c r="DH24" s="94" t="str">
        <f>IF(INGG!AG21="","",INGG!AG21)</f>
        <v/>
      </c>
      <c r="DI24" s="94" t="str">
        <f>IF(SENBUD!X21="","",SENBUD!X21)</f>
        <v/>
      </c>
      <c r="DJ24" s="94" t="str">
        <f>IF(SENBUD!Y21="","",SENBUD!Y21)</f>
        <v/>
      </c>
      <c r="DK24" s="94" t="str">
        <f>IF(SENBUD!Z21="","",SENBUD!Z21)</f>
        <v/>
      </c>
      <c r="DL24" s="94" t="str">
        <f>IF(SENBUD!AA21="","",SENBUD!AA21)</f>
        <v/>
      </c>
      <c r="DM24" s="94" t="str">
        <f>IF(SENBUD!AB21="","",SENBUD!AB21)</f>
        <v/>
      </c>
      <c r="DN24" s="94" t="str">
        <f>IF(SENBUD!AC21="","",SENBUD!AC21)</f>
        <v/>
      </c>
      <c r="DO24" s="94" t="str">
        <f>IF(SENBUD!AD21="","",SENBUD!AD21)</f>
        <v/>
      </c>
      <c r="DP24" s="94" t="str">
        <f>IF(SENBUD!AE21="","",SENBUD!AE21)</f>
        <v/>
      </c>
      <c r="DQ24" s="94" t="str">
        <f>IF(SENBUD!AF21="","",SENBUD!AF21)</f>
        <v/>
      </c>
      <c r="DR24" s="94" t="str">
        <f>IF(SENBUD!AG21="","",SENBUD!AG21)</f>
        <v/>
      </c>
      <c r="DS24" s="93" t="str">
        <f>IF(PENJAS!X21="","",PENJAS!X21)</f>
        <v/>
      </c>
      <c r="DT24" s="93" t="str">
        <f>IF(PENJAS!Y21="","",PENJAS!Y21)</f>
        <v/>
      </c>
      <c r="DU24" s="93" t="str">
        <f>IF(PENJAS!Z21="","",PENJAS!Z21)</f>
        <v/>
      </c>
      <c r="DV24" s="93" t="str">
        <f>IF(PENJAS!AA21="","",PENJAS!AA21)</f>
        <v/>
      </c>
      <c r="DW24" s="93" t="str">
        <f>IF(PENJAS!AB21="","",PENJAS!AB21)</f>
        <v/>
      </c>
      <c r="DX24" s="93" t="str">
        <f>IF(PENJAS!AC21="","",PENJAS!AC21)</f>
        <v/>
      </c>
      <c r="DY24" s="93" t="str">
        <f>IF(PENJAS!AD21="","",PENJAS!AD21)</f>
        <v/>
      </c>
      <c r="DZ24" s="93" t="str">
        <f>IF(PENJAS!AE21="","",PENJAS!AE21)</f>
        <v/>
      </c>
      <c r="EA24" s="93" t="str">
        <f>IF(PENJAS!AF21="","",PENJAS!AF21)</f>
        <v/>
      </c>
      <c r="EB24" s="93" t="str">
        <f>IF(PENJAS!AG21="","",PENJAS!AG21)</f>
        <v/>
      </c>
      <c r="EC24" s="93" t="str">
        <f>IF(PRAKARYA!X21="","",PRAKARYA!X21)</f>
        <v/>
      </c>
      <c r="ED24" s="93" t="str">
        <f>IF(PRAKARYA!Y21="","",PRAKARYA!Y21)</f>
        <v/>
      </c>
      <c r="EE24" s="93" t="str">
        <f>IF(PRAKARYA!Z21="","",PRAKARYA!Z21)</f>
        <v/>
      </c>
      <c r="EF24" s="93" t="str">
        <f>IF(PRAKARYA!AA21="","",PRAKARYA!AA21)</f>
        <v/>
      </c>
      <c r="EG24" s="93" t="str">
        <f>IF(PRAKARYA!AB21="","",PRAKARYA!AB21)</f>
        <v/>
      </c>
      <c r="EH24" s="93" t="str">
        <f>IF(PRAKARYA!AC21="","",PRAKARYA!AC21)</f>
        <v/>
      </c>
      <c r="EI24" s="93" t="str">
        <f>IF(PRAKARYA!AD21="","",PRAKARYA!AD21)</f>
        <v/>
      </c>
      <c r="EJ24" s="93" t="str">
        <f>IF(PRAKARYA!AE21="","",PRAKARYA!AE21)</f>
        <v/>
      </c>
      <c r="EK24" s="93" t="str">
        <f>IF(PRAKARYA!AF21="","",PRAKARYA!AF21)</f>
        <v/>
      </c>
      <c r="EL24" s="93" t="str">
        <f>IF(PRAKARYA!AG21="","",PRAKARYA!AG21)</f>
        <v/>
      </c>
      <c r="EM24" s="95" t="str">
        <f>IF(BADER!X21="","",BADER!X21)</f>
        <v/>
      </c>
      <c r="EN24" s="95" t="str">
        <f>IF(BADER!Y21="","",BADER!Y21)</f>
        <v/>
      </c>
      <c r="EO24" s="95" t="str">
        <f>IF(BADER!Z21="","",BADER!Z21)</f>
        <v/>
      </c>
      <c r="EP24" s="95" t="str">
        <f>IF(BADER!AA21="","",BADER!AA21)</f>
        <v/>
      </c>
      <c r="EQ24" s="95" t="str">
        <f>IF(BADER!AB21="","",BADER!AB21)</f>
        <v/>
      </c>
      <c r="ER24" s="95" t="str">
        <f>IF(BADER!AC21="","",BADER!AC21)</f>
        <v/>
      </c>
      <c r="ES24" s="95" t="str">
        <f>IF(BADER!AD21="","",BADER!AD21)</f>
        <v/>
      </c>
      <c r="ET24" s="95" t="str">
        <f>IF(BADER!AE21="","",BADER!AE21)</f>
        <v/>
      </c>
      <c r="EU24" s="95" t="str">
        <f>IF(BADER!AF21="","",BADER!AF21)</f>
        <v/>
      </c>
      <c r="EV24" s="95" t="str">
        <f>IF(BADER!AG21="","",BADER!AG21)</f>
        <v/>
      </c>
      <c r="EW24" s="96" t="str">
        <f t="shared" si="1"/>
        <v/>
      </c>
      <c r="EX24" s="96" t="str">
        <f t="shared" si="2"/>
        <v/>
      </c>
      <c r="EY24" s="96" t="str">
        <f t="shared" si="0"/>
        <v/>
      </c>
      <c r="EZ24" s="96" t="str">
        <f t="shared" si="0"/>
        <v/>
      </c>
      <c r="FA24" s="96" t="str">
        <f t="shared" si="0"/>
        <v/>
      </c>
      <c r="FB24" s="96" t="str">
        <f t="shared" si="0"/>
        <v/>
      </c>
      <c r="FC24" s="96" t="str">
        <f t="shared" si="0"/>
        <v/>
      </c>
      <c r="FD24" s="96" t="str">
        <f t="shared" si="0"/>
        <v/>
      </c>
      <c r="FE24" s="96" t="str">
        <f t="shared" si="0"/>
        <v/>
      </c>
      <c r="FF24" s="96" t="str">
        <f t="shared" si="3"/>
        <v/>
      </c>
      <c r="FG24" s="96" t="str">
        <f t="shared" si="4"/>
        <v/>
      </c>
      <c r="FH24" s="92" t="str">
        <f t="shared" si="5"/>
        <v/>
      </c>
      <c r="FI24" s="92" t="str">
        <f t="shared" si="6"/>
        <v xml:space="preserve"> </v>
      </c>
      <c r="FJ24" s="92" t="str">
        <f t="shared" si="7"/>
        <v xml:space="preserve"> </v>
      </c>
      <c r="FK24" s="92" t="str">
        <f t="shared" si="8"/>
        <v xml:space="preserve"> </v>
      </c>
      <c r="FL24" s="92" t="str">
        <f t="shared" si="9"/>
        <v xml:space="preserve"> </v>
      </c>
      <c r="FM24" s="92" t="str">
        <f t="shared" si="10"/>
        <v xml:space="preserve"> </v>
      </c>
      <c r="FN24" s="92" t="str">
        <f t="shared" si="11"/>
        <v xml:space="preserve"> </v>
      </c>
      <c r="FO24" s="92" t="str">
        <f t="shared" si="12"/>
        <v xml:space="preserve"> </v>
      </c>
      <c r="FP24" s="92" t="str">
        <f t="shared" si="13"/>
        <v xml:space="preserve">,  ,  ,  ,  ,  ,  ,  </v>
      </c>
    </row>
    <row r="25" spans="1:172">
      <c r="A25" s="66">
        <v>15</v>
      </c>
      <c r="B25" s="92" t="str">
        <f>IF(DATA!D22="","",DATA!D22)</f>
        <v>LATIFA MAHARANI</v>
      </c>
      <c r="C25" s="93" t="str">
        <f>IF(QH!X22="","",QH!X22)</f>
        <v/>
      </c>
      <c r="D25" s="93" t="str">
        <f>IF(QH!Y22="","",QH!Y22)</f>
        <v/>
      </c>
      <c r="E25" s="93" t="str">
        <f>IF(QH!Z22="","",QH!Z22)</f>
        <v/>
      </c>
      <c r="F25" s="93" t="str">
        <f>IF(QH!AA22="","",QH!AA22)</f>
        <v/>
      </c>
      <c r="G25" s="93" t="str">
        <f>IF(QH!AB22="","",QH!AB22)</f>
        <v/>
      </c>
      <c r="H25" s="93" t="str">
        <f>IF(QH!AC22="","",QH!AC22)</f>
        <v/>
      </c>
      <c r="I25" s="93" t="str">
        <f>IF(QH!AD22="","",QH!AD22)</f>
        <v/>
      </c>
      <c r="J25" s="93" t="str">
        <f>IF(QH!AE22="","",QH!AE22)</f>
        <v/>
      </c>
      <c r="K25" s="93" t="str">
        <f>IF(QH!AF22="","",QH!AF22)</f>
        <v/>
      </c>
      <c r="L25" s="93" t="str">
        <f>IF(QH!AG22="","",QH!AG22)</f>
        <v/>
      </c>
      <c r="M25" s="94" t="str">
        <f>IF(AA!X22="","",AA!X22)</f>
        <v/>
      </c>
      <c r="N25" s="94" t="str">
        <f>IF(AA!Y22="","",AA!Y22)</f>
        <v/>
      </c>
      <c r="O25" s="94" t="str">
        <f>IF(AA!Z22="","",AA!Z22)</f>
        <v/>
      </c>
      <c r="P25" s="94" t="str">
        <f>IF(AA!AA22="","",AA!AA22)</f>
        <v/>
      </c>
      <c r="Q25" s="94" t="str">
        <f>IF(AA!AB22="","",AA!AB22)</f>
        <v/>
      </c>
      <c r="R25" s="94" t="str">
        <f>IF(AA!AC22="","",AA!AC22)</f>
        <v/>
      </c>
      <c r="S25" s="94" t="str">
        <f>IF(AA!AD22="","",AA!AD22)</f>
        <v/>
      </c>
      <c r="T25" s="94" t="str">
        <f>IF(AA!AE22="","",AA!AE22)</f>
        <v/>
      </c>
      <c r="U25" s="94" t="str">
        <f>IF(AA!AF22="","",AA!AF22)</f>
        <v/>
      </c>
      <c r="V25" s="94" t="str">
        <f>IF(AA!AG22="","",AA!AG22)</f>
        <v/>
      </c>
      <c r="W25" s="94" t="str">
        <f>IF(FIKIH!X22="","",FIKIH!X22)</f>
        <v/>
      </c>
      <c r="X25" s="94" t="str">
        <f>IF(FIKIH!Y22="","",FIKIH!Y22)</f>
        <v/>
      </c>
      <c r="Y25" s="94" t="str">
        <f>IF(FIKIH!Z22="","",FIKIH!Z22)</f>
        <v/>
      </c>
      <c r="Z25" s="94" t="str">
        <f>IF(FIKIH!AA22="","",FIKIH!AA22)</f>
        <v/>
      </c>
      <c r="AA25" s="94" t="str">
        <f>IF(FIKIH!AB22="","",FIKIH!AB22)</f>
        <v/>
      </c>
      <c r="AB25" s="94" t="str">
        <f>IF(FIKIH!AC22="","",FIKIH!AC22)</f>
        <v/>
      </c>
      <c r="AC25" s="94" t="str">
        <f>IF(FIKIH!AD22="","",FIKIH!AD22)</f>
        <v/>
      </c>
      <c r="AD25" s="94" t="str">
        <f>IF(FIKIH!AE22="","",FIKIH!AE22)</f>
        <v/>
      </c>
      <c r="AE25" s="94" t="str">
        <f>IF(FIKIH!AF22="","",FIKIH!AF22)</f>
        <v/>
      </c>
      <c r="AF25" s="94" t="str">
        <f>IF(FIKIH!AG22="","",FIKIH!AG22)</f>
        <v/>
      </c>
      <c r="AG25" s="94">
        <f>IF(SKI!X22="","",SKI!X22)</f>
        <v>3</v>
      </c>
      <c r="AH25" s="94" t="str">
        <f>IF(SKI!Y22="","",SKI!Y22)</f>
        <v>Melaksanakan sholat dhuhur berjemaah, berdo'a di awal dan di akhir kegiatan pembelajaran , serta melaksanakan kegiatan amaliyah siswa</v>
      </c>
      <c r="AI25" s="94">
        <f>IF(SKI!Z22="","",SKI!Z22)</f>
        <v>3</v>
      </c>
      <c r="AJ25" s="94">
        <f>IF(SKI!AA22="","",SKI!AA22)</f>
        <v>3</v>
      </c>
      <c r="AK25" s="94">
        <f>IF(SKI!AB22="","",SKI!AB22)</f>
        <v>3</v>
      </c>
      <c r="AL25" s="94">
        <f>IF(SKI!AC22="","",SKI!AC22)</f>
        <v>3</v>
      </c>
      <c r="AM25" s="94">
        <f>IF(SKI!AD22="","",SKI!AD22)</f>
        <v>3</v>
      </c>
      <c r="AN25" s="94">
        <f>IF(SKI!AE22="","",SKI!AE22)</f>
        <v>3</v>
      </c>
      <c r="AO25" s="94">
        <f>IF(SKI!AF22="","",SKI!AF22)</f>
        <v>3</v>
      </c>
      <c r="AP25" s="94" t="str">
        <f>IF(SKI!AG22="","",SKI!AG22)</f>
        <v>Santun dalam bersikap, disiplin dalam mentaati tata tertib madrasah, peduli pada lingkungan, orang tua, bertanggung jawab dalam melaksanakan tugas, baik sebagai individu maupun makhluk sosial</v>
      </c>
      <c r="AQ25" s="94" t="str">
        <f>IF(PKN!X22="","",PKN!X22)</f>
        <v/>
      </c>
      <c r="AR25" s="94" t="str">
        <f>IF(PKN!Y22="","",PKN!Y22)</f>
        <v/>
      </c>
      <c r="AS25" s="94" t="str">
        <f>IF(PKN!Z22="","",PKN!Z22)</f>
        <v/>
      </c>
      <c r="AT25" s="94" t="str">
        <f>IF(PKN!AA22="","",PKN!AA22)</f>
        <v/>
      </c>
      <c r="AU25" s="94" t="str">
        <f>IF(PKN!AB22="","",PKN!AB22)</f>
        <v/>
      </c>
      <c r="AV25" s="94" t="str">
        <f>IF(PKN!AC22="","",PKN!AC22)</f>
        <v/>
      </c>
      <c r="AW25" s="94" t="str">
        <f>IF(PKN!AD22="","",PKN!AD22)</f>
        <v/>
      </c>
      <c r="AX25" s="94" t="str">
        <f>IF(PKN!AE22="","",PKN!AE22)</f>
        <v/>
      </c>
      <c r="AY25" s="94" t="str">
        <f>IF(PKN!AF22="","",PKN!AF22)</f>
        <v/>
      </c>
      <c r="AZ25" s="94" t="str">
        <f>IF(PKN!AG22="","",PKN!AG22)</f>
        <v/>
      </c>
      <c r="BA25" s="93" t="str">
        <f>IF(INDO!X22="","",INDO!X22)</f>
        <v/>
      </c>
      <c r="BB25" s="93" t="str">
        <f>IF(INDO!Y22="","",INDO!Y22)</f>
        <v/>
      </c>
      <c r="BC25" s="93" t="str">
        <f>IF(INDO!Z22="","",INDO!Z22)</f>
        <v/>
      </c>
      <c r="BD25" s="93" t="str">
        <f>IF(INDO!AA22="","",INDO!AA22)</f>
        <v/>
      </c>
      <c r="BE25" s="93" t="str">
        <f>IF(INDO!AB22="","",INDO!AB22)</f>
        <v/>
      </c>
      <c r="BF25" s="93" t="str">
        <f>IF(INDO!AC22="","",INDO!AC22)</f>
        <v/>
      </c>
      <c r="BG25" s="93" t="str">
        <f>IF(INDO!AD22="","",INDO!AD22)</f>
        <v/>
      </c>
      <c r="BH25" s="93" t="str">
        <f>IF(INDO!AE22="","",INDO!AE22)</f>
        <v/>
      </c>
      <c r="BI25" s="93" t="str">
        <f>IF(INDO!AF22="","",INDO!AF22)</f>
        <v/>
      </c>
      <c r="BJ25" s="93" t="str">
        <f>IF(INDO!AG22="","",INDO!AG22)</f>
        <v/>
      </c>
      <c r="BK25" s="93" t="str">
        <f>IF(ARAB!X22="","",ARAB!X22)</f>
        <v/>
      </c>
      <c r="BL25" s="93" t="str">
        <f>IF(ARAB!Y22="","",ARAB!Y22)</f>
        <v/>
      </c>
      <c r="BM25" s="93" t="str">
        <f>IF(ARAB!Z22="","",ARAB!Z22)</f>
        <v/>
      </c>
      <c r="BN25" s="93" t="str">
        <f>IF(ARAB!AA22="","",ARAB!AA22)</f>
        <v/>
      </c>
      <c r="BO25" s="93" t="str">
        <f>IF(ARAB!AB22="","",ARAB!AB22)</f>
        <v/>
      </c>
      <c r="BP25" s="93" t="str">
        <f>IF(ARAB!AC22="","",ARAB!AC22)</f>
        <v/>
      </c>
      <c r="BQ25" s="93" t="str">
        <f>IF(ARAB!AD22="","",ARAB!AD22)</f>
        <v/>
      </c>
      <c r="BR25" s="93" t="str">
        <f>IF(ARAB!AE22="","",ARAB!AE22)</f>
        <v/>
      </c>
      <c r="BS25" s="93" t="str">
        <f>IF(ARAB!AF22="","",ARAB!AF22)</f>
        <v/>
      </c>
      <c r="BT25" s="93" t="str">
        <f>IF(ARAB!AG22="","",ARAB!AG22)</f>
        <v/>
      </c>
      <c r="BU25" s="94" t="str">
        <f>IF(MAT!X22="","",MAT!X22)</f>
        <v/>
      </c>
      <c r="BV25" s="94" t="str">
        <f>IF(MAT!Y22="","",MAT!Y22)</f>
        <v/>
      </c>
      <c r="BW25" s="94" t="str">
        <f>IF(MAT!Z22="","",MAT!Z22)</f>
        <v/>
      </c>
      <c r="BX25" s="94" t="str">
        <f>IF(MAT!AA22="","",MAT!AA22)</f>
        <v/>
      </c>
      <c r="BY25" s="94" t="str">
        <f>IF(MAT!AB22="","",MAT!AB22)</f>
        <v/>
      </c>
      <c r="BZ25" s="94" t="str">
        <f>IF(MAT!AC22="","",MAT!AC22)</f>
        <v/>
      </c>
      <c r="CA25" s="94" t="str">
        <f>IF(MAT!AD22="","",MAT!AD22)</f>
        <v/>
      </c>
      <c r="CB25" s="94" t="str">
        <f>IF(MAT!AE22="","",MAT!AE22)</f>
        <v/>
      </c>
      <c r="CC25" s="94" t="str">
        <f>IF(MAT!AF22="","",MAT!AF22)</f>
        <v/>
      </c>
      <c r="CD25" s="94" t="str">
        <f>IF(MAT!AG22="","",MAT!AG22)</f>
        <v/>
      </c>
      <c r="CE25" s="94" t="str">
        <f>IF(IPA!X22="","",IPA!X22)</f>
        <v/>
      </c>
      <c r="CF25" s="94" t="str">
        <f>IF(IPA!Y22="","",IPA!Y22)</f>
        <v/>
      </c>
      <c r="CG25" s="94" t="str">
        <f>IF(IPA!Z22="","",IPA!Z22)</f>
        <v/>
      </c>
      <c r="CH25" s="94" t="str">
        <f>IF(IPA!AA22="","",IPA!AA22)</f>
        <v/>
      </c>
      <c r="CI25" s="94" t="str">
        <f>IF(IPA!AB22="","",IPA!AB22)</f>
        <v/>
      </c>
      <c r="CJ25" s="94" t="str">
        <f>IF(IPA!AC22="","",IPA!AC22)</f>
        <v/>
      </c>
      <c r="CK25" s="94" t="str">
        <f>IF(IPA!AD22="","",IPA!AD22)</f>
        <v/>
      </c>
      <c r="CL25" s="94" t="str">
        <f>IF(IPA!AE22="","",IPA!AE22)</f>
        <v/>
      </c>
      <c r="CM25" s="94" t="str">
        <f>IF(IPA!AF22="","",IPA!AF22)</f>
        <v/>
      </c>
      <c r="CN25" s="94" t="str">
        <f>IF(IPA!AG22="","",IPA!AG22)</f>
        <v/>
      </c>
      <c r="CO25" s="93" t="str">
        <f>IF(IPS!X22="","",IPS!X22)</f>
        <v/>
      </c>
      <c r="CP25" s="93" t="str">
        <f>IF(IPS!Y22="","",IPS!Y22)</f>
        <v/>
      </c>
      <c r="CQ25" s="93" t="str">
        <f>IF(IPS!Z22="","",IPS!Z22)</f>
        <v/>
      </c>
      <c r="CR25" s="93" t="str">
        <f>IF(IPS!AA22="","",IPS!AA22)</f>
        <v/>
      </c>
      <c r="CS25" s="93" t="str">
        <f>IF(IPS!AB22="","",IPS!AB22)</f>
        <v/>
      </c>
      <c r="CT25" s="93" t="str">
        <f>IF(IPS!AC22="","",IPS!AC22)</f>
        <v/>
      </c>
      <c r="CU25" s="93" t="str">
        <f>IF(IPS!AD22="","",IPS!AD22)</f>
        <v/>
      </c>
      <c r="CV25" s="93" t="str">
        <f>IF(IPS!AE22="","",IPS!AE22)</f>
        <v/>
      </c>
      <c r="CW25" s="93" t="str">
        <f>IF(IPS!AF22="","",IPS!AF22)</f>
        <v/>
      </c>
      <c r="CX25" s="93" t="str">
        <f>IF(IPS!AG22="","",IPS!AG22)</f>
        <v/>
      </c>
      <c r="CY25" s="94" t="str">
        <f>IF(INGG!X22="","",INGG!X22)</f>
        <v/>
      </c>
      <c r="CZ25" s="94" t="str">
        <f>IF(INGG!Y22="","",INGG!Y22)</f>
        <v/>
      </c>
      <c r="DA25" s="94" t="str">
        <f>IF(INGG!Z22="","",INGG!Z22)</f>
        <v/>
      </c>
      <c r="DB25" s="94" t="str">
        <f>IF(INGG!AA22="","",INGG!AA22)</f>
        <v/>
      </c>
      <c r="DC25" s="94" t="str">
        <f>IF(INGG!AB22="","",INGG!AB22)</f>
        <v/>
      </c>
      <c r="DD25" s="94" t="str">
        <f>IF(INGG!AC22="","",INGG!AC22)</f>
        <v/>
      </c>
      <c r="DE25" s="94" t="str">
        <f>IF(INGG!AD22="","",INGG!AD22)</f>
        <v/>
      </c>
      <c r="DF25" s="94" t="str">
        <f>IF(INGG!AE22="","",INGG!AE22)</f>
        <v/>
      </c>
      <c r="DG25" s="94" t="str">
        <f>IF(INGG!AF22="","",INGG!AF22)</f>
        <v/>
      </c>
      <c r="DH25" s="94" t="str">
        <f>IF(INGG!AG22="","",INGG!AG22)</f>
        <v/>
      </c>
      <c r="DI25" s="94" t="str">
        <f>IF(SENBUD!X22="","",SENBUD!X22)</f>
        <v/>
      </c>
      <c r="DJ25" s="94" t="str">
        <f>IF(SENBUD!Y22="","",SENBUD!Y22)</f>
        <v/>
      </c>
      <c r="DK25" s="94" t="str">
        <f>IF(SENBUD!Z22="","",SENBUD!Z22)</f>
        <v/>
      </c>
      <c r="DL25" s="94" t="str">
        <f>IF(SENBUD!AA22="","",SENBUD!AA22)</f>
        <v/>
      </c>
      <c r="DM25" s="94" t="str">
        <f>IF(SENBUD!AB22="","",SENBUD!AB22)</f>
        <v/>
      </c>
      <c r="DN25" s="94" t="str">
        <f>IF(SENBUD!AC22="","",SENBUD!AC22)</f>
        <v/>
      </c>
      <c r="DO25" s="94" t="str">
        <f>IF(SENBUD!AD22="","",SENBUD!AD22)</f>
        <v/>
      </c>
      <c r="DP25" s="94" t="str">
        <f>IF(SENBUD!AE22="","",SENBUD!AE22)</f>
        <v/>
      </c>
      <c r="DQ25" s="94" t="str">
        <f>IF(SENBUD!AF22="","",SENBUD!AF22)</f>
        <v/>
      </c>
      <c r="DR25" s="94" t="str">
        <f>IF(SENBUD!AG22="","",SENBUD!AG22)</f>
        <v/>
      </c>
      <c r="DS25" s="93" t="str">
        <f>IF(PENJAS!X22="","",PENJAS!X22)</f>
        <v/>
      </c>
      <c r="DT25" s="93" t="str">
        <f>IF(PENJAS!Y22="","",PENJAS!Y22)</f>
        <v/>
      </c>
      <c r="DU25" s="93" t="str">
        <f>IF(PENJAS!Z22="","",PENJAS!Z22)</f>
        <v/>
      </c>
      <c r="DV25" s="93" t="str">
        <f>IF(PENJAS!AA22="","",PENJAS!AA22)</f>
        <v/>
      </c>
      <c r="DW25" s="93" t="str">
        <f>IF(PENJAS!AB22="","",PENJAS!AB22)</f>
        <v/>
      </c>
      <c r="DX25" s="93" t="str">
        <f>IF(PENJAS!AC22="","",PENJAS!AC22)</f>
        <v/>
      </c>
      <c r="DY25" s="93" t="str">
        <f>IF(PENJAS!AD22="","",PENJAS!AD22)</f>
        <v/>
      </c>
      <c r="DZ25" s="93" t="str">
        <f>IF(PENJAS!AE22="","",PENJAS!AE22)</f>
        <v/>
      </c>
      <c r="EA25" s="93" t="str">
        <f>IF(PENJAS!AF22="","",PENJAS!AF22)</f>
        <v/>
      </c>
      <c r="EB25" s="93" t="str">
        <f>IF(PENJAS!AG22="","",PENJAS!AG22)</f>
        <v/>
      </c>
      <c r="EC25" s="93" t="str">
        <f>IF(PRAKARYA!X22="","",PRAKARYA!X22)</f>
        <v/>
      </c>
      <c r="ED25" s="93" t="str">
        <f>IF(PRAKARYA!Y22="","",PRAKARYA!Y22)</f>
        <v/>
      </c>
      <c r="EE25" s="93" t="str">
        <f>IF(PRAKARYA!Z22="","",PRAKARYA!Z22)</f>
        <v/>
      </c>
      <c r="EF25" s="93" t="str">
        <f>IF(PRAKARYA!AA22="","",PRAKARYA!AA22)</f>
        <v/>
      </c>
      <c r="EG25" s="93" t="str">
        <f>IF(PRAKARYA!AB22="","",PRAKARYA!AB22)</f>
        <v/>
      </c>
      <c r="EH25" s="93" t="str">
        <f>IF(PRAKARYA!AC22="","",PRAKARYA!AC22)</f>
        <v/>
      </c>
      <c r="EI25" s="93" t="str">
        <f>IF(PRAKARYA!AD22="","",PRAKARYA!AD22)</f>
        <v/>
      </c>
      <c r="EJ25" s="93" t="str">
        <f>IF(PRAKARYA!AE22="","",PRAKARYA!AE22)</f>
        <v/>
      </c>
      <c r="EK25" s="93" t="str">
        <f>IF(PRAKARYA!AF22="","",PRAKARYA!AF22)</f>
        <v/>
      </c>
      <c r="EL25" s="93" t="str">
        <f>IF(PRAKARYA!AG22="","",PRAKARYA!AG22)</f>
        <v/>
      </c>
      <c r="EM25" s="95" t="str">
        <f>IF(BADER!X22="","",BADER!X22)</f>
        <v/>
      </c>
      <c r="EN25" s="95" t="str">
        <f>IF(BADER!Y22="","",BADER!Y22)</f>
        <v/>
      </c>
      <c r="EO25" s="95" t="str">
        <f>IF(BADER!Z22="","",BADER!Z22)</f>
        <v/>
      </c>
      <c r="EP25" s="95" t="str">
        <f>IF(BADER!AA22="","",BADER!AA22)</f>
        <v/>
      </c>
      <c r="EQ25" s="95" t="str">
        <f>IF(BADER!AB22="","",BADER!AB22)</f>
        <v/>
      </c>
      <c r="ER25" s="95" t="str">
        <f>IF(BADER!AC22="","",BADER!AC22)</f>
        <v/>
      </c>
      <c r="ES25" s="95" t="str">
        <f>IF(BADER!AD22="","",BADER!AD22)</f>
        <v/>
      </c>
      <c r="ET25" s="95" t="str">
        <f>IF(BADER!AE22="","",BADER!AE22)</f>
        <v/>
      </c>
      <c r="EU25" s="95" t="str">
        <f>IF(BADER!AF22="","",BADER!AF22)</f>
        <v/>
      </c>
      <c r="EV25" s="95" t="str">
        <f>IF(BADER!AG22="","",BADER!AG22)</f>
        <v/>
      </c>
      <c r="EW25" s="96" t="str">
        <f t="shared" si="1"/>
        <v/>
      </c>
      <c r="EX25" s="96" t="str">
        <f t="shared" si="2"/>
        <v/>
      </c>
      <c r="EY25" s="96" t="str">
        <f t="shared" si="0"/>
        <v/>
      </c>
      <c r="EZ25" s="96" t="str">
        <f t="shared" si="0"/>
        <v/>
      </c>
      <c r="FA25" s="96" t="str">
        <f t="shared" si="0"/>
        <v/>
      </c>
      <c r="FB25" s="96" t="str">
        <f t="shared" si="0"/>
        <v/>
      </c>
      <c r="FC25" s="96" t="str">
        <f t="shared" si="0"/>
        <v/>
      </c>
      <c r="FD25" s="96" t="str">
        <f t="shared" si="0"/>
        <v/>
      </c>
      <c r="FE25" s="96" t="str">
        <f t="shared" si="0"/>
        <v/>
      </c>
      <c r="FF25" s="96" t="str">
        <f t="shared" si="3"/>
        <v/>
      </c>
      <c r="FG25" s="96" t="str">
        <f t="shared" si="4"/>
        <v/>
      </c>
      <c r="FH25" s="92" t="str">
        <f t="shared" si="5"/>
        <v/>
      </c>
      <c r="FI25" s="92" t="str">
        <f t="shared" si="6"/>
        <v xml:space="preserve"> </v>
      </c>
      <c r="FJ25" s="92" t="str">
        <f t="shared" si="7"/>
        <v xml:space="preserve"> </v>
      </c>
      <c r="FK25" s="92" t="str">
        <f t="shared" si="8"/>
        <v xml:space="preserve"> </v>
      </c>
      <c r="FL25" s="92" t="str">
        <f t="shared" si="9"/>
        <v xml:space="preserve"> </v>
      </c>
      <c r="FM25" s="92" t="str">
        <f t="shared" si="10"/>
        <v xml:space="preserve"> </v>
      </c>
      <c r="FN25" s="92" t="str">
        <f t="shared" si="11"/>
        <v xml:space="preserve"> </v>
      </c>
      <c r="FO25" s="92" t="str">
        <f t="shared" si="12"/>
        <v xml:space="preserve"> </v>
      </c>
      <c r="FP25" s="92" t="str">
        <f t="shared" si="13"/>
        <v xml:space="preserve">,  ,  ,  ,  ,  ,  ,  </v>
      </c>
    </row>
    <row r="26" spans="1:172">
      <c r="A26" s="66">
        <v>16</v>
      </c>
      <c r="B26" s="92" t="str">
        <f>IF(DATA!D23="","",DATA!D23)</f>
        <v>LUQMANUL FIKRI SYAIFULLAH</v>
      </c>
      <c r="C26" s="93" t="str">
        <f>IF(QH!X23="","",QH!X23)</f>
        <v/>
      </c>
      <c r="D26" s="93" t="str">
        <f>IF(QH!Y23="","",QH!Y23)</f>
        <v/>
      </c>
      <c r="E26" s="93" t="str">
        <f>IF(QH!Z23="","",QH!Z23)</f>
        <v/>
      </c>
      <c r="F26" s="93" t="str">
        <f>IF(QH!AA23="","",QH!AA23)</f>
        <v/>
      </c>
      <c r="G26" s="93" t="str">
        <f>IF(QH!AB23="","",QH!AB23)</f>
        <v/>
      </c>
      <c r="H26" s="93" t="str">
        <f>IF(QH!AC23="","",QH!AC23)</f>
        <v/>
      </c>
      <c r="I26" s="93" t="str">
        <f>IF(QH!AD23="","",QH!AD23)</f>
        <v/>
      </c>
      <c r="J26" s="93" t="str">
        <f>IF(QH!AE23="","",QH!AE23)</f>
        <v/>
      </c>
      <c r="K26" s="93" t="str">
        <f>IF(QH!AF23="","",QH!AF23)</f>
        <v/>
      </c>
      <c r="L26" s="93" t="str">
        <f>IF(QH!AG23="","",QH!AG23)</f>
        <v/>
      </c>
      <c r="M26" s="94" t="str">
        <f>IF(AA!X23="","",AA!X23)</f>
        <v/>
      </c>
      <c r="N26" s="94" t="str">
        <f>IF(AA!Y23="","",AA!Y23)</f>
        <v/>
      </c>
      <c r="O26" s="94" t="str">
        <f>IF(AA!Z23="","",AA!Z23)</f>
        <v/>
      </c>
      <c r="P26" s="94" t="str">
        <f>IF(AA!AA23="","",AA!AA23)</f>
        <v/>
      </c>
      <c r="Q26" s="94" t="str">
        <f>IF(AA!AB23="","",AA!AB23)</f>
        <v/>
      </c>
      <c r="R26" s="94" t="str">
        <f>IF(AA!AC23="","",AA!AC23)</f>
        <v/>
      </c>
      <c r="S26" s="94" t="str">
        <f>IF(AA!AD23="","",AA!AD23)</f>
        <v/>
      </c>
      <c r="T26" s="94" t="str">
        <f>IF(AA!AE23="","",AA!AE23)</f>
        <v/>
      </c>
      <c r="U26" s="94" t="str">
        <f>IF(AA!AF23="","",AA!AF23)</f>
        <v/>
      </c>
      <c r="V26" s="94" t="str">
        <f>IF(AA!AG23="","",AA!AG23)</f>
        <v/>
      </c>
      <c r="W26" s="94" t="str">
        <f>IF(FIKIH!X23="","",FIKIH!X23)</f>
        <v/>
      </c>
      <c r="X26" s="94" t="str">
        <f>IF(FIKIH!Y23="","",FIKIH!Y23)</f>
        <v/>
      </c>
      <c r="Y26" s="94" t="str">
        <f>IF(FIKIH!Z23="","",FIKIH!Z23)</f>
        <v/>
      </c>
      <c r="Z26" s="94" t="str">
        <f>IF(FIKIH!AA23="","",FIKIH!AA23)</f>
        <v/>
      </c>
      <c r="AA26" s="94" t="str">
        <f>IF(FIKIH!AB23="","",FIKIH!AB23)</f>
        <v/>
      </c>
      <c r="AB26" s="94" t="str">
        <f>IF(FIKIH!AC23="","",FIKIH!AC23)</f>
        <v/>
      </c>
      <c r="AC26" s="94" t="str">
        <f>IF(FIKIH!AD23="","",FIKIH!AD23)</f>
        <v/>
      </c>
      <c r="AD26" s="94" t="str">
        <f>IF(FIKIH!AE23="","",FIKIH!AE23)</f>
        <v/>
      </c>
      <c r="AE26" s="94" t="str">
        <f>IF(FIKIH!AF23="","",FIKIH!AF23)</f>
        <v/>
      </c>
      <c r="AF26" s="94" t="str">
        <f>IF(FIKIH!AG23="","",FIKIH!AG23)</f>
        <v/>
      </c>
      <c r="AG26" s="94">
        <f>IF(SKI!X23="","",SKI!X23)</f>
        <v>3</v>
      </c>
      <c r="AH26" s="94" t="str">
        <f>IF(SKI!Y23="","",SKI!Y23)</f>
        <v>Melaksanakan sholat dhuhur berjemaah, berdo'a di awal dan di akhir kegiatan pembelajaran , serta melaksanakan kegiatan amaliyah siswa</v>
      </c>
      <c r="AI26" s="94">
        <f>IF(SKI!Z23="","",SKI!Z23)</f>
        <v>3</v>
      </c>
      <c r="AJ26" s="94">
        <f>IF(SKI!AA23="","",SKI!AA23)</f>
        <v>3</v>
      </c>
      <c r="AK26" s="94">
        <f>IF(SKI!AB23="","",SKI!AB23)</f>
        <v>3</v>
      </c>
      <c r="AL26" s="94">
        <f>IF(SKI!AC23="","",SKI!AC23)</f>
        <v>3</v>
      </c>
      <c r="AM26" s="94">
        <f>IF(SKI!AD23="","",SKI!AD23)</f>
        <v>3</v>
      </c>
      <c r="AN26" s="94">
        <f>IF(SKI!AE23="","",SKI!AE23)</f>
        <v>3</v>
      </c>
      <c r="AO26" s="94">
        <f>IF(SKI!AF23="","",SKI!AF23)</f>
        <v>3</v>
      </c>
      <c r="AP26" s="94" t="str">
        <f>IF(SKI!AG23="","",SKI!AG23)</f>
        <v>Santun dalam bersikap, disiplin dalam mentaati tata tertib madrasah, peduli pada lingkungan, orang tua, bertanggung jawab dalam melaksanakan tugas, baik sebagai individu maupun makhluk sosial</v>
      </c>
      <c r="AQ26" s="94" t="str">
        <f>IF(PKN!X23="","",PKN!X23)</f>
        <v/>
      </c>
      <c r="AR26" s="94" t="str">
        <f>IF(PKN!Y23="","",PKN!Y23)</f>
        <v/>
      </c>
      <c r="AS26" s="94" t="str">
        <f>IF(PKN!Z23="","",PKN!Z23)</f>
        <v/>
      </c>
      <c r="AT26" s="94" t="str">
        <f>IF(PKN!AA23="","",PKN!AA23)</f>
        <v/>
      </c>
      <c r="AU26" s="94" t="str">
        <f>IF(PKN!AB23="","",PKN!AB23)</f>
        <v/>
      </c>
      <c r="AV26" s="94" t="str">
        <f>IF(PKN!AC23="","",PKN!AC23)</f>
        <v/>
      </c>
      <c r="AW26" s="94" t="str">
        <f>IF(PKN!AD23="","",PKN!AD23)</f>
        <v/>
      </c>
      <c r="AX26" s="94" t="str">
        <f>IF(PKN!AE23="","",PKN!AE23)</f>
        <v/>
      </c>
      <c r="AY26" s="94" t="str">
        <f>IF(PKN!AF23="","",PKN!AF23)</f>
        <v/>
      </c>
      <c r="AZ26" s="94" t="str">
        <f>IF(PKN!AG23="","",PKN!AG23)</f>
        <v/>
      </c>
      <c r="BA26" s="93" t="str">
        <f>IF(INDO!X23="","",INDO!X23)</f>
        <v/>
      </c>
      <c r="BB26" s="93" t="str">
        <f>IF(INDO!Y23="","",INDO!Y23)</f>
        <v/>
      </c>
      <c r="BC26" s="93" t="str">
        <f>IF(INDO!Z23="","",INDO!Z23)</f>
        <v/>
      </c>
      <c r="BD26" s="93" t="str">
        <f>IF(INDO!AA23="","",INDO!AA23)</f>
        <v/>
      </c>
      <c r="BE26" s="93" t="str">
        <f>IF(INDO!AB23="","",INDO!AB23)</f>
        <v/>
      </c>
      <c r="BF26" s="93" t="str">
        <f>IF(INDO!AC23="","",INDO!AC23)</f>
        <v/>
      </c>
      <c r="BG26" s="93" t="str">
        <f>IF(INDO!AD23="","",INDO!AD23)</f>
        <v/>
      </c>
      <c r="BH26" s="93" t="str">
        <f>IF(INDO!AE23="","",INDO!AE23)</f>
        <v/>
      </c>
      <c r="BI26" s="93" t="str">
        <f>IF(INDO!AF23="","",INDO!AF23)</f>
        <v/>
      </c>
      <c r="BJ26" s="93" t="str">
        <f>IF(INDO!AG23="","",INDO!AG23)</f>
        <v/>
      </c>
      <c r="BK26" s="93" t="str">
        <f>IF(ARAB!X23="","",ARAB!X23)</f>
        <v/>
      </c>
      <c r="BL26" s="93" t="str">
        <f>IF(ARAB!Y23="","",ARAB!Y23)</f>
        <v/>
      </c>
      <c r="BM26" s="93" t="str">
        <f>IF(ARAB!Z23="","",ARAB!Z23)</f>
        <v/>
      </c>
      <c r="BN26" s="93" t="str">
        <f>IF(ARAB!AA23="","",ARAB!AA23)</f>
        <v/>
      </c>
      <c r="BO26" s="93" t="str">
        <f>IF(ARAB!AB23="","",ARAB!AB23)</f>
        <v/>
      </c>
      <c r="BP26" s="93" t="str">
        <f>IF(ARAB!AC23="","",ARAB!AC23)</f>
        <v/>
      </c>
      <c r="BQ26" s="93" t="str">
        <f>IF(ARAB!AD23="","",ARAB!AD23)</f>
        <v/>
      </c>
      <c r="BR26" s="93" t="str">
        <f>IF(ARAB!AE23="","",ARAB!AE23)</f>
        <v/>
      </c>
      <c r="BS26" s="93" t="str">
        <f>IF(ARAB!AF23="","",ARAB!AF23)</f>
        <v/>
      </c>
      <c r="BT26" s="93" t="str">
        <f>IF(ARAB!AG23="","",ARAB!AG23)</f>
        <v/>
      </c>
      <c r="BU26" s="94" t="str">
        <f>IF(MAT!X23="","",MAT!X23)</f>
        <v/>
      </c>
      <c r="BV26" s="94" t="str">
        <f>IF(MAT!Y23="","",MAT!Y23)</f>
        <v/>
      </c>
      <c r="BW26" s="94" t="str">
        <f>IF(MAT!Z23="","",MAT!Z23)</f>
        <v/>
      </c>
      <c r="BX26" s="94" t="str">
        <f>IF(MAT!AA23="","",MAT!AA23)</f>
        <v/>
      </c>
      <c r="BY26" s="94" t="str">
        <f>IF(MAT!AB23="","",MAT!AB23)</f>
        <v/>
      </c>
      <c r="BZ26" s="94" t="str">
        <f>IF(MAT!AC23="","",MAT!AC23)</f>
        <v/>
      </c>
      <c r="CA26" s="94" t="str">
        <f>IF(MAT!AD23="","",MAT!AD23)</f>
        <v/>
      </c>
      <c r="CB26" s="94" t="str">
        <f>IF(MAT!AE23="","",MAT!AE23)</f>
        <v/>
      </c>
      <c r="CC26" s="94" t="str">
        <f>IF(MAT!AF23="","",MAT!AF23)</f>
        <v/>
      </c>
      <c r="CD26" s="94" t="str">
        <f>IF(MAT!AG23="","",MAT!AG23)</f>
        <v/>
      </c>
      <c r="CE26" s="94" t="str">
        <f>IF(IPA!X23="","",IPA!X23)</f>
        <v/>
      </c>
      <c r="CF26" s="94" t="str">
        <f>IF(IPA!Y23="","",IPA!Y23)</f>
        <v/>
      </c>
      <c r="CG26" s="94" t="str">
        <f>IF(IPA!Z23="","",IPA!Z23)</f>
        <v/>
      </c>
      <c r="CH26" s="94" t="str">
        <f>IF(IPA!AA23="","",IPA!AA23)</f>
        <v/>
      </c>
      <c r="CI26" s="94" t="str">
        <f>IF(IPA!AB23="","",IPA!AB23)</f>
        <v/>
      </c>
      <c r="CJ26" s="94" t="str">
        <f>IF(IPA!AC23="","",IPA!AC23)</f>
        <v/>
      </c>
      <c r="CK26" s="94" t="str">
        <f>IF(IPA!AD23="","",IPA!AD23)</f>
        <v/>
      </c>
      <c r="CL26" s="94" t="str">
        <f>IF(IPA!AE23="","",IPA!AE23)</f>
        <v/>
      </c>
      <c r="CM26" s="94" t="str">
        <f>IF(IPA!AF23="","",IPA!AF23)</f>
        <v/>
      </c>
      <c r="CN26" s="94" t="str">
        <f>IF(IPA!AG23="","",IPA!AG23)</f>
        <v/>
      </c>
      <c r="CO26" s="93" t="str">
        <f>IF(IPS!X23="","",IPS!X23)</f>
        <v/>
      </c>
      <c r="CP26" s="93" t="str">
        <f>IF(IPS!Y23="","",IPS!Y23)</f>
        <v/>
      </c>
      <c r="CQ26" s="93" t="str">
        <f>IF(IPS!Z23="","",IPS!Z23)</f>
        <v/>
      </c>
      <c r="CR26" s="93" t="str">
        <f>IF(IPS!AA23="","",IPS!AA23)</f>
        <v/>
      </c>
      <c r="CS26" s="93" t="str">
        <f>IF(IPS!AB23="","",IPS!AB23)</f>
        <v/>
      </c>
      <c r="CT26" s="93" t="str">
        <f>IF(IPS!AC23="","",IPS!AC23)</f>
        <v/>
      </c>
      <c r="CU26" s="93" t="str">
        <f>IF(IPS!AD23="","",IPS!AD23)</f>
        <v/>
      </c>
      <c r="CV26" s="93" t="str">
        <f>IF(IPS!AE23="","",IPS!AE23)</f>
        <v/>
      </c>
      <c r="CW26" s="93" t="str">
        <f>IF(IPS!AF23="","",IPS!AF23)</f>
        <v/>
      </c>
      <c r="CX26" s="93" t="str">
        <f>IF(IPS!AG23="","",IPS!AG23)</f>
        <v/>
      </c>
      <c r="CY26" s="94" t="str">
        <f>IF(INGG!X23="","",INGG!X23)</f>
        <v/>
      </c>
      <c r="CZ26" s="94" t="str">
        <f>IF(INGG!Y23="","",INGG!Y23)</f>
        <v/>
      </c>
      <c r="DA26" s="94" t="str">
        <f>IF(INGG!Z23="","",INGG!Z23)</f>
        <v/>
      </c>
      <c r="DB26" s="94" t="str">
        <f>IF(INGG!AA23="","",INGG!AA23)</f>
        <v/>
      </c>
      <c r="DC26" s="94" t="str">
        <f>IF(INGG!AB23="","",INGG!AB23)</f>
        <v/>
      </c>
      <c r="DD26" s="94" t="str">
        <f>IF(INGG!AC23="","",INGG!AC23)</f>
        <v/>
      </c>
      <c r="DE26" s="94" t="str">
        <f>IF(INGG!AD23="","",INGG!AD23)</f>
        <v/>
      </c>
      <c r="DF26" s="94" t="str">
        <f>IF(INGG!AE23="","",INGG!AE23)</f>
        <v/>
      </c>
      <c r="DG26" s="94" t="str">
        <f>IF(INGG!AF23="","",INGG!AF23)</f>
        <v/>
      </c>
      <c r="DH26" s="94" t="str">
        <f>IF(INGG!AG23="","",INGG!AG23)</f>
        <v/>
      </c>
      <c r="DI26" s="94" t="str">
        <f>IF(SENBUD!X23="","",SENBUD!X23)</f>
        <v/>
      </c>
      <c r="DJ26" s="94" t="str">
        <f>IF(SENBUD!Y23="","",SENBUD!Y23)</f>
        <v/>
      </c>
      <c r="DK26" s="94" t="str">
        <f>IF(SENBUD!Z23="","",SENBUD!Z23)</f>
        <v/>
      </c>
      <c r="DL26" s="94" t="str">
        <f>IF(SENBUD!AA23="","",SENBUD!AA23)</f>
        <v/>
      </c>
      <c r="DM26" s="94" t="str">
        <f>IF(SENBUD!AB23="","",SENBUD!AB23)</f>
        <v/>
      </c>
      <c r="DN26" s="94" t="str">
        <f>IF(SENBUD!AC23="","",SENBUD!AC23)</f>
        <v/>
      </c>
      <c r="DO26" s="94" t="str">
        <f>IF(SENBUD!AD23="","",SENBUD!AD23)</f>
        <v/>
      </c>
      <c r="DP26" s="94" t="str">
        <f>IF(SENBUD!AE23="","",SENBUD!AE23)</f>
        <v/>
      </c>
      <c r="DQ26" s="94" t="str">
        <f>IF(SENBUD!AF23="","",SENBUD!AF23)</f>
        <v/>
      </c>
      <c r="DR26" s="94" t="str">
        <f>IF(SENBUD!AG23="","",SENBUD!AG23)</f>
        <v/>
      </c>
      <c r="DS26" s="93" t="str">
        <f>IF(PENJAS!X23="","",PENJAS!X23)</f>
        <v/>
      </c>
      <c r="DT26" s="93" t="str">
        <f>IF(PENJAS!Y23="","",PENJAS!Y23)</f>
        <v/>
      </c>
      <c r="DU26" s="93" t="str">
        <f>IF(PENJAS!Z23="","",PENJAS!Z23)</f>
        <v/>
      </c>
      <c r="DV26" s="93" t="str">
        <f>IF(PENJAS!AA23="","",PENJAS!AA23)</f>
        <v/>
      </c>
      <c r="DW26" s="93" t="str">
        <f>IF(PENJAS!AB23="","",PENJAS!AB23)</f>
        <v/>
      </c>
      <c r="DX26" s="93" t="str">
        <f>IF(PENJAS!AC23="","",PENJAS!AC23)</f>
        <v/>
      </c>
      <c r="DY26" s="93" t="str">
        <f>IF(PENJAS!AD23="","",PENJAS!AD23)</f>
        <v/>
      </c>
      <c r="DZ26" s="93" t="str">
        <f>IF(PENJAS!AE23="","",PENJAS!AE23)</f>
        <v/>
      </c>
      <c r="EA26" s="93" t="str">
        <f>IF(PENJAS!AF23="","",PENJAS!AF23)</f>
        <v/>
      </c>
      <c r="EB26" s="93" t="str">
        <f>IF(PENJAS!AG23="","",PENJAS!AG23)</f>
        <v/>
      </c>
      <c r="EC26" s="93" t="str">
        <f>IF(PRAKARYA!X23="","",PRAKARYA!X23)</f>
        <v/>
      </c>
      <c r="ED26" s="93" t="str">
        <f>IF(PRAKARYA!Y23="","",PRAKARYA!Y23)</f>
        <v/>
      </c>
      <c r="EE26" s="93" t="str">
        <f>IF(PRAKARYA!Z23="","",PRAKARYA!Z23)</f>
        <v/>
      </c>
      <c r="EF26" s="93" t="str">
        <f>IF(PRAKARYA!AA23="","",PRAKARYA!AA23)</f>
        <v/>
      </c>
      <c r="EG26" s="93" t="str">
        <f>IF(PRAKARYA!AB23="","",PRAKARYA!AB23)</f>
        <v/>
      </c>
      <c r="EH26" s="93" t="str">
        <f>IF(PRAKARYA!AC23="","",PRAKARYA!AC23)</f>
        <v/>
      </c>
      <c r="EI26" s="93" t="str">
        <f>IF(PRAKARYA!AD23="","",PRAKARYA!AD23)</f>
        <v/>
      </c>
      <c r="EJ26" s="93" t="str">
        <f>IF(PRAKARYA!AE23="","",PRAKARYA!AE23)</f>
        <v/>
      </c>
      <c r="EK26" s="93" t="str">
        <f>IF(PRAKARYA!AF23="","",PRAKARYA!AF23)</f>
        <v/>
      </c>
      <c r="EL26" s="93" t="str">
        <f>IF(PRAKARYA!AG23="","",PRAKARYA!AG23)</f>
        <v/>
      </c>
      <c r="EM26" s="95" t="str">
        <f>IF(BADER!X23="","",BADER!X23)</f>
        <v/>
      </c>
      <c r="EN26" s="95" t="str">
        <f>IF(BADER!Y23="","",BADER!Y23)</f>
        <v/>
      </c>
      <c r="EO26" s="95" t="str">
        <f>IF(BADER!Z23="","",BADER!Z23)</f>
        <v/>
      </c>
      <c r="EP26" s="95" t="str">
        <f>IF(BADER!AA23="","",BADER!AA23)</f>
        <v/>
      </c>
      <c r="EQ26" s="95" t="str">
        <f>IF(BADER!AB23="","",BADER!AB23)</f>
        <v/>
      </c>
      <c r="ER26" s="95" t="str">
        <f>IF(BADER!AC23="","",BADER!AC23)</f>
        <v/>
      </c>
      <c r="ES26" s="95" t="str">
        <f>IF(BADER!AD23="","",BADER!AD23)</f>
        <v/>
      </c>
      <c r="ET26" s="95" t="str">
        <f>IF(BADER!AE23="","",BADER!AE23)</f>
        <v/>
      </c>
      <c r="EU26" s="95" t="str">
        <f>IF(BADER!AF23="","",BADER!AF23)</f>
        <v/>
      </c>
      <c r="EV26" s="95" t="str">
        <f>IF(BADER!AG23="","",BADER!AG23)</f>
        <v/>
      </c>
      <c r="EW26" s="96" t="str">
        <f t="shared" si="1"/>
        <v/>
      </c>
      <c r="EX26" s="96" t="str">
        <f t="shared" si="2"/>
        <v/>
      </c>
      <c r="EY26" s="96" t="str">
        <f t="shared" si="0"/>
        <v/>
      </c>
      <c r="EZ26" s="96" t="str">
        <f t="shared" si="0"/>
        <v/>
      </c>
      <c r="FA26" s="96" t="str">
        <f t="shared" si="0"/>
        <v/>
      </c>
      <c r="FB26" s="96" t="str">
        <f t="shared" si="0"/>
        <v/>
      </c>
      <c r="FC26" s="96" t="str">
        <f t="shared" si="0"/>
        <v/>
      </c>
      <c r="FD26" s="96" t="str">
        <f t="shared" si="0"/>
        <v/>
      </c>
      <c r="FE26" s="96" t="str">
        <f t="shared" si="0"/>
        <v/>
      </c>
      <c r="FF26" s="96" t="str">
        <f t="shared" si="3"/>
        <v/>
      </c>
      <c r="FG26" s="96" t="str">
        <f t="shared" si="4"/>
        <v/>
      </c>
      <c r="FH26" s="92" t="str">
        <f t="shared" si="5"/>
        <v/>
      </c>
      <c r="FI26" s="92" t="str">
        <f t="shared" si="6"/>
        <v xml:space="preserve"> </v>
      </c>
      <c r="FJ26" s="92" t="str">
        <f t="shared" si="7"/>
        <v xml:space="preserve"> </v>
      </c>
      <c r="FK26" s="92" t="str">
        <f t="shared" si="8"/>
        <v xml:space="preserve"> </v>
      </c>
      <c r="FL26" s="92" t="str">
        <f t="shared" si="9"/>
        <v xml:space="preserve"> </v>
      </c>
      <c r="FM26" s="92" t="str">
        <f t="shared" si="10"/>
        <v xml:space="preserve"> </v>
      </c>
      <c r="FN26" s="92" t="str">
        <f t="shared" si="11"/>
        <v xml:space="preserve"> </v>
      </c>
      <c r="FO26" s="92" t="str">
        <f t="shared" si="12"/>
        <v xml:space="preserve"> </v>
      </c>
      <c r="FP26" s="92" t="str">
        <f t="shared" si="13"/>
        <v xml:space="preserve">,  ,  ,  ,  ,  ,  ,  </v>
      </c>
    </row>
    <row r="27" spans="1:172">
      <c r="A27" s="66">
        <v>17</v>
      </c>
      <c r="B27" s="92" t="str">
        <f>IF(DATA!D24="","",DATA!D24)</f>
        <v>MAR'ATUS SOLEHAH</v>
      </c>
      <c r="C27" s="93" t="str">
        <f>IF(QH!X24="","",QH!X24)</f>
        <v/>
      </c>
      <c r="D27" s="93" t="str">
        <f>IF(QH!Y24="","",QH!Y24)</f>
        <v/>
      </c>
      <c r="E27" s="93" t="str">
        <f>IF(QH!Z24="","",QH!Z24)</f>
        <v/>
      </c>
      <c r="F27" s="93" t="str">
        <f>IF(QH!AA24="","",QH!AA24)</f>
        <v/>
      </c>
      <c r="G27" s="93" t="str">
        <f>IF(QH!AB24="","",QH!AB24)</f>
        <v/>
      </c>
      <c r="H27" s="93" t="str">
        <f>IF(QH!AC24="","",QH!AC24)</f>
        <v/>
      </c>
      <c r="I27" s="93" t="str">
        <f>IF(QH!AD24="","",QH!AD24)</f>
        <v/>
      </c>
      <c r="J27" s="93" t="str">
        <f>IF(QH!AE24="","",QH!AE24)</f>
        <v/>
      </c>
      <c r="K27" s="93" t="str">
        <f>IF(QH!AF24="","",QH!AF24)</f>
        <v/>
      </c>
      <c r="L27" s="93" t="str">
        <f>IF(QH!AG24="","",QH!AG24)</f>
        <v/>
      </c>
      <c r="M27" s="94" t="str">
        <f>IF(AA!X24="","",AA!X24)</f>
        <v/>
      </c>
      <c r="N27" s="94" t="str">
        <f>IF(AA!Y24="","",AA!Y24)</f>
        <v/>
      </c>
      <c r="O27" s="94" t="str">
        <f>IF(AA!Z24="","",AA!Z24)</f>
        <v/>
      </c>
      <c r="P27" s="94" t="str">
        <f>IF(AA!AA24="","",AA!AA24)</f>
        <v/>
      </c>
      <c r="Q27" s="94" t="str">
        <f>IF(AA!AB24="","",AA!AB24)</f>
        <v/>
      </c>
      <c r="R27" s="94" t="str">
        <f>IF(AA!AC24="","",AA!AC24)</f>
        <v/>
      </c>
      <c r="S27" s="94" t="str">
        <f>IF(AA!AD24="","",AA!AD24)</f>
        <v/>
      </c>
      <c r="T27" s="94" t="str">
        <f>IF(AA!AE24="","",AA!AE24)</f>
        <v/>
      </c>
      <c r="U27" s="94" t="str">
        <f>IF(AA!AF24="","",AA!AF24)</f>
        <v/>
      </c>
      <c r="V27" s="94" t="str">
        <f>IF(AA!AG24="","",AA!AG24)</f>
        <v/>
      </c>
      <c r="W27" s="94" t="str">
        <f>IF(FIKIH!X24="","",FIKIH!X24)</f>
        <v/>
      </c>
      <c r="X27" s="94" t="str">
        <f>IF(FIKIH!Y24="","",FIKIH!Y24)</f>
        <v/>
      </c>
      <c r="Y27" s="94" t="str">
        <f>IF(FIKIH!Z24="","",FIKIH!Z24)</f>
        <v/>
      </c>
      <c r="Z27" s="94" t="str">
        <f>IF(FIKIH!AA24="","",FIKIH!AA24)</f>
        <v/>
      </c>
      <c r="AA27" s="94" t="str">
        <f>IF(FIKIH!AB24="","",FIKIH!AB24)</f>
        <v/>
      </c>
      <c r="AB27" s="94" t="str">
        <f>IF(FIKIH!AC24="","",FIKIH!AC24)</f>
        <v/>
      </c>
      <c r="AC27" s="94" t="str">
        <f>IF(FIKIH!AD24="","",FIKIH!AD24)</f>
        <v/>
      </c>
      <c r="AD27" s="94" t="str">
        <f>IF(FIKIH!AE24="","",FIKIH!AE24)</f>
        <v/>
      </c>
      <c r="AE27" s="94" t="str">
        <f>IF(FIKIH!AF24="","",FIKIH!AF24)</f>
        <v/>
      </c>
      <c r="AF27" s="94" t="str">
        <f>IF(FIKIH!AG24="","",FIKIH!AG24)</f>
        <v/>
      </c>
      <c r="AG27" s="94">
        <f>IF(SKI!X24="","",SKI!X24)</f>
        <v>3</v>
      </c>
      <c r="AH27" s="94" t="str">
        <f>IF(SKI!Y24="","",SKI!Y24)</f>
        <v>Melaksanakan sholat dhuhur berjemaah, berdo'a di awal dan di akhir kegiatan pembelajaran , serta melaksanakan kegiatan amaliyah siswa</v>
      </c>
      <c r="AI27" s="94">
        <f>IF(SKI!Z24="","",SKI!Z24)</f>
        <v>3</v>
      </c>
      <c r="AJ27" s="94">
        <f>IF(SKI!AA24="","",SKI!AA24)</f>
        <v>3</v>
      </c>
      <c r="AK27" s="94">
        <f>IF(SKI!AB24="","",SKI!AB24)</f>
        <v>3</v>
      </c>
      <c r="AL27" s="94">
        <f>IF(SKI!AC24="","",SKI!AC24)</f>
        <v>3</v>
      </c>
      <c r="AM27" s="94">
        <f>IF(SKI!AD24="","",SKI!AD24)</f>
        <v>3</v>
      </c>
      <c r="AN27" s="94">
        <f>IF(SKI!AE24="","",SKI!AE24)</f>
        <v>3</v>
      </c>
      <c r="AO27" s="94">
        <f>IF(SKI!AF24="","",SKI!AF24)</f>
        <v>3</v>
      </c>
      <c r="AP27" s="94" t="str">
        <f>IF(SKI!AG24="","",SKI!AG24)</f>
        <v>Santun dalam bersikap, disiplin dalam mentaati tata tertib madrasah, peduli pada lingkungan, orang tua, bertanggung jawab dalam melaksanakan tugas, baik sebagai individu maupun makhluk sosial</v>
      </c>
      <c r="AQ27" s="94" t="str">
        <f>IF(PKN!X24="","",PKN!X24)</f>
        <v/>
      </c>
      <c r="AR27" s="94" t="str">
        <f>IF(PKN!Y24="","",PKN!Y24)</f>
        <v/>
      </c>
      <c r="AS27" s="94" t="str">
        <f>IF(PKN!Z24="","",PKN!Z24)</f>
        <v/>
      </c>
      <c r="AT27" s="94" t="str">
        <f>IF(PKN!AA24="","",PKN!AA24)</f>
        <v/>
      </c>
      <c r="AU27" s="94" t="str">
        <f>IF(PKN!AB24="","",PKN!AB24)</f>
        <v/>
      </c>
      <c r="AV27" s="94" t="str">
        <f>IF(PKN!AC24="","",PKN!AC24)</f>
        <v/>
      </c>
      <c r="AW27" s="94" t="str">
        <f>IF(PKN!AD24="","",PKN!AD24)</f>
        <v/>
      </c>
      <c r="AX27" s="94" t="str">
        <f>IF(PKN!AE24="","",PKN!AE24)</f>
        <v/>
      </c>
      <c r="AY27" s="94" t="str">
        <f>IF(PKN!AF24="","",PKN!AF24)</f>
        <v/>
      </c>
      <c r="AZ27" s="94" t="str">
        <f>IF(PKN!AG24="","",PKN!AG24)</f>
        <v/>
      </c>
      <c r="BA27" s="93" t="str">
        <f>IF(INDO!X24="","",INDO!X24)</f>
        <v/>
      </c>
      <c r="BB27" s="93" t="str">
        <f>IF(INDO!Y24="","",INDO!Y24)</f>
        <v/>
      </c>
      <c r="BC27" s="93" t="str">
        <f>IF(INDO!Z24="","",INDO!Z24)</f>
        <v/>
      </c>
      <c r="BD27" s="93" t="str">
        <f>IF(INDO!AA24="","",INDO!AA24)</f>
        <v/>
      </c>
      <c r="BE27" s="93" t="str">
        <f>IF(INDO!AB24="","",INDO!AB24)</f>
        <v/>
      </c>
      <c r="BF27" s="93" t="str">
        <f>IF(INDO!AC24="","",INDO!AC24)</f>
        <v/>
      </c>
      <c r="BG27" s="93" t="str">
        <f>IF(INDO!AD24="","",INDO!AD24)</f>
        <v/>
      </c>
      <c r="BH27" s="93" t="str">
        <f>IF(INDO!AE24="","",INDO!AE24)</f>
        <v/>
      </c>
      <c r="BI27" s="93" t="str">
        <f>IF(INDO!AF24="","",INDO!AF24)</f>
        <v/>
      </c>
      <c r="BJ27" s="93" t="str">
        <f>IF(INDO!AG24="","",INDO!AG24)</f>
        <v/>
      </c>
      <c r="BK27" s="93" t="str">
        <f>IF(ARAB!X24="","",ARAB!X24)</f>
        <v/>
      </c>
      <c r="BL27" s="93" t="str">
        <f>IF(ARAB!Y24="","",ARAB!Y24)</f>
        <v/>
      </c>
      <c r="BM27" s="93" t="str">
        <f>IF(ARAB!Z24="","",ARAB!Z24)</f>
        <v/>
      </c>
      <c r="BN27" s="93" t="str">
        <f>IF(ARAB!AA24="","",ARAB!AA24)</f>
        <v/>
      </c>
      <c r="BO27" s="93" t="str">
        <f>IF(ARAB!AB24="","",ARAB!AB24)</f>
        <v/>
      </c>
      <c r="BP27" s="93" t="str">
        <f>IF(ARAB!AC24="","",ARAB!AC24)</f>
        <v/>
      </c>
      <c r="BQ27" s="93" t="str">
        <f>IF(ARAB!AD24="","",ARAB!AD24)</f>
        <v/>
      </c>
      <c r="BR27" s="93" t="str">
        <f>IF(ARAB!AE24="","",ARAB!AE24)</f>
        <v/>
      </c>
      <c r="BS27" s="93" t="str">
        <f>IF(ARAB!AF24="","",ARAB!AF24)</f>
        <v/>
      </c>
      <c r="BT27" s="93" t="str">
        <f>IF(ARAB!AG24="","",ARAB!AG24)</f>
        <v/>
      </c>
      <c r="BU27" s="94" t="str">
        <f>IF(MAT!X24="","",MAT!X24)</f>
        <v/>
      </c>
      <c r="BV27" s="94" t="str">
        <f>IF(MAT!Y24="","",MAT!Y24)</f>
        <v/>
      </c>
      <c r="BW27" s="94" t="str">
        <f>IF(MAT!Z24="","",MAT!Z24)</f>
        <v/>
      </c>
      <c r="BX27" s="94" t="str">
        <f>IF(MAT!AA24="","",MAT!AA24)</f>
        <v/>
      </c>
      <c r="BY27" s="94" t="str">
        <f>IF(MAT!AB24="","",MAT!AB24)</f>
        <v/>
      </c>
      <c r="BZ27" s="94" t="str">
        <f>IF(MAT!AC24="","",MAT!AC24)</f>
        <v/>
      </c>
      <c r="CA27" s="94" t="str">
        <f>IF(MAT!AD24="","",MAT!AD24)</f>
        <v/>
      </c>
      <c r="CB27" s="94" t="str">
        <f>IF(MAT!AE24="","",MAT!AE24)</f>
        <v/>
      </c>
      <c r="CC27" s="94" t="str">
        <f>IF(MAT!AF24="","",MAT!AF24)</f>
        <v/>
      </c>
      <c r="CD27" s="94" t="str">
        <f>IF(MAT!AG24="","",MAT!AG24)</f>
        <v/>
      </c>
      <c r="CE27" s="94" t="str">
        <f>IF(IPA!X24="","",IPA!X24)</f>
        <v/>
      </c>
      <c r="CF27" s="94" t="str">
        <f>IF(IPA!Y24="","",IPA!Y24)</f>
        <v/>
      </c>
      <c r="CG27" s="94" t="str">
        <f>IF(IPA!Z24="","",IPA!Z24)</f>
        <v/>
      </c>
      <c r="CH27" s="94" t="str">
        <f>IF(IPA!AA24="","",IPA!AA24)</f>
        <v/>
      </c>
      <c r="CI27" s="94" t="str">
        <f>IF(IPA!AB24="","",IPA!AB24)</f>
        <v/>
      </c>
      <c r="CJ27" s="94" t="str">
        <f>IF(IPA!AC24="","",IPA!AC24)</f>
        <v/>
      </c>
      <c r="CK27" s="94" t="str">
        <f>IF(IPA!AD24="","",IPA!AD24)</f>
        <v/>
      </c>
      <c r="CL27" s="94" t="str">
        <f>IF(IPA!AE24="","",IPA!AE24)</f>
        <v/>
      </c>
      <c r="CM27" s="94" t="str">
        <f>IF(IPA!AF24="","",IPA!AF24)</f>
        <v/>
      </c>
      <c r="CN27" s="94" t="str">
        <f>IF(IPA!AG24="","",IPA!AG24)</f>
        <v/>
      </c>
      <c r="CO27" s="93" t="str">
        <f>IF(IPS!X24="","",IPS!X24)</f>
        <v/>
      </c>
      <c r="CP27" s="93" t="str">
        <f>IF(IPS!Y24="","",IPS!Y24)</f>
        <v/>
      </c>
      <c r="CQ27" s="93" t="str">
        <f>IF(IPS!Z24="","",IPS!Z24)</f>
        <v/>
      </c>
      <c r="CR27" s="93" t="str">
        <f>IF(IPS!AA24="","",IPS!AA24)</f>
        <v/>
      </c>
      <c r="CS27" s="93" t="str">
        <f>IF(IPS!AB24="","",IPS!AB24)</f>
        <v/>
      </c>
      <c r="CT27" s="93" t="str">
        <f>IF(IPS!AC24="","",IPS!AC24)</f>
        <v/>
      </c>
      <c r="CU27" s="93" t="str">
        <f>IF(IPS!AD24="","",IPS!AD24)</f>
        <v/>
      </c>
      <c r="CV27" s="93" t="str">
        <f>IF(IPS!AE24="","",IPS!AE24)</f>
        <v/>
      </c>
      <c r="CW27" s="93" t="str">
        <f>IF(IPS!AF24="","",IPS!AF24)</f>
        <v/>
      </c>
      <c r="CX27" s="93" t="str">
        <f>IF(IPS!AG24="","",IPS!AG24)</f>
        <v/>
      </c>
      <c r="CY27" s="94" t="str">
        <f>IF(INGG!X24="","",INGG!X24)</f>
        <v/>
      </c>
      <c r="CZ27" s="94" t="str">
        <f>IF(INGG!Y24="","",INGG!Y24)</f>
        <v/>
      </c>
      <c r="DA27" s="94" t="str">
        <f>IF(INGG!Z24="","",INGG!Z24)</f>
        <v/>
      </c>
      <c r="DB27" s="94" t="str">
        <f>IF(INGG!AA24="","",INGG!AA24)</f>
        <v/>
      </c>
      <c r="DC27" s="94" t="str">
        <f>IF(INGG!AB24="","",INGG!AB24)</f>
        <v/>
      </c>
      <c r="DD27" s="94" t="str">
        <f>IF(INGG!AC24="","",INGG!AC24)</f>
        <v/>
      </c>
      <c r="DE27" s="94" t="str">
        <f>IF(INGG!AD24="","",INGG!AD24)</f>
        <v/>
      </c>
      <c r="DF27" s="94" t="str">
        <f>IF(INGG!AE24="","",INGG!AE24)</f>
        <v/>
      </c>
      <c r="DG27" s="94" t="str">
        <f>IF(INGG!AF24="","",INGG!AF24)</f>
        <v/>
      </c>
      <c r="DH27" s="94" t="str">
        <f>IF(INGG!AG24="","",INGG!AG24)</f>
        <v/>
      </c>
      <c r="DI27" s="94" t="str">
        <f>IF(SENBUD!X24="","",SENBUD!X24)</f>
        <v/>
      </c>
      <c r="DJ27" s="94" t="str">
        <f>IF(SENBUD!Y24="","",SENBUD!Y24)</f>
        <v/>
      </c>
      <c r="DK27" s="94" t="str">
        <f>IF(SENBUD!Z24="","",SENBUD!Z24)</f>
        <v/>
      </c>
      <c r="DL27" s="94" t="str">
        <f>IF(SENBUD!AA24="","",SENBUD!AA24)</f>
        <v/>
      </c>
      <c r="DM27" s="94" t="str">
        <f>IF(SENBUD!AB24="","",SENBUD!AB24)</f>
        <v/>
      </c>
      <c r="DN27" s="94" t="str">
        <f>IF(SENBUD!AC24="","",SENBUD!AC24)</f>
        <v/>
      </c>
      <c r="DO27" s="94" t="str">
        <f>IF(SENBUD!AD24="","",SENBUD!AD24)</f>
        <v/>
      </c>
      <c r="DP27" s="94" t="str">
        <f>IF(SENBUD!AE24="","",SENBUD!AE24)</f>
        <v/>
      </c>
      <c r="DQ27" s="94" t="str">
        <f>IF(SENBUD!AF24="","",SENBUD!AF24)</f>
        <v/>
      </c>
      <c r="DR27" s="94" t="str">
        <f>IF(SENBUD!AG24="","",SENBUD!AG24)</f>
        <v/>
      </c>
      <c r="DS27" s="93" t="str">
        <f>IF(PENJAS!X24="","",PENJAS!X24)</f>
        <v/>
      </c>
      <c r="DT27" s="93" t="str">
        <f>IF(PENJAS!Y24="","",PENJAS!Y24)</f>
        <v/>
      </c>
      <c r="DU27" s="93" t="str">
        <f>IF(PENJAS!Z24="","",PENJAS!Z24)</f>
        <v/>
      </c>
      <c r="DV27" s="93" t="str">
        <f>IF(PENJAS!AA24="","",PENJAS!AA24)</f>
        <v/>
      </c>
      <c r="DW27" s="93" t="str">
        <f>IF(PENJAS!AB24="","",PENJAS!AB24)</f>
        <v/>
      </c>
      <c r="DX27" s="93" t="str">
        <f>IF(PENJAS!AC24="","",PENJAS!AC24)</f>
        <v/>
      </c>
      <c r="DY27" s="93" t="str">
        <f>IF(PENJAS!AD24="","",PENJAS!AD24)</f>
        <v/>
      </c>
      <c r="DZ27" s="93" t="str">
        <f>IF(PENJAS!AE24="","",PENJAS!AE24)</f>
        <v/>
      </c>
      <c r="EA27" s="93" t="str">
        <f>IF(PENJAS!AF24="","",PENJAS!AF24)</f>
        <v/>
      </c>
      <c r="EB27" s="93" t="str">
        <f>IF(PENJAS!AG24="","",PENJAS!AG24)</f>
        <v/>
      </c>
      <c r="EC27" s="93" t="str">
        <f>IF(PRAKARYA!X24="","",PRAKARYA!X24)</f>
        <v/>
      </c>
      <c r="ED27" s="93" t="str">
        <f>IF(PRAKARYA!Y24="","",PRAKARYA!Y24)</f>
        <v/>
      </c>
      <c r="EE27" s="93" t="str">
        <f>IF(PRAKARYA!Z24="","",PRAKARYA!Z24)</f>
        <v/>
      </c>
      <c r="EF27" s="93" t="str">
        <f>IF(PRAKARYA!AA24="","",PRAKARYA!AA24)</f>
        <v/>
      </c>
      <c r="EG27" s="93" t="str">
        <f>IF(PRAKARYA!AB24="","",PRAKARYA!AB24)</f>
        <v/>
      </c>
      <c r="EH27" s="93" t="str">
        <f>IF(PRAKARYA!AC24="","",PRAKARYA!AC24)</f>
        <v/>
      </c>
      <c r="EI27" s="93" t="str">
        <f>IF(PRAKARYA!AD24="","",PRAKARYA!AD24)</f>
        <v/>
      </c>
      <c r="EJ27" s="93" t="str">
        <f>IF(PRAKARYA!AE24="","",PRAKARYA!AE24)</f>
        <v/>
      </c>
      <c r="EK27" s="93" t="str">
        <f>IF(PRAKARYA!AF24="","",PRAKARYA!AF24)</f>
        <v/>
      </c>
      <c r="EL27" s="93" t="str">
        <f>IF(PRAKARYA!AG24="","",PRAKARYA!AG24)</f>
        <v/>
      </c>
      <c r="EM27" s="95" t="str">
        <f>IF(BADER!X24="","",BADER!X24)</f>
        <v/>
      </c>
      <c r="EN27" s="95" t="str">
        <f>IF(BADER!Y24="","",BADER!Y24)</f>
        <v/>
      </c>
      <c r="EO27" s="95" t="str">
        <f>IF(BADER!Z24="","",BADER!Z24)</f>
        <v/>
      </c>
      <c r="EP27" s="95" t="str">
        <f>IF(BADER!AA24="","",BADER!AA24)</f>
        <v/>
      </c>
      <c r="EQ27" s="95" t="str">
        <f>IF(BADER!AB24="","",BADER!AB24)</f>
        <v/>
      </c>
      <c r="ER27" s="95" t="str">
        <f>IF(BADER!AC24="","",BADER!AC24)</f>
        <v/>
      </c>
      <c r="ES27" s="95" t="str">
        <f>IF(BADER!AD24="","",BADER!AD24)</f>
        <v/>
      </c>
      <c r="ET27" s="95" t="str">
        <f>IF(BADER!AE24="","",BADER!AE24)</f>
        <v/>
      </c>
      <c r="EU27" s="95" t="str">
        <f>IF(BADER!AF24="","",BADER!AF24)</f>
        <v/>
      </c>
      <c r="EV27" s="95" t="str">
        <f>IF(BADER!AG24="","",BADER!AG24)</f>
        <v/>
      </c>
      <c r="EW27" s="96" t="str">
        <f t="shared" si="1"/>
        <v/>
      </c>
      <c r="EX27" s="96" t="str">
        <f t="shared" si="2"/>
        <v/>
      </c>
      <c r="EY27" s="96" t="str">
        <f t="shared" ref="EY27:FE60" si="14">IF(O27="","",MODE(E27,O27,Y27,AI27,AS27,BC27,BM27,BW27,CG27,CQ27,DA27,DK27,DU27,EE27,EO27))</f>
        <v/>
      </c>
      <c r="EZ27" s="96" t="str">
        <f t="shared" si="14"/>
        <v/>
      </c>
      <c r="FA27" s="96" t="str">
        <f t="shared" si="14"/>
        <v/>
      </c>
      <c r="FB27" s="96" t="str">
        <f t="shared" si="14"/>
        <v/>
      </c>
      <c r="FC27" s="96" t="str">
        <f t="shared" si="14"/>
        <v/>
      </c>
      <c r="FD27" s="96" t="str">
        <f t="shared" si="14"/>
        <v/>
      </c>
      <c r="FE27" s="96" t="str">
        <f t="shared" si="14"/>
        <v/>
      </c>
      <c r="FF27" s="96" t="str">
        <f t="shared" si="3"/>
        <v/>
      </c>
      <c r="FG27" s="96" t="str">
        <f t="shared" si="4"/>
        <v/>
      </c>
      <c r="FH27" s="92" t="str">
        <f t="shared" si="5"/>
        <v/>
      </c>
      <c r="FI27" s="92" t="str">
        <f t="shared" si="6"/>
        <v xml:space="preserve"> </v>
      </c>
      <c r="FJ27" s="92" t="str">
        <f t="shared" si="7"/>
        <v xml:space="preserve"> </v>
      </c>
      <c r="FK27" s="92" t="str">
        <f t="shared" si="8"/>
        <v xml:space="preserve"> </v>
      </c>
      <c r="FL27" s="92" t="str">
        <f t="shared" si="9"/>
        <v xml:space="preserve"> </v>
      </c>
      <c r="FM27" s="92" t="str">
        <f t="shared" si="10"/>
        <v xml:space="preserve"> </v>
      </c>
      <c r="FN27" s="92" t="str">
        <f t="shared" si="11"/>
        <v xml:space="preserve"> </v>
      </c>
      <c r="FO27" s="92" t="str">
        <f t="shared" si="12"/>
        <v xml:space="preserve"> </v>
      </c>
      <c r="FP27" s="92" t="str">
        <f t="shared" si="13"/>
        <v xml:space="preserve">,  ,  ,  ,  ,  ,  ,  </v>
      </c>
    </row>
    <row r="28" spans="1:172">
      <c r="A28" s="66">
        <v>18</v>
      </c>
      <c r="B28" s="92" t="str">
        <f>IF(DATA!D25="","",DATA!D25)</f>
        <v>MOCH.  SHOLEH W. H</v>
      </c>
      <c r="C28" s="93" t="str">
        <f>IF(QH!X25="","",QH!X25)</f>
        <v/>
      </c>
      <c r="D28" s="93" t="str">
        <f>IF(QH!Y25="","",QH!Y25)</f>
        <v/>
      </c>
      <c r="E28" s="93" t="str">
        <f>IF(QH!Z25="","",QH!Z25)</f>
        <v/>
      </c>
      <c r="F28" s="93" t="str">
        <f>IF(QH!AA25="","",QH!AA25)</f>
        <v/>
      </c>
      <c r="G28" s="93" t="str">
        <f>IF(QH!AB25="","",QH!AB25)</f>
        <v/>
      </c>
      <c r="H28" s="93" t="str">
        <f>IF(QH!AC25="","",QH!AC25)</f>
        <v/>
      </c>
      <c r="I28" s="93" t="str">
        <f>IF(QH!AD25="","",QH!AD25)</f>
        <v/>
      </c>
      <c r="J28" s="93" t="str">
        <f>IF(QH!AE25="","",QH!AE25)</f>
        <v/>
      </c>
      <c r="K28" s="93" t="str">
        <f>IF(QH!AF25="","",QH!AF25)</f>
        <v/>
      </c>
      <c r="L28" s="93" t="str">
        <f>IF(QH!AG25="","",QH!AG25)</f>
        <v/>
      </c>
      <c r="M28" s="94" t="str">
        <f>IF(AA!X25="","",AA!X25)</f>
        <v/>
      </c>
      <c r="N28" s="94" t="str">
        <f>IF(AA!Y25="","",AA!Y25)</f>
        <v/>
      </c>
      <c r="O28" s="94" t="str">
        <f>IF(AA!Z25="","",AA!Z25)</f>
        <v/>
      </c>
      <c r="P28" s="94" t="str">
        <f>IF(AA!AA25="","",AA!AA25)</f>
        <v/>
      </c>
      <c r="Q28" s="94" t="str">
        <f>IF(AA!AB25="","",AA!AB25)</f>
        <v/>
      </c>
      <c r="R28" s="94" t="str">
        <f>IF(AA!AC25="","",AA!AC25)</f>
        <v/>
      </c>
      <c r="S28" s="94" t="str">
        <f>IF(AA!AD25="","",AA!AD25)</f>
        <v/>
      </c>
      <c r="T28" s="94" t="str">
        <f>IF(AA!AE25="","",AA!AE25)</f>
        <v/>
      </c>
      <c r="U28" s="94" t="str">
        <f>IF(AA!AF25="","",AA!AF25)</f>
        <v/>
      </c>
      <c r="V28" s="94" t="str">
        <f>IF(AA!AG25="","",AA!AG25)</f>
        <v/>
      </c>
      <c r="W28" s="94" t="str">
        <f>IF(FIKIH!X25="","",FIKIH!X25)</f>
        <v/>
      </c>
      <c r="X28" s="94" t="str">
        <f>IF(FIKIH!Y25="","",FIKIH!Y25)</f>
        <v/>
      </c>
      <c r="Y28" s="94" t="str">
        <f>IF(FIKIH!Z25="","",FIKIH!Z25)</f>
        <v/>
      </c>
      <c r="Z28" s="94" t="str">
        <f>IF(FIKIH!AA25="","",FIKIH!AA25)</f>
        <v/>
      </c>
      <c r="AA28" s="94" t="str">
        <f>IF(FIKIH!AB25="","",FIKIH!AB25)</f>
        <v/>
      </c>
      <c r="AB28" s="94" t="str">
        <f>IF(FIKIH!AC25="","",FIKIH!AC25)</f>
        <v/>
      </c>
      <c r="AC28" s="94" t="str">
        <f>IF(FIKIH!AD25="","",FIKIH!AD25)</f>
        <v/>
      </c>
      <c r="AD28" s="94" t="str">
        <f>IF(FIKIH!AE25="","",FIKIH!AE25)</f>
        <v/>
      </c>
      <c r="AE28" s="94" t="str">
        <f>IF(FIKIH!AF25="","",FIKIH!AF25)</f>
        <v/>
      </c>
      <c r="AF28" s="94" t="str">
        <f>IF(FIKIH!AG25="","",FIKIH!AG25)</f>
        <v/>
      </c>
      <c r="AG28" s="94">
        <f>IF(SKI!X25="","",SKI!X25)</f>
        <v>3</v>
      </c>
      <c r="AH28" s="94" t="str">
        <f>IF(SKI!Y25="","",SKI!Y25)</f>
        <v>Melaksanakan sholat dhuhur berjemaah, berdo'a di awal dan di akhir kegiatan pembelajaran , serta melaksanakan kegiatan amaliyah siswa</v>
      </c>
      <c r="AI28" s="94">
        <f>IF(SKI!Z25="","",SKI!Z25)</f>
        <v>3</v>
      </c>
      <c r="AJ28" s="94">
        <f>IF(SKI!AA25="","",SKI!AA25)</f>
        <v>3</v>
      </c>
      <c r="AK28" s="94">
        <f>IF(SKI!AB25="","",SKI!AB25)</f>
        <v>3</v>
      </c>
      <c r="AL28" s="94">
        <f>IF(SKI!AC25="","",SKI!AC25)</f>
        <v>3</v>
      </c>
      <c r="AM28" s="94">
        <f>IF(SKI!AD25="","",SKI!AD25)</f>
        <v>3</v>
      </c>
      <c r="AN28" s="94">
        <f>IF(SKI!AE25="","",SKI!AE25)</f>
        <v>3</v>
      </c>
      <c r="AO28" s="94">
        <f>IF(SKI!AF25="","",SKI!AF25)</f>
        <v>3</v>
      </c>
      <c r="AP28" s="94" t="str">
        <f>IF(SKI!AG25="","",SKI!AG25)</f>
        <v>Santun dalam bersikap, disiplin dalam mentaati tata tertib madrasah, peduli pada lingkungan, orang tua, bertanggung jawab dalam melaksanakan tugas, baik sebagai individu maupun makhluk sosial</v>
      </c>
      <c r="AQ28" s="94" t="str">
        <f>IF(PKN!X25="","",PKN!X25)</f>
        <v/>
      </c>
      <c r="AR28" s="94" t="str">
        <f>IF(PKN!Y25="","",PKN!Y25)</f>
        <v/>
      </c>
      <c r="AS28" s="94" t="str">
        <f>IF(PKN!Z25="","",PKN!Z25)</f>
        <v/>
      </c>
      <c r="AT28" s="94" t="str">
        <f>IF(PKN!AA25="","",PKN!AA25)</f>
        <v/>
      </c>
      <c r="AU28" s="94" t="str">
        <f>IF(PKN!AB25="","",PKN!AB25)</f>
        <v/>
      </c>
      <c r="AV28" s="94" t="str">
        <f>IF(PKN!AC25="","",PKN!AC25)</f>
        <v/>
      </c>
      <c r="AW28" s="94" t="str">
        <f>IF(PKN!AD25="","",PKN!AD25)</f>
        <v/>
      </c>
      <c r="AX28" s="94" t="str">
        <f>IF(PKN!AE25="","",PKN!AE25)</f>
        <v/>
      </c>
      <c r="AY28" s="94" t="str">
        <f>IF(PKN!AF25="","",PKN!AF25)</f>
        <v/>
      </c>
      <c r="AZ28" s="94" t="str">
        <f>IF(PKN!AG25="","",PKN!AG25)</f>
        <v/>
      </c>
      <c r="BA28" s="93" t="str">
        <f>IF(INDO!X25="","",INDO!X25)</f>
        <v/>
      </c>
      <c r="BB28" s="93" t="str">
        <f>IF(INDO!Y25="","",INDO!Y25)</f>
        <v/>
      </c>
      <c r="BC28" s="93" t="str">
        <f>IF(INDO!Z25="","",INDO!Z25)</f>
        <v/>
      </c>
      <c r="BD28" s="93" t="str">
        <f>IF(INDO!AA25="","",INDO!AA25)</f>
        <v/>
      </c>
      <c r="BE28" s="93" t="str">
        <f>IF(INDO!AB25="","",INDO!AB25)</f>
        <v/>
      </c>
      <c r="BF28" s="93" t="str">
        <f>IF(INDO!AC25="","",INDO!AC25)</f>
        <v/>
      </c>
      <c r="BG28" s="93" t="str">
        <f>IF(INDO!AD25="","",INDO!AD25)</f>
        <v/>
      </c>
      <c r="BH28" s="93" t="str">
        <f>IF(INDO!AE25="","",INDO!AE25)</f>
        <v/>
      </c>
      <c r="BI28" s="93" t="str">
        <f>IF(INDO!AF25="","",INDO!AF25)</f>
        <v/>
      </c>
      <c r="BJ28" s="93" t="str">
        <f>IF(INDO!AG25="","",INDO!AG25)</f>
        <v/>
      </c>
      <c r="BK28" s="93" t="str">
        <f>IF(ARAB!X25="","",ARAB!X25)</f>
        <v/>
      </c>
      <c r="BL28" s="93" t="str">
        <f>IF(ARAB!Y25="","",ARAB!Y25)</f>
        <v/>
      </c>
      <c r="BM28" s="93" t="str">
        <f>IF(ARAB!Z25="","",ARAB!Z25)</f>
        <v/>
      </c>
      <c r="BN28" s="93" t="str">
        <f>IF(ARAB!AA25="","",ARAB!AA25)</f>
        <v/>
      </c>
      <c r="BO28" s="93" t="str">
        <f>IF(ARAB!AB25="","",ARAB!AB25)</f>
        <v/>
      </c>
      <c r="BP28" s="93" t="str">
        <f>IF(ARAB!AC25="","",ARAB!AC25)</f>
        <v/>
      </c>
      <c r="BQ28" s="93" t="str">
        <f>IF(ARAB!AD25="","",ARAB!AD25)</f>
        <v/>
      </c>
      <c r="BR28" s="93" t="str">
        <f>IF(ARAB!AE25="","",ARAB!AE25)</f>
        <v/>
      </c>
      <c r="BS28" s="93" t="str">
        <f>IF(ARAB!AF25="","",ARAB!AF25)</f>
        <v/>
      </c>
      <c r="BT28" s="93" t="str">
        <f>IF(ARAB!AG25="","",ARAB!AG25)</f>
        <v/>
      </c>
      <c r="BU28" s="94" t="str">
        <f>IF(MAT!X25="","",MAT!X25)</f>
        <v/>
      </c>
      <c r="BV28" s="94" t="str">
        <f>IF(MAT!Y25="","",MAT!Y25)</f>
        <v/>
      </c>
      <c r="BW28" s="94" t="str">
        <f>IF(MAT!Z25="","",MAT!Z25)</f>
        <v/>
      </c>
      <c r="BX28" s="94" t="str">
        <f>IF(MAT!AA25="","",MAT!AA25)</f>
        <v/>
      </c>
      <c r="BY28" s="94" t="str">
        <f>IF(MAT!AB25="","",MAT!AB25)</f>
        <v/>
      </c>
      <c r="BZ28" s="94" t="str">
        <f>IF(MAT!AC25="","",MAT!AC25)</f>
        <v/>
      </c>
      <c r="CA28" s="94" t="str">
        <f>IF(MAT!AD25="","",MAT!AD25)</f>
        <v/>
      </c>
      <c r="CB28" s="94" t="str">
        <f>IF(MAT!AE25="","",MAT!AE25)</f>
        <v/>
      </c>
      <c r="CC28" s="94" t="str">
        <f>IF(MAT!AF25="","",MAT!AF25)</f>
        <v/>
      </c>
      <c r="CD28" s="94" t="str">
        <f>IF(MAT!AG25="","",MAT!AG25)</f>
        <v/>
      </c>
      <c r="CE28" s="94" t="str">
        <f>IF(IPA!X25="","",IPA!X25)</f>
        <v/>
      </c>
      <c r="CF28" s="94" t="str">
        <f>IF(IPA!Y25="","",IPA!Y25)</f>
        <v/>
      </c>
      <c r="CG28" s="94" t="str">
        <f>IF(IPA!Z25="","",IPA!Z25)</f>
        <v/>
      </c>
      <c r="CH28" s="94" t="str">
        <f>IF(IPA!AA25="","",IPA!AA25)</f>
        <v/>
      </c>
      <c r="CI28" s="94" t="str">
        <f>IF(IPA!AB25="","",IPA!AB25)</f>
        <v/>
      </c>
      <c r="CJ28" s="94" t="str">
        <f>IF(IPA!AC25="","",IPA!AC25)</f>
        <v/>
      </c>
      <c r="CK28" s="94" t="str">
        <f>IF(IPA!AD25="","",IPA!AD25)</f>
        <v/>
      </c>
      <c r="CL28" s="94" t="str">
        <f>IF(IPA!AE25="","",IPA!AE25)</f>
        <v/>
      </c>
      <c r="CM28" s="94" t="str">
        <f>IF(IPA!AF25="","",IPA!AF25)</f>
        <v/>
      </c>
      <c r="CN28" s="94" t="str">
        <f>IF(IPA!AG25="","",IPA!AG25)</f>
        <v/>
      </c>
      <c r="CO28" s="93" t="str">
        <f>IF(IPS!X25="","",IPS!X25)</f>
        <v/>
      </c>
      <c r="CP28" s="93" t="str">
        <f>IF(IPS!Y25="","",IPS!Y25)</f>
        <v/>
      </c>
      <c r="CQ28" s="93" t="str">
        <f>IF(IPS!Z25="","",IPS!Z25)</f>
        <v/>
      </c>
      <c r="CR28" s="93" t="str">
        <f>IF(IPS!AA25="","",IPS!AA25)</f>
        <v/>
      </c>
      <c r="CS28" s="93" t="str">
        <f>IF(IPS!AB25="","",IPS!AB25)</f>
        <v/>
      </c>
      <c r="CT28" s="93" t="str">
        <f>IF(IPS!AC25="","",IPS!AC25)</f>
        <v/>
      </c>
      <c r="CU28" s="93" t="str">
        <f>IF(IPS!AD25="","",IPS!AD25)</f>
        <v/>
      </c>
      <c r="CV28" s="93" t="str">
        <f>IF(IPS!AE25="","",IPS!AE25)</f>
        <v/>
      </c>
      <c r="CW28" s="93" t="str">
        <f>IF(IPS!AF25="","",IPS!AF25)</f>
        <v/>
      </c>
      <c r="CX28" s="93" t="str">
        <f>IF(IPS!AG25="","",IPS!AG25)</f>
        <v/>
      </c>
      <c r="CY28" s="94" t="str">
        <f>IF(INGG!X25="","",INGG!X25)</f>
        <v/>
      </c>
      <c r="CZ28" s="94" t="str">
        <f>IF(INGG!Y25="","",INGG!Y25)</f>
        <v/>
      </c>
      <c r="DA28" s="94" t="str">
        <f>IF(INGG!Z25="","",INGG!Z25)</f>
        <v/>
      </c>
      <c r="DB28" s="94" t="str">
        <f>IF(INGG!AA25="","",INGG!AA25)</f>
        <v/>
      </c>
      <c r="DC28" s="94" t="str">
        <f>IF(INGG!AB25="","",INGG!AB25)</f>
        <v/>
      </c>
      <c r="DD28" s="94" t="str">
        <f>IF(INGG!AC25="","",INGG!AC25)</f>
        <v/>
      </c>
      <c r="DE28" s="94" t="str">
        <f>IF(INGG!AD25="","",INGG!AD25)</f>
        <v/>
      </c>
      <c r="DF28" s="94" t="str">
        <f>IF(INGG!AE25="","",INGG!AE25)</f>
        <v/>
      </c>
      <c r="DG28" s="94" t="str">
        <f>IF(INGG!AF25="","",INGG!AF25)</f>
        <v/>
      </c>
      <c r="DH28" s="94" t="str">
        <f>IF(INGG!AG25="","",INGG!AG25)</f>
        <v/>
      </c>
      <c r="DI28" s="94" t="str">
        <f>IF(SENBUD!X25="","",SENBUD!X25)</f>
        <v/>
      </c>
      <c r="DJ28" s="94" t="str">
        <f>IF(SENBUD!Y25="","",SENBUD!Y25)</f>
        <v/>
      </c>
      <c r="DK28" s="94" t="str">
        <f>IF(SENBUD!Z25="","",SENBUD!Z25)</f>
        <v/>
      </c>
      <c r="DL28" s="94" t="str">
        <f>IF(SENBUD!AA25="","",SENBUD!AA25)</f>
        <v/>
      </c>
      <c r="DM28" s="94" t="str">
        <f>IF(SENBUD!AB25="","",SENBUD!AB25)</f>
        <v/>
      </c>
      <c r="DN28" s="94" t="str">
        <f>IF(SENBUD!AC25="","",SENBUD!AC25)</f>
        <v/>
      </c>
      <c r="DO28" s="94" t="str">
        <f>IF(SENBUD!AD25="","",SENBUD!AD25)</f>
        <v/>
      </c>
      <c r="DP28" s="94" t="str">
        <f>IF(SENBUD!AE25="","",SENBUD!AE25)</f>
        <v/>
      </c>
      <c r="DQ28" s="94" t="str">
        <f>IF(SENBUD!AF25="","",SENBUD!AF25)</f>
        <v/>
      </c>
      <c r="DR28" s="94" t="str">
        <f>IF(SENBUD!AG25="","",SENBUD!AG25)</f>
        <v/>
      </c>
      <c r="DS28" s="93" t="str">
        <f>IF(PENJAS!X25="","",PENJAS!X25)</f>
        <v/>
      </c>
      <c r="DT28" s="93" t="str">
        <f>IF(PENJAS!Y25="","",PENJAS!Y25)</f>
        <v/>
      </c>
      <c r="DU28" s="93" t="str">
        <f>IF(PENJAS!Z25="","",PENJAS!Z25)</f>
        <v/>
      </c>
      <c r="DV28" s="93" t="str">
        <f>IF(PENJAS!AA25="","",PENJAS!AA25)</f>
        <v/>
      </c>
      <c r="DW28" s="93" t="str">
        <f>IF(PENJAS!AB25="","",PENJAS!AB25)</f>
        <v/>
      </c>
      <c r="DX28" s="93" t="str">
        <f>IF(PENJAS!AC25="","",PENJAS!AC25)</f>
        <v/>
      </c>
      <c r="DY28" s="93" t="str">
        <f>IF(PENJAS!AD25="","",PENJAS!AD25)</f>
        <v/>
      </c>
      <c r="DZ28" s="93" t="str">
        <f>IF(PENJAS!AE25="","",PENJAS!AE25)</f>
        <v/>
      </c>
      <c r="EA28" s="93" t="str">
        <f>IF(PENJAS!AF25="","",PENJAS!AF25)</f>
        <v/>
      </c>
      <c r="EB28" s="93" t="str">
        <f>IF(PENJAS!AG25="","",PENJAS!AG25)</f>
        <v/>
      </c>
      <c r="EC28" s="93" t="str">
        <f>IF(PRAKARYA!X25="","",PRAKARYA!X25)</f>
        <v/>
      </c>
      <c r="ED28" s="93" t="str">
        <f>IF(PRAKARYA!Y25="","",PRAKARYA!Y25)</f>
        <v/>
      </c>
      <c r="EE28" s="93" t="str">
        <f>IF(PRAKARYA!Z25="","",PRAKARYA!Z25)</f>
        <v/>
      </c>
      <c r="EF28" s="93" t="str">
        <f>IF(PRAKARYA!AA25="","",PRAKARYA!AA25)</f>
        <v/>
      </c>
      <c r="EG28" s="93" t="str">
        <f>IF(PRAKARYA!AB25="","",PRAKARYA!AB25)</f>
        <v/>
      </c>
      <c r="EH28" s="93" t="str">
        <f>IF(PRAKARYA!AC25="","",PRAKARYA!AC25)</f>
        <v/>
      </c>
      <c r="EI28" s="93" t="str">
        <f>IF(PRAKARYA!AD25="","",PRAKARYA!AD25)</f>
        <v/>
      </c>
      <c r="EJ28" s="93" t="str">
        <f>IF(PRAKARYA!AE25="","",PRAKARYA!AE25)</f>
        <v/>
      </c>
      <c r="EK28" s="93" t="str">
        <f>IF(PRAKARYA!AF25="","",PRAKARYA!AF25)</f>
        <v/>
      </c>
      <c r="EL28" s="93" t="str">
        <f>IF(PRAKARYA!AG25="","",PRAKARYA!AG25)</f>
        <v/>
      </c>
      <c r="EM28" s="95" t="str">
        <f>IF(BADER!X25="","",BADER!X25)</f>
        <v/>
      </c>
      <c r="EN28" s="95" t="str">
        <f>IF(BADER!Y25="","",BADER!Y25)</f>
        <v/>
      </c>
      <c r="EO28" s="95" t="str">
        <f>IF(BADER!Z25="","",BADER!Z25)</f>
        <v/>
      </c>
      <c r="EP28" s="95" t="str">
        <f>IF(BADER!AA25="","",BADER!AA25)</f>
        <v/>
      </c>
      <c r="EQ28" s="95" t="str">
        <f>IF(BADER!AB25="","",BADER!AB25)</f>
        <v/>
      </c>
      <c r="ER28" s="95" t="str">
        <f>IF(BADER!AC25="","",BADER!AC25)</f>
        <v/>
      </c>
      <c r="ES28" s="95" t="str">
        <f>IF(BADER!AD25="","",BADER!AD25)</f>
        <v/>
      </c>
      <c r="ET28" s="95" t="str">
        <f>IF(BADER!AE25="","",BADER!AE25)</f>
        <v/>
      </c>
      <c r="EU28" s="95" t="str">
        <f>IF(BADER!AF25="","",BADER!AF25)</f>
        <v/>
      </c>
      <c r="EV28" s="95" t="str">
        <f>IF(BADER!AG25="","",BADER!AG25)</f>
        <v/>
      </c>
      <c r="EW28" s="96" t="str">
        <f t="shared" si="1"/>
        <v/>
      </c>
      <c r="EX28" s="96" t="str">
        <f t="shared" si="2"/>
        <v/>
      </c>
      <c r="EY28" s="96" t="str">
        <f t="shared" si="14"/>
        <v/>
      </c>
      <c r="EZ28" s="96" t="str">
        <f t="shared" si="14"/>
        <v/>
      </c>
      <c r="FA28" s="96" t="str">
        <f t="shared" si="14"/>
        <v/>
      </c>
      <c r="FB28" s="96" t="str">
        <f t="shared" si="14"/>
        <v/>
      </c>
      <c r="FC28" s="96" t="str">
        <f t="shared" si="14"/>
        <v/>
      </c>
      <c r="FD28" s="96" t="str">
        <f t="shared" si="14"/>
        <v/>
      </c>
      <c r="FE28" s="96" t="str">
        <f t="shared" si="14"/>
        <v/>
      </c>
      <c r="FF28" s="96" t="str">
        <f t="shared" si="3"/>
        <v/>
      </c>
      <c r="FG28" s="96" t="str">
        <f t="shared" si="4"/>
        <v/>
      </c>
      <c r="FH28" s="92" t="str">
        <f t="shared" si="5"/>
        <v/>
      </c>
      <c r="FI28" s="92" t="str">
        <f t="shared" si="6"/>
        <v xml:space="preserve"> </v>
      </c>
      <c r="FJ28" s="92" t="str">
        <f t="shared" si="7"/>
        <v xml:space="preserve"> </v>
      </c>
      <c r="FK28" s="92" t="str">
        <f t="shared" si="8"/>
        <v xml:space="preserve"> </v>
      </c>
      <c r="FL28" s="92" t="str">
        <f t="shared" si="9"/>
        <v xml:space="preserve"> </v>
      </c>
      <c r="FM28" s="92" t="str">
        <f t="shared" si="10"/>
        <v xml:space="preserve"> </v>
      </c>
      <c r="FN28" s="92" t="str">
        <f t="shared" si="11"/>
        <v xml:space="preserve"> </v>
      </c>
      <c r="FO28" s="92" t="str">
        <f t="shared" si="12"/>
        <v xml:space="preserve"> </v>
      </c>
      <c r="FP28" s="92" t="str">
        <f t="shared" si="13"/>
        <v xml:space="preserve">,  ,  ,  ,  ,  ,  ,  </v>
      </c>
    </row>
    <row r="29" spans="1:172">
      <c r="A29" s="66">
        <v>19</v>
      </c>
      <c r="B29" s="92" t="str">
        <f>IF(DATA!D26="","",DATA!D26)</f>
        <v>MOCH. FAWES</v>
      </c>
      <c r="C29" s="93" t="str">
        <f>IF(QH!X26="","",QH!X26)</f>
        <v/>
      </c>
      <c r="D29" s="93" t="str">
        <f>IF(QH!Y26="","",QH!Y26)</f>
        <v/>
      </c>
      <c r="E29" s="93" t="str">
        <f>IF(QH!Z26="","",QH!Z26)</f>
        <v/>
      </c>
      <c r="F29" s="93" t="str">
        <f>IF(QH!AA26="","",QH!AA26)</f>
        <v/>
      </c>
      <c r="G29" s="93" t="str">
        <f>IF(QH!AB26="","",QH!AB26)</f>
        <v/>
      </c>
      <c r="H29" s="93" t="str">
        <f>IF(QH!AC26="","",QH!AC26)</f>
        <v/>
      </c>
      <c r="I29" s="93" t="str">
        <f>IF(QH!AD26="","",QH!AD26)</f>
        <v/>
      </c>
      <c r="J29" s="93" t="str">
        <f>IF(QH!AE26="","",QH!AE26)</f>
        <v/>
      </c>
      <c r="K29" s="93" t="str">
        <f>IF(QH!AF26="","",QH!AF26)</f>
        <v/>
      </c>
      <c r="L29" s="93" t="str">
        <f>IF(QH!AG26="","",QH!AG26)</f>
        <v/>
      </c>
      <c r="M29" s="94" t="str">
        <f>IF(AA!X26="","",AA!X26)</f>
        <v/>
      </c>
      <c r="N29" s="94" t="str">
        <f>IF(AA!Y26="","",AA!Y26)</f>
        <v/>
      </c>
      <c r="O29" s="94" t="str">
        <f>IF(AA!Z26="","",AA!Z26)</f>
        <v/>
      </c>
      <c r="P29" s="94" t="str">
        <f>IF(AA!AA26="","",AA!AA26)</f>
        <v/>
      </c>
      <c r="Q29" s="94" t="str">
        <f>IF(AA!AB26="","",AA!AB26)</f>
        <v/>
      </c>
      <c r="R29" s="94" t="str">
        <f>IF(AA!AC26="","",AA!AC26)</f>
        <v/>
      </c>
      <c r="S29" s="94" t="str">
        <f>IF(AA!AD26="","",AA!AD26)</f>
        <v/>
      </c>
      <c r="T29" s="94" t="str">
        <f>IF(AA!AE26="","",AA!AE26)</f>
        <v/>
      </c>
      <c r="U29" s="94" t="str">
        <f>IF(AA!AF26="","",AA!AF26)</f>
        <v/>
      </c>
      <c r="V29" s="94" t="str">
        <f>IF(AA!AG26="","",AA!AG26)</f>
        <v/>
      </c>
      <c r="W29" s="94" t="str">
        <f>IF(FIKIH!X26="","",FIKIH!X26)</f>
        <v/>
      </c>
      <c r="X29" s="94" t="str">
        <f>IF(FIKIH!Y26="","",FIKIH!Y26)</f>
        <v/>
      </c>
      <c r="Y29" s="94" t="str">
        <f>IF(FIKIH!Z26="","",FIKIH!Z26)</f>
        <v/>
      </c>
      <c r="Z29" s="94" t="str">
        <f>IF(FIKIH!AA26="","",FIKIH!AA26)</f>
        <v/>
      </c>
      <c r="AA29" s="94" t="str">
        <f>IF(FIKIH!AB26="","",FIKIH!AB26)</f>
        <v/>
      </c>
      <c r="AB29" s="94" t="str">
        <f>IF(FIKIH!AC26="","",FIKIH!AC26)</f>
        <v/>
      </c>
      <c r="AC29" s="94" t="str">
        <f>IF(FIKIH!AD26="","",FIKIH!AD26)</f>
        <v/>
      </c>
      <c r="AD29" s="94" t="str">
        <f>IF(FIKIH!AE26="","",FIKIH!AE26)</f>
        <v/>
      </c>
      <c r="AE29" s="94" t="str">
        <f>IF(FIKIH!AF26="","",FIKIH!AF26)</f>
        <v/>
      </c>
      <c r="AF29" s="94" t="str">
        <f>IF(FIKIH!AG26="","",FIKIH!AG26)</f>
        <v/>
      </c>
      <c r="AG29" s="94">
        <f>IF(SKI!X26="","",SKI!X26)</f>
        <v>3</v>
      </c>
      <c r="AH29" s="94" t="str">
        <f>IF(SKI!Y26="","",SKI!Y26)</f>
        <v>Melaksanakan sholat dhuhur berjemaah, berdo'a di awal dan di akhir kegiatan pembelajaran , serta melaksanakan kegiatan amaliyah siswa</v>
      </c>
      <c r="AI29" s="94">
        <f>IF(SKI!Z26="","",SKI!Z26)</f>
        <v>3</v>
      </c>
      <c r="AJ29" s="94">
        <f>IF(SKI!AA26="","",SKI!AA26)</f>
        <v>3</v>
      </c>
      <c r="AK29" s="94">
        <f>IF(SKI!AB26="","",SKI!AB26)</f>
        <v>3</v>
      </c>
      <c r="AL29" s="94">
        <f>IF(SKI!AC26="","",SKI!AC26)</f>
        <v>3</v>
      </c>
      <c r="AM29" s="94">
        <f>IF(SKI!AD26="","",SKI!AD26)</f>
        <v>3</v>
      </c>
      <c r="AN29" s="94">
        <f>IF(SKI!AE26="","",SKI!AE26)</f>
        <v>3</v>
      </c>
      <c r="AO29" s="94">
        <f>IF(SKI!AF26="","",SKI!AF26)</f>
        <v>3</v>
      </c>
      <c r="AP29" s="94" t="str">
        <f>IF(SKI!AG26="","",SKI!AG26)</f>
        <v>Santun dalam bersikap, disiplin dalam mentaati tata tertib madrasah, peduli pada lingkungan, orang tua, bertanggung jawab dalam melaksanakan tugas, baik sebagai individu maupun makhluk sosial</v>
      </c>
      <c r="AQ29" s="94" t="str">
        <f>IF(PKN!X26="","",PKN!X26)</f>
        <v/>
      </c>
      <c r="AR29" s="94" t="str">
        <f>IF(PKN!Y26="","",PKN!Y26)</f>
        <v/>
      </c>
      <c r="AS29" s="94" t="str">
        <f>IF(PKN!Z26="","",PKN!Z26)</f>
        <v/>
      </c>
      <c r="AT29" s="94" t="str">
        <f>IF(PKN!AA26="","",PKN!AA26)</f>
        <v/>
      </c>
      <c r="AU29" s="94" t="str">
        <f>IF(PKN!AB26="","",PKN!AB26)</f>
        <v/>
      </c>
      <c r="AV29" s="94" t="str">
        <f>IF(PKN!AC26="","",PKN!AC26)</f>
        <v/>
      </c>
      <c r="AW29" s="94" t="str">
        <f>IF(PKN!AD26="","",PKN!AD26)</f>
        <v/>
      </c>
      <c r="AX29" s="94" t="str">
        <f>IF(PKN!AE26="","",PKN!AE26)</f>
        <v/>
      </c>
      <c r="AY29" s="94" t="str">
        <f>IF(PKN!AF26="","",PKN!AF26)</f>
        <v/>
      </c>
      <c r="AZ29" s="94" t="str">
        <f>IF(PKN!AG26="","",PKN!AG26)</f>
        <v/>
      </c>
      <c r="BA29" s="93" t="str">
        <f>IF(INDO!X26="","",INDO!X26)</f>
        <v/>
      </c>
      <c r="BB29" s="93" t="str">
        <f>IF(INDO!Y26="","",INDO!Y26)</f>
        <v/>
      </c>
      <c r="BC29" s="93" t="str">
        <f>IF(INDO!Z26="","",INDO!Z26)</f>
        <v/>
      </c>
      <c r="BD29" s="93" t="str">
        <f>IF(INDO!AA26="","",INDO!AA26)</f>
        <v/>
      </c>
      <c r="BE29" s="93" t="str">
        <f>IF(INDO!AB26="","",INDO!AB26)</f>
        <v/>
      </c>
      <c r="BF29" s="93" t="str">
        <f>IF(INDO!AC26="","",INDO!AC26)</f>
        <v/>
      </c>
      <c r="BG29" s="93" t="str">
        <f>IF(INDO!AD26="","",INDO!AD26)</f>
        <v/>
      </c>
      <c r="BH29" s="93" t="str">
        <f>IF(INDO!AE26="","",INDO!AE26)</f>
        <v/>
      </c>
      <c r="BI29" s="93" t="str">
        <f>IF(INDO!AF26="","",INDO!AF26)</f>
        <v/>
      </c>
      <c r="BJ29" s="93" t="str">
        <f>IF(INDO!AG26="","",INDO!AG26)</f>
        <v/>
      </c>
      <c r="BK29" s="93" t="str">
        <f>IF(ARAB!X26="","",ARAB!X26)</f>
        <v/>
      </c>
      <c r="BL29" s="93" t="str">
        <f>IF(ARAB!Y26="","",ARAB!Y26)</f>
        <v/>
      </c>
      <c r="BM29" s="93" t="str">
        <f>IF(ARAB!Z26="","",ARAB!Z26)</f>
        <v/>
      </c>
      <c r="BN29" s="93" t="str">
        <f>IF(ARAB!AA26="","",ARAB!AA26)</f>
        <v/>
      </c>
      <c r="BO29" s="93" t="str">
        <f>IF(ARAB!AB26="","",ARAB!AB26)</f>
        <v/>
      </c>
      <c r="BP29" s="93" t="str">
        <f>IF(ARAB!AC26="","",ARAB!AC26)</f>
        <v/>
      </c>
      <c r="BQ29" s="93" t="str">
        <f>IF(ARAB!AD26="","",ARAB!AD26)</f>
        <v/>
      </c>
      <c r="BR29" s="93" t="str">
        <f>IF(ARAB!AE26="","",ARAB!AE26)</f>
        <v/>
      </c>
      <c r="BS29" s="93" t="str">
        <f>IF(ARAB!AF26="","",ARAB!AF26)</f>
        <v/>
      </c>
      <c r="BT29" s="93" t="str">
        <f>IF(ARAB!AG26="","",ARAB!AG26)</f>
        <v/>
      </c>
      <c r="BU29" s="94" t="str">
        <f>IF(MAT!X26="","",MAT!X26)</f>
        <v/>
      </c>
      <c r="BV29" s="94" t="str">
        <f>IF(MAT!Y26="","",MAT!Y26)</f>
        <v/>
      </c>
      <c r="BW29" s="94" t="str">
        <f>IF(MAT!Z26="","",MAT!Z26)</f>
        <v/>
      </c>
      <c r="BX29" s="94" t="str">
        <f>IF(MAT!AA26="","",MAT!AA26)</f>
        <v/>
      </c>
      <c r="BY29" s="94" t="str">
        <f>IF(MAT!AB26="","",MAT!AB26)</f>
        <v/>
      </c>
      <c r="BZ29" s="94" t="str">
        <f>IF(MAT!AC26="","",MAT!AC26)</f>
        <v/>
      </c>
      <c r="CA29" s="94" t="str">
        <f>IF(MAT!AD26="","",MAT!AD26)</f>
        <v/>
      </c>
      <c r="CB29" s="94" t="str">
        <f>IF(MAT!AE26="","",MAT!AE26)</f>
        <v/>
      </c>
      <c r="CC29" s="94" t="str">
        <f>IF(MAT!AF26="","",MAT!AF26)</f>
        <v/>
      </c>
      <c r="CD29" s="94" t="str">
        <f>IF(MAT!AG26="","",MAT!AG26)</f>
        <v/>
      </c>
      <c r="CE29" s="94" t="str">
        <f>IF(IPA!X26="","",IPA!X26)</f>
        <v/>
      </c>
      <c r="CF29" s="94" t="str">
        <f>IF(IPA!Y26="","",IPA!Y26)</f>
        <v/>
      </c>
      <c r="CG29" s="94" t="str">
        <f>IF(IPA!Z26="","",IPA!Z26)</f>
        <v/>
      </c>
      <c r="CH29" s="94" t="str">
        <f>IF(IPA!AA26="","",IPA!AA26)</f>
        <v/>
      </c>
      <c r="CI29" s="94" t="str">
        <f>IF(IPA!AB26="","",IPA!AB26)</f>
        <v/>
      </c>
      <c r="CJ29" s="94" t="str">
        <f>IF(IPA!AC26="","",IPA!AC26)</f>
        <v/>
      </c>
      <c r="CK29" s="94" t="str">
        <f>IF(IPA!AD26="","",IPA!AD26)</f>
        <v/>
      </c>
      <c r="CL29" s="94" t="str">
        <f>IF(IPA!AE26="","",IPA!AE26)</f>
        <v/>
      </c>
      <c r="CM29" s="94" t="str">
        <f>IF(IPA!AF26="","",IPA!AF26)</f>
        <v/>
      </c>
      <c r="CN29" s="94" t="str">
        <f>IF(IPA!AG26="","",IPA!AG26)</f>
        <v/>
      </c>
      <c r="CO29" s="93" t="str">
        <f>IF(IPS!X26="","",IPS!X26)</f>
        <v/>
      </c>
      <c r="CP29" s="93" t="str">
        <f>IF(IPS!Y26="","",IPS!Y26)</f>
        <v/>
      </c>
      <c r="CQ29" s="93" t="str">
        <f>IF(IPS!Z26="","",IPS!Z26)</f>
        <v/>
      </c>
      <c r="CR29" s="93" t="str">
        <f>IF(IPS!AA26="","",IPS!AA26)</f>
        <v/>
      </c>
      <c r="CS29" s="93" t="str">
        <f>IF(IPS!AB26="","",IPS!AB26)</f>
        <v/>
      </c>
      <c r="CT29" s="93" t="str">
        <f>IF(IPS!AC26="","",IPS!AC26)</f>
        <v/>
      </c>
      <c r="CU29" s="93" t="str">
        <f>IF(IPS!AD26="","",IPS!AD26)</f>
        <v/>
      </c>
      <c r="CV29" s="93" t="str">
        <f>IF(IPS!AE26="","",IPS!AE26)</f>
        <v/>
      </c>
      <c r="CW29" s="93" t="str">
        <f>IF(IPS!AF26="","",IPS!AF26)</f>
        <v/>
      </c>
      <c r="CX29" s="93" t="str">
        <f>IF(IPS!AG26="","",IPS!AG26)</f>
        <v/>
      </c>
      <c r="CY29" s="94" t="str">
        <f>IF(INGG!X26="","",INGG!X26)</f>
        <v/>
      </c>
      <c r="CZ29" s="94" t="str">
        <f>IF(INGG!Y26="","",INGG!Y26)</f>
        <v/>
      </c>
      <c r="DA29" s="94" t="str">
        <f>IF(INGG!Z26="","",INGG!Z26)</f>
        <v/>
      </c>
      <c r="DB29" s="94" t="str">
        <f>IF(INGG!AA26="","",INGG!AA26)</f>
        <v/>
      </c>
      <c r="DC29" s="94" t="str">
        <f>IF(INGG!AB26="","",INGG!AB26)</f>
        <v/>
      </c>
      <c r="DD29" s="94" t="str">
        <f>IF(INGG!AC26="","",INGG!AC26)</f>
        <v/>
      </c>
      <c r="DE29" s="94" t="str">
        <f>IF(INGG!AD26="","",INGG!AD26)</f>
        <v/>
      </c>
      <c r="DF29" s="94" t="str">
        <f>IF(INGG!AE26="","",INGG!AE26)</f>
        <v/>
      </c>
      <c r="DG29" s="94" t="str">
        <f>IF(INGG!AF26="","",INGG!AF26)</f>
        <v/>
      </c>
      <c r="DH29" s="94" t="str">
        <f>IF(INGG!AG26="","",INGG!AG26)</f>
        <v/>
      </c>
      <c r="DI29" s="94" t="str">
        <f>IF(SENBUD!X26="","",SENBUD!X26)</f>
        <v/>
      </c>
      <c r="DJ29" s="94" t="str">
        <f>IF(SENBUD!Y26="","",SENBUD!Y26)</f>
        <v/>
      </c>
      <c r="DK29" s="94" t="str">
        <f>IF(SENBUD!Z26="","",SENBUD!Z26)</f>
        <v/>
      </c>
      <c r="DL29" s="94" t="str">
        <f>IF(SENBUD!AA26="","",SENBUD!AA26)</f>
        <v/>
      </c>
      <c r="DM29" s="94" t="str">
        <f>IF(SENBUD!AB26="","",SENBUD!AB26)</f>
        <v/>
      </c>
      <c r="DN29" s="94" t="str">
        <f>IF(SENBUD!AC26="","",SENBUD!AC26)</f>
        <v/>
      </c>
      <c r="DO29" s="94" t="str">
        <f>IF(SENBUD!AD26="","",SENBUD!AD26)</f>
        <v/>
      </c>
      <c r="DP29" s="94" t="str">
        <f>IF(SENBUD!AE26="","",SENBUD!AE26)</f>
        <v/>
      </c>
      <c r="DQ29" s="94" t="str">
        <f>IF(SENBUD!AF26="","",SENBUD!AF26)</f>
        <v/>
      </c>
      <c r="DR29" s="94" t="str">
        <f>IF(SENBUD!AG26="","",SENBUD!AG26)</f>
        <v/>
      </c>
      <c r="DS29" s="93" t="str">
        <f>IF(PENJAS!X26="","",PENJAS!X26)</f>
        <v/>
      </c>
      <c r="DT29" s="93" t="str">
        <f>IF(PENJAS!Y26="","",PENJAS!Y26)</f>
        <v/>
      </c>
      <c r="DU29" s="93" t="str">
        <f>IF(PENJAS!Z26="","",PENJAS!Z26)</f>
        <v/>
      </c>
      <c r="DV29" s="93" t="str">
        <f>IF(PENJAS!AA26="","",PENJAS!AA26)</f>
        <v/>
      </c>
      <c r="DW29" s="93" t="str">
        <f>IF(PENJAS!AB26="","",PENJAS!AB26)</f>
        <v/>
      </c>
      <c r="DX29" s="93" t="str">
        <f>IF(PENJAS!AC26="","",PENJAS!AC26)</f>
        <v/>
      </c>
      <c r="DY29" s="93" t="str">
        <f>IF(PENJAS!AD26="","",PENJAS!AD26)</f>
        <v/>
      </c>
      <c r="DZ29" s="93" t="str">
        <f>IF(PENJAS!AE26="","",PENJAS!AE26)</f>
        <v/>
      </c>
      <c r="EA29" s="93" t="str">
        <f>IF(PENJAS!AF26="","",PENJAS!AF26)</f>
        <v/>
      </c>
      <c r="EB29" s="93" t="str">
        <f>IF(PENJAS!AG26="","",PENJAS!AG26)</f>
        <v/>
      </c>
      <c r="EC29" s="93" t="str">
        <f>IF(PRAKARYA!X26="","",PRAKARYA!X26)</f>
        <v/>
      </c>
      <c r="ED29" s="93" t="str">
        <f>IF(PRAKARYA!Y26="","",PRAKARYA!Y26)</f>
        <v/>
      </c>
      <c r="EE29" s="93" t="str">
        <f>IF(PRAKARYA!Z26="","",PRAKARYA!Z26)</f>
        <v/>
      </c>
      <c r="EF29" s="93" t="str">
        <f>IF(PRAKARYA!AA26="","",PRAKARYA!AA26)</f>
        <v/>
      </c>
      <c r="EG29" s="93" t="str">
        <f>IF(PRAKARYA!AB26="","",PRAKARYA!AB26)</f>
        <v/>
      </c>
      <c r="EH29" s="93" t="str">
        <f>IF(PRAKARYA!AC26="","",PRAKARYA!AC26)</f>
        <v/>
      </c>
      <c r="EI29" s="93" t="str">
        <f>IF(PRAKARYA!AD26="","",PRAKARYA!AD26)</f>
        <v/>
      </c>
      <c r="EJ29" s="93" t="str">
        <f>IF(PRAKARYA!AE26="","",PRAKARYA!AE26)</f>
        <v/>
      </c>
      <c r="EK29" s="93" t="str">
        <f>IF(PRAKARYA!AF26="","",PRAKARYA!AF26)</f>
        <v/>
      </c>
      <c r="EL29" s="93" t="str">
        <f>IF(PRAKARYA!AG26="","",PRAKARYA!AG26)</f>
        <v/>
      </c>
      <c r="EM29" s="95" t="str">
        <f>IF(BADER!X26="","",BADER!X26)</f>
        <v/>
      </c>
      <c r="EN29" s="95" t="str">
        <f>IF(BADER!Y26="","",BADER!Y26)</f>
        <v/>
      </c>
      <c r="EO29" s="95" t="str">
        <f>IF(BADER!Z26="","",BADER!Z26)</f>
        <v/>
      </c>
      <c r="EP29" s="95" t="str">
        <f>IF(BADER!AA26="","",BADER!AA26)</f>
        <v/>
      </c>
      <c r="EQ29" s="95" t="str">
        <f>IF(BADER!AB26="","",BADER!AB26)</f>
        <v/>
      </c>
      <c r="ER29" s="95" t="str">
        <f>IF(BADER!AC26="","",BADER!AC26)</f>
        <v/>
      </c>
      <c r="ES29" s="95" t="str">
        <f>IF(BADER!AD26="","",BADER!AD26)</f>
        <v/>
      </c>
      <c r="ET29" s="95" t="str">
        <f>IF(BADER!AE26="","",BADER!AE26)</f>
        <v/>
      </c>
      <c r="EU29" s="95" t="str">
        <f>IF(BADER!AF26="","",BADER!AF26)</f>
        <v/>
      </c>
      <c r="EV29" s="95" t="str">
        <f>IF(BADER!AG26="","",BADER!AG26)</f>
        <v/>
      </c>
      <c r="EW29" s="96" t="str">
        <f t="shared" si="1"/>
        <v/>
      </c>
      <c r="EX29" s="96" t="str">
        <f t="shared" si="2"/>
        <v/>
      </c>
      <c r="EY29" s="96" t="str">
        <f t="shared" si="14"/>
        <v/>
      </c>
      <c r="EZ29" s="96" t="str">
        <f t="shared" si="14"/>
        <v/>
      </c>
      <c r="FA29" s="96" t="str">
        <f t="shared" si="14"/>
        <v/>
      </c>
      <c r="FB29" s="96" t="str">
        <f t="shared" si="14"/>
        <v/>
      </c>
      <c r="FC29" s="96" t="str">
        <f t="shared" si="14"/>
        <v/>
      </c>
      <c r="FD29" s="96" t="str">
        <f t="shared" si="14"/>
        <v/>
      </c>
      <c r="FE29" s="96" t="str">
        <f t="shared" si="14"/>
        <v/>
      </c>
      <c r="FF29" s="96" t="str">
        <f t="shared" si="3"/>
        <v/>
      </c>
      <c r="FG29" s="96" t="str">
        <f t="shared" si="4"/>
        <v/>
      </c>
      <c r="FH29" s="92" t="str">
        <f t="shared" si="5"/>
        <v/>
      </c>
      <c r="FI29" s="92" t="str">
        <f t="shared" si="6"/>
        <v xml:space="preserve"> </v>
      </c>
      <c r="FJ29" s="92" t="str">
        <f t="shared" si="7"/>
        <v xml:space="preserve"> </v>
      </c>
      <c r="FK29" s="92" t="str">
        <f t="shared" si="8"/>
        <v xml:space="preserve"> </v>
      </c>
      <c r="FL29" s="92" t="str">
        <f t="shared" si="9"/>
        <v xml:space="preserve"> </v>
      </c>
      <c r="FM29" s="92" t="str">
        <f t="shared" si="10"/>
        <v xml:space="preserve"> </v>
      </c>
      <c r="FN29" s="92" t="str">
        <f t="shared" si="11"/>
        <v xml:space="preserve"> </v>
      </c>
      <c r="FO29" s="92" t="str">
        <f t="shared" si="12"/>
        <v xml:space="preserve"> </v>
      </c>
      <c r="FP29" s="92" t="str">
        <f t="shared" si="13"/>
        <v xml:space="preserve">,  ,  ,  ,  ,  ,  ,  </v>
      </c>
    </row>
    <row r="30" spans="1:172">
      <c r="A30" s="66">
        <v>20</v>
      </c>
      <c r="B30" s="92" t="str">
        <f>IF(DATA!D27="","",DATA!D27)</f>
        <v>MOH SAHRUL RAMADON</v>
      </c>
      <c r="C30" s="93" t="str">
        <f>IF(QH!X27="","",QH!X27)</f>
        <v/>
      </c>
      <c r="D30" s="93" t="str">
        <f>IF(QH!Y27="","",QH!Y27)</f>
        <v/>
      </c>
      <c r="E30" s="93" t="str">
        <f>IF(QH!Z27="","",QH!Z27)</f>
        <v/>
      </c>
      <c r="F30" s="93" t="str">
        <f>IF(QH!AA27="","",QH!AA27)</f>
        <v/>
      </c>
      <c r="G30" s="93" t="str">
        <f>IF(QH!AB27="","",QH!AB27)</f>
        <v/>
      </c>
      <c r="H30" s="93" t="str">
        <f>IF(QH!AC27="","",QH!AC27)</f>
        <v/>
      </c>
      <c r="I30" s="93" t="str">
        <f>IF(QH!AD27="","",QH!AD27)</f>
        <v/>
      </c>
      <c r="J30" s="93" t="str">
        <f>IF(QH!AE27="","",QH!AE27)</f>
        <v/>
      </c>
      <c r="K30" s="93" t="str">
        <f>IF(QH!AF27="","",QH!AF27)</f>
        <v/>
      </c>
      <c r="L30" s="93" t="str">
        <f>IF(QH!AG27="","",QH!AG27)</f>
        <v/>
      </c>
      <c r="M30" s="94" t="str">
        <f>IF(AA!X27="","",AA!X27)</f>
        <v/>
      </c>
      <c r="N30" s="94" t="str">
        <f>IF(AA!Y27="","",AA!Y27)</f>
        <v/>
      </c>
      <c r="O30" s="94" t="str">
        <f>IF(AA!Z27="","",AA!Z27)</f>
        <v/>
      </c>
      <c r="P30" s="94" t="str">
        <f>IF(AA!AA27="","",AA!AA27)</f>
        <v/>
      </c>
      <c r="Q30" s="94" t="str">
        <f>IF(AA!AB27="","",AA!AB27)</f>
        <v/>
      </c>
      <c r="R30" s="94" t="str">
        <f>IF(AA!AC27="","",AA!AC27)</f>
        <v/>
      </c>
      <c r="S30" s="94" t="str">
        <f>IF(AA!AD27="","",AA!AD27)</f>
        <v/>
      </c>
      <c r="T30" s="94" t="str">
        <f>IF(AA!AE27="","",AA!AE27)</f>
        <v/>
      </c>
      <c r="U30" s="94" t="str">
        <f>IF(AA!AF27="","",AA!AF27)</f>
        <v/>
      </c>
      <c r="V30" s="94" t="str">
        <f>IF(AA!AG27="","",AA!AG27)</f>
        <v/>
      </c>
      <c r="W30" s="94" t="str">
        <f>IF(FIKIH!X27="","",FIKIH!X27)</f>
        <v/>
      </c>
      <c r="X30" s="94" t="str">
        <f>IF(FIKIH!Y27="","",FIKIH!Y27)</f>
        <v/>
      </c>
      <c r="Y30" s="94" t="str">
        <f>IF(FIKIH!Z27="","",FIKIH!Z27)</f>
        <v/>
      </c>
      <c r="Z30" s="94" t="str">
        <f>IF(FIKIH!AA27="","",FIKIH!AA27)</f>
        <v/>
      </c>
      <c r="AA30" s="94" t="str">
        <f>IF(FIKIH!AB27="","",FIKIH!AB27)</f>
        <v/>
      </c>
      <c r="AB30" s="94" t="str">
        <f>IF(FIKIH!AC27="","",FIKIH!AC27)</f>
        <v/>
      </c>
      <c r="AC30" s="94" t="str">
        <f>IF(FIKIH!AD27="","",FIKIH!AD27)</f>
        <v/>
      </c>
      <c r="AD30" s="94" t="str">
        <f>IF(FIKIH!AE27="","",FIKIH!AE27)</f>
        <v/>
      </c>
      <c r="AE30" s="94" t="str">
        <f>IF(FIKIH!AF27="","",FIKIH!AF27)</f>
        <v/>
      </c>
      <c r="AF30" s="94" t="str">
        <f>IF(FIKIH!AG27="","",FIKIH!AG27)</f>
        <v/>
      </c>
      <c r="AG30" s="94">
        <f>IF(SKI!X27="","",SKI!X27)</f>
        <v>3</v>
      </c>
      <c r="AH30" s="94" t="str">
        <f>IF(SKI!Y27="","",SKI!Y27)</f>
        <v>Melaksanakan sholat dhuhur berjemaah, berdo'a di awal dan di akhir kegiatan pembelajaran , serta melaksanakan kegiatan amaliyah siswa</v>
      </c>
      <c r="AI30" s="94">
        <f>IF(SKI!Z27="","",SKI!Z27)</f>
        <v>3</v>
      </c>
      <c r="AJ30" s="94">
        <f>IF(SKI!AA27="","",SKI!AA27)</f>
        <v>3</v>
      </c>
      <c r="AK30" s="94">
        <f>IF(SKI!AB27="","",SKI!AB27)</f>
        <v>3</v>
      </c>
      <c r="AL30" s="94">
        <f>IF(SKI!AC27="","",SKI!AC27)</f>
        <v>3</v>
      </c>
      <c r="AM30" s="94">
        <f>IF(SKI!AD27="","",SKI!AD27)</f>
        <v>3</v>
      </c>
      <c r="AN30" s="94">
        <f>IF(SKI!AE27="","",SKI!AE27)</f>
        <v>3</v>
      </c>
      <c r="AO30" s="94">
        <f>IF(SKI!AF27="","",SKI!AF27)</f>
        <v>3</v>
      </c>
      <c r="AP30" s="94" t="str">
        <f>IF(SKI!AG27="","",SKI!AG27)</f>
        <v>Santun dalam bersikap, disiplin dalam mentaati tata tertib madrasah, peduli pada lingkungan, orang tua, bertanggung jawab dalam melaksanakan tugas, baik sebagai individu maupun makhluk sosial</v>
      </c>
      <c r="AQ30" s="94" t="str">
        <f>IF(PKN!X27="","",PKN!X27)</f>
        <v/>
      </c>
      <c r="AR30" s="94" t="str">
        <f>IF(PKN!Y27="","",PKN!Y27)</f>
        <v/>
      </c>
      <c r="AS30" s="94" t="str">
        <f>IF(PKN!Z27="","",PKN!Z27)</f>
        <v/>
      </c>
      <c r="AT30" s="94" t="str">
        <f>IF(PKN!AA27="","",PKN!AA27)</f>
        <v/>
      </c>
      <c r="AU30" s="94" t="str">
        <f>IF(PKN!AB27="","",PKN!AB27)</f>
        <v/>
      </c>
      <c r="AV30" s="94" t="str">
        <f>IF(PKN!AC27="","",PKN!AC27)</f>
        <v/>
      </c>
      <c r="AW30" s="94" t="str">
        <f>IF(PKN!AD27="","",PKN!AD27)</f>
        <v/>
      </c>
      <c r="AX30" s="94" t="str">
        <f>IF(PKN!AE27="","",PKN!AE27)</f>
        <v/>
      </c>
      <c r="AY30" s="94" t="str">
        <f>IF(PKN!AF27="","",PKN!AF27)</f>
        <v/>
      </c>
      <c r="AZ30" s="94" t="str">
        <f>IF(PKN!AG27="","",PKN!AG27)</f>
        <v/>
      </c>
      <c r="BA30" s="93" t="str">
        <f>IF(INDO!X27="","",INDO!X27)</f>
        <v/>
      </c>
      <c r="BB30" s="93" t="str">
        <f>IF(INDO!Y27="","",INDO!Y27)</f>
        <v/>
      </c>
      <c r="BC30" s="93" t="str">
        <f>IF(INDO!Z27="","",INDO!Z27)</f>
        <v/>
      </c>
      <c r="BD30" s="93" t="str">
        <f>IF(INDO!AA27="","",INDO!AA27)</f>
        <v/>
      </c>
      <c r="BE30" s="93" t="str">
        <f>IF(INDO!AB27="","",INDO!AB27)</f>
        <v/>
      </c>
      <c r="BF30" s="93" t="str">
        <f>IF(INDO!AC27="","",INDO!AC27)</f>
        <v/>
      </c>
      <c r="BG30" s="93" t="str">
        <f>IF(INDO!AD27="","",INDO!AD27)</f>
        <v/>
      </c>
      <c r="BH30" s="93" t="str">
        <f>IF(INDO!AE27="","",INDO!AE27)</f>
        <v/>
      </c>
      <c r="BI30" s="93" t="str">
        <f>IF(INDO!AF27="","",INDO!AF27)</f>
        <v/>
      </c>
      <c r="BJ30" s="93" t="str">
        <f>IF(INDO!AG27="","",INDO!AG27)</f>
        <v/>
      </c>
      <c r="BK30" s="93" t="str">
        <f>IF(ARAB!X27="","",ARAB!X27)</f>
        <v/>
      </c>
      <c r="BL30" s="93" t="str">
        <f>IF(ARAB!Y27="","",ARAB!Y27)</f>
        <v/>
      </c>
      <c r="BM30" s="93" t="str">
        <f>IF(ARAB!Z27="","",ARAB!Z27)</f>
        <v/>
      </c>
      <c r="BN30" s="93" t="str">
        <f>IF(ARAB!AA27="","",ARAB!AA27)</f>
        <v/>
      </c>
      <c r="BO30" s="93" t="str">
        <f>IF(ARAB!AB27="","",ARAB!AB27)</f>
        <v/>
      </c>
      <c r="BP30" s="93" t="str">
        <f>IF(ARAB!AC27="","",ARAB!AC27)</f>
        <v/>
      </c>
      <c r="BQ30" s="93" t="str">
        <f>IF(ARAB!AD27="","",ARAB!AD27)</f>
        <v/>
      </c>
      <c r="BR30" s="93" t="str">
        <f>IF(ARAB!AE27="","",ARAB!AE27)</f>
        <v/>
      </c>
      <c r="BS30" s="93" t="str">
        <f>IF(ARAB!AF27="","",ARAB!AF27)</f>
        <v/>
      </c>
      <c r="BT30" s="93" t="str">
        <f>IF(ARAB!AG27="","",ARAB!AG27)</f>
        <v/>
      </c>
      <c r="BU30" s="94" t="str">
        <f>IF(MAT!X27="","",MAT!X27)</f>
        <v/>
      </c>
      <c r="BV30" s="94" t="str">
        <f>IF(MAT!Y27="","",MAT!Y27)</f>
        <v/>
      </c>
      <c r="BW30" s="94" t="str">
        <f>IF(MAT!Z27="","",MAT!Z27)</f>
        <v/>
      </c>
      <c r="BX30" s="94" t="str">
        <f>IF(MAT!AA27="","",MAT!AA27)</f>
        <v/>
      </c>
      <c r="BY30" s="94" t="str">
        <f>IF(MAT!AB27="","",MAT!AB27)</f>
        <v/>
      </c>
      <c r="BZ30" s="94" t="str">
        <f>IF(MAT!AC27="","",MAT!AC27)</f>
        <v/>
      </c>
      <c r="CA30" s="94" t="str">
        <f>IF(MAT!AD27="","",MAT!AD27)</f>
        <v/>
      </c>
      <c r="CB30" s="94" t="str">
        <f>IF(MAT!AE27="","",MAT!AE27)</f>
        <v/>
      </c>
      <c r="CC30" s="94" t="str">
        <f>IF(MAT!AF27="","",MAT!AF27)</f>
        <v/>
      </c>
      <c r="CD30" s="94" t="str">
        <f>IF(MAT!AG27="","",MAT!AG27)</f>
        <v/>
      </c>
      <c r="CE30" s="94" t="str">
        <f>IF(IPA!X27="","",IPA!X27)</f>
        <v/>
      </c>
      <c r="CF30" s="94" t="str">
        <f>IF(IPA!Y27="","",IPA!Y27)</f>
        <v/>
      </c>
      <c r="CG30" s="94" t="str">
        <f>IF(IPA!Z27="","",IPA!Z27)</f>
        <v/>
      </c>
      <c r="CH30" s="94" t="str">
        <f>IF(IPA!AA27="","",IPA!AA27)</f>
        <v/>
      </c>
      <c r="CI30" s="94" t="str">
        <f>IF(IPA!AB27="","",IPA!AB27)</f>
        <v/>
      </c>
      <c r="CJ30" s="94" t="str">
        <f>IF(IPA!AC27="","",IPA!AC27)</f>
        <v/>
      </c>
      <c r="CK30" s="94" t="str">
        <f>IF(IPA!AD27="","",IPA!AD27)</f>
        <v/>
      </c>
      <c r="CL30" s="94" t="str">
        <f>IF(IPA!AE27="","",IPA!AE27)</f>
        <v/>
      </c>
      <c r="CM30" s="94" t="str">
        <f>IF(IPA!AF27="","",IPA!AF27)</f>
        <v/>
      </c>
      <c r="CN30" s="94" t="str">
        <f>IF(IPA!AG27="","",IPA!AG27)</f>
        <v/>
      </c>
      <c r="CO30" s="93" t="str">
        <f>IF(IPS!X27="","",IPS!X27)</f>
        <v/>
      </c>
      <c r="CP30" s="93" t="str">
        <f>IF(IPS!Y27="","",IPS!Y27)</f>
        <v/>
      </c>
      <c r="CQ30" s="93" t="str">
        <f>IF(IPS!Z27="","",IPS!Z27)</f>
        <v/>
      </c>
      <c r="CR30" s="93" t="str">
        <f>IF(IPS!AA27="","",IPS!AA27)</f>
        <v/>
      </c>
      <c r="CS30" s="93" t="str">
        <f>IF(IPS!AB27="","",IPS!AB27)</f>
        <v/>
      </c>
      <c r="CT30" s="93" t="str">
        <f>IF(IPS!AC27="","",IPS!AC27)</f>
        <v/>
      </c>
      <c r="CU30" s="93" t="str">
        <f>IF(IPS!AD27="","",IPS!AD27)</f>
        <v/>
      </c>
      <c r="CV30" s="93" t="str">
        <f>IF(IPS!AE27="","",IPS!AE27)</f>
        <v/>
      </c>
      <c r="CW30" s="93" t="str">
        <f>IF(IPS!AF27="","",IPS!AF27)</f>
        <v/>
      </c>
      <c r="CX30" s="93" t="str">
        <f>IF(IPS!AG27="","",IPS!AG27)</f>
        <v/>
      </c>
      <c r="CY30" s="94" t="str">
        <f>IF(INGG!X27="","",INGG!X27)</f>
        <v/>
      </c>
      <c r="CZ30" s="94" t="str">
        <f>IF(INGG!Y27="","",INGG!Y27)</f>
        <v/>
      </c>
      <c r="DA30" s="94" t="str">
        <f>IF(INGG!Z27="","",INGG!Z27)</f>
        <v/>
      </c>
      <c r="DB30" s="94" t="str">
        <f>IF(INGG!AA27="","",INGG!AA27)</f>
        <v/>
      </c>
      <c r="DC30" s="94" t="str">
        <f>IF(INGG!AB27="","",INGG!AB27)</f>
        <v/>
      </c>
      <c r="DD30" s="94" t="str">
        <f>IF(INGG!AC27="","",INGG!AC27)</f>
        <v/>
      </c>
      <c r="DE30" s="94" t="str">
        <f>IF(INGG!AD27="","",INGG!AD27)</f>
        <v/>
      </c>
      <c r="DF30" s="94" t="str">
        <f>IF(INGG!AE27="","",INGG!AE27)</f>
        <v/>
      </c>
      <c r="DG30" s="94" t="str">
        <f>IF(INGG!AF27="","",INGG!AF27)</f>
        <v/>
      </c>
      <c r="DH30" s="94" t="str">
        <f>IF(INGG!AG27="","",INGG!AG27)</f>
        <v/>
      </c>
      <c r="DI30" s="94" t="str">
        <f>IF(SENBUD!X27="","",SENBUD!X27)</f>
        <v/>
      </c>
      <c r="DJ30" s="94" t="str">
        <f>IF(SENBUD!Y27="","",SENBUD!Y27)</f>
        <v/>
      </c>
      <c r="DK30" s="94" t="str">
        <f>IF(SENBUD!Z27="","",SENBUD!Z27)</f>
        <v/>
      </c>
      <c r="DL30" s="94" t="str">
        <f>IF(SENBUD!AA27="","",SENBUD!AA27)</f>
        <v/>
      </c>
      <c r="DM30" s="94" t="str">
        <f>IF(SENBUD!AB27="","",SENBUD!AB27)</f>
        <v/>
      </c>
      <c r="DN30" s="94" t="str">
        <f>IF(SENBUD!AC27="","",SENBUD!AC27)</f>
        <v/>
      </c>
      <c r="DO30" s="94" t="str">
        <f>IF(SENBUD!AD27="","",SENBUD!AD27)</f>
        <v/>
      </c>
      <c r="DP30" s="94" t="str">
        <f>IF(SENBUD!AE27="","",SENBUD!AE27)</f>
        <v/>
      </c>
      <c r="DQ30" s="94" t="str">
        <f>IF(SENBUD!AF27="","",SENBUD!AF27)</f>
        <v/>
      </c>
      <c r="DR30" s="94" t="str">
        <f>IF(SENBUD!AG27="","",SENBUD!AG27)</f>
        <v/>
      </c>
      <c r="DS30" s="93" t="str">
        <f>IF(PENJAS!X27="","",PENJAS!X27)</f>
        <v/>
      </c>
      <c r="DT30" s="93" t="str">
        <f>IF(PENJAS!Y27="","",PENJAS!Y27)</f>
        <v/>
      </c>
      <c r="DU30" s="93" t="str">
        <f>IF(PENJAS!Z27="","",PENJAS!Z27)</f>
        <v/>
      </c>
      <c r="DV30" s="93" t="str">
        <f>IF(PENJAS!AA27="","",PENJAS!AA27)</f>
        <v/>
      </c>
      <c r="DW30" s="93" t="str">
        <f>IF(PENJAS!AB27="","",PENJAS!AB27)</f>
        <v/>
      </c>
      <c r="DX30" s="93" t="str">
        <f>IF(PENJAS!AC27="","",PENJAS!AC27)</f>
        <v/>
      </c>
      <c r="DY30" s="93" t="str">
        <f>IF(PENJAS!AD27="","",PENJAS!AD27)</f>
        <v/>
      </c>
      <c r="DZ30" s="93" t="str">
        <f>IF(PENJAS!AE27="","",PENJAS!AE27)</f>
        <v/>
      </c>
      <c r="EA30" s="93" t="str">
        <f>IF(PENJAS!AF27="","",PENJAS!AF27)</f>
        <v/>
      </c>
      <c r="EB30" s="93" t="str">
        <f>IF(PENJAS!AG27="","",PENJAS!AG27)</f>
        <v/>
      </c>
      <c r="EC30" s="93" t="str">
        <f>IF(PRAKARYA!X27="","",PRAKARYA!X27)</f>
        <v/>
      </c>
      <c r="ED30" s="93" t="str">
        <f>IF(PRAKARYA!Y27="","",PRAKARYA!Y27)</f>
        <v/>
      </c>
      <c r="EE30" s="93" t="str">
        <f>IF(PRAKARYA!Z27="","",PRAKARYA!Z27)</f>
        <v/>
      </c>
      <c r="EF30" s="93" t="str">
        <f>IF(PRAKARYA!AA27="","",PRAKARYA!AA27)</f>
        <v/>
      </c>
      <c r="EG30" s="93" t="str">
        <f>IF(PRAKARYA!AB27="","",PRAKARYA!AB27)</f>
        <v/>
      </c>
      <c r="EH30" s="93" t="str">
        <f>IF(PRAKARYA!AC27="","",PRAKARYA!AC27)</f>
        <v/>
      </c>
      <c r="EI30" s="93" t="str">
        <f>IF(PRAKARYA!AD27="","",PRAKARYA!AD27)</f>
        <v/>
      </c>
      <c r="EJ30" s="93" t="str">
        <f>IF(PRAKARYA!AE27="","",PRAKARYA!AE27)</f>
        <v/>
      </c>
      <c r="EK30" s="93" t="str">
        <f>IF(PRAKARYA!AF27="","",PRAKARYA!AF27)</f>
        <v/>
      </c>
      <c r="EL30" s="93" t="str">
        <f>IF(PRAKARYA!AG27="","",PRAKARYA!AG27)</f>
        <v/>
      </c>
      <c r="EM30" s="95" t="str">
        <f>IF(BADER!X27="","",BADER!X27)</f>
        <v/>
      </c>
      <c r="EN30" s="95" t="str">
        <f>IF(BADER!Y27="","",BADER!Y27)</f>
        <v/>
      </c>
      <c r="EO30" s="95" t="str">
        <f>IF(BADER!Z27="","",BADER!Z27)</f>
        <v/>
      </c>
      <c r="EP30" s="95" t="str">
        <f>IF(BADER!AA27="","",BADER!AA27)</f>
        <v/>
      </c>
      <c r="EQ30" s="95" t="str">
        <f>IF(BADER!AB27="","",BADER!AB27)</f>
        <v/>
      </c>
      <c r="ER30" s="95" t="str">
        <f>IF(BADER!AC27="","",BADER!AC27)</f>
        <v/>
      </c>
      <c r="ES30" s="95" t="str">
        <f>IF(BADER!AD27="","",BADER!AD27)</f>
        <v/>
      </c>
      <c r="ET30" s="95" t="str">
        <f>IF(BADER!AE27="","",BADER!AE27)</f>
        <v/>
      </c>
      <c r="EU30" s="95" t="str">
        <f>IF(BADER!AF27="","",BADER!AF27)</f>
        <v/>
      </c>
      <c r="EV30" s="95" t="str">
        <f>IF(BADER!AG27="","",BADER!AG27)</f>
        <v/>
      </c>
      <c r="EW30" s="96" t="str">
        <f t="shared" si="1"/>
        <v/>
      </c>
      <c r="EX30" s="96" t="str">
        <f t="shared" si="2"/>
        <v/>
      </c>
      <c r="EY30" s="96" t="str">
        <f t="shared" si="14"/>
        <v/>
      </c>
      <c r="EZ30" s="96" t="str">
        <f t="shared" si="14"/>
        <v/>
      </c>
      <c r="FA30" s="96" t="str">
        <f t="shared" si="14"/>
        <v/>
      </c>
      <c r="FB30" s="96" t="str">
        <f t="shared" si="14"/>
        <v/>
      </c>
      <c r="FC30" s="96" t="str">
        <f t="shared" si="14"/>
        <v/>
      </c>
      <c r="FD30" s="96" t="str">
        <f t="shared" si="14"/>
        <v/>
      </c>
      <c r="FE30" s="96" t="str">
        <f t="shared" si="14"/>
        <v/>
      </c>
      <c r="FF30" s="96" t="str">
        <f t="shared" si="3"/>
        <v/>
      </c>
      <c r="FG30" s="96" t="str">
        <f t="shared" si="4"/>
        <v/>
      </c>
      <c r="FH30" s="92" t="str">
        <f t="shared" si="5"/>
        <v/>
      </c>
      <c r="FI30" s="92" t="str">
        <f t="shared" si="6"/>
        <v xml:space="preserve"> </v>
      </c>
      <c r="FJ30" s="92" t="str">
        <f t="shared" si="7"/>
        <v xml:space="preserve"> </v>
      </c>
      <c r="FK30" s="92" t="str">
        <f t="shared" si="8"/>
        <v xml:space="preserve"> </v>
      </c>
      <c r="FL30" s="92" t="str">
        <f t="shared" si="9"/>
        <v xml:space="preserve"> </v>
      </c>
      <c r="FM30" s="92" t="str">
        <f t="shared" si="10"/>
        <v xml:space="preserve"> </v>
      </c>
      <c r="FN30" s="92" t="str">
        <f t="shared" si="11"/>
        <v xml:space="preserve"> </v>
      </c>
      <c r="FO30" s="92" t="str">
        <f t="shared" si="12"/>
        <v xml:space="preserve"> </v>
      </c>
      <c r="FP30" s="92" t="str">
        <f t="shared" si="13"/>
        <v xml:space="preserve">,  ,  ,  ,  ,  ,  ,  </v>
      </c>
    </row>
    <row r="31" spans="1:172">
      <c r="A31" s="66">
        <v>21</v>
      </c>
      <c r="B31" s="92" t="str">
        <f>IF(DATA!D28="","",DATA!D28)</f>
        <v>MOHAMMAD RAMADAN PURNOMO</v>
      </c>
      <c r="C31" s="93" t="str">
        <f>IF(QH!X28="","",QH!X28)</f>
        <v/>
      </c>
      <c r="D31" s="93" t="str">
        <f>IF(QH!Y28="","",QH!Y28)</f>
        <v/>
      </c>
      <c r="E31" s="93" t="str">
        <f>IF(QH!Z28="","",QH!Z28)</f>
        <v/>
      </c>
      <c r="F31" s="93" t="str">
        <f>IF(QH!AA28="","",QH!AA28)</f>
        <v/>
      </c>
      <c r="G31" s="93" t="str">
        <f>IF(QH!AB28="","",QH!AB28)</f>
        <v/>
      </c>
      <c r="H31" s="93" t="str">
        <f>IF(QH!AC28="","",QH!AC28)</f>
        <v/>
      </c>
      <c r="I31" s="93" t="str">
        <f>IF(QH!AD28="","",QH!AD28)</f>
        <v/>
      </c>
      <c r="J31" s="93" t="str">
        <f>IF(QH!AE28="","",QH!AE28)</f>
        <v/>
      </c>
      <c r="K31" s="93" t="str">
        <f>IF(QH!AF28="","",QH!AF28)</f>
        <v/>
      </c>
      <c r="L31" s="93" t="str">
        <f>IF(QH!AG28="","",QH!AG28)</f>
        <v/>
      </c>
      <c r="M31" s="94" t="str">
        <f>IF(AA!X28="","",AA!X28)</f>
        <v/>
      </c>
      <c r="N31" s="94" t="str">
        <f>IF(AA!Y28="","",AA!Y28)</f>
        <v/>
      </c>
      <c r="O31" s="94" t="str">
        <f>IF(AA!Z28="","",AA!Z28)</f>
        <v/>
      </c>
      <c r="P31" s="94" t="str">
        <f>IF(AA!AA28="","",AA!AA28)</f>
        <v/>
      </c>
      <c r="Q31" s="94" t="str">
        <f>IF(AA!AB28="","",AA!AB28)</f>
        <v/>
      </c>
      <c r="R31" s="94" t="str">
        <f>IF(AA!AC28="","",AA!AC28)</f>
        <v/>
      </c>
      <c r="S31" s="94" t="str">
        <f>IF(AA!AD28="","",AA!AD28)</f>
        <v/>
      </c>
      <c r="T31" s="94" t="str">
        <f>IF(AA!AE28="","",AA!AE28)</f>
        <v/>
      </c>
      <c r="U31" s="94" t="str">
        <f>IF(AA!AF28="","",AA!AF28)</f>
        <v/>
      </c>
      <c r="V31" s="94" t="str">
        <f>IF(AA!AG28="","",AA!AG28)</f>
        <v/>
      </c>
      <c r="W31" s="94" t="str">
        <f>IF(FIKIH!X28="","",FIKIH!X28)</f>
        <v/>
      </c>
      <c r="X31" s="94" t="str">
        <f>IF(FIKIH!Y28="","",FIKIH!Y28)</f>
        <v/>
      </c>
      <c r="Y31" s="94" t="str">
        <f>IF(FIKIH!Z28="","",FIKIH!Z28)</f>
        <v/>
      </c>
      <c r="Z31" s="94" t="str">
        <f>IF(FIKIH!AA28="","",FIKIH!AA28)</f>
        <v/>
      </c>
      <c r="AA31" s="94" t="str">
        <f>IF(FIKIH!AB28="","",FIKIH!AB28)</f>
        <v/>
      </c>
      <c r="AB31" s="94" t="str">
        <f>IF(FIKIH!AC28="","",FIKIH!AC28)</f>
        <v/>
      </c>
      <c r="AC31" s="94" t="str">
        <f>IF(FIKIH!AD28="","",FIKIH!AD28)</f>
        <v/>
      </c>
      <c r="AD31" s="94" t="str">
        <f>IF(FIKIH!AE28="","",FIKIH!AE28)</f>
        <v/>
      </c>
      <c r="AE31" s="94" t="str">
        <f>IF(FIKIH!AF28="","",FIKIH!AF28)</f>
        <v/>
      </c>
      <c r="AF31" s="94" t="str">
        <f>IF(FIKIH!AG28="","",FIKIH!AG28)</f>
        <v/>
      </c>
      <c r="AG31" s="94">
        <f>IF(SKI!X28="","",SKI!X28)</f>
        <v>3</v>
      </c>
      <c r="AH31" s="94" t="str">
        <f>IF(SKI!Y28="","",SKI!Y28)</f>
        <v>Melaksanakan sholat dhuhur berjemaah, berdo'a di awal dan di akhir kegiatan pembelajaran , serta melaksanakan kegiatan amaliyah siswa</v>
      </c>
      <c r="AI31" s="94">
        <f>IF(SKI!Z28="","",SKI!Z28)</f>
        <v>3</v>
      </c>
      <c r="AJ31" s="94">
        <f>IF(SKI!AA28="","",SKI!AA28)</f>
        <v>3</v>
      </c>
      <c r="AK31" s="94">
        <f>IF(SKI!AB28="","",SKI!AB28)</f>
        <v>3</v>
      </c>
      <c r="AL31" s="94">
        <f>IF(SKI!AC28="","",SKI!AC28)</f>
        <v>3</v>
      </c>
      <c r="AM31" s="94">
        <f>IF(SKI!AD28="","",SKI!AD28)</f>
        <v>3</v>
      </c>
      <c r="AN31" s="94">
        <f>IF(SKI!AE28="","",SKI!AE28)</f>
        <v>3</v>
      </c>
      <c r="AO31" s="94">
        <f>IF(SKI!AF28="","",SKI!AF28)</f>
        <v>3</v>
      </c>
      <c r="AP31" s="94" t="str">
        <f>IF(SKI!AG28="","",SKI!AG28)</f>
        <v>Santun dalam bersikap, disiplin dalam mentaati tata tertib madrasah, peduli pada lingkungan, orang tua, bertanggung jawab dalam melaksanakan tugas, baik sebagai individu maupun makhluk sosial</v>
      </c>
      <c r="AQ31" s="94" t="str">
        <f>IF(PKN!X28="","",PKN!X28)</f>
        <v/>
      </c>
      <c r="AR31" s="94" t="str">
        <f>IF(PKN!Y28="","",PKN!Y28)</f>
        <v/>
      </c>
      <c r="AS31" s="94" t="str">
        <f>IF(PKN!Z28="","",PKN!Z28)</f>
        <v/>
      </c>
      <c r="AT31" s="94" t="str">
        <f>IF(PKN!AA28="","",PKN!AA28)</f>
        <v/>
      </c>
      <c r="AU31" s="94" t="str">
        <f>IF(PKN!AB28="","",PKN!AB28)</f>
        <v/>
      </c>
      <c r="AV31" s="94" t="str">
        <f>IF(PKN!AC28="","",PKN!AC28)</f>
        <v/>
      </c>
      <c r="AW31" s="94" t="str">
        <f>IF(PKN!AD28="","",PKN!AD28)</f>
        <v/>
      </c>
      <c r="AX31" s="94" t="str">
        <f>IF(PKN!AE28="","",PKN!AE28)</f>
        <v/>
      </c>
      <c r="AY31" s="94" t="str">
        <f>IF(PKN!AF28="","",PKN!AF28)</f>
        <v/>
      </c>
      <c r="AZ31" s="94" t="str">
        <f>IF(PKN!AG28="","",PKN!AG28)</f>
        <v/>
      </c>
      <c r="BA31" s="93" t="str">
        <f>IF(INDO!X28="","",INDO!X28)</f>
        <v/>
      </c>
      <c r="BB31" s="93" t="str">
        <f>IF(INDO!Y28="","",INDO!Y28)</f>
        <v/>
      </c>
      <c r="BC31" s="93" t="str">
        <f>IF(INDO!Z28="","",INDO!Z28)</f>
        <v/>
      </c>
      <c r="BD31" s="93" t="str">
        <f>IF(INDO!AA28="","",INDO!AA28)</f>
        <v/>
      </c>
      <c r="BE31" s="93" t="str">
        <f>IF(INDO!AB28="","",INDO!AB28)</f>
        <v/>
      </c>
      <c r="BF31" s="93" t="str">
        <f>IF(INDO!AC28="","",INDO!AC28)</f>
        <v/>
      </c>
      <c r="BG31" s="93" t="str">
        <f>IF(INDO!AD28="","",INDO!AD28)</f>
        <v/>
      </c>
      <c r="BH31" s="93" t="str">
        <f>IF(INDO!AE28="","",INDO!AE28)</f>
        <v/>
      </c>
      <c r="BI31" s="93" t="str">
        <f>IF(INDO!AF28="","",INDO!AF28)</f>
        <v/>
      </c>
      <c r="BJ31" s="93" t="str">
        <f>IF(INDO!AG28="","",INDO!AG28)</f>
        <v/>
      </c>
      <c r="BK31" s="93" t="str">
        <f>IF(ARAB!X28="","",ARAB!X28)</f>
        <v/>
      </c>
      <c r="BL31" s="93" t="str">
        <f>IF(ARAB!Y28="","",ARAB!Y28)</f>
        <v/>
      </c>
      <c r="BM31" s="93" t="str">
        <f>IF(ARAB!Z28="","",ARAB!Z28)</f>
        <v/>
      </c>
      <c r="BN31" s="93" t="str">
        <f>IF(ARAB!AA28="","",ARAB!AA28)</f>
        <v/>
      </c>
      <c r="BO31" s="93" t="str">
        <f>IF(ARAB!AB28="","",ARAB!AB28)</f>
        <v/>
      </c>
      <c r="BP31" s="93" t="str">
        <f>IF(ARAB!AC28="","",ARAB!AC28)</f>
        <v/>
      </c>
      <c r="BQ31" s="93" t="str">
        <f>IF(ARAB!AD28="","",ARAB!AD28)</f>
        <v/>
      </c>
      <c r="BR31" s="93" t="str">
        <f>IF(ARAB!AE28="","",ARAB!AE28)</f>
        <v/>
      </c>
      <c r="BS31" s="93" t="str">
        <f>IF(ARAB!AF28="","",ARAB!AF28)</f>
        <v/>
      </c>
      <c r="BT31" s="93" t="str">
        <f>IF(ARAB!AG28="","",ARAB!AG28)</f>
        <v/>
      </c>
      <c r="BU31" s="94" t="str">
        <f>IF(MAT!X28="","",MAT!X28)</f>
        <v/>
      </c>
      <c r="BV31" s="94" t="str">
        <f>IF(MAT!Y28="","",MAT!Y28)</f>
        <v/>
      </c>
      <c r="BW31" s="94" t="str">
        <f>IF(MAT!Z28="","",MAT!Z28)</f>
        <v/>
      </c>
      <c r="BX31" s="94" t="str">
        <f>IF(MAT!AA28="","",MAT!AA28)</f>
        <v/>
      </c>
      <c r="BY31" s="94" t="str">
        <f>IF(MAT!AB28="","",MAT!AB28)</f>
        <v/>
      </c>
      <c r="BZ31" s="94" t="str">
        <f>IF(MAT!AC28="","",MAT!AC28)</f>
        <v/>
      </c>
      <c r="CA31" s="94" t="str">
        <f>IF(MAT!AD28="","",MAT!AD28)</f>
        <v/>
      </c>
      <c r="CB31" s="94" t="str">
        <f>IF(MAT!AE28="","",MAT!AE28)</f>
        <v/>
      </c>
      <c r="CC31" s="94" t="str">
        <f>IF(MAT!AF28="","",MAT!AF28)</f>
        <v/>
      </c>
      <c r="CD31" s="94" t="str">
        <f>IF(MAT!AG28="","",MAT!AG28)</f>
        <v/>
      </c>
      <c r="CE31" s="94" t="str">
        <f>IF(IPA!X28="","",IPA!X28)</f>
        <v/>
      </c>
      <c r="CF31" s="94" t="str">
        <f>IF(IPA!Y28="","",IPA!Y28)</f>
        <v/>
      </c>
      <c r="CG31" s="94" t="str">
        <f>IF(IPA!Z28="","",IPA!Z28)</f>
        <v/>
      </c>
      <c r="CH31" s="94" t="str">
        <f>IF(IPA!AA28="","",IPA!AA28)</f>
        <v/>
      </c>
      <c r="CI31" s="94" t="str">
        <f>IF(IPA!AB28="","",IPA!AB28)</f>
        <v/>
      </c>
      <c r="CJ31" s="94" t="str">
        <f>IF(IPA!AC28="","",IPA!AC28)</f>
        <v/>
      </c>
      <c r="CK31" s="94" t="str">
        <f>IF(IPA!AD28="","",IPA!AD28)</f>
        <v/>
      </c>
      <c r="CL31" s="94" t="str">
        <f>IF(IPA!AE28="","",IPA!AE28)</f>
        <v/>
      </c>
      <c r="CM31" s="94" t="str">
        <f>IF(IPA!AF28="","",IPA!AF28)</f>
        <v/>
      </c>
      <c r="CN31" s="94" t="str">
        <f>IF(IPA!AG28="","",IPA!AG28)</f>
        <v/>
      </c>
      <c r="CO31" s="93" t="str">
        <f>IF(IPS!X28="","",IPS!X28)</f>
        <v/>
      </c>
      <c r="CP31" s="93" t="str">
        <f>IF(IPS!Y28="","",IPS!Y28)</f>
        <v/>
      </c>
      <c r="CQ31" s="93" t="str">
        <f>IF(IPS!Z28="","",IPS!Z28)</f>
        <v/>
      </c>
      <c r="CR31" s="93" t="str">
        <f>IF(IPS!AA28="","",IPS!AA28)</f>
        <v/>
      </c>
      <c r="CS31" s="93" t="str">
        <f>IF(IPS!AB28="","",IPS!AB28)</f>
        <v/>
      </c>
      <c r="CT31" s="93" t="str">
        <f>IF(IPS!AC28="","",IPS!AC28)</f>
        <v/>
      </c>
      <c r="CU31" s="93" t="str">
        <f>IF(IPS!AD28="","",IPS!AD28)</f>
        <v/>
      </c>
      <c r="CV31" s="93" t="str">
        <f>IF(IPS!AE28="","",IPS!AE28)</f>
        <v/>
      </c>
      <c r="CW31" s="93" t="str">
        <f>IF(IPS!AF28="","",IPS!AF28)</f>
        <v/>
      </c>
      <c r="CX31" s="93" t="str">
        <f>IF(IPS!AG28="","",IPS!AG28)</f>
        <v/>
      </c>
      <c r="CY31" s="94" t="str">
        <f>IF(INGG!X28="","",INGG!X28)</f>
        <v/>
      </c>
      <c r="CZ31" s="94" t="str">
        <f>IF(INGG!Y28="","",INGG!Y28)</f>
        <v/>
      </c>
      <c r="DA31" s="94" t="str">
        <f>IF(INGG!Z28="","",INGG!Z28)</f>
        <v/>
      </c>
      <c r="DB31" s="94" t="str">
        <f>IF(INGG!AA28="","",INGG!AA28)</f>
        <v/>
      </c>
      <c r="DC31" s="94" t="str">
        <f>IF(INGG!AB28="","",INGG!AB28)</f>
        <v/>
      </c>
      <c r="DD31" s="94" t="str">
        <f>IF(INGG!AC28="","",INGG!AC28)</f>
        <v/>
      </c>
      <c r="DE31" s="94" t="str">
        <f>IF(INGG!AD28="","",INGG!AD28)</f>
        <v/>
      </c>
      <c r="DF31" s="94" t="str">
        <f>IF(INGG!AE28="","",INGG!AE28)</f>
        <v/>
      </c>
      <c r="DG31" s="94" t="str">
        <f>IF(INGG!AF28="","",INGG!AF28)</f>
        <v/>
      </c>
      <c r="DH31" s="94" t="str">
        <f>IF(INGG!AG28="","",INGG!AG28)</f>
        <v/>
      </c>
      <c r="DI31" s="94" t="str">
        <f>IF(SENBUD!X28="","",SENBUD!X28)</f>
        <v/>
      </c>
      <c r="DJ31" s="94" t="str">
        <f>IF(SENBUD!Y28="","",SENBUD!Y28)</f>
        <v/>
      </c>
      <c r="DK31" s="94" t="str">
        <f>IF(SENBUD!Z28="","",SENBUD!Z28)</f>
        <v/>
      </c>
      <c r="DL31" s="94" t="str">
        <f>IF(SENBUD!AA28="","",SENBUD!AA28)</f>
        <v/>
      </c>
      <c r="DM31" s="94" t="str">
        <f>IF(SENBUD!AB28="","",SENBUD!AB28)</f>
        <v/>
      </c>
      <c r="DN31" s="94" t="str">
        <f>IF(SENBUD!AC28="","",SENBUD!AC28)</f>
        <v/>
      </c>
      <c r="DO31" s="94" t="str">
        <f>IF(SENBUD!AD28="","",SENBUD!AD28)</f>
        <v/>
      </c>
      <c r="DP31" s="94" t="str">
        <f>IF(SENBUD!AE28="","",SENBUD!AE28)</f>
        <v/>
      </c>
      <c r="DQ31" s="94" t="str">
        <f>IF(SENBUD!AF28="","",SENBUD!AF28)</f>
        <v/>
      </c>
      <c r="DR31" s="94" t="str">
        <f>IF(SENBUD!AG28="","",SENBUD!AG28)</f>
        <v/>
      </c>
      <c r="DS31" s="93" t="str">
        <f>IF(PENJAS!X28="","",PENJAS!X28)</f>
        <v/>
      </c>
      <c r="DT31" s="93" t="str">
        <f>IF(PENJAS!Y28="","",PENJAS!Y28)</f>
        <v/>
      </c>
      <c r="DU31" s="93" t="str">
        <f>IF(PENJAS!Z28="","",PENJAS!Z28)</f>
        <v/>
      </c>
      <c r="DV31" s="93" t="str">
        <f>IF(PENJAS!AA28="","",PENJAS!AA28)</f>
        <v/>
      </c>
      <c r="DW31" s="93" t="str">
        <f>IF(PENJAS!AB28="","",PENJAS!AB28)</f>
        <v/>
      </c>
      <c r="DX31" s="93" t="str">
        <f>IF(PENJAS!AC28="","",PENJAS!AC28)</f>
        <v/>
      </c>
      <c r="DY31" s="93" t="str">
        <f>IF(PENJAS!AD28="","",PENJAS!AD28)</f>
        <v/>
      </c>
      <c r="DZ31" s="93" t="str">
        <f>IF(PENJAS!AE28="","",PENJAS!AE28)</f>
        <v/>
      </c>
      <c r="EA31" s="93" t="str">
        <f>IF(PENJAS!AF28="","",PENJAS!AF28)</f>
        <v/>
      </c>
      <c r="EB31" s="93" t="str">
        <f>IF(PENJAS!AG28="","",PENJAS!AG28)</f>
        <v/>
      </c>
      <c r="EC31" s="93" t="str">
        <f>IF(PRAKARYA!X28="","",PRAKARYA!X28)</f>
        <v/>
      </c>
      <c r="ED31" s="93" t="str">
        <f>IF(PRAKARYA!Y28="","",PRAKARYA!Y28)</f>
        <v/>
      </c>
      <c r="EE31" s="93" t="str">
        <f>IF(PRAKARYA!Z28="","",PRAKARYA!Z28)</f>
        <v/>
      </c>
      <c r="EF31" s="93" t="str">
        <f>IF(PRAKARYA!AA28="","",PRAKARYA!AA28)</f>
        <v/>
      </c>
      <c r="EG31" s="93" t="str">
        <f>IF(PRAKARYA!AB28="","",PRAKARYA!AB28)</f>
        <v/>
      </c>
      <c r="EH31" s="93" t="str">
        <f>IF(PRAKARYA!AC28="","",PRAKARYA!AC28)</f>
        <v/>
      </c>
      <c r="EI31" s="93" t="str">
        <f>IF(PRAKARYA!AD28="","",PRAKARYA!AD28)</f>
        <v/>
      </c>
      <c r="EJ31" s="93" t="str">
        <f>IF(PRAKARYA!AE28="","",PRAKARYA!AE28)</f>
        <v/>
      </c>
      <c r="EK31" s="93" t="str">
        <f>IF(PRAKARYA!AF28="","",PRAKARYA!AF28)</f>
        <v/>
      </c>
      <c r="EL31" s="93" t="str">
        <f>IF(PRAKARYA!AG28="","",PRAKARYA!AG28)</f>
        <v/>
      </c>
      <c r="EM31" s="95" t="str">
        <f>IF(BADER!X28="","",BADER!X28)</f>
        <v/>
      </c>
      <c r="EN31" s="95" t="str">
        <f>IF(BADER!Y28="","",BADER!Y28)</f>
        <v/>
      </c>
      <c r="EO31" s="95" t="str">
        <f>IF(BADER!Z28="","",BADER!Z28)</f>
        <v/>
      </c>
      <c r="EP31" s="95" t="str">
        <f>IF(BADER!AA28="","",BADER!AA28)</f>
        <v/>
      </c>
      <c r="EQ31" s="95" t="str">
        <f>IF(BADER!AB28="","",BADER!AB28)</f>
        <v/>
      </c>
      <c r="ER31" s="95" t="str">
        <f>IF(BADER!AC28="","",BADER!AC28)</f>
        <v/>
      </c>
      <c r="ES31" s="95" t="str">
        <f>IF(BADER!AD28="","",BADER!AD28)</f>
        <v/>
      </c>
      <c r="ET31" s="95" t="str">
        <f>IF(BADER!AE28="","",BADER!AE28)</f>
        <v/>
      </c>
      <c r="EU31" s="95" t="str">
        <f>IF(BADER!AF28="","",BADER!AF28)</f>
        <v/>
      </c>
      <c r="EV31" s="95" t="str">
        <f>IF(BADER!AG28="","",BADER!AG28)</f>
        <v/>
      </c>
      <c r="EW31" s="96" t="str">
        <f t="shared" si="1"/>
        <v/>
      </c>
      <c r="EX31" s="96" t="str">
        <f t="shared" si="2"/>
        <v/>
      </c>
      <c r="EY31" s="96" t="str">
        <f t="shared" si="14"/>
        <v/>
      </c>
      <c r="EZ31" s="96" t="str">
        <f t="shared" si="14"/>
        <v/>
      </c>
      <c r="FA31" s="96" t="str">
        <f t="shared" si="14"/>
        <v/>
      </c>
      <c r="FB31" s="96" t="str">
        <f t="shared" si="14"/>
        <v/>
      </c>
      <c r="FC31" s="96" t="str">
        <f t="shared" si="14"/>
        <v/>
      </c>
      <c r="FD31" s="96" t="str">
        <f t="shared" si="14"/>
        <v/>
      </c>
      <c r="FE31" s="96" t="str">
        <f t="shared" si="14"/>
        <v/>
      </c>
      <c r="FF31" s="96" t="str">
        <f t="shared" si="3"/>
        <v/>
      </c>
      <c r="FG31" s="96" t="str">
        <f t="shared" si="4"/>
        <v/>
      </c>
      <c r="FH31" s="92" t="str">
        <f t="shared" si="5"/>
        <v/>
      </c>
      <c r="FI31" s="92" t="str">
        <f t="shared" si="6"/>
        <v xml:space="preserve"> </v>
      </c>
      <c r="FJ31" s="92" t="str">
        <f t="shared" si="7"/>
        <v xml:space="preserve"> </v>
      </c>
      <c r="FK31" s="92" t="str">
        <f t="shared" si="8"/>
        <v xml:space="preserve"> </v>
      </c>
      <c r="FL31" s="92" t="str">
        <f t="shared" si="9"/>
        <v xml:space="preserve"> </v>
      </c>
      <c r="FM31" s="92" t="str">
        <f t="shared" si="10"/>
        <v xml:space="preserve"> </v>
      </c>
      <c r="FN31" s="92" t="str">
        <f t="shared" si="11"/>
        <v xml:space="preserve"> </v>
      </c>
      <c r="FO31" s="92" t="str">
        <f t="shared" si="12"/>
        <v xml:space="preserve"> </v>
      </c>
      <c r="FP31" s="92" t="str">
        <f t="shared" si="13"/>
        <v xml:space="preserve">,  ,  ,  ,  ,  ,  ,  </v>
      </c>
    </row>
    <row r="32" spans="1:172">
      <c r="A32" s="66">
        <v>22</v>
      </c>
      <c r="B32" s="92" t="str">
        <f>IF(DATA!D29="","",DATA!D29)</f>
        <v>MOHAMMAD ROFI'I</v>
      </c>
      <c r="C32" s="93" t="str">
        <f>IF(QH!X29="","",QH!X29)</f>
        <v/>
      </c>
      <c r="D32" s="93" t="str">
        <f>IF(QH!Y29="","",QH!Y29)</f>
        <v/>
      </c>
      <c r="E32" s="93" t="str">
        <f>IF(QH!Z29="","",QH!Z29)</f>
        <v/>
      </c>
      <c r="F32" s="93" t="str">
        <f>IF(QH!AA29="","",QH!AA29)</f>
        <v/>
      </c>
      <c r="G32" s="93" t="str">
        <f>IF(QH!AB29="","",QH!AB29)</f>
        <v/>
      </c>
      <c r="H32" s="93" t="str">
        <f>IF(QH!AC29="","",QH!AC29)</f>
        <v/>
      </c>
      <c r="I32" s="93" t="str">
        <f>IF(QH!AD29="","",QH!AD29)</f>
        <v/>
      </c>
      <c r="J32" s="93" t="str">
        <f>IF(QH!AE29="","",QH!AE29)</f>
        <v/>
      </c>
      <c r="K32" s="93" t="str">
        <f>IF(QH!AF29="","",QH!AF29)</f>
        <v/>
      </c>
      <c r="L32" s="93" t="str">
        <f>IF(QH!AG29="","",QH!AG29)</f>
        <v/>
      </c>
      <c r="M32" s="94" t="str">
        <f>IF(AA!X29="","",AA!X29)</f>
        <v/>
      </c>
      <c r="N32" s="94" t="str">
        <f>IF(AA!Y29="","",AA!Y29)</f>
        <v/>
      </c>
      <c r="O32" s="94" t="str">
        <f>IF(AA!Z29="","",AA!Z29)</f>
        <v/>
      </c>
      <c r="P32" s="94" t="str">
        <f>IF(AA!AA29="","",AA!AA29)</f>
        <v/>
      </c>
      <c r="Q32" s="94" t="str">
        <f>IF(AA!AB29="","",AA!AB29)</f>
        <v/>
      </c>
      <c r="R32" s="94" t="str">
        <f>IF(AA!AC29="","",AA!AC29)</f>
        <v/>
      </c>
      <c r="S32" s="94" t="str">
        <f>IF(AA!AD29="","",AA!AD29)</f>
        <v/>
      </c>
      <c r="T32" s="94" t="str">
        <f>IF(AA!AE29="","",AA!AE29)</f>
        <v/>
      </c>
      <c r="U32" s="94" t="str">
        <f>IF(AA!AF29="","",AA!AF29)</f>
        <v/>
      </c>
      <c r="V32" s="94" t="str">
        <f>IF(AA!AG29="","",AA!AG29)</f>
        <v/>
      </c>
      <c r="W32" s="94" t="str">
        <f>IF(FIKIH!X29="","",FIKIH!X29)</f>
        <v/>
      </c>
      <c r="X32" s="94" t="str">
        <f>IF(FIKIH!Y29="","",FIKIH!Y29)</f>
        <v/>
      </c>
      <c r="Y32" s="94" t="str">
        <f>IF(FIKIH!Z29="","",FIKIH!Z29)</f>
        <v/>
      </c>
      <c r="Z32" s="94" t="str">
        <f>IF(FIKIH!AA29="","",FIKIH!AA29)</f>
        <v/>
      </c>
      <c r="AA32" s="94" t="str">
        <f>IF(FIKIH!AB29="","",FIKIH!AB29)</f>
        <v/>
      </c>
      <c r="AB32" s="94" t="str">
        <f>IF(FIKIH!AC29="","",FIKIH!AC29)</f>
        <v/>
      </c>
      <c r="AC32" s="94" t="str">
        <f>IF(FIKIH!AD29="","",FIKIH!AD29)</f>
        <v/>
      </c>
      <c r="AD32" s="94" t="str">
        <f>IF(FIKIH!AE29="","",FIKIH!AE29)</f>
        <v/>
      </c>
      <c r="AE32" s="94" t="str">
        <f>IF(FIKIH!AF29="","",FIKIH!AF29)</f>
        <v/>
      </c>
      <c r="AF32" s="94" t="str">
        <f>IF(FIKIH!AG29="","",FIKIH!AG29)</f>
        <v/>
      </c>
      <c r="AG32" s="94">
        <f>IF(SKI!X29="","",SKI!X29)</f>
        <v>3</v>
      </c>
      <c r="AH32" s="94" t="str">
        <f>IF(SKI!Y29="","",SKI!Y29)</f>
        <v>Melaksanakan sholat dhuhur berjemaah, berdo'a di awal dan di akhir kegiatan pembelajaran , serta melaksanakan kegiatan amaliyah siswa</v>
      </c>
      <c r="AI32" s="94">
        <f>IF(SKI!Z29="","",SKI!Z29)</f>
        <v>3</v>
      </c>
      <c r="AJ32" s="94">
        <f>IF(SKI!AA29="","",SKI!AA29)</f>
        <v>3</v>
      </c>
      <c r="AK32" s="94">
        <f>IF(SKI!AB29="","",SKI!AB29)</f>
        <v>3</v>
      </c>
      <c r="AL32" s="94">
        <f>IF(SKI!AC29="","",SKI!AC29)</f>
        <v>3</v>
      </c>
      <c r="AM32" s="94">
        <f>IF(SKI!AD29="","",SKI!AD29)</f>
        <v>3</v>
      </c>
      <c r="AN32" s="94">
        <f>IF(SKI!AE29="","",SKI!AE29)</f>
        <v>3</v>
      </c>
      <c r="AO32" s="94">
        <f>IF(SKI!AF29="","",SKI!AF29)</f>
        <v>3</v>
      </c>
      <c r="AP32" s="94" t="str">
        <f>IF(SKI!AG29="","",SKI!AG29)</f>
        <v>Santun dalam bersikap, disiplin dalam mentaati tata tertib madrasah, peduli pada lingkungan, orang tua, bertanggung jawab dalam melaksanakan tugas, baik sebagai individu maupun makhluk sosial</v>
      </c>
      <c r="AQ32" s="94" t="str">
        <f>IF(PKN!X29="","",PKN!X29)</f>
        <v/>
      </c>
      <c r="AR32" s="94" t="str">
        <f>IF(PKN!Y29="","",PKN!Y29)</f>
        <v/>
      </c>
      <c r="AS32" s="94" t="str">
        <f>IF(PKN!Z29="","",PKN!Z29)</f>
        <v/>
      </c>
      <c r="AT32" s="94" t="str">
        <f>IF(PKN!AA29="","",PKN!AA29)</f>
        <v/>
      </c>
      <c r="AU32" s="94" t="str">
        <f>IF(PKN!AB29="","",PKN!AB29)</f>
        <v/>
      </c>
      <c r="AV32" s="94" t="str">
        <f>IF(PKN!AC29="","",PKN!AC29)</f>
        <v/>
      </c>
      <c r="AW32" s="94" t="str">
        <f>IF(PKN!AD29="","",PKN!AD29)</f>
        <v/>
      </c>
      <c r="AX32" s="94" t="str">
        <f>IF(PKN!AE29="","",PKN!AE29)</f>
        <v/>
      </c>
      <c r="AY32" s="94" t="str">
        <f>IF(PKN!AF29="","",PKN!AF29)</f>
        <v/>
      </c>
      <c r="AZ32" s="94" t="str">
        <f>IF(PKN!AG29="","",PKN!AG29)</f>
        <v/>
      </c>
      <c r="BA32" s="93" t="str">
        <f>IF(INDO!X29="","",INDO!X29)</f>
        <v/>
      </c>
      <c r="BB32" s="93" t="str">
        <f>IF(INDO!Y29="","",INDO!Y29)</f>
        <v/>
      </c>
      <c r="BC32" s="93" t="str">
        <f>IF(INDO!Z29="","",INDO!Z29)</f>
        <v/>
      </c>
      <c r="BD32" s="93" t="str">
        <f>IF(INDO!AA29="","",INDO!AA29)</f>
        <v/>
      </c>
      <c r="BE32" s="93" t="str">
        <f>IF(INDO!AB29="","",INDO!AB29)</f>
        <v/>
      </c>
      <c r="BF32" s="93" t="str">
        <f>IF(INDO!AC29="","",INDO!AC29)</f>
        <v/>
      </c>
      <c r="BG32" s="93" t="str">
        <f>IF(INDO!AD29="","",INDO!AD29)</f>
        <v/>
      </c>
      <c r="BH32" s="93" t="str">
        <f>IF(INDO!AE29="","",INDO!AE29)</f>
        <v/>
      </c>
      <c r="BI32" s="93" t="str">
        <f>IF(INDO!AF29="","",INDO!AF29)</f>
        <v/>
      </c>
      <c r="BJ32" s="93" t="str">
        <f>IF(INDO!AG29="","",INDO!AG29)</f>
        <v/>
      </c>
      <c r="BK32" s="93" t="str">
        <f>IF(ARAB!X29="","",ARAB!X29)</f>
        <v/>
      </c>
      <c r="BL32" s="93" t="str">
        <f>IF(ARAB!Y29="","",ARAB!Y29)</f>
        <v/>
      </c>
      <c r="BM32" s="93" t="str">
        <f>IF(ARAB!Z29="","",ARAB!Z29)</f>
        <v/>
      </c>
      <c r="BN32" s="93" t="str">
        <f>IF(ARAB!AA29="","",ARAB!AA29)</f>
        <v/>
      </c>
      <c r="BO32" s="93" t="str">
        <f>IF(ARAB!AB29="","",ARAB!AB29)</f>
        <v/>
      </c>
      <c r="BP32" s="93" t="str">
        <f>IF(ARAB!AC29="","",ARAB!AC29)</f>
        <v/>
      </c>
      <c r="BQ32" s="93" t="str">
        <f>IF(ARAB!AD29="","",ARAB!AD29)</f>
        <v/>
      </c>
      <c r="BR32" s="93" t="str">
        <f>IF(ARAB!AE29="","",ARAB!AE29)</f>
        <v/>
      </c>
      <c r="BS32" s="93" t="str">
        <f>IF(ARAB!AF29="","",ARAB!AF29)</f>
        <v/>
      </c>
      <c r="BT32" s="93" t="str">
        <f>IF(ARAB!AG29="","",ARAB!AG29)</f>
        <v/>
      </c>
      <c r="BU32" s="94" t="str">
        <f>IF(MAT!X29="","",MAT!X29)</f>
        <v/>
      </c>
      <c r="BV32" s="94" t="str">
        <f>IF(MAT!Y29="","",MAT!Y29)</f>
        <v/>
      </c>
      <c r="BW32" s="94" t="str">
        <f>IF(MAT!Z29="","",MAT!Z29)</f>
        <v/>
      </c>
      <c r="BX32" s="94" t="str">
        <f>IF(MAT!AA29="","",MAT!AA29)</f>
        <v/>
      </c>
      <c r="BY32" s="94" t="str">
        <f>IF(MAT!AB29="","",MAT!AB29)</f>
        <v/>
      </c>
      <c r="BZ32" s="94" t="str">
        <f>IF(MAT!AC29="","",MAT!AC29)</f>
        <v/>
      </c>
      <c r="CA32" s="94" t="str">
        <f>IF(MAT!AD29="","",MAT!AD29)</f>
        <v/>
      </c>
      <c r="CB32" s="94" t="str">
        <f>IF(MAT!AE29="","",MAT!AE29)</f>
        <v/>
      </c>
      <c r="CC32" s="94" t="str">
        <f>IF(MAT!AF29="","",MAT!AF29)</f>
        <v/>
      </c>
      <c r="CD32" s="94" t="str">
        <f>IF(MAT!AG29="","",MAT!AG29)</f>
        <v/>
      </c>
      <c r="CE32" s="94" t="str">
        <f>IF(IPA!X29="","",IPA!X29)</f>
        <v/>
      </c>
      <c r="CF32" s="94" t="str">
        <f>IF(IPA!Y29="","",IPA!Y29)</f>
        <v/>
      </c>
      <c r="CG32" s="94" t="str">
        <f>IF(IPA!Z29="","",IPA!Z29)</f>
        <v/>
      </c>
      <c r="CH32" s="94" t="str">
        <f>IF(IPA!AA29="","",IPA!AA29)</f>
        <v/>
      </c>
      <c r="CI32" s="94" t="str">
        <f>IF(IPA!AB29="","",IPA!AB29)</f>
        <v/>
      </c>
      <c r="CJ32" s="94" t="str">
        <f>IF(IPA!AC29="","",IPA!AC29)</f>
        <v/>
      </c>
      <c r="CK32" s="94" t="str">
        <f>IF(IPA!AD29="","",IPA!AD29)</f>
        <v/>
      </c>
      <c r="CL32" s="94" t="str">
        <f>IF(IPA!AE29="","",IPA!AE29)</f>
        <v/>
      </c>
      <c r="CM32" s="94" t="str">
        <f>IF(IPA!AF29="","",IPA!AF29)</f>
        <v/>
      </c>
      <c r="CN32" s="94" t="str">
        <f>IF(IPA!AG29="","",IPA!AG29)</f>
        <v/>
      </c>
      <c r="CO32" s="93" t="str">
        <f>IF(IPS!X29="","",IPS!X29)</f>
        <v/>
      </c>
      <c r="CP32" s="93" t="str">
        <f>IF(IPS!Y29="","",IPS!Y29)</f>
        <v/>
      </c>
      <c r="CQ32" s="93" t="str">
        <f>IF(IPS!Z29="","",IPS!Z29)</f>
        <v/>
      </c>
      <c r="CR32" s="93" t="str">
        <f>IF(IPS!AA29="","",IPS!AA29)</f>
        <v/>
      </c>
      <c r="CS32" s="93" t="str">
        <f>IF(IPS!AB29="","",IPS!AB29)</f>
        <v/>
      </c>
      <c r="CT32" s="93" t="str">
        <f>IF(IPS!AC29="","",IPS!AC29)</f>
        <v/>
      </c>
      <c r="CU32" s="93" t="str">
        <f>IF(IPS!AD29="","",IPS!AD29)</f>
        <v/>
      </c>
      <c r="CV32" s="93" t="str">
        <f>IF(IPS!AE29="","",IPS!AE29)</f>
        <v/>
      </c>
      <c r="CW32" s="93" t="str">
        <f>IF(IPS!AF29="","",IPS!AF29)</f>
        <v/>
      </c>
      <c r="CX32" s="93" t="str">
        <f>IF(IPS!AG29="","",IPS!AG29)</f>
        <v/>
      </c>
      <c r="CY32" s="94" t="str">
        <f>IF(INGG!X29="","",INGG!X29)</f>
        <v/>
      </c>
      <c r="CZ32" s="94" t="str">
        <f>IF(INGG!Y29="","",INGG!Y29)</f>
        <v/>
      </c>
      <c r="DA32" s="94" t="str">
        <f>IF(INGG!Z29="","",INGG!Z29)</f>
        <v/>
      </c>
      <c r="DB32" s="94" t="str">
        <f>IF(INGG!AA29="","",INGG!AA29)</f>
        <v/>
      </c>
      <c r="DC32" s="94" t="str">
        <f>IF(INGG!AB29="","",INGG!AB29)</f>
        <v/>
      </c>
      <c r="DD32" s="94" t="str">
        <f>IF(INGG!AC29="","",INGG!AC29)</f>
        <v/>
      </c>
      <c r="DE32" s="94" t="str">
        <f>IF(INGG!AD29="","",INGG!AD29)</f>
        <v/>
      </c>
      <c r="DF32" s="94" t="str">
        <f>IF(INGG!AE29="","",INGG!AE29)</f>
        <v/>
      </c>
      <c r="DG32" s="94" t="str">
        <f>IF(INGG!AF29="","",INGG!AF29)</f>
        <v/>
      </c>
      <c r="DH32" s="94" t="str">
        <f>IF(INGG!AG29="","",INGG!AG29)</f>
        <v/>
      </c>
      <c r="DI32" s="94" t="str">
        <f>IF(SENBUD!X29="","",SENBUD!X29)</f>
        <v/>
      </c>
      <c r="DJ32" s="94" t="str">
        <f>IF(SENBUD!Y29="","",SENBUD!Y29)</f>
        <v/>
      </c>
      <c r="DK32" s="94" t="str">
        <f>IF(SENBUD!Z29="","",SENBUD!Z29)</f>
        <v/>
      </c>
      <c r="DL32" s="94" t="str">
        <f>IF(SENBUD!AA29="","",SENBUD!AA29)</f>
        <v/>
      </c>
      <c r="DM32" s="94" t="str">
        <f>IF(SENBUD!AB29="","",SENBUD!AB29)</f>
        <v/>
      </c>
      <c r="DN32" s="94" t="str">
        <f>IF(SENBUD!AC29="","",SENBUD!AC29)</f>
        <v/>
      </c>
      <c r="DO32" s="94" t="str">
        <f>IF(SENBUD!AD29="","",SENBUD!AD29)</f>
        <v/>
      </c>
      <c r="DP32" s="94" t="str">
        <f>IF(SENBUD!AE29="","",SENBUD!AE29)</f>
        <v/>
      </c>
      <c r="DQ32" s="94" t="str">
        <f>IF(SENBUD!AF29="","",SENBUD!AF29)</f>
        <v/>
      </c>
      <c r="DR32" s="94" t="str">
        <f>IF(SENBUD!AG29="","",SENBUD!AG29)</f>
        <v/>
      </c>
      <c r="DS32" s="93" t="str">
        <f>IF(PENJAS!X29="","",PENJAS!X29)</f>
        <v/>
      </c>
      <c r="DT32" s="93" t="str">
        <f>IF(PENJAS!Y29="","",PENJAS!Y29)</f>
        <v/>
      </c>
      <c r="DU32" s="93" t="str">
        <f>IF(PENJAS!Z29="","",PENJAS!Z29)</f>
        <v/>
      </c>
      <c r="DV32" s="93" t="str">
        <f>IF(PENJAS!AA29="","",PENJAS!AA29)</f>
        <v/>
      </c>
      <c r="DW32" s="93" t="str">
        <f>IF(PENJAS!AB29="","",PENJAS!AB29)</f>
        <v/>
      </c>
      <c r="DX32" s="93" t="str">
        <f>IF(PENJAS!AC29="","",PENJAS!AC29)</f>
        <v/>
      </c>
      <c r="DY32" s="93" t="str">
        <f>IF(PENJAS!AD29="","",PENJAS!AD29)</f>
        <v/>
      </c>
      <c r="DZ32" s="93" t="str">
        <f>IF(PENJAS!AE29="","",PENJAS!AE29)</f>
        <v/>
      </c>
      <c r="EA32" s="93" t="str">
        <f>IF(PENJAS!AF29="","",PENJAS!AF29)</f>
        <v/>
      </c>
      <c r="EB32" s="93" t="str">
        <f>IF(PENJAS!AG29="","",PENJAS!AG29)</f>
        <v/>
      </c>
      <c r="EC32" s="93" t="str">
        <f>IF(PRAKARYA!X29="","",PRAKARYA!X29)</f>
        <v/>
      </c>
      <c r="ED32" s="93" t="str">
        <f>IF(PRAKARYA!Y29="","",PRAKARYA!Y29)</f>
        <v/>
      </c>
      <c r="EE32" s="93" t="str">
        <f>IF(PRAKARYA!Z29="","",PRAKARYA!Z29)</f>
        <v/>
      </c>
      <c r="EF32" s="93" t="str">
        <f>IF(PRAKARYA!AA29="","",PRAKARYA!AA29)</f>
        <v/>
      </c>
      <c r="EG32" s="93" t="str">
        <f>IF(PRAKARYA!AB29="","",PRAKARYA!AB29)</f>
        <v/>
      </c>
      <c r="EH32" s="93" t="str">
        <f>IF(PRAKARYA!AC29="","",PRAKARYA!AC29)</f>
        <v/>
      </c>
      <c r="EI32" s="93" t="str">
        <f>IF(PRAKARYA!AD29="","",PRAKARYA!AD29)</f>
        <v/>
      </c>
      <c r="EJ32" s="93" t="str">
        <f>IF(PRAKARYA!AE29="","",PRAKARYA!AE29)</f>
        <v/>
      </c>
      <c r="EK32" s="93" t="str">
        <f>IF(PRAKARYA!AF29="","",PRAKARYA!AF29)</f>
        <v/>
      </c>
      <c r="EL32" s="93" t="str">
        <f>IF(PRAKARYA!AG29="","",PRAKARYA!AG29)</f>
        <v/>
      </c>
      <c r="EM32" s="95" t="str">
        <f>IF(BADER!X29="","",BADER!X29)</f>
        <v/>
      </c>
      <c r="EN32" s="95" t="str">
        <f>IF(BADER!Y29="","",BADER!Y29)</f>
        <v/>
      </c>
      <c r="EO32" s="95" t="str">
        <f>IF(BADER!Z29="","",BADER!Z29)</f>
        <v/>
      </c>
      <c r="EP32" s="95" t="str">
        <f>IF(BADER!AA29="","",BADER!AA29)</f>
        <v/>
      </c>
      <c r="EQ32" s="95" t="str">
        <f>IF(BADER!AB29="","",BADER!AB29)</f>
        <v/>
      </c>
      <c r="ER32" s="95" t="str">
        <f>IF(BADER!AC29="","",BADER!AC29)</f>
        <v/>
      </c>
      <c r="ES32" s="95" t="str">
        <f>IF(BADER!AD29="","",BADER!AD29)</f>
        <v/>
      </c>
      <c r="ET32" s="95" t="str">
        <f>IF(BADER!AE29="","",BADER!AE29)</f>
        <v/>
      </c>
      <c r="EU32" s="95" t="str">
        <f>IF(BADER!AF29="","",BADER!AF29)</f>
        <v/>
      </c>
      <c r="EV32" s="95" t="str">
        <f>IF(BADER!AG29="","",BADER!AG29)</f>
        <v/>
      </c>
      <c r="EW32" s="96" t="str">
        <f t="shared" si="1"/>
        <v/>
      </c>
      <c r="EX32" s="96" t="str">
        <f t="shared" si="2"/>
        <v/>
      </c>
      <c r="EY32" s="96" t="str">
        <f t="shared" si="14"/>
        <v/>
      </c>
      <c r="EZ32" s="96" t="str">
        <f t="shared" si="14"/>
        <v/>
      </c>
      <c r="FA32" s="96" t="str">
        <f t="shared" si="14"/>
        <v/>
      </c>
      <c r="FB32" s="96" t="str">
        <f t="shared" si="14"/>
        <v/>
      </c>
      <c r="FC32" s="96" t="str">
        <f t="shared" si="14"/>
        <v/>
      </c>
      <c r="FD32" s="96" t="str">
        <f t="shared" si="14"/>
        <v/>
      </c>
      <c r="FE32" s="96" t="str">
        <f t="shared" si="14"/>
        <v/>
      </c>
      <c r="FF32" s="96" t="str">
        <f t="shared" si="3"/>
        <v/>
      </c>
      <c r="FG32" s="96" t="str">
        <f t="shared" si="4"/>
        <v/>
      </c>
      <c r="FH32" s="92" t="str">
        <f t="shared" si="5"/>
        <v/>
      </c>
      <c r="FI32" s="92" t="str">
        <f t="shared" si="6"/>
        <v xml:space="preserve"> </v>
      </c>
      <c r="FJ32" s="92" t="str">
        <f t="shared" si="7"/>
        <v xml:space="preserve"> </v>
      </c>
      <c r="FK32" s="92" t="str">
        <f t="shared" si="8"/>
        <v xml:space="preserve"> </v>
      </c>
      <c r="FL32" s="92" t="str">
        <f t="shared" si="9"/>
        <v xml:space="preserve"> </v>
      </c>
      <c r="FM32" s="92" t="str">
        <f t="shared" si="10"/>
        <v xml:space="preserve"> </v>
      </c>
      <c r="FN32" s="92" t="str">
        <f t="shared" si="11"/>
        <v xml:space="preserve"> </v>
      </c>
      <c r="FO32" s="92" t="str">
        <f t="shared" si="12"/>
        <v xml:space="preserve"> </v>
      </c>
      <c r="FP32" s="92" t="str">
        <f t="shared" si="13"/>
        <v xml:space="preserve">,  ,  ,  ,  ,  ,  ,  </v>
      </c>
    </row>
    <row r="33" spans="1:172">
      <c r="A33" s="66">
        <v>23</v>
      </c>
      <c r="B33" s="92" t="str">
        <f>IF(DATA!D30="","",DATA!D30)</f>
        <v>NI'MATUS SHOLIHA</v>
      </c>
      <c r="C33" s="93" t="str">
        <f>IF(QH!X30="","",QH!X30)</f>
        <v/>
      </c>
      <c r="D33" s="93" t="str">
        <f>IF(QH!Y30="","",QH!Y30)</f>
        <v/>
      </c>
      <c r="E33" s="93" t="str">
        <f>IF(QH!Z30="","",QH!Z30)</f>
        <v/>
      </c>
      <c r="F33" s="93" t="str">
        <f>IF(QH!AA30="","",QH!AA30)</f>
        <v/>
      </c>
      <c r="G33" s="93" t="str">
        <f>IF(QH!AB30="","",QH!AB30)</f>
        <v/>
      </c>
      <c r="H33" s="93" t="str">
        <f>IF(QH!AC30="","",QH!AC30)</f>
        <v/>
      </c>
      <c r="I33" s="93" t="str">
        <f>IF(QH!AD30="","",QH!AD30)</f>
        <v/>
      </c>
      <c r="J33" s="93" t="str">
        <f>IF(QH!AE30="","",QH!AE30)</f>
        <v/>
      </c>
      <c r="K33" s="93" t="str">
        <f>IF(QH!AF30="","",QH!AF30)</f>
        <v/>
      </c>
      <c r="L33" s="93" t="str">
        <f>IF(QH!AG30="","",QH!AG30)</f>
        <v/>
      </c>
      <c r="M33" s="94" t="str">
        <f>IF(AA!X30="","",AA!X30)</f>
        <v/>
      </c>
      <c r="N33" s="94" t="str">
        <f>IF(AA!Y30="","",AA!Y30)</f>
        <v/>
      </c>
      <c r="O33" s="94" t="str">
        <f>IF(AA!Z30="","",AA!Z30)</f>
        <v/>
      </c>
      <c r="P33" s="94" t="str">
        <f>IF(AA!AA30="","",AA!AA30)</f>
        <v/>
      </c>
      <c r="Q33" s="94" t="str">
        <f>IF(AA!AB30="","",AA!AB30)</f>
        <v/>
      </c>
      <c r="R33" s="94" t="str">
        <f>IF(AA!AC30="","",AA!AC30)</f>
        <v/>
      </c>
      <c r="S33" s="94" t="str">
        <f>IF(AA!AD30="","",AA!AD30)</f>
        <v/>
      </c>
      <c r="T33" s="94" t="str">
        <f>IF(AA!AE30="","",AA!AE30)</f>
        <v/>
      </c>
      <c r="U33" s="94" t="str">
        <f>IF(AA!AF30="","",AA!AF30)</f>
        <v/>
      </c>
      <c r="V33" s="94" t="str">
        <f>IF(AA!AG30="","",AA!AG30)</f>
        <v/>
      </c>
      <c r="W33" s="94" t="str">
        <f>IF(FIKIH!X30="","",FIKIH!X30)</f>
        <v/>
      </c>
      <c r="X33" s="94" t="str">
        <f>IF(FIKIH!Y30="","",FIKIH!Y30)</f>
        <v/>
      </c>
      <c r="Y33" s="94" t="str">
        <f>IF(FIKIH!Z30="","",FIKIH!Z30)</f>
        <v/>
      </c>
      <c r="Z33" s="94" t="str">
        <f>IF(FIKIH!AA30="","",FIKIH!AA30)</f>
        <v/>
      </c>
      <c r="AA33" s="94" t="str">
        <f>IF(FIKIH!AB30="","",FIKIH!AB30)</f>
        <v/>
      </c>
      <c r="AB33" s="94" t="str">
        <f>IF(FIKIH!AC30="","",FIKIH!AC30)</f>
        <v/>
      </c>
      <c r="AC33" s="94" t="str">
        <f>IF(FIKIH!AD30="","",FIKIH!AD30)</f>
        <v/>
      </c>
      <c r="AD33" s="94" t="str">
        <f>IF(FIKIH!AE30="","",FIKIH!AE30)</f>
        <v/>
      </c>
      <c r="AE33" s="94" t="str">
        <f>IF(FIKIH!AF30="","",FIKIH!AF30)</f>
        <v/>
      </c>
      <c r="AF33" s="94" t="str">
        <f>IF(FIKIH!AG30="","",FIKIH!AG30)</f>
        <v/>
      </c>
      <c r="AG33" s="94">
        <f>IF(SKI!X30="","",SKI!X30)</f>
        <v>3</v>
      </c>
      <c r="AH33" s="94" t="str">
        <f>IF(SKI!Y30="","",SKI!Y30)</f>
        <v>Melaksanakan sholat dhuhur berjemaah, berdo'a di awal dan di akhir kegiatan pembelajaran , serta melaksanakan kegiatan amaliyah siswa</v>
      </c>
      <c r="AI33" s="94">
        <f>IF(SKI!Z30="","",SKI!Z30)</f>
        <v>3</v>
      </c>
      <c r="AJ33" s="94">
        <f>IF(SKI!AA30="","",SKI!AA30)</f>
        <v>3</v>
      </c>
      <c r="AK33" s="94">
        <f>IF(SKI!AB30="","",SKI!AB30)</f>
        <v>3</v>
      </c>
      <c r="AL33" s="94">
        <f>IF(SKI!AC30="","",SKI!AC30)</f>
        <v>3</v>
      </c>
      <c r="AM33" s="94">
        <f>IF(SKI!AD30="","",SKI!AD30)</f>
        <v>3</v>
      </c>
      <c r="AN33" s="94">
        <f>IF(SKI!AE30="","",SKI!AE30)</f>
        <v>3</v>
      </c>
      <c r="AO33" s="94">
        <f>IF(SKI!AF30="","",SKI!AF30)</f>
        <v>3</v>
      </c>
      <c r="AP33" s="94" t="str">
        <f>IF(SKI!AG30="","",SKI!AG30)</f>
        <v>Santun dalam bersikap, disiplin dalam mentaati tata tertib madrasah, peduli pada lingkungan, orang tua, bertanggung jawab dalam melaksanakan tugas, baik sebagai individu maupun makhluk sosial</v>
      </c>
      <c r="AQ33" s="94" t="str">
        <f>IF(PKN!X30="","",PKN!X30)</f>
        <v/>
      </c>
      <c r="AR33" s="94" t="str">
        <f>IF(PKN!Y30="","",PKN!Y30)</f>
        <v/>
      </c>
      <c r="AS33" s="94" t="str">
        <f>IF(PKN!Z30="","",PKN!Z30)</f>
        <v/>
      </c>
      <c r="AT33" s="94" t="str">
        <f>IF(PKN!AA30="","",PKN!AA30)</f>
        <v/>
      </c>
      <c r="AU33" s="94" t="str">
        <f>IF(PKN!AB30="","",PKN!AB30)</f>
        <v/>
      </c>
      <c r="AV33" s="94" t="str">
        <f>IF(PKN!AC30="","",PKN!AC30)</f>
        <v/>
      </c>
      <c r="AW33" s="94" t="str">
        <f>IF(PKN!AD30="","",PKN!AD30)</f>
        <v/>
      </c>
      <c r="AX33" s="94" t="str">
        <f>IF(PKN!AE30="","",PKN!AE30)</f>
        <v/>
      </c>
      <c r="AY33" s="94" t="str">
        <f>IF(PKN!AF30="","",PKN!AF30)</f>
        <v/>
      </c>
      <c r="AZ33" s="94" t="str">
        <f>IF(PKN!AG30="","",PKN!AG30)</f>
        <v/>
      </c>
      <c r="BA33" s="93" t="str">
        <f>IF(INDO!X30="","",INDO!X30)</f>
        <v/>
      </c>
      <c r="BB33" s="93" t="str">
        <f>IF(INDO!Y30="","",INDO!Y30)</f>
        <v/>
      </c>
      <c r="BC33" s="93" t="str">
        <f>IF(INDO!Z30="","",INDO!Z30)</f>
        <v/>
      </c>
      <c r="BD33" s="93" t="str">
        <f>IF(INDO!AA30="","",INDO!AA30)</f>
        <v/>
      </c>
      <c r="BE33" s="93" t="str">
        <f>IF(INDO!AB30="","",INDO!AB30)</f>
        <v/>
      </c>
      <c r="BF33" s="93" t="str">
        <f>IF(INDO!AC30="","",INDO!AC30)</f>
        <v/>
      </c>
      <c r="BG33" s="93" t="str">
        <f>IF(INDO!AD30="","",INDO!AD30)</f>
        <v/>
      </c>
      <c r="BH33" s="93" t="str">
        <f>IF(INDO!AE30="","",INDO!AE30)</f>
        <v/>
      </c>
      <c r="BI33" s="93" t="str">
        <f>IF(INDO!AF30="","",INDO!AF30)</f>
        <v/>
      </c>
      <c r="BJ33" s="93" t="str">
        <f>IF(INDO!AG30="","",INDO!AG30)</f>
        <v/>
      </c>
      <c r="BK33" s="93" t="str">
        <f>IF(ARAB!X30="","",ARAB!X30)</f>
        <v/>
      </c>
      <c r="BL33" s="93" t="str">
        <f>IF(ARAB!Y30="","",ARAB!Y30)</f>
        <v/>
      </c>
      <c r="BM33" s="93" t="str">
        <f>IF(ARAB!Z30="","",ARAB!Z30)</f>
        <v/>
      </c>
      <c r="BN33" s="93" t="str">
        <f>IF(ARAB!AA30="","",ARAB!AA30)</f>
        <v/>
      </c>
      <c r="BO33" s="93" t="str">
        <f>IF(ARAB!AB30="","",ARAB!AB30)</f>
        <v/>
      </c>
      <c r="BP33" s="93" t="str">
        <f>IF(ARAB!AC30="","",ARAB!AC30)</f>
        <v/>
      </c>
      <c r="BQ33" s="93" t="str">
        <f>IF(ARAB!AD30="","",ARAB!AD30)</f>
        <v/>
      </c>
      <c r="BR33" s="93" t="str">
        <f>IF(ARAB!AE30="","",ARAB!AE30)</f>
        <v/>
      </c>
      <c r="BS33" s="93" t="str">
        <f>IF(ARAB!AF30="","",ARAB!AF30)</f>
        <v/>
      </c>
      <c r="BT33" s="93" t="str">
        <f>IF(ARAB!AG30="","",ARAB!AG30)</f>
        <v/>
      </c>
      <c r="BU33" s="94" t="str">
        <f>IF(MAT!X30="","",MAT!X30)</f>
        <v/>
      </c>
      <c r="BV33" s="94" t="str">
        <f>IF(MAT!Y30="","",MAT!Y30)</f>
        <v/>
      </c>
      <c r="BW33" s="94" t="str">
        <f>IF(MAT!Z30="","",MAT!Z30)</f>
        <v/>
      </c>
      <c r="BX33" s="94" t="str">
        <f>IF(MAT!AA30="","",MAT!AA30)</f>
        <v/>
      </c>
      <c r="BY33" s="94" t="str">
        <f>IF(MAT!AB30="","",MAT!AB30)</f>
        <v/>
      </c>
      <c r="BZ33" s="94" t="str">
        <f>IF(MAT!AC30="","",MAT!AC30)</f>
        <v/>
      </c>
      <c r="CA33" s="94" t="str">
        <f>IF(MAT!AD30="","",MAT!AD30)</f>
        <v/>
      </c>
      <c r="CB33" s="94" t="str">
        <f>IF(MAT!AE30="","",MAT!AE30)</f>
        <v/>
      </c>
      <c r="CC33" s="94" t="str">
        <f>IF(MAT!AF30="","",MAT!AF30)</f>
        <v/>
      </c>
      <c r="CD33" s="94" t="str">
        <f>IF(MAT!AG30="","",MAT!AG30)</f>
        <v/>
      </c>
      <c r="CE33" s="94" t="str">
        <f>IF(IPA!X30="","",IPA!X30)</f>
        <v/>
      </c>
      <c r="CF33" s="94" t="str">
        <f>IF(IPA!Y30="","",IPA!Y30)</f>
        <v/>
      </c>
      <c r="CG33" s="94" t="str">
        <f>IF(IPA!Z30="","",IPA!Z30)</f>
        <v/>
      </c>
      <c r="CH33" s="94" t="str">
        <f>IF(IPA!AA30="","",IPA!AA30)</f>
        <v/>
      </c>
      <c r="CI33" s="94" t="str">
        <f>IF(IPA!AB30="","",IPA!AB30)</f>
        <v/>
      </c>
      <c r="CJ33" s="94" t="str">
        <f>IF(IPA!AC30="","",IPA!AC30)</f>
        <v/>
      </c>
      <c r="CK33" s="94" t="str">
        <f>IF(IPA!AD30="","",IPA!AD30)</f>
        <v/>
      </c>
      <c r="CL33" s="94" t="str">
        <f>IF(IPA!AE30="","",IPA!AE30)</f>
        <v/>
      </c>
      <c r="CM33" s="94" t="str">
        <f>IF(IPA!AF30="","",IPA!AF30)</f>
        <v/>
      </c>
      <c r="CN33" s="94" t="str">
        <f>IF(IPA!AG30="","",IPA!AG30)</f>
        <v/>
      </c>
      <c r="CO33" s="93" t="str">
        <f>IF(IPS!X30="","",IPS!X30)</f>
        <v/>
      </c>
      <c r="CP33" s="93" t="str">
        <f>IF(IPS!Y30="","",IPS!Y30)</f>
        <v/>
      </c>
      <c r="CQ33" s="93" t="str">
        <f>IF(IPS!Z30="","",IPS!Z30)</f>
        <v/>
      </c>
      <c r="CR33" s="93" t="str">
        <f>IF(IPS!AA30="","",IPS!AA30)</f>
        <v/>
      </c>
      <c r="CS33" s="93" t="str">
        <f>IF(IPS!AB30="","",IPS!AB30)</f>
        <v/>
      </c>
      <c r="CT33" s="93" t="str">
        <f>IF(IPS!AC30="","",IPS!AC30)</f>
        <v/>
      </c>
      <c r="CU33" s="93" t="str">
        <f>IF(IPS!AD30="","",IPS!AD30)</f>
        <v/>
      </c>
      <c r="CV33" s="93" t="str">
        <f>IF(IPS!AE30="","",IPS!AE30)</f>
        <v/>
      </c>
      <c r="CW33" s="93" t="str">
        <f>IF(IPS!AF30="","",IPS!AF30)</f>
        <v/>
      </c>
      <c r="CX33" s="93" t="str">
        <f>IF(IPS!AG30="","",IPS!AG30)</f>
        <v/>
      </c>
      <c r="CY33" s="94" t="str">
        <f>IF(INGG!X30="","",INGG!X30)</f>
        <v/>
      </c>
      <c r="CZ33" s="94" t="str">
        <f>IF(INGG!Y30="","",INGG!Y30)</f>
        <v/>
      </c>
      <c r="DA33" s="94" t="str">
        <f>IF(INGG!Z30="","",INGG!Z30)</f>
        <v/>
      </c>
      <c r="DB33" s="94" t="str">
        <f>IF(INGG!AA30="","",INGG!AA30)</f>
        <v/>
      </c>
      <c r="DC33" s="94" t="str">
        <f>IF(INGG!AB30="","",INGG!AB30)</f>
        <v/>
      </c>
      <c r="DD33" s="94" t="str">
        <f>IF(INGG!AC30="","",INGG!AC30)</f>
        <v/>
      </c>
      <c r="DE33" s="94" t="str">
        <f>IF(INGG!AD30="","",INGG!AD30)</f>
        <v/>
      </c>
      <c r="DF33" s="94" t="str">
        <f>IF(INGG!AE30="","",INGG!AE30)</f>
        <v/>
      </c>
      <c r="DG33" s="94" t="str">
        <f>IF(INGG!AF30="","",INGG!AF30)</f>
        <v/>
      </c>
      <c r="DH33" s="94" t="str">
        <f>IF(INGG!AG30="","",INGG!AG30)</f>
        <v/>
      </c>
      <c r="DI33" s="94" t="str">
        <f>IF(SENBUD!X30="","",SENBUD!X30)</f>
        <v/>
      </c>
      <c r="DJ33" s="94" t="str">
        <f>IF(SENBUD!Y30="","",SENBUD!Y30)</f>
        <v/>
      </c>
      <c r="DK33" s="94" t="str">
        <f>IF(SENBUD!Z30="","",SENBUD!Z30)</f>
        <v/>
      </c>
      <c r="DL33" s="94" t="str">
        <f>IF(SENBUD!AA30="","",SENBUD!AA30)</f>
        <v/>
      </c>
      <c r="DM33" s="94" t="str">
        <f>IF(SENBUD!AB30="","",SENBUD!AB30)</f>
        <v/>
      </c>
      <c r="DN33" s="94" t="str">
        <f>IF(SENBUD!AC30="","",SENBUD!AC30)</f>
        <v/>
      </c>
      <c r="DO33" s="94" t="str">
        <f>IF(SENBUD!AD30="","",SENBUD!AD30)</f>
        <v/>
      </c>
      <c r="DP33" s="94" t="str">
        <f>IF(SENBUD!AE30="","",SENBUD!AE30)</f>
        <v/>
      </c>
      <c r="DQ33" s="94" t="str">
        <f>IF(SENBUD!AF30="","",SENBUD!AF30)</f>
        <v/>
      </c>
      <c r="DR33" s="94" t="str">
        <f>IF(SENBUD!AG30="","",SENBUD!AG30)</f>
        <v/>
      </c>
      <c r="DS33" s="93" t="str">
        <f>IF(PENJAS!X30="","",PENJAS!X30)</f>
        <v/>
      </c>
      <c r="DT33" s="93" t="str">
        <f>IF(PENJAS!Y30="","",PENJAS!Y30)</f>
        <v/>
      </c>
      <c r="DU33" s="93" t="str">
        <f>IF(PENJAS!Z30="","",PENJAS!Z30)</f>
        <v/>
      </c>
      <c r="DV33" s="93" t="str">
        <f>IF(PENJAS!AA30="","",PENJAS!AA30)</f>
        <v/>
      </c>
      <c r="DW33" s="93" t="str">
        <f>IF(PENJAS!AB30="","",PENJAS!AB30)</f>
        <v/>
      </c>
      <c r="DX33" s="93" t="str">
        <f>IF(PENJAS!AC30="","",PENJAS!AC30)</f>
        <v/>
      </c>
      <c r="DY33" s="93" t="str">
        <f>IF(PENJAS!AD30="","",PENJAS!AD30)</f>
        <v/>
      </c>
      <c r="DZ33" s="93" t="str">
        <f>IF(PENJAS!AE30="","",PENJAS!AE30)</f>
        <v/>
      </c>
      <c r="EA33" s="93" t="str">
        <f>IF(PENJAS!AF30="","",PENJAS!AF30)</f>
        <v/>
      </c>
      <c r="EB33" s="93" t="str">
        <f>IF(PENJAS!AG30="","",PENJAS!AG30)</f>
        <v/>
      </c>
      <c r="EC33" s="93" t="str">
        <f>IF(PRAKARYA!X30="","",PRAKARYA!X30)</f>
        <v/>
      </c>
      <c r="ED33" s="93" t="str">
        <f>IF(PRAKARYA!Y30="","",PRAKARYA!Y30)</f>
        <v/>
      </c>
      <c r="EE33" s="93" t="str">
        <f>IF(PRAKARYA!Z30="","",PRAKARYA!Z30)</f>
        <v/>
      </c>
      <c r="EF33" s="93" t="str">
        <f>IF(PRAKARYA!AA30="","",PRAKARYA!AA30)</f>
        <v/>
      </c>
      <c r="EG33" s="93" t="str">
        <f>IF(PRAKARYA!AB30="","",PRAKARYA!AB30)</f>
        <v/>
      </c>
      <c r="EH33" s="93" t="str">
        <f>IF(PRAKARYA!AC30="","",PRAKARYA!AC30)</f>
        <v/>
      </c>
      <c r="EI33" s="93" t="str">
        <f>IF(PRAKARYA!AD30="","",PRAKARYA!AD30)</f>
        <v/>
      </c>
      <c r="EJ33" s="93" t="str">
        <f>IF(PRAKARYA!AE30="","",PRAKARYA!AE30)</f>
        <v/>
      </c>
      <c r="EK33" s="93" t="str">
        <f>IF(PRAKARYA!AF30="","",PRAKARYA!AF30)</f>
        <v/>
      </c>
      <c r="EL33" s="93" t="str">
        <f>IF(PRAKARYA!AG30="","",PRAKARYA!AG30)</f>
        <v/>
      </c>
      <c r="EM33" s="95" t="str">
        <f>IF(BADER!X30="","",BADER!X30)</f>
        <v/>
      </c>
      <c r="EN33" s="95" t="str">
        <f>IF(BADER!Y30="","",BADER!Y30)</f>
        <v/>
      </c>
      <c r="EO33" s="95" t="str">
        <f>IF(BADER!Z30="","",BADER!Z30)</f>
        <v/>
      </c>
      <c r="EP33" s="95" t="str">
        <f>IF(BADER!AA30="","",BADER!AA30)</f>
        <v/>
      </c>
      <c r="EQ33" s="95" t="str">
        <f>IF(BADER!AB30="","",BADER!AB30)</f>
        <v/>
      </c>
      <c r="ER33" s="95" t="str">
        <f>IF(BADER!AC30="","",BADER!AC30)</f>
        <v/>
      </c>
      <c r="ES33" s="95" t="str">
        <f>IF(BADER!AD30="","",BADER!AD30)</f>
        <v/>
      </c>
      <c r="ET33" s="95" t="str">
        <f>IF(BADER!AE30="","",BADER!AE30)</f>
        <v/>
      </c>
      <c r="EU33" s="95" t="str">
        <f>IF(BADER!AF30="","",BADER!AF30)</f>
        <v/>
      </c>
      <c r="EV33" s="95" t="str">
        <f>IF(BADER!AG30="","",BADER!AG30)</f>
        <v/>
      </c>
      <c r="EW33" s="96" t="str">
        <f t="shared" si="1"/>
        <v/>
      </c>
      <c r="EX33" s="96" t="str">
        <f t="shared" si="2"/>
        <v/>
      </c>
      <c r="EY33" s="96" t="str">
        <f t="shared" si="14"/>
        <v/>
      </c>
      <c r="EZ33" s="96" t="str">
        <f t="shared" si="14"/>
        <v/>
      </c>
      <c r="FA33" s="96" t="str">
        <f t="shared" si="14"/>
        <v/>
      </c>
      <c r="FB33" s="96" t="str">
        <f t="shared" si="14"/>
        <v/>
      </c>
      <c r="FC33" s="96" t="str">
        <f t="shared" si="14"/>
        <v/>
      </c>
      <c r="FD33" s="96" t="str">
        <f t="shared" si="14"/>
        <v/>
      </c>
      <c r="FE33" s="96" t="str">
        <f t="shared" si="14"/>
        <v/>
      </c>
      <c r="FF33" s="96" t="str">
        <f t="shared" si="3"/>
        <v/>
      </c>
      <c r="FG33" s="96" t="str">
        <f t="shared" si="4"/>
        <v/>
      </c>
      <c r="FH33" s="92" t="str">
        <f t="shared" si="5"/>
        <v/>
      </c>
      <c r="FI33" s="92" t="str">
        <f t="shared" si="6"/>
        <v xml:space="preserve"> </v>
      </c>
      <c r="FJ33" s="92" t="str">
        <f t="shared" si="7"/>
        <v xml:space="preserve"> </v>
      </c>
      <c r="FK33" s="92" t="str">
        <f t="shared" si="8"/>
        <v xml:space="preserve"> </v>
      </c>
      <c r="FL33" s="92" t="str">
        <f t="shared" si="9"/>
        <v xml:space="preserve"> </v>
      </c>
      <c r="FM33" s="92" t="str">
        <f t="shared" si="10"/>
        <v xml:space="preserve"> </v>
      </c>
      <c r="FN33" s="92" t="str">
        <f t="shared" si="11"/>
        <v xml:space="preserve"> </v>
      </c>
      <c r="FO33" s="92" t="str">
        <f t="shared" si="12"/>
        <v xml:space="preserve"> </v>
      </c>
      <c r="FP33" s="92" t="str">
        <f t="shared" si="13"/>
        <v xml:space="preserve">,  ,  ,  ,  ,  ,  ,  </v>
      </c>
    </row>
    <row r="34" spans="1:172">
      <c r="A34" s="66">
        <v>24</v>
      </c>
      <c r="B34" s="92" t="str">
        <f>IF(DATA!D31="","",DATA!D31)</f>
        <v>PANJI FIKRI ISLAMI</v>
      </c>
      <c r="C34" s="93" t="str">
        <f>IF(QH!X31="","",QH!X31)</f>
        <v/>
      </c>
      <c r="D34" s="93" t="str">
        <f>IF(QH!Y31="","",QH!Y31)</f>
        <v/>
      </c>
      <c r="E34" s="93" t="str">
        <f>IF(QH!Z31="","",QH!Z31)</f>
        <v/>
      </c>
      <c r="F34" s="93" t="str">
        <f>IF(QH!AA31="","",QH!AA31)</f>
        <v/>
      </c>
      <c r="G34" s="93" t="str">
        <f>IF(QH!AB31="","",QH!AB31)</f>
        <v/>
      </c>
      <c r="H34" s="93" t="str">
        <f>IF(QH!AC31="","",QH!AC31)</f>
        <v/>
      </c>
      <c r="I34" s="93" t="str">
        <f>IF(QH!AD31="","",QH!AD31)</f>
        <v/>
      </c>
      <c r="J34" s="93" t="str">
        <f>IF(QH!AE31="","",QH!AE31)</f>
        <v/>
      </c>
      <c r="K34" s="93" t="str">
        <f>IF(QH!AF31="","",QH!AF31)</f>
        <v/>
      </c>
      <c r="L34" s="93" t="str">
        <f>IF(QH!AG31="","",QH!AG31)</f>
        <v/>
      </c>
      <c r="M34" s="94" t="str">
        <f>IF(AA!X31="","",AA!X31)</f>
        <v/>
      </c>
      <c r="N34" s="94" t="str">
        <f>IF(AA!Y31="","",AA!Y31)</f>
        <v/>
      </c>
      <c r="O34" s="94" t="str">
        <f>IF(AA!Z31="","",AA!Z31)</f>
        <v/>
      </c>
      <c r="P34" s="94" t="str">
        <f>IF(AA!AA31="","",AA!AA31)</f>
        <v/>
      </c>
      <c r="Q34" s="94" t="str">
        <f>IF(AA!AB31="","",AA!AB31)</f>
        <v/>
      </c>
      <c r="R34" s="94" t="str">
        <f>IF(AA!AC31="","",AA!AC31)</f>
        <v/>
      </c>
      <c r="S34" s="94" t="str">
        <f>IF(AA!AD31="","",AA!AD31)</f>
        <v/>
      </c>
      <c r="T34" s="94" t="str">
        <f>IF(AA!AE31="","",AA!AE31)</f>
        <v/>
      </c>
      <c r="U34" s="94" t="str">
        <f>IF(AA!AF31="","",AA!AF31)</f>
        <v/>
      </c>
      <c r="V34" s="94" t="str">
        <f>IF(AA!AG31="","",AA!AG31)</f>
        <v/>
      </c>
      <c r="W34" s="94" t="str">
        <f>IF(FIKIH!X31="","",FIKIH!X31)</f>
        <v/>
      </c>
      <c r="X34" s="94" t="str">
        <f>IF(FIKIH!Y31="","",FIKIH!Y31)</f>
        <v/>
      </c>
      <c r="Y34" s="94" t="str">
        <f>IF(FIKIH!Z31="","",FIKIH!Z31)</f>
        <v/>
      </c>
      <c r="Z34" s="94" t="str">
        <f>IF(FIKIH!AA31="","",FIKIH!AA31)</f>
        <v/>
      </c>
      <c r="AA34" s="94" t="str">
        <f>IF(FIKIH!AB31="","",FIKIH!AB31)</f>
        <v/>
      </c>
      <c r="AB34" s="94" t="str">
        <f>IF(FIKIH!AC31="","",FIKIH!AC31)</f>
        <v/>
      </c>
      <c r="AC34" s="94" t="str">
        <f>IF(FIKIH!AD31="","",FIKIH!AD31)</f>
        <v/>
      </c>
      <c r="AD34" s="94" t="str">
        <f>IF(FIKIH!AE31="","",FIKIH!AE31)</f>
        <v/>
      </c>
      <c r="AE34" s="94" t="str">
        <f>IF(FIKIH!AF31="","",FIKIH!AF31)</f>
        <v/>
      </c>
      <c r="AF34" s="94" t="str">
        <f>IF(FIKIH!AG31="","",FIKIH!AG31)</f>
        <v/>
      </c>
      <c r="AG34" s="94">
        <f>IF(SKI!X31="","",SKI!X31)</f>
        <v>3</v>
      </c>
      <c r="AH34" s="94" t="str">
        <f>IF(SKI!Y31="","",SKI!Y31)</f>
        <v>Melaksanakan sholat dhuhur berjemaah, berdo'a di awal dan di akhir kegiatan pembelajaran , serta melaksanakan kegiatan amaliyah siswa</v>
      </c>
      <c r="AI34" s="94">
        <f>IF(SKI!Z31="","",SKI!Z31)</f>
        <v>3</v>
      </c>
      <c r="AJ34" s="94">
        <f>IF(SKI!AA31="","",SKI!AA31)</f>
        <v>3</v>
      </c>
      <c r="AK34" s="94">
        <f>IF(SKI!AB31="","",SKI!AB31)</f>
        <v>3</v>
      </c>
      <c r="AL34" s="94">
        <f>IF(SKI!AC31="","",SKI!AC31)</f>
        <v>3</v>
      </c>
      <c r="AM34" s="94">
        <f>IF(SKI!AD31="","",SKI!AD31)</f>
        <v>3</v>
      </c>
      <c r="AN34" s="94">
        <f>IF(SKI!AE31="","",SKI!AE31)</f>
        <v>3</v>
      </c>
      <c r="AO34" s="94">
        <f>IF(SKI!AF31="","",SKI!AF31)</f>
        <v>3</v>
      </c>
      <c r="AP34" s="94" t="str">
        <f>IF(SKI!AG31="","",SKI!AG31)</f>
        <v>Santun dalam bersikap, disiplin dalam mentaati tata tertib madrasah, peduli pada lingkungan, orang tua, bertanggung jawab dalam melaksanakan tugas, baik sebagai individu maupun makhluk sosial</v>
      </c>
      <c r="AQ34" s="94" t="str">
        <f>IF(PKN!X31="","",PKN!X31)</f>
        <v/>
      </c>
      <c r="AR34" s="94" t="str">
        <f>IF(PKN!Y31="","",PKN!Y31)</f>
        <v/>
      </c>
      <c r="AS34" s="94" t="str">
        <f>IF(PKN!Z31="","",PKN!Z31)</f>
        <v/>
      </c>
      <c r="AT34" s="94" t="str">
        <f>IF(PKN!AA31="","",PKN!AA31)</f>
        <v/>
      </c>
      <c r="AU34" s="94" t="str">
        <f>IF(PKN!AB31="","",PKN!AB31)</f>
        <v/>
      </c>
      <c r="AV34" s="94" t="str">
        <f>IF(PKN!AC31="","",PKN!AC31)</f>
        <v/>
      </c>
      <c r="AW34" s="94" t="str">
        <f>IF(PKN!AD31="","",PKN!AD31)</f>
        <v/>
      </c>
      <c r="AX34" s="94" t="str">
        <f>IF(PKN!AE31="","",PKN!AE31)</f>
        <v/>
      </c>
      <c r="AY34" s="94" t="str">
        <f>IF(PKN!AF31="","",PKN!AF31)</f>
        <v/>
      </c>
      <c r="AZ34" s="94" t="str">
        <f>IF(PKN!AG31="","",PKN!AG31)</f>
        <v/>
      </c>
      <c r="BA34" s="93" t="str">
        <f>IF(INDO!X31="","",INDO!X31)</f>
        <v/>
      </c>
      <c r="BB34" s="93" t="str">
        <f>IF(INDO!Y31="","",INDO!Y31)</f>
        <v/>
      </c>
      <c r="BC34" s="93" t="str">
        <f>IF(INDO!Z31="","",INDO!Z31)</f>
        <v/>
      </c>
      <c r="BD34" s="93" t="str">
        <f>IF(INDO!AA31="","",INDO!AA31)</f>
        <v/>
      </c>
      <c r="BE34" s="93" t="str">
        <f>IF(INDO!AB31="","",INDO!AB31)</f>
        <v/>
      </c>
      <c r="BF34" s="93" t="str">
        <f>IF(INDO!AC31="","",INDO!AC31)</f>
        <v/>
      </c>
      <c r="BG34" s="93" t="str">
        <f>IF(INDO!AD31="","",INDO!AD31)</f>
        <v/>
      </c>
      <c r="BH34" s="93" t="str">
        <f>IF(INDO!AE31="","",INDO!AE31)</f>
        <v/>
      </c>
      <c r="BI34" s="93" t="str">
        <f>IF(INDO!AF31="","",INDO!AF31)</f>
        <v/>
      </c>
      <c r="BJ34" s="93" t="str">
        <f>IF(INDO!AG31="","",INDO!AG31)</f>
        <v/>
      </c>
      <c r="BK34" s="93" t="str">
        <f>IF(ARAB!X31="","",ARAB!X31)</f>
        <v/>
      </c>
      <c r="BL34" s="93" t="str">
        <f>IF(ARAB!Y31="","",ARAB!Y31)</f>
        <v/>
      </c>
      <c r="BM34" s="93" t="str">
        <f>IF(ARAB!Z31="","",ARAB!Z31)</f>
        <v/>
      </c>
      <c r="BN34" s="93" t="str">
        <f>IF(ARAB!AA31="","",ARAB!AA31)</f>
        <v/>
      </c>
      <c r="BO34" s="93" t="str">
        <f>IF(ARAB!AB31="","",ARAB!AB31)</f>
        <v/>
      </c>
      <c r="BP34" s="93" t="str">
        <f>IF(ARAB!AC31="","",ARAB!AC31)</f>
        <v/>
      </c>
      <c r="BQ34" s="93" t="str">
        <f>IF(ARAB!AD31="","",ARAB!AD31)</f>
        <v/>
      </c>
      <c r="BR34" s="93" t="str">
        <f>IF(ARAB!AE31="","",ARAB!AE31)</f>
        <v/>
      </c>
      <c r="BS34" s="93" t="str">
        <f>IF(ARAB!AF31="","",ARAB!AF31)</f>
        <v/>
      </c>
      <c r="BT34" s="93" t="str">
        <f>IF(ARAB!AG31="","",ARAB!AG31)</f>
        <v/>
      </c>
      <c r="BU34" s="94" t="str">
        <f>IF(MAT!X31="","",MAT!X31)</f>
        <v/>
      </c>
      <c r="BV34" s="94" t="str">
        <f>IF(MAT!Y31="","",MAT!Y31)</f>
        <v/>
      </c>
      <c r="BW34" s="94" t="str">
        <f>IF(MAT!Z31="","",MAT!Z31)</f>
        <v/>
      </c>
      <c r="BX34" s="94" t="str">
        <f>IF(MAT!AA31="","",MAT!AA31)</f>
        <v/>
      </c>
      <c r="BY34" s="94" t="str">
        <f>IF(MAT!AB31="","",MAT!AB31)</f>
        <v/>
      </c>
      <c r="BZ34" s="94" t="str">
        <f>IF(MAT!AC31="","",MAT!AC31)</f>
        <v/>
      </c>
      <c r="CA34" s="94" t="str">
        <f>IF(MAT!AD31="","",MAT!AD31)</f>
        <v/>
      </c>
      <c r="CB34" s="94" t="str">
        <f>IF(MAT!AE31="","",MAT!AE31)</f>
        <v/>
      </c>
      <c r="CC34" s="94" t="str">
        <f>IF(MAT!AF31="","",MAT!AF31)</f>
        <v/>
      </c>
      <c r="CD34" s="94" t="str">
        <f>IF(MAT!AG31="","",MAT!AG31)</f>
        <v/>
      </c>
      <c r="CE34" s="94" t="str">
        <f>IF(IPA!X31="","",IPA!X31)</f>
        <v/>
      </c>
      <c r="CF34" s="94" t="str">
        <f>IF(IPA!Y31="","",IPA!Y31)</f>
        <v/>
      </c>
      <c r="CG34" s="94" t="str">
        <f>IF(IPA!Z31="","",IPA!Z31)</f>
        <v/>
      </c>
      <c r="CH34" s="94" t="str">
        <f>IF(IPA!AA31="","",IPA!AA31)</f>
        <v/>
      </c>
      <c r="CI34" s="94" t="str">
        <f>IF(IPA!AB31="","",IPA!AB31)</f>
        <v/>
      </c>
      <c r="CJ34" s="94" t="str">
        <f>IF(IPA!AC31="","",IPA!AC31)</f>
        <v/>
      </c>
      <c r="CK34" s="94" t="str">
        <f>IF(IPA!AD31="","",IPA!AD31)</f>
        <v/>
      </c>
      <c r="CL34" s="94" t="str">
        <f>IF(IPA!AE31="","",IPA!AE31)</f>
        <v/>
      </c>
      <c r="CM34" s="94" t="str">
        <f>IF(IPA!AF31="","",IPA!AF31)</f>
        <v/>
      </c>
      <c r="CN34" s="94" t="str">
        <f>IF(IPA!AG31="","",IPA!AG31)</f>
        <v/>
      </c>
      <c r="CO34" s="93" t="str">
        <f>IF(IPS!X31="","",IPS!X31)</f>
        <v/>
      </c>
      <c r="CP34" s="93" t="str">
        <f>IF(IPS!Y31="","",IPS!Y31)</f>
        <v/>
      </c>
      <c r="CQ34" s="93" t="str">
        <f>IF(IPS!Z31="","",IPS!Z31)</f>
        <v/>
      </c>
      <c r="CR34" s="93" t="str">
        <f>IF(IPS!AA31="","",IPS!AA31)</f>
        <v/>
      </c>
      <c r="CS34" s="93" t="str">
        <f>IF(IPS!AB31="","",IPS!AB31)</f>
        <v/>
      </c>
      <c r="CT34" s="93" t="str">
        <f>IF(IPS!AC31="","",IPS!AC31)</f>
        <v/>
      </c>
      <c r="CU34" s="93" t="str">
        <f>IF(IPS!AD31="","",IPS!AD31)</f>
        <v/>
      </c>
      <c r="CV34" s="93" t="str">
        <f>IF(IPS!AE31="","",IPS!AE31)</f>
        <v/>
      </c>
      <c r="CW34" s="93" t="str">
        <f>IF(IPS!AF31="","",IPS!AF31)</f>
        <v/>
      </c>
      <c r="CX34" s="93" t="str">
        <f>IF(IPS!AG31="","",IPS!AG31)</f>
        <v/>
      </c>
      <c r="CY34" s="94" t="str">
        <f>IF(INGG!X31="","",INGG!X31)</f>
        <v/>
      </c>
      <c r="CZ34" s="94" t="str">
        <f>IF(INGG!Y31="","",INGG!Y31)</f>
        <v/>
      </c>
      <c r="DA34" s="94" t="str">
        <f>IF(INGG!Z31="","",INGG!Z31)</f>
        <v/>
      </c>
      <c r="DB34" s="94" t="str">
        <f>IF(INGG!AA31="","",INGG!AA31)</f>
        <v/>
      </c>
      <c r="DC34" s="94" t="str">
        <f>IF(INGG!AB31="","",INGG!AB31)</f>
        <v/>
      </c>
      <c r="DD34" s="94" t="str">
        <f>IF(INGG!AC31="","",INGG!AC31)</f>
        <v/>
      </c>
      <c r="DE34" s="94" t="str">
        <f>IF(INGG!AD31="","",INGG!AD31)</f>
        <v/>
      </c>
      <c r="DF34" s="94" t="str">
        <f>IF(INGG!AE31="","",INGG!AE31)</f>
        <v/>
      </c>
      <c r="DG34" s="94" t="str">
        <f>IF(INGG!AF31="","",INGG!AF31)</f>
        <v/>
      </c>
      <c r="DH34" s="94" t="str">
        <f>IF(INGG!AG31="","",INGG!AG31)</f>
        <v/>
      </c>
      <c r="DI34" s="94" t="str">
        <f>IF(SENBUD!X31="","",SENBUD!X31)</f>
        <v/>
      </c>
      <c r="DJ34" s="94" t="str">
        <f>IF(SENBUD!Y31="","",SENBUD!Y31)</f>
        <v/>
      </c>
      <c r="DK34" s="94" t="str">
        <f>IF(SENBUD!Z31="","",SENBUD!Z31)</f>
        <v/>
      </c>
      <c r="DL34" s="94" t="str">
        <f>IF(SENBUD!AA31="","",SENBUD!AA31)</f>
        <v/>
      </c>
      <c r="DM34" s="94" t="str">
        <f>IF(SENBUD!AB31="","",SENBUD!AB31)</f>
        <v/>
      </c>
      <c r="DN34" s="94" t="str">
        <f>IF(SENBUD!AC31="","",SENBUD!AC31)</f>
        <v/>
      </c>
      <c r="DO34" s="94" t="str">
        <f>IF(SENBUD!AD31="","",SENBUD!AD31)</f>
        <v/>
      </c>
      <c r="DP34" s="94" t="str">
        <f>IF(SENBUD!AE31="","",SENBUD!AE31)</f>
        <v/>
      </c>
      <c r="DQ34" s="94" t="str">
        <f>IF(SENBUD!AF31="","",SENBUD!AF31)</f>
        <v/>
      </c>
      <c r="DR34" s="94" t="str">
        <f>IF(SENBUD!AG31="","",SENBUD!AG31)</f>
        <v/>
      </c>
      <c r="DS34" s="93" t="str">
        <f>IF(PENJAS!X31="","",PENJAS!X31)</f>
        <v/>
      </c>
      <c r="DT34" s="93" t="str">
        <f>IF(PENJAS!Y31="","",PENJAS!Y31)</f>
        <v/>
      </c>
      <c r="DU34" s="93" t="str">
        <f>IF(PENJAS!Z31="","",PENJAS!Z31)</f>
        <v/>
      </c>
      <c r="DV34" s="93" t="str">
        <f>IF(PENJAS!AA31="","",PENJAS!AA31)</f>
        <v/>
      </c>
      <c r="DW34" s="93" t="str">
        <f>IF(PENJAS!AB31="","",PENJAS!AB31)</f>
        <v/>
      </c>
      <c r="DX34" s="93" t="str">
        <f>IF(PENJAS!AC31="","",PENJAS!AC31)</f>
        <v/>
      </c>
      <c r="DY34" s="93" t="str">
        <f>IF(PENJAS!AD31="","",PENJAS!AD31)</f>
        <v/>
      </c>
      <c r="DZ34" s="93" t="str">
        <f>IF(PENJAS!AE31="","",PENJAS!AE31)</f>
        <v/>
      </c>
      <c r="EA34" s="93" t="str">
        <f>IF(PENJAS!AF31="","",PENJAS!AF31)</f>
        <v/>
      </c>
      <c r="EB34" s="93" t="str">
        <f>IF(PENJAS!AG31="","",PENJAS!AG31)</f>
        <v/>
      </c>
      <c r="EC34" s="93" t="str">
        <f>IF(PRAKARYA!X31="","",PRAKARYA!X31)</f>
        <v/>
      </c>
      <c r="ED34" s="93" t="str">
        <f>IF(PRAKARYA!Y31="","",PRAKARYA!Y31)</f>
        <v/>
      </c>
      <c r="EE34" s="93" t="str">
        <f>IF(PRAKARYA!Z31="","",PRAKARYA!Z31)</f>
        <v/>
      </c>
      <c r="EF34" s="93" t="str">
        <f>IF(PRAKARYA!AA31="","",PRAKARYA!AA31)</f>
        <v/>
      </c>
      <c r="EG34" s="93" t="str">
        <f>IF(PRAKARYA!AB31="","",PRAKARYA!AB31)</f>
        <v/>
      </c>
      <c r="EH34" s="93" t="str">
        <f>IF(PRAKARYA!AC31="","",PRAKARYA!AC31)</f>
        <v/>
      </c>
      <c r="EI34" s="93" t="str">
        <f>IF(PRAKARYA!AD31="","",PRAKARYA!AD31)</f>
        <v/>
      </c>
      <c r="EJ34" s="93" t="str">
        <f>IF(PRAKARYA!AE31="","",PRAKARYA!AE31)</f>
        <v/>
      </c>
      <c r="EK34" s="93" t="str">
        <f>IF(PRAKARYA!AF31="","",PRAKARYA!AF31)</f>
        <v/>
      </c>
      <c r="EL34" s="93" t="str">
        <f>IF(PRAKARYA!AG31="","",PRAKARYA!AG31)</f>
        <v/>
      </c>
      <c r="EM34" s="95" t="str">
        <f>IF(BADER!X31="","",BADER!X31)</f>
        <v/>
      </c>
      <c r="EN34" s="95" t="str">
        <f>IF(BADER!Y31="","",BADER!Y31)</f>
        <v/>
      </c>
      <c r="EO34" s="95" t="str">
        <f>IF(BADER!Z31="","",BADER!Z31)</f>
        <v/>
      </c>
      <c r="EP34" s="95" t="str">
        <f>IF(BADER!AA31="","",BADER!AA31)</f>
        <v/>
      </c>
      <c r="EQ34" s="95" t="str">
        <f>IF(BADER!AB31="","",BADER!AB31)</f>
        <v/>
      </c>
      <c r="ER34" s="95" t="str">
        <f>IF(BADER!AC31="","",BADER!AC31)</f>
        <v/>
      </c>
      <c r="ES34" s="95" t="str">
        <f>IF(BADER!AD31="","",BADER!AD31)</f>
        <v/>
      </c>
      <c r="ET34" s="95" t="str">
        <f>IF(BADER!AE31="","",BADER!AE31)</f>
        <v/>
      </c>
      <c r="EU34" s="95" t="str">
        <f>IF(BADER!AF31="","",BADER!AF31)</f>
        <v/>
      </c>
      <c r="EV34" s="95" t="str">
        <f>IF(BADER!AG31="","",BADER!AG31)</f>
        <v/>
      </c>
      <c r="EW34" s="96" t="str">
        <f t="shared" si="1"/>
        <v/>
      </c>
      <c r="EX34" s="96" t="str">
        <f t="shared" si="2"/>
        <v/>
      </c>
      <c r="EY34" s="96" t="str">
        <f t="shared" si="14"/>
        <v/>
      </c>
      <c r="EZ34" s="96" t="str">
        <f t="shared" si="14"/>
        <v/>
      </c>
      <c r="FA34" s="96" t="str">
        <f t="shared" si="14"/>
        <v/>
      </c>
      <c r="FB34" s="96" t="str">
        <f t="shared" si="14"/>
        <v/>
      </c>
      <c r="FC34" s="96" t="str">
        <f t="shared" si="14"/>
        <v/>
      </c>
      <c r="FD34" s="96" t="str">
        <f t="shared" si="14"/>
        <v/>
      </c>
      <c r="FE34" s="96" t="str">
        <f t="shared" si="14"/>
        <v/>
      </c>
      <c r="FF34" s="96" t="str">
        <f t="shared" si="3"/>
        <v/>
      </c>
      <c r="FG34" s="96" t="str">
        <f t="shared" si="4"/>
        <v/>
      </c>
      <c r="FH34" s="92" t="str">
        <f t="shared" si="5"/>
        <v/>
      </c>
      <c r="FI34" s="92" t="str">
        <f t="shared" si="6"/>
        <v xml:space="preserve"> </v>
      </c>
      <c r="FJ34" s="92" t="str">
        <f t="shared" si="7"/>
        <v xml:space="preserve"> </v>
      </c>
      <c r="FK34" s="92" t="str">
        <f t="shared" si="8"/>
        <v xml:space="preserve"> </v>
      </c>
      <c r="FL34" s="92" t="str">
        <f t="shared" si="9"/>
        <v xml:space="preserve"> </v>
      </c>
      <c r="FM34" s="92" t="str">
        <f t="shared" si="10"/>
        <v xml:space="preserve"> </v>
      </c>
      <c r="FN34" s="92" t="str">
        <f t="shared" si="11"/>
        <v xml:space="preserve"> </v>
      </c>
      <c r="FO34" s="92" t="str">
        <f t="shared" si="12"/>
        <v xml:space="preserve"> </v>
      </c>
      <c r="FP34" s="92" t="str">
        <f t="shared" si="13"/>
        <v xml:space="preserve">,  ,  ,  ,  ,  ,  ,  </v>
      </c>
    </row>
    <row r="35" spans="1:172">
      <c r="A35" s="66">
        <v>25</v>
      </c>
      <c r="B35" s="92" t="str">
        <f>IF(DATA!D32="","",DATA!D32)</f>
        <v>RACMAT MAULIDI ABDANY</v>
      </c>
      <c r="C35" s="93" t="str">
        <f>IF(QH!X32="","",QH!X32)</f>
        <v/>
      </c>
      <c r="D35" s="93" t="str">
        <f>IF(QH!Y32="","",QH!Y32)</f>
        <v/>
      </c>
      <c r="E35" s="93" t="str">
        <f>IF(QH!Z32="","",QH!Z32)</f>
        <v/>
      </c>
      <c r="F35" s="93" t="str">
        <f>IF(QH!AA32="","",QH!AA32)</f>
        <v/>
      </c>
      <c r="G35" s="93" t="str">
        <f>IF(QH!AB32="","",QH!AB32)</f>
        <v/>
      </c>
      <c r="H35" s="93" t="str">
        <f>IF(QH!AC32="","",QH!AC32)</f>
        <v/>
      </c>
      <c r="I35" s="93" t="str">
        <f>IF(QH!AD32="","",QH!AD32)</f>
        <v/>
      </c>
      <c r="J35" s="93" t="str">
        <f>IF(QH!AE32="","",QH!AE32)</f>
        <v/>
      </c>
      <c r="K35" s="93" t="str">
        <f>IF(QH!AF32="","",QH!AF32)</f>
        <v/>
      </c>
      <c r="L35" s="93" t="str">
        <f>IF(QH!AG32="","",QH!AG32)</f>
        <v/>
      </c>
      <c r="M35" s="94" t="str">
        <f>IF(AA!X32="","",AA!X32)</f>
        <v/>
      </c>
      <c r="N35" s="94" t="str">
        <f>IF(AA!Y32="","",AA!Y32)</f>
        <v/>
      </c>
      <c r="O35" s="94" t="str">
        <f>IF(AA!Z32="","",AA!Z32)</f>
        <v/>
      </c>
      <c r="P35" s="94" t="str">
        <f>IF(AA!AA32="","",AA!AA32)</f>
        <v/>
      </c>
      <c r="Q35" s="94" t="str">
        <f>IF(AA!AB32="","",AA!AB32)</f>
        <v/>
      </c>
      <c r="R35" s="94" t="str">
        <f>IF(AA!AC32="","",AA!AC32)</f>
        <v/>
      </c>
      <c r="S35" s="94" t="str">
        <f>IF(AA!AD32="","",AA!AD32)</f>
        <v/>
      </c>
      <c r="T35" s="94" t="str">
        <f>IF(AA!AE32="","",AA!AE32)</f>
        <v/>
      </c>
      <c r="U35" s="94" t="str">
        <f>IF(AA!AF32="","",AA!AF32)</f>
        <v/>
      </c>
      <c r="V35" s="94" t="str">
        <f>IF(AA!AG32="","",AA!AG32)</f>
        <v/>
      </c>
      <c r="W35" s="94" t="str">
        <f>IF(FIKIH!X32="","",FIKIH!X32)</f>
        <v/>
      </c>
      <c r="X35" s="94" t="str">
        <f>IF(FIKIH!Y32="","",FIKIH!Y32)</f>
        <v/>
      </c>
      <c r="Y35" s="94" t="str">
        <f>IF(FIKIH!Z32="","",FIKIH!Z32)</f>
        <v/>
      </c>
      <c r="Z35" s="94" t="str">
        <f>IF(FIKIH!AA32="","",FIKIH!AA32)</f>
        <v/>
      </c>
      <c r="AA35" s="94" t="str">
        <f>IF(FIKIH!AB32="","",FIKIH!AB32)</f>
        <v/>
      </c>
      <c r="AB35" s="94" t="str">
        <f>IF(FIKIH!AC32="","",FIKIH!AC32)</f>
        <v/>
      </c>
      <c r="AC35" s="94" t="str">
        <f>IF(FIKIH!AD32="","",FIKIH!AD32)</f>
        <v/>
      </c>
      <c r="AD35" s="94" t="str">
        <f>IF(FIKIH!AE32="","",FIKIH!AE32)</f>
        <v/>
      </c>
      <c r="AE35" s="94" t="str">
        <f>IF(FIKIH!AF32="","",FIKIH!AF32)</f>
        <v/>
      </c>
      <c r="AF35" s="94" t="str">
        <f>IF(FIKIH!AG32="","",FIKIH!AG32)</f>
        <v/>
      </c>
      <c r="AG35" s="94">
        <f>IF(SKI!X32="","",SKI!X32)</f>
        <v>3</v>
      </c>
      <c r="AH35" s="94" t="str">
        <f>IF(SKI!Y32="","",SKI!Y32)</f>
        <v>Melaksanakan sholat dhuhur berjemaah, berdo'a di awal dan di akhir kegiatan pembelajaran , serta melaksanakan kegiatan amaliyah siswa</v>
      </c>
      <c r="AI35" s="94">
        <f>IF(SKI!Z32="","",SKI!Z32)</f>
        <v>3</v>
      </c>
      <c r="AJ35" s="94">
        <f>IF(SKI!AA32="","",SKI!AA32)</f>
        <v>3</v>
      </c>
      <c r="AK35" s="94">
        <f>IF(SKI!AB32="","",SKI!AB32)</f>
        <v>3</v>
      </c>
      <c r="AL35" s="94">
        <f>IF(SKI!AC32="","",SKI!AC32)</f>
        <v>3</v>
      </c>
      <c r="AM35" s="94">
        <f>IF(SKI!AD32="","",SKI!AD32)</f>
        <v>3</v>
      </c>
      <c r="AN35" s="94">
        <f>IF(SKI!AE32="","",SKI!AE32)</f>
        <v>3</v>
      </c>
      <c r="AO35" s="94">
        <f>IF(SKI!AF32="","",SKI!AF32)</f>
        <v>3</v>
      </c>
      <c r="AP35" s="94" t="str">
        <f>IF(SKI!AG32="","",SKI!AG32)</f>
        <v>Santun dalam bersikap, disiplin dalam mentaati tata tertib madrasah, peduli pada lingkungan, orang tua, bertanggung jawab dalam melaksanakan tugas, baik sebagai individu maupun makhluk sosial</v>
      </c>
      <c r="AQ35" s="94" t="str">
        <f>IF(PKN!X32="","",PKN!X32)</f>
        <v/>
      </c>
      <c r="AR35" s="94" t="str">
        <f>IF(PKN!Y32="","",PKN!Y32)</f>
        <v/>
      </c>
      <c r="AS35" s="94" t="str">
        <f>IF(PKN!Z32="","",PKN!Z32)</f>
        <v/>
      </c>
      <c r="AT35" s="94" t="str">
        <f>IF(PKN!AA32="","",PKN!AA32)</f>
        <v/>
      </c>
      <c r="AU35" s="94" t="str">
        <f>IF(PKN!AB32="","",PKN!AB32)</f>
        <v/>
      </c>
      <c r="AV35" s="94" t="str">
        <f>IF(PKN!AC32="","",PKN!AC32)</f>
        <v/>
      </c>
      <c r="AW35" s="94" t="str">
        <f>IF(PKN!AD32="","",PKN!AD32)</f>
        <v/>
      </c>
      <c r="AX35" s="94" t="str">
        <f>IF(PKN!AE32="","",PKN!AE32)</f>
        <v/>
      </c>
      <c r="AY35" s="94" t="str">
        <f>IF(PKN!AF32="","",PKN!AF32)</f>
        <v/>
      </c>
      <c r="AZ35" s="94" t="str">
        <f>IF(PKN!AG32="","",PKN!AG32)</f>
        <v/>
      </c>
      <c r="BA35" s="93" t="str">
        <f>IF(INDO!X32="","",INDO!X32)</f>
        <v/>
      </c>
      <c r="BB35" s="93" t="str">
        <f>IF(INDO!Y32="","",INDO!Y32)</f>
        <v/>
      </c>
      <c r="BC35" s="93" t="str">
        <f>IF(INDO!Z32="","",INDO!Z32)</f>
        <v/>
      </c>
      <c r="BD35" s="93" t="str">
        <f>IF(INDO!AA32="","",INDO!AA32)</f>
        <v/>
      </c>
      <c r="BE35" s="93" t="str">
        <f>IF(INDO!AB32="","",INDO!AB32)</f>
        <v/>
      </c>
      <c r="BF35" s="93" t="str">
        <f>IF(INDO!AC32="","",INDO!AC32)</f>
        <v/>
      </c>
      <c r="BG35" s="93" t="str">
        <f>IF(INDO!AD32="","",INDO!AD32)</f>
        <v/>
      </c>
      <c r="BH35" s="93" t="str">
        <f>IF(INDO!AE32="","",INDO!AE32)</f>
        <v/>
      </c>
      <c r="BI35" s="93" t="str">
        <f>IF(INDO!AF32="","",INDO!AF32)</f>
        <v/>
      </c>
      <c r="BJ35" s="93" t="str">
        <f>IF(INDO!AG32="","",INDO!AG32)</f>
        <v/>
      </c>
      <c r="BK35" s="93" t="str">
        <f>IF(ARAB!X32="","",ARAB!X32)</f>
        <v/>
      </c>
      <c r="BL35" s="93" t="str">
        <f>IF(ARAB!Y32="","",ARAB!Y32)</f>
        <v/>
      </c>
      <c r="BM35" s="93" t="str">
        <f>IF(ARAB!Z32="","",ARAB!Z32)</f>
        <v/>
      </c>
      <c r="BN35" s="93" t="str">
        <f>IF(ARAB!AA32="","",ARAB!AA32)</f>
        <v/>
      </c>
      <c r="BO35" s="93" t="str">
        <f>IF(ARAB!AB32="","",ARAB!AB32)</f>
        <v/>
      </c>
      <c r="BP35" s="93" t="str">
        <f>IF(ARAB!AC32="","",ARAB!AC32)</f>
        <v/>
      </c>
      <c r="BQ35" s="93" t="str">
        <f>IF(ARAB!AD32="","",ARAB!AD32)</f>
        <v/>
      </c>
      <c r="BR35" s="93" t="str">
        <f>IF(ARAB!AE32="","",ARAB!AE32)</f>
        <v/>
      </c>
      <c r="BS35" s="93" t="str">
        <f>IF(ARAB!AF32="","",ARAB!AF32)</f>
        <v/>
      </c>
      <c r="BT35" s="93" t="str">
        <f>IF(ARAB!AG32="","",ARAB!AG32)</f>
        <v/>
      </c>
      <c r="BU35" s="94" t="str">
        <f>IF(MAT!X32="","",MAT!X32)</f>
        <v/>
      </c>
      <c r="BV35" s="94" t="str">
        <f>IF(MAT!Y32="","",MAT!Y32)</f>
        <v/>
      </c>
      <c r="BW35" s="94" t="str">
        <f>IF(MAT!Z32="","",MAT!Z32)</f>
        <v/>
      </c>
      <c r="BX35" s="94" t="str">
        <f>IF(MAT!AA32="","",MAT!AA32)</f>
        <v/>
      </c>
      <c r="BY35" s="94" t="str">
        <f>IF(MAT!AB32="","",MAT!AB32)</f>
        <v/>
      </c>
      <c r="BZ35" s="94" t="str">
        <f>IF(MAT!AC32="","",MAT!AC32)</f>
        <v/>
      </c>
      <c r="CA35" s="94" t="str">
        <f>IF(MAT!AD32="","",MAT!AD32)</f>
        <v/>
      </c>
      <c r="CB35" s="94" t="str">
        <f>IF(MAT!AE32="","",MAT!AE32)</f>
        <v/>
      </c>
      <c r="CC35" s="94" t="str">
        <f>IF(MAT!AF32="","",MAT!AF32)</f>
        <v/>
      </c>
      <c r="CD35" s="94" t="str">
        <f>IF(MAT!AG32="","",MAT!AG32)</f>
        <v/>
      </c>
      <c r="CE35" s="94" t="str">
        <f>IF(IPA!X32="","",IPA!X32)</f>
        <v/>
      </c>
      <c r="CF35" s="94" t="str">
        <f>IF(IPA!Y32="","",IPA!Y32)</f>
        <v/>
      </c>
      <c r="CG35" s="94" t="str">
        <f>IF(IPA!Z32="","",IPA!Z32)</f>
        <v/>
      </c>
      <c r="CH35" s="94" t="str">
        <f>IF(IPA!AA32="","",IPA!AA32)</f>
        <v/>
      </c>
      <c r="CI35" s="94" t="str">
        <f>IF(IPA!AB32="","",IPA!AB32)</f>
        <v/>
      </c>
      <c r="CJ35" s="94" t="str">
        <f>IF(IPA!AC32="","",IPA!AC32)</f>
        <v/>
      </c>
      <c r="CK35" s="94" t="str">
        <f>IF(IPA!AD32="","",IPA!AD32)</f>
        <v/>
      </c>
      <c r="CL35" s="94" t="str">
        <f>IF(IPA!AE32="","",IPA!AE32)</f>
        <v/>
      </c>
      <c r="CM35" s="94" t="str">
        <f>IF(IPA!AF32="","",IPA!AF32)</f>
        <v/>
      </c>
      <c r="CN35" s="94" t="str">
        <f>IF(IPA!AG32="","",IPA!AG32)</f>
        <v/>
      </c>
      <c r="CO35" s="93" t="str">
        <f>IF(IPS!X32="","",IPS!X32)</f>
        <v/>
      </c>
      <c r="CP35" s="93" t="str">
        <f>IF(IPS!Y32="","",IPS!Y32)</f>
        <v/>
      </c>
      <c r="CQ35" s="93" t="str">
        <f>IF(IPS!Z32="","",IPS!Z32)</f>
        <v/>
      </c>
      <c r="CR35" s="93" t="str">
        <f>IF(IPS!AA32="","",IPS!AA32)</f>
        <v/>
      </c>
      <c r="CS35" s="93" t="str">
        <f>IF(IPS!AB32="","",IPS!AB32)</f>
        <v/>
      </c>
      <c r="CT35" s="93" t="str">
        <f>IF(IPS!AC32="","",IPS!AC32)</f>
        <v/>
      </c>
      <c r="CU35" s="93" t="str">
        <f>IF(IPS!AD32="","",IPS!AD32)</f>
        <v/>
      </c>
      <c r="CV35" s="93" t="str">
        <f>IF(IPS!AE32="","",IPS!AE32)</f>
        <v/>
      </c>
      <c r="CW35" s="93" t="str">
        <f>IF(IPS!AF32="","",IPS!AF32)</f>
        <v/>
      </c>
      <c r="CX35" s="93" t="str">
        <f>IF(IPS!AG32="","",IPS!AG32)</f>
        <v/>
      </c>
      <c r="CY35" s="94" t="str">
        <f>IF(INGG!X32="","",INGG!X32)</f>
        <v/>
      </c>
      <c r="CZ35" s="94" t="str">
        <f>IF(INGG!Y32="","",INGG!Y32)</f>
        <v/>
      </c>
      <c r="DA35" s="94" t="str">
        <f>IF(INGG!Z32="","",INGG!Z32)</f>
        <v/>
      </c>
      <c r="DB35" s="94" t="str">
        <f>IF(INGG!AA32="","",INGG!AA32)</f>
        <v/>
      </c>
      <c r="DC35" s="94" t="str">
        <f>IF(INGG!AB32="","",INGG!AB32)</f>
        <v/>
      </c>
      <c r="DD35" s="94" t="str">
        <f>IF(INGG!AC32="","",INGG!AC32)</f>
        <v/>
      </c>
      <c r="DE35" s="94" t="str">
        <f>IF(INGG!AD32="","",INGG!AD32)</f>
        <v/>
      </c>
      <c r="DF35" s="94" t="str">
        <f>IF(INGG!AE32="","",INGG!AE32)</f>
        <v/>
      </c>
      <c r="DG35" s="94" t="str">
        <f>IF(INGG!AF32="","",INGG!AF32)</f>
        <v/>
      </c>
      <c r="DH35" s="94" t="str">
        <f>IF(INGG!AG32="","",INGG!AG32)</f>
        <v/>
      </c>
      <c r="DI35" s="94" t="str">
        <f>IF(SENBUD!X32="","",SENBUD!X32)</f>
        <v/>
      </c>
      <c r="DJ35" s="94" t="str">
        <f>IF(SENBUD!Y32="","",SENBUD!Y32)</f>
        <v/>
      </c>
      <c r="DK35" s="94" t="str">
        <f>IF(SENBUD!Z32="","",SENBUD!Z32)</f>
        <v/>
      </c>
      <c r="DL35" s="94" t="str">
        <f>IF(SENBUD!AA32="","",SENBUD!AA32)</f>
        <v/>
      </c>
      <c r="DM35" s="94" t="str">
        <f>IF(SENBUD!AB32="","",SENBUD!AB32)</f>
        <v/>
      </c>
      <c r="DN35" s="94" t="str">
        <f>IF(SENBUD!AC32="","",SENBUD!AC32)</f>
        <v/>
      </c>
      <c r="DO35" s="94" t="str">
        <f>IF(SENBUD!AD32="","",SENBUD!AD32)</f>
        <v/>
      </c>
      <c r="DP35" s="94" t="str">
        <f>IF(SENBUD!AE32="","",SENBUD!AE32)</f>
        <v/>
      </c>
      <c r="DQ35" s="94" t="str">
        <f>IF(SENBUD!AF32="","",SENBUD!AF32)</f>
        <v/>
      </c>
      <c r="DR35" s="94" t="str">
        <f>IF(SENBUD!AG32="","",SENBUD!AG32)</f>
        <v/>
      </c>
      <c r="DS35" s="93" t="str">
        <f>IF(PENJAS!X32="","",PENJAS!X32)</f>
        <v/>
      </c>
      <c r="DT35" s="93" t="str">
        <f>IF(PENJAS!Y32="","",PENJAS!Y32)</f>
        <v/>
      </c>
      <c r="DU35" s="93" t="str">
        <f>IF(PENJAS!Z32="","",PENJAS!Z32)</f>
        <v/>
      </c>
      <c r="DV35" s="93" t="str">
        <f>IF(PENJAS!AA32="","",PENJAS!AA32)</f>
        <v/>
      </c>
      <c r="DW35" s="93" t="str">
        <f>IF(PENJAS!AB32="","",PENJAS!AB32)</f>
        <v/>
      </c>
      <c r="DX35" s="93" t="str">
        <f>IF(PENJAS!AC32="","",PENJAS!AC32)</f>
        <v/>
      </c>
      <c r="DY35" s="93" t="str">
        <f>IF(PENJAS!AD32="","",PENJAS!AD32)</f>
        <v/>
      </c>
      <c r="DZ35" s="93" t="str">
        <f>IF(PENJAS!AE32="","",PENJAS!AE32)</f>
        <v/>
      </c>
      <c r="EA35" s="93" t="str">
        <f>IF(PENJAS!AF32="","",PENJAS!AF32)</f>
        <v/>
      </c>
      <c r="EB35" s="93" t="str">
        <f>IF(PENJAS!AG32="","",PENJAS!AG32)</f>
        <v/>
      </c>
      <c r="EC35" s="93" t="str">
        <f>IF(PRAKARYA!X32="","",PRAKARYA!X32)</f>
        <v/>
      </c>
      <c r="ED35" s="93" t="str">
        <f>IF(PRAKARYA!Y32="","",PRAKARYA!Y32)</f>
        <v/>
      </c>
      <c r="EE35" s="93" t="str">
        <f>IF(PRAKARYA!Z32="","",PRAKARYA!Z32)</f>
        <v/>
      </c>
      <c r="EF35" s="93" t="str">
        <f>IF(PRAKARYA!AA32="","",PRAKARYA!AA32)</f>
        <v/>
      </c>
      <c r="EG35" s="93" t="str">
        <f>IF(PRAKARYA!AB32="","",PRAKARYA!AB32)</f>
        <v/>
      </c>
      <c r="EH35" s="93" t="str">
        <f>IF(PRAKARYA!AC32="","",PRAKARYA!AC32)</f>
        <v/>
      </c>
      <c r="EI35" s="93" t="str">
        <f>IF(PRAKARYA!AD32="","",PRAKARYA!AD32)</f>
        <v/>
      </c>
      <c r="EJ35" s="93" t="str">
        <f>IF(PRAKARYA!AE32="","",PRAKARYA!AE32)</f>
        <v/>
      </c>
      <c r="EK35" s="93" t="str">
        <f>IF(PRAKARYA!AF32="","",PRAKARYA!AF32)</f>
        <v/>
      </c>
      <c r="EL35" s="93" t="str">
        <f>IF(PRAKARYA!AG32="","",PRAKARYA!AG32)</f>
        <v/>
      </c>
      <c r="EM35" s="95" t="str">
        <f>IF(BADER!X32="","",BADER!X32)</f>
        <v/>
      </c>
      <c r="EN35" s="95" t="str">
        <f>IF(BADER!Y32="","",BADER!Y32)</f>
        <v/>
      </c>
      <c r="EO35" s="95" t="str">
        <f>IF(BADER!Z32="","",BADER!Z32)</f>
        <v/>
      </c>
      <c r="EP35" s="95" t="str">
        <f>IF(BADER!AA32="","",BADER!AA32)</f>
        <v/>
      </c>
      <c r="EQ35" s="95" t="str">
        <f>IF(BADER!AB32="","",BADER!AB32)</f>
        <v/>
      </c>
      <c r="ER35" s="95" t="str">
        <f>IF(BADER!AC32="","",BADER!AC32)</f>
        <v/>
      </c>
      <c r="ES35" s="95" t="str">
        <f>IF(BADER!AD32="","",BADER!AD32)</f>
        <v/>
      </c>
      <c r="ET35" s="95" t="str">
        <f>IF(BADER!AE32="","",BADER!AE32)</f>
        <v/>
      </c>
      <c r="EU35" s="95" t="str">
        <f>IF(BADER!AF32="","",BADER!AF32)</f>
        <v/>
      </c>
      <c r="EV35" s="95" t="str">
        <f>IF(BADER!AG32="","",BADER!AG32)</f>
        <v/>
      </c>
      <c r="EW35" s="96" t="str">
        <f t="shared" si="1"/>
        <v/>
      </c>
      <c r="EX35" s="96" t="str">
        <f t="shared" si="2"/>
        <v/>
      </c>
      <c r="EY35" s="96" t="str">
        <f t="shared" si="14"/>
        <v/>
      </c>
      <c r="EZ35" s="96" t="str">
        <f t="shared" si="14"/>
        <v/>
      </c>
      <c r="FA35" s="96" t="str">
        <f t="shared" si="14"/>
        <v/>
      </c>
      <c r="FB35" s="96" t="str">
        <f t="shared" si="14"/>
        <v/>
      </c>
      <c r="FC35" s="96" t="str">
        <f t="shared" si="14"/>
        <v/>
      </c>
      <c r="FD35" s="96" t="str">
        <f t="shared" si="14"/>
        <v/>
      </c>
      <c r="FE35" s="96" t="str">
        <f t="shared" si="14"/>
        <v/>
      </c>
      <c r="FF35" s="96" t="str">
        <f t="shared" si="3"/>
        <v/>
      </c>
      <c r="FG35" s="96" t="str">
        <f t="shared" si="4"/>
        <v/>
      </c>
      <c r="FH35" s="92" t="str">
        <f t="shared" si="5"/>
        <v/>
      </c>
      <c r="FI35" s="92" t="str">
        <f t="shared" si="6"/>
        <v xml:space="preserve"> </v>
      </c>
      <c r="FJ35" s="92" t="str">
        <f t="shared" si="7"/>
        <v xml:space="preserve"> </v>
      </c>
      <c r="FK35" s="92" t="str">
        <f t="shared" si="8"/>
        <v xml:space="preserve"> </v>
      </c>
      <c r="FL35" s="92" t="str">
        <f t="shared" si="9"/>
        <v xml:space="preserve"> </v>
      </c>
      <c r="FM35" s="92" t="str">
        <f t="shared" si="10"/>
        <v xml:space="preserve"> </v>
      </c>
      <c r="FN35" s="92" t="str">
        <f t="shared" si="11"/>
        <v xml:space="preserve"> </v>
      </c>
      <c r="FO35" s="92" t="str">
        <f t="shared" si="12"/>
        <v xml:space="preserve"> </v>
      </c>
      <c r="FP35" s="92" t="str">
        <f t="shared" si="13"/>
        <v xml:space="preserve">,  ,  ,  ,  ,  ,  ,  </v>
      </c>
    </row>
    <row r="36" spans="1:172">
      <c r="A36" s="66">
        <v>26</v>
      </c>
      <c r="B36" s="92" t="str">
        <f>IF(DATA!D33="","",DATA!D33)</f>
        <v>RAIHAN</v>
      </c>
      <c r="C36" s="93" t="str">
        <f>IF(QH!X33="","",QH!X33)</f>
        <v/>
      </c>
      <c r="D36" s="93" t="str">
        <f>IF(QH!Y33="","",QH!Y33)</f>
        <v/>
      </c>
      <c r="E36" s="93" t="str">
        <f>IF(QH!Z33="","",QH!Z33)</f>
        <v/>
      </c>
      <c r="F36" s="93" t="str">
        <f>IF(QH!AA33="","",QH!AA33)</f>
        <v/>
      </c>
      <c r="G36" s="93" t="str">
        <f>IF(QH!AB33="","",QH!AB33)</f>
        <v/>
      </c>
      <c r="H36" s="93" t="str">
        <f>IF(QH!AC33="","",QH!AC33)</f>
        <v/>
      </c>
      <c r="I36" s="93" t="str">
        <f>IF(QH!AD33="","",QH!AD33)</f>
        <v/>
      </c>
      <c r="J36" s="93" t="str">
        <f>IF(QH!AE33="","",QH!AE33)</f>
        <v/>
      </c>
      <c r="K36" s="93" t="str">
        <f>IF(QH!AF33="","",QH!AF33)</f>
        <v/>
      </c>
      <c r="L36" s="93" t="str">
        <f>IF(QH!AG33="","",QH!AG33)</f>
        <v/>
      </c>
      <c r="M36" s="94" t="str">
        <f>IF(AA!X33="","",AA!X33)</f>
        <v/>
      </c>
      <c r="N36" s="94" t="str">
        <f>IF(AA!Y33="","",AA!Y33)</f>
        <v/>
      </c>
      <c r="O36" s="94" t="str">
        <f>IF(AA!Z33="","",AA!Z33)</f>
        <v/>
      </c>
      <c r="P36" s="94" t="str">
        <f>IF(AA!AA33="","",AA!AA33)</f>
        <v/>
      </c>
      <c r="Q36" s="94" t="str">
        <f>IF(AA!AB33="","",AA!AB33)</f>
        <v/>
      </c>
      <c r="R36" s="94" t="str">
        <f>IF(AA!AC33="","",AA!AC33)</f>
        <v/>
      </c>
      <c r="S36" s="94" t="str">
        <f>IF(AA!AD33="","",AA!AD33)</f>
        <v/>
      </c>
      <c r="T36" s="94" t="str">
        <f>IF(AA!AE33="","",AA!AE33)</f>
        <v/>
      </c>
      <c r="U36" s="94" t="str">
        <f>IF(AA!AF33="","",AA!AF33)</f>
        <v/>
      </c>
      <c r="V36" s="94" t="str">
        <f>IF(AA!AG33="","",AA!AG33)</f>
        <v/>
      </c>
      <c r="W36" s="94" t="str">
        <f>IF(FIKIH!X33="","",FIKIH!X33)</f>
        <v/>
      </c>
      <c r="X36" s="94" t="str">
        <f>IF(FIKIH!Y33="","",FIKIH!Y33)</f>
        <v/>
      </c>
      <c r="Y36" s="94" t="str">
        <f>IF(FIKIH!Z33="","",FIKIH!Z33)</f>
        <v/>
      </c>
      <c r="Z36" s="94" t="str">
        <f>IF(FIKIH!AA33="","",FIKIH!AA33)</f>
        <v/>
      </c>
      <c r="AA36" s="94" t="str">
        <f>IF(FIKIH!AB33="","",FIKIH!AB33)</f>
        <v/>
      </c>
      <c r="AB36" s="94" t="str">
        <f>IF(FIKIH!AC33="","",FIKIH!AC33)</f>
        <v/>
      </c>
      <c r="AC36" s="94" t="str">
        <f>IF(FIKIH!AD33="","",FIKIH!AD33)</f>
        <v/>
      </c>
      <c r="AD36" s="94" t="str">
        <f>IF(FIKIH!AE33="","",FIKIH!AE33)</f>
        <v/>
      </c>
      <c r="AE36" s="94" t="str">
        <f>IF(FIKIH!AF33="","",FIKIH!AF33)</f>
        <v/>
      </c>
      <c r="AF36" s="94" t="str">
        <f>IF(FIKIH!AG33="","",FIKIH!AG33)</f>
        <v/>
      </c>
      <c r="AG36" s="94">
        <f>IF(SKI!X33="","",SKI!X33)</f>
        <v>3</v>
      </c>
      <c r="AH36" s="94" t="str">
        <f>IF(SKI!Y33="","",SKI!Y33)</f>
        <v>Melaksanakan sholat dhuhur berjemaah, berdo'a di awal dan di akhir kegiatan pembelajaran , serta melaksanakan kegiatan amaliyah siswa</v>
      </c>
      <c r="AI36" s="94">
        <f>IF(SKI!Z33="","",SKI!Z33)</f>
        <v>3</v>
      </c>
      <c r="AJ36" s="94">
        <f>IF(SKI!AA33="","",SKI!AA33)</f>
        <v>3</v>
      </c>
      <c r="AK36" s="94">
        <f>IF(SKI!AB33="","",SKI!AB33)</f>
        <v>3</v>
      </c>
      <c r="AL36" s="94">
        <f>IF(SKI!AC33="","",SKI!AC33)</f>
        <v>3</v>
      </c>
      <c r="AM36" s="94">
        <f>IF(SKI!AD33="","",SKI!AD33)</f>
        <v>3</v>
      </c>
      <c r="AN36" s="94">
        <f>IF(SKI!AE33="","",SKI!AE33)</f>
        <v>3</v>
      </c>
      <c r="AO36" s="94">
        <f>IF(SKI!AF33="","",SKI!AF33)</f>
        <v>3</v>
      </c>
      <c r="AP36" s="94" t="str">
        <f>IF(SKI!AG33="","",SKI!AG33)</f>
        <v>Santun dalam bersikap, disiplin dalam mentaati tata tertib madrasah, peduli pada lingkungan, orang tua, bertanggung jawab dalam melaksanakan tugas, baik sebagai individu maupun makhluk sosial</v>
      </c>
      <c r="AQ36" s="94" t="str">
        <f>IF(PKN!X33="","",PKN!X33)</f>
        <v/>
      </c>
      <c r="AR36" s="94" t="str">
        <f>IF(PKN!Y33="","",PKN!Y33)</f>
        <v/>
      </c>
      <c r="AS36" s="94" t="str">
        <f>IF(PKN!Z33="","",PKN!Z33)</f>
        <v/>
      </c>
      <c r="AT36" s="94" t="str">
        <f>IF(PKN!AA33="","",PKN!AA33)</f>
        <v/>
      </c>
      <c r="AU36" s="94" t="str">
        <f>IF(PKN!AB33="","",PKN!AB33)</f>
        <v/>
      </c>
      <c r="AV36" s="94" t="str">
        <f>IF(PKN!AC33="","",PKN!AC33)</f>
        <v/>
      </c>
      <c r="AW36" s="94" t="str">
        <f>IF(PKN!AD33="","",PKN!AD33)</f>
        <v/>
      </c>
      <c r="AX36" s="94" t="str">
        <f>IF(PKN!AE33="","",PKN!AE33)</f>
        <v/>
      </c>
      <c r="AY36" s="94" t="str">
        <f>IF(PKN!AF33="","",PKN!AF33)</f>
        <v/>
      </c>
      <c r="AZ36" s="94" t="str">
        <f>IF(PKN!AG33="","",PKN!AG33)</f>
        <v/>
      </c>
      <c r="BA36" s="93" t="str">
        <f>IF(INDO!X33="","",INDO!X33)</f>
        <v/>
      </c>
      <c r="BB36" s="93" t="str">
        <f>IF(INDO!Y33="","",INDO!Y33)</f>
        <v/>
      </c>
      <c r="BC36" s="93" t="str">
        <f>IF(INDO!Z33="","",INDO!Z33)</f>
        <v/>
      </c>
      <c r="BD36" s="93" t="str">
        <f>IF(INDO!AA33="","",INDO!AA33)</f>
        <v/>
      </c>
      <c r="BE36" s="93" t="str">
        <f>IF(INDO!AB33="","",INDO!AB33)</f>
        <v/>
      </c>
      <c r="BF36" s="93" t="str">
        <f>IF(INDO!AC33="","",INDO!AC33)</f>
        <v/>
      </c>
      <c r="BG36" s="93" t="str">
        <f>IF(INDO!AD33="","",INDO!AD33)</f>
        <v/>
      </c>
      <c r="BH36" s="93" t="str">
        <f>IF(INDO!AE33="","",INDO!AE33)</f>
        <v/>
      </c>
      <c r="BI36" s="93" t="str">
        <f>IF(INDO!AF33="","",INDO!AF33)</f>
        <v/>
      </c>
      <c r="BJ36" s="93" t="str">
        <f>IF(INDO!AG33="","",INDO!AG33)</f>
        <v/>
      </c>
      <c r="BK36" s="93" t="str">
        <f>IF(ARAB!X33="","",ARAB!X33)</f>
        <v/>
      </c>
      <c r="BL36" s="93" t="str">
        <f>IF(ARAB!Y33="","",ARAB!Y33)</f>
        <v/>
      </c>
      <c r="BM36" s="93" t="str">
        <f>IF(ARAB!Z33="","",ARAB!Z33)</f>
        <v/>
      </c>
      <c r="BN36" s="93" t="str">
        <f>IF(ARAB!AA33="","",ARAB!AA33)</f>
        <v/>
      </c>
      <c r="BO36" s="93" t="str">
        <f>IF(ARAB!AB33="","",ARAB!AB33)</f>
        <v/>
      </c>
      <c r="BP36" s="93" t="str">
        <f>IF(ARAB!AC33="","",ARAB!AC33)</f>
        <v/>
      </c>
      <c r="BQ36" s="93" t="str">
        <f>IF(ARAB!AD33="","",ARAB!AD33)</f>
        <v/>
      </c>
      <c r="BR36" s="93" t="str">
        <f>IF(ARAB!AE33="","",ARAB!AE33)</f>
        <v/>
      </c>
      <c r="BS36" s="93" t="str">
        <f>IF(ARAB!AF33="","",ARAB!AF33)</f>
        <v/>
      </c>
      <c r="BT36" s="93" t="str">
        <f>IF(ARAB!AG33="","",ARAB!AG33)</f>
        <v/>
      </c>
      <c r="BU36" s="94" t="str">
        <f>IF(MAT!X33="","",MAT!X33)</f>
        <v/>
      </c>
      <c r="BV36" s="94" t="str">
        <f>IF(MAT!Y33="","",MAT!Y33)</f>
        <v/>
      </c>
      <c r="BW36" s="94" t="str">
        <f>IF(MAT!Z33="","",MAT!Z33)</f>
        <v/>
      </c>
      <c r="BX36" s="94" t="str">
        <f>IF(MAT!AA33="","",MAT!AA33)</f>
        <v/>
      </c>
      <c r="BY36" s="94" t="str">
        <f>IF(MAT!AB33="","",MAT!AB33)</f>
        <v/>
      </c>
      <c r="BZ36" s="94" t="str">
        <f>IF(MAT!AC33="","",MAT!AC33)</f>
        <v/>
      </c>
      <c r="CA36" s="94" t="str">
        <f>IF(MAT!AD33="","",MAT!AD33)</f>
        <v/>
      </c>
      <c r="CB36" s="94" t="str">
        <f>IF(MAT!AE33="","",MAT!AE33)</f>
        <v/>
      </c>
      <c r="CC36" s="94" t="str">
        <f>IF(MAT!AF33="","",MAT!AF33)</f>
        <v/>
      </c>
      <c r="CD36" s="94" t="str">
        <f>IF(MAT!AG33="","",MAT!AG33)</f>
        <v/>
      </c>
      <c r="CE36" s="94" t="str">
        <f>IF(IPA!X33="","",IPA!X33)</f>
        <v/>
      </c>
      <c r="CF36" s="94" t="str">
        <f>IF(IPA!Y33="","",IPA!Y33)</f>
        <v/>
      </c>
      <c r="CG36" s="94" t="str">
        <f>IF(IPA!Z33="","",IPA!Z33)</f>
        <v/>
      </c>
      <c r="CH36" s="94" t="str">
        <f>IF(IPA!AA33="","",IPA!AA33)</f>
        <v/>
      </c>
      <c r="CI36" s="94" t="str">
        <f>IF(IPA!AB33="","",IPA!AB33)</f>
        <v/>
      </c>
      <c r="CJ36" s="94" t="str">
        <f>IF(IPA!AC33="","",IPA!AC33)</f>
        <v/>
      </c>
      <c r="CK36" s="94" t="str">
        <f>IF(IPA!AD33="","",IPA!AD33)</f>
        <v/>
      </c>
      <c r="CL36" s="94" t="str">
        <f>IF(IPA!AE33="","",IPA!AE33)</f>
        <v/>
      </c>
      <c r="CM36" s="94" t="str">
        <f>IF(IPA!AF33="","",IPA!AF33)</f>
        <v/>
      </c>
      <c r="CN36" s="94" t="str">
        <f>IF(IPA!AG33="","",IPA!AG33)</f>
        <v/>
      </c>
      <c r="CO36" s="93" t="str">
        <f>IF(IPS!X33="","",IPS!X33)</f>
        <v/>
      </c>
      <c r="CP36" s="93" t="str">
        <f>IF(IPS!Y33="","",IPS!Y33)</f>
        <v/>
      </c>
      <c r="CQ36" s="93" t="str">
        <f>IF(IPS!Z33="","",IPS!Z33)</f>
        <v/>
      </c>
      <c r="CR36" s="93" t="str">
        <f>IF(IPS!AA33="","",IPS!AA33)</f>
        <v/>
      </c>
      <c r="CS36" s="93" t="str">
        <f>IF(IPS!AB33="","",IPS!AB33)</f>
        <v/>
      </c>
      <c r="CT36" s="93" t="str">
        <f>IF(IPS!AC33="","",IPS!AC33)</f>
        <v/>
      </c>
      <c r="CU36" s="93" t="str">
        <f>IF(IPS!AD33="","",IPS!AD33)</f>
        <v/>
      </c>
      <c r="CV36" s="93" t="str">
        <f>IF(IPS!AE33="","",IPS!AE33)</f>
        <v/>
      </c>
      <c r="CW36" s="93" t="str">
        <f>IF(IPS!AF33="","",IPS!AF33)</f>
        <v/>
      </c>
      <c r="CX36" s="93" t="str">
        <f>IF(IPS!AG33="","",IPS!AG33)</f>
        <v/>
      </c>
      <c r="CY36" s="94" t="str">
        <f>IF(INGG!X33="","",INGG!X33)</f>
        <v/>
      </c>
      <c r="CZ36" s="94" t="str">
        <f>IF(INGG!Y33="","",INGG!Y33)</f>
        <v/>
      </c>
      <c r="DA36" s="94" t="str">
        <f>IF(INGG!Z33="","",INGG!Z33)</f>
        <v/>
      </c>
      <c r="DB36" s="94" t="str">
        <f>IF(INGG!AA33="","",INGG!AA33)</f>
        <v/>
      </c>
      <c r="DC36" s="94" t="str">
        <f>IF(INGG!AB33="","",INGG!AB33)</f>
        <v/>
      </c>
      <c r="DD36" s="94" t="str">
        <f>IF(INGG!AC33="","",INGG!AC33)</f>
        <v/>
      </c>
      <c r="DE36" s="94" t="str">
        <f>IF(INGG!AD33="","",INGG!AD33)</f>
        <v/>
      </c>
      <c r="DF36" s="94" t="str">
        <f>IF(INGG!AE33="","",INGG!AE33)</f>
        <v/>
      </c>
      <c r="DG36" s="94" t="str">
        <f>IF(INGG!AF33="","",INGG!AF33)</f>
        <v/>
      </c>
      <c r="DH36" s="94" t="str">
        <f>IF(INGG!AG33="","",INGG!AG33)</f>
        <v/>
      </c>
      <c r="DI36" s="94" t="str">
        <f>IF(SENBUD!X33="","",SENBUD!X33)</f>
        <v/>
      </c>
      <c r="DJ36" s="94" t="str">
        <f>IF(SENBUD!Y33="","",SENBUD!Y33)</f>
        <v/>
      </c>
      <c r="DK36" s="94" t="str">
        <f>IF(SENBUD!Z33="","",SENBUD!Z33)</f>
        <v/>
      </c>
      <c r="DL36" s="94" t="str">
        <f>IF(SENBUD!AA33="","",SENBUD!AA33)</f>
        <v/>
      </c>
      <c r="DM36" s="94" t="str">
        <f>IF(SENBUD!AB33="","",SENBUD!AB33)</f>
        <v/>
      </c>
      <c r="DN36" s="94" t="str">
        <f>IF(SENBUD!AC33="","",SENBUD!AC33)</f>
        <v/>
      </c>
      <c r="DO36" s="94" t="str">
        <f>IF(SENBUD!AD33="","",SENBUD!AD33)</f>
        <v/>
      </c>
      <c r="DP36" s="94" t="str">
        <f>IF(SENBUD!AE33="","",SENBUD!AE33)</f>
        <v/>
      </c>
      <c r="DQ36" s="94" t="str">
        <f>IF(SENBUD!AF33="","",SENBUD!AF33)</f>
        <v/>
      </c>
      <c r="DR36" s="94" t="str">
        <f>IF(SENBUD!AG33="","",SENBUD!AG33)</f>
        <v/>
      </c>
      <c r="DS36" s="93" t="str">
        <f>IF(PENJAS!X33="","",PENJAS!X33)</f>
        <v/>
      </c>
      <c r="DT36" s="93" t="str">
        <f>IF(PENJAS!Y33="","",PENJAS!Y33)</f>
        <v/>
      </c>
      <c r="DU36" s="93" t="str">
        <f>IF(PENJAS!Z33="","",PENJAS!Z33)</f>
        <v/>
      </c>
      <c r="DV36" s="93" t="str">
        <f>IF(PENJAS!AA33="","",PENJAS!AA33)</f>
        <v/>
      </c>
      <c r="DW36" s="93" t="str">
        <f>IF(PENJAS!AB33="","",PENJAS!AB33)</f>
        <v/>
      </c>
      <c r="DX36" s="93" t="str">
        <f>IF(PENJAS!AC33="","",PENJAS!AC33)</f>
        <v/>
      </c>
      <c r="DY36" s="93" t="str">
        <f>IF(PENJAS!AD33="","",PENJAS!AD33)</f>
        <v/>
      </c>
      <c r="DZ36" s="93" t="str">
        <f>IF(PENJAS!AE33="","",PENJAS!AE33)</f>
        <v/>
      </c>
      <c r="EA36" s="93" t="str">
        <f>IF(PENJAS!AF33="","",PENJAS!AF33)</f>
        <v/>
      </c>
      <c r="EB36" s="93" t="str">
        <f>IF(PENJAS!AG33="","",PENJAS!AG33)</f>
        <v/>
      </c>
      <c r="EC36" s="93" t="str">
        <f>IF(PRAKARYA!X33="","",PRAKARYA!X33)</f>
        <v/>
      </c>
      <c r="ED36" s="93" t="str">
        <f>IF(PRAKARYA!Y33="","",PRAKARYA!Y33)</f>
        <v/>
      </c>
      <c r="EE36" s="93" t="str">
        <f>IF(PRAKARYA!Z33="","",PRAKARYA!Z33)</f>
        <v/>
      </c>
      <c r="EF36" s="93" t="str">
        <f>IF(PRAKARYA!AA33="","",PRAKARYA!AA33)</f>
        <v/>
      </c>
      <c r="EG36" s="93" t="str">
        <f>IF(PRAKARYA!AB33="","",PRAKARYA!AB33)</f>
        <v/>
      </c>
      <c r="EH36" s="93" t="str">
        <f>IF(PRAKARYA!AC33="","",PRAKARYA!AC33)</f>
        <v/>
      </c>
      <c r="EI36" s="93" t="str">
        <f>IF(PRAKARYA!AD33="","",PRAKARYA!AD33)</f>
        <v/>
      </c>
      <c r="EJ36" s="93" t="str">
        <f>IF(PRAKARYA!AE33="","",PRAKARYA!AE33)</f>
        <v/>
      </c>
      <c r="EK36" s="93" t="str">
        <f>IF(PRAKARYA!AF33="","",PRAKARYA!AF33)</f>
        <v/>
      </c>
      <c r="EL36" s="93" t="str">
        <f>IF(PRAKARYA!AG33="","",PRAKARYA!AG33)</f>
        <v/>
      </c>
      <c r="EM36" s="95" t="str">
        <f>IF(BADER!X33="","",BADER!X33)</f>
        <v/>
      </c>
      <c r="EN36" s="95" t="str">
        <f>IF(BADER!Y33="","",BADER!Y33)</f>
        <v/>
      </c>
      <c r="EO36" s="95" t="str">
        <f>IF(BADER!Z33="","",BADER!Z33)</f>
        <v/>
      </c>
      <c r="EP36" s="95" t="str">
        <f>IF(BADER!AA33="","",BADER!AA33)</f>
        <v/>
      </c>
      <c r="EQ36" s="95" t="str">
        <f>IF(BADER!AB33="","",BADER!AB33)</f>
        <v/>
      </c>
      <c r="ER36" s="95" t="str">
        <f>IF(BADER!AC33="","",BADER!AC33)</f>
        <v/>
      </c>
      <c r="ES36" s="95" t="str">
        <f>IF(BADER!AD33="","",BADER!AD33)</f>
        <v/>
      </c>
      <c r="ET36" s="95" t="str">
        <f>IF(BADER!AE33="","",BADER!AE33)</f>
        <v/>
      </c>
      <c r="EU36" s="95" t="str">
        <f>IF(BADER!AF33="","",BADER!AF33)</f>
        <v/>
      </c>
      <c r="EV36" s="95" t="str">
        <f>IF(BADER!AG33="","",BADER!AG33)</f>
        <v/>
      </c>
      <c r="EW36" s="96" t="str">
        <f t="shared" si="1"/>
        <v/>
      </c>
      <c r="EX36" s="96" t="str">
        <f t="shared" si="2"/>
        <v/>
      </c>
      <c r="EY36" s="96" t="str">
        <f t="shared" si="14"/>
        <v/>
      </c>
      <c r="EZ36" s="96" t="str">
        <f t="shared" si="14"/>
        <v/>
      </c>
      <c r="FA36" s="96" t="str">
        <f t="shared" si="14"/>
        <v/>
      </c>
      <c r="FB36" s="96" t="str">
        <f t="shared" si="14"/>
        <v/>
      </c>
      <c r="FC36" s="96" t="str">
        <f t="shared" si="14"/>
        <v/>
      </c>
      <c r="FD36" s="96" t="str">
        <f t="shared" si="14"/>
        <v/>
      </c>
      <c r="FE36" s="96" t="str">
        <f t="shared" si="14"/>
        <v/>
      </c>
      <c r="FF36" s="96" t="str">
        <f t="shared" si="3"/>
        <v/>
      </c>
      <c r="FG36" s="96" t="str">
        <f t="shared" si="4"/>
        <v/>
      </c>
      <c r="FH36" s="92" t="str">
        <f t="shared" si="5"/>
        <v/>
      </c>
      <c r="FI36" s="92" t="str">
        <f t="shared" si="6"/>
        <v xml:space="preserve"> </v>
      </c>
      <c r="FJ36" s="92" t="str">
        <f t="shared" si="7"/>
        <v xml:space="preserve"> </v>
      </c>
      <c r="FK36" s="92" t="str">
        <f t="shared" si="8"/>
        <v xml:space="preserve"> </v>
      </c>
      <c r="FL36" s="92" t="str">
        <f t="shared" si="9"/>
        <v xml:space="preserve"> </v>
      </c>
      <c r="FM36" s="92" t="str">
        <f t="shared" si="10"/>
        <v xml:space="preserve"> </v>
      </c>
      <c r="FN36" s="92" t="str">
        <f t="shared" si="11"/>
        <v xml:space="preserve"> </v>
      </c>
      <c r="FO36" s="92" t="str">
        <f t="shared" si="12"/>
        <v xml:space="preserve"> </v>
      </c>
      <c r="FP36" s="92" t="str">
        <f t="shared" si="13"/>
        <v xml:space="preserve">,  ,  ,  ,  ,  ,  ,  </v>
      </c>
    </row>
    <row r="37" spans="1:172">
      <c r="A37" s="66">
        <v>27</v>
      </c>
      <c r="B37" s="92" t="str">
        <f>IF(DATA!D34="","",DATA!D34)</f>
        <v>REFITA ANNASTASYA</v>
      </c>
      <c r="C37" s="93" t="str">
        <f>IF(QH!X34="","",QH!X34)</f>
        <v/>
      </c>
      <c r="D37" s="93" t="str">
        <f>IF(QH!Y34="","",QH!Y34)</f>
        <v/>
      </c>
      <c r="E37" s="93" t="str">
        <f>IF(QH!Z34="","",QH!Z34)</f>
        <v/>
      </c>
      <c r="F37" s="93" t="str">
        <f>IF(QH!AA34="","",QH!AA34)</f>
        <v/>
      </c>
      <c r="G37" s="93" t="str">
        <f>IF(QH!AB34="","",QH!AB34)</f>
        <v/>
      </c>
      <c r="H37" s="93" t="str">
        <f>IF(QH!AC34="","",QH!AC34)</f>
        <v/>
      </c>
      <c r="I37" s="93" t="str">
        <f>IF(QH!AD34="","",QH!AD34)</f>
        <v/>
      </c>
      <c r="J37" s="93" t="str">
        <f>IF(QH!AE34="","",QH!AE34)</f>
        <v/>
      </c>
      <c r="K37" s="93" t="str">
        <f>IF(QH!AF34="","",QH!AF34)</f>
        <v/>
      </c>
      <c r="L37" s="93" t="str">
        <f>IF(QH!AG34="","",QH!AG34)</f>
        <v/>
      </c>
      <c r="M37" s="94" t="str">
        <f>IF(AA!X34="","",AA!X34)</f>
        <v/>
      </c>
      <c r="N37" s="94" t="str">
        <f>IF(AA!Y34="","",AA!Y34)</f>
        <v/>
      </c>
      <c r="O37" s="94" t="str">
        <f>IF(AA!Z34="","",AA!Z34)</f>
        <v/>
      </c>
      <c r="P37" s="94" t="str">
        <f>IF(AA!AA34="","",AA!AA34)</f>
        <v/>
      </c>
      <c r="Q37" s="94" t="str">
        <f>IF(AA!AB34="","",AA!AB34)</f>
        <v/>
      </c>
      <c r="R37" s="94" t="str">
        <f>IF(AA!AC34="","",AA!AC34)</f>
        <v/>
      </c>
      <c r="S37" s="94" t="str">
        <f>IF(AA!AD34="","",AA!AD34)</f>
        <v/>
      </c>
      <c r="T37" s="94" t="str">
        <f>IF(AA!AE34="","",AA!AE34)</f>
        <v/>
      </c>
      <c r="U37" s="94" t="str">
        <f>IF(AA!AF34="","",AA!AF34)</f>
        <v/>
      </c>
      <c r="V37" s="94" t="str">
        <f>IF(AA!AG34="","",AA!AG34)</f>
        <v/>
      </c>
      <c r="W37" s="94" t="str">
        <f>IF(FIKIH!X34="","",FIKIH!X34)</f>
        <v/>
      </c>
      <c r="X37" s="94" t="str">
        <f>IF(FIKIH!Y34="","",FIKIH!Y34)</f>
        <v/>
      </c>
      <c r="Y37" s="94" t="str">
        <f>IF(FIKIH!Z34="","",FIKIH!Z34)</f>
        <v/>
      </c>
      <c r="Z37" s="94" t="str">
        <f>IF(FIKIH!AA34="","",FIKIH!AA34)</f>
        <v/>
      </c>
      <c r="AA37" s="94" t="str">
        <f>IF(FIKIH!AB34="","",FIKIH!AB34)</f>
        <v/>
      </c>
      <c r="AB37" s="94" t="str">
        <f>IF(FIKIH!AC34="","",FIKIH!AC34)</f>
        <v/>
      </c>
      <c r="AC37" s="94" t="str">
        <f>IF(FIKIH!AD34="","",FIKIH!AD34)</f>
        <v/>
      </c>
      <c r="AD37" s="94" t="str">
        <f>IF(FIKIH!AE34="","",FIKIH!AE34)</f>
        <v/>
      </c>
      <c r="AE37" s="94" t="str">
        <f>IF(FIKIH!AF34="","",FIKIH!AF34)</f>
        <v/>
      </c>
      <c r="AF37" s="94" t="str">
        <f>IF(FIKIH!AG34="","",FIKIH!AG34)</f>
        <v/>
      </c>
      <c r="AG37" s="94">
        <f>IF(SKI!X34="","",SKI!X34)</f>
        <v>3</v>
      </c>
      <c r="AH37" s="94" t="str">
        <f>IF(SKI!Y34="","",SKI!Y34)</f>
        <v>Melaksanakan sholat dhuhur berjemaah, berdo'a di awal dan di akhir kegiatan pembelajaran , serta melaksanakan kegiatan amaliyah siswa</v>
      </c>
      <c r="AI37" s="94">
        <f>IF(SKI!Z34="","",SKI!Z34)</f>
        <v>3</v>
      </c>
      <c r="AJ37" s="94">
        <f>IF(SKI!AA34="","",SKI!AA34)</f>
        <v>3</v>
      </c>
      <c r="AK37" s="94">
        <f>IF(SKI!AB34="","",SKI!AB34)</f>
        <v>3</v>
      </c>
      <c r="AL37" s="94">
        <f>IF(SKI!AC34="","",SKI!AC34)</f>
        <v>3</v>
      </c>
      <c r="AM37" s="94">
        <f>IF(SKI!AD34="","",SKI!AD34)</f>
        <v>3</v>
      </c>
      <c r="AN37" s="94">
        <f>IF(SKI!AE34="","",SKI!AE34)</f>
        <v>3</v>
      </c>
      <c r="AO37" s="94">
        <f>IF(SKI!AF34="","",SKI!AF34)</f>
        <v>3</v>
      </c>
      <c r="AP37" s="94" t="str">
        <f>IF(SKI!AG34="","",SKI!AG34)</f>
        <v>Santun dalam bersikap, disiplin dalam mentaati tata tertib madrasah, peduli pada lingkungan, orang tua, bertanggung jawab dalam melaksanakan tugas, baik sebagai individu maupun makhluk sosial</v>
      </c>
      <c r="AQ37" s="94" t="str">
        <f>IF(PKN!X34="","",PKN!X34)</f>
        <v/>
      </c>
      <c r="AR37" s="94" t="str">
        <f>IF(PKN!Y34="","",PKN!Y34)</f>
        <v/>
      </c>
      <c r="AS37" s="94" t="str">
        <f>IF(PKN!Z34="","",PKN!Z34)</f>
        <v/>
      </c>
      <c r="AT37" s="94" t="str">
        <f>IF(PKN!AA34="","",PKN!AA34)</f>
        <v/>
      </c>
      <c r="AU37" s="94" t="str">
        <f>IF(PKN!AB34="","",PKN!AB34)</f>
        <v/>
      </c>
      <c r="AV37" s="94" t="str">
        <f>IF(PKN!AC34="","",PKN!AC34)</f>
        <v/>
      </c>
      <c r="AW37" s="94" t="str">
        <f>IF(PKN!AD34="","",PKN!AD34)</f>
        <v/>
      </c>
      <c r="AX37" s="94" t="str">
        <f>IF(PKN!AE34="","",PKN!AE34)</f>
        <v/>
      </c>
      <c r="AY37" s="94" t="str">
        <f>IF(PKN!AF34="","",PKN!AF34)</f>
        <v/>
      </c>
      <c r="AZ37" s="94" t="str">
        <f>IF(PKN!AG34="","",PKN!AG34)</f>
        <v/>
      </c>
      <c r="BA37" s="93" t="str">
        <f>IF(INDO!X34="","",INDO!X34)</f>
        <v/>
      </c>
      <c r="BB37" s="93" t="str">
        <f>IF(INDO!Y34="","",INDO!Y34)</f>
        <v/>
      </c>
      <c r="BC37" s="93" t="str">
        <f>IF(INDO!Z34="","",INDO!Z34)</f>
        <v/>
      </c>
      <c r="BD37" s="93" t="str">
        <f>IF(INDO!AA34="","",INDO!AA34)</f>
        <v/>
      </c>
      <c r="BE37" s="93" t="str">
        <f>IF(INDO!AB34="","",INDO!AB34)</f>
        <v/>
      </c>
      <c r="BF37" s="93" t="str">
        <f>IF(INDO!AC34="","",INDO!AC34)</f>
        <v/>
      </c>
      <c r="BG37" s="93" t="str">
        <f>IF(INDO!AD34="","",INDO!AD34)</f>
        <v/>
      </c>
      <c r="BH37" s="93" t="str">
        <f>IF(INDO!AE34="","",INDO!AE34)</f>
        <v/>
      </c>
      <c r="BI37" s="93" t="str">
        <f>IF(INDO!AF34="","",INDO!AF34)</f>
        <v/>
      </c>
      <c r="BJ37" s="93" t="str">
        <f>IF(INDO!AG34="","",INDO!AG34)</f>
        <v/>
      </c>
      <c r="BK37" s="93" t="str">
        <f>IF(ARAB!X34="","",ARAB!X34)</f>
        <v/>
      </c>
      <c r="BL37" s="93" t="str">
        <f>IF(ARAB!Y34="","",ARAB!Y34)</f>
        <v/>
      </c>
      <c r="BM37" s="93" t="str">
        <f>IF(ARAB!Z34="","",ARAB!Z34)</f>
        <v/>
      </c>
      <c r="BN37" s="93" t="str">
        <f>IF(ARAB!AA34="","",ARAB!AA34)</f>
        <v/>
      </c>
      <c r="BO37" s="93" t="str">
        <f>IF(ARAB!AB34="","",ARAB!AB34)</f>
        <v/>
      </c>
      <c r="BP37" s="93" t="str">
        <f>IF(ARAB!AC34="","",ARAB!AC34)</f>
        <v/>
      </c>
      <c r="BQ37" s="93" t="str">
        <f>IF(ARAB!AD34="","",ARAB!AD34)</f>
        <v/>
      </c>
      <c r="BR37" s="93" t="str">
        <f>IF(ARAB!AE34="","",ARAB!AE34)</f>
        <v/>
      </c>
      <c r="BS37" s="93" t="str">
        <f>IF(ARAB!AF34="","",ARAB!AF34)</f>
        <v/>
      </c>
      <c r="BT37" s="93" t="str">
        <f>IF(ARAB!AG34="","",ARAB!AG34)</f>
        <v/>
      </c>
      <c r="BU37" s="94" t="str">
        <f>IF(MAT!X34="","",MAT!X34)</f>
        <v/>
      </c>
      <c r="BV37" s="94" t="str">
        <f>IF(MAT!Y34="","",MAT!Y34)</f>
        <v/>
      </c>
      <c r="BW37" s="94" t="str">
        <f>IF(MAT!Z34="","",MAT!Z34)</f>
        <v/>
      </c>
      <c r="BX37" s="94" t="str">
        <f>IF(MAT!AA34="","",MAT!AA34)</f>
        <v/>
      </c>
      <c r="BY37" s="94" t="str">
        <f>IF(MAT!AB34="","",MAT!AB34)</f>
        <v/>
      </c>
      <c r="BZ37" s="94" t="str">
        <f>IF(MAT!AC34="","",MAT!AC34)</f>
        <v/>
      </c>
      <c r="CA37" s="94" t="str">
        <f>IF(MAT!AD34="","",MAT!AD34)</f>
        <v/>
      </c>
      <c r="CB37" s="94" t="str">
        <f>IF(MAT!AE34="","",MAT!AE34)</f>
        <v/>
      </c>
      <c r="CC37" s="94" t="str">
        <f>IF(MAT!AF34="","",MAT!AF34)</f>
        <v/>
      </c>
      <c r="CD37" s="94" t="str">
        <f>IF(MAT!AG34="","",MAT!AG34)</f>
        <v/>
      </c>
      <c r="CE37" s="94" t="str">
        <f>IF(IPA!X34="","",IPA!X34)</f>
        <v/>
      </c>
      <c r="CF37" s="94" t="str">
        <f>IF(IPA!Y34="","",IPA!Y34)</f>
        <v/>
      </c>
      <c r="CG37" s="94" t="str">
        <f>IF(IPA!Z34="","",IPA!Z34)</f>
        <v/>
      </c>
      <c r="CH37" s="94" t="str">
        <f>IF(IPA!AA34="","",IPA!AA34)</f>
        <v/>
      </c>
      <c r="CI37" s="94" t="str">
        <f>IF(IPA!AB34="","",IPA!AB34)</f>
        <v/>
      </c>
      <c r="CJ37" s="94" t="str">
        <f>IF(IPA!AC34="","",IPA!AC34)</f>
        <v/>
      </c>
      <c r="CK37" s="94" t="str">
        <f>IF(IPA!AD34="","",IPA!AD34)</f>
        <v/>
      </c>
      <c r="CL37" s="94" t="str">
        <f>IF(IPA!AE34="","",IPA!AE34)</f>
        <v/>
      </c>
      <c r="CM37" s="94" t="str">
        <f>IF(IPA!AF34="","",IPA!AF34)</f>
        <v/>
      </c>
      <c r="CN37" s="94" t="str">
        <f>IF(IPA!AG34="","",IPA!AG34)</f>
        <v/>
      </c>
      <c r="CO37" s="93" t="str">
        <f>IF(IPS!X34="","",IPS!X34)</f>
        <v/>
      </c>
      <c r="CP37" s="93" t="str">
        <f>IF(IPS!Y34="","",IPS!Y34)</f>
        <v/>
      </c>
      <c r="CQ37" s="93" t="str">
        <f>IF(IPS!Z34="","",IPS!Z34)</f>
        <v/>
      </c>
      <c r="CR37" s="93" t="str">
        <f>IF(IPS!AA34="","",IPS!AA34)</f>
        <v/>
      </c>
      <c r="CS37" s="93" t="str">
        <f>IF(IPS!AB34="","",IPS!AB34)</f>
        <v/>
      </c>
      <c r="CT37" s="93" t="str">
        <f>IF(IPS!AC34="","",IPS!AC34)</f>
        <v/>
      </c>
      <c r="CU37" s="93" t="str">
        <f>IF(IPS!AD34="","",IPS!AD34)</f>
        <v/>
      </c>
      <c r="CV37" s="93" t="str">
        <f>IF(IPS!AE34="","",IPS!AE34)</f>
        <v/>
      </c>
      <c r="CW37" s="93" t="str">
        <f>IF(IPS!AF34="","",IPS!AF34)</f>
        <v/>
      </c>
      <c r="CX37" s="93" t="str">
        <f>IF(IPS!AG34="","",IPS!AG34)</f>
        <v/>
      </c>
      <c r="CY37" s="94" t="str">
        <f>IF(INGG!X34="","",INGG!X34)</f>
        <v/>
      </c>
      <c r="CZ37" s="94" t="str">
        <f>IF(INGG!Y34="","",INGG!Y34)</f>
        <v/>
      </c>
      <c r="DA37" s="94" t="str">
        <f>IF(INGG!Z34="","",INGG!Z34)</f>
        <v/>
      </c>
      <c r="DB37" s="94" t="str">
        <f>IF(INGG!AA34="","",INGG!AA34)</f>
        <v/>
      </c>
      <c r="DC37" s="94" t="str">
        <f>IF(INGG!AB34="","",INGG!AB34)</f>
        <v/>
      </c>
      <c r="DD37" s="94" t="str">
        <f>IF(INGG!AC34="","",INGG!AC34)</f>
        <v/>
      </c>
      <c r="DE37" s="94" t="str">
        <f>IF(INGG!AD34="","",INGG!AD34)</f>
        <v/>
      </c>
      <c r="DF37" s="94" t="str">
        <f>IF(INGG!AE34="","",INGG!AE34)</f>
        <v/>
      </c>
      <c r="DG37" s="94" t="str">
        <f>IF(INGG!AF34="","",INGG!AF34)</f>
        <v/>
      </c>
      <c r="DH37" s="94" t="str">
        <f>IF(INGG!AG34="","",INGG!AG34)</f>
        <v/>
      </c>
      <c r="DI37" s="94" t="str">
        <f>IF(SENBUD!X34="","",SENBUD!X34)</f>
        <v/>
      </c>
      <c r="DJ37" s="94" t="str">
        <f>IF(SENBUD!Y34="","",SENBUD!Y34)</f>
        <v/>
      </c>
      <c r="DK37" s="94" t="str">
        <f>IF(SENBUD!Z34="","",SENBUD!Z34)</f>
        <v/>
      </c>
      <c r="DL37" s="94" t="str">
        <f>IF(SENBUD!AA34="","",SENBUD!AA34)</f>
        <v/>
      </c>
      <c r="DM37" s="94" t="str">
        <f>IF(SENBUD!AB34="","",SENBUD!AB34)</f>
        <v/>
      </c>
      <c r="DN37" s="94" t="str">
        <f>IF(SENBUD!AC34="","",SENBUD!AC34)</f>
        <v/>
      </c>
      <c r="DO37" s="94" t="str">
        <f>IF(SENBUD!AD34="","",SENBUD!AD34)</f>
        <v/>
      </c>
      <c r="DP37" s="94" t="str">
        <f>IF(SENBUD!AE34="","",SENBUD!AE34)</f>
        <v/>
      </c>
      <c r="DQ37" s="94" t="str">
        <f>IF(SENBUD!AF34="","",SENBUD!AF34)</f>
        <v/>
      </c>
      <c r="DR37" s="94" t="str">
        <f>IF(SENBUD!AG34="","",SENBUD!AG34)</f>
        <v/>
      </c>
      <c r="DS37" s="93" t="str">
        <f>IF(PENJAS!X34="","",PENJAS!X34)</f>
        <v/>
      </c>
      <c r="DT37" s="93" t="str">
        <f>IF(PENJAS!Y34="","",PENJAS!Y34)</f>
        <v/>
      </c>
      <c r="DU37" s="93" t="str">
        <f>IF(PENJAS!Z34="","",PENJAS!Z34)</f>
        <v/>
      </c>
      <c r="DV37" s="93" t="str">
        <f>IF(PENJAS!AA34="","",PENJAS!AA34)</f>
        <v/>
      </c>
      <c r="DW37" s="93" t="str">
        <f>IF(PENJAS!AB34="","",PENJAS!AB34)</f>
        <v/>
      </c>
      <c r="DX37" s="93" t="str">
        <f>IF(PENJAS!AC34="","",PENJAS!AC34)</f>
        <v/>
      </c>
      <c r="DY37" s="93" t="str">
        <f>IF(PENJAS!AD34="","",PENJAS!AD34)</f>
        <v/>
      </c>
      <c r="DZ37" s="93" t="str">
        <f>IF(PENJAS!AE34="","",PENJAS!AE34)</f>
        <v/>
      </c>
      <c r="EA37" s="93" t="str">
        <f>IF(PENJAS!AF34="","",PENJAS!AF34)</f>
        <v/>
      </c>
      <c r="EB37" s="93" t="str">
        <f>IF(PENJAS!AG34="","",PENJAS!AG34)</f>
        <v/>
      </c>
      <c r="EC37" s="93" t="str">
        <f>IF(PRAKARYA!X34="","",PRAKARYA!X34)</f>
        <v/>
      </c>
      <c r="ED37" s="93" t="str">
        <f>IF(PRAKARYA!Y34="","",PRAKARYA!Y34)</f>
        <v/>
      </c>
      <c r="EE37" s="93" t="str">
        <f>IF(PRAKARYA!Z34="","",PRAKARYA!Z34)</f>
        <v/>
      </c>
      <c r="EF37" s="93" t="str">
        <f>IF(PRAKARYA!AA34="","",PRAKARYA!AA34)</f>
        <v/>
      </c>
      <c r="EG37" s="93" t="str">
        <f>IF(PRAKARYA!AB34="","",PRAKARYA!AB34)</f>
        <v/>
      </c>
      <c r="EH37" s="93" t="str">
        <f>IF(PRAKARYA!AC34="","",PRAKARYA!AC34)</f>
        <v/>
      </c>
      <c r="EI37" s="93" t="str">
        <f>IF(PRAKARYA!AD34="","",PRAKARYA!AD34)</f>
        <v/>
      </c>
      <c r="EJ37" s="93" t="str">
        <f>IF(PRAKARYA!AE34="","",PRAKARYA!AE34)</f>
        <v/>
      </c>
      <c r="EK37" s="93" t="str">
        <f>IF(PRAKARYA!AF34="","",PRAKARYA!AF34)</f>
        <v/>
      </c>
      <c r="EL37" s="93" t="str">
        <f>IF(PRAKARYA!AG34="","",PRAKARYA!AG34)</f>
        <v/>
      </c>
      <c r="EM37" s="95" t="str">
        <f>IF(BADER!X34="","",BADER!X34)</f>
        <v/>
      </c>
      <c r="EN37" s="95" t="str">
        <f>IF(BADER!Y34="","",BADER!Y34)</f>
        <v/>
      </c>
      <c r="EO37" s="95" t="str">
        <f>IF(BADER!Z34="","",BADER!Z34)</f>
        <v/>
      </c>
      <c r="EP37" s="95" t="str">
        <f>IF(BADER!AA34="","",BADER!AA34)</f>
        <v/>
      </c>
      <c r="EQ37" s="95" t="str">
        <f>IF(BADER!AB34="","",BADER!AB34)</f>
        <v/>
      </c>
      <c r="ER37" s="95" t="str">
        <f>IF(BADER!AC34="","",BADER!AC34)</f>
        <v/>
      </c>
      <c r="ES37" s="95" t="str">
        <f>IF(BADER!AD34="","",BADER!AD34)</f>
        <v/>
      </c>
      <c r="ET37" s="95" t="str">
        <f>IF(BADER!AE34="","",BADER!AE34)</f>
        <v/>
      </c>
      <c r="EU37" s="95" t="str">
        <f>IF(BADER!AF34="","",BADER!AF34)</f>
        <v/>
      </c>
      <c r="EV37" s="95" t="str">
        <f>IF(BADER!AG34="","",BADER!AG34)</f>
        <v/>
      </c>
      <c r="EW37" s="96" t="str">
        <f t="shared" si="1"/>
        <v/>
      </c>
      <c r="EX37" s="96" t="str">
        <f t="shared" si="2"/>
        <v/>
      </c>
      <c r="EY37" s="96" t="str">
        <f t="shared" si="14"/>
        <v/>
      </c>
      <c r="EZ37" s="96" t="str">
        <f t="shared" si="14"/>
        <v/>
      </c>
      <c r="FA37" s="96" t="str">
        <f t="shared" si="14"/>
        <v/>
      </c>
      <c r="FB37" s="96" t="str">
        <f t="shared" si="14"/>
        <v/>
      </c>
      <c r="FC37" s="96" t="str">
        <f t="shared" si="14"/>
        <v/>
      </c>
      <c r="FD37" s="96" t="str">
        <f t="shared" si="14"/>
        <v/>
      </c>
      <c r="FE37" s="96" t="str">
        <f t="shared" si="14"/>
        <v/>
      </c>
      <c r="FF37" s="96" t="str">
        <f t="shared" si="3"/>
        <v/>
      </c>
      <c r="FG37" s="96" t="str">
        <f t="shared" si="4"/>
        <v/>
      </c>
      <c r="FH37" s="92" t="str">
        <f t="shared" si="5"/>
        <v/>
      </c>
      <c r="FI37" s="92" t="str">
        <f t="shared" si="6"/>
        <v xml:space="preserve"> </v>
      </c>
      <c r="FJ37" s="92" t="str">
        <f t="shared" si="7"/>
        <v xml:space="preserve"> </v>
      </c>
      <c r="FK37" s="92" t="str">
        <f t="shared" si="8"/>
        <v xml:space="preserve"> </v>
      </c>
      <c r="FL37" s="92" t="str">
        <f t="shared" si="9"/>
        <v xml:space="preserve"> </v>
      </c>
      <c r="FM37" s="92" t="str">
        <f t="shared" si="10"/>
        <v xml:space="preserve"> </v>
      </c>
      <c r="FN37" s="92" t="str">
        <f t="shared" si="11"/>
        <v xml:space="preserve"> </v>
      </c>
      <c r="FO37" s="92" t="str">
        <f t="shared" si="12"/>
        <v xml:space="preserve"> </v>
      </c>
      <c r="FP37" s="92" t="str">
        <f t="shared" si="13"/>
        <v xml:space="preserve">,  ,  ,  ,  ,  ,  ,  </v>
      </c>
    </row>
    <row r="38" spans="1:172">
      <c r="A38" s="66">
        <v>28</v>
      </c>
      <c r="B38" s="92" t="str">
        <f>IF(DATA!D35="","",DATA!D35)</f>
        <v>RISKIYAH</v>
      </c>
      <c r="C38" s="93" t="str">
        <f>IF(QH!X35="","",QH!X35)</f>
        <v/>
      </c>
      <c r="D38" s="93" t="str">
        <f>IF(QH!Y35="","",QH!Y35)</f>
        <v/>
      </c>
      <c r="E38" s="93" t="str">
        <f>IF(QH!Z35="","",QH!Z35)</f>
        <v/>
      </c>
      <c r="F38" s="93" t="str">
        <f>IF(QH!AA35="","",QH!AA35)</f>
        <v/>
      </c>
      <c r="G38" s="93" t="str">
        <f>IF(QH!AB35="","",QH!AB35)</f>
        <v/>
      </c>
      <c r="H38" s="93" t="str">
        <f>IF(QH!AC35="","",QH!AC35)</f>
        <v/>
      </c>
      <c r="I38" s="93" t="str">
        <f>IF(QH!AD35="","",QH!AD35)</f>
        <v/>
      </c>
      <c r="J38" s="93" t="str">
        <f>IF(QH!AE35="","",QH!AE35)</f>
        <v/>
      </c>
      <c r="K38" s="93" t="str">
        <f>IF(QH!AF35="","",QH!AF35)</f>
        <v/>
      </c>
      <c r="L38" s="93" t="str">
        <f>IF(QH!AG35="","",QH!AG35)</f>
        <v/>
      </c>
      <c r="M38" s="94" t="str">
        <f>IF(AA!X35="","",AA!X35)</f>
        <v/>
      </c>
      <c r="N38" s="94" t="str">
        <f>IF(AA!Y35="","",AA!Y35)</f>
        <v/>
      </c>
      <c r="O38" s="94" t="str">
        <f>IF(AA!Z35="","",AA!Z35)</f>
        <v/>
      </c>
      <c r="P38" s="94" t="str">
        <f>IF(AA!AA35="","",AA!AA35)</f>
        <v/>
      </c>
      <c r="Q38" s="94" t="str">
        <f>IF(AA!AB35="","",AA!AB35)</f>
        <v/>
      </c>
      <c r="R38" s="94" t="str">
        <f>IF(AA!AC35="","",AA!AC35)</f>
        <v/>
      </c>
      <c r="S38" s="94" t="str">
        <f>IF(AA!AD35="","",AA!AD35)</f>
        <v/>
      </c>
      <c r="T38" s="94" t="str">
        <f>IF(AA!AE35="","",AA!AE35)</f>
        <v/>
      </c>
      <c r="U38" s="94" t="str">
        <f>IF(AA!AF35="","",AA!AF35)</f>
        <v/>
      </c>
      <c r="V38" s="94" t="str">
        <f>IF(AA!AG35="","",AA!AG35)</f>
        <v/>
      </c>
      <c r="W38" s="94" t="str">
        <f>IF(FIKIH!X35="","",FIKIH!X35)</f>
        <v/>
      </c>
      <c r="X38" s="94" t="str">
        <f>IF(FIKIH!Y35="","",FIKIH!Y35)</f>
        <v/>
      </c>
      <c r="Y38" s="94" t="str">
        <f>IF(FIKIH!Z35="","",FIKIH!Z35)</f>
        <v/>
      </c>
      <c r="Z38" s="94" t="str">
        <f>IF(FIKIH!AA35="","",FIKIH!AA35)</f>
        <v/>
      </c>
      <c r="AA38" s="94" t="str">
        <f>IF(FIKIH!AB35="","",FIKIH!AB35)</f>
        <v/>
      </c>
      <c r="AB38" s="94" t="str">
        <f>IF(FIKIH!AC35="","",FIKIH!AC35)</f>
        <v/>
      </c>
      <c r="AC38" s="94" t="str">
        <f>IF(FIKIH!AD35="","",FIKIH!AD35)</f>
        <v/>
      </c>
      <c r="AD38" s="94" t="str">
        <f>IF(FIKIH!AE35="","",FIKIH!AE35)</f>
        <v/>
      </c>
      <c r="AE38" s="94" t="str">
        <f>IF(FIKIH!AF35="","",FIKIH!AF35)</f>
        <v/>
      </c>
      <c r="AF38" s="94" t="str">
        <f>IF(FIKIH!AG35="","",FIKIH!AG35)</f>
        <v/>
      </c>
      <c r="AG38" s="94">
        <f>IF(SKI!X35="","",SKI!X35)</f>
        <v>3</v>
      </c>
      <c r="AH38" s="94" t="str">
        <f>IF(SKI!Y35="","",SKI!Y35)</f>
        <v>Melaksanakan sholat dhuhur berjemaah, berdo'a di awal dan di akhir kegiatan pembelajaran , serta melaksanakan kegiatan amaliyah siswa</v>
      </c>
      <c r="AI38" s="94">
        <f>IF(SKI!Z35="","",SKI!Z35)</f>
        <v>3</v>
      </c>
      <c r="AJ38" s="94">
        <f>IF(SKI!AA35="","",SKI!AA35)</f>
        <v>3</v>
      </c>
      <c r="AK38" s="94">
        <f>IF(SKI!AB35="","",SKI!AB35)</f>
        <v>3</v>
      </c>
      <c r="AL38" s="94">
        <f>IF(SKI!AC35="","",SKI!AC35)</f>
        <v>3</v>
      </c>
      <c r="AM38" s="94">
        <f>IF(SKI!AD35="","",SKI!AD35)</f>
        <v>3</v>
      </c>
      <c r="AN38" s="94">
        <f>IF(SKI!AE35="","",SKI!AE35)</f>
        <v>3</v>
      </c>
      <c r="AO38" s="94">
        <f>IF(SKI!AF35="","",SKI!AF35)</f>
        <v>3</v>
      </c>
      <c r="AP38" s="94" t="str">
        <f>IF(SKI!AG35="","",SKI!AG35)</f>
        <v>Santun dalam bersikap, disiplin dalam mentaati tata tertib madrasah, peduli pada lingkungan, orang tua, bertanggung jawab dalam melaksanakan tugas, baik sebagai individu maupun makhluk sosial</v>
      </c>
      <c r="AQ38" s="94" t="str">
        <f>IF(PKN!X35="","",PKN!X35)</f>
        <v/>
      </c>
      <c r="AR38" s="94" t="str">
        <f>IF(PKN!Y35="","",PKN!Y35)</f>
        <v/>
      </c>
      <c r="AS38" s="94" t="str">
        <f>IF(PKN!Z35="","",PKN!Z35)</f>
        <v/>
      </c>
      <c r="AT38" s="94" t="str">
        <f>IF(PKN!AA35="","",PKN!AA35)</f>
        <v/>
      </c>
      <c r="AU38" s="94" t="str">
        <f>IF(PKN!AB35="","",PKN!AB35)</f>
        <v/>
      </c>
      <c r="AV38" s="94" t="str">
        <f>IF(PKN!AC35="","",PKN!AC35)</f>
        <v/>
      </c>
      <c r="AW38" s="94" t="str">
        <f>IF(PKN!AD35="","",PKN!AD35)</f>
        <v/>
      </c>
      <c r="AX38" s="94" t="str">
        <f>IF(PKN!AE35="","",PKN!AE35)</f>
        <v/>
      </c>
      <c r="AY38" s="94" t="str">
        <f>IF(PKN!AF35="","",PKN!AF35)</f>
        <v/>
      </c>
      <c r="AZ38" s="94" t="str">
        <f>IF(PKN!AG35="","",PKN!AG35)</f>
        <v/>
      </c>
      <c r="BA38" s="93" t="str">
        <f>IF(INDO!X35="","",INDO!X35)</f>
        <v/>
      </c>
      <c r="BB38" s="93" t="str">
        <f>IF(INDO!Y35="","",INDO!Y35)</f>
        <v/>
      </c>
      <c r="BC38" s="93" t="str">
        <f>IF(INDO!Z35="","",INDO!Z35)</f>
        <v/>
      </c>
      <c r="BD38" s="93" t="str">
        <f>IF(INDO!AA35="","",INDO!AA35)</f>
        <v/>
      </c>
      <c r="BE38" s="93" t="str">
        <f>IF(INDO!AB35="","",INDO!AB35)</f>
        <v/>
      </c>
      <c r="BF38" s="93" t="str">
        <f>IF(INDO!AC35="","",INDO!AC35)</f>
        <v/>
      </c>
      <c r="BG38" s="93" t="str">
        <f>IF(INDO!AD35="","",INDO!AD35)</f>
        <v/>
      </c>
      <c r="BH38" s="93" t="str">
        <f>IF(INDO!AE35="","",INDO!AE35)</f>
        <v/>
      </c>
      <c r="BI38" s="93" t="str">
        <f>IF(INDO!AF35="","",INDO!AF35)</f>
        <v/>
      </c>
      <c r="BJ38" s="93" t="str">
        <f>IF(INDO!AG35="","",INDO!AG35)</f>
        <v/>
      </c>
      <c r="BK38" s="93" t="str">
        <f>IF(ARAB!X35="","",ARAB!X35)</f>
        <v/>
      </c>
      <c r="BL38" s="93" t="str">
        <f>IF(ARAB!Y35="","",ARAB!Y35)</f>
        <v/>
      </c>
      <c r="BM38" s="93" t="str">
        <f>IF(ARAB!Z35="","",ARAB!Z35)</f>
        <v/>
      </c>
      <c r="BN38" s="93" t="str">
        <f>IF(ARAB!AA35="","",ARAB!AA35)</f>
        <v/>
      </c>
      <c r="BO38" s="93" t="str">
        <f>IF(ARAB!AB35="","",ARAB!AB35)</f>
        <v/>
      </c>
      <c r="BP38" s="93" t="str">
        <f>IF(ARAB!AC35="","",ARAB!AC35)</f>
        <v/>
      </c>
      <c r="BQ38" s="93" t="str">
        <f>IF(ARAB!AD35="","",ARAB!AD35)</f>
        <v/>
      </c>
      <c r="BR38" s="93" t="str">
        <f>IF(ARAB!AE35="","",ARAB!AE35)</f>
        <v/>
      </c>
      <c r="BS38" s="93" t="str">
        <f>IF(ARAB!AF35="","",ARAB!AF35)</f>
        <v/>
      </c>
      <c r="BT38" s="93" t="str">
        <f>IF(ARAB!AG35="","",ARAB!AG35)</f>
        <v/>
      </c>
      <c r="BU38" s="94" t="str">
        <f>IF(MAT!X35="","",MAT!X35)</f>
        <v/>
      </c>
      <c r="BV38" s="94" t="str">
        <f>IF(MAT!Y35="","",MAT!Y35)</f>
        <v/>
      </c>
      <c r="BW38" s="94" t="str">
        <f>IF(MAT!Z35="","",MAT!Z35)</f>
        <v/>
      </c>
      <c r="BX38" s="94" t="str">
        <f>IF(MAT!AA35="","",MAT!AA35)</f>
        <v/>
      </c>
      <c r="BY38" s="94" t="str">
        <f>IF(MAT!AB35="","",MAT!AB35)</f>
        <v/>
      </c>
      <c r="BZ38" s="94" t="str">
        <f>IF(MAT!AC35="","",MAT!AC35)</f>
        <v/>
      </c>
      <c r="CA38" s="94" t="str">
        <f>IF(MAT!AD35="","",MAT!AD35)</f>
        <v/>
      </c>
      <c r="CB38" s="94" t="str">
        <f>IF(MAT!AE35="","",MAT!AE35)</f>
        <v/>
      </c>
      <c r="CC38" s="94" t="str">
        <f>IF(MAT!AF35="","",MAT!AF35)</f>
        <v/>
      </c>
      <c r="CD38" s="94" t="str">
        <f>IF(MAT!AG35="","",MAT!AG35)</f>
        <v/>
      </c>
      <c r="CE38" s="94" t="str">
        <f>IF(IPA!X35="","",IPA!X35)</f>
        <v/>
      </c>
      <c r="CF38" s="94" t="str">
        <f>IF(IPA!Y35="","",IPA!Y35)</f>
        <v/>
      </c>
      <c r="CG38" s="94" t="str">
        <f>IF(IPA!Z35="","",IPA!Z35)</f>
        <v/>
      </c>
      <c r="CH38" s="94" t="str">
        <f>IF(IPA!AA35="","",IPA!AA35)</f>
        <v/>
      </c>
      <c r="CI38" s="94" t="str">
        <f>IF(IPA!AB35="","",IPA!AB35)</f>
        <v/>
      </c>
      <c r="CJ38" s="94" t="str">
        <f>IF(IPA!AC35="","",IPA!AC35)</f>
        <v/>
      </c>
      <c r="CK38" s="94" t="str">
        <f>IF(IPA!AD35="","",IPA!AD35)</f>
        <v/>
      </c>
      <c r="CL38" s="94" t="str">
        <f>IF(IPA!AE35="","",IPA!AE35)</f>
        <v/>
      </c>
      <c r="CM38" s="94" t="str">
        <f>IF(IPA!AF35="","",IPA!AF35)</f>
        <v/>
      </c>
      <c r="CN38" s="94" t="str">
        <f>IF(IPA!AG35="","",IPA!AG35)</f>
        <v/>
      </c>
      <c r="CO38" s="93" t="str">
        <f>IF(IPS!X35="","",IPS!X35)</f>
        <v/>
      </c>
      <c r="CP38" s="93" t="str">
        <f>IF(IPS!Y35="","",IPS!Y35)</f>
        <v/>
      </c>
      <c r="CQ38" s="93" t="str">
        <f>IF(IPS!Z35="","",IPS!Z35)</f>
        <v/>
      </c>
      <c r="CR38" s="93" t="str">
        <f>IF(IPS!AA35="","",IPS!AA35)</f>
        <v/>
      </c>
      <c r="CS38" s="93" t="str">
        <f>IF(IPS!AB35="","",IPS!AB35)</f>
        <v/>
      </c>
      <c r="CT38" s="93" t="str">
        <f>IF(IPS!AC35="","",IPS!AC35)</f>
        <v/>
      </c>
      <c r="CU38" s="93" t="str">
        <f>IF(IPS!AD35="","",IPS!AD35)</f>
        <v/>
      </c>
      <c r="CV38" s="93" t="str">
        <f>IF(IPS!AE35="","",IPS!AE35)</f>
        <v/>
      </c>
      <c r="CW38" s="93" t="str">
        <f>IF(IPS!AF35="","",IPS!AF35)</f>
        <v/>
      </c>
      <c r="CX38" s="93" t="str">
        <f>IF(IPS!AG35="","",IPS!AG35)</f>
        <v/>
      </c>
      <c r="CY38" s="94" t="str">
        <f>IF(INGG!X35="","",INGG!X35)</f>
        <v/>
      </c>
      <c r="CZ38" s="94" t="str">
        <f>IF(INGG!Y35="","",INGG!Y35)</f>
        <v/>
      </c>
      <c r="DA38" s="94" t="str">
        <f>IF(INGG!Z35="","",INGG!Z35)</f>
        <v/>
      </c>
      <c r="DB38" s="94" t="str">
        <f>IF(INGG!AA35="","",INGG!AA35)</f>
        <v/>
      </c>
      <c r="DC38" s="94" t="str">
        <f>IF(INGG!AB35="","",INGG!AB35)</f>
        <v/>
      </c>
      <c r="DD38" s="94" t="str">
        <f>IF(INGG!AC35="","",INGG!AC35)</f>
        <v/>
      </c>
      <c r="DE38" s="94" t="str">
        <f>IF(INGG!AD35="","",INGG!AD35)</f>
        <v/>
      </c>
      <c r="DF38" s="94" t="str">
        <f>IF(INGG!AE35="","",INGG!AE35)</f>
        <v/>
      </c>
      <c r="DG38" s="94" t="str">
        <f>IF(INGG!AF35="","",INGG!AF35)</f>
        <v/>
      </c>
      <c r="DH38" s="94" t="str">
        <f>IF(INGG!AG35="","",INGG!AG35)</f>
        <v/>
      </c>
      <c r="DI38" s="94" t="str">
        <f>IF(SENBUD!X35="","",SENBUD!X35)</f>
        <v/>
      </c>
      <c r="DJ38" s="94" t="str">
        <f>IF(SENBUD!Y35="","",SENBUD!Y35)</f>
        <v/>
      </c>
      <c r="DK38" s="94" t="str">
        <f>IF(SENBUD!Z35="","",SENBUD!Z35)</f>
        <v/>
      </c>
      <c r="DL38" s="94" t="str">
        <f>IF(SENBUD!AA35="","",SENBUD!AA35)</f>
        <v/>
      </c>
      <c r="DM38" s="94" t="str">
        <f>IF(SENBUD!AB35="","",SENBUD!AB35)</f>
        <v/>
      </c>
      <c r="DN38" s="94" t="str">
        <f>IF(SENBUD!AC35="","",SENBUD!AC35)</f>
        <v/>
      </c>
      <c r="DO38" s="94" t="str">
        <f>IF(SENBUD!AD35="","",SENBUD!AD35)</f>
        <v/>
      </c>
      <c r="DP38" s="94" t="str">
        <f>IF(SENBUD!AE35="","",SENBUD!AE35)</f>
        <v/>
      </c>
      <c r="DQ38" s="94" t="str">
        <f>IF(SENBUD!AF35="","",SENBUD!AF35)</f>
        <v/>
      </c>
      <c r="DR38" s="94" t="str">
        <f>IF(SENBUD!AG35="","",SENBUD!AG35)</f>
        <v/>
      </c>
      <c r="DS38" s="93" t="str">
        <f>IF(PENJAS!X35="","",PENJAS!X35)</f>
        <v/>
      </c>
      <c r="DT38" s="93" t="str">
        <f>IF(PENJAS!Y35="","",PENJAS!Y35)</f>
        <v/>
      </c>
      <c r="DU38" s="93" t="str">
        <f>IF(PENJAS!Z35="","",PENJAS!Z35)</f>
        <v/>
      </c>
      <c r="DV38" s="93" t="str">
        <f>IF(PENJAS!AA35="","",PENJAS!AA35)</f>
        <v/>
      </c>
      <c r="DW38" s="93" t="str">
        <f>IF(PENJAS!AB35="","",PENJAS!AB35)</f>
        <v/>
      </c>
      <c r="DX38" s="93" t="str">
        <f>IF(PENJAS!AC35="","",PENJAS!AC35)</f>
        <v/>
      </c>
      <c r="DY38" s="93" t="str">
        <f>IF(PENJAS!AD35="","",PENJAS!AD35)</f>
        <v/>
      </c>
      <c r="DZ38" s="93" t="str">
        <f>IF(PENJAS!AE35="","",PENJAS!AE35)</f>
        <v/>
      </c>
      <c r="EA38" s="93" t="str">
        <f>IF(PENJAS!AF35="","",PENJAS!AF35)</f>
        <v/>
      </c>
      <c r="EB38" s="93" t="str">
        <f>IF(PENJAS!AG35="","",PENJAS!AG35)</f>
        <v/>
      </c>
      <c r="EC38" s="93" t="str">
        <f>IF(PRAKARYA!X35="","",PRAKARYA!X35)</f>
        <v/>
      </c>
      <c r="ED38" s="93" t="str">
        <f>IF(PRAKARYA!Y35="","",PRAKARYA!Y35)</f>
        <v/>
      </c>
      <c r="EE38" s="93" t="str">
        <f>IF(PRAKARYA!Z35="","",PRAKARYA!Z35)</f>
        <v/>
      </c>
      <c r="EF38" s="93" t="str">
        <f>IF(PRAKARYA!AA35="","",PRAKARYA!AA35)</f>
        <v/>
      </c>
      <c r="EG38" s="93" t="str">
        <f>IF(PRAKARYA!AB35="","",PRAKARYA!AB35)</f>
        <v/>
      </c>
      <c r="EH38" s="93" t="str">
        <f>IF(PRAKARYA!AC35="","",PRAKARYA!AC35)</f>
        <v/>
      </c>
      <c r="EI38" s="93" t="str">
        <f>IF(PRAKARYA!AD35="","",PRAKARYA!AD35)</f>
        <v/>
      </c>
      <c r="EJ38" s="93" t="str">
        <f>IF(PRAKARYA!AE35="","",PRAKARYA!AE35)</f>
        <v/>
      </c>
      <c r="EK38" s="93" t="str">
        <f>IF(PRAKARYA!AF35="","",PRAKARYA!AF35)</f>
        <v/>
      </c>
      <c r="EL38" s="93" t="str">
        <f>IF(PRAKARYA!AG35="","",PRAKARYA!AG35)</f>
        <v/>
      </c>
      <c r="EM38" s="95" t="str">
        <f>IF(BADER!X35="","",BADER!X35)</f>
        <v/>
      </c>
      <c r="EN38" s="95" t="str">
        <f>IF(BADER!Y35="","",BADER!Y35)</f>
        <v/>
      </c>
      <c r="EO38" s="95" t="str">
        <f>IF(BADER!Z35="","",BADER!Z35)</f>
        <v/>
      </c>
      <c r="EP38" s="95" t="str">
        <f>IF(BADER!AA35="","",BADER!AA35)</f>
        <v/>
      </c>
      <c r="EQ38" s="95" t="str">
        <f>IF(BADER!AB35="","",BADER!AB35)</f>
        <v/>
      </c>
      <c r="ER38" s="95" t="str">
        <f>IF(BADER!AC35="","",BADER!AC35)</f>
        <v/>
      </c>
      <c r="ES38" s="95" t="str">
        <f>IF(BADER!AD35="","",BADER!AD35)</f>
        <v/>
      </c>
      <c r="ET38" s="95" t="str">
        <f>IF(BADER!AE35="","",BADER!AE35)</f>
        <v/>
      </c>
      <c r="EU38" s="95" t="str">
        <f>IF(BADER!AF35="","",BADER!AF35)</f>
        <v/>
      </c>
      <c r="EV38" s="95" t="str">
        <f>IF(BADER!AG35="","",BADER!AG35)</f>
        <v/>
      </c>
      <c r="EW38" s="96" t="str">
        <f t="shared" si="1"/>
        <v/>
      </c>
      <c r="EX38" s="96" t="str">
        <f t="shared" si="2"/>
        <v/>
      </c>
      <c r="EY38" s="96" t="str">
        <f t="shared" si="14"/>
        <v/>
      </c>
      <c r="EZ38" s="96" t="str">
        <f t="shared" si="14"/>
        <v/>
      </c>
      <c r="FA38" s="96" t="str">
        <f t="shared" si="14"/>
        <v/>
      </c>
      <c r="FB38" s="96" t="str">
        <f t="shared" si="14"/>
        <v/>
      </c>
      <c r="FC38" s="96" t="str">
        <f t="shared" si="14"/>
        <v/>
      </c>
      <c r="FD38" s="96" t="str">
        <f t="shared" si="14"/>
        <v/>
      </c>
      <c r="FE38" s="96" t="str">
        <f t="shared" si="14"/>
        <v/>
      </c>
      <c r="FF38" s="96" t="str">
        <f t="shared" si="3"/>
        <v/>
      </c>
      <c r="FG38" s="96" t="str">
        <f t="shared" si="4"/>
        <v/>
      </c>
      <c r="FH38" s="92" t="str">
        <f t="shared" si="5"/>
        <v/>
      </c>
      <c r="FI38" s="92" t="str">
        <f t="shared" si="6"/>
        <v xml:space="preserve"> </v>
      </c>
      <c r="FJ38" s="92" t="str">
        <f t="shared" si="7"/>
        <v xml:space="preserve"> </v>
      </c>
      <c r="FK38" s="92" t="str">
        <f t="shared" si="8"/>
        <v xml:space="preserve"> </v>
      </c>
      <c r="FL38" s="92" t="str">
        <f t="shared" si="9"/>
        <v xml:space="preserve"> </v>
      </c>
      <c r="FM38" s="92" t="str">
        <f t="shared" si="10"/>
        <v xml:space="preserve"> </v>
      </c>
      <c r="FN38" s="92" t="str">
        <f t="shared" si="11"/>
        <v xml:space="preserve"> </v>
      </c>
      <c r="FO38" s="92" t="str">
        <f t="shared" si="12"/>
        <v xml:space="preserve"> </v>
      </c>
      <c r="FP38" s="92" t="str">
        <f t="shared" si="13"/>
        <v xml:space="preserve">,  ,  ,  ,  ,  ,  ,  </v>
      </c>
    </row>
    <row r="39" spans="1:172">
      <c r="A39" s="66">
        <v>29</v>
      </c>
      <c r="B39" s="92" t="str">
        <f>IF(DATA!D36="","",DATA!D36)</f>
        <v>SALILATUL HUSNA</v>
      </c>
      <c r="C39" s="93" t="str">
        <f>IF(QH!X36="","",QH!X36)</f>
        <v/>
      </c>
      <c r="D39" s="93" t="str">
        <f>IF(QH!Y36="","",QH!Y36)</f>
        <v/>
      </c>
      <c r="E39" s="93" t="str">
        <f>IF(QH!Z36="","",QH!Z36)</f>
        <v/>
      </c>
      <c r="F39" s="93" t="str">
        <f>IF(QH!AA36="","",QH!AA36)</f>
        <v/>
      </c>
      <c r="G39" s="93" t="str">
        <f>IF(QH!AB36="","",QH!AB36)</f>
        <v/>
      </c>
      <c r="H39" s="93" t="str">
        <f>IF(QH!AC36="","",QH!AC36)</f>
        <v/>
      </c>
      <c r="I39" s="93" t="str">
        <f>IF(QH!AD36="","",QH!AD36)</f>
        <v/>
      </c>
      <c r="J39" s="93" t="str">
        <f>IF(QH!AE36="","",QH!AE36)</f>
        <v/>
      </c>
      <c r="K39" s="93" t="str">
        <f>IF(QH!AF36="","",QH!AF36)</f>
        <v/>
      </c>
      <c r="L39" s="93" t="str">
        <f>IF(QH!AG36="","",QH!AG36)</f>
        <v/>
      </c>
      <c r="M39" s="94" t="str">
        <f>IF(AA!X36="","",AA!X36)</f>
        <v/>
      </c>
      <c r="N39" s="94" t="str">
        <f>IF(AA!Y36="","",AA!Y36)</f>
        <v/>
      </c>
      <c r="O39" s="94" t="str">
        <f>IF(AA!Z36="","",AA!Z36)</f>
        <v/>
      </c>
      <c r="P39" s="94" t="str">
        <f>IF(AA!AA36="","",AA!AA36)</f>
        <v/>
      </c>
      <c r="Q39" s="94" t="str">
        <f>IF(AA!AB36="","",AA!AB36)</f>
        <v/>
      </c>
      <c r="R39" s="94" t="str">
        <f>IF(AA!AC36="","",AA!AC36)</f>
        <v/>
      </c>
      <c r="S39" s="94" t="str">
        <f>IF(AA!AD36="","",AA!AD36)</f>
        <v/>
      </c>
      <c r="T39" s="94" t="str">
        <f>IF(AA!AE36="","",AA!AE36)</f>
        <v/>
      </c>
      <c r="U39" s="94" t="str">
        <f>IF(AA!AF36="","",AA!AF36)</f>
        <v/>
      </c>
      <c r="V39" s="94" t="str">
        <f>IF(AA!AG36="","",AA!AG36)</f>
        <v/>
      </c>
      <c r="W39" s="94" t="str">
        <f>IF(FIKIH!X36="","",FIKIH!X36)</f>
        <v/>
      </c>
      <c r="X39" s="94" t="str">
        <f>IF(FIKIH!Y36="","",FIKIH!Y36)</f>
        <v/>
      </c>
      <c r="Y39" s="94" t="str">
        <f>IF(FIKIH!Z36="","",FIKIH!Z36)</f>
        <v/>
      </c>
      <c r="Z39" s="94" t="str">
        <f>IF(FIKIH!AA36="","",FIKIH!AA36)</f>
        <v/>
      </c>
      <c r="AA39" s="94" t="str">
        <f>IF(FIKIH!AB36="","",FIKIH!AB36)</f>
        <v/>
      </c>
      <c r="AB39" s="94" t="str">
        <f>IF(FIKIH!AC36="","",FIKIH!AC36)</f>
        <v/>
      </c>
      <c r="AC39" s="94" t="str">
        <f>IF(FIKIH!AD36="","",FIKIH!AD36)</f>
        <v/>
      </c>
      <c r="AD39" s="94" t="str">
        <f>IF(FIKIH!AE36="","",FIKIH!AE36)</f>
        <v/>
      </c>
      <c r="AE39" s="94" t="str">
        <f>IF(FIKIH!AF36="","",FIKIH!AF36)</f>
        <v/>
      </c>
      <c r="AF39" s="94" t="str">
        <f>IF(FIKIH!AG36="","",FIKIH!AG36)</f>
        <v/>
      </c>
      <c r="AG39" s="94">
        <f>IF(SKI!X36="","",SKI!X36)</f>
        <v>3</v>
      </c>
      <c r="AH39" s="94" t="str">
        <f>IF(SKI!Y36="","",SKI!Y36)</f>
        <v>Melaksanakan sholat dhuhur berjemaah, berdo'a di awal dan di akhir kegiatan pembelajaran , serta melaksanakan kegiatan amaliyah siswa</v>
      </c>
      <c r="AI39" s="94">
        <f>IF(SKI!Z36="","",SKI!Z36)</f>
        <v>3</v>
      </c>
      <c r="AJ39" s="94">
        <f>IF(SKI!AA36="","",SKI!AA36)</f>
        <v>3</v>
      </c>
      <c r="AK39" s="94">
        <f>IF(SKI!AB36="","",SKI!AB36)</f>
        <v>3</v>
      </c>
      <c r="AL39" s="94">
        <f>IF(SKI!AC36="","",SKI!AC36)</f>
        <v>3</v>
      </c>
      <c r="AM39" s="94">
        <f>IF(SKI!AD36="","",SKI!AD36)</f>
        <v>3</v>
      </c>
      <c r="AN39" s="94">
        <f>IF(SKI!AE36="","",SKI!AE36)</f>
        <v>3</v>
      </c>
      <c r="AO39" s="94">
        <f>IF(SKI!AF36="","",SKI!AF36)</f>
        <v>3</v>
      </c>
      <c r="AP39" s="94" t="str">
        <f>IF(SKI!AG36="","",SKI!AG36)</f>
        <v>Santun dalam bersikap, disiplin dalam mentaati tata tertib madrasah, peduli pada lingkungan, orang tua, bertanggung jawab dalam melaksanakan tugas, baik sebagai individu maupun makhluk sosial</v>
      </c>
      <c r="AQ39" s="94" t="str">
        <f>IF(PKN!X36="","",PKN!X36)</f>
        <v/>
      </c>
      <c r="AR39" s="94" t="str">
        <f>IF(PKN!Y36="","",PKN!Y36)</f>
        <v/>
      </c>
      <c r="AS39" s="94" t="str">
        <f>IF(PKN!Z36="","",PKN!Z36)</f>
        <v/>
      </c>
      <c r="AT39" s="94" t="str">
        <f>IF(PKN!AA36="","",PKN!AA36)</f>
        <v/>
      </c>
      <c r="AU39" s="94" t="str">
        <f>IF(PKN!AB36="","",PKN!AB36)</f>
        <v/>
      </c>
      <c r="AV39" s="94" t="str">
        <f>IF(PKN!AC36="","",PKN!AC36)</f>
        <v/>
      </c>
      <c r="AW39" s="94" t="str">
        <f>IF(PKN!AD36="","",PKN!AD36)</f>
        <v/>
      </c>
      <c r="AX39" s="94" t="str">
        <f>IF(PKN!AE36="","",PKN!AE36)</f>
        <v/>
      </c>
      <c r="AY39" s="94" t="str">
        <f>IF(PKN!AF36="","",PKN!AF36)</f>
        <v/>
      </c>
      <c r="AZ39" s="94" t="str">
        <f>IF(PKN!AG36="","",PKN!AG36)</f>
        <v/>
      </c>
      <c r="BA39" s="93" t="str">
        <f>IF(INDO!X36="","",INDO!X36)</f>
        <v/>
      </c>
      <c r="BB39" s="93" t="str">
        <f>IF(INDO!Y36="","",INDO!Y36)</f>
        <v/>
      </c>
      <c r="BC39" s="93" t="str">
        <f>IF(INDO!Z36="","",INDO!Z36)</f>
        <v/>
      </c>
      <c r="BD39" s="93" t="str">
        <f>IF(INDO!AA36="","",INDO!AA36)</f>
        <v/>
      </c>
      <c r="BE39" s="93" t="str">
        <f>IF(INDO!AB36="","",INDO!AB36)</f>
        <v/>
      </c>
      <c r="BF39" s="93" t="str">
        <f>IF(INDO!AC36="","",INDO!AC36)</f>
        <v/>
      </c>
      <c r="BG39" s="93" t="str">
        <f>IF(INDO!AD36="","",INDO!AD36)</f>
        <v/>
      </c>
      <c r="BH39" s="93" t="str">
        <f>IF(INDO!AE36="","",INDO!AE36)</f>
        <v/>
      </c>
      <c r="BI39" s="93" t="str">
        <f>IF(INDO!AF36="","",INDO!AF36)</f>
        <v/>
      </c>
      <c r="BJ39" s="93" t="str">
        <f>IF(INDO!AG36="","",INDO!AG36)</f>
        <v/>
      </c>
      <c r="BK39" s="93" t="str">
        <f>IF(ARAB!X36="","",ARAB!X36)</f>
        <v/>
      </c>
      <c r="BL39" s="93" t="str">
        <f>IF(ARAB!Y36="","",ARAB!Y36)</f>
        <v/>
      </c>
      <c r="BM39" s="93" t="str">
        <f>IF(ARAB!Z36="","",ARAB!Z36)</f>
        <v/>
      </c>
      <c r="BN39" s="93" t="str">
        <f>IF(ARAB!AA36="","",ARAB!AA36)</f>
        <v/>
      </c>
      <c r="BO39" s="93" t="str">
        <f>IF(ARAB!AB36="","",ARAB!AB36)</f>
        <v/>
      </c>
      <c r="BP39" s="93" t="str">
        <f>IF(ARAB!AC36="","",ARAB!AC36)</f>
        <v/>
      </c>
      <c r="BQ39" s="93" t="str">
        <f>IF(ARAB!AD36="","",ARAB!AD36)</f>
        <v/>
      </c>
      <c r="BR39" s="93" t="str">
        <f>IF(ARAB!AE36="","",ARAB!AE36)</f>
        <v/>
      </c>
      <c r="BS39" s="93" t="str">
        <f>IF(ARAB!AF36="","",ARAB!AF36)</f>
        <v/>
      </c>
      <c r="BT39" s="93" t="str">
        <f>IF(ARAB!AG36="","",ARAB!AG36)</f>
        <v/>
      </c>
      <c r="BU39" s="94" t="str">
        <f>IF(MAT!X36="","",MAT!X36)</f>
        <v/>
      </c>
      <c r="BV39" s="94" t="str">
        <f>IF(MAT!Y36="","",MAT!Y36)</f>
        <v/>
      </c>
      <c r="BW39" s="94" t="str">
        <f>IF(MAT!Z36="","",MAT!Z36)</f>
        <v/>
      </c>
      <c r="BX39" s="94" t="str">
        <f>IF(MAT!AA36="","",MAT!AA36)</f>
        <v/>
      </c>
      <c r="BY39" s="94" t="str">
        <f>IF(MAT!AB36="","",MAT!AB36)</f>
        <v/>
      </c>
      <c r="BZ39" s="94" t="str">
        <f>IF(MAT!AC36="","",MAT!AC36)</f>
        <v/>
      </c>
      <c r="CA39" s="94" t="str">
        <f>IF(MAT!AD36="","",MAT!AD36)</f>
        <v/>
      </c>
      <c r="CB39" s="94" t="str">
        <f>IF(MAT!AE36="","",MAT!AE36)</f>
        <v/>
      </c>
      <c r="CC39" s="94" t="str">
        <f>IF(MAT!AF36="","",MAT!AF36)</f>
        <v/>
      </c>
      <c r="CD39" s="94" t="str">
        <f>IF(MAT!AG36="","",MAT!AG36)</f>
        <v/>
      </c>
      <c r="CE39" s="94" t="str">
        <f>IF(IPA!X36="","",IPA!X36)</f>
        <v/>
      </c>
      <c r="CF39" s="94" t="str">
        <f>IF(IPA!Y36="","",IPA!Y36)</f>
        <v/>
      </c>
      <c r="CG39" s="94" t="str">
        <f>IF(IPA!Z36="","",IPA!Z36)</f>
        <v/>
      </c>
      <c r="CH39" s="94" t="str">
        <f>IF(IPA!AA36="","",IPA!AA36)</f>
        <v/>
      </c>
      <c r="CI39" s="94" t="str">
        <f>IF(IPA!AB36="","",IPA!AB36)</f>
        <v/>
      </c>
      <c r="CJ39" s="94" t="str">
        <f>IF(IPA!AC36="","",IPA!AC36)</f>
        <v/>
      </c>
      <c r="CK39" s="94" t="str">
        <f>IF(IPA!AD36="","",IPA!AD36)</f>
        <v/>
      </c>
      <c r="CL39" s="94" t="str">
        <f>IF(IPA!AE36="","",IPA!AE36)</f>
        <v/>
      </c>
      <c r="CM39" s="94" t="str">
        <f>IF(IPA!AF36="","",IPA!AF36)</f>
        <v/>
      </c>
      <c r="CN39" s="94" t="str">
        <f>IF(IPA!AG36="","",IPA!AG36)</f>
        <v/>
      </c>
      <c r="CO39" s="93" t="str">
        <f>IF(IPS!X36="","",IPS!X36)</f>
        <v/>
      </c>
      <c r="CP39" s="93" t="str">
        <f>IF(IPS!Y36="","",IPS!Y36)</f>
        <v/>
      </c>
      <c r="CQ39" s="93" t="str">
        <f>IF(IPS!Z36="","",IPS!Z36)</f>
        <v/>
      </c>
      <c r="CR39" s="93" t="str">
        <f>IF(IPS!AA36="","",IPS!AA36)</f>
        <v/>
      </c>
      <c r="CS39" s="93" t="str">
        <f>IF(IPS!AB36="","",IPS!AB36)</f>
        <v/>
      </c>
      <c r="CT39" s="93" t="str">
        <f>IF(IPS!AC36="","",IPS!AC36)</f>
        <v/>
      </c>
      <c r="CU39" s="93" t="str">
        <f>IF(IPS!AD36="","",IPS!AD36)</f>
        <v/>
      </c>
      <c r="CV39" s="93" t="str">
        <f>IF(IPS!AE36="","",IPS!AE36)</f>
        <v/>
      </c>
      <c r="CW39" s="93" t="str">
        <f>IF(IPS!AF36="","",IPS!AF36)</f>
        <v/>
      </c>
      <c r="CX39" s="93" t="str">
        <f>IF(IPS!AG36="","",IPS!AG36)</f>
        <v/>
      </c>
      <c r="CY39" s="94" t="str">
        <f>IF(INGG!X36="","",INGG!X36)</f>
        <v/>
      </c>
      <c r="CZ39" s="94" t="str">
        <f>IF(INGG!Y36="","",INGG!Y36)</f>
        <v/>
      </c>
      <c r="DA39" s="94" t="str">
        <f>IF(INGG!Z36="","",INGG!Z36)</f>
        <v/>
      </c>
      <c r="DB39" s="94" t="str">
        <f>IF(INGG!AA36="","",INGG!AA36)</f>
        <v/>
      </c>
      <c r="DC39" s="94" t="str">
        <f>IF(INGG!AB36="","",INGG!AB36)</f>
        <v/>
      </c>
      <c r="DD39" s="94" t="str">
        <f>IF(INGG!AC36="","",INGG!AC36)</f>
        <v/>
      </c>
      <c r="DE39" s="94" t="str">
        <f>IF(INGG!AD36="","",INGG!AD36)</f>
        <v/>
      </c>
      <c r="DF39" s="94" t="str">
        <f>IF(INGG!AE36="","",INGG!AE36)</f>
        <v/>
      </c>
      <c r="DG39" s="94" t="str">
        <f>IF(INGG!AF36="","",INGG!AF36)</f>
        <v/>
      </c>
      <c r="DH39" s="94" t="str">
        <f>IF(INGG!AG36="","",INGG!AG36)</f>
        <v/>
      </c>
      <c r="DI39" s="94" t="str">
        <f>IF(SENBUD!X36="","",SENBUD!X36)</f>
        <v/>
      </c>
      <c r="DJ39" s="94" t="str">
        <f>IF(SENBUD!Y36="","",SENBUD!Y36)</f>
        <v/>
      </c>
      <c r="DK39" s="94" t="str">
        <f>IF(SENBUD!Z36="","",SENBUD!Z36)</f>
        <v/>
      </c>
      <c r="DL39" s="94" t="str">
        <f>IF(SENBUD!AA36="","",SENBUD!AA36)</f>
        <v/>
      </c>
      <c r="DM39" s="94" t="str">
        <f>IF(SENBUD!AB36="","",SENBUD!AB36)</f>
        <v/>
      </c>
      <c r="DN39" s="94" t="str">
        <f>IF(SENBUD!AC36="","",SENBUD!AC36)</f>
        <v/>
      </c>
      <c r="DO39" s="94" t="str">
        <f>IF(SENBUD!AD36="","",SENBUD!AD36)</f>
        <v/>
      </c>
      <c r="DP39" s="94" t="str">
        <f>IF(SENBUD!AE36="","",SENBUD!AE36)</f>
        <v/>
      </c>
      <c r="DQ39" s="94" t="str">
        <f>IF(SENBUD!AF36="","",SENBUD!AF36)</f>
        <v/>
      </c>
      <c r="DR39" s="94" t="str">
        <f>IF(SENBUD!AG36="","",SENBUD!AG36)</f>
        <v/>
      </c>
      <c r="DS39" s="93" t="str">
        <f>IF(PENJAS!X36="","",PENJAS!X36)</f>
        <v/>
      </c>
      <c r="DT39" s="93" t="str">
        <f>IF(PENJAS!Y36="","",PENJAS!Y36)</f>
        <v/>
      </c>
      <c r="DU39" s="93" t="str">
        <f>IF(PENJAS!Z36="","",PENJAS!Z36)</f>
        <v/>
      </c>
      <c r="DV39" s="93" t="str">
        <f>IF(PENJAS!AA36="","",PENJAS!AA36)</f>
        <v/>
      </c>
      <c r="DW39" s="93" t="str">
        <f>IF(PENJAS!AB36="","",PENJAS!AB36)</f>
        <v/>
      </c>
      <c r="DX39" s="93" t="str">
        <f>IF(PENJAS!AC36="","",PENJAS!AC36)</f>
        <v/>
      </c>
      <c r="DY39" s="93" t="str">
        <f>IF(PENJAS!AD36="","",PENJAS!AD36)</f>
        <v/>
      </c>
      <c r="DZ39" s="93" t="str">
        <f>IF(PENJAS!AE36="","",PENJAS!AE36)</f>
        <v/>
      </c>
      <c r="EA39" s="93" t="str">
        <f>IF(PENJAS!AF36="","",PENJAS!AF36)</f>
        <v/>
      </c>
      <c r="EB39" s="93" t="str">
        <f>IF(PENJAS!AG36="","",PENJAS!AG36)</f>
        <v/>
      </c>
      <c r="EC39" s="93" t="str">
        <f>IF(PRAKARYA!X36="","",PRAKARYA!X36)</f>
        <v/>
      </c>
      <c r="ED39" s="93" t="str">
        <f>IF(PRAKARYA!Y36="","",PRAKARYA!Y36)</f>
        <v/>
      </c>
      <c r="EE39" s="93" t="str">
        <f>IF(PRAKARYA!Z36="","",PRAKARYA!Z36)</f>
        <v/>
      </c>
      <c r="EF39" s="93" t="str">
        <f>IF(PRAKARYA!AA36="","",PRAKARYA!AA36)</f>
        <v/>
      </c>
      <c r="EG39" s="93" t="str">
        <f>IF(PRAKARYA!AB36="","",PRAKARYA!AB36)</f>
        <v/>
      </c>
      <c r="EH39" s="93" t="str">
        <f>IF(PRAKARYA!AC36="","",PRAKARYA!AC36)</f>
        <v/>
      </c>
      <c r="EI39" s="93" t="str">
        <f>IF(PRAKARYA!AD36="","",PRAKARYA!AD36)</f>
        <v/>
      </c>
      <c r="EJ39" s="93" t="str">
        <f>IF(PRAKARYA!AE36="","",PRAKARYA!AE36)</f>
        <v/>
      </c>
      <c r="EK39" s="93" t="str">
        <f>IF(PRAKARYA!AF36="","",PRAKARYA!AF36)</f>
        <v/>
      </c>
      <c r="EL39" s="93" t="str">
        <f>IF(PRAKARYA!AG36="","",PRAKARYA!AG36)</f>
        <v/>
      </c>
      <c r="EM39" s="95" t="str">
        <f>IF(BADER!X36="","",BADER!X36)</f>
        <v/>
      </c>
      <c r="EN39" s="95" t="str">
        <f>IF(BADER!Y36="","",BADER!Y36)</f>
        <v/>
      </c>
      <c r="EO39" s="95" t="str">
        <f>IF(BADER!Z36="","",BADER!Z36)</f>
        <v/>
      </c>
      <c r="EP39" s="95" t="str">
        <f>IF(BADER!AA36="","",BADER!AA36)</f>
        <v/>
      </c>
      <c r="EQ39" s="95" t="str">
        <f>IF(BADER!AB36="","",BADER!AB36)</f>
        <v/>
      </c>
      <c r="ER39" s="95" t="str">
        <f>IF(BADER!AC36="","",BADER!AC36)</f>
        <v/>
      </c>
      <c r="ES39" s="95" t="str">
        <f>IF(BADER!AD36="","",BADER!AD36)</f>
        <v/>
      </c>
      <c r="ET39" s="95" t="str">
        <f>IF(BADER!AE36="","",BADER!AE36)</f>
        <v/>
      </c>
      <c r="EU39" s="95" t="str">
        <f>IF(BADER!AF36="","",BADER!AF36)</f>
        <v/>
      </c>
      <c r="EV39" s="95" t="str">
        <f>IF(BADER!AG36="","",BADER!AG36)</f>
        <v/>
      </c>
      <c r="EW39" s="96" t="str">
        <f t="shared" si="1"/>
        <v/>
      </c>
      <c r="EX39" s="96" t="str">
        <f t="shared" si="2"/>
        <v/>
      </c>
      <c r="EY39" s="96" t="str">
        <f t="shared" si="14"/>
        <v/>
      </c>
      <c r="EZ39" s="96" t="str">
        <f t="shared" si="14"/>
        <v/>
      </c>
      <c r="FA39" s="96" t="str">
        <f t="shared" si="14"/>
        <v/>
      </c>
      <c r="FB39" s="96" t="str">
        <f t="shared" si="14"/>
        <v/>
      </c>
      <c r="FC39" s="96" t="str">
        <f t="shared" si="14"/>
        <v/>
      </c>
      <c r="FD39" s="96" t="str">
        <f t="shared" si="14"/>
        <v/>
      </c>
      <c r="FE39" s="96" t="str">
        <f t="shared" si="14"/>
        <v/>
      </c>
      <c r="FF39" s="96" t="str">
        <f t="shared" si="3"/>
        <v/>
      </c>
      <c r="FG39" s="96" t="str">
        <f t="shared" si="4"/>
        <v/>
      </c>
      <c r="FH39" s="92" t="str">
        <f t="shared" si="5"/>
        <v/>
      </c>
      <c r="FI39" s="92" t="str">
        <f t="shared" si="6"/>
        <v xml:space="preserve"> </v>
      </c>
      <c r="FJ39" s="92" t="str">
        <f t="shared" si="7"/>
        <v xml:space="preserve"> </v>
      </c>
      <c r="FK39" s="92" t="str">
        <f t="shared" si="8"/>
        <v xml:space="preserve"> </v>
      </c>
      <c r="FL39" s="92" t="str">
        <f t="shared" si="9"/>
        <v xml:space="preserve"> </v>
      </c>
      <c r="FM39" s="92" t="str">
        <f t="shared" si="10"/>
        <v xml:space="preserve"> </v>
      </c>
      <c r="FN39" s="92" t="str">
        <f t="shared" si="11"/>
        <v xml:space="preserve"> </v>
      </c>
      <c r="FO39" s="92" t="str">
        <f t="shared" si="12"/>
        <v xml:space="preserve"> </v>
      </c>
      <c r="FP39" s="92" t="str">
        <f t="shared" si="13"/>
        <v xml:space="preserve">,  ,  ,  ,  ,  ,  ,  </v>
      </c>
    </row>
    <row r="40" spans="1:172">
      <c r="A40" s="66">
        <v>30</v>
      </c>
      <c r="B40" s="92" t="str">
        <f>IF(DATA!D37="","",DATA!D37)</f>
        <v>SALMA NABILA</v>
      </c>
      <c r="C40" s="93" t="str">
        <f>IF(QH!X37="","",QH!X37)</f>
        <v/>
      </c>
      <c r="D40" s="93" t="str">
        <f>IF(QH!Y37="","",QH!Y37)</f>
        <v/>
      </c>
      <c r="E40" s="93" t="str">
        <f>IF(QH!Z37="","",QH!Z37)</f>
        <v/>
      </c>
      <c r="F40" s="93" t="str">
        <f>IF(QH!AA37="","",QH!AA37)</f>
        <v/>
      </c>
      <c r="G40" s="93" t="str">
        <f>IF(QH!AB37="","",QH!AB37)</f>
        <v/>
      </c>
      <c r="H40" s="93" t="str">
        <f>IF(QH!AC37="","",QH!AC37)</f>
        <v/>
      </c>
      <c r="I40" s="93" t="str">
        <f>IF(QH!AD37="","",QH!AD37)</f>
        <v/>
      </c>
      <c r="J40" s="93" t="str">
        <f>IF(QH!AE37="","",QH!AE37)</f>
        <v/>
      </c>
      <c r="K40" s="93" t="str">
        <f>IF(QH!AF37="","",QH!AF37)</f>
        <v/>
      </c>
      <c r="L40" s="93" t="str">
        <f>IF(QH!AG37="","",QH!AG37)</f>
        <v/>
      </c>
      <c r="M40" s="94" t="str">
        <f>IF(AA!X37="","",AA!X37)</f>
        <v/>
      </c>
      <c r="N40" s="94" t="str">
        <f>IF(AA!Y37="","",AA!Y37)</f>
        <v/>
      </c>
      <c r="O40" s="94" t="str">
        <f>IF(AA!Z37="","",AA!Z37)</f>
        <v/>
      </c>
      <c r="P40" s="94" t="str">
        <f>IF(AA!AA37="","",AA!AA37)</f>
        <v/>
      </c>
      <c r="Q40" s="94" t="str">
        <f>IF(AA!AB37="","",AA!AB37)</f>
        <v/>
      </c>
      <c r="R40" s="94" t="str">
        <f>IF(AA!AC37="","",AA!AC37)</f>
        <v/>
      </c>
      <c r="S40" s="94" t="str">
        <f>IF(AA!AD37="","",AA!AD37)</f>
        <v/>
      </c>
      <c r="T40" s="94" t="str">
        <f>IF(AA!AE37="","",AA!AE37)</f>
        <v/>
      </c>
      <c r="U40" s="94" t="str">
        <f>IF(AA!AF37="","",AA!AF37)</f>
        <v/>
      </c>
      <c r="V40" s="94" t="str">
        <f>IF(AA!AG37="","",AA!AG37)</f>
        <v/>
      </c>
      <c r="W40" s="94" t="str">
        <f>IF(FIKIH!X37="","",FIKIH!X37)</f>
        <v/>
      </c>
      <c r="X40" s="94" t="str">
        <f>IF(FIKIH!Y37="","",FIKIH!Y37)</f>
        <v/>
      </c>
      <c r="Y40" s="94" t="str">
        <f>IF(FIKIH!Z37="","",FIKIH!Z37)</f>
        <v/>
      </c>
      <c r="Z40" s="94" t="str">
        <f>IF(FIKIH!AA37="","",FIKIH!AA37)</f>
        <v/>
      </c>
      <c r="AA40" s="94" t="str">
        <f>IF(FIKIH!AB37="","",FIKIH!AB37)</f>
        <v/>
      </c>
      <c r="AB40" s="94" t="str">
        <f>IF(FIKIH!AC37="","",FIKIH!AC37)</f>
        <v/>
      </c>
      <c r="AC40" s="94" t="str">
        <f>IF(FIKIH!AD37="","",FIKIH!AD37)</f>
        <v/>
      </c>
      <c r="AD40" s="94" t="str">
        <f>IF(FIKIH!AE37="","",FIKIH!AE37)</f>
        <v/>
      </c>
      <c r="AE40" s="94" t="str">
        <f>IF(FIKIH!AF37="","",FIKIH!AF37)</f>
        <v/>
      </c>
      <c r="AF40" s="94" t="str">
        <f>IF(FIKIH!AG37="","",FIKIH!AG37)</f>
        <v/>
      </c>
      <c r="AG40" s="94">
        <f>IF(SKI!X37="","",SKI!X37)</f>
        <v>3</v>
      </c>
      <c r="AH40" s="94" t="str">
        <f>IF(SKI!Y37="","",SKI!Y37)</f>
        <v>Melaksanakan sholat dhuhur berjemaah, berdo'a di awal dan di akhir kegiatan pembelajaran , serta melaksanakan kegiatan amaliyah siswa</v>
      </c>
      <c r="AI40" s="94">
        <f>IF(SKI!Z37="","",SKI!Z37)</f>
        <v>3</v>
      </c>
      <c r="AJ40" s="94">
        <f>IF(SKI!AA37="","",SKI!AA37)</f>
        <v>3</v>
      </c>
      <c r="AK40" s="94">
        <f>IF(SKI!AB37="","",SKI!AB37)</f>
        <v>3</v>
      </c>
      <c r="AL40" s="94">
        <f>IF(SKI!AC37="","",SKI!AC37)</f>
        <v>3</v>
      </c>
      <c r="AM40" s="94">
        <f>IF(SKI!AD37="","",SKI!AD37)</f>
        <v>3</v>
      </c>
      <c r="AN40" s="94">
        <f>IF(SKI!AE37="","",SKI!AE37)</f>
        <v>3</v>
      </c>
      <c r="AO40" s="94">
        <f>IF(SKI!AF37="","",SKI!AF37)</f>
        <v>3</v>
      </c>
      <c r="AP40" s="94" t="str">
        <f>IF(SKI!AG37="","",SKI!AG37)</f>
        <v>Santun dalam bersikap, disiplin dalam mentaati tata tertib madrasah, peduli pada lingkungan, orang tua, bertanggung jawab dalam melaksanakan tugas, baik sebagai individu maupun makhluk sosial</v>
      </c>
      <c r="AQ40" s="94" t="str">
        <f>IF(PKN!X37="","",PKN!X37)</f>
        <v/>
      </c>
      <c r="AR40" s="94" t="str">
        <f>IF(PKN!Y37="","",PKN!Y37)</f>
        <v/>
      </c>
      <c r="AS40" s="94" t="str">
        <f>IF(PKN!Z37="","",PKN!Z37)</f>
        <v/>
      </c>
      <c r="AT40" s="94" t="str">
        <f>IF(PKN!AA37="","",PKN!AA37)</f>
        <v/>
      </c>
      <c r="AU40" s="94" t="str">
        <f>IF(PKN!AB37="","",PKN!AB37)</f>
        <v/>
      </c>
      <c r="AV40" s="94" t="str">
        <f>IF(PKN!AC37="","",PKN!AC37)</f>
        <v/>
      </c>
      <c r="AW40" s="94" t="str">
        <f>IF(PKN!AD37="","",PKN!AD37)</f>
        <v/>
      </c>
      <c r="AX40" s="94" t="str">
        <f>IF(PKN!AE37="","",PKN!AE37)</f>
        <v/>
      </c>
      <c r="AY40" s="94" t="str">
        <f>IF(PKN!AF37="","",PKN!AF37)</f>
        <v/>
      </c>
      <c r="AZ40" s="94" t="str">
        <f>IF(PKN!AG37="","",PKN!AG37)</f>
        <v/>
      </c>
      <c r="BA40" s="93" t="str">
        <f>IF(INDO!X37="","",INDO!X37)</f>
        <v/>
      </c>
      <c r="BB40" s="93" t="str">
        <f>IF(INDO!Y37="","",INDO!Y37)</f>
        <v/>
      </c>
      <c r="BC40" s="93" t="str">
        <f>IF(INDO!Z37="","",INDO!Z37)</f>
        <v/>
      </c>
      <c r="BD40" s="93" t="str">
        <f>IF(INDO!AA37="","",INDO!AA37)</f>
        <v/>
      </c>
      <c r="BE40" s="93" t="str">
        <f>IF(INDO!AB37="","",INDO!AB37)</f>
        <v/>
      </c>
      <c r="BF40" s="93" t="str">
        <f>IF(INDO!AC37="","",INDO!AC37)</f>
        <v/>
      </c>
      <c r="BG40" s="93" t="str">
        <f>IF(INDO!AD37="","",INDO!AD37)</f>
        <v/>
      </c>
      <c r="BH40" s="93" t="str">
        <f>IF(INDO!AE37="","",INDO!AE37)</f>
        <v/>
      </c>
      <c r="BI40" s="93" t="str">
        <f>IF(INDO!AF37="","",INDO!AF37)</f>
        <v/>
      </c>
      <c r="BJ40" s="93" t="str">
        <f>IF(INDO!AG37="","",INDO!AG37)</f>
        <v/>
      </c>
      <c r="BK40" s="93" t="str">
        <f>IF(ARAB!X37="","",ARAB!X37)</f>
        <v/>
      </c>
      <c r="BL40" s="93" t="str">
        <f>IF(ARAB!Y37="","",ARAB!Y37)</f>
        <v/>
      </c>
      <c r="BM40" s="93" t="str">
        <f>IF(ARAB!Z37="","",ARAB!Z37)</f>
        <v/>
      </c>
      <c r="BN40" s="93" t="str">
        <f>IF(ARAB!AA37="","",ARAB!AA37)</f>
        <v/>
      </c>
      <c r="BO40" s="93" t="str">
        <f>IF(ARAB!AB37="","",ARAB!AB37)</f>
        <v/>
      </c>
      <c r="BP40" s="93" t="str">
        <f>IF(ARAB!AC37="","",ARAB!AC37)</f>
        <v/>
      </c>
      <c r="BQ40" s="93" t="str">
        <f>IF(ARAB!AD37="","",ARAB!AD37)</f>
        <v/>
      </c>
      <c r="BR40" s="93" t="str">
        <f>IF(ARAB!AE37="","",ARAB!AE37)</f>
        <v/>
      </c>
      <c r="BS40" s="93" t="str">
        <f>IF(ARAB!AF37="","",ARAB!AF37)</f>
        <v/>
      </c>
      <c r="BT40" s="93" t="str">
        <f>IF(ARAB!AG37="","",ARAB!AG37)</f>
        <v/>
      </c>
      <c r="BU40" s="94" t="str">
        <f>IF(MAT!X37="","",MAT!X37)</f>
        <v/>
      </c>
      <c r="BV40" s="94" t="str">
        <f>IF(MAT!Y37="","",MAT!Y37)</f>
        <v/>
      </c>
      <c r="BW40" s="94" t="str">
        <f>IF(MAT!Z37="","",MAT!Z37)</f>
        <v/>
      </c>
      <c r="BX40" s="94" t="str">
        <f>IF(MAT!AA37="","",MAT!AA37)</f>
        <v/>
      </c>
      <c r="BY40" s="94" t="str">
        <f>IF(MAT!AB37="","",MAT!AB37)</f>
        <v/>
      </c>
      <c r="BZ40" s="94" t="str">
        <f>IF(MAT!AC37="","",MAT!AC37)</f>
        <v/>
      </c>
      <c r="CA40" s="94" t="str">
        <f>IF(MAT!AD37="","",MAT!AD37)</f>
        <v/>
      </c>
      <c r="CB40" s="94" t="str">
        <f>IF(MAT!AE37="","",MAT!AE37)</f>
        <v/>
      </c>
      <c r="CC40" s="94" t="str">
        <f>IF(MAT!AF37="","",MAT!AF37)</f>
        <v/>
      </c>
      <c r="CD40" s="94" t="str">
        <f>IF(MAT!AG37="","",MAT!AG37)</f>
        <v/>
      </c>
      <c r="CE40" s="94" t="str">
        <f>IF(IPA!X37="","",IPA!X37)</f>
        <v/>
      </c>
      <c r="CF40" s="94" t="str">
        <f>IF(IPA!Y37="","",IPA!Y37)</f>
        <v/>
      </c>
      <c r="CG40" s="94" t="str">
        <f>IF(IPA!Z37="","",IPA!Z37)</f>
        <v/>
      </c>
      <c r="CH40" s="94" t="str">
        <f>IF(IPA!AA37="","",IPA!AA37)</f>
        <v/>
      </c>
      <c r="CI40" s="94" t="str">
        <f>IF(IPA!AB37="","",IPA!AB37)</f>
        <v/>
      </c>
      <c r="CJ40" s="94" t="str">
        <f>IF(IPA!AC37="","",IPA!AC37)</f>
        <v/>
      </c>
      <c r="CK40" s="94" t="str">
        <f>IF(IPA!AD37="","",IPA!AD37)</f>
        <v/>
      </c>
      <c r="CL40" s="94" t="str">
        <f>IF(IPA!AE37="","",IPA!AE37)</f>
        <v/>
      </c>
      <c r="CM40" s="94" t="str">
        <f>IF(IPA!AF37="","",IPA!AF37)</f>
        <v/>
      </c>
      <c r="CN40" s="94" t="str">
        <f>IF(IPA!AG37="","",IPA!AG37)</f>
        <v/>
      </c>
      <c r="CO40" s="93" t="str">
        <f>IF(IPS!X37="","",IPS!X37)</f>
        <v/>
      </c>
      <c r="CP40" s="93" t="str">
        <f>IF(IPS!Y37="","",IPS!Y37)</f>
        <v/>
      </c>
      <c r="CQ40" s="93" t="str">
        <f>IF(IPS!Z37="","",IPS!Z37)</f>
        <v/>
      </c>
      <c r="CR40" s="93" t="str">
        <f>IF(IPS!AA37="","",IPS!AA37)</f>
        <v/>
      </c>
      <c r="CS40" s="93" t="str">
        <f>IF(IPS!AB37="","",IPS!AB37)</f>
        <v/>
      </c>
      <c r="CT40" s="93" t="str">
        <f>IF(IPS!AC37="","",IPS!AC37)</f>
        <v/>
      </c>
      <c r="CU40" s="93" t="str">
        <f>IF(IPS!AD37="","",IPS!AD37)</f>
        <v/>
      </c>
      <c r="CV40" s="93" t="str">
        <f>IF(IPS!AE37="","",IPS!AE37)</f>
        <v/>
      </c>
      <c r="CW40" s="93" t="str">
        <f>IF(IPS!AF37="","",IPS!AF37)</f>
        <v/>
      </c>
      <c r="CX40" s="93" t="str">
        <f>IF(IPS!AG37="","",IPS!AG37)</f>
        <v/>
      </c>
      <c r="CY40" s="94" t="str">
        <f>IF(INGG!X37="","",INGG!X37)</f>
        <v/>
      </c>
      <c r="CZ40" s="94" t="str">
        <f>IF(INGG!Y37="","",INGG!Y37)</f>
        <v/>
      </c>
      <c r="DA40" s="94" t="str">
        <f>IF(INGG!Z37="","",INGG!Z37)</f>
        <v/>
      </c>
      <c r="DB40" s="94" t="str">
        <f>IF(INGG!AA37="","",INGG!AA37)</f>
        <v/>
      </c>
      <c r="DC40" s="94" t="str">
        <f>IF(INGG!AB37="","",INGG!AB37)</f>
        <v/>
      </c>
      <c r="DD40" s="94" t="str">
        <f>IF(INGG!AC37="","",INGG!AC37)</f>
        <v/>
      </c>
      <c r="DE40" s="94" t="str">
        <f>IF(INGG!AD37="","",INGG!AD37)</f>
        <v/>
      </c>
      <c r="DF40" s="94" t="str">
        <f>IF(INGG!AE37="","",INGG!AE37)</f>
        <v/>
      </c>
      <c r="DG40" s="94" t="str">
        <f>IF(INGG!AF37="","",INGG!AF37)</f>
        <v/>
      </c>
      <c r="DH40" s="94" t="str">
        <f>IF(INGG!AG37="","",INGG!AG37)</f>
        <v/>
      </c>
      <c r="DI40" s="94" t="str">
        <f>IF(SENBUD!X37="","",SENBUD!X37)</f>
        <v/>
      </c>
      <c r="DJ40" s="94" t="str">
        <f>IF(SENBUD!Y37="","",SENBUD!Y37)</f>
        <v/>
      </c>
      <c r="DK40" s="94" t="str">
        <f>IF(SENBUD!Z37="","",SENBUD!Z37)</f>
        <v/>
      </c>
      <c r="DL40" s="94" t="str">
        <f>IF(SENBUD!AA37="","",SENBUD!AA37)</f>
        <v/>
      </c>
      <c r="DM40" s="94" t="str">
        <f>IF(SENBUD!AB37="","",SENBUD!AB37)</f>
        <v/>
      </c>
      <c r="DN40" s="94" t="str">
        <f>IF(SENBUD!AC37="","",SENBUD!AC37)</f>
        <v/>
      </c>
      <c r="DO40" s="94" t="str">
        <f>IF(SENBUD!AD37="","",SENBUD!AD37)</f>
        <v/>
      </c>
      <c r="DP40" s="94" t="str">
        <f>IF(SENBUD!AE37="","",SENBUD!AE37)</f>
        <v/>
      </c>
      <c r="DQ40" s="94" t="str">
        <f>IF(SENBUD!AF37="","",SENBUD!AF37)</f>
        <v/>
      </c>
      <c r="DR40" s="94" t="str">
        <f>IF(SENBUD!AG37="","",SENBUD!AG37)</f>
        <v/>
      </c>
      <c r="DS40" s="93" t="str">
        <f>IF(PENJAS!X37="","",PENJAS!X37)</f>
        <v/>
      </c>
      <c r="DT40" s="93" t="str">
        <f>IF(PENJAS!Y37="","",PENJAS!Y37)</f>
        <v/>
      </c>
      <c r="DU40" s="93" t="str">
        <f>IF(PENJAS!Z37="","",PENJAS!Z37)</f>
        <v/>
      </c>
      <c r="DV40" s="93" t="str">
        <f>IF(PENJAS!AA37="","",PENJAS!AA37)</f>
        <v/>
      </c>
      <c r="DW40" s="93" t="str">
        <f>IF(PENJAS!AB37="","",PENJAS!AB37)</f>
        <v/>
      </c>
      <c r="DX40" s="93" t="str">
        <f>IF(PENJAS!AC37="","",PENJAS!AC37)</f>
        <v/>
      </c>
      <c r="DY40" s="93" t="str">
        <f>IF(PENJAS!AD37="","",PENJAS!AD37)</f>
        <v/>
      </c>
      <c r="DZ40" s="93" t="str">
        <f>IF(PENJAS!AE37="","",PENJAS!AE37)</f>
        <v/>
      </c>
      <c r="EA40" s="93" t="str">
        <f>IF(PENJAS!AF37="","",PENJAS!AF37)</f>
        <v/>
      </c>
      <c r="EB40" s="93" t="str">
        <f>IF(PENJAS!AG37="","",PENJAS!AG37)</f>
        <v/>
      </c>
      <c r="EC40" s="93" t="str">
        <f>IF(PRAKARYA!X37="","",PRAKARYA!X37)</f>
        <v/>
      </c>
      <c r="ED40" s="93" t="str">
        <f>IF(PRAKARYA!Y37="","",PRAKARYA!Y37)</f>
        <v/>
      </c>
      <c r="EE40" s="93" t="str">
        <f>IF(PRAKARYA!Z37="","",PRAKARYA!Z37)</f>
        <v/>
      </c>
      <c r="EF40" s="93" t="str">
        <f>IF(PRAKARYA!AA37="","",PRAKARYA!AA37)</f>
        <v/>
      </c>
      <c r="EG40" s="93" t="str">
        <f>IF(PRAKARYA!AB37="","",PRAKARYA!AB37)</f>
        <v/>
      </c>
      <c r="EH40" s="93" t="str">
        <f>IF(PRAKARYA!AC37="","",PRAKARYA!AC37)</f>
        <v/>
      </c>
      <c r="EI40" s="93" t="str">
        <f>IF(PRAKARYA!AD37="","",PRAKARYA!AD37)</f>
        <v/>
      </c>
      <c r="EJ40" s="93" t="str">
        <f>IF(PRAKARYA!AE37="","",PRAKARYA!AE37)</f>
        <v/>
      </c>
      <c r="EK40" s="93" t="str">
        <f>IF(PRAKARYA!AF37="","",PRAKARYA!AF37)</f>
        <v/>
      </c>
      <c r="EL40" s="93" t="str">
        <f>IF(PRAKARYA!AG37="","",PRAKARYA!AG37)</f>
        <v/>
      </c>
      <c r="EM40" s="95" t="str">
        <f>IF(BADER!X37="","",BADER!X37)</f>
        <v/>
      </c>
      <c r="EN40" s="95" t="str">
        <f>IF(BADER!Y37="","",BADER!Y37)</f>
        <v/>
      </c>
      <c r="EO40" s="95" t="str">
        <f>IF(BADER!Z37="","",BADER!Z37)</f>
        <v/>
      </c>
      <c r="EP40" s="95" t="str">
        <f>IF(BADER!AA37="","",BADER!AA37)</f>
        <v/>
      </c>
      <c r="EQ40" s="95" t="str">
        <f>IF(BADER!AB37="","",BADER!AB37)</f>
        <v/>
      </c>
      <c r="ER40" s="95" t="str">
        <f>IF(BADER!AC37="","",BADER!AC37)</f>
        <v/>
      </c>
      <c r="ES40" s="95" t="str">
        <f>IF(BADER!AD37="","",BADER!AD37)</f>
        <v/>
      </c>
      <c r="ET40" s="95" t="str">
        <f>IF(BADER!AE37="","",BADER!AE37)</f>
        <v/>
      </c>
      <c r="EU40" s="95" t="str">
        <f>IF(BADER!AF37="","",BADER!AF37)</f>
        <v/>
      </c>
      <c r="EV40" s="95" t="str">
        <f>IF(BADER!AG37="","",BADER!AG37)</f>
        <v/>
      </c>
      <c r="EW40" s="96" t="str">
        <f t="shared" si="1"/>
        <v/>
      </c>
      <c r="EX40" s="96" t="str">
        <f t="shared" si="2"/>
        <v/>
      </c>
      <c r="EY40" s="96" t="str">
        <f t="shared" si="14"/>
        <v/>
      </c>
      <c r="EZ40" s="96" t="str">
        <f t="shared" si="14"/>
        <v/>
      </c>
      <c r="FA40" s="96" t="str">
        <f t="shared" si="14"/>
        <v/>
      </c>
      <c r="FB40" s="96" t="str">
        <f t="shared" si="14"/>
        <v/>
      </c>
      <c r="FC40" s="96" t="str">
        <f t="shared" si="14"/>
        <v/>
      </c>
      <c r="FD40" s="96" t="str">
        <f t="shared" si="14"/>
        <v/>
      </c>
      <c r="FE40" s="96" t="str">
        <f t="shared" si="14"/>
        <v/>
      </c>
      <c r="FF40" s="96" t="str">
        <f t="shared" si="3"/>
        <v/>
      </c>
      <c r="FG40" s="96" t="str">
        <f t="shared" si="4"/>
        <v/>
      </c>
      <c r="FH40" s="92" t="str">
        <f t="shared" si="5"/>
        <v/>
      </c>
      <c r="FI40" s="92" t="str">
        <f t="shared" si="6"/>
        <v xml:space="preserve"> </v>
      </c>
      <c r="FJ40" s="92" t="str">
        <f t="shared" si="7"/>
        <v xml:space="preserve"> </v>
      </c>
      <c r="FK40" s="92" t="str">
        <f t="shared" si="8"/>
        <v xml:space="preserve"> </v>
      </c>
      <c r="FL40" s="92" t="str">
        <f t="shared" si="9"/>
        <v xml:space="preserve"> </v>
      </c>
      <c r="FM40" s="92" t="str">
        <f t="shared" si="10"/>
        <v xml:space="preserve"> </v>
      </c>
      <c r="FN40" s="92" t="str">
        <f t="shared" si="11"/>
        <v xml:space="preserve"> </v>
      </c>
      <c r="FO40" s="92" t="str">
        <f t="shared" si="12"/>
        <v xml:space="preserve"> </v>
      </c>
      <c r="FP40" s="92" t="str">
        <f t="shared" si="13"/>
        <v xml:space="preserve">,  ,  ,  ,  ,  ,  ,  </v>
      </c>
    </row>
    <row r="41" spans="1:172">
      <c r="A41" s="66">
        <v>31</v>
      </c>
      <c r="B41" s="92" t="str">
        <f>IF(DATA!D38="","",DATA!D38)</f>
        <v>SITI AINUR ROHIMAH</v>
      </c>
      <c r="C41" s="93" t="str">
        <f>IF(QH!X38="","",QH!X38)</f>
        <v/>
      </c>
      <c r="D41" s="93" t="str">
        <f>IF(QH!Y38="","",QH!Y38)</f>
        <v/>
      </c>
      <c r="E41" s="93" t="str">
        <f>IF(QH!Z38="","",QH!Z38)</f>
        <v/>
      </c>
      <c r="F41" s="93" t="str">
        <f>IF(QH!AA38="","",QH!AA38)</f>
        <v/>
      </c>
      <c r="G41" s="93" t="str">
        <f>IF(QH!AB38="","",QH!AB38)</f>
        <v/>
      </c>
      <c r="H41" s="93" t="str">
        <f>IF(QH!AC38="","",QH!AC38)</f>
        <v/>
      </c>
      <c r="I41" s="93" t="str">
        <f>IF(QH!AD38="","",QH!AD38)</f>
        <v/>
      </c>
      <c r="J41" s="93" t="str">
        <f>IF(QH!AE38="","",QH!AE38)</f>
        <v/>
      </c>
      <c r="K41" s="93" t="str">
        <f>IF(QH!AF38="","",QH!AF38)</f>
        <v/>
      </c>
      <c r="L41" s="93" t="str">
        <f>IF(QH!AG38="","",QH!AG38)</f>
        <v/>
      </c>
      <c r="M41" s="94" t="str">
        <f>IF(AA!X38="","",AA!X38)</f>
        <v/>
      </c>
      <c r="N41" s="94" t="str">
        <f>IF(AA!Y38="","",AA!Y38)</f>
        <v/>
      </c>
      <c r="O41" s="94" t="str">
        <f>IF(AA!Z38="","",AA!Z38)</f>
        <v/>
      </c>
      <c r="P41" s="94" t="str">
        <f>IF(AA!AA38="","",AA!AA38)</f>
        <v/>
      </c>
      <c r="Q41" s="94" t="str">
        <f>IF(AA!AB38="","",AA!AB38)</f>
        <v/>
      </c>
      <c r="R41" s="94" t="str">
        <f>IF(AA!AC38="","",AA!AC38)</f>
        <v/>
      </c>
      <c r="S41" s="94" t="str">
        <f>IF(AA!AD38="","",AA!AD38)</f>
        <v/>
      </c>
      <c r="T41" s="94" t="str">
        <f>IF(AA!AE38="","",AA!AE38)</f>
        <v/>
      </c>
      <c r="U41" s="94" t="str">
        <f>IF(AA!AF38="","",AA!AF38)</f>
        <v/>
      </c>
      <c r="V41" s="94" t="str">
        <f>IF(AA!AG38="","",AA!AG38)</f>
        <v/>
      </c>
      <c r="W41" s="94" t="str">
        <f>IF(FIKIH!X38="","",FIKIH!X38)</f>
        <v/>
      </c>
      <c r="X41" s="94" t="str">
        <f>IF(FIKIH!Y38="","",FIKIH!Y38)</f>
        <v/>
      </c>
      <c r="Y41" s="94" t="str">
        <f>IF(FIKIH!Z38="","",FIKIH!Z38)</f>
        <v/>
      </c>
      <c r="Z41" s="94" t="str">
        <f>IF(FIKIH!AA38="","",FIKIH!AA38)</f>
        <v/>
      </c>
      <c r="AA41" s="94" t="str">
        <f>IF(FIKIH!AB38="","",FIKIH!AB38)</f>
        <v/>
      </c>
      <c r="AB41" s="94" t="str">
        <f>IF(FIKIH!AC38="","",FIKIH!AC38)</f>
        <v/>
      </c>
      <c r="AC41" s="94" t="str">
        <f>IF(FIKIH!AD38="","",FIKIH!AD38)</f>
        <v/>
      </c>
      <c r="AD41" s="94" t="str">
        <f>IF(FIKIH!AE38="","",FIKIH!AE38)</f>
        <v/>
      </c>
      <c r="AE41" s="94" t="str">
        <f>IF(FIKIH!AF38="","",FIKIH!AF38)</f>
        <v/>
      </c>
      <c r="AF41" s="94" t="str">
        <f>IF(FIKIH!AG38="","",FIKIH!AG38)</f>
        <v/>
      </c>
      <c r="AG41" s="94">
        <f>IF(SKI!X38="","",SKI!X38)</f>
        <v>3</v>
      </c>
      <c r="AH41" s="94" t="str">
        <f>IF(SKI!Y38="","",SKI!Y38)</f>
        <v>Melaksanakan sholat dhuhur berjemaah, berdo'a di awal dan di akhir kegiatan pembelajaran , serta melaksanakan kegiatan amaliyah siswa</v>
      </c>
      <c r="AI41" s="94">
        <f>IF(SKI!Z38="","",SKI!Z38)</f>
        <v>3</v>
      </c>
      <c r="AJ41" s="94">
        <f>IF(SKI!AA38="","",SKI!AA38)</f>
        <v>3</v>
      </c>
      <c r="AK41" s="94">
        <f>IF(SKI!AB38="","",SKI!AB38)</f>
        <v>3</v>
      </c>
      <c r="AL41" s="94">
        <f>IF(SKI!AC38="","",SKI!AC38)</f>
        <v>3</v>
      </c>
      <c r="AM41" s="94">
        <f>IF(SKI!AD38="","",SKI!AD38)</f>
        <v>3</v>
      </c>
      <c r="AN41" s="94">
        <f>IF(SKI!AE38="","",SKI!AE38)</f>
        <v>3</v>
      </c>
      <c r="AO41" s="94">
        <f>IF(SKI!AF38="","",SKI!AF38)</f>
        <v>3</v>
      </c>
      <c r="AP41" s="94" t="str">
        <f>IF(SKI!AG38="","",SKI!AG38)</f>
        <v>Santun dalam bersikap, disiplin dalam mentaati tata tertib madrasah, peduli pada lingkungan, orang tua, bertanggung jawab dalam melaksanakan tugas, baik sebagai individu maupun makhluk sosial</v>
      </c>
      <c r="AQ41" s="94" t="str">
        <f>IF(PKN!X38="","",PKN!X38)</f>
        <v/>
      </c>
      <c r="AR41" s="94" t="str">
        <f>IF(PKN!Y38="","",PKN!Y38)</f>
        <v/>
      </c>
      <c r="AS41" s="94" t="str">
        <f>IF(PKN!Z38="","",PKN!Z38)</f>
        <v/>
      </c>
      <c r="AT41" s="94" t="str">
        <f>IF(PKN!AA38="","",PKN!AA38)</f>
        <v/>
      </c>
      <c r="AU41" s="94" t="str">
        <f>IF(PKN!AB38="","",PKN!AB38)</f>
        <v/>
      </c>
      <c r="AV41" s="94" t="str">
        <f>IF(PKN!AC38="","",PKN!AC38)</f>
        <v/>
      </c>
      <c r="AW41" s="94" t="str">
        <f>IF(PKN!AD38="","",PKN!AD38)</f>
        <v/>
      </c>
      <c r="AX41" s="94" t="str">
        <f>IF(PKN!AE38="","",PKN!AE38)</f>
        <v/>
      </c>
      <c r="AY41" s="94" t="str">
        <f>IF(PKN!AF38="","",PKN!AF38)</f>
        <v/>
      </c>
      <c r="AZ41" s="94" t="str">
        <f>IF(PKN!AG38="","",PKN!AG38)</f>
        <v/>
      </c>
      <c r="BA41" s="93" t="str">
        <f>IF(INDO!X38="","",INDO!X38)</f>
        <v/>
      </c>
      <c r="BB41" s="93" t="str">
        <f>IF(INDO!Y38="","",INDO!Y38)</f>
        <v/>
      </c>
      <c r="BC41" s="93" t="str">
        <f>IF(INDO!Z38="","",INDO!Z38)</f>
        <v/>
      </c>
      <c r="BD41" s="93" t="str">
        <f>IF(INDO!AA38="","",INDO!AA38)</f>
        <v/>
      </c>
      <c r="BE41" s="93" t="str">
        <f>IF(INDO!AB38="","",INDO!AB38)</f>
        <v/>
      </c>
      <c r="BF41" s="93" t="str">
        <f>IF(INDO!AC38="","",INDO!AC38)</f>
        <v/>
      </c>
      <c r="BG41" s="93" t="str">
        <f>IF(INDO!AD38="","",INDO!AD38)</f>
        <v/>
      </c>
      <c r="BH41" s="93" t="str">
        <f>IF(INDO!AE38="","",INDO!AE38)</f>
        <v/>
      </c>
      <c r="BI41" s="93" t="str">
        <f>IF(INDO!AF38="","",INDO!AF38)</f>
        <v/>
      </c>
      <c r="BJ41" s="93" t="str">
        <f>IF(INDO!AG38="","",INDO!AG38)</f>
        <v/>
      </c>
      <c r="BK41" s="93" t="str">
        <f>IF(ARAB!X38="","",ARAB!X38)</f>
        <v/>
      </c>
      <c r="BL41" s="93" t="str">
        <f>IF(ARAB!Y38="","",ARAB!Y38)</f>
        <v/>
      </c>
      <c r="BM41" s="93" t="str">
        <f>IF(ARAB!Z38="","",ARAB!Z38)</f>
        <v/>
      </c>
      <c r="BN41" s="93" t="str">
        <f>IF(ARAB!AA38="","",ARAB!AA38)</f>
        <v/>
      </c>
      <c r="BO41" s="93" t="str">
        <f>IF(ARAB!AB38="","",ARAB!AB38)</f>
        <v/>
      </c>
      <c r="BP41" s="93" t="str">
        <f>IF(ARAB!AC38="","",ARAB!AC38)</f>
        <v/>
      </c>
      <c r="BQ41" s="93" t="str">
        <f>IF(ARAB!AD38="","",ARAB!AD38)</f>
        <v/>
      </c>
      <c r="BR41" s="93" t="str">
        <f>IF(ARAB!AE38="","",ARAB!AE38)</f>
        <v/>
      </c>
      <c r="BS41" s="93" t="str">
        <f>IF(ARAB!AF38="","",ARAB!AF38)</f>
        <v/>
      </c>
      <c r="BT41" s="93" t="str">
        <f>IF(ARAB!AG38="","",ARAB!AG38)</f>
        <v/>
      </c>
      <c r="BU41" s="94" t="str">
        <f>IF(MAT!X38="","",MAT!X38)</f>
        <v/>
      </c>
      <c r="BV41" s="94" t="str">
        <f>IF(MAT!Y38="","",MAT!Y38)</f>
        <v/>
      </c>
      <c r="BW41" s="94" t="str">
        <f>IF(MAT!Z38="","",MAT!Z38)</f>
        <v/>
      </c>
      <c r="BX41" s="94" t="str">
        <f>IF(MAT!AA38="","",MAT!AA38)</f>
        <v/>
      </c>
      <c r="BY41" s="94" t="str">
        <f>IF(MAT!AB38="","",MAT!AB38)</f>
        <v/>
      </c>
      <c r="BZ41" s="94" t="str">
        <f>IF(MAT!AC38="","",MAT!AC38)</f>
        <v/>
      </c>
      <c r="CA41" s="94" t="str">
        <f>IF(MAT!AD38="","",MAT!AD38)</f>
        <v/>
      </c>
      <c r="CB41" s="94" t="str">
        <f>IF(MAT!AE38="","",MAT!AE38)</f>
        <v/>
      </c>
      <c r="CC41" s="94" t="str">
        <f>IF(MAT!AF38="","",MAT!AF38)</f>
        <v/>
      </c>
      <c r="CD41" s="94" t="str">
        <f>IF(MAT!AG38="","",MAT!AG38)</f>
        <v/>
      </c>
      <c r="CE41" s="94" t="str">
        <f>IF(IPA!X38="","",IPA!X38)</f>
        <v/>
      </c>
      <c r="CF41" s="94" t="str">
        <f>IF(IPA!Y38="","",IPA!Y38)</f>
        <v/>
      </c>
      <c r="CG41" s="94" t="str">
        <f>IF(IPA!Z38="","",IPA!Z38)</f>
        <v/>
      </c>
      <c r="CH41" s="94" t="str">
        <f>IF(IPA!AA38="","",IPA!AA38)</f>
        <v/>
      </c>
      <c r="CI41" s="94" t="str">
        <f>IF(IPA!AB38="","",IPA!AB38)</f>
        <v/>
      </c>
      <c r="CJ41" s="94" t="str">
        <f>IF(IPA!AC38="","",IPA!AC38)</f>
        <v/>
      </c>
      <c r="CK41" s="94" t="str">
        <f>IF(IPA!AD38="","",IPA!AD38)</f>
        <v/>
      </c>
      <c r="CL41" s="94" t="str">
        <f>IF(IPA!AE38="","",IPA!AE38)</f>
        <v/>
      </c>
      <c r="CM41" s="94" t="str">
        <f>IF(IPA!AF38="","",IPA!AF38)</f>
        <v/>
      </c>
      <c r="CN41" s="94" t="str">
        <f>IF(IPA!AG38="","",IPA!AG38)</f>
        <v/>
      </c>
      <c r="CO41" s="93" t="str">
        <f>IF(IPS!X38="","",IPS!X38)</f>
        <v/>
      </c>
      <c r="CP41" s="93" t="str">
        <f>IF(IPS!Y38="","",IPS!Y38)</f>
        <v/>
      </c>
      <c r="CQ41" s="93" t="str">
        <f>IF(IPS!Z38="","",IPS!Z38)</f>
        <v/>
      </c>
      <c r="CR41" s="93" t="str">
        <f>IF(IPS!AA38="","",IPS!AA38)</f>
        <v/>
      </c>
      <c r="CS41" s="93" t="str">
        <f>IF(IPS!AB38="","",IPS!AB38)</f>
        <v/>
      </c>
      <c r="CT41" s="93" t="str">
        <f>IF(IPS!AC38="","",IPS!AC38)</f>
        <v/>
      </c>
      <c r="CU41" s="93" t="str">
        <f>IF(IPS!AD38="","",IPS!AD38)</f>
        <v/>
      </c>
      <c r="CV41" s="93" t="str">
        <f>IF(IPS!AE38="","",IPS!AE38)</f>
        <v/>
      </c>
      <c r="CW41" s="93" t="str">
        <f>IF(IPS!AF38="","",IPS!AF38)</f>
        <v/>
      </c>
      <c r="CX41" s="93" t="str">
        <f>IF(IPS!AG38="","",IPS!AG38)</f>
        <v/>
      </c>
      <c r="CY41" s="94" t="str">
        <f>IF(INGG!X38="","",INGG!X38)</f>
        <v/>
      </c>
      <c r="CZ41" s="94" t="str">
        <f>IF(INGG!Y38="","",INGG!Y38)</f>
        <v/>
      </c>
      <c r="DA41" s="94" t="str">
        <f>IF(INGG!Z38="","",INGG!Z38)</f>
        <v/>
      </c>
      <c r="DB41" s="94" t="str">
        <f>IF(INGG!AA38="","",INGG!AA38)</f>
        <v/>
      </c>
      <c r="DC41" s="94" t="str">
        <f>IF(INGG!AB38="","",INGG!AB38)</f>
        <v/>
      </c>
      <c r="DD41" s="94" t="str">
        <f>IF(INGG!AC38="","",INGG!AC38)</f>
        <v/>
      </c>
      <c r="DE41" s="94" t="str">
        <f>IF(INGG!AD38="","",INGG!AD38)</f>
        <v/>
      </c>
      <c r="DF41" s="94" t="str">
        <f>IF(INGG!AE38="","",INGG!AE38)</f>
        <v/>
      </c>
      <c r="DG41" s="94" t="str">
        <f>IF(INGG!AF38="","",INGG!AF38)</f>
        <v/>
      </c>
      <c r="DH41" s="94" t="str">
        <f>IF(INGG!AG38="","",INGG!AG38)</f>
        <v/>
      </c>
      <c r="DI41" s="94" t="str">
        <f>IF(SENBUD!X38="","",SENBUD!X38)</f>
        <v/>
      </c>
      <c r="DJ41" s="94" t="str">
        <f>IF(SENBUD!Y38="","",SENBUD!Y38)</f>
        <v/>
      </c>
      <c r="DK41" s="94" t="str">
        <f>IF(SENBUD!Z38="","",SENBUD!Z38)</f>
        <v/>
      </c>
      <c r="DL41" s="94" t="str">
        <f>IF(SENBUD!AA38="","",SENBUD!AA38)</f>
        <v/>
      </c>
      <c r="DM41" s="94" t="str">
        <f>IF(SENBUD!AB38="","",SENBUD!AB38)</f>
        <v/>
      </c>
      <c r="DN41" s="94" t="str">
        <f>IF(SENBUD!AC38="","",SENBUD!AC38)</f>
        <v/>
      </c>
      <c r="DO41" s="94" t="str">
        <f>IF(SENBUD!AD38="","",SENBUD!AD38)</f>
        <v/>
      </c>
      <c r="DP41" s="94" t="str">
        <f>IF(SENBUD!AE38="","",SENBUD!AE38)</f>
        <v/>
      </c>
      <c r="DQ41" s="94" t="str">
        <f>IF(SENBUD!AF38="","",SENBUD!AF38)</f>
        <v/>
      </c>
      <c r="DR41" s="94" t="str">
        <f>IF(SENBUD!AG38="","",SENBUD!AG38)</f>
        <v/>
      </c>
      <c r="DS41" s="93" t="str">
        <f>IF(PENJAS!X38="","",PENJAS!X38)</f>
        <v/>
      </c>
      <c r="DT41" s="93" t="str">
        <f>IF(PENJAS!Y38="","",PENJAS!Y38)</f>
        <v/>
      </c>
      <c r="DU41" s="93" t="str">
        <f>IF(PENJAS!Z38="","",PENJAS!Z38)</f>
        <v/>
      </c>
      <c r="DV41" s="93" t="str">
        <f>IF(PENJAS!AA38="","",PENJAS!AA38)</f>
        <v/>
      </c>
      <c r="DW41" s="93" t="str">
        <f>IF(PENJAS!AB38="","",PENJAS!AB38)</f>
        <v/>
      </c>
      <c r="DX41" s="93" t="str">
        <f>IF(PENJAS!AC38="","",PENJAS!AC38)</f>
        <v/>
      </c>
      <c r="DY41" s="93" t="str">
        <f>IF(PENJAS!AD38="","",PENJAS!AD38)</f>
        <v/>
      </c>
      <c r="DZ41" s="93" t="str">
        <f>IF(PENJAS!AE38="","",PENJAS!AE38)</f>
        <v/>
      </c>
      <c r="EA41" s="93" t="str">
        <f>IF(PENJAS!AF38="","",PENJAS!AF38)</f>
        <v/>
      </c>
      <c r="EB41" s="93" t="str">
        <f>IF(PENJAS!AG38="","",PENJAS!AG38)</f>
        <v/>
      </c>
      <c r="EC41" s="93" t="str">
        <f>IF(PRAKARYA!X38="","",PRAKARYA!X38)</f>
        <v/>
      </c>
      <c r="ED41" s="93" t="str">
        <f>IF(PRAKARYA!Y38="","",PRAKARYA!Y38)</f>
        <v/>
      </c>
      <c r="EE41" s="93" t="str">
        <f>IF(PRAKARYA!Z38="","",PRAKARYA!Z38)</f>
        <v/>
      </c>
      <c r="EF41" s="93" t="str">
        <f>IF(PRAKARYA!AA38="","",PRAKARYA!AA38)</f>
        <v/>
      </c>
      <c r="EG41" s="93" t="str">
        <f>IF(PRAKARYA!AB38="","",PRAKARYA!AB38)</f>
        <v/>
      </c>
      <c r="EH41" s="93" t="str">
        <f>IF(PRAKARYA!AC38="","",PRAKARYA!AC38)</f>
        <v/>
      </c>
      <c r="EI41" s="93" t="str">
        <f>IF(PRAKARYA!AD38="","",PRAKARYA!AD38)</f>
        <v/>
      </c>
      <c r="EJ41" s="93" t="str">
        <f>IF(PRAKARYA!AE38="","",PRAKARYA!AE38)</f>
        <v/>
      </c>
      <c r="EK41" s="93" t="str">
        <f>IF(PRAKARYA!AF38="","",PRAKARYA!AF38)</f>
        <v/>
      </c>
      <c r="EL41" s="93" t="str">
        <f>IF(PRAKARYA!AG38="","",PRAKARYA!AG38)</f>
        <v/>
      </c>
      <c r="EM41" s="95" t="str">
        <f>IF(BADER!X38="","",BADER!X38)</f>
        <v/>
      </c>
      <c r="EN41" s="95" t="str">
        <f>IF(BADER!Y38="","",BADER!Y38)</f>
        <v/>
      </c>
      <c r="EO41" s="95" t="str">
        <f>IF(BADER!Z38="","",BADER!Z38)</f>
        <v/>
      </c>
      <c r="EP41" s="95" t="str">
        <f>IF(BADER!AA38="","",BADER!AA38)</f>
        <v/>
      </c>
      <c r="EQ41" s="95" t="str">
        <f>IF(BADER!AB38="","",BADER!AB38)</f>
        <v/>
      </c>
      <c r="ER41" s="95" t="str">
        <f>IF(BADER!AC38="","",BADER!AC38)</f>
        <v/>
      </c>
      <c r="ES41" s="95" t="str">
        <f>IF(BADER!AD38="","",BADER!AD38)</f>
        <v/>
      </c>
      <c r="ET41" s="95" t="str">
        <f>IF(BADER!AE38="","",BADER!AE38)</f>
        <v/>
      </c>
      <c r="EU41" s="95" t="str">
        <f>IF(BADER!AF38="","",BADER!AF38)</f>
        <v/>
      </c>
      <c r="EV41" s="95" t="str">
        <f>IF(BADER!AG38="","",BADER!AG38)</f>
        <v/>
      </c>
      <c r="EW41" s="96" t="str">
        <f t="shared" si="1"/>
        <v/>
      </c>
      <c r="EX41" s="96" t="str">
        <f t="shared" si="2"/>
        <v/>
      </c>
      <c r="EY41" s="96" t="str">
        <f t="shared" si="14"/>
        <v/>
      </c>
      <c r="EZ41" s="96" t="str">
        <f t="shared" si="14"/>
        <v/>
      </c>
      <c r="FA41" s="96" t="str">
        <f t="shared" si="14"/>
        <v/>
      </c>
      <c r="FB41" s="96" t="str">
        <f t="shared" si="14"/>
        <v/>
      </c>
      <c r="FC41" s="96" t="str">
        <f t="shared" si="14"/>
        <v/>
      </c>
      <c r="FD41" s="96" t="str">
        <f t="shared" si="14"/>
        <v/>
      </c>
      <c r="FE41" s="96" t="str">
        <f t="shared" si="14"/>
        <v/>
      </c>
      <c r="FF41" s="96" t="str">
        <f t="shared" si="3"/>
        <v/>
      </c>
      <c r="FG41" s="96" t="str">
        <f t="shared" si="4"/>
        <v/>
      </c>
      <c r="FH41" s="92" t="str">
        <f t="shared" si="5"/>
        <v/>
      </c>
      <c r="FI41" s="92" t="str">
        <f t="shared" si="6"/>
        <v xml:space="preserve"> </v>
      </c>
      <c r="FJ41" s="92" t="str">
        <f t="shared" si="7"/>
        <v xml:space="preserve"> </v>
      </c>
      <c r="FK41" s="92" t="str">
        <f t="shared" si="8"/>
        <v xml:space="preserve"> </v>
      </c>
      <c r="FL41" s="92" t="str">
        <f t="shared" si="9"/>
        <v xml:space="preserve"> </v>
      </c>
      <c r="FM41" s="92" t="str">
        <f t="shared" si="10"/>
        <v xml:space="preserve"> </v>
      </c>
      <c r="FN41" s="92" t="str">
        <f t="shared" si="11"/>
        <v xml:space="preserve"> </v>
      </c>
      <c r="FO41" s="92" t="str">
        <f t="shared" si="12"/>
        <v xml:space="preserve"> </v>
      </c>
      <c r="FP41" s="92" t="str">
        <f t="shared" si="13"/>
        <v xml:space="preserve">,  ,  ,  ,  ,  ,  ,  </v>
      </c>
    </row>
    <row r="42" spans="1:172">
      <c r="A42" s="66">
        <v>32</v>
      </c>
      <c r="B42" s="92" t="str">
        <f>IF(DATA!D39="","",DATA!D39)</f>
        <v>SYARIF HIDAYATULLOH</v>
      </c>
      <c r="C42" s="93" t="str">
        <f>IF(QH!X39="","",QH!X39)</f>
        <v/>
      </c>
      <c r="D42" s="93" t="str">
        <f>IF(QH!Y39="","",QH!Y39)</f>
        <v/>
      </c>
      <c r="E42" s="93" t="str">
        <f>IF(QH!Z39="","",QH!Z39)</f>
        <v/>
      </c>
      <c r="F42" s="93" t="str">
        <f>IF(QH!AA39="","",QH!AA39)</f>
        <v/>
      </c>
      <c r="G42" s="93" t="str">
        <f>IF(QH!AB39="","",QH!AB39)</f>
        <v/>
      </c>
      <c r="H42" s="93" t="str">
        <f>IF(QH!AC39="","",QH!AC39)</f>
        <v/>
      </c>
      <c r="I42" s="93" t="str">
        <f>IF(QH!AD39="","",QH!AD39)</f>
        <v/>
      </c>
      <c r="J42" s="93" t="str">
        <f>IF(QH!AE39="","",QH!AE39)</f>
        <v/>
      </c>
      <c r="K42" s="93" t="str">
        <f>IF(QH!AF39="","",QH!AF39)</f>
        <v/>
      </c>
      <c r="L42" s="93" t="str">
        <f>IF(QH!AG39="","",QH!AG39)</f>
        <v/>
      </c>
      <c r="M42" s="94" t="str">
        <f>IF(AA!X39="","",AA!X39)</f>
        <v/>
      </c>
      <c r="N42" s="94" t="str">
        <f>IF(AA!Y39="","",AA!Y39)</f>
        <v/>
      </c>
      <c r="O42" s="94" t="str">
        <f>IF(AA!Z39="","",AA!Z39)</f>
        <v/>
      </c>
      <c r="P42" s="94" t="str">
        <f>IF(AA!AA39="","",AA!AA39)</f>
        <v/>
      </c>
      <c r="Q42" s="94" t="str">
        <f>IF(AA!AB39="","",AA!AB39)</f>
        <v/>
      </c>
      <c r="R42" s="94" t="str">
        <f>IF(AA!AC39="","",AA!AC39)</f>
        <v/>
      </c>
      <c r="S42" s="94" t="str">
        <f>IF(AA!AD39="","",AA!AD39)</f>
        <v/>
      </c>
      <c r="T42" s="94" t="str">
        <f>IF(AA!AE39="","",AA!AE39)</f>
        <v/>
      </c>
      <c r="U42" s="94" t="str">
        <f>IF(AA!AF39="","",AA!AF39)</f>
        <v/>
      </c>
      <c r="V42" s="94" t="str">
        <f>IF(AA!AG39="","",AA!AG39)</f>
        <v/>
      </c>
      <c r="W42" s="94" t="str">
        <f>IF(FIKIH!X39="","",FIKIH!X39)</f>
        <v/>
      </c>
      <c r="X42" s="94" t="str">
        <f>IF(FIKIH!Y39="","",FIKIH!Y39)</f>
        <v/>
      </c>
      <c r="Y42" s="94" t="str">
        <f>IF(FIKIH!Z39="","",FIKIH!Z39)</f>
        <v/>
      </c>
      <c r="Z42" s="94" t="str">
        <f>IF(FIKIH!AA39="","",FIKIH!AA39)</f>
        <v/>
      </c>
      <c r="AA42" s="94" t="str">
        <f>IF(FIKIH!AB39="","",FIKIH!AB39)</f>
        <v/>
      </c>
      <c r="AB42" s="94" t="str">
        <f>IF(FIKIH!AC39="","",FIKIH!AC39)</f>
        <v/>
      </c>
      <c r="AC42" s="94" t="str">
        <f>IF(FIKIH!AD39="","",FIKIH!AD39)</f>
        <v/>
      </c>
      <c r="AD42" s="94" t="str">
        <f>IF(FIKIH!AE39="","",FIKIH!AE39)</f>
        <v/>
      </c>
      <c r="AE42" s="94" t="str">
        <f>IF(FIKIH!AF39="","",FIKIH!AF39)</f>
        <v/>
      </c>
      <c r="AF42" s="94" t="str">
        <f>IF(FIKIH!AG39="","",FIKIH!AG39)</f>
        <v/>
      </c>
      <c r="AG42" s="94">
        <f>IF(SKI!X39="","",SKI!X39)</f>
        <v>3</v>
      </c>
      <c r="AH42" s="94" t="str">
        <f>IF(SKI!Y39="","",SKI!Y39)</f>
        <v>Melaksanakan sholat dhuhur berjemaah, berdo'a di awal dan di akhir kegiatan pembelajaran , serta melaksanakan kegiatan amaliyah siswa</v>
      </c>
      <c r="AI42" s="94">
        <f>IF(SKI!Z39="","",SKI!Z39)</f>
        <v>3</v>
      </c>
      <c r="AJ42" s="94">
        <f>IF(SKI!AA39="","",SKI!AA39)</f>
        <v>3</v>
      </c>
      <c r="AK42" s="94">
        <f>IF(SKI!AB39="","",SKI!AB39)</f>
        <v>3</v>
      </c>
      <c r="AL42" s="94">
        <f>IF(SKI!AC39="","",SKI!AC39)</f>
        <v>3</v>
      </c>
      <c r="AM42" s="94">
        <f>IF(SKI!AD39="","",SKI!AD39)</f>
        <v>3</v>
      </c>
      <c r="AN42" s="94">
        <f>IF(SKI!AE39="","",SKI!AE39)</f>
        <v>3</v>
      </c>
      <c r="AO42" s="94">
        <f>IF(SKI!AF39="","",SKI!AF39)</f>
        <v>3</v>
      </c>
      <c r="AP42" s="94" t="str">
        <f>IF(SKI!AG39="","",SKI!AG39)</f>
        <v>Santun dalam bersikap, disiplin dalam mentaati tata tertib madrasah, peduli pada lingkungan, orang tua, bertanggung jawab dalam melaksanakan tugas, baik sebagai individu maupun makhluk sosial</v>
      </c>
      <c r="AQ42" s="94" t="str">
        <f>IF(PKN!X39="","",PKN!X39)</f>
        <v/>
      </c>
      <c r="AR42" s="94" t="str">
        <f>IF(PKN!Y39="","",PKN!Y39)</f>
        <v/>
      </c>
      <c r="AS42" s="94" t="str">
        <f>IF(PKN!Z39="","",PKN!Z39)</f>
        <v/>
      </c>
      <c r="AT42" s="94" t="str">
        <f>IF(PKN!AA39="","",PKN!AA39)</f>
        <v/>
      </c>
      <c r="AU42" s="94" t="str">
        <f>IF(PKN!AB39="","",PKN!AB39)</f>
        <v/>
      </c>
      <c r="AV42" s="94" t="str">
        <f>IF(PKN!AC39="","",PKN!AC39)</f>
        <v/>
      </c>
      <c r="AW42" s="94" t="str">
        <f>IF(PKN!AD39="","",PKN!AD39)</f>
        <v/>
      </c>
      <c r="AX42" s="94" t="str">
        <f>IF(PKN!AE39="","",PKN!AE39)</f>
        <v/>
      </c>
      <c r="AY42" s="94" t="str">
        <f>IF(PKN!AF39="","",PKN!AF39)</f>
        <v/>
      </c>
      <c r="AZ42" s="94" t="str">
        <f>IF(PKN!AG39="","",PKN!AG39)</f>
        <v/>
      </c>
      <c r="BA42" s="93" t="str">
        <f>IF(INDO!X39="","",INDO!X39)</f>
        <v/>
      </c>
      <c r="BB42" s="93" t="str">
        <f>IF(INDO!Y39="","",INDO!Y39)</f>
        <v/>
      </c>
      <c r="BC42" s="93" t="str">
        <f>IF(INDO!Z39="","",INDO!Z39)</f>
        <v/>
      </c>
      <c r="BD42" s="93" t="str">
        <f>IF(INDO!AA39="","",INDO!AA39)</f>
        <v/>
      </c>
      <c r="BE42" s="93" t="str">
        <f>IF(INDO!AB39="","",INDO!AB39)</f>
        <v/>
      </c>
      <c r="BF42" s="93" t="str">
        <f>IF(INDO!AC39="","",INDO!AC39)</f>
        <v/>
      </c>
      <c r="BG42" s="93" t="str">
        <f>IF(INDO!AD39="","",INDO!AD39)</f>
        <v/>
      </c>
      <c r="BH42" s="93" t="str">
        <f>IF(INDO!AE39="","",INDO!AE39)</f>
        <v/>
      </c>
      <c r="BI42" s="93" t="str">
        <f>IF(INDO!AF39="","",INDO!AF39)</f>
        <v/>
      </c>
      <c r="BJ42" s="93" t="str">
        <f>IF(INDO!AG39="","",INDO!AG39)</f>
        <v/>
      </c>
      <c r="BK42" s="93" t="str">
        <f>IF(ARAB!X39="","",ARAB!X39)</f>
        <v/>
      </c>
      <c r="BL42" s="93" t="str">
        <f>IF(ARAB!Y39="","",ARAB!Y39)</f>
        <v/>
      </c>
      <c r="BM42" s="93" t="str">
        <f>IF(ARAB!Z39="","",ARAB!Z39)</f>
        <v/>
      </c>
      <c r="BN42" s="93" t="str">
        <f>IF(ARAB!AA39="","",ARAB!AA39)</f>
        <v/>
      </c>
      <c r="BO42" s="93" t="str">
        <f>IF(ARAB!AB39="","",ARAB!AB39)</f>
        <v/>
      </c>
      <c r="BP42" s="93" t="str">
        <f>IF(ARAB!AC39="","",ARAB!AC39)</f>
        <v/>
      </c>
      <c r="BQ42" s="93" t="str">
        <f>IF(ARAB!AD39="","",ARAB!AD39)</f>
        <v/>
      </c>
      <c r="BR42" s="93" t="str">
        <f>IF(ARAB!AE39="","",ARAB!AE39)</f>
        <v/>
      </c>
      <c r="BS42" s="93" t="str">
        <f>IF(ARAB!AF39="","",ARAB!AF39)</f>
        <v/>
      </c>
      <c r="BT42" s="93" t="str">
        <f>IF(ARAB!AG39="","",ARAB!AG39)</f>
        <v/>
      </c>
      <c r="BU42" s="94" t="str">
        <f>IF(MAT!X39="","",MAT!X39)</f>
        <v/>
      </c>
      <c r="BV42" s="94" t="str">
        <f>IF(MAT!Y39="","",MAT!Y39)</f>
        <v/>
      </c>
      <c r="BW42" s="94" t="str">
        <f>IF(MAT!Z39="","",MAT!Z39)</f>
        <v/>
      </c>
      <c r="BX42" s="94" t="str">
        <f>IF(MAT!AA39="","",MAT!AA39)</f>
        <v/>
      </c>
      <c r="BY42" s="94" t="str">
        <f>IF(MAT!AB39="","",MAT!AB39)</f>
        <v/>
      </c>
      <c r="BZ42" s="94" t="str">
        <f>IF(MAT!AC39="","",MAT!AC39)</f>
        <v/>
      </c>
      <c r="CA42" s="94" t="str">
        <f>IF(MAT!AD39="","",MAT!AD39)</f>
        <v/>
      </c>
      <c r="CB42" s="94" t="str">
        <f>IF(MAT!AE39="","",MAT!AE39)</f>
        <v/>
      </c>
      <c r="CC42" s="94" t="str">
        <f>IF(MAT!AF39="","",MAT!AF39)</f>
        <v/>
      </c>
      <c r="CD42" s="94" t="str">
        <f>IF(MAT!AG39="","",MAT!AG39)</f>
        <v/>
      </c>
      <c r="CE42" s="94" t="str">
        <f>IF(IPA!X39="","",IPA!X39)</f>
        <v/>
      </c>
      <c r="CF42" s="94" t="str">
        <f>IF(IPA!Y39="","",IPA!Y39)</f>
        <v/>
      </c>
      <c r="CG42" s="94" t="str">
        <f>IF(IPA!Z39="","",IPA!Z39)</f>
        <v/>
      </c>
      <c r="CH42" s="94" t="str">
        <f>IF(IPA!AA39="","",IPA!AA39)</f>
        <v/>
      </c>
      <c r="CI42" s="94" t="str">
        <f>IF(IPA!AB39="","",IPA!AB39)</f>
        <v/>
      </c>
      <c r="CJ42" s="94" t="str">
        <f>IF(IPA!AC39="","",IPA!AC39)</f>
        <v/>
      </c>
      <c r="CK42" s="94" t="str">
        <f>IF(IPA!AD39="","",IPA!AD39)</f>
        <v/>
      </c>
      <c r="CL42" s="94" t="str">
        <f>IF(IPA!AE39="","",IPA!AE39)</f>
        <v/>
      </c>
      <c r="CM42" s="94" t="str">
        <f>IF(IPA!AF39="","",IPA!AF39)</f>
        <v/>
      </c>
      <c r="CN42" s="94" t="str">
        <f>IF(IPA!AG39="","",IPA!AG39)</f>
        <v/>
      </c>
      <c r="CO42" s="93" t="str">
        <f>IF(IPS!X39="","",IPS!X39)</f>
        <v/>
      </c>
      <c r="CP42" s="93" t="str">
        <f>IF(IPS!Y39="","",IPS!Y39)</f>
        <v/>
      </c>
      <c r="CQ42" s="93" t="str">
        <f>IF(IPS!Z39="","",IPS!Z39)</f>
        <v/>
      </c>
      <c r="CR42" s="93" t="str">
        <f>IF(IPS!AA39="","",IPS!AA39)</f>
        <v/>
      </c>
      <c r="CS42" s="93" t="str">
        <f>IF(IPS!AB39="","",IPS!AB39)</f>
        <v/>
      </c>
      <c r="CT42" s="93" t="str">
        <f>IF(IPS!AC39="","",IPS!AC39)</f>
        <v/>
      </c>
      <c r="CU42" s="93" t="str">
        <f>IF(IPS!AD39="","",IPS!AD39)</f>
        <v/>
      </c>
      <c r="CV42" s="93" t="str">
        <f>IF(IPS!AE39="","",IPS!AE39)</f>
        <v/>
      </c>
      <c r="CW42" s="93" t="str">
        <f>IF(IPS!AF39="","",IPS!AF39)</f>
        <v/>
      </c>
      <c r="CX42" s="93" t="str">
        <f>IF(IPS!AG39="","",IPS!AG39)</f>
        <v/>
      </c>
      <c r="CY42" s="94" t="str">
        <f>IF(INGG!X39="","",INGG!X39)</f>
        <v/>
      </c>
      <c r="CZ42" s="94" t="str">
        <f>IF(INGG!Y39="","",INGG!Y39)</f>
        <v/>
      </c>
      <c r="DA42" s="94" t="str">
        <f>IF(INGG!Z39="","",INGG!Z39)</f>
        <v/>
      </c>
      <c r="DB42" s="94" t="str">
        <f>IF(INGG!AA39="","",INGG!AA39)</f>
        <v/>
      </c>
      <c r="DC42" s="94" t="str">
        <f>IF(INGG!AB39="","",INGG!AB39)</f>
        <v/>
      </c>
      <c r="DD42" s="94" t="str">
        <f>IF(INGG!AC39="","",INGG!AC39)</f>
        <v/>
      </c>
      <c r="DE42" s="94" t="str">
        <f>IF(INGG!AD39="","",INGG!AD39)</f>
        <v/>
      </c>
      <c r="DF42" s="94" t="str">
        <f>IF(INGG!AE39="","",INGG!AE39)</f>
        <v/>
      </c>
      <c r="DG42" s="94" t="str">
        <f>IF(INGG!AF39="","",INGG!AF39)</f>
        <v/>
      </c>
      <c r="DH42" s="94" t="str">
        <f>IF(INGG!AG39="","",INGG!AG39)</f>
        <v/>
      </c>
      <c r="DI42" s="94" t="str">
        <f>IF(SENBUD!X39="","",SENBUD!X39)</f>
        <v/>
      </c>
      <c r="DJ42" s="94" t="str">
        <f>IF(SENBUD!Y39="","",SENBUD!Y39)</f>
        <v/>
      </c>
      <c r="DK42" s="94" t="str">
        <f>IF(SENBUD!Z39="","",SENBUD!Z39)</f>
        <v/>
      </c>
      <c r="DL42" s="94" t="str">
        <f>IF(SENBUD!AA39="","",SENBUD!AA39)</f>
        <v/>
      </c>
      <c r="DM42" s="94" t="str">
        <f>IF(SENBUD!AB39="","",SENBUD!AB39)</f>
        <v/>
      </c>
      <c r="DN42" s="94" t="str">
        <f>IF(SENBUD!AC39="","",SENBUD!AC39)</f>
        <v/>
      </c>
      <c r="DO42" s="94" t="str">
        <f>IF(SENBUD!AD39="","",SENBUD!AD39)</f>
        <v/>
      </c>
      <c r="DP42" s="94" t="str">
        <f>IF(SENBUD!AE39="","",SENBUD!AE39)</f>
        <v/>
      </c>
      <c r="DQ42" s="94" t="str">
        <f>IF(SENBUD!AF39="","",SENBUD!AF39)</f>
        <v/>
      </c>
      <c r="DR42" s="94" t="str">
        <f>IF(SENBUD!AG39="","",SENBUD!AG39)</f>
        <v/>
      </c>
      <c r="DS42" s="93" t="str">
        <f>IF(PENJAS!X39="","",PENJAS!X39)</f>
        <v/>
      </c>
      <c r="DT42" s="93" t="str">
        <f>IF(PENJAS!Y39="","",PENJAS!Y39)</f>
        <v/>
      </c>
      <c r="DU42" s="93" t="str">
        <f>IF(PENJAS!Z39="","",PENJAS!Z39)</f>
        <v/>
      </c>
      <c r="DV42" s="93" t="str">
        <f>IF(PENJAS!AA39="","",PENJAS!AA39)</f>
        <v/>
      </c>
      <c r="DW42" s="93" t="str">
        <f>IF(PENJAS!AB39="","",PENJAS!AB39)</f>
        <v/>
      </c>
      <c r="DX42" s="93" t="str">
        <f>IF(PENJAS!AC39="","",PENJAS!AC39)</f>
        <v/>
      </c>
      <c r="DY42" s="93" t="str">
        <f>IF(PENJAS!AD39="","",PENJAS!AD39)</f>
        <v/>
      </c>
      <c r="DZ42" s="93" t="str">
        <f>IF(PENJAS!AE39="","",PENJAS!AE39)</f>
        <v/>
      </c>
      <c r="EA42" s="93" t="str">
        <f>IF(PENJAS!AF39="","",PENJAS!AF39)</f>
        <v/>
      </c>
      <c r="EB42" s="93" t="str">
        <f>IF(PENJAS!AG39="","",PENJAS!AG39)</f>
        <v/>
      </c>
      <c r="EC42" s="93" t="str">
        <f>IF(PRAKARYA!X39="","",PRAKARYA!X39)</f>
        <v/>
      </c>
      <c r="ED42" s="93" t="str">
        <f>IF(PRAKARYA!Y39="","",PRAKARYA!Y39)</f>
        <v/>
      </c>
      <c r="EE42" s="93" t="str">
        <f>IF(PRAKARYA!Z39="","",PRAKARYA!Z39)</f>
        <v/>
      </c>
      <c r="EF42" s="93" t="str">
        <f>IF(PRAKARYA!AA39="","",PRAKARYA!AA39)</f>
        <v/>
      </c>
      <c r="EG42" s="93" t="str">
        <f>IF(PRAKARYA!AB39="","",PRAKARYA!AB39)</f>
        <v/>
      </c>
      <c r="EH42" s="93" t="str">
        <f>IF(PRAKARYA!AC39="","",PRAKARYA!AC39)</f>
        <v/>
      </c>
      <c r="EI42" s="93" t="str">
        <f>IF(PRAKARYA!AD39="","",PRAKARYA!AD39)</f>
        <v/>
      </c>
      <c r="EJ42" s="93" t="str">
        <f>IF(PRAKARYA!AE39="","",PRAKARYA!AE39)</f>
        <v/>
      </c>
      <c r="EK42" s="93" t="str">
        <f>IF(PRAKARYA!AF39="","",PRAKARYA!AF39)</f>
        <v/>
      </c>
      <c r="EL42" s="93" t="str">
        <f>IF(PRAKARYA!AG39="","",PRAKARYA!AG39)</f>
        <v/>
      </c>
      <c r="EM42" s="95" t="str">
        <f>IF(BADER!X39="","",BADER!X39)</f>
        <v/>
      </c>
      <c r="EN42" s="95" t="str">
        <f>IF(BADER!Y39="","",BADER!Y39)</f>
        <v/>
      </c>
      <c r="EO42" s="95" t="str">
        <f>IF(BADER!Z39="","",BADER!Z39)</f>
        <v/>
      </c>
      <c r="EP42" s="95" t="str">
        <f>IF(BADER!AA39="","",BADER!AA39)</f>
        <v/>
      </c>
      <c r="EQ42" s="95" t="str">
        <f>IF(BADER!AB39="","",BADER!AB39)</f>
        <v/>
      </c>
      <c r="ER42" s="95" t="str">
        <f>IF(BADER!AC39="","",BADER!AC39)</f>
        <v/>
      </c>
      <c r="ES42" s="95" t="str">
        <f>IF(BADER!AD39="","",BADER!AD39)</f>
        <v/>
      </c>
      <c r="ET42" s="95" t="str">
        <f>IF(BADER!AE39="","",BADER!AE39)</f>
        <v/>
      </c>
      <c r="EU42" s="95" t="str">
        <f>IF(BADER!AF39="","",BADER!AF39)</f>
        <v/>
      </c>
      <c r="EV42" s="95" t="str">
        <f>IF(BADER!AG39="","",BADER!AG39)</f>
        <v/>
      </c>
      <c r="EW42" s="96" t="str">
        <f t="shared" si="1"/>
        <v/>
      </c>
      <c r="EX42" s="96" t="str">
        <f t="shared" si="2"/>
        <v/>
      </c>
      <c r="EY42" s="96" t="str">
        <f t="shared" si="14"/>
        <v/>
      </c>
      <c r="EZ42" s="96" t="str">
        <f t="shared" si="14"/>
        <v/>
      </c>
      <c r="FA42" s="96" t="str">
        <f t="shared" si="14"/>
        <v/>
      </c>
      <c r="FB42" s="96" t="str">
        <f t="shared" si="14"/>
        <v/>
      </c>
      <c r="FC42" s="96" t="str">
        <f t="shared" si="14"/>
        <v/>
      </c>
      <c r="FD42" s="96" t="str">
        <f t="shared" si="14"/>
        <v/>
      </c>
      <c r="FE42" s="96" t="str">
        <f t="shared" si="14"/>
        <v/>
      </c>
      <c r="FF42" s="96" t="str">
        <f t="shared" si="3"/>
        <v/>
      </c>
      <c r="FG42" s="96" t="str">
        <f t="shared" si="4"/>
        <v/>
      </c>
      <c r="FH42" s="92" t="str">
        <f t="shared" si="5"/>
        <v/>
      </c>
      <c r="FI42" s="92" t="str">
        <f t="shared" si="6"/>
        <v xml:space="preserve"> </v>
      </c>
      <c r="FJ42" s="92" t="str">
        <f t="shared" si="7"/>
        <v xml:space="preserve"> </v>
      </c>
      <c r="FK42" s="92" t="str">
        <f t="shared" si="8"/>
        <v xml:space="preserve"> </v>
      </c>
      <c r="FL42" s="92" t="str">
        <f t="shared" si="9"/>
        <v xml:space="preserve"> </v>
      </c>
      <c r="FM42" s="92" t="str">
        <f t="shared" si="10"/>
        <v xml:space="preserve"> </v>
      </c>
      <c r="FN42" s="92" t="str">
        <f t="shared" si="11"/>
        <v xml:space="preserve"> </v>
      </c>
      <c r="FO42" s="92" t="str">
        <f t="shared" si="12"/>
        <v xml:space="preserve"> </v>
      </c>
      <c r="FP42" s="92" t="str">
        <f t="shared" si="13"/>
        <v xml:space="preserve">,  ,  ,  ,  ,  ,  ,  </v>
      </c>
    </row>
    <row r="43" spans="1:172">
      <c r="A43" s="66">
        <v>33</v>
      </c>
      <c r="B43" s="92" t="str">
        <f>IF(DATA!D40="","",DATA!D40)</f>
        <v>URVIA ZAHNA ROHANDY</v>
      </c>
      <c r="C43" s="93" t="str">
        <f>IF(QH!X40="","",QH!X40)</f>
        <v/>
      </c>
      <c r="D43" s="93" t="str">
        <f>IF(QH!Y40="","",QH!Y40)</f>
        <v/>
      </c>
      <c r="E43" s="93" t="str">
        <f>IF(QH!Z40="","",QH!Z40)</f>
        <v/>
      </c>
      <c r="F43" s="93" t="str">
        <f>IF(QH!AA40="","",QH!AA40)</f>
        <v/>
      </c>
      <c r="G43" s="93" t="str">
        <f>IF(QH!AB40="","",QH!AB40)</f>
        <v/>
      </c>
      <c r="H43" s="93" t="str">
        <f>IF(QH!AC40="","",QH!AC40)</f>
        <v/>
      </c>
      <c r="I43" s="93" t="str">
        <f>IF(QH!AD40="","",QH!AD40)</f>
        <v/>
      </c>
      <c r="J43" s="93" t="str">
        <f>IF(QH!AE40="","",QH!AE40)</f>
        <v/>
      </c>
      <c r="K43" s="93" t="str">
        <f>IF(QH!AF40="","",QH!AF40)</f>
        <v/>
      </c>
      <c r="L43" s="93" t="str">
        <f>IF(QH!AG40="","",QH!AG40)</f>
        <v/>
      </c>
      <c r="M43" s="94" t="str">
        <f>IF(AA!X40="","",AA!X40)</f>
        <v/>
      </c>
      <c r="N43" s="94" t="str">
        <f>IF(AA!Y40="","",AA!Y40)</f>
        <v/>
      </c>
      <c r="O43" s="94" t="str">
        <f>IF(AA!Z40="","",AA!Z40)</f>
        <v/>
      </c>
      <c r="P43" s="94" t="str">
        <f>IF(AA!AA40="","",AA!AA40)</f>
        <v/>
      </c>
      <c r="Q43" s="94" t="str">
        <f>IF(AA!AB40="","",AA!AB40)</f>
        <v/>
      </c>
      <c r="R43" s="94" t="str">
        <f>IF(AA!AC40="","",AA!AC40)</f>
        <v/>
      </c>
      <c r="S43" s="94" t="str">
        <f>IF(AA!AD40="","",AA!AD40)</f>
        <v/>
      </c>
      <c r="T43" s="94" t="str">
        <f>IF(AA!AE40="","",AA!AE40)</f>
        <v/>
      </c>
      <c r="U43" s="94" t="str">
        <f>IF(AA!AF40="","",AA!AF40)</f>
        <v/>
      </c>
      <c r="V43" s="94" t="str">
        <f>IF(AA!AG40="","",AA!AG40)</f>
        <v/>
      </c>
      <c r="W43" s="94" t="str">
        <f>IF(FIKIH!X40="","",FIKIH!X40)</f>
        <v/>
      </c>
      <c r="X43" s="94" t="str">
        <f>IF(FIKIH!Y40="","",FIKIH!Y40)</f>
        <v/>
      </c>
      <c r="Y43" s="94" t="str">
        <f>IF(FIKIH!Z40="","",FIKIH!Z40)</f>
        <v/>
      </c>
      <c r="Z43" s="94" t="str">
        <f>IF(FIKIH!AA40="","",FIKIH!AA40)</f>
        <v/>
      </c>
      <c r="AA43" s="94" t="str">
        <f>IF(FIKIH!AB40="","",FIKIH!AB40)</f>
        <v/>
      </c>
      <c r="AB43" s="94" t="str">
        <f>IF(FIKIH!AC40="","",FIKIH!AC40)</f>
        <v/>
      </c>
      <c r="AC43" s="94" t="str">
        <f>IF(FIKIH!AD40="","",FIKIH!AD40)</f>
        <v/>
      </c>
      <c r="AD43" s="94" t="str">
        <f>IF(FIKIH!AE40="","",FIKIH!AE40)</f>
        <v/>
      </c>
      <c r="AE43" s="94" t="str">
        <f>IF(FIKIH!AF40="","",FIKIH!AF40)</f>
        <v/>
      </c>
      <c r="AF43" s="94" t="str">
        <f>IF(FIKIH!AG40="","",FIKIH!AG40)</f>
        <v/>
      </c>
      <c r="AG43" s="94">
        <f>IF(SKI!X40="","",SKI!X40)</f>
        <v>3</v>
      </c>
      <c r="AH43" s="94" t="str">
        <f>IF(SKI!Y40="","",SKI!Y40)</f>
        <v>Melaksanakan sholat dhuhur berjemaah, berdo'a di awal dan di akhir kegiatan pembelajaran , serta melaksanakan kegiatan amaliyah siswa</v>
      </c>
      <c r="AI43" s="94">
        <f>IF(SKI!Z40="","",SKI!Z40)</f>
        <v>3</v>
      </c>
      <c r="AJ43" s="94">
        <f>IF(SKI!AA40="","",SKI!AA40)</f>
        <v>3</v>
      </c>
      <c r="AK43" s="94">
        <f>IF(SKI!AB40="","",SKI!AB40)</f>
        <v>3</v>
      </c>
      <c r="AL43" s="94">
        <f>IF(SKI!AC40="","",SKI!AC40)</f>
        <v>3</v>
      </c>
      <c r="AM43" s="94">
        <f>IF(SKI!AD40="","",SKI!AD40)</f>
        <v>3</v>
      </c>
      <c r="AN43" s="94">
        <f>IF(SKI!AE40="","",SKI!AE40)</f>
        <v>3</v>
      </c>
      <c r="AO43" s="94">
        <f>IF(SKI!AF40="","",SKI!AF40)</f>
        <v>3</v>
      </c>
      <c r="AP43" s="94" t="str">
        <f>IF(SKI!AG40="","",SKI!AG40)</f>
        <v>Santun dalam bersikap, disiplin dalam mentaati tata tertib madrasah, peduli pada lingkungan, orang tua, bertanggung jawab dalam melaksanakan tugas, baik sebagai individu maupun makhluk sosial</v>
      </c>
      <c r="AQ43" s="94" t="str">
        <f>IF(PKN!X40="","",PKN!X40)</f>
        <v/>
      </c>
      <c r="AR43" s="94" t="str">
        <f>IF(PKN!Y40="","",PKN!Y40)</f>
        <v/>
      </c>
      <c r="AS43" s="94" t="str">
        <f>IF(PKN!Z40="","",PKN!Z40)</f>
        <v/>
      </c>
      <c r="AT43" s="94" t="str">
        <f>IF(PKN!AA40="","",PKN!AA40)</f>
        <v/>
      </c>
      <c r="AU43" s="94" t="str">
        <f>IF(PKN!AB40="","",PKN!AB40)</f>
        <v/>
      </c>
      <c r="AV43" s="94" t="str">
        <f>IF(PKN!AC40="","",PKN!AC40)</f>
        <v/>
      </c>
      <c r="AW43" s="94" t="str">
        <f>IF(PKN!AD40="","",PKN!AD40)</f>
        <v/>
      </c>
      <c r="AX43" s="94" t="str">
        <f>IF(PKN!AE40="","",PKN!AE40)</f>
        <v/>
      </c>
      <c r="AY43" s="94" t="str">
        <f>IF(PKN!AF40="","",PKN!AF40)</f>
        <v/>
      </c>
      <c r="AZ43" s="94" t="str">
        <f>IF(PKN!AG40="","",PKN!AG40)</f>
        <v/>
      </c>
      <c r="BA43" s="93" t="str">
        <f>IF(INDO!X40="","",INDO!X40)</f>
        <v/>
      </c>
      <c r="BB43" s="93" t="str">
        <f>IF(INDO!Y40="","",INDO!Y40)</f>
        <v/>
      </c>
      <c r="BC43" s="93" t="str">
        <f>IF(INDO!Z40="","",INDO!Z40)</f>
        <v/>
      </c>
      <c r="BD43" s="93" t="str">
        <f>IF(INDO!AA40="","",INDO!AA40)</f>
        <v/>
      </c>
      <c r="BE43" s="93" t="str">
        <f>IF(INDO!AB40="","",INDO!AB40)</f>
        <v/>
      </c>
      <c r="BF43" s="93" t="str">
        <f>IF(INDO!AC40="","",INDO!AC40)</f>
        <v/>
      </c>
      <c r="BG43" s="93" t="str">
        <f>IF(INDO!AD40="","",INDO!AD40)</f>
        <v/>
      </c>
      <c r="BH43" s="93" t="str">
        <f>IF(INDO!AE40="","",INDO!AE40)</f>
        <v/>
      </c>
      <c r="BI43" s="93" t="str">
        <f>IF(INDO!AF40="","",INDO!AF40)</f>
        <v/>
      </c>
      <c r="BJ43" s="93" t="str">
        <f>IF(INDO!AG40="","",INDO!AG40)</f>
        <v/>
      </c>
      <c r="BK43" s="93" t="str">
        <f>IF(ARAB!X40="","",ARAB!X40)</f>
        <v/>
      </c>
      <c r="BL43" s="93" t="str">
        <f>IF(ARAB!Y40="","",ARAB!Y40)</f>
        <v/>
      </c>
      <c r="BM43" s="93" t="str">
        <f>IF(ARAB!Z40="","",ARAB!Z40)</f>
        <v/>
      </c>
      <c r="BN43" s="93" t="str">
        <f>IF(ARAB!AA40="","",ARAB!AA40)</f>
        <v/>
      </c>
      <c r="BO43" s="93" t="str">
        <f>IF(ARAB!AB40="","",ARAB!AB40)</f>
        <v/>
      </c>
      <c r="BP43" s="93" t="str">
        <f>IF(ARAB!AC40="","",ARAB!AC40)</f>
        <v/>
      </c>
      <c r="BQ43" s="93" t="str">
        <f>IF(ARAB!AD40="","",ARAB!AD40)</f>
        <v/>
      </c>
      <c r="BR43" s="93" t="str">
        <f>IF(ARAB!AE40="","",ARAB!AE40)</f>
        <v/>
      </c>
      <c r="BS43" s="93" t="str">
        <f>IF(ARAB!AF40="","",ARAB!AF40)</f>
        <v/>
      </c>
      <c r="BT43" s="93" t="str">
        <f>IF(ARAB!AG40="","",ARAB!AG40)</f>
        <v/>
      </c>
      <c r="BU43" s="94" t="str">
        <f>IF(MAT!X40="","",MAT!X40)</f>
        <v/>
      </c>
      <c r="BV43" s="94" t="str">
        <f>IF(MAT!Y40="","",MAT!Y40)</f>
        <v/>
      </c>
      <c r="BW43" s="94" t="str">
        <f>IF(MAT!Z40="","",MAT!Z40)</f>
        <v/>
      </c>
      <c r="BX43" s="94" t="str">
        <f>IF(MAT!AA40="","",MAT!AA40)</f>
        <v/>
      </c>
      <c r="BY43" s="94" t="str">
        <f>IF(MAT!AB40="","",MAT!AB40)</f>
        <v/>
      </c>
      <c r="BZ43" s="94" t="str">
        <f>IF(MAT!AC40="","",MAT!AC40)</f>
        <v/>
      </c>
      <c r="CA43" s="94" t="str">
        <f>IF(MAT!AD40="","",MAT!AD40)</f>
        <v/>
      </c>
      <c r="CB43" s="94" t="str">
        <f>IF(MAT!AE40="","",MAT!AE40)</f>
        <v/>
      </c>
      <c r="CC43" s="94" t="str">
        <f>IF(MAT!AF40="","",MAT!AF40)</f>
        <v/>
      </c>
      <c r="CD43" s="94" t="str">
        <f>IF(MAT!AG40="","",MAT!AG40)</f>
        <v/>
      </c>
      <c r="CE43" s="94" t="str">
        <f>IF(IPA!X40="","",IPA!X40)</f>
        <v/>
      </c>
      <c r="CF43" s="94" t="str">
        <f>IF(IPA!Y40="","",IPA!Y40)</f>
        <v/>
      </c>
      <c r="CG43" s="94" t="str">
        <f>IF(IPA!Z40="","",IPA!Z40)</f>
        <v/>
      </c>
      <c r="CH43" s="94" t="str">
        <f>IF(IPA!AA40="","",IPA!AA40)</f>
        <v/>
      </c>
      <c r="CI43" s="94" t="str">
        <f>IF(IPA!AB40="","",IPA!AB40)</f>
        <v/>
      </c>
      <c r="CJ43" s="94" t="str">
        <f>IF(IPA!AC40="","",IPA!AC40)</f>
        <v/>
      </c>
      <c r="CK43" s="94" t="str">
        <f>IF(IPA!AD40="","",IPA!AD40)</f>
        <v/>
      </c>
      <c r="CL43" s="94" t="str">
        <f>IF(IPA!AE40="","",IPA!AE40)</f>
        <v/>
      </c>
      <c r="CM43" s="94" t="str">
        <f>IF(IPA!AF40="","",IPA!AF40)</f>
        <v/>
      </c>
      <c r="CN43" s="94" t="str">
        <f>IF(IPA!AG40="","",IPA!AG40)</f>
        <v/>
      </c>
      <c r="CO43" s="93" t="str">
        <f>IF(IPS!X40="","",IPS!X40)</f>
        <v/>
      </c>
      <c r="CP43" s="93" t="str">
        <f>IF(IPS!Y40="","",IPS!Y40)</f>
        <v/>
      </c>
      <c r="CQ43" s="93" t="str">
        <f>IF(IPS!Z40="","",IPS!Z40)</f>
        <v/>
      </c>
      <c r="CR43" s="93" t="str">
        <f>IF(IPS!AA40="","",IPS!AA40)</f>
        <v/>
      </c>
      <c r="CS43" s="93" t="str">
        <f>IF(IPS!AB40="","",IPS!AB40)</f>
        <v/>
      </c>
      <c r="CT43" s="93" t="str">
        <f>IF(IPS!AC40="","",IPS!AC40)</f>
        <v/>
      </c>
      <c r="CU43" s="93" t="str">
        <f>IF(IPS!AD40="","",IPS!AD40)</f>
        <v/>
      </c>
      <c r="CV43" s="93" t="str">
        <f>IF(IPS!AE40="","",IPS!AE40)</f>
        <v/>
      </c>
      <c r="CW43" s="93" t="str">
        <f>IF(IPS!AF40="","",IPS!AF40)</f>
        <v/>
      </c>
      <c r="CX43" s="93" t="str">
        <f>IF(IPS!AG40="","",IPS!AG40)</f>
        <v/>
      </c>
      <c r="CY43" s="94" t="str">
        <f>IF(INGG!X40="","",INGG!X40)</f>
        <v/>
      </c>
      <c r="CZ43" s="94" t="str">
        <f>IF(INGG!Y40="","",INGG!Y40)</f>
        <v/>
      </c>
      <c r="DA43" s="94" t="str">
        <f>IF(INGG!Z40="","",INGG!Z40)</f>
        <v/>
      </c>
      <c r="DB43" s="94" t="str">
        <f>IF(INGG!AA40="","",INGG!AA40)</f>
        <v/>
      </c>
      <c r="DC43" s="94" t="str">
        <f>IF(INGG!AB40="","",INGG!AB40)</f>
        <v/>
      </c>
      <c r="DD43" s="94" t="str">
        <f>IF(INGG!AC40="","",INGG!AC40)</f>
        <v/>
      </c>
      <c r="DE43" s="94" t="str">
        <f>IF(INGG!AD40="","",INGG!AD40)</f>
        <v/>
      </c>
      <c r="DF43" s="94" t="str">
        <f>IF(INGG!AE40="","",INGG!AE40)</f>
        <v/>
      </c>
      <c r="DG43" s="94" t="str">
        <f>IF(INGG!AF40="","",INGG!AF40)</f>
        <v/>
      </c>
      <c r="DH43" s="94" t="str">
        <f>IF(INGG!AG40="","",INGG!AG40)</f>
        <v/>
      </c>
      <c r="DI43" s="94" t="str">
        <f>IF(SENBUD!X40="","",SENBUD!X40)</f>
        <v/>
      </c>
      <c r="DJ43" s="94" t="str">
        <f>IF(SENBUD!Y40="","",SENBUD!Y40)</f>
        <v/>
      </c>
      <c r="DK43" s="94" t="str">
        <f>IF(SENBUD!Z40="","",SENBUD!Z40)</f>
        <v/>
      </c>
      <c r="DL43" s="94" t="str">
        <f>IF(SENBUD!AA40="","",SENBUD!AA40)</f>
        <v/>
      </c>
      <c r="DM43" s="94" t="str">
        <f>IF(SENBUD!AB40="","",SENBUD!AB40)</f>
        <v/>
      </c>
      <c r="DN43" s="94" t="str">
        <f>IF(SENBUD!AC40="","",SENBUD!AC40)</f>
        <v/>
      </c>
      <c r="DO43" s="94" t="str">
        <f>IF(SENBUD!AD40="","",SENBUD!AD40)</f>
        <v/>
      </c>
      <c r="DP43" s="94" t="str">
        <f>IF(SENBUD!AE40="","",SENBUD!AE40)</f>
        <v/>
      </c>
      <c r="DQ43" s="94" t="str">
        <f>IF(SENBUD!AF40="","",SENBUD!AF40)</f>
        <v/>
      </c>
      <c r="DR43" s="94" t="str">
        <f>IF(SENBUD!AG40="","",SENBUD!AG40)</f>
        <v/>
      </c>
      <c r="DS43" s="93" t="str">
        <f>IF(PENJAS!X40="","",PENJAS!X40)</f>
        <v/>
      </c>
      <c r="DT43" s="93" t="str">
        <f>IF(PENJAS!Y40="","",PENJAS!Y40)</f>
        <v/>
      </c>
      <c r="DU43" s="93" t="str">
        <f>IF(PENJAS!Z40="","",PENJAS!Z40)</f>
        <v/>
      </c>
      <c r="DV43" s="93" t="str">
        <f>IF(PENJAS!AA40="","",PENJAS!AA40)</f>
        <v/>
      </c>
      <c r="DW43" s="93" t="str">
        <f>IF(PENJAS!AB40="","",PENJAS!AB40)</f>
        <v/>
      </c>
      <c r="DX43" s="93" t="str">
        <f>IF(PENJAS!AC40="","",PENJAS!AC40)</f>
        <v/>
      </c>
      <c r="DY43" s="93" t="str">
        <f>IF(PENJAS!AD40="","",PENJAS!AD40)</f>
        <v/>
      </c>
      <c r="DZ43" s="93" t="str">
        <f>IF(PENJAS!AE40="","",PENJAS!AE40)</f>
        <v/>
      </c>
      <c r="EA43" s="93" t="str">
        <f>IF(PENJAS!AF40="","",PENJAS!AF40)</f>
        <v/>
      </c>
      <c r="EB43" s="93" t="str">
        <f>IF(PENJAS!AG40="","",PENJAS!AG40)</f>
        <v/>
      </c>
      <c r="EC43" s="93" t="str">
        <f>IF(PRAKARYA!X40="","",PRAKARYA!X40)</f>
        <v/>
      </c>
      <c r="ED43" s="93" t="str">
        <f>IF(PRAKARYA!Y40="","",PRAKARYA!Y40)</f>
        <v/>
      </c>
      <c r="EE43" s="93" t="str">
        <f>IF(PRAKARYA!Z40="","",PRAKARYA!Z40)</f>
        <v/>
      </c>
      <c r="EF43" s="93" t="str">
        <f>IF(PRAKARYA!AA40="","",PRAKARYA!AA40)</f>
        <v/>
      </c>
      <c r="EG43" s="93" t="str">
        <f>IF(PRAKARYA!AB40="","",PRAKARYA!AB40)</f>
        <v/>
      </c>
      <c r="EH43" s="93" t="str">
        <f>IF(PRAKARYA!AC40="","",PRAKARYA!AC40)</f>
        <v/>
      </c>
      <c r="EI43" s="93" t="str">
        <f>IF(PRAKARYA!AD40="","",PRAKARYA!AD40)</f>
        <v/>
      </c>
      <c r="EJ43" s="93" t="str">
        <f>IF(PRAKARYA!AE40="","",PRAKARYA!AE40)</f>
        <v/>
      </c>
      <c r="EK43" s="93" t="str">
        <f>IF(PRAKARYA!AF40="","",PRAKARYA!AF40)</f>
        <v/>
      </c>
      <c r="EL43" s="93" t="str">
        <f>IF(PRAKARYA!AG40="","",PRAKARYA!AG40)</f>
        <v/>
      </c>
      <c r="EM43" s="95" t="str">
        <f>IF(BADER!X40="","",BADER!X40)</f>
        <v/>
      </c>
      <c r="EN43" s="95" t="str">
        <f>IF(BADER!Y40="","",BADER!Y40)</f>
        <v/>
      </c>
      <c r="EO43" s="95" t="str">
        <f>IF(BADER!Z40="","",BADER!Z40)</f>
        <v/>
      </c>
      <c r="EP43" s="95" t="str">
        <f>IF(BADER!AA40="","",BADER!AA40)</f>
        <v/>
      </c>
      <c r="EQ43" s="95" t="str">
        <f>IF(BADER!AB40="","",BADER!AB40)</f>
        <v/>
      </c>
      <c r="ER43" s="95" t="str">
        <f>IF(BADER!AC40="","",BADER!AC40)</f>
        <v/>
      </c>
      <c r="ES43" s="95" t="str">
        <f>IF(BADER!AD40="","",BADER!AD40)</f>
        <v/>
      </c>
      <c r="ET43" s="95" t="str">
        <f>IF(BADER!AE40="","",BADER!AE40)</f>
        <v/>
      </c>
      <c r="EU43" s="95" t="str">
        <f>IF(BADER!AF40="","",BADER!AF40)</f>
        <v/>
      </c>
      <c r="EV43" s="95" t="str">
        <f>IF(BADER!AG40="","",BADER!AG40)</f>
        <v/>
      </c>
      <c r="EW43" s="96" t="str">
        <f t="shared" si="1"/>
        <v/>
      </c>
      <c r="EX43" s="96" t="str">
        <f t="shared" si="2"/>
        <v/>
      </c>
      <c r="EY43" s="96" t="str">
        <f t="shared" si="14"/>
        <v/>
      </c>
      <c r="EZ43" s="96" t="str">
        <f t="shared" si="14"/>
        <v/>
      </c>
      <c r="FA43" s="96" t="str">
        <f t="shared" si="14"/>
        <v/>
      </c>
      <c r="FB43" s="96" t="str">
        <f t="shared" si="14"/>
        <v/>
      </c>
      <c r="FC43" s="96" t="str">
        <f t="shared" si="14"/>
        <v/>
      </c>
      <c r="FD43" s="96" t="str">
        <f t="shared" si="14"/>
        <v/>
      </c>
      <c r="FE43" s="96" t="str">
        <f t="shared" si="14"/>
        <v/>
      </c>
      <c r="FF43" s="96" t="str">
        <f t="shared" si="3"/>
        <v/>
      </c>
      <c r="FG43" s="96" t="str">
        <f t="shared" si="4"/>
        <v/>
      </c>
      <c r="FH43" s="92" t="str">
        <f t="shared" si="5"/>
        <v/>
      </c>
      <c r="FI43" s="92" t="str">
        <f t="shared" si="6"/>
        <v xml:space="preserve"> </v>
      </c>
      <c r="FJ43" s="92" t="str">
        <f t="shared" si="7"/>
        <v xml:space="preserve"> </v>
      </c>
      <c r="FK43" s="92" t="str">
        <f t="shared" si="8"/>
        <v xml:space="preserve"> </v>
      </c>
      <c r="FL43" s="92" t="str">
        <f t="shared" si="9"/>
        <v xml:space="preserve"> </v>
      </c>
      <c r="FM43" s="92" t="str">
        <f t="shared" si="10"/>
        <v xml:space="preserve"> </v>
      </c>
      <c r="FN43" s="92" t="str">
        <f t="shared" si="11"/>
        <v xml:space="preserve"> </v>
      </c>
      <c r="FO43" s="92" t="str">
        <f t="shared" si="12"/>
        <v xml:space="preserve"> </v>
      </c>
      <c r="FP43" s="92" t="str">
        <f t="shared" si="13"/>
        <v xml:space="preserve">,  ,  ,  ,  ,  ,  ,  </v>
      </c>
    </row>
    <row r="44" spans="1:172">
      <c r="A44" s="66">
        <v>34</v>
      </c>
      <c r="B44" s="92" t="str">
        <f>IF(DATA!D41="","",DATA!D41)</f>
        <v/>
      </c>
      <c r="C44" s="93" t="str">
        <f>IF(QH!X41="","",QH!X41)</f>
        <v/>
      </c>
      <c r="D44" s="93" t="str">
        <f>IF(QH!Y41="","",QH!Y41)</f>
        <v/>
      </c>
      <c r="E44" s="93" t="str">
        <f>IF(QH!Z41="","",QH!Z41)</f>
        <v/>
      </c>
      <c r="F44" s="93" t="str">
        <f>IF(QH!AA41="","",QH!AA41)</f>
        <v/>
      </c>
      <c r="G44" s="93" t="str">
        <f>IF(QH!AB41="","",QH!AB41)</f>
        <v/>
      </c>
      <c r="H44" s="93" t="str">
        <f>IF(QH!AC41="","",QH!AC41)</f>
        <v/>
      </c>
      <c r="I44" s="93" t="str">
        <f>IF(QH!AD41="","",QH!AD41)</f>
        <v/>
      </c>
      <c r="J44" s="93" t="str">
        <f>IF(QH!AE41="","",QH!AE41)</f>
        <v/>
      </c>
      <c r="K44" s="93" t="str">
        <f>IF(QH!AF41="","",QH!AF41)</f>
        <v/>
      </c>
      <c r="L44" s="93" t="str">
        <f>IF(QH!AG41="","",QH!AG41)</f>
        <v/>
      </c>
      <c r="M44" s="94" t="str">
        <f>IF(AA!X41="","",AA!X41)</f>
        <v/>
      </c>
      <c r="N44" s="94" t="str">
        <f>IF(AA!Y41="","",AA!Y41)</f>
        <v/>
      </c>
      <c r="O44" s="94" t="str">
        <f>IF(AA!Z41="","",AA!Z41)</f>
        <v/>
      </c>
      <c r="P44" s="94" t="str">
        <f>IF(AA!AA41="","",AA!AA41)</f>
        <v/>
      </c>
      <c r="Q44" s="94" t="str">
        <f>IF(AA!AB41="","",AA!AB41)</f>
        <v/>
      </c>
      <c r="R44" s="94" t="str">
        <f>IF(AA!AC41="","",AA!AC41)</f>
        <v/>
      </c>
      <c r="S44" s="94" t="str">
        <f>IF(AA!AD41="","",AA!AD41)</f>
        <v/>
      </c>
      <c r="T44" s="94" t="str">
        <f>IF(AA!AE41="","",AA!AE41)</f>
        <v/>
      </c>
      <c r="U44" s="94" t="str">
        <f>IF(AA!AF41="","",AA!AF41)</f>
        <v/>
      </c>
      <c r="V44" s="94" t="str">
        <f>IF(AA!AG41="","",AA!AG41)</f>
        <v/>
      </c>
      <c r="W44" s="94" t="str">
        <f>IF(FIKIH!X41="","",FIKIH!X41)</f>
        <v/>
      </c>
      <c r="X44" s="94" t="str">
        <f>IF(FIKIH!Y41="","",FIKIH!Y41)</f>
        <v/>
      </c>
      <c r="Y44" s="94" t="str">
        <f>IF(FIKIH!Z41="","",FIKIH!Z41)</f>
        <v/>
      </c>
      <c r="Z44" s="94" t="str">
        <f>IF(FIKIH!AA41="","",FIKIH!AA41)</f>
        <v/>
      </c>
      <c r="AA44" s="94" t="str">
        <f>IF(FIKIH!AB41="","",FIKIH!AB41)</f>
        <v/>
      </c>
      <c r="AB44" s="94" t="str">
        <f>IF(FIKIH!AC41="","",FIKIH!AC41)</f>
        <v/>
      </c>
      <c r="AC44" s="94" t="str">
        <f>IF(FIKIH!AD41="","",FIKIH!AD41)</f>
        <v/>
      </c>
      <c r="AD44" s="94" t="str">
        <f>IF(FIKIH!AE41="","",FIKIH!AE41)</f>
        <v/>
      </c>
      <c r="AE44" s="94" t="str">
        <f>IF(FIKIH!AF41="","",FIKIH!AF41)</f>
        <v/>
      </c>
      <c r="AF44" s="94" t="str">
        <f>IF(FIKIH!AG41="","",FIKIH!AG41)</f>
        <v/>
      </c>
      <c r="AG44" s="94">
        <f>IF(SKI!X41="","",SKI!X41)</f>
        <v>3</v>
      </c>
      <c r="AH44" s="94" t="str">
        <f>IF(SKI!Y41="","",SKI!Y41)</f>
        <v>Melaksanakan sholat dhuhur berjemaah, berdo'a di awal dan di akhir kegiatan pembelajaran , serta melaksanakan kegiatan amaliyah siswa</v>
      </c>
      <c r="AI44" s="94">
        <f>IF(SKI!Z41="","",SKI!Z41)</f>
        <v>3</v>
      </c>
      <c r="AJ44" s="94">
        <f>IF(SKI!AA41="","",SKI!AA41)</f>
        <v>3</v>
      </c>
      <c r="AK44" s="94">
        <f>IF(SKI!AB41="","",SKI!AB41)</f>
        <v>3</v>
      </c>
      <c r="AL44" s="94">
        <f>IF(SKI!AC41="","",SKI!AC41)</f>
        <v>3</v>
      </c>
      <c r="AM44" s="94">
        <f>IF(SKI!AD41="","",SKI!AD41)</f>
        <v>3</v>
      </c>
      <c r="AN44" s="94">
        <f>IF(SKI!AE41="","",SKI!AE41)</f>
        <v>3</v>
      </c>
      <c r="AO44" s="94">
        <f>IF(SKI!AF41="","",SKI!AF41)</f>
        <v>3</v>
      </c>
      <c r="AP44" s="94" t="str">
        <f>IF(SKI!AG41="","",SKI!AG41)</f>
        <v>Santun dalam bersikap, disiplin dalam mentaati tata tertib madrasah, peduli pada lingkungan, orang tua, bertanggung jawab dalam melaksanakan tugas, baik sebagai individu maupun makhluk sosial</v>
      </c>
      <c r="AQ44" s="94" t="str">
        <f>IF(PKN!X41="","",PKN!X41)</f>
        <v/>
      </c>
      <c r="AR44" s="94" t="str">
        <f>IF(PKN!Y41="","",PKN!Y41)</f>
        <v/>
      </c>
      <c r="AS44" s="94" t="str">
        <f>IF(PKN!Z41="","",PKN!Z41)</f>
        <v/>
      </c>
      <c r="AT44" s="94" t="str">
        <f>IF(PKN!AA41="","",PKN!AA41)</f>
        <v/>
      </c>
      <c r="AU44" s="94" t="str">
        <f>IF(PKN!AB41="","",PKN!AB41)</f>
        <v/>
      </c>
      <c r="AV44" s="94" t="str">
        <f>IF(PKN!AC41="","",PKN!AC41)</f>
        <v/>
      </c>
      <c r="AW44" s="94" t="str">
        <f>IF(PKN!AD41="","",PKN!AD41)</f>
        <v/>
      </c>
      <c r="AX44" s="94" t="str">
        <f>IF(PKN!AE41="","",PKN!AE41)</f>
        <v/>
      </c>
      <c r="AY44" s="94" t="str">
        <f>IF(PKN!AF41="","",PKN!AF41)</f>
        <v/>
      </c>
      <c r="AZ44" s="94" t="str">
        <f>IF(PKN!AG41="","",PKN!AG41)</f>
        <v/>
      </c>
      <c r="BA44" s="93" t="str">
        <f>IF(INDO!X41="","",INDO!X41)</f>
        <v/>
      </c>
      <c r="BB44" s="93" t="str">
        <f>IF(INDO!Y41="","",INDO!Y41)</f>
        <v/>
      </c>
      <c r="BC44" s="93" t="str">
        <f>IF(INDO!Z41="","",INDO!Z41)</f>
        <v/>
      </c>
      <c r="BD44" s="93" t="str">
        <f>IF(INDO!AA41="","",INDO!AA41)</f>
        <v/>
      </c>
      <c r="BE44" s="93" t="str">
        <f>IF(INDO!AB41="","",INDO!AB41)</f>
        <v/>
      </c>
      <c r="BF44" s="93" t="str">
        <f>IF(INDO!AC41="","",INDO!AC41)</f>
        <v/>
      </c>
      <c r="BG44" s="93" t="str">
        <f>IF(INDO!AD41="","",INDO!AD41)</f>
        <v/>
      </c>
      <c r="BH44" s="93" t="str">
        <f>IF(INDO!AE41="","",INDO!AE41)</f>
        <v/>
      </c>
      <c r="BI44" s="93" t="str">
        <f>IF(INDO!AF41="","",INDO!AF41)</f>
        <v/>
      </c>
      <c r="BJ44" s="93" t="str">
        <f>IF(INDO!AG41="","",INDO!AG41)</f>
        <v/>
      </c>
      <c r="BK44" s="93" t="str">
        <f>IF(ARAB!X41="","",ARAB!X41)</f>
        <v/>
      </c>
      <c r="BL44" s="93" t="str">
        <f>IF(ARAB!Y41="","",ARAB!Y41)</f>
        <v/>
      </c>
      <c r="BM44" s="93" t="str">
        <f>IF(ARAB!Z41="","",ARAB!Z41)</f>
        <v/>
      </c>
      <c r="BN44" s="93" t="str">
        <f>IF(ARAB!AA41="","",ARAB!AA41)</f>
        <v/>
      </c>
      <c r="BO44" s="93" t="str">
        <f>IF(ARAB!AB41="","",ARAB!AB41)</f>
        <v/>
      </c>
      <c r="BP44" s="93" t="str">
        <f>IF(ARAB!AC41="","",ARAB!AC41)</f>
        <v/>
      </c>
      <c r="BQ44" s="93" t="str">
        <f>IF(ARAB!AD41="","",ARAB!AD41)</f>
        <v/>
      </c>
      <c r="BR44" s="93" t="str">
        <f>IF(ARAB!AE41="","",ARAB!AE41)</f>
        <v/>
      </c>
      <c r="BS44" s="93" t="str">
        <f>IF(ARAB!AF41="","",ARAB!AF41)</f>
        <v/>
      </c>
      <c r="BT44" s="93" t="str">
        <f>IF(ARAB!AG41="","",ARAB!AG41)</f>
        <v/>
      </c>
      <c r="BU44" s="94" t="str">
        <f>IF(MAT!X41="","",MAT!X41)</f>
        <v/>
      </c>
      <c r="BV44" s="94" t="str">
        <f>IF(MAT!Y41="","",MAT!Y41)</f>
        <v/>
      </c>
      <c r="BW44" s="94" t="str">
        <f>IF(MAT!Z41="","",MAT!Z41)</f>
        <v/>
      </c>
      <c r="BX44" s="94" t="str">
        <f>IF(MAT!AA41="","",MAT!AA41)</f>
        <v/>
      </c>
      <c r="BY44" s="94" t="str">
        <f>IF(MAT!AB41="","",MAT!AB41)</f>
        <v/>
      </c>
      <c r="BZ44" s="94" t="str">
        <f>IF(MAT!AC41="","",MAT!AC41)</f>
        <v/>
      </c>
      <c r="CA44" s="94" t="str">
        <f>IF(MAT!AD41="","",MAT!AD41)</f>
        <v/>
      </c>
      <c r="CB44" s="94" t="str">
        <f>IF(MAT!AE41="","",MAT!AE41)</f>
        <v/>
      </c>
      <c r="CC44" s="94" t="str">
        <f>IF(MAT!AF41="","",MAT!AF41)</f>
        <v/>
      </c>
      <c r="CD44" s="94" t="str">
        <f>IF(MAT!AG41="","",MAT!AG41)</f>
        <v/>
      </c>
      <c r="CE44" s="94" t="str">
        <f>IF(IPA!X41="","",IPA!X41)</f>
        <v/>
      </c>
      <c r="CF44" s="94" t="str">
        <f>IF(IPA!Y41="","",IPA!Y41)</f>
        <v/>
      </c>
      <c r="CG44" s="94" t="str">
        <f>IF(IPA!Z41="","",IPA!Z41)</f>
        <v/>
      </c>
      <c r="CH44" s="94" t="str">
        <f>IF(IPA!AA41="","",IPA!AA41)</f>
        <v/>
      </c>
      <c r="CI44" s="94" t="str">
        <f>IF(IPA!AB41="","",IPA!AB41)</f>
        <v/>
      </c>
      <c r="CJ44" s="94" t="str">
        <f>IF(IPA!AC41="","",IPA!AC41)</f>
        <v/>
      </c>
      <c r="CK44" s="94" t="str">
        <f>IF(IPA!AD41="","",IPA!AD41)</f>
        <v/>
      </c>
      <c r="CL44" s="94" t="str">
        <f>IF(IPA!AE41="","",IPA!AE41)</f>
        <v/>
      </c>
      <c r="CM44" s="94" t="str">
        <f>IF(IPA!AF41="","",IPA!AF41)</f>
        <v/>
      </c>
      <c r="CN44" s="94" t="str">
        <f>IF(IPA!AG41="","",IPA!AG41)</f>
        <v/>
      </c>
      <c r="CO44" s="93" t="str">
        <f>IF(IPS!X41="","",IPS!X41)</f>
        <v/>
      </c>
      <c r="CP44" s="93" t="str">
        <f>IF(IPS!Y41="","",IPS!Y41)</f>
        <v/>
      </c>
      <c r="CQ44" s="93" t="str">
        <f>IF(IPS!Z41="","",IPS!Z41)</f>
        <v/>
      </c>
      <c r="CR44" s="93" t="str">
        <f>IF(IPS!AA41="","",IPS!AA41)</f>
        <v/>
      </c>
      <c r="CS44" s="93" t="str">
        <f>IF(IPS!AB41="","",IPS!AB41)</f>
        <v/>
      </c>
      <c r="CT44" s="93" t="str">
        <f>IF(IPS!AC41="","",IPS!AC41)</f>
        <v/>
      </c>
      <c r="CU44" s="93" t="str">
        <f>IF(IPS!AD41="","",IPS!AD41)</f>
        <v/>
      </c>
      <c r="CV44" s="93" t="str">
        <f>IF(IPS!AE41="","",IPS!AE41)</f>
        <v/>
      </c>
      <c r="CW44" s="93" t="str">
        <f>IF(IPS!AF41="","",IPS!AF41)</f>
        <v/>
      </c>
      <c r="CX44" s="93" t="str">
        <f>IF(IPS!AG41="","",IPS!AG41)</f>
        <v/>
      </c>
      <c r="CY44" s="94" t="str">
        <f>IF(INGG!X41="","",INGG!X41)</f>
        <v/>
      </c>
      <c r="CZ44" s="94" t="str">
        <f>IF(INGG!Y41="","",INGG!Y41)</f>
        <v/>
      </c>
      <c r="DA44" s="94" t="str">
        <f>IF(INGG!Z41="","",INGG!Z41)</f>
        <v/>
      </c>
      <c r="DB44" s="94" t="str">
        <f>IF(INGG!AA41="","",INGG!AA41)</f>
        <v/>
      </c>
      <c r="DC44" s="94" t="str">
        <f>IF(INGG!AB41="","",INGG!AB41)</f>
        <v/>
      </c>
      <c r="DD44" s="94" t="str">
        <f>IF(INGG!AC41="","",INGG!AC41)</f>
        <v/>
      </c>
      <c r="DE44" s="94" t="str">
        <f>IF(INGG!AD41="","",INGG!AD41)</f>
        <v/>
      </c>
      <c r="DF44" s="94" t="str">
        <f>IF(INGG!AE41="","",INGG!AE41)</f>
        <v/>
      </c>
      <c r="DG44" s="94" t="str">
        <f>IF(INGG!AF41="","",INGG!AF41)</f>
        <v/>
      </c>
      <c r="DH44" s="94" t="str">
        <f>IF(INGG!AG41="","",INGG!AG41)</f>
        <v/>
      </c>
      <c r="DI44" s="94" t="str">
        <f>IF(SENBUD!X41="","",SENBUD!X41)</f>
        <v/>
      </c>
      <c r="DJ44" s="94" t="str">
        <f>IF(SENBUD!Y41="","",SENBUD!Y41)</f>
        <v/>
      </c>
      <c r="DK44" s="94" t="str">
        <f>IF(SENBUD!Z41="","",SENBUD!Z41)</f>
        <v/>
      </c>
      <c r="DL44" s="94" t="str">
        <f>IF(SENBUD!AA41="","",SENBUD!AA41)</f>
        <v/>
      </c>
      <c r="DM44" s="94" t="str">
        <f>IF(SENBUD!AB41="","",SENBUD!AB41)</f>
        <v/>
      </c>
      <c r="DN44" s="94" t="str">
        <f>IF(SENBUD!AC41="","",SENBUD!AC41)</f>
        <v/>
      </c>
      <c r="DO44" s="94" t="str">
        <f>IF(SENBUD!AD41="","",SENBUD!AD41)</f>
        <v/>
      </c>
      <c r="DP44" s="94" t="str">
        <f>IF(SENBUD!AE41="","",SENBUD!AE41)</f>
        <v/>
      </c>
      <c r="DQ44" s="94" t="str">
        <f>IF(SENBUD!AF41="","",SENBUD!AF41)</f>
        <v/>
      </c>
      <c r="DR44" s="94" t="str">
        <f>IF(SENBUD!AG41="","",SENBUD!AG41)</f>
        <v/>
      </c>
      <c r="DS44" s="93" t="str">
        <f>IF(PENJAS!X41="","",PENJAS!X41)</f>
        <v/>
      </c>
      <c r="DT44" s="93" t="str">
        <f>IF(PENJAS!Y41="","",PENJAS!Y41)</f>
        <v/>
      </c>
      <c r="DU44" s="93" t="str">
        <f>IF(PENJAS!Z41="","",PENJAS!Z41)</f>
        <v/>
      </c>
      <c r="DV44" s="93" t="str">
        <f>IF(PENJAS!AA41="","",PENJAS!AA41)</f>
        <v/>
      </c>
      <c r="DW44" s="93" t="str">
        <f>IF(PENJAS!AB41="","",PENJAS!AB41)</f>
        <v/>
      </c>
      <c r="DX44" s="93" t="str">
        <f>IF(PENJAS!AC41="","",PENJAS!AC41)</f>
        <v/>
      </c>
      <c r="DY44" s="93" t="str">
        <f>IF(PENJAS!AD41="","",PENJAS!AD41)</f>
        <v/>
      </c>
      <c r="DZ44" s="93" t="str">
        <f>IF(PENJAS!AE41="","",PENJAS!AE41)</f>
        <v/>
      </c>
      <c r="EA44" s="93" t="str">
        <f>IF(PENJAS!AF41="","",PENJAS!AF41)</f>
        <v/>
      </c>
      <c r="EB44" s="93" t="str">
        <f>IF(PENJAS!AG41="","",PENJAS!AG41)</f>
        <v/>
      </c>
      <c r="EC44" s="93" t="str">
        <f>IF(PRAKARYA!X41="","",PRAKARYA!X41)</f>
        <v/>
      </c>
      <c r="ED44" s="93" t="str">
        <f>IF(PRAKARYA!Y41="","",PRAKARYA!Y41)</f>
        <v/>
      </c>
      <c r="EE44" s="93" t="str">
        <f>IF(PRAKARYA!Z41="","",PRAKARYA!Z41)</f>
        <v/>
      </c>
      <c r="EF44" s="93" t="str">
        <f>IF(PRAKARYA!AA41="","",PRAKARYA!AA41)</f>
        <v/>
      </c>
      <c r="EG44" s="93" t="str">
        <f>IF(PRAKARYA!AB41="","",PRAKARYA!AB41)</f>
        <v/>
      </c>
      <c r="EH44" s="93" t="str">
        <f>IF(PRAKARYA!AC41="","",PRAKARYA!AC41)</f>
        <v/>
      </c>
      <c r="EI44" s="93" t="str">
        <f>IF(PRAKARYA!AD41="","",PRAKARYA!AD41)</f>
        <v/>
      </c>
      <c r="EJ44" s="93" t="str">
        <f>IF(PRAKARYA!AE41="","",PRAKARYA!AE41)</f>
        <v/>
      </c>
      <c r="EK44" s="93" t="str">
        <f>IF(PRAKARYA!AF41="","",PRAKARYA!AF41)</f>
        <v/>
      </c>
      <c r="EL44" s="93" t="str">
        <f>IF(PRAKARYA!AG41="","",PRAKARYA!AG41)</f>
        <v/>
      </c>
      <c r="EM44" s="95" t="str">
        <f>IF(BADER!X41="","",BADER!X41)</f>
        <v/>
      </c>
      <c r="EN44" s="95" t="str">
        <f>IF(BADER!Y41="","",BADER!Y41)</f>
        <v/>
      </c>
      <c r="EO44" s="95" t="str">
        <f>IF(BADER!Z41="","",BADER!Z41)</f>
        <v/>
      </c>
      <c r="EP44" s="95" t="str">
        <f>IF(BADER!AA41="","",BADER!AA41)</f>
        <v/>
      </c>
      <c r="EQ44" s="95" t="str">
        <f>IF(BADER!AB41="","",BADER!AB41)</f>
        <v/>
      </c>
      <c r="ER44" s="95" t="str">
        <f>IF(BADER!AC41="","",BADER!AC41)</f>
        <v/>
      </c>
      <c r="ES44" s="95" t="str">
        <f>IF(BADER!AD41="","",BADER!AD41)</f>
        <v/>
      </c>
      <c r="ET44" s="95" t="str">
        <f>IF(BADER!AE41="","",BADER!AE41)</f>
        <v/>
      </c>
      <c r="EU44" s="95" t="str">
        <f>IF(BADER!AF41="","",BADER!AF41)</f>
        <v/>
      </c>
      <c r="EV44" s="95" t="str">
        <f>IF(BADER!AG41="","",BADER!AG41)</f>
        <v/>
      </c>
      <c r="EW44" s="96" t="str">
        <f t="shared" si="1"/>
        <v/>
      </c>
      <c r="EX44" s="96" t="str">
        <f t="shared" si="2"/>
        <v/>
      </c>
      <c r="EY44" s="96" t="str">
        <f t="shared" si="14"/>
        <v/>
      </c>
      <c r="EZ44" s="96" t="str">
        <f t="shared" si="14"/>
        <v/>
      </c>
      <c r="FA44" s="96" t="str">
        <f t="shared" si="14"/>
        <v/>
      </c>
      <c r="FB44" s="96" t="str">
        <f t="shared" si="14"/>
        <v/>
      </c>
      <c r="FC44" s="96" t="str">
        <f t="shared" si="14"/>
        <v/>
      </c>
      <c r="FD44" s="96" t="str">
        <f t="shared" si="14"/>
        <v/>
      </c>
      <c r="FE44" s="96" t="str">
        <f t="shared" si="14"/>
        <v/>
      </c>
      <c r="FF44" s="96" t="str">
        <f t="shared" si="3"/>
        <v/>
      </c>
      <c r="FG44" s="96" t="str">
        <f t="shared" si="4"/>
        <v/>
      </c>
      <c r="FH44" s="92" t="str">
        <f t="shared" si="5"/>
        <v/>
      </c>
      <c r="FI44" s="92" t="str">
        <f t="shared" si="6"/>
        <v xml:space="preserve"> </v>
      </c>
      <c r="FJ44" s="92" t="str">
        <f t="shared" si="7"/>
        <v xml:space="preserve"> </v>
      </c>
      <c r="FK44" s="92" t="str">
        <f t="shared" si="8"/>
        <v xml:space="preserve"> </v>
      </c>
      <c r="FL44" s="92" t="str">
        <f t="shared" si="9"/>
        <v xml:space="preserve"> </v>
      </c>
      <c r="FM44" s="92" t="str">
        <f t="shared" si="10"/>
        <v xml:space="preserve"> </v>
      </c>
      <c r="FN44" s="92" t="str">
        <f t="shared" si="11"/>
        <v xml:space="preserve"> </v>
      </c>
      <c r="FO44" s="92" t="str">
        <f t="shared" si="12"/>
        <v xml:space="preserve"> </v>
      </c>
      <c r="FP44" s="92" t="str">
        <f t="shared" si="13"/>
        <v xml:space="preserve">,  ,  ,  ,  ,  ,  ,  </v>
      </c>
    </row>
    <row r="45" spans="1:172">
      <c r="A45" s="66">
        <v>35</v>
      </c>
      <c r="B45" s="92" t="str">
        <f>IF(DATA!D42="","",DATA!D42)</f>
        <v/>
      </c>
      <c r="C45" s="93" t="str">
        <f>IF(QH!X42="","",QH!X42)</f>
        <v/>
      </c>
      <c r="D45" s="93" t="str">
        <f>IF(QH!Y42="","",QH!Y42)</f>
        <v/>
      </c>
      <c r="E45" s="93" t="str">
        <f>IF(QH!Z42="","",QH!Z42)</f>
        <v/>
      </c>
      <c r="F45" s="93" t="str">
        <f>IF(QH!AA42="","",QH!AA42)</f>
        <v/>
      </c>
      <c r="G45" s="93" t="str">
        <f>IF(QH!AB42="","",QH!AB42)</f>
        <v/>
      </c>
      <c r="H45" s="93" t="str">
        <f>IF(QH!AC42="","",QH!AC42)</f>
        <v/>
      </c>
      <c r="I45" s="93" t="str">
        <f>IF(QH!AD42="","",QH!AD42)</f>
        <v/>
      </c>
      <c r="J45" s="93" t="str">
        <f>IF(QH!AE42="","",QH!AE42)</f>
        <v/>
      </c>
      <c r="K45" s="93" t="str">
        <f>IF(QH!AF42="","",QH!AF42)</f>
        <v/>
      </c>
      <c r="L45" s="93" t="str">
        <f>IF(QH!AG42="","",QH!AG42)</f>
        <v/>
      </c>
      <c r="M45" s="94" t="str">
        <f>IF(AA!X42="","",AA!X42)</f>
        <v/>
      </c>
      <c r="N45" s="94" t="str">
        <f>IF(AA!Y42="","",AA!Y42)</f>
        <v/>
      </c>
      <c r="O45" s="94" t="str">
        <f>IF(AA!Z42="","",AA!Z42)</f>
        <v/>
      </c>
      <c r="P45" s="94" t="str">
        <f>IF(AA!AA42="","",AA!AA42)</f>
        <v/>
      </c>
      <c r="Q45" s="94" t="str">
        <f>IF(AA!AB42="","",AA!AB42)</f>
        <v/>
      </c>
      <c r="R45" s="94" t="str">
        <f>IF(AA!AC42="","",AA!AC42)</f>
        <v/>
      </c>
      <c r="S45" s="94" t="str">
        <f>IF(AA!AD42="","",AA!AD42)</f>
        <v/>
      </c>
      <c r="T45" s="94" t="str">
        <f>IF(AA!AE42="","",AA!AE42)</f>
        <v/>
      </c>
      <c r="U45" s="94" t="str">
        <f>IF(AA!AF42="","",AA!AF42)</f>
        <v/>
      </c>
      <c r="V45" s="94" t="str">
        <f>IF(AA!AG42="","",AA!AG42)</f>
        <v/>
      </c>
      <c r="W45" s="94" t="str">
        <f>IF(FIKIH!X42="","",FIKIH!X42)</f>
        <v/>
      </c>
      <c r="X45" s="94" t="str">
        <f>IF(FIKIH!Y42="","",FIKIH!Y42)</f>
        <v/>
      </c>
      <c r="Y45" s="94" t="str">
        <f>IF(FIKIH!Z42="","",FIKIH!Z42)</f>
        <v/>
      </c>
      <c r="Z45" s="94" t="str">
        <f>IF(FIKIH!AA42="","",FIKIH!AA42)</f>
        <v/>
      </c>
      <c r="AA45" s="94" t="str">
        <f>IF(FIKIH!AB42="","",FIKIH!AB42)</f>
        <v/>
      </c>
      <c r="AB45" s="94" t="str">
        <f>IF(FIKIH!AC42="","",FIKIH!AC42)</f>
        <v/>
      </c>
      <c r="AC45" s="94" t="str">
        <f>IF(FIKIH!AD42="","",FIKIH!AD42)</f>
        <v/>
      </c>
      <c r="AD45" s="94" t="str">
        <f>IF(FIKIH!AE42="","",FIKIH!AE42)</f>
        <v/>
      </c>
      <c r="AE45" s="94" t="str">
        <f>IF(FIKIH!AF42="","",FIKIH!AF42)</f>
        <v/>
      </c>
      <c r="AF45" s="94" t="str">
        <f>IF(FIKIH!AG42="","",FIKIH!AG42)</f>
        <v/>
      </c>
      <c r="AG45" s="94">
        <f>IF(SKI!X42="","",SKI!X42)</f>
        <v>3</v>
      </c>
      <c r="AH45" s="94" t="str">
        <f>IF(SKI!Y42="","",SKI!Y42)</f>
        <v>Melaksanakan sholat dhuhur berjemaah, berdo'a di awal dan di akhir kegiatan pembelajaran , serta melaksanakan kegiatan amaliyah siswa</v>
      </c>
      <c r="AI45" s="94">
        <f>IF(SKI!Z42="","",SKI!Z42)</f>
        <v>3</v>
      </c>
      <c r="AJ45" s="94">
        <f>IF(SKI!AA42="","",SKI!AA42)</f>
        <v>3</v>
      </c>
      <c r="AK45" s="94">
        <f>IF(SKI!AB42="","",SKI!AB42)</f>
        <v>3</v>
      </c>
      <c r="AL45" s="94">
        <f>IF(SKI!AC42="","",SKI!AC42)</f>
        <v>3</v>
      </c>
      <c r="AM45" s="94">
        <f>IF(SKI!AD42="","",SKI!AD42)</f>
        <v>3</v>
      </c>
      <c r="AN45" s="94">
        <f>IF(SKI!AE42="","",SKI!AE42)</f>
        <v>3</v>
      </c>
      <c r="AO45" s="94">
        <f>IF(SKI!AF42="","",SKI!AF42)</f>
        <v>3</v>
      </c>
      <c r="AP45" s="94" t="str">
        <f>IF(SKI!AG42="","",SKI!AG42)</f>
        <v>Santun dalam bersikap, disiplin dalam mentaati tata tertib madrasah, peduli pada lingkungan, orang tua, bertanggung jawab dalam melaksanakan tugas, baik sebagai individu maupun makhluk sosial</v>
      </c>
      <c r="AQ45" s="94" t="str">
        <f>IF(PKN!X42="","",PKN!X42)</f>
        <v/>
      </c>
      <c r="AR45" s="94" t="str">
        <f>IF(PKN!Y42="","",PKN!Y42)</f>
        <v/>
      </c>
      <c r="AS45" s="94" t="str">
        <f>IF(PKN!Z42="","",PKN!Z42)</f>
        <v/>
      </c>
      <c r="AT45" s="94" t="str">
        <f>IF(PKN!AA42="","",PKN!AA42)</f>
        <v/>
      </c>
      <c r="AU45" s="94" t="str">
        <f>IF(PKN!AB42="","",PKN!AB42)</f>
        <v/>
      </c>
      <c r="AV45" s="94" t="str">
        <f>IF(PKN!AC42="","",PKN!AC42)</f>
        <v/>
      </c>
      <c r="AW45" s="94" t="str">
        <f>IF(PKN!AD42="","",PKN!AD42)</f>
        <v/>
      </c>
      <c r="AX45" s="94" t="str">
        <f>IF(PKN!AE42="","",PKN!AE42)</f>
        <v/>
      </c>
      <c r="AY45" s="94" t="str">
        <f>IF(PKN!AF42="","",PKN!AF42)</f>
        <v/>
      </c>
      <c r="AZ45" s="94" t="str">
        <f>IF(PKN!AG42="","",PKN!AG42)</f>
        <v/>
      </c>
      <c r="BA45" s="93" t="str">
        <f>IF(INDO!X42="","",INDO!X42)</f>
        <v/>
      </c>
      <c r="BB45" s="93" t="str">
        <f>IF(INDO!Y42="","",INDO!Y42)</f>
        <v/>
      </c>
      <c r="BC45" s="93" t="str">
        <f>IF(INDO!Z42="","",INDO!Z42)</f>
        <v/>
      </c>
      <c r="BD45" s="93" t="str">
        <f>IF(INDO!AA42="","",INDO!AA42)</f>
        <v/>
      </c>
      <c r="BE45" s="93" t="str">
        <f>IF(INDO!AB42="","",INDO!AB42)</f>
        <v/>
      </c>
      <c r="BF45" s="93" t="str">
        <f>IF(INDO!AC42="","",INDO!AC42)</f>
        <v/>
      </c>
      <c r="BG45" s="93" t="str">
        <f>IF(INDO!AD42="","",INDO!AD42)</f>
        <v/>
      </c>
      <c r="BH45" s="93" t="str">
        <f>IF(INDO!AE42="","",INDO!AE42)</f>
        <v/>
      </c>
      <c r="BI45" s="93" t="str">
        <f>IF(INDO!AF42="","",INDO!AF42)</f>
        <v/>
      </c>
      <c r="BJ45" s="93" t="str">
        <f>IF(INDO!AG42="","",INDO!AG42)</f>
        <v/>
      </c>
      <c r="BK45" s="93" t="str">
        <f>IF(ARAB!X42="","",ARAB!X42)</f>
        <v/>
      </c>
      <c r="BL45" s="93" t="str">
        <f>IF(ARAB!Y42="","",ARAB!Y42)</f>
        <v/>
      </c>
      <c r="BM45" s="93" t="str">
        <f>IF(ARAB!Z42="","",ARAB!Z42)</f>
        <v/>
      </c>
      <c r="BN45" s="93" t="str">
        <f>IF(ARAB!AA42="","",ARAB!AA42)</f>
        <v/>
      </c>
      <c r="BO45" s="93" t="str">
        <f>IF(ARAB!AB42="","",ARAB!AB42)</f>
        <v/>
      </c>
      <c r="BP45" s="93" t="str">
        <f>IF(ARAB!AC42="","",ARAB!AC42)</f>
        <v/>
      </c>
      <c r="BQ45" s="93" t="str">
        <f>IF(ARAB!AD42="","",ARAB!AD42)</f>
        <v/>
      </c>
      <c r="BR45" s="93" t="str">
        <f>IF(ARAB!AE42="","",ARAB!AE42)</f>
        <v/>
      </c>
      <c r="BS45" s="93" t="str">
        <f>IF(ARAB!AF42="","",ARAB!AF42)</f>
        <v/>
      </c>
      <c r="BT45" s="93" t="str">
        <f>IF(ARAB!AG42="","",ARAB!AG42)</f>
        <v/>
      </c>
      <c r="BU45" s="94" t="str">
        <f>IF(MAT!X42="","",MAT!X42)</f>
        <v/>
      </c>
      <c r="BV45" s="94" t="str">
        <f>IF(MAT!Y42="","",MAT!Y42)</f>
        <v/>
      </c>
      <c r="BW45" s="94" t="str">
        <f>IF(MAT!Z42="","",MAT!Z42)</f>
        <v/>
      </c>
      <c r="BX45" s="94" t="str">
        <f>IF(MAT!AA42="","",MAT!AA42)</f>
        <v/>
      </c>
      <c r="BY45" s="94" t="str">
        <f>IF(MAT!AB42="","",MAT!AB42)</f>
        <v/>
      </c>
      <c r="BZ45" s="94" t="str">
        <f>IF(MAT!AC42="","",MAT!AC42)</f>
        <v/>
      </c>
      <c r="CA45" s="94" t="str">
        <f>IF(MAT!AD42="","",MAT!AD42)</f>
        <v/>
      </c>
      <c r="CB45" s="94" t="str">
        <f>IF(MAT!AE42="","",MAT!AE42)</f>
        <v/>
      </c>
      <c r="CC45" s="94" t="str">
        <f>IF(MAT!AF42="","",MAT!AF42)</f>
        <v/>
      </c>
      <c r="CD45" s="94" t="str">
        <f>IF(MAT!AG42="","",MAT!AG42)</f>
        <v/>
      </c>
      <c r="CE45" s="94" t="str">
        <f>IF(IPA!X42="","",IPA!X42)</f>
        <v/>
      </c>
      <c r="CF45" s="94" t="str">
        <f>IF(IPA!Y42="","",IPA!Y42)</f>
        <v/>
      </c>
      <c r="CG45" s="94" t="str">
        <f>IF(IPA!Z42="","",IPA!Z42)</f>
        <v/>
      </c>
      <c r="CH45" s="94" t="str">
        <f>IF(IPA!AA42="","",IPA!AA42)</f>
        <v/>
      </c>
      <c r="CI45" s="94" t="str">
        <f>IF(IPA!AB42="","",IPA!AB42)</f>
        <v/>
      </c>
      <c r="CJ45" s="94" t="str">
        <f>IF(IPA!AC42="","",IPA!AC42)</f>
        <v/>
      </c>
      <c r="CK45" s="94" t="str">
        <f>IF(IPA!AD42="","",IPA!AD42)</f>
        <v/>
      </c>
      <c r="CL45" s="94" t="str">
        <f>IF(IPA!AE42="","",IPA!AE42)</f>
        <v/>
      </c>
      <c r="CM45" s="94" t="str">
        <f>IF(IPA!AF42="","",IPA!AF42)</f>
        <v/>
      </c>
      <c r="CN45" s="94" t="str">
        <f>IF(IPA!AG42="","",IPA!AG42)</f>
        <v/>
      </c>
      <c r="CO45" s="93" t="str">
        <f>IF(IPS!X42="","",IPS!X42)</f>
        <v/>
      </c>
      <c r="CP45" s="93" t="str">
        <f>IF(IPS!Y42="","",IPS!Y42)</f>
        <v/>
      </c>
      <c r="CQ45" s="93" t="str">
        <f>IF(IPS!Z42="","",IPS!Z42)</f>
        <v/>
      </c>
      <c r="CR45" s="93" t="str">
        <f>IF(IPS!AA42="","",IPS!AA42)</f>
        <v/>
      </c>
      <c r="CS45" s="93" t="str">
        <f>IF(IPS!AB42="","",IPS!AB42)</f>
        <v/>
      </c>
      <c r="CT45" s="93" t="str">
        <f>IF(IPS!AC42="","",IPS!AC42)</f>
        <v/>
      </c>
      <c r="CU45" s="93" t="str">
        <f>IF(IPS!AD42="","",IPS!AD42)</f>
        <v/>
      </c>
      <c r="CV45" s="93" t="str">
        <f>IF(IPS!AE42="","",IPS!AE42)</f>
        <v/>
      </c>
      <c r="CW45" s="93" t="str">
        <f>IF(IPS!AF42="","",IPS!AF42)</f>
        <v/>
      </c>
      <c r="CX45" s="93" t="str">
        <f>IF(IPS!AG42="","",IPS!AG42)</f>
        <v/>
      </c>
      <c r="CY45" s="94" t="str">
        <f>IF(INGG!X42="","",INGG!X42)</f>
        <v/>
      </c>
      <c r="CZ45" s="94" t="str">
        <f>IF(INGG!Y42="","",INGG!Y42)</f>
        <v/>
      </c>
      <c r="DA45" s="94" t="str">
        <f>IF(INGG!Z42="","",INGG!Z42)</f>
        <v/>
      </c>
      <c r="DB45" s="94" t="str">
        <f>IF(INGG!AA42="","",INGG!AA42)</f>
        <v/>
      </c>
      <c r="DC45" s="94" t="str">
        <f>IF(INGG!AB42="","",INGG!AB42)</f>
        <v/>
      </c>
      <c r="DD45" s="94" t="str">
        <f>IF(INGG!AC42="","",INGG!AC42)</f>
        <v/>
      </c>
      <c r="DE45" s="94" t="str">
        <f>IF(INGG!AD42="","",INGG!AD42)</f>
        <v/>
      </c>
      <c r="DF45" s="94" t="str">
        <f>IF(INGG!AE42="","",INGG!AE42)</f>
        <v/>
      </c>
      <c r="DG45" s="94" t="str">
        <f>IF(INGG!AF42="","",INGG!AF42)</f>
        <v/>
      </c>
      <c r="DH45" s="94" t="str">
        <f>IF(INGG!AG42="","",INGG!AG42)</f>
        <v/>
      </c>
      <c r="DI45" s="94" t="str">
        <f>IF(SENBUD!X42="","",SENBUD!X42)</f>
        <v/>
      </c>
      <c r="DJ45" s="94" t="str">
        <f>IF(SENBUD!Y42="","",SENBUD!Y42)</f>
        <v/>
      </c>
      <c r="DK45" s="94" t="str">
        <f>IF(SENBUD!Z42="","",SENBUD!Z42)</f>
        <v/>
      </c>
      <c r="DL45" s="94" t="str">
        <f>IF(SENBUD!AA42="","",SENBUD!AA42)</f>
        <v/>
      </c>
      <c r="DM45" s="94" t="str">
        <f>IF(SENBUD!AB42="","",SENBUD!AB42)</f>
        <v/>
      </c>
      <c r="DN45" s="94" t="str">
        <f>IF(SENBUD!AC42="","",SENBUD!AC42)</f>
        <v/>
      </c>
      <c r="DO45" s="94" t="str">
        <f>IF(SENBUD!AD42="","",SENBUD!AD42)</f>
        <v/>
      </c>
      <c r="DP45" s="94" t="str">
        <f>IF(SENBUD!AE42="","",SENBUD!AE42)</f>
        <v/>
      </c>
      <c r="DQ45" s="94" t="str">
        <f>IF(SENBUD!AF42="","",SENBUD!AF42)</f>
        <v/>
      </c>
      <c r="DR45" s="94" t="str">
        <f>IF(SENBUD!AG42="","",SENBUD!AG42)</f>
        <v/>
      </c>
      <c r="DS45" s="93" t="str">
        <f>IF(PENJAS!X42="","",PENJAS!X42)</f>
        <v/>
      </c>
      <c r="DT45" s="93" t="str">
        <f>IF(PENJAS!Y42="","",PENJAS!Y42)</f>
        <v/>
      </c>
      <c r="DU45" s="93" t="str">
        <f>IF(PENJAS!Z42="","",PENJAS!Z42)</f>
        <v/>
      </c>
      <c r="DV45" s="93" t="str">
        <f>IF(PENJAS!AA42="","",PENJAS!AA42)</f>
        <v/>
      </c>
      <c r="DW45" s="93" t="str">
        <f>IF(PENJAS!AB42="","",PENJAS!AB42)</f>
        <v/>
      </c>
      <c r="DX45" s="93" t="str">
        <f>IF(PENJAS!AC42="","",PENJAS!AC42)</f>
        <v/>
      </c>
      <c r="DY45" s="93" t="str">
        <f>IF(PENJAS!AD42="","",PENJAS!AD42)</f>
        <v/>
      </c>
      <c r="DZ45" s="93" t="str">
        <f>IF(PENJAS!AE42="","",PENJAS!AE42)</f>
        <v/>
      </c>
      <c r="EA45" s="93" t="str">
        <f>IF(PENJAS!AF42="","",PENJAS!AF42)</f>
        <v/>
      </c>
      <c r="EB45" s="93" t="str">
        <f>IF(PENJAS!AG42="","",PENJAS!AG42)</f>
        <v/>
      </c>
      <c r="EC45" s="93" t="str">
        <f>IF(PRAKARYA!X42="","",PRAKARYA!X42)</f>
        <v/>
      </c>
      <c r="ED45" s="93" t="str">
        <f>IF(PRAKARYA!Y42="","",PRAKARYA!Y42)</f>
        <v/>
      </c>
      <c r="EE45" s="93" t="str">
        <f>IF(PRAKARYA!Z42="","",PRAKARYA!Z42)</f>
        <v/>
      </c>
      <c r="EF45" s="93" t="str">
        <f>IF(PRAKARYA!AA42="","",PRAKARYA!AA42)</f>
        <v/>
      </c>
      <c r="EG45" s="93" t="str">
        <f>IF(PRAKARYA!AB42="","",PRAKARYA!AB42)</f>
        <v/>
      </c>
      <c r="EH45" s="93" t="str">
        <f>IF(PRAKARYA!AC42="","",PRAKARYA!AC42)</f>
        <v/>
      </c>
      <c r="EI45" s="93" t="str">
        <f>IF(PRAKARYA!AD42="","",PRAKARYA!AD42)</f>
        <v/>
      </c>
      <c r="EJ45" s="93" t="str">
        <f>IF(PRAKARYA!AE42="","",PRAKARYA!AE42)</f>
        <v/>
      </c>
      <c r="EK45" s="93" t="str">
        <f>IF(PRAKARYA!AF42="","",PRAKARYA!AF42)</f>
        <v/>
      </c>
      <c r="EL45" s="93" t="str">
        <f>IF(PRAKARYA!AG42="","",PRAKARYA!AG42)</f>
        <v/>
      </c>
      <c r="EM45" s="95" t="str">
        <f>IF(BADER!X42="","",BADER!X42)</f>
        <v/>
      </c>
      <c r="EN45" s="95" t="str">
        <f>IF(BADER!Y42="","",BADER!Y42)</f>
        <v/>
      </c>
      <c r="EO45" s="95" t="str">
        <f>IF(BADER!Z42="","",BADER!Z42)</f>
        <v/>
      </c>
      <c r="EP45" s="95" t="str">
        <f>IF(BADER!AA42="","",BADER!AA42)</f>
        <v/>
      </c>
      <c r="EQ45" s="95" t="str">
        <f>IF(BADER!AB42="","",BADER!AB42)</f>
        <v/>
      </c>
      <c r="ER45" s="95" t="str">
        <f>IF(BADER!AC42="","",BADER!AC42)</f>
        <v/>
      </c>
      <c r="ES45" s="95" t="str">
        <f>IF(BADER!AD42="","",BADER!AD42)</f>
        <v/>
      </c>
      <c r="ET45" s="95" t="str">
        <f>IF(BADER!AE42="","",BADER!AE42)</f>
        <v/>
      </c>
      <c r="EU45" s="95" t="str">
        <f>IF(BADER!AF42="","",BADER!AF42)</f>
        <v/>
      </c>
      <c r="EV45" s="95" t="str">
        <f>IF(BADER!AG42="","",BADER!AG42)</f>
        <v/>
      </c>
      <c r="EW45" s="96" t="str">
        <f t="shared" si="1"/>
        <v/>
      </c>
      <c r="EX45" s="96" t="str">
        <f t="shared" si="2"/>
        <v/>
      </c>
      <c r="EY45" s="96" t="str">
        <f t="shared" si="14"/>
        <v/>
      </c>
      <c r="EZ45" s="96" t="str">
        <f t="shared" si="14"/>
        <v/>
      </c>
      <c r="FA45" s="96" t="str">
        <f t="shared" si="14"/>
        <v/>
      </c>
      <c r="FB45" s="96" t="str">
        <f t="shared" si="14"/>
        <v/>
      </c>
      <c r="FC45" s="96" t="str">
        <f t="shared" si="14"/>
        <v/>
      </c>
      <c r="FD45" s="96" t="str">
        <f t="shared" si="14"/>
        <v/>
      </c>
      <c r="FE45" s="96" t="str">
        <f t="shared" si="14"/>
        <v/>
      </c>
      <c r="FF45" s="96" t="str">
        <f t="shared" si="3"/>
        <v/>
      </c>
      <c r="FG45" s="96" t="str">
        <f t="shared" si="4"/>
        <v/>
      </c>
      <c r="FH45" s="92" t="str">
        <f t="shared" si="5"/>
        <v/>
      </c>
      <c r="FI45" s="92" t="str">
        <f t="shared" si="6"/>
        <v xml:space="preserve"> </v>
      </c>
      <c r="FJ45" s="92" t="str">
        <f t="shared" si="7"/>
        <v xml:space="preserve"> </v>
      </c>
      <c r="FK45" s="92" t="str">
        <f t="shared" si="8"/>
        <v xml:space="preserve"> </v>
      </c>
      <c r="FL45" s="92" t="str">
        <f t="shared" si="9"/>
        <v xml:space="preserve"> </v>
      </c>
      <c r="FM45" s="92" t="str">
        <f t="shared" si="10"/>
        <v xml:space="preserve"> </v>
      </c>
      <c r="FN45" s="92" t="str">
        <f t="shared" si="11"/>
        <v xml:space="preserve"> </v>
      </c>
      <c r="FO45" s="92" t="str">
        <f t="shared" si="12"/>
        <v xml:space="preserve"> </v>
      </c>
      <c r="FP45" s="92" t="str">
        <f t="shared" si="13"/>
        <v xml:space="preserve">,  ,  ,  ,  ,  ,  ,  </v>
      </c>
    </row>
    <row r="46" spans="1:172">
      <c r="A46" s="66">
        <v>36</v>
      </c>
      <c r="B46" s="92" t="str">
        <f>IF(DATA!D43="","",DATA!D43)</f>
        <v/>
      </c>
      <c r="C46" s="93" t="str">
        <f>IF(QH!X43="","",QH!X43)</f>
        <v/>
      </c>
      <c r="D46" s="93" t="str">
        <f>IF(QH!Y43="","",QH!Y43)</f>
        <v/>
      </c>
      <c r="E46" s="93" t="str">
        <f>IF(QH!Z43="","",QH!Z43)</f>
        <v/>
      </c>
      <c r="F46" s="93" t="str">
        <f>IF(QH!AA43="","",QH!AA43)</f>
        <v/>
      </c>
      <c r="G46" s="93" t="str">
        <f>IF(QH!AB43="","",QH!AB43)</f>
        <v/>
      </c>
      <c r="H46" s="93" t="str">
        <f>IF(QH!AC43="","",QH!AC43)</f>
        <v/>
      </c>
      <c r="I46" s="93" t="str">
        <f>IF(QH!AD43="","",QH!AD43)</f>
        <v/>
      </c>
      <c r="J46" s="93" t="str">
        <f>IF(QH!AE43="","",QH!AE43)</f>
        <v/>
      </c>
      <c r="K46" s="93" t="str">
        <f>IF(QH!AF43="","",QH!AF43)</f>
        <v/>
      </c>
      <c r="L46" s="93" t="str">
        <f>IF(QH!AG43="","",QH!AG43)</f>
        <v/>
      </c>
      <c r="M46" s="94" t="str">
        <f>IF(AA!X43="","",AA!X43)</f>
        <v/>
      </c>
      <c r="N46" s="94" t="str">
        <f>IF(AA!Y43="","",AA!Y43)</f>
        <v/>
      </c>
      <c r="O46" s="94" t="str">
        <f>IF(AA!Z43="","",AA!Z43)</f>
        <v/>
      </c>
      <c r="P46" s="94" t="str">
        <f>IF(AA!AA43="","",AA!AA43)</f>
        <v/>
      </c>
      <c r="Q46" s="94" t="str">
        <f>IF(AA!AB43="","",AA!AB43)</f>
        <v/>
      </c>
      <c r="R46" s="94" t="str">
        <f>IF(AA!AC43="","",AA!AC43)</f>
        <v/>
      </c>
      <c r="S46" s="94" t="str">
        <f>IF(AA!AD43="","",AA!AD43)</f>
        <v/>
      </c>
      <c r="T46" s="94" t="str">
        <f>IF(AA!AE43="","",AA!AE43)</f>
        <v/>
      </c>
      <c r="U46" s="94" t="str">
        <f>IF(AA!AF43="","",AA!AF43)</f>
        <v/>
      </c>
      <c r="V46" s="94" t="str">
        <f>IF(AA!AG43="","",AA!AG43)</f>
        <v/>
      </c>
      <c r="W46" s="94" t="str">
        <f>IF(FIKIH!X43="","",FIKIH!X43)</f>
        <v/>
      </c>
      <c r="X46" s="94" t="str">
        <f>IF(FIKIH!Y43="","",FIKIH!Y43)</f>
        <v/>
      </c>
      <c r="Y46" s="94" t="str">
        <f>IF(FIKIH!Z43="","",FIKIH!Z43)</f>
        <v/>
      </c>
      <c r="Z46" s="94" t="str">
        <f>IF(FIKIH!AA43="","",FIKIH!AA43)</f>
        <v/>
      </c>
      <c r="AA46" s="94" t="str">
        <f>IF(FIKIH!AB43="","",FIKIH!AB43)</f>
        <v/>
      </c>
      <c r="AB46" s="94" t="str">
        <f>IF(FIKIH!AC43="","",FIKIH!AC43)</f>
        <v/>
      </c>
      <c r="AC46" s="94" t="str">
        <f>IF(FIKIH!AD43="","",FIKIH!AD43)</f>
        <v/>
      </c>
      <c r="AD46" s="94" t="str">
        <f>IF(FIKIH!AE43="","",FIKIH!AE43)</f>
        <v/>
      </c>
      <c r="AE46" s="94" t="str">
        <f>IF(FIKIH!AF43="","",FIKIH!AF43)</f>
        <v/>
      </c>
      <c r="AF46" s="94" t="str">
        <f>IF(FIKIH!AG43="","",FIKIH!AG43)</f>
        <v/>
      </c>
      <c r="AG46" s="94">
        <f>IF(SKI!X43="","",SKI!X43)</f>
        <v>3</v>
      </c>
      <c r="AH46" s="94" t="str">
        <f>IF(SKI!Y43="","",SKI!Y43)</f>
        <v>Melaksanakan sholat dhuhur berjemaah, berdo'a di awal dan di akhir kegiatan pembelajaran , serta melaksanakan kegiatan amaliyah siswa</v>
      </c>
      <c r="AI46" s="94">
        <f>IF(SKI!Z43="","",SKI!Z43)</f>
        <v>3</v>
      </c>
      <c r="AJ46" s="94">
        <f>IF(SKI!AA43="","",SKI!AA43)</f>
        <v>3</v>
      </c>
      <c r="AK46" s="94">
        <f>IF(SKI!AB43="","",SKI!AB43)</f>
        <v>3</v>
      </c>
      <c r="AL46" s="94">
        <f>IF(SKI!AC43="","",SKI!AC43)</f>
        <v>3</v>
      </c>
      <c r="AM46" s="94">
        <f>IF(SKI!AD43="","",SKI!AD43)</f>
        <v>3</v>
      </c>
      <c r="AN46" s="94">
        <f>IF(SKI!AE43="","",SKI!AE43)</f>
        <v>3</v>
      </c>
      <c r="AO46" s="94">
        <f>IF(SKI!AF43="","",SKI!AF43)</f>
        <v>3</v>
      </c>
      <c r="AP46" s="94" t="str">
        <f>IF(SKI!AG43="","",SKI!AG43)</f>
        <v>Santun dalam bersikap, disiplin dalam mentaati tata tertib madrasah, peduli pada lingkungan, orang tua, bertanggung jawab dalam melaksanakan tugas, baik sebagai individu maupun makhluk sosial</v>
      </c>
      <c r="AQ46" s="94" t="str">
        <f>IF(PKN!X43="","",PKN!X43)</f>
        <v/>
      </c>
      <c r="AR46" s="94" t="str">
        <f>IF(PKN!Y43="","",PKN!Y43)</f>
        <v/>
      </c>
      <c r="AS46" s="94" t="str">
        <f>IF(PKN!Z43="","",PKN!Z43)</f>
        <v/>
      </c>
      <c r="AT46" s="94" t="str">
        <f>IF(PKN!AA43="","",PKN!AA43)</f>
        <v/>
      </c>
      <c r="AU46" s="94" t="str">
        <f>IF(PKN!AB43="","",PKN!AB43)</f>
        <v/>
      </c>
      <c r="AV46" s="94" t="str">
        <f>IF(PKN!AC43="","",PKN!AC43)</f>
        <v/>
      </c>
      <c r="AW46" s="94" t="str">
        <f>IF(PKN!AD43="","",PKN!AD43)</f>
        <v/>
      </c>
      <c r="AX46" s="94" t="str">
        <f>IF(PKN!AE43="","",PKN!AE43)</f>
        <v/>
      </c>
      <c r="AY46" s="94" t="str">
        <f>IF(PKN!AF43="","",PKN!AF43)</f>
        <v/>
      </c>
      <c r="AZ46" s="94" t="str">
        <f>IF(PKN!AG43="","",PKN!AG43)</f>
        <v/>
      </c>
      <c r="BA46" s="93" t="str">
        <f>IF(INDO!X43="","",INDO!X43)</f>
        <v/>
      </c>
      <c r="BB46" s="93" t="str">
        <f>IF(INDO!Y43="","",INDO!Y43)</f>
        <v/>
      </c>
      <c r="BC46" s="93" t="str">
        <f>IF(INDO!Z43="","",INDO!Z43)</f>
        <v/>
      </c>
      <c r="BD46" s="93" t="str">
        <f>IF(INDO!AA43="","",INDO!AA43)</f>
        <v/>
      </c>
      <c r="BE46" s="93" t="str">
        <f>IF(INDO!AB43="","",INDO!AB43)</f>
        <v/>
      </c>
      <c r="BF46" s="93" t="str">
        <f>IF(INDO!AC43="","",INDO!AC43)</f>
        <v/>
      </c>
      <c r="BG46" s="93" t="str">
        <f>IF(INDO!AD43="","",INDO!AD43)</f>
        <v/>
      </c>
      <c r="BH46" s="93" t="str">
        <f>IF(INDO!AE43="","",INDO!AE43)</f>
        <v/>
      </c>
      <c r="BI46" s="93" t="str">
        <f>IF(INDO!AF43="","",INDO!AF43)</f>
        <v/>
      </c>
      <c r="BJ46" s="93" t="str">
        <f>IF(INDO!AG43="","",INDO!AG43)</f>
        <v/>
      </c>
      <c r="BK46" s="93" t="str">
        <f>IF(ARAB!X43="","",ARAB!X43)</f>
        <v/>
      </c>
      <c r="BL46" s="93" t="str">
        <f>IF(ARAB!Y43="","",ARAB!Y43)</f>
        <v/>
      </c>
      <c r="BM46" s="93" t="str">
        <f>IF(ARAB!Z43="","",ARAB!Z43)</f>
        <v/>
      </c>
      <c r="BN46" s="93" t="str">
        <f>IF(ARAB!AA43="","",ARAB!AA43)</f>
        <v/>
      </c>
      <c r="BO46" s="93" t="str">
        <f>IF(ARAB!AB43="","",ARAB!AB43)</f>
        <v/>
      </c>
      <c r="BP46" s="93" t="str">
        <f>IF(ARAB!AC43="","",ARAB!AC43)</f>
        <v/>
      </c>
      <c r="BQ46" s="93" t="str">
        <f>IF(ARAB!AD43="","",ARAB!AD43)</f>
        <v/>
      </c>
      <c r="BR46" s="93" t="str">
        <f>IF(ARAB!AE43="","",ARAB!AE43)</f>
        <v/>
      </c>
      <c r="BS46" s="93" t="str">
        <f>IF(ARAB!AF43="","",ARAB!AF43)</f>
        <v/>
      </c>
      <c r="BT46" s="93" t="str">
        <f>IF(ARAB!AG43="","",ARAB!AG43)</f>
        <v/>
      </c>
      <c r="BU46" s="94" t="str">
        <f>IF(MAT!X43="","",MAT!X43)</f>
        <v/>
      </c>
      <c r="BV46" s="94" t="str">
        <f>IF(MAT!Y43="","",MAT!Y43)</f>
        <v/>
      </c>
      <c r="BW46" s="94" t="str">
        <f>IF(MAT!Z43="","",MAT!Z43)</f>
        <v/>
      </c>
      <c r="BX46" s="94" t="str">
        <f>IF(MAT!AA43="","",MAT!AA43)</f>
        <v/>
      </c>
      <c r="BY46" s="94" t="str">
        <f>IF(MAT!AB43="","",MAT!AB43)</f>
        <v/>
      </c>
      <c r="BZ46" s="94" t="str">
        <f>IF(MAT!AC43="","",MAT!AC43)</f>
        <v/>
      </c>
      <c r="CA46" s="94" t="str">
        <f>IF(MAT!AD43="","",MAT!AD43)</f>
        <v/>
      </c>
      <c r="CB46" s="94" t="str">
        <f>IF(MAT!AE43="","",MAT!AE43)</f>
        <v/>
      </c>
      <c r="CC46" s="94" t="str">
        <f>IF(MAT!AF43="","",MAT!AF43)</f>
        <v/>
      </c>
      <c r="CD46" s="94" t="str">
        <f>IF(MAT!AG43="","",MAT!AG43)</f>
        <v/>
      </c>
      <c r="CE46" s="94" t="str">
        <f>IF(IPA!X43="","",IPA!X43)</f>
        <v/>
      </c>
      <c r="CF46" s="94" t="str">
        <f>IF(IPA!Y43="","",IPA!Y43)</f>
        <v/>
      </c>
      <c r="CG46" s="94" t="str">
        <f>IF(IPA!Z43="","",IPA!Z43)</f>
        <v/>
      </c>
      <c r="CH46" s="94" t="str">
        <f>IF(IPA!AA43="","",IPA!AA43)</f>
        <v/>
      </c>
      <c r="CI46" s="94" t="str">
        <f>IF(IPA!AB43="","",IPA!AB43)</f>
        <v/>
      </c>
      <c r="CJ46" s="94" t="str">
        <f>IF(IPA!AC43="","",IPA!AC43)</f>
        <v/>
      </c>
      <c r="CK46" s="94" t="str">
        <f>IF(IPA!AD43="","",IPA!AD43)</f>
        <v/>
      </c>
      <c r="CL46" s="94" t="str">
        <f>IF(IPA!AE43="","",IPA!AE43)</f>
        <v/>
      </c>
      <c r="CM46" s="94" t="str">
        <f>IF(IPA!AF43="","",IPA!AF43)</f>
        <v/>
      </c>
      <c r="CN46" s="94" t="str">
        <f>IF(IPA!AG43="","",IPA!AG43)</f>
        <v/>
      </c>
      <c r="CO46" s="93" t="str">
        <f>IF(IPS!X43="","",IPS!X43)</f>
        <v/>
      </c>
      <c r="CP46" s="93" t="str">
        <f>IF(IPS!Y43="","",IPS!Y43)</f>
        <v/>
      </c>
      <c r="CQ46" s="93" t="str">
        <f>IF(IPS!Z43="","",IPS!Z43)</f>
        <v/>
      </c>
      <c r="CR46" s="93" t="str">
        <f>IF(IPS!AA43="","",IPS!AA43)</f>
        <v/>
      </c>
      <c r="CS46" s="93" t="str">
        <f>IF(IPS!AB43="","",IPS!AB43)</f>
        <v/>
      </c>
      <c r="CT46" s="93" t="str">
        <f>IF(IPS!AC43="","",IPS!AC43)</f>
        <v/>
      </c>
      <c r="CU46" s="93" t="str">
        <f>IF(IPS!AD43="","",IPS!AD43)</f>
        <v/>
      </c>
      <c r="CV46" s="93" t="str">
        <f>IF(IPS!AE43="","",IPS!AE43)</f>
        <v/>
      </c>
      <c r="CW46" s="93" t="str">
        <f>IF(IPS!AF43="","",IPS!AF43)</f>
        <v/>
      </c>
      <c r="CX46" s="93" t="str">
        <f>IF(IPS!AG43="","",IPS!AG43)</f>
        <v/>
      </c>
      <c r="CY46" s="94" t="str">
        <f>IF(INGG!X43="","",INGG!X43)</f>
        <v/>
      </c>
      <c r="CZ46" s="94" t="str">
        <f>IF(INGG!Y43="","",INGG!Y43)</f>
        <v/>
      </c>
      <c r="DA46" s="94" t="str">
        <f>IF(INGG!Z43="","",INGG!Z43)</f>
        <v/>
      </c>
      <c r="DB46" s="94" t="str">
        <f>IF(INGG!AA43="","",INGG!AA43)</f>
        <v/>
      </c>
      <c r="DC46" s="94" t="str">
        <f>IF(INGG!AB43="","",INGG!AB43)</f>
        <v/>
      </c>
      <c r="DD46" s="94" t="str">
        <f>IF(INGG!AC43="","",INGG!AC43)</f>
        <v/>
      </c>
      <c r="DE46" s="94" t="str">
        <f>IF(INGG!AD43="","",INGG!AD43)</f>
        <v/>
      </c>
      <c r="DF46" s="94" t="str">
        <f>IF(INGG!AE43="","",INGG!AE43)</f>
        <v/>
      </c>
      <c r="DG46" s="94" t="str">
        <f>IF(INGG!AF43="","",INGG!AF43)</f>
        <v/>
      </c>
      <c r="DH46" s="94" t="str">
        <f>IF(INGG!AG43="","",INGG!AG43)</f>
        <v/>
      </c>
      <c r="DI46" s="94" t="str">
        <f>IF(SENBUD!X43="","",SENBUD!X43)</f>
        <v/>
      </c>
      <c r="DJ46" s="94" t="str">
        <f>IF(SENBUD!Y43="","",SENBUD!Y43)</f>
        <v/>
      </c>
      <c r="DK46" s="94" t="str">
        <f>IF(SENBUD!Z43="","",SENBUD!Z43)</f>
        <v/>
      </c>
      <c r="DL46" s="94" t="str">
        <f>IF(SENBUD!AA43="","",SENBUD!AA43)</f>
        <v/>
      </c>
      <c r="DM46" s="94" t="str">
        <f>IF(SENBUD!AB43="","",SENBUD!AB43)</f>
        <v/>
      </c>
      <c r="DN46" s="94" t="str">
        <f>IF(SENBUD!AC43="","",SENBUD!AC43)</f>
        <v/>
      </c>
      <c r="DO46" s="94" t="str">
        <f>IF(SENBUD!AD43="","",SENBUD!AD43)</f>
        <v/>
      </c>
      <c r="DP46" s="94" t="str">
        <f>IF(SENBUD!AE43="","",SENBUD!AE43)</f>
        <v/>
      </c>
      <c r="DQ46" s="94" t="str">
        <f>IF(SENBUD!AF43="","",SENBUD!AF43)</f>
        <v/>
      </c>
      <c r="DR46" s="94" t="str">
        <f>IF(SENBUD!AG43="","",SENBUD!AG43)</f>
        <v/>
      </c>
      <c r="DS46" s="93" t="str">
        <f>IF(PENJAS!X43="","",PENJAS!X43)</f>
        <v/>
      </c>
      <c r="DT46" s="93" t="str">
        <f>IF(PENJAS!Y43="","",PENJAS!Y43)</f>
        <v/>
      </c>
      <c r="DU46" s="93" t="str">
        <f>IF(PENJAS!Z43="","",PENJAS!Z43)</f>
        <v/>
      </c>
      <c r="DV46" s="93" t="str">
        <f>IF(PENJAS!AA43="","",PENJAS!AA43)</f>
        <v/>
      </c>
      <c r="DW46" s="93" t="str">
        <f>IF(PENJAS!AB43="","",PENJAS!AB43)</f>
        <v/>
      </c>
      <c r="DX46" s="93" t="str">
        <f>IF(PENJAS!AC43="","",PENJAS!AC43)</f>
        <v/>
      </c>
      <c r="DY46" s="93" t="str">
        <f>IF(PENJAS!AD43="","",PENJAS!AD43)</f>
        <v/>
      </c>
      <c r="DZ46" s="93" t="str">
        <f>IF(PENJAS!AE43="","",PENJAS!AE43)</f>
        <v/>
      </c>
      <c r="EA46" s="93" t="str">
        <f>IF(PENJAS!AF43="","",PENJAS!AF43)</f>
        <v/>
      </c>
      <c r="EB46" s="93" t="str">
        <f>IF(PENJAS!AG43="","",PENJAS!AG43)</f>
        <v/>
      </c>
      <c r="EC46" s="93" t="str">
        <f>IF(PRAKARYA!X43="","",PRAKARYA!X43)</f>
        <v/>
      </c>
      <c r="ED46" s="93" t="str">
        <f>IF(PRAKARYA!Y43="","",PRAKARYA!Y43)</f>
        <v/>
      </c>
      <c r="EE46" s="93" t="str">
        <f>IF(PRAKARYA!Z43="","",PRAKARYA!Z43)</f>
        <v/>
      </c>
      <c r="EF46" s="93" t="str">
        <f>IF(PRAKARYA!AA43="","",PRAKARYA!AA43)</f>
        <v/>
      </c>
      <c r="EG46" s="93" t="str">
        <f>IF(PRAKARYA!AB43="","",PRAKARYA!AB43)</f>
        <v/>
      </c>
      <c r="EH46" s="93" t="str">
        <f>IF(PRAKARYA!AC43="","",PRAKARYA!AC43)</f>
        <v/>
      </c>
      <c r="EI46" s="93" t="str">
        <f>IF(PRAKARYA!AD43="","",PRAKARYA!AD43)</f>
        <v/>
      </c>
      <c r="EJ46" s="93" t="str">
        <f>IF(PRAKARYA!AE43="","",PRAKARYA!AE43)</f>
        <v/>
      </c>
      <c r="EK46" s="93" t="str">
        <f>IF(PRAKARYA!AF43="","",PRAKARYA!AF43)</f>
        <v/>
      </c>
      <c r="EL46" s="93" t="str">
        <f>IF(PRAKARYA!AG43="","",PRAKARYA!AG43)</f>
        <v/>
      </c>
      <c r="EM46" s="95" t="str">
        <f>IF(BADER!X43="","",BADER!X43)</f>
        <v/>
      </c>
      <c r="EN46" s="95" t="str">
        <f>IF(BADER!Y43="","",BADER!Y43)</f>
        <v/>
      </c>
      <c r="EO46" s="95" t="str">
        <f>IF(BADER!Z43="","",BADER!Z43)</f>
        <v/>
      </c>
      <c r="EP46" s="95" t="str">
        <f>IF(BADER!AA43="","",BADER!AA43)</f>
        <v/>
      </c>
      <c r="EQ46" s="95" t="str">
        <f>IF(BADER!AB43="","",BADER!AB43)</f>
        <v/>
      </c>
      <c r="ER46" s="95" t="str">
        <f>IF(BADER!AC43="","",BADER!AC43)</f>
        <v/>
      </c>
      <c r="ES46" s="95" t="str">
        <f>IF(BADER!AD43="","",BADER!AD43)</f>
        <v/>
      </c>
      <c r="ET46" s="95" t="str">
        <f>IF(BADER!AE43="","",BADER!AE43)</f>
        <v/>
      </c>
      <c r="EU46" s="95" t="str">
        <f>IF(BADER!AF43="","",BADER!AF43)</f>
        <v/>
      </c>
      <c r="EV46" s="95" t="str">
        <f>IF(BADER!AG43="","",BADER!AG43)</f>
        <v/>
      </c>
      <c r="EW46" s="96" t="str">
        <f t="shared" si="1"/>
        <v/>
      </c>
      <c r="EX46" s="96" t="str">
        <f t="shared" si="2"/>
        <v/>
      </c>
      <c r="EY46" s="96" t="str">
        <f t="shared" si="14"/>
        <v/>
      </c>
      <c r="EZ46" s="96" t="str">
        <f t="shared" si="14"/>
        <v/>
      </c>
      <c r="FA46" s="96" t="str">
        <f t="shared" si="14"/>
        <v/>
      </c>
      <c r="FB46" s="96" t="str">
        <f t="shared" si="14"/>
        <v/>
      </c>
      <c r="FC46" s="96" t="str">
        <f t="shared" si="14"/>
        <v/>
      </c>
      <c r="FD46" s="96" t="str">
        <f t="shared" si="14"/>
        <v/>
      </c>
      <c r="FE46" s="96" t="str">
        <f t="shared" si="14"/>
        <v/>
      </c>
      <c r="FF46" s="96" t="str">
        <f t="shared" si="3"/>
        <v/>
      </c>
      <c r="FG46" s="96" t="str">
        <f t="shared" si="4"/>
        <v/>
      </c>
      <c r="FH46" s="92" t="str">
        <f t="shared" si="5"/>
        <v/>
      </c>
      <c r="FI46" s="92" t="str">
        <f t="shared" si="6"/>
        <v xml:space="preserve"> </v>
      </c>
      <c r="FJ46" s="92" t="str">
        <f t="shared" si="7"/>
        <v xml:space="preserve"> </v>
      </c>
      <c r="FK46" s="92" t="str">
        <f t="shared" si="8"/>
        <v xml:space="preserve"> </v>
      </c>
      <c r="FL46" s="92" t="str">
        <f t="shared" si="9"/>
        <v xml:space="preserve"> </v>
      </c>
      <c r="FM46" s="92" t="str">
        <f t="shared" si="10"/>
        <v xml:space="preserve"> </v>
      </c>
      <c r="FN46" s="92" t="str">
        <f t="shared" si="11"/>
        <v xml:space="preserve"> </v>
      </c>
      <c r="FO46" s="92" t="str">
        <f t="shared" si="12"/>
        <v xml:space="preserve"> </v>
      </c>
      <c r="FP46" s="92" t="str">
        <f t="shared" si="13"/>
        <v xml:space="preserve">,  ,  ,  ,  ,  ,  ,  </v>
      </c>
    </row>
    <row r="47" spans="1:172">
      <c r="A47" s="66">
        <v>37</v>
      </c>
      <c r="B47" s="92" t="str">
        <f>IF(DATA!D44="","",DATA!D44)</f>
        <v/>
      </c>
      <c r="C47" s="93" t="str">
        <f>IF(QH!X44="","",QH!X44)</f>
        <v/>
      </c>
      <c r="D47" s="93" t="str">
        <f>IF(QH!Y44="","",QH!Y44)</f>
        <v/>
      </c>
      <c r="E47" s="93" t="str">
        <f>IF(QH!Z44="","",QH!Z44)</f>
        <v/>
      </c>
      <c r="F47" s="93" t="str">
        <f>IF(QH!AA44="","",QH!AA44)</f>
        <v/>
      </c>
      <c r="G47" s="93" t="str">
        <f>IF(QH!AB44="","",QH!AB44)</f>
        <v/>
      </c>
      <c r="H47" s="93" t="str">
        <f>IF(QH!AC44="","",QH!AC44)</f>
        <v/>
      </c>
      <c r="I47" s="93" t="str">
        <f>IF(QH!AD44="","",QH!AD44)</f>
        <v/>
      </c>
      <c r="J47" s="93" t="str">
        <f>IF(QH!AE44="","",QH!AE44)</f>
        <v/>
      </c>
      <c r="K47" s="93" t="str">
        <f>IF(QH!AF44="","",QH!AF44)</f>
        <v/>
      </c>
      <c r="L47" s="93" t="str">
        <f>IF(QH!AG44="","",QH!AG44)</f>
        <v/>
      </c>
      <c r="M47" s="94" t="str">
        <f>IF(AA!X44="","",AA!X44)</f>
        <v/>
      </c>
      <c r="N47" s="94" t="str">
        <f>IF(AA!Y44="","",AA!Y44)</f>
        <v/>
      </c>
      <c r="O47" s="94" t="str">
        <f>IF(AA!Z44="","",AA!Z44)</f>
        <v/>
      </c>
      <c r="P47" s="94" t="str">
        <f>IF(AA!AA44="","",AA!AA44)</f>
        <v/>
      </c>
      <c r="Q47" s="94" t="str">
        <f>IF(AA!AB44="","",AA!AB44)</f>
        <v/>
      </c>
      <c r="R47" s="94" t="str">
        <f>IF(AA!AC44="","",AA!AC44)</f>
        <v/>
      </c>
      <c r="S47" s="94" t="str">
        <f>IF(AA!AD44="","",AA!AD44)</f>
        <v/>
      </c>
      <c r="T47" s="94" t="str">
        <f>IF(AA!AE44="","",AA!AE44)</f>
        <v/>
      </c>
      <c r="U47" s="94" t="str">
        <f>IF(AA!AF44="","",AA!AF44)</f>
        <v/>
      </c>
      <c r="V47" s="94" t="str">
        <f>IF(AA!AG44="","",AA!AG44)</f>
        <v/>
      </c>
      <c r="W47" s="94" t="str">
        <f>IF(FIKIH!X44="","",FIKIH!X44)</f>
        <v/>
      </c>
      <c r="X47" s="94" t="str">
        <f>IF(FIKIH!Y44="","",FIKIH!Y44)</f>
        <v/>
      </c>
      <c r="Y47" s="94" t="str">
        <f>IF(FIKIH!Z44="","",FIKIH!Z44)</f>
        <v/>
      </c>
      <c r="Z47" s="94" t="str">
        <f>IF(FIKIH!AA44="","",FIKIH!AA44)</f>
        <v/>
      </c>
      <c r="AA47" s="94" t="str">
        <f>IF(FIKIH!AB44="","",FIKIH!AB44)</f>
        <v/>
      </c>
      <c r="AB47" s="94" t="str">
        <f>IF(FIKIH!AC44="","",FIKIH!AC44)</f>
        <v/>
      </c>
      <c r="AC47" s="94" t="str">
        <f>IF(FIKIH!AD44="","",FIKIH!AD44)</f>
        <v/>
      </c>
      <c r="AD47" s="94" t="str">
        <f>IF(FIKIH!AE44="","",FIKIH!AE44)</f>
        <v/>
      </c>
      <c r="AE47" s="94" t="str">
        <f>IF(FIKIH!AF44="","",FIKIH!AF44)</f>
        <v/>
      </c>
      <c r="AF47" s="94" t="str">
        <f>IF(FIKIH!AG44="","",FIKIH!AG44)</f>
        <v/>
      </c>
      <c r="AG47" s="94">
        <f>IF(SKI!X44="","",SKI!X44)</f>
        <v>3</v>
      </c>
      <c r="AH47" s="94" t="str">
        <f>IF(SKI!Y44="","",SKI!Y44)</f>
        <v>Melaksanakan sholat dhuhur berjemaah, berdo'a di awal dan di akhir kegiatan pembelajaran , serta melaksanakan kegiatan amaliyah siswa</v>
      </c>
      <c r="AI47" s="94">
        <f>IF(SKI!Z44="","",SKI!Z44)</f>
        <v>3</v>
      </c>
      <c r="AJ47" s="94">
        <f>IF(SKI!AA44="","",SKI!AA44)</f>
        <v>3</v>
      </c>
      <c r="AK47" s="94">
        <f>IF(SKI!AB44="","",SKI!AB44)</f>
        <v>3</v>
      </c>
      <c r="AL47" s="94">
        <f>IF(SKI!AC44="","",SKI!AC44)</f>
        <v>3</v>
      </c>
      <c r="AM47" s="94">
        <f>IF(SKI!AD44="","",SKI!AD44)</f>
        <v>3</v>
      </c>
      <c r="AN47" s="94">
        <f>IF(SKI!AE44="","",SKI!AE44)</f>
        <v>3</v>
      </c>
      <c r="AO47" s="94">
        <f>IF(SKI!AF44="","",SKI!AF44)</f>
        <v>3</v>
      </c>
      <c r="AP47" s="94" t="str">
        <f>IF(SKI!AG44="","",SKI!AG44)</f>
        <v>Santun dalam bersikap, disiplin dalam mentaati tata tertib madrasah, peduli pada lingkungan, orang tua, bertanggung jawab dalam melaksanakan tugas, baik sebagai individu maupun makhluk sosial</v>
      </c>
      <c r="AQ47" s="94" t="str">
        <f>IF(PKN!X44="","",PKN!X44)</f>
        <v/>
      </c>
      <c r="AR47" s="94" t="str">
        <f>IF(PKN!Y44="","",PKN!Y44)</f>
        <v/>
      </c>
      <c r="AS47" s="94" t="str">
        <f>IF(PKN!Z44="","",PKN!Z44)</f>
        <v/>
      </c>
      <c r="AT47" s="94" t="str">
        <f>IF(PKN!AA44="","",PKN!AA44)</f>
        <v/>
      </c>
      <c r="AU47" s="94" t="str">
        <f>IF(PKN!AB44="","",PKN!AB44)</f>
        <v/>
      </c>
      <c r="AV47" s="94" t="str">
        <f>IF(PKN!AC44="","",PKN!AC44)</f>
        <v/>
      </c>
      <c r="AW47" s="94" t="str">
        <f>IF(PKN!AD44="","",PKN!AD44)</f>
        <v/>
      </c>
      <c r="AX47" s="94" t="str">
        <f>IF(PKN!AE44="","",PKN!AE44)</f>
        <v/>
      </c>
      <c r="AY47" s="94" t="str">
        <f>IF(PKN!AF44="","",PKN!AF44)</f>
        <v/>
      </c>
      <c r="AZ47" s="94" t="str">
        <f>IF(PKN!AG44="","",PKN!AG44)</f>
        <v/>
      </c>
      <c r="BA47" s="93" t="str">
        <f>IF(INDO!X44="","",INDO!X44)</f>
        <v/>
      </c>
      <c r="BB47" s="93" t="str">
        <f>IF(INDO!Y44="","",INDO!Y44)</f>
        <v/>
      </c>
      <c r="BC47" s="93" t="str">
        <f>IF(INDO!Z44="","",INDO!Z44)</f>
        <v/>
      </c>
      <c r="BD47" s="93" t="str">
        <f>IF(INDO!AA44="","",INDO!AA44)</f>
        <v/>
      </c>
      <c r="BE47" s="93" t="str">
        <f>IF(INDO!AB44="","",INDO!AB44)</f>
        <v/>
      </c>
      <c r="BF47" s="93" t="str">
        <f>IF(INDO!AC44="","",INDO!AC44)</f>
        <v/>
      </c>
      <c r="BG47" s="93" t="str">
        <f>IF(INDO!AD44="","",INDO!AD44)</f>
        <v/>
      </c>
      <c r="BH47" s="93" t="str">
        <f>IF(INDO!AE44="","",INDO!AE44)</f>
        <v/>
      </c>
      <c r="BI47" s="93" t="str">
        <f>IF(INDO!AF44="","",INDO!AF44)</f>
        <v/>
      </c>
      <c r="BJ47" s="93" t="str">
        <f>IF(INDO!AG44="","",INDO!AG44)</f>
        <v/>
      </c>
      <c r="BK47" s="93" t="str">
        <f>IF(ARAB!X44="","",ARAB!X44)</f>
        <v/>
      </c>
      <c r="BL47" s="93" t="str">
        <f>IF(ARAB!Y44="","",ARAB!Y44)</f>
        <v/>
      </c>
      <c r="BM47" s="93" t="str">
        <f>IF(ARAB!Z44="","",ARAB!Z44)</f>
        <v/>
      </c>
      <c r="BN47" s="93" t="str">
        <f>IF(ARAB!AA44="","",ARAB!AA44)</f>
        <v/>
      </c>
      <c r="BO47" s="93" t="str">
        <f>IF(ARAB!AB44="","",ARAB!AB44)</f>
        <v/>
      </c>
      <c r="BP47" s="93" t="str">
        <f>IF(ARAB!AC44="","",ARAB!AC44)</f>
        <v/>
      </c>
      <c r="BQ47" s="93" t="str">
        <f>IF(ARAB!AD44="","",ARAB!AD44)</f>
        <v/>
      </c>
      <c r="BR47" s="93" t="str">
        <f>IF(ARAB!AE44="","",ARAB!AE44)</f>
        <v/>
      </c>
      <c r="BS47" s="93" t="str">
        <f>IF(ARAB!AF44="","",ARAB!AF44)</f>
        <v/>
      </c>
      <c r="BT47" s="93" t="str">
        <f>IF(ARAB!AG44="","",ARAB!AG44)</f>
        <v/>
      </c>
      <c r="BU47" s="94" t="str">
        <f>IF(MAT!X44="","",MAT!X44)</f>
        <v/>
      </c>
      <c r="BV47" s="94" t="str">
        <f>IF(MAT!Y44="","",MAT!Y44)</f>
        <v/>
      </c>
      <c r="BW47" s="94" t="str">
        <f>IF(MAT!Z44="","",MAT!Z44)</f>
        <v/>
      </c>
      <c r="BX47" s="94" t="str">
        <f>IF(MAT!AA44="","",MAT!AA44)</f>
        <v/>
      </c>
      <c r="BY47" s="94" t="str">
        <f>IF(MAT!AB44="","",MAT!AB44)</f>
        <v/>
      </c>
      <c r="BZ47" s="94" t="str">
        <f>IF(MAT!AC44="","",MAT!AC44)</f>
        <v/>
      </c>
      <c r="CA47" s="94" t="str">
        <f>IF(MAT!AD44="","",MAT!AD44)</f>
        <v/>
      </c>
      <c r="CB47" s="94" t="str">
        <f>IF(MAT!AE44="","",MAT!AE44)</f>
        <v/>
      </c>
      <c r="CC47" s="94" t="str">
        <f>IF(MAT!AF44="","",MAT!AF44)</f>
        <v/>
      </c>
      <c r="CD47" s="94" t="str">
        <f>IF(MAT!AG44="","",MAT!AG44)</f>
        <v/>
      </c>
      <c r="CE47" s="94" t="str">
        <f>IF(IPA!X44="","",IPA!X44)</f>
        <v/>
      </c>
      <c r="CF47" s="94" t="str">
        <f>IF(IPA!Y44="","",IPA!Y44)</f>
        <v/>
      </c>
      <c r="CG47" s="94" t="str">
        <f>IF(IPA!Z44="","",IPA!Z44)</f>
        <v/>
      </c>
      <c r="CH47" s="94" t="str">
        <f>IF(IPA!AA44="","",IPA!AA44)</f>
        <v/>
      </c>
      <c r="CI47" s="94" t="str">
        <f>IF(IPA!AB44="","",IPA!AB44)</f>
        <v/>
      </c>
      <c r="CJ47" s="94" t="str">
        <f>IF(IPA!AC44="","",IPA!AC44)</f>
        <v/>
      </c>
      <c r="CK47" s="94" t="str">
        <f>IF(IPA!AD44="","",IPA!AD44)</f>
        <v/>
      </c>
      <c r="CL47" s="94" t="str">
        <f>IF(IPA!AE44="","",IPA!AE44)</f>
        <v/>
      </c>
      <c r="CM47" s="94" t="str">
        <f>IF(IPA!AF44="","",IPA!AF44)</f>
        <v/>
      </c>
      <c r="CN47" s="94" t="str">
        <f>IF(IPA!AG44="","",IPA!AG44)</f>
        <v/>
      </c>
      <c r="CO47" s="93" t="str">
        <f>IF(IPS!X44="","",IPS!X44)</f>
        <v/>
      </c>
      <c r="CP47" s="93" t="str">
        <f>IF(IPS!Y44="","",IPS!Y44)</f>
        <v/>
      </c>
      <c r="CQ47" s="93" t="str">
        <f>IF(IPS!Z44="","",IPS!Z44)</f>
        <v/>
      </c>
      <c r="CR47" s="93" t="str">
        <f>IF(IPS!AA44="","",IPS!AA44)</f>
        <v/>
      </c>
      <c r="CS47" s="93" t="str">
        <f>IF(IPS!AB44="","",IPS!AB44)</f>
        <v/>
      </c>
      <c r="CT47" s="93" t="str">
        <f>IF(IPS!AC44="","",IPS!AC44)</f>
        <v/>
      </c>
      <c r="CU47" s="93" t="str">
        <f>IF(IPS!AD44="","",IPS!AD44)</f>
        <v/>
      </c>
      <c r="CV47" s="93" t="str">
        <f>IF(IPS!AE44="","",IPS!AE44)</f>
        <v/>
      </c>
      <c r="CW47" s="93" t="str">
        <f>IF(IPS!AF44="","",IPS!AF44)</f>
        <v/>
      </c>
      <c r="CX47" s="93" t="str">
        <f>IF(IPS!AG44="","",IPS!AG44)</f>
        <v/>
      </c>
      <c r="CY47" s="94" t="str">
        <f>IF(INGG!X44="","",INGG!X44)</f>
        <v/>
      </c>
      <c r="CZ47" s="94" t="str">
        <f>IF(INGG!Y44="","",INGG!Y44)</f>
        <v/>
      </c>
      <c r="DA47" s="94" t="str">
        <f>IF(INGG!Z44="","",INGG!Z44)</f>
        <v/>
      </c>
      <c r="DB47" s="94" t="str">
        <f>IF(INGG!AA44="","",INGG!AA44)</f>
        <v/>
      </c>
      <c r="DC47" s="94" t="str">
        <f>IF(INGG!AB44="","",INGG!AB44)</f>
        <v/>
      </c>
      <c r="DD47" s="94" t="str">
        <f>IF(INGG!AC44="","",INGG!AC44)</f>
        <v/>
      </c>
      <c r="DE47" s="94" t="str">
        <f>IF(INGG!AD44="","",INGG!AD44)</f>
        <v/>
      </c>
      <c r="DF47" s="94" t="str">
        <f>IF(INGG!AE44="","",INGG!AE44)</f>
        <v/>
      </c>
      <c r="DG47" s="94" t="str">
        <f>IF(INGG!AF44="","",INGG!AF44)</f>
        <v/>
      </c>
      <c r="DH47" s="94" t="str">
        <f>IF(INGG!AG44="","",INGG!AG44)</f>
        <v/>
      </c>
      <c r="DI47" s="94" t="str">
        <f>IF(SENBUD!X44="","",SENBUD!X44)</f>
        <v/>
      </c>
      <c r="DJ47" s="94" t="str">
        <f>IF(SENBUD!Y44="","",SENBUD!Y44)</f>
        <v/>
      </c>
      <c r="DK47" s="94" t="str">
        <f>IF(SENBUD!Z44="","",SENBUD!Z44)</f>
        <v/>
      </c>
      <c r="DL47" s="94" t="str">
        <f>IF(SENBUD!AA44="","",SENBUD!AA44)</f>
        <v/>
      </c>
      <c r="DM47" s="94" t="str">
        <f>IF(SENBUD!AB44="","",SENBUD!AB44)</f>
        <v/>
      </c>
      <c r="DN47" s="94" t="str">
        <f>IF(SENBUD!AC44="","",SENBUD!AC44)</f>
        <v/>
      </c>
      <c r="DO47" s="94" t="str">
        <f>IF(SENBUD!AD44="","",SENBUD!AD44)</f>
        <v/>
      </c>
      <c r="DP47" s="94" t="str">
        <f>IF(SENBUD!AE44="","",SENBUD!AE44)</f>
        <v/>
      </c>
      <c r="DQ47" s="94" t="str">
        <f>IF(SENBUD!AF44="","",SENBUD!AF44)</f>
        <v/>
      </c>
      <c r="DR47" s="94" t="str">
        <f>IF(SENBUD!AG44="","",SENBUD!AG44)</f>
        <v/>
      </c>
      <c r="DS47" s="93" t="str">
        <f>IF(PENJAS!X44="","",PENJAS!X44)</f>
        <v/>
      </c>
      <c r="DT47" s="93" t="str">
        <f>IF(PENJAS!Y44="","",PENJAS!Y44)</f>
        <v/>
      </c>
      <c r="DU47" s="93" t="str">
        <f>IF(PENJAS!Z44="","",PENJAS!Z44)</f>
        <v/>
      </c>
      <c r="DV47" s="93" t="str">
        <f>IF(PENJAS!AA44="","",PENJAS!AA44)</f>
        <v/>
      </c>
      <c r="DW47" s="93" t="str">
        <f>IF(PENJAS!AB44="","",PENJAS!AB44)</f>
        <v/>
      </c>
      <c r="DX47" s="93" t="str">
        <f>IF(PENJAS!AC44="","",PENJAS!AC44)</f>
        <v/>
      </c>
      <c r="DY47" s="93" t="str">
        <f>IF(PENJAS!AD44="","",PENJAS!AD44)</f>
        <v/>
      </c>
      <c r="DZ47" s="93" t="str">
        <f>IF(PENJAS!AE44="","",PENJAS!AE44)</f>
        <v/>
      </c>
      <c r="EA47" s="93" t="str">
        <f>IF(PENJAS!AF44="","",PENJAS!AF44)</f>
        <v/>
      </c>
      <c r="EB47" s="93" t="str">
        <f>IF(PENJAS!AG44="","",PENJAS!AG44)</f>
        <v/>
      </c>
      <c r="EC47" s="93" t="str">
        <f>IF(PRAKARYA!X44="","",PRAKARYA!X44)</f>
        <v/>
      </c>
      <c r="ED47" s="93" t="str">
        <f>IF(PRAKARYA!Y44="","",PRAKARYA!Y44)</f>
        <v/>
      </c>
      <c r="EE47" s="93" t="str">
        <f>IF(PRAKARYA!Z44="","",PRAKARYA!Z44)</f>
        <v/>
      </c>
      <c r="EF47" s="93" t="str">
        <f>IF(PRAKARYA!AA44="","",PRAKARYA!AA44)</f>
        <v/>
      </c>
      <c r="EG47" s="93" t="str">
        <f>IF(PRAKARYA!AB44="","",PRAKARYA!AB44)</f>
        <v/>
      </c>
      <c r="EH47" s="93" t="str">
        <f>IF(PRAKARYA!AC44="","",PRAKARYA!AC44)</f>
        <v/>
      </c>
      <c r="EI47" s="93" t="str">
        <f>IF(PRAKARYA!AD44="","",PRAKARYA!AD44)</f>
        <v/>
      </c>
      <c r="EJ47" s="93" t="str">
        <f>IF(PRAKARYA!AE44="","",PRAKARYA!AE44)</f>
        <v/>
      </c>
      <c r="EK47" s="93" t="str">
        <f>IF(PRAKARYA!AF44="","",PRAKARYA!AF44)</f>
        <v/>
      </c>
      <c r="EL47" s="93" t="str">
        <f>IF(PRAKARYA!AG44="","",PRAKARYA!AG44)</f>
        <v/>
      </c>
      <c r="EM47" s="95" t="str">
        <f>IF(BADER!X44="","",BADER!X44)</f>
        <v/>
      </c>
      <c r="EN47" s="95" t="str">
        <f>IF(BADER!Y44="","",BADER!Y44)</f>
        <v/>
      </c>
      <c r="EO47" s="95" t="str">
        <f>IF(BADER!Z44="","",BADER!Z44)</f>
        <v/>
      </c>
      <c r="EP47" s="95" t="str">
        <f>IF(BADER!AA44="","",BADER!AA44)</f>
        <v/>
      </c>
      <c r="EQ47" s="95" t="str">
        <f>IF(BADER!AB44="","",BADER!AB44)</f>
        <v/>
      </c>
      <c r="ER47" s="95" t="str">
        <f>IF(BADER!AC44="","",BADER!AC44)</f>
        <v/>
      </c>
      <c r="ES47" s="95" t="str">
        <f>IF(BADER!AD44="","",BADER!AD44)</f>
        <v/>
      </c>
      <c r="ET47" s="95" t="str">
        <f>IF(BADER!AE44="","",BADER!AE44)</f>
        <v/>
      </c>
      <c r="EU47" s="95" t="str">
        <f>IF(BADER!AF44="","",BADER!AF44)</f>
        <v/>
      </c>
      <c r="EV47" s="95" t="str">
        <f>IF(BADER!AG44="","",BADER!AG44)</f>
        <v/>
      </c>
      <c r="EW47" s="96" t="str">
        <f t="shared" si="1"/>
        <v/>
      </c>
      <c r="EX47" s="96" t="str">
        <f t="shared" si="2"/>
        <v/>
      </c>
      <c r="EY47" s="96" t="str">
        <f t="shared" si="14"/>
        <v/>
      </c>
      <c r="EZ47" s="96" t="str">
        <f t="shared" si="14"/>
        <v/>
      </c>
      <c r="FA47" s="96" t="str">
        <f t="shared" si="14"/>
        <v/>
      </c>
      <c r="FB47" s="96" t="str">
        <f t="shared" si="14"/>
        <v/>
      </c>
      <c r="FC47" s="96" t="str">
        <f t="shared" si="14"/>
        <v/>
      </c>
      <c r="FD47" s="96" t="str">
        <f t="shared" si="14"/>
        <v/>
      </c>
      <c r="FE47" s="96" t="str">
        <f t="shared" si="14"/>
        <v/>
      </c>
      <c r="FF47" s="96" t="str">
        <f t="shared" si="3"/>
        <v/>
      </c>
      <c r="FG47" s="96" t="str">
        <f t="shared" si="4"/>
        <v/>
      </c>
      <c r="FH47" s="92" t="str">
        <f t="shared" si="5"/>
        <v/>
      </c>
      <c r="FI47" s="92" t="str">
        <f t="shared" si="6"/>
        <v xml:space="preserve"> </v>
      </c>
      <c r="FJ47" s="92" t="str">
        <f t="shared" si="7"/>
        <v xml:space="preserve"> </v>
      </c>
      <c r="FK47" s="92" t="str">
        <f t="shared" si="8"/>
        <v xml:space="preserve"> </v>
      </c>
      <c r="FL47" s="92" t="str">
        <f t="shared" si="9"/>
        <v xml:space="preserve"> </v>
      </c>
      <c r="FM47" s="92" t="str">
        <f t="shared" si="10"/>
        <v xml:space="preserve"> </v>
      </c>
      <c r="FN47" s="92" t="str">
        <f t="shared" si="11"/>
        <v xml:space="preserve"> </v>
      </c>
      <c r="FO47" s="92" t="str">
        <f t="shared" si="12"/>
        <v xml:space="preserve"> </v>
      </c>
      <c r="FP47" s="92" t="str">
        <f t="shared" si="13"/>
        <v xml:space="preserve">,  ,  ,  ,  ,  ,  ,  </v>
      </c>
    </row>
    <row r="48" spans="1:172">
      <c r="A48" s="66">
        <v>38</v>
      </c>
      <c r="B48" s="92" t="str">
        <f>IF(DATA!D45="","",DATA!D45)</f>
        <v/>
      </c>
      <c r="C48" s="93" t="str">
        <f>IF(QH!X45="","",QH!X45)</f>
        <v/>
      </c>
      <c r="D48" s="93" t="str">
        <f>IF(QH!Y45="","",QH!Y45)</f>
        <v/>
      </c>
      <c r="E48" s="93" t="str">
        <f>IF(QH!Z45="","",QH!Z45)</f>
        <v/>
      </c>
      <c r="F48" s="93" t="str">
        <f>IF(QH!AA45="","",QH!AA45)</f>
        <v/>
      </c>
      <c r="G48" s="93" t="str">
        <f>IF(QH!AB45="","",QH!AB45)</f>
        <v/>
      </c>
      <c r="H48" s="93" t="str">
        <f>IF(QH!AC45="","",QH!AC45)</f>
        <v/>
      </c>
      <c r="I48" s="93" t="str">
        <f>IF(QH!AD45="","",QH!AD45)</f>
        <v/>
      </c>
      <c r="J48" s="93" t="str">
        <f>IF(QH!AE45="","",QH!AE45)</f>
        <v/>
      </c>
      <c r="K48" s="93" t="str">
        <f>IF(QH!AF45="","",QH!AF45)</f>
        <v/>
      </c>
      <c r="L48" s="93" t="str">
        <f>IF(QH!AG45="","",QH!AG45)</f>
        <v/>
      </c>
      <c r="M48" s="94" t="str">
        <f>IF(AA!X45="","",AA!X45)</f>
        <v/>
      </c>
      <c r="N48" s="94" t="str">
        <f>IF(AA!Y45="","",AA!Y45)</f>
        <v/>
      </c>
      <c r="O48" s="94" t="str">
        <f>IF(AA!Z45="","",AA!Z45)</f>
        <v/>
      </c>
      <c r="P48" s="94" t="str">
        <f>IF(AA!AA45="","",AA!AA45)</f>
        <v/>
      </c>
      <c r="Q48" s="94" t="str">
        <f>IF(AA!AB45="","",AA!AB45)</f>
        <v/>
      </c>
      <c r="R48" s="94" t="str">
        <f>IF(AA!AC45="","",AA!AC45)</f>
        <v/>
      </c>
      <c r="S48" s="94" t="str">
        <f>IF(AA!AD45="","",AA!AD45)</f>
        <v/>
      </c>
      <c r="T48" s="94" t="str">
        <f>IF(AA!AE45="","",AA!AE45)</f>
        <v/>
      </c>
      <c r="U48" s="94" t="str">
        <f>IF(AA!AF45="","",AA!AF45)</f>
        <v/>
      </c>
      <c r="V48" s="94" t="str">
        <f>IF(AA!AG45="","",AA!AG45)</f>
        <v/>
      </c>
      <c r="W48" s="94" t="str">
        <f>IF(FIKIH!X45="","",FIKIH!X45)</f>
        <v/>
      </c>
      <c r="X48" s="94" t="str">
        <f>IF(FIKIH!Y45="","",FIKIH!Y45)</f>
        <v/>
      </c>
      <c r="Y48" s="94" t="str">
        <f>IF(FIKIH!Z45="","",FIKIH!Z45)</f>
        <v/>
      </c>
      <c r="Z48" s="94" t="str">
        <f>IF(FIKIH!AA45="","",FIKIH!AA45)</f>
        <v/>
      </c>
      <c r="AA48" s="94" t="str">
        <f>IF(FIKIH!AB45="","",FIKIH!AB45)</f>
        <v/>
      </c>
      <c r="AB48" s="94" t="str">
        <f>IF(FIKIH!AC45="","",FIKIH!AC45)</f>
        <v/>
      </c>
      <c r="AC48" s="94" t="str">
        <f>IF(FIKIH!AD45="","",FIKIH!AD45)</f>
        <v/>
      </c>
      <c r="AD48" s="94" t="str">
        <f>IF(FIKIH!AE45="","",FIKIH!AE45)</f>
        <v/>
      </c>
      <c r="AE48" s="94" t="str">
        <f>IF(FIKIH!AF45="","",FIKIH!AF45)</f>
        <v/>
      </c>
      <c r="AF48" s="94" t="str">
        <f>IF(FIKIH!AG45="","",FIKIH!AG45)</f>
        <v/>
      </c>
      <c r="AG48" s="94">
        <f>IF(SKI!X45="","",SKI!X45)</f>
        <v>3</v>
      </c>
      <c r="AH48" s="94" t="str">
        <f>IF(SKI!Y45="","",SKI!Y45)</f>
        <v>Melaksanakan sholat dhuhur berjemaah, berdo'a di awal dan di akhir kegiatan pembelajaran , serta melaksanakan kegiatan amaliyah siswa</v>
      </c>
      <c r="AI48" s="94">
        <f>IF(SKI!Z45="","",SKI!Z45)</f>
        <v>3</v>
      </c>
      <c r="AJ48" s="94">
        <f>IF(SKI!AA45="","",SKI!AA45)</f>
        <v>3</v>
      </c>
      <c r="AK48" s="94">
        <f>IF(SKI!AB45="","",SKI!AB45)</f>
        <v>3</v>
      </c>
      <c r="AL48" s="94">
        <f>IF(SKI!AC45="","",SKI!AC45)</f>
        <v>3</v>
      </c>
      <c r="AM48" s="94">
        <f>IF(SKI!AD45="","",SKI!AD45)</f>
        <v>3</v>
      </c>
      <c r="AN48" s="94">
        <f>IF(SKI!AE45="","",SKI!AE45)</f>
        <v>3</v>
      </c>
      <c r="AO48" s="94">
        <f>IF(SKI!AF45="","",SKI!AF45)</f>
        <v>3</v>
      </c>
      <c r="AP48" s="94" t="str">
        <f>IF(SKI!AG45="","",SKI!AG45)</f>
        <v>Santun dalam bersikap, disiplin dalam mentaati tata tertib madrasah, peduli pada lingkungan, orang tua, bertanggung jawab dalam melaksanakan tugas, baik sebagai individu maupun makhluk sosial</v>
      </c>
      <c r="AQ48" s="94" t="str">
        <f>IF(PKN!X45="","",PKN!X45)</f>
        <v/>
      </c>
      <c r="AR48" s="94" t="str">
        <f>IF(PKN!Y45="","",PKN!Y45)</f>
        <v/>
      </c>
      <c r="AS48" s="94" t="str">
        <f>IF(PKN!Z45="","",PKN!Z45)</f>
        <v/>
      </c>
      <c r="AT48" s="94" t="str">
        <f>IF(PKN!AA45="","",PKN!AA45)</f>
        <v/>
      </c>
      <c r="AU48" s="94" t="str">
        <f>IF(PKN!AB45="","",PKN!AB45)</f>
        <v/>
      </c>
      <c r="AV48" s="94" t="str">
        <f>IF(PKN!AC45="","",PKN!AC45)</f>
        <v/>
      </c>
      <c r="AW48" s="94" t="str">
        <f>IF(PKN!AD45="","",PKN!AD45)</f>
        <v/>
      </c>
      <c r="AX48" s="94" t="str">
        <f>IF(PKN!AE45="","",PKN!AE45)</f>
        <v/>
      </c>
      <c r="AY48" s="94" t="str">
        <f>IF(PKN!AF45="","",PKN!AF45)</f>
        <v/>
      </c>
      <c r="AZ48" s="94" t="str">
        <f>IF(PKN!AG45="","",PKN!AG45)</f>
        <v/>
      </c>
      <c r="BA48" s="93" t="str">
        <f>IF(INDO!X45="","",INDO!X45)</f>
        <v/>
      </c>
      <c r="BB48" s="93" t="str">
        <f>IF(INDO!Y45="","",INDO!Y45)</f>
        <v/>
      </c>
      <c r="BC48" s="93" t="str">
        <f>IF(INDO!Z45="","",INDO!Z45)</f>
        <v/>
      </c>
      <c r="BD48" s="93" t="str">
        <f>IF(INDO!AA45="","",INDO!AA45)</f>
        <v/>
      </c>
      <c r="BE48" s="93" t="str">
        <f>IF(INDO!AB45="","",INDO!AB45)</f>
        <v/>
      </c>
      <c r="BF48" s="93" t="str">
        <f>IF(INDO!AC45="","",INDO!AC45)</f>
        <v/>
      </c>
      <c r="BG48" s="93" t="str">
        <f>IF(INDO!AD45="","",INDO!AD45)</f>
        <v/>
      </c>
      <c r="BH48" s="93" t="str">
        <f>IF(INDO!AE45="","",INDO!AE45)</f>
        <v/>
      </c>
      <c r="BI48" s="93" t="str">
        <f>IF(INDO!AF45="","",INDO!AF45)</f>
        <v/>
      </c>
      <c r="BJ48" s="93" t="str">
        <f>IF(INDO!AG45="","",INDO!AG45)</f>
        <v/>
      </c>
      <c r="BK48" s="93" t="str">
        <f>IF(ARAB!X45="","",ARAB!X45)</f>
        <v/>
      </c>
      <c r="BL48" s="93" t="str">
        <f>IF(ARAB!Y45="","",ARAB!Y45)</f>
        <v/>
      </c>
      <c r="BM48" s="93" t="str">
        <f>IF(ARAB!Z45="","",ARAB!Z45)</f>
        <v/>
      </c>
      <c r="BN48" s="93" t="str">
        <f>IF(ARAB!AA45="","",ARAB!AA45)</f>
        <v/>
      </c>
      <c r="BO48" s="93" t="str">
        <f>IF(ARAB!AB45="","",ARAB!AB45)</f>
        <v/>
      </c>
      <c r="BP48" s="93" t="str">
        <f>IF(ARAB!AC45="","",ARAB!AC45)</f>
        <v/>
      </c>
      <c r="BQ48" s="93" t="str">
        <f>IF(ARAB!AD45="","",ARAB!AD45)</f>
        <v/>
      </c>
      <c r="BR48" s="93" t="str">
        <f>IF(ARAB!AE45="","",ARAB!AE45)</f>
        <v/>
      </c>
      <c r="BS48" s="93" t="str">
        <f>IF(ARAB!AF45="","",ARAB!AF45)</f>
        <v/>
      </c>
      <c r="BT48" s="93" t="str">
        <f>IF(ARAB!AG45="","",ARAB!AG45)</f>
        <v/>
      </c>
      <c r="BU48" s="94" t="str">
        <f>IF(MAT!X45="","",MAT!X45)</f>
        <v/>
      </c>
      <c r="BV48" s="94" t="str">
        <f>IF(MAT!Y45="","",MAT!Y45)</f>
        <v/>
      </c>
      <c r="BW48" s="94" t="str">
        <f>IF(MAT!Z45="","",MAT!Z45)</f>
        <v/>
      </c>
      <c r="BX48" s="94" t="str">
        <f>IF(MAT!AA45="","",MAT!AA45)</f>
        <v/>
      </c>
      <c r="BY48" s="94" t="str">
        <f>IF(MAT!AB45="","",MAT!AB45)</f>
        <v/>
      </c>
      <c r="BZ48" s="94" t="str">
        <f>IF(MAT!AC45="","",MAT!AC45)</f>
        <v/>
      </c>
      <c r="CA48" s="94" t="str">
        <f>IF(MAT!AD45="","",MAT!AD45)</f>
        <v/>
      </c>
      <c r="CB48" s="94" t="str">
        <f>IF(MAT!AE45="","",MAT!AE45)</f>
        <v/>
      </c>
      <c r="CC48" s="94" t="str">
        <f>IF(MAT!AF45="","",MAT!AF45)</f>
        <v/>
      </c>
      <c r="CD48" s="94" t="str">
        <f>IF(MAT!AG45="","",MAT!AG45)</f>
        <v/>
      </c>
      <c r="CE48" s="94" t="str">
        <f>IF(IPA!X45="","",IPA!X45)</f>
        <v/>
      </c>
      <c r="CF48" s="94" t="str">
        <f>IF(IPA!Y45="","",IPA!Y45)</f>
        <v/>
      </c>
      <c r="CG48" s="94" t="str">
        <f>IF(IPA!Z45="","",IPA!Z45)</f>
        <v/>
      </c>
      <c r="CH48" s="94" t="str">
        <f>IF(IPA!AA45="","",IPA!AA45)</f>
        <v/>
      </c>
      <c r="CI48" s="94" t="str">
        <f>IF(IPA!AB45="","",IPA!AB45)</f>
        <v/>
      </c>
      <c r="CJ48" s="94" t="str">
        <f>IF(IPA!AC45="","",IPA!AC45)</f>
        <v/>
      </c>
      <c r="CK48" s="94" t="str">
        <f>IF(IPA!AD45="","",IPA!AD45)</f>
        <v/>
      </c>
      <c r="CL48" s="94" t="str">
        <f>IF(IPA!AE45="","",IPA!AE45)</f>
        <v/>
      </c>
      <c r="CM48" s="94" t="str">
        <f>IF(IPA!AF45="","",IPA!AF45)</f>
        <v/>
      </c>
      <c r="CN48" s="94" t="str">
        <f>IF(IPA!AG45="","",IPA!AG45)</f>
        <v/>
      </c>
      <c r="CO48" s="93" t="str">
        <f>IF(IPS!X45="","",IPS!X45)</f>
        <v/>
      </c>
      <c r="CP48" s="93" t="str">
        <f>IF(IPS!Y45="","",IPS!Y45)</f>
        <v/>
      </c>
      <c r="CQ48" s="93" t="str">
        <f>IF(IPS!Z45="","",IPS!Z45)</f>
        <v/>
      </c>
      <c r="CR48" s="93" t="str">
        <f>IF(IPS!AA45="","",IPS!AA45)</f>
        <v/>
      </c>
      <c r="CS48" s="93" t="str">
        <f>IF(IPS!AB45="","",IPS!AB45)</f>
        <v/>
      </c>
      <c r="CT48" s="93" t="str">
        <f>IF(IPS!AC45="","",IPS!AC45)</f>
        <v/>
      </c>
      <c r="CU48" s="93" t="str">
        <f>IF(IPS!AD45="","",IPS!AD45)</f>
        <v/>
      </c>
      <c r="CV48" s="93" t="str">
        <f>IF(IPS!AE45="","",IPS!AE45)</f>
        <v/>
      </c>
      <c r="CW48" s="93" t="str">
        <f>IF(IPS!AF45="","",IPS!AF45)</f>
        <v/>
      </c>
      <c r="CX48" s="93" t="str">
        <f>IF(IPS!AG45="","",IPS!AG45)</f>
        <v/>
      </c>
      <c r="CY48" s="94" t="str">
        <f>IF(INGG!X45="","",INGG!X45)</f>
        <v/>
      </c>
      <c r="CZ48" s="94" t="str">
        <f>IF(INGG!Y45="","",INGG!Y45)</f>
        <v/>
      </c>
      <c r="DA48" s="94" t="str">
        <f>IF(INGG!Z45="","",INGG!Z45)</f>
        <v/>
      </c>
      <c r="DB48" s="94" t="str">
        <f>IF(INGG!AA45="","",INGG!AA45)</f>
        <v/>
      </c>
      <c r="DC48" s="94" t="str">
        <f>IF(INGG!AB45="","",INGG!AB45)</f>
        <v/>
      </c>
      <c r="DD48" s="94" t="str">
        <f>IF(INGG!AC45="","",INGG!AC45)</f>
        <v/>
      </c>
      <c r="DE48" s="94" t="str">
        <f>IF(INGG!AD45="","",INGG!AD45)</f>
        <v/>
      </c>
      <c r="DF48" s="94" t="str">
        <f>IF(INGG!AE45="","",INGG!AE45)</f>
        <v/>
      </c>
      <c r="DG48" s="94" t="str">
        <f>IF(INGG!AF45="","",INGG!AF45)</f>
        <v/>
      </c>
      <c r="DH48" s="94" t="str">
        <f>IF(INGG!AG45="","",INGG!AG45)</f>
        <v/>
      </c>
      <c r="DI48" s="94" t="str">
        <f>IF(SENBUD!X45="","",SENBUD!X45)</f>
        <v/>
      </c>
      <c r="DJ48" s="94" t="str">
        <f>IF(SENBUD!Y45="","",SENBUD!Y45)</f>
        <v/>
      </c>
      <c r="DK48" s="94" t="str">
        <f>IF(SENBUD!Z45="","",SENBUD!Z45)</f>
        <v/>
      </c>
      <c r="DL48" s="94" t="str">
        <f>IF(SENBUD!AA45="","",SENBUD!AA45)</f>
        <v/>
      </c>
      <c r="DM48" s="94" t="str">
        <f>IF(SENBUD!AB45="","",SENBUD!AB45)</f>
        <v/>
      </c>
      <c r="DN48" s="94" t="str">
        <f>IF(SENBUD!AC45="","",SENBUD!AC45)</f>
        <v/>
      </c>
      <c r="DO48" s="94" t="str">
        <f>IF(SENBUD!AD45="","",SENBUD!AD45)</f>
        <v/>
      </c>
      <c r="DP48" s="94" t="str">
        <f>IF(SENBUD!AE45="","",SENBUD!AE45)</f>
        <v/>
      </c>
      <c r="DQ48" s="94" t="str">
        <f>IF(SENBUD!AF45="","",SENBUD!AF45)</f>
        <v/>
      </c>
      <c r="DR48" s="94" t="str">
        <f>IF(SENBUD!AG45="","",SENBUD!AG45)</f>
        <v/>
      </c>
      <c r="DS48" s="93" t="str">
        <f>IF(PENJAS!X45="","",PENJAS!X45)</f>
        <v/>
      </c>
      <c r="DT48" s="93" t="str">
        <f>IF(PENJAS!Y45="","",PENJAS!Y45)</f>
        <v/>
      </c>
      <c r="DU48" s="93" t="str">
        <f>IF(PENJAS!Z45="","",PENJAS!Z45)</f>
        <v/>
      </c>
      <c r="DV48" s="93" t="str">
        <f>IF(PENJAS!AA45="","",PENJAS!AA45)</f>
        <v/>
      </c>
      <c r="DW48" s="93" t="str">
        <f>IF(PENJAS!AB45="","",PENJAS!AB45)</f>
        <v/>
      </c>
      <c r="DX48" s="93" t="str">
        <f>IF(PENJAS!AC45="","",PENJAS!AC45)</f>
        <v/>
      </c>
      <c r="DY48" s="93" t="str">
        <f>IF(PENJAS!AD45="","",PENJAS!AD45)</f>
        <v/>
      </c>
      <c r="DZ48" s="93" t="str">
        <f>IF(PENJAS!AE45="","",PENJAS!AE45)</f>
        <v/>
      </c>
      <c r="EA48" s="93" t="str">
        <f>IF(PENJAS!AF45="","",PENJAS!AF45)</f>
        <v/>
      </c>
      <c r="EB48" s="93" t="str">
        <f>IF(PENJAS!AG45="","",PENJAS!AG45)</f>
        <v/>
      </c>
      <c r="EC48" s="93" t="str">
        <f>IF(PRAKARYA!X45="","",PRAKARYA!X45)</f>
        <v/>
      </c>
      <c r="ED48" s="93" t="str">
        <f>IF(PRAKARYA!Y45="","",PRAKARYA!Y45)</f>
        <v/>
      </c>
      <c r="EE48" s="93" t="str">
        <f>IF(PRAKARYA!Z45="","",PRAKARYA!Z45)</f>
        <v/>
      </c>
      <c r="EF48" s="93" t="str">
        <f>IF(PRAKARYA!AA45="","",PRAKARYA!AA45)</f>
        <v/>
      </c>
      <c r="EG48" s="93" t="str">
        <f>IF(PRAKARYA!AB45="","",PRAKARYA!AB45)</f>
        <v/>
      </c>
      <c r="EH48" s="93" t="str">
        <f>IF(PRAKARYA!AC45="","",PRAKARYA!AC45)</f>
        <v/>
      </c>
      <c r="EI48" s="93" t="str">
        <f>IF(PRAKARYA!AD45="","",PRAKARYA!AD45)</f>
        <v/>
      </c>
      <c r="EJ48" s="93" t="str">
        <f>IF(PRAKARYA!AE45="","",PRAKARYA!AE45)</f>
        <v/>
      </c>
      <c r="EK48" s="93" t="str">
        <f>IF(PRAKARYA!AF45="","",PRAKARYA!AF45)</f>
        <v/>
      </c>
      <c r="EL48" s="93" t="str">
        <f>IF(PRAKARYA!AG45="","",PRAKARYA!AG45)</f>
        <v/>
      </c>
      <c r="EM48" s="95" t="str">
        <f>IF(BADER!X45="","",BADER!X45)</f>
        <v/>
      </c>
      <c r="EN48" s="95" t="str">
        <f>IF(BADER!Y45="","",BADER!Y45)</f>
        <v/>
      </c>
      <c r="EO48" s="95" t="str">
        <f>IF(BADER!Z45="","",BADER!Z45)</f>
        <v/>
      </c>
      <c r="EP48" s="95" t="str">
        <f>IF(BADER!AA45="","",BADER!AA45)</f>
        <v/>
      </c>
      <c r="EQ48" s="95" t="str">
        <f>IF(BADER!AB45="","",BADER!AB45)</f>
        <v/>
      </c>
      <c r="ER48" s="95" t="str">
        <f>IF(BADER!AC45="","",BADER!AC45)</f>
        <v/>
      </c>
      <c r="ES48" s="95" t="str">
        <f>IF(BADER!AD45="","",BADER!AD45)</f>
        <v/>
      </c>
      <c r="ET48" s="95" t="str">
        <f>IF(BADER!AE45="","",BADER!AE45)</f>
        <v/>
      </c>
      <c r="EU48" s="95" t="str">
        <f>IF(BADER!AF45="","",BADER!AF45)</f>
        <v/>
      </c>
      <c r="EV48" s="95" t="str">
        <f>IF(BADER!AG45="","",BADER!AG45)</f>
        <v/>
      </c>
      <c r="EW48" s="96" t="str">
        <f t="shared" si="1"/>
        <v/>
      </c>
      <c r="EX48" s="96" t="str">
        <f t="shared" si="2"/>
        <v/>
      </c>
      <c r="EY48" s="96" t="str">
        <f t="shared" si="14"/>
        <v/>
      </c>
      <c r="EZ48" s="96" t="str">
        <f t="shared" si="14"/>
        <v/>
      </c>
      <c r="FA48" s="96" t="str">
        <f t="shared" si="14"/>
        <v/>
      </c>
      <c r="FB48" s="96" t="str">
        <f t="shared" si="14"/>
        <v/>
      </c>
      <c r="FC48" s="96" t="str">
        <f t="shared" si="14"/>
        <v/>
      </c>
      <c r="FD48" s="96" t="str">
        <f t="shared" si="14"/>
        <v/>
      </c>
      <c r="FE48" s="96" t="str">
        <f t="shared" si="14"/>
        <v/>
      </c>
      <c r="FF48" s="96" t="str">
        <f t="shared" si="3"/>
        <v/>
      </c>
      <c r="FG48" s="96" t="str">
        <f t="shared" si="4"/>
        <v/>
      </c>
      <c r="FH48" s="92" t="str">
        <f t="shared" si="5"/>
        <v/>
      </c>
      <c r="FI48" s="92" t="str">
        <f t="shared" si="6"/>
        <v xml:space="preserve"> </v>
      </c>
      <c r="FJ48" s="92" t="str">
        <f t="shared" si="7"/>
        <v xml:space="preserve"> </v>
      </c>
      <c r="FK48" s="92" t="str">
        <f t="shared" si="8"/>
        <v xml:space="preserve"> </v>
      </c>
      <c r="FL48" s="92" t="str">
        <f t="shared" si="9"/>
        <v xml:space="preserve"> </v>
      </c>
      <c r="FM48" s="92" t="str">
        <f t="shared" si="10"/>
        <v xml:space="preserve"> </v>
      </c>
      <c r="FN48" s="92" t="str">
        <f t="shared" si="11"/>
        <v xml:space="preserve"> </v>
      </c>
      <c r="FO48" s="92" t="str">
        <f t="shared" si="12"/>
        <v xml:space="preserve"> </v>
      </c>
      <c r="FP48" s="92" t="str">
        <f t="shared" si="13"/>
        <v xml:space="preserve">,  ,  ,  ,  ,  ,  ,  </v>
      </c>
    </row>
    <row r="49" spans="1:16384">
      <c r="A49" s="66">
        <v>39</v>
      </c>
      <c r="B49" s="92" t="str">
        <f>IF(DATA!D46="","",DATA!D46)</f>
        <v/>
      </c>
      <c r="C49" s="93" t="str">
        <f>IF(QH!X46="","",QH!X46)</f>
        <v/>
      </c>
      <c r="D49" s="93" t="str">
        <f>IF(QH!Y46="","",QH!Y46)</f>
        <v/>
      </c>
      <c r="E49" s="93" t="str">
        <f>IF(QH!Z46="","",QH!Z46)</f>
        <v/>
      </c>
      <c r="F49" s="93" t="str">
        <f>IF(QH!AA46="","",QH!AA46)</f>
        <v/>
      </c>
      <c r="G49" s="93" t="str">
        <f>IF(QH!AB46="","",QH!AB46)</f>
        <v/>
      </c>
      <c r="H49" s="93" t="str">
        <f>IF(QH!AC46="","",QH!AC46)</f>
        <v/>
      </c>
      <c r="I49" s="93" t="str">
        <f>IF(QH!AD46="","",QH!AD46)</f>
        <v/>
      </c>
      <c r="J49" s="93" t="str">
        <f>IF(QH!AE46="","",QH!AE46)</f>
        <v/>
      </c>
      <c r="K49" s="93" t="str">
        <f>IF(QH!AF46="","",QH!AF46)</f>
        <v/>
      </c>
      <c r="L49" s="93" t="str">
        <f>IF(QH!AG46="","",QH!AG46)</f>
        <v/>
      </c>
      <c r="M49" s="94" t="str">
        <f>IF(AA!X46="","",AA!X46)</f>
        <v/>
      </c>
      <c r="N49" s="94" t="str">
        <f>IF(AA!Y46="","",AA!Y46)</f>
        <v/>
      </c>
      <c r="O49" s="94" t="str">
        <f>IF(AA!Z46="","",AA!Z46)</f>
        <v/>
      </c>
      <c r="P49" s="94" t="str">
        <f>IF(AA!AA46="","",AA!AA46)</f>
        <v/>
      </c>
      <c r="Q49" s="94" t="str">
        <f>IF(AA!AB46="","",AA!AB46)</f>
        <v/>
      </c>
      <c r="R49" s="94" t="str">
        <f>IF(AA!AC46="","",AA!AC46)</f>
        <v/>
      </c>
      <c r="S49" s="94" t="str">
        <f>IF(AA!AD46="","",AA!AD46)</f>
        <v/>
      </c>
      <c r="T49" s="94" t="str">
        <f>IF(AA!AE46="","",AA!AE46)</f>
        <v/>
      </c>
      <c r="U49" s="94" t="str">
        <f>IF(AA!AF46="","",AA!AF46)</f>
        <v/>
      </c>
      <c r="V49" s="94" t="str">
        <f>IF(AA!AG46="","",AA!AG46)</f>
        <v/>
      </c>
      <c r="W49" s="94" t="str">
        <f>IF(FIKIH!X46="","",FIKIH!X46)</f>
        <v/>
      </c>
      <c r="X49" s="94" t="str">
        <f>IF(FIKIH!Y46="","",FIKIH!Y46)</f>
        <v/>
      </c>
      <c r="Y49" s="94" t="str">
        <f>IF(FIKIH!Z46="","",FIKIH!Z46)</f>
        <v/>
      </c>
      <c r="Z49" s="94" t="str">
        <f>IF(FIKIH!AA46="","",FIKIH!AA46)</f>
        <v/>
      </c>
      <c r="AA49" s="94" t="str">
        <f>IF(FIKIH!AB46="","",FIKIH!AB46)</f>
        <v/>
      </c>
      <c r="AB49" s="94" t="str">
        <f>IF(FIKIH!AC46="","",FIKIH!AC46)</f>
        <v/>
      </c>
      <c r="AC49" s="94" t="str">
        <f>IF(FIKIH!AD46="","",FIKIH!AD46)</f>
        <v/>
      </c>
      <c r="AD49" s="94" t="str">
        <f>IF(FIKIH!AE46="","",FIKIH!AE46)</f>
        <v/>
      </c>
      <c r="AE49" s="94" t="str">
        <f>IF(FIKIH!AF46="","",FIKIH!AF46)</f>
        <v/>
      </c>
      <c r="AF49" s="94" t="str">
        <f>IF(FIKIH!AG46="","",FIKIH!AG46)</f>
        <v/>
      </c>
      <c r="AG49" s="94">
        <f>IF(SKI!X46="","",SKI!X46)</f>
        <v>3</v>
      </c>
      <c r="AH49" s="94" t="str">
        <f>IF(SKI!Y46="","",SKI!Y46)</f>
        <v>Melaksanakan sholat dhuhur berjemaah, berdo'a di awal dan di akhir kegiatan pembelajaran , serta melaksanakan kegiatan amaliyah siswa</v>
      </c>
      <c r="AI49" s="94">
        <f>IF(SKI!Z46="","",SKI!Z46)</f>
        <v>3</v>
      </c>
      <c r="AJ49" s="94">
        <f>IF(SKI!AA46="","",SKI!AA46)</f>
        <v>3</v>
      </c>
      <c r="AK49" s="94">
        <f>IF(SKI!AB46="","",SKI!AB46)</f>
        <v>3</v>
      </c>
      <c r="AL49" s="94">
        <f>IF(SKI!AC46="","",SKI!AC46)</f>
        <v>3</v>
      </c>
      <c r="AM49" s="94">
        <f>IF(SKI!AD46="","",SKI!AD46)</f>
        <v>3</v>
      </c>
      <c r="AN49" s="94">
        <f>IF(SKI!AE46="","",SKI!AE46)</f>
        <v>3</v>
      </c>
      <c r="AO49" s="94">
        <f>IF(SKI!AF46="","",SKI!AF46)</f>
        <v>3</v>
      </c>
      <c r="AP49" s="94" t="str">
        <f>IF(SKI!AG46="","",SKI!AG46)</f>
        <v>Santun dalam bersikap, disiplin dalam mentaati tata tertib madrasah, peduli pada lingkungan, orang tua, bertanggung jawab dalam melaksanakan tugas, baik sebagai individu maupun makhluk sosial</v>
      </c>
      <c r="AQ49" s="94" t="str">
        <f>IF(PKN!X46="","",PKN!X46)</f>
        <v/>
      </c>
      <c r="AR49" s="94" t="str">
        <f>IF(PKN!Y46="","",PKN!Y46)</f>
        <v/>
      </c>
      <c r="AS49" s="94" t="str">
        <f>IF(PKN!Z46="","",PKN!Z46)</f>
        <v/>
      </c>
      <c r="AT49" s="94" t="str">
        <f>IF(PKN!AA46="","",PKN!AA46)</f>
        <v/>
      </c>
      <c r="AU49" s="94" t="str">
        <f>IF(PKN!AB46="","",PKN!AB46)</f>
        <v/>
      </c>
      <c r="AV49" s="94" t="str">
        <f>IF(PKN!AC46="","",PKN!AC46)</f>
        <v/>
      </c>
      <c r="AW49" s="94" t="str">
        <f>IF(PKN!AD46="","",PKN!AD46)</f>
        <v/>
      </c>
      <c r="AX49" s="94" t="str">
        <f>IF(PKN!AE46="","",PKN!AE46)</f>
        <v/>
      </c>
      <c r="AY49" s="94" t="str">
        <f>IF(PKN!AF46="","",PKN!AF46)</f>
        <v/>
      </c>
      <c r="AZ49" s="94" t="str">
        <f>IF(PKN!AG46="","",PKN!AG46)</f>
        <v/>
      </c>
      <c r="BA49" s="93" t="str">
        <f>IF(INDO!X46="","",INDO!X46)</f>
        <v/>
      </c>
      <c r="BB49" s="93" t="str">
        <f>IF(INDO!Y46="","",INDO!Y46)</f>
        <v/>
      </c>
      <c r="BC49" s="93" t="str">
        <f>IF(INDO!Z46="","",INDO!Z46)</f>
        <v/>
      </c>
      <c r="BD49" s="93" t="str">
        <f>IF(INDO!AA46="","",INDO!AA46)</f>
        <v/>
      </c>
      <c r="BE49" s="93" t="str">
        <f>IF(INDO!AB46="","",INDO!AB46)</f>
        <v/>
      </c>
      <c r="BF49" s="93" t="str">
        <f>IF(INDO!AC46="","",INDO!AC46)</f>
        <v/>
      </c>
      <c r="BG49" s="93" t="str">
        <f>IF(INDO!AD46="","",INDO!AD46)</f>
        <v/>
      </c>
      <c r="BH49" s="93" t="str">
        <f>IF(INDO!AE46="","",INDO!AE46)</f>
        <v/>
      </c>
      <c r="BI49" s="93" t="str">
        <f>IF(INDO!AF46="","",INDO!AF46)</f>
        <v/>
      </c>
      <c r="BJ49" s="93" t="str">
        <f>IF(INDO!AG46="","",INDO!AG46)</f>
        <v/>
      </c>
      <c r="BK49" s="93" t="str">
        <f>IF(ARAB!X46="","",ARAB!X46)</f>
        <v/>
      </c>
      <c r="BL49" s="93" t="str">
        <f>IF(ARAB!Y46="","",ARAB!Y46)</f>
        <v/>
      </c>
      <c r="BM49" s="93" t="str">
        <f>IF(ARAB!Z46="","",ARAB!Z46)</f>
        <v/>
      </c>
      <c r="BN49" s="93" t="str">
        <f>IF(ARAB!AA46="","",ARAB!AA46)</f>
        <v/>
      </c>
      <c r="BO49" s="93" t="str">
        <f>IF(ARAB!AB46="","",ARAB!AB46)</f>
        <v/>
      </c>
      <c r="BP49" s="93" t="str">
        <f>IF(ARAB!AC46="","",ARAB!AC46)</f>
        <v/>
      </c>
      <c r="BQ49" s="93" t="str">
        <f>IF(ARAB!AD46="","",ARAB!AD46)</f>
        <v/>
      </c>
      <c r="BR49" s="93" t="str">
        <f>IF(ARAB!AE46="","",ARAB!AE46)</f>
        <v/>
      </c>
      <c r="BS49" s="93" t="str">
        <f>IF(ARAB!AF46="","",ARAB!AF46)</f>
        <v/>
      </c>
      <c r="BT49" s="93" t="str">
        <f>IF(ARAB!AG46="","",ARAB!AG46)</f>
        <v/>
      </c>
      <c r="BU49" s="94" t="str">
        <f>IF(MAT!X46="","",MAT!X46)</f>
        <v/>
      </c>
      <c r="BV49" s="94" t="str">
        <f>IF(MAT!Y46="","",MAT!Y46)</f>
        <v/>
      </c>
      <c r="BW49" s="94" t="str">
        <f>IF(MAT!Z46="","",MAT!Z46)</f>
        <v/>
      </c>
      <c r="BX49" s="94" t="str">
        <f>IF(MAT!AA46="","",MAT!AA46)</f>
        <v/>
      </c>
      <c r="BY49" s="94" t="str">
        <f>IF(MAT!AB46="","",MAT!AB46)</f>
        <v/>
      </c>
      <c r="BZ49" s="94" t="str">
        <f>IF(MAT!AC46="","",MAT!AC46)</f>
        <v/>
      </c>
      <c r="CA49" s="94" t="str">
        <f>IF(MAT!AD46="","",MAT!AD46)</f>
        <v/>
      </c>
      <c r="CB49" s="94" t="str">
        <f>IF(MAT!AE46="","",MAT!AE46)</f>
        <v/>
      </c>
      <c r="CC49" s="94" t="str">
        <f>IF(MAT!AF46="","",MAT!AF46)</f>
        <v/>
      </c>
      <c r="CD49" s="94" t="str">
        <f>IF(MAT!AG46="","",MAT!AG46)</f>
        <v/>
      </c>
      <c r="CE49" s="94" t="str">
        <f>IF(IPA!X46="","",IPA!X46)</f>
        <v/>
      </c>
      <c r="CF49" s="94" t="str">
        <f>IF(IPA!Y46="","",IPA!Y46)</f>
        <v/>
      </c>
      <c r="CG49" s="94" t="str">
        <f>IF(IPA!Z46="","",IPA!Z46)</f>
        <v/>
      </c>
      <c r="CH49" s="94" t="str">
        <f>IF(IPA!AA46="","",IPA!AA46)</f>
        <v/>
      </c>
      <c r="CI49" s="94" t="str">
        <f>IF(IPA!AB46="","",IPA!AB46)</f>
        <v/>
      </c>
      <c r="CJ49" s="94" t="str">
        <f>IF(IPA!AC46="","",IPA!AC46)</f>
        <v/>
      </c>
      <c r="CK49" s="94" t="str">
        <f>IF(IPA!AD46="","",IPA!AD46)</f>
        <v/>
      </c>
      <c r="CL49" s="94" t="str">
        <f>IF(IPA!AE46="","",IPA!AE46)</f>
        <v/>
      </c>
      <c r="CM49" s="94" t="str">
        <f>IF(IPA!AF46="","",IPA!AF46)</f>
        <v/>
      </c>
      <c r="CN49" s="94" t="str">
        <f>IF(IPA!AG46="","",IPA!AG46)</f>
        <v/>
      </c>
      <c r="CO49" s="93" t="str">
        <f>IF(IPS!X46="","",IPS!X46)</f>
        <v/>
      </c>
      <c r="CP49" s="93" t="str">
        <f>IF(IPS!Y46="","",IPS!Y46)</f>
        <v/>
      </c>
      <c r="CQ49" s="93" t="str">
        <f>IF(IPS!Z46="","",IPS!Z46)</f>
        <v/>
      </c>
      <c r="CR49" s="93" t="str">
        <f>IF(IPS!AA46="","",IPS!AA46)</f>
        <v/>
      </c>
      <c r="CS49" s="93" t="str">
        <f>IF(IPS!AB46="","",IPS!AB46)</f>
        <v/>
      </c>
      <c r="CT49" s="93" t="str">
        <f>IF(IPS!AC46="","",IPS!AC46)</f>
        <v/>
      </c>
      <c r="CU49" s="93" t="str">
        <f>IF(IPS!AD46="","",IPS!AD46)</f>
        <v/>
      </c>
      <c r="CV49" s="93" t="str">
        <f>IF(IPS!AE46="","",IPS!AE46)</f>
        <v/>
      </c>
      <c r="CW49" s="93" t="str">
        <f>IF(IPS!AF46="","",IPS!AF46)</f>
        <v/>
      </c>
      <c r="CX49" s="93" t="str">
        <f>IF(IPS!AG46="","",IPS!AG46)</f>
        <v/>
      </c>
      <c r="CY49" s="94" t="str">
        <f>IF(INGG!X46="","",INGG!X46)</f>
        <v/>
      </c>
      <c r="CZ49" s="94" t="str">
        <f>IF(INGG!Y46="","",INGG!Y46)</f>
        <v/>
      </c>
      <c r="DA49" s="94" t="str">
        <f>IF(INGG!Z46="","",INGG!Z46)</f>
        <v/>
      </c>
      <c r="DB49" s="94" t="str">
        <f>IF(INGG!AA46="","",INGG!AA46)</f>
        <v/>
      </c>
      <c r="DC49" s="94" t="str">
        <f>IF(INGG!AB46="","",INGG!AB46)</f>
        <v/>
      </c>
      <c r="DD49" s="94" t="str">
        <f>IF(INGG!AC46="","",INGG!AC46)</f>
        <v/>
      </c>
      <c r="DE49" s="94" t="str">
        <f>IF(INGG!AD46="","",INGG!AD46)</f>
        <v/>
      </c>
      <c r="DF49" s="94" t="str">
        <f>IF(INGG!AE46="","",INGG!AE46)</f>
        <v/>
      </c>
      <c r="DG49" s="94" t="str">
        <f>IF(INGG!AF46="","",INGG!AF46)</f>
        <v/>
      </c>
      <c r="DH49" s="94" t="str">
        <f>IF(INGG!AG46="","",INGG!AG46)</f>
        <v/>
      </c>
      <c r="DI49" s="94" t="str">
        <f>IF(SENBUD!X46="","",SENBUD!X46)</f>
        <v/>
      </c>
      <c r="DJ49" s="94" t="str">
        <f>IF(SENBUD!Y46="","",SENBUD!Y46)</f>
        <v/>
      </c>
      <c r="DK49" s="94" t="str">
        <f>IF(SENBUD!Z46="","",SENBUD!Z46)</f>
        <v/>
      </c>
      <c r="DL49" s="94" t="str">
        <f>IF(SENBUD!AA46="","",SENBUD!AA46)</f>
        <v/>
      </c>
      <c r="DM49" s="94" t="str">
        <f>IF(SENBUD!AB46="","",SENBUD!AB46)</f>
        <v/>
      </c>
      <c r="DN49" s="94" t="str">
        <f>IF(SENBUD!AC46="","",SENBUD!AC46)</f>
        <v/>
      </c>
      <c r="DO49" s="94" t="str">
        <f>IF(SENBUD!AD46="","",SENBUD!AD46)</f>
        <v/>
      </c>
      <c r="DP49" s="94" t="str">
        <f>IF(SENBUD!AE46="","",SENBUD!AE46)</f>
        <v/>
      </c>
      <c r="DQ49" s="94" t="str">
        <f>IF(SENBUD!AF46="","",SENBUD!AF46)</f>
        <v/>
      </c>
      <c r="DR49" s="94" t="str">
        <f>IF(SENBUD!AG46="","",SENBUD!AG46)</f>
        <v/>
      </c>
      <c r="DS49" s="93" t="str">
        <f>IF(PENJAS!X46="","",PENJAS!X46)</f>
        <v/>
      </c>
      <c r="DT49" s="93" t="str">
        <f>IF(PENJAS!Y46="","",PENJAS!Y46)</f>
        <v/>
      </c>
      <c r="DU49" s="93" t="str">
        <f>IF(PENJAS!Z46="","",PENJAS!Z46)</f>
        <v/>
      </c>
      <c r="DV49" s="93" t="str">
        <f>IF(PENJAS!AA46="","",PENJAS!AA46)</f>
        <v/>
      </c>
      <c r="DW49" s="93" t="str">
        <f>IF(PENJAS!AB46="","",PENJAS!AB46)</f>
        <v/>
      </c>
      <c r="DX49" s="93" t="str">
        <f>IF(PENJAS!AC46="","",PENJAS!AC46)</f>
        <v/>
      </c>
      <c r="DY49" s="93" t="str">
        <f>IF(PENJAS!AD46="","",PENJAS!AD46)</f>
        <v/>
      </c>
      <c r="DZ49" s="93" t="str">
        <f>IF(PENJAS!AE46="","",PENJAS!AE46)</f>
        <v/>
      </c>
      <c r="EA49" s="93" t="str">
        <f>IF(PENJAS!AF46="","",PENJAS!AF46)</f>
        <v/>
      </c>
      <c r="EB49" s="93" t="str">
        <f>IF(PENJAS!AG46="","",PENJAS!AG46)</f>
        <v/>
      </c>
      <c r="EC49" s="93" t="str">
        <f>IF(PRAKARYA!X46="","",PRAKARYA!X46)</f>
        <v/>
      </c>
      <c r="ED49" s="93" t="str">
        <f>IF(PRAKARYA!Y46="","",PRAKARYA!Y46)</f>
        <v/>
      </c>
      <c r="EE49" s="93" t="str">
        <f>IF(PRAKARYA!Z46="","",PRAKARYA!Z46)</f>
        <v/>
      </c>
      <c r="EF49" s="93" t="str">
        <f>IF(PRAKARYA!AA46="","",PRAKARYA!AA46)</f>
        <v/>
      </c>
      <c r="EG49" s="93" t="str">
        <f>IF(PRAKARYA!AB46="","",PRAKARYA!AB46)</f>
        <v/>
      </c>
      <c r="EH49" s="93" t="str">
        <f>IF(PRAKARYA!AC46="","",PRAKARYA!AC46)</f>
        <v/>
      </c>
      <c r="EI49" s="93" t="str">
        <f>IF(PRAKARYA!AD46="","",PRAKARYA!AD46)</f>
        <v/>
      </c>
      <c r="EJ49" s="93" t="str">
        <f>IF(PRAKARYA!AE46="","",PRAKARYA!AE46)</f>
        <v/>
      </c>
      <c r="EK49" s="93" t="str">
        <f>IF(PRAKARYA!AF46="","",PRAKARYA!AF46)</f>
        <v/>
      </c>
      <c r="EL49" s="93" t="str">
        <f>IF(PRAKARYA!AG46="","",PRAKARYA!AG46)</f>
        <v/>
      </c>
      <c r="EM49" s="95" t="str">
        <f>IF(BADER!X46="","",BADER!X46)</f>
        <v/>
      </c>
      <c r="EN49" s="95" t="str">
        <f>IF(BADER!Y46="","",BADER!Y46)</f>
        <v/>
      </c>
      <c r="EO49" s="95" t="str">
        <f>IF(BADER!Z46="","",BADER!Z46)</f>
        <v/>
      </c>
      <c r="EP49" s="95" t="str">
        <f>IF(BADER!AA46="","",BADER!AA46)</f>
        <v/>
      </c>
      <c r="EQ49" s="95" t="str">
        <f>IF(BADER!AB46="","",BADER!AB46)</f>
        <v/>
      </c>
      <c r="ER49" s="95" t="str">
        <f>IF(BADER!AC46="","",BADER!AC46)</f>
        <v/>
      </c>
      <c r="ES49" s="95" t="str">
        <f>IF(BADER!AD46="","",BADER!AD46)</f>
        <v/>
      </c>
      <c r="ET49" s="95" t="str">
        <f>IF(BADER!AE46="","",BADER!AE46)</f>
        <v/>
      </c>
      <c r="EU49" s="95" t="str">
        <f>IF(BADER!AF46="","",BADER!AF46)</f>
        <v/>
      </c>
      <c r="EV49" s="95" t="str">
        <f>IF(BADER!AG46="","",BADER!AG46)</f>
        <v/>
      </c>
      <c r="EW49" s="96" t="str">
        <f t="shared" si="1"/>
        <v/>
      </c>
      <c r="EX49" s="96" t="str">
        <f t="shared" si="2"/>
        <v/>
      </c>
      <c r="EY49" s="96" t="str">
        <f t="shared" si="14"/>
        <v/>
      </c>
      <c r="EZ49" s="96" t="str">
        <f t="shared" si="14"/>
        <v/>
      </c>
      <c r="FA49" s="96" t="str">
        <f t="shared" si="14"/>
        <v/>
      </c>
      <c r="FB49" s="96" t="str">
        <f t="shared" si="14"/>
        <v/>
      </c>
      <c r="FC49" s="96" t="str">
        <f t="shared" si="14"/>
        <v/>
      </c>
      <c r="FD49" s="96" t="str">
        <f t="shared" si="14"/>
        <v/>
      </c>
      <c r="FE49" s="96" t="str">
        <f t="shared" si="14"/>
        <v/>
      </c>
      <c r="FF49" s="96" t="str">
        <f t="shared" si="3"/>
        <v/>
      </c>
      <c r="FG49" s="96" t="str">
        <f t="shared" si="4"/>
        <v/>
      </c>
      <c r="FH49" s="92" t="str">
        <f t="shared" si="5"/>
        <v/>
      </c>
      <c r="FI49" s="92" t="str">
        <f t="shared" si="6"/>
        <v xml:space="preserve"> </v>
      </c>
      <c r="FJ49" s="92" t="str">
        <f t="shared" si="7"/>
        <v xml:space="preserve"> </v>
      </c>
      <c r="FK49" s="92" t="str">
        <f t="shared" si="8"/>
        <v xml:space="preserve"> </v>
      </c>
      <c r="FL49" s="92" t="str">
        <f t="shared" si="9"/>
        <v xml:space="preserve"> </v>
      </c>
      <c r="FM49" s="92" t="str">
        <f t="shared" si="10"/>
        <v xml:space="preserve"> </v>
      </c>
      <c r="FN49" s="92" t="str">
        <f t="shared" si="11"/>
        <v xml:space="preserve"> </v>
      </c>
      <c r="FO49" s="92" t="str">
        <f t="shared" si="12"/>
        <v xml:space="preserve"> </v>
      </c>
      <c r="FP49" s="92" t="str">
        <f t="shared" si="13"/>
        <v xml:space="preserve">,  ,  ,  ,  ,  ,  ,  </v>
      </c>
    </row>
    <row r="50" spans="1:16384">
      <c r="A50" s="66">
        <v>40</v>
      </c>
      <c r="B50" s="92" t="str">
        <f>IF(DATA!D47="","",DATA!D47)</f>
        <v/>
      </c>
      <c r="C50" s="93" t="str">
        <f>IF(QH!X47="","",QH!X47)</f>
        <v/>
      </c>
      <c r="D50" s="93" t="str">
        <f>IF(QH!Y47="","",QH!Y47)</f>
        <v/>
      </c>
      <c r="E50" s="93" t="str">
        <f>IF(QH!Z47="","",QH!Z47)</f>
        <v/>
      </c>
      <c r="F50" s="93" t="str">
        <f>IF(QH!AA47="","",QH!AA47)</f>
        <v/>
      </c>
      <c r="G50" s="93" t="str">
        <f>IF(QH!AB47="","",QH!AB47)</f>
        <v/>
      </c>
      <c r="H50" s="93" t="str">
        <f>IF(QH!AC47="","",QH!AC47)</f>
        <v/>
      </c>
      <c r="I50" s="93" t="str">
        <f>IF(QH!AD47="","",QH!AD47)</f>
        <v/>
      </c>
      <c r="J50" s="93" t="str">
        <f>IF(QH!AE47="","",QH!AE47)</f>
        <v/>
      </c>
      <c r="K50" s="93" t="str">
        <f>IF(QH!AF47="","",QH!AF47)</f>
        <v/>
      </c>
      <c r="L50" s="93" t="str">
        <f>IF(QH!AG47="","",QH!AG47)</f>
        <v/>
      </c>
      <c r="M50" s="94" t="str">
        <f>IF(AA!X47="","",AA!X47)</f>
        <v/>
      </c>
      <c r="N50" s="94" t="str">
        <f>IF(AA!Y47="","",AA!Y47)</f>
        <v/>
      </c>
      <c r="O50" s="94" t="str">
        <f>IF(AA!Z47="","",AA!Z47)</f>
        <v/>
      </c>
      <c r="P50" s="94" t="str">
        <f>IF(AA!AA47="","",AA!AA47)</f>
        <v/>
      </c>
      <c r="Q50" s="94" t="str">
        <f>IF(AA!AB47="","",AA!AB47)</f>
        <v/>
      </c>
      <c r="R50" s="94" t="str">
        <f>IF(AA!AC47="","",AA!AC47)</f>
        <v/>
      </c>
      <c r="S50" s="94" t="str">
        <f>IF(AA!AD47="","",AA!AD47)</f>
        <v/>
      </c>
      <c r="T50" s="94" t="str">
        <f>IF(AA!AE47="","",AA!AE47)</f>
        <v/>
      </c>
      <c r="U50" s="94" t="str">
        <f>IF(AA!AF47="","",AA!AF47)</f>
        <v/>
      </c>
      <c r="V50" s="94" t="str">
        <f>IF(AA!AG47="","",AA!AG47)</f>
        <v/>
      </c>
      <c r="W50" s="94" t="str">
        <f>IF(FIKIH!X47="","",FIKIH!X47)</f>
        <v/>
      </c>
      <c r="X50" s="94" t="str">
        <f>IF(FIKIH!Y47="","",FIKIH!Y47)</f>
        <v/>
      </c>
      <c r="Y50" s="94" t="str">
        <f>IF(FIKIH!Z47="","",FIKIH!Z47)</f>
        <v/>
      </c>
      <c r="Z50" s="94" t="str">
        <f>IF(FIKIH!AA47="","",FIKIH!AA47)</f>
        <v/>
      </c>
      <c r="AA50" s="94" t="str">
        <f>IF(FIKIH!AB47="","",FIKIH!AB47)</f>
        <v/>
      </c>
      <c r="AB50" s="94" t="str">
        <f>IF(FIKIH!AC47="","",FIKIH!AC47)</f>
        <v/>
      </c>
      <c r="AC50" s="94" t="str">
        <f>IF(FIKIH!AD47="","",FIKIH!AD47)</f>
        <v/>
      </c>
      <c r="AD50" s="94" t="str">
        <f>IF(FIKIH!AE47="","",FIKIH!AE47)</f>
        <v/>
      </c>
      <c r="AE50" s="94" t="str">
        <f>IF(FIKIH!AF47="","",FIKIH!AF47)</f>
        <v/>
      </c>
      <c r="AF50" s="94" t="str">
        <f>IF(FIKIH!AG47="","",FIKIH!AG47)</f>
        <v/>
      </c>
      <c r="AG50" s="94">
        <f>IF(SKI!X47="","",SKI!X47)</f>
        <v>3</v>
      </c>
      <c r="AH50" s="94" t="str">
        <f>IF(SKI!Y47="","",SKI!Y47)</f>
        <v>Melaksanakan sholat dhuhur berjemaah, berdo'a di awal dan di akhir kegiatan pembelajaran , serta melaksanakan kegiatan amaliyah siswa</v>
      </c>
      <c r="AI50" s="94">
        <f>IF(SKI!Z47="","",SKI!Z47)</f>
        <v>3</v>
      </c>
      <c r="AJ50" s="94">
        <f>IF(SKI!AA47="","",SKI!AA47)</f>
        <v>3</v>
      </c>
      <c r="AK50" s="94">
        <f>IF(SKI!AB47="","",SKI!AB47)</f>
        <v>3</v>
      </c>
      <c r="AL50" s="94">
        <f>IF(SKI!AC47="","",SKI!AC47)</f>
        <v>3</v>
      </c>
      <c r="AM50" s="94">
        <f>IF(SKI!AD47="","",SKI!AD47)</f>
        <v>3</v>
      </c>
      <c r="AN50" s="94">
        <f>IF(SKI!AE47="","",SKI!AE47)</f>
        <v>3</v>
      </c>
      <c r="AO50" s="94">
        <f>IF(SKI!AF47="","",SKI!AF47)</f>
        <v>3</v>
      </c>
      <c r="AP50" s="94" t="str">
        <f>IF(SKI!AG47="","",SKI!AG47)</f>
        <v>Santun dalam bersikap, disiplin dalam mentaati tata tertib madrasah, peduli pada lingkungan, orang tua, bertanggung jawab dalam melaksanakan tugas, baik sebagai individu maupun makhluk sosial</v>
      </c>
      <c r="AQ50" s="94" t="str">
        <f>IF(PKN!X47="","",PKN!X47)</f>
        <v/>
      </c>
      <c r="AR50" s="94" t="str">
        <f>IF(PKN!Y47="","",PKN!Y47)</f>
        <v/>
      </c>
      <c r="AS50" s="94" t="str">
        <f>IF(PKN!Z47="","",PKN!Z47)</f>
        <v/>
      </c>
      <c r="AT50" s="94" t="str">
        <f>IF(PKN!AA47="","",PKN!AA47)</f>
        <v/>
      </c>
      <c r="AU50" s="94" t="str">
        <f>IF(PKN!AB47="","",PKN!AB47)</f>
        <v/>
      </c>
      <c r="AV50" s="94" t="str">
        <f>IF(PKN!AC47="","",PKN!AC47)</f>
        <v/>
      </c>
      <c r="AW50" s="94" t="str">
        <f>IF(PKN!AD47="","",PKN!AD47)</f>
        <v/>
      </c>
      <c r="AX50" s="94" t="str">
        <f>IF(PKN!AE47="","",PKN!AE47)</f>
        <v/>
      </c>
      <c r="AY50" s="94" t="str">
        <f>IF(PKN!AF47="","",PKN!AF47)</f>
        <v/>
      </c>
      <c r="AZ50" s="94" t="str">
        <f>IF(PKN!AG47="","",PKN!AG47)</f>
        <v/>
      </c>
      <c r="BA50" s="93" t="str">
        <f>IF(INDO!X47="","",INDO!X47)</f>
        <v/>
      </c>
      <c r="BB50" s="93" t="str">
        <f>IF(INDO!Y47="","",INDO!Y47)</f>
        <v/>
      </c>
      <c r="BC50" s="93" t="str">
        <f>IF(INDO!Z47="","",INDO!Z47)</f>
        <v/>
      </c>
      <c r="BD50" s="93" t="str">
        <f>IF(INDO!AA47="","",INDO!AA47)</f>
        <v/>
      </c>
      <c r="BE50" s="93" t="str">
        <f>IF(INDO!AB47="","",INDO!AB47)</f>
        <v/>
      </c>
      <c r="BF50" s="93" t="str">
        <f>IF(INDO!AC47="","",INDO!AC47)</f>
        <v/>
      </c>
      <c r="BG50" s="93" t="str">
        <f>IF(INDO!AD47="","",INDO!AD47)</f>
        <v/>
      </c>
      <c r="BH50" s="93" t="str">
        <f>IF(INDO!AE47="","",INDO!AE47)</f>
        <v/>
      </c>
      <c r="BI50" s="93" t="str">
        <f>IF(INDO!AF47="","",INDO!AF47)</f>
        <v/>
      </c>
      <c r="BJ50" s="93" t="str">
        <f>IF(INDO!AG47="","",INDO!AG47)</f>
        <v/>
      </c>
      <c r="BK50" s="93" t="str">
        <f>IF(ARAB!X47="","",ARAB!X47)</f>
        <v/>
      </c>
      <c r="BL50" s="93" t="str">
        <f>IF(ARAB!Y47="","",ARAB!Y47)</f>
        <v/>
      </c>
      <c r="BM50" s="93" t="str">
        <f>IF(ARAB!Z47="","",ARAB!Z47)</f>
        <v/>
      </c>
      <c r="BN50" s="93" t="str">
        <f>IF(ARAB!AA47="","",ARAB!AA47)</f>
        <v/>
      </c>
      <c r="BO50" s="93" t="str">
        <f>IF(ARAB!AB47="","",ARAB!AB47)</f>
        <v/>
      </c>
      <c r="BP50" s="93" t="str">
        <f>IF(ARAB!AC47="","",ARAB!AC47)</f>
        <v/>
      </c>
      <c r="BQ50" s="93" t="str">
        <f>IF(ARAB!AD47="","",ARAB!AD47)</f>
        <v/>
      </c>
      <c r="BR50" s="93" t="str">
        <f>IF(ARAB!AE47="","",ARAB!AE47)</f>
        <v/>
      </c>
      <c r="BS50" s="93" t="str">
        <f>IF(ARAB!AF47="","",ARAB!AF47)</f>
        <v/>
      </c>
      <c r="BT50" s="93" t="str">
        <f>IF(ARAB!AG47="","",ARAB!AG47)</f>
        <v/>
      </c>
      <c r="BU50" s="94" t="str">
        <f>IF(MAT!X47="","",MAT!X47)</f>
        <v/>
      </c>
      <c r="BV50" s="94" t="str">
        <f>IF(MAT!Y47="","",MAT!Y47)</f>
        <v/>
      </c>
      <c r="BW50" s="94" t="str">
        <f>IF(MAT!Z47="","",MAT!Z47)</f>
        <v/>
      </c>
      <c r="BX50" s="94" t="str">
        <f>IF(MAT!AA47="","",MAT!AA47)</f>
        <v/>
      </c>
      <c r="BY50" s="94" t="str">
        <f>IF(MAT!AB47="","",MAT!AB47)</f>
        <v/>
      </c>
      <c r="BZ50" s="94" t="str">
        <f>IF(MAT!AC47="","",MAT!AC47)</f>
        <v/>
      </c>
      <c r="CA50" s="94" t="str">
        <f>IF(MAT!AD47="","",MAT!AD47)</f>
        <v/>
      </c>
      <c r="CB50" s="94" t="str">
        <f>IF(MAT!AE47="","",MAT!AE47)</f>
        <v/>
      </c>
      <c r="CC50" s="94" t="str">
        <f>IF(MAT!AF47="","",MAT!AF47)</f>
        <v/>
      </c>
      <c r="CD50" s="94" t="str">
        <f>IF(MAT!AG47="","",MAT!AG47)</f>
        <v/>
      </c>
      <c r="CE50" s="94" t="str">
        <f>IF(IPA!X47="","",IPA!X47)</f>
        <v/>
      </c>
      <c r="CF50" s="94" t="str">
        <f>IF(IPA!Y47="","",IPA!Y47)</f>
        <v/>
      </c>
      <c r="CG50" s="94" t="str">
        <f>IF(IPA!Z47="","",IPA!Z47)</f>
        <v/>
      </c>
      <c r="CH50" s="94" t="str">
        <f>IF(IPA!AA47="","",IPA!AA47)</f>
        <v/>
      </c>
      <c r="CI50" s="94" t="str">
        <f>IF(IPA!AB47="","",IPA!AB47)</f>
        <v/>
      </c>
      <c r="CJ50" s="94" t="str">
        <f>IF(IPA!AC47="","",IPA!AC47)</f>
        <v/>
      </c>
      <c r="CK50" s="94" t="str">
        <f>IF(IPA!AD47="","",IPA!AD47)</f>
        <v/>
      </c>
      <c r="CL50" s="94" t="str">
        <f>IF(IPA!AE47="","",IPA!AE47)</f>
        <v/>
      </c>
      <c r="CM50" s="94" t="str">
        <f>IF(IPA!AF47="","",IPA!AF47)</f>
        <v/>
      </c>
      <c r="CN50" s="94" t="str">
        <f>IF(IPA!AG47="","",IPA!AG47)</f>
        <v/>
      </c>
      <c r="CO50" s="93" t="str">
        <f>IF(IPS!X47="","",IPS!X47)</f>
        <v/>
      </c>
      <c r="CP50" s="93" t="str">
        <f>IF(IPS!Y47="","",IPS!Y47)</f>
        <v/>
      </c>
      <c r="CQ50" s="93" t="str">
        <f>IF(IPS!Z47="","",IPS!Z47)</f>
        <v/>
      </c>
      <c r="CR50" s="93" t="str">
        <f>IF(IPS!AA47="","",IPS!AA47)</f>
        <v/>
      </c>
      <c r="CS50" s="93" t="str">
        <f>IF(IPS!AB47="","",IPS!AB47)</f>
        <v/>
      </c>
      <c r="CT50" s="93" t="str">
        <f>IF(IPS!AC47="","",IPS!AC47)</f>
        <v/>
      </c>
      <c r="CU50" s="93" t="str">
        <f>IF(IPS!AD47="","",IPS!AD47)</f>
        <v/>
      </c>
      <c r="CV50" s="93" t="str">
        <f>IF(IPS!AE47="","",IPS!AE47)</f>
        <v/>
      </c>
      <c r="CW50" s="93" t="str">
        <f>IF(IPS!AF47="","",IPS!AF47)</f>
        <v/>
      </c>
      <c r="CX50" s="93" t="str">
        <f>IF(IPS!AG47="","",IPS!AG47)</f>
        <v/>
      </c>
      <c r="CY50" s="94" t="str">
        <f>IF(INGG!X47="","",INGG!X47)</f>
        <v/>
      </c>
      <c r="CZ50" s="94" t="str">
        <f>IF(INGG!Y47="","",INGG!Y47)</f>
        <v/>
      </c>
      <c r="DA50" s="94" t="str">
        <f>IF(INGG!Z47="","",INGG!Z47)</f>
        <v/>
      </c>
      <c r="DB50" s="94" t="str">
        <f>IF(INGG!AA47="","",INGG!AA47)</f>
        <v/>
      </c>
      <c r="DC50" s="94" t="str">
        <f>IF(INGG!AB47="","",INGG!AB47)</f>
        <v/>
      </c>
      <c r="DD50" s="94" t="str">
        <f>IF(INGG!AC47="","",INGG!AC47)</f>
        <v/>
      </c>
      <c r="DE50" s="94" t="str">
        <f>IF(INGG!AD47="","",INGG!AD47)</f>
        <v/>
      </c>
      <c r="DF50" s="94" t="str">
        <f>IF(INGG!AE47="","",INGG!AE47)</f>
        <v/>
      </c>
      <c r="DG50" s="94" t="str">
        <f>IF(INGG!AF47="","",INGG!AF47)</f>
        <v/>
      </c>
      <c r="DH50" s="94" t="str">
        <f>IF(INGG!AG47="","",INGG!AG47)</f>
        <v/>
      </c>
      <c r="DI50" s="94" t="str">
        <f>IF(SENBUD!X47="","",SENBUD!X47)</f>
        <v/>
      </c>
      <c r="DJ50" s="94" t="str">
        <f>IF(SENBUD!Y47="","",SENBUD!Y47)</f>
        <v/>
      </c>
      <c r="DK50" s="94" t="str">
        <f>IF(SENBUD!Z47="","",SENBUD!Z47)</f>
        <v/>
      </c>
      <c r="DL50" s="94" t="str">
        <f>IF(SENBUD!AA47="","",SENBUD!AA47)</f>
        <v/>
      </c>
      <c r="DM50" s="94" t="str">
        <f>IF(SENBUD!AB47="","",SENBUD!AB47)</f>
        <v/>
      </c>
      <c r="DN50" s="94" t="str">
        <f>IF(SENBUD!AC47="","",SENBUD!AC47)</f>
        <v/>
      </c>
      <c r="DO50" s="94" t="str">
        <f>IF(SENBUD!AD47="","",SENBUD!AD47)</f>
        <v/>
      </c>
      <c r="DP50" s="94" t="str">
        <f>IF(SENBUD!AE47="","",SENBUD!AE47)</f>
        <v/>
      </c>
      <c r="DQ50" s="94" t="str">
        <f>IF(SENBUD!AF47="","",SENBUD!AF47)</f>
        <v/>
      </c>
      <c r="DR50" s="94" t="str">
        <f>IF(SENBUD!AG47="","",SENBUD!AG47)</f>
        <v/>
      </c>
      <c r="DS50" s="93" t="str">
        <f>IF(PENJAS!X47="","",PENJAS!X47)</f>
        <v/>
      </c>
      <c r="DT50" s="93" t="str">
        <f>IF(PENJAS!Y47="","",PENJAS!Y47)</f>
        <v/>
      </c>
      <c r="DU50" s="93" t="str">
        <f>IF(PENJAS!Z47="","",PENJAS!Z47)</f>
        <v/>
      </c>
      <c r="DV50" s="93" t="str">
        <f>IF(PENJAS!AA47="","",PENJAS!AA47)</f>
        <v/>
      </c>
      <c r="DW50" s="93" t="str">
        <f>IF(PENJAS!AB47="","",PENJAS!AB47)</f>
        <v/>
      </c>
      <c r="DX50" s="93" t="str">
        <f>IF(PENJAS!AC47="","",PENJAS!AC47)</f>
        <v/>
      </c>
      <c r="DY50" s="93" t="str">
        <f>IF(PENJAS!AD47="","",PENJAS!AD47)</f>
        <v/>
      </c>
      <c r="DZ50" s="93" t="str">
        <f>IF(PENJAS!AE47="","",PENJAS!AE47)</f>
        <v/>
      </c>
      <c r="EA50" s="93" t="str">
        <f>IF(PENJAS!AF47="","",PENJAS!AF47)</f>
        <v/>
      </c>
      <c r="EB50" s="93" t="str">
        <f>IF(PENJAS!AG47="","",PENJAS!AG47)</f>
        <v/>
      </c>
      <c r="EC50" s="93" t="str">
        <f>IF(PRAKARYA!X47="","",PRAKARYA!X47)</f>
        <v/>
      </c>
      <c r="ED50" s="93" t="str">
        <f>IF(PRAKARYA!Y47="","",PRAKARYA!Y47)</f>
        <v/>
      </c>
      <c r="EE50" s="93" t="str">
        <f>IF(PRAKARYA!Z47="","",PRAKARYA!Z47)</f>
        <v/>
      </c>
      <c r="EF50" s="93" t="str">
        <f>IF(PRAKARYA!AA47="","",PRAKARYA!AA47)</f>
        <v/>
      </c>
      <c r="EG50" s="93" t="str">
        <f>IF(PRAKARYA!AB47="","",PRAKARYA!AB47)</f>
        <v/>
      </c>
      <c r="EH50" s="93" t="str">
        <f>IF(PRAKARYA!AC47="","",PRAKARYA!AC47)</f>
        <v/>
      </c>
      <c r="EI50" s="93" t="str">
        <f>IF(PRAKARYA!AD47="","",PRAKARYA!AD47)</f>
        <v/>
      </c>
      <c r="EJ50" s="93" t="str">
        <f>IF(PRAKARYA!AE47="","",PRAKARYA!AE47)</f>
        <v/>
      </c>
      <c r="EK50" s="93" t="str">
        <f>IF(PRAKARYA!AF47="","",PRAKARYA!AF47)</f>
        <v/>
      </c>
      <c r="EL50" s="93" t="str">
        <f>IF(PRAKARYA!AG47="","",PRAKARYA!AG47)</f>
        <v/>
      </c>
      <c r="EM50" s="95" t="str">
        <f>IF(BADER!X47="","",BADER!X47)</f>
        <v/>
      </c>
      <c r="EN50" s="95" t="str">
        <f>IF(BADER!Y47="","",BADER!Y47)</f>
        <v/>
      </c>
      <c r="EO50" s="95" t="str">
        <f>IF(BADER!Z47="","",BADER!Z47)</f>
        <v/>
      </c>
      <c r="EP50" s="95" t="str">
        <f>IF(BADER!AA47="","",BADER!AA47)</f>
        <v/>
      </c>
      <c r="EQ50" s="95" t="str">
        <f>IF(BADER!AB47="","",BADER!AB47)</f>
        <v/>
      </c>
      <c r="ER50" s="95" t="str">
        <f>IF(BADER!AC47="","",BADER!AC47)</f>
        <v/>
      </c>
      <c r="ES50" s="95" t="str">
        <f>IF(BADER!AD47="","",BADER!AD47)</f>
        <v/>
      </c>
      <c r="ET50" s="95" t="str">
        <f>IF(BADER!AE47="","",BADER!AE47)</f>
        <v/>
      </c>
      <c r="EU50" s="95" t="str">
        <f>IF(BADER!AF47="","",BADER!AF47)</f>
        <v/>
      </c>
      <c r="EV50" s="95" t="str">
        <f>IF(BADER!AG47="","",BADER!AG47)</f>
        <v/>
      </c>
      <c r="EW50" s="96" t="str">
        <f t="shared" si="1"/>
        <v/>
      </c>
      <c r="EX50" s="96" t="str">
        <f t="shared" si="2"/>
        <v/>
      </c>
      <c r="EY50" s="96" t="str">
        <f t="shared" si="14"/>
        <v/>
      </c>
      <c r="EZ50" s="96" t="str">
        <f t="shared" si="14"/>
        <v/>
      </c>
      <c r="FA50" s="96" t="str">
        <f t="shared" si="14"/>
        <v/>
      </c>
      <c r="FB50" s="96" t="str">
        <f t="shared" si="14"/>
        <v/>
      </c>
      <c r="FC50" s="96" t="str">
        <f t="shared" si="14"/>
        <v/>
      </c>
      <c r="FD50" s="96" t="str">
        <f t="shared" si="14"/>
        <v/>
      </c>
      <c r="FE50" s="96" t="str">
        <f t="shared" si="14"/>
        <v/>
      </c>
      <c r="FF50" s="96" t="str">
        <f t="shared" si="3"/>
        <v/>
      </c>
      <c r="FG50" s="96" t="str">
        <f t="shared" si="4"/>
        <v/>
      </c>
      <c r="FH50" s="92" t="str">
        <f t="shared" si="5"/>
        <v/>
      </c>
      <c r="FI50" s="92" t="str">
        <f t="shared" si="6"/>
        <v xml:space="preserve"> </v>
      </c>
      <c r="FJ50" s="92" t="str">
        <f t="shared" si="7"/>
        <v xml:space="preserve"> </v>
      </c>
      <c r="FK50" s="92" t="str">
        <f t="shared" si="8"/>
        <v xml:space="preserve"> </v>
      </c>
      <c r="FL50" s="92" t="str">
        <f t="shared" si="9"/>
        <v xml:space="preserve"> </v>
      </c>
      <c r="FM50" s="92" t="str">
        <f t="shared" si="10"/>
        <v xml:space="preserve"> </v>
      </c>
      <c r="FN50" s="92" t="str">
        <f t="shared" si="11"/>
        <v xml:space="preserve"> </v>
      </c>
      <c r="FO50" s="92" t="str">
        <f t="shared" si="12"/>
        <v xml:space="preserve"> </v>
      </c>
      <c r="FP50" s="92" t="str">
        <f t="shared" si="13"/>
        <v xml:space="preserve">,  ,  ,  ,  ,  ,  ,  </v>
      </c>
    </row>
    <row r="51" spans="1:16384">
      <c r="A51" s="66">
        <v>41</v>
      </c>
      <c r="B51" s="92" t="str">
        <f>IF(DATA!D48="","",DATA!D48)</f>
        <v/>
      </c>
      <c r="C51" s="93" t="str">
        <f>IF(QH!X48="","",QH!X48)</f>
        <v/>
      </c>
      <c r="D51" s="93" t="str">
        <f>IF(QH!Y48="","",QH!Y48)</f>
        <v/>
      </c>
      <c r="E51" s="93" t="str">
        <f>IF(QH!Z48="","",QH!Z48)</f>
        <v/>
      </c>
      <c r="F51" s="93" t="str">
        <f>IF(QH!AA48="","",QH!AA48)</f>
        <v/>
      </c>
      <c r="G51" s="93" t="str">
        <f>IF(QH!AB48="","",QH!AB48)</f>
        <v/>
      </c>
      <c r="H51" s="93" t="str">
        <f>IF(QH!AC48="","",QH!AC48)</f>
        <v/>
      </c>
      <c r="I51" s="93" t="str">
        <f>IF(QH!AD48="","",QH!AD48)</f>
        <v/>
      </c>
      <c r="J51" s="93" t="str">
        <f>IF(QH!AE48="","",QH!AE48)</f>
        <v/>
      </c>
      <c r="K51" s="93" t="str">
        <f>IF(QH!AF48="","",QH!AF48)</f>
        <v/>
      </c>
      <c r="L51" s="93" t="str">
        <f>IF(QH!AG48="","",QH!AG48)</f>
        <v/>
      </c>
      <c r="M51" s="94" t="str">
        <f>IF(AA!X48="","",AA!X48)</f>
        <v/>
      </c>
      <c r="N51" s="94" t="str">
        <f>IF(AA!Y48="","",AA!Y48)</f>
        <v/>
      </c>
      <c r="O51" s="94" t="str">
        <f>IF(AA!Z48="","",AA!Z48)</f>
        <v/>
      </c>
      <c r="P51" s="94" t="str">
        <f>IF(AA!AA48="","",AA!AA48)</f>
        <v/>
      </c>
      <c r="Q51" s="94" t="str">
        <f>IF(AA!AB48="","",AA!AB48)</f>
        <v/>
      </c>
      <c r="R51" s="94" t="str">
        <f>IF(AA!AC48="","",AA!AC48)</f>
        <v/>
      </c>
      <c r="S51" s="94" t="str">
        <f>IF(AA!AD48="","",AA!AD48)</f>
        <v/>
      </c>
      <c r="T51" s="94" t="str">
        <f>IF(AA!AE48="","",AA!AE48)</f>
        <v/>
      </c>
      <c r="U51" s="94" t="str">
        <f>IF(AA!AF48="","",AA!AF48)</f>
        <v/>
      </c>
      <c r="V51" s="94" t="str">
        <f>IF(AA!AG48="","",AA!AG48)</f>
        <v/>
      </c>
      <c r="W51" s="94" t="str">
        <f>IF(FIKIH!X48="","",FIKIH!X48)</f>
        <v/>
      </c>
      <c r="X51" s="94" t="str">
        <f>IF(FIKIH!Y48="","",FIKIH!Y48)</f>
        <v/>
      </c>
      <c r="Y51" s="94" t="str">
        <f>IF(FIKIH!Z48="","",FIKIH!Z48)</f>
        <v/>
      </c>
      <c r="Z51" s="94" t="str">
        <f>IF(FIKIH!AA48="","",FIKIH!AA48)</f>
        <v/>
      </c>
      <c r="AA51" s="94" t="str">
        <f>IF(FIKIH!AB48="","",FIKIH!AB48)</f>
        <v/>
      </c>
      <c r="AB51" s="94" t="str">
        <f>IF(FIKIH!AC48="","",FIKIH!AC48)</f>
        <v/>
      </c>
      <c r="AC51" s="94" t="str">
        <f>IF(FIKIH!AD48="","",FIKIH!AD48)</f>
        <v/>
      </c>
      <c r="AD51" s="94" t="str">
        <f>IF(FIKIH!AE48="","",FIKIH!AE48)</f>
        <v/>
      </c>
      <c r="AE51" s="94" t="str">
        <f>IF(FIKIH!AF48="","",FIKIH!AF48)</f>
        <v/>
      </c>
      <c r="AF51" s="94" t="str">
        <f>IF(FIKIH!AG48="","",FIKIH!AG48)</f>
        <v/>
      </c>
      <c r="AG51" s="94">
        <f>IF(SKI!X48="","",SKI!X48)</f>
        <v>3</v>
      </c>
      <c r="AH51" s="94" t="str">
        <f>IF(SKI!Y48="","",SKI!Y48)</f>
        <v>Melaksanakan sholat dhuhur berjemaah, berdo'a di awal dan di akhir kegiatan pembelajaran , serta melaksanakan kegiatan amaliyah siswa</v>
      </c>
      <c r="AI51" s="94">
        <f>IF(SKI!Z48="","",SKI!Z48)</f>
        <v>3</v>
      </c>
      <c r="AJ51" s="94">
        <f>IF(SKI!AA48="","",SKI!AA48)</f>
        <v>3</v>
      </c>
      <c r="AK51" s="94">
        <f>IF(SKI!AB48="","",SKI!AB48)</f>
        <v>3</v>
      </c>
      <c r="AL51" s="94">
        <f>IF(SKI!AC48="","",SKI!AC48)</f>
        <v>3</v>
      </c>
      <c r="AM51" s="94">
        <f>IF(SKI!AD48="","",SKI!AD48)</f>
        <v>3</v>
      </c>
      <c r="AN51" s="94">
        <f>IF(SKI!AE48="","",SKI!AE48)</f>
        <v>3</v>
      </c>
      <c r="AO51" s="94">
        <f>IF(SKI!AF48="","",SKI!AF48)</f>
        <v>3</v>
      </c>
      <c r="AP51" s="94" t="str">
        <f>IF(SKI!AG48="","",SKI!AG48)</f>
        <v>Santun dalam bersikap, disiplin dalam mentaati tata tertib madrasah, peduli pada lingkungan, orang tua, bertanggung jawab dalam melaksanakan tugas, baik sebagai individu maupun makhluk sosial</v>
      </c>
      <c r="AQ51" s="94" t="str">
        <f>IF(PKN!X48="","",PKN!X48)</f>
        <v/>
      </c>
      <c r="AR51" s="94" t="str">
        <f>IF(PKN!Y48="","",PKN!Y48)</f>
        <v/>
      </c>
      <c r="AS51" s="94" t="str">
        <f>IF(PKN!Z48="","",PKN!Z48)</f>
        <v/>
      </c>
      <c r="AT51" s="94" t="str">
        <f>IF(PKN!AA48="","",PKN!AA48)</f>
        <v/>
      </c>
      <c r="AU51" s="94" t="str">
        <f>IF(PKN!AB48="","",PKN!AB48)</f>
        <v/>
      </c>
      <c r="AV51" s="94" t="str">
        <f>IF(PKN!AC48="","",PKN!AC48)</f>
        <v/>
      </c>
      <c r="AW51" s="94" t="str">
        <f>IF(PKN!AD48="","",PKN!AD48)</f>
        <v/>
      </c>
      <c r="AX51" s="94" t="str">
        <f>IF(PKN!AE48="","",PKN!AE48)</f>
        <v/>
      </c>
      <c r="AY51" s="94" t="str">
        <f>IF(PKN!AF48="","",PKN!AF48)</f>
        <v/>
      </c>
      <c r="AZ51" s="94" t="str">
        <f>IF(PKN!AG48="","",PKN!AG48)</f>
        <v/>
      </c>
      <c r="BA51" s="93" t="str">
        <f>IF(INDO!X48="","",INDO!X48)</f>
        <v/>
      </c>
      <c r="BB51" s="93" t="str">
        <f>IF(INDO!Y48="","",INDO!Y48)</f>
        <v/>
      </c>
      <c r="BC51" s="93" t="str">
        <f>IF(INDO!Z48="","",INDO!Z48)</f>
        <v/>
      </c>
      <c r="BD51" s="93" t="str">
        <f>IF(INDO!AA48="","",INDO!AA48)</f>
        <v/>
      </c>
      <c r="BE51" s="93" t="str">
        <f>IF(INDO!AB48="","",INDO!AB48)</f>
        <v/>
      </c>
      <c r="BF51" s="93" t="str">
        <f>IF(INDO!AC48="","",INDO!AC48)</f>
        <v/>
      </c>
      <c r="BG51" s="93" t="str">
        <f>IF(INDO!AD48="","",INDO!AD48)</f>
        <v/>
      </c>
      <c r="BH51" s="93" t="str">
        <f>IF(INDO!AE48="","",INDO!AE48)</f>
        <v/>
      </c>
      <c r="BI51" s="93" t="str">
        <f>IF(INDO!AF48="","",INDO!AF48)</f>
        <v/>
      </c>
      <c r="BJ51" s="93" t="str">
        <f>IF(INDO!AG48="","",INDO!AG48)</f>
        <v/>
      </c>
      <c r="BK51" s="93" t="str">
        <f>IF(ARAB!X48="","",ARAB!X48)</f>
        <v/>
      </c>
      <c r="BL51" s="93" t="str">
        <f>IF(ARAB!Y48="","",ARAB!Y48)</f>
        <v/>
      </c>
      <c r="BM51" s="93" t="str">
        <f>IF(ARAB!Z48="","",ARAB!Z48)</f>
        <v/>
      </c>
      <c r="BN51" s="93" t="str">
        <f>IF(ARAB!AA48="","",ARAB!AA48)</f>
        <v/>
      </c>
      <c r="BO51" s="93" t="str">
        <f>IF(ARAB!AB48="","",ARAB!AB48)</f>
        <v/>
      </c>
      <c r="BP51" s="93" t="str">
        <f>IF(ARAB!AC48="","",ARAB!AC48)</f>
        <v/>
      </c>
      <c r="BQ51" s="93" t="str">
        <f>IF(ARAB!AD48="","",ARAB!AD48)</f>
        <v/>
      </c>
      <c r="BR51" s="93" t="str">
        <f>IF(ARAB!AE48="","",ARAB!AE48)</f>
        <v/>
      </c>
      <c r="BS51" s="93" t="str">
        <f>IF(ARAB!AF48="","",ARAB!AF48)</f>
        <v/>
      </c>
      <c r="BT51" s="93" t="str">
        <f>IF(ARAB!AG48="","",ARAB!AG48)</f>
        <v/>
      </c>
      <c r="BU51" s="94" t="str">
        <f>IF(MAT!X48="","",MAT!X48)</f>
        <v/>
      </c>
      <c r="BV51" s="94" t="str">
        <f>IF(MAT!Y48="","",MAT!Y48)</f>
        <v/>
      </c>
      <c r="BW51" s="94" t="str">
        <f>IF(MAT!Z48="","",MAT!Z48)</f>
        <v/>
      </c>
      <c r="BX51" s="94" t="str">
        <f>IF(MAT!AA48="","",MAT!AA48)</f>
        <v/>
      </c>
      <c r="BY51" s="94" t="str">
        <f>IF(MAT!AB48="","",MAT!AB48)</f>
        <v/>
      </c>
      <c r="BZ51" s="94" t="str">
        <f>IF(MAT!AC48="","",MAT!AC48)</f>
        <v/>
      </c>
      <c r="CA51" s="94" t="str">
        <f>IF(MAT!AD48="","",MAT!AD48)</f>
        <v/>
      </c>
      <c r="CB51" s="94" t="str">
        <f>IF(MAT!AE48="","",MAT!AE48)</f>
        <v/>
      </c>
      <c r="CC51" s="94" t="str">
        <f>IF(MAT!AF48="","",MAT!AF48)</f>
        <v/>
      </c>
      <c r="CD51" s="94" t="str">
        <f>IF(MAT!AG48="","",MAT!AG48)</f>
        <v/>
      </c>
      <c r="CE51" s="94" t="str">
        <f>IF(IPA!X48="","",IPA!X48)</f>
        <v/>
      </c>
      <c r="CF51" s="94" t="str">
        <f>IF(IPA!Y48="","",IPA!Y48)</f>
        <v/>
      </c>
      <c r="CG51" s="94" t="str">
        <f>IF(IPA!Z48="","",IPA!Z48)</f>
        <v/>
      </c>
      <c r="CH51" s="94" t="str">
        <f>IF(IPA!AA48="","",IPA!AA48)</f>
        <v/>
      </c>
      <c r="CI51" s="94" t="str">
        <f>IF(IPA!AB48="","",IPA!AB48)</f>
        <v/>
      </c>
      <c r="CJ51" s="94" t="str">
        <f>IF(IPA!AC48="","",IPA!AC48)</f>
        <v/>
      </c>
      <c r="CK51" s="94" t="str">
        <f>IF(IPA!AD48="","",IPA!AD48)</f>
        <v/>
      </c>
      <c r="CL51" s="94" t="str">
        <f>IF(IPA!AE48="","",IPA!AE48)</f>
        <v/>
      </c>
      <c r="CM51" s="94" t="str">
        <f>IF(IPA!AF48="","",IPA!AF48)</f>
        <v/>
      </c>
      <c r="CN51" s="94" t="str">
        <f>IF(IPA!AG48="","",IPA!AG48)</f>
        <v/>
      </c>
      <c r="CO51" s="93" t="str">
        <f>IF(IPS!X48="","",IPS!X48)</f>
        <v/>
      </c>
      <c r="CP51" s="93" t="str">
        <f>IF(IPS!Y48="","",IPS!Y48)</f>
        <v/>
      </c>
      <c r="CQ51" s="93" t="str">
        <f>IF(IPS!Z48="","",IPS!Z48)</f>
        <v/>
      </c>
      <c r="CR51" s="93" t="str">
        <f>IF(IPS!AA48="","",IPS!AA48)</f>
        <v/>
      </c>
      <c r="CS51" s="93" t="str">
        <f>IF(IPS!AB48="","",IPS!AB48)</f>
        <v/>
      </c>
      <c r="CT51" s="93" t="str">
        <f>IF(IPS!AC48="","",IPS!AC48)</f>
        <v/>
      </c>
      <c r="CU51" s="93" t="str">
        <f>IF(IPS!AD48="","",IPS!AD48)</f>
        <v/>
      </c>
      <c r="CV51" s="93" t="str">
        <f>IF(IPS!AE48="","",IPS!AE48)</f>
        <v/>
      </c>
      <c r="CW51" s="93" t="str">
        <f>IF(IPS!AF48="","",IPS!AF48)</f>
        <v/>
      </c>
      <c r="CX51" s="93" t="str">
        <f>IF(IPS!AG48="","",IPS!AG48)</f>
        <v/>
      </c>
      <c r="CY51" s="94" t="str">
        <f>IF(INGG!X48="","",INGG!X48)</f>
        <v/>
      </c>
      <c r="CZ51" s="94" t="str">
        <f>IF(INGG!Y48="","",INGG!Y48)</f>
        <v/>
      </c>
      <c r="DA51" s="94" t="str">
        <f>IF(INGG!Z48="","",INGG!Z48)</f>
        <v/>
      </c>
      <c r="DB51" s="94" t="str">
        <f>IF(INGG!AA48="","",INGG!AA48)</f>
        <v/>
      </c>
      <c r="DC51" s="94" t="str">
        <f>IF(INGG!AB48="","",INGG!AB48)</f>
        <v/>
      </c>
      <c r="DD51" s="94" t="str">
        <f>IF(INGG!AC48="","",INGG!AC48)</f>
        <v/>
      </c>
      <c r="DE51" s="94" t="str">
        <f>IF(INGG!AD48="","",INGG!AD48)</f>
        <v/>
      </c>
      <c r="DF51" s="94" t="str">
        <f>IF(INGG!AE48="","",INGG!AE48)</f>
        <v/>
      </c>
      <c r="DG51" s="94" t="str">
        <f>IF(INGG!AF48="","",INGG!AF48)</f>
        <v/>
      </c>
      <c r="DH51" s="94" t="str">
        <f>IF(INGG!AG48="","",INGG!AG48)</f>
        <v/>
      </c>
      <c r="DI51" s="94" t="str">
        <f>IF(SENBUD!X48="","",SENBUD!X48)</f>
        <v/>
      </c>
      <c r="DJ51" s="94" t="str">
        <f>IF(SENBUD!Y48="","",SENBUD!Y48)</f>
        <v/>
      </c>
      <c r="DK51" s="94" t="str">
        <f>IF(SENBUD!Z48="","",SENBUD!Z48)</f>
        <v/>
      </c>
      <c r="DL51" s="94" t="str">
        <f>IF(SENBUD!AA48="","",SENBUD!AA48)</f>
        <v/>
      </c>
      <c r="DM51" s="94" t="str">
        <f>IF(SENBUD!AB48="","",SENBUD!AB48)</f>
        <v/>
      </c>
      <c r="DN51" s="94" t="str">
        <f>IF(SENBUD!AC48="","",SENBUD!AC48)</f>
        <v/>
      </c>
      <c r="DO51" s="94" t="str">
        <f>IF(SENBUD!AD48="","",SENBUD!AD48)</f>
        <v/>
      </c>
      <c r="DP51" s="94" t="str">
        <f>IF(SENBUD!AE48="","",SENBUD!AE48)</f>
        <v/>
      </c>
      <c r="DQ51" s="94" t="str">
        <f>IF(SENBUD!AF48="","",SENBUD!AF48)</f>
        <v/>
      </c>
      <c r="DR51" s="94" t="str">
        <f>IF(SENBUD!AG48="","",SENBUD!AG48)</f>
        <v/>
      </c>
      <c r="DS51" s="93" t="str">
        <f>IF(PENJAS!X48="","",PENJAS!X48)</f>
        <v/>
      </c>
      <c r="DT51" s="93" t="str">
        <f>IF(PENJAS!Y48="","",PENJAS!Y48)</f>
        <v/>
      </c>
      <c r="DU51" s="93" t="str">
        <f>IF(PENJAS!Z48="","",PENJAS!Z48)</f>
        <v/>
      </c>
      <c r="DV51" s="93" t="str">
        <f>IF(PENJAS!AA48="","",PENJAS!AA48)</f>
        <v/>
      </c>
      <c r="DW51" s="93" t="str">
        <f>IF(PENJAS!AB48="","",PENJAS!AB48)</f>
        <v/>
      </c>
      <c r="DX51" s="93" t="str">
        <f>IF(PENJAS!AC48="","",PENJAS!AC48)</f>
        <v/>
      </c>
      <c r="DY51" s="93" t="str">
        <f>IF(PENJAS!AD48="","",PENJAS!AD48)</f>
        <v/>
      </c>
      <c r="DZ51" s="93" t="str">
        <f>IF(PENJAS!AE48="","",PENJAS!AE48)</f>
        <v/>
      </c>
      <c r="EA51" s="93" t="str">
        <f>IF(PENJAS!AF48="","",PENJAS!AF48)</f>
        <v/>
      </c>
      <c r="EB51" s="93" t="str">
        <f>IF(PENJAS!AG48="","",PENJAS!AG48)</f>
        <v/>
      </c>
      <c r="EC51" s="93" t="str">
        <f>IF(PRAKARYA!X48="","",PRAKARYA!X48)</f>
        <v/>
      </c>
      <c r="ED51" s="93" t="str">
        <f>IF(PRAKARYA!Y48="","",PRAKARYA!Y48)</f>
        <v/>
      </c>
      <c r="EE51" s="93" t="str">
        <f>IF(PRAKARYA!Z48="","",PRAKARYA!Z48)</f>
        <v/>
      </c>
      <c r="EF51" s="93" t="str">
        <f>IF(PRAKARYA!AA48="","",PRAKARYA!AA48)</f>
        <v/>
      </c>
      <c r="EG51" s="93" t="str">
        <f>IF(PRAKARYA!AB48="","",PRAKARYA!AB48)</f>
        <v/>
      </c>
      <c r="EH51" s="93" t="str">
        <f>IF(PRAKARYA!AC48="","",PRAKARYA!AC48)</f>
        <v/>
      </c>
      <c r="EI51" s="93" t="str">
        <f>IF(PRAKARYA!AD48="","",PRAKARYA!AD48)</f>
        <v/>
      </c>
      <c r="EJ51" s="93" t="str">
        <f>IF(PRAKARYA!AE48="","",PRAKARYA!AE48)</f>
        <v/>
      </c>
      <c r="EK51" s="93" t="str">
        <f>IF(PRAKARYA!AF48="","",PRAKARYA!AF48)</f>
        <v/>
      </c>
      <c r="EL51" s="93" t="str">
        <f>IF(PRAKARYA!AG48="","",PRAKARYA!AG48)</f>
        <v/>
      </c>
      <c r="EM51" s="95" t="str">
        <f>IF(BADER!X48="","",BADER!X48)</f>
        <v/>
      </c>
      <c r="EN51" s="95" t="str">
        <f>IF(BADER!Y48="","",BADER!Y48)</f>
        <v/>
      </c>
      <c r="EO51" s="95" t="str">
        <f>IF(BADER!Z48="","",BADER!Z48)</f>
        <v/>
      </c>
      <c r="EP51" s="95" t="str">
        <f>IF(BADER!AA48="","",BADER!AA48)</f>
        <v/>
      </c>
      <c r="EQ51" s="95" t="str">
        <f>IF(BADER!AB48="","",BADER!AB48)</f>
        <v/>
      </c>
      <c r="ER51" s="95" t="str">
        <f>IF(BADER!AC48="","",BADER!AC48)</f>
        <v/>
      </c>
      <c r="ES51" s="95" t="str">
        <f>IF(BADER!AD48="","",BADER!AD48)</f>
        <v/>
      </c>
      <c r="ET51" s="95" t="str">
        <f>IF(BADER!AE48="","",BADER!AE48)</f>
        <v/>
      </c>
      <c r="EU51" s="95" t="str">
        <f>IF(BADER!AF48="","",BADER!AF48)</f>
        <v/>
      </c>
      <c r="EV51" s="95" t="str">
        <f>IF(BADER!AG48="","",BADER!AG48)</f>
        <v/>
      </c>
      <c r="EW51" s="96" t="str">
        <f t="shared" si="1"/>
        <v/>
      </c>
      <c r="EX51" s="96" t="str">
        <f t="shared" si="2"/>
        <v/>
      </c>
      <c r="EY51" s="96" t="str">
        <f t="shared" si="14"/>
        <v/>
      </c>
      <c r="EZ51" s="96" t="str">
        <f t="shared" si="14"/>
        <v/>
      </c>
      <c r="FA51" s="96" t="str">
        <f t="shared" si="14"/>
        <v/>
      </c>
      <c r="FB51" s="96" t="str">
        <f t="shared" si="14"/>
        <v/>
      </c>
      <c r="FC51" s="96" t="str">
        <f t="shared" si="14"/>
        <v/>
      </c>
      <c r="FD51" s="96" t="str">
        <f t="shared" si="14"/>
        <v/>
      </c>
      <c r="FE51" s="96" t="str">
        <f t="shared" si="14"/>
        <v/>
      </c>
      <c r="FF51" s="96" t="str">
        <f t="shared" si="3"/>
        <v/>
      </c>
      <c r="FG51" s="96" t="str">
        <f t="shared" si="4"/>
        <v/>
      </c>
      <c r="FH51" s="92" t="str">
        <f t="shared" si="5"/>
        <v/>
      </c>
      <c r="FI51" s="92" t="str">
        <f t="shared" si="6"/>
        <v xml:space="preserve"> </v>
      </c>
      <c r="FJ51" s="92" t="str">
        <f t="shared" si="7"/>
        <v xml:space="preserve"> </v>
      </c>
      <c r="FK51" s="92" t="str">
        <f t="shared" si="8"/>
        <v xml:space="preserve"> </v>
      </c>
      <c r="FL51" s="92" t="str">
        <f t="shared" si="9"/>
        <v xml:space="preserve"> </v>
      </c>
      <c r="FM51" s="92" t="str">
        <f t="shared" si="10"/>
        <v xml:space="preserve"> </v>
      </c>
      <c r="FN51" s="92" t="str">
        <f t="shared" si="11"/>
        <v xml:space="preserve"> </v>
      </c>
      <c r="FO51" s="92" t="str">
        <f t="shared" si="12"/>
        <v xml:space="preserve"> </v>
      </c>
      <c r="FP51" s="92" t="str">
        <f t="shared" si="13"/>
        <v xml:space="preserve">,  ,  ,  ,  ,  ,  ,  </v>
      </c>
    </row>
    <row r="52" spans="1:16384">
      <c r="A52" s="66">
        <v>42</v>
      </c>
      <c r="B52" s="92" t="str">
        <f>IF(DATA!D49="","",DATA!D49)</f>
        <v/>
      </c>
      <c r="C52" s="93" t="str">
        <f>IF(QH!X49="","",QH!X49)</f>
        <v/>
      </c>
      <c r="D52" s="93" t="str">
        <f>IF(QH!Y49="","",QH!Y49)</f>
        <v/>
      </c>
      <c r="E52" s="93" t="str">
        <f>IF(QH!Z49="","",QH!Z49)</f>
        <v/>
      </c>
      <c r="F52" s="93" t="str">
        <f>IF(QH!AA49="","",QH!AA49)</f>
        <v/>
      </c>
      <c r="G52" s="93" t="str">
        <f>IF(QH!AB49="","",QH!AB49)</f>
        <v/>
      </c>
      <c r="H52" s="93" t="str">
        <f>IF(QH!AC49="","",QH!AC49)</f>
        <v/>
      </c>
      <c r="I52" s="93" t="str">
        <f>IF(QH!AD49="","",QH!AD49)</f>
        <v/>
      </c>
      <c r="J52" s="93" t="str">
        <f>IF(QH!AE49="","",QH!AE49)</f>
        <v/>
      </c>
      <c r="K52" s="93" t="str">
        <f>IF(QH!AF49="","",QH!AF49)</f>
        <v/>
      </c>
      <c r="L52" s="93" t="str">
        <f>IF(QH!AG49="","",QH!AG49)</f>
        <v/>
      </c>
      <c r="M52" s="94" t="str">
        <f>IF(AA!X49="","",AA!X49)</f>
        <v/>
      </c>
      <c r="N52" s="94" t="str">
        <f>IF(AA!Y49="","",AA!Y49)</f>
        <v/>
      </c>
      <c r="O52" s="94" t="str">
        <f>IF(AA!Z49="","",AA!Z49)</f>
        <v/>
      </c>
      <c r="P52" s="94" t="str">
        <f>IF(AA!AA49="","",AA!AA49)</f>
        <v/>
      </c>
      <c r="Q52" s="94" t="str">
        <f>IF(AA!AB49="","",AA!AB49)</f>
        <v/>
      </c>
      <c r="R52" s="94" t="str">
        <f>IF(AA!AC49="","",AA!AC49)</f>
        <v/>
      </c>
      <c r="S52" s="94" t="str">
        <f>IF(AA!AD49="","",AA!AD49)</f>
        <v/>
      </c>
      <c r="T52" s="94" t="str">
        <f>IF(AA!AE49="","",AA!AE49)</f>
        <v/>
      </c>
      <c r="U52" s="94" t="str">
        <f>IF(AA!AF49="","",AA!AF49)</f>
        <v/>
      </c>
      <c r="V52" s="94" t="str">
        <f>IF(AA!AG49="","",AA!AG49)</f>
        <v/>
      </c>
      <c r="W52" s="94" t="str">
        <f>IF(FIKIH!X49="","",FIKIH!X49)</f>
        <v/>
      </c>
      <c r="X52" s="94" t="str">
        <f>IF(FIKIH!Y49="","",FIKIH!Y49)</f>
        <v/>
      </c>
      <c r="Y52" s="94" t="str">
        <f>IF(FIKIH!Z49="","",FIKIH!Z49)</f>
        <v/>
      </c>
      <c r="Z52" s="94" t="str">
        <f>IF(FIKIH!AA49="","",FIKIH!AA49)</f>
        <v/>
      </c>
      <c r="AA52" s="94" t="str">
        <f>IF(FIKIH!AB49="","",FIKIH!AB49)</f>
        <v/>
      </c>
      <c r="AB52" s="94" t="str">
        <f>IF(FIKIH!AC49="","",FIKIH!AC49)</f>
        <v/>
      </c>
      <c r="AC52" s="94" t="str">
        <f>IF(FIKIH!AD49="","",FIKIH!AD49)</f>
        <v/>
      </c>
      <c r="AD52" s="94" t="str">
        <f>IF(FIKIH!AE49="","",FIKIH!AE49)</f>
        <v/>
      </c>
      <c r="AE52" s="94" t="str">
        <f>IF(FIKIH!AF49="","",FIKIH!AF49)</f>
        <v/>
      </c>
      <c r="AF52" s="94" t="str">
        <f>IF(FIKIH!AG49="","",FIKIH!AG49)</f>
        <v/>
      </c>
      <c r="AG52" s="94">
        <f>IF(SKI!X49="","",SKI!X49)</f>
        <v>3</v>
      </c>
      <c r="AH52" s="94" t="str">
        <f>IF(SKI!Y49="","",SKI!Y49)</f>
        <v>Melaksanakan sholat dhuhur berjemaah, berdo'a di awal dan di akhir kegiatan pembelajaran , serta melaksanakan kegiatan amaliyah siswa</v>
      </c>
      <c r="AI52" s="94">
        <f>IF(SKI!Z49="","",SKI!Z49)</f>
        <v>3</v>
      </c>
      <c r="AJ52" s="94">
        <f>IF(SKI!AA49="","",SKI!AA49)</f>
        <v>3</v>
      </c>
      <c r="AK52" s="94">
        <f>IF(SKI!AB49="","",SKI!AB49)</f>
        <v>3</v>
      </c>
      <c r="AL52" s="94">
        <f>IF(SKI!AC49="","",SKI!AC49)</f>
        <v>3</v>
      </c>
      <c r="AM52" s="94">
        <f>IF(SKI!AD49="","",SKI!AD49)</f>
        <v>3</v>
      </c>
      <c r="AN52" s="94">
        <f>IF(SKI!AE49="","",SKI!AE49)</f>
        <v>3</v>
      </c>
      <c r="AO52" s="94">
        <f>IF(SKI!AF49="","",SKI!AF49)</f>
        <v>3</v>
      </c>
      <c r="AP52" s="94" t="str">
        <f>IF(SKI!AG49="","",SKI!AG49)</f>
        <v>Santun dalam bersikap, disiplin dalam mentaati tata tertib madrasah, peduli pada lingkungan, orang tua, bertanggung jawab dalam melaksanakan tugas, baik sebagai individu maupun makhluk sosial</v>
      </c>
      <c r="AQ52" s="94" t="str">
        <f>IF(PKN!X49="","",PKN!X49)</f>
        <v/>
      </c>
      <c r="AR52" s="94" t="str">
        <f>IF(PKN!Y49="","",PKN!Y49)</f>
        <v/>
      </c>
      <c r="AS52" s="94" t="str">
        <f>IF(PKN!Z49="","",PKN!Z49)</f>
        <v/>
      </c>
      <c r="AT52" s="94" t="str">
        <f>IF(PKN!AA49="","",PKN!AA49)</f>
        <v/>
      </c>
      <c r="AU52" s="94" t="str">
        <f>IF(PKN!AB49="","",PKN!AB49)</f>
        <v/>
      </c>
      <c r="AV52" s="94" t="str">
        <f>IF(PKN!AC49="","",PKN!AC49)</f>
        <v/>
      </c>
      <c r="AW52" s="94" t="str">
        <f>IF(PKN!AD49="","",PKN!AD49)</f>
        <v/>
      </c>
      <c r="AX52" s="94" t="str">
        <f>IF(PKN!AE49="","",PKN!AE49)</f>
        <v/>
      </c>
      <c r="AY52" s="94" t="str">
        <f>IF(PKN!AF49="","",PKN!AF49)</f>
        <v/>
      </c>
      <c r="AZ52" s="94" t="str">
        <f>IF(PKN!AG49="","",PKN!AG49)</f>
        <v/>
      </c>
      <c r="BA52" s="93" t="str">
        <f>IF(INDO!X49="","",INDO!X49)</f>
        <v/>
      </c>
      <c r="BB52" s="93" t="str">
        <f>IF(INDO!Y49="","",INDO!Y49)</f>
        <v/>
      </c>
      <c r="BC52" s="93" t="str">
        <f>IF(INDO!Z49="","",INDO!Z49)</f>
        <v/>
      </c>
      <c r="BD52" s="93" t="str">
        <f>IF(INDO!AA49="","",INDO!AA49)</f>
        <v/>
      </c>
      <c r="BE52" s="93" t="str">
        <f>IF(INDO!AB49="","",INDO!AB49)</f>
        <v/>
      </c>
      <c r="BF52" s="93" t="str">
        <f>IF(INDO!AC49="","",INDO!AC49)</f>
        <v/>
      </c>
      <c r="BG52" s="93" t="str">
        <f>IF(INDO!AD49="","",INDO!AD49)</f>
        <v/>
      </c>
      <c r="BH52" s="93" t="str">
        <f>IF(INDO!AE49="","",INDO!AE49)</f>
        <v/>
      </c>
      <c r="BI52" s="93" t="str">
        <f>IF(INDO!AF49="","",INDO!AF49)</f>
        <v/>
      </c>
      <c r="BJ52" s="93" t="str">
        <f>IF(INDO!AG49="","",INDO!AG49)</f>
        <v/>
      </c>
      <c r="BK52" s="93" t="str">
        <f>IF(ARAB!X49="","",ARAB!X49)</f>
        <v/>
      </c>
      <c r="BL52" s="93" t="str">
        <f>IF(ARAB!Y49="","",ARAB!Y49)</f>
        <v/>
      </c>
      <c r="BM52" s="93" t="str">
        <f>IF(ARAB!Z49="","",ARAB!Z49)</f>
        <v/>
      </c>
      <c r="BN52" s="93" t="str">
        <f>IF(ARAB!AA49="","",ARAB!AA49)</f>
        <v/>
      </c>
      <c r="BO52" s="93" t="str">
        <f>IF(ARAB!AB49="","",ARAB!AB49)</f>
        <v/>
      </c>
      <c r="BP52" s="93" t="str">
        <f>IF(ARAB!AC49="","",ARAB!AC49)</f>
        <v/>
      </c>
      <c r="BQ52" s="93" t="str">
        <f>IF(ARAB!AD49="","",ARAB!AD49)</f>
        <v/>
      </c>
      <c r="BR52" s="93" t="str">
        <f>IF(ARAB!AE49="","",ARAB!AE49)</f>
        <v/>
      </c>
      <c r="BS52" s="93" t="str">
        <f>IF(ARAB!AF49="","",ARAB!AF49)</f>
        <v/>
      </c>
      <c r="BT52" s="93" t="str">
        <f>IF(ARAB!AG49="","",ARAB!AG49)</f>
        <v/>
      </c>
      <c r="BU52" s="94" t="str">
        <f>IF(MAT!X49="","",MAT!X49)</f>
        <v/>
      </c>
      <c r="BV52" s="94" t="str">
        <f>IF(MAT!Y49="","",MAT!Y49)</f>
        <v/>
      </c>
      <c r="BW52" s="94" t="str">
        <f>IF(MAT!Z49="","",MAT!Z49)</f>
        <v/>
      </c>
      <c r="BX52" s="94" t="str">
        <f>IF(MAT!AA49="","",MAT!AA49)</f>
        <v/>
      </c>
      <c r="BY52" s="94" t="str">
        <f>IF(MAT!AB49="","",MAT!AB49)</f>
        <v/>
      </c>
      <c r="BZ52" s="94" t="str">
        <f>IF(MAT!AC49="","",MAT!AC49)</f>
        <v/>
      </c>
      <c r="CA52" s="94" t="str">
        <f>IF(MAT!AD49="","",MAT!AD49)</f>
        <v/>
      </c>
      <c r="CB52" s="94" t="str">
        <f>IF(MAT!AE49="","",MAT!AE49)</f>
        <v/>
      </c>
      <c r="CC52" s="94" t="str">
        <f>IF(MAT!AF49="","",MAT!AF49)</f>
        <v/>
      </c>
      <c r="CD52" s="94" t="str">
        <f>IF(MAT!AG49="","",MAT!AG49)</f>
        <v/>
      </c>
      <c r="CE52" s="94" t="str">
        <f>IF(IPA!X49="","",IPA!X49)</f>
        <v/>
      </c>
      <c r="CF52" s="94" t="str">
        <f>IF(IPA!Y49="","",IPA!Y49)</f>
        <v/>
      </c>
      <c r="CG52" s="94" t="str">
        <f>IF(IPA!Z49="","",IPA!Z49)</f>
        <v/>
      </c>
      <c r="CH52" s="94" t="str">
        <f>IF(IPA!AA49="","",IPA!AA49)</f>
        <v/>
      </c>
      <c r="CI52" s="94" t="str">
        <f>IF(IPA!AB49="","",IPA!AB49)</f>
        <v/>
      </c>
      <c r="CJ52" s="94" t="str">
        <f>IF(IPA!AC49="","",IPA!AC49)</f>
        <v/>
      </c>
      <c r="CK52" s="94" t="str">
        <f>IF(IPA!AD49="","",IPA!AD49)</f>
        <v/>
      </c>
      <c r="CL52" s="94" t="str">
        <f>IF(IPA!AE49="","",IPA!AE49)</f>
        <v/>
      </c>
      <c r="CM52" s="94" t="str">
        <f>IF(IPA!AF49="","",IPA!AF49)</f>
        <v/>
      </c>
      <c r="CN52" s="94" t="str">
        <f>IF(IPA!AG49="","",IPA!AG49)</f>
        <v/>
      </c>
      <c r="CO52" s="93" t="str">
        <f>IF(IPS!X49="","",IPS!X49)</f>
        <v/>
      </c>
      <c r="CP52" s="93" t="str">
        <f>IF(IPS!Y49="","",IPS!Y49)</f>
        <v/>
      </c>
      <c r="CQ52" s="93" t="str">
        <f>IF(IPS!Z49="","",IPS!Z49)</f>
        <v/>
      </c>
      <c r="CR52" s="93" t="str">
        <f>IF(IPS!AA49="","",IPS!AA49)</f>
        <v/>
      </c>
      <c r="CS52" s="93" t="str">
        <f>IF(IPS!AB49="","",IPS!AB49)</f>
        <v/>
      </c>
      <c r="CT52" s="93" t="str">
        <f>IF(IPS!AC49="","",IPS!AC49)</f>
        <v/>
      </c>
      <c r="CU52" s="93" t="str">
        <f>IF(IPS!AD49="","",IPS!AD49)</f>
        <v/>
      </c>
      <c r="CV52" s="93" t="str">
        <f>IF(IPS!AE49="","",IPS!AE49)</f>
        <v/>
      </c>
      <c r="CW52" s="93" t="str">
        <f>IF(IPS!AF49="","",IPS!AF49)</f>
        <v/>
      </c>
      <c r="CX52" s="93" t="str">
        <f>IF(IPS!AG49="","",IPS!AG49)</f>
        <v/>
      </c>
      <c r="CY52" s="94" t="str">
        <f>IF(INGG!X49="","",INGG!X49)</f>
        <v/>
      </c>
      <c r="CZ52" s="94" t="str">
        <f>IF(INGG!Y49="","",INGG!Y49)</f>
        <v/>
      </c>
      <c r="DA52" s="94" t="str">
        <f>IF(INGG!Z49="","",INGG!Z49)</f>
        <v/>
      </c>
      <c r="DB52" s="94" t="str">
        <f>IF(INGG!AA49="","",INGG!AA49)</f>
        <v/>
      </c>
      <c r="DC52" s="94" t="str">
        <f>IF(INGG!AB49="","",INGG!AB49)</f>
        <v/>
      </c>
      <c r="DD52" s="94" t="str">
        <f>IF(INGG!AC49="","",INGG!AC49)</f>
        <v/>
      </c>
      <c r="DE52" s="94" t="str">
        <f>IF(INGG!AD49="","",INGG!AD49)</f>
        <v/>
      </c>
      <c r="DF52" s="94" t="str">
        <f>IF(INGG!AE49="","",INGG!AE49)</f>
        <v/>
      </c>
      <c r="DG52" s="94" t="str">
        <f>IF(INGG!AF49="","",INGG!AF49)</f>
        <v/>
      </c>
      <c r="DH52" s="94" t="str">
        <f>IF(INGG!AG49="","",INGG!AG49)</f>
        <v/>
      </c>
      <c r="DI52" s="94" t="str">
        <f>IF(SENBUD!X49="","",SENBUD!X49)</f>
        <v/>
      </c>
      <c r="DJ52" s="94" t="str">
        <f>IF(SENBUD!Y49="","",SENBUD!Y49)</f>
        <v/>
      </c>
      <c r="DK52" s="94" t="str">
        <f>IF(SENBUD!Z49="","",SENBUD!Z49)</f>
        <v/>
      </c>
      <c r="DL52" s="94" t="str">
        <f>IF(SENBUD!AA49="","",SENBUD!AA49)</f>
        <v/>
      </c>
      <c r="DM52" s="94" t="str">
        <f>IF(SENBUD!AB49="","",SENBUD!AB49)</f>
        <v/>
      </c>
      <c r="DN52" s="94" t="str">
        <f>IF(SENBUD!AC49="","",SENBUD!AC49)</f>
        <v/>
      </c>
      <c r="DO52" s="94" t="str">
        <f>IF(SENBUD!AD49="","",SENBUD!AD49)</f>
        <v/>
      </c>
      <c r="DP52" s="94" t="str">
        <f>IF(SENBUD!AE49="","",SENBUD!AE49)</f>
        <v/>
      </c>
      <c r="DQ52" s="94" t="str">
        <f>IF(SENBUD!AF49="","",SENBUD!AF49)</f>
        <v/>
      </c>
      <c r="DR52" s="94" t="str">
        <f>IF(SENBUD!AG49="","",SENBUD!AG49)</f>
        <v/>
      </c>
      <c r="DS52" s="93" t="str">
        <f>IF(PENJAS!X49="","",PENJAS!X49)</f>
        <v/>
      </c>
      <c r="DT52" s="93" t="str">
        <f>IF(PENJAS!Y49="","",PENJAS!Y49)</f>
        <v/>
      </c>
      <c r="DU52" s="93" t="str">
        <f>IF(PENJAS!Z49="","",PENJAS!Z49)</f>
        <v/>
      </c>
      <c r="DV52" s="93" t="str">
        <f>IF(PENJAS!AA49="","",PENJAS!AA49)</f>
        <v/>
      </c>
      <c r="DW52" s="93" t="str">
        <f>IF(PENJAS!AB49="","",PENJAS!AB49)</f>
        <v/>
      </c>
      <c r="DX52" s="93" t="str">
        <f>IF(PENJAS!AC49="","",PENJAS!AC49)</f>
        <v/>
      </c>
      <c r="DY52" s="93" t="str">
        <f>IF(PENJAS!AD49="","",PENJAS!AD49)</f>
        <v/>
      </c>
      <c r="DZ52" s="93" t="str">
        <f>IF(PENJAS!AE49="","",PENJAS!AE49)</f>
        <v/>
      </c>
      <c r="EA52" s="93" t="str">
        <f>IF(PENJAS!AF49="","",PENJAS!AF49)</f>
        <v/>
      </c>
      <c r="EB52" s="93" t="str">
        <f>IF(PENJAS!AG49="","",PENJAS!AG49)</f>
        <v/>
      </c>
      <c r="EC52" s="93" t="str">
        <f>IF(PRAKARYA!X49="","",PRAKARYA!X49)</f>
        <v/>
      </c>
      <c r="ED52" s="93" t="str">
        <f>IF(PRAKARYA!Y49="","",PRAKARYA!Y49)</f>
        <v/>
      </c>
      <c r="EE52" s="93" t="str">
        <f>IF(PRAKARYA!Z49="","",PRAKARYA!Z49)</f>
        <v/>
      </c>
      <c r="EF52" s="93" t="str">
        <f>IF(PRAKARYA!AA49="","",PRAKARYA!AA49)</f>
        <v/>
      </c>
      <c r="EG52" s="93" t="str">
        <f>IF(PRAKARYA!AB49="","",PRAKARYA!AB49)</f>
        <v/>
      </c>
      <c r="EH52" s="93" t="str">
        <f>IF(PRAKARYA!AC49="","",PRAKARYA!AC49)</f>
        <v/>
      </c>
      <c r="EI52" s="93" t="str">
        <f>IF(PRAKARYA!AD49="","",PRAKARYA!AD49)</f>
        <v/>
      </c>
      <c r="EJ52" s="93" t="str">
        <f>IF(PRAKARYA!AE49="","",PRAKARYA!AE49)</f>
        <v/>
      </c>
      <c r="EK52" s="93" t="str">
        <f>IF(PRAKARYA!AF49="","",PRAKARYA!AF49)</f>
        <v/>
      </c>
      <c r="EL52" s="93" t="str">
        <f>IF(PRAKARYA!AG49="","",PRAKARYA!AG49)</f>
        <v/>
      </c>
      <c r="EM52" s="95" t="str">
        <f>IF(BADER!X49="","",BADER!X49)</f>
        <v/>
      </c>
      <c r="EN52" s="95" t="str">
        <f>IF(BADER!Y49="","",BADER!Y49)</f>
        <v/>
      </c>
      <c r="EO52" s="95" t="str">
        <f>IF(BADER!Z49="","",BADER!Z49)</f>
        <v/>
      </c>
      <c r="EP52" s="95" t="str">
        <f>IF(BADER!AA49="","",BADER!AA49)</f>
        <v/>
      </c>
      <c r="EQ52" s="95" t="str">
        <f>IF(BADER!AB49="","",BADER!AB49)</f>
        <v/>
      </c>
      <c r="ER52" s="95" t="str">
        <f>IF(BADER!AC49="","",BADER!AC49)</f>
        <v/>
      </c>
      <c r="ES52" s="95" t="str">
        <f>IF(BADER!AD49="","",BADER!AD49)</f>
        <v/>
      </c>
      <c r="ET52" s="95" t="str">
        <f>IF(BADER!AE49="","",BADER!AE49)</f>
        <v/>
      </c>
      <c r="EU52" s="95" t="str">
        <f>IF(BADER!AF49="","",BADER!AF49)</f>
        <v/>
      </c>
      <c r="EV52" s="95" t="str">
        <f>IF(BADER!AG49="","",BADER!AG49)</f>
        <v/>
      </c>
      <c r="EW52" s="96" t="str">
        <f t="shared" si="1"/>
        <v/>
      </c>
      <c r="EX52" s="96" t="str">
        <f t="shared" si="2"/>
        <v/>
      </c>
      <c r="EY52" s="96" t="str">
        <f t="shared" si="14"/>
        <v/>
      </c>
      <c r="EZ52" s="96" t="str">
        <f t="shared" si="14"/>
        <v/>
      </c>
      <c r="FA52" s="96" t="str">
        <f t="shared" si="14"/>
        <v/>
      </c>
      <c r="FB52" s="96" t="str">
        <f t="shared" si="14"/>
        <v/>
      </c>
      <c r="FC52" s="96" t="str">
        <f t="shared" si="14"/>
        <v/>
      </c>
      <c r="FD52" s="96" t="str">
        <f t="shared" si="14"/>
        <v/>
      </c>
      <c r="FE52" s="96" t="str">
        <f t="shared" si="14"/>
        <v/>
      </c>
      <c r="FF52" s="96" t="str">
        <f t="shared" si="3"/>
        <v/>
      </c>
      <c r="FG52" s="96" t="str">
        <f t="shared" si="4"/>
        <v/>
      </c>
      <c r="FH52" s="92" t="str">
        <f t="shared" si="5"/>
        <v/>
      </c>
      <c r="FI52" s="92" t="str">
        <f t="shared" si="6"/>
        <v xml:space="preserve"> </v>
      </c>
      <c r="FJ52" s="92" t="str">
        <f t="shared" si="7"/>
        <v xml:space="preserve"> </v>
      </c>
      <c r="FK52" s="92" t="str">
        <f t="shared" si="8"/>
        <v xml:space="preserve"> </v>
      </c>
      <c r="FL52" s="92" t="str">
        <f t="shared" si="9"/>
        <v xml:space="preserve"> </v>
      </c>
      <c r="FM52" s="92" t="str">
        <f t="shared" si="10"/>
        <v xml:space="preserve"> </v>
      </c>
      <c r="FN52" s="92" t="str">
        <f t="shared" si="11"/>
        <v xml:space="preserve"> </v>
      </c>
      <c r="FO52" s="92" t="str">
        <f t="shared" si="12"/>
        <v xml:space="preserve"> </v>
      </c>
      <c r="FP52" s="92" t="str">
        <f t="shared" si="13"/>
        <v xml:space="preserve">,  ,  ,  ,  ,  ,  ,  </v>
      </c>
    </row>
    <row r="53" spans="1:16384">
      <c r="A53" s="66">
        <v>43</v>
      </c>
      <c r="B53" s="92" t="str">
        <f>IF(DATA!D50="","",DATA!D50)</f>
        <v/>
      </c>
      <c r="C53" s="93" t="str">
        <f>IF(QH!X50="","",QH!X50)</f>
        <v/>
      </c>
      <c r="D53" s="93" t="str">
        <f>IF(QH!Y50="","",QH!Y50)</f>
        <v/>
      </c>
      <c r="E53" s="93" t="str">
        <f>IF(QH!Z50="","",QH!Z50)</f>
        <v/>
      </c>
      <c r="F53" s="93" t="str">
        <f>IF(QH!AA50="","",QH!AA50)</f>
        <v/>
      </c>
      <c r="G53" s="93" t="str">
        <f>IF(QH!AB50="","",QH!AB50)</f>
        <v/>
      </c>
      <c r="H53" s="93" t="str">
        <f>IF(QH!AC50="","",QH!AC50)</f>
        <v/>
      </c>
      <c r="I53" s="93" t="str">
        <f>IF(QH!AD50="","",QH!AD50)</f>
        <v/>
      </c>
      <c r="J53" s="93" t="str">
        <f>IF(QH!AE50="","",QH!AE50)</f>
        <v/>
      </c>
      <c r="K53" s="93" t="str">
        <f>IF(QH!AF50="","",QH!AF50)</f>
        <v/>
      </c>
      <c r="L53" s="93" t="str">
        <f>IF(QH!AG50="","",QH!AG50)</f>
        <v/>
      </c>
      <c r="M53" s="94" t="str">
        <f>IF(AA!X50="","",AA!X50)</f>
        <v/>
      </c>
      <c r="N53" s="94" t="str">
        <f>IF(AA!Y50="","",AA!Y50)</f>
        <v/>
      </c>
      <c r="O53" s="94" t="str">
        <f>IF(AA!Z50="","",AA!Z50)</f>
        <v/>
      </c>
      <c r="P53" s="94" t="str">
        <f>IF(AA!AA50="","",AA!AA50)</f>
        <v/>
      </c>
      <c r="Q53" s="94" t="str">
        <f>IF(AA!AB50="","",AA!AB50)</f>
        <v/>
      </c>
      <c r="R53" s="94" t="str">
        <f>IF(AA!AC50="","",AA!AC50)</f>
        <v/>
      </c>
      <c r="S53" s="94" t="str">
        <f>IF(AA!AD50="","",AA!AD50)</f>
        <v/>
      </c>
      <c r="T53" s="94" t="str">
        <f>IF(AA!AE50="","",AA!AE50)</f>
        <v/>
      </c>
      <c r="U53" s="94" t="str">
        <f>IF(AA!AF50="","",AA!AF50)</f>
        <v/>
      </c>
      <c r="V53" s="94" t="str">
        <f>IF(AA!AG50="","",AA!AG50)</f>
        <v/>
      </c>
      <c r="W53" s="94" t="str">
        <f>IF(FIKIH!X50="","",FIKIH!X50)</f>
        <v/>
      </c>
      <c r="X53" s="94" t="str">
        <f>IF(FIKIH!Y50="","",FIKIH!Y50)</f>
        <v/>
      </c>
      <c r="Y53" s="94" t="str">
        <f>IF(FIKIH!Z50="","",FIKIH!Z50)</f>
        <v/>
      </c>
      <c r="Z53" s="94" t="str">
        <f>IF(FIKIH!AA50="","",FIKIH!AA50)</f>
        <v/>
      </c>
      <c r="AA53" s="94" t="str">
        <f>IF(FIKIH!AB50="","",FIKIH!AB50)</f>
        <v/>
      </c>
      <c r="AB53" s="94" t="str">
        <f>IF(FIKIH!AC50="","",FIKIH!AC50)</f>
        <v/>
      </c>
      <c r="AC53" s="94" t="str">
        <f>IF(FIKIH!AD50="","",FIKIH!AD50)</f>
        <v/>
      </c>
      <c r="AD53" s="94" t="str">
        <f>IF(FIKIH!AE50="","",FIKIH!AE50)</f>
        <v/>
      </c>
      <c r="AE53" s="94" t="str">
        <f>IF(FIKIH!AF50="","",FIKIH!AF50)</f>
        <v/>
      </c>
      <c r="AF53" s="94" t="str">
        <f>IF(FIKIH!AG50="","",FIKIH!AG50)</f>
        <v/>
      </c>
      <c r="AG53" s="94">
        <f>IF(SKI!X50="","",SKI!X50)</f>
        <v>3</v>
      </c>
      <c r="AH53" s="94" t="str">
        <f>IF(SKI!Y50="","",SKI!Y50)</f>
        <v>Melaksanakan sholat dhuhur berjemaah, berdo'a di awal dan di akhir kegiatan pembelajaran , serta melaksanakan kegiatan amaliyah siswa</v>
      </c>
      <c r="AI53" s="94">
        <f>IF(SKI!Z50="","",SKI!Z50)</f>
        <v>3</v>
      </c>
      <c r="AJ53" s="94">
        <f>IF(SKI!AA50="","",SKI!AA50)</f>
        <v>3</v>
      </c>
      <c r="AK53" s="94">
        <f>IF(SKI!AB50="","",SKI!AB50)</f>
        <v>3</v>
      </c>
      <c r="AL53" s="94">
        <f>IF(SKI!AC50="","",SKI!AC50)</f>
        <v>3</v>
      </c>
      <c r="AM53" s="94">
        <f>IF(SKI!AD50="","",SKI!AD50)</f>
        <v>3</v>
      </c>
      <c r="AN53" s="94">
        <f>IF(SKI!AE50="","",SKI!AE50)</f>
        <v>3</v>
      </c>
      <c r="AO53" s="94">
        <f>IF(SKI!AF50="","",SKI!AF50)</f>
        <v>3</v>
      </c>
      <c r="AP53" s="94" t="str">
        <f>IF(SKI!AG50="","",SKI!AG50)</f>
        <v>Santun dalam bersikap, disiplin dalam mentaati tata tertib madrasah, peduli pada lingkungan, orang tua, bertanggung jawab dalam melaksanakan tugas, baik sebagai individu maupun makhluk sosial</v>
      </c>
      <c r="AQ53" s="94" t="str">
        <f>IF(PKN!X50="","",PKN!X50)</f>
        <v/>
      </c>
      <c r="AR53" s="94" t="str">
        <f>IF(PKN!Y50="","",PKN!Y50)</f>
        <v/>
      </c>
      <c r="AS53" s="94" t="str">
        <f>IF(PKN!Z50="","",PKN!Z50)</f>
        <v/>
      </c>
      <c r="AT53" s="94" t="str">
        <f>IF(PKN!AA50="","",PKN!AA50)</f>
        <v/>
      </c>
      <c r="AU53" s="94" t="str">
        <f>IF(PKN!AB50="","",PKN!AB50)</f>
        <v/>
      </c>
      <c r="AV53" s="94" t="str">
        <f>IF(PKN!AC50="","",PKN!AC50)</f>
        <v/>
      </c>
      <c r="AW53" s="94" t="str">
        <f>IF(PKN!AD50="","",PKN!AD50)</f>
        <v/>
      </c>
      <c r="AX53" s="94" t="str">
        <f>IF(PKN!AE50="","",PKN!AE50)</f>
        <v/>
      </c>
      <c r="AY53" s="94" t="str">
        <f>IF(PKN!AF50="","",PKN!AF50)</f>
        <v/>
      </c>
      <c r="AZ53" s="94" t="str">
        <f>IF(PKN!AG50="","",PKN!AG50)</f>
        <v/>
      </c>
      <c r="BA53" s="93" t="str">
        <f>IF(INDO!X50="","",INDO!X50)</f>
        <v/>
      </c>
      <c r="BB53" s="93" t="str">
        <f>IF(INDO!Y50="","",INDO!Y50)</f>
        <v/>
      </c>
      <c r="BC53" s="93" t="str">
        <f>IF(INDO!Z50="","",INDO!Z50)</f>
        <v/>
      </c>
      <c r="BD53" s="93" t="str">
        <f>IF(INDO!AA50="","",INDO!AA50)</f>
        <v/>
      </c>
      <c r="BE53" s="93" t="str">
        <f>IF(INDO!AB50="","",INDO!AB50)</f>
        <v/>
      </c>
      <c r="BF53" s="93" t="str">
        <f>IF(INDO!AC50="","",INDO!AC50)</f>
        <v/>
      </c>
      <c r="BG53" s="93" t="str">
        <f>IF(INDO!AD50="","",INDO!AD50)</f>
        <v/>
      </c>
      <c r="BH53" s="93" t="str">
        <f>IF(INDO!AE50="","",INDO!AE50)</f>
        <v/>
      </c>
      <c r="BI53" s="93" t="str">
        <f>IF(INDO!AF50="","",INDO!AF50)</f>
        <v/>
      </c>
      <c r="BJ53" s="93" t="str">
        <f>IF(INDO!AG50="","",INDO!AG50)</f>
        <v/>
      </c>
      <c r="BK53" s="93" t="str">
        <f>IF(ARAB!X50="","",ARAB!X50)</f>
        <v/>
      </c>
      <c r="BL53" s="93" t="str">
        <f>IF(ARAB!Y50="","",ARAB!Y50)</f>
        <v/>
      </c>
      <c r="BM53" s="93" t="str">
        <f>IF(ARAB!Z50="","",ARAB!Z50)</f>
        <v/>
      </c>
      <c r="BN53" s="93" t="str">
        <f>IF(ARAB!AA50="","",ARAB!AA50)</f>
        <v/>
      </c>
      <c r="BO53" s="93" t="str">
        <f>IF(ARAB!AB50="","",ARAB!AB50)</f>
        <v/>
      </c>
      <c r="BP53" s="93" t="str">
        <f>IF(ARAB!AC50="","",ARAB!AC50)</f>
        <v/>
      </c>
      <c r="BQ53" s="93" t="str">
        <f>IF(ARAB!AD50="","",ARAB!AD50)</f>
        <v/>
      </c>
      <c r="BR53" s="93" t="str">
        <f>IF(ARAB!AE50="","",ARAB!AE50)</f>
        <v/>
      </c>
      <c r="BS53" s="93" t="str">
        <f>IF(ARAB!AF50="","",ARAB!AF50)</f>
        <v/>
      </c>
      <c r="BT53" s="93" t="str">
        <f>IF(ARAB!AG50="","",ARAB!AG50)</f>
        <v/>
      </c>
      <c r="BU53" s="94" t="str">
        <f>IF(MAT!X50="","",MAT!X50)</f>
        <v/>
      </c>
      <c r="BV53" s="94" t="str">
        <f>IF(MAT!Y50="","",MAT!Y50)</f>
        <v/>
      </c>
      <c r="BW53" s="94" t="str">
        <f>IF(MAT!Z50="","",MAT!Z50)</f>
        <v/>
      </c>
      <c r="BX53" s="94" t="str">
        <f>IF(MAT!AA50="","",MAT!AA50)</f>
        <v/>
      </c>
      <c r="BY53" s="94" t="str">
        <f>IF(MAT!AB50="","",MAT!AB50)</f>
        <v/>
      </c>
      <c r="BZ53" s="94" t="str">
        <f>IF(MAT!AC50="","",MAT!AC50)</f>
        <v/>
      </c>
      <c r="CA53" s="94" t="str">
        <f>IF(MAT!AD50="","",MAT!AD50)</f>
        <v/>
      </c>
      <c r="CB53" s="94" t="str">
        <f>IF(MAT!AE50="","",MAT!AE50)</f>
        <v/>
      </c>
      <c r="CC53" s="94" t="str">
        <f>IF(MAT!AF50="","",MAT!AF50)</f>
        <v/>
      </c>
      <c r="CD53" s="94" t="str">
        <f>IF(MAT!AG50="","",MAT!AG50)</f>
        <v/>
      </c>
      <c r="CE53" s="94" t="str">
        <f>IF(IPA!X50="","",IPA!X50)</f>
        <v/>
      </c>
      <c r="CF53" s="94" t="str">
        <f>IF(IPA!Y50="","",IPA!Y50)</f>
        <v/>
      </c>
      <c r="CG53" s="94" t="str">
        <f>IF(IPA!Z50="","",IPA!Z50)</f>
        <v/>
      </c>
      <c r="CH53" s="94" t="str">
        <f>IF(IPA!AA50="","",IPA!AA50)</f>
        <v/>
      </c>
      <c r="CI53" s="94" t="str">
        <f>IF(IPA!AB50="","",IPA!AB50)</f>
        <v/>
      </c>
      <c r="CJ53" s="94" t="str">
        <f>IF(IPA!AC50="","",IPA!AC50)</f>
        <v/>
      </c>
      <c r="CK53" s="94" t="str">
        <f>IF(IPA!AD50="","",IPA!AD50)</f>
        <v/>
      </c>
      <c r="CL53" s="94" t="str">
        <f>IF(IPA!AE50="","",IPA!AE50)</f>
        <v/>
      </c>
      <c r="CM53" s="94" t="str">
        <f>IF(IPA!AF50="","",IPA!AF50)</f>
        <v/>
      </c>
      <c r="CN53" s="94" t="str">
        <f>IF(IPA!AG50="","",IPA!AG50)</f>
        <v/>
      </c>
      <c r="CO53" s="93" t="str">
        <f>IF(IPS!X50="","",IPS!X50)</f>
        <v/>
      </c>
      <c r="CP53" s="93" t="str">
        <f>IF(IPS!Y50="","",IPS!Y50)</f>
        <v/>
      </c>
      <c r="CQ53" s="93" t="str">
        <f>IF(IPS!Z50="","",IPS!Z50)</f>
        <v/>
      </c>
      <c r="CR53" s="93" t="str">
        <f>IF(IPS!AA50="","",IPS!AA50)</f>
        <v/>
      </c>
      <c r="CS53" s="93" t="str">
        <f>IF(IPS!AB50="","",IPS!AB50)</f>
        <v/>
      </c>
      <c r="CT53" s="93" t="str">
        <f>IF(IPS!AC50="","",IPS!AC50)</f>
        <v/>
      </c>
      <c r="CU53" s="93" t="str">
        <f>IF(IPS!AD50="","",IPS!AD50)</f>
        <v/>
      </c>
      <c r="CV53" s="93" t="str">
        <f>IF(IPS!AE50="","",IPS!AE50)</f>
        <v/>
      </c>
      <c r="CW53" s="93" t="str">
        <f>IF(IPS!AF50="","",IPS!AF50)</f>
        <v/>
      </c>
      <c r="CX53" s="93" t="str">
        <f>IF(IPS!AG50="","",IPS!AG50)</f>
        <v/>
      </c>
      <c r="CY53" s="94" t="str">
        <f>IF(INGG!X50="","",INGG!X50)</f>
        <v/>
      </c>
      <c r="CZ53" s="94" t="str">
        <f>IF(INGG!Y50="","",INGG!Y50)</f>
        <v/>
      </c>
      <c r="DA53" s="94" t="str">
        <f>IF(INGG!Z50="","",INGG!Z50)</f>
        <v/>
      </c>
      <c r="DB53" s="94" t="str">
        <f>IF(INGG!AA50="","",INGG!AA50)</f>
        <v/>
      </c>
      <c r="DC53" s="94" t="str">
        <f>IF(INGG!AB50="","",INGG!AB50)</f>
        <v/>
      </c>
      <c r="DD53" s="94" t="str">
        <f>IF(INGG!AC50="","",INGG!AC50)</f>
        <v/>
      </c>
      <c r="DE53" s="94" t="str">
        <f>IF(INGG!AD50="","",INGG!AD50)</f>
        <v/>
      </c>
      <c r="DF53" s="94" t="str">
        <f>IF(INGG!AE50="","",INGG!AE50)</f>
        <v/>
      </c>
      <c r="DG53" s="94" t="str">
        <f>IF(INGG!AF50="","",INGG!AF50)</f>
        <v/>
      </c>
      <c r="DH53" s="94" t="str">
        <f>IF(INGG!AG50="","",INGG!AG50)</f>
        <v/>
      </c>
      <c r="DI53" s="94" t="str">
        <f>IF(SENBUD!X50="","",SENBUD!X50)</f>
        <v/>
      </c>
      <c r="DJ53" s="94" t="str">
        <f>IF(SENBUD!Y50="","",SENBUD!Y50)</f>
        <v/>
      </c>
      <c r="DK53" s="94" t="str">
        <f>IF(SENBUD!Z50="","",SENBUD!Z50)</f>
        <v/>
      </c>
      <c r="DL53" s="94" t="str">
        <f>IF(SENBUD!AA50="","",SENBUD!AA50)</f>
        <v/>
      </c>
      <c r="DM53" s="94" t="str">
        <f>IF(SENBUD!AB50="","",SENBUD!AB50)</f>
        <v/>
      </c>
      <c r="DN53" s="94" t="str">
        <f>IF(SENBUD!AC50="","",SENBUD!AC50)</f>
        <v/>
      </c>
      <c r="DO53" s="94" t="str">
        <f>IF(SENBUD!AD50="","",SENBUD!AD50)</f>
        <v/>
      </c>
      <c r="DP53" s="94" t="str">
        <f>IF(SENBUD!AE50="","",SENBUD!AE50)</f>
        <v/>
      </c>
      <c r="DQ53" s="94" t="str">
        <f>IF(SENBUD!AF50="","",SENBUD!AF50)</f>
        <v/>
      </c>
      <c r="DR53" s="94" t="str">
        <f>IF(SENBUD!AG50="","",SENBUD!AG50)</f>
        <v/>
      </c>
      <c r="DS53" s="93" t="str">
        <f>IF(PENJAS!X50="","",PENJAS!X50)</f>
        <v/>
      </c>
      <c r="DT53" s="93" t="str">
        <f>IF(PENJAS!Y50="","",PENJAS!Y50)</f>
        <v/>
      </c>
      <c r="DU53" s="93" t="str">
        <f>IF(PENJAS!Z50="","",PENJAS!Z50)</f>
        <v/>
      </c>
      <c r="DV53" s="93" t="str">
        <f>IF(PENJAS!AA50="","",PENJAS!AA50)</f>
        <v/>
      </c>
      <c r="DW53" s="93" t="str">
        <f>IF(PENJAS!AB50="","",PENJAS!AB50)</f>
        <v/>
      </c>
      <c r="DX53" s="93" t="str">
        <f>IF(PENJAS!AC50="","",PENJAS!AC50)</f>
        <v/>
      </c>
      <c r="DY53" s="93" t="str">
        <f>IF(PENJAS!AD50="","",PENJAS!AD50)</f>
        <v/>
      </c>
      <c r="DZ53" s="93" t="str">
        <f>IF(PENJAS!AE50="","",PENJAS!AE50)</f>
        <v/>
      </c>
      <c r="EA53" s="93" t="str">
        <f>IF(PENJAS!AF50="","",PENJAS!AF50)</f>
        <v/>
      </c>
      <c r="EB53" s="93" t="str">
        <f>IF(PENJAS!AG50="","",PENJAS!AG50)</f>
        <v/>
      </c>
      <c r="EC53" s="93" t="str">
        <f>IF(PRAKARYA!X50="","",PRAKARYA!X50)</f>
        <v/>
      </c>
      <c r="ED53" s="93" t="str">
        <f>IF(PRAKARYA!Y50="","",PRAKARYA!Y50)</f>
        <v/>
      </c>
      <c r="EE53" s="93" t="str">
        <f>IF(PRAKARYA!Z50="","",PRAKARYA!Z50)</f>
        <v/>
      </c>
      <c r="EF53" s="93" t="str">
        <f>IF(PRAKARYA!AA50="","",PRAKARYA!AA50)</f>
        <v/>
      </c>
      <c r="EG53" s="93" t="str">
        <f>IF(PRAKARYA!AB50="","",PRAKARYA!AB50)</f>
        <v/>
      </c>
      <c r="EH53" s="93" t="str">
        <f>IF(PRAKARYA!AC50="","",PRAKARYA!AC50)</f>
        <v/>
      </c>
      <c r="EI53" s="93" t="str">
        <f>IF(PRAKARYA!AD50="","",PRAKARYA!AD50)</f>
        <v/>
      </c>
      <c r="EJ53" s="93" t="str">
        <f>IF(PRAKARYA!AE50="","",PRAKARYA!AE50)</f>
        <v/>
      </c>
      <c r="EK53" s="93" t="str">
        <f>IF(PRAKARYA!AF50="","",PRAKARYA!AF50)</f>
        <v/>
      </c>
      <c r="EL53" s="93" t="str">
        <f>IF(PRAKARYA!AG50="","",PRAKARYA!AG50)</f>
        <v/>
      </c>
      <c r="EM53" s="95" t="str">
        <f>IF(BADER!X50="","",BADER!X50)</f>
        <v/>
      </c>
      <c r="EN53" s="95" t="str">
        <f>IF(BADER!Y50="","",BADER!Y50)</f>
        <v/>
      </c>
      <c r="EO53" s="95" t="str">
        <f>IF(BADER!Z50="","",BADER!Z50)</f>
        <v/>
      </c>
      <c r="EP53" s="95" t="str">
        <f>IF(BADER!AA50="","",BADER!AA50)</f>
        <v/>
      </c>
      <c r="EQ53" s="95" t="str">
        <f>IF(BADER!AB50="","",BADER!AB50)</f>
        <v/>
      </c>
      <c r="ER53" s="95" t="str">
        <f>IF(BADER!AC50="","",BADER!AC50)</f>
        <v/>
      </c>
      <c r="ES53" s="95" t="str">
        <f>IF(BADER!AD50="","",BADER!AD50)</f>
        <v/>
      </c>
      <c r="ET53" s="95" t="str">
        <f>IF(BADER!AE50="","",BADER!AE50)</f>
        <v/>
      </c>
      <c r="EU53" s="95" t="str">
        <f>IF(BADER!AF50="","",BADER!AF50)</f>
        <v/>
      </c>
      <c r="EV53" s="95" t="str">
        <f>IF(BADER!AG50="","",BADER!AG50)</f>
        <v/>
      </c>
      <c r="EW53" s="96" t="str">
        <f t="shared" si="1"/>
        <v/>
      </c>
      <c r="EX53" s="96" t="str">
        <f t="shared" si="2"/>
        <v/>
      </c>
      <c r="EY53" s="96" t="str">
        <f t="shared" si="14"/>
        <v/>
      </c>
      <c r="EZ53" s="96" t="str">
        <f t="shared" si="14"/>
        <v/>
      </c>
      <c r="FA53" s="96" t="str">
        <f t="shared" si="14"/>
        <v/>
      </c>
      <c r="FB53" s="96" t="str">
        <f t="shared" si="14"/>
        <v/>
      </c>
      <c r="FC53" s="96" t="str">
        <f t="shared" si="14"/>
        <v/>
      </c>
      <c r="FD53" s="96" t="str">
        <f t="shared" si="14"/>
        <v/>
      </c>
      <c r="FE53" s="96" t="str">
        <f t="shared" si="14"/>
        <v/>
      </c>
      <c r="FF53" s="96" t="str">
        <f t="shared" si="3"/>
        <v/>
      </c>
      <c r="FG53" s="96" t="str">
        <f t="shared" si="4"/>
        <v/>
      </c>
      <c r="FH53" s="92" t="str">
        <f t="shared" si="5"/>
        <v/>
      </c>
      <c r="FI53" s="92" t="str">
        <f t="shared" si="6"/>
        <v xml:space="preserve"> </v>
      </c>
      <c r="FJ53" s="92" t="str">
        <f t="shared" si="7"/>
        <v xml:space="preserve"> </v>
      </c>
      <c r="FK53" s="92" t="str">
        <f t="shared" si="8"/>
        <v xml:space="preserve"> </v>
      </c>
      <c r="FL53" s="92" t="str">
        <f t="shared" si="9"/>
        <v xml:space="preserve"> </v>
      </c>
      <c r="FM53" s="92" t="str">
        <f t="shared" si="10"/>
        <v xml:space="preserve"> </v>
      </c>
      <c r="FN53" s="92" t="str">
        <f t="shared" si="11"/>
        <v xml:space="preserve"> </v>
      </c>
      <c r="FO53" s="92" t="str">
        <f t="shared" si="12"/>
        <v xml:space="preserve"> </v>
      </c>
      <c r="FP53" s="92" t="str">
        <f t="shared" si="13"/>
        <v xml:space="preserve">,  ,  ,  ,  ,  ,  ,  </v>
      </c>
    </row>
    <row r="54" spans="1:16384">
      <c r="A54" s="66">
        <v>44</v>
      </c>
      <c r="B54" s="92" t="str">
        <f>IF(DATA!D51="","",DATA!D51)</f>
        <v/>
      </c>
      <c r="C54" s="93" t="str">
        <f>IF(QH!X51="","",QH!X51)</f>
        <v/>
      </c>
      <c r="D54" s="93" t="str">
        <f>IF(QH!Y51="","",QH!Y51)</f>
        <v/>
      </c>
      <c r="E54" s="93" t="str">
        <f>IF(QH!Z51="","",QH!Z51)</f>
        <v/>
      </c>
      <c r="F54" s="93" t="str">
        <f>IF(QH!AA51="","",QH!AA51)</f>
        <v/>
      </c>
      <c r="G54" s="93" t="str">
        <f>IF(QH!AB51="","",QH!AB51)</f>
        <v/>
      </c>
      <c r="H54" s="93" t="str">
        <f>IF(QH!AC51="","",QH!AC51)</f>
        <v/>
      </c>
      <c r="I54" s="93" t="str">
        <f>IF(QH!AD51="","",QH!AD51)</f>
        <v/>
      </c>
      <c r="J54" s="93" t="str">
        <f>IF(QH!AE51="","",QH!AE51)</f>
        <v/>
      </c>
      <c r="K54" s="93" t="str">
        <f>IF(QH!AF51="","",QH!AF51)</f>
        <v/>
      </c>
      <c r="L54" s="93" t="str">
        <f>IF(QH!AG51="","",QH!AG51)</f>
        <v/>
      </c>
      <c r="M54" s="94" t="str">
        <f>IF(AA!X51="","",AA!X51)</f>
        <v/>
      </c>
      <c r="N54" s="94" t="str">
        <f>IF(AA!Y51="","",AA!Y51)</f>
        <v/>
      </c>
      <c r="O54" s="94" t="str">
        <f>IF(AA!Z51="","",AA!Z51)</f>
        <v/>
      </c>
      <c r="P54" s="94" t="str">
        <f>IF(AA!AA51="","",AA!AA51)</f>
        <v/>
      </c>
      <c r="Q54" s="94" t="str">
        <f>IF(AA!AB51="","",AA!AB51)</f>
        <v/>
      </c>
      <c r="R54" s="94" t="str">
        <f>IF(AA!AC51="","",AA!AC51)</f>
        <v/>
      </c>
      <c r="S54" s="94" t="str">
        <f>IF(AA!AD51="","",AA!AD51)</f>
        <v/>
      </c>
      <c r="T54" s="94" t="str">
        <f>IF(AA!AE51="","",AA!AE51)</f>
        <v/>
      </c>
      <c r="U54" s="94" t="str">
        <f>IF(AA!AF51="","",AA!AF51)</f>
        <v/>
      </c>
      <c r="V54" s="94" t="str">
        <f>IF(AA!AG51="","",AA!AG51)</f>
        <v/>
      </c>
      <c r="W54" s="94" t="str">
        <f>IF(FIKIH!X51="","",FIKIH!X51)</f>
        <v/>
      </c>
      <c r="X54" s="94" t="str">
        <f>IF(FIKIH!Y51="","",FIKIH!Y51)</f>
        <v/>
      </c>
      <c r="Y54" s="94" t="str">
        <f>IF(FIKIH!Z51="","",FIKIH!Z51)</f>
        <v/>
      </c>
      <c r="Z54" s="94" t="str">
        <f>IF(FIKIH!AA51="","",FIKIH!AA51)</f>
        <v/>
      </c>
      <c r="AA54" s="94" t="str">
        <f>IF(FIKIH!AB51="","",FIKIH!AB51)</f>
        <v/>
      </c>
      <c r="AB54" s="94" t="str">
        <f>IF(FIKIH!AC51="","",FIKIH!AC51)</f>
        <v/>
      </c>
      <c r="AC54" s="94" t="str">
        <f>IF(FIKIH!AD51="","",FIKIH!AD51)</f>
        <v/>
      </c>
      <c r="AD54" s="94" t="str">
        <f>IF(FIKIH!AE51="","",FIKIH!AE51)</f>
        <v/>
      </c>
      <c r="AE54" s="94" t="str">
        <f>IF(FIKIH!AF51="","",FIKIH!AF51)</f>
        <v/>
      </c>
      <c r="AF54" s="94" t="str">
        <f>IF(FIKIH!AG51="","",FIKIH!AG51)</f>
        <v/>
      </c>
      <c r="AG54" s="94">
        <f>IF(SKI!X51="","",SKI!X51)</f>
        <v>3</v>
      </c>
      <c r="AH54" s="94" t="str">
        <f>IF(SKI!Y51="","",SKI!Y51)</f>
        <v>Melaksanakan sholat dhuhur berjemaah, berdo'a di awal dan di akhir kegiatan pembelajaran , serta melaksanakan kegiatan amaliyah siswa</v>
      </c>
      <c r="AI54" s="94">
        <f>IF(SKI!Z51="","",SKI!Z51)</f>
        <v>3</v>
      </c>
      <c r="AJ54" s="94">
        <f>IF(SKI!AA51="","",SKI!AA51)</f>
        <v>3</v>
      </c>
      <c r="AK54" s="94">
        <f>IF(SKI!AB51="","",SKI!AB51)</f>
        <v>3</v>
      </c>
      <c r="AL54" s="94">
        <f>IF(SKI!AC51="","",SKI!AC51)</f>
        <v>3</v>
      </c>
      <c r="AM54" s="94">
        <f>IF(SKI!AD51="","",SKI!AD51)</f>
        <v>3</v>
      </c>
      <c r="AN54" s="94">
        <f>IF(SKI!AE51="","",SKI!AE51)</f>
        <v>3</v>
      </c>
      <c r="AO54" s="94">
        <f>IF(SKI!AF51="","",SKI!AF51)</f>
        <v>3</v>
      </c>
      <c r="AP54" s="94" t="str">
        <f>IF(SKI!AG51="","",SKI!AG51)</f>
        <v>Santun dalam bersikap, disiplin dalam mentaati tata tertib madrasah, peduli pada lingkungan, orang tua, bertanggung jawab dalam melaksanakan tugas, baik sebagai individu maupun makhluk sosial</v>
      </c>
      <c r="AQ54" s="94" t="str">
        <f>IF(PKN!X51="","",PKN!X51)</f>
        <v/>
      </c>
      <c r="AR54" s="94" t="str">
        <f>IF(PKN!Y51="","",PKN!Y51)</f>
        <v/>
      </c>
      <c r="AS54" s="94" t="str">
        <f>IF(PKN!Z51="","",PKN!Z51)</f>
        <v/>
      </c>
      <c r="AT54" s="94" t="str">
        <f>IF(PKN!AA51="","",PKN!AA51)</f>
        <v/>
      </c>
      <c r="AU54" s="94" t="str">
        <f>IF(PKN!AB51="","",PKN!AB51)</f>
        <v/>
      </c>
      <c r="AV54" s="94" t="str">
        <f>IF(PKN!AC51="","",PKN!AC51)</f>
        <v/>
      </c>
      <c r="AW54" s="94" t="str">
        <f>IF(PKN!AD51="","",PKN!AD51)</f>
        <v/>
      </c>
      <c r="AX54" s="94" t="str">
        <f>IF(PKN!AE51="","",PKN!AE51)</f>
        <v/>
      </c>
      <c r="AY54" s="94" t="str">
        <f>IF(PKN!AF51="","",PKN!AF51)</f>
        <v/>
      </c>
      <c r="AZ54" s="94" t="str">
        <f>IF(PKN!AG51="","",PKN!AG51)</f>
        <v/>
      </c>
      <c r="BA54" s="93" t="str">
        <f>IF(INDO!X51="","",INDO!X51)</f>
        <v/>
      </c>
      <c r="BB54" s="93" t="str">
        <f>IF(INDO!Y51="","",INDO!Y51)</f>
        <v/>
      </c>
      <c r="BC54" s="93" t="str">
        <f>IF(INDO!Z51="","",INDO!Z51)</f>
        <v/>
      </c>
      <c r="BD54" s="93" t="str">
        <f>IF(INDO!AA51="","",INDO!AA51)</f>
        <v/>
      </c>
      <c r="BE54" s="93" t="str">
        <f>IF(INDO!AB51="","",INDO!AB51)</f>
        <v/>
      </c>
      <c r="BF54" s="93" t="str">
        <f>IF(INDO!AC51="","",INDO!AC51)</f>
        <v/>
      </c>
      <c r="BG54" s="93" t="str">
        <f>IF(INDO!AD51="","",INDO!AD51)</f>
        <v/>
      </c>
      <c r="BH54" s="93" t="str">
        <f>IF(INDO!AE51="","",INDO!AE51)</f>
        <v/>
      </c>
      <c r="BI54" s="93" t="str">
        <f>IF(INDO!AF51="","",INDO!AF51)</f>
        <v/>
      </c>
      <c r="BJ54" s="93" t="str">
        <f>IF(INDO!AG51="","",INDO!AG51)</f>
        <v/>
      </c>
      <c r="BK54" s="93" t="str">
        <f>IF(ARAB!X51="","",ARAB!X51)</f>
        <v/>
      </c>
      <c r="BL54" s="93" t="str">
        <f>IF(ARAB!Y51="","",ARAB!Y51)</f>
        <v/>
      </c>
      <c r="BM54" s="93" t="str">
        <f>IF(ARAB!Z51="","",ARAB!Z51)</f>
        <v/>
      </c>
      <c r="BN54" s="93" t="str">
        <f>IF(ARAB!AA51="","",ARAB!AA51)</f>
        <v/>
      </c>
      <c r="BO54" s="93" t="str">
        <f>IF(ARAB!AB51="","",ARAB!AB51)</f>
        <v/>
      </c>
      <c r="BP54" s="93" t="str">
        <f>IF(ARAB!AC51="","",ARAB!AC51)</f>
        <v/>
      </c>
      <c r="BQ54" s="93" t="str">
        <f>IF(ARAB!AD51="","",ARAB!AD51)</f>
        <v/>
      </c>
      <c r="BR54" s="93" t="str">
        <f>IF(ARAB!AE51="","",ARAB!AE51)</f>
        <v/>
      </c>
      <c r="BS54" s="93" t="str">
        <f>IF(ARAB!AF51="","",ARAB!AF51)</f>
        <v/>
      </c>
      <c r="BT54" s="93" t="str">
        <f>IF(ARAB!AG51="","",ARAB!AG51)</f>
        <v/>
      </c>
      <c r="BU54" s="94" t="str">
        <f>IF(MAT!X51="","",MAT!X51)</f>
        <v/>
      </c>
      <c r="BV54" s="94" t="str">
        <f>IF(MAT!Y51="","",MAT!Y51)</f>
        <v/>
      </c>
      <c r="BW54" s="94" t="str">
        <f>IF(MAT!Z51="","",MAT!Z51)</f>
        <v/>
      </c>
      <c r="BX54" s="94" t="str">
        <f>IF(MAT!AA51="","",MAT!AA51)</f>
        <v/>
      </c>
      <c r="BY54" s="94" t="str">
        <f>IF(MAT!AB51="","",MAT!AB51)</f>
        <v/>
      </c>
      <c r="BZ54" s="94" t="str">
        <f>IF(MAT!AC51="","",MAT!AC51)</f>
        <v/>
      </c>
      <c r="CA54" s="94" t="str">
        <f>IF(MAT!AD51="","",MAT!AD51)</f>
        <v/>
      </c>
      <c r="CB54" s="94" t="str">
        <f>IF(MAT!AE51="","",MAT!AE51)</f>
        <v/>
      </c>
      <c r="CC54" s="94" t="str">
        <f>IF(MAT!AF51="","",MAT!AF51)</f>
        <v/>
      </c>
      <c r="CD54" s="94" t="str">
        <f>IF(MAT!AG51="","",MAT!AG51)</f>
        <v/>
      </c>
      <c r="CE54" s="94" t="str">
        <f>IF(IPA!X51="","",IPA!X51)</f>
        <v/>
      </c>
      <c r="CF54" s="94" t="str">
        <f>IF(IPA!Y51="","",IPA!Y51)</f>
        <v/>
      </c>
      <c r="CG54" s="94" t="str">
        <f>IF(IPA!Z51="","",IPA!Z51)</f>
        <v/>
      </c>
      <c r="CH54" s="94" t="str">
        <f>IF(IPA!AA51="","",IPA!AA51)</f>
        <v/>
      </c>
      <c r="CI54" s="94" t="str">
        <f>IF(IPA!AB51="","",IPA!AB51)</f>
        <v/>
      </c>
      <c r="CJ54" s="94" t="str">
        <f>IF(IPA!AC51="","",IPA!AC51)</f>
        <v/>
      </c>
      <c r="CK54" s="94" t="str">
        <f>IF(IPA!AD51="","",IPA!AD51)</f>
        <v/>
      </c>
      <c r="CL54" s="94" t="str">
        <f>IF(IPA!AE51="","",IPA!AE51)</f>
        <v/>
      </c>
      <c r="CM54" s="94" t="str">
        <f>IF(IPA!AF51="","",IPA!AF51)</f>
        <v/>
      </c>
      <c r="CN54" s="94" t="str">
        <f>IF(IPA!AG51="","",IPA!AG51)</f>
        <v/>
      </c>
      <c r="CO54" s="93" t="str">
        <f>IF(IPS!X51="","",IPS!X51)</f>
        <v/>
      </c>
      <c r="CP54" s="93" t="str">
        <f>IF(IPS!Y51="","",IPS!Y51)</f>
        <v/>
      </c>
      <c r="CQ54" s="93" t="str">
        <f>IF(IPS!Z51="","",IPS!Z51)</f>
        <v/>
      </c>
      <c r="CR54" s="93" t="str">
        <f>IF(IPS!AA51="","",IPS!AA51)</f>
        <v/>
      </c>
      <c r="CS54" s="93" t="str">
        <f>IF(IPS!AB51="","",IPS!AB51)</f>
        <v/>
      </c>
      <c r="CT54" s="93" t="str">
        <f>IF(IPS!AC51="","",IPS!AC51)</f>
        <v/>
      </c>
      <c r="CU54" s="93" t="str">
        <f>IF(IPS!AD51="","",IPS!AD51)</f>
        <v/>
      </c>
      <c r="CV54" s="93" t="str">
        <f>IF(IPS!AE51="","",IPS!AE51)</f>
        <v/>
      </c>
      <c r="CW54" s="93" t="str">
        <f>IF(IPS!AF51="","",IPS!AF51)</f>
        <v/>
      </c>
      <c r="CX54" s="93" t="str">
        <f>IF(IPS!AG51="","",IPS!AG51)</f>
        <v/>
      </c>
      <c r="CY54" s="94" t="str">
        <f>IF(INGG!X51="","",INGG!X51)</f>
        <v/>
      </c>
      <c r="CZ54" s="94" t="str">
        <f>IF(INGG!Y51="","",INGG!Y51)</f>
        <v/>
      </c>
      <c r="DA54" s="94" t="str">
        <f>IF(INGG!Z51="","",INGG!Z51)</f>
        <v/>
      </c>
      <c r="DB54" s="94" t="str">
        <f>IF(INGG!AA51="","",INGG!AA51)</f>
        <v/>
      </c>
      <c r="DC54" s="94" t="str">
        <f>IF(INGG!AB51="","",INGG!AB51)</f>
        <v/>
      </c>
      <c r="DD54" s="94" t="str">
        <f>IF(INGG!AC51="","",INGG!AC51)</f>
        <v/>
      </c>
      <c r="DE54" s="94" t="str">
        <f>IF(INGG!AD51="","",INGG!AD51)</f>
        <v/>
      </c>
      <c r="DF54" s="94" t="str">
        <f>IF(INGG!AE51="","",INGG!AE51)</f>
        <v/>
      </c>
      <c r="DG54" s="94" t="str">
        <f>IF(INGG!AF51="","",INGG!AF51)</f>
        <v/>
      </c>
      <c r="DH54" s="94" t="str">
        <f>IF(INGG!AG51="","",INGG!AG51)</f>
        <v/>
      </c>
      <c r="DI54" s="94" t="str">
        <f>IF(SENBUD!X51="","",SENBUD!X51)</f>
        <v/>
      </c>
      <c r="DJ54" s="94" t="str">
        <f>IF(SENBUD!Y51="","",SENBUD!Y51)</f>
        <v/>
      </c>
      <c r="DK54" s="94" t="str">
        <f>IF(SENBUD!Z51="","",SENBUD!Z51)</f>
        <v/>
      </c>
      <c r="DL54" s="94" t="str">
        <f>IF(SENBUD!AA51="","",SENBUD!AA51)</f>
        <v/>
      </c>
      <c r="DM54" s="94" t="str">
        <f>IF(SENBUD!AB51="","",SENBUD!AB51)</f>
        <v/>
      </c>
      <c r="DN54" s="94" t="str">
        <f>IF(SENBUD!AC51="","",SENBUD!AC51)</f>
        <v/>
      </c>
      <c r="DO54" s="94" t="str">
        <f>IF(SENBUD!AD51="","",SENBUD!AD51)</f>
        <v/>
      </c>
      <c r="DP54" s="94" t="str">
        <f>IF(SENBUD!AE51="","",SENBUD!AE51)</f>
        <v/>
      </c>
      <c r="DQ54" s="94" t="str">
        <f>IF(SENBUD!AF51="","",SENBUD!AF51)</f>
        <v/>
      </c>
      <c r="DR54" s="94" t="str">
        <f>IF(SENBUD!AG51="","",SENBUD!AG51)</f>
        <v/>
      </c>
      <c r="DS54" s="93" t="str">
        <f>IF(PENJAS!X51="","",PENJAS!X51)</f>
        <v/>
      </c>
      <c r="DT54" s="93" t="str">
        <f>IF(PENJAS!Y51="","",PENJAS!Y51)</f>
        <v/>
      </c>
      <c r="DU54" s="93" t="str">
        <f>IF(PENJAS!Z51="","",PENJAS!Z51)</f>
        <v/>
      </c>
      <c r="DV54" s="93" t="str">
        <f>IF(PENJAS!AA51="","",PENJAS!AA51)</f>
        <v/>
      </c>
      <c r="DW54" s="93" t="str">
        <f>IF(PENJAS!AB51="","",PENJAS!AB51)</f>
        <v/>
      </c>
      <c r="DX54" s="93" t="str">
        <f>IF(PENJAS!AC51="","",PENJAS!AC51)</f>
        <v/>
      </c>
      <c r="DY54" s="93" t="str">
        <f>IF(PENJAS!AD51="","",PENJAS!AD51)</f>
        <v/>
      </c>
      <c r="DZ54" s="93" t="str">
        <f>IF(PENJAS!AE51="","",PENJAS!AE51)</f>
        <v/>
      </c>
      <c r="EA54" s="93" t="str">
        <f>IF(PENJAS!AF51="","",PENJAS!AF51)</f>
        <v/>
      </c>
      <c r="EB54" s="93" t="str">
        <f>IF(PENJAS!AG51="","",PENJAS!AG51)</f>
        <v/>
      </c>
      <c r="EC54" s="93" t="str">
        <f>IF(PRAKARYA!X51="","",PRAKARYA!X51)</f>
        <v/>
      </c>
      <c r="ED54" s="93" t="str">
        <f>IF(PRAKARYA!Y51="","",PRAKARYA!Y51)</f>
        <v/>
      </c>
      <c r="EE54" s="93" t="str">
        <f>IF(PRAKARYA!Z51="","",PRAKARYA!Z51)</f>
        <v/>
      </c>
      <c r="EF54" s="93" t="str">
        <f>IF(PRAKARYA!AA51="","",PRAKARYA!AA51)</f>
        <v/>
      </c>
      <c r="EG54" s="93" t="str">
        <f>IF(PRAKARYA!AB51="","",PRAKARYA!AB51)</f>
        <v/>
      </c>
      <c r="EH54" s="93" t="str">
        <f>IF(PRAKARYA!AC51="","",PRAKARYA!AC51)</f>
        <v/>
      </c>
      <c r="EI54" s="93" t="str">
        <f>IF(PRAKARYA!AD51="","",PRAKARYA!AD51)</f>
        <v/>
      </c>
      <c r="EJ54" s="93" t="str">
        <f>IF(PRAKARYA!AE51="","",PRAKARYA!AE51)</f>
        <v/>
      </c>
      <c r="EK54" s="93" t="str">
        <f>IF(PRAKARYA!AF51="","",PRAKARYA!AF51)</f>
        <v/>
      </c>
      <c r="EL54" s="93" t="str">
        <f>IF(PRAKARYA!AG51="","",PRAKARYA!AG51)</f>
        <v/>
      </c>
      <c r="EM54" s="95" t="str">
        <f>IF(BADER!X51="","",BADER!X51)</f>
        <v/>
      </c>
      <c r="EN54" s="95" t="str">
        <f>IF(BADER!Y51="","",BADER!Y51)</f>
        <v/>
      </c>
      <c r="EO54" s="95" t="str">
        <f>IF(BADER!Z51="","",BADER!Z51)</f>
        <v/>
      </c>
      <c r="EP54" s="95" t="str">
        <f>IF(BADER!AA51="","",BADER!AA51)</f>
        <v/>
      </c>
      <c r="EQ54" s="95" t="str">
        <f>IF(BADER!AB51="","",BADER!AB51)</f>
        <v/>
      </c>
      <c r="ER54" s="95" t="str">
        <f>IF(BADER!AC51="","",BADER!AC51)</f>
        <v/>
      </c>
      <c r="ES54" s="95" t="str">
        <f>IF(BADER!AD51="","",BADER!AD51)</f>
        <v/>
      </c>
      <c r="ET54" s="95" t="str">
        <f>IF(BADER!AE51="","",BADER!AE51)</f>
        <v/>
      </c>
      <c r="EU54" s="95" t="str">
        <f>IF(BADER!AF51="","",BADER!AF51)</f>
        <v/>
      </c>
      <c r="EV54" s="95" t="str">
        <f>IF(BADER!AG51="","",BADER!AG51)</f>
        <v/>
      </c>
      <c r="EW54" s="96" t="str">
        <f t="shared" si="1"/>
        <v/>
      </c>
      <c r="EX54" s="96" t="str">
        <f t="shared" si="2"/>
        <v/>
      </c>
      <c r="EY54" s="96" t="str">
        <f t="shared" si="14"/>
        <v/>
      </c>
      <c r="EZ54" s="96" t="str">
        <f t="shared" si="14"/>
        <v/>
      </c>
      <c r="FA54" s="96" t="str">
        <f t="shared" si="14"/>
        <v/>
      </c>
      <c r="FB54" s="96" t="str">
        <f t="shared" si="14"/>
        <v/>
      </c>
      <c r="FC54" s="96" t="str">
        <f t="shared" si="14"/>
        <v/>
      </c>
      <c r="FD54" s="96" t="str">
        <f t="shared" si="14"/>
        <v/>
      </c>
      <c r="FE54" s="96" t="str">
        <f t="shared" si="14"/>
        <v/>
      </c>
      <c r="FF54" s="96" t="str">
        <f t="shared" si="3"/>
        <v/>
      </c>
      <c r="FG54" s="96" t="str">
        <f t="shared" si="4"/>
        <v/>
      </c>
      <c r="FH54" s="92" t="str">
        <f t="shared" si="5"/>
        <v/>
      </c>
      <c r="FI54" s="92" t="str">
        <f t="shared" si="6"/>
        <v xml:space="preserve"> </v>
      </c>
      <c r="FJ54" s="92" t="str">
        <f t="shared" si="7"/>
        <v xml:space="preserve"> </v>
      </c>
      <c r="FK54" s="92" t="str">
        <f t="shared" si="8"/>
        <v xml:space="preserve"> </v>
      </c>
      <c r="FL54" s="92" t="str">
        <f t="shared" si="9"/>
        <v xml:space="preserve"> </v>
      </c>
      <c r="FM54" s="92" t="str">
        <f t="shared" si="10"/>
        <v xml:space="preserve"> </v>
      </c>
      <c r="FN54" s="92" t="str">
        <f t="shared" si="11"/>
        <v xml:space="preserve"> </v>
      </c>
      <c r="FO54" s="92" t="str">
        <f t="shared" si="12"/>
        <v xml:space="preserve"> </v>
      </c>
      <c r="FP54" s="92" t="str">
        <f t="shared" si="13"/>
        <v xml:space="preserve">,  ,  ,  ,  ,  ,  ,  </v>
      </c>
    </row>
    <row r="55" spans="1:16384">
      <c r="A55" s="66">
        <v>45</v>
      </c>
      <c r="B55" s="92" t="str">
        <f>IF(DATA!D52="","",DATA!D52)</f>
        <v/>
      </c>
      <c r="C55" s="93" t="str">
        <f>IF(QH!X52="","",QH!X52)</f>
        <v/>
      </c>
      <c r="D55" s="93" t="str">
        <f>IF(QH!Y52="","",QH!Y52)</f>
        <v/>
      </c>
      <c r="E55" s="93" t="str">
        <f>IF(QH!Z52="","",QH!Z52)</f>
        <v/>
      </c>
      <c r="F55" s="93" t="str">
        <f>IF(QH!AA52="","",QH!AA52)</f>
        <v/>
      </c>
      <c r="G55" s="93" t="str">
        <f>IF(QH!AB52="","",QH!AB52)</f>
        <v/>
      </c>
      <c r="H55" s="93" t="str">
        <f>IF(QH!AC52="","",QH!AC52)</f>
        <v/>
      </c>
      <c r="I55" s="93" t="str">
        <f>IF(QH!AD52="","",QH!AD52)</f>
        <v/>
      </c>
      <c r="J55" s="93" t="str">
        <f>IF(QH!AE52="","",QH!AE52)</f>
        <v/>
      </c>
      <c r="K55" s="93" t="str">
        <f>IF(QH!AF52="","",QH!AF52)</f>
        <v/>
      </c>
      <c r="L55" s="93" t="str">
        <f>IF(QH!AG52="","",QH!AG52)</f>
        <v/>
      </c>
      <c r="M55" s="94" t="str">
        <f>IF(AA!X52="","",AA!X52)</f>
        <v/>
      </c>
      <c r="N55" s="94" t="str">
        <f>IF(AA!Y52="","",AA!Y52)</f>
        <v/>
      </c>
      <c r="O55" s="94" t="str">
        <f>IF(AA!Z52="","",AA!Z52)</f>
        <v/>
      </c>
      <c r="P55" s="94" t="str">
        <f>IF(AA!AA52="","",AA!AA52)</f>
        <v/>
      </c>
      <c r="Q55" s="94" t="str">
        <f>IF(AA!AB52="","",AA!AB52)</f>
        <v/>
      </c>
      <c r="R55" s="94" t="str">
        <f>IF(AA!AC52="","",AA!AC52)</f>
        <v/>
      </c>
      <c r="S55" s="94" t="str">
        <f>IF(AA!AD52="","",AA!AD52)</f>
        <v/>
      </c>
      <c r="T55" s="94" t="str">
        <f>IF(AA!AE52="","",AA!AE52)</f>
        <v/>
      </c>
      <c r="U55" s="94" t="str">
        <f>IF(AA!AF52="","",AA!AF52)</f>
        <v/>
      </c>
      <c r="V55" s="94" t="str">
        <f>IF(AA!AG52="","",AA!AG52)</f>
        <v/>
      </c>
      <c r="W55" s="94" t="str">
        <f>IF(FIKIH!X52="","",FIKIH!X52)</f>
        <v/>
      </c>
      <c r="X55" s="94" t="str">
        <f>IF(FIKIH!Y52="","",FIKIH!Y52)</f>
        <v/>
      </c>
      <c r="Y55" s="94" t="str">
        <f>IF(FIKIH!Z52="","",FIKIH!Z52)</f>
        <v/>
      </c>
      <c r="Z55" s="94" t="str">
        <f>IF(FIKIH!AA52="","",FIKIH!AA52)</f>
        <v/>
      </c>
      <c r="AA55" s="94" t="str">
        <f>IF(FIKIH!AB52="","",FIKIH!AB52)</f>
        <v/>
      </c>
      <c r="AB55" s="94" t="str">
        <f>IF(FIKIH!AC52="","",FIKIH!AC52)</f>
        <v/>
      </c>
      <c r="AC55" s="94" t="str">
        <f>IF(FIKIH!AD52="","",FIKIH!AD52)</f>
        <v/>
      </c>
      <c r="AD55" s="94" t="str">
        <f>IF(FIKIH!AE52="","",FIKIH!AE52)</f>
        <v/>
      </c>
      <c r="AE55" s="94" t="str">
        <f>IF(FIKIH!AF52="","",FIKIH!AF52)</f>
        <v/>
      </c>
      <c r="AF55" s="94" t="str">
        <f>IF(FIKIH!AG52="","",FIKIH!AG52)</f>
        <v/>
      </c>
      <c r="AG55" s="94">
        <f>IF(SKI!X52="","",SKI!X52)</f>
        <v>3</v>
      </c>
      <c r="AH55" s="94" t="str">
        <f>IF(SKI!Y52="","",SKI!Y52)</f>
        <v>Melaksanakan sholat dhuhur berjemaah, berdo'a di awal dan di akhir kegiatan pembelajaran , serta melaksanakan kegiatan amaliyah siswa</v>
      </c>
      <c r="AI55" s="94">
        <f>IF(SKI!Z52="","",SKI!Z52)</f>
        <v>3</v>
      </c>
      <c r="AJ55" s="94">
        <f>IF(SKI!AA52="","",SKI!AA52)</f>
        <v>3</v>
      </c>
      <c r="AK55" s="94">
        <f>IF(SKI!AB52="","",SKI!AB52)</f>
        <v>3</v>
      </c>
      <c r="AL55" s="94">
        <f>IF(SKI!AC52="","",SKI!AC52)</f>
        <v>3</v>
      </c>
      <c r="AM55" s="94">
        <f>IF(SKI!AD52="","",SKI!AD52)</f>
        <v>3</v>
      </c>
      <c r="AN55" s="94">
        <f>IF(SKI!AE52="","",SKI!AE52)</f>
        <v>3</v>
      </c>
      <c r="AO55" s="94">
        <f>IF(SKI!AF52="","",SKI!AF52)</f>
        <v>3</v>
      </c>
      <c r="AP55" s="94" t="str">
        <f>IF(SKI!AG52="","",SKI!AG52)</f>
        <v>Santun dalam bersikap, disiplin dalam mentaati tata tertib madrasah, peduli pada lingkungan, orang tua, bertanggung jawab dalam melaksanakan tugas, baik sebagai individu maupun makhluk sosial</v>
      </c>
      <c r="AQ55" s="94" t="str">
        <f>IF(PKN!X52="","",PKN!X52)</f>
        <v/>
      </c>
      <c r="AR55" s="94" t="str">
        <f>IF(PKN!Y52="","",PKN!Y52)</f>
        <v/>
      </c>
      <c r="AS55" s="94" t="str">
        <f>IF(PKN!Z52="","",PKN!Z52)</f>
        <v/>
      </c>
      <c r="AT55" s="94" t="str">
        <f>IF(PKN!AA52="","",PKN!AA52)</f>
        <v/>
      </c>
      <c r="AU55" s="94" t="str">
        <f>IF(PKN!AB52="","",PKN!AB52)</f>
        <v/>
      </c>
      <c r="AV55" s="94" t="str">
        <f>IF(PKN!AC52="","",PKN!AC52)</f>
        <v/>
      </c>
      <c r="AW55" s="94" t="str">
        <f>IF(PKN!AD52="","",PKN!AD52)</f>
        <v/>
      </c>
      <c r="AX55" s="94" t="str">
        <f>IF(PKN!AE52="","",PKN!AE52)</f>
        <v/>
      </c>
      <c r="AY55" s="94" t="str">
        <f>IF(PKN!AF52="","",PKN!AF52)</f>
        <v/>
      </c>
      <c r="AZ55" s="94" t="str">
        <f>IF(PKN!AG52="","",PKN!AG52)</f>
        <v/>
      </c>
      <c r="BA55" s="93" t="str">
        <f>IF(INDO!X52="","",INDO!X52)</f>
        <v/>
      </c>
      <c r="BB55" s="93" t="str">
        <f>IF(INDO!Y52="","",INDO!Y52)</f>
        <v/>
      </c>
      <c r="BC55" s="93" t="str">
        <f>IF(INDO!Z52="","",INDO!Z52)</f>
        <v/>
      </c>
      <c r="BD55" s="93" t="str">
        <f>IF(INDO!AA52="","",INDO!AA52)</f>
        <v/>
      </c>
      <c r="BE55" s="93" t="str">
        <f>IF(INDO!AB52="","",INDO!AB52)</f>
        <v/>
      </c>
      <c r="BF55" s="93" t="str">
        <f>IF(INDO!AC52="","",INDO!AC52)</f>
        <v/>
      </c>
      <c r="BG55" s="93" t="str">
        <f>IF(INDO!AD52="","",INDO!AD52)</f>
        <v/>
      </c>
      <c r="BH55" s="93" t="str">
        <f>IF(INDO!AE52="","",INDO!AE52)</f>
        <v/>
      </c>
      <c r="BI55" s="93" t="str">
        <f>IF(INDO!AF52="","",INDO!AF52)</f>
        <v/>
      </c>
      <c r="BJ55" s="93" t="str">
        <f>IF(INDO!AG52="","",INDO!AG52)</f>
        <v/>
      </c>
      <c r="BK55" s="93" t="str">
        <f>IF(ARAB!X52="","",ARAB!X52)</f>
        <v/>
      </c>
      <c r="BL55" s="93" t="str">
        <f>IF(ARAB!Y52="","",ARAB!Y52)</f>
        <v/>
      </c>
      <c r="BM55" s="93" t="str">
        <f>IF(ARAB!Z52="","",ARAB!Z52)</f>
        <v/>
      </c>
      <c r="BN55" s="93" t="str">
        <f>IF(ARAB!AA52="","",ARAB!AA52)</f>
        <v/>
      </c>
      <c r="BO55" s="93" t="str">
        <f>IF(ARAB!AB52="","",ARAB!AB52)</f>
        <v/>
      </c>
      <c r="BP55" s="93" t="str">
        <f>IF(ARAB!AC52="","",ARAB!AC52)</f>
        <v/>
      </c>
      <c r="BQ55" s="93" t="str">
        <f>IF(ARAB!AD52="","",ARAB!AD52)</f>
        <v/>
      </c>
      <c r="BR55" s="93" t="str">
        <f>IF(ARAB!AE52="","",ARAB!AE52)</f>
        <v/>
      </c>
      <c r="BS55" s="93" t="str">
        <f>IF(ARAB!AF52="","",ARAB!AF52)</f>
        <v/>
      </c>
      <c r="BT55" s="93" t="str">
        <f>IF(ARAB!AG52="","",ARAB!AG52)</f>
        <v/>
      </c>
      <c r="BU55" s="94" t="str">
        <f>IF(MAT!X52="","",MAT!X52)</f>
        <v/>
      </c>
      <c r="BV55" s="94" t="str">
        <f>IF(MAT!Y52="","",MAT!Y52)</f>
        <v/>
      </c>
      <c r="BW55" s="94" t="str">
        <f>IF(MAT!Z52="","",MAT!Z52)</f>
        <v/>
      </c>
      <c r="BX55" s="94" t="str">
        <f>IF(MAT!AA52="","",MAT!AA52)</f>
        <v/>
      </c>
      <c r="BY55" s="94" t="str">
        <f>IF(MAT!AB52="","",MAT!AB52)</f>
        <v/>
      </c>
      <c r="BZ55" s="94" t="str">
        <f>IF(MAT!AC52="","",MAT!AC52)</f>
        <v/>
      </c>
      <c r="CA55" s="94" t="str">
        <f>IF(MAT!AD52="","",MAT!AD52)</f>
        <v/>
      </c>
      <c r="CB55" s="94" t="str">
        <f>IF(MAT!AE52="","",MAT!AE52)</f>
        <v/>
      </c>
      <c r="CC55" s="94" t="str">
        <f>IF(MAT!AF52="","",MAT!AF52)</f>
        <v/>
      </c>
      <c r="CD55" s="94" t="str">
        <f>IF(MAT!AG52="","",MAT!AG52)</f>
        <v/>
      </c>
      <c r="CE55" s="94" t="str">
        <f>IF(IPA!X52="","",IPA!X52)</f>
        <v/>
      </c>
      <c r="CF55" s="94" t="str">
        <f>IF(IPA!Y52="","",IPA!Y52)</f>
        <v/>
      </c>
      <c r="CG55" s="94" t="str">
        <f>IF(IPA!Z52="","",IPA!Z52)</f>
        <v/>
      </c>
      <c r="CH55" s="94" t="str">
        <f>IF(IPA!AA52="","",IPA!AA52)</f>
        <v/>
      </c>
      <c r="CI55" s="94" t="str">
        <f>IF(IPA!AB52="","",IPA!AB52)</f>
        <v/>
      </c>
      <c r="CJ55" s="94" t="str">
        <f>IF(IPA!AC52="","",IPA!AC52)</f>
        <v/>
      </c>
      <c r="CK55" s="94" t="str">
        <f>IF(IPA!AD52="","",IPA!AD52)</f>
        <v/>
      </c>
      <c r="CL55" s="94" t="str">
        <f>IF(IPA!AE52="","",IPA!AE52)</f>
        <v/>
      </c>
      <c r="CM55" s="94" t="str">
        <f>IF(IPA!AF52="","",IPA!AF52)</f>
        <v/>
      </c>
      <c r="CN55" s="94" t="str">
        <f>IF(IPA!AG52="","",IPA!AG52)</f>
        <v/>
      </c>
      <c r="CO55" s="93" t="str">
        <f>IF(IPS!X52="","",IPS!X52)</f>
        <v/>
      </c>
      <c r="CP55" s="93" t="str">
        <f>IF(IPS!Y52="","",IPS!Y52)</f>
        <v/>
      </c>
      <c r="CQ55" s="93" t="str">
        <f>IF(IPS!Z52="","",IPS!Z52)</f>
        <v/>
      </c>
      <c r="CR55" s="93" t="str">
        <f>IF(IPS!AA52="","",IPS!AA52)</f>
        <v/>
      </c>
      <c r="CS55" s="93" t="str">
        <f>IF(IPS!AB52="","",IPS!AB52)</f>
        <v/>
      </c>
      <c r="CT55" s="93" t="str">
        <f>IF(IPS!AC52="","",IPS!AC52)</f>
        <v/>
      </c>
      <c r="CU55" s="93" t="str">
        <f>IF(IPS!AD52="","",IPS!AD52)</f>
        <v/>
      </c>
      <c r="CV55" s="93" t="str">
        <f>IF(IPS!AE52="","",IPS!AE52)</f>
        <v/>
      </c>
      <c r="CW55" s="93" t="str">
        <f>IF(IPS!AF52="","",IPS!AF52)</f>
        <v/>
      </c>
      <c r="CX55" s="93" t="str">
        <f>IF(IPS!AG52="","",IPS!AG52)</f>
        <v/>
      </c>
      <c r="CY55" s="94" t="str">
        <f>IF(INGG!X52="","",INGG!X52)</f>
        <v/>
      </c>
      <c r="CZ55" s="94" t="str">
        <f>IF(INGG!Y52="","",INGG!Y52)</f>
        <v/>
      </c>
      <c r="DA55" s="94" t="str">
        <f>IF(INGG!Z52="","",INGG!Z52)</f>
        <v/>
      </c>
      <c r="DB55" s="94" t="str">
        <f>IF(INGG!AA52="","",INGG!AA52)</f>
        <v/>
      </c>
      <c r="DC55" s="94" t="str">
        <f>IF(INGG!AB52="","",INGG!AB52)</f>
        <v/>
      </c>
      <c r="DD55" s="94" t="str">
        <f>IF(INGG!AC52="","",INGG!AC52)</f>
        <v/>
      </c>
      <c r="DE55" s="94" t="str">
        <f>IF(INGG!AD52="","",INGG!AD52)</f>
        <v/>
      </c>
      <c r="DF55" s="94" t="str">
        <f>IF(INGG!AE52="","",INGG!AE52)</f>
        <v/>
      </c>
      <c r="DG55" s="94" t="str">
        <f>IF(INGG!AF52="","",INGG!AF52)</f>
        <v/>
      </c>
      <c r="DH55" s="94" t="str">
        <f>IF(INGG!AG52="","",INGG!AG52)</f>
        <v/>
      </c>
      <c r="DI55" s="94" t="str">
        <f>IF(SENBUD!X52="","",SENBUD!X52)</f>
        <v/>
      </c>
      <c r="DJ55" s="94" t="str">
        <f>IF(SENBUD!Y52="","",SENBUD!Y52)</f>
        <v/>
      </c>
      <c r="DK55" s="94" t="str">
        <f>IF(SENBUD!Z52="","",SENBUD!Z52)</f>
        <v/>
      </c>
      <c r="DL55" s="94" t="str">
        <f>IF(SENBUD!AA52="","",SENBUD!AA52)</f>
        <v/>
      </c>
      <c r="DM55" s="94" t="str">
        <f>IF(SENBUD!AB52="","",SENBUD!AB52)</f>
        <v/>
      </c>
      <c r="DN55" s="94" t="str">
        <f>IF(SENBUD!AC52="","",SENBUD!AC52)</f>
        <v/>
      </c>
      <c r="DO55" s="94" t="str">
        <f>IF(SENBUD!AD52="","",SENBUD!AD52)</f>
        <v/>
      </c>
      <c r="DP55" s="94" t="str">
        <f>IF(SENBUD!AE52="","",SENBUD!AE52)</f>
        <v/>
      </c>
      <c r="DQ55" s="94" t="str">
        <f>IF(SENBUD!AF52="","",SENBUD!AF52)</f>
        <v/>
      </c>
      <c r="DR55" s="94" t="str">
        <f>IF(SENBUD!AG52="","",SENBUD!AG52)</f>
        <v/>
      </c>
      <c r="DS55" s="93" t="str">
        <f>IF(PENJAS!X52="","",PENJAS!X52)</f>
        <v/>
      </c>
      <c r="DT55" s="93" t="str">
        <f>IF(PENJAS!Y52="","",PENJAS!Y52)</f>
        <v/>
      </c>
      <c r="DU55" s="93" t="str">
        <f>IF(PENJAS!Z52="","",PENJAS!Z52)</f>
        <v/>
      </c>
      <c r="DV55" s="93" t="str">
        <f>IF(PENJAS!AA52="","",PENJAS!AA52)</f>
        <v/>
      </c>
      <c r="DW55" s="93" t="str">
        <f>IF(PENJAS!AB52="","",PENJAS!AB52)</f>
        <v/>
      </c>
      <c r="DX55" s="93" t="str">
        <f>IF(PENJAS!AC52="","",PENJAS!AC52)</f>
        <v/>
      </c>
      <c r="DY55" s="93" t="str">
        <f>IF(PENJAS!AD52="","",PENJAS!AD52)</f>
        <v/>
      </c>
      <c r="DZ55" s="93" t="str">
        <f>IF(PENJAS!AE52="","",PENJAS!AE52)</f>
        <v/>
      </c>
      <c r="EA55" s="93" t="str">
        <f>IF(PENJAS!AF52="","",PENJAS!AF52)</f>
        <v/>
      </c>
      <c r="EB55" s="93" t="str">
        <f>IF(PENJAS!AG52="","",PENJAS!AG52)</f>
        <v/>
      </c>
      <c r="EC55" s="93" t="str">
        <f>IF(PRAKARYA!X52="","",PRAKARYA!X52)</f>
        <v/>
      </c>
      <c r="ED55" s="93" t="str">
        <f>IF(PRAKARYA!Y52="","",PRAKARYA!Y52)</f>
        <v/>
      </c>
      <c r="EE55" s="93" t="str">
        <f>IF(PRAKARYA!Z52="","",PRAKARYA!Z52)</f>
        <v/>
      </c>
      <c r="EF55" s="93" t="str">
        <f>IF(PRAKARYA!AA52="","",PRAKARYA!AA52)</f>
        <v/>
      </c>
      <c r="EG55" s="93" t="str">
        <f>IF(PRAKARYA!AB52="","",PRAKARYA!AB52)</f>
        <v/>
      </c>
      <c r="EH55" s="93" t="str">
        <f>IF(PRAKARYA!AC52="","",PRAKARYA!AC52)</f>
        <v/>
      </c>
      <c r="EI55" s="93" t="str">
        <f>IF(PRAKARYA!AD52="","",PRAKARYA!AD52)</f>
        <v/>
      </c>
      <c r="EJ55" s="93" t="str">
        <f>IF(PRAKARYA!AE52="","",PRAKARYA!AE52)</f>
        <v/>
      </c>
      <c r="EK55" s="93" t="str">
        <f>IF(PRAKARYA!AF52="","",PRAKARYA!AF52)</f>
        <v/>
      </c>
      <c r="EL55" s="93" t="str">
        <f>IF(PRAKARYA!AG52="","",PRAKARYA!AG52)</f>
        <v/>
      </c>
      <c r="EM55" s="95" t="str">
        <f>IF(BADER!X52="","",BADER!X52)</f>
        <v/>
      </c>
      <c r="EN55" s="95" t="str">
        <f>IF(BADER!Y52="","",BADER!Y52)</f>
        <v/>
      </c>
      <c r="EO55" s="95" t="str">
        <f>IF(BADER!Z52="","",BADER!Z52)</f>
        <v/>
      </c>
      <c r="EP55" s="95" t="str">
        <f>IF(BADER!AA52="","",BADER!AA52)</f>
        <v/>
      </c>
      <c r="EQ55" s="95" t="str">
        <f>IF(BADER!AB52="","",BADER!AB52)</f>
        <v/>
      </c>
      <c r="ER55" s="95" t="str">
        <f>IF(BADER!AC52="","",BADER!AC52)</f>
        <v/>
      </c>
      <c r="ES55" s="95" t="str">
        <f>IF(BADER!AD52="","",BADER!AD52)</f>
        <v/>
      </c>
      <c r="ET55" s="95" t="str">
        <f>IF(BADER!AE52="","",BADER!AE52)</f>
        <v/>
      </c>
      <c r="EU55" s="95" t="str">
        <f>IF(BADER!AF52="","",BADER!AF52)</f>
        <v/>
      </c>
      <c r="EV55" s="95" t="str">
        <f>IF(BADER!AG52="","",BADER!AG52)</f>
        <v/>
      </c>
      <c r="EW55" s="96" t="str">
        <f t="shared" si="1"/>
        <v/>
      </c>
      <c r="EX55" s="96" t="str">
        <f t="shared" si="2"/>
        <v/>
      </c>
      <c r="EY55" s="96" t="str">
        <f t="shared" si="14"/>
        <v/>
      </c>
      <c r="EZ55" s="96" t="str">
        <f t="shared" si="14"/>
        <v/>
      </c>
      <c r="FA55" s="96" t="str">
        <f t="shared" si="14"/>
        <v/>
      </c>
      <c r="FB55" s="96" t="str">
        <f t="shared" si="14"/>
        <v/>
      </c>
      <c r="FC55" s="96" t="str">
        <f t="shared" si="14"/>
        <v/>
      </c>
      <c r="FD55" s="96" t="str">
        <f t="shared" si="14"/>
        <v/>
      </c>
      <c r="FE55" s="96" t="str">
        <f t="shared" si="14"/>
        <v/>
      </c>
      <c r="FF55" s="96" t="str">
        <f t="shared" si="3"/>
        <v/>
      </c>
      <c r="FG55" s="96" t="str">
        <f t="shared" si="4"/>
        <v/>
      </c>
      <c r="FH55" s="92" t="str">
        <f t="shared" si="5"/>
        <v/>
      </c>
      <c r="FI55" s="92" t="str">
        <f t="shared" si="6"/>
        <v xml:space="preserve"> </v>
      </c>
      <c r="FJ55" s="92" t="str">
        <f t="shared" si="7"/>
        <v xml:space="preserve"> </v>
      </c>
      <c r="FK55" s="92" t="str">
        <f t="shared" si="8"/>
        <v xml:space="preserve"> </v>
      </c>
      <c r="FL55" s="92" t="str">
        <f t="shared" si="9"/>
        <v xml:space="preserve"> </v>
      </c>
      <c r="FM55" s="92" t="str">
        <f t="shared" si="10"/>
        <v xml:space="preserve"> </v>
      </c>
      <c r="FN55" s="92" t="str">
        <f t="shared" si="11"/>
        <v xml:space="preserve"> </v>
      </c>
      <c r="FO55" s="92" t="str">
        <f t="shared" si="12"/>
        <v xml:space="preserve"> </v>
      </c>
      <c r="FP55" s="92" t="str">
        <f t="shared" si="13"/>
        <v xml:space="preserve">,  ,  ,  ,  ,  ,  ,  </v>
      </c>
    </row>
    <row r="56" spans="1:16384">
      <c r="A56" s="66">
        <v>46</v>
      </c>
      <c r="B56" s="92" t="str">
        <f>IF(DATA!D53="","",DATA!D53)</f>
        <v/>
      </c>
      <c r="C56" s="93" t="str">
        <f>IF(QH!X53="","",QH!X53)</f>
        <v/>
      </c>
      <c r="D56" s="93" t="str">
        <f>IF(QH!Y53="","",QH!Y53)</f>
        <v/>
      </c>
      <c r="E56" s="93" t="str">
        <f>IF(QH!Z53="","",QH!Z53)</f>
        <v/>
      </c>
      <c r="F56" s="93" t="str">
        <f>IF(QH!AA53="","",QH!AA53)</f>
        <v/>
      </c>
      <c r="G56" s="93" t="str">
        <f>IF(QH!AB53="","",QH!AB53)</f>
        <v/>
      </c>
      <c r="H56" s="93" t="str">
        <f>IF(QH!AC53="","",QH!AC53)</f>
        <v/>
      </c>
      <c r="I56" s="93" t="str">
        <f>IF(QH!AD53="","",QH!AD53)</f>
        <v/>
      </c>
      <c r="J56" s="93" t="str">
        <f>IF(QH!AE53="","",QH!AE53)</f>
        <v/>
      </c>
      <c r="K56" s="93" t="str">
        <f>IF(QH!AF53="","",QH!AF53)</f>
        <v/>
      </c>
      <c r="L56" s="93" t="str">
        <f>IF(QH!AG53="","",QH!AG53)</f>
        <v/>
      </c>
      <c r="M56" s="94" t="str">
        <f>IF(AA!X53="","",AA!X53)</f>
        <v/>
      </c>
      <c r="N56" s="94" t="str">
        <f>IF(AA!Y53="","",AA!Y53)</f>
        <v/>
      </c>
      <c r="O56" s="94" t="str">
        <f>IF(AA!Z53="","",AA!Z53)</f>
        <v/>
      </c>
      <c r="P56" s="94" t="str">
        <f>IF(AA!AA53="","",AA!AA53)</f>
        <v/>
      </c>
      <c r="Q56" s="94" t="str">
        <f>IF(AA!AB53="","",AA!AB53)</f>
        <v/>
      </c>
      <c r="R56" s="94" t="str">
        <f>IF(AA!AC53="","",AA!AC53)</f>
        <v/>
      </c>
      <c r="S56" s="94" t="str">
        <f>IF(AA!AD53="","",AA!AD53)</f>
        <v/>
      </c>
      <c r="T56" s="94" t="str">
        <f>IF(AA!AE53="","",AA!AE53)</f>
        <v/>
      </c>
      <c r="U56" s="94" t="str">
        <f>IF(AA!AF53="","",AA!AF53)</f>
        <v/>
      </c>
      <c r="V56" s="94" t="str">
        <f>IF(AA!AG53="","",AA!AG53)</f>
        <v/>
      </c>
      <c r="W56" s="94" t="str">
        <f>IF(FIKIH!X53="","",FIKIH!X53)</f>
        <v/>
      </c>
      <c r="X56" s="94" t="str">
        <f>IF(FIKIH!Y53="","",FIKIH!Y53)</f>
        <v/>
      </c>
      <c r="Y56" s="94" t="str">
        <f>IF(FIKIH!Z53="","",FIKIH!Z53)</f>
        <v/>
      </c>
      <c r="Z56" s="94" t="str">
        <f>IF(FIKIH!AA53="","",FIKIH!AA53)</f>
        <v/>
      </c>
      <c r="AA56" s="94" t="str">
        <f>IF(FIKIH!AB53="","",FIKIH!AB53)</f>
        <v/>
      </c>
      <c r="AB56" s="94" t="str">
        <f>IF(FIKIH!AC53="","",FIKIH!AC53)</f>
        <v/>
      </c>
      <c r="AC56" s="94" t="str">
        <f>IF(FIKIH!AD53="","",FIKIH!AD53)</f>
        <v/>
      </c>
      <c r="AD56" s="94" t="str">
        <f>IF(FIKIH!AE53="","",FIKIH!AE53)</f>
        <v/>
      </c>
      <c r="AE56" s="94" t="str">
        <f>IF(FIKIH!AF53="","",FIKIH!AF53)</f>
        <v/>
      </c>
      <c r="AF56" s="94" t="str">
        <f>IF(FIKIH!AG53="","",FIKIH!AG53)</f>
        <v/>
      </c>
      <c r="AG56" s="94">
        <f>IF(SKI!X53="","",SKI!X53)</f>
        <v>3</v>
      </c>
      <c r="AH56" s="94" t="str">
        <f>IF(SKI!Y53="","",SKI!Y53)</f>
        <v>Melaksanakan sholat dhuhur berjemaah, berdo'a di awal dan di akhir kegiatan pembelajaran , serta melaksanakan kegiatan amaliyah siswa</v>
      </c>
      <c r="AI56" s="94">
        <f>IF(SKI!Z53="","",SKI!Z53)</f>
        <v>3</v>
      </c>
      <c r="AJ56" s="94">
        <f>IF(SKI!AA53="","",SKI!AA53)</f>
        <v>3</v>
      </c>
      <c r="AK56" s="94">
        <f>IF(SKI!AB53="","",SKI!AB53)</f>
        <v>3</v>
      </c>
      <c r="AL56" s="94">
        <f>IF(SKI!AC53="","",SKI!AC53)</f>
        <v>3</v>
      </c>
      <c r="AM56" s="94">
        <f>IF(SKI!AD53="","",SKI!AD53)</f>
        <v>3</v>
      </c>
      <c r="AN56" s="94">
        <f>IF(SKI!AE53="","",SKI!AE53)</f>
        <v>3</v>
      </c>
      <c r="AO56" s="94">
        <f>IF(SKI!AF53="","",SKI!AF53)</f>
        <v>3</v>
      </c>
      <c r="AP56" s="94" t="str">
        <f>IF(SKI!AG53="","",SKI!AG53)</f>
        <v>Santun dalam bersikap, disiplin dalam mentaati tata tertib madrasah, peduli pada lingkungan, orang tua, bertanggung jawab dalam melaksanakan tugas, baik sebagai individu maupun makhluk sosial</v>
      </c>
      <c r="AQ56" s="94" t="str">
        <f>IF(PKN!X53="","",PKN!X53)</f>
        <v/>
      </c>
      <c r="AR56" s="94" t="str">
        <f>IF(PKN!Y53="","",PKN!Y53)</f>
        <v/>
      </c>
      <c r="AS56" s="94" t="str">
        <f>IF(PKN!Z53="","",PKN!Z53)</f>
        <v/>
      </c>
      <c r="AT56" s="94" t="str">
        <f>IF(PKN!AA53="","",PKN!AA53)</f>
        <v/>
      </c>
      <c r="AU56" s="94" t="str">
        <f>IF(PKN!AB53="","",PKN!AB53)</f>
        <v/>
      </c>
      <c r="AV56" s="94" t="str">
        <f>IF(PKN!AC53="","",PKN!AC53)</f>
        <v/>
      </c>
      <c r="AW56" s="94" t="str">
        <f>IF(PKN!AD53="","",PKN!AD53)</f>
        <v/>
      </c>
      <c r="AX56" s="94" t="str">
        <f>IF(PKN!AE53="","",PKN!AE53)</f>
        <v/>
      </c>
      <c r="AY56" s="94" t="str">
        <f>IF(PKN!AF53="","",PKN!AF53)</f>
        <v/>
      </c>
      <c r="AZ56" s="94" t="str">
        <f>IF(PKN!AG53="","",PKN!AG53)</f>
        <v/>
      </c>
      <c r="BA56" s="93" t="str">
        <f>IF(INDO!X53="","",INDO!X53)</f>
        <v/>
      </c>
      <c r="BB56" s="93" t="str">
        <f>IF(INDO!Y53="","",INDO!Y53)</f>
        <v/>
      </c>
      <c r="BC56" s="93" t="str">
        <f>IF(INDO!Z53="","",INDO!Z53)</f>
        <v/>
      </c>
      <c r="BD56" s="93" t="str">
        <f>IF(INDO!AA53="","",INDO!AA53)</f>
        <v/>
      </c>
      <c r="BE56" s="93" t="str">
        <f>IF(INDO!AB53="","",INDO!AB53)</f>
        <v/>
      </c>
      <c r="BF56" s="93" t="str">
        <f>IF(INDO!AC53="","",INDO!AC53)</f>
        <v/>
      </c>
      <c r="BG56" s="93" t="str">
        <f>IF(INDO!AD53="","",INDO!AD53)</f>
        <v/>
      </c>
      <c r="BH56" s="93" t="str">
        <f>IF(INDO!AE53="","",INDO!AE53)</f>
        <v/>
      </c>
      <c r="BI56" s="93" t="str">
        <f>IF(INDO!AF53="","",INDO!AF53)</f>
        <v/>
      </c>
      <c r="BJ56" s="93" t="str">
        <f>IF(INDO!AG53="","",INDO!AG53)</f>
        <v/>
      </c>
      <c r="BK56" s="93" t="str">
        <f>IF(ARAB!X53="","",ARAB!X53)</f>
        <v/>
      </c>
      <c r="BL56" s="93" t="str">
        <f>IF(ARAB!Y53="","",ARAB!Y53)</f>
        <v/>
      </c>
      <c r="BM56" s="93" t="str">
        <f>IF(ARAB!Z53="","",ARAB!Z53)</f>
        <v/>
      </c>
      <c r="BN56" s="93" t="str">
        <f>IF(ARAB!AA53="","",ARAB!AA53)</f>
        <v/>
      </c>
      <c r="BO56" s="93" t="str">
        <f>IF(ARAB!AB53="","",ARAB!AB53)</f>
        <v/>
      </c>
      <c r="BP56" s="93" t="str">
        <f>IF(ARAB!AC53="","",ARAB!AC53)</f>
        <v/>
      </c>
      <c r="BQ56" s="93" t="str">
        <f>IF(ARAB!AD53="","",ARAB!AD53)</f>
        <v/>
      </c>
      <c r="BR56" s="93" t="str">
        <f>IF(ARAB!AE53="","",ARAB!AE53)</f>
        <v/>
      </c>
      <c r="BS56" s="93" t="str">
        <f>IF(ARAB!AF53="","",ARAB!AF53)</f>
        <v/>
      </c>
      <c r="BT56" s="93" t="str">
        <f>IF(ARAB!AG53="","",ARAB!AG53)</f>
        <v/>
      </c>
      <c r="BU56" s="94" t="str">
        <f>IF(MAT!X53="","",MAT!X53)</f>
        <v/>
      </c>
      <c r="BV56" s="94" t="str">
        <f>IF(MAT!Y53="","",MAT!Y53)</f>
        <v/>
      </c>
      <c r="BW56" s="94" t="str">
        <f>IF(MAT!Z53="","",MAT!Z53)</f>
        <v/>
      </c>
      <c r="BX56" s="94" t="str">
        <f>IF(MAT!AA53="","",MAT!AA53)</f>
        <v/>
      </c>
      <c r="BY56" s="94" t="str">
        <f>IF(MAT!AB53="","",MAT!AB53)</f>
        <v/>
      </c>
      <c r="BZ56" s="94" t="str">
        <f>IF(MAT!AC53="","",MAT!AC53)</f>
        <v/>
      </c>
      <c r="CA56" s="94" t="str">
        <f>IF(MAT!AD53="","",MAT!AD53)</f>
        <v/>
      </c>
      <c r="CB56" s="94" t="str">
        <f>IF(MAT!AE53="","",MAT!AE53)</f>
        <v/>
      </c>
      <c r="CC56" s="94" t="str">
        <f>IF(MAT!AF53="","",MAT!AF53)</f>
        <v/>
      </c>
      <c r="CD56" s="94" t="str">
        <f>IF(MAT!AG53="","",MAT!AG53)</f>
        <v/>
      </c>
      <c r="CE56" s="94" t="str">
        <f>IF(IPA!X53="","",IPA!X53)</f>
        <v/>
      </c>
      <c r="CF56" s="94" t="str">
        <f>IF(IPA!Y53="","",IPA!Y53)</f>
        <v/>
      </c>
      <c r="CG56" s="94" t="str">
        <f>IF(IPA!Z53="","",IPA!Z53)</f>
        <v/>
      </c>
      <c r="CH56" s="94" t="str">
        <f>IF(IPA!AA53="","",IPA!AA53)</f>
        <v/>
      </c>
      <c r="CI56" s="94" t="str">
        <f>IF(IPA!AB53="","",IPA!AB53)</f>
        <v/>
      </c>
      <c r="CJ56" s="94" t="str">
        <f>IF(IPA!AC53="","",IPA!AC53)</f>
        <v/>
      </c>
      <c r="CK56" s="94" t="str">
        <f>IF(IPA!AD53="","",IPA!AD53)</f>
        <v/>
      </c>
      <c r="CL56" s="94" t="str">
        <f>IF(IPA!AE53="","",IPA!AE53)</f>
        <v/>
      </c>
      <c r="CM56" s="94" t="str">
        <f>IF(IPA!AF53="","",IPA!AF53)</f>
        <v/>
      </c>
      <c r="CN56" s="94" t="str">
        <f>IF(IPA!AG53="","",IPA!AG53)</f>
        <v/>
      </c>
      <c r="CO56" s="93" t="str">
        <f>IF(IPS!X53="","",IPS!X53)</f>
        <v/>
      </c>
      <c r="CP56" s="93" t="str">
        <f>IF(IPS!Y53="","",IPS!Y53)</f>
        <v/>
      </c>
      <c r="CQ56" s="93" t="str">
        <f>IF(IPS!Z53="","",IPS!Z53)</f>
        <v/>
      </c>
      <c r="CR56" s="93" t="str">
        <f>IF(IPS!AA53="","",IPS!AA53)</f>
        <v/>
      </c>
      <c r="CS56" s="93" t="str">
        <f>IF(IPS!AB53="","",IPS!AB53)</f>
        <v/>
      </c>
      <c r="CT56" s="93" t="str">
        <f>IF(IPS!AC53="","",IPS!AC53)</f>
        <v/>
      </c>
      <c r="CU56" s="93" t="str">
        <f>IF(IPS!AD53="","",IPS!AD53)</f>
        <v/>
      </c>
      <c r="CV56" s="93" t="str">
        <f>IF(IPS!AE53="","",IPS!AE53)</f>
        <v/>
      </c>
      <c r="CW56" s="93" t="str">
        <f>IF(IPS!AF53="","",IPS!AF53)</f>
        <v/>
      </c>
      <c r="CX56" s="93" t="str">
        <f>IF(IPS!AG53="","",IPS!AG53)</f>
        <v/>
      </c>
      <c r="CY56" s="94" t="str">
        <f>IF(INGG!X53="","",INGG!X53)</f>
        <v/>
      </c>
      <c r="CZ56" s="94" t="str">
        <f>IF(INGG!Y53="","",INGG!Y53)</f>
        <v/>
      </c>
      <c r="DA56" s="94" t="str">
        <f>IF(INGG!Z53="","",INGG!Z53)</f>
        <v/>
      </c>
      <c r="DB56" s="94" t="str">
        <f>IF(INGG!AA53="","",INGG!AA53)</f>
        <v/>
      </c>
      <c r="DC56" s="94" t="str">
        <f>IF(INGG!AB53="","",INGG!AB53)</f>
        <v/>
      </c>
      <c r="DD56" s="94" t="str">
        <f>IF(INGG!AC53="","",INGG!AC53)</f>
        <v/>
      </c>
      <c r="DE56" s="94" t="str">
        <f>IF(INGG!AD53="","",INGG!AD53)</f>
        <v/>
      </c>
      <c r="DF56" s="94" t="str">
        <f>IF(INGG!AE53="","",INGG!AE53)</f>
        <v/>
      </c>
      <c r="DG56" s="94" t="str">
        <f>IF(INGG!AF53="","",INGG!AF53)</f>
        <v/>
      </c>
      <c r="DH56" s="94" t="str">
        <f>IF(INGG!AG53="","",INGG!AG53)</f>
        <v/>
      </c>
      <c r="DI56" s="94" t="str">
        <f>IF(SENBUD!X53="","",SENBUD!X53)</f>
        <v/>
      </c>
      <c r="DJ56" s="94" t="str">
        <f>IF(SENBUD!Y53="","",SENBUD!Y53)</f>
        <v/>
      </c>
      <c r="DK56" s="94" t="str">
        <f>IF(SENBUD!Z53="","",SENBUD!Z53)</f>
        <v/>
      </c>
      <c r="DL56" s="94" t="str">
        <f>IF(SENBUD!AA53="","",SENBUD!AA53)</f>
        <v/>
      </c>
      <c r="DM56" s="94" t="str">
        <f>IF(SENBUD!AB53="","",SENBUD!AB53)</f>
        <v/>
      </c>
      <c r="DN56" s="94" t="str">
        <f>IF(SENBUD!AC53="","",SENBUD!AC53)</f>
        <v/>
      </c>
      <c r="DO56" s="94" t="str">
        <f>IF(SENBUD!AD53="","",SENBUD!AD53)</f>
        <v/>
      </c>
      <c r="DP56" s="94" t="str">
        <f>IF(SENBUD!AE53="","",SENBUD!AE53)</f>
        <v/>
      </c>
      <c r="DQ56" s="94" t="str">
        <f>IF(SENBUD!AF53="","",SENBUD!AF53)</f>
        <v/>
      </c>
      <c r="DR56" s="94" t="str">
        <f>IF(SENBUD!AG53="","",SENBUD!AG53)</f>
        <v/>
      </c>
      <c r="DS56" s="93" t="str">
        <f>IF(PENJAS!X53="","",PENJAS!X53)</f>
        <v/>
      </c>
      <c r="DT56" s="93" t="str">
        <f>IF(PENJAS!Y53="","",PENJAS!Y53)</f>
        <v/>
      </c>
      <c r="DU56" s="93" t="str">
        <f>IF(PENJAS!Z53="","",PENJAS!Z53)</f>
        <v/>
      </c>
      <c r="DV56" s="93" t="str">
        <f>IF(PENJAS!AA53="","",PENJAS!AA53)</f>
        <v/>
      </c>
      <c r="DW56" s="93" t="str">
        <f>IF(PENJAS!AB53="","",PENJAS!AB53)</f>
        <v/>
      </c>
      <c r="DX56" s="93" t="str">
        <f>IF(PENJAS!AC53="","",PENJAS!AC53)</f>
        <v/>
      </c>
      <c r="DY56" s="93" t="str">
        <f>IF(PENJAS!AD53="","",PENJAS!AD53)</f>
        <v/>
      </c>
      <c r="DZ56" s="93" t="str">
        <f>IF(PENJAS!AE53="","",PENJAS!AE53)</f>
        <v/>
      </c>
      <c r="EA56" s="93" t="str">
        <f>IF(PENJAS!AF53="","",PENJAS!AF53)</f>
        <v/>
      </c>
      <c r="EB56" s="93" t="str">
        <f>IF(PENJAS!AG53="","",PENJAS!AG53)</f>
        <v/>
      </c>
      <c r="EC56" s="93" t="str">
        <f>IF(PRAKARYA!X53="","",PRAKARYA!X53)</f>
        <v/>
      </c>
      <c r="ED56" s="93" t="str">
        <f>IF(PRAKARYA!Y53="","",PRAKARYA!Y53)</f>
        <v/>
      </c>
      <c r="EE56" s="93" t="str">
        <f>IF(PRAKARYA!Z53="","",PRAKARYA!Z53)</f>
        <v/>
      </c>
      <c r="EF56" s="93" t="str">
        <f>IF(PRAKARYA!AA53="","",PRAKARYA!AA53)</f>
        <v/>
      </c>
      <c r="EG56" s="93" t="str">
        <f>IF(PRAKARYA!AB53="","",PRAKARYA!AB53)</f>
        <v/>
      </c>
      <c r="EH56" s="93" t="str">
        <f>IF(PRAKARYA!AC53="","",PRAKARYA!AC53)</f>
        <v/>
      </c>
      <c r="EI56" s="93" t="str">
        <f>IF(PRAKARYA!AD53="","",PRAKARYA!AD53)</f>
        <v/>
      </c>
      <c r="EJ56" s="93" t="str">
        <f>IF(PRAKARYA!AE53="","",PRAKARYA!AE53)</f>
        <v/>
      </c>
      <c r="EK56" s="93" t="str">
        <f>IF(PRAKARYA!AF53="","",PRAKARYA!AF53)</f>
        <v/>
      </c>
      <c r="EL56" s="93" t="str">
        <f>IF(PRAKARYA!AG53="","",PRAKARYA!AG53)</f>
        <v/>
      </c>
      <c r="EM56" s="95" t="str">
        <f>IF(BADER!X53="","",BADER!X53)</f>
        <v/>
      </c>
      <c r="EN56" s="95" t="str">
        <f>IF(BADER!Y53="","",BADER!Y53)</f>
        <v/>
      </c>
      <c r="EO56" s="95" t="str">
        <f>IF(BADER!Z53="","",BADER!Z53)</f>
        <v/>
      </c>
      <c r="EP56" s="95" t="str">
        <f>IF(BADER!AA53="","",BADER!AA53)</f>
        <v/>
      </c>
      <c r="EQ56" s="95" t="str">
        <f>IF(BADER!AB53="","",BADER!AB53)</f>
        <v/>
      </c>
      <c r="ER56" s="95" t="str">
        <f>IF(BADER!AC53="","",BADER!AC53)</f>
        <v/>
      </c>
      <c r="ES56" s="95" t="str">
        <f>IF(BADER!AD53="","",BADER!AD53)</f>
        <v/>
      </c>
      <c r="ET56" s="95" t="str">
        <f>IF(BADER!AE53="","",BADER!AE53)</f>
        <v/>
      </c>
      <c r="EU56" s="95" t="str">
        <f>IF(BADER!AF53="","",BADER!AF53)</f>
        <v/>
      </c>
      <c r="EV56" s="95" t="str">
        <f>IF(BADER!AG53="","",BADER!AG53)</f>
        <v/>
      </c>
      <c r="EW56" s="96" t="str">
        <f t="shared" si="1"/>
        <v/>
      </c>
      <c r="EX56" s="96" t="str">
        <f t="shared" si="2"/>
        <v/>
      </c>
      <c r="EY56" s="96" t="str">
        <f t="shared" si="14"/>
        <v/>
      </c>
      <c r="EZ56" s="96" t="str">
        <f t="shared" si="14"/>
        <v/>
      </c>
      <c r="FA56" s="96" t="str">
        <f t="shared" si="14"/>
        <v/>
      </c>
      <c r="FB56" s="96" t="str">
        <f t="shared" si="14"/>
        <v/>
      </c>
      <c r="FC56" s="96" t="str">
        <f t="shared" si="14"/>
        <v/>
      </c>
      <c r="FD56" s="96" t="str">
        <f t="shared" si="14"/>
        <v/>
      </c>
      <c r="FE56" s="96" t="str">
        <f t="shared" si="14"/>
        <v/>
      </c>
      <c r="FF56" s="96" t="str">
        <f t="shared" si="3"/>
        <v/>
      </c>
      <c r="FG56" s="96" t="str">
        <f t="shared" si="4"/>
        <v/>
      </c>
      <c r="FH56" s="92" t="str">
        <f t="shared" si="5"/>
        <v/>
      </c>
      <c r="FI56" s="92" t="str">
        <f t="shared" si="6"/>
        <v xml:space="preserve"> </v>
      </c>
      <c r="FJ56" s="92" t="str">
        <f t="shared" si="7"/>
        <v xml:space="preserve"> </v>
      </c>
      <c r="FK56" s="92" t="str">
        <f t="shared" si="8"/>
        <v xml:space="preserve"> </v>
      </c>
      <c r="FL56" s="92" t="str">
        <f t="shared" si="9"/>
        <v xml:space="preserve"> </v>
      </c>
      <c r="FM56" s="92" t="str">
        <f t="shared" si="10"/>
        <v xml:space="preserve"> </v>
      </c>
      <c r="FN56" s="92" t="str">
        <f t="shared" si="11"/>
        <v xml:space="preserve"> </v>
      </c>
      <c r="FO56" s="92" t="str">
        <f t="shared" si="12"/>
        <v xml:space="preserve"> </v>
      </c>
      <c r="FP56" s="92" t="str">
        <f t="shared" si="13"/>
        <v xml:space="preserve">,  ,  ,  ,  ,  ,  ,  </v>
      </c>
    </row>
    <row r="57" spans="1:16384" s="97" customFormat="1">
      <c r="A57" s="66">
        <v>47</v>
      </c>
      <c r="B57" s="92" t="str">
        <f>IF(DATA!D54="","",DATA!D54)</f>
        <v/>
      </c>
      <c r="C57" s="93" t="str">
        <f>IF(QH!X54="","",QH!X54)</f>
        <v/>
      </c>
      <c r="D57" s="93" t="str">
        <f>IF(QH!Y54="","",QH!Y54)</f>
        <v/>
      </c>
      <c r="E57" s="93" t="str">
        <f>IF(QH!Z54="","",QH!Z54)</f>
        <v/>
      </c>
      <c r="F57" s="93" t="str">
        <f>IF(QH!AA54="","",QH!AA54)</f>
        <v/>
      </c>
      <c r="G57" s="93" t="str">
        <f>IF(QH!AB54="","",QH!AB54)</f>
        <v/>
      </c>
      <c r="H57" s="93" t="str">
        <f>IF(QH!AC54="","",QH!AC54)</f>
        <v/>
      </c>
      <c r="I57" s="93" t="str">
        <f>IF(QH!AD54="","",QH!AD54)</f>
        <v/>
      </c>
      <c r="J57" s="93" t="str">
        <f>IF(QH!AE54="","",QH!AE54)</f>
        <v/>
      </c>
      <c r="K57" s="93" t="str">
        <f>IF(QH!AF54="","",QH!AF54)</f>
        <v/>
      </c>
      <c r="L57" s="93" t="str">
        <f>IF(QH!AG54="","",QH!AG54)</f>
        <v/>
      </c>
      <c r="M57" s="94" t="str">
        <f>IF(AA!X54="","",AA!X54)</f>
        <v/>
      </c>
      <c r="N57" s="94" t="str">
        <f>IF(AA!Y54="","",AA!Y54)</f>
        <v/>
      </c>
      <c r="O57" s="94" t="str">
        <f>IF(AA!Z54="","",AA!Z54)</f>
        <v/>
      </c>
      <c r="P57" s="94" t="str">
        <f>IF(AA!AA54="","",AA!AA54)</f>
        <v/>
      </c>
      <c r="Q57" s="94" t="str">
        <f>IF(AA!AB54="","",AA!AB54)</f>
        <v/>
      </c>
      <c r="R57" s="94" t="str">
        <f>IF(AA!AC54="","",AA!AC54)</f>
        <v/>
      </c>
      <c r="S57" s="94" t="str">
        <f>IF(AA!AD54="","",AA!AD54)</f>
        <v/>
      </c>
      <c r="T57" s="94" t="str">
        <f>IF(AA!AE54="","",AA!AE54)</f>
        <v/>
      </c>
      <c r="U57" s="94" t="str">
        <f>IF(AA!AF54="","",AA!AF54)</f>
        <v/>
      </c>
      <c r="V57" s="94" t="str">
        <f>IF(AA!AG54="","",AA!AG54)</f>
        <v/>
      </c>
      <c r="W57" s="94" t="str">
        <f>IF(FIKIH!X54="","",FIKIH!X54)</f>
        <v/>
      </c>
      <c r="X57" s="94" t="str">
        <f>IF(FIKIH!Y54="","",FIKIH!Y54)</f>
        <v/>
      </c>
      <c r="Y57" s="94" t="str">
        <f>IF(FIKIH!Z54="","",FIKIH!Z54)</f>
        <v/>
      </c>
      <c r="Z57" s="94" t="str">
        <f>IF(FIKIH!AA54="","",FIKIH!AA54)</f>
        <v/>
      </c>
      <c r="AA57" s="94" t="str">
        <f>IF(FIKIH!AB54="","",FIKIH!AB54)</f>
        <v/>
      </c>
      <c r="AB57" s="94" t="str">
        <f>IF(FIKIH!AC54="","",FIKIH!AC54)</f>
        <v/>
      </c>
      <c r="AC57" s="94" t="str">
        <f>IF(FIKIH!AD54="","",FIKIH!AD54)</f>
        <v/>
      </c>
      <c r="AD57" s="94" t="str">
        <f>IF(FIKIH!AE54="","",FIKIH!AE54)</f>
        <v/>
      </c>
      <c r="AE57" s="94" t="str">
        <f>IF(FIKIH!AF54="","",FIKIH!AF54)</f>
        <v/>
      </c>
      <c r="AF57" s="94" t="str">
        <f>IF(FIKIH!AG54="","",FIKIH!AG54)</f>
        <v/>
      </c>
      <c r="AG57" s="94">
        <f>IF(SKI!X54="","",SKI!X54)</f>
        <v>3</v>
      </c>
      <c r="AH57" s="94" t="str">
        <f>IF(SKI!Y54="","",SKI!Y54)</f>
        <v>Melaksanakan sholat dhuhur berjemaah, berdo'a di awal dan di akhir kegiatan pembelajaran , serta melaksanakan kegiatan amaliyah siswa</v>
      </c>
      <c r="AI57" s="94">
        <f>IF(SKI!Z54="","",SKI!Z54)</f>
        <v>3</v>
      </c>
      <c r="AJ57" s="94">
        <f>IF(SKI!AA54="","",SKI!AA54)</f>
        <v>3</v>
      </c>
      <c r="AK57" s="94">
        <f>IF(SKI!AB54="","",SKI!AB54)</f>
        <v>3</v>
      </c>
      <c r="AL57" s="94">
        <f>IF(SKI!AC54="","",SKI!AC54)</f>
        <v>3</v>
      </c>
      <c r="AM57" s="94">
        <f>IF(SKI!AD54="","",SKI!AD54)</f>
        <v>3</v>
      </c>
      <c r="AN57" s="94">
        <f>IF(SKI!AE54="","",SKI!AE54)</f>
        <v>3</v>
      </c>
      <c r="AO57" s="94">
        <f>IF(SKI!AF54="","",SKI!AF54)</f>
        <v>3</v>
      </c>
      <c r="AP57" s="94" t="str">
        <f>IF(SKI!AG54="","",SKI!AG54)</f>
        <v>Santun dalam bersikap, disiplin dalam mentaati tata tertib madrasah, peduli pada lingkungan, orang tua, bertanggung jawab dalam melaksanakan tugas, baik sebagai individu maupun makhluk sosial</v>
      </c>
      <c r="AQ57" s="94" t="str">
        <f>IF(PKN!X54="","",PKN!X54)</f>
        <v/>
      </c>
      <c r="AR57" s="94" t="str">
        <f>IF(PKN!Y54="","",PKN!Y54)</f>
        <v/>
      </c>
      <c r="AS57" s="94" t="str">
        <f>IF(PKN!Z54="","",PKN!Z54)</f>
        <v/>
      </c>
      <c r="AT57" s="94" t="str">
        <f>IF(PKN!AA54="","",PKN!AA54)</f>
        <v/>
      </c>
      <c r="AU57" s="94" t="str">
        <f>IF(PKN!AB54="","",PKN!AB54)</f>
        <v/>
      </c>
      <c r="AV57" s="94" t="str">
        <f>IF(PKN!AC54="","",PKN!AC54)</f>
        <v/>
      </c>
      <c r="AW57" s="94" t="str">
        <f>IF(PKN!AD54="","",PKN!AD54)</f>
        <v/>
      </c>
      <c r="AX57" s="94" t="str">
        <f>IF(PKN!AE54="","",PKN!AE54)</f>
        <v/>
      </c>
      <c r="AY57" s="94" t="str">
        <f>IF(PKN!AF54="","",PKN!AF54)</f>
        <v/>
      </c>
      <c r="AZ57" s="94" t="str">
        <f>IF(PKN!AG54="","",PKN!AG54)</f>
        <v/>
      </c>
      <c r="BA57" s="93" t="str">
        <f>IF(INDO!X54="","",INDO!X54)</f>
        <v/>
      </c>
      <c r="BB57" s="93" t="str">
        <f>IF(INDO!Y54="","",INDO!Y54)</f>
        <v/>
      </c>
      <c r="BC57" s="93" t="str">
        <f>IF(INDO!Z54="","",INDO!Z54)</f>
        <v/>
      </c>
      <c r="BD57" s="93" t="str">
        <f>IF(INDO!AA54="","",INDO!AA54)</f>
        <v/>
      </c>
      <c r="BE57" s="93" t="str">
        <f>IF(INDO!AB54="","",INDO!AB54)</f>
        <v/>
      </c>
      <c r="BF57" s="93" t="str">
        <f>IF(INDO!AC54="","",INDO!AC54)</f>
        <v/>
      </c>
      <c r="BG57" s="93" t="str">
        <f>IF(INDO!AD54="","",INDO!AD54)</f>
        <v/>
      </c>
      <c r="BH57" s="93" t="str">
        <f>IF(INDO!AE54="","",INDO!AE54)</f>
        <v/>
      </c>
      <c r="BI57" s="93" t="str">
        <f>IF(INDO!AF54="","",INDO!AF54)</f>
        <v/>
      </c>
      <c r="BJ57" s="93" t="str">
        <f>IF(INDO!AG54="","",INDO!AG54)</f>
        <v/>
      </c>
      <c r="BK57" s="93" t="str">
        <f>IF(ARAB!X54="","",ARAB!X54)</f>
        <v/>
      </c>
      <c r="BL57" s="93" t="str">
        <f>IF(ARAB!Y54="","",ARAB!Y54)</f>
        <v/>
      </c>
      <c r="BM57" s="93" t="str">
        <f>IF(ARAB!Z54="","",ARAB!Z54)</f>
        <v/>
      </c>
      <c r="BN57" s="93" t="str">
        <f>IF(ARAB!AA54="","",ARAB!AA54)</f>
        <v/>
      </c>
      <c r="BO57" s="93" t="str">
        <f>IF(ARAB!AB54="","",ARAB!AB54)</f>
        <v/>
      </c>
      <c r="BP57" s="93" t="str">
        <f>IF(ARAB!AC54="","",ARAB!AC54)</f>
        <v/>
      </c>
      <c r="BQ57" s="93" t="str">
        <f>IF(ARAB!AD54="","",ARAB!AD54)</f>
        <v/>
      </c>
      <c r="BR57" s="93" t="str">
        <f>IF(ARAB!AE54="","",ARAB!AE54)</f>
        <v/>
      </c>
      <c r="BS57" s="93" t="str">
        <f>IF(ARAB!AF54="","",ARAB!AF54)</f>
        <v/>
      </c>
      <c r="BT57" s="93" t="str">
        <f>IF(ARAB!AG54="","",ARAB!AG54)</f>
        <v/>
      </c>
      <c r="BU57" s="94" t="str">
        <f>IF(MAT!X54="","",MAT!X54)</f>
        <v/>
      </c>
      <c r="BV57" s="94" t="str">
        <f>IF(MAT!Y54="","",MAT!Y54)</f>
        <v/>
      </c>
      <c r="BW57" s="94" t="str">
        <f>IF(MAT!Z54="","",MAT!Z54)</f>
        <v/>
      </c>
      <c r="BX57" s="94" t="str">
        <f>IF(MAT!AA54="","",MAT!AA54)</f>
        <v/>
      </c>
      <c r="BY57" s="94" t="str">
        <f>IF(MAT!AB54="","",MAT!AB54)</f>
        <v/>
      </c>
      <c r="BZ57" s="94" t="str">
        <f>IF(MAT!AC54="","",MAT!AC54)</f>
        <v/>
      </c>
      <c r="CA57" s="94" t="str">
        <f>IF(MAT!AD54="","",MAT!AD54)</f>
        <v/>
      </c>
      <c r="CB57" s="94" t="str">
        <f>IF(MAT!AE54="","",MAT!AE54)</f>
        <v/>
      </c>
      <c r="CC57" s="94" t="str">
        <f>IF(MAT!AF54="","",MAT!AF54)</f>
        <v/>
      </c>
      <c r="CD57" s="94" t="str">
        <f>IF(MAT!AG54="","",MAT!AG54)</f>
        <v/>
      </c>
      <c r="CE57" s="94" t="str">
        <f>IF(IPA!X54="","",IPA!X54)</f>
        <v/>
      </c>
      <c r="CF57" s="94" t="str">
        <f>IF(IPA!Y54="","",IPA!Y54)</f>
        <v/>
      </c>
      <c r="CG57" s="94" t="str">
        <f>IF(IPA!Z54="","",IPA!Z54)</f>
        <v/>
      </c>
      <c r="CH57" s="94" t="str">
        <f>IF(IPA!AA54="","",IPA!AA54)</f>
        <v/>
      </c>
      <c r="CI57" s="94" t="str">
        <f>IF(IPA!AB54="","",IPA!AB54)</f>
        <v/>
      </c>
      <c r="CJ57" s="94" t="str">
        <f>IF(IPA!AC54="","",IPA!AC54)</f>
        <v/>
      </c>
      <c r="CK57" s="94" t="str">
        <f>IF(IPA!AD54="","",IPA!AD54)</f>
        <v/>
      </c>
      <c r="CL57" s="94" t="str">
        <f>IF(IPA!AE54="","",IPA!AE54)</f>
        <v/>
      </c>
      <c r="CM57" s="94" t="str">
        <f>IF(IPA!AF54="","",IPA!AF54)</f>
        <v/>
      </c>
      <c r="CN57" s="94" t="str">
        <f>IF(IPA!AG54="","",IPA!AG54)</f>
        <v/>
      </c>
      <c r="CO57" s="93" t="str">
        <f>IF(IPS!X54="","",IPS!X54)</f>
        <v/>
      </c>
      <c r="CP57" s="93" t="str">
        <f>IF(IPS!Y54="","",IPS!Y54)</f>
        <v/>
      </c>
      <c r="CQ57" s="93" t="str">
        <f>IF(IPS!Z54="","",IPS!Z54)</f>
        <v/>
      </c>
      <c r="CR57" s="93" t="str">
        <f>IF(IPS!AA54="","",IPS!AA54)</f>
        <v/>
      </c>
      <c r="CS57" s="93" t="str">
        <f>IF(IPS!AB54="","",IPS!AB54)</f>
        <v/>
      </c>
      <c r="CT57" s="93" t="str">
        <f>IF(IPS!AC54="","",IPS!AC54)</f>
        <v/>
      </c>
      <c r="CU57" s="93" t="str">
        <f>IF(IPS!AD54="","",IPS!AD54)</f>
        <v/>
      </c>
      <c r="CV57" s="93" t="str">
        <f>IF(IPS!AE54="","",IPS!AE54)</f>
        <v/>
      </c>
      <c r="CW57" s="93" t="str">
        <f>IF(IPS!AF54="","",IPS!AF54)</f>
        <v/>
      </c>
      <c r="CX57" s="93" t="str">
        <f>IF(IPS!AG54="","",IPS!AG54)</f>
        <v/>
      </c>
      <c r="CY57" s="94" t="str">
        <f>IF(INGG!X54="","",INGG!X54)</f>
        <v/>
      </c>
      <c r="CZ57" s="94" t="str">
        <f>IF(INGG!Y54="","",INGG!Y54)</f>
        <v/>
      </c>
      <c r="DA57" s="94" t="str">
        <f>IF(INGG!Z54="","",INGG!Z54)</f>
        <v/>
      </c>
      <c r="DB57" s="94" t="str">
        <f>IF(INGG!AA54="","",INGG!AA54)</f>
        <v/>
      </c>
      <c r="DC57" s="94" t="str">
        <f>IF(INGG!AB54="","",INGG!AB54)</f>
        <v/>
      </c>
      <c r="DD57" s="94" t="str">
        <f>IF(INGG!AC54="","",INGG!AC54)</f>
        <v/>
      </c>
      <c r="DE57" s="94" t="str">
        <f>IF(INGG!AD54="","",INGG!AD54)</f>
        <v/>
      </c>
      <c r="DF57" s="94" t="str">
        <f>IF(INGG!AE54="","",INGG!AE54)</f>
        <v/>
      </c>
      <c r="DG57" s="94" t="str">
        <f>IF(INGG!AF54="","",INGG!AF54)</f>
        <v/>
      </c>
      <c r="DH57" s="94" t="str">
        <f>IF(INGG!AG54="","",INGG!AG54)</f>
        <v/>
      </c>
      <c r="DI57" s="94" t="str">
        <f>IF(SENBUD!X54="","",SENBUD!X54)</f>
        <v/>
      </c>
      <c r="DJ57" s="94" t="str">
        <f>IF(SENBUD!Y54="","",SENBUD!Y54)</f>
        <v/>
      </c>
      <c r="DK57" s="94" t="str">
        <f>IF(SENBUD!Z54="","",SENBUD!Z54)</f>
        <v/>
      </c>
      <c r="DL57" s="94" t="str">
        <f>IF(SENBUD!AA54="","",SENBUD!AA54)</f>
        <v/>
      </c>
      <c r="DM57" s="94" t="str">
        <f>IF(SENBUD!AB54="","",SENBUD!AB54)</f>
        <v/>
      </c>
      <c r="DN57" s="94" t="str">
        <f>IF(SENBUD!AC54="","",SENBUD!AC54)</f>
        <v/>
      </c>
      <c r="DO57" s="94" t="str">
        <f>IF(SENBUD!AD54="","",SENBUD!AD54)</f>
        <v/>
      </c>
      <c r="DP57" s="94" t="str">
        <f>IF(SENBUD!AE54="","",SENBUD!AE54)</f>
        <v/>
      </c>
      <c r="DQ57" s="94" t="str">
        <f>IF(SENBUD!AF54="","",SENBUD!AF54)</f>
        <v/>
      </c>
      <c r="DR57" s="94" t="str">
        <f>IF(SENBUD!AG54="","",SENBUD!AG54)</f>
        <v/>
      </c>
      <c r="DS57" s="93" t="str">
        <f>IF(PENJAS!X54="","",PENJAS!X54)</f>
        <v/>
      </c>
      <c r="DT57" s="93" t="str">
        <f>IF(PENJAS!Y54="","",PENJAS!Y54)</f>
        <v/>
      </c>
      <c r="DU57" s="93" t="str">
        <f>IF(PENJAS!Z54="","",PENJAS!Z54)</f>
        <v/>
      </c>
      <c r="DV57" s="93" t="str">
        <f>IF(PENJAS!AA54="","",PENJAS!AA54)</f>
        <v/>
      </c>
      <c r="DW57" s="93" t="str">
        <f>IF(PENJAS!AB54="","",PENJAS!AB54)</f>
        <v/>
      </c>
      <c r="DX57" s="93" t="str">
        <f>IF(PENJAS!AC54="","",PENJAS!AC54)</f>
        <v/>
      </c>
      <c r="DY57" s="93" t="str">
        <f>IF(PENJAS!AD54="","",PENJAS!AD54)</f>
        <v/>
      </c>
      <c r="DZ57" s="93" t="str">
        <f>IF(PENJAS!AE54="","",PENJAS!AE54)</f>
        <v/>
      </c>
      <c r="EA57" s="93" t="str">
        <f>IF(PENJAS!AF54="","",PENJAS!AF54)</f>
        <v/>
      </c>
      <c r="EB57" s="93" t="str">
        <f>IF(PENJAS!AG54="","",PENJAS!AG54)</f>
        <v/>
      </c>
      <c r="EC57" s="93" t="str">
        <f>IF(PRAKARYA!X54="","",PRAKARYA!X54)</f>
        <v/>
      </c>
      <c r="ED57" s="93" t="str">
        <f>IF(PRAKARYA!Y54="","",PRAKARYA!Y54)</f>
        <v/>
      </c>
      <c r="EE57" s="93" t="str">
        <f>IF(PRAKARYA!Z54="","",PRAKARYA!Z54)</f>
        <v/>
      </c>
      <c r="EF57" s="93" t="str">
        <f>IF(PRAKARYA!AA54="","",PRAKARYA!AA54)</f>
        <v/>
      </c>
      <c r="EG57" s="93" t="str">
        <f>IF(PRAKARYA!AB54="","",PRAKARYA!AB54)</f>
        <v/>
      </c>
      <c r="EH57" s="93" t="str">
        <f>IF(PRAKARYA!AC54="","",PRAKARYA!AC54)</f>
        <v/>
      </c>
      <c r="EI57" s="93" t="str">
        <f>IF(PRAKARYA!AD54="","",PRAKARYA!AD54)</f>
        <v/>
      </c>
      <c r="EJ57" s="93" t="str">
        <f>IF(PRAKARYA!AE54="","",PRAKARYA!AE54)</f>
        <v/>
      </c>
      <c r="EK57" s="93" t="str">
        <f>IF(PRAKARYA!AF54="","",PRAKARYA!AF54)</f>
        <v/>
      </c>
      <c r="EL57" s="93" t="str">
        <f>IF(PRAKARYA!AG54="","",PRAKARYA!AG54)</f>
        <v/>
      </c>
      <c r="EM57" s="95" t="str">
        <f>IF(BADER!X54="","",BADER!X54)</f>
        <v/>
      </c>
      <c r="EN57" s="95" t="str">
        <f>IF(BADER!Y54="","",BADER!Y54)</f>
        <v/>
      </c>
      <c r="EO57" s="95" t="str">
        <f>IF(BADER!Z54="","",BADER!Z54)</f>
        <v/>
      </c>
      <c r="EP57" s="95" t="str">
        <f>IF(BADER!AA54="","",BADER!AA54)</f>
        <v/>
      </c>
      <c r="EQ57" s="95" t="str">
        <f>IF(BADER!AB54="","",BADER!AB54)</f>
        <v/>
      </c>
      <c r="ER57" s="95" t="str">
        <f>IF(BADER!AC54="","",BADER!AC54)</f>
        <v/>
      </c>
      <c r="ES57" s="95" t="str">
        <f>IF(BADER!AD54="","",BADER!AD54)</f>
        <v/>
      </c>
      <c r="ET57" s="95" t="str">
        <f>IF(BADER!AE54="","",BADER!AE54)</f>
        <v/>
      </c>
      <c r="EU57" s="95" t="str">
        <f>IF(BADER!AF54="","",BADER!AF54)</f>
        <v/>
      </c>
      <c r="EV57" s="95" t="str">
        <f>IF(BADER!AG54="","",BADER!AG54)</f>
        <v/>
      </c>
      <c r="EW57" s="96" t="str">
        <f t="shared" si="1"/>
        <v/>
      </c>
      <c r="EX57" s="96" t="str">
        <f t="shared" si="2"/>
        <v/>
      </c>
      <c r="EY57" s="96" t="str">
        <f t="shared" si="14"/>
        <v/>
      </c>
      <c r="EZ57" s="96" t="str">
        <f t="shared" si="14"/>
        <v/>
      </c>
      <c r="FA57" s="96" t="str">
        <f t="shared" si="14"/>
        <v/>
      </c>
      <c r="FB57" s="96" t="str">
        <f t="shared" si="14"/>
        <v/>
      </c>
      <c r="FC57" s="96" t="str">
        <f t="shared" si="14"/>
        <v/>
      </c>
      <c r="FD57" s="96" t="str">
        <f t="shared" si="14"/>
        <v/>
      </c>
      <c r="FE57" s="96" t="str">
        <f t="shared" si="14"/>
        <v/>
      </c>
      <c r="FF57" s="96" t="str">
        <f t="shared" si="3"/>
        <v/>
      </c>
      <c r="FG57" s="96" t="str">
        <f t="shared" si="4"/>
        <v/>
      </c>
      <c r="FH57" s="92" t="str">
        <f t="shared" si="5"/>
        <v/>
      </c>
      <c r="FI57" s="92" t="str">
        <f t="shared" si="6"/>
        <v xml:space="preserve"> </v>
      </c>
      <c r="FJ57" s="92" t="str">
        <f t="shared" si="7"/>
        <v xml:space="preserve"> </v>
      </c>
      <c r="FK57" s="92" t="str">
        <f t="shared" si="8"/>
        <v xml:space="preserve"> </v>
      </c>
      <c r="FL57" s="92" t="str">
        <f t="shared" si="9"/>
        <v xml:space="preserve"> </v>
      </c>
      <c r="FM57" s="92" t="str">
        <f t="shared" si="10"/>
        <v xml:space="preserve"> </v>
      </c>
      <c r="FN57" s="92" t="str">
        <f t="shared" si="11"/>
        <v xml:space="preserve"> </v>
      </c>
      <c r="FO57" s="92" t="str">
        <f t="shared" si="12"/>
        <v xml:space="preserve"> </v>
      </c>
      <c r="FP57" s="92" t="str">
        <f t="shared" si="13"/>
        <v xml:space="preserve">,  ,  ,  ,  ,  ,  ,  </v>
      </c>
      <c r="FQ57" s="92"/>
      <c r="FR57" s="92"/>
      <c r="FS57" s="92"/>
      <c r="FT57" s="92"/>
      <c r="FU57" s="92"/>
      <c r="FV57" s="92"/>
      <c r="FW57" s="92"/>
      <c r="FX57" s="92"/>
      <c r="FY57" s="92"/>
      <c r="FZ57" s="92"/>
      <c r="GA57" s="92"/>
      <c r="GB57" s="92"/>
      <c r="GC57" s="92"/>
      <c r="GD57" s="92"/>
      <c r="GE57" s="92"/>
      <c r="GF57" s="92"/>
      <c r="GG57" s="92"/>
      <c r="GH57" s="92"/>
      <c r="GI57" s="92"/>
      <c r="GJ57" s="92"/>
      <c r="GK57" s="92"/>
      <c r="GL57" s="92"/>
      <c r="GM57" s="92"/>
      <c r="GN57" s="92"/>
      <c r="GO57" s="92"/>
      <c r="GP57" s="92"/>
      <c r="GQ57" s="92"/>
      <c r="GR57" s="92"/>
      <c r="GS57" s="92"/>
      <c r="GT57" s="92"/>
      <c r="GU57" s="92"/>
      <c r="GV57" s="92"/>
      <c r="GW57" s="92"/>
      <c r="GX57" s="92"/>
      <c r="GY57" s="92"/>
      <c r="GZ57" s="92"/>
      <c r="HA57" s="92"/>
      <c r="HB57" s="92"/>
      <c r="HC57" s="92"/>
      <c r="HD57" s="92"/>
      <c r="HE57" s="92"/>
      <c r="HF57" s="92"/>
      <c r="HG57" s="92"/>
      <c r="HH57" s="92"/>
      <c r="HI57" s="92"/>
      <c r="HJ57" s="92"/>
      <c r="HK57" s="92"/>
      <c r="HL57" s="92"/>
      <c r="HM57" s="92"/>
      <c r="HN57" s="92"/>
      <c r="HO57" s="92"/>
      <c r="HP57" s="92"/>
      <c r="HQ57" s="92"/>
      <c r="HR57" s="92"/>
      <c r="HS57" s="92"/>
      <c r="HT57" s="92"/>
      <c r="HU57" s="92"/>
      <c r="HV57" s="92"/>
      <c r="HW57" s="92"/>
      <c r="HX57" s="92"/>
      <c r="HY57" s="92"/>
      <c r="HZ57" s="92"/>
      <c r="IA57" s="92"/>
      <c r="IB57" s="92"/>
      <c r="IC57" s="92"/>
      <c r="ID57" s="92"/>
      <c r="IE57" s="92"/>
      <c r="IF57" s="92"/>
      <c r="IG57" s="92"/>
      <c r="IH57" s="92"/>
      <c r="II57" s="92"/>
      <c r="IJ57" s="92"/>
      <c r="IK57" s="92"/>
      <c r="IL57" s="92"/>
      <c r="IM57" s="92"/>
      <c r="IN57" s="92"/>
      <c r="IO57" s="92"/>
      <c r="IP57" s="92"/>
      <c r="IQ57" s="92"/>
      <c r="IR57" s="92"/>
      <c r="IS57" s="92"/>
      <c r="IT57" s="92"/>
      <c r="IU57" s="92"/>
      <c r="IV57" s="92"/>
      <c r="IW57" s="92"/>
      <c r="IX57" s="92"/>
      <c r="IY57" s="92"/>
      <c r="IZ57" s="92"/>
      <c r="JA57" s="92"/>
      <c r="JB57" s="92"/>
      <c r="JC57" s="92"/>
      <c r="JD57" s="92"/>
      <c r="JE57" s="92"/>
      <c r="JF57" s="92"/>
      <c r="JG57" s="92"/>
      <c r="JH57" s="92"/>
      <c r="JI57" s="92"/>
      <c r="JJ57" s="92"/>
      <c r="JK57" s="92"/>
      <c r="JL57" s="92"/>
      <c r="JM57" s="92"/>
      <c r="JN57" s="92"/>
      <c r="JO57" s="92"/>
      <c r="JP57" s="92"/>
      <c r="JQ57" s="92"/>
      <c r="JR57" s="92"/>
      <c r="JS57" s="92"/>
      <c r="JT57" s="92"/>
      <c r="JU57" s="92"/>
      <c r="JV57" s="92"/>
      <c r="JW57" s="92"/>
      <c r="JX57" s="92"/>
      <c r="JY57" s="92"/>
      <c r="JZ57" s="92"/>
      <c r="KA57" s="92"/>
      <c r="KB57" s="92"/>
      <c r="KC57" s="92"/>
      <c r="KD57" s="92"/>
      <c r="KE57" s="92"/>
      <c r="KF57" s="92"/>
      <c r="KG57" s="92"/>
      <c r="KH57" s="92"/>
      <c r="KI57" s="92"/>
      <c r="KJ57" s="92"/>
      <c r="KK57" s="92"/>
      <c r="KL57" s="92"/>
      <c r="KM57" s="92"/>
      <c r="KN57" s="92"/>
      <c r="KO57" s="92"/>
      <c r="KP57" s="92"/>
      <c r="KQ57" s="92"/>
      <c r="KR57" s="92"/>
      <c r="KS57" s="92"/>
      <c r="KT57" s="92"/>
      <c r="KU57" s="92"/>
      <c r="KV57" s="92"/>
      <c r="KW57" s="92"/>
      <c r="KX57" s="92"/>
      <c r="KY57" s="92"/>
      <c r="KZ57" s="92"/>
      <c r="LA57" s="92"/>
      <c r="LB57" s="92"/>
      <c r="LC57" s="92"/>
      <c r="LD57" s="92"/>
      <c r="LE57" s="92"/>
      <c r="LF57" s="92"/>
      <c r="LG57" s="92"/>
      <c r="LH57" s="92"/>
      <c r="LI57" s="92"/>
      <c r="LJ57" s="92"/>
      <c r="LK57" s="92"/>
      <c r="LL57" s="92"/>
      <c r="LM57" s="92"/>
      <c r="LN57" s="92"/>
      <c r="LO57" s="92"/>
      <c r="LP57" s="92"/>
      <c r="LQ57" s="92"/>
      <c r="LR57" s="92"/>
      <c r="LS57" s="92"/>
      <c r="LT57" s="92"/>
      <c r="LU57" s="92"/>
      <c r="LV57" s="92"/>
      <c r="LW57" s="92"/>
      <c r="LX57" s="92"/>
      <c r="LY57" s="92"/>
      <c r="LZ57" s="92"/>
      <c r="MA57" s="92"/>
      <c r="MB57" s="92"/>
      <c r="MC57" s="92"/>
      <c r="MD57" s="92"/>
      <c r="ME57" s="92"/>
      <c r="MF57" s="92"/>
      <c r="MG57" s="92"/>
      <c r="MH57" s="92"/>
      <c r="MI57" s="92"/>
      <c r="MJ57" s="92"/>
      <c r="MK57" s="92"/>
      <c r="ML57" s="92"/>
      <c r="MM57" s="92"/>
      <c r="MN57" s="92"/>
      <c r="MO57" s="92"/>
      <c r="MP57" s="92"/>
      <c r="MQ57" s="92"/>
      <c r="MR57" s="92"/>
      <c r="MS57" s="92"/>
      <c r="MT57" s="92"/>
      <c r="MU57" s="92"/>
      <c r="MV57" s="92"/>
      <c r="MW57" s="92"/>
      <c r="MX57" s="92"/>
      <c r="MY57" s="92"/>
      <c r="MZ57" s="92"/>
      <c r="NA57" s="92"/>
      <c r="NB57" s="92"/>
      <c r="NC57" s="92"/>
      <c r="ND57" s="92"/>
      <c r="NE57" s="92"/>
      <c r="NF57" s="92"/>
      <c r="NG57" s="92"/>
      <c r="NH57" s="92"/>
      <c r="NI57" s="92"/>
      <c r="NJ57" s="92"/>
      <c r="NK57" s="92"/>
      <c r="NL57" s="92"/>
      <c r="NM57" s="92"/>
      <c r="NN57" s="92"/>
      <c r="NO57" s="92"/>
      <c r="NP57" s="92"/>
      <c r="NQ57" s="92"/>
      <c r="NR57" s="92"/>
      <c r="NS57" s="92"/>
      <c r="NT57" s="92"/>
      <c r="NU57" s="92"/>
      <c r="NV57" s="92"/>
      <c r="NW57" s="92"/>
      <c r="NX57" s="92"/>
      <c r="NY57" s="92"/>
      <c r="NZ57" s="92"/>
      <c r="OA57" s="92"/>
      <c r="OB57" s="92"/>
      <c r="OC57" s="92"/>
      <c r="OD57" s="92"/>
      <c r="OE57" s="92"/>
      <c r="OF57" s="92"/>
      <c r="OG57" s="92"/>
      <c r="OH57" s="92"/>
      <c r="OI57" s="92"/>
      <c r="OJ57" s="92"/>
      <c r="OK57" s="92"/>
      <c r="OL57" s="92"/>
      <c r="OM57" s="92"/>
      <c r="ON57" s="92"/>
      <c r="OO57" s="92"/>
      <c r="OP57" s="92"/>
      <c r="OQ57" s="92"/>
      <c r="OR57" s="92"/>
      <c r="OS57" s="92"/>
      <c r="OT57" s="92"/>
      <c r="OU57" s="92"/>
      <c r="OV57" s="92"/>
      <c r="OW57" s="92"/>
      <c r="OX57" s="92"/>
      <c r="OY57" s="92"/>
      <c r="OZ57" s="92"/>
      <c r="PA57" s="92"/>
      <c r="PB57" s="92"/>
      <c r="PC57" s="92"/>
      <c r="PD57" s="92"/>
      <c r="PE57" s="92"/>
      <c r="PF57" s="92"/>
      <c r="PG57" s="92"/>
      <c r="PH57" s="92"/>
      <c r="PI57" s="92"/>
      <c r="PJ57" s="92"/>
      <c r="PK57" s="92"/>
      <c r="PL57" s="92"/>
      <c r="PM57" s="92"/>
      <c r="PN57" s="92"/>
      <c r="PO57" s="92"/>
      <c r="PP57" s="92"/>
      <c r="PQ57" s="92"/>
      <c r="PR57" s="92"/>
      <c r="PS57" s="92"/>
      <c r="PT57" s="92"/>
      <c r="PU57" s="92"/>
      <c r="PV57" s="92"/>
      <c r="PW57" s="92"/>
      <c r="PX57" s="92"/>
      <c r="PY57" s="92"/>
      <c r="PZ57" s="92"/>
      <c r="QA57" s="92"/>
      <c r="QB57" s="92"/>
      <c r="QC57" s="92"/>
      <c r="QD57" s="92"/>
      <c r="QE57" s="92"/>
      <c r="QF57" s="92"/>
      <c r="QG57" s="92"/>
      <c r="QH57" s="92"/>
      <c r="QI57" s="92"/>
      <c r="QJ57" s="92"/>
      <c r="QK57" s="92"/>
      <c r="QL57" s="92"/>
      <c r="QM57" s="92"/>
      <c r="QN57" s="92"/>
      <c r="QO57" s="92"/>
      <c r="QP57" s="92"/>
      <c r="QQ57" s="92"/>
      <c r="QR57" s="92"/>
      <c r="QS57" s="92"/>
      <c r="QT57" s="92"/>
      <c r="QU57" s="92"/>
      <c r="QV57" s="92"/>
      <c r="QW57" s="92"/>
      <c r="QX57" s="92"/>
      <c r="QY57" s="92"/>
      <c r="QZ57" s="92"/>
      <c r="RA57" s="92"/>
      <c r="RB57" s="92"/>
      <c r="RC57" s="92"/>
      <c r="RD57" s="92"/>
      <c r="RE57" s="92"/>
      <c r="RF57" s="92"/>
      <c r="RG57" s="92"/>
      <c r="RH57" s="92"/>
      <c r="RI57" s="92"/>
      <c r="RJ57" s="92"/>
      <c r="RK57" s="92"/>
      <c r="RL57" s="92"/>
      <c r="RM57" s="92"/>
      <c r="RN57" s="92"/>
      <c r="RO57" s="92"/>
      <c r="RP57" s="92"/>
      <c r="RQ57" s="92"/>
      <c r="RR57" s="92"/>
      <c r="RS57" s="92"/>
      <c r="RT57" s="92"/>
      <c r="RU57" s="92"/>
      <c r="RV57" s="92"/>
      <c r="RW57" s="92"/>
      <c r="RX57" s="92"/>
      <c r="RY57" s="92"/>
      <c r="RZ57" s="92"/>
      <c r="SA57" s="92"/>
      <c r="SB57" s="92"/>
      <c r="SC57" s="92"/>
      <c r="SD57" s="92"/>
      <c r="SE57" s="92"/>
      <c r="SF57" s="92"/>
      <c r="SG57" s="92"/>
      <c r="SH57" s="92"/>
      <c r="SI57" s="92"/>
      <c r="SJ57" s="92"/>
      <c r="SK57" s="92"/>
      <c r="SL57" s="92"/>
      <c r="SM57" s="92"/>
      <c r="SN57" s="92"/>
      <c r="SO57" s="92"/>
      <c r="SP57" s="92"/>
      <c r="SQ57" s="92"/>
      <c r="SR57" s="92"/>
      <c r="SS57" s="92"/>
      <c r="ST57" s="92"/>
      <c r="SU57" s="92"/>
      <c r="SV57" s="92"/>
      <c r="SW57" s="92"/>
      <c r="SX57" s="92"/>
      <c r="SY57" s="92"/>
      <c r="SZ57" s="92"/>
      <c r="TA57" s="92"/>
      <c r="TB57" s="92"/>
      <c r="TC57" s="92"/>
      <c r="TD57" s="92"/>
      <c r="TE57" s="92"/>
      <c r="TF57" s="92"/>
      <c r="TG57" s="92"/>
      <c r="TH57" s="92"/>
      <c r="TI57" s="92"/>
      <c r="TJ57" s="92"/>
      <c r="TK57" s="92"/>
      <c r="TL57" s="92"/>
      <c r="TM57" s="92"/>
      <c r="TN57" s="92"/>
      <c r="TO57" s="92"/>
      <c r="TP57" s="92"/>
      <c r="TQ57" s="92"/>
      <c r="TR57" s="92"/>
      <c r="TS57" s="92"/>
      <c r="TT57" s="92"/>
      <c r="TU57" s="92"/>
      <c r="TV57" s="92"/>
      <c r="TW57" s="92"/>
      <c r="TX57" s="92"/>
      <c r="TY57" s="92"/>
      <c r="TZ57" s="92"/>
      <c r="UA57" s="92"/>
      <c r="UB57" s="92"/>
      <c r="UC57" s="92"/>
      <c r="UD57" s="92"/>
      <c r="UE57" s="92"/>
      <c r="UF57" s="92"/>
      <c r="UG57" s="92"/>
      <c r="UH57" s="92"/>
      <c r="UI57" s="92"/>
      <c r="UJ57" s="92"/>
      <c r="UK57" s="92"/>
      <c r="UL57" s="92"/>
      <c r="UM57" s="92"/>
      <c r="UN57" s="92"/>
      <c r="UO57" s="92"/>
      <c r="UP57" s="92"/>
      <c r="UQ57" s="92"/>
      <c r="UR57" s="92"/>
      <c r="US57" s="92"/>
      <c r="UT57" s="92"/>
      <c r="UU57" s="92"/>
      <c r="UV57" s="92"/>
      <c r="UW57" s="92"/>
      <c r="UX57" s="92"/>
      <c r="UY57" s="92"/>
      <c r="UZ57" s="92"/>
      <c r="VA57" s="92"/>
      <c r="VB57" s="92"/>
      <c r="VC57" s="92"/>
      <c r="VD57" s="92"/>
      <c r="VE57" s="92"/>
      <c r="VF57" s="92"/>
      <c r="VG57" s="92"/>
      <c r="VH57" s="92"/>
      <c r="VI57" s="92"/>
      <c r="VJ57" s="92"/>
      <c r="VK57" s="92"/>
      <c r="VL57" s="92"/>
      <c r="VM57" s="92"/>
      <c r="VN57" s="92"/>
      <c r="VO57" s="92"/>
      <c r="VP57" s="92"/>
      <c r="VQ57" s="92"/>
      <c r="VR57" s="92"/>
      <c r="VS57" s="92"/>
      <c r="VT57" s="92"/>
      <c r="VU57" s="92"/>
      <c r="VV57" s="92"/>
      <c r="VW57" s="92"/>
      <c r="VX57" s="92"/>
      <c r="VY57" s="92"/>
      <c r="VZ57" s="92"/>
      <c r="WA57" s="92"/>
      <c r="WB57" s="92"/>
      <c r="WC57" s="92"/>
      <c r="WD57" s="92"/>
      <c r="WE57" s="92"/>
      <c r="WF57" s="92"/>
      <c r="WG57" s="92"/>
      <c r="WH57" s="92"/>
      <c r="WI57" s="92"/>
      <c r="WJ57" s="92"/>
      <c r="WK57" s="92"/>
      <c r="WL57" s="92"/>
      <c r="WM57" s="92"/>
      <c r="WN57" s="92"/>
      <c r="WO57" s="92"/>
      <c r="WP57" s="92"/>
      <c r="WQ57" s="92"/>
      <c r="WR57" s="92"/>
      <c r="WS57" s="92"/>
      <c r="WT57" s="92"/>
      <c r="WU57" s="92"/>
      <c r="WV57" s="92"/>
      <c r="WW57" s="92"/>
      <c r="WX57" s="92"/>
      <c r="WY57" s="92"/>
      <c r="WZ57" s="92"/>
      <c r="XA57" s="92"/>
      <c r="XB57" s="92"/>
      <c r="XC57" s="92"/>
      <c r="XD57" s="92"/>
      <c r="XE57" s="92"/>
      <c r="XF57" s="92"/>
      <c r="XG57" s="92"/>
      <c r="XH57" s="92"/>
      <c r="XI57" s="92"/>
      <c r="XJ57" s="92"/>
      <c r="XK57" s="92"/>
      <c r="XL57" s="92"/>
      <c r="XM57" s="92"/>
      <c r="XN57" s="92"/>
      <c r="XO57" s="92"/>
      <c r="XP57" s="92"/>
      <c r="XQ57" s="92"/>
      <c r="XR57" s="92"/>
      <c r="XS57" s="92"/>
      <c r="XT57" s="92"/>
      <c r="XU57" s="92"/>
      <c r="XV57" s="92"/>
      <c r="XW57" s="92"/>
      <c r="XX57" s="92"/>
      <c r="XY57" s="92"/>
      <c r="XZ57" s="92"/>
      <c r="YA57" s="92"/>
      <c r="YB57" s="92"/>
      <c r="YC57" s="92"/>
      <c r="YD57" s="92"/>
      <c r="YE57" s="92"/>
      <c r="YF57" s="92"/>
      <c r="YG57" s="92"/>
      <c r="YH57" s="92"/>
      <c r="YI57" s="92"/>
      <c r="YJ57" s="92"/>
      <c r="YK57" s="92"/>
      <c r="YL57" s="92"/>
      <c r="YM57" s="92"/>
      <c r="YN57" s="92"/>
      <c r="YO57" s="92"/>
      <c r="YP57" s="92"/>
      <c r="YQ57" s="92"/>
      <c r="YR57" s="92"/>
      <c r="YS57" s="92"/>
      <c r="YT57" s="92"/>
      <c r="YU57" s="92"/>
      <c r="YV57" s="92"/>
      <c r="YW57" s="92"/>
      <c r="YX57" s="92"/>
      <c r="YY57" s="92"/>
      <c r="YZ57" s="92"/>
      <c r="ZA57" s="92"/>
      <c r="ZB57" s="92"/>
      <c r="ZC57" s="92"/>
      <c r="ZD57" s="92"/>
      <c r="ZE57" s="92"/>
      <c r="ZF57" s="92"/>
      <c r="ZG57" s="92"/>
      <c r="ZH57" s="92"/>
      <c r="ZI57" s="92"/>
      <c r="ZJ57" s="92"/>
      <c r="ZK57" s="92"/>
      <c r="ZL57" s="92"/>
      <c r="ZM57" s="92"/>
      <c r="ZN57" s="92"/>
      <c r="ZO57" s="92"/>
      <c r="ZP57" s="92"/>
      <c r="ZQ57" s="92"/>
      <c r="ZR57" s="92"/>
      <c r="ZS57" s="92"/>
      <c r="ZT57" s="92"/>
      <c r="ZU57" s="92"/>
      <c r="ZV57" s="92"/>
      <c r="ZW57" s="92"/>
      <c r="ZX57" s="92"/>
      <c r="ZY57" s="92"/>
      <c r="ZZ57" s="92"/>
      <c r="AAA57" s="92"/>
      <c r="AAB57" s="92"/>
      <c r="AAC57" s="92"/>
      <c r="AAD57" s="92"/>
      <c r="AAE57" s="92"/>
      <c r="AAF57" s="92"/>
      <c r="AAG57" s="92"/>
      <c r="AAH57" s="92"/>
      <c r="AAI57" s="92"/>
      <c r="AAJ57" s="92"/>
      <c r="AAK57" s="92"/>
      <c r="AAL57" s="92"/>
      <c r="AAM57" s="92"/>
      <c r="AAN57" s="92"/>
      <c r="AAO57" s="92"/>
      <c r="AAP57" s="92"/>
      <c r="AAQ57" s="92"/>
      <c r="AAR57" s="92"/>
      <c r="AAS57" s="92"/>
      <c r="AAT57" s="92"/>
      <c r="AAU57" s="92"/>
      <c r="AAV57" s="92"/>
      <c r="AAW57" s="92"/>
      <c r="AAX57" s="92"/>
      <c r="AAY57" s="92"/>
      <c r="AAZ57" s="92"/>
      <c r="ABA57" s="92"/>
      <c r="ABB57" s="92"/>
      <c r="ABC57" s="92"/>
      <c r="ABD57" s="92"/>
      <c r="ABE57" s="92"/>
      <c r="ABF57" s="92"/>
      <c r="ABG57" s="92"/>
      <c r="ABH57" s="92"/>
      <c r="ABI57" s="92"/>
      <c r="ABJ57" s="92"/>
      <c r="ABK57" s="92"/>
      <c r="ABL57" s="92"/>
      <c r="ABM57" s="92"/>
      <c r="ABN57" s="92"/>
      <c r="ABO57" s="92"/>
      <c r="ABP57" s="92"/>
      <c r="ABQ57" s="92"/>
      <c r="ABR57" s="92"/>
      <c r="ABS57" s="92"/>
      <c r="ABT57" s="92"/>
      <c r="ABU57" s="92"/>
      <c r="ABV57" s="92"/>
      <c r="ABW57" s="92"/>
      <c r="ABX57" s="92"/>
      <c r="ABY57" s="92"/>
      <c r="ABZ57" s="92"/>
      <c r="ACA57" s="92"/>
      <c r="ACB57" s="92"/>
      <c r="ACC57" s="92"/>
      <c r="ACD57" s="92"/>
      <c r="ACE57" s="92"/>
      <c r="ACF57" s="92"/>
      <c r="ACG57" s="92"/>
      <c r="ACH57" s="92"/>
      <c r="ACI57" s="92"/>
      <c r="ACJ57" s="92"/>
      <c r="ACK57" s="92"/>
      <c r="ACL57" s="92"/>
      <c r="ACM57" s="92"/>
      <c r="ACN57" s="92"/>
      <c r="ACO57" s="92"/>
      <c r="ACP57" s="92"/>
      <c r="ACQ57" s="92"/>
      <c r="ACR57" s="92"/>
      <c r="ACS57" s="92"/>
      <c r="ACT57" s="92"/>
      <c r="ACU57" s="92"/>
      <c r="ACV57" s="92"/>
      <c r="ACW57" s="92"/>
      <c r="ACX57" s="92"/>
      <c r="ACY57" s="92"/>
      <c r="ACZ57" s="92"/>
      <c r="ADA57" s="92"/>
      <c r="ADB57" s="92"/>
      <c r="ADC57" s="92"/>
      <c r="ADD57" s="92"/>
      <c r="ADE57" s="92"/>
      <c r="ADF57" s="92"/>
      <c r="ADG57" s="92"/>
      <c r="ADH57" s="92"/>
      <c r="ADI57" s="92"/>
      <c r="ADJ57" s="92"/>
      <c r="ADK57" s="92"/>
      <c r="ADL57" s="92"/>
      <c r="ADM57" s="92"/>
      <c r="ADN57" s="92"/>
      <c r="ADO57" s="92"/>
      <c r="ADP57" s="92"/>
      <c r="ADQ57" s="92"/>
      <c r="ADR57" s="92"/>
      <c r="ADS57" s="92"/>
      <c r="ADT57" s="92"/>
      <c r="ADU57" s="92"/>
      <c r="ADV57" s="92"/>
      <c r="ADW57" s="92"/>
      <c r="ADX57" s="92"/>
      <c r="ADY57" s="92"/>
      <c r="ADZ57" s="92"/>
      <c r="AEA57" s="92"/>
      <c r="AEB57" s="92"/>
      <c r="AEC57" s="92"/>
      <c r="AED57" s="92"/>
      <c r="AEE57" s="92"/>
      <c r="AEF57" s="92"/>
      <c r="AEG57" s="92"/>
      <c r="AEH57" s="92"/>
      <c r="AEI57" s="92"/>
      <c r="AEJ57" s="92"/>
      <c r="AEK57" s="92"/>
      <c r="AEL57" s="92"/>
      <c r="AEM57" s="92"/>
      <c r="AEN57" s="92"/>
      <c r="AEO57" s="92"/>
      <c r="AEP57" s="92"/>
      <c r="AEQ57" s="92"/>
      <c r="AER57" s="92"/>
      <c r="AES57" s="92"/>
      <c r="AET57" s="92"/>
      <c r="AEU57" s="92"/>
      <c r="AEV57" s="92"/>
      <c r="AEW57" s="92"/>
      <c r="AEX57" s="92"/>
      <c r="AEY57" s="92"/>
      <c r="AEZ57" s="92"/>
      <c r="AFA57" s="92"/>
      <c r="AFB57" s="92"/>
      <c r="AFC57" s="92"/>
      <c r="AFD57" s="92"/>
      <c r="AFE57" s="92"/>
      <c r="AFF57" s="92"/>
      <c r="AFG57" s="92"/>
      <c r="AFH57" s="92"/>
      <c r="AFI57" s="92"/>
      <c r="AFJ57" s="92"/>
      <c r="AFK57" s="92"/>
      <c r="AFL57" s="92"/>
      <c r="AFM57" s="92"/>
      <c r="AFN57" s="92"/>
      <c r="AFO57" s="92"/>
      <c r="AFP57" s="92"/>
      <c r="AFQ57" s="92"/>
      <c r="AFR57" s="92"/>
      <c r="AFS57" s="92"/>
      <c r="AFT57" s="92"/>
      <c r="AFU57" s="92"/>
      <c r="AFV57" s="92"/>
      <c r="AFW57" s="92"/>
      <c r="AFX57" s="92"/>
      <c r="AFY57" s="92"/>
      <c r="AFZ57" s="92"/>
      <c r="AGA57" s="92"/>
      <c r="AGB57" s="92"/>
      <c r="AGC57" s="92"/>
      <c r="AGD57" s="92"/>
      <c r="AGE57" s="92"/>
      <c r="AGF57" s="92"/>
      <c r="AGG57" s="92"/>
      <c r="AGH57" s="92"/>
      <c r="AGI57" s="92"/>
      <c r="AGJ57" s="92"/>
      <c r="AGK57" s="92"/>
      <c r="AGL57" s="92"/>
      <c r="AGM57" s="92"/>
      <c r="AGN57" s="92"/>
      <c r="AGO57" s="92"/>
      <c r="AGP57" s="92"/>
      <c r="AGQ57" s="92"/>
      <c r="AGR57" s="92"/>
      <c r="AGS57" s="92"/>
      <c r="AGT57" s="92"/>
      <c r="AGU57" s="92"/>
      <c r="AGV57" s="92"/>
      <c r="AGW57" s="92"/>
      <c r="AGX57" s="92"/>
      <c r="AGY57" s="92"/>
      <c r="AGZ57" s="92"/>
      <c r="AHA57" s="92"/>
      <c r="AHB57" s="92"/>
      <c r="AHC57" s="92"/>
      <c r="AHD57" s="92"/>
      <c r="AHE57" s="92"/>
      <c r="AHF57" s="92"/>
      <c r="AHG57" s="92"/>
      <c r="AHH57" s="92"/>
      <c r="AHI57" s="92"/>
      <c r="AHJ57" s="92"/>
      <c r="AHK57" s="92"/>
      <c r="AHL57" s="92"/>
      <c r="AHM57" s="92"/>
      <c r="AHN57" s="92"/>
      <c r="AHO57" s="92"/>
      <c r="AHP57" s="92"/>
      <c r="AHQ57" s="92"/>
      <c r="AHR57" s="92"/>
      <c r="AHS57" s="92"/>
      <c r="AHT57" s="92"/>
      <c r="AHU57" s="92"/>
      <c r="AHV57" s="92"/>
      <c r="AHW57" s="92"/>
      <c r="AHX57" s="92"/>
      <c r="AHY57" s="92"/>
      <c r="AHZ57" s="92"/>
      <c r="AIA57" s="92"/>
      <c r="AIB57" s="92"/>
      <c r="AIC57" s="92"/>
      <c r="AID57" s="92"/>
      <c r="AIE57" s="92"/>
      <c r="AIF57" s="92"/>
      <c r="AIG57" s="92"/>
      <c r="AIH57" s="92"/>
      <c r="AII57" s="92"/>
      <c r="AIJ57" s="92"/>
      <c r="AIK57" s="92"/>
      <c r="AIL57" s="92"/>
      <c r="AIM57" s="92"/>
      <c r="AIN57" s="92"/>
      <c r="AIO57" s="92"/>
      <c r="AIP57" s="92"/>
      <c r="AIQ57" s="92"/>
      <c r="AIR57" s="92"/>
      <c r="AIS57" s="92"/>
      <c r="AIT57" s="92"/>
      <c r="AIU57" s="92"/>
      <c r="AIV57" s="92"/>
      <c r="AIW57" s="92"/>
      <c r="AIX57" s="92"/>
      <c r="AIY57" s="92"/>
      <c r="AIZ57" s="92"/>
      <c r="AJA57" s="92"/>
      <c r="AJB57" s="92"/>
      <c r="AJC57" s="92"/>
      <c r="AJD57" s="92"/>
      <c r="AJE57" s="92"/>
      <c r="AJF57" s="92"/>
      <c r="AJG57" s="92"/>
      <c r="AJH57" s="92"/>
      <c r="AJI57" s="92"/>
      <c r="AJJ57" s="92"/>
      <c r="AJK57" s="92"/>
      <c r="AJL57" s="92"/>
      <c r="AJM57" s="92"/>
      <c r="AJN57" s="92"/>
      <c r="AJO57" s="92"/>
      <c r="AJP57" s="92"/>
      <c r="AJQ57" s="92"/>
      <c r="AJR57" s="92"/>
      <c r="AJS57" s="92"/>
      <c r="AJT57" s="92"/>
      <c r="AJU57" s="92"/>
      <c r="AJV57" s="92"/>
      <c r="AJW57" s="92"/>
      <c r="AJX57" s="92"/>
      <c r="AJY57" s="92"/>
      <c r="AJZ57" s="92"/>
      <c r="AKA57" s="92"/>
      <c r="AKB57" s="92"/>
      <c r="AKC57" s="92"/>
      <c r="AKD57" s="92"/>
      <c r="AKE57" s="92"/>
      <c r="AKF57" s="92"/>
      <c r="AKG57" s="92"/>
      <c r="AKH57" s="92"/>
      <c r="AKI57" s="92"/>
      <c r="AKJ57" s="92"/>
      <c r="AKK57" s="92"/>
      <c r="AKL57" s="92"/>
      <c r="AKM57" s="92"/>
      <c r="AKN57" s="92"/>
      <c r="AKO57" s="92"/>
      <c r="AKP57" s="92"/>
      <c r="AKQ57" s="92"/>
      <c r="AKR57" s="92"/>
      <c r="AKS57" s="92"/>
      <c r="AKT57" s="92"/>
      <c r="AKU57" s="92"/>
      <c r="AKV57" s="92"/>
      <c r="AKW57" s="92"/>
      <c r="AKX57" s="92"/>
      <c r="AKY57" s="92"/>
      <c r="AKZ57" s="92"/>
      <c r="ALA57" s="92"/>
      <c r="ALB57" s="92"/>
      <c r="ALC57" s="92"/>
      <c r="ALD57" s="92"/>
      <c r="ALE57" s="92"/>
      <c r="ALF57" s="92"/>
      <c r="ALG57" s="92"/>
      <c r="ALH57" s="92"/>
      <c r="ALI57" s="92"/>
      <c r="ALJ57" s="92"/>
      <c r="ALK57" s="92"/>
      <c r="ALL57" s="92"/>
      <c r="ALM57" s="92"/>
      <c r="ALN57" s="92"/>
      <c r="ALO57" s="92"/>
      <c r="ALP57" s="92"/>
      <c r="ALQ57" s="92"/>
      <c r="ALR57" s="92"/>
      <c r="ALS57" s="92"/>
      <c r="ALT57" s="92"/>
      <c r="ALU57" s="92"/>
      <c r="ALV57" s="92"/>
      <c r="ALW57" s="92"/>
      <c r="ALX57" s="92"/>
      <c r="ALY57" s="92"/>
      <c r="ALZ57" s="92"/>
      <c r="AMA57" s="92"/>
      <c r="AMB57" s="92"/>
      <c r="AMC57" s="92"/>
      <c r="AMD57" s="92"/>
      <c r="AME57" s="92"/>
      <c r="AMF57" s="92"/>
      <c r="AMG57" s="92"/>
      <c r="AMH57" s="92"/>
      <c r="AMI57" s="92"/>
      <c r="AMJ57" s="92"/>
      <c r="AMK57" s="92"/>
      <c r="AML57" s="92"/>
      <c r="AMM57" s="92"/>
      <c r="AMN57" s="92"/>
      <c r="AMO57" s="92"/>
      <c r="AMP57" s="92"/>
      <c r="AMQ57" s="92"/>
      <c r="AMR57" s="92"/>
      <c r="AMS57" s="92"/>
      <c r="AMT57" s="92"/>
      <c r="AMU57" s="92"/>
      <c r="AMV57" s="92"/>
      <c r="AMW57" s="92"/>
      <c r="AMX57" s="92"/>
      <c r="AMY57" s="92"/>
      <c r="AMZ57" s="92"/>
      <c r="ANA57" s="92"/>
      <c r="ANB57" s="92"/>
      <c r="ANC57" s="92"/>
      <c r="AND57" s="92"/>
      <c r="ANE57" s="92"/>
      <c r="ANF57" s="92"/>
      <c r="ANG57" s="92"/>
      <c r="ANH57" s="92"/>
      <c r="ANI57" s="92"/>
      <c r="ANJ57" s="92"/>
      <c r="ANK57" s="92"/>
      <c r="ANL57" s="92"/>
      <c r="ANM57" s="92"/>
      <c r="ANN57" s="92"/>
      <c r="ANO57" s="92"/>
      <c r="ANP57" s="92"/>
      <c r="ANQ57" s="92"/>
      <c r="ANR57" s="92"/>
      <c r="ANS57" s="92"/>
      <c r="ANT57" s="92"/>
      <c r="ANU57" s="92"/>
      <c r="ANV57" s="92"/>
      <c r="ANW57" s="92"/>
      <c r="ANX57" s="92"/>
      <c r="ANY57" s="92"/>
      <c r="ANZ57" s="92"/>
      <c r="AOA57" s="92"/>
      <c r="AOB57" s="92"/>
      <c r="AOC57" s="92"/>
      <c r="AOD57" s="92"/>
      <c r="AOE57" s="92"/>
      <c r="AOF57" s="92"/>
      <c r="AOG57" s="92"/>
      <c r="AOH57" s="92"/>
      <c r="AOI57" s="92"/>
      <c r="AOJ57" s="92"/>
      <c r="AOK57" s="92"/>
      <c r="AOL57" s="92"/>
      <c r="AOM57" s="92"/>
      <c r="AON57" s="92"/>
      <c r="AOO57" s="92"/>
      <c r="AOP57" s="92"/>
      <c r="AOQ57" s="92"/>
      <c r="AOR57" s="92"/>
      <c r="AOS57" s="92"/>
      <c r="AOT57" s="92"/>
      <c r="AOU57" s="92"/>
      <c r="AOV57" s="92"/>
      <c r="AOW57" s="92"/>
      <c r="AOX57" s="92"/>
      <c r="AOY57" s="92"/>
      <c r="AOZ57" s="92"/>
      <c r="APA57" s="92"/>
      <c r="APB57" s="92"/>
      <c r="APC57" s="92"/>
      <c r="APD57" s="92"/>
      <c r="APE57" s="92"/>
      <c r="APF57" s="92"/>
      <c r="APG57" s="92"/>
      <c r="APH57" s="92"/>
      <c r="API57" s="92"/>
      <c r="APJ57" s="92"/>
      <c r="APK57" s="92"/>
      <c r="APL57" s="92"/>
      <c r="APM57" s="92"/>
      <c r="APN57" s="92"/>
      <c r="APO57" s="92"/>
      <c r="APP57" s="92"/>
      <c r="APQ57" s="92"/>
      <c r="APR57" s="92"/>
      <c r="APS57" s="92"/>
      <c r="APT57" s="92"/>
      <c r="APU57" s="92"/>
      <c r="APV57" s="92"/>
      <c r="APW57" s="92"/>
      <c r="APX57" s="92"/>
      <c r="APY57" s="92"/>
      <c r="APZ57" s="92"/>
      <c r="AQA57" s="92"/>
      <c r="AQB57" s="92"/>
      <c r="AQC57" s="92"/>
      <c r="AQD57" s="92"/>
      <c r="AQE57" s="92"/>
      <c r="AQF57" s="92"/>
      <c r="AQG57" s="92"/>
      <c r="AQH57" s="92"/>
      <c r="AQI57" s="92"/>
      <c r="AQJ57" s="92"/>
      <c r="AQK57" s="92"/>
      <c r="AQL57" s="92"/>
      <c r="AQM57" s="92"/>
      <c r="AQN57" s="92"/>
      <c r="AQO57" s="92"/>
      <c r="AQP57" s="92"/>
      <c r="AQQ57" s="92"/>
      <c r="AQR57" s="92"/>
      <c r="AQS57" s="92"/>
      <c r="AQT57" s="92"/>
      <c r="AQU57" s="92"/>
      <c r="AQV57" s="92"/>
      <c r="AQW57" s="92"/>
      <c r="AQX57" s="92"/>
      <c r="AQY57" s="92"/>
      <c r="AQZ57" s="92"/>
      <c r="ARA57" s="92"/>
      <c r="ARB57" s="92"/>
      <c r="ARC57" s="92"/>
      <c r="ARD57" s="92"/>
      <c r="ARE57" s="92"/>
      <c r="ARF57" s="92"/>
      <c r="ARG57" s="92"/>
      <c r="ARH57" s="92"/>
      <c r="ARI57" s="92"/>
      <c r="ARJ57" s="92"/>
      <c r="ARK57" s="92"/>
      <c r="ARL57" s="92"/>
      <c r="ARM57" s="92"/>
      <c r="ARN57" s="92"/>
      <c r="ARO57" s="92"/>
      <c r="ARP57" s="92"/>
      <c r="ARQ57" s="92"/>
      <c r="ARR57" s="92"/>
      <c r="ARS57" s="92"/>
      <c r="ART57" s="92"/>
      <c r="ARU57" s="92"/>
      <c r="ARV57" s="92"/>
      <c r="ARW57" s="92"/>
      <c r="ARX57" s="92"/>
      <c r="ARY57" s="92"/>
      <c r="ARZ57" s="92"/>
      <c r="ASA57" s="92"/>
      <c r="ASB57" s="92"/>
      <c r="ASC57" s="92"/>
      <c r="ASD57" s="92"/>
      <c r="ASE57" s="92"/>
      <c r="ASF57" s="92"/>
      <c r="ASG57" s="92"/>
      <c r="ASH57" s="92"/>
      <c r="ASI57" s="92"/>
      <c r="ASJ57" s="92"/>
      <c r="ASK57" s="92"/>
      <c r="ASL57" s="92"/>
      <c r="ASM57" s="92"/>
      <c r="ASN57" s="92"/>
      <c r="ASO57" s="92"/>
      <c r="ASP57" s="92"/>
      <c r="ASQ57" s="92"/>
      <c r="ASR57" s="92"/>
      <c r="ASS57" s="92"/>
      <c r="AST57" s="92"/>
      <c r="ASU57" s="92"/>
      <c r="ASV57" s="92"/>
      <c r="ASW57" s="92"/>
      <c r="ASX57" s="92"/>
      <c r="ASY57" s="92"/>
      <c r="ASZ57" s="92"/>
      <c r="ATA57" s="92"/>
      <c r="ATB57" s="92"/>
      <c r="ATC57" s="92"/>
      <c r="ATD57" s="92"/>
      <c r="ATE57" s="92"/>
      <c r="ATF57" s="92"/>
      <c r="ATG57" s="92"/>
      <c r="ATH57" s="92"/>
      <c r="ATI57" s="92"/>
      <c r="ATJ57" s="92"/>
      <c r="ATK57" s="92"/>
      <c r="ATL57" s="92"/>
      <c r="ATM57" s="92"/>
      <c r="ATN57" s="92"/>
      <c r="ATO57" s="92"/>
      <c r="ATP57" s="92"/>
      <c r="ATQ57" s="92"/>
      <c r="ATR57" s="92"/>
      <c r="ATS57" s="92"/>
      <c r="ATT57" s="92"/>
      <c r="ATU57" s="92"/>
      <c r="ATV57" s="92"/>
      <c r="ATW57" s="92"/>
      <c r="ATX57" s="92"/>
      <c r="ATY57" s="92"/>
      <c r="ATZ57" s="92"/>
      <c r="AUA57" s="92"/>
      <c r="AUB57" s="92"/>
      <c r="AUC57" s="92"/>
      <c r="AUD57" s="92"/>
      <c r="AUE57" s="92"/>
      <c r="AUF57" s="92"/>
      <c r="AUG57" s="92"/>
      <c r="AUH57" s="92"/>
      <c r="AUI57" s="92"/>
      <c r="AUJ57" s="92"/>
      <c r="AUK57" s="92"/>
      <c r="AUL57" s="92"/>
      <c r="AUM57" s="92"/>
      <c r="AUN57" s="92"/>
      <c r="AUO57" s="92"/>
      <c r="AUP57" s="92"/>
      <c r="AUQ57" s="92"/>
      <c r="AUR57" s="92"/>
      <c r="AUS57" s="92"/>
      <c r="AUT57" s="92"/>
      <c r="AUU57" s="92"/>
      <c r="AUV57" s="92"/>
      <c r="AUW57" s="92"/>
      <c r="AUX57" s="92"/>
      <c r="AUY57" s="92"/>
      <c r="AUZ57" s="92"/>
      <c r="AVA57" s="92"/>
      <c r="AVB57" s="92"/>
      <c r="AVC57" s="92"/>
      <c r="AVD57" s="92"/>
      <c r="AVE57" s="92"/>
      <c r="AVF57" s="92"/>
      <c r="AVG57" s="92"/>
      <c r="AVH57" s="92"/>
      <c r="AVI57" s="92"/>
      <c r="AVJ57" s="92"/>
      <c r="AVK57" s="92"/>
      <c r="AVL57" s="92"/>
      <c r="AVM57" s="92"/>
      <c r="AVN57" s="92"/>
      <c r="AVO57" s="92"/>
      <c r="AVP57" s="92"/>
      <c r="AVQ57" s="92"/>
      <c r="AVR57" s="92"/>
      <c r="AVS57" s="92"/>
      <c r="AVT57" s="92"/>
      <c r="AVU57" s="92"/>
      <c r="AVV57" s="92"/>
      <c r="AVW57" s="92"/>
      <c r="AVX57" s="92"/>
      <c r="AVY57" s="92"/>
      <c r="AVZ57" s="92"/>
      <c r="AWA57" s="92"/>
      <c r="AWB57" s="92"/>
      <c r="AWC57" s="92"/>
      <c r="AWD57" s="92"/>
      <c r="AWE57" s="92"/>
      <c r="AWF57" s="92"/>
      <c r="AWG57" s="92"/>
      <c r="AWH57" s="92"/>
      <c r="AWI57" s="92"/>
      <c r="AWJ57" s="92"/>
      <c r="AWK57" s="92"/>
      <c r="AWL57" s="92"/>
      <c r="AWM57" s="92"/>
      <c r="AWN57" s="92"/>
      <c r="AWO57" s="92"/>
      <c r="AWP57" s="92"/>
      <c r="AWQ57" s="92"/>
      <c r="AWR57" s="92"/>
      <c r="AWS57" s="92"/>
      <c r="AWT57" s="92"/>
      <c r="AWU57" s="92"/>
      <c r="AWV57" s="92"/>
      <c r="AWW57" s="92"/>
      <c r="AWX57" s="92"/>
      <c r="AWY57" s="92"/>
      <c r="AWZ57" s="92"/>
      <c r="AXA57" s="92"/>
      <c r="AXB57" s="92"/>
      <c r="AXC57" s="92"/>
      <c r="AXD57" s="92"/>
      <c r="AXE57" s="92"/>
      <c r="AXF57" s="92"/>
      <c r="AXG57" s="92"/>
      <c r="AXH57" s="92"/>
      <c r="AXI57" s="92"/>
      <c r="AXJ57" s="92"/>
      <c r="AXK57" s="92"/>
      <c r="AXL57" s="92"/>
      <c r="AXM57" s="92"/>
      <c r="AXN57" s="92"/>
      <c r="AXO57" s="92"/>
      <c r="AXP57" s="92"/>
      <c r="AXQ57" s="92"/>
      <c r="AXR57" s="92"/>
      <c r="AXS57" s="92"/>
      <c r="AXT57" s="92"/>
      <c r="AXU57" s="92"/>
      <c r="AXV57" s="92"/>
      <c r="AXW57" s="92"/>
      <c r="AXX57" s="92"/>
      <c r="AXY57" s="92"/>
      <c r="AXZ57" s="92"/>
      <c r="AYA57" s="92"/>
      <c r="AYB57" s="92"/>
      <c r="AYC57" s="92"/>
      <c r="AYD57" s="92"/>
      <c r="AYE57" s="92"/>
      <c r="AYF57" s="92"/>
      <c r="AYG57" s="92"/>
      <c r="AYH57" s="92"/>
      <c r="AYI57" s="92"/>
      <c r="AYJ57" s="92"/>
      <c r="AYK57" s="92"/>
      <c r="AYL57" s="92"/>
      <c r="AYM57" s="92"/>
      <c r="AYN57" s="92"/>
      <c r="AYO57" s="92"/>
      <c r="AYP57" s="92"/>
      <c r="AYQ57" s="92"/>
      <c r="AYR57" s="92"/>
      <c r="AYS57" s="92"/>
      <c r="AYT57" s="92"/>
      <c r="AYU57" s="92"/>
      <c r="AYV57" s="92"/>
      <c r="AYW57" s="92"/>
      <c r="AYX57" s="92"/>
      <c r="AYY57" s="92"/>
      <c r="AYZ57" s="92"/>
      <c r="AZA57" s="92"/>
      <c r="AZB57" s="92"/>
      <c r="AZC57" s="92"/>
      <c r="AZD57" s="92"/>
      <c r="AZE57" s="92"/>
      <c r="AZF57" s="92"/>
      <c r="AZG57" s="92"/>
      <c r="AZH57" s="92"/>
      <c r="AZI57" s="92"/>
      <c r="AZJ57" s="92"/>
      <c r="AZK57" s="92"/>
      <c r="AZL57" s="92"/>
      <c r="AZM57" s="92"/>
      <c r="AZN57" s="92"/>
      <c r="AZO57" s="92"/>
      <c r="AZP57" s="92"/>
      <c r="AZQ57" s="92"/>
      <c r="AZR57" s="92"/>
      <c r="AZS57" s="92"/>
      <c r="AZT57" s="92"/>
      <c r="AZU57" s="92"/>
      <c r="AZV57" s="92"/>
      <c r="AZW57" s="92"/>
      <c r="AZX57" s="92"/>
      <c r="AZY57" s="92"/>
      <c r="AZZ57" s="92"/>
      <c r="BAA57" s="92"/>
      <c r="BAB57" s="92"/>
      <c r="BAC57" s="92"/>
      <c r="BAD57" s="92"/>
      <c r="BAE57" s="92"/>
      <c r="BAF57" s="92"/>
      <c r="BAG57" s="92"/>
      <c r="BAH57" s="92"/>
      <c r="BAI57" s="92"/>
      <c r="BAJ57" s="92"/>
      <c r="BAK57" s="92"/>
      <c r="BAL57" s="92"/>
      <c r="BAM57" s="92"/>
      <c r="BAN57" s="92"/>
      <c r="BAO57" s="92"/>
      <c r="BAP57" s="92"/>
      <c r="BAQ57" s="92"/>
      <c r="BAR57" s="92"/>
      <c r="BAS57" s="92"/>
      <c r="BAT57" s="92"/>
      <c r="BAU57" s="92"/>
      <c r="BAV57" s="92"/>
      <c r="BAW57" s="92"/>
      <c r="BAX57" s="92"/>
      <c r="BAY57" s="92"/>
      <c r="BAZ57" s="92"/>
      <c r="BBA57" s="92"/>
      <c r="BBB57" s="92"/>
      <c r="BBC57" s="92"/>
      <c r="BBD57" s="92"/>
      <c r="BBE57" s="92"/>
      <c r="BBF57" s="92"/>
      <c r="BBG57" s="92"/>
      <c r="BBH57" s="92"/>
      <c r="BBI57" s="92"/>
      <c r="BBJ57" s="92"/>
      <c r="BBK57" s="92"/>
      <c r="BBL57" s="92"/>
      <c r="BBM57" s="92"/>
      <c r="BBN57" s="92"/>
      <c r="BBO57" s="92"/>
      <c r="BBP57" s="92"/>
      <c r="BBQ57" s="92"/>
      <c r="BBR57" s="92"/>
      <c r="BBS57" s="92"/>
      <c r="BBT57" s="92"/>
      <c r="BBU57" s="92"/>
      <c r="BBV57" s="92"/>
      <c r="BBW57" s="92"/>
      <c r="BBX57" s="92"/>
      <c r="BBY57" s="92"/>
      <c r="BBZ57" s="92"/>
      <c r="BCA57" s="92"/>
      <c r="BCB57" s="92"/>
      <c r="BCC57" s="92"/>
      <c r="BCD57" s="92"/>
      <c r="BCE57" s="92"/>
      <c r="BCF57" s="92"/>
      <c r="BCG57" s="92"/>
      <c r="BCH57" s="92"/>
      <c r="BCI57" s="92"/>
      <c r="BCJ57" s="92"/>
      <c r="BCK57" s="92"/>
      <c r="BCL57" s="92"/>
      <c r="BCM57" s="92"/>
      <c r="BCN57" s="92"/>
      <c r="BCO57" s="92"/>
      <c r="BCP57" s="92"/>
      <c r="BCQ57" s="92"/>
      <c r="BCR57" s="92"/>
      <c r="BCS57" s="92"/>
      <c r="BCT57" s="92"/>
      <c r="BCU57" s="92"/>
      <c r="BCV57" s="92"/>
      <c r="BCW57" s="92"/>
      <c r="BCX57" s="92"/>
      <c r="BCY57" s="92"/>
      <c r="BCZ57" s="92"/>
      <c r="BDA57" s="92"/>
      <c r="BDB57" s="92"/>
      <c r="BDC57" s="92"/>
      <c r="BDD57" s="92"/>
      <c r="BDE57" s="92"/>
      <c r="BDF57" s="92"/>
      <c r="BDG57" s="92"/>
      <c r="BDH57" s="92"/>
      <c r="BDI57" s="92"/>
      <c r="BDJ57" s="92"/>
      <c r="BDK57" s="92"/>
      <c r="BDL57" s="92"/>
      <c r="BDM57" s="92"/>
      <c r="BDN57" s="92"/>
      <c r="BDO57" s="92"/>
      <c r="BDP57" s="92"/>
      <c r="BDQ57" s="92"/>
      <c r="BDR57" s="92"/>
      <c r="BDS57" s="92"/>
      <c r="BDT57" s="92"/>
      <c r="BDU57" s="92"/>
      <c r="BDV57" s="92"/>
      <c r="BDW57" s="92"/>
      <c r="BDX57" s="92"/>
      <c r="BDY57" s="92"/>
      <c r="BDZ57" s="92"/>
      <c r="BEA57" s="92"/>
      <c r="BEB57" s="92"/>
      <c r="BEC57" s="92"/>
      <c r="BED57" s="92"/>
      <c r="BEE57" s="92"/>
      <c r="BEF57" s="92"/>
      <c r="BEG57" s="92"/>
      <c r="BEH57" s="92"/>
      <c r="BEI57" s="92"/>
      <c r="BEJ57" s="92"/>
      <c r="BEK57" s="92"/>
      <c r="BEL57" s="92"/>
      <c r="BEM57" s="92"/>
      <c r="BEN57" s="92"/>
      <c r="BEO57" s="92"/>
      <c r="BEP57" s="92"/>
      <c r="BEQ57" s="92"/>
      <c r="BER57" s="92"/>
      <c r="BES57" s="92"/>
      <c r="BET57" s="92"/>
      <c r="BEU57" s="92"/>
      <c r="BEV57" s="92"/>
      <c r="BEW57" s="92"/>
      <c r="BEX57" s="92"/>
      <c r="BEY57" s="92"/>
      <c r="BEZ57" s="92"/>
      <c r="BFA57" s="92"/>
      <c r="BFB57" s="92"/>
      <c r="BFC57" s="92"/>
      <c r="BFD57" s="92"/>
      <c r="BFE57" s="92"/>
      <c r="BFF57" s="92"/>
      <c r="BFG57" s="92"/>
      <c r="BFH57" s="92"/>
      <c r="BFI57" s="92"/>
      <c r="BFJ57" s="92"/>
      <c r="BFK57" s="92"/>
      <c r="BFL57" s="92"/>
      <c r="BFM57" s="92"/>
      <c r="BFN57" s="92"/>
      <c r="BFO57" s="92"/>
      <c r="BFP57" s="92"/>
      <c r="BFQ57" s="92"/>
      <c r="BFR57" s="92"/>
      <c r="BFS57" s="92"/>
      <c r="BFT57" s="92"/>
      <c r="BFU57" s="92"/>
      <c r="BFV57" s="92"/>
      <c r="BFW57" s="92"/>
      <c r="BFX57" s="92"/>
      <c r="BFY57" s="92"/>
      <c r="BFZ57" s="92"/>
      <c r="BGA57" s="92"/>
      <c r="BGB57" s="92"/>
      <c r="BGC57" s="92"/>
      <c r="BGD57" s="92"/>
      <c r="BGE57" s="92"/>
      <c r="BGF57" s="92"/>
      <c r="BGG57" s="92"/>
      <c r="BGH57" s="92"/>
      <c r="BGI57" s="92"/>
      <c r="BGJ57" s="92"/>
      <c r="BGK57" s="92"/>
      <c r="BGL57" s="92"/>
      <c r="BGM57" s="92"/>
      <c r="BGN57" s="92"/>
      <c r="BGO57" s="92"/>
      <c r="BGP57" s="92"/>
      <c r="BGQ57" s="92"/>
      <c r="BGR57" s="92"/>
      <c r="BGS57" s="92"/>
      <c r="BGT57" s="92"/>
      <c r="BGU57" s="92"/>
      <c r="BGV57" s="92"/>
      <c r="BGW57" s="92"/>
      <c r="BGX57" s="92"/>
      <c r="BGY57" s="92"/>
      <c r="BGZ57" s="92"/>
      <c r="BHA57" s="92"/>
      <c r="BHB57" s="92"/>
      <c r="BHC57" s="92"/>
      <c r="BHD57" s="92"/>
      <c r="BHE57" s="92"/>
      <c r="BHF57" s="92"/>
      <c r="BHG57" s="92"/>
      <c r="BHH57" s="92"/>
      <c r="BHI57" s="92"/>
      <c r="BHJ57" s="92"/>
      <c r="BHK57" s="92"/>
      <c r="BHL57" s="92"/>
      <c r="BHM57" s="92"/>
      <c r="BHN57" s="92"/>
      <c r="BHO57" s="92"/>
      <c r="BHP57" s="92"/>
      <c r="BHQ57" s="92"/>
      <c r="BHR57" s="92"/>
      <c r="BHS57" s="92"/>
      <c r="BHT57" s="92"/>
      <c r="BHU57" s="92"/>
      <c r="BHV57" s="92"/>
      <c r="BHW57" s="92"/>
      <c r="BHX57" s="92"/>
      <c r="BHY57" s="92"/>
      <c r="BHZ57" s="92"/>
      <c r="BIA57" s="92"/>
      <c r="BIB57" s="92"/>
      <c r="BIC57" s="92"/>
      <c r="BID57" s="92"/>
      <c r="BIE57" s="92"/>
      <c r="BIF57" s="92"/>
      <c r="BIG57" s="92"/>
      <c r="BIH57" s="92"/>
      <c r="BII57" s="92"/>
      <c r="BIJ57" s="92"/>
      <c r="BIK57" s="92"/>
      <c r="BIL57" s="92"/>
      <c r="BIM57" s="92"/>
      <c r="BIN57" s="92"/>
      <c r="BIO57" s="92"/>
      <c r="BIP57" s="92"/>
      <c r="BIQ57" s="92"/>
      <c r="BIR57" s="92"/>
      <c r="BIS57" s="92"/>
      <c r="BIT57" s="92"/>
      <c r="BIU57" s="92"/>
      <c r="BIV57" s="92"/>
      <c r="BIW57" s="92"/>
      <c r="BIX57" s="92"/>
      <c r="BIY57" s="92"/>
      <c r="BIZ57" s="92"/>
      <c r="BJA57" s="92"/>
      <c r="BJB57" s="92"/>
      <c r="BJC57" s="92"/>
      <c r="BJD57" s="92"/>
      <c r="BJE57" s="92"/>
      <c r="BJF57" s="92"/>
      <c r="BJG57" s="92"/>
      <c r="BJH57" s="92"/>
      <c r="BJI57" s="92"/>
      <c r="BJJ57" s="92"/>
      <c r="BJK57" s="92"/>
      <c r="BJL57" s="92"/>
      <c r="BJM57" s="92"/>
      <c r="BJN57" s="92"/>
      <c r="BJO57" s="92"/>
      <c r="BJP57" s="92"/>
      <c r="BJQ57" s="92"/>
      <c r="BJR57" s="92"/>
      <c r="BJS57" s="92"/>
      <c r="BJT57" s="92"/>
      <c r="BJU57" s="92"/>
      <c r="BJV57" s="92"/>
      <c r="BJW57" s="92"/>
      <c r="BJX57" s="92"/>
      <c r="BJY57" s="92"/>
      <c r="BJZ57" s="92"/>
      <c r="BKA57" s="92"/>
      <c r="BKB57" s="92"/>
      <c r="BKC57" s="92"/>
      <c r="BKD57" s="92"/>
      <c r="BKE57" s="92"/>
      <c r="BKF57" s="92"/>
      <c r="BKG57" s="92"/>
      <c r="BKH57" s="92"/>
      <c r="BKI57" s="92"/>
      <c r="BKJ57" s="92"/>
      <c r="BKK57" s="92"/>
      <c r="BKL57" s="92"/>
      <c r="BKM57" s="92"/>
      <c r="BKN57" s="92"/>
      <c r="BKO57" s="92"/>
      <c r="BKP57" s="92"/>
      <c r="BKQ57" s="92"/>
      <c r="BKR57" s="92"/>
      <c r="BKS57" s="92"/>
      <c r="BKT57" s="92"/>
      <c r="BKU57" s="92"/>
      <c r="BKV57" s="92"/>
      <c r="BKW57" s="92"/>
      <c r="BKX57" s="92"/>
      <c r="BKY57" s="92"/>
      <c r="BKZ57" s="92"/>
      <c r="BLA57" s="92"/>
      <c r="BLB57" s="92"/>
      <c r="BLC57" s="92"/>
      <c r="BLD57" s="92"/>
      <c r="BLE57" s="92"/>
      <c r="BLF57" s="92"/>
      <c r="BLG57" s="92"/>
      <c r="BLH57" s="92"/>
      <c r="BLI57" s="92"/>
      <c r="BLJ57" s="92"/>
      <c r="BLK57" s="92"/>
      <c r="BLL57" s="92"/>
      <c r="BLM57" s="92"/>
      <c r="BLN57" s="92"/>
      <c r="BLO57" s="92"/>
      <c r="BLP57" s="92"/>
      <c r="BLQ57" s="92"/>
      <c r="BLR57" s="92"/>
      <c r="BLS57" s="92"/>
      <c r="BLT57" s="92"/>
      <c r="BLU57" s="92"/>
      <c r="BLV57" s="92"/>
      <c r="BLW57" s="92"/>
      <c r="BLX57" s="92"/>
      <c r="BLY57" s="92"/>
      <c r="BLZ57" s="92"/>
      <c r="BMA57" s="92"/>
      <c r="BMB57" s="92"/>
      <c r="BMC57" s="92"/>
      <c r="BMD57" s="92"/>
      <c r="BME57" s="92"/>
      <c r="BMF57" s="92"/>
      <c r="BMG57" s="92"/>
      <c r="BMH57" s="92"/>
      <c r="BMI57" s="92"/>
      <c r="BMJ57" s="92"/>
      <c r="BMK57" s="92"/>
      <c r="BML57" s="92"/>
      <c r="BMM57" s="92"/>
      <c r="BMN57" s="92"/>
      <c r="BMO57" s="92"/>
      <c r="BMP57" s="92"/>
      <c r="BMQ57" s="92"/>
      <c r="BMR57" s="92"/>
      <c r="BMS57" s="92"/>
      <c r="BMT57" s="92"/>
      <c r="BMU57" s="92"/>
      <c r="BMV57" s="92"/>
      <c r="BMW57" s="92"/>
      <c r="BMX57" s="92"/>
      <c r="BMY57" s="92"/>
      <c r="BMZ57" s="92"/>
      <c r="BNA57" s="92"/>
      <c r="BNB57" s="92"/>
      <c r="BNC57" s="92"/>
      <c r="BND57" s="92"/>
      <c r="BNE57" s="92"/>
      <c r="BNF57" s="92"/>
      <c r="BNG57" s="92"/>
      <c r="BNH57" s="92"/>
      <c r="BNI57" s="92"/>
      <c r="BNJ57" s="92"/>
      <c r="BNK57" s="92"/>
      <c r="BNL57" s="92"/>
      <c r="BNM57" s="92"/>
      <c r="BNN57" s="92"/>
      <c r="BNO57" s="92"/>
      <c r="BNP57" s="92"/>
      <c r="BNQ57" s="92"/>
      <c r="BNR57" s="92"/>
      <c r="BNS57" s="92"/>
      <c r="BNT57" s="92"/>
      <c r="BNU57" s="92"/>
      <c r="BNV57" s="92"/>
      <c r="BNW57" s="92"/>
      <c r="BNX57" s="92"/>
      <c r="BNY57" s="92"/>
      <c r="BNZ57" s="92"/>
      <c r="BOA57" s="92"/>
      <c r="BOB57" s="92"/>
      <c r="BOC57" s="92"/>
      <c r="BOD57" s="92"/>
      <c r="BOE57" s="92"/>
      <c r="BOF57" s="92"/>
      <c r="BOG57" s="92"/>
      <c r="BOH57" s="92"/>
      <c r="BOI57" s="92"/>
      <c r="BOJ57" s="92"/>
      <c r="BOK57" s="92"/>
      <c r="BOL57" s="92"/>
      <c r="BOM57" s="92"/>
      <c r="BON57" s="92"/>
      <c r="BOO57" s="92"/>
      <c r="BOP57" s="92"/>
      <c r="BOQ57" s="92"/>
      <c r="BOR57" s="92"/>
      <c r="BOS57" s="92"/>
      <c r="BOT57" s="92"/>
      <c r="BOU57" s="92"/>
      <c r="BOV57" s="92"/>
      <c r="BOW57" s="92"/>
      <c r="BOX57" s="92"/>
      <c r="BOY57" s="92"/>
      <c r="BOZ57" s="92"/>
      <c r="BPA57" s="92"/>
      <c r="BPB57" s="92"/>
      <c r="BPC57" s="92"/>
      <c r="BPD57" s="92"/>
      <c r="BPE57" s="92"/>
      <c r="BPF57" s="92"/>
      <c r="BPG57" s="92"/>
      <c r="BPH57" s="92"/>
      <c r="BPI57" s="92"/>
      <c r="BPJ57" s="92"/>
      <c r="BPK57" s="92"/>
      <c r="BPL57" s="92"/>
      <c r="BPM57" s="92"/>
      <c r="BPN57" s="92"/>
      <c r="BPO57" s="92"/>
      <c r="BPP57" s="92"/>
      <c r="BPQ57" s="92"/>
      <c r="BPR57" s="92"/>
      <c r="BPS57" s="92"/>
      <c r="BPT57" s="92"/>
      <c r="BPU57" s="92"/>
      <c r="BPV57" s="92"/>
      <c r="BPW57" s="92"/>
      <c r="BPX57" s="92"/>
      <c r="BPY57" s="92"/>
      <c r="BPZ57" s="92"/>
      <c r="BQA57" s="92"/>
      <c r="BQB57" s="92"/>
      <c r="BQC57" s="92"/>
      <c r="BQD57" s="92"/>
      <c r="BQE57" s="92"/>
      <c r="BQF57" s="92"/>
      <c r="BQG57" s="92"/>
      <c r="BQH57" s="92"/>
      <c r="BQI57" s="92"/>
      <c r="BQJ57" s="92"/>
      <c r="BQK57" s="92"/>
      <c r="BQL57" s="92"/>
      <c r="BQM57" s="92"/>
      <c r="BQN57" s="92"/>
      <c r="BQO57" s="92"/>
      <c r="BQP57" s="92"/>
      <c r="BQQ57" s="92"/>
      <c r="BQR57" s="92"/>
      <c r="BQS57" s="92"/>
      <c r="BQT57" s="92"/>
      <c r="BQU57" s="92"/>
      <c r="BQV57" s="92"/>
      <c r="BQW57" s="92"/>
      <c r="BQX57" s="92"/>
      <c r="BQY57" s="92"/>
      <c r="BQZ57" s="92"/>
      <c r="BRA57" s="92"/>
      <c r="BRB57" s="92"/>
      <c r="BRC57" s="92"/>
      <c r="BRD57" s="92"/>
      <c r="BRE57" s="92"/>
      <c r="BRF57" s="92"/>
      <c r="BRG57" s="92"/>
      <c r="BRH57" s="92"/>
      <c r="BRI57" s="92"/>
      <c r="BRJ57" s="92"/>
      <c r="BRK57" s="92"/>
      <c r="BRL57" s="92"/>
      <c r="BRM57" s="92"/>
      <c r="BRN57" s="92"/>
      <c r="BRO57" s="92"/>
      <c r="BRP57" s="92"/>
      <c r="BRQ57" s="92"/>
      <c r="BRR57" s="92"/>
      <c r="BRS57" s="92"/>
      <c r="BRT57" s="92"/>
      <c r="BRU57" s="92"/>
      <c r="BRV57" s="92"/>
      <c r="BRW57" s="92"/>
      <c r="BRX57" s="92"/>
      <c r="BRY57" s="92"/>
      <c r="BRZ57" s="92"/>
      <c r="BSA57" s="92"/>
      <c r="BSB57" s="92"/>
      <c r="BSC57" s="92"/>
      <c r="BSD57" s="92"/>
      <c r="BSE57" s="92"/>
      <c r="BSF57" s="92"/>
      <c r="BSG57" s="92"/>
      <c r="BSH57" s="92"/>
      <c r="BSI57" s="92"/>
      <c r="BSJ57" s="92"/>
      <c r="BSK57" s="92"/>
      <c r="BSL57" s="92"/>
      <c r="BSM57" s="92"/>
      <c r="BSN57" s="92"/>
      <c r="BSO57" s="92"/>
      <c r="BSP57" s="92"/>
      <c r="BSQ57" s="92"/>
      <c r="BSR57" s="92"/>
      <c r="BSS57" s="92"/>
      <c r="BST57" s="92"/>
      <c r="BSU57" s="92"/>
      <c r="BSV57" s="92"/>
      <c r="BSW57" s="92"/>
      <c r="BSX57" s="92"/>
      <c r="BSY57" s="92"/>
      <c r="BSZ57" s="92"/>
      <c r="BTA57" s="92"/>
      <c r="BTB57" s="92"/>
      <c r="BTC57" s="92"/>
      <c r="BTD57" s="92"/>
      <c r="BTE57" s="92"/>
      <c r="BTF57" s="92"/>
      <c r="BTG57" s="92"/>
      <c r="BTH57" s="92"/>
      <c r="BTI57" s="92"/>
      <c r="BTJ57" s="92"/>
      <c r="BTK57" s="92"/>
      <c r="BTL57" s="92"/>
      <c r="BTM57" s="92"/>
      <c r="BTN57" s="92"/>
      <c r="BTO57" s="92"/>
      <c r="BTP57" s="92"/>
      <c r="BTQ57" s="92"/>
      <c r="BTR57" s="92"/>
      <c r="BTS57" s="92"/>
      <c r="BTT57" s="92"/>
      <c r="BTU57" s="92"/>
      <c r="BTV57" s="92"/>
      <c r="BTW57" s="92"/>
      <c r="BTX57" s="92"/>
      <c r="BTY57" s="92"/>
      <c r="BTZ57" s="92"/>
      <c r="BUA57" s="92"/>
      <c r="BUB57" s="92"/>
      <c r="BUC57" s="92"/>
      <c r="BUD57" s="92"/>
      <c r="BUE57" s="92"/>
      <c r="BUF57" s="92"/>
      <c r="BUG57" s="92"/>
      <c r="BUH57" s="92"/>
      <c r="BUI57" s="92"/>
      <c r="BUJ57" s="92"/>
      <c r="BUK57" s="92"/>
      <c r="BUL57" s="92"/>
      <c r="BUM57" s="92"/>
      <c r="BUN57" s="92"/>
      <c r="BUO57" s="92"/>
      <c r="BUP57" s="92"/>
      <c r="BUQ57" s="92"/>
      <c r="BUR57" s="92"/>
      <c r="BUS57" s="92"/>
      <c r="BUT57" s="92"/>
      <c r="BUU57" s="92"/>
      <c r="BUV57" s="92"/>
      <c r="BUW57" s="92"/>
      <c r="BUX57" s="92"/>
      <c r="BUY57" s="92"/>
      <c r="BUZ57" s="92"/>
      <c r="BVA57" s="92"/>
      <c r="BVB57" s="92"/>
      <c r="BVC57" s="92"/>
      <c r="BVD57" s="92"/>
      <c r="BVE57" s="92"/>
      <c r="BVF57" s="92"/>
      <c r="BVG57" s="92"/>
      <c r="BVH57" s="92"/>
      <c r="BVI57" s="92"/>
      <c r="BVJ57" s="92"/>
      <c r="BVK57" s="92"/>
      <c r="BVL57" s="92"/>
      <c r="BVM57" s="92"/>
      <c r="BVN57" s="92"/>
      <c r="BVO57" s="92"/>
      <c r="BVP57" s="92"/>
      <c r="BVQ57" s="92"/>
      <c r="BVR57" s="92"/>
      <c r="BVS57" s="92"/>
      <c r="BVT57" s="92"/>
      <c r="BVU57" s="92"/>
      <c r="BVV57" s="92"/>
      <c r="BVW57" s="92"/>
      <c r="BVX57" s="92"/>
      <c r="BVY57" s="92"/>
      <c r="BVZ57" s="92"/>
      <c r="BWA57" s="92"/>
      <c r="BWB57" s="92"/>
      <c r="BWC57" s="92"/>
      <c r="BWD57" s="92"/>
      <c r="BWE57" s="92"/>
      <c r="BWF57" s="92"/>
      <c r="BWG57" s="92"/>
      <c r="BWH57" s="92"/>
      <c r="BWI57" s="92"/>
      <c r="BWJ57" s="92"/>
      <c r="BWK57" s="92"/>
      <c r="BWL57" s="92"/>
      <c r="BWM57" s="92"/>
      <c r="BWN57" s="92"/>
      <c r="BWO57" s="92"/>
      <c r="BWP57" s="92"/>
      <c r="BWQ57" s="92"/>
      <c r="BWR57" s="92"/>
      <c r="BWS57" s="92"/>
      <c r="BWT57" s="92"/>
      <c r="BWU57" s="92"/>
      <c r="BWV57" s="92"/>
      <c r="BWW57" s="92"/>
      <c r="BWX57" s="92"/>
      <c r="BWY57" s="92"/>
      <c r="BWZ57" s="92"/>
      <c r="BXA57" s="92"/>
      <c r="BXB57" s="92"/>
      <c r="BXC57" s="92"/>
      <c r="BXD57" s="92"/>
      <c r="BXE57" s="92"/>
      <c r="BXF57" s="92"/>
      <c r="BXG57" s="92"/>
      <c r="BXH57" s="92"/>
      <c r="BXI57" s="92"/>
      <c r="BXJ57" s="92"/>
      <c r="BXK57" s="92"/>
      <c r="BXL57" s="92"/>
      <c r="BXM57" s="92"/>
      <c r="BXN57" s="92"/>
      <c r="BXO57" s="92"/>
      <c r="BXP57" s="92"/>
      <c r="BXQ57" s="92"/>
      <c r="BXR57" s="92"/>
      <c r="BXS57" s="92"/>
      <c r="BXT57" s="92"/>
      <c r="BXU57" s="92"/>
      <c r="BXV57" s="92"/>
      <c r="BXW57" s="92"/>
      <c r="BXX57" s="92"/>
      <c r="BXY57" s="92"/>
      <c r="BXZ57" s="92"/>
      <c r="BYA57" s="92"/>
      <c r="BYB57" s="92"/>
      <c r="BYC57" s="92"/>
      <c r="BYD57" s="92"/>
      <c r="BYE57" s="92"/>
      <c r="BYF57" s="92"/>
      <c r="BYG57" s="92"/>
      <c r="BYH57" s="92"/>
      <c r="BYI57" s="92"/>
      <c r="BYJ57" s="92"/>
      <c r="BYK57" s="92"/>
      <c r="BYL57" s="92"/>
      <c r="BYM57" s="92"/>
      <c r="BYN57" s="92"/>
      <c r="BYO57" s="92"/>
      <c r="BYP57" s="92"/>
      <c r="BYQ57" s="92"/>
      <c r="BYR57" s="92"/>
      <c r="BYS57" s="92"/>
      <c r="BYT57" s="92"/>
      <c r="BYU57" s="92"/>
      <c r="BYV57" s="92"/>
      <c r="BYW57" s="92"/>
      <c r="BYX57" s="92"/>
      <c r="BYY57" s="92"/>
      <c r="BYZ57" s="92"/>
      <c r="BZA57" s="92"/>
      <c r="BZB57" s="92"/>
      <c r="BZC57" s="92"/>
      <c r="BZD57" s="92"/>
      <c r="BZE57" s="92"/>
      <c r="BZF57" s="92"/>
      <c r="BZG57" s="92"/>
      <c r="BZH57" s="92"/>
      <c r="BZI57" s="92"/>
      <c r="BZJ57" s="92"/>
      <c r="BZK57" s="92"/>
      <c r="BZL57" s="92"/>
      <c r="BZM57" s="92"/>
      <c r="BZN57" s="92"/>
      <c r="BZO57" s="92"/>
      <c r="BZP57" s="92"/>
      <c r="BZQ57" s="92"/>
      <c r="BZR57" s="92"/>
      <c r="BZS57" s="92"/>
      <c r="BZT57" s="92"/>
      <c r="BZU57" s="92"/>
      <c r="BZV57" s="92"/>
      <c r="BZW57" s="92"/>
      <c r="BZX57" s="92"/>
      <c r="BZY57" s="92"/>
      <c r="BZZ57" s="92"/>
      <c r="CAA57" s="92"/>
      <c r="CAB57" s="92"/>
      <c r="CAC57" s="92"/>
      <c r="CAD57" s="92"/>
      <c r="CAE57" s="92"/>
      <c r="CAF57" s="92"/>
      <c r="CAG57" s="92"/>
      <c r="CAH57" s="92"/>
      <c r="CAI57" s="92"/>
      <c r="CAJ57" s="92"/>
      <c r="CAK57" s="92"/>
      <c r="CAL57" s="92"/>
      <c r="CAM57" s="92"/>
      <c r="CAN57" s="92"/>
      <c r="CAO57" s="92"/>
      <c r="CAP57" s="92"/>
      <c r="CAQ57" s="92"/>
      <c r="CAR57" s="92"/>
      <c r="CAS57" s="92"/>
      <c r="CAT57" s="92"/>
      <c r="CAU57" s="92"/>
      <c r="CAV57" s="92"/>
      <c r="CAW57" s="92"/>
      <c r="CAX57" s="92"/>
      <c r="CAY57" s="92"/>
      <c r="CAZ57" s="92"/>
      <c r="CBA57" s="92"/>
      <c r="CBB57" s="92"/>
      <c r="CBC57" s="92"/>
      <c r="CBD57" s="92"/>
      <c r="CBE57" s="92"/>
      <c r="CBF57" s="92"/>
      <c r="CBG57" s="92"/>
      <c r="CBH57" s="92"/>
      <c r="CBI57" s="92"/>
      <c r="CBJ57" s="92"/>
      <c r="CBK57" s="92"/>
      <c r="CBL57" s="92"/>
      <c r="CBM57" s="92"/>
      <c r="CBN57" s="92"/>
      <c r="CBO57" s="92"/>
      <c r="CBP57" s="92"/>
      <c r="CBQ57" s="92"/>
      <c r="CBR57" s="92"/>
      <c r="CBS57" s="92"/>
      <c r="CBT57" s="92"/>
      <c r="CBU57" s="92"/>
      <c r="CBV57" s="92"/>
      <c r="CBW57" s="92"/>
      <c r="CBX57" s="92"/>
      <c r="CBY57" s="92"/>
      <c r="CBZ57" s="92"/>
      <c r="CCA57" s="92"/>
      <c r="CCB57" s="92"/>
      <c r="CCC57" s="92"/>
      <c r="CCD57" s="92"/>
      <c r="CCE57" s="92"/>
      <c r="CCF57" s="92"/>
      <c r="CCG57" s="92"/>
      <c r="CCH57" s="92"/>
      <c r="CCI57" s="92"/>
      <c r="CCJ57" s="92"/>
      <c r="CCK57" s="92"/>
      <c r="CCL57" s="92"/>
      <c r="CCM57" s="92"/>
      <c r="CCN57" s="92"/>
      <c r="CCO57" s="92"/>
      <c r="CCP57" s="92"/>
      <c r="CCQ57" s="92"/>
      <c r="CCR57" s="92"/>
      <c r="CCS57" s="92"/>
      <c r="CCT57" s="92"/>
      <c r="CCU57" s="92"/>
      <c r="CCV57" s="92"/>
      <c r="CCW57" s="92"/>
      <c r="CCX57" s="92"/>
      <c r="CCY57" s="92"/>
      <c r="CCZ57" s="92"/>
      <c r="CDA57" s="92"/>
      <c r="CDB57" s="92"/>
      <c r="CDC57" s="92"/>
      <c r="CDD57" s="92"/>
      <c r="CDE57" s="92"/>
      <c r="CDF57" s="92"/>
      <c r="CDG57" s="92"/>
      <c r="CDH57" s="92"/>
      <c r="CDI57" s="92"/>
      <c r="CDJ57" s="92"/>
      <c r="CDK57" s="92"/>
      <c r="CDL57" s="92"/>
      <c r="CDM57" s="92"/>
      <c r="CDN57" s="92"/>
      <c r="CDO57" s="92"/>
      <c r="CDP57" s="92"/>
      <c r="CDQ57" s="92"/>
      <c r="CDR57" s="92"/>
      <c r="CDS57" s="92"/>
      <c r="CDT57" s="92"/>
      <c r="CDU57" s="92"/>
      <c r="CDV57" s="92"/>
      <c r="CDW57" s="92"/>
      <c r="CDX57" s="92"/>
      <c r="CDY57" s="92"/>
      <c r="CDZ57" s="92"/>
      <c r="CEA57" s="92"/>
      <c r="CEB57" s="92"/>
      <c r="CEC57" s="92"/>
      <c r="CED57" s="92"/>
      <c r="CEE57" s="92"/>
      <c r="CEF57" s="92"/>
      <c r="CEG57" s="92"/>
      <c r="CEH57" s="92"/>
      <c r="CEI57" s="92"/>
      <c r="CEJ57" s="92"/>
      <c r="CEK57" s="92"/>
      <c r="CEL57" s="92"/>
      <c r="CEM57" s="92"/>
      <c r="CEN57" s="92"/>
      <c r="CEO57" s="92"/>
      <c r="CEP57" s="92"/>
      <c r="CEQ57" s="92"/>
      <c r="CER57" s="92"/>
      <c r="CES57" s="92"/>
      <c r="CET57" s="92"/>
      <c r="CEU57" s="92"/>
      <c r="CEV57" s="92"/>
      <c r="CEW57" s="92"/>
      <c r="CEX57" s="92"/>
      <c r="CEY57" s="92"/>
      <c r="CEZ57" s="92"/>
      <c r="CFA57" s="92"/>
      <c r="CFB57" s="92"/>
      <c r="CFC57" s="92"/>
      <c r="CFD57" s="92"/>
      <c r="CFE57" s="92"/>
      <c r="CFF57" s="92"/>
      <c r="CFG57" s="92"/>
      <c r="CFH57" s="92"/>
      <c r="CFI57" s="92"/>
      <c r="CFJ57" s="92"/>
      <c r="CFK57" s="92"/>
      <c r="CFL57" s="92"/>
      <c r="CFM57" s="92"/>
      <c r="CFN57" s="92"/>
      <c r="CFO57" s="92"/>
      <c r="CFP57" s="92"/>
      <c r="CFQ57" s="92"/>
      <c r="CFR57" s="92"/>
      <c r="CFS57" s="92"/>
      <c r="CFT57" s="92"/>
      <c r="CFU57" s="92"/>
      <c r="CFV57" s="92"/>
      <c r="CFW57" s="92"/>
      <c r="CFX57" s="92"/>
      <c r="CFY57" s="92"/>
      <c r="CFZ57" s="92"/>
      <c r="CGA57" s="92"/>
      <c r="CGB57" s="92"/>
      <c r="CGC57" s="92"/>
      <c r="CGD57" s="92"/>
      <c r="CGE57" s="92"/>
      <c r="CGF57" s="92"/>
      <c r="CGG57" s="92"/>
      <c r="CGH57" s="92"/>
      <c r="CGI57" s="92"/>
      <c r="CGJ57" s="92"/>
      <c r="CGK57" s="92"/>
      <c r="CGL57" s="92"/>
      <c r="CGM57" s="92"/>
      <c r="CGN57" s="92"/>
      <c r="CGO57" s="92"/>
      <c r="CGP57" s="92"/>
      <c r="CGQ57" s="92"/>
      <c r="CGR57" s="92"/>
      <c r="CGS57" s="92"/>
      <c r="CGT57" s="92"/>
      <c r="CGU57" s="92"/>
      <c r="CGV57" s="92"/>
      <c r="CGW57" s="92"/>
      <c r="CGX57" s="92"/>
      <c r="CGY57" s="92"/>
      <c r="CGZ57" s="92"/>
      <c r="CHA57" s="92"/>
      <c r="CHB57" s="92"/>
      <c r="CHC57" s="92"/>
      <c r="CHD57" s="92"/>
      <c r="CHE57" s="92"/>
      <c r="CHF57" s="92"/>
      <c r="CHG57" s="92"/>
      <c r="CHH57" s="92"/>
      <c r="CHI57" s="92"/>
      <c r="CHJ57" s="92"/>
      <c r="CHK57" s="92"/>
      <c r="CHL57" s="92"/>
      <c r="CHM57" s="92"/>
      <c r="CHN57" s="92"/>
      <c r="CHO57" s="92"/>
      <c r="CHP57" s="92"/>
      <c r="CHQ57" s="92"/>
      <c r="CHR57" s="92"/>
      <c r="CHS57" s="92"/>
      <c r="CHT57" s="92"/>
      <c r="CHU57" s="92"/>
      <c r="CHV57" s="92"/>
      <c r="CHW57" s="92"/>
      <c r="CHX57" s="92"/>
      <c r="CHY57" s="92"/>
      <c r="CHZ57" s="92"/>
      <c r="CIA57" s="92"/>
      <c r="CIB57" s="92"/>
      <c r="CIC57" s="92"/>
      <c r="CID57" s="92"/>
      <c r="CIE57" s="92"/>
      <c r="CIF57" s="92"/>
      <c r="CIG57" s="92"/>
      <c r="CIH57" s="92"/>
      <c r="CII57" s="92"/>
      <c r="CIJ57" s="92"/>
      <c r="CIK57" s="92"/>
      <c r="CIL57" s="92"/>
      <c r="CIM57" s="92"/>
      <c r="CIN57" s="92"/>
      <c r="CIO57" s="92"/>
      <c r="CIP57" s="92"/>
      <c r="CIQ57" s="92"/>
      <c r="CIR57" s="92"/>
      <c r="CIS57" s="92"/>
      <c r="CIT57" s="92"/>
      <c r="CIU57" s="92"/>
      <c r="CIV57" s="92"/>
      <c r="CIW57" s="92"/>
      <c r="CIX57" s="92"/>
      <c r="CIY57" s="92"/>
      <c r="CIZ57" s="92"/>
      <c r="CJA57" s="92"/>
      <c r="CJB57" s="92"/>
      <c r="CJC57" s="92"/>
      <c r="CJD57" s="92"/>
      <c r="CJE57" s="92"/>
      <c r="CJF57" s="92"/>
      <c r="CJG57" s="92"/>
      <c r="CJH57" s="92"/>
      <c r="CJI57" s="92"/>
      <c r="CJJ57" s="92"/>
      <c r="CJK57" s="92"/>
      <c r="CJL57" s="92"/>
      <c r="CJM57" s="92"/>
      <c r="CJN57" s="92"/>
      <c r="CJO57" s="92"/>
      <c r="CJP57" s="92"/>
      <c r="CJQ57" s="92"/>
      <c r="CJR57" s="92"/>
      <c r="CJS57" s="92"/>
      <c r="CJT57" s="92"/>
      <c r="CJU57" s="92"/>
      <c r="CJV57" s="92"/>
      <c r="CJW57" s="92"/>
      <c r="CJX57" s="92"/>
      <c r="CJY57" s="92"/>
      <c r="CJZ57" s="92"/>
      <c r="CKA57" s="92"/>
      <c r="CKB57" s="92"/>
      <c r="CKC57" s="92"/>
      <c r="CKD57" s="92"/>
      <c r="CKE57" s="92"/>
      <c r="CKF57" s="92"/>
      <c r="CKG57" s="92"/>
      <c r="CKH57" s="92"/>
      <c r="CKI57" s="92"/>
      <c r="CKJ57" s="92"/>
      <c r="CKK57" s="92"/>
      <c r="CKL57" s="92"/>
      <c r="CKM57" s="92"/>
      <c r="CKN57" s="92"/>
      <c r="CKO57" s="92"/>
      <c r="CKP57" s="92"/>
      <c r="CKQ57" s="92"/>
      <c r="CKR57" s="92"/>
      <c r="CKS57" s="92"/>
      <c r="CKT57" s="92"/>
      <c r="CKU57" s="92"/>
      <c r="CKV57" s="92"/>
      <c r="CKW57" s="92"/>
      <c r="CKX57" s="92"/>
      <c r="CKY57" s="92"/>
      <c r="CKZ57" s="92"/>
      <c r="CLA57" s="92"/>
      <c r="CLB57" s="92"/>
      <c r="CLC57" s="92"/>
      <c r="CLD57" s="92"/>
      <c r="CLE57" s="92"/>
      <c r="CLF57" s="92"/>
      <c r="CLG57" s="92"/>
      <c r="CLH57" s="92"/>
      <c r="CLI57" s="92"/>
      <c r="CLJ57" s="92"/>
      <c r="CLK57" s="92"/>
      <c r="CLL57" s="92"/>
      <c r="CLM57" s="92"/>
      <c r="CLN57" s="92"/>
      <c r="CLO57" s="92"/>
      <c r="CLP57" s="92"/>
      <c r="CLQ57" s="92"/>
      <c r="CLR57" s="92"/>
      <c r="CLS57" s="92"/>
      <c r="CLT57" s="92"/>
      <c r="CLU57" s="92"/>
      <c r="CLV57" s="92"/>
      <c r="CLW57" s="92"/>
      <c r="CLX57" s="92"/>
      <c r="CLY57" s="92"/>
      <c r="CLZ57" s="92"/>
      <c r="CMA57" s="92"/>
      <c r="CMB57" s="92"/>
      <c r="CMC57" s="92"/>
      <c r="CMD57" s="92"/>
      <c r="CME57" s="92"/>
      <c r="CMF57" s="92"/>
      <c r="CMG57" s="92"/>
      <c r="CMH57" s="92"/>
      <c r="CMI57" s="92"/>
      <c r="CMJ57" s="92"/>
      <c r="CMK57" s="92"/>
      <c r="CML57" s="92"/>
      <c r="CMM57" s="92"/>
      <c r="CMN57" s="92"/>
      <c r="CMO57" s="92"/>
      <c r="CMP57" s="92"/>
      <c r="CMQ57" s="92"/>
      <c r="CMR57" s="92"/>
      <c r="CMS57" s="92"/>
      <c r="CMT57" s="92"/>
      <c r="CMU57" s="92"/>
      <c r="CMV57" s="92"/>
      <c r="CMW57" s="92"/>
      <c r="CMX57" s="92"/>
      <c r="CMY57" s="92"/>
      <c r="CMZ57" s="92"/>
      <c r="CNA57" s="92"/>
      <c r="CNB57" s="92"/>
      <c r="CNC57" s="92"/>
      <c r="CND57" s="92"/>
      <c r="CNE57" s="92"/>
      <c r="CNF57" s="92"/>
      <c r="CNG57" s="92"/>
      <c r="CNH57" s="92"/>
      <c r="CNI57" s="92"/>
      <c r="CNJ57" s="92"/>
      <c r="CNK57" s="92"/>
      <c r="CNL57" s="92"/>
      <c r="CNM57" s="92"/>
      <c r="CNN57" s="92"/>
      <c r="CNO57" s="92"/>
      <c r="CNP57" s="92"/>
      <c r="CNQ57" s="92"/>
      <c r="CNR57" s="92"/>
      <c r="CNS57" s="92"/>
      <c r="CNT57" s="92"/>
      <c r="CNU57" s="92"/>
      <c r="CNV57" s="92"/>
      <c r="CNW57" s="92"/>
      <c r="CNX57" s="92"/>
      <c r="CNY57" s="92"/>
      <c r="CNZ57" s="92"/>
      <c r="COA57" s="92"/>
      <c r="COB57" s="92"/>
      <c r="COC57" s="92"/>
      <c r="COD57" s="92"/>
      <c r="COE57" s="92"/>
      <c r="COF57" s="92"/>
      <c r="COG57" s="92"/>
      <c r="COH57" s="92"/>
      <c r="COI57" s="92"/>
      <c r="COJ57" s="92"/>
      <c r="COK57" s="92"/>
      <c r="COL57" s="92"/>
      <c r="COM57" s="92"/>
      <c r="CON57" s="92"/>
      <c r="COO57" s="92"/>
      <c r="COP57" s="92"/>
      <c r="COQ57" s="92"/>
      <c r="COR57" s="92"/>
      <c r="COS57" s="92"/>
      <c r="COT57" s="92"/>
      <c r="COU57" s="92"/>
      <c r="COV57" s="92"/>
      <c r="COW57" s="92"/>
      <c r="COX57" s="92"/>
      <c r="COY57" s="92"/>
      <c r="COZ57" s="92"/>
      <c r="CPA57" s="92"/>
      <c r="CPB57" s="92"/>
      <c r="CPC57" s="92"/>
      <c r="CPD57" s="92"/>
      <c r="CPE57" s="92"/>
      <c r="CPF57" s="92"/>
      <c r="CPG57" s="92"/>
      <c r="CPH57" s="92"/>
      <c r="CPI57" s="92"/>
      <c r="CPJ57" s="92"/>
      <c r="CPK57" s="92"/>
      <c r="CPL57" s="92"/>
      <c r="CPM57" s="92"/>
      <c r="CPN57" s="92"/>
      <c r="CPO57" s="92"/>
      <c r="CPP57" s="92"/>
      <c r="CPQ57" s="92"/>
      <c r="CPR57" s="92"/>
      <c r="CPS57" s="92"/>
      <c r="CPT57" s="92"/>
      <c r="CPU57" s="92"/>
      <c r="CPV57" s="92"/>
      <c r="CPW57" s="92"/>
      <c r="CPX57" s="92"/>
      <c r="CPY57" s="92"/>
      <c r="CPZ57" s="92"/>
      <c r="CQA57" s="92"/>
      <c r="CQB57" s="92"/>
      <c r="CQC57" s="92"/>
      <c r="CQD57" s="92"/>
      <c r="CQE57" s="92"/>
      <c r="CQF57" s="92"/>
      <c r="CQG57" s="92"/>
      <c r="CQH57" s="92"/>
      <c r="CQI57" s="92"/>
      <c r="CQJ57" s="92"/>
      <c r="CQK57" s="92"/>
      <c r="CQL57" s="92"/>
      <c r="CQM57" s="92"/>
      <c r="CQN57" s="92"/>
      <c r="CQO57" s="92"/>
      <c r="CQP57" s="92"/>
      <c r="CQQ57" s="92"/>
      <c r="CQR57" s="92"/>
      <c r="CQS57" s="92"/>
      <c r="CQT57" s="92"/>
      <c r="CQU57" s="92"/>
      <c r="CQV57" s="92"/>
      <c r="CQW57" s="92"/>
      <c r="CQX57" s="92"/>
      <c r="CQY57" s="92"/>
      <c r="CQZ57" s="92"/>
      <c r="CRA57" s="92"/>
      <c r="CRB57" s="92"/>
      <c r="CRC57" s="92"/>
      <c r="CRD57" s="92"/>
      <c r="CRE57" s="92"/>
      <c r="CRF57" s="92"/>
      <c r="CRG57" s="92"/>
      <c r="CRH57" s="92"/>
      <c r="CRI57" s="92"/>
      <c r="CRJ57" s="92"/>
      <c r="CRK57" s="92"/>
      <c r="CRL57" s="92"/>
      <c r="CRM57" s="92"/>
      <c r="CRN57" s="92"/>
      <c r="CRO57" s="92"/>
      <c r="CRP57" s="92"/>
      <c r="CRQ57" s="92"/>
      <c r="CRR57" s="92"/>
      <c r="CRS57" s="92"/>
      <c r="CRT57" s="92"/>
      <c r="CRU57" s="92"/>
      <c r="CRV57" s="92"/>
      <c r="CRW57" s="92"/>
      <c r="CRX57" s="92"/>
      <c r="CRY57" s="92"/>
      <c r="CRZ57" s="92"/>
      <c r="CSA57" s="92"/>
      <c r="CSB57" s="92"/>
      <c r="CSC57" s="92"/>
      <c r="CSD57" s="92"/>
      <c r="CSE57" s="92"/>
      <c r="CSF57" s="92"/>
      <c r="CSG57" s="92"/>
      <c r="CSH57" s="92"/>
      <c r="CSI57" s="92"/>
      <c r="CSJ57" s="92"/>
      <c r="CSK57" s="92"/>
      <c r="CSL57" s="92"/>
      <c r="CSM57" s="92"/>
      <c r="CSN57" s="92"/>
      <c r="CSO57" s="92"/>
      <c r="CSP57" s="92"/>
      <c r="CSQ57" s="92"/>
      <c r="CSR57" s="92"/>
      <c r="CSS57" s="92"/>
      <c r="CST57" s="92"/>
      <c r="CSU57" s="92"/>
      <c r="CSV57" s="92"/>
      <c r="CSW57" s="92"/>
      <c r="CSX57" s="92"/>
      <c r="CSY57" s="92"/>
      <c r="CSZ57" s="92"/>
      <c r="CTA57" s="92"/>
      <c r="CTB57" s="92"/>
      <c r="CTC57" s="92"/>
      <c r="CTD57" s="92"/>
      <c r="CTE57" s="92"/>
      <c r="CTF57" s="92"/>
      <c r="CTG57" s="92"/>
      <c r="CTH57" s="92"/>
      <c r="CTI57" s="92"/>
      <c r="CTJ57" s="92"/>
      <c r="CTK57" s="92"/>
      <c r="CTL57" s="92"/>
      <c r="CTM57" s="92"/>
      <c r="CTN57" s="92"/>
      <c r="CTO57" s="92"/>
      <c r="CTP57" s="92"/>
      <c r="CTQ57" s="92"/>
      <c r="CTR57" s="92"/>
      <c r="CTS57" s="92"/>
      <c r="CTT57" s="92"/>
      <c r="CTU57" s="92"/>
      <c r="CTV57" s="92"/>
      <c r="CTW57" s="92"/>
      <c r="CTX57" s="92"/>
      <c r="CTY57" s="92"/>
      <c r="CTZ57" s="92"/>
      <c r="CUA57" s="92"/>
      <c r="CUB57" s="92"/>
      <c r="CUC57" s="92"/>
      <c r="CUD57" s="92"/>
      <c r="CUE57" s="92"/>
      <c r="CUF57" s="92"/>
      <c r="CUG57" s="92"/>
      <c r="CUH57" s="92"/>
      <c r="CUI57" s="92"/>
      <c r="CUJ57" s="92"/>
      <c r="CUK57" s="92"/>
      <c r="CUL57" s="92"/>
      <c r="CUM57" s="92"/>
      <c r="CUN57" s="92"/>
      <c r="CUO57" s="92"/>
      <c r="CUP57" s="92"/>
      <c r="CUQ57" s="92"/>
      <c r="CUR57" s="92"/>
      <c r="CUS57" s="92"/>
      <c r="CUT57" s="92"/>
      <c r="CUU57" s="92"/>
      <c r="CUV57" s="92"/>
      <c r="CUW57" s="92"/>
      <c r="CUX57" s="92"/>
      <c r="CUY57" s="92"/>
      <c r="CUZ57" s="92"/>
      <c r="CVA57" s="92"/>
      <c r="CVB57" s="92"/>
      <c r="CVC57" s="92"/>
      <c r="CVD57" s="92"/>
      <c r="CVE57" s="92"/>
      <c r="CVF57" s="92"/>
      <c r="CVG57" s="92"/>
      <c r="CVH57" s="92"/>
      <c r="CVI57" s="92"/>
      <c r="CVJ57" s="92"/>
      <c r="CVK57" s="92"/>
      <c r="CVL57" s="92"/>
      <c r="CVM57" s="92"/>
      <c r="CVN57" s="92"/>
      <c r="CVO57" s="92"/>
      <c r="CVP57" s="92"/>
      <c r="CVQ57" s="92"/>
      <c r="CVR57" s="92"/>
      <c r="CVS57" s="92"/>
      <c r="CVT57" s="92"/>
      <c r="CVU57" s="92"/>
      <c r="CVV57" s="92"/>
      <c r="CVW57" s="92"/>
      <c r="CVX57" s="92"/>
      <c r="CVY57" s="92"/>
      <c r="CVZ57" s="92"/>
      <c r="CWA57" s="92"/>
      <c r="CWB57" s="92"/>
      <c r="CWC57" s="92"/>
      <c r="CWD57" s="92"/>
      <c r="CWE57" s="92"/>
      <c r="CWF57" s="92"/>
      <c r="CWG57" s="92"/>
      <c r="CWH57" s="92"/>
      <c r="CWI57" s="92"/>
      <c r="CWJ57" s="92"/>
      <c r="CWK57" s="92"/>
      <c r="CWL57" s="92"/>
      <c r="CWM57" s="92"/>
      <c r="CWN57" s="92"/>
      <c r="CWO57" s="92"/>
      <c r="CWP57" s="92"/>
      <c r="CWQ57" s="92"/>
      <c r="CWR57" s="92"/>
      <c r="CWS57" s="92"/>
      <c r="CWT57" s="92"/>
      <c r="CWU57" s="92"/>
      <c r="CWV57" s="92"/>
      <c r="CWW57" s="92"/>
      <c r="CWX57" s="92"/>
      <c r="CWY57" s="92"/>
      <c r="CWZ57" s="92"/>
      <c r="CXA57" s="92"/>
      <c r="CXB57" s="92"/>
      <c r="CXC57" s="92"/>
      <c r="CXD57" s="92"/>
      <c r="CXE57" s="92"/>
      <c r="CXF57" s="92"/>
      <c r="CXG57" s="92"/>
      <c r="CXH57" s="92"/>
      <c r="CXI57" s="92"/>
      <c r="CXJ57" s="92"/>
      <c r="CXK57" s="92"/>
      <c r="CXL57" s="92"/>
      <c r="CXM57" s="92"/>
      <c r="CXN57" s="92"/>
      <c r="CXO57" s="92"/>
      <c r="CXP57" s="92"/>
      <c r="CXQ57" s="92"/>
      <c r="CXR57" s="92"/>
      <c r="CXS57" s="92"/>
      <c r="CXT57" s="92"/>
      <c r="CXU57" s="92"/>
      <c r="CXV57" s="92"/>
      <c r="CXW57" s="92"/>
      <c r="CXX57" s="92"/>
      <c r="CXY57" s="92"/>
      <c r="CXZ57" s="92"/>
      <c r="CYA57" s="92"/>
      <c r="CYB57" s="92"/>
      <c r="CYC57" s="92"/>
      <c r="CYD57" s="92"/>
      <c r="CYE57" s="92"/>
      <c r="CYF57" s="92"/>
      <c r="CYG57" s="92"/>
      <c r="CYH57" s="92"/>
      <c r="CYI57" s="92"/>
      <c r="CYJ57" s="92"/>
      <c r="CYK57" s="92"/>
      <c r="CYL57" s="92"/>
      <c r="CYM57" s="92"/>
      <c r="CYN57" s="92"/>
      <c r="CYO57" s="92"/>
      <c r="CYP57" s="92"/>
      <c r="CYQ57" s="92"/>
      <c r="CYR57" s="92"/>
      <c r="CYS57" s="92"/>
      <c r="CYT57" s="92"/>
      <c r="CYU57" s="92"/>
      <c r="CYV57" s="92"/>
      <c r="CYW57" s="92"/>
      <c r="CYX57" s="92"/>
      <c r="CYY57" s="92"/>
      <c r="CYZ57" s="92"/>
      <c r="CZA57" s="92"/>
      <c r="CZB57" s="92"/>
      <c r="CZC57" s="92"/>
      <c r="CZD57" s="92"/>
      <c r="CZE57" s="92"/>
      <c r="CZF57" s="92"/>
      <c r="CZG57" s="92"/>
      <c r="CZH57" s="92"/>
      <c r="CZI57" s="92"/>
      <c r="CZJ57" s="92"/>
      <c r="CZK57" s="92"/>
      <c r="CZL57" s="92"/>
      <c r="CZM57" s="92"/>
      <c r="CZN57" s="92"/>
      <c r="CZO57" s="92"/>
      <c r="CZP57" s="92"/>
      <c r="CZQ57" s="92"/>
      <c r="CZR57" s="92"/>
      <c r="CZS57" s="92"/>
      <c r="CZT57" s="92"/>
      <c r="CZU57" s="92"/>
      <c r="CZV57" s="92"/>
      <c r="CZW57" s="92"/>
      <c r="CZX57" s="92"/>
      <c r="CZY57" s="92"/>
      <c r="CZZ57" s="92"/>
      <c r="DAA57" s="92"/>
      <c r="DAB57" s="92"/>
      <c r="DAC57" s="92"/>
      <c r="DAD57" s="92"/>
      <c r="DAE57" s="92"/>
      <c r="DAF57" s="92"/>
      <c r="DAG57" s="92"/>
      <c r="DAH57" s="92"/>
      <c r="DAI57" s="92"/>
      <c r="DAJ57" s="92"/>
      <c r="DAK57" s="92"/>
      <c r="DAL57" s="92"/>
      <c r="DAM57" s="92"/>
      <c r="DAN57" s="92"/>
      <c r="DAO57" s="92"/>
      <c r="DAP57" s="92"/>
      <c r="DAQ57" s="92"/>
      <c r="DAR57" s="92"/>
      <c r="DAS57" s="92"/>
      <c r="DAT57" s="92"/>
      <c r="DAU57" s="92"/>
      <c r="DAV57" s="92"/>
      <c r="DAW57" s="92"/>
      <c r="DAX57" s="92"/>
      <c r="DAY57" s="92"/>
      <c r="DAZ57" s="92"/>
      <c r="DBA57" s="92"/>
      <c r="DBB57" s="92"/>
      <c r="DBC57" s="92"/>
      <c r="DBD57" s="92"/>
      <c r="DBE57" s="92"/>
      <c r="DBF57" s="92"/>
      <c r="DBG57" s="92"/>
      <c r="DBH57" s="92"/>
      <c r="DBI57" s="92"/>
      <c r="DBJ57" s="92"/>
      <c r="DBK57" s="92"/>
      <c r="DBL57" s="92"/>
      <c r="DBM57" s="92"/>
      <c r="DBN57" s="92"/>
      <c r="DBO57" s="92"/>
      <c r="DBP57" s="92"/>
      <c r="DBQ57" s="92"/>
      <c r="DBR57" s="92"/>
      <c r="DBS57" s="92"/>
      <c r="DBT57" s="92"/>
      <c r="DBU57" s="92"/>
      <c r="DBV57" s="92"/>
      <c r="DBW57" s="92"/>
      <c r="DBX57" s="92"/>
      <c r="DBY57" s="92"/>
      <c r="DBZ57" s="92"/>
      <c r="DCA57" s="92"/>
      <c r="DCB57" s="92"/>
      <c r="DCC57" s="92"/>
      <c r="DCD57" s="92"/>
      <c r="DCE57" s="92"/>
      <c r="DCF57" s="92"/>
      <c r="DCG57" s="92"/>
      <c r="DCH57" s="92"/>
      <c r="DCI57" s="92"/>
      <c r="DCJ57" s="92"/>
      <c r="DCK57" s="92"/>
      <c r="DCL57" s="92"/>
      <c r="DCM57" s="92"/>
      <c r="DCN57" s="92"/>
      <c r="DCO57" s="92"/>
      <c r="DCP57" s="92"/>
      <c r="DCQ57" s="92"/>
      <c r="DCR57" s="92"/>
      <c r="DCS57" s="92"/>
      <c r="DCT57" s="92"/>
      <c r="DCU57" s="92"/>
      <c r="DCV57" s="92"/>
      <c r="DCW57" s="92"/>
      <c r="DCX57" s="92"/>
      <c r="DCY57" s="92"/>
      <c r="DCZ57" s="92"/>
      <c r="DDA57" s="92"/>
      <c r="DDB57" s="92"/>
      <c r="DDC57" s="92"/>
      <c r="DDD57" s="92"/>
      <c r="DDE57" s="92"/>
      <c r="DDF57" s="92"/>
      <c r="DDG57" s="92"/>
      <c r="DDH57" s="92"/>
      <c r="DDI57" s="92"/>
      <c r="DDJ57" s="92"/>
      <c r="DDK57" s="92"/>
      <c r="DDL57" s="92"/>
      <c r="DDM57" s="92"/>
      <c r="DDN57" s="92"/>
      <c r="DDO57" s="92"/>
      <c r="DDP57" s="92"/>
      <c r="DDQ57" s="92"/>
      <c r="DDR57" s="92"/>
      <c r="DDS57" s="92"/>
      <c r="DDT57" s="92"/>
      <c r="DDU57" s="92"/>
      <c r="DDV57" s="92"/>
      <c r="DDW57" s="92"/>
      <c r="DDX57" s="92"/>
      <c r="DDY57" s="92"/>
      <c r="DDZ57" s="92"/>
      <c r="DEA57" s="92"/>
      <c r="DEB57" s="92"/>
      <c r="DEC57" s="92"/>
      <c r="DED57" s="92"/>
      <c r="DEE57" s="92"/>
      <c r="DEF57" s="92"/>
      <c r="DEG57" s="92"/>
      <c r="DEH57" s="92"/>
      <c r="DEI57" s="92"/>
      <c r="DEJ57" s="92"/>
      <c r="DEK57" s="92"/>
      <c r="DEL57" s="92"/>
      <c r="DEM57" s="92"/>
      <c r="DEN57" s="92"/>
      <c r="DEO57" s="92"/>
      <c r="DEP57" s="92"/>
      <c r="DEQ57" s="92"/>
      <c r="DER57" s="92"/>
      <c r="DES57" s="92"/>
      <c r="DET57" s="92"/>
      <c r="DEU57" s="92"/>
      <c r="DEV57" s="92"/>
      <c r="DEW57" s="92"/>
      <c r="DEX57" s="92"/>
      <c r="DEY57" s="92"/>
      <c r="DEZ57" s="92"/>
      <c r="DFA57" s="92"/>
      <c r="DFB57" s="92"/>
      <c r="DFC57" s="92"/>
      <c r="DFD57" s="92"/>
      <c r="DFE57" s="92"/>
      <c r="DFF57" s="92"/>
      <c r="DFG57" s="92"/>
      <c r="DFH57" s="92"/>
      <c r="DFI57" s="92"/>
      <c r="DFJ57" s="92"/>
      <c r="DFK57" s="92"/>
      <c r="DFL57" s="92"/>
      <c r="DFM57" s="92"/>
      <c r="DFN57" s="92"/>
      <c r="DFO57" s="92"/>
      <c r="DFP57" s="92"/>
      <c r="DFQ57" s="92"/>
      <c r="DFR57" s="92"/>
      <c r="DFS57" s="92"/>
      <c r="DFT57" s="92"/>
      <c r="DFU57" s="92"/>
      <c r="DFV57" s="92"/>
      <c r="DFW57" s="92"/>
      <c r="DFX57" s="92"/>
      <c r="DFY57" s="92"/>
      <c r="DFZ57" s="92"/>
      <c r="DGA57" s="92"/>
      <c r="DGB57" s="92"/>
      <c r="DGC57" s="92"/>
      <c r="DGD57" s="92"/>
      <c r="DGE57" s="92"/>
      <c r="DGF57" s="92"/>
      <c r="DGG57" s="92"/>
      <c r="DGH57" s="92"/>
      <c r="DGI57" s="92"/>
      <c r="DGJ57" s="92"/>
      <c r="DGK57" s="92"/>
      <c r="DGL57" s="92"/>
      <c r="DGM57" s="92"/>
      <c r="DGN57" s="92"/>
      <c r="DGO57" s="92"/>
      <c r="DGP57" s="92"/>
      <c r="DGQ57" s="92"/>
      <c r="DGR57" s="92"/>
      <c r="DGS57" s="92"/>
      <c r="DGT57" s="92"/>
      <c r="DGU57" s="92"/>
      <c r="DGV57" s="92"/>
      <c r="DGW57" s="92"/>
      <c r="DGX57" s="92"/>
      <c r="DGY57" s="92"/>
      <c r="DGZ57" s="92"/>
      <c r="DHA57" s="92"/>
      <c r="DHB57" s="92"/>
      <c r="DHC57" s="92"/>
      <c r="DHD57" s="92"/>
      <c r="DHE57" s="92"/>
      <c r="DHF57" s="92"/>
      <c r="DHG57" s="92"/>
      <c r="DHH57" s="92"/>
      <c r="DHI57" s="92"/>
      <c r="DHJ57" s="92"/>
      <c r="DHK57" s="92"/>
      <c r="DHL57" s="92"/>
      <c r="DHM57" s="92"/>
      <c r="DHN57" s="92"/>
      <c r="DHO57" s="92"/>
      <c r="DHP57" s="92"/>
      <c r="DHQ57" s="92"/>
      <c r="DHR57" s="92"/>
      <c r="DHS57" s="92"/>
      <c r="DHT57" s="92"/>
      <c r="DHU57" s="92"/>
      <c r="DHV57" s="92"/>
      <c r="DHW57" s="92"/>
      <c r="DHX57" s="92"/>
      <c r="DHY57" s="92"/>
      <c r="DHZ57" s="92"/>
      <c r="DIA57" s="92"/>
      <c r="DIB57" s="92"/>
      <c r="DIC57" s="92"/>
      <c r="DID57" s="92"/>
      <c r="DIE57" s="92"/>
      <c r="DIF57" s="92"/>
      <c r="DIG57" s="92"/>
      <c r="DIH57" s="92"/>
      <c r="DII57" s="92"/>
      <c r="DIJ57" s="92"/>
      <c r="DIK57" s="92"/>
      <c r="DIL57" s="92"/>
      <c r="DIM57" s="92"/>
      <c r="DIN57" s="92"/>
      <c r="DIO57" s="92"/>
      <c r="DIP57" s="92"/>
      <c r="DIQ57" s="92"/>
      <c r="DIR57" s="92"/>
      <c r="DIS57" s="92"/>
      <c r="DIT57" s="92"/>
      <c r="DIU57" s="92"/>
      <c r="DIV57" s="92"/>
      <c r="DIW57" s="92"/>
      <c r="DIX57" s="92"/>
      <c r="DIY57" s="92"/>
      <c r="DIZ57" s="92"/>
      <c r="DJA57" s="92"/>
      <c r="DJB57" s="92"/>
      <c r="DJC57" s="92"/>
      <c r="DJD57" s="92"/>
      <c r="DJE57" s="92"/>
      <c r="DJF57" s="92"/>
      <c r="DJG57" s="92"/>
      <c r="DJH57" s="92"/>
      <c r="DJI57" s="92"/>
      <c r="DJJ57" s="92"/>
      <c r="DJK57" s="92"/>
      <c r="DJL57" s="92"/>
      <c r="DJM57" s="92"/>
      <c r="DJN57" s="92"/>
      <c r="DJO57" s="92"/>
      <c r="DJP57" s="92"/>
      <c r="DJQ57" s="92"/>
      <c r="DJR57" s="92"/>
      <c r="DJS57" s="92"/>
      <c r="DJT57" s="92"/>
      <c r="DJU57" s="92"/>
      <c r="DJV57" s="92"/>
      <c r="DJW57" s="92"/>
      <c r="DJX57" s="92"/>
      <c r="DJY57" s="92"/>
      <c r="DJZ57" s="92"/>
      <c r="DKA57" s="92"/>
      <c r="DKB57" s="92"/>
      <c r="DKC57" s="92"/>
      <c r="DKD57" s="92"/>
      <c r="DKE57" s="92"/>
      <c r="DKF57" s="92"/>
      <c r="DKG57" s="92"/>
      <c r="DKH57" s="92"/>
      <c r="DKI57" s="92"/>
      <c r="DKJ57" s="92"/>
      <c r="DKK57" s="92"/>
      <c r="DKL57" s="92"/>
      <c r="DKM57" s="92"/>
      <c r="DKN57" s="92"/>
      <c r="DKO57" s="92"/>
      <c r="DKP57" s="92"/>
      <c r="DKQ57" s="92"/>
      <c r="DKR57" s="92"/>
      <c r="DKS57" s="92"/>
      <c r="DKT57" s="92"/>
      <c r="DKU57" s="92"/>
      <c r="DKV57" s="92"/>
      <c r="DKW57" s="92"/>
      <c r="DKX57" s="92"/>
      <c r="DKY57" s="92"/>
      <c r="DKZ57" s="92"/>
      <c r="DLA57" s="92"/>
      <c r="DLB57" s="92"/>
      <c r="DLC57" s="92"/>
      <c r="DLD57" s="92"/>
      <c r="DLE57" s="92"/>
      <c r="DLF57" s="92"/>
      <c r="DLG57" s="92"/>
      <c r="DLH57" s="92"/>
      <c r="DLI57" s="92"/>
      <c r="DLJ57" s="92"/>
      <c r="DLK57" s="92"/>
      <c r="DLL57" s="92"/>
      <c r="DLM57" s="92"/>
      <c r="DLN57" s="92"/>
      <c r="DLO57" s="92"/>
      <c r="DLP57" s="92"/>
      <c r="DLQ57" s="92"/>
      <c r="DLR57" s="92"/>
      <c r="DLS57" s="92"/>
      <c r="DLT57" s="92"/>
      <c r="DLU57" s="92"/>
      <c r="DLV57" s="92"/>
      <c r="DLW57" s="92"/>
      <c r="DLX57" s="92"/>
      <c r="DLY57" s="92"/>
      <c r="DLZ57" s="92"/>
      <c r="DMA57" s="92"/>
      <c r="DMB57" s="92"/>
      <c r="DMC57" s="92"/>
      <c r="DMD57" s="92"/>
      <c r="DME57" s="92"/>
      <c r="DMF57" s="92"/>
      <c r="DMG57" s="92"/>
      <c r="DMH57" s="92"/>
      <c r="DMI57" s="92"/>
      <c r="DMJ57" s="92"/>
      <c r="DMK57" s="92"/>
      <c r="DML57" s="92"/>
      <c r="DMM57" s="92"/>
      <c r="DMN57" s="92"/>
      <c r="DMO57" s="92"/>
      <c r="DMP57" s="92"/>
      <c r="DMQ57" s="92"/>
      <c r="DMR57" s="92"/>
      <c r="DMS57" s="92"/>
      <c r="DMT57" s="92"/>
      <c r="DMU57" s="92"/>
      <c r="DMV57" s="92"/>
      <c r="DMW57" s="92"/>
      <c r="DMX57" s="92"/>
      <c r="DMY57" s="92"/>
      <c r="DMZ57" s="92"/>
      <c r="DNA57" s="92"/>
      <c r="DNB57" s="92"/>
      <c r="DNC57" s="92"/>
      <c r="DND57" s="92"/>
      <c r="DNE57" s="92"/>
      <c r="DNF57" s="92"/>
      <c r="DNG57" s="92"/>
      <c r="DNH57" s="92"/>
      <c r="DNI57" s="92"/>
      <c r="DNJ57" s="92"/>
      <c r="DNK57" s="92"/>
      <c r="DNL57" s="92"/>
      <c r="DNM57" s="92"/>
      <c r="DNN57" s="92"/>
      <c r="DNO57" s="92"/>
      <c r="DNP57" s="92"/>
      <c r="DNQ57" s="92"/>
      <c r="DNR57" s="92"/>
      <c r="DNS57" s="92"/>
      <c r="DNT57" s="92"/>
      <c r="DNU57" s="92"/>
      <c r="DNV57" s="92"/>
      <c r="DNW57" s="92"/>
      <c r="DNX57" s="92"/>
      <c r="DNY57" s="92"/>
      <c r="DNZ57" s="92"/>
      <c r="DOA57" s="92"/>
      <c r="DOB57" s="92"/>
      <c r="DOC57" s="92"/>
      <c r="DOD57" s="92"/>
      <c r="DOE57" s="92"/>
      <c r="DOF57" s="92"/>
      <c r="DOG57" s="92"/>
      <c r="DOH57" s="92"/>
      <c r="DOI57" s="92"/>
      <c r="DOJ57" s="92"/>
      <c r="DOK57" s="92"/>
      <c r="DOL57" s="92"/>
      <c r="DOM57" s="92"/>
      <c r="DON57" s="92"/>
      <c r="DOO57" s="92"/>
      <c r="DOP57" s="92"/>
      <c r="DOQ57" s="92"/>
      <c r="DOR57" s="92"/>
      <c r="DOS57" s="92"/>
      <c r="DOT57" s="92"/>
      <c r="DOU57" s="92"/>
      <c r="DOV57" s="92"/>
      <c r="DOW57" s="92"/>
      <c r="DOX57" s="92"/>
      <c r="DOY57" s="92"/>
      <c r="DOZ57" s="92"/>
      <c r="DPA57" s="92"/>
      <c r="DPB57" s="92"/>
      <c r="DPC57" s="92"/>
      <c r="DPD57" s="92"/>
      <c r="DPE57" s="92"/>
      <c r="DPF57" s="92"/>
      <c r="DPG57" s="92"/>
      <c r="DPH57" s="92"/>
      <c r="DPI57" s="92"/>
      <c r="DPJ57" s="92"/>
      <c r="DPK57" s="92"/>
      <c r="DPL57" s="92"/>
      <c r="DPM57" s="92"/>
      <c r="DPN57" s="92"/>
      <c r="DPO57" s="92"/>
      <c r="DPP57" s="92"/>
      <c r="DPQ57" s="92"/>
      <c r="DPR57" s="92"/>
      <c r="DPS57" s="92"/>
      <c r="DPT57" s="92"/>
      <c r="DPU57" s="92"/>
      <c r="DPV57" s="92"/>
      <c r="DPW57" s="92"/>
      <c r="DPX57" s="92"/>
      <c r="DPY57" s="92"/>
      <c r="DPZ57" s="92"/>
      <c r="DQA57" s="92"/>
      <c r="DQB57" s="92"/>
      <c r="DQC57" s="92"/>
      <c r="DQD57" s="92"/>
      <c r="DQE57" s="92"/>
      <c r="DQF57" s="92"/>
      <c r="DQG57" s="92"/>
      <c r="DQH57" s="92"/>
      <c r="DQI57" s="92"/>
      <c r="DQJ57" s="92"/>
      <c r="DQK57" s="92"/>
      <c r="DQL57" s="92"/>
      <c r="DQM57" s="92"/>
      <c r="DQN57" s="92"/>
      <c r="DQO57" s="92"/>
      <c r="DQP57" s="92"/>
      <c r="DQQ57" s="92"/>
      <c r="DQR57" s="92"/>
      <c r="DQS57" s="92"/>
      <c r="DQT57" s="92"/>
      <c r="DQU57" s="92"/>
      <c r="DQV57" s="92"/>
      <c r="DQW57" s="92"/>
      <c r="DQX57" s="92"/>
      <c r="DQY57" s="92"/>
      <c r="DQZ57" s="92"/>
      <c r="DRA57" s="92"/>
      <c r="DRB57" s="92"/>
      <c r="DRC57" s="92"/>
      <c r="DRD57" s="92"/>
      <c r="DRE57" s="92"/>
      <c r="DRF57" s="92"/>
      <c r="DRG57" s="92"/>
      <c r="DRH57" s="92"/>
      <c r="DRI57" s="92"/>
      <c r="DRJ57" s="92"/>
      <c r="DRK57" s="92"/>
      <c r="DRL57" s="92"/>
      <c r="DRM57" s="92"/>
      <c r="DRN57" s="92"/>
      <c r="DRO57" s="92"/>
      <c r="DRP57" s="92"/>
      <c r="DRQ57" s="92"/>
      <c r="DRR57" s="92"/>
      <c r="DRS57" s="92"/>
      <c r="DRT57" s="92"/>
      <c r="DRU57" s="92"/>
      <c r="DRV57" s="92"/>
      <c r="DRW57" s="92"/>
      <c r="DRX57" s="92"/>
      <c r="DRY57" s="92"/>
      <c r="DRZ57" s="92"/>
      <c r="DSA57" s="92"/>
      <c r="DSB57" s="92"/>
      <c r="DSC57" s="92"/>
      <c r="DSD57" s="92"/>
      <c r="DSE57" s="92"/>
      <c r="DSF57" s="92"/>
      <c r="DSG57" s="92"/>
      <c r="DSH57" s="92"/>
      <c r="DSI57" s="92"/>
      <c r="DSJ57" s="92"/>
      <c r="DSK57" s="92"/>
      <c r="DSL57" s="92"/>
      <c r="DSM57" s="92"/>
      <c r="DSN57" s="92"/>
      <c r="DSO57" s="92"/>
      <c r="DSP57" s="92"/>
      <c r="DSQ57" s="92"/>
      <c r="DSR57" s="92"/>
      <c r="DSS57" s="92"/>
      <c r="DST57" s="92"/>
      <c r="DSU57" s="92"/>
      <c r="DSV57" s="92"/>
      <c r="DSW57" s="92"/>
      <c r="DSX57" s="92"/>
      <c r="DSY57" s="92"/>
      <c r="DSZ57" s="92"/>
      <c r="DTA57" s="92"/>
      <c r="DTB57" s="92"/>
      <c r="DTC57" s="92"/>
      <c r="DTD57" s="92"/>
      <c r="DTE57" s="92"/>
      <c r="DTF57" s="92"/>
      <c r="DTG57" s="92"/>
      <c r="DTH57" s="92"/>
      <c r="DTI57" s="92"/>
      <c r="DTJ57" s="92"/>
      <c r="DTK57" s="92"/>
      <c r="DTL57" s="92"/>
      <c r="DTM57" s="92"/>
      <c r="DTN57" s="92"/>
      <c r="DTO57" s="92"/>
      <c r="DTP57" s="92"/>
      <c r="DTQ57" s="92"/>
      <c r="DTR57" s="92"/>
      <c r="DTS57" s="92"/>
      <c r="DTT57" s="92"/>
      <c r="DTU57" s="92"/>
      <c r="DTV57" s="92"/>
      <c r="DTW57" s="92"/>
      <c r="DTX57" s="92"/>
      <c r="DTY57" s="92"/>
      <c r="DTZ57" s="92"/>
      <c r="DUA57" s="92"/>
      <c r="DUB57" s="92"/>
      <c r="DUC57" s="92"/>
      <c r="DUD57" s="92"/>
      <c r="DUE57" s="92"/>
      <c r="DUF57" s="92"/>
      <c r="DUG57" s="92"/>
      <c r="DUH57" s="92"/>
      <c r="DUI57" s="92"/>
      <c r="DUJ57" s="92"/>
      <c r="DUK57" s="92"/>
      <c r="DUL57" s="92"/>
      <c r="DUM57" s="92"/>
      <c r="DUN57" s="92"/>
      <c r="DUO57" s="92"/>
      <c r="DUP57" s="92"/>
      <c r="DUQ57" s="92"/>
      <c r="DUR57" s="92"/>
      <c r="DUS57" s="92"/>
      <c r="DUT57" s="92"/>
      <c r="DUU57" s="92"/>
      <c r="DUV57" s="92"/>
      <c r="DUW57" s="92"/>
      <c r="DUX57" s="92"/>
      <c r="DUY57" s="92"/>
      <c r="DUZ57" s="92"/>
      <c r="DVA57" s="92"/>
      <c r="DVB57" s="92"/>
      <c r="DVC57" s="92"/>
      <c r="DVD57" s="92"/>
      <c r="DVE57" s="92"/>
      <c r="DVF57" s="92"/>
      <c r="DVG57" s="92"/>
      <c r="DVH57" s="92"/>
      <c r="DVI57" s="92"/>
      <c r="DVJ57" s="92"/>
      <c r="DVK57" s="92"/>
      <c r="DVL57" s="92"/>
      <c r="DVM57" s="92"/>
      <c r="DVN57" s="92"/>
      <c r="DVO57" s="92"/>
      <c r="DVP57" s="92"/>
      <c r="DVQ57" s="92"/>
      <c r="DVR57" s="92"/>
      <c r="DVS57" s="92"/>
      <c r="DVT57" s="92"/>
      <c r="DVU57" s="92"/>
      <c r="DVV57" s="92"/>
      <c r="DVW57" s="92"/>
      <c r="DVX57" s="92"/>
      <c r="DVY57" s="92"/>
      <c r="DVZ57" s="92"/>
      <c r="DWA57" s="92"/>
      <c r="DWB57" s="92"/>
      <c r="DWC57" s="92"/>
      <c r="DWD57" s="92"/>
      <c r="DWE57" s="92"/>
      <c r="DWF57" s="92"/>
      <c r="DWG57" s="92"/>
      <c r="DWH57" s="92"/>
      <c r="DWI57" s="92"/>
      <c r="DWJ57" s="92"/>
      <c r="DWK57" s="92"/>
      <c r="DWL57" s="92"/>
      <c r="DWM57" s="92"/>
      <c r="DWN57" s="92"/>
      <c r="DWO57" s="92"/>
      <c r="DWP57" s="92"/>
      <c r="DWQ57" s="92"/>
      <c r="DWR57" s="92"/>
      <c r="DWS57" s="92"/>
      <c r="DWT57" s="92"/>
      <c r="DWU57" s="92"/>
      <c r="DWV57" s="92"/>
      <c r="DWW57" s="92"/>
      <c r="DWX57" s="92"/>
      <c r="DWY57" s="92"/>
      <c r="DWZ57" s="92"/>
      <c r="DXA57" s="92"/>
      <c r="DXB57" s="92"/>
      <c r="DXC57" s="92"/>
      <c r="DXD57" s="92"/>
      <c r="DXE57" s="92"/>
      <c r="DXF57" s="92"/>
      <c r="DXG57" s="92"/>
      <c r="DXH57" s="92"/>
      <c r="DXI57" s="92"/>
      <c r="DXJ57" s="92"/>
      <c r="DXK57" s="92"/>
      <c r="DXL57" s="92"/>
      <c r="DXM57" s="92"/>
      <c r="DXN57" s="92"/>
      <c r="DXO57" s="92"/>
      <c r="DXP57" s="92"/>
      <c r="DXQ57" s="92"/>
      <c r="DXR57" s="92"/>
      <c r="DXS57" s="92"/>
      <c r="DXT57" s="92"/>
      <c r="DXU57" s="92"/>
      <c r="DXV57" s="92"/>
      <c r="DXW57" s="92"/>
      <c r="DXX57" s="92"/>
      <c r="DXY57" s="92"/>
      <c r="DXZ57" s="92"/>
      <c r="DYA57" s="92"/>
      <c r="DYB57" s="92"/>
      <c r="DYC57" s="92"/>
      <c r="DYD57" s="92"/>
      <c r="DYE57" s="92"/>
      <c r="DYF57" s="92"/>
      <c r="DYG57" s="92"/>
      <c r="DYH57" s="92"/>
      <c r="DYI57" s="92"/>
      <c r="DYJ57" s="92"/>
      <c r="DYK57" s="92"/>
      <c r="DYL57" s="92"/>
      <c r="DYM57" s="92"/>
      <c r="DYN57" s="92"/>
      <c r="DYO57" s="92"/>
      <c r="DYP57" s="92"/>
      <c r="DYQ57" s="92"/>
      <c r="DYR57" s="92"/>
      <c r="DYS57" s="92"/>
      <c r="DYT57" s="92"/>
      <c r="DYU57" s="92"/>
      <c r="DYV57" s="92"/>
      <c r="DYW57" s="92"/>
      <c r="DYX57" s="92"/>
      <c r="DYY57" s="92"/>
      <c r="DYZ57" s="92"/>
      <c r="DZA57" s="92"/>
      <c r="DZB57" s="92"/>
      <c r="DZC57" s="92"/>
      <c r="DZD57" s="92"/>
      <c r="DZE57" s="92"/>
      <c r="DZF57" s="92"/>
      <c r="DZG57" s="92"/>
      <c r="DZH57" s="92"/>
      <c r="DZI57" s="92"/>
      <c r="DZJ57" s="92"/>
      <c r="DZK57" s="92"/>
      <c r="DZL57" s="92"/>
      <c r="DZM57" s="92"/>
      <c r="DZN57" s="92"/>
      <c r="DZO57" s="92"/>
      <c r="DZP57" s="92"/>
      <c r="DZQ57" s="92"/>
      <c r="DZR57" s="92"/>
      <c r="DZS57" s="92"/>
      <c r="DZT57" s="92"/>
      <c r="DZU57" s="92"/>
      <c r="DZV57" s="92"/>
      <c r="DZW57" s="92"/>
      <c r="DZX57" s="92"/>
      <c r="DZY57" s="92"/>
      <c r="DZZ57" s="92"/>
      <c r="EAA57" s="92"/>
      <c r="EAB57" s="92"/>
      <c r="EAC57" s="92"/>
      <c r="EAD57" s="92"/>
      <c r="EAE57" s="92"/>
      <c r="EAF57" s="92"/>
      <c r="EAG57" s="92"/>
      <c r="EAH57" s="92"/>
      <c r="EAI57" s="92"/>
      <c r="EAJ57" s="92"/>
      <c r="EAK57" s="92"/>
      <c r="EAL57" s="92"/>
      <c r="EAM57" s="92"/>
      <c r="EAN57" s="92"/>
      <c r="EAO57" s="92"/>
      <c r="EAP57" s="92"/>
      <c r="EAQ57" s="92"/>
      <c r="EAR57" s="92"/>
      <c r="EAS57" s="92"/>
      <c r="EAT57" s="92"/>
      <c r="EAU57" s="92"/>
      <c r="EAV57" s="92"/>
      <c r="EAW57" s="92"/>
      <c r="EAX57" s="92"/>
      <c r="EAY57" s="92"/>
      <c r="EAZ57" s="92"/>
      <c r="EBA57" s="92"/>
      <c r="EBB57" s="92"/>
      <c r="EBC57" s="92"/>
      <c r="EBD57" s="92"/>
      <c r="EBE57" s="92"/>
      <c r="EBF57" s="92"/>
      <c r="EBG57" s="92"/>
      <c r="EBH57" s="92"/>
      <c r="EBI57" s="92"/>
      <c r="EBJ57" s="92"/>
      <c r="EBK57" s="92"/>
      <c r="EBL57" s="92"/>
      <c r="EBM57" s="92"/>
      <c r="EBN57" s="92"/>
      <c r="EBO57" s="92"/>
      <c r="EBP57" s="92"/>
      <c r="EBQ57" s="92"/>
      <c r="EBR57" s="92"/>
      <c r="EBS57" s="92"/>
      <c r="EBT57" s="92"/>
      <c r="EBU57" s="92"/>
      <c r="EBV57" s="92"/>
      <c r="EBW57" s="92"/>
      <c r="EBX57" s="92"/>
      <c r="EBY57" s="92"/>
      <c r="EBZ57" s="92"/>
      <c r="ECA57" s="92"/>
      <c r="ECB57" s="92"/>
      <c r="ECC57" s="92"/>
      <c r="ECD57" s="92"/>
      <c r="ECE57" s="92"/>
      <c r="ECF57" s="92"/>
      <c r="ECG57" s="92"/>
      <c r="ECH57" s="92"/>
      <c r="ECI57" s="92"/>
      <c r="ECJ57" s="92"/>
      <c r="ECK57" s="92"/>
      <c r="ECL57" s="92"/>
      <c r="ECM57" s="92"/>
      <c r="ECN57" s="92"/>
      <c r="ECO57" s="92"/>
      <c r="ECP57" s="92"/>
      <c r="ECQ57" s="92"/>
      <c r="ECR57" s="92"/>
      <c r="ECS57" s="92"/>
      <c r="ECT57" s="92"/>
      <c r="ECU57" s="92"/>
      <c r="ECV57" s="92"/>
      <c r="ECW57" s="92"/>
      <c r="ECX57" s="92"/>
      <c r="ECY57" s="92"/>
      <c r="ECZ57" s="92"/>
      <c r="EDA57" s="92"/>
      <c r="EDB57" s="92"/>
      <c r="EDC57" s="92"/>
      <c r="EDD57" s="92"/>
      <c r="EDE57" s="92"/>
      <c r="EDF57" s="92"/>
      <c r="EDG57" s="92"/>
      <c r="EDH57" s="92"/>
      <c r="EDI57" s="92"/>
      <c r="EDJ57" s="92"/>
      <c r="EDK57" s="92"/>
      <c r="EDL57" s="92"/>
      <c r="EDM57" s="92"/>
      <c r="EDN57" s="92"/>
      <c r="EDO57" s="92"/>
      <c r="EDP57" s="92"/>
      <c r="EDQ57" s="92"/>
      <c r="EDR57" s="92"/>
      <c r="EDS57" s="92"/>
      <c r="EDT57" s="92"/>
      <c r="EDU57" s="92"/>
      <c r="EDV57" s="92"/>
      <c r="EDW57" s="92"/>
      <c r="EDX57" s="92"/>
      <c r="EDY57" s="92"/>
      <c r="EDZ57" s="92"/>
      <c r="EEA57" s="92"/>
      <c r="EEB57" s="92"/>
      <c r="EEC57" s="92"/>
      <c r="EED57" s="92"/>
      <c r="EEE57" s="92"/>
      <c r="EEF57" s="92"/>
      <c r="EEG57" s="92"/>
      <c r="EEH57" s="92"/>
      <c r="EEI57" s="92"/>
      <c r="EEJ57" s="92"/>
      <c r="EEK57" s="92"/>
      <c r="EEL57" s="92"/>
      <c r="EEM57" s="92"/>
      <c r="EEN57" s="92"/>
      <c r="EEO57" s="92"/>
      <c r="EEP57" s="92"/>
      <c r="EEQ57" s="92"/>
      <c r="EER57" s="92"/>
      <c r="EES57" s="92"/>
      <c r="EET57" s="92"/>
      <c r="EEU57" s="92"/>
      <c r="EEV57" s="92"/>
      <c r="EEW57" s="92"/>
      <c r="EEX57" s="92"/>
      <c r="EEY57" s="92"/>
      <c r="EEZ57" s="92"/>
      <c r="EFA57" s="92"/>
      <c r="EFB57" s="92"/>
      <c r="EFC57" s="92"/>
      <c r="EFD57" s="92"/>
      <c r="EFE57" s="92"/>
      <c r="EFF57" s="92"/>
      <c r="EFG57" s="92"/>
      <c r="EFH57" s="92"/>
      <c r="EFI57" s="92"/>
      <c r="EFJ57" s="92"/>
      <c r="EFK57" s="92"/>
      <c r="EFL57" s="92"/>
      <c r="EFM57" s="92"/>
      <c r="EFN57" s="92"/>
      <c r="EFO57" s="92"/>
      <c r="EFP57" s="92"/>
      <c r="EFQ57" s="92"/>
      <c r="EFR57" s="92"/>
      <c r="EFS57" s="92"/>
      <c r="EFT57" s="92"/>
      <c r="EFU57" s="92"/>
      <c r="EFV57" s="92"/>
      <c r="EFW57" s="92"/>
      <c r="EFX57" s="92"/>
      <c r="EFY57" s="92"/>
      <c r="EFZ57" s="92"/>
      <c r="EGA57" s="92"/>
      <c r="EGB57" s="92"/>
      <c r="EGC57" s="92"/>
      <c r="EGD57" s="92"/>
      <c r="EGE57" s="92"/>
      <c r="EGF57" s="92"/>
      <c r="EGG57" s="92"/>
      <c r="EGH57" s="92"/>
      <c r="EGI57" s="92"/>
      <c r="EGJ57" s="92"/>
      <c r="EGK57" s="92"/>
      <c r="EGL57" s="92"/>
      <c r="EGM57" s="92"/>
      <c r="EGN57" s="92"/>
      <c r="EGO57" s="92"/>
      <c r="EGP57" s="92"/>
      <c r="EGQ57" s="92"/>
      <c r="EGR57" s="92"/>
      <c r="EGS57" s="92"/>
      <c r="EGT57" s="92"/>
      <c r="EGU57" s="92"/>
      <c r="EGV57" s="92"/>
      <c r="EGW57" s="92"/>
      <c r="EGX57" s="92"/>
      <c r="EGY57" s="92"/>
      <c r="EGZ57" s="92"/>
      <c r="EHA57" s="92"/>
      <c r="EHB57" s="92"/>
      <c r="EHC57" s="92"/>
      <c r="EHD57" s="92"/>
      <c r="EHE57" s="92"/>
      <c r="EHF57" s="92"/>
      <c r="EHG57" s="92"/>
      <c r="EHH57" s="92"/>
      <c r="EHI57" s="92"/>
      <c r="EHJ57" s="92"/>
      <c r="EHK57" s="92"/>
      <c r="EHL57" s="92"/>
      <c r="EHM57" s="92"/>
      <c r="EHN57" s="92"/>
      <c r="EHO57" s="92"/>
      <c r="EHP57" s="92"/>
      <c r="EHQ57" s="92"/>
      <c r="EHR57" s="92"/>
      <c r="EHS57" s="92"/>
      <c r="EHT57" s="92"/>
      <c r="EHU57" s="92"/>
      <c r="EHV57" s="92"/>
      <c r="EHW57" s="92"/>
      <c r="EHX57" s="92"/>
      <c r="EHY57" s="92"/>
      <c r="EHZ57" s="92"/>
      <c r="EIA57" s="92"/>
      <c r="EIB57" s="92"/>
      <c r="EIC57" s="92"/>
      <c r="EID57" s="92"/>
      <c r="EIE57" s="92"/>
      <c r="EIF57" s="92"/>
      <c r="EIG57" s="92"/>
      <c r="EIH57" s="92"/>
      <c r="EII57" s="92"/>
      <c r="EIJ57" s="92"/>
      <c r="EIK57" s="92"/>
      <c r="EIL57" s="92"/>
      <c r="EIM57" s="92"/>
      <c r="EIN57" s="92"/>
      <c r="EIO57" s="92"/>
      <c r="EIP57" s="92"/>
      <c r="EIQ57" s="92"/>
      <c r="EIR57" s="92"/>
      <c r="EIS57" s="92"/>
      <c r="EIT57" s="92"/>
      <c r="EIU57" s="92"/>
      <c r="EIV57" s="92"/>
      <c r="EIW57" s="92"/>
      <c r="EIX57" s="92"/>
      <c r="EIY57" s="92"/>
      <c r="EIZ57" s="92"/>
      <c r="EJA57" s="92"/>
      <c r="EJB57" s="92"/>
      <c r="EJC57" s="92"/>
      <c r="EJD57" s="92"/>
      <c r="EJE57" s="92"/>
      <c r="EJF57" s="92"/>
      <c r="EJG57" s="92"/>
      <c r="EJH57" s="92"/>
      <c r="EJI57" s="92"/>
      <c r="EJJ57" s="92"/>
      <c r="EJK57" s="92"/>
      <c r="EJL57" s="92"/>
      <c r="EJM57" s="92"/>
      <c r="EJN57" s="92"/>
      <c r="EJO57" s="92"/>
      <c r="EJP57" s="92"/>
      <c r="EJQ57" s="92"/>
      <c r="EJR57" s="92"/>
      <c r="EJS57" s="92"/>
      <c r="EJT57" s="92"/>
      <c r="EJU57" s="92"/>
      <c r="EJV57" s="92"/>
      <c r="EJW57" s="92"/>
      <c r="EJX57" s="92"/>
      <c r="EJY57" s="92"/>
      <c r="EJZ57" s="92"/>
      <c r="EKA57" s="92"/>
      <c r="EKB57" s="92"/>
      <c r="EKC57" s="92"/>
      <c r="EKD57" s="92"/>
      <c r="EKE57" s="92"/>
      <c r="EKF57" s="92"/>
      <c r="EKG57" s="92"/>
      <c r="EKH57" s="92"/>
      <c r="EKI57" s="92"/>
      <c r="EKJ57" s="92"/>
      <c r="EKK57" s="92"/>
      <c r="EKL57" s="92"/>
      <c r="EKM57" s="92"/>
      <c r="EKN57" s="92"/>
      <c r="EKO57" s="92"/>
      <c r="EKP57" s="92"/>
      <c r="EKQ57" s="92"/>
      <c r="EKR57" s="92"/>
      <c r="EKS57" s="92"/>
      <c r="EKT57" s="92"/>
      <c r="EKU57" s="92"/>
      <c r="EKV57" s="92"/>
      <c r="EKW57" s="92"/>
      <c r="EKX57" s="92"/>
      <c r="EKY57" s="92"/>
      <c r="EKZ57" s="92"/>
      <c r="ELA57" s="92"/>
      <c r="ELB57" s="92"/>
      <c r="ELC57" s="92"/>
      <c r="ELD57" s="92"/>
      <c r="ELE57" s="92"/>
      <c r="ELF57" s="92"/>
      <c r="ELG57" s="92"/>
      <c r="ELH57" s="92"/>
      <c r="ELI57" s="92"/>
      <c r="ELJ57" s="92"/>
      <c r="ELK57" s="92"/>
      <c r="ELL57" s="92"/>
      <c r="ELM57" s="92"/>
      <c r="ELN57" s="92"/>
      <c r="ELO57" s="92"/>
      <c r="ELP57" s="92"/>
      <c r="ELQ57" s="92"/>
      <c r="ELR57" s="92"/>
      <c r="ELS57" s="92"/>
      <c r="ELT57" s="92"/>
      <c r="ELU57" s="92"/>
      <c r="ELV57" s="92"/>
      <c r="ELW57" s="92"/>
      <c r="ELX57" s="92"/>
      <c r="ELY57" s="92"/>
      <c r="ELZ57" s="92"/>
      <c r="EMA57" s="92"/>
      <c r="EMB57" s="92"/>
      <c r="EMC57" s="92"/>
      <c r="EMD57" s="92"/>
      <c r="EME57" s="92"/>
      <c r="EMF57" s="92"/>
      <c r="EMG57" s="92"/>
      <c r="EMH57" s="92"/>
      <c r="EMI57" s="92"/>
      <c r="EMJ57" s="92"/>
      <c r="EMK57" s="92"/>
      <c r="EML57" s="92"/>
      <c r="EMM57" s="92"/>
      <c r="EMN57" s="92"/>
      <c r="EMO57" s="92"/>
      <c r="EMP57" s="92"/>
      <c r="EMQ57" s="92"/>
      <c r="EMR57" s="92"/>
      <c r="EMS57" s="92"/>
      <c r="EMT57" s="92"/>
      <c r="EMU57" s="92"/>
      <c r="EMV57" s="92"/>
      <c r="EMW57" s="92"/>
      <c r="EMX57" s="92"/>
      <c r="EMY57" s="92"/>
      <c r="EMZ57" s="92"/>
      <c r="ENA57" s="92"/>
      <c r="ENB57" s="92"/>
      <c r="ENC57" s="92"/>
      <c r="END57" s="92"/>
      <c r="ENE57" s="92"/>
      <c r="ENF57" s="92"/>
      <c r="ENG57" s="92"/>
      <c r="ENH57" s="92"/>
      <c r="ENI57" s="92"/>
      <c r="ENJ57" s="92"/>
      <c r="ENK57" s="92"/>
      <c r="ENL57" s="92"/>
      <c r="ENM57" s="92"/>
      <c r="ENN57" s="92"/>
      <c r="ENO57" s="92"/>
      <c r="ENP57" s="92"/>
      <c r="ENQ57" s="92"/>
      <c r="ENR57" s="92"/>
      <c r="ENS57" s="92"/>
      <c r="ENT57" s="92"/>
      <c r="ENU57" s="92"/>
      <c r="ENV57" s="92"/>
      <c r="ENW57" s="92"/>
      <c r="ENX57" s="92"/>
      <c r="ENY57" s="92"/>
      <c r="ENZ57" s="92"/>
      <c r="EOA57" s="92"/>
      <c r="EOB57" s="92"/>
      <c r="EOC57" s="92"/>
      <c r="EOD57" s="92"/>
      <c r="EOE57" s="92"/>
      <c r="EOF57" s="92"/>
      <c r="EOG57" s="92"/>
      <c r="EOH57" s="92"/>
      <c r="EOI57" s="92"/>
      <c r="EOJ57" s="92"/>
      <c r="EOK57" s="92"/>
      <c r="EOL57" s="92"/>
      <c r="EOM57" s="92"/>
      <c r="EON57" s="92"/>
      <c r="EOO57" s="92"/>
      <c r="EOP57" s="92"/>
      <c r="EOQ57" s="92"/>
      <c r="EOR57" s="92"/>
      <c r="EOS57" s="92"/>
      <c r="EOT57" s="92"/>
      <c r="EOU57" s="92"/>
      <c r="EOV57" s="92"/>
      <c r="EOW57" s="92"/>
      <c r="EOX57" s="92"/>
      <c r="EOY57" s="92"/>
      <c r="EOZ57" s="92"/>
      <c r="EPA57" s="92"/>
      <c r="EPB57" s="92"/>
      <c r="EPC57" s="92"/>
      <c r="EPD57" s="92"/>
      <c r="EPE57" s="92"/>
      <c r="EPF57" s="92"/>
      <c r="EPG57" s="92"/>
      <c r="EPH57" s="92"/>
      <c r="EPI57" s="92"/>
      <c r="EPJ57" s="92"/>
      <c r="EPK57" s="92"/>
      <c r="EPL57" s="92"/>
      <c r="EPM57" s="92"/>
      <c r="EPN57" s="92"/>
      <c r="EPO57" s="92"/>
      <c r="EPP57" s="92"/>
      <c r="EPQ57" s="92"/>
      <c r="EPR57" s="92"/>
      <c r="EPS57" s="92"/>
      <c r="EPT57" s="92"/>
      <c r="EPU57" s="92"/>
      <c r="EPV57" s="92"/>
      <c r="EPW57" s="92"/>
      <c r="EPX57" s="92"/>
      <c r="EPY57" s="92"/>
      <c r="EPZ57" s="92"/>
      <c r="EQA57" s="92"/>
      <c r="EQB57" s="92"/>
      <c r="EQC57" s="92"/>
      <c r="EQD57" s="92"/>
      <c r="EQE57" s="92"/>
      <c r="EQF57" s="92"/>
      <c r="EQG57" s="92"/>
      <c r="EQH57" s="92"/>
      <c r="EQI57" s="92"/>
      <c r="EQJ57" s="92"/>
      <c r="EQK57" s="92"/>
      <c r="EQL57" s="92"/>
      <c r="EQM57" s="92"/>
      <c r="EQN57" s="92"/>
      <c r="EQO57" s="92"/>
      <c r="EQP57" s="92"/>
      <c r="EQQ57" s="92"/>
      <c r="EQR57" s="92"/>
      <c r="EQS57" s="92"/>
      <c r="EQT57" s="92"/>
      <c r="EQU57" s="92"/>
      <c r="EQV57" s="92"/>
      <c r="EQW57" s="92"/>
      <c r="EQX57" s="92"/>
      <c r="EQY57" s="92"/>
      <c r="EQZ57" s="92"/>
      <c r="ERA57" s="92"/>
      <c r="ERB57" s="92"/>
      <c r="ERC57" s="92"/>
      <c r="ERD57" s="92"/>
      <c r="ERE57" s="92"/>
      <c r="ERF57" s="92"/>
      <c r="ERG57" s="92"/>
      <c r="ERH57" s="92"/>
      <c r="ERI57" s="92"/>
      <c r="ERJ57" s="92"/>
      <c r="ERK57" s="92"/>
      <c r="ERL57" s="92"/>
      <c r="ERM57" s="92"/>
      <c r="ERN57" s="92"/>
      <c r="ERO57" s="92"/>
      <c r="ERP57" s="92"/>
      <c r="ERQ57" s="92"/>
      <c r="ERR57" s="92"/>
      <c r="ERS57" s="92"/>
      <c r="ERT57" s="92"/>
      <c r="ERU57" s="92"/>
      <c r="ERV57" s="92"/>
      <c r="ERW57" s="92"/>
      <c r="ERX57" s="92"/>
      <c r="ERY57" s="92"/>
      <c r="ERZ57" s="92"/>
      <c r="ESA57" s="92"/>
      <c r="ESB57" s="92"/>
      <c r="ESC57" s="92"/>
      <c r="ESD57" s="92"/>
      <c r="ESE57" s="92"/>
      <c r="ESF57" s="92"/>
      <c r="ESG57" s="92"/>
      <c r="ESH57" s="92"/>
      <c r="ESI57" s="92"/>
      <c r="ESJ57" s="92"/>
      <c r="ESK57" s="92"/>
      <c r="ESL57" s="92"/>
      <c r="ESM57" s="92"/>
      <c r="ESN57" s="92"/>
      <c r="ESO57" s="92"/>
      <c r="ESP57" s="92"/>
      <c r="ESQ57" s="92"/>
      <c r="ESR57" s="92"/>
      <c r="ESS57" s="92"/>
      <c r="EST57" s="92"/>
      <c r="ESU57" s="92"/>
      <c r="ESV57" s="92"/>
      <c r="ESW57" s="92"/>
      <c r="ESX57" s="92"/>
      <c r="ESY57" s="92"/>
      <c r="ESZ57" s="92"/>
      <c r="ETA57" s="92"/>
      <c r="ETB57" s="92"/>
      <c r="ETC57" s="92"/>
      <c r="ETD57" s="92"/>
      <c r="ETE57" s="92"/>
      <c r="ETF57" s="92"/>
      <c r="ETG57" s="92"/>
      <c r="ETH57" s="92"/>
      <c r="ETI57" s="92"/>
      <c r="ETJ57" s="92"/>
      <c r="ETK57" s="92"/>
      <c r="ETL57" s="92"/>
      <c r="ETM57" s="92"/>
      <c r="ETN57" s="92"/>
      <c r="ETO57" s="92"/>
      <c r="ETP57" s="92"/>
      <c r="ETQ57" s="92"/>
      <c r="ETR57" s="92"/>
      <c r="ETS57" s="92"/>
      <c r="ETT57" s="92"/>
      <c r="ETU57" s="92"/>
      <c r="ETV57" s="92"/>
      <c r="ETW57" s="92"/>
      <c r="ETX57" s="92"/>
      <c r="ETY57" s="92"/>
      <c r="ETZ57" s="92"/>
      <c r="EUA57" s="92"/>
      <c r="EUB57" s="92"/>
      <c r="EUC57" s="92"/>
      <c r="EUD57" s="92"/>
      <c r="EUE57" s="92"/>
      <c r="EUF57" s="92"/>
      <c r="EUG57" s="92"/>
      <c r="EUH57" s="92"/>
      <c r="EUI57" s="92"/>
      <c r="EUJ57" s="92"/>
      <c r="EUK57" s="92"/>
      <c r="EUL57" s="92"/>
      <c r="EUM57" s="92"/>
      <c r="EUN57" s="92"/>
      <c r="EUO57" s="92"/>
      <c r="EUP57" s="92"/>
      <c r="EUQ57" s="92"/>
      <c r="EUR57" s="92"/>
      <c r="EUS57" s="92"/>
      <c r="EUT57" s="92"/>
      <c r="EUU57" s="92"/>
      <c r="EUV57" s="92"/>
      <c r="EUW57" s="92"/>
      <c r="EUX57" s="92"/>
      <c r="EUY57" s="92"/>
      <c r="EUZ57" s="92"/>
      <c r="EVA57" s="92"/>
      <c r="EVB57" s="92"/>
      <c r="EVC57" s="92"/>
      <c r="EVD57" s="92"/>
      <c r="EVE57" s="92"/>
      <c r="EVF57" s="92"/>
      <c r="EVG57" s="92"/>
      <c r="EVH57" s="92"/>
      <c r="EVI57" s="92"/>
      <c r="EVJ57" s="92"/>
      <c r="EVK57" s="92"/>
      <c r="EVL57" s="92"/>
      <c r="EVM57" s="92"/>
      <c r="EVN57" s="92"/>
      <c r="EVO57" s="92"/>
      <c r="EVP57" s="92"/>
      <c r="EVQ57" s="92"/>
      <c r="EVR57" s="92"/>
      <c r="EVS57" s="92"/>
      <c r="EVT57" s="92"/>
      <c r="EVU57" s="92"/>
      <c r="EVV57" s="92"/>
      <c r="EVW57" s="92"/>
      <c r="EVX57" s="92"/>
      <c r="EVY57" s="92"/>
      <c r="EVZ57" s="92"/>
      <c r="EWA57" s="92"/>
      <c r="EWB57" s="92"/>
      <c r="EWC57" s="92"/>
      <c r="EWD57" s="92"/>
      <c r="EWE57" s="92"/>
      <c r="EWF57" s="92"/>
      <c r="EWG57" s="92"/>
      <c r="EWH57" s="92"/>
      <c r="EWI57" s="92"/>
      <c r="EWJ57" s="92"/>
      <c r="EWK57" s="92"/>
      <c r="EWL57" s="92"/>
      <c r="EWM57" s="92"/>
      <c r="EWN57" s="92"/>
      <c r="EWO57" s="92"/>
      <c r="EWP57" s="92"/>
      <c r="EWQ57" s="92"/>
      <c r="EWR57" s="92"/>
      <c r="EWS57" s="92"/>
      <c r="EWT57" s="92"/>
      <c r="EWU57" s="92"/>
      <c r="EWV57" s="92"/>
      <c r="EWW57" s="92"/>
      <c r="EWX57" s="92"/>
      <c r="EWY57" s="92"/>
      <c r="EWZ57" s="92"/>
      <c r="EXA57" s="92"/>
      <c r="EXB57" s="92"/>
      <c r="EXC57" s="92"/>
      <c r="EXD57" s="92"/>
      <c r="EXE57" s="92"/>
      <c r="EXF57" s="92"/>
      <c r="EXG57" s="92"/>
      <c r="EXH57" s="92"/>
      <c r="EXI57" s="92"/>
      <c r="EXJ57" s="92"/>
      <c r="EXK57" s="92"/>
      <c r="EXL57" s="92"/>
      <c r="EXM57" s="92"/>
      <c r="EXN57" s="92"/>
      <c r="EXO57" s="92"/>
      <c r="EXP57" s="92"/>
      <c r="EXQ57" s="92"/>
      <c r="EXR57" s="92"/>
      <c r="EXS57" s="92"/>
      <c r="EXT57" s="92"/>
      <c r="EXU57" s="92"/>
      <c r="EXV57" s="92"/>
      <c r="EXW57" s="92"/>
      <c r="EXX57" s="92"/>
      <c r="EXY57" s="92"/>
      <c r="EXZ57" s="92"/>
      <c r="EYA57" s="92"/>
      <c r="EYB57" s="92"/>
      <c r="EYC57" s="92"/>
      <c r="EYD57" s="92"/>
      <c r="EYE57" s="92"/>
      <c r="EYF57" s="92"/>
      <c r="EYG57" s="92"/>
      <c r="EYH57" s="92"/>
      <c r="EYI57" s="92"/>
      <c r="EYJ57" s="92"/>
      <c r="EYK57" s="92"/>
      <c r="EYL57" s="92"/>
      <c r="EYM57" s="92"/>
      <c r="EYN57" s="92"/>
      <c r="EYO57" s="92"/>
      <c r="EYP57" s="92"/>
      <c r="EYQ57" s="92"/>
      <c r="EYR57" s="92"/>
      <c r="EYS57" s="92"/>
      <c r="EYT57" s="92"/>
      <c r="EYU57" s="92"/>
      <c r="EYV57" s="92"/>
      <c r="EYW57" s="92"/>
      <c r="EYX57" s="92"/>
      <c r="EYY57" s="92"/>
      <c r="EYZ57" s="92"/>
      <c r="EZA57" s="92"/>
      <c r="EZB57" s="92"/>
      <c r="EZC57" s="92"/>
      <c r="EZD57" s="92"/>
      <c r="EZE57" s="92"/>
      <c r="EZF57" s="92"/>
      <c r="EZG57" s="92"/>
      <c r="EZH57" s="92"/>
      <c r="EZI57" s="92"/>
      <c r="EZJ57" s="92"/>
      <c r="EZK57" s="92"/>
      <c r="EZL57" s="92"/>
      <c r="EZM57" s="92"/>
      <c r="EZN57" s="92"/>
      <c r="EZO57" s="92"/>
      <c r="EZP57" s="92"/>
      <c r="EZQ57" s="92"/>
      <c r="EZR57" s="92"/>
      <c r="EZS57" s="92"/>
      <c r="EZT57" s="92"/>
      <c r="EZU57" s="92"/>
      <c r="EZV57" s="92"/>
      <c r="EZW57" s="92"/>
      <c r="EZX57" s="92"/>
      <c r="EZY57" s="92"/>
      <c r="EZZ57" s="92"/>
      <c r="FAA57" s="92"/>
      <c r="FAB57" s="92"/>
      <c r="FAC57" s="92"/>
      <c r="FAD57" s="92"/>
      <c r="FAE57" s="92"/>
      <c r="FAF57" s="92"/>
      <c r="FAG57" s="92"/>
      <c r="FAH57" s="92"/>
      <c r="FAI57" s="92"/>
      <c r="FAJ57" s="92"/>
      <c r="FAK57" s="92"/>
      <c r="FAL57" s="92"/>
      <c r="FAM57" s="92"/>
      <c r="FAN57" s="92"/>
      <c r="FAO57" s="92"/>
      <c r="FAP57" s="92"/>
      <c r="FAQ57" s="92"/>
      <c r="FAR57" s="92"/>
      <c r="FAS57" s="92"/>
      <c r="FAT57" s="92"/>
      <c r="FAU57" s="92"/>
      <c r="FAV57" s="92"/>
      <c r="FAW57" s="92"/>
      <c r="FAX57" s="92"/>
      <c r="FAY57" s="92"/>
      <c r="FAZ57" s="92"/>
      <c r="FBA57" s="92"/>
      <c r="FBB57" s="92"/>
      <c r="FBC57" s="92"/>
      <c r="FBD57" s="92"/>
      <c r="FBE57" s="92"/>
      <c r="FBF57" s="92"/>
      <c r="FBG57" s="92"/>
      <c r="FBH57" s="92"/>
      <c r="FBI57" s="92"/>
      <c r="FBJ57" s="92"/>
      <c r="FBK57" s="92"/>
      <c r="FBL57" s="92"/>
      <c r="FBM57" s="92"/>
      <c r="FBN57" s="92"/>
      <c r="FBO57" s="92"/>
      <c r="FBP57" s="92"/>
      <c r="FBQ57" s="92"/>
      <c r="FBR57" s="92"/>
      <c r="FBS57" s="92"/>
      <c r="FBT57" s="92"/>
      <c r="FBU57" s="92"/>
      <c r="FBV57" s="92"/>
      <c r="FBW57" s="92"/>
      <c r="FBX57" s="92"/>
      <c r="FBY57" s="92"/>
      <c r="FBZ57" s="92"/>
      <c r="FCA57" s="92"/>
      <c r="FCB57" s="92"/>
      <c r="FCC57" s="92"/>
      <c r="FCD57" s="92"/>
      <c r="FCE57" s="92"/>
      <c r="FCF57" s="92"/>
      <c r="FCG57" s="92"/>
      <c r="FCH57" s="92"/>
      <c r="FCI57" s="92"/>
      <c r="FCJ57" s="92"/>
      <c r="FCK57" s="92"/>
      <c r="FCL57" s="92"/>
      <c r="FCM57" s="92"/>
      <c r="FCN57" s="92"/>
      <c r="FCO57" s="92"/>
      <c r="FCP57" s="92"/>
      <c r="FCQ57" s="92"/>
      <c r="FCR57" s="92"/>
      <c r="FCS57" s="92"/>
      <c r="FCT57" s="92"/>
      <c r="FCU57" s="92"/>
      <c r="FCV57" s="92"/>
      <c r="FCW57" s="92"/>
      <c r="FCX57" s="92"/>
      <c r="FCY57" s="92"/>
      <c r="FCZ57" s="92"/>
      <c r="FDA57" s="92"/>
      <c r="FDB57" s="92"/>
      <c r="FDC57" s="92"/>
      <c r="FDD57" s="92"/>
      <c r="FDE57" s="92"/>
      <c r="FDF57" s="92"/>
      <c r="FDG57" s="92"/>
      <c r="FDH57" s="92"/>
      <c r="FDI57" s="92"/>
      <c r="FDJ57" s="92"/>
      <c r="FDK57" s="92"/>
      <c r="FDL57" s="92"/>
      <c r="FDM57" s="92"/>
      <c r="FDN57" s="92"/>
      <c r="FDO57" s="92"/>
      <c r="FDP57" s="92"/>
      <c r="FDQ57" s="92"/>
      <c r="FDR57" s="92"/>
      <c r="FDS57" s="92"/>
      <c r="FDT57" s="92"/>
      <c r="FDU57" s="92"/>
      <c r="FDV57" s="92"/>
      <c r="FDW57" s="92"/>
      <c r="FDX57" s="92"/>
      <c r="FDY57" s="92"/>
      <c r="FDZ57" s="92"/>
      <c r="FEA57" s="92"/>
      <c r="FEB57" s="92"/>
      <c r="FEC57" s="92"/>
      <c r="FED57" s="92"/>
      <c r="FEE57" s="92"/>
      <c r="FEF57" s="92"/>
      <c r="FEG57" s="92"/>
      <c r="FEH57" s="92"/>
      <c r="FEI57" s="92"/>
      <c r="FEJ57" s="92"/>
      <c r="FEK57" s="92"/>
      <c r="FEL57" s="92"/>
      <c r="FEM57" s="92"/>
      <c r="FEN57" s="92"/>
      <c r="FEO57" s="92"/>
      <c r="FEP57" s="92"/>
      <c r="FEQ57" s="92"/>
      <c r="FER57" s="92"/>
      <c r="FES57" s="92"/>
      <c r="FET57" s="92"/>
      <c r="FEU57" s="92"/>
      <c r="FEV57" s="92"/>
      <c r="FEW57" s="92"/>
      <c r="FEX57" s="92"/>
      <c r="FEY57" s="92"/>
      <c r="FEZ57" s="92"/>
      <c r="FFA57" s="92"/>
      <c r="FFB57" s="92"/>
      <c r="FFC57" s="92"/>
      <c r="FFD57" s="92"/>
      <c r="FFE57" s="92"/>
      <c r="FFF57" s="92"/>
      <c r="FFG57" s="92"/>
      <c r="FFH57" s="92"/>
      <c r="FFI57" s="92"/>
      <c r="FFJ57" s="92"/>
      <c r="FFK57" s="92"/>
      <c r="FFL57" s="92"/>
      <c r="FFM57" s="92"/>
      <c r="FFN57" s="92"/>
      <c r="FFO57" s="92"/>
      <c r="FFP57" s="92"/>
      <c r="FFQ57" s="92"/>
      <c r="FFR57" s="92"/>
      <c r="FFS57" s="92"/>
      <c r="FFT57" s="92"/>
      <c r="FFU57" s="92"/>
      <c r="FFV57" s="92"/>
      <c r="FFW57" s="92"/>
      <c r="FFX57" s="92"/>
      <c r="FFY57" s="92"/>
      <c r="FFZ57" s="92"/>
      <c r="FGA57" s="92"/>
      <c r="FGB57" s="92"/>
      <c r="FGC57" s="92"/>
      <c r="FGD57" s="92"/>
      <c r="FGE57" s="92"/>
      <c r="FGF57" s="92"/>
      <c r="FGG57" s="92"/>
      <c r="FGH57" s="92"/>
      <c r="FGI57" s="92"/>
      <c r="FGJ57" s="92"/>
      <c r="FGK57" s="92"/>
      <c r="FGL57" s="92"/>
      <c r="FGM57" s="92"/>
      <c r="FGN57" s="92"/>
      <c r="FGO57" s="92"/>
      <c r="FGP57" s="92"/>
      <c r="FGQ57" s="92"/>
      <c r="FGR57" s="92"/>
      <c r="FGS57" s="92"/>
      <c r="FGT57" s="92"/>
      <c r="FGU57" s="92"/>
      <c r="FGV57" s="92"/>
      <c r="FGW57" s="92"/>
      <c r="FGX57" s="92"/>
      <c r="FGY57" s="92"/>
      <c r="FGZ57" s="92"/>
      <c r="FHA57" s="92"/>
      <c r="FHB57" s="92"/>
      <c r="FHC57" s="92"/>
      <c r="FHD57" s="92"/>
      <c r="FHE57" s="92"/>
      <c r="FHF57" s="92"/>
      <c r="FHG57" s="92"/>
      <c r="FHH57" s="92"/>
      <c r="FHI57" s="92"/>
      <c r="FHJ57" s="92"/>
      <c r="FHK57" s="92"/>
      <c r="FHL57" s="92"/>
      <c r="FHM57" s="92"/>
      <c r="FHN57" s="92"/>
      <c r="FHO57" s="92"/>
      <c r="FHP57" s="92"/>
      <c r="FHQ57" s="92"/>
      <c r="FHR57" s="92"/>
      <c r="FHS57" s="92"/>
      <c r="FHT57" s="92"/>
      <c r="FHU57" s="92"/>
      <c r="FHV57" s="92"/>
      <c r="FHW57" s="92"/>
      <c r="FHX57" s="92"/>
      <c r="FHY57" s="92"/>
      <c r="FHZ57" s="92"/>
      <c r="FIA57" s="92"/>
      <c r="FIB57" s="92"/>
      <c r="FIC57" s="92"/>
      <c r="FID57" s="92"/>
      <c r="FIE57" s="92"/>
      <c r="FIF57" s="92"/>
      <c r="FIG57" s="92"/>
      <c r="FIH57" s="92"/>
      <c r="FII57" s="92"/>
      <c r="FIJ57" s="92"/>
      <c r="FIK57" s="92"/>
      <c r="FIL57" s="92"/>
      <c r="FIM57" s="92"/>
      <c r="FIN57" s="92"/>
      <c r="FIO57" s="92"/>
      <c r="FIP57" s="92"/>
      <c r="FIQ57" s="92"/>
      <c r="FIR57" s="92"/>
      <c r="FIS57" s="92"/>
      <c r="FIT57" s="92"/>
      <c r="FIU57" s="92"/>
      <c r="FIV57" s="92"/>
      <c r="FIW57" s="92"/>
      <c r="FIX57" s="92"/>
      <c r="FIY57" s="92"/>
      <c r="FIZ57" s="92"/>
      <c r="FJA57" s="92"/>
      <c r="FJB57" s="92"/>
      <c r="FJC57" s="92"/>
      <c r="FJD57" s="92"/>
      <c r="FJE57" s="92"/>
      <c r="FJF57" s="92"/>
      <c r="FJG57" s="92"/>
      <c r="FJH57" s="92"/>
      <c r="FJI57" s="92"/>
      <c r="FJJ57" s="92"/>
      <c r="FJK57" s="92"/>
      <c r="FJL57" s="92"/>
      <c r="FJM57" s="92"/>
      <c r="FJN57" s="92"/>
      <c r="FJO57" s="92"/>
      <c r="FJP57" s="92"/>
      <c r="FJQ57" s="92"/>
      <c r="FJR57" s="92"/>
      <c r="FJS57" s="92"/>
      <c r="FJT57" s="92"/>
      <c r="FJU57" s="92"/>
      <c r="FJV57" s="92"/>
      <c r="FJW57" s="92"/>
      <c r="FJX57" s="92"/>
      <c r="FJY57" s="92"/>
      <c r="FJZ57" s="92"/>
      <c r="FKA57" s="92"/>
      <c r="FKB57" s="92"/>
      <c r="FKC57" s="92"/>
      <c r="FKD57" s="92"/>
      <c r="FKE57" s="92"/>
      <c r="FKF57" s="92"/>
      <c r="FKG57" s="92"/>
      <c r="FKH57" s="92"/>
      <c r="FKI57" s="92"/>
      <c r="FKJ57" s="92"/>
      <c r="FKK57" s="92"/>
      <c r="FKL57" s="92"/>
      <c r="FKM57" s="92"/>
      <c r="FKN57" s="92"/>
      <c r="FKO57" s="92"/>
      <c r="FKP57" s="92"/>
      <c r="FKQ57" s="92"/>
      <c r="FKR57" s="92"/>
      <c r="FKS57" s="92"/>
      <c r="FKT57" s="92"/>
      <c r="FKU57" s="92"/>
      <c r="FKV57" s="92"/>
      <c r="FKW57" s="92"/>
      <c r="FKX57" s="92"/>
      <c r="FKY57" s="92"/>
      <c r="FKZ57" s="92"/>
      <c r="FLA57" s="92"/>
      <c r="FLB57" s="92"/>
      <c r="FLC57" s="92"/>
      <c r="FLD57" s="92"/>
      <c r="FLE57" s="92"/>
      <c r="FLF57" s="92"/>
      <c r="FLG57" s="92"/>
      <c r="FLH57" s="92"/>
      <c r="FLI57" s="92"/>
      <c r="FLJ57" s="92"/>
      <c r="FLK57" s="92"/>
      <c r="FLL57" s="92"/>
      <c r="FLM57" s="92"/>
      <c r="FLN57" s="92"/>
      <c r="FLO57" s="92"/>
      <c r="FLP57" s="92"/>
      <c r="FLQ57" s="92"/>
      <c r="FLR57" s="92"/>
      <c r="FLS57" s="92"/>
      <c r="FLT57" s="92"/>
      <c r="FLU57" s="92"/>
      <c r="FLV57" s="92"/>
      <c r="FLW57" s="92"/>
      <c r="FLX57" s="92"/>
      <c r="FLY57" s="92"/>
      <c r="FLZ57" s="92"/>
      <c r="FMA57" s="92"/>
      <c r="FMB57" s="92"/>
      <c r="FMC57" s="92"/>
      <c r="FMD57" s="92"/>
      <c r="FME57" s="92"/>
      <c r="FMF57" s="92"/>
      <c r="FMG57" s="92"/>
      <c r="FMH57" s="92"/>
      <c r="FMI57" s="92"/>
      <c r="FMJ57" s="92"/>
      <c r="FMK57" s="92"/>
      <c r="FML57" s="92"/>
      <c r="FMM57" s="92"/>
      <c r="FMN57" s="92"/>
      <c r="FMO57" s="92"/>
      <c r="FMP57" s="92"/>
      <c r="FMQ57" s="92"/>
      <c r="FMR57" s="92"/>
      <c r="FMS57" s="92"/>
      <c r="FMT57" s="92"/>
      <c r="FMU57" s="92"/>
      <c r="FMV57" s="92"/>
      <c r="FMW57" s="92"/>
      <c r="FMX57" s="92"/>
      <c r="FMY57" s="92"/>
      <c r="FMZ57" s="92"/>
      <c r="FNA57" s="92"/>
      <c r="FNB57" s="92"/>
      <c r="FNC57" s="92"/>
      <c r="FND57" s="92"/>
      <c r="FNE57" s="92"/>
      <c r="FNF57" s="92"/>
      <c r="FNG57" s="92"/>
      <c r="FNH57" s="92"/>
      <c r="FNI57" s="92"/>
      <c r="FNJ57" s="92"/>
      <c r="FNK57" s="92"/>
      <c r="FNL57" s="92"/>
      <c r="FNM57" s="92"/>
      <c r="FNN57" s="92"/>
      <c r="FNO57" s="92"/>
      <c r="FNP57" s="92"/>
      <c r="FNQ57" s="92"/>
      <c r="FNR57" s="92"/>
      <c r="FNS57" s="92"/>
      <c r="FNT57" s="92"/>
      <c r="FNU57" s="92"/>
      <c r="FNV57" s="92"/>
      <c r="FNW57" s="92"/>
      <c r="FNX57" s="92"/>
      <c r="FNY57" s="92"/>
      <c r="FNZ57" s="92"/>
      <c r="FOA57" s="92"/>
      <c r="FOB57" s="92"/>
      <c r="FOC57" s="92"/>
      <c r="FOD57" s="92"/>
      <c r="FOE57" s="92"/>
      <c r="FOF57" s="92"/>
      <c r="FOG57" s="92"/>
      <c r="FOH57" s="92"/>
      <c r="FOI57" s="92"/>
      <c r="FOJ57" s="92"/>
      <c r="FOK57" s="92"/>
      <c r="FOL57" s="92"/>
      <c r="FOM57" s="92"/>
      <c r="FON57" s="92"/>
      <c r="FOO57" s="92"/>
      <c r="FOP57" s="92"/>
      <c r="FOQ57" s="92"/>
      <c r="FOR57" s="92"/>
      <c r="FOS57" s="92"/>
      <c r="FOT57" s="92"/>
      <c r="FOU57" s="92"/>
      <c r="FOV57" s="92"/>
      <c r="FOW57" s="92"/>
      <c r="FOX57" s="92"/>
      <c r="FOY57" s="92"/>
      <c r="FOZ57" s="92"/>
      <c r="FPA57" s="92"/>
      <c r="FPB57" s="92"/>
      <c r="FPC57" s="92"/>
      <c r="FPD57" s="92"/>
      <c r="FPE57" s="92"/>
      <c r="FPF57" s="92"/>
      <c r="FPG57" s="92"/>
      <c r="FPH57" s="92"/>
      <c r="FPI57" s="92"/>
      <c r="FPJ57" s="92"/>
      <c r="FPK57" s="92"/>
      <c r="FPL57" s="92"/>
      <c r="FPM57" s="92"/>
      <c r="FPN57" s="92"/>
      <c r="FPO57" s="92"/>
      <c r="FPP57" s="92"/>
      <c r="FPQ57" s="92"/>
      <c r="FPR57" s="92"/>
      <c r="FPS57" s="92"/>
      <c r="FPT57" s="92"/>
      <c r="FPU57" s="92"/>
      <c r="FPV57" s="92"/>
      <c r="FPW57" s="92"/>
      <c r="FPX57" s="92"/>
      <c r="FPY57" s="92"/>
      <c r="FPZ57" s="92"/>
      <c r="FQA57" s="92"/>
      <c r="FQB57" s="92"/>
      <c r="FQC57" s="92"/>
      <c r="FQD57" s="92"/>
      <c r="FQE57" s="92"/>
      <c r="FQF57" s="92"/>
      <c r="FQG57" s="92"/>
      <c r="FQH57" s="92"/>
      <c r="FQI57" s="92"/>
      <c r="FQJ57" s="92"/>
      <c r="FQK57" s="92"/>
      <c r="FQL57" s="92"/>
      <c r="FQM57" s="92"/>
      <c r="FQN57" s="92"/>
      <c r="FQO57" s="92"/>
      <c r="FQP57" s="92"/>
      <c r="FQQ57" s="92"/>
      <c r="FQR57" s="92"/>
      <c r="FQS57" s="92"/>
      <c r="FQT57" s="92"/>
      <c r="FQU57" s="92"/>
      <c r="FQV57" s="92"/>
      <c r="FQW57" s="92"/>
      <c r="FQX57" s="92"/>
      <c r="FQY57" s="92"/>
      <c r="FQZ57" s="92"/>
      <c r="FRA57" s="92"/>
      <c r="FRB57" s="92"/>
      <c r="FRC57" s="92"/>
      <c r="FRD57" s="92"/>
      <c r="FRE57" s="92"/>
      <c r="FRF57" s="92"/>
      <c r="FRG57" s="92"/>
      <c r="FRH57" s="92"/>
      <c r="FRI57" s="92"/>
      <c r="FRJ57" s="92"/>
      <c r="FRK57" s="92"/>
      <c r="FRL57" s="92"/>
      <c r="FRM57" s="92"/>
      <c r="FRN57" s="92"/>
      <c r="FRO57" s="92"/>
      <c r="FRP57" s="92"/>
      <c r="FRQ57" s="92"/>
      <c r="FRR57" s="92"/>
      <c r="FRS57" s="92"/>
      <c r="FRT57" s="92"/>
      <c r="FRU57" s="92"/>
      <c r="FRV57" s="92"/>
      <c r="FRW57" s="92"/>
      <c r="FRX57" s="92"/>
      <c r="FRY57" s="92"/>
      <c r="FRZ57" s="92"/>
      <c r="FSA57" s="92"/>
      <c r="FSB57" s="92"/>
      <c r="FSC57" s="92"/>
      <c r="FSD57" s="92"/>
      <c r="FSE57" s="92"/>
      <c r="FSF57" s="92"/>
      <c r="FSG57" s="92"/>
      <c r="FSH57" s="92"/>
      <c r="FSI57" s="92"/>
      <c r="FSJ57" s="92"/>
      <c r="FSK57" s="92"/>
      <c r="FSL57" s="92"/>
      <c r="FSM57" s="92"/>
      <c r="FSN57" s="92"/>
      <c r="FSO57" s="92"/>
      <c r="FSP57" s="92"/>
      <c r="FSQ57" s="92"/>
      <c r="FSR57" s="92"/>
      <c r="FSS57" s="92"/>
      <c r="FST57" s="92"/>
      <c r="FSU57" s="92"/>
      <c r="FSV57" s="92"/>
      <c r="FSW57" s="92"/>
      <c r="FSX57" s="92"/>
      <c r="FSY57" s="92"/>
      <c r="FSZ57" s="92"/>
      <c r="FTA57" s="92"/>
      <c r="FTB57" s="92"/>
      <c r="FTC57" s="92"/>
      <c r="FTD57" s="92"/>
      <c r="FTE57" s="92"/>
      <c r="FTF57" s="92"/>
      <c r="FTG57" s="92"/>
      <c r="FTH57" s="92"/>
      <c r="FTI57" s="92"/>
      <c r="FTJ57" s="92"/>
      <c r="FTK57" s="92"/>
      <c r="FTL57" s="92"/>
      <c r="FTM57" s="92"/>
      <c r="FTN57" s="92"/>
      <c r="FTO57" s="92"/>
      <c r="FTP57" s="92"/>
      <c r="FTQ57" s="92"/>
      <c r="FTR57" s="92"/>
      <c r="FTS57" s="92"/>
      <c r="FTT57" s="92"/>
      <c r="FTU57" s="92"/>
      <c r="FTV57" s="92"/>
      <c r="FTW57" s="92"/>
      <c r="FTX57" s="92"/>
      <c r="FTY57" s="92"/>
      <c r="FTZ57" s="92"/>
      <c r="FUA57" s="92"/>
      <c r="FUB57" s="92"/>
      <c r="FUC57" s="92"/>
      <c r="FUD57" s="92"/>
      <c r="FUE57" s="92"/>
      <c r="FUF57" s="92"/>
      <c r="FUG57" s="92"/>
      <c r="FUH57" s="92"/>
      <c r="FUI57" s="92"/>
      <c r="FUJ57" s="92"/>
      <c r="FUK57" s="92"/>
      <c r="FUL57" s="92"/>
      <c r="FUM57" s="92"/>
      <c r="FUN57" s="92"/>
      <c r="FUO57" s="92"/>
      <c r="FUP57" s="92"/>
      <c r="FUQ57" s="92"/>
      <c r="FUR57" s="92"/>
      <c r="FUS57" s="92"/>
      <c r="FUT57" s="92"/>
      <c r="FUU57" s="92"/>
      <c r="FUV57" s="92"/>
      <c r="FUW57" s="92"/>
      <c r="FUX57" s="92"/>
      <c r="FUY57" s="92"/>
      <c r="FUZ57" s="92"/>
      <c r="FVA57" s="92"/>
      <c r="FVB57" s="92"/>
      <c r="FVC57" s="92"/>
      <c r="FVD57" s="92"/>
      <c r="FVE57" s="92"/>
      <c r="FVF57" s="92"/>
      <c r="FVG57" s="92"/>
      <c r="FVH57" s="92"/>
      <c r="FVI57" s="92"/>
      <c r="FVJ57" s="92"/>
      <c r="FVK57" s="92"/>
      <c r="FVL57" s="92"/>
      <c r="FVM57" s="92"/>
      <c r="FVN57" s="92"/>
      <c r="FVO57" s="92"/>
      <c r="FVP57" s="92"/>
      <c r="FVQ57" s="92"/>
      <c r="FVR57" s="92"/>
      <c r="FVS57" s="92"/>
      <c r="FVT57" s="92"/>
      <c r="FVU57" s="92"/>
      <c r="FVV57" s="92"/>
      <c r="FVW57" s="92"/>
      <c r="FVX57" s="92"/>
      <c r="FVY57" s="92"/>
      <c r="FVZ57" s="92"/>
      <c r="FWA57" s="92"/>
      <c r="FWB57" s="92"/>
      <c r="FWC57" s="92"/>
      <c r="FWD57" s="92"/>
      <c r="FWE57" s="92"/>
      <c r="FWF57" s="92"/>
      <c r="FWG57" s="92"/>
      <c r="FWH57" s="92"/>
      <c r="FWI57" s="92"/>
      <c r="FWJ57" s="92"/>
      <c r="FWK57" s="92"/>
      <c r="FWL57" s="92"/>
      <c r="FWM57" s="92"/>
      <c r="FWN57" s="92"/>
      <c r="FWO57" s="92"/>
      <c r="FWP57" s="92"/>
      <c r="FWQ57" s="92"/>
      <c r="FWR57" s="92"/>
      <c r="FWS57" s="92"/>
      <c r="FWT57" s="92"/>
      <c r="FWU57" s="92"/>
      <c r="FWV57" s="92"/>
      <c r="FWW57" s="92"/>
      <c r="FWX57" s="92"/>
      <c r="FWY57" s="92"/>
      <c r="FWZ57" s="92"/>
      <c r="FXA57" s="92"/>
      <c r="FXB57" s="92"/>
      <c r="FXC57" s="92"/>
      <c r="FXD57" s="92"/>
      <c r="FXE57" s="92"/>
      <c r="FXF57" s="92"/>
      <c r="FXG57" s="92"/>
      <c r="FXH57" s="92"/>
      <c r="FXI57" s="92"/>
      <c r="FXJ57" s="92"/>
      <c r="FXK57" s="92"/>
      <c r="FXL57" s="92"/>
      <c r="FXM57" s="92"/>
      <c r="FXN57" s="92"/>
      <c r="FXO57" s="92"/>
      <c r="FXP57" s="92"/>
      <c r="FXQ57" s="92"/>
      <c r="FXR57" s="92"/>
      <c r="FXS57" s="92"/>
      <c r="FXT57" s="92"/>
      <c r="FXU57" s="92"/>
      <c r="FXV57" s="92"/>
      <c r="FXW57" s="92"/>
      <c r="FXX57" s="92"/>
      <c r="FXY57" s="92"/>
      <c r="FXZ57" s="92"/>
      <c r="FYA57" s="92"/>
      <c r="FYB57" s="92"/>
      <c r="FYC57" s="92"/>
      <c r="FYD57" s="92"/>
      <c r="FYE57" s="92"/>
      <c r="FYF57" s="92"/>
      <c r="FYG57" s="92"/>
      <c r="FYH57" s="92"/>
      <c r="FYI57" s="92"/>
      <c r="FYJ57" s="92"/>
      <c r="FYK57" s="92"/>
      <c r="FYL57" s="92"/>
      <c r="FYM57" s="92"/>
      <c r="FYN57" s="92"/>
      <c r="FYO57" s="92"/>
      <c r="FYP57" s="92"/>
      <c r="FYQ57" s="92"/>
      <c r="FYR57" s="92"/>
      <c r="FYS57" s="92"/>
      <c r="FYT57" s="92"/>
      <c r="FYU57" s="92"/>
      <c r="FYV57" s="92"/>
      <c r="FYW57" s="92"/>
      <c r="FYX57" s="92"/>
      <c r="FYY57" s="92"/>
      <c r="FYZ57" s="92"/>
      <c r="FZA57" s="92"/>
      <c r="FZB57" s="92"/>
      <c r="FZC57" s="92"/>
      <c r="FZD57" s="92"/>
      <c r="FZE57" s="92"/>
      <c r="FZF57" s="92"/>
      <c r="FZG57" s="92"/>
      <c r="FZH57" s="92"/>
      <c r="FZI57" s="92"/>
      <c r="FZJ57" s="92"/>
      <c r="FZK57" s="92"/>
      <c r="FZL57" s="92"/>
      <c r="FZM57" s="92"/>
      <c r="FZN57" s="92"/>
      <c r="FZO57" s="92"/>
      <c r="FZP57" s="92"/>
      <c r="FZQ57" s="92"/>
      <c r="FZR57" s="92"/>
      <c r="FZS57" s="92"/>
      <c r="FZT57" s="92"/>
      <c r="FZU57" s="92"/>
      <c r="FZV57" s="92"/>
      <c r="FZW57" s="92"/>
      <c r="FZX57" s="92"/>
      <c r="FZY57" s="92"/>
      <c r="FZZ57" s="92"/>
      <c r="GAA57" s="92"/>
      <c r="GAB57" s="92"/>
      <c r="GAC57" s="92"/>
      <c r="GAD57" s="92"/>
      <c r="GAE57" s="92"/>
      <c r="GAF57" s="92"/>
      <c r="GAG57" s="92"/>
      <c r="GAH57" s="92"/>
      <c r="GAI57" s="92"/>
      <c r="GAJ57" s="92"/>
      <c r="GAK57" s="92"/>
      <c r="GAL57" s="92"/>
      <c r="GAM57" s="92"/>
      <c r="GAN57" s="92"/>
      <c r="GAO57" s="92"/>
      <c r="GAP57" s="92"/>
      <c r="GAQ57" s="92"/>
      <c r="GAR57" s="92"/>
      <c r="GAS57" s="92"/>
      <c r="GAT57" s="92"/>
      <c r="GAU57" s="92"/>
      <c r="GAV57" s="92"/>
      <c r="GAW57" s="92"/>
      <c r="GAX57" s="92"/>
      <c r="GAY57" s="92"/>
      <c r="GAZ57" s="92"/>
      <c r="GBA57" s="92"/>
      <c r="GBB57" s="92"/>
      <c r="GBC57" s="92"/>
      <c r="GBD57" s="92"/>
      <c r="GBE57" s="92"/>
      <c r="GBF57" s="92"/>
      <c r="GBG57" s="92"/>
      <c r="GBH57" s="92"/>
      <c r="GBI57" s="92"/>
      <c r="GBJ57" s="92"/>
      <c r="GBK57" s="92"/>
      <c r="GBL57" s="92"/>
      <c r="GBM57" s="92"/>
      <c r="GBN57" s="92"/>
      <c r="GBO57" s="92"/>
      <c r="GBP57" s="92"/>
      <c r="GBQ57" s="92"/>
      <c r="GBR57" s="92"/>
      <c r="GBS57" s="92"/>
      <c r="GBT57" s="92"/>
      <c r="GBU57" s="92"/>
      <c r="GBV57" s="92"/>
      <c r="GBW57" s="92"/>
      <c r="GBX57" s="92"/>
      <c r="GBY57" s="92"/>
      <c r="GBZ57" s="92"/>
      <c r="GCA57" s="92"/>
      <c r="GCB57" s="92"/>
      <c r="GCC57" s="92"/>
      <c r="GCD57" s="92"/>
      <c r="GCE57" s="92"/>
      <c r="GCF57" s="92"/>
      <c r="GCG57" s="92"/>
      <c r="GCH57" s="92"/>
      <c r="GCI57" s="92"/>
      <c r="GCJ57" s="92"/>
      <c r="GCK57" s="92"/>
      <c r="GCL57" s="92"/>
      <c r="GCM57" s="92"/>
      <c r="GCN57" s="92"/>
      <c r="GCO57" s="92"/>
      <c r="GCP57" s="92"/>
      <c r="GCQ57" s="92"/>
      <c r="GCR57" s="92"/>
      <c r="GCS57" s="92"/>
      <c r="GCT57" s="92"/>
      <c r="GCU57" s="92"/>
      <c r="GCV57" s="92"/>
      <c r="GCW57" s="92"/>
      <c r="GCX57" s="92"/>
      <c r="GCY57" s="92"/>
      <c r="GCZ57" s="92"/>
      <c r="GDA57" s="92"/>
      <c r="GDB57" s="92"/>
      <c r="GDC57" s="92"/>
      <c r="GDD57" s="92"/>
      <c r="GDE57" s="92"/>
      <c r="GDF57" s="92"/>
      <c r="GDG57" s="92"/>
      <c r="GDH57" s="92"/>
      <c r="GDI57" s="92"/>
      <c r="GDJ57" s="92"/>
      <c r="GDK57" s="92"/>
      <c r="GDL57" s="92"/>
      <c r="GDM57" s="92"/>
      <c r="GDN57" s="92"/>
      <c r="GDO57" s="92"/>
      <c r="GDP57" s="92"/>
      <c r="GDQ57" s="92"/>
      <c r="GDR57" s="92"/>
      <c r="GDS57" s="92"/>
      <c r="GDT57" s="92"/>
      <c r="GDU57" s="92"/>
      <c r="GDV57" s="92"/>
      <c r="GDW57" s="92"/>
      <c r="GDX57" s="92"/>
      <c r="GDY57" s="92"/>
      <c r="GDZ57" s="92"/>
      <c r="GEA57" s="92"/>
      <c r="GEB57" s="92"/>
      <c r="GEC57" s="92"/>
      <c r="GED57" s="92"/>
      <c r="GEE57" s="92"/>
      <c r="GEF57" s="92"/>
      <c r="GEG57" s="92"/>
      <c r="GEH57" s="92"/>
      <c r="GEI57" s="92"/>
      <c r="GEJ57" s="92"/>
      <c r="GEK57" s="92"/>
      <c r="GEL57" s="92"/>
      <c r="GEM57" s="92"/>
      <c r="GEN57" s="92"/>
      <c r="GEO57" s="92"/>
      <c r="GEP57" s="92"/>
      <c r="GEQ57" s="92"/>
      <c r="GER57" s="92"/>
      <c r="GES57" s="92"/>
      <c r="GET57" s="92"/>
      <c r="GEU57" s="92"/>
      <c r="GEV57" s="92"/>
      <c r="GEW57" s="92"/>
      <c r="GEX57" s="92"/>
      <c r="GEY57" s="92"/>
      <c r="GEZ57" s="92"/>
      <c r="GFA57" s="92"/>
      <c r="GFB57" s="92"/>
      <c r="GFC57" s="92"/>
      <c r="GFD57" s="92"/>
      <c r="GFE57" s="92"/>
      <c r="GFF57" s="92"/>
      <c r="GFG57" s="92"/>
      <c r="GFH57" s="92"/>
      <c r="GFI57" s="92"/>
      <c r="GFJ57" s="92"/>
      <c r="GFK57" s="92"/>
      <c r="GFL57" s="92"/>
      <c r="GFM57" s="92"/>
      <c r="GFN57" s="92"/>
      <c r="GFO57" s="92"/>
      <c r="GFP57" s="92"/>
      <c r="GFQ57" s="92"/>
      <c r="GFR57" s="92"/>
      <c r="GFS57" s="92"/>
      <c r="GFT57" s="92"/>
      <c r="GFU57" s="92"/>
      <c r="GFV57" s="92"/>
      <c r="GFW57" s="92"/>
      <c r="GFX57" s="92"/>
      <c r="GFY57" s="92"/>
      <c r="GFZ57" s="92"/>
      <c r="GGA57" s="92"/>
      <c r="GGB57" s="92"/>
      <c r="GGC57" s="92"/>
      <c r="GGD57" s="92"/>
      <c r="GGE57" s="92"/>
      <c r="GGF57" s="92"/>
      <c r="GGG57" s="92"/>
      <c r="GGH57" s="92"/>
      <c r="GGI57" s="92"/>
      <c r="GGJ57" s="92"/>
      <c r="GGK57" s="92"/>
      <c r="GGL57" s="92"/>
      <c r="GGM57" s="92"/>
      <c r="GGN57" s="92"/>
      <c r="GGO57" s="92"/>
      <c r="GGP57" s="92"/>
      <c r="GGQ57" s="92"/>
      <c r="GGR57" s="92"/>
      <c r="GGS57" s="92"/>
      <c r="GGT57" s="92"/>
      <c r="GGU57" s="92"/>
      <c r="GGV57" s="92"/>
      <c r="GGW57" s="92"/>
      <c r="GGX57" s="92"/>
      <c r="GGY57" s="92"/>
      <c r="GGZ57" s="92"/>
      <c r="GHA57" s="92"/>
      <c r="GHB57" s="92"/>
      <c r="GHC57" s="92"/>
      <c r="GHD57" s="92"/>
      <c r="GHE57" s="92"/>
      <c r="GHF57" s="92"/>
      <c r="GHG57" s="92"/>
      <c r="GHH57" s="92"/>
      <c r="GHI57" s="92"/>
      <c r="GHJ57" s="92"/>
      <c r="GHK57" s="92"/>
      <c r="GHL57" s="92"/>
      <c r="GHM57" s="92"/>
      <c r="GHN57" s="92"/>
      <c r="GHO57" s="92"/>
      <c r="GHP57" s="92"/>
      <c r="GHQ57" s="92"/>
      <c r="GHR57" s="92"/>
      <c r="GHS57" s="92"/>
      <c r="GHT57" s="92"/>
      <c r="GHU57" s="92"/>
      <c r="GHV57" s="92"/>
      <c r="GHW57" s="92"/>
      <c r="GHX57" s="92"/>
      <c r="GHY57" s="92"/>
      <c r="GHZ57" s="92"/>
      <c r="GIA57" s="92"/>
      <c r="GIB57" s="92"/>
      <c r="GIC57" s="92"/>
      <c r="GID57" s="92"/>
      <c r="GIE57" s="92"/>
      <c r="GIF57" s="92"/>
      <c r="GIG57" s="92"/>
      <c r="GIH57" s="92"/>
      <c r="GII57" s="92"/>
      <c r="GIJ57" s="92"/>
      <c r="GIK57" s="92"/>
      <c r="GIL57" s="92"/>
      <c r="GIM57" s="92"/>
      <c r="GIN57" s="92"/>
      <c r="GIO57" s="92"/>
      <c r="GIP57" s="92"/>
      <c r="GIQ57" s="92"/>
      <c r="GIR57" s="92"/>
      <c r="GIS57" s="92"/>
      <c r="GIT57" s="92"/>
      <c r="GIU57" s="92"/>
      <c r="GIV57" s="92"/>
      <c r="GIW57" s="92"/>
      <c r="GIX57" s="92"/>
      <c r="GIY57" s="92"/>
      <c r="GIZ57" s="92"/>
      <c r="GJA57" s="92"/>
      <c r="GJB57" s="92"/>
      <c r="GJC57" s="92"/>
      <c r="GJD57" s="92"/>
      <c r="GJE57" s="92"/>
      <c r="GJF57" s="92"/>
      <c r="GJG57" s="92"/>
      <c r="GJH57" s="92"/>
      <c r="GJI57" s="92"/>
      <c r="GJJ57" s="92"/>
      <c r="GJK57" s="92"/>
      <c r="GJL57" s="92"/>
      <c r="GJM57" s="92"/>
      <c r="GJN57" s="92"/>
      <c r="GJO57" s="92"/>
      <c r="GJP57" s="92"/>
      <c r="GJQ57" s="92"/>
      <c r="GJR57" s="92"/>
      <c r="GJS57" s="92"/>
      <c r="GJT57" s="92"/>
      <c r="GJU57" s="92"/>
      <c r="GJV57" s="92"/>
      <c r="GJW57" s="92"/>
      <c r="GJX57" s="92"/>
      <c r="GJY57" s="92"/>
      <c r="GJZ57" s="92"/>
      <c r="GKA57" s="92"/>
      <c r="GKB57" s="92"/>
      <c r="GKC57" s="92"/>
      <c r="GKD57" s="92"/>
      <c r="GKE57" s="92"/>
      <c r="GKF57" s="92"/>
      <c r="GKG57" s="92"/>
      <c r="GKH57" s="92"/>
      <c r="GKI57" s="92"/>
      <c r="GKJ57" s="92"/>
      <c r="GKK57" s="92"/>
      <c r="GKL57" s="92"/>
      <c r="GKM57" s="92"/>
      <c r="GKN57" s="92"/>
      <c r="GKO57" s="92"/>
      <c r="GKP57" s="92"/>
      <c r="GKQ57" s="92"/>
      <c r="GKR57" s="92"/>
      <c r="GKS57" s="92"/>
      <c r="GKT57" s="92"/>
      <c r="GKU57" s="92"/>
      <c r="GKV57" s="92"/>
      <c r="GKW57" s="92"/>
      <c r="GKX57" s="92"/>
      <c r="GKY57" s="92"/>
      <c r="GKZ57" s="92"/>
      <c r="GLA57" s="92"/>
      <c r="GLB57" s="92"/>
      <c r="GLC57" s="92"/>
      <c r="GLD57" s="92"/>
      <c r="GLE57" s="92"/>
      <c r="GLF57" s="92"/>
      <c r="GLG57" s="92"/>
      <c r="GLH57" s="92"/>
      <c r="GLI57" s="92"/>
      <c r="GLJ57" s="92"/>
      <c r="GLK57" s="92"/>
      <c r="GLL57" s="92"/>
      <c r="GLM57" s="92"/>
      <c r="GLN57" s="92"/>
      <c r="GLO57" s="92"/>
      <c r="GLP57" s="92"/>
      <c r="GLQ57" s="92"/>
      <c r="GLR57" s="92"/>
      <c r="GLS57" s="92"/>
      <c r="GLT57" s="92"/>
      <c r="GLU57" s="92"/>
      <c r="GLV57" s="92"/>
      <c r="GLW57" s="92"/>
      <c r="GLX57" s="92"/>
      <c r="GLY57" s="92"/>
      <c r="GLZ57" s="92"/>
      <c r="GMA57" s="92"/>
      <c r="GMB57" s="92"/>
      <c r="GMC57" s="92"/>
      <c r="GMD57" s="92"/>
      <c r="GME57" s="92"/>
      <c r="GMF57" s="92"/>
      <c r="GMG57" s="92"/>
      <c r="GMH57" s="92"/>
      <c r="GMI57" s="92"/>
      <c r="GMJ57" s="92"/>
      <c r="GMK57" s="92"/>
      <c r="GML57" s="92"/>
      <c r="GMM57" s="92"/>
      <c r="GMN57" s="92"/>
      <c r="GMO57" s="92"/>
      <c r="GMP57" s="92"/>
      <c r="GMQ57" s="92"/>
      <c r="GMR57" s="92"/>
      <c r="GMS57" s="92"/>
      <c r="GMT57" s="92"/>
      <c r="GMU57" s="92"/>
      <c r="GMV57" s="92"/>
      <c r="GMW57" s="92"/>
      <c r="GMX57" s="92"/>
      <c r="GMY57" s="92"/>
      <c r="GMZ57" s="92"/>
      <c r="GNA57" s="92"/>
      <c r="GNB57" s="92"/>
      <c r="GNC57" s="92"/>
      <c r="GND57" s="92"/>
      <c r="GNE57" s="92"/>
      <c r="GNF57" s="92"/>
      <c r="GNG57" s="92"/>
      <c r="GNH57" s="92"/>
      <c r="GNI57" s="92"/>
      <c r="GNJ57" s="92"/>
      <c r="GNK57" s="92"/>
      <c r="GNL57" s="92"/>
      <c r="GNM57" s="92"/>
      <c r="GNN57" s="92"/>
      <c r="GNO57" s="92"/>
      <c r="GNP57" s="92"/>
      <c r="GNQ57" s="92"/>
      <c r="GNR57" s="92"/>
      <c r="GNS57" s="92"/>
      <c r="GNT57" s="92"/>
      <c r="GNU57" s="92"/>
      <c r="GNV57" s="92"/>
      <c r="GNW57" s="92"/>
      <c r="GNX57" s="92"/>
      <c r="GNY57" s="92"/>
      <c r="GNZ57" s="92"/>
      <c r="GOA57" s="92"/>
      <c r="GOB57" s="92"/>
      <c r="GOC57" s="92"/>
      <c r="GOD57" s="92"/>
      <c r="GOE57" s="92"/>
      <c r="GOF57" s="92"/>
      <c r="GOG57" s="92"/>
      <c r="GOH57" s="92"/>
      <c r="GOI57" s="92"/>
      <c r="GOJ57" s="92"/>
      <c r="GOK57" s="92"/>
      <c r="GOL57" s="92"/>
      <c r="GOM57" s="92"/>
      <c r="GON57" s="92"/>
      <c r="GOO57" s="92"/>
      <c r="GOP57" s="92"/>
      <c r="GOQ57" s="92"/>
      <c r="GOR57" s="92"/>
      <c r="GOS57" s="92"/>
      <c r="GOT57" s="92"/>
      <c r="GOU57" s="92"/>
      <c r="GOV57" s="92"/>
      <c r="GOW57" s="92"/>
      <c r="GOX57" s="92"/>
      <c r="GOY57" s="92"/>
      <c r="GOZ57" s="92"/>
      <c r="GPA57" s="92"/>
      <c r="GPB57" s="92"/>
      <c r="GPC57" s="92"/>
      <c r="GPD57" s="92"/>
      <c r="GPE57" s="92"/>
      <c r="GPF57" s="92"/>
      <c r="GPG57" s="92"/>
      <c r="GPH57" s="92"/>
      <c r="GPI57" s="92"/>
      <c r="GPJ57" s="92"/>
      <c r="GPK57" s="92"/>
      <c r="GPL57" s="92"/>
      <c r="GPM57" s="92"/>
      <c r="GPN57" s="92"/>
      <c r="GPO57" s="92"/>
      <c r="GPP57" s="92"/>
      <c r="GPQ57" s="92"/>
      <c r="GPR57" s="92"/>
      <c r="GPS57" s="92"/>
      <c r="GPT57" s="92"/>
      <c r="GPU57" s="92"/>
      <c r="GPV57" s="92"/>
      <c r="GPW57" s="92"/>
      <c r="GPX57" s="92"/>
      <c r="GPY57" s="92"/>
      <c r="GPZ57" s="92"/>
      <c r="GQA57" s="92"/>
      <c r="GQB57" s="92"/>
      <c r="GQC57" s="92"/>
      <c r="GQD57" s="92"/>
      <c r="GQE57" s="92"/>
      <c r="GQF57" s="92"/>
      <c r="GQG57" s="92"/>
      <c r="GQH57" s="92"/>
      <c r="GQI57" s="92"/>
      <c r="GQJ57" s="92"/>
      <c r="GQK57" s="92"/>
      <c r="GQL57" s="92"/>
      <c r="GQM57" s="92"/>
      <c r="GQN57" s="92"/>
      <c r="GQO57" s="92"/>
      <c r="GQP57" s="92"/>
      <c r="GQQ57" s="92"/>
      <c r="GQR57" s="92"/>
      <c r="GQS57" s="92"/>
      <c r="GQT57" s="92"/>
      <c r="GQU57" s="92"/>
      <c r="GQV57" s="92"/>
      <c r="GQW57" s="92"/>
      <c r="GQX57" s="92"/>
      <c r="GQY57" s="92"/>
      <c r="GQZ57" s="92"/>
      <c r="GRA57" s="92"/>
      <c r="GRB57" s="92"/>
      <c r="GRC57" s="92"/>
      <c r="GRD57" s="92"/>
      <c r="GRE57" s="92"/>
      <c r="GRF57" s="92"/>
      <c r="GRG57" s="92"/>
      <c r="GRH57" s="92"/>
      <c r="GRI57" s="92"/>
      <c r="GRJ57" s="92"/>
      <c r="GRK57" s="92"/>
      <c r="GRL57" s="92"/>
      <c r="GRM57" s="92"/>
      <c r="GRN57" s="92"/>
      <c r="GRO57" s="92"/>
      <c r="GRP57" s="92"/>
      <c r="GRQ57" s="92"/>
      <c r="GRR57" s="92"/>
      <c r="GRS57" s="92"/>
      <c r="GRT57" s="92"/>
      <c r="GRU57" s="92"/>
      <c r="GRV57" s="92"/>
      <c r="GRW57" s="92"/>
      <c r="GRX57" s="92"/>
      <c r="GRY57" s="92"/>
      <c r="GRZ57" s="92"/>
      <c r="GSA57" s="92"/>
      <c r="GSB57" s="92"/>
      <c r="GSC57" s="92"/>
      <c r="GSD57" s="92"/>
      <c r="GSE57" s="92"/>
      <c r="GSF57" s="92"/>
      <c r="GSG57" s="92"/>
      <c r="GSH57" s="92"/>
      <c r="GSI57" s="92"/>
      <c r="GSJ57" s="92"/>
      <c r="GSK57" s="92"/>
      <c r="GSL57" s="92"/>
      <c r="GSM57" s="92"/>
      <c r="GSN57" s="92"/>
      <c r="GSO57" s="92"/>
      <c r="GSP57" s="92"/>
      <c r="GSQ57" s="92"/>
      <c r="GSR57" s="92"/>
      <c r="GSS57" s="92"/>
      <c r="GST57" s="92"/>
      <c r="GSU57" s="92"/>
      <c r="GSV57" s="92"/>
      <c r="GSW57" s="92"/>
      <c r="GSX57" s="92"/>
      <c r="GSY57" s="92"/>
      <c r="GSZ57" s="92"/>
      <c r="GTA57" s="92"/>
      <c r="GTB57" s="92"/>
      <c r="GTC57" s="92"/>
      <c r="GTD57" s="92"/>
      <c r="GTE57" s="92"/>
      <c r="GTF57" s="92"/>
      <c r="GTG57" s="92"/>
      <c r="GTH57" s="92"/>
      <c r="GTI57" s="92"/>
      <c r="GTJ57" s="92"/>
      <c r="GTK57" s="92"/>
      <c r="GTL57" s="92"/>
      <c r="GTM57" s="92"/>
      <c r="GTN57" s="92"/>
      <c r="GTO57" s="92"/>
      <c r="GTP57" s="92"/>
      <c r="GTQ57" s="92"/>
      <c r="GTR57" s="92"/>
      <c r="GTS57" s="92"/>
      <c r="GTT57" s="92"/>
      <c r="GTU57" s="92"/>
      <c r="GTV57" s="92"/>
      <c r="GTW57" s="92"/>
      <c r="GTX57" s="92"/>
      <c r="GTY57" s="92"/>
      <c r="GTZ57" s="92"/>
      <c r="GUA57" s="92"/>
      <c r="GUB57" s="92"/>
      <c r="GUC57" s="92"/>
      <c r="GUD57" s="92"/>
      <c r="GUE57" s="92"/>
      <c r="GUF57" s="92"/>
      <c r="GUG57" s="92"/>
      <c r="GUH57" s="92"/>
      <c r="GUI57" s="92"/>
      <c r="GUJ57" s="92"/>
      <c r="GUK57" s="92"/>
      <c r="GUL57" s="92"/>
      <c r="GUM57" s="92"/>
      <c r="GUN57" s="92"/>
      <c r="GUO57" s="92"/>
      <c r="GUP57" s="92"/>
      <c r="GUQ57" s="92"/>
      <c r="GUR57" s="92"/>
      <c r="GUS57" s="92"/>
      <c r="GUT57" s="92"/>
      <c r="GUU57" s="92"/>
      <c r="GUV57" s="92"/>
      <c r="GUW57" s="92"/>
      <c r="GUX57" s="92"/>
      <c r="GUY57" s="92"/>
      <c r="GUZ57" s="92"/>
      <c r="GVA57" s="92"/>
      <c r="GVB57" s="92"/>
      <c r="GVC57" s="92"/>
      <c r="GVD57" s="92"/>
      <c r="GVE57" s="92"/>
      <c r="GVF57" s="92"/>
      <c r="GVG57" s="92"/>
      <c r="GVH57" s="92"/>
      <c r="GVI57" s="92"/>
      <c r="GVJ57" s="92"/>
      <c r="GVK57" s="92"/>
      <c r="GVL57" s="92"/>
      <c r="GVM57" s="92"/>
      <c r="GVN57" s="92"/>
      <c r="GVO57" s="92"/>
      <c r="GVP57" s="92"/>
      <c r="GVQ57" s="92"/>
      <c r="GVR57" s="92"/>
      <c r="GVS57" s="92"/>
      <c r="GVT57" s="92"/>
      <c r="GVU57" s="92"/>
      <c r="GVV57" s="92"/>
      <c r="GVW57" s="92"/>
      <c r="GVX57" s="92"/>
      <c r="GVY57" s="92"/>
      <c r="GVZ57" s="92"/>
      <c r="GWA57" s="92"/>
      <c r="GWB57" s="92"/>
      <c r="GWC57" s="92"/>
      <c r="GWD57" s="92"/>
      <c r="GWE57" s="92"/>
      <c r="GWF57" s="92"/>
      <c r="GWG57" s="92"/>
      <c r="GWH57" s="92"/>
      <c r="GWI57" s="92"/>
      <c r="GWJ57" s="92"/>
      <c r="GWK57" s="92"/>
      <c r="GWL57" s="92"/>
      <c r="GWM57" s="92"/>
      <c r="GWN57" s="92"/>
      <c r="GWO57" s="92"/>
      <c r="GWP57" s="92"/>
      <c r="GWQ57" s="92"/>
      <c r="GWR57" s="92"/>
      <c r="GWS57" s="92"/>
      <c r="GWT57" s="92"/>
      <c r="GWU57" s="92"/>
      <c r="GWV57" s="92"/>
      <c r="GWW57" s="92"/>
      <c r="GWX57" s="92"/>
      <c r="GWY57" s="92"/>
      <c r="GWZ57" s="92"/>
      <c r="GXA57" s="92"/>
      <c r="GXB57" s="92"/>
      <c r="GXC57" s="92"/>
      <c r="GXD57" s="92"/>
      <c r="GXE57" s="92"/>
      <c r="GXF57" s="92"/>
      <c r="GXG57" s="92"/>
      <c r="GXH57" s="92"/>
      <c r="GXI57" s="92"/>
      <c r="GXJ57" s="92"/>
      <c r="GXK57" s="92"/>
      <c r="GXL57" s="92"/>
      <c r="GXM57" s="92"/>
      <c r="GXN57" s="92"/>
      <c r="GXO57" s="92"/>
      <c r="GXP57" s="92"/>
      <c r="GXQ57" s="92"/>
      <c r="GXR57" s="92"/>
      <c r="GXS57" s="92"/>
      <c r="GXT57" s="92"/>
      <c r="GXU57" s="92"/>
      <c r="GXV57" s="92"/>
      <c r="GXW57" s="92"/>
      <c r="GXX57" s="92"/>
      <c r="GXY57" s="92"/>
      <c r="GXZ57" s="92"/>
      <c r="GYA57" s="92"/>
      <c r="GYB57" s="92"/>
      <c r="GYC57" s="92"/>
      <c r="GYD57" s="92"/>
      <c r="GYE57" s="92"/>
      <c r="GYF57" s="92"/>
      <c r="GYG57" s="92"/>
      <c r="GYH57" s="92"/>
      <c r="GYI57" s="92"/>
      <c r="GYJ57" s="92"/>
      <c r="GYK57" s="92"/>
      <c r="GYL57" s="92"/>
      <c r="GYM57" s="92"/>
      <c r="GYN57" s="92"/>
      <c r="GYO57" s="92"/>
      <c r="GYP57" s="92"/>
      <c r="GYQ57" s="92"/>
      <c r="GYR57" s="92"/>
      <c r="GYS57" s="92"/>
      <c r="GYT57" s="92"/>
      <c r="GYU57" s="92"/>
      <c r="GYV57" s="92"/>
      <c r="GYW57" s="92"/>
      <c r="GYX57" s="92"/>
      <c r="GYY57" s="92"/>
      <c r="GYZ57" s="92"/>
      <c r="GZA57" s="92"/>
      <c r="GZB57" s="92"/>
      <c r="GZC57" s="92"/>
      <c r="GZD57" s="92"/>
      <c r="GZE57" s="92"/>
      <c r="GZF57" s="92"/>
      <c r="GZG57" s="92"/>
      <c r="GZH57" s="92"/>
      <c r="GZI57" s="92"/>
      <c r="GZJ57" s="92"/>
      <c r="GZK57" s="92"/>
      <c r="GZL57" s="92"/>
      <c r="GZM57" s="92"/>
      <c r="GZN57" s="92"/>
      <c r="GZO57" s="92"/>
      <c r="GZP57" s="92"/>
      <c r="GZQ57" s="92"/>
      <c r="GZR57" s="92"/>
      <c r="GZS57" s="92"/>
      <c r="GZT57" s="92"/>
      <c r="GZU57" s="92"/>
      <c r="GZV57" s="92"/>
      <c r="GZW57" s="92"/>
      <c r="GZX57" s="92"/>
      <c r="GZY57" s="92"/>
      <c r="GZZ57" s="92"/>
      <c r="HAA57" s="92"/>
      <c r="HAB57" s="92"/>
      <c r="HAC57" s="92"/>
      <c r="HAD57" s="92"/>
      <c r="HAE57" s="92"/>
      <c r="HAF57" s="92"/>
      <c r="HAG57" s="92"/>
      <c r="HAH57" s="92"/>
      <c r="HAI57" s="92"/>
      <c r="HAJ57" s="92"/>
      <c r="HAK57" s="92"/>
      <c r="HAL57" s="92"/>
      <c r="HAM57" s="92"/>
      <c r="HAN57" s="92"/>
      <c r="HAO57" s="92"/>
      <c r="HAP57" s="92"/>
      <c r="HAQ57" s="92"/>
      <c r="HAR57" s="92"/>
      <c r="HAS57" s="92"/>
      <c r="HAT57" s="92"/>
      <c r="HAU57" s="92"/>
      <c r="HAV57" s="92"/>
      <c r="HAW57" s="92"/>
      <c r="HAX57" s="92"/>
      <c r="HAY57" s="92"/>
      <c r="HAZ57" s="92"/>
      <c r="HBA57" s="92"/>
      <c r="HBB57" s="92"/>
      <c r="HBC57" s="92"/>
      <c r="HBD57" s="92"/>
      <c r="HBE57" s="92"/>
      <c r="HBF57" s="92"/>
      <c r="HBG57" s="92"/>
      <c r="HBH57" s="92"/>
      <c r="HBI57" s="92"/>
      <c r="HBJ57" s="92"/>
      <c r="HBK57" s="92"/>
      <c r="HBL57" s="92"/>
      <c r="HBM57" s="92"/>
      <c r="HBN57" s="92"/>
      <c r="HBO57" s="92"/>
      <c r="HBP57" s="92"/>
      <c r="HBQ57" s="92"/>
      <c r="HBR57" s="92"/>
      <c r="HBS57" s="92"/>
      <c r="HBT57" s="92"/>
      <c r="HBU57" s="92"/>
      <c r="HBV57" s="92"/>
      <c r="HBW57" s="92"/>
      <c r="HBX57" s="92"/>
      <c r="HBY57" s="92"/>
      <c r="HBZ57" s="92"/>
      <c r="HCA57" s="92"/>
      <c r="HCB57" s="92"/>
      <c r="HCC57" s="92"/>
      <c r="HCD57" s="92"/>
      <c r="HCE57" s="92"/>
      <c r="HCF57" s="92"/>
      <c r="HCG57" s="92"/>
      <c r="HCH57" s="92"/>
      <c r="HCI57" s="92"/>
      <c r="HCJ57" s="92"/>
      <c r="HCK57" s="92"/>
      <c r="HCL57" s="92"/>
      <c r="HCM57" s="92"/>
      <c r="HCN57" s="92"/>
      <c r="HCO57" s="92"/>
      <c r="HCP57" s="92"/>
      <c r="HCQ57" s="92"/>
      <c r="HCR57" s="92"/>
      <c r="HCS57" s="92"/>
      <c r="HCT57" s="92"/>
      <c r="HCU57" s="92"/>
      <c r="HCV57" s="92"/>
      <c r="HCW57" s="92"/>
      <c r="HCX57" s="92"/>
      <c r="HCY57" s="92"/>
      <c r="HCZ57" s="92"/>
      <c r="HDA57" s="92"/>
      <c r="HDB57" s="92"/>
      <c r="HDC57" s="92"/>
      <c r="HDD57" s="92"/>
      <c r="HDE57" s="92"/>
      <c r="HDF57" s="92"/>
      <c r="HDG57" s="92"/>
      <c r="HDH57" s="92"/>
      <c r="HDI57" s="92"/>
      <c r="HDJ57" s="92"/>
      <c r="HDK57" s="92"/>
      <c r="HDL57" s="92"/>
      <c r="HDM57" s="92"/>
      <c r="HDN57" s="92"/>
      <c r="HDO57" s="92"/>
      <c r="HDP57" s="92"/>
      <c r="HDQ57" s="92"/>
      <c r="HDR57" s="92"/>
      <c r="HDS57" s="92"/>
      <c r="HDT57" s="92"/>
      <c r="HDU57" s="92"/>
      <c r="HDV57" s="92"/>
      <c r="HDW57" s="92"/>
      <c r="HDX57" s="92"/>
      <c r="HDY57" s="92"/>
      <c r="HDZ57" s="92"/>
      <c r="HEA57" s="92"/>
      <c r="HEB57" s="92"/>
      <c r="HEC57" s="92"/>
      <c r="HED57" s="92"/>
      <c r="HEE57" s="92"/>
      <c r="HEF57" s="92"/>
      <c r="HEG57" s="92"/>
      <c r="HEH57" s="92"/>
      <c r="HEI57" s="92"/>
      <c r="HEJ57" s="92"/>
      <c r="HEK57" s="92"/>
      <c r="HEL57" s="92"/>
      <c r="HEM57" s="92"/>
      <c r="HEN57" s="92"/>
      <c r="HEO57" s="92"/>
      <c r="HEP57" s="92"/>
      <c r="HEQ57" s="92"/>
      <c r="HER57" s="92"/>
      <c r="HES57" s="92"/>
      <c r="HET57" s="92"/>
      <c r="HEU57" s="92"/>
      <c r="HEV57" s="92"/>
      <c r="HEW57" s="92"/>
      <c r="HEX57" s="92"/>
      <c r="HEY57" s="92"/>
      <c r="HEZ57" s="92"/>
      <c r="HFA57" s="92"/>
      <c r="HFB57" s="92"/>
      <c r="HFC57" s="92"/>
      <c r="HFD57" s="92"/>
      <c r="HFE57" s="92"/>
      <c r="HFF57" s="92"/>
      <c r="HFG57" s="92"/>
      <c r="HFH57" s="92"/>
      <c r="HFI57" s="92"/>
      <c r="HFJ57" s="92"/>
      <c r="HFK57" s="92"/>
      <c r="HFL57" s="92"/>
      <c r="HFM57" s="92"/>
      <c r="HFN57" s="92"/>
      <c r="HFO57" s="92"/>
      <c r="HFP57" s="92"/>
      <c r="HFQ57" s="92"/>
      <c r="HFR57" s="92"/>
      <c r="HFS57" s="92"/>
      <c r="HFT57" s="92"/>
      <c r="HFU57" s="92"/>
      <c r="HFV57" s="92"/>
      <c r="HFW57" s="92"/>
      <c r="HFX57" s="92"/>
      <c r="HFY57" s="92"/>
      <c r="HFZ57" s="92"/>
      <c r="HGA57" s="92"/>
      <c r="HGB57" s="92"/>
      <c r="HGC57" s="92"/>
      <c r="HGD57" s="92"/>
      <c r="HGE57" s="92"/>
      <c r="HGF57" s="92"/>
      <c r="HGG57" s="92"/>
      <c r="HGH57" s="92"/>
      <c r="HGI57" s="92"/>
      <c r="HGJ57" s="92"/>
      <c r="HGK57" s="92"/>
      <c r="HGL57" s="92"/>
      <c r="HGM57" s="92"/>
      <c r="HGN57" s="92"/>
      <c r="HGO57" s="92"/>
      <c r="HGP57" s="92"/>
      <c r="HGQ57" s="92"/>
      <c r="HGR57" s="92"/>
      <c r="HGS57" s="92"/>
      <c r="HGT57" s="92"/>
      <c r="HGU57" s="92"/>
      <c r="HGV57" s="92"/>
      <c r="HGW57" s="92"/>
      <c r="HGX57" s="92"/>
      <c r="HGY57" s="92"/>
      <c r="HGZ57" s="92"/>
      <c r="HHA57" s="92"/>
      <c r="HHB57" s="92"/>
      <c r="HHC57" s="92"/>
      <c r="HHD57" s="92"/>
      <c r="HHE57" s="92"/>
      <c r="HHF57" s="92"/>
      <c r="HHG57" s="92"/>
      <c r="HHH57" s="92"/>
      <c r="HHI57" s="92"/>
      <c r="HHJ57" s="92"/>
      <c r="HHK57" s="92"/>
      <c r="HHL57" s="92"/>
      <c r="HHM57" s="92"/>
      <c r="HHN57" s="92"/>
      <c r="HHO57" s="92"/>
      <c r="HHP57" s="92"/>
      <c r="HHQ57" s="92"/>
      <c r="HHR57" s="92"/>
      <c r="HHS57" s="92"/>
      <c r="HHT57" s="92"/>
      <c r="HHU57" s="92"/>
      <c r="HHV57" s="92"/>
      <c r="HHW57" s="92"/>
      <c r="HHX57" s="92"/>
      <c r="HHY57" s="92"/>
      <c r="HHZ57" s="92"/>
      <c r="HIA57" s="92"/>
      <c r="HIB57" s="92"/>
      <c r="HIC57" s="92"/>
      <c r="HID57" s="92"/>
      <c r="HIE57" s="92"/>
      <c r="HIF57" s="92"/>
      <c r="HIG57" s="92"/>
      <c r="HIH57" s="92"/>
      <c r="HII57" s="92"/>
      <c r="HIJ57" s="92"/>
      <c r="HIK57" s="92"/>
      <c r="HIL57" s="92"/>
      <c r="HIM57" s="92"/>
      <c r="HIN57" s="92"/>
      <c r="HIO57" s="92"/>
      <c r="HIP57" s="92"/>
      <c r="HIQ57" s="92"/>
      <c r="HIR57" s="92"/>
      <c r="HIS57" s="92"/>
      <c r="HIT57" s="92"/>
      <c r="HIU57" s="92"/>
      <c r="HIV57" s="92"/>
      <c r="HIW57" s="92"/>
      <c r="HIX57" s="92"/>
      <c r="HIY57" s="92"/>
      <c r="HIZ57" s="92"/>
      <c r="HJA57" s="92"/>
      <c r="HJB57" s="92"/>
      <c r="HJC57" s="92"/>
      <c r="HJD57" s="92"/>
      <c r="HJE57" s="92"/>
      <c r="HJF57" s="92"/>
      <c r="HJG57" s="92"/>
      <c r="HJH57" s="92"/>
      <c r="HJI57" s="92"/>
      <c r="HJJ57" s="92"/>
      <c r="HJK57" s="92"/>
      <c r="HJL57" s="92"/>
      <c r="HJM57" s="92"/>
      <c r="HJN57" s="92"/>
      <c r="HJO57" s="92"/>
      <c r="HJP57" s="92"/>
      <c r="HJQ57" s="92"/>
      <c r="HJR57" s="92"/>
      <c r="HJS57" s="92"/>
      <c r="HJT57" s="92"/>
      <c r="HJU57" s="92"/>
      <c r="HJV57" s="92"/>
      <c r="HJW57" s="92"/>
      <c r="HJX57" s="92"/>
      <c r="HJY57" s="92"/>
      <c r="HJZ57" s="92"/>
      <c r="HKA57" s="92"/>
      <c r="HKB57" s="92"/>
      <c r="HKC57" s="92"/>
      <c r="HKD57" s="92"/>
      <c r="HKE57" s="92"/>
      <c r="HKF57" s="92"/>
      <c r="HKG57" s="92"/>
      <c r="HKH57" s="92"/>
      <c r="HKI57" s="92"/>
      <c r="HKJ57" s="92"/>
      <c r="HKK57" s="92"/>
      <c r="HKL57" s="92"/>
      <c r="HKM57" s="92"/>
      <c r="HKN57" s="92"/>
      <c r="HKO57" s="92"/>
      <c r="HKP57" s="92"/>
      <c r="HKQ57" s="92"/>
      <c r="HKR57" s="92"/>
      <c r="HKS57" s="92"/>
      <c r="HKT57" s="92"/>
      <c r="HKU57" s="92"/>
      <c r="HKV57" s="92"/>
      <c r="HKW57" s="92"/>
      <c r="HKX57" s="92"/>
      <c r="HKY57" s="92"/>
      <c r="HKZ57" s="92"/>
      <c r="HLA57" s="92"/>
      <c r="HLB57" s="92"/>
      <c r="HLC57" s="92"/>
      <c r="HLD57" s="92"/>
      <c r="HLE57" s="92"/>
      <c r="HLF57" s="92"/>
      <c r="HLG57" s="92"/>
      <c r="HLH57" s="92"/>
      <c r="HLI57" s="92"/>
      <c r="HLJ57" s="92"/>
      <c r="HLK57" s="92"/>
      <c r="HLL57" s="92"/>
      <c r="HLM57" s="92"/>
      <c r="HLN57" s="92"/>
      <c r="HLO57" s="92"/>
      <c r="HLP57" s="92"/>
      <c r="HLQ57" s="92"/>
      <c r="HLR57" s="92"/>
      <c r="HLS57" s="92"/>
      <c r="HLT57" s="92"/>
      <c r="HLU57" s="92"/>
      <c r="HLV57" s="92"/>
      <c r="HLW57" s="92"/>
      <c r="HLX57" s="92"/>
      <c r="HLY57" s="92"/>
      <c r="HLZ57" s="92"/>
      <c r="HMA57" s="92"/>
      <c r="HMB57" s="92"/>
      <c r="HMC57" s="92"/>
      <c r="HMD57" s="92"/>
      <c r="HME57" s="92"/>
      <c r="HMF57" s="92"/>
      <c r="HMG57" s="92"/>
      <c r="HMH57" s="92"/>
      <c r="HMI57" s="92"/>
      <c r="HMJ57" s="92"/>
      <c r="HMK57" s="92"/>
      <c r="HML57" s="92"/>
      <c r="HMM57" s="92"/>
      <c r="HMN57" s="92"/>
      <c r="HMO57" s="92"/>
      <c r="HMP57" s="92"/>
      <c r="HMQ57" s="92"/>
      <c r="HMR57" s="92"/>
      <c r="HMS57" s="92"/>
      <c r="HMT57" s="92"/>
      <c r="HMU57" s="92"/>
      <c r="HMV57" s="92"/>
      <c r="HMW57" s="92"/>
      <c r="HMX57" s="92"/>
      <c r="HMY57" s="92"/>
      <c r="HMZ57" s="92"/>
      <c r="HNA57" s="92"/>
      <c r="HNB57" s="92"/>
      <c r="HNC57" s="92"/>
      <c r="HND57" s="92"/>
      <c r="HNE57" s="92"/>
      <c r="HNF57" s="92"/>
      <c r="HNG57" s="92"/>
      <c r="HNH57" s="92"/>
      <c r="HNI57" s="92"/>
      <c r="HNJ57" s="92"/>
      <c r="HNK57" s="92"/>
      <c r="HNL57" s="92"/>
      <c r="HNM57" s="92"/>
      <c r="HNN57" s="92"/>
      <c r="HNO57" s="92"/>
      <c r="HNP57" s="92"/>
      <c r="HNQ57" s="92"/>
      <c r="HNR57" s="92"/>
      <c r="HNS57" s="92"/>
      <c r="HNT57" s="92"/>
      <c r="HNU57" s="92"/>
      <c r="HNV57" s="92"/>
      <c r="HNW57" s="92"/>
      <c r="HNX57" s="92"/>
      <c r="HNY57" s="92"/>
      <c r="HNZ57" s="92"/>
      <c r="HOA57" s="92"/>
      <c r="HOB57" s="92"/>
      <c r="HOC57" s="92"/>
      <c r="HOD57" s="92"/>
      <c r="HOE57" s="92"/>
      <c r="HOF57" s="92"/>
      <c r="HOG57" s="92"/>
      <c r="HOH57" s="92"/>
      <c r="HOI57" s="92"/>
      <c r="HOJ57" s="92"/>
      <c r="HOK57" s="92"/>
      <c r="HOL57" s="92"/>
      <c r="HOM57" s="92"/>
      <c r="HON57" s="92"/>
      <c r="HOO57" s="92"/>
      <c r="HOP57" s="92"/>
      <c r="HOQ57" s="92"/>
      <c r="HOR57" s="92"/>
      <c r="HOS57" s="92"/>
      <c r="HOT57" s="92"/>
      <c r="HOU57" s="92"/>
      <c r="HOV57" s="92"/>
      <c r="HOW57" s="92"/>
      <c r="HOX57" s="92"/>
      <c r="HOY57" s="92"/>
      <c r="HOZ57" s="92"/>
      <c r="HPA57" s="92"/>
      <c r="HPB57" s="92"/>
      <c r="HPC57" s="92"/>
      <c r="HPD57" s="92"/>
      <c r="HPE57" s="92"/>
      <c r="HPF57" s="92"/>
      <c r="HPG57" s="92"/>
      <c r="HPH57" s="92"/>
      <c r="HPI57" s="92"/>
      <c r="HPJ57" s="92"/>
      <c r="HPK57" s="92"/>
      <c r="HPL57" s="92"/>
      <c r="HPM57" s="92"/>
      <c r="HPN57" s="92"/>
      <c r="HPO57" s="92"/>
      <c r="HPP57" s="92"/>
      <c r="HPQ57" s="92"/>
      <c r="HPR57" s="92"/>
      <c r="HPS57" s="92"/>
      <c r="HPT57" s="92"/>
      <c r="HPU57" s="92"/>
      <c r="HPV57" s="92"/>
      <c r="HPW57" s="92"/>
      <c r="HPX57" s="92"/>
      <c r="HPY57" s="92"/>
      <c r="HPZ57" s="92"/>
      <c r="HQA57" s="92"/>
      <c r="HQB57" s="92"/>
      <c r="HQC57" s="92"/>
      <c r="HQD57" s="92"/>
      <c r="HQE57" s="92"/>
      <c r="HQF57" s="92"/>
      <c r="HQG57" s="92"/>
      <c r="HQH57" s="92"/>
      <c r="HQI57" s="92"/>
      <c r="HQJ57" s="92"/>
      <c r="HQK57" s="92"/>
      <c r="HQL57" s="92"/>
      <c r="HQM57" s="92"/>
      <c r="HQN57" s="92"/>
      <c r="HQO57" s="92"/>
      <c r="HQP57" s="92"/>
      <c r="HQQ57" s="92"/>
      <c r="HQR57" s="92"/>
      <c r="HQS57" s="92"/>
      <c r="HQT57" s="92"/>
      <c r="HQU57" s="92"/>
      <c r="HQV57" s="92"/>
      <c r="HQW57" s="92"/>
      <c r="HQX57" s="92"/>
      <c r="HQY57" s="92"/>
      <c r="HQZ57" s="92"/>
      <c r="HRA57" s="92"/>
      <c r="HRB57" s="92"/>
      <c r="HRC57" s="92"/>
      <c r="HRD57" s="92"/>
      <c r="HRE57" s="92"/>
      <c r="HRF57" s="92"/>
      <c r="HRG57" s="92"/>
      <c r="HRH57" s="92"/>
      <c r="HRI57" s="92"/>
      <c r="HRJ57" s="92"/>
      <c r="HRK57" s="92"/>
      <c r="HRL57" s="92"/>
      <c r="HRM57" s="92"/>
      <c r="HRN57" s="92"/>
      <c r="HRO57" s="92"/>
      <c r="HRP57" s="92"/>
      <c r="HRQ57" s="92"/>
      <c r="HRR57" s="92"/>
      <c r="HRS57" s="92"/>
      <c r="HRT57" s="92"/>
      <c r="HRU57" s="92"/>
      <c r="HRV57" s="92"/>
      <c r="HRW57" s="92"/>
      <c r="HRX57" s="92"/>
      <c r="HRY57" s="92"/>
      <c r="HRZ57" s="92"/>
      <c r="HSA57" s="92"/>
      <c r="HSB57" s="92"/>
      <c r="HSC57" s="92"/>
      <c r="HSD57" s="92"/>
      <c r="HSE57" s="92"/>
      <c r="HSF57" s="92"/>
      <c r="HSG57" s="92"/>
      <c r="HSH57" s="92"/>
      <c r="HSI57" s="92"/>
      <c r="HSJ57" s="92"/>
      <c r="HSK57" s="92"/>
      <c r="HSL57" s="92"/>
      <c r="HSM57" s="92"/>
      <c r="HSN57" s="92"/>
      <c r="HSO57" s="92"/>
      <c r="HSP57" s="92"/>
      <c r="HSQ57" s="92"/>
      <c r="HSR57" s="92"/>
      <c r="HSS57" s="92"/>
      <c r="HST57" s="92"/>
      <c r="HSU57" s="92"/>
      <c r="HSV57" s="92"/>
      <c r="HSW57" s="92"/>
      <c r="HSX57" s="92"/>
      <c r="HSY57" s="92"/>
      <c r="HSZ57" s="92"/>
      <c r="HTA57" s="92"/>
      <c r="HTB57" s="92"/>
      <c r="HTC57" s="92"/>
      <c r="HTD57" s="92"/>
      <c r="HTE57" s="92"/>
      <c r="HTF57" s="92"/>
      <c r="HTG57" s="92"/>
      <c r="HTH57" s="92"/>
      <c r="HTI57" s="92"/>
      <c r="HTJ57" s="92"/>
      <c r="HTK57" s="92"/>
      <c r="HTL57" s="92"/>
      <c r="HTM57" s="92"/>
      <c r="HTN57" s="92"/>
      <c r="HTO57" s="92"/>
      <c r="HTP57" s="92"/>
      <c r="HTQ57" s="92"/>
      <c r="HTR57" s="92"/>
      <c r="HTS57" s="92"/>
      <c r="HTT57" s="92"/>
      <c r="HTU57" s="92"/>
      <c r="HTV57" s="92"/>
      <c r="HTW57" s="92"/>
      <c r="HTX57" s="92"/>
      <c r="HTY57" s="92"/>
      <c r="HTZ57" s="92"/>
      <c r="HUA57" s="92"/>
      <c r="HUB57" s="92"/>
      <c r="HUC57" s="92"/>
      <c r="HUD57" s="92"/>
      <c r="HUE57" s="92"/>
      <c r="HUF57" s="92"/>
      <c r="HUG57" s="92"/>
      <c r="HUH57" s="92"/>
      <c r="HUI57" s="92"/>
      <c r="HUJ57" s="92"/>
      <c r="HUK57" s="92"/>
      <c r="HUL57" s="92"/>
      <c r="HUM57" s="92"/>
      <c r="HUN57" s="92"/>
      <c r="HUO57" s="92"/>
      <c r="HUP57" s="92"/>
      <c r="HUQ57" s="92"/>
      <c r="HUR57" s="92"/>
      <c r="HUS57" s="92"/>
      <c r="HUT57" s="92"/>
      <c r="HUU57" s="92"/>
      <c r="HUV57" s="92"/>
      <c r="HUW57" s="92"/>
      <c r="HUX57" s="92"/>
      <c r="HUY57" s="92"/>
      <c r="HUZ57" s="92"/>
      <c r="HVA57" s="92"/>
      <c r="HVB57" s="92"/>
      <c r="HVC57" s="92"/>
      <c r="HVD57" s="92"/>
      <c r="HVE57" s="92"/>
      <c r="HVF57" s="92"/>
      <c r="HVG57" s="92"/>
      <c r="HVH57" s="92"/>
      <c r="HVI57" s="92"/>
      <c r="HVJ57" s="92"/>
      <c r="HVK57" s="92"/>
      <c r="HVL57" s="92"/>
      <c r="HVM57" s="92"/>
      <c r="HVN57" s="92"/>
      <c r="HVO57" s="92"/>
      <c r="HVP57" s="92"/>
      <c r="HVQ57" s="92"/>
      <c r="HVR57" s="92"/>
      <c r="HVS57" s="92"/>
      <c r="HVT57" s="92"/>
      <c r="HVU57" s="92"/>
      <c r="HVV57" s="92"/>
      <c r="HVW57" s="92"/>
      <c r="HVX57" s="92"/>
      <c r="HVY57" s="92"/>
      <c r="HVZ57" s="92"/>
      <c r="HWA57" s="92"/>
      <c r="HWB57" s="92"/>
      <c r="HWC57" s="92"/>
      <c r="HWD57" s="92"/>
      <c r="HWE57" s="92"/>
      <c r="HWF57" s="92"/>
      <c r="HWG57" s="92"/>
      <c r="HWH57" s="92"/>
      <c r="HWI57" s="92"/>
      <c r="HWJ57" s="92"/>
      <c r="HWK57" s="92"/>
      <c r="HWL57" s="92"/>
      <c r="HWM57" s="92"/>
      <c r="HWN57" s="92"/>
      <c r="HWO57" s="92"/>
      <c r="HWP57" s="92"/>
      <c r="HWQ57" s="92"/>
      <c r="HWR57" s="92"/>
      <c r="HWS57" s="92"/>
      <c r="HWT57" s="92"/>
      <c r="HWU57" s="92"/>
      <c r="HWV57" s="92"/>
      <c r="HWW57" s="92"/>
      <c r="HWX57" s="92"/>
      <c r="HWY57" s="92"/>
      <c r="HWZ57" s="92"/>
      <c r="HXA57" s="92"/>
      <c r="HXB57" s="92"/>
      <c r="HXC57" s="92"/>
      <c r="HXD57" s="92"/>
      <c r="HXE57" s="92"/>
      <c r="HXF57" s="92"/>
      <c r="HXG57" s="92"/>
      <c r="HXH57" s="92"/>
      <c r="HXI57" s="92"/>
      <c r="HXJ57" s="92"/>
      <c r="HXK57" s="92"/>
      <c r="HXL57" s="92"/>
      <c r="HXM57" s="92"/>
      <c r="HXN57" s="92"/>
      <c r="HXO57" s="92"/>
      <c r="HXP57" s="92"/>
      <c r="HXQ57" s="92"/>
      <c r="HXR57" s="92"/>
      <c r="HXS57" s="92"/>
      <c r="HXT57" s="92"/>
      <c r="HXU57" s="92"/>
      <c r="HXV57" s="92"/>
      <c r="HXW57" s="92"/>
      <c r="HXX57" s="92"/>
      <c r="HXY57" s="92"/>
      <c r="HXZ57" s="92"/>
      <c r="HYA57" s="92"/>
      <c r="HYB57" s="92"/>
      <c r="HYC57" s="92"/>
      <c r="HYD57" s="92"/>
      <c r="HYE57" s="92"/>
      <c r="HYF57" s="92"/>
      <c r="HYG57" s="92"/>
      <c r="HYH57" s="92"/>
      <c r="HYI57" s="92"/>
      <c r="HYJ57" s="92"/>
      <c r="HYK57" s="92"/>
      <c r="HYL57" s="92"/>
      <c r="HYM57" s="92"/>
      <c r="HYN57" s="92"/>
      <c r="HYO57" s="92"/>
      <c r="HYP57" s="92"/>
      <c r="HYQ57" s="92"/>
      <c r="HYR57" s="92"/>
      <c r="HYS57" s="92"/>
      <c r="HYT57" s="92"/>
      <c r="HYU57" s="92"/>
      <c r="HYV57" s="92"/>
      <c r="HYW57" s="92"/>
      <c r="HYX57" s="92"/>
      <c r="HYY57" s="92"/>
      <c r="HYZ57" s="92"/>
      <c r="HZA57" s="92"/>
      <c r="HZB57" s="92"/>
      <c r="HZC57" s="92"/>
      <c r="HZD57" s="92"/>
      <c r="HZE57" s="92"/>
      <c r="HZF57" s="92"/>
      <c r="HZG57" s="92"/>
      <c r="HZH57" s="92"/>
      <c r="HZI57" s="92"/>
      <c r="HZJ57" s="92"/>
      <c r="HZK57" s="92"/>
      <c r="HZL57" s="92"/>
      <c r="HZM57" s="92"/>
      <c r="HZN57" s="92"/>
      <c r="HZO57" s="92"/>
      <c r="HZP57" s="92"/>
      <c r="HZQ57" s="92"/>
      <c r="HZR57" s="92"/>
      <c r="HZS57" s="92"/>
      <c r="HZT57" s="92"/>
      <c r="HZU57" s="92"/>
      <c r="HZV57" s="92"/>
      <c r="HZW57" s="92"/>
      <c r="HZX57" s="92"/>
      <c r="HZY57" s="92"/>
      <c r="HZZ57" s="92"/>
      <c r="IAA57" s="92"/>
      <c r="IAB57" s="92"/>
      <c r="IAC57" s="92"/>
      <c r="IAD57" s="92"/>
      <c r="IAE57" s="92"/>
      <c r="IAF57" s="92"/>
      <c r="IAG57" s="92"/>
      <c r="IAH57" s="92"/>
      <c r="IAI57" s="92"/>
      <c r="IAJ57" s="92"/>
      <c r="IAK57" s="92"/>
      <c r="IAL57" s="92"/>
      <c r="IAM57" s="92"/>
      <c r="IAN57" s="92"/>
      <c r="IAO57" s="92"/>
      <c r="IAP57" s="92"/>
      <c r="IAQ57" s="92"/>
      <c r="IAR57" s="92"/>
      <c r="IAS57" s="92"/>
      <c r="IAT57" s="92"/>
      <c r="IAU57" s="92"/>
      <c r="IAV57" s="92"/>
      <c r="IAW57" s="92"/>
      <c r="IAX57" s="92"/>
      <c r="IAY57" s="92"/>
      <c r="IAZ57" s="92"/>
      <c r="IBA57" s="92"/>
      <c r="IBB57" s="92"/>
      <c r="IBC57" s="92"/>
      <c r="IBD57" s="92"/>
      <c r="IBE57" s="92"/>
      <c r="IBF57" s="92"/>
      <c r="IBG57" s="92"/>
      <c r="IBH57" s="92"/>
      <c r="IBI57" s="92"/>
      <c r="IBJ57" s="92"/>
      <c r="IBK57" s="92"/>
      <c r="IBL57" s="92"/>
      <c r="IBM57" s="92"/>
      <c r="IBN57" s="92"/>
      <c r="IBO57" s="92"/>
      <c r="IBP57" s="92"/>
      <c r="IBQ57" s="92"/>
      <c r="IBR57" s="92"/>
      <c r="IBS57" s="92"/>
      <c r="IBT57" s="92"/>
      <c r="IBU57" s="92"/>
      <c r="IBV57" s="92"/>
      <c r="IBW57" s="92"/>
      <c r="IBX57" s="92"/>
      <c r="IBY57" s="92"/>
      <c r="IBZ57" s="92"/>
      <c r="ICA57" s="92"/>
      <c r="ICB57" s="92"/>
      <c r="ICC57" s="92"/>
      <c r="ICD57" s="92"/>
      <c r="ICE57" s="92"/>
      <c r="ICF57" s="92"/>
      <c r="ICG57" s="92"/>
      <c r="ICH57" s="92"/>
      <c r="ICI57" s="92"/>
      <c r="ICJ57" s="92"/>
      <c r="ICK57" s="92"/>
      <c r="ICL57" s="92"/>
      <c r="ICM57" s="92"/>
      <c r="ICN57" s="92"/>
      <c r="ICO57" s="92"/>
      <c r="ICP57" s="92"/>
      <c r="ICQ57" s="92"/>
      <c r="ICR57" s="92"/>
      <c r="ICS57" s="92"/>
      <c r="ICT57" s="92"/>
      <c r="ICU57" s="92"/>
      <c r="ICV57" s="92"/>
      <c r="ICW57" s="92"/>
      <c r="ICX57" s="92"/>
      <c r="ICY57" s="92"/>
      <c r="ICZ57" s="92"/>
      <c r="IDA57" s="92"/>
      <c r="IDB57" s="92"/>
      <c r="IDC57" s="92"/>
      <c r="IDD57" s="92"/>
      <c r="IDE57" s="92"/>
      <c r="IDF57" s="92"/>
      <c r="IDG57" s="92"/>
      <c r="IDH57" s="92"/>
      <c r="IDI57" s="92"/>
      <c r="IDJ57" s="92"/>
      <c r="IDK57" s="92"/>
      <c r="IDL57" s="92"/>
      <c r="IDM57" s="92"/>
      <c r="IDN57" s="92"/>
      <c r="IDO57" s="92"/>
      <c r="IDP57" s="92"/>
      <c r="IDQ57" s="92"/>
      <c r="IDR57" s="92"/>
      <c r="IDS57" s="92"/>
      <c r="IDT57" s="92"/>
      <c r="IDU57" s="92"/>
      <c r="IDV57" s="92"/>
      <c r="IDW57" s="92"/>
      <c r="IDX57" s="92"/>
      <c r="IDY57" s="92"/>
      <c r="IDZ57" s="92"/>
      <c r="IEA57" s="92"/>
      <c r="IEB57" s="92"/>
      <c r="IEC57" s="92"/>
      <c r="IED57" s="92"/>
      <c r="IEE57" s="92"/>
      <c r="IEF57" s="92"/>
      <c r="IEG57" s="92"/>
      <c r="IEH57" s="92"/>
      <c r="IEI57" s="92"/>
      <c r="IEJ57" s="92"/>
      <c r="IEK57" s="92"/>
      <c r="IEL57" s="92"/>
      <c r="IEM57" s="92"/>
      <c r="IEN57" s="92"/>
      <c r="IEO57" s="92"/>
      <c r="IEP57" s="92"/>
      <c r="IEQ57" s="92"/>
      <c r="IER57" s="92"/>
      <c r="IES57" s="92"/>
      <c r="IET57" s="92"/>
      <c r="IEU57" s="92"/>
      <c r="IEV57" s="92"/>
      <c r="IEW57" s="92"/>
      <c r="IEX57" s="92"/>
      <c r="IEY57" s="92"/>
      <c r="IEZ57" s="92"/>
      <c r="IFA57" s="92"/>
      <c r="IFB57" s="92"/>
      <c r="IFC57" s="92"/>
      <c r="IFD57" s="92"/>
      <c r="IFE57" s="92"/>
      <c r="IFF57" s="92"/>
      <c r="IFG57" s="92"/>
      <c r="IFH57" s="92"/>
      <c r="IFI57" s="92"/>
      <c r="IFJ57" s="92"/>
      <c r="IFK57" s="92"/>
      <c r="IFL57" s="92"/>
      <c r="IFM57" s="92"/>
      <c r="IFN57" s="92"/>
      <c r="IFO57" s="92"/>
      <c r="IFP57" s="92"/>
      <c r="IFQ57" s="92"/>
      <c r="IFR57" s="92"/>
      <c r="IFS57" s="92"/>
      <c r="IFT57" s="92"/>
      <c r="IFU57" s="92"/>
      <c r="IFV57" s="92"/>
      <c r="IFW57" s="92"/>
      <c r="IFX57" s="92"/>
      <c r="IFY57" s="92"/>
      <c r="IFZ57" s="92"/>
      <c r="IGA57" s="92"/>
      <c r="IGB57" s="92"/>
      <c r="IGC57" s="92"/>
      <c r="IGD57" s="92"/>
      <c r="IGE57" s="92"/>
      <c r="IGF57" s="92"/>
      <c r="IGG57" s="92"/>
      <c r="IGH57" s="92"/>
      <c r="IGI57" s="92"/>
      <c r="IGJ57" s="92"/>
      <c r="IGK57" s="92"/>
      <c r="IGL57" s="92"/>
      <c r="IGM57" s="92"/>
      <c r="IGN57" s="92"/>
      <c r="IGO57" s="92"/>
      <c r="IGP57" s="92"/>
      <c r="IGQ57" s="92"/>
      <c r="IGR57" s="92"/>
      <c r="IGS57" s="92"/>
      <c r="IGT57" s="92"/>
      <c r="IGU57" s="92"/>
      <c r="IGV57" s="92"/>
      <c r="IGW57" s="92"/>
      <c r="IGX57" s="92"/>
      <c r="IGY57" s="92"/>
      <c r="IGZ57" s="92"/>
      <c r="IHA57" s="92"/>
      <c r="IHB57" s="92"/>
      <c r="IHC57" s="92"/>
      <c r="IHD57" s="92"/>
      <c r="IHE57" s="92"/>
      <c r="IHF57" s="92"/>
      <c r="IHG57" s="92"/>
      <c r="IHH57" s="92"/>
      <c r="IHI57" s="92"/>
      <c r="IHJ57" s="92"/>
      <c r="IHK57" s="92"/>
      <c r="IHL57" s="92"/>
      <c r="IHM57" s="92"/>
      <c r="IHN57" s="92"/>
      <c r="IHO57" s="92"/>
      <c r="IHP57" s="92"/>
      <c r="IHQ57" s="92"/>
      <c r="IHR57" s="92"/>
      <c r="IHS57" s="92"/>
      <c r="IHT57" s="92"/>
      <c r="IHU57" s="92"/>
      <c r="IHV57" s="92"/>
      <c r="IHW57" s="92"/>
      <c r="IHX57" s="92"/>
      <c r="IHY57" s="92"/>
      <c r="IHZ57" s="92"/>
      <c r="IIA57" s="92"/>
      <c r="IIB57" s="92"/>
      <c r="IIC57" s="92"/>
      <c r="IID57" s="92"/>
      <c r="IIE57" s="92"/>
      <c r="IIF57" s="92"/>
      <c r="IIG57" s="92"/>
      <c r="IIH57" s="92"/>
      <c r="III57" s="92"/>
      <c r="IIJ57" s="92"/>
      <c r="IIK57" s="92"/>
      <c r="IIL57" s="92"/>
      <c r="IIM57" s="92"/>
      <c r="IIN57" s="92"/>
      <c r="IIO57" s="92"/>
      <c r="IIP57" s="92"/>
      <c r="IIQ57" s="92"/>
      <c r="IIR57" s="92"/>
      <c r="IIS57" s="92"/>
      <c r="IIT57" s="92"/>
      <c r="IIU57" s="92"/>
      <c r="IIV57" s="92"/>
      <c r="IIW57" s="92"/>
      <c r="IIX57" s="92"/>
      <c r="IIY57" s="92"/>
      <c r="IIZ57" s="92"/>
      <c r="IJA57" s="92"/>
      <c r="IJB57" s="92"/>
      <c r="IJC57" s="92"/>
      <c r="IJD57" s="92"/>
      <c r="IJE57" s="92"/>
      <c r="IJF57" s="92"/>
      <c r="IJG57" s="92"/>
      <c r="IJH57" s="92"/>
      <c r="IJI57" s="92"/>
      <c r="IJJ57" s="92"/>
      <c r="IJK57" s="92"/>
      <c r="IJL57" s="92"/>
      <c r="IJM57" s="92"/>
      <c r="IJN57" s="92"/>
      <c r="IJO57" s="92"/>
      <c r="IJP57" s="92"/>
      <c r="IJQ57" s="92"/>
      <c r="IJR57" s="92"/>
      <c r="IJS57" s="92"/>
      <c r="IJT57" s="92"/>
      <c r="IJU57" s="92"/>
      <c r="IJV57" s="92"/>
      <c r="IJW57" s="92"/>
      <c r="IJX57" s="92"/>
      <c r="IJY57" s="92"/>
      <c r="IJZ57" s="92"/>
      <c r="IKA57" s="92"/>
      <c r="IKB57" s="92"/>
      <c r="IKC57" s="92"/>
      <c r="IKD57" s="92"/>
      <c r="IKE57" s="92"/>
      <c r="IKF57" s="92"/>
      <c r="IKG57" s="92"/>
      <c r="IKH57" s="92"/>
      <c r="IKI57" s="92"/>
      <c r="IKJ57" s="92"/>
      <c r="IKK57" s="92"/>
      <c r="IKL57" s="92"/>
      <c r="IKM57" s="92"/>
      <c r="IKN57" s="92"/>
      <c r="IKO57" s="92"/>
      <c r="IKP57" s="92"/>
      <c r="IKQ57" s="92"/>
      <c r="IKR57" s="92"/>
      <c r="IKS57" s="92"/>
      <c r="IKT57" s="92"/>
      <c r="IKU57" s="92"/>
      <c r="IKV57" s="92"/>
      <c r="IKW57" s="92"/>
      <c r="IKX57" s="92"/>
      <c r="IKY57" s="92"/>
      <c r="IKZ57" s="92"/>
      <c r="ILA57" s="92"/>
      <c r="ILB57" s="92"/>
      <c r="ILC57" s="92"/>
      <c r="ILD57" s="92"/>
      <c r="ILE57" s="92"/>
      <c r="ILF57" s="92"/>
      <c r="ILG57" s="92"/>
      <c r="ILH57" s="92"/>
      <c r="ILI57" s="92"/>
      <c r="ILJ57" s="92"/>
      <c r="ILK57" s="92"/>
      <c r="ILL57" s="92"/>
      <c r="ILM57" s="92"/>
      <c r="ILN57" s="92"/>
      <c r="ILO57" s="92"/>
      <c r="ILP57" s="92"/>
      <c r="ILQ57" s="92"/>
      <c r="ILR57" s="92"/>
      <c r="ILS57" s="92"/>
      <c r="ILT57" s="92"/>
      <c r="ILU57" s="92"/>
      <c r="ILV57" s="92"/>
      <c r="ILW57" s="92"/>
      <c r="ILX57" s="92"/>
      <c r="ILY57" s="92"/>
      <c r="ILZ57" s="92"/>
      <c r="IMA57" s="92"/>
      <c r="IMB57" s="92"/>
      <c r="IMC57" s="92"/>
      <c r="IMD57" s="92"/>
      <c r="IME57" s="92"/>
      <c r="IMF57" s="92"/>
      <c r="IMG57" s="92"/>
      <c r="IMH57" s="92"/>
      <c r="IMI57" s="92"/>
      <c r="IMJ57" s="92"/>
      <c r="IMK57" s="92"/>
      <c r="IML57" s="92"/>
      <c r="IMM57" s="92"/>
      <c r="IMN57" s="92"/>
      <c r="IMO57" s="92"/>
      <c r="IMP57" s="92"/>
      <c r="IMQ57" s="92"/>
      <c r="IMR57" s="92"/>
      <c r="IMS57" s="92"/>
      <c r="IMT57" s="92"/>
      <c r="IMU57" s="92"/>
      <c r="IMV57" s="92"/>
      <c r="IMW57" s="92"/>
      <c r="IMX57" s="92"/>
      <c r="IMY57" s="92"/>
      <c r="IMZ57" s="92"/>
      <c r="INA57" s="92"/>
      <c r="INB57" s="92"/>
      <c r="INC57" s="92"/>
      <c r="IND57" s="92"/>
      <c r="INE57" s="92"/>
      <c r="INF57" s="92"/>
      <c r="ING57" s="92"/>
      <c r="INH57" s="92"/>
      <c r="INI57" s="92"/>
      <c r="INJ57" s="92"/>
      <c r="INK57" s="92"/>
      <c r="INL57" s="92"/>
      <c r="INM57" s="92"/>
      <c r="INN57" s="92"/>
      <c r="INO57" s="92"/>
      <c r="INP57" s="92"/>
      <c r="INQ57" s="92"/>
      <c r="INR57" s="92"/>
      <c r="INS57" s="92"/>
      <c r="INT57" s="92"/>
      <c r="INU57" s="92"/>
      <c r="INV57" s="92"/>
      <c r="INW57" s="92"/>
      <c r="INX57" s="92"/>
      <c r="INY57" s="92"/>
      <c r="INZ57" s="92"/>
      <c r="IOA57" s="92"/>
      <c r="IOB57" s="92"/>
      <c r="IOC57" s="92"/>
      <c r="IOD57" s="92"/>
      <c r="IOE57" s="92"/>
      <c r="IOF57" s="92"/>
      <c r="IOG57" s="92"/>
      <c r="IOH57" s="92"/>
      <c r="IOI57" s="92"/>
      <c r="IOJ57" s="92"/>
      <c r="IOK57" s="92"/>
      <c r="IOL57" s="92"/>
      <c r="IOM57" s="92"/>
      <c r="ION57" s="92"/>
      <c r="IOO57" s="92"/>
      <c r="IOP57" s="92"/>
      <c r="IOQ57" s="92"/>
      <c r="IOR57" s="92"/>
      <c r="IOS57" s="92"/>
      <c r="IOT57" s="92"/>
      <c r="IOU57" s="92"/>
      <c r="IOV57" s="92"/>
      <c r="IOW57" s="92"/>
      <c r="IOX57" s="92"/>
      <c r="IOY57" s="92"/>
      <c r="IOZ57" s="92"/>
      <c r="IPA57" s="92"/>
      <c r="IPB57" s="92"/>
      <c r="IPC57" s="92"/>
      <c r="IPD57" s="92"/>
      <c r="IPE57" s="92"/>
      <c r="IPF57" s="92"/>
      <c r="IPG57" s="92"/>
      <c r="IPH57" s="92"/>
      <c r="IPI57" s="92"/>
      <c r="IPJ57" s="92"/>
      <c r="IPK57" s="92"/>
      <c r="IPL57" s="92"/>
      <c r="IPM57" s="92"/>
      <c r="IPN57" s="92"/>
      <c r="IPO57" s="92"/>
      <c r="IPP57" s="92"/>
      <c r="IPQ57" s="92"/>
      <c r="IPR57" s="92"/>
      <c r="IPS57" s="92"/>
      <c r="IPT57" s="92"/>
      <c r="IPU57" s="92"/>
      <c r="IPV57" s="92"/>
      <c r="IPW57" s="92"/>
      <c r="IPX57" s="92"/>
      <c r="IPY57" s="92"/>
      <c r="IPZ57" s="92"/>
      <c r="IQA57" s="92"/>
      <c r="IQB57" s="92"/>
      <c r="IQC57" s="92"/>
      <c r="IQD57" s="92"/>
      <c r="IQE57" s="92"/>
      <c r="IQF57" s="92"/>
      <c r="IQG57" s="92"/>
      <c r="IQH57" s="92"/>
      <c r="IQI57" s="92"/>
      <c r="IQJ57" s="92"/>
      <c r="IQK57" s="92"/>
      <c r="IQL57" s="92"/>
      <c r="IQM57" s="92"/>
      <c r="IQN57" s="92"/>
      <c r="IQO57" s="92"/>
      <c r="IQP57" s="92"/>
      <c r="IQQ57" s="92"/>
      <c r="IQR57" s="92"/>
      <c r="IQS57" s="92"/>
      <c r="IQT57" s="92"/>
      <c r="IQU57" s="92"/>
      <c r="IQV57" s="92"/>
      <c r="IQW57" s="92"/>
      <c r="IQX57" s="92"/>
      <c r="IQY57" s="92"/>
      <c r="IQZ57" s="92"/>
      <c r="IRA57" s="92"/>
      <c r="IRB57" s="92"/>
      <c r="IRC57" s="92"/>
      <c r="IRD57" s="92"/>
      <c r="IRE57" s="92"/>
      <c r="IRF57" s="92"/>
      <c r="IRG57" s="92"/>
      <c r="IRH57" s="92"/>
      <c r="IRI57" s="92"/>
      <c r="IRJ57" s="92"/>
      <c r="IRK57" s="92"/>
      <c r="IRL57" s="92"/>
      <c r="IRM57" s="92"/>
      <c r="IRN57" s="92"/>
      <c r="IRO57" s="92"/>
      <c r="IRP57" s="92"/>
      <c r="IRQ57" s="92"/>
      <c r="IRR57" s="92"/>
      <c r="IRS57" s="92"/>
      <c r="IRT57" s="92"/>
      <c r="IRU57" s="92"/>
      <c r="IRV57" s="92"/>
      <c r="IRW57" s="92"/>
      <c r="IRX57" s="92"/>
      <c r="IRY57" s="92"/>
      <c r="IRZ57" s="92"/>
      <c r="ISA57" s="92"/>
      <c r="ISB57" s="92"/>
      <c r="ISC57" s="92"/>
      <c r="ISD57" s="92"/>
      <c r="ISE57" s="92"/>
      <c r="ISF57" s="92"/>
      <c r="ISG57" s="92"/>
      <c r="ISH57" s="92"/>
      <c r="ISI57" s="92"/>
      <c r="ISJ57" s="92"/>
      <c r="ISK57" s="92"/>
      <c r="ISL57" s="92"/>
      <c r="ISM57" s="92"/>
      <c r="ISN57" s="92"/>
      <c r="ISO57" s="92"/>
      <c r="ISP57" s="92"/>
      <c r="ISQ57" s="92"/>
      <c r="ISR57" s="92"/>
      <c r="ISS57" s="92"/>
      <c r="IST57" s="92"/>
      <c r="ISU57" s="92"/>
      <c r="ISV57" s="92"/>
      <c r="ISW57" s="92"/>
      <c r="ISX57" s="92"/>
      <c r="ISY57" s="92"/>
      <c r="ISZ57" s="92"/>
      <c r="ITA57" s="92"/>
      <c r="ITB57" s="92"/>
      <c r="ITC57" s="92"/>
      <c r="ITD57" s="92"/>
      <c r="ITE57" s="92"/>
      <c r="ITF57" s="92"/>
      <c r="ITG57" s="92"/>
      <c r="ITH57" s="92"/>
      <c r="ITI57" s="92"/>
      <c r="ITJ57" s="92"/>
      <c r="ITK57" s="92"/>
      <c r="ITL57" s="92"/>
      <c r="ITM57" s="92"/>
      <c r="ITN57" s="92"/>
      <c r="ITO57" s="92"/>
      <c r="ITP57" s="92"/>
      <c r="ITQ57" s="92"/>
      <c r="ITR57" s="92"/>
      <c r="ITS57" s="92"/>
      <c r="ITT57" s="92"/>
      <c r="ITU57" s="92"/>
      <c r="ITV57" s="92"/>
      <c r="ITW57" s="92"/>
      <c r="ITX57" s="92"/>
      <c r="ITY57" s="92"/>
      <c r="ITZ57" s="92"/>
      <c r="IUA57" s="92"/>
      <c r="IUB57" s="92"/>
      <c r="IUC57" s="92"/>
      <c r="IUD57" s="92"/>
      <c r="IUE57" s="92"/>
      <c r="IUF57" s="92"/>
      <c r="IUG57" s="92"/>
      <c r="IUH57" s="92"/>
      <c r="IUI57" s="92"/>
      <c r="IUJ57" s="92"/>
      <c r="IUK57" s="92"/>
      <c r="IUL57" s="92"/>
      <c r="IUM57" s="92"/>
      <c r="IUN57" s="92"/>
      <c r="IUO57" s="92"/>
      <c r="IUP57" s="92"/>
      <c r="IUQ57" s="92"/>
      <c r="IUR57" s="92"/>
      <c r="IUS57" s="92"/>
      <c r="IUT57" s="92"/>
      <c r="IUU57" s="92"/>
      <c r="IUV57" s="92"/>
      <c r="IUW57" s="92"/>
      <c r="IUX57" s="92"/>
      <c r="IUY57" s="92"/>
      <c r="IUZ57" s="92"/>
      <c r="IVA57" s="92"/>
      <c r="IVB57" s="92"/>
      <c r="IVC57" s="92"/>
      <c r="IVD57" s="92"/>
      <c r="IVE57" s="92"/>
      <c r="IVF57" s="92"/>
      <c r="IVG57" s="92"/>
      <c r="IVH57" s="92"/>
      <c r="IVI57" s="92"/>
      <c r="IVJ57" s="92"/>
      <c r="IVK57" s="92"/>
      <c r="IVL57" s="92"/>
      <c r="IVM57" s="92"/>
      <c r="IVN57" s="92"/>
      <c r="IVO57" s="92"/>
      <c r="IVP57" s="92"/>
      <c r="IVQ57" s="92"/>
      <c r="IVR57" s="92"/>
      <c r="IVS57" s="92"/>
      <c r="IVT57" s="92"/>
      <c r="IVU57" s="92"/>
      <c r="IVV57" s="92"/>
      <c r="IVW57" s="92"/>
      <c r="IVX57" s="92"/>
      <c r="IVY57" s="92"/>
      <c r="IVZ57" s="92"/>
      <c r="IWA57" s="92"/>
      <c r="IWB57" s="92"/>
      <c r="IWC57" s="92"/>
      <c r="IWD57" s="92"/>
      <c r="IWE57" s="92"/>
      <c r="IWF57" s="92"/>
      <c r="IWG57" s="92"/>
      <c r="IWH57" s="92"/>
      <c r="IWI57" s="92"/>
      <c r="IWJ57" s="92"/>
      <c r="IWK57" s="92"/>
      <c r="IWL57" s="92"/>
      <c r="IWM57" s="92"/>
      <c r="IWN57" s="92"/>
      <c r="IWO57" s="92"/>
      <c r="IWP57" s="92"/>
      <c r="IWQ57" s="92"/>
      <c r="IWR57" s="92"/>
      <c r="IWS57" s="92"/>
      <c r="IWT57" s="92"/>
      <c r="IWU57" s="92"/>
      <c r="IWV57" s="92"/>
      <c r="IWW57" s="92"/>
      <c r="IWX57" s="92"/>
      <c r="IWY57" s="92"/>
      <c r="IWZ57" s="92"/>
      <c r="IXA57" s="92"/>
      <c r="IXB57" s="92"/>
      <c r="IXC57" s="92"/>
      <c r="IXD57" s="92"/>
      <c r="IXE57" s="92"/>
      <c r="IXF57" s="92"/>
      <c r="IXG57" s="92"/>
      <c r="IXH57" s="92"/>
      <c r="IXI57" s="92"/>
      <c r="IXJ57" s="92"/>
      <c r="IXK57" s="92"/>
      <c r="IXL57" s="92"/>
      <c r="IXM57" s="92"/>
      <c r="IXN57" s="92"/>
      <c r="IXO57" s="92"/>
      <c r="IXP57" s="92"/>
      <c r="IXQ57" s="92"/>
      <c r="IXR57" s="92"/>
      <c r="IXS57" s="92"/>
      <c r="IXT57" s="92"/>
      <c r="IXU57" s="92"/>
      <c r="IXV57" s="92"/>
      <c r="IXW57" s="92"/>
      <c r="IXX57" s="92"/>
      <c r="IXY57" s="92"/>
      <c r="IXZ57" s="92"/>
      <c r="IYA57" s="92"/>
      <c r="IYB57" s="92"/>
      <c r="IYC57" s="92"/>
      <c r="IYD57" s="92"/>
      <c r="IYE57" s="92"/>
      <c r="IYF57" s="92"/>
      <c r="IYG57" s="92"/>
      <c r="IYH57" s="92"/>
      <c r="IYI57" s="92"/>
      <c r="IYJ57" s="92"/>
      <c r="IYK57" s="92"/>
      <c r="IYL57" s="92"/>
      <c r="IYM57" s="92"/>
      <c r="IYN57" s="92"/>
      <c r="IYO57" s="92"/>
      <c r="IYP57" s="92"/>
      <c r="IYQ57" s="92"/>
      <c r="IYR57" s="92"/>
      <c r="IYS57" s="92"/>
      <c r="IYT57" s="92"/>
      <c r="IYU57" s="92"/>
      <c r="IYV57" s="92"/>
      <c r="IYW57" s="92"/>
      <c r="IYX57" s="92"/>
      <c r="IYY57" s="92"/>
      <c r="IYZ57" s="92"/>
      <c r="IZA57" s="92"/>
      <c r="IZB57" s="92"/>
      <c r="IZC57" s="92"/>
      <c r="IZD57" s="92"/>
      <c r="IZE57" s="92"/>
      <c r="IZF57" s="92"/>
      <c r="IZG57" s="92"/>
      <c r="IZH57" s="92"/>
      <c r="IZI57" s="92"/>
      <c r="IZJ57" s="92"/>
      <c r="IZK57" s="92"/>
      <c r="IZL57" s="92"/>
      <c r="IZM57" s="92"/>
      <c r="IZN57" s="92"/>
      <c r="IZO57" s="92"/>
      <c r="IZP57" s="92"/>
      <c r="IZQ57" s="92"/>
      <c r="IZR57" s="92"/>
      <c r="IZS57" s="92"/>
      <c r="IZT57" s="92"/>
      <c r="IZU57" s="92"/>
      <c r="IZV57" s="92"/>
      <c r="IZW57" s="92"/>
      <c r="IZX57" s="92"/>
      <c r="IZY57" s="92"/>
      <c r="IZZ57" s="92"/>
      <c r="JAA57" s="92"/>
      <c r="JAB57" s="92"/>
      <c r="JAC57" s="92"/>
      <c r="JAD57" s="92"/>
      <c r="JAE57" s="92"/>
      <c r="JAF57" s="92"/>
      <c r="JAG57" s="92"/>
      <c r="JAH57" s="92"/>
      <c r="JAI57" s="92"/>
      <c r="JAJ57" s="92"/>
      <c r="JAK57" s="92"/>
      <c r="JAL57" s="92"/>
      <c r="JAM57" s="92"/>
      <c r="JAN57" s="92"/>
      <c r="JAO57" s="92"/>
      <c r="JAP57" s="92"/>
      <c r="JAQ57" s="92"/>
      <c r="JAR57" s="92"/>
      <c r="JAS57" s="92"/>
      <c r="JAT57" s="92"/>
      <c r="JAU57" s="92"/>
      <c r="JAV57" s="92"/>
      <c r="JAW57" s="92"/>
      <c r="JAX57" s="92"/>
      <c r="JAY57" s="92"/>
      <c r="JAZ57" s="92"/>
      <c r="JBA57" s="92"/>
      <c r="JBB57" s="92"/>
      <c r="JBC57" s="92"/>
      <c r="JBD57" s="92"/>
      <c r="JBE57" s="92"/>
      <c r="JBF57" s="92"/>
      <c r="JBG57" s="92"/>
      <c r="JBH57" s="92"/>
      <c r="JBI57" s="92"/>
      <c r="JBJ57" s="92"/>
      <c r="JBK57" s="92"/>
      <c r="JBL57" s="92"/>
      <c r="JBM57" s="92"/>
      <c r="JBN57" s="92"/>
      <c r="JBO57" s="92"/>
      <c r="JBP57" s="92"/>
      <c r="JBQ57" s="92"/>
      <c r="JBR57" s="92"/>
      <c r="JBS57" s="92"/>
      <c r="JBT57" s="92"/>
      <c r="JBU57" s="92"/>
      <c r="JBV57" s="92"/>
      <c r="JBW57" s="92"/>
      <c r="JBX57" s="92"/>
      <c r="JBY57" s="92"/>
      <c r="JBZ57" s="92"/>
      <c r="JCA57" s="92"/>
      <c r="JCB57" s="92"/>
      <c r="JCC57" s="92"/>
      <c r="JCD57" s="92"/>
      <c r="JCE57" s="92"/>
      <c r="JCF57" s="92"/>
      <c r="JCG57" s="92"/>
      <c r="JCH57" s="92"/>
      <c r="JCI57" s="92"/>
      <c r="JCJ57" s="92"/>
      <c r="JCK57" s="92"/>
      <c r="JCL57" s="92"/>
      <c r="JCM57" s="92"/>
      <c r="JCN57" s="92"/>
      <c r="JCO57" s="92"/>
      <c r="JCP57" s="92"/>
      <c r="JCQ57" s="92"/>
      <c r="JCR57" s="92"/>
      <c r="JCS57" s="92"/>
      <c r="JCT57" s="92"/>
      <c r="JCU57" s="92"/>
      <c r="JCV57" s="92"/>
      <c r="JCW57" s="92"/>
      <c r="JCX57" s="92"/>
      <c r="JCY57" s="92"/>
      <c r="JCZ57" s="92"/>
      <c r="JDA57" s="92"/>
      <c r="JDB57" s="92"/>
      <c r="JDC57" s="92"/>
      <c r="JDD57" s="92"/>
      <c r="JDE57" s="92"/>
      <c r="JDF57" s="92"/>
      <c r="JDG57" s="92"/>
      <c r="JDH57" s="92"/>
      <c r="JDI57" s="92"/>
      <c r="JDJ57" s="92"/>
      <c r="JDK57" s="92"/>
      <c r="JDL57" s="92"/>
      <c r="JDM57" s="92"/>
      <c r="JDN57" s="92"/>
      <c r="JDO57" s="92"/>
      <c r="JDP57" s="92"/>
      <c r="JDQ57" s="92"/>
      <c r="JDR57" s="92"/>
      <c r="JDS57" s="92"/>
      <c r="JDT57" s="92"/>
      <c r="JDU57" s="92"/>
      <c r="JDV57" s="92"/>
      <c r="JDW57" s="92"/>
      <c r="JDX57" s="92"/>
      <c r="JDY57" s="92"/>
      <c r="JDZ57" s="92"/>
      <c r="JEA57" s="92"/>
      <c r="JEB57" s="92"/>
      <c r="JEC57" s="92"/>
      <c r="JED57" s="92"/>
      <c r="JEE57" s="92"/>
      <c r="JEF57" s="92"/>
      <c r="JEG57" s="92"/>
      <c r="JEH57" s="92"/>
      <c r="JEI57" s="92"/>
      <c r="JEJ57" s="92"/>
      <c r="JEK57" s="92"/>
      <c r="JEL57" s="92"/>
      <c r="JEM57" s="92"/>
      <c r="JEN57" s="92"/>
      <c r="JEO57" s="92"/>
      <c r="JEP57" s="92"/>
      <c r="JEQ57" s="92"/>
      <c r="JER57" s="92"/>
      <c r="JES57" s="92"/>
      <c r="JET57" s="92"/>
      <c r="JEU57" s="92"/>
      <c r="JEV57" s="92"/>
      <c r="JEW57" s="92"/>
      <c r="JEX57" s="92"/>
      <c r="JEY57" s="92"/>
      <c r="JEZ57" s="92"/>
      <c r="JFA57" s="92"/>
      <c r="JFB57" s="92"/>
      <c r="JFC57" s="92"/>
      <c r="JFD57" s="92"/>
      <c r="JFE57" s="92"/>
      <c r="JFF57" s="92"/>
      <c r="JFG57" s="92"/>
      <c r="JFH57" s="92"/>
      <c r="JFI57" s="92"/>
      <c r="JFJ57" s="92"/>
      <c r="JFK57" s="92"/>
      <c r="JFL57" s="92"/>
      <c r="JFM57" s="92"/>
      <c r="JFN57" s="92"/>
      <c r="JFO57" s="92"/>
      <c r="JFP57" s="92"/>
      <c r="JFQ57" s="92"/>
      <c r="JFR57" s="92"/>
      <c r="JFS57" s="92"/>
      <c r="JFT57" s="92"/>
      <c r="JFU57" s="92"/>
      <c r="JFV57" s="92"/>
      <c r="JFW57" s="92"/>
      <c r="JFX57" s="92"/>
      <c r="JFY57" s="92"/>
      <c r="JFZ57" s="92"/>
      <c r="JGA57" s="92"/>
      <c r="JGB57" s="92"/>
      <c r="JGC57" s="92"/>
      <c r="JGD57" s="92"/>
      <c r="JGE57" s="92"/>
      <c r="JGF57" s="92"/>
      <c r="JGG57" s="92"/>
      <c r="JGH57" s="92"/>
      <c r="JGI57" s="92"/>
      <c r="JGJ57" s="92"/>
      <c r="JGK57" s="92"/>
      <c r="JGL57" s="92"/>
      <c r="JGM57" s="92"/>
      <c r="JGN57" s="92"/>
      <c r="JGO57" s="92"/>
      <c r="JGP57" s="92"/>
      <c r="JGQ57" s="92"/>
      <c r="JGR57" s="92"/>
      <c r="JGS57" s="92"/>
      <c r="JGT57" s="92"/>
      <c r="JGU57" s="92"/>
      <c r="JGV57" s="92"/>
      <c r="JGW57" s="92"/>
      <c r="JGX57" s="92"/>
      <c r="JGY57" s="92"/>
      <c r="JGZ57" s="92"/>
      <c r="JHA57" s="92"/>
      <c r="JHB57" s="92"/>
      <c r="JHC57" s="92"/>
      <c r="JHD57" s="92"/>
      <c r="JHE57" s="92"/>
      <c r="JHF57" s="92"/>
      <c r="JHG57" s="92"/>
      <c r="JHH57" s="92"/>
      <c r="JHI57" s="92"/>
      <c r="JHJ57" s="92"/>
      <c r="JHK57" s="92"/>
      <c r="JHL57" s="92"/>
      <c r="JHM57" s="92"/>
      <c r="JHN57" s="92"/>
      <c r="JHO57" s="92"/>
      <c r="JHP57" s="92"/>
      <c r="JHQ57" s="92"/>
      <c r="JHR57" s="92"/>
      <c r="JHS57" s="92"/>
      <c r="JHT57" s="92"/>
      <c r="JHU57" s="92"/>
      <c r="JHV57" s="92"/>
      <c r="JHW57" s="92"/>
      <c r="JHX57" s="92"/>
      <c r="JHY57" s="92"/>
      <c r="JHZ57" s="92"/>
      <c r="JIA57" s="92"/>
      <c r="JIB57" s="92"/>
      <c r="JIC57" s="92"/>
      <c r="JID57" s="92"/>
      <c r="JIE57" s="92"/>
      <c r="JIF57" s="92"/>
      <c r="JIG57" s="92"/>
      <c r="JIH57" s="92"/>
      <c r="JII57" s="92"/>
      <c r="JIJ57" s="92"/>
      <c r="JIK57" s="92"/>
      <c r="JIL57" s="92"/>
      <c r="JIM57" s="92"/>
      <c r="JIN57" s="92"/>
      <c r="JIO57" s="92"/>
      <c r="JIP57" s="92"/>
      <c r="JIQ57" s="92"/>
      <c r="JIR57" s="92"/>
      <c r="JIS57" s="92"/>
      <c r="JIT57" s="92"/>
      <c r="JIU57" s="92"/>
      <c r="JIV57" s="92"/>
      <c r="JIW57" s="92"/>
      <c r="JIX57" s="92"/>
      <c r="JIY57" s="92"/>
      <c r="JIZ57" s="92"/>
      <c r="JJA57" s="92"/>
      <c r="JJB57" s="92"/>
      <c r="JJC57" s="92"/>
      <c r="JJD57" s="92"/>
      <c r="JJE57" s="92"/>
      <c r="JJF57" s="92"/>
      <c r="JJG57" s="92"/>
      <c r="JJH57" s="92"/>
      <c r="JJI57" s="92"/>
      <c r="JJJ57" s="92"/>
      <c r="JJK57" s="92"/>
      <c r="JJL57" s="92"/>
      <c r="JJM57" s="92"/>
      <c r="JJN57" s="92"/>
      <c r="JJO57" s="92"/>
      <c r="JJP57" s="92"/>
      <c r="JJQ57" s="92"/>
      <c r="JJR57" s="92"/>
      <c r="JJS57" s="92"/>
      <c r="JJT57" s="92"/>
      <c r="JJU57" s="92"/>
      <c r="JJV57" s="92"/>
      <c r="JJW57" s="92"/>
      <c r="JJX57" s="92"/>
      <c r="JJY57" s="92"/>
      <c r="JJZ57" s="92"/>
      <c r="JKA57" s="92"/>
      <c r="JKB57" s="92"/>
      <c r="JKC57" s="92"/>
      <c r="JKD57" s="92"/>
      <c r="JKE57" s="92"/>
      <c r="JKF57" s="92"/>
      <c r="JKG57" s="92"/>
      <c r="JKH57" s="92"/>
      <c r="JKI57" s="92"/>
      <c r="JKJ57" s="92"/>
      <c r="JKK57" s="92"/>
      <c r="JKL57" s="92"/>
      <c r="JKM57" s="92"/>
      <c r="JKN57" s="92"/>
      <c r="JKO57" s="92"/>
      <c r="JKP57" s="92"/>
      <c r="JKQ57" s="92"/>
      <c r="JKR57" s="92"/>
      <c r="JKS57" s="92"/>
      <c r="JKT57" s="92"/>
      <c r="JKU57" s="92"/>
      <c r="JKV57" s="92"/>
      <c r="JKW57" s="92"/>
      <c r="JKX57" s="92"/>
      <c r="JKY57" s="92"/>
      <c r="JKZ57" s="92"/>
      <c r="JLA57" s="92"/>
      <c r="JLB57" s="92"/>
      <c r="JLC57" s="92"/>
      <c r="JLD57" s="92"/>
      <c r="JLE57" s="92"/>
      <c r="JLF57" s="92"/>
      <c r="JLG57" s="92"/>
      <c r="JLH57" s="92"/>
      <c r="JLI57" s="92"/>
      <c r="JLJ57" s="92"/>
      <c r="JLK57" s="92"/>
      <c r="JLL57" s="92"/>
      <c r="JLM57" s="92"/>
      <c r="JLN57" s="92"/>
      <c r="JLO57" s="92"/>
      <c r="JLP57" s="92"/>
      <c r="JLQ57" s="92"/>
      <c r="JLR57" s="92"/>
      <c r="JLS57" s="92"/>
      <c r="JLT57" s="92"/>
      <c r="JLU57" s="92"/>
      <c r="JLV57" s="92"/>
      <c r="JLW57" s="92"/>
      <c r="JLX57" s="92"/>
      <c r="JLY57" s="92"/>
      <c r="JLZ57" s="92"/>
      <c r="JMA57" s="92"/>
      <c r="JMB57" s="92"/>
      <c r="JMC57" s="92"/>
      <c r="JMD57" s="92"/>
      <c r="JME57" s="92"/>
      <c r="JMF57" s="92"/>
      <c r="JMG57" s="92"/>
      <c r="JMH57" s="92"/>
      <c r="JMI57" s="92"/>
      <c r="JMJ57" s="92"/>
      <c r="JMK57" s="92"/>
      <c r="JML57" s="92"/>
      <c r="JMM57" s="92"/>
      <c r="JMN57" s="92"/>
      <c r="JMO57" s="92"/>
      <c r="JMP57" s="92"/>
      <c r="JMQ57" s="92"/>
      <c r="JMR57" s="92"/>
      <c r="JMS57" s="92"/>
      <c r="JMT57" s="92"/>
      <c r="JMU57" s="92"/>
      <c r="JMV57" s="92"/>
      <c r="JMW57" s="92"/>
      <c r="JMX57" s="92"/>
      <c r="JMY57" s="92"/>
      <c r="JMZ57" s="92"/>
      <c r="JNA57" s="92"/>
      <c r="JNB57" s="92"/>
      <c r="JNC57" s="92"/>
      <c r="JND57" s="92"/>
      <c r="JNE57" s="92"/>
      <c r="JNF57" s="92"/>
      <c r="JNG57" s="92"/>
      <c r="JNH57" s="92"/>
      <c r="JNI57" s="92"/>
      <c r="JNJ57" s="92"/>
      <c r="JNK57" s="92"/>
      <c r="JNL57" s="92"/>
      <c r="JNM57" s="92"/>
      <c r="JNN57" s="92"/>
      <c r="JNO57" s="92"/>
      <c r="JNP57" s="92"/>
      <c r="JNQ57" s="92"/>
      <c r="JNR57" s="92"/>
      <c r="JNS57" s="92"/>
      <c r="JNT57" s="92"/>
      <c r="JNU57" s="92"/>
      <c r="JNV57" s="92"/>
      <c r="JNW57" s="92"/>
      <c r="JNX57" s="92"/>
      <c r="JNY57" s="92"/>
      <c r="JNZ57" s="92"/>
      <c r="JOA57" s="92"/>
      <c r="JOB57" s="92"/>
      <c r="JOC57" s="92"/>
      <c r="JOD57" s="92"/>
      <c r="JOE57" s="92"/>
      <c r="JOF57" s="92"/>
      <c r="JOG57" s="92"/>
      <c r="JOH57" s="92"/>
      <c r="JOI57" s="92"/>
      <c r="JOJ57" s="92"/>
      <c r="JOK57" s="92"/>
      <c r="JOL57" s="92"/>
      <c r="JOM57" s="92"/>
      <c r="JON57" s="92"/>
      <c r="JOO57" s="92"/>
      <c r="JOP57" s="92"/>
      <c r="JOQ57" s="92"/>
      <c r="JOR57" s="92"/>
      <c r="JOS57" s="92"/>
      <c r="JOT57" s="92"/>
      <c r="JOU57" s="92"/>
      <c r="JOV57" s="92"/>
      <c r="JOW57" s="92"/>
      <c r="JOX57" s="92"/>
      <c r="JOY57" s="92"/>
      <c r="JOZ57" s="92"/>
      <c r="JPA57" s="92"/>
      <c r="JPB57" s="92"/>
      <c r="JPC57" s="92"/>
      <c r="JPD57" s="92"/>
      <c r="JPE57" s="92"/>
      <c r="JPF57" s="92"/>
      <c r="JPG57" s="92"/>
      <c r="JPH57" s="92"/>
      <c r="JPI57" s="92"/>
      <c r="JPJ57" s="92"/>
      <c r="JPK57" s="92"/>
      <c r="JPL57" s="92"/>
      <c r="JPM57" s="92"/>
      <c r="JPN57" s="92"/>
      <c r="JPO57" s="92"/>
      <c r="JPP57" s="92"/>
      <c r="JPQ57" s="92"/>
      <c r="JPR57" s="92"/>
      <c r="JPS57" s="92"/>
      <c r="JPT57" s="92"/>
      <c r="JPU57" s="92"/>
      <c r="JPV57" s="92"/>
      <c r="JPW57" s="92"/>
      <c r="JPX57" s="92"/>
      <c r="JPY57" s="92"/>
      <c r="JPZ57" s="92"/>
      <c r="JQA57" s="92"/>
      <c r="JQB57" s="92"/>
      <c r="JQC57" s="92"/>
      <c r="JQD57" s="92"/>
      <c r="JQE57" s="92"/>
      <c r="JQF57" s="92"/>
      <c r="JQG57" s="92"/>
      <c r="JQH57" s="92"/>
      <c r="JQI57" s="92"/>
      <c r="JQJ57" s="92"/>
      <c r="JQK57" s="92"/>
      <c r="JQL57" s="92"/>
      <c r="JQM57" s="92"/>
      <c r="JQN57" s="92"/>
      <c r="JQO57" s="92"/>
      <c r="JQP57" s="92"/>
      <c r="JQQ57" s="92"/>
      <c r="JQR57" s="92"/>
      <c r="JQS57" s="92"/>
      <c r="JQT57" s="92"/>
      <c r="JQU57" s="92"/>
      <c r="JQV57" s="92"/>
      <c r="JQW57" s="92"/>
      <c r="JQX57" s="92"/>
      <c r="JQY57" s="92"/>
      <c r="JQZ57" s="92"/>
      <c r="JRA57" s="92"/>
      <c r="JRB57" s="92"/>
      <c r="JRC57" s="92"/>
      <c r="JRD57" s="92"/>
      <c r="JRE57" s="92"/>
      <c r="JRF57" s="92"/>
      <c r="JRG57" s="92"/>
      <c r="JRH57" s="92"/>
      <c r="JRI57" s="92"/>
      <c r="JRJ57" s="92"/>
      <c r="JRK57" s="92"/>
      <c r="JRL57" s="92"/>
      <c r="JRM57" s="92"/>
      <c r="JRN57" s="92"/>
      <c r="JRO57" s="92"/>
      <c r="JRP57" s="92"/>
      <c r="JRQ57" s="92"/>
      <c r="JRR57" s="92"/>
      <c r="JRS57" s="92"/>
      <c r="JRT57" s="92"/>
      <c r="JRU57" s="92"/>
      <c r="JRV57" s="92"/>
      <c r="JRW57" s="92"/>
      <c r="JRX57" s="92"/>
      <c r="JRY57" s="92"/>
      <c r="JRZ57" s="92"/>
      <c r="JSA57" s="92"/>
      <c r="JSB57" s="92"/>
      <c r="JSC57" s="92"/>
      <c r="JSD57" s="92"/>
      <c r="JSE57" s="92"/>
      <c r="JSF57" s="92"/>
      <c r="JSG57" s="92"/>
      <c r="JSH57" s="92"/>
      <c r="JSI57" s="92"/>
      <c r="JSJ57" s="92"/>
      <c r="JSK57" s="92"/>
      <c r="JSL57" s="92"/>
      <c r="JSM57" s="92"/>
      <c r="JSN57" s="92"/>
      <c r="JSO57" s="92"/>
      <c r="JSP57" s="92"/>
      <c r="JSQ57" s="92"/>
      <c r="JSR57" s="92"/>
      <c r="JSS57" s="92"/>
      <c r="JST57" s="92"/>
      <c r="JSU57" s="92"/>
      <c r="JSV57" s="92"/>
      <c r="JSW57" s="92"/>
      <c r="JSX57" s="92"/>
      <c r="JSY57" s="92"/>
      <c r="JSZ57" s="92"/>
      <c r="JTA57" s="92"/>
      <c r="JTB57" s="92"/>
      <c r="JTC57" s="92"/>
      <c r="JTD57" s="92"/>
      <c r="JTE57" s="92"/>
      <c r="JTF57" s="92"/>
      <c r="JTG57" s="92"/>
      <c r="JTH57" s="92"/>
      <c r="JTI57" s="92"/>
      <c r="JTJ57" s="92"/>
      <c r="JTK57" s="92"/>
      <c r="JTL57" s="92"/>
      <c r="JTM57" s="92"/>
      <c r="JTN57" s="92"/>
      <c r="JTO57" s="92"/>
      <c r="JTP57" s="92"/>
      <c r="JTQ57" s="92"/>
      <c r="JTR57" s="92"/>
      <c r="JTS57" s="92"/>
      <c r="JTT57" s="92"/>
      <c r="JTU57" s="92"/>
      <c r="JTV57" s="92"/>
      <c r="JTW57" s="92"/>
      <c r="JTX57" s="92"/>
      <c r="JTY57" s="92"/>
      <c r="JTZ57" s="92"/>
      <c r="JUA57" s="92"/>
      <c r="JUB57" s="92"/>
      <c r="JUC57" s="92"/>
      <c r="JUD57" s="92"/>
      <c r="JUE57" s="92"/>
      <c r="JUF57" s="92"/>
      <c r="JUG57" s="92"/>
      <c r="JUH57" s="92"/>
      <c r="JUI57" s="92"/>
      <c r="JUJ57" s="92"/>
      <c r="JUK57" s="92"/>
      <c r="JUL57" s="92"/>
      <c r="JUM57" s="92"/>
      <c r="JUN57" s="92"/>
      <c r="JUO57" s="92"/>
      <c r="JUP57" s="92"/>
      <c r="JUQ57" s="92"/>
      <c r="JUR57" s="92"/>
      <c r="JUS57" s="92"/>
      <c r="JUT57" s="92"/>
      <c r="JUU57" s="92"/>
      <c r="JUV57" s="92"/>
      <c r="JUW57" s="92"/>
      <c r="JUX57" s="92"/>
      <c r="JUY57" s="92"/>
      <c r="JUZ57" s="92"/>
      <c r="JVA57" s="92"/>
      <c r="JVB57" s="92"/>
      <c r="JVC57" s="92"/>
      <c r="JVD57" s="92"/>
      <c r="JVE57" s="92"/>
      <c r="JVF57" s="92"/>
      <c r="JVG57" s="92"/>
      <c r="JVH57" s="92"/>
      <c r="JVI57" s="92"/>
      <c r="JVJ57" s="92"/>
      <c r="JVK57" s="92"/>
      <c r="JVL57" s="92"/>
      <c r="JVM57" s="92"/>
      <c r="JVN57" s="92"/>
      <c r="JVO57" s="92"/>
      <c r="JVP57" s="92"/>
      <c r="JVQ57" s="92"/>
      <c r="JVR57" s="92"/>
      <c r="JVS57" s="92"/>
      <c r="JVT57" s="92"/>
      <c r="JVU57" s="92"/>
      <c r="JVV57" s="92"/>
      <c r="JVW57" s="92"/>
      <c r="JVX57" s="92"/>
      <c r="JVY57" s="92"/>
      <c r="JVZ57" s="92"/>
      <c r="JWA57" s="92"/>
      <c r="JWB57" s="92"/>
      <c r="JWC57" s="92"/>
      <c r="JWD57" s="92"/>
      <c r="JWE57" s="92"/>
      <c r="JWF57" s="92"/>
      <c r="JWG57" s="92"/>
      <c r="JWH57" s="92"/>
      <c r="JWI57" s="92"/>
      <c r="JWJ57" s="92"/>
      <c r="JWK57" s="92"/>
      <c r="JWL57" s="92"/>
      <c r="JWM57" s="92"/>
      <c r="JWN57" s="92"/>
      <c r="JWO57" s="92"/>
      <c r="JWP57" s="92"/>
      <c r="JWQ57" s="92"/>
      <c r="JWR57" s="92"/>
      <c r="JWS57" s="92"/>
      <c r="JWT57" s="92"/>
      <c r="JWU57" s="92"/>
      <c r="JWV57" s="92"/>
      <c r="JWW57" s="92"/>
      <c r="JWX57" s="92"/>
      <c r="JWY57" s="92"/>
      <c r="JWZ57" s="92"/>
      <c r="JXA57" s="92"/>
      <c r="JXB57" s="92"/>
      <c r="JXC57" s="92"/>
      <c r="JXD57" s="92"/>
      <c r="JXE57" s="92"/>
      <c r="JXF57" s="92"/>
      <c r="JXG57" s="92"/>
      <c r="JXH57" s="92"/>
      <c r="JXI57" s="92"/>
      <c r="JXJ57" s="92"/>
      <c r="JXK57" s="92"/>
      <c r="JXL57" s="92"/>
      <c r="JXM57" s="92"/>
      <c r="JXN57" s="92"/>
      <c r="JXO57" s="92"/>
      <c r="JXP57" s="92"/>
      <c r="JXQ57" s="92"/>
      <c r="JXR57" s="92"/>
      <c r="JXS57" s="92"/>
      <c r="JXT57" s="92"/>
      <c r="JXU57" s="92"/>
      <c r="JXV57" s="92"/>
      <c r="JXW57" s="92"/>
      <c r="JXX57" s="92"/>
      <c r="JXY57" s="92"/>
      <c r="JXZ57" s="92"/>
      <c r="JYA57" s="92"/>
      <c r="JYB57" s="92"/>
      <c r="JYC57" s="92"/>
      <c r="JYD57" s="92"/>
      <c r="JYE57" s="92"/>
      <c r="JYF57" s="92"/>
      <c r="JYG57" s="92"/>
      <c r="JYH57" s="92"/>
      <c r="JYI57" s="92"/>
      <c r="JYJ57" s="92"/>
      <c r="JYK57" s="92"/>
      <c r="JYL57" s="92"/>
      <c r="JYM57" s="92"/>
      <c r="JYN57" s="92"/>
      <c r="JYO57" s="92"/>
      <c r="JYP57" s="92"/>
      <c r="JYQ57" s="92"/>
      <c r="JYR57" s="92"/>
      <c r="JYS57" s="92"/>
      <c r="JYT57" s="92"/>
      <c r="JYU57" s="92"/>
      <c r="JYV57" s="92"/>
      <c r="JYW57" s="92"/>
      <c r="JYX57" s="92"/>
      <c r="JYY57" s="92"/>
      <c r="JYZ57" s="92"/>
      <c r="JZA57" s="92"/>
      <c r="JZB57" s="92"/>
      <c r="JZC57" s="92"/>
      <c r="JZD57" s="92"/>
      <c r="JZE57" s="92"/>
      <c r="JZF57" s="92"/>
      <c r="JZG57" s="92"/>
      <c r="JZH57" s="92"/>
      <c r="JZI57" s="92"/>
      <c r="JZJ57" s="92"/>
      <c r="JZK57" s="92"/>
      <c r="JZL57" s="92"/>
      <c r="JZM57" s="92"/>
      <c r="JZN57" s="92"/>
      <c r="JZO57" s="92"/>
      <c r="JZP57" s="92"/>
      <c r="JZQ57" s="92"/>
      <c r="JZR57" s="92"/>
      <c r="JZS57" s="92"/>
      <c r="JZT57" s="92"/>
      <c r="JZU57" s="92"/>
      <c r="JZV57" s="92"/>
      <c r="JZW57" s="92"/>
      <c r="JZX57" s="92"/>
      <c r="JZY57" s="92"/>
      <c r="JZZ57" s="92"/>
      <c r="KAA57" s="92"/>
      <c r="KAB57" s="92"/>
      <c r="KAC57" s="92"/>
      <c r="KAD57" s="92"/>
      <c r="KAE57" s="92"/>
      <c r="KAF57" s="92"/>
      <c r="KAG57" s="92"/>
      <c r="KAH57" s="92"/>
      <c r="KAI57" s="92"/>
      <c r="KAJ57" s="92"/>
      <c r="KAK57" s="92"/>
      <c r="KAL57" s="92"/>
      <c r="KAM57" s="92"/>
      <c r="KAN57" s="92"/>
      <c r="KAO57" s="92"/>
      <c r="KAP57" s="92"/>
      <c r="KAQ57" s="92"/>
      <c r="KAR57" s="92"/>
      <c r="KAS57" s="92"/>
      <c r="KAT57" s="92"/>
      <c r="KAU57" s="92"/>
      <c r="KAV57" s="92"/>
      <c r="KAW57" s="92"/>
      <c r="KAX57" s="92"/>
      <c r="KAY57" s="92"/>
      <c r="KAZ57" s="92"/>
      <c r="KBA57" s="92"/>
      <c r="KBB57" s="92"/>
      <c r="KBC57" s="92"/>
      <c r="KBD57" s="92"/>
      <c r="KBE57" s="92"/>
      <c r="KBF57" s="92"/>
      <c r="KBG57" s="92"/>
      <c r="KBH57" s="92"/>
      <c r="KBI57" s="92"/>
      <c r="KBJ57" s="92"/>
      <c r="KBK57" s="92"/>
      <c r="KBL57" s="92"/>
      <c r="KBM57" s="92"/>
      <c r="KBN57" s="92"/>
      <c r="KBO57" s="92"/>
      <c r="KBP57" s="92"/>
      <c r="KBQ57" s="92"/>
      <c r="KBR57" s="92"/>
      <c r="KBS57" s="92"/>
      <c r="KBT57" s="92"/>
      <c r="KBU57" s="92"/>
      <c r="KBV57" s="92"/>
      <c r="KBW57" s="92"/>
      <c r="KBX57" s="92"/>
      <c r="KBY57" s="92"/>
      <c r="KBZ57" s="92"/>
      <c r="KCA57" s="92"/>
      <c r="KCB57" s="92"/>
      <c r="KCC57" s="92"/>
      <c r="KCD57" s="92"/>
      <c r="KCE57" s="92"/>
      <c r="KCF57" s="92"/>
      <c r="KCG57" s="92"/>
      <c r="KCH57" s="92"/>
      <c r="KCI57" s="92"/>
      <c r="KCJ57" s="92"/>
      <c r="KCK57" s="92"/>
      <c r="KCL57" s="92"/>
      <c r="KCM57" s="92"/>
      <c r="KCN57" s="92"/>
      <c r="KCO57" s="92"/>
      <c r="KCP57" s="92"/>
      <c r="KCQ57" s="92"/>
      <c r="KCR57" s="92"/>
      <c r="KCS57" s="92"/>
      <c r="KCT57" s="92"/>
      <c r="KCU57" s="92"/>
      <c r="KCV57" s="92"/>
      <c r="KCW57" s="92"/>
      <c r="KCX57" s="92"/>
      <c r="KCY57" s="92"/>
      <c r="KCZ57" s="92"/>
      <c r="KDA57" s="92"/>
      <c r="KDB57" s="92"/>
      <c r="KDC57" s="92"/>
      <c r="KDD57" s="92"/>
      <c r="KDE57" s="92"/>
      <c r="KDF57" s="92"/>
      <c r="KDG57" s="92"/>
      <c r="KDH57" s="92"/>
      <c r="KDI57" s="92"/>
      <c r="KDJ57" s="92"/>
      <c r="KDK57" s="92"/>
      <c r="KDL57" s="92"/>
      <c r="KDM57" s="92"/>
      <c r="KDN57" s="92"/>
      <c r="KDO57" s="92"/>
      <c r="KDP57" s="92"/>
      <c r="KDQ57" s="92"/>
      <c r="KDR57" s="92"/>
      <c r="KDS57" s="92"/>
      <c r="KDT57" s="92"/>
      <c r="KDU57" s="92"/>
      <c r="KDV57" s="92"/>
      <c r="KDW57" s="92"/>
      <c r="KDX57" s="92"/>
      <c r="KDY57" s="92"/>
      <c r="KDZ57" s="92"/>
      <c r="KEA57" s="92"/>
      <c r="KEB57" s="92"/>
      <c r="KEC57" s="92"/>
      <c r="KED57" s="92"/>
      <c r="KEE57" s="92"/>
      <c r="KEF57" s="92"/>
      <c r="KEG57" s="92"/>
      <c r="KEH57" s="92"/>
      <c r="KEI57" s="92"/>
      <c r="KEJ57" s="92"/>
      <c r="KEK57" s="92"/>
      <c r="KEL57" s="92"/>
      <c r="KEM57" s="92"/>
      <c r="KEN57" s="92"/>
      <c r="KEO57" s="92"/>
      <c r="KEP57" s="92"/>
      <c r="KEQ57" s="92"/>
      <c r="KER57" s="92"/>
      <c r="KES57" s="92"/>
      <c r="KET57" s="92"/>
      <c r="KEU57" s="92"/>
      <c r="KEV57" s="92"/>
      <c r="KEW57" s="92"/>
      <c r="KEX57" s="92"/>
      <c r="KEY57" s="92"/>
      <c r="KEZ57" s="92"/>
      <c r="KFA57" s="92"/>
      <c r="KFB57" s="92"/>
      <c r="KFC57" s="92"/>
      <c r="KFD57" s="92"/>
      <c r="KFE57" s="92"/>
      <c r="KFF57" s="92"/>
      <c r="KFG57" s="92"/>
      <c r="KFH57" s="92"/>
      <c r="KFI57" s="92"/>
      <c r="KFJ57" s="92"/>
      <c r="KFK57" s="92"/>
      <c r="KFL57" s="92"/>
      <c r="KFM57" s="92"/>
      <c r="KFN57" s="92"/>
      <c r="KFO57" s="92"/>
      <c r="KFP57" s="92"/>
      <c r="KFQ57" s="92"/>
      <c r="KFR57" s="92"/>
      <c r="KFS57" s="92"/>
      <c r="KFT57" s="92"/>
      <c r="KFU57" s="92"/>
      <c r="KFV57" s="92"/>
      <c r="KFW57" s="92"/>
      <c r="KFX57" s="92"/>
      <c r="KFY57" s="92"/>
      <c r="KFZ57" s="92"/>
      <c r="KGA57" s="92"/>
      <c r="KGB57" s="92"/>
      <c r="KGC57" s="92"/>
      <c r="KGD57" s="92"/>
      <c r="KGE57" s="92"/>
      <c r="KGF57" s="92"/>
      <c r="KGG57" s="92"/>
      <c r="KGH57" s="92"/>
      <c r="KGI57" s="92"/>
      <c r="KGJ57" s="92"/>
      <c r="KGK57" s="92"/>
      <c r="KGL57" s="92"/>
      <c r="KGM57" s="92"/>
      <c r="KGN57" s="92"/>
      <c r="KGO57" s="92"/>
      <c r="KGP57" s="92"/>
      <c r="KGQ57" s="92"/>
      <c r="KGR57" s="92"/>
      <c r="KGS57" s="92"/>
      <c r="KGT57" s="92"/>
      <c r="KGU57" s="92"/>
      <c r="KGV57" s="92"/>
      <c r="KGW57" s="92"/>
      <c r="KGX57" s="92"/>
      <c r="KGY57" s="92"/>
      <c r="KGZ57" s="92"/>
      <c r="KHA57" s="92"/>
      <c r="KHB57" s="92"/>
      <c r="KHC57" s="92"/>
      <c r="KHD57" s="92"/>
      <c r="KHE57" s="92"/>
      <c r="KHF57" s="92"/>
      <c r="KHG57" s="92"/>
      <c r="KHH57" s="92"/>
      <c r="KHI57" s="92"/>
      <c r="KHJ57" s="92"/>
      <c r="KHK57" s="92"/>
      <c r="KHL57" s="92"/>
      <c r="KHM57" s="92"/>
      <c r="KHN57" s="92"/>
      <c r="KHO57" s="92"/>
      <c r="KHP57" s="92"/>
      <c r="KHQ57" s="92"/>
      <c r="KHR57" s="92"/>
      <c r="KHS57" s="92"/>
      <c r="KHT57" s="92"/>
      <c r="KHU57" s="92"/>
      <c r="KHV57" s="92"/>
      <c r="KHW57" s="92"/>
      <c r="KHX57" s="92"/>
      <c r="KHY57" s="92"/>
      <c r="KHZ57" s="92"/>
      <c r="KIA57" s="92"/>
      <c r="KIB57" s="92"/>
      <c r="KIC57" s="92"/>
      <c r="KID57" s="92"/>
      <c r="KIE57" s="92"/>
      <c r="KIF57" s="92"/>
      <c r="KIG57" s="92"/>
      <c r="KIH57" s="92"/>
      <c r="KII57" s="92"/>
      <c r="KIJ57" s="92"/>
      <c r="KIK57" s="92"/>
      <c r="KIL57" s="92"/>
      <c r="KIM57" s="92"/>
      <c r="KIN57" s="92"/>
      <c r="KIO57" s="92"/>
      <c r="KIP57" s="92"/>
      <c r="KIQ57" s="92"/>
      <c r="KIR57" s="92"/>
      <c r="KIS57" s="92"/>
      <c r="KIT57" s="92"/>
      <c r="KIU57" s="92"/>
      <c r="KIV57" s="92"/>
      <c r="KIW57" s="92"/>
      <c r="KIX57" s="92"/>
      <c r="KIY57" s="92"/>
      <c r="KIZ57" s="92"/>
      <c r="KJA57" s="92"/>
      <c r="KJB57" s="92"/>
      <c r="KJC57" s="92"/>
      <c r="KJD57" s="92"/>
      <c r="KJE57" s="92"/>
      <c r="KJF57" s="92"/>
      <c r="KJG57" s="92"/>
      <c r="KJH57" s="92"/>
      <c r="KJI57" s="92"/>
      <c r="KJJ57" s="92"/>
      <c r="KJK57" s="92"/>
      <c r="KJL57" s="92"/>
      <c r="KJM57" s="92"/>
      <c r="KJN57" s="92"/>
      <c r="KJO57" s="92"/>
      <c r="KJP57" s="92"/>
      <c r="KJQ57" s="92"/>
      <c r="KJR57" s="92"/>
      <c r="KJS57" s="92"/>
      <c r="KJT57" s="92"/>
      <c r="KJU57" s="92"/>
      <c r="KJV57" s="92"/>
      <c r="KJW57" s="92"/>
      <c r="KJX57" s="92"/>
      <c r="KJY57" s="92"/>
      <c r="KJZ57" s="92"/>
      <c r="KKA57" s="92"/>
      <c r="KKB57" s="92"/>
      <c r="KKC57" s="92"/>
      <c r="KKD57" s="92"/>
      <c r="KKE57" s="92"/>
      <c r="KKF57" s="92"/>
      <c r="KKG57" s="92"/>
      <c r="KKH57" s="92"/>
      <c r="KKI57" s="92"/>
      <c r="KKJ57" s="92"/>
      <c r="KKK57" s="92"/>
      <c r="KKL57" s="92"/>
      <c r="KKM57" s="92"/>
      <c r="KKN57" s="92"/>
      <c r="KKO57" s="92"/>
      <c r="KKP57" s="92"/>
      <c r="KKQ57" s="92"/>
      <c r="KKR57" s="92"/>
      <c r="KKS57" s="92"/>
      <c r="KKT57" s="92"/>
      <c r="KKU57" s="92"/>
      <c r="KKV57" s="92"/>
      <c r="KKW57" s="92"/>
      <c r="KKX57" s="92"/>
      <c r="KKY57" s="92"/>
      <c r="KKZ57" s="92"/>
      <c r="KLA57" s="92"/>
      <c r="KLB57" s="92"/>
      <c r="KLC57" s="92"/>
      <c r="KLD57" s="92"/>
      <c r="KLE57" s="92"/>
      <c r="KLF57" s="92"/>
      <c r="KLG57" s="92"/>
      <c r="KLH57" s="92"/>
      <c r="KLI57" s="92"/>
      <c r="KLJ57" s="92"/>
      <c r="KLK57" s="92"/>
      <c r="KLL57" s="92"/>
      <c r="KLM57" s="92"/>
      <c r="KLN57" s="92"/>
      <c r="KLO57" s="92"/>
      <c r="KLP57" s="92"/>
      <c r="KLQ57" s="92"/>
      <c r="KLR57" s="92"/>
      <c r="KLS57" s="92"/>
      <c r="KLT57" s="92"/>
      <c r="KLU57" s="92"/>
      <c r="KLV57" s="92"/>
      <c r="KLW57" s="92"/>
      <c r="KLX57" s="92"/>
      <c r="KLY57" s="92"/>
      <c r="KLZ57" s="92"/>
      <c r="KMA57" s="92"/>
      <c r="KMB57" s="92"/>
      <c r="KMC57" s="92"/>
      <c r="KMD57" s="92"/>
      <c r="KME57" s="92"/>
      <c r="KMF57" s="92"/>
      <c r="KMG57" s="92"/>
      <c r="KMH57" s="92"/>
      <c r="KMI57" s="92"/>
      <c r="KMJ57" s="92"/>
      <c r="KMK57" s="92"/>
      <c r="KML57" s="92"/>
      <c r="KMM57" s="92"/>
      <c r="KMN57" s="92"/>
      <c r="KMO57" s="92"/>
      <c r="KMP57" s="92"/>
      <c r="KMQ57" s="92"/>
      <c r="KMR57" s="92"/>
      <c r="KMS57" s="92"/>
      <c r="KMT57" s="92"/>
      <c r="KMU57" s="92"/>
      <c r="KMV57" s="92"/>
      <c r="KMW57" s="92"/>
      <c r="KMX57" s="92"/>
      <c r="KMY57" s="92"/>
      <c r="KMZ57" s="92"/>
      <c r="KNA57" s="92"/>
      <c r="KNB57" s="92"/>
      <c r="KNC57" s="92"/>
      <c r="KND57" s="92"/>
      <c r="KNE57" s="92"/>
      <c r="KNF57" s="92"/>
      <c r="KNG57" s="92"/>
      <c r="KNH57" s="92"/>
      <c r="KNI57" s="92"/>
      <c r="KNJ57" s="92"/>
      <c r="KNK57" s="92"/>
      <c r="KNL57" s="92"/>
      <c r="KNM57" s="92"/>
      <c r="KNN57" s="92"/>
      <c r="KNO57" s="92"/>
      <c r="KNP57" s="92"/>
      <c r="KNQ57" s="92"/>
      <c r="KNR57" s="92"/>
      <c r="KNS57" s="92"/>
      <c r="KNT57" s="92"/>
      <c r="KNU57" s="92"/>
      <c r="KNV57" s="92"/>
      <c r="KNW57" s="92"/>
      <c r="KNX57" s="92"/>
      <c r="KNY57" s="92"/>
      <c r="KNZ57" s="92"/>
      <c r="KOA57" s="92"/>
      <c r="KOB57" s="92"/>
      <c r="KOC57" s="92"/>
      <c r="KOD57" s="92"/>
      <c r="KOE57" s="92"/>
      <c r="KOF57" s="92"/>
      <c r="KOG57" s="92"/>
      <c r="KOH57" s="92"/>
      <c r="KOI57" s="92"/>
      <c r="KOJ57" s="92"/>
      <c r="KOK57" s="92"/>
      <c r="KOL57" s="92"/>
      <c r="KOM57" s="92"/>
      <c r="KON57" s="92"/>
      <c r="KOO57" s="92"/>
      <c r="KOP57" s="92"/>
      <c r="KOQ57" s="92"/>
      <c r="KOR57" s="92"/>
      <c r="KOS57" s="92"/>
      <c r="KOT57" s="92"/>
      <c r="KOU57" s="92"/>
      <c r="KOV57" s="92"/>
      <c r="KOW57" s="92"/>
      <c r="KOX57" s="92"/>
      <c r="KOY57" s="92"/>
      <c r="KOZ57" s="92"/>
      <c r="KPA57" s="92"/>
      <c r="KPB57" s="92"/>
      <c r="KPC57" s="92"/>
      <c r="KPD57" s="92"/>
      <c r="KPE57" s="92"/>
      <c r="KPF57" s="92"/>
      <c r="KPG57" s="92"/>
      <c r="KPH57" s="92"/>
      <c r="KPI57" s="92"/>
      <c r="KPJ57" s="92"/>
      <c r="KPK57" s="92"/>
      <c r="KPL57" s="92"/>
      <c r="KPM57" s="92"/>
      <c r="KPN57" s="92"/>
      <c r="KPO57" s="92"/>
      <c r="KPP57" s="92"/>
      <c r="KPQ57" s="92"/>
      <c r="KPR57" s="92"/>
      <c r="KPS57" s="92"/>
      <c r="KPT57" s="92"/>
      <c r="KPU57" s="92"/>
      <c r="KPV57" s="92"/>
      <c r="KPW57" s="92"/>
      <c r="KPX57" s="92"/>
      <c r="KPY57" s="92"/>
      <c r="KPZ57" s="92"/>
      <c r="KQA57" s="92"/>
      <c r="KQB57" s="92"/>
      <c r="KQC57" s="92"/>
      <c r="KQD57" s="92"/>
      <c r="KQE57" s="92"/>
      <c r="KQF57" s="92"/>
      <c r="KQG57" s="92"/>
      <c r="KQH57" s="92"/>
      <c r="KQI57" s="92"/>
      <c r="KQJ57" s="92"/>
      <c r="KQK57" s="92"/>
      <c r="KQL57" s="92"/>
      <c r="KQM57" s="92"/>
      <c r="KQN57" s="92"/>
      <c r="KQO57" s="92"/>
      <c r="KQP57" s="92"/>
      <c r="KQQ57" s="92"/>
      <c r="KQR57" s="92"/>
      <c r="KQS57" s="92"/>
      <c r="KQT57" s="92"/>
      <c r="KQU57" s="92"/>
      <c r="KQV57" s="92"/>
      <c r="KQW57" s="92"/>
      <c r="KQX57" s="92"/>
      <c r="KQY57" s="92"/>
      <c r="KQZ57" s="92"/>
      <c r="KRA57" s="92"/>
      <c r="KRB57" s="92"/>
      <c r="KRC57" s="92"/>
      <c r="KRD57" s="92"/>
      <c r="KRE57" s="92"/>
      <c r="KRF57" s="92"/>
      <c r="KRG57" s="92"/>
      <c r="KRH57" s="92"/>
      <c r="KRI57" s="92"/>
      <c r="KRJ57" s="92"/>
      <c r="KRK57" s="92"/>
      <c r="KRL57" s="92"/>
      <c r="KRM57" s="92"/>
      <c r="KRN57" s="92"/>
      <c r="KRO57" s="92"/>
      <c r="KRP57" s="92"/>
      <c r="KRQ57" s="92"/>
      <c r="KRR57" s="92"/>
      <c r="KRS57" s="92"/>
      <c r="KRT57" s="92"/>
      <c r="KRU57" s="92"/>
      <c r="KRV57" s="92"/>
      <c r="KRW57" s="92"/>
      <c r="KRX57" s="92"/>
      <c r="KRY57" s="92"/>
      <c r="KRZ57" s="92"/>
      <c r="KSA57" s="92"/>
      <c r="KSB57" s="92"/>
      <c r="KSC57" s="92"/>
      <c r="KSD57" s="92"/>
      <c r="KSE57" s="92"/>
      <c r="KSF57" s="92"/>
      <c r="KSG57" s="92"/>
      <c r="KSH57" s="92"/>
      <c r="KSI57" s="92"/>
      <c r="KSJ57" s="92"/>
      <c r="KSK57" s="92"/>
      <c r="KSL57" s="92"/>
      <c r="KSM57" s="92"/>
      <c r="KSN57" s="92"/>
      <c r="KSO57" s="92"/>
      <c r="KSP57" s="92"/>
      <c r="KSQ57" s="92"/>
      <c r="KSR57" s="92"/>
      <c r="KSS57" s="92"/>
      <c r="KST57" s="92"/>
      <c r="KSU57" s="92"/>
      <c r="KSV57" s="92"/>
      <c r="KSW57" s="92"/>
      <c r="KSX57" s="92"/>
      <c r="KSY57" s="92"/>
      <c r="KSZ57" s="92"/>
      <c r="KTA57" s="92"/>
      <c r="KTB57" s="92"/>
      <c r="KTC57" s="92"/>
      <c r="KTD57" s="92"/>
      <c r="KTE57" s="92"/>
      <c r="KTF57" s="92"/>
      <c r="KTG57" s="92"/>
      <c r="KTH57" s="92"/>
      <c r="KTI57" s="92"/>
      <c r="KTJ57" s="92"/>
      <c r="KTK57" s="92"/>
      <c r="KTL57" s="92"/>
      <c r="KTM57" s="92"/>
      <c r="KTN57" s="92"/>
      <c r="KTO57" s="92"/>
      <c r="KTP57" s="92"/>
      <c r="KTQ57" s="92"/>
      <c r="KTR57" s="92"/>
      <c r="KTS57" s="92"/>
      <c r="KTT57" s="92"/>
      <c r="KTU57" s="92"/>
      <c r="KTV57" s="92"/>
      <c r="KTW57" s="92"/>
      <c r="KTX57" s="92"/>
      <c r="KTY57" s="92"/>
      <c r="KTZ57" s="92"/>
      <c r="KUA57" s="92"/>
      <c r="KUB57" s="92"/>
      <c r="KUC57" s="92"/>
      <c r="KUD57" s="92"/>
      <c r="KUE57" s="92"/>
      <c r="KUF57" s="92"/>
      <c r="KUG57" s="92"/>
      <c r="KUH57" s="92"/>
      <c r="KUI57" s="92"/>
      <c r="KUJ57" s="92"/>
      <c r="KUK57" s="92"/>
      <c r="KUL57" s="92"/>
      <c r="KUM57" s="92"/>
      <c r="KUN57" s="92"/>
      <c r="KUO57" s="92"/>
      <c r="KUP57" s="92"/>
      <c r="KUQ57" s="92"/>
      <c r="KUR57" s="92"/>
      <c r="KUS57" s="92"/>
      <c r="KUT57" s="92"/>
      <c r="KUU57" s="92"/>
      <c r="KUV57" s="92"/>
      <c r="KUW57" s="92"/>
      <c r="KUX57" s="92"/>
      <c r="KUY57" s="92"/>
      <c r="KUZ57" s="92"/>
      <c r="KVA57" s="92"/>
      <c r="KVB57" s="92"/>
      <c r="KVC57" s="92"/>
      <c r="KVD57" s="92"/>
      <c r="KVE57" s="92"/>
      <c r="KVF57" s="92"/>
      <c r="KVG57" s="92"/>
      <c r="KVH57" s="92"/>
      <c r="KVI57" s="92"/>
      <c r="KVJ57" s="92"/>
      <c r="KVK57" s="92"/>
      <c r="KVL57" s="92"/>
      <c r="KVM57" s="92"/>
      <c r="KVN57" s="92"/>
      <c r="KVO57" s="92"/>
      <c r="KVP57" s="92"/>
      <c r="KVQ57" s="92"/>
      <c r="KVR57" s="92"/>
      <c r="KVS57" s="92"/>
      <c r="KVT57" s="92"/>
      <c r="KVU57" s="92"/>
      <c r="KVV57" s="92"/>
      <c r="KVW57" s="92"/>
      <c r="KVX57" s="92"/>
      <c r="KVY57" s="92"/>
      <c r="KVZ57" s="92"/>
      <c r="KWA57" s="92"/>
      <c r="KWB57" s="92"/>
      <c r="KWC57" s="92"/>
      <c r="KWD57" s="92"/>
      <c r="KWE57" s="92"/>
      <c r="KWF57" s="92"/>
      <c r="KWG57" s="92"/>
      <c r="KWH57" s="92"/>
      <c r="KWI57" s="92"/>
      <c r="KWJ57" s="92"/>
      <c r="KWK57" s="92"/>
      <c r="KWL57" s="92"/>
      <c r="KWM57" s="92"/>
      <c r="KWN57" s="92"/>
      <c r="KWO57" s="92"/>
      <c r="KWP57" s="92"/>
      <c r="KWQ57" s="92"/>
      <c r="KWR57" s="92"/>
      <c r="KWS57" s="92"/>
      <c r="KWT57" s="92"/>
      <c r="KWU57" s="92"/>
      <c r="KWV57" s="92"/>
      <c r="KWW57" s="92"/>
      <c r="KWX57" s="92"/>
      <c r="KWY57" s="92"/>
      <c r="KWZ57" s="92"/>
      <c r="KXA57" s="92"/>
      <c r="KXB57" s="92"/>
      <c r="KXC57" s="92"/>
      <c r="KXD57" s="92"/>
      <c r="KXE57" s="92"/>
      <c r="KXF57" s="92"/>
      <c r="KXG57" s="92"/>
      <c r="KXH57" s="92"/>
      <c r="KXI57" s="92"/>
      <c r="KXJ57" s="92"/>
      <c r="KXK57" s="92"/>
      <c r="KXL57" s="92"/>
      <c r="KXM57" s="92"/>
      <c r="KXN57" s="92"/>
      <c r="KXO57" s="92"/>
      <c r="KXP57" s="92"/>
      <c r="KXQ57" s="92"/>
      <c r="KXR57" s="92"/>
      <c r="KXS57" s="92"/>
      <c r="KXT57" s="92"/>
      <c r="KXU57" s="92"/>
      <c r="KXV57" s="92"/>
      <c r="KXW57" s="92"/>
      <c r="KXX57" s="92"/>
      <c r="KXY57" s="92"/>
      <c r="KXZ57" s="92"/>
      <c r="KYA57" s="92"/>
      <c r="KYB57" s="92"/>
      <c r="KYC57" s="92"/>
      <c r="KYD57" s="92"/>
      <c r="KYE57" s="92"/>
      <c r="KYF57" s="92"/>
      <c r="KYG57" s="92"/>
      <c r="KYH57" s="92"/>
      <c r="KYI57" s="92"/>
      <c r="KYJ57" s="92"/>
      <c r="KYK57" s="92"/>
      <c r="KYL57" s="92"/>
      <c r="KYM57" s="92"/>
      <c r="KYN57" s="92"/>
      <c r="KYO57" s="92"/>
      <c r="KYP57" s="92"/>
      <c r="KYQ57" s="92"/>
      <c r="KYR57" s="92"/>
      <c r="KYS57" s="92"/>
      <c r="KYT57" s="92"/>
      <c r="KYU57" s="92"/>
      <c r="KYV57" s="92"/>
      <c r="KYW57" s="92"/>
      <c r="KYX57" s="92"/>
      <c r="KYY57" s="92"/>
      <c r="KYZ57" s="92"/>
      <c r="KZA57" s="92"/>
      <c r="KZB57" s="92"/>
      <c r="KZC57" s="92"/>
      <c r="KZD57" s="92"/>
      <c r="KZE57" s="92"/>
      <c r="KZF57" s="92"/>
      <c r="KZG57" s="92"/>
      <c r="KZH57" s="92"/>
      <c r="KZI57" s="92"/>
      <c r="KZJ57" s="92"/>
      <c r="KZK57" s="92"/>
      <c r="KZL57" s="92"/>
      <c r="KZM57" s="92"/>
      <c r="KZN57" s="92"/>
      <c r="KZO57" s="92"/>
      <c r="KZP57" s="92"/>
      <c r="KZQ57" s="92"/>
      <c r="KZR57" s="92"/>
      <c r="KZS57" s="92"/>
      <c r="KZT57" s="92"/>
      <c r="KZU57" s="92"/>
      <c r="KZV57" s="92"/>
      <c r="KZW57" s="92"/>
      <c r="KZX57" s="92"/>
      <c r="KZY57" s="92"/>
      <c r="KZZ57" s="92"/>
      <c r="LAA57" s="92"/>
      <c r="LAB57" s="92"/>
      <c r="LAC57" s="92"/>
      <c r="LAD57" s="92"/>
      <c r="LAE57" s="92"/>
      <c r="LAF57" s="92"/>
      <c r="LAG57" s="92"/>
      <c r="LAH57" s="92"/>
      <c r="LAI57" s="92"/>
      <c r="LAJ57" s="92"/>
      <c r="LAK57" s="92"/>
      <c r="LAL57" s="92"/>
      <c r="LAM57" s="92"/>
      <c r="LAN57" s="92"/>
      <c r="LAO57" s="92"/>
      <c r="LAP57" s="92"/>
      <c r="LAQ57" s="92"/>
      <c r="LAR57" s="92"/>
      <c r="LAS57" s="92"/>
      <c r="LAT57" s="92"/>
      <c r="LAU57" s="92"/>
      <c r="LAV57" s="92"/>
      <c r="LAW57" s="92"/>
      <c r="LAX57" s="92"/>
      <c r="LAY57" s="92"/>
      <c r="LAZ57" s="92"/>
      <c r="LBA57" s="92"/>
      <c r="LBB57" s="92"/>
      <c r="LBC57" s="92"/>
      <c r="LBD57" s="92"/>
      <c r="LBE57" s="92"/>
      <c r="LBF57" s="92"/>
      <c r="LBG57" s="92"/>
      <c r="LBH57" s="92"/>
      <c r="LBI57" s="92"/>
      <c r="LBJ57" s="92"/>
      <c r="LBK57" s="92"/>
      <c r="LBL57" s="92"/>
      <c r="LBM57" s="92"/>
      <c r="LBN57" s="92"/>
      <c r="LBO57" s="92"/>
      <c r="LBP57" s="92"/>
      <c r="LBQ57" s="92"/>
      <c r="LBR57" s="92"/>
      <c r="LBS57" s="92"/>
      <c r="LBT57" s="92"/>
      <c r="LBU57" s="92"/>
      <c r="LBV57" s="92"/>
      <c r="LBW57" s="92"/>
      <c r="LBX57" s="92"/>
      <c r="LBY57" s="92"/>
      <c r="LBZ57" s="92"/>
      <c r="LCA57" s="92"/>
      <c r="LCB57" s="92"/>
      <c r="LCC57" s="92"/>
      <c r="LCD57" s="92"/>
      <c r="LCE57" s="92"/>
      <c r="LCF57" s="92"/>
      <c r="LCG57" s="92"/>
      <c r="LCH57" s="92"/>
      <c r="LCI57" s="92"/>
      <c r="LCJ57" s="92"/>
      <c r="LCK57" s="92"/>
      <c r="LCL57" s="92"/>
      <c r="LCM57" s="92"/>
      <c r="LCN57" s="92"/>
      <c r="LCO57" s="92"/>
      <c r="LCP57" s="92"/>
      <c r="LCQ57" s="92"/>
      <c r="LCR57" s="92"/>
      <c r="LCS57" s="92"/>
      <c r="LCT57" s="92"/>
      <c r="LCU57" s="92"/>
      <c r="LCV57" s="92"/>
      <c r="LCW57" s="92"/>
      <c r="LCX57" s="92"/>
      <c r="LCY57" s="92"/>
      <c r="LCZ57" s="92"/>
      <c r="LDA57" s="92"/>
      <c r="LDB57" s="92"/>
      <c r="LDC57" s="92"/>
      <c r="LDD57" s="92"/>
      <c r="LDE57" s="92"/>
      <c r="LDF57" s="92"/>
      <c r="LDG57" s="92"/>
      <c r="LDH57" s="92"/>
      <c r="LDI57" s="92"/>
      <c r="LDJ57" s="92"/>
      <c r="LDK57" s="92"/>
      <c r="LDL57" s="92"/>
      <c r="LDM57" s="92"/>
      <c r="LDN57" s="92"/>
      <c r="LDO57" s="92"/>
      <c r="LDP57" s="92"/>
      <c r="LDQ57" s="92"/>
      <c r="LDR57" s="92"/>
      <c r="LDS57" s="92"/>
      <c r="LDT57" s="92"/>
      <c r="LDU57" s="92"/>
      <c r="LDV57" s="92"/>
      <c r="LDW57" s="92"/>
      <c r="LDX57" s="92"/>
      <c r="LDY57" s="92"/>
      <c r="LDZ57" s="92"/>
      <c r="LEA57" s="92"/>
      <c r="LEB57" s="92"/>
      <c r="LEC57" s="92"/>
      <c r="LED57" s="92"/>
      <c r="LEE57" s="92"/>
      <c r="LEF57" s="92"/>
      <c r="LEG57" s="92"/>
      <c r="LEH57" s="92"/>
      <c r="LEI57" s="92"/>
      <c r="LEJ57" s="92"/>
      <c r="LEK57" s="92"/>
      <c r="LEL57" s="92"/>
      <c r="LEM57" s="92"/>
      <c r="LEN57" s="92"/>
      <c r="LEO57" s="92"/>
      <c r="LEP57" s="92"/>
      <c r="LEQ57" s="92"/>
      <c r="LER57" s="92"/>
      <c r="LES57" s="92"/>
      <c r="LET57" s="92"/>
      <c r="LEU57" s="92"/>
      <c r="LEV57" s="92"/>
      <c r="LEW57" s="92"/>
      <c r="LEX57" s="92"/>
      <c r="LEY57" s="92"/>
      <c r="LEZ57" s="92"/>
      <c r="LFA57" s="92"/>
      <c r="LFB57" s="92"/>
      <c r="LFC57" s="92"/>
      <c r="LFD57" s="92"/>
      <c r="LFE57" s="92"/>
      <c r="LFF57" s="92"/>
      <c r="LFG57" s="92"/>
      <c r="LFH57" s="92"/>
      <c r="LFI57" s="92"/>
      <c r="LFJ57" s="92"/>
      <c r="LFK57" s="92"/>
      <c r="LFL57" s="92"/>
      <c r="LFM57" s="92"/>
      <c r="LFN57" s="92"/>
      <c r="LFO57" s="92"/>
      <c r="LFP57" s="92"/>
      <c r="LFQ57" s="92"/>
      <c r="LFR57" s="92"/>
      <c r="LFS57" s="92"/>
      <c r="LFT57" s="92"/>
      <c r="LFU57" s="92"/>
      <c r="LFV57" s="92"/>
      <c r="LFW57" s="92"/>
      <c r="LFX57" s="92"/>
      <c r="LFY57" s="92"/>
      <c r="LFZ57" s="92"/>
      <c r="LGA57" s="92"/>
      <c r="LGB57" s="92"/>
      <c r="LGC57" s="92"/>
      <c r="LGD57" s="92"/>
      <c r="LGE57" s="92"/>
      <c r="LGF57" s="92"/>
      <c r="LGG57" s="92"/>
      <c r="LGH57" s="92"/>
      <c r="LGI57" s="92"/>
      <c r="LGJ57" s="92"/>
      <c r="LGK57" s="92"/>
      <c r="LGL57" s="92"/>
      <c r="LGM57" s="92"/>
      <c r="LGN57" s="92"/>
      <c r="LGO57" s="92"/>
      <c r="LGP57" s="92"/>
      <c r="LGQ57" s="92"/>
      <c r="LGR57" s="92"/>
      <c r="LGS57" s="92"/>
      <c r="LGT57" s="92"/>
      <c r="LGU57" s="92"/>
      <c r="LGV57" s="92"/>
      <c r="LGW57" s="92"/>
      <c r="LGX57" s="92"/>
      <c r="LGY57" s="92"/>
      <c r="LGZ57" s="92"/>
      <c r="LHA57" s="92"/>
      <c r="LHB57" s="92"/>
      <c r="LHC57" s="92"/>
      <c r="LHD57" s="92"/>
      <c r="LHE57" s="92"/>
      <c r="LHF57" s="92"/>
      <c r="LHG57" s="92"/>
      <c r="LHH57" s="92"/>
      <c r="LHI57" s="92"/>
      <c r="LHJ57" s="92"/>
      <c r="LHK57" s="92"/>
      <c r="LHL57" s="92"/>
      <c r="LHM57" s="92"/>
      <c r="LHN57" s="92"/>
      <c r="LHO57" s="92"/>
      <c r="LHP57" s="92"/>
      <c r="LHQ57" s="92"/>
      <c r="LHR57" s="92"/>
      <c r="LHS57" s="92"/>
      <c r="LHT57" s="92"/>
      <c r="LHU57" s="92"/>
      <c r="LHV57" s="92"/>
      <c r="LHW57" s="92"/>
      <c r="LHX57" s="92"/>
      <c r="LHY57" s="92"/>
      <c r="LHZ57" s="92"/>
      <c r="LIA57" s="92"/>
      <c r="LIB57" s="92"/>
      <c r="LIC57" s="92"/>
      <c r="LID57" s="92"/>
      <c r="LIE57" s="92"/>
      <c r="LIF57" s="92"/>
      <c r="LIG57" s="92"/>
      <c r="LIH57" s="92"/>
      <c r="LII57" s="92"/>
      <c r="LIJ57" s="92"/>
      <c r="LIK57" s="92"/>
      <c r="LIL57" s="92"/>
      <c r="LIM57" s="92"/>
      <c r="LIN57" s="92"/>
      <c r="LIO57" s="92"/>
      <c r="LIP57" s="92"/>
      <c r="LIQ57" s="92"/>
      <c r="LIR57" s="92"/>
      <c r="LIS57" s="92"/>
      <c r="LIT57" s="92"/>
      <c r="LIU57" s="92"/>
      <c r="LIV57" s="92"/>
      <c r="LIW57" s="92"/>
      <c r="LIX57" s="92"/>
      <c r="LIY57" s="92"/>
      <c r="LIZ57" s="92"/>
      <c r="LJA57" s="92"/>
      <c r="LJB57" s="92"/>
      <c r="LJC57" s="92"/>
      <c r="LJD57" s="92"/>
      <c r="LJE57" s="92"/>
      <c r="LJF57" s="92"/>
      <c r="LJG57" s="92"/>
      <c r="LJH57" s="92"/>
      <c r="LJI57" s="92"/>
      <c r="LJJ57" s="92"/>
      <c r="LJK57" s="92"/>
      <c r="LJL57" s="92"/>
      <c r="LJM57" s="92"/>
      <c r="LJN57" s="92"/>
      <c r="LJO57" s="92"/>
      <c r="LJP57" s="92"/>
      <c r="LJQ57" s="92"/>
      <c r="LJR57" s="92"/>
      <c r="LJS57" s="92"/>
      <c r="LJT57" s="92"/>
      <c r="LJU57" s="92"/>
      <c r="LJV57" s="92"/>
      <c r="LJW57" s="92"/>
      <c r="LJX57" s="92"/>
      <c r="LJY57" s="92"/>
      <c r="LJZ57" s="92"/>
      <c r="LKA57" s="92"/>
      <c r="LKB57" s="92"/>
      <c r="LKC57" s="92"/>
      <c r="LKD57" s="92"/>
      <c r="LKE57" s="92"/>
      <c r="LKF57" s="92"/>
      <c r="LKG57" s="92"/>
      <c r="LKH57" s="92"/>
      <c r="LKI57" s="92"/>
      <c r="LKJ57" s="92"/>
      <c r="LKK57" s="92"/>
      <c r="LKL57" s="92"/>
      <c r="LKM57" s="92"/>
      <c r="LKN57" s="92"/>
      <c r="LKO57" s="92"/>
      <c r="LKP57" s="92"/>
      <c r="LKQ57" s="92"/>
      <c r="LKR57" s="92"/>
      <c r="LKS57" s="92"/>
      <c r="LKT57" s="92"/>
      <c r="LKU57" s="92"/>
      <c r="LKV57" s="92"/>
      <c r="LKW57" s="92"/>
      <c r="LKX57" s="92"/>
      <c r="LKY57" s="92"/>
      <c r="LKZ57" s="92"/>
      <c r="LLA57" s="92"/>
      <c r="LLB57" s="92"/>
      <c r="LLC57" s="92"/>
      <c r="LLD57" s="92"/>
      <c r="LLE57" s="92"/>
      <c r="LLF57" s="92"/>
      <c r="LLG57" s="92"/>
      <c r="LLH57" s="92"/>
      <c r="LLI57" s="92"/>
      <c r="LLJ57" s="92"/>
      <c r="LLK57" s="92"/>
      <c r="LLL57" s="92"/>
      <c r="LLM57" s="92"/>
      <c r="LLN57" s="92"/>
      <c r="LLO57" s="92"/>
      <c r="LLP57" s="92"/>
      <c r="LLQ57" s="92"/>
      <c r="LLR57" s="92"/>
      <c r="LLS57" s="92"/>
      <c r="LLT57" s="92"/>
      <c r="LLU57" s="92"/>
      <c r="LLV57" s="92"/>
      <c r="LLW57" s="92"/>
      <c r="LLX57" s="92"/>
      <c r="LLY57" s="92"/>
      <c r="LLZ57" s="92"/>
      <c r="LMA57" s="92"/>
      <c r="LMB57" s="92"/>
      <c r="LMC57" s="92"/>
      <c r="LMD57" s="92"/>
      <c r="LME57" s="92"/>
      <c r="LMF57" s="92"/>
      <c r="LMG57" s="92"/>
      <c r="LMH57" s="92"/>
      <c r="LMI57" s="92"/>
      <c r="LMJ57" s="92"/>
      <c r="LMK57" s="92"/>
      <c r="LML57" s="92"/>
      <c r="LMM57" s="92"/>
      <c r="LMN57" s="92"/>
      <c r="LMO57" s="92"/>
      <c r="LMP57" s="92"/>
      <c r="LMQ57" s="92"/>
      <c r="LMR57" s="92"/>
      <c r="LMS57" s="92"/>
      <c r="LMT57" s="92"/>
      <c r="LMU57" s="92"/>
      <c r="LMV57" s="92"/>
      <c r="LMW57" s="92"/>
      <c r="LMX57" s="92"/>
      <c r="LMY57" s="92"/>
      <c r="LMZ57" s="92"/>
      <c r="LNA57" s="92"/>
      <c r="LNB57" s="92"/>
      <c r="LNC57" s="92"/>
      <c r="LND57" s="92"/>
      <c r="LNE57" s="92"/>
      <c r="LNF57" s="92"/>
      <c r="LNG57" s="92"/>
      <c r="LNH57" s="92"/>
      <c r="LNI57" s="92"/>
      <c r="LNJ57" s="92"/>
      <c r="LNK57" s="92"/>
      <c r="LNL57" s="92"/>
      <c r="LNM57" s="92"/>
      <c r="LNN57" s="92"/>
      <c r="LNO57" s="92"/>
      <c r="LNP57" s="92"/>
      <c r="LNQ57" s="92"/>
      <c r="LNR57" s="92"/>
      <c r="LNS57" s="92"/>
      <c r="LNT57" s="92"/>
      <c r="LNU57" s="92"/>
      <c r="LNV57" s="92"/>
      <c r="LNW57" s="92"/>
      <c r="LNX57" s="92"/>
      <c r="LNY57" s="92"/>
      <c r="LNZ57" s="92"/>
      <c r="LOA57" s="92"/>
      <c r="LOB57" s="92"/>
      <c r="LOC57" s="92"/>
      <c r="LOD57" s="92"/>
      <c r="LOE57" s="92"/>
      <c r="LOF57" s="92"/>
      <c r="LOG57" s="92"/>
      <c r="LOH57" s="92"/>
      <c r="LOI57" s="92"/>
      <c r="LOJ57" s="92"/>
      <c r="LOK57" s="92"/>
      <c r="LOL57" s="92"/>
      <c r="LOM57" s="92"/>
      <c r="LON57" s="92"/>
      <c r="LOO57" s="92"/>
      <c r="LOP57" s="92"/>
      <c r="LOQ57" s="92"/>
      <c r="LOR57" s="92"/>
      <c r="LOS57" s="92"/>
      <c r="LOT57" s="92"/>
      <c r="LOU57" s="92"/>
      <c r="LOV57" s="92"/>
      <c r="LOW57" s="92"/>
      <c r="LOX57" s="92"/>
      <c r="LOY57" s="92"/>
      <c r="LOZ57" s="92"/>
      <c r="LPA57" s="92"/>
      <c r="LPB57" s="92"/>
      <c r="LPC57" s="92"/>
      <c r="LPD57" s="92"/>
      <c r="LPE57" s="92"/>
      <c r="LPF57" s="92"/>
      <c r="LPG57" s="92"/>
      <c r="LPH57" s="92"/>
      <c r="LPI57" s="92"/>
      <c r="LPJ57" s="92"/>
      <c r="LPK57" s="92"/>
      <c r="LPL57" s="92"/>
      <c r="LPM57" s="92"/>
      <c r="LPN57" s="92"/>
      <c r="LPO57" s="92"/>
      <c r="LPP57" s="92"/>
      <c r="LPQ57" s="92"/>
      <c r="LPR57" s="92"/>
      <c r="LPS57" s="92"/>
      <c r="LPT57" s="92"/>
      <c r="LPU57" s="92"/>
      <c r="LPV57" s="92"/>
      <c r="LPW57" s="92"/>
      <c r="LPX57" s="92"/>
      <c r="LPY57" s="92"/>
      <c r="LPZ57" s="92"/>
      <c r="LQA57" s="92"/>
      <c r="LQB57" s="92"/>
      <c r="LQC57" s="92"/>
      <c r="LQD57" s="92"/>
      <c r="LQE57" s="92"/>
      <c r="LQF57" s="92"/>
      <c r="LQG57" s="92"/>
      <c r="LQH57" s="92"/>
      <c r="LQI57" s="92"/>
      <c r="LQJ57" s="92"/>
      <c r="LQK57" s="92"/>
      <c r="LQL57" s="92"/>
      <c r="LQM57" s="92"/>
      <c r="LQN57" s="92"/>
      <c r="LQO57" s="92"/>
      <c r="LQP57" s="92"/>
      <c r="LQQ57" s="92"/>
      <c r="LQR57" s="92"/>
      <c r="LQS57" s="92"/>
      <c r="LQT57" s="92"/>
      <c r="LQU57" s="92"/>
      <c r="LQV57" s="92"/>
      <c r="LQW57" s="92"/>
      <c r="LQX57" s="92"/>
      <c r="LQY57" s="92"/>
      <c r="LQZ57" s="92"/>
      <c r="LRA57" s="92"/>
      <c r="LRB57" s="92"/>
      <c r="LRC57" s="92"/>
      <c r="LRD57" s="92"/>
      <c r="LRE57" s="92"/>
      <c r="LRF57" s="92"/>
      <c r="LRG57" s="92"/>
      <c r="LRH57" s="92"/>
      <c r="LRI57" s="92"/>
      <c r="LRJ57" s="92"/>
      <c r="LRK57" s="92"/>
      <c r="LRL57" s="92"/>
      <c r="LRM57" s="92"/>
      <c r="LRN57" s="92"/>
      <c r="LRO57" s="92"/>
      <c r="LRP57" s="92"/>
      <c r="LRQ57" s="92"/>
      <c r="LRR57" s="92"/>
      <c r="LRS57" s="92"/>
      <c r="LRT57" s="92"/>
      <c r="LRU57" s="92"/>
      <c r="LRV57" s="92"/>
      <c r="LRW57" s="92"/>
      <c r="LRX57" s="92"/>
      <c r="LRY57" s="92"/>
      <c r="LRZ57" s="92"/>
      <c r="LSA57" s="92"/>
      <c r="LSB57" s="92"/>
      <c r="LSC57" s="92"/>
      <c r="LSD57" s="92"/>
      <c r="LSE57" s="92"/>
      <c r="LSF57" s="92"/>
      <c r="LSG57" s="92"/>
      <c r="LSH57" s="92"/>
      <c r="LSI57" s="92"/>
      <c r="LSJ57" s="92"/>
      <c r="LSK57" s="92"/>
      <c r="LSL57" s="92"/>
      <c r="LSM57" s="92"/>
      <c r="LSN57" s="92"/>
      <c r="LSO57" s="92"/>
      <c r="LSP57" s="92"/>
      <c r="LSQ57" s="92"/>
      <c r="LSR57" s="92"/>
      <c r="LSS57" s="92"/>
      <c r="LST57" s="92"/>
      <c r="LSU57" s="92"/>
      <c r="LSV57" s="92"/>
      <c r="LSW57" s="92"/>
      <c r="LSX57" s="92"/>
      <c r="LSY57" s="92"/>
      <c r="LSZ57" s="92"/>
      <c r="LTA57" s="92"/>
      <c r="LTB57" s="92"/>
      <c r="LTC57" s="92"/>
      <c r="LTD57" s="92"/>
      <c r="LTE57" s="92"/>
      <c r="LTF57" s="92"/>
      <c r="LTG57" s="92"/>
      <c r="LTH57" s="92"/>
      <c r="LTI57" s="92"/>
      <c r="LTJ57" s="92"/>
      <c r="LTK57" s="92"/>
      <c r="LTL57" s="92"/>
      <c r="LTM57" s="92"/>
      <c r="LTN57" s="92"/>
      <c r="LTO57" s="92"/>
      <c r="LTP57" s="92"/>
      <c r="LTQ57" s="92"/>
      <c r="LTR57" s="92"/>
      <c r="LTS57" s="92"/>
      <c r="LTT57" s="92"/>
      <c r="LTU57" s="92"/>
      <c r="LTV57" s="92"/>
      <c r="LTW57" s="92"/>
      <c r="LTX57" s="92"/>
      <c r="LTY57" s="92"/>
      <c r="LTZ57" s="92"/>
      <c r="LUA57" s="92"/>
      <c r="LUB57" s="92"/>
      <c r="LUC57" s="92"/>
      <c r="LUD57" s="92"/>
      <c r="LUE57" s="92"/>
      <c r="LUF57" s="92"/>
      <c r="LUG57" s="92"/>
      <c r="LUH57" s="92"/>
      <c r="LUI57" s="92"/>
      <c r="LUJ57" s="92"/>
      <c r="LUK57" s="92"/>
      <c r="LUL57" s="92"/>
      <c r="LUM57" s="92"/>
      <c r="LUN57" s="92"/>
      <c r="LUO57" s="92"/>
      <c r="LUP57" s="92"/>
      <c r="LUQ57" s="92"/>
      <c r="LUR57" s="92"/>
      <c r="LUS57" s="92"/>
      <c r="LUT57" s="92"/>
      <c r="LUU57" s="92"/>
      <c r="LUV57" s="92"/>
      <c r="LUW57" s="92"/>
      <c r="LUX57" s="92"/>
      <c r="LUY57" s="92"/>
      <c r="LUZ57" s="92"/>
      <c r="LVA57" s="92"/>
      <c r="LVB57" s="92"/>
      <c r="LVC57" s="92"/>
      <c r="LVD57" s="92"/>
      <c r="LVE57" s="92"/>
      <c r="LVF57" s="92"/>
      <c r="LVG57" s="92"/>
      <c r="LVH57" s="92"/>
      <c r="LVI57" s="92"/>
      <c r="LVJ57" s="92"/>
      <c r="LVK57" s="92"/>
      <c r="LVL57" s="92"/>
      <c r="LVM57" s="92"/>
      <c r="LVN57" s="92"/>
      <c r="LVO57" s="92"/>
      <c r="LVP57" s="92"/>
      <c r="LVQ57" s="92"/>
      <c r="LVR57" s="92"/>
      <c r="LVS57" s="92"/>
      <c r="LVT57" s="92"/>
      <c r="LVU57" s="92"/>
      <c r="LVV57" s="92"/>
      <c r="LVW57" s="92"/>
      <c r="LVX57" s="92"/>
      <c r="LVY57" s="92"/>
      <c r="LVZ57" s="92"/>
      <c r="LWA57" s="92"/>
      <c r="LWB57" s="92"/>
      <c r="LWC57" s="92"/>
      <c r="LWD57" s="92"/>
      <c r="LWE57" s="92"/>
      <c r="LWF57" s="92"/>
      <c r="LWG57" s="92"/>
      <c r="LWH57" s="92"/>
      <c r="LWI57" s="92"/>
      <c r="LWJ57" s="92"/>
      <c r="LWK57" s="92"/>
      <c r="LWL57" s="92"/>
      <c r="LWM57" s="92"/>
      <c r="LWN57" s="92"/>
      <c r="LWO57" s="92"/>
      <c r="LWP57" s="92"/>
      <c r="LWQ57" s="92"/>
      <c r="LWR57" s="92"/>
      <c r="LWS57" s="92"/>
      <c r="LWT57" s="92"/>
      <c r="LWU57" s="92"/>
      <c r="LWV57" s="92"/>
      <c r="LWW57" s="92"/>
      <c r="LWX57" s="92"/>
      <c r="LWY57" s="92"/>
      <c r="LWZ57" s="92"/>
      <c r="LXA57" s="92"/>
      <c r="LXB57" s="92"/>
      <c r="LXC57" s="92"/>
      <c r="LXD57" s="92"/>
      <c r="LXE57" s="92"/>
      <c r="LXF57" s="92"/>
      <c r="LXG57" s="92"/>
      <c r="LXH57" s="92"/>
      <c r="LXI57" s="92"/>
      <c r="LXJ57" s="92"/>
      <c r="LXK57" s="92"/>
      <c r="LXL57" s="92"/>
      <c r="LXM57" s="92"/>
      <c r="LXN57" s="92"/>
      <c r="LXO57" s="92"/>
      <c r="LXP57" s="92"/>
      <c r="LXQ57" s="92"/>
      <c r="LXR57" s="92"/>
      <c r="LXS57" s="92"/>
      <c r="LXT57" s="92"/>
      <c r="LXU57" s="92"/>
      <c r="LXV57" s="92"/>
      <c r="LXW57" s="92"/>
      <c r="LXX57" s="92"/>
      <c r="LXY57" s="92"/>
      <c r="LXZ57" s="92"/>
      <c r="LYA57" s="92"/>
      <c r="LYB57" s="92"/>
      <c r="LYC57" s="92"/>
      <c r="LYD57" s="92"/>
      <c r="LYE57" s="92"/>
      <c r="LYF57" s="92"/>
      <c r="LYG57" s="92"/>
      <c r="LYH57" s="92"/>
      <c r="LYI57" s="92"/>
      <c r="LYJ57" s="92"/>
      <c r="LYK57" s="92"/>
      <c r="LYL57" s="92"/>
      <c r="LYM57" s="92"/>
      <c r="LYN57" s="92"/>
      <c r="LYO57" s="92"/>
      <c r="LYP57" s="92"/>
      <c r="LYQ57" s="92"/>
      <c r="LYR57" s="92"/>
      <c r="LYS57" s="92"/>
      <c r="LYT57" s="92"/>
      <c r="LYU57" s="92"/>
      <c r="LYV57" s="92"/>
      <c r="LYW57" s="92"/>
      <c r="LYX57" s="92"/>
      <c r="LYY57" s="92"/>
      <c r="LYZ57" s="92"/>
      <c r="LZA57" s="92"/>
      <c r="LZB57" s="92"/>
      <c r="LZC57" s="92"/>
      <c r="LZD57" s="92"/>
      <c r="LZE57" s="92"/>
      <c r="LZF57" s="92"/>
      <c r="LZG57" s="92"/>
      <c r="LZH57" s="92"/>
      <c r="LZI57" s="92"/>
      <c r="LZJ57" s="92"/>
      <c r="LZK57" s="92"/>
      <c r="LZL57" s="92"/>
      <c r="LZM57" s="92"/>
      <c r="LZN57" s="92"/>
      <c r="LZO57" s="92"/>
      <c r="LZP57" s="92"/>
      <c r="LZQ57" s="92"/>
      <c r="LZR57" s="92"/>
      <c r="LZS57" s="92"/>
      <c r="LZT57" s="92"/>
      <c r="LZU57" s="92"/>
      <c r="LZV57" s="92"/>
      <c r="LZW57" s="92"/>
      <c r="LZX57" s="92"/>
      <c r="LZY57" s="92"/>
      <c r="LZZ57" s="92"/>
      <c r="MAA57" s="92"/>
      <c r="MAB57" s="92"/>
      <c r="MAC57" s="92"/>
      <c r="MAD57" s="92"/>
      <c r="MAE57" s="92"/>
      <c r="MAF57" s="92"/>
      <c r="MAG57" s="92"/>
      <c r="MAH57" s="92"/>
      <c r="MAI57" s="92"/>
      <c r="MAJ57" s="92"/>
      <c r="MAK57" s="92"/>
      <c r="MAL57" s="92"/>
      <c r="MAM57" s="92"/>
      <c r="MAN57" s="92"/>
      <c r="MAO57" s="92"/>
      <c r="MAP57" s="92"/>
      <c r="MAQ57" s="92"/>
      <c r="MAR57" s="92"/>
      <c r="MAS57" s="92"/>
      <c r="MAT57" s="92"/>
      <c r="MAU57" s="92"/>
      <c r="MAV57" s="92"/>
      <c r="MAW57" s="92"/>
      <c r="MAX57" s="92"/>
      <c r="MAY57" s="92"/>
      <c r="MAZ57" s="92"/>
      <c r="MBA57" s="92"/>
      <c r="MBB57" s="92"/>
      <c r="MBC57" s="92"/>
      <c r="MBD57" s="92"/>
      <c r="MBE57" s="92"/>
      <c r="MBF57" s="92"/>
      <c r="MBG57" s="92"/>
      <c r="MBH57" s="92"/>
      <c r="MBI57" s="92"/>
      <c r="MBJ57" s="92"/>
      <c r="MBK57" s="92"/>
      <c r="MBL57" s="92"/>
      <c r="MBM57" s="92"/>
      <c r="MBN57" s="92"/>
      <c r="MBO57" s="92"/>
      <c r="MBP57" s="92"/>
      <c r="MBQ57" s="92"/>
      <c r="MBR57" s="92"/>
      <c r="MBS57" s="92"/>
      <c r="MBT57" s="92"/>
      <c r="MBU57" s="92"/>
      <c r="MBV57" s="92"/>
      <c r="MBW57" s="92"/>
      <c r="MBX57" s="92"/>
      <c r="MBY57" s="92"/>
      <c r="MBZ57" s="92"/>
      <c r="MCA57" s="92"/>
      <c r="MCB57" s="92"/>
      <c r="MCC57" s="92"/>
      <c r="MCD57" s="92"/>
      <c r="MCE57" s="92"/>
      <c r="MCF57" s="92"/>
      <c r="MCG57" s="92"/>
      <c r="MCH57" s="92"/>
      <c r="MCI57" s="92"/>
      <c r="MCJ57" s="92"/>
      <c r="MCK57" s="92"/>
      <c r="MCL57" s="92"/>
      <c r="MCM57" s="92"/>
      <c r="MCN57" s="92"/>
      <c r="MCO57" s="92"/>
      <c r="MCP57" s="92"/>
      <c r="MCQ57" s="92"/>
      <c r="MCR57" s="92"/>
      <c r="MCS57" s="92"/>
      <c r="MCT57" s="92"/>
      <c r="MCU57" s="92"/>
      <c r="MCV57" s="92"/>
      <c r="MCW57" s="92"/>
      <c r="MCX57" s="92"/>
      <c r="MCY57" s="92"/>
      <c r="MCZ57" s="92"/>
      <c r="MDA57" s="92"/>
      <c r="MDB57" s="92"/>
      <c r="MDC57" s="92"/>
      <c r="MDD57" s="92"/>
      <c r="MDE57" s="92"/>
      <c r="MDF57" s="92"/>
      <c r="MDG57" s="92"/>
      <c r="MDH57" s="92"/>
      <c r="MDI57" s="92"/>
      <c r="MDJ57" s="92"/>
      <c r="MDK57" s="92"/>
      <c r="MDL57" s="92"/>
      <c r="MDM57" s="92"/>
      <c r="MDN57" s="92"/>
      <c r="MDO57" s="92"/>
      <c r="MDP57" s="92"/>
      <c r="MDQ57" s="92"/>
      <c r="MDR57" s="92"/>
      <c r="MDS57" s="92"/>
      <c r="MDT57" s="92"/>
      <c r="MDU57" s="92"/>
      <c r="MDV57" s="92"/>
      <c r="MDW57" s="92"/>
      <c r="MDX57" s="92"/>
      <c r="MDY57" s="92"/>
      <c r="MDZ57" s="92"/>
      <c r="MEA57" s="92"/>
      <c r="MEB57" s="92"/>
      <c r="MEC57" s="92"/>
      <c r="MED57" s="92"/>
      <c r="MEE57" s="92"/>
      <c r="MEF57" s="92"/>
      <c r="MEG57" s="92"/>
      <c r="MEH57" s="92"/>
      <c r="MEI57" s="92"/>
      <c r="MEJ57" s="92"/>
      <c r="MEK57" s="92"/>
      <c r="MEL57" s="92"/>
      <c r="MEM57" s="92"/>
      <c r="MEN57" s="92"/>
      <c r="MEO57" s="92"/>
      <c r="MEP57" s="92"/>
      <c r="MEQ57" s="92"/>
      <c r="MER57" s="92"/>
      <c r="MES57" s="92"/>
      <c r="MET57" s="92"/>
      <c r="MEU57" s="92"/>
      <c r="MEV57" s="92"/>
      <c r="MEW57" s="92"/>
      <c r="MEX57" s="92"/>
      <c r="MEY57" s="92"/>
      <c r="MEZ57" s="92"/>
      <c r="MFA57" s="92"/>
      <c r="MFB57" s="92"/>
      <c r="MFC57" s="92"/>
      <c r="MFD57" s="92"/>
      <c r="MFE57" s="92"/>
      <c r="MFF57" s="92"/>
      <c r="MFG57" s="92"/>
      <c r="MFH57" s="92"/>
      <c r="MFI57" s="92"/>
      <c r="MFJ57" s="92"/>
      <c r="MFK57" s="92"/>
      <c r="MFL57" s="92"/>
      <c r="MFM57" s="92"/>
      <c r="MFN57" s="92"/>
      <c r="MFO57" s="92"/>
      <c r="MFP57" s="92"/>
      <c r="MFQ57" s="92"/>
      <c r="MFR57" s="92"/>
      <c r="MFS57" s="92"/>
      <c r="MFT57" s="92"/>
      <c r="MFU57" s="92"/>
      <c r="MFV57" s="92"/>
      <c r="MFW57" s="92"/>
      <c r="MFX57" s="92"/>
      <c r="MFY57" s="92"/>
      <c r="MFZ57" s="92"/>
      <c r="MGA57" s="92"/>
      <c r="MGB57" s="92"/>
      <c r="MGC57" s="92"/>
      <c r="MGD57" s="92"/>
      <c r="MGE57" s="92"/>
      <c r="MGF57" s="92"/>
      <c r="MGG57" s="92"/>
      <c r="MGH57" s="92"/>
      <c r="MGI57" s="92"/>
      <c r="MGJ57" s="92"/>
      <c r="MGK57" s="92"/>
      <c r="MGL57" s="92"/>
      <c r="MGM57" s="92"/>
      <c r="MGN57" s="92"/>
      <c r="MGO57" s="92"/>
      <c r="MGP57" s="92"/>
      <c r="MGQ57" s="92"/>
      <c r="MGR57" s="92"/>
      <c r="MGS57" s="92"/>
      <c r="MGT57" s="92"/>
      <c r="MGU57" s="92"/>
      <c r="MGV57" s="92"/>
      <c r="MGW57" s="92"/>
      <c r="MGX57" s="92"/>
      <c r="MGY57" s="92"/>
      <c r="MGZ57" s="92"/>
      <c r="MHA57" s="92"/>
      <c r="MHB57" s="92"/>
      <c r="MHC57" s="92"/>
      <c r="MHD57" s="92"/>
      <c r="MHE57" s="92"/>
      <c r="MHF57" s="92"/>
      <c r="MHG57" s="92"/>
      <c r="MHH57" s="92"/>
      <c r="MHI57" s="92"/>
      <c r="MHJ57" s="92"/>
      <c r="MHK57" s="92"/>
      <c r="MHL57" s="92"/>
      <c r="MHM57" s="92"/>
      <c r="MHN57" s="92"/>
      <c r="MHO57" s="92"/>
      <c r="MHP57" s="92"/>
      <c r="MHQ57" s="92"/>
      <c r="MHR57" s="92"/>
      <c r="MHS57" s="92"/>
      <c r="MHT57" s="92"/>
      <c r="MHU57" s="92"/>
      <c r="MHV57" s="92"/>
      <c r="MHW57" s="92"/>
      <c r="MHX57" s="92"/>
      <c r="MHY57" s="92"/>
      <c r="MHZ57" s="92"/>
      <c r="MIA57" s="92"/>
      <c r="MIB57" s="92"/>
      <c r="MIC57" s="92"/>
      <c r="MID57" s="92"/>
      <c r="MIE57" s="92"/>
      <c r="MIF57" s="92"/>
      <c r="MIG57" s="92"/>
      <c r="MIH57" s="92"/>
      <c r="MII57" s="92"/>
      <c r="MIJ57" s="92"/>
      <c r="MIK57" s="92"/>
      <c r="MIL57" s="92"/>
      <c r="MIM57" s="92"/>
      <c r="MIN57" s="92"/>
      <c r="MIO57" s="92"/>
      <c r="MIP57" s="92"/>
      <c r="MIQ57" s="92"/>
      <c r="MIR57" s="92"/>
      <c r="MIS57" s="92"/>
      <c r="MIT57" s="92"/>
      <c r="MIU57" s="92"/>
      <c r="MIV57" s="92"/>
      <c r="MIW57" s="92"/>
      <c r="MIX57" s="92"/>
      <c r="MIY57" s="92"/>
      <c r="MIZ57" s="92"/>
      <c r="MJA57" s="92"/>
      <c r="MJB57" s="92"/>
      <c r="MJC57" s="92"/>
      <c r="MJD57" s="92"/>
      <c r="MJE57" s="92"/>
      <c r="MJF57" s="92"/>
      <c r="MJG57" s="92"/>
      <c r="MJH57" s="92"/>
      <c r="MJI57" s="92"/>
      <c r="MJJ57" s="92"/>
      <c r="MJK57" s="92"/>
      <c r="MJL57" s="92"/>
      <c r="MJM57" s="92"/>
      <c r="MJN57" s="92"/>
      <c r="MJO57" s="92"/>
      <c r="MJP57" s="92"/>
      <c r="MJQ57" s="92"/>
      <c r="MJR57" s="92"/>
      <c r="MJS57" s="92"/>
      <c r="MJT57" s="92"/>
      <c r="MJU57" s="92"/>
      <c r="MJV57" s="92"/>
      <c r="MJW57" s="92"/>
      <c r="MJX57" s="92"/>
      <c r="MJY57" s="92"/>
      <c r="MJZ57" s="92"/>
      <c r="MKA57" s="92"/>
      <c r="MKB57" s="92"/>
      <c r="MKC57" s="92"/>
      <c r="MKD57" s="92"/>
      <c r="MKE57" s="92"/>
      <c r="MKF57" s="92"/>
      <c r="MKG57" s="92"/>
      <c r="MKH57" s="92"/>
      <c r="MKI57" s="92"/>
      <c r="MKJ57" s="92"/>
      <c r="MKK57" s="92"/>
      <c r="MKL57" s="92"/>
      <c r="MKM57" s="92"/>
      <c r="MKN57" s="92"/>
      <c r="MKO57" s="92"/>
      <c r="MKP57" s="92"/>
      <c r="MKQ57" s="92"/>
      <c r="MKR57" s="92"/>
      <c r="MKS57" s="92"/>
      <c r="MKT57" s="92"/>
      <c r="MKU57" s="92"/>
      <c r="MKV57" s="92"/>
      <c r="MKW57" s="92"/>
      <c r="MKX57" s="92"/>
      <c r="MKY57" s="92"/>
      <c r="MKZ57" s="92"/>
      <c r="MLA57" s="92"/>
      <c r="MLB57" s="92"/>
      <c r="MLC57" s="92"/>
      <c r="MLD57" s="92"/>
      <c r="MLE57" s="92"/>
      <c r="MLF57" s="92"/>
      <c r="MLG57" s="92"/>
      <c r="MLH57" s="92"/>
      <c r="MLI57" s="92"/>
      <c r="MLJ57" s="92"/>
      <c r="MLK57" s="92"/>
      <c r="MLL57" s="92"/>
      <c r="MLM57" s="92"/>
      <c r="MLN57" s="92"/>
      <c r="MLO57" s="92"/>
      <c r="MLP57" s="92"/>
      <c r="MLQ57" s="92"/>
      <c r="MLR57" s="92"/>
      <c r="MLS57" s="92"/>
      <c r="MLT57" s="92"/>
      <c r="MLU57" s="92"/>
      <c r="MLV57" s="92"/>
      <c r="MLW57" s="92"/>
      <c r="MLX57" s="92"/>
      <c r="MLY57" s="92"/>
      <c r="MLZ57" s="92"/>
      <c r="MMA57" s="92"/>
      <c r="MMB57" s="92"/>
      <c r="MMC57" s="92"/>
      <c r="MMD57" s="92"/>
      <c r="MME57" s="92"/>
      <c r="MMF57" s="92"/>
      <c r="MMG57" s="92"/>
      <c r="MMH57" s="92"/>
      <c r="MMI57" s="92"/>
      <c r="MMJ57" s="92"/>
      <c r="MMK57" s="92"/>
      <c r="MML57" s="92"/>
      <c r="MMM57" s="92"/>
      <c r="MMN57" s="92"/>
      <c r="MMO57" s="92"/>
      <c r="MMP57" s="92"/>
      <c r="MMQ57" s="92"/>
      <c r="MMR57" s="92"/>
      <c r="MMS57" s="92"/>
      <c r="MMT57" s="92"/>
      <c r="MMU57" s="92"/>
      <c r="MMV57" s="92"/>
      <c r="MMW57" s="92"/>
      <c r="MMX57" s="92"/>
      <c r="MMY57" s="92"/>
      <c r="MMZ57" s="92"/>
      <c r="MNA57" s="92"/>
      <c r="MNB57" s="92"/>
      <c r="MNC57" s="92"/>
      <c r="MND57" s="92"/>
      <c r="MNE57" s="92"/>
      <c r="MNF57" s="92"/>
      <c r="MNG57" s="92"/>
      <c r="MNH57" s="92"/>
      <c r="MNI57" s="92"/>
      <c r="MNJ57" s="92"/>
      <c r="MNK57" s="92"/>
      <c r="MNL57" s="92"/>
      <c r="MNM57" s="92"/>
      <c r="MNN57" s="92"/>
      <c r="MNO57" s="92"/>
      <c r="MNP57" s="92"/>
      <c r="MNQ57" s="92"/>
      <c r="MNR57" s="92"/>
      <c r="MNS57" s="92"/>
      <c r="MNT57" s="92"/>
      <c r="MNU57" s="92"/>
      <c r="MNV57" s="92"/>
      <c r="MNW57" s="92"/>
      <c r="MNX57" s="92"/>
      <c r="MNY57" s="92"/>
      <c r="MNZ57" s="92"/>
      <c r="MOA57" s="92"/>
      <c r="MOB57" s="92"/>
      <c r="MOC57" s="92"/>
      <c r="MOD57" s="92"/>
      <c r="MOE57" s="92"/>
      <c r="MOF57" s="92"/>
      <c r="MOG57" s="92"/>
      <c r="MOH57" s="92"/>
      <c r="MOI57" s="92"/>
      <c r="MOJ57" s="92"/>
      <c r="MOK57" s="92"/>
      <c r="MOL57" s="92"/>
      <c r="MOM57" s="92"/>
      <c r="MON57" s="92"/>
      <c r="MOO57" s="92"/>
      <c r="MOP57" s="92"/>
      <c r="MOQ57" s="92"/>
      <c r="MOR57" s="92"/>
      <c r="MOS57" s="92"/>
      <c r="MOT57" s="92"/>
      <c r="MOU57" s="92"/>
      <c r="MOV57" s="92"/>
      <c r="MOW57" s="92"/>
      <c r="MOX57" s="92"/>
      <c r="MOY57" s="92"/>
      <c r="MOZ57" s="92"/>
      <c r="MPA57" s="92"/>
      <c r="MPB57" s="92"/>
      <c r="MPC57" s="92"/>
      <c r="MPD57" s="92"/>
      <c r="MPE57" s="92"/>
      <c r="MPF57" s="92"/>
      <c r="MPG57" s="92"/>
      <c r="MPH57" s="92"/>
      <c r="MPI57" s="92"/>
      <c r="MPJ57" s="92"/>
      <c r="MPK57" s="92"/>
      <c r="MPL57" s="92"/>
      <c r="MPM57" s="92"/>
      <c r="MPN57" s="92"/>
      <c r="MPO57" s="92"/>
      <c r="MPP57" s="92"/>
      <c r="MPQ57" s="92"/>
      <c r="MPR57" s="92"/>
      <c r="MPS57" s="92"/>
      <c r="MPT57" s="92"/>
      <c r="MPU57" s="92"/>
      <c r="MPV57" s="92"/>
      <c r="MPW57" s="92"/>
      <c r="MPX57" s="92"/>
      <c r="MPY57" s="92"/>
      <c r="MPZ57" s="92"/>
      <c r="MQA57" s="92"/>
      <c r="MQB57" s="92"/>
      <c r="MQC57" s="92"/>
      <c r="MQD57" s="92"/>
      <c r="MQE57" s="92"/>
      <c r="MQF57" s="92"/>
      <c r="MQG57" s="92"/>
      <c r="MQH57" s="92"/>
      <c r="MQI57" s="92"/>
      <c r="MQJ57" s="92"/>
      <c r="MQK57" s="92"/>
      <c r="MQL57" s="92"/>
      <c r="MQM57" s="92"/>
      <c r="MQN57" s="92"/>
      <c r="MQO57" s="92"/>
      <c r="MQP57" s="92"/>
      <c r="MQQ57" s="92"/>
      <c r="MQR57" s="92"/>
      <c r="MQS57" s="92"/>
      <c r="MQT57" s="92"/>
      <c r="MQU57" s="92"/>
      <c r="MQV57" s="92"/>
      <c r="MQW57" s="92"/>
      <c r="MQX57" s="92"/>
      <c r="MQY57" s="92"/>
      <c r="MQZ57" s="92"/>
      <c r="MRA57" s="92"/>
      <c r="MRB57" s="92"/>
      <c r="MRC57" s="92"/>
      <c r="MRD57" s="92"/>
      <c r="MRE57" s="92"/>
      <c r="MRF57" s="92"/>
      <c r="MRG57" s="92"/>
      <c r="MRH57" s="92"/>
      <c r="MRI57" s="92"/>
      <c r="MRJ57" s="92"/>
      <c r="MRK57" s="92"/>
      <c r="MRL57" s="92"/>
      <c r="MRM57" s="92"/>
      <c r="MRN57" s="92"/>
      <c r="MRO57" s="92"/>
      <c r="MRP57" s="92"/>
      <c r="MRQ57" s="92"/>
      <c r="MRR57" s="92"/>
      <c r="MRS57" s="92"/>
      <c r="MRT57" s="92"/>
      <c r="MRU57" s="92"/>
      <c r="MRV57" s="92"/>
      <c r="MRW57" s="92"/>
      <c r="MRX57" s="92"/>
      <c r="MRY57" s="92"/>
      <c r="MRZ57" s="92"/>
      <c r="MSA57" s="92"/>
      <c r="MSB57" s="92"/>
      <c r="MSC57" s="92"/>
      <c r="MSD57" s="92"/>
      <c r="MSE57" s="92"/>
      <c r="MSF57" s="92"/>
      <c r="MSG57" s="92"/>
      <c r="MSH57" s="92"/>
      <c r="MSI57" s="92"/>
      <c r="MSJ57" s="92"/>
      <c r="MSK57" s="92"/>
      <c r="MSL57" s="92"/>
      <c r="MSM57" s="92"/>
      <c r="MSN57" s="92"/>
      <c r="MSO57" s="92"/>
      <c r="MSP57" s="92"/>
      <c r="MSQ57" s="92"/>
      <c r="MSR57" s="92"/>
      <c r="MSS57" s="92"/>
      <c r="MST57" s="92"/>
      <c r="MSU57" s="92"/>
      <c r="MSV57" s="92"/>
      <c r="MSW57" s="92"/>
      <c r="MSX57" s="92"/>
      <c r="MSY57" s="92"/>
      <c r="MSZ57" s="92"/>
      <c r="MTA57" s="92"/>
      <c r="MTB57" s="92"/>
      <c r="MTC57" s="92"/>
      <c r="MTD57" s="92"/>
      <c r="MTE57" s="92"/>
      <c r="MTF57" s="92"/>
      <c r="MTG57" s="92"/>
      <c r="MTH57" s="92"/>
      <c r="MTI57" s="92"/>
      <c r="MTJ57" s="92"/>
      <c r="MTK57" s="92"/>
      <c r="MTL57" s="92"/>
      <c r="MTM57" s="92"/>
      <c r="MTN57" s="92"/>
      <c r="MTO57" s="92"/>
      <c r="MTP57" s="92"/>
      <c r="MTQ57" s="92"/>
      <c r="MTR57" s="92"/>
      <c r="MTS57" s="92"/>
      <c r="MTT57" s="92"/>
      <c r="MTU57" s="92"/>
      <c r="MTV57" s="92"/>
      <c r="MTW57" s="92"/>
      <c r="MTX57" s="92"/>
      <c r="MTY57" s="92"/>
      <c r="MTZ57" s="92"/>
      <c r="MUA57" s="92"/>
      <c r="MUB57" s="92"/>
      <c r="MUC57" s="92"/>
      <c r="MUD57" s="92"/>
      <c r="MUE57" s="92"/>
      <c r="MUF57" s="92"/>
      <c r="MUG57" s="92"/>
      <c r="MUH57" s="92"/>
      <c r="MUI57" s="92"/>
      <c r="MUJ57" s="92"/>
      <c r="MUK57" s="92"/>
      <c r="MUL57" s="92"/>
      <c r="MUM57" s="92"/>
      <c r="MUN57" s="92"/>
      <c r="MUO57" s="92"/>
      <c r="MUP57" s="92"/>
      <c r="MUQ57" s="92"/>
      <c r="MUR57" s="92"/>
      <c r="MUS57" s="92"/>
      <c r="MUT57" s="92"/>
      <c r="MUU57" s="92"/>
      <c r="MUV57" s="92"/>
      <c r="MUW57" s="92"/>
      <c r="MUX57" s="92"/>
      <c r="MUY57" s="92"/>
      <c r="MUZ57" s="92"/>
      <c r="MVA57" s="92"/>
      <c r="MVB57" s="92"/>
      <c r="MVC57" s="92"/>
      <c r="MVD57" s="92"/>
      <c r="MVE57" s="92"/>
      <c r="MVF57" s="92"/>
      <c r="MVG57" s="92"/>
      <c r="MVH57" s="92"/>
      <c r="MVI57" s="92"/>
      <c r="MVJ57" s="92"/>
      <c r="MVK57" s="92"/>
      <c r="MVL57" s="92"/>
      <c r="MVM57" s="92"/>
      <c r="MVN57" s="92"/>
      <c r="MVO57" s="92"/>
      <c r="MVP57" s="92"/>
      <c r="MVQ57" s="92"/>
      <c r="MVR57" s="92"/>
      <c r="MVS57" s="92"/>
      <c r="MVT57" s="92"/>
      <c r="MVU57" s="92"/>
      <c r="MVV57" s="92"/>
      <c r="MVW57" s="92"/>
      <c r="MVX57" s="92"/>
      <c r="MVY57" s="92"/>
      <c r="MVZ57" s="92"/>
      <c r="MWA57" s="92"/>
      <c r="MWB57" s="92"/>
      <c r="MWC57" s="92"/>
      <c r="MWD57" s="92"/>
      <c r="MWE57" s="92"/>
      <c r="MWF57" s="92"/>
      <c r="MWG57" s="92"/>
      <c r="MWH57" s="92"/>
      <c r="MWI57" s="92"/>
      <c r="MWJ57" s="92"/>
      <c r="MWK57" s="92"/>
      <c r="MWL57" s="92"/>
      <c r="MWM57" s="92"/>
      <c r="MWN57" s="92"/>
      <c r="MWO57" s="92"/>
      <c r="MWP57" s="92"/>
      <c r="MWQ57" s="92"/>
      <c r="MWR57" s="92"/>
      <c r="MWS57" s="92"/>
      <c r="MWT57" s="92"/>
      <c r="MWU57" s="92"/>
      <c r="MWV57" s="92"/>
      <c r="MWW57" s="92"/>
      <c r="MWX57" s="92"/>
      <c r="MWY57" s="92"/>
      <c r="MWZ57" s="92"/>
      <c r="MXA57" s="92"/>
      <c r="MXB57" s="92"/>
      <c r="MXC57" s="92"/>
      <c r="MXD57" s="92"/>
      <c r="MXE57" s="92"/>
      <c r="MXF57" s="92"/>
      <c r="MXG57" s="92"/>
      <c r="MXH57" s="92"/>
      <c r="MXI57" s="92"/>
      <c r="MXJ57" s="92"/>
      <c r="MXK57" s="92"/>
      <c r="MXL57" s="92"/>
      <c r="MXM57" s="92"/>
      <c r="MXN57" s="92"/>
      <c r="MXO57" s="92"/>
      <c r="MXP57" s="92"/>
      <c r="MXQ57" s="92"/>
      <c r="MXR57" s="92"/>
      <c r="MXS57" s="92"/>
      <c r="MXT57" s="92"/>
      <c r="MXU57" s="92"/>
      <c r="MXV57" s="92"/>
      <c r="MXW57" s="92"/>
      <c r="MXX57" s="92"/>
      <c r="MXY57" s="92"/>
      <c r="MXZ57" s="92"/>
      <c r="MYA57" s="92"/>
      <c r="MYB57" s="92"/>
      <c r="MYC57" s="92"/>
      <c r="MYD57" s="92"/>
      <c r="MYE57" s="92"/>
      <c r="MYF57" s="92"/>
      <c r="MYG57" s="92"/>
      <c r="MYH57" s="92"/>
      <c r="MYI57" s="92"/>
      <c r="MYJ57" s="92"/>
      <c r="MYK57" s="92"/>
      <c r="MYL57" s="92"/>
      <c r="MYM57" s="92"/>
      <c r="MYN57" s="92"/>
      <c r="MYO57" s="92"/>
      <c r="MYP57" s="92"/>
      <c r="MYQ57" s="92"/>
      <c r="MYR57" s="92"/>
      <c r="MYS57" s="92"/>
      <c r="MYT57" s="92"/>
      <c r="MYU57" s="92"/>
      <c r="MYV57" s="92"/>
      <c r="MYW57" s="92"/>
      <c r="MYX57" s="92"/>
      <c r="MYY57" s="92"/>
      <c r="MYZ57" s="92"/>
      <c r="MZA57" s="92"/>
      <c r="MZB57" s="92"/>
      <c r="MZC57" s="92"/>
      <c r="MZD57" s="92"/>
      <c r="MZE57" s="92"/>
      <c r="MZF57" s="92"/>
      <c r="MZG57" s="92"/>
      <c r="MZH57" s="92"/>
      <c r="MZI57" s="92"/>
      <c r="MZJ57" s="92"/>
      <c r="MZK57" s="92"/>
      <c r="MZL57" s="92"/>
      <c r="MZM57" s="92"/>
      <c r="MZN57" s="92"/>
      <c r="MZO57" s="92"/>
      <c r="MZP57" s="92"/>
      <c r="MZQ57" s="92"/>
      <c r="MZR57" s="92"/>
      <c r="MZS57" s="92"/>
      <c r="MZT57" s="92"/>
      <c r="MZU57" s="92"/>
      <c r="MZV57" s="92"/>
      <c r="MZW57" s="92"/>
      <c r="MZX57" s="92"/>
      <c r="MZY57" s="92"/>
      <c r="MZZ57" s="92"/>
      <c r="NAA57" s="92"/>
      <c r="NAB57" s="92"/>
      <c r="NAC57" s="92"/>
      <c r="NAD57" s="92"/>
      <c r="NAE57" s="92"/>
      <c r="NAF57" s="92"/>
      <c r="NAG57" s="92"/>
      <c r="NAH57" s="92"/>
      <c r="NAI57" s="92"/>
      <c r="NAJ57" s="92"/>
      <c r="NAK57" s="92"/>
      <c r="NAL57" s="92"/>
      <c r="NAM57" s="92"/>
      <c r="NAN57" s="92"/>
      <c r="NAO57" s="92"/>
      <c r="NAP57" s="92"/>
      <c r="NAQ57" s="92"/>
      <c r="NAR57" s="92"/>
      <c r="NAS57" s="92"/>
      <c r="NAT57" s="92"/>
      <c r="NAU57" s="92"/>
      <c r="NAV57" s="92"/>
      <c r="NAW57" s="92"/>
      <c r="NAX57" s="92"/>
      <c r="NAY57" s="92"/>
      <c r="NAZ57" s="92"/>
      <c r="NBA57" s="92"/>
      <c r="NBB57" s="92"/>
      <c r="NBC57" s="92"/>
      <c r="NBD57" s="92"/>
      <c r="NBE57" s="92"/>
      <c r="NBF57" s="92"/>
      <c r="NBG57" s="92"/>
      <c r="NBH57" s="92"/>
      <c r="NBI57" s="92"/>
      <c r="NBJ57" s="92"/>
      <c r="NBK57" s="92"/>
      <c r="NBL57" s="92"/>
      <c r="NBM57" s="92"/>
      <c r="NBN57" s="92"/>
      <c r="NBO57" s="92"/>
      <c r="NBP57" s="92"/>
      <c r="NBQ57" s="92"/>
      <c r="NBR57" s="92"/>
      <c r="NBS57" s="92"/>
      <c r="NBT57" s="92"/>
      <c r="NBU57" s="92"/>
      <c r="NBV57" s="92"/>
      <c r="NBW57" s="92"/>
      <c r="NBX57" s="92"/>
      <c r="NBY57" s="92"/>
      <c r="NBZ57" s="92"/>
      <c r="NCA57" s="92"/>
      <c r="NCB57" s="92"/>
      <c r="NCC57" s="92"/>
      <c r="NCD57" s="92"/>
      <c r="NCE57" s="92"/>
      <c r="NCF57" s="92"/>
      <c r="NCG57" s="92"/>
      <c r="NCH57" s="92"/>
      <c r="NCI57" s="92"/>
      <c r="NCJ57" s="92"/>
      <c r="NCK57" s="92"/>
      <c r="NCL57" s="92"/>
      <c r="NCM57" s="92"/>
      <c r="NCN57" s="92"/>
      <c r="NCO57" s="92"/>
      <c r="NCP57" s="92"/>
      <c r="NCQ57" s="92"/>
      <c r="NCR57" s="92"/>
      <c r="NCS57" s="92"/>
      <c r="NCT57" s="92"/>
      <c r="NCU57" s="92"/>
      <c r="NCV57" s="92"/>
      <c r="NCW57" s="92"/>
      <c r="NCX57" s="92"/>
      <c r="NCY57" s="92"/>
      <c r="NCZ57" s="92"/>
      <c r="NDA57" s="92"/>
      <c r="NDB57" s="92"/>
      <c r="NDC57" s="92"/>
      <c r="NDD57" s="92"/>
      <c r="NDE57" s="92"/>
      <c r="NDF57" s="92"/>
      <c r="NDG57" s="92"/>
      <c r="NDH57" s="92"/>
      <c r="NDI57" s="92"/>
      <c r="NDJ57" s="92"/>
      <c r="NDK57" s="92"/>
      <c r="NDL57" s="92"/>
      <c r="NDM57" s="92"/>
      <c r="NDN57" s="92"/>
      <c r="NDO57" s="92"/>
      <c r="NDP57" s="92"/>
      <c r="NDQ57" s="92"/>
      <c r="NDR57" s="92"/>
      <c r="NDS57" s="92"/>
      <c r="NDT57" s="92"/>
      <c r="NDU57" s="92"/>
      <c r="NDV57" s="92"/>
      <c r="NDW57" s="92"/>
      <c r="NDX57" s="92"/>
      <c r="NDY57" s="92"/>
      <c r="NDZ57" s="92"/>
      <c r="NEA57" s="92"/>
      <c r="NEB57" s="92"/>
      <c r="NEC57" s="92"/>
      <c r="NED57" s="92"/>
      <c r="NEE57" s="92"/>
      <c r="NEF57" s="92"/>
      <c r="NEG57" s="92"/>
      <c r="NEH57" s="92"/>
      <c r="NEI57" s="92"/>
      <c r="NEJ57" s="92"/>
      <c r="NEK57" s="92"/>
      <c r="NEL57" s="92"/>
      <c r="NEM57" s="92"/>
      <c r="NEN57" s="92"/>
      <c r="NEO57" s="92"/>
      <c r="NEP57" s="92"/>
      <c r="NEQ57" s="92"/>
      <c r="NER57" s="92"/>
      <c r="NES57" s="92"/>
      <c r="NET57" s="92"/>
      <c r="NEU57" s="92"/>
      <c r="NEV57" s="92"/>
      <c r="NEW57" s="92"/>
      <c r="NEX57" s="92"/>
      <c r="NEY57" s="92"/>
      <c r="NEZ57" s="92"/>
      <c r="NFA57" s="92"/>
      <c r="NFB57" s="92"/>
      <c r="NFC57" s="92"/>
      <c r="NFD57" s="92"/>
      <c r="NFE57" s="92"/>
      <c r="NFF57" s="92"/>
      <c r="NFG57" s="92"/>
      <c r="NFH57" s="92"/>
      <c r="NFI57" s="92"/>
      <c r="NFJ57" s="92"/>
      <c r="NFK57" s="92"/>
      <c r="NFL57" s="92"/>
      <c r="NFM57" s="92"/>
      <c r="NFN57" s="92"/>
      <c r="NFO57" s="92"/>
      <c r="NFP57" s="92"/>
      <c r="NFQ57" s="92"/>
      <c r="NFR57" s="92"/>
      <c r="NFS57" s="92"/>
      <c r="NFT57" s="92"/>
      <c r="NFU57" s="92"/>
      <c r="NFV57" s="92"/>
      <c r="NFW57" s="92"/>
      <c r="NFX57" s="92"/>
      <c r="NFY57" s="92"/>
      <c r="NFZ57" s="92"/>
      <c r="NGA57" s="92"/>
      <c r="NGB57" s="92"/>
      <c r="NGC57" s="92"/>
      <c r="NGD57" s="92"/>
      <c r="NGE57" s="92"/>
      <c r="NGF57" s="92"/>
      <c r="NGG57" s="92"/>
      <c r="NGH57" s="92"/>
      <c r="NGI57" s="92"/>
      <c r="NGJ57" s="92"/>
      <c r="NGK57" s="92"/>
      <c r="NGL57" s="92"/>
      <c r="NGM57" s="92"/>
      <c r="NGN57" s="92"/>
      <c r="NGO57" s="92"/>
      <c r="NGP57" s="92"/>
      <c r="NGQ57" s="92"/>
      <c r="NGR57" s="92"/>
      <c r="NGS57" s="92"/>
      <c r="NGT57" s="92"/>
      <c r="NGU57" s="92"/>
      <c r="NGV57" s="92"/>
      <c r="NGW57" s="92"/>
      <c r="NGX57" s="92"/>
      <c r="NGY57" s="92"/>
      <c r="NGZ57" s="92"/>
      <c r="NHA57" s="92"/>
      <c r="NHB57" s="92"/>
      <c r="NHC57" s="92"/>
      <c r="NHD57" s="92"/>
      <c r="NHE57" s="92"/>
      <c r="NHF57" s="92"/>
      <c r="NHG57" s="92"/>
      <c r="NHH57" s="92"/>
      <c r="NHI57" s="92"/>
      <c r="NHJ57" s="92"/>
      <c r="NHK57" s="92"/>
      <c r="NHL57" s="92"/>
      <c r="NHM57" s="92"/>
      <c r="NHN57" s="92"/>
      <c r="NHO57" s="92"/>
      <c r="NHP57" s="92"/>
      <c r="NHQ57" s="92"/>
      <c r="NHR57" s="92"/>
      <c r="NHS57" s="92"/>
      <c r="NHT57" s="92"/>
      <c r="NHU57" s="92"/>
      <c r="NHV57" s="92"/>
      <c r="NHW57" s="92"/>
      <c r="NHX57" s="92"/>
      <c r="NHY57" s="92"/>
      <c r="NHZ57" s="92"/>
      <c r="NIA57" s="92"/>
      <c r="NIB57" s="92"/>
      <c r="NIC57" s="92"/>
      <c r="NID57" s="92"/>
      <c r="NIE57" s="92"/>
      <c r="NIF57" s="92"/>
      <c r="NIG57" s="92"/>
      <c r="NIH57" s="92"/>
      <c r="NII57" s="92"/>
      <c r="NIJ57" s="92"/>
      <c r="NIK57" s="92"/>
      <c r="NIL57" s="92"/>
      <c r="NIM57" s="92"/>
      <c r="NIN57" s="92"/>
      <c r="NIO57" s="92"/>
      <c r="NIP57" s="92"/>
      <c r="NIQ57" s="92"/>
      <c r="NIR57" s="92"/>
      <c r="NIS57" s="92"/>
      <c r="NIT57" s="92"/>
      <c r="NIU57" s="92"/>
      <c r="NIV57" s="92"/>
      <c r="NIW57" s="92"/>
      <c r="NIX57" s="92"/>
      <c r="NIY57" s="92"/>
      <c r="NIZ57" s="92"/>
      <c r="NJA57" s="92"/>
      <c r="NJB57" s="92"/>
      <c r="NJC57" s="92"/>
      <c r="NJD57" s="92"/>
      <c r="NJE57" s="92"/>
      <c r="NJF57" s="92"/>
      <c r="NJG57" s="92"/>
      <c r="NJH57" s="92"/>
      <c r="NJI57" s="92"/>
      <c r="NJJ57" s="92"/>
      <c r="NJK57" s="92"/>
      <c r="NJL57" s="92"/>
      <c r="NJM57" s="92"/>
      <c r="NJN57" s="92"/>
      <c r="NJO57" s="92"/>
      <c r="NJP57" s="92"/>
      <c r="NJQ57" s="92"/>
      <c r="NJR57" s="92"/>
      <c r="NJS57" s="92"/>
      <c r="NJT57" s="92"/>
      <c r="NJU57" s="92"/>
      <c r="NJV57" s="92"/>
      <c r="NJW57" s="92"/>
      <c r="NJX57" s="92"/>
      <c r="NJY57" s="92"/>
      <c r="NJZ57" s="92"/>
      <c r="NKA57" s="92"/>
      <c r="NKB57" s="92"/>
      <c r="NKC57" s="92"/>
      <c r="NKD57" s="92"/>
      <c r="NKE57" s="92"/>
      <c r="NKF57" s="92"/>
      <c r="NKG57" s="92"/>
      <c r="NKH57" s="92"/>
      <c r="NKI57" s="92"/>
      <c r="NKJ57" s="92"/>
      <c r="NKK57" s="92"/>
      <c r="NKL57" s="92"/>
      <c r="NKM57" s="92"/>
      <c r="NKN57" s="92"/>
      <c r="NKO57" s="92"/>
      <c r="NKP57" s="92"/>
      <c r="NKQ57" s="92"/>
      <c r="NKR57" s="92"/>
      <c r="NKS57" s="92"/>
      <c r="NKT57" s="92"/>
      <c r="NKU57" s="92"/>
      <c r="NKV57" s="92"/>
      <c r="NKW57" s="92"/>
      <c r="NKX57" s="92"/>
      <c r="NKY57" s="92"/>
      <c r="NKZ57" s="92"/>
      <c r="NLA57" s="92"/>
      <c r="NLB57" s="92"/>
      <c r="NLC57" s="92"/>
      <c r="NLD57" s="92"/>
      <c r="NLE57" s="92"/>
      <c r="NLF57" s="92"/>
      <c r="NLG57" s="92"/>
      <c r="NLH57" s="92"/>
      <c r="NLI57" s="92"/>
      <c r="NLJ57" s="92"/>
      <c r="NLK57" s="92"/>
      <c r="NLL57" s="92"/>
      <c r="NLM57" s="92"/>
      <c r="NLN57" s="92"/>
      <c r="NLO57" s="92"/>
      <c r="NLP57" s="92"/>
      <c r="NLQ57" s="92"/>
      <c r="NLR57" s="92"/>
      <c r="NLS57" s="92"/>
      <c r="NLT57" s="92"/>
      <c r="NLU57" s="92"/>
      <c r="NLV57" s="92"/>
      <c r="NLW57" s="92"/>
      <c r="NLX57" s="92"/>
      <c r="NLY57" s="92"/>
      <c r="NLZ57" s="92"/>
      <c r="NMA57" s="92"/>
      <c r="NMB57" s="92"/>
      <c r="NMC57" s="92"/>
      <c r="NMD57" s="92"/>
      <c r="NME57" s="92"/>
      <c r="NMF57" s="92"/>
      <c r="NMG57" s="92"/>
      <c r="NMH57" s="92"/>
      <c r="NMI57" s="92"/>
      <c r="NMJ57" s="92"/>
      <c r="NMK57" s="92"/>
      <c r="NML57" s="92"/>
      <c r="NMM57" s="92"/>
      <c r="NMN57" s="92"/>
      <c r="NMO57" s="92"/>
      <c r="NMP57" s="92"/>
      <c r="NMQ57" s="92"/>
      <c r="NMR57" s="92"/>
      <c r="NMS57" s="92"/>
      <c r="NMT57" s="92"/>
      <c r="NMU57" s="92"/>
      <c r="NMV57" s="92"/>
      <c r="NMW57" s="92"/>
      <c r="NMX57" s="92"/>
      <c r="NMY57" s="92"/>
      <c r="NMZ57" s="92"/>
      <c r="NNA57" s="92"/>
      <c r="NNB57" s="92"/>
      <c r="NNC57" s="92"/>
      <c r="NND57" s="92"/>
      <c r="NNE57" s="92"/>
      <c r="NNF57" s="92"/>
      <c r="NNG57" s="92"/>
      <c r="NNH57" s="92"/>
      <c r="NNI57" s="92"/>
      <c r="NNJ57" s="92"/>
      <c r="NNK57" s="92"/>
      <c r="NNL57" s="92"/>
      <c r="NNM57" s="92"/>
      <c r="NNN57" s="92"/>
      <c r="NNO57" s="92"/>
      <c r="NNP57" s="92"/>
      <c r="NNQ57" s="92"/>
      <c r="NNR57" s="92"/>
      <c r="NNS57" s="92"/>
      <c r="NNT57" s="92"/>
      <c r="NNU57" s="92"/>
      <c r="NNV57" s="92"/>
      <c r="NNW57" s="92"/>
      <c r="NNX57" s="92"/>
      <c r="NNY57" s="92"/>
      <c r="NNZ57" s="92"/>
      <c r="NOA57" s="92"/>
      <c r="NOB57" s="92"/>
      <c r="NOC57" s="92"/>
      <c r="NOD57" s="92"/>
      <c r="NOE57" s="92"/>
      <c r="NOF57" s="92"/>
      <c r="NOG57" s="92"/>
      <c r="NOH57" s="92"/>
      <c r="NOI57" s="92"/>
      <c r="NOJ57" s="92"/>
      <c r="NOK57" s="92"/>
      <c r="NOL57" s="92"/>
      <c r="NOM57" s="92"/>
      <c r="NON57" s="92"/>
      <c r="NOO57" s="92"/>
      <c r="NOP57" s="92"/>
      <c r="NOQ57" s="92"/>
      <c r="NOR57" s="92"/>
      <c r="NOS57" s="92"/>
      <c r="NOT57" s="92"/>
      <c r="NOU57" s="92"/>
      <c r="NOV57" s="92"/>
      <c r="NOW57" s="92"/>
      <c r="NOX57" s="92"/>
      <c r="NOY57" s="92"/>
      <c r="NOZ57" s="92"/>
      <c r="NPA57" s="92"/>
      <c r="NPB57" s="92"/>
      <c r="NPC57" s="92"/>
      <c r="NPD57" s="92"/>
      <c r="NPE57" s="92"/>
      <c r="NPF57" s="92"/>
      <c r="NPG57" s="92"/>
      <c r="NPH57" s="92"/>
      <c r="NPI57" s="92"/>
      <c r="NPJ57" s="92"/>
      <c r="NPK57" s="92"/>
      <c r="NPL57" s="92"/>
      <c r="NPM57" s="92"/>
      <c r="NPN57" s="92"/>
      <c r="NPO57" s="92"/>
      <c r="NPP57" s="92"/>
      <c r="NPQ57" s="92"/>
      <c r="NPR57" s="92"/>
      <c r="NPS57" s="92"/>
      <c r="NPT57" s="92"/>
      <c r="NPU57" s="92"/>
      <c r="NPV57" s="92"/>
      <c r="NPW57" s="92"/>
      <c r="NPX57" s="92"/>
      <c r="NPY57" s="92"/>
      <c r="NPZ57" s="92"/>
      <c r="NQA57" s="92"/>
      <c r="NQB57" s="92"/>
      <c r="NQC57" s="92"/>
      <c r="NQD57" s="92"/>
      <c r="NQE57" s="92"/>
      <c r="NQF57" s="92"/>
      <c r="NQG57" s="92"/>
      <c r="NQH57" s="92"/>
      <c r="NQI57" s="92"/>
      <c r="NQJ57" s="92"/>
      <c r="NQK57" s="92"/>
      <c r="NQL57" s="92"/>
      <c r="NQM57" s="92"/>
      <c r="NQN57" s="92"/>
      <c r="NQO57" s="92"/>
      <c r="NQP57" s="92"/>
      <c r="NQQ57" s="92"/>
      <c r="NQR57" s="92"/>
      <c r="NQS57" s="92"/>
      <c r="NQT57" s="92"/>
      <c r="NQU57" s="92"/>
      <c r="NQV57" s="92"/>
      <c r="NQW57" s="92"/>
      <c r="NQX57" s="92"/>
      <c r="NQY57" s="92"/>
      <c r="NQZ57" s="92"/>
      <c r="NRA57" s="92"/>
      <c r="NRB57" s="92"/>
      <c r="NRC57" s="92"/>
      <c r="NRD57" s="92"/>
      <c r="NRE57" s="92"/>
      <c r="NRF57" s="92"/>
      <c r="NRG57" s="92"/>
      <c r="NRH57" s="92"/>
      <c r="NRI57" s="92"/>
      <c r="NRJ57" s="92"/>
      <c r="NRK57" s="92"/>
      <c r="NRL57" s="92"/>
      <c r="NRM57" s="92"/>
      <c r="NRN57" s="92"/>
      <c r="NRO57" s="92"/>
      <c r="NRP57" s="92"/>
      <c r="NRQ57" s="92"/>
      <c r="NRR57" s="92"/>
      <c r="NRS57" s="92"/>
      <c r="NRT57" s="92"/>
      <c r="NRU57" s="92"/>
      <c r="NRV57" s="92"/>
      <c r="NRW57" s="92"/>
      <c r="NRX57" s="92"/>
      <c r="NRY57" s="92"/>
      <c r="NRZ57" s="92"/>
      <c r="NSA57" s="92"/>
      <c r="NSB57" s="92"/>
      <c r="NSC57" s="92"/>
      <c r="NSD57" s="92"/>
      <c r="NSE57" s="92"/>
      <c r="NSF57" s="92"/>
      <c r="NSG57" s="92"/>
      <c r="NSH57" s="92"/>
      <c r="NSI57" s="92"/>
      <c r="NSJ57" s="92"/>
      <c r="NSK57" s="92"/>
      <c r="NSL57" s="92"/>
      <c r="NSM57" s="92"/>
      <c r="NSN57" s="92"/>
      <c r="NSO57" s="92"/>
      <c r="NSP57" s="92"/>
      <c r="NSQ57" s="92"/>
      <c r="NSR57" s="92"/>
      <c r="NSS57" s="92"/>
      <c r="NST57" s="92"/>
      <c r="NSU57" s="92"/>
      <c r="NSV57" s="92"/>
      <c r="NSW57" s="92"/>
      <c r="NSX57" s="92"/>
      <c r="NSY57" s="92"/>
      <c r="NSZ57" s="92"/>
      <c r="NTA57" s="92"/>
      <c r="NTB57" s="92"/>
      <c r="NTC57" s="92"/>
      <c r="NTD57" s="92"/>
      <c r="NTE57" s="92"/>
      <c r="NTF57" s="92"/>
      <c r="NTG57" s="92"/>
      <c r="NTH57" s="92"/>
      <c r="NTI57" s="92"/>
      <c r="NTJ57" s="92"/>
      <c r="NTK57" s="92"/>
      <c r="NTL57" s="92"/>
      <c r="NTM57" s="92"/>
      <c r="NTN57" s="92"/>
      <c r="NTO57" s="92"/>
      <c r="NTP57" s="92"/>
      <c r="NTQ57" s="92"/>
      <c r="NTR57" s="92"/>
      <c r="NTS57" s="92"/>
      <c r="NTT57" s="92"/>
      <c r="NTU57" s="92"/>
      <c r="NTV57" s="92"/>
      <c r="NTW57" s="92"/>
      <c r="NTX57" s="92"/>
      <c r="NTY57" s="92"/>
      <c r="NTZ57" s="92"/>
      <c r="NUA57" s="92"/>
      <c r="NUB57" s="92"/>
      <c r="NUC57" s="92"/>
      <c r="NUD57" s="92"/>
      <c r="NUE57" s="92"/>
      <c r="NUF57" s="92"/>
      <c r="NUG57" s="92"/>
      <c r="NUH57" s="92"/>
      <c r="NUI57" s="92"/>
      <c r="NUJ57" s="92"/>
      <c r="NUK57" s="92"/>
      <c r="NUL57" s="92"/>
      <c r="NUM57" s="92"/>
      <c r="NUN57" s="92"/>
      <c r="NUO57" s="92"/>
      <c r="NUP57" s="92"/>
      <c r="NUQ57" s="92"/>
      <c r="NUR57" s="92"/>
      <c r="NUS57" s="92"/>
      <c r="NUT57" s="92"/>
      <c r="NUU57" s="92"/>
      <c r="NUV57" s="92"/>
      <c r="NUW57" s="92"/>
      <c r="NUX57" s="92"/>
      <c r="NUY57" s="92"/>
      <c r="NUZ57" s="92"/>
      <c r="NVA57" s="92"/>
      <c r="NVB57" s="92"/>
      <c r="NVC57" s="92"/>
      <c r="NVD57" s="92"/>
      <c r="NVE57" s="92"/>
      <c r="NVF57" s="92"/>
      <c r="NVG57" s="92"/>
      <c r="NVH57" s="92"/>
      <c r="NVI57" s="92"/>
      <c r="NVJ57" s="92"/>
      <c r="NVK57" s="92"/>
      <c r="NVL57" s="92"/>
      <c r="NVM57" s="92"/>
      <c r="NVN57" s="92"/>
      <c r="NVO57" s="92"/>
      <c r="NVP57" s="92"/>
      <c r="NVQ57" s="92"/>
      <c r="NVR57" s="92"/>
      <c r="NVS57" s="92"/>
      <c r="NVT57" s="92"/>
      <c r="NVU57" s="92"/>
      <c r="NVV57" s="92"/>
      <c r="NVW57" s="92"/>
      <c r="NVX57" s="92"/>
      <c r="NVY57" s="92"/>
      <c r="NVZ57" s="92"/>
      <c r="NWA57" s="92"/>
      <c r="NWB57" s="92"/>
      <c r="NWC57" s="92"/>
      <c r="NWD57" s="92"/>
      <c r="NWE57" s="92"/>
      <c r="NWF57" s="92"/>
      <c r="NWG57" s="92"/>
      <c r="NWH57" s="92"/>
      <c r="NWI57" s="92"/>
      <c r="NWJ57" s="92"/>
      <c r="NWK57" s="92"/>
      <c r="NWL57" s="92"/>
      <c r="NWM57" s="92"/>
      <c r="NWN57" s="92"/>
      <c r="NWO57" s="92"/>
      <c r="NWP57" s="92"/>
      <c r="NWQ57" s="92"/>
      <c r="NWR57" s="92"/>
      <c r="NWS57" s="92"/>
      <c r="NWT57" s="92"/>
      <c r="NWU57" s="92"/>
      <c r="NWV57" s="92"/>
      <c r="NWW57" s="92"/>
      <c r="NWX57" s="92"/>
      <c r="NWY57" s="92"/>
      <c r="NWZ57" s="92"/>
      <c r="NXA57" s="92"/>
      <c r="NXB57" s="92"/>
      <c r="NXC57" s="92"/>
      <c r="NXD57" s="92"/>
      <c r="NXE57" s="92"/>
      <c r="NXF57" s="92"/>
      <c r="NXG57" s="92"/>
      <c r="NXH57" s="92"/>
      <c r="NXI57" s="92"/>
      <c r="NXJ57" s="92"/>
      <c r="NXK57" s="92"/>
      <c r="NXL57" s="92"/>
      <c r="NXM57" s="92"/>
      <c r="NXN57" s="92"/>
      <c r="NXO57" s="92"/>
      <c r="NXP57" s="92"/>
      <c r="NXQ57" s="92"/>
      <c r="NXR57" s="92"/>
      <c r="NXS57" s="92"/>
      <c r="NXT57" s="92"/>
      <c r="NXU57" s="92"/>
      <c r="NXV57" s="92"/>
      <c r="NXW57" s="92"/>
      <c r="NXX57" s="92"/>
      <c r="NXY57" s="92"/>
      <c r="NXZ57" s="92"/>
      <c r="NYA57" s="92"/>
      <c r="NYB57" s="92"/>
      <c r="NYC57" s="92"/>
      <c r="NYD57" s="92"/>
      <c r="NYE57" s="92"/>
      <c r="NYF57" s="92"/>
      <c r="NYG57" s="92"/>
      <c r="NYH57" s="92"/>
      <c r="NYI57" s="92"/>
      <c r="NYJ57" s="92"/>
      <c r="NYK57" s="92"/>
      <c r="NYL57" s="92"/>
      <c r="NYM57" s="92"/>
      <c r="NYN57" s="92"/>
      <c r="NYO57" s="92"/>
      <c r="NYP57" s="92"/>
      <c r="NYQ57" s="92"/>
      <c r="NYR57" s="92"/>
      <c r="NYS57" s="92"/>
      <c r="NYT57" s="92"/>
      <c r="NYU57" s="92"/>
      <c r="NYV57" s="92"/>
      <c r="NYW57" s="92"/>
      <c r="NYX57" s="92"/>
      <c r="NYY57" s="92"/>
      <c r="NYZ57" s="92"/>
      <c r="NZA57" s="92"/>
      <c r="NZB57" s="92"/>
      <c r="NZC57" s="92"/>
      <c r="NZD57" s="92"/>
      <c r="NZE57" s="92"/>
      <c r="NZF57" s="92"/>
      <c r="NZG57" s="92"/>
      <c r="NZH57" s="92"/>
      <c r="NZI57" s="92"/>
      <c r="NZJ57" s="92"/>
      <c r="NZK57" s="92"/>
      <c r="NZL57" s="92"/>
      <c r="NZM57" s="92"/>
      <c r="NZN57" s="92"/>
      <c r="NZO57" s="92"/>
      <c r="NZP57" s="92"/>
      <c r="NZQ57" s="92"/>
      <c r="NZR57" s="92"/>
      <c r="NZS57" s="92"/>
      <c r="NZT57" s="92"/>
      <c r="NZU57" s="92"/>
      <c r="NZV57" s="92"/>
      <c r="NZW57" s="92"/>
      <c r="NZX57" s="92"/>
      <c r="NZY57" s="92"/>
      <c r="NZZ57" s="92"/>
      <c r="OAA57" s="92"/>
      <c r="OAB57" s="92"/>
      <c r="OAC57" s="92"/>
      <c r="OAD57" s="92"/>
      <c r="OAE57" s="92"/>
      <c r="OAF57" s="92"/>
      <c r="OAG57" s="92"/>
      <c r="OAH57" s="92"/>
      <c r="OAI57" s="92"/>
      <c r="OAJ57" s="92"/>
      <c r="OAK57" s="92"/>
      <c r="OAL57" s="92"/>
      <c r="OAM57" s="92"/>
      <c r="OAN57" s="92"/>
      <c r="OAO57" s="92"/>
      <c r="OAP57" s="92"/>
      <c r="OAQ57" s="92"/>
      <c r="OAR57" s="92"/>
      <c r="OAS57" s="92"/>
      <c r="OAT57" s="92"/>
      <c r="OAU57" s="92"/>
      <c r="OAV57" s="92"/>
      <c r="OAW57" s="92"/>
      <c r="OAX57" s="92"/>
      <c r="OAY57" s="92"/>
      <c r="OAZ57" s="92"/>
      <c r="OBA57" s="92"/>
      <c r="OBB57" s="92"/>
      <c r="OBC57" s="92"/>
      <c r="OBD57" s="92"/>
      <c r="OBE57" s="92"/>
      <c r="OBF57" s="92"/>
      <c r="OBG57" s="92"/>
      <c r="OBH57" s="92"/>
      <c r="OBI57" s="92"/>
      <c r="OBJ57" s="92"/>
      <c r="OBK57" s="92"/>
      <c r="OBL57" s="92"/>
      <c r="OBM57" s="92"/>
      <c r="OBN57" s="92"/>
      <c r="OBO57" s="92"/>
      <c r="OBP57" s="92"/>
      <c r="OBQ57" s="92"/>
      <c r="OBR57" s="92"/>
      <c r="OBS57" s="92"/>
      <c r="OBT57" s="92"/>
      <c r="OBU57" s="92"/>
      <c r="OBV57" s="92"/>
      <c r="OBW57" s="92"/>
      <c r="OBX57" s="92"/>
      <c r="OBY57" s="92"/>
      <c r="OBZ57" s="92"/>
      <c r="OCA57" s="92"/>
      <c r="OCB57" s="92"/>
      <c r="OCC57" s="92"/>
      <c r="OCD57" s="92"/>
      <c r="OCE57" s="92"/>
      <c r="OCF57" s="92"/>
      <c r="OCG57" s="92"/>
      <c r="OCH57" s="92"/>
      <c r="OCI57" s="92"/>
      <c r="OCJ57" s="92"/>
      <c r="OCK57" s="92"/>
      <c r="OCL57" s="92"/>
      <c r="OCM57" s="92"/>
      <c r="OCN57" s="92"/>
      <c r="OCO57" s="92"/>
      <c r="OCP57" s="92"/>
      <c r="OCQ57" s="92"/>
      <c r="OCR57" s="92"/>
      <c r="OCS57" s="92"/>
      <c r="OCT57" s="92"/>
      <c r="OCU57" s="92"/>
      <c r="OCV57" s="92"/>
      <c r="OCW57" s="92"/>
      <c r="OCX57" s="92"/>
      <c r="OCY57" s="92"/>
      <c r="OCZ57" s="92"/>
      <c r="ODA57" s="92"/>
      <c r="ODB57" s="92"/>
      <c r="ODC57" s="92"/>
      <c r="ODD57" s="92"/>
      <c r="ODE57" s="92"/>
      <c r="ODF57" s="92"/>
      <c r="ODG57" s="92"/>
      <c r="ODH57" s="92"/>
      <c r="ODI57" s="92"/>
      <c r="ODJ57" s="92"/>
      <c r="ODK57" s="92"/>
      <c r="ODL57" s="92"/>
      <c r="ODM57" s="92"/>
      <c r="ODN57" s="92"/>
      <c r="ODO57" s="92"/>
      <c r="ODP57" s="92"/>
      <c r="ODQ57" s="92"/>
      <c r="ODR57" s="92"/>
      <c r="ODS57" s="92"/>
      <c r="ODT57" s="92"/>
      <c r="ODU57" s="92"/>
      <c r="ODV57" s="92"/>
      <c r="ODW57" s="92"/>
      <c r="ODX57" s="92"/>
      <c r="ODY57" s="92"/>
      <c r="ODZ57" s="92"/>
      <c r="OEA57" s="92"/>
      <c r="OEB57" s="92"/>
      <c r="OEC57" s="92"/>
      <c r="OED57" s="92"/>
      <c r="OEE57" s="92"/>
      <c r="OEF57" s="92"/>
      <c r="OEG57" s="92"/>
      <c r="OEH57" s="92"/>
      <c r="OEI57" s="92"/>
      <c r="OEJ57" s="92"/>
      <c r="OEK57" s="92"/>
      <c r="OEL57" s="92"/>
      <c r="OEM57" s="92"/>
      <c r="OEN57" s="92"/>
      <c r="OEO57" s="92"/>
      <c r="OEP57" s="92"/>
      <c r="OEQ57" s="92"/>
      <c r="OER57" s="92"/>
      <c r="OES57" s="92"/>
      <c r="OET57" s="92"/>
      <c r="OEU57" s="92"/>
      <c r="OEV57" s="92"/>
      <c r="OEW57" s="92"/>
      <c r="OEX57" s="92"/>
      <c r="OEY57" s="92"/>
      <c r="OEZ57" s="92"/>
      <c r="OFA57" s="92"/>
      <c r="OFB57" s="92"/>
      <c r="OFC57" s="92"/>
      <c r="OFD57" s="92"/>
      <c r="OFE57" s="92"/>
      <c r="OFF57" s="92"/>
      <c r="OFG57" s="92"/>
      <c r="OFH57" s="92"/>
      <c r="OFI57" s="92"/>
      <c r="OFJ57" s="92"/>
      <c r="OFK57" s="92"/>
      <c r="OFL57" s="92"/>
      <c r="OFM57" s="92"/>
      <c r="OFN57" s="92"/>
      <c r="OFO57" s="92"/>
      <c r="OFP57" s="92"/>
      <c r="OFQ57" s="92"/>
      <c r="OFR57" s="92"/>
      <c r="OFS57" s="92"/>
      <c r="OFT57" s="92"/>
      <c r="OFU57" s="92"/>
      <c r="OFV57" s="92"/>
      <c r="OFW57" s="92"/>
      <c r="OFX57" s="92"/>
      <c r="OFY57" s="92"/>
      <c r="OFZ57" s="92"/>
      <c r="OGA57" s="92"/>
      <c r="OGB57" s="92"/>
      <c r="OGC57" s="92"/>
      <c r="OGD57" s="92"/>
      <c r="OGE57" s="92"/>
      <c r="OGF57" s="92"/>
      <c r="OGG57" s="92"/>
      <c r="OGH57" s="92"/>
      <c r="OGI57" s="92"/>
      <c r="OGJ57" s="92"/>
      <c r="OGK57" s="92"/>
      <c r="OGL57" s="92"/>
      <c r="OGM57" s="92"/>
      <c r="OGN57" s="92"/>
      <c r="OGO57" s="92"/>
      <c r="OGP57" s="92"/>
      <c r="OGQ57" s="92"/>
      <c r="OGR57" s="92"/>
      <c r="OGS57" s="92"/>
      <c r="OGT57" s="92"/>
      <c r="OGU57" s="92"/>
      <c r="OGV57" s="92"/>
      <c r="OGW57" s="92"/>
      <c r="OGX57" s="92"/>
      <c r="OGY57" s="92"/>
      <c r="OGZ57" s="92"/>
      <c r="OHA57" s="92"/>
      <c r="OHB57" s="92"/>
      <c r="OHC57" s="92"/>
      <c r="OHD57" s="92"/>
      <c r="OHE57" s="92"/>
      <c r="OHF57" s="92"/>
      <c r="OHG57" s="92"/>
      <c r="OHH57" s="92"/>
      <c r="OHI57" s="92"/>
      <c r="OHJ57" s="92"/>
      <c r="OHK57" s="92"/>
      <c r="OHL57" s="92"/>
      <c r="OHM57" s="92"/>
      <c r="OHN57" s="92"/>
      <c r="OHO57" s="92"/>
      <c r="OHP57" s="92"/>
      <c r="OHQ57" s="92"/>
      <c r="OHR57" s="92"/>
      <c r="OHS57" s="92"/>
      <c r="OHT57" s="92"/>
      <c r="OHU57" s="92"/>
      <c r="OHV57" s="92"/>
      <c r="OHW57" s="92"/>
      <c r="OHX57" s="92"/>
      <c r="OHY57" s="92"/>
      <c r="OHZ57" s="92"/>
      <c r="OIA57" s="92"/>
      <c r="OIB57" s="92"/>
      <c r="OIC57" s="92"/>
      <c r="OID57" s="92"/>
      <c r="OIE57" s="92"/>
      <c r="OIF57" s="92"/>
      <c r="OIG57" s="92"/>
      <c r="OIH57" s="92"/>
      <c r="OII57" s="92"/>
      <c r="OIJ57" s="92"/>
      <c r="OIK57" s="92"/>
      <c r="OIL57" s="92"/>
      <c r="OIM57" s="92"/>
      <c r="OIN57" s="92"/>
      <c r="OIO57" s="92"/>
      <c r="OIP57" s="92"/>
      <c r="OIQ57" s="92"/>
      <c r="OIR57" s="92"/>
      <c r="OIS57" s="92"/>
      <c r="OIT57" s="92"/>
      <c r="OIU57" s="92"/>
      <c r="OIV57" s="92"/>
      <c r="OIW57" s="92"/>
      <c r="OIX57" s="92"/>
      <c r="OIY57" s="92"/>
      <c r="OIZ57" s="92"/>
      <c r="OJA57" s="92"/>
      <c r="OJB57" s="92"/>
      <c r="OJC57" s="92"/>
      <c r="OJD57" s="92"/>
      <c r="OJE57" s="92"/>
      <c r="OJF57" s="92"/>
      <c r="OJG57" s="92"/>
      <c r="OJH57" s="92"/>
      <c r="OJI57" s="92"/>
      <c r="OJJ57" s="92"/>
      <c r="OJK57" s="92"/>
      <c r="OJL57" s="92"/>
      <c r="OJM57" s="92"/>
      <c r="OJN57" s="92"/>
      <c r="OJO57" s="92"/>
      <c r="OJP57" s="92"/>
      <c r="OJQ57" s="92"/>
      <c r="OJR57" s="92"/>
      <c r="OJS57" s="92"/>
      <c r="OJT57" s="92"/>
      <c r="OJU57" s="92"/>
      <c r="OJV57" s="92"/>
      <c r="OJW57" s="92"/>
      <c r="OJX57" s="92"/>
      <c r="OJY57" s="92"/>
      <c r="OJZ57" s="92"/>
      <c r="OKA57" s="92"/>
      <c r="OKB57" s="92"/>
      <c r="OKC57" s="92"/>
      <c r="OKD57" s="92"/>
      <c r="OKE57" s="92"/>
      <c r="OKF57" s="92"/>
      <c r="OKG57" s="92"/>
      <c r="OKH57" s="92"/>
      <c r="OKI57" s="92"/>
      <c r="OKJ57" s="92"/>
      <c r="OKK57" s="92"/>
      <c r="OKL57" s="92"/>
      <c r="OKM57" s="92"/>
      <c r="OKN57" s="92"/>
      <c r="OKO57" s="92"/>
      <c r="OKP57" s="92"/>
      <c r="OKQ57" s="92"/>
      <c r="OKR57" s="92"/>
      <c r="OKS57" s="92"/>
      <c r="OKT57" s="92"/>
      <c r="OKU57" s="92"/>
      <c r="OKV57" s="92"/>
      <c r="OKW57" s="92"/>
      <c r="OKX57" s="92"/>
      <c r="OKY57" s="92"/>
      <c r="OKZ57" s="92"/>
      <c r="OLA57" s="92"/>
      <c r="OLB57" s="92"/>
      <c r="OLC57" s="92"/>
      <c r="OLD57" s="92"/>
      <c r="OLE57" s="92"/>
      <c r="OLF57" s="92"/>
      <c r="OLG57" s="92"/>
      <c r="OLH57" s="92"/>
      <c r="OLI57" s="92"/>
      <c r="OLJ57" s="92"/>
      <c r="OLK57" s="92"/>
      <c r="OLL57" s="92"/>
      <c r="OLM57" s="92"/>
      <c r="OLN57" s="92"/>
      <c r="OLO57" s="92"/>
      <c r="OLP57" s="92"/>
      <c r="OLQ57" s="92"/>
      <c r="OLR57" s="92"/>
      <c r="OLS57" s="92"/>
      <c r="OLT57" s="92"/>
      <c r="OLU57" s="92"/>
      <c r="OLV57" s="92"/>
      <c r="OLW57" s="92"/>
      <c r="OLX57" s="92"/>
      <c r="OLY57" s="92"/>
      <c r="OLZ57" s="92"/>
      <c r="OMA57" s="92"/>
      <c r="OMB57" s="92"/>
      <c r="OMC57" s="92"/>
      <c r="OMD57" s="92"/>
      <c r="OME57" s="92"/>
      <c r="OMF57" s="92"/>
      <c r="OMG57" s="92"/>
      <c r="OMH57" s="92"/>
      <c r="OMI57" s="92"/>
      <c r="OMJ57" s="92"/>
      <c r="OMK57" s="92"/>
      <c r="OML57" s="92"/>
      <c r="OMM57" s="92"/>
      <c r="OMN57" s="92"/>
      <c r="OMO57" s="92"/>
      <c r="OMP57" s="92"/>
      <c r="OMQ57" s="92"/>
      <c r="OMR57" s="92"/>
      <c r="OMS57" s="92"/>
      <c r="OMT57" s="92"/>
      <c r="OMU57" s="92"/>
      <c r="OMV57" s="92"/>
      <c r="OMW57" s="92"/>
      <c r="OMX57" s="92"/>
      <c r="OMY57" s="92"/>
      <c r="OMZ57" s="92"/>
      <c r="ONA57" s="92"/>
      <c r="ONB57" s="92"/>
      <c r="ONC57" s="92"/>
      <c r="OND57" s="92"/>
      <c r="ONE57" s="92"/>
      <c r="ONF57" s="92"/>
      <c r="ONG57" s="92"/>
      <c r="ONH57" s="92"/>
      <c r="ONI57" s="92"/>
      <c r="ONJ57" s="92"/>
      <c r="ONK57" s="92"/>
      <c r="ONL57" s="92"/>
      <c r="ONM57" s="92"/>
      <c r="ONN57" s="92"/>
      <c r="ONO57" s="92"/>
      <c r="ONP57" s="92"/>
      <c r="ONQ57" s="92"/>
      <c r="ONR57" s="92"/>
      <c r="ONS57" s="92"/>
      <c r="ONT57" s="92"/>
      <c r="ONU57" s="92"/>
      <c r="ONV57" s="92"/>
      <c r="ONW57" s="92"/>
      <c r="ONX57" s="92"/>
      <c r="ONY57" s="92"/>
      <c r="ONZ57" s="92"/>
      <c r="OOA57" s="92"/>
      <c r="OOB57" s="92"/>
      <c r="OOC57" s="92"/>
      <c r="OOD57" s="92"/>
      <c r="OOE57" s="92"/>
      <c r="OOF57" s="92"/>
      <c r="OOG57" s="92"/>
      <c r="OOH57" s="92"/>
      <c r="OOI57" s="92"/>
      <c r="OOJ57" s="92"/>
      <c r="OOK57" s="92"/>
      <c r="OOL57" s="92"/>
      <c r="OOM57" s="92"/>
      <c r="OON57" s="92"/>
      <c r="OOO57" s="92"/>
      <c r="OOP57" s="92"/>
      <c r="OOQ57" s="92"/>
      <c r="OOR57" s="92"/>
      <c r="OOS57" s="92"/>
      <c r="OOT57" s="92"/>
      <c r="OOU57" s="92"/>
      <c r="OOV57" s="92"/>
      <c r="OOW57" s="92"/>
      <c r="OOX57" s="92"/>
      <c r="OOY57" s="92"/>
      <c r="OOZ57" s="92"/>
      <c r="OPA57" s="92"/>
      <c r="OPB57" s="92"/>
      <c r="OPC57" s="92"/>
      <c r="OPD57" s="92"/>
      <c r="OPE57" s="92"/>
      <c r="OPF57" s="92"/>
      <c r="OPG57" s="92"/>
      <c r="OPH57" s="92"/>
      <c r="OPI57" s="92"/>
      <c r="OPJ57" s="92"/>
      <c r="OPK57" s="92"/>
      <c r="OPL57" s="92"/>
      <c r="OPM57" s="92"/>
      <c r="OPN57" s="92"/>
      <c r="OPO57" s="92"/>
      <c r="OPP57" s="92"/>
      <c r="OPQ57" s="92"/>
      <c r="OPR57" s="92"/>
      <c r="OPS57" s="92"/>
      <c r="OPT57" s="92"/>
      <c r="OPU57" s="92"/>
      <c r="OPV57" s="92"/>
      <c r="OPW57" s="92"/>
      <c r="OPX57" s="92"/>
      <c r="OPY57" s="92"/>
      <c r="OPZ57" s="92"/>
      <c r="OQA57" s="92"/>
      <c r="OQB57" s="92"/>
      <c r="OQC57" s="92"/>
      <c r="OQD57" s="92"/>
      <c r="OQE57" s="92"/>
      <c r="OQF57" s="92"/>
      <c r="OQG57" s="92"/>
      <c r="OQH57" s="92"/>
      <c r="OQI57" s="92"/>
      <c r="OQJ57" s="92"/>
      <c r="OQK57" s="92"/>
      <c r="OQL57" s="92"/>
      <c r="OQM57" s="92"/>
      <c r="OQN57" s="92"/>
      <c r="OQO57" s="92"/>
      <c r="OQP57" s="92"/>
      <c r="OQQ57" s="92"/>
      <c r="OQR57" s="92"/>
      <c r="OQS57" s="92"/>
      <c r="OQT57" s="92"/>
      <c r="OQU57" s="92"/>
      <c r="OQV57" s="92"/>
      <c r="OQW57" s="92"/>
      <c r="OQX57" s="92"/>
      <c r="OQY57" s="92"/>
      <c r="OQZ57" s="92"/>
      <c r="ORA57" s="92"/>
      <c r="ORB57" s="92"/>
      <c r="ORC57" s="92"/>
      <c r="ORD57" s="92"/>
      <c r="ORE57" s="92"/>
      <c r="ORF57" s="92"/>
      <c r="ORG57" s="92"/>
      <c r="ORH57" s="92"/>
      <c r="ORI57" s="92"/>
      <c r="ORJ57" s="92"/>
      <c r="ORK57" s="92"/>
      <c r="ORL57" s="92"/>
      <c r="ORM57" s="92"/>
      <c r="ORN57" s="92"/>
      <c r="ORO57" s="92"/>
      <c r="ORP57" s="92"/>
      <c r="ORQ57" s="92"/>
      <c r="ORR57" s="92"/>
      <c r="ORS57" s="92"/>
      <c r="ORT57" s="92"/>
      <c r="ORU57" s="92"/>
      <c r="ORV57" s="92"/>
      <c r="ORW57" s="92"/>
      <c r="ORX57" s="92"/>
      <c r="ORY57" s="92"/>
      <c r="ORZ57" s="92"/>
      <c r="OSA57" s="92"/>
      <c r="OSB57" s="92"/>
      <c r="OSC57" s="92"/>
      <c r="OSD57" s="92"/>
      <c r="OSE57" s="92"/>
      <c r="OSF57" s="92"/>
      <c r="OSG57" s="92"/>
      <c r="OSH57" s="92"/>
      <c r="OSI57" s="92"/>
      <c r="OSJ57" s="92"/>
      <c r="OSK57" s="92"/>
      <c r="OSL57" s="92"/>
      <c r="OSM57" s="92"/>
      <c r="OSN57" s="92"/>
      <c r="OSO57" s="92"/>
      <c r="OSP57" s="92"/>
      <c r="OSQ57" s="92"/>
      <c r="OSR57" s="92"/>
      <c r="OSS57" s="92"/>
      <c r="OST57" s="92"/>
      <c r="OSU57" s="92"/>
      <c r="OSV57" s="92"/>
      <c r="OSW57" s="92"/>
      <c r="OSX57" s="92"/>
      <c r="OSY57" s="92"/>
      <c r="OSZ57" s="92"/>
      <c r="OTA57" s="92"/>
      <c r="OTB57" s="92"/>
      <c r="OTC57" s="92"/>
      <c r="OTD57" s="92"/>
      <c r="OTE57" s="92"/>
      <c r="OTF57" s="92"/>
      <c r="OTG57" s="92"/>
      <c r="OTH57" s="92"/>
      <c r="OTI57" s="92"/>
      <c r="OTJ57" s="92"/>
      <c r="OTK57" s="92"/>
      <c r="OTL57" s="92"/>
      <c r="OTM57" s="92"/>
      <c r="OTN57" s="92"/>
      <c r="OTO57" s="92"/>
      <c r="OTP57" s="92"/>
      <c r="OTQ57" s="92"/>
      <c r="OTR57" s="92"/>
      <c r="OTS57" s="92"/>
      <c r="OTT57" s="92"/>
      <c r="OTU57" s="92"/>
      <c r="OTV57" s="92"/>
      <c r="OTW57" s="92"/>
      <c r="OTX57" s="92"/>
      <c r="OTY57" s="92"/>
      <c r="OTZ57" s="92"/>
      <c r="OUA57" s="92"/>
      <c r="OUB57" s="92"/>
      <c r="OUC57" s="92"/>
      <c r="OUD57" s="92"/>
      <c r="OUE57" s="92"/>
      <c r="OUF57" s="92"/>
      <c r="OUG57" s="92"/>
      <c r="OUH57" s="92"/>
      <c r="OUI57" s="92"/>
      <c r="OUJ57" s="92"/>
      <c r="OUK57" s="92"/>
      <c r="OUL57" s="92"/>
      <c r="OUM57" s="92"/>
      <c r="OUN57" s="92"/>
      <c r="OUO57" s="92"/>
      <c r="OUP57" s="92"/>
      <c r="OUQ57" s="92"/>
      <c r="OUR57" s="92"/>
      <c r="OUS57" s="92"/>
      <c r="OUT57" s="92"/>
      <c r="OUU57" s="92"/>
      <c r="OUV57" s="92"/>
      <c r="OUW57" s="92"/>
      <c r="OUX57" s="92"/>
      <c r="OUY57" s="92"/>
      <c r="OUZ57" s="92"/>
      <c r="OVA57" s="92"/>
      <c r="OVB57" s="92"/>
      <c r="OVC57" s="92"/>
      <c r="OVD57" s="92"/>
      <c r="OVE57" s="92"/>
      <c r="OVF57" s="92"/>
      <c r="OVG57" s="92"/>
      <c r="OVH57" s="92"/>
      <c r="OVI57" s="92"/>
      <c r="OVJ57" s="92"/>
      <c r="OVK57" s="92"/>
      <c r="OVL57" s="92"/>
      <c r="OVM57" s="92"/>
      <c r="OVN57" s="92"/>
      <c r="OVO57" s="92"/>
      <c r="OVP57" s="92"/>
      <c r="OVQ57" s="92"/>
      <c r="OVR57" s="92"/>
      <c r="OVS57" s="92"/>
      <c r="OVT57" s="92"/>
      <c r="OVU57" s="92"/>
      <c r="OVV57" s="92"/>
      <c r="OVW57" s="92"/>
      <c r="OVX57" s="92"/>
      <c r="OVY57" s="92"/>
      <c r="OVZ57" s="92"/>
      <c r="OWA57" s="92"/>
      <c r="OWB57" s="92"/>
      <c r="OWC57" s="92"/>
      <c r="OWD57" s="92"/>
      <c r="OWE57" s="92"/>
      <c r="OWF57" s="92"/>
      <c r="OWG57" s="92"/>
      <c r="OWH57" s="92"/>
      <c r="OWI57" s="92"/>
      <c r="OWJ57" s="92"/>
      <c r="OWK57" s="92"/>
      <c r="OWL57" s="92"/>
      <c r="OWM57" s="92"/>
      <c r="OWN57" s="92"/>
      <c r="OWO57" s="92"/>
      <c r="OWP57" s="92"/>
      <c r="OWQ57" s="92"/>
      <c r="OWR57" s="92"/>
      <c r="OWS57" s="92"/>
      <c r="OWT57" s="92"/>
      <c r="OWU57" s="92"/>
      <c r="OWV57" s="92"/>
      <c r="OWW57" s="92"/>
      <c r="OWX57" s="92"/>
      <c r="OWY57" s="92"/>
      <c r="OWZ57" s="92"/>
      <c r="OXA57" s="92"/>
      <c r="OXB57" s="92"/>
      <c r="OXC57" s="92"/>
      <c r="OXD57" s="92"/>
      <c r="OXE57" s="92"/>
      <c r="OXF57" s="92"/>
      <c r="OXG57" s="92"/>
      <c r="OXH57" s="92"/>
      <c r="OXI57" s="92"/>
      <c r="OXJ57" s="92"/>
      <c r="OXK57" s="92"/>
      <c r="OXL57" s="92"/>
      <c r="OXM57" s="92"/>
      <c r="OXN57" s="92"/>
      <c r="OXO57" s="92"/>
      <c r="OXP57" s="92"/>
      <c r="OXQ57" s="92"/>
      <c r="OXR57" s="92"/>
      <c r="OXS57" s="92"/>
      <c r="OXT57" s="92"/>
      <c r="OXU57" s="92"/>
      <c r="OXV57" s="92"/>
      <c r="OXW57" s="92"/>
      <c r="OXX57" s="92"/>
      <c r="OXY57" s="92"/>
      <c r="OXZ57" s="92"/>
      <c r="OYA57" s="92"/>
      <c r="OYB57" s="92"/>
      <c r="OYC57" s="92"/>
      <c r="OYD57" s="92"/>
      <c r="OYE57" s="92"/>
      <c r="OYF57" s="92"/>
      <c r="OYG57" s="92"/>
      <c r="OYH57" s="92"/>
      <c r="OYI57" s="92"/>
      <c r="OYJ57" s="92"/>
      <c r="OYK57" s="92"/>
      <c r="OYL57" s="92"/>
      <c r="OYM57" s="92"/>
      <c r="OYN57" s="92"/>
      <c r="OYO57" s="92"/>
      <c r="OYP57" s="92"/>
      <c r="OYQ57" s="92"/>
      <c r="OYR57" s="92"/>
      <c r="OYS57" s="92"/>
      <c r="OYT57" s="92"/>
      <c r="OYU57" s="92"/>
      <c r="OYV57" s="92"/>
      <c r="OYW57" s="92"/>
      <c r="OYX57" s="92"/>
      <c r="OYY57" s="92"/>
      <c r="OYZ57" s="92"/>
      <c r="OZA57" s="92"/>
      <c r="OZB57" s="92"/>
      <c r="OZC57" s="92"/>
      <c r="OZD57" s="92"/>
      <c r="OZE57" s="92"/>
      <c r="OZF57" s="92"/>
      <c r="OZG57" s="92"/>
      <c r="OZH57" s="92"/>
      <c r="OZI57" s="92"/>
      <c r="OZJ57" s="92"/>
      <c r="OZK57" s="92"/>
      <c r="OZL57" s="92"/>
      <c r="OZM57" s="92"/>
      <c r="OZN57" s="92"/>
      <c r="OZO57" s="92"/>
      <c r="OZP57" s="92"/>
      <c r="OZQ57" s="92"/>
      <c r="OZR57" s="92"/>
      <c r="OZS57" s="92"/>
      <c r="OZT57" s="92"/>
      <c r="OZU57" s="92"/>
      <c r="OZV57" s="92"/>
      <c r="OZW57" s="92"/>
      <c r="OZX57" s="92"/>
      <c r="OZY57" s="92"/>
      <c r="OZZ57" s="92"/>
      <c r="PAA57" s="92"/>
      <c r="PAB57" s="92"/>
      <c r="PAC57" s="92"/>
      <c r="PAD57" s="92"/>
      <c r="PAE57" s="92"/>
      <c r="PAF57" s="92"/>
      <c r="PAG57" s="92"/>
      <c r="PAH57" s="92"/>
      <c r="PAI57" s="92"/>
      <c r="PAJ57" s="92"/>
      <c r="PAK57" s="92"/>
      <c r="PAL57" s="92"/>
      <c r="PAM57" s="92"/>
      <c r="PAN57" s="92"/>
      <c r="PAO57" s="92"/>
      <c r="PAP57" s="92"/>
      <c r="PAQ57" s="92"/>
      <c r="PAR57" s="92"/>
      <c r="PAS57" s="92"/>
      <c r="PAT57" s="92"/>
      <c r="PAU57" s="92"/>
      <c r="PAV57" s="92"/>
      <c r="PAW57" s="92"/>
      <c r="PAX57" s="92"/>
      <c r="PAY57" s="92"/>
      <c r="PAZ57" s="92"/>
      <c r="PBA57" s="92"/>
      <c r="PBB57" s="92"/>
      <c r="PBC57" s="92"/>
      <c r="PBD57" s="92"/>
      <c r="PBE57" s="92"/>
      <c r="PBF57" s="92"/>
      <c r="PBG57" s="92"/>
      <c r="PBH57" s="92"/>
      <c r="PBI57" s="92"/>
      <c r="PBJ57" s="92"/>
      <c r="PBK57" s="92"/>
      <c r="PBL57" s="92"/>
      <c r="PBM57" s="92"/>
      <c r="PBN57" s="92"/>
      <c r="PBO57" s="92"/>
      <c r="PBP57" s="92"/>
      <c r="PBQ57" s="92"/>
      <c r="PBR57" s="92"/>
      <c r="PBS57" s="92"/>
      <c r="PBT57" s="92"/>
      <c r="PBU57" s="92"/>
      <c r="PBV57" s="92"/>
      <c r="PBW57" s="92"/>
      <c r="PBX57" s="92"/>
      <c r="PBY57" s="92"/>
      <c r="PBZ57" s="92"/>
      <c r="PCA57" s="92"/>
      <c r="PCB57" s="92"/>
      <c r="PCC57" s="92"/>
      <c r="PCD57" s="92"/>
      <c r="PCE57" s="92"/>
      <c r="PCF57" s="92"/>
      <c r="PCG57" s="92"/>
      <c r="PCH57" s="92"/>
      <c r="PCI57" s="92"/>
      <c r="PCJ57" s="92"/>
      <c r="PCK57" s="92"/>
      <c r="PCL57" s="92"/>
      <c r="PCM57" s="92"/>
      <c r="PCN57" s="92"/>
      <c r="PCO57" s="92"/>
      <c r="PCP57" s="92"/>
      <c r="PCQ57" s="92"/>
      <c r="PCR57" s="92"/>
      <c r="PCS57" s="92"/>
      <c r="PCT57" s="92"/>
      <c r="PCU57" s="92"/>
      <c r="PCV57" s="92"/>
      <c r="PCW57" s="92"/>
      <c r="PCX57" s="92"/>
      <c r="PCY57" s="92"/>
      <c r="PCZ57" s="92"/>
      <c r="PDA57" s="92"/>
      <c r="PDB57" s="92"/>
      <c r="PDC57" s="92"/>
      <c r="PDD57" s="92"/>
      <c r="PDE57" s="92"/>
      <c r="PDF57" s="92"/>
      <c r="PDG57" s="92"/>
      <c r="PDH57" s="92"/>
      <c r="PDI57" s="92"/>
      <c r="PDJ57" s="92"/>
      <c r="PDK57" s="92"/>
      <c r="PDL57" s="92"/>
      <c r="PDM57" s="92"/>
      <c r="PDN57" s="92"/>
      <c r="PDO57" s="92"/>
      <c r="PDP57" s="92"/>
      <c r="PDQ57" s="92"/>
      <c r="PDR57" s="92"/>
      <c r="PDS57" s="92"/>
      <c r="PDT57" s="92"/>
      <c r="PDU57" s="92"/>
      <c r="PDV57" s="92"/>
      <c r="PDW57" s="92"/>
      <c r="PDX57" s="92"/>
      <c r="PDY57" s="92"/>
      <c r="PDZ57" s="92"/>
      <c r="PEA57" s="92"/>
      <c r="PEB57" s="92"/>
      <c r="PEC57" s="92"/>
      <c r="PED57" s="92"/>
      <c r="PEE57" s="92"/>
      <c r="PEF57" s="92"/>
      <c r="PEG57" s="92"/>
      <c r="PEH57" s="92"/>
      <c r="PEI57" s="92"/>
      <c r="PEJ57" s="92"/>
      <c r="PEK57" s="92"/>
      <c r="PEL57" s="92"/>
      <c r="PEM57" s="92"/>
      <c r="PEN57" s="92"/>
      <c r="PEO57" s="92"/>
      <c r="PEP57" s="92"/>
      <c r="PEQ57" s="92"/>
      <c r="PER57" s="92"/>
      <c r="PES57" s="92"/>
      <c r="PET57" s="92"/>
      <c r="PEU57" s="92"/>
      <c r="PEV57" s="92"/>
      <c r="PEW57" s="92"/>
      <c r="PEX57" s="92"/>
      <c r="PEY57" s="92"/>
      <c r="PEZ57" s="92"/>
      <c r="PFA57" s="92"/>
      <c r="PFB57" s="92"/>
      <c r="PFC57" s="92"/>
      <c r="PFD57" s="92"/>
      <c r="PFE57" s="92"/>
      <c r="PFF57" s="92"/>
      <c r="PFG57" s="92"/>
      <c r="PFH57" s="92"/>
      <c r="PFI57" s="92"/>
      <c r="PFJ57" s="92"/>
      <c r="PFK57" s="92"/>
      <c r="PFL57" s="92"/>
      <c r="PFM57" s="92"/>
      <c r="PFN57" s="92"/>
      <c r="PFO57" s="92"/>
      <c r="PFP57" s="92"/>
      <c r="PFQ57" s="92"/>
      <c r="PFR57" s="92"/>
      <c r="PFS57" s="92"/>
      <c r="PFT57" s="92"/>
      <c r="PFU57" s="92"/>
      <c r="PFV57" s="92"/>
      <c r="PFW57" s="92"/>
      <c r="PFX57" s="92"/>
      <c r="PFY57" s="92"/>
      <c r="PFZ57" s="92"/>
      <c r="PGA57" s="92"/>
      <c r="PGB57" s="92"/>
      <c r="PGC57" s="92"/>
      <c r="PGD57" s="92"/>
      <c r="PGE57" s="92"/>
      <c r="PGF57" s="92"/>
      <c r="PGG57" s="92"/>
      <c r="PGH57" s="92"/>
      <c r="PGI57" s="92"/>
      <c r="PGJ57" s="92"/>
      <c r="PGK57" s="92"/>
      <c r="PGL57" s="92"/>
      <c r="PGM57" s="92"/>
      <c r="PGN57" s="92"/>
      <c r="PGO57" s="92"/>
      <c r="PGP57" s="92"/>
      <c r="PGQ57" s="92"/>
      <c r="PGR57" s="92"/>
      <c r="PGS57" s="92"/>
      <c r="PGT57" s="92"/>
      <c r="PGU57" s="92"/>
      <c r="PGV57" s="92"/>
      <c r="PGW57" s="92"/>
      <c r="PGX57" s="92"/>
      <c r="PGY57" s="92"/>
      <c r="PGZ57" s="92"/>
      <c r="PHA57" s="92"/>
      <c r="PHB57" s="92"/>
      <c r="PHC57" s="92"/>
      <c r="PHD57" s="92"/>
      <c r="PHE57" s="92"/>
      <c r="PHF57" s="92"/>
      <c r="PHG57" s="92"/>
      <c r="PHH57" s="92"/>
      <c r="PHI57" s="92"/>
      <c r="PHJ57" s="92"/>
      <c r="PHK57" s="92"/>
      <c r="PHL57" s="92"/>
      <c r="PHM57" s="92"/>
      <c r="PHN57" s="92"/>
      <c r="PHO57" s="92"/>
      <c r="PHP57" s="92"/>
      <c r="PHQ57" s="92"/>
      <c r="PHR57" s="92"/>
      <c r="PHS57" s="92"/>
      <c r="PHT57" s="92"/>
      <c r="PHU57" s="92"/>
      <c r="PHV57" s="92"/>
      <c r="PHW57" s="92"/>
      <c r="PHX57" s="92"/>
      <c r="PHY57" s="92"/>
      <c r="PHZ57" s="92"/>
      <c r="PIA57" s="92"/>
      <c r="PIB57" s="92"/>
      <c r="PIC57" s="92"/>
      <c r="PID57" s="92"/>
      <c r="PIE57" s="92"/>
      <c r="PIF57" s="92"/>
      <c r="PIG57" s="92"/>
      <c r="PIH57" s="92"/>
      <c r="PII57" s="92"/>
      <c r="PIJ57" s="92"/>
      <c r="PIK57" s="92"/>
      <c r="PIL57" s="92"/>
      <c r="PIM57" s="92"/>
      <c r="PIN57" s="92"/>
      <c r="PIO57" s="92"/>
      <c r="PIP57" s="92"/>
      <c r="PIQ57" s="92"/>
      <c r="PIR57" s="92"/>
      <c r="PIS57" s="92"/>
      <c r="PIT57" s="92"/>
      <c r="PIU57" s="92"/>
      <c r="PIV57" s="92"/>
      <c r="PIW57" s="92"/>
      <c r="PIX57" s="92"/>
      <c r="PIY57" s="92"/>
      <c r="PIZ57" s="92"/>
      <c r="PJA57" s="92"/>
      <c r="PJB57" s="92"/>
      <c r="PJC57" s="92"/>
      <c r="PJD57" s="92"/>
      <c r="PJE57" s="92"/>
      <c r="PJF57" s="92"/>
      <c r="PJG57" s="92"/>
      <c r="PJH57" s="92"/>
      <c r="PJI57" s="92"/>
      <c r="PJJ57" s="92"/>
      <c r="PJK57" s="92"/>
      <c r="PJL57" s="92"/>
      <c r="PJM57" s="92"/>
      <c r="PJN57" s="92"/>
      <c r="PJO57" s="92"/>
      <c r="PJP57" s="92"/>
      <c r="PJQ57" s="92"/>
      <c r="PJR57" s="92"/>
      <c r="PJS57" s="92"/>
      <c r="PJT57" s="92"/>
      <c r="PJU57" s="92"/>
      <c r="PJV57" s="92"/>
      <c r="PJW57" s="92"/>
      <c r="PJX57" s="92"/>
      <c r="PJY57" s="92"/>
      <c r="PJZ57" s="92"/>
      <c r="PKA57" s="92"/>
      <c r="PKB57" s="92"/>
      <c r="PKC57" s="92"/>
      <c r="PKD57" s="92"/>
      <c r="PKE57" s="92"/>
      <c r="PKF57" s="92"/>
      <c r="PKG57" s="92"/>
      <c r="PKH57" s="92"/>
      <c r="PKI57" s="92"/>
      <c r="PKJ57" s="92"/>
      <c r="PKK57" s="92"/>
      <c r="PKL57" s="92"/>
      <c r="PKM57" s="92"/>
      <c r="PKN57" s="92"/>
      <c r="PKO57" s="92"/>
      <c r="PKP57" s="92"/>
      <c r="PKQ57" s="92"/>
      <c r="PKR57" s="92"/>
      <c r="PKS57" s="92"/>
      <c r="PKT57" s="92"/>
      <c r="PKU57" s="92"/>
      <c r="PKV57" s="92"/>
      <c r="PKW57" s="92"/>
      <c r="PKX57" s="92"/>
      <c r="PKY57" s="92"/>
      <c r="PKZ57" s="92"/>
      <c r="PLA57" s="92"/>
      <c r="PLB57" s="92"/>
      <c r="PLC57" s="92"/>
      <c r="PLD57" s="92"/>
      <c r="PLE57" s="92"/>
      <c r="PLF57" s="92"/>
      <c r="PLG57" s="92"/>
      <c r="PLH57" s="92"/>
      <c r="PLI57" s="92"/>
      <c r="PLJ57" s="92"/>
      <c r="PLK57" s="92"/>
      <c r="PLL57" s="92"/>
      <c r="PLM57" s="92"/>
      <c r="PLN57" s="92"/>
      <c r="PLO57" s="92"/>
      <c r="PLP57" s="92"/>
      <c r="PLQ57" s="92"/>
      <c r="PLR57" s="92"/>
      <c r="PLS57" s="92"/>
      <c r="PLT57" s="92"/>
      <c r="PLU57" s="92"/>
      <c r="PLV57" s="92"/>
      <c r="PLW57" s="92"/>
      <c r="PLX57" s="92"/>
      <c r="PLY57" s="92"/>
      <c r="PLZ57" s="92"/>
      <c r="PMA57" s="92"/>
      <c r="PMB57" s="92"/>
      <c r="PMC57" s="92"/>
      <c r="PMD57" s="92"/>
      <c r="PME57" s="92"/>
      <c r="PMF57" s="92"/>
      <c r="PMG57" s="92"/>
      <c r="PMH57" s="92"/>
      <c r="PMI57" s="92"/>
      <c r="PMJ57" s="92"/>
      <c r="PMK57" s="92"/>
      <c r="PML57" s="92"/>
      <c r="PMM57" s="92"/>
      <c r="PMN57" s="92"/>
      <c r="PMO57" s="92"/>
      <c r="PMP57" s="92"/>
      <c r="PMQ57" s="92"/>
      <c r="PMR57" s="92"/>
      <c r="PMS57" s="92"/>
      <c r="PMT57" s="92"/>
      <c r="PMU57" s="92"/>
      <c r="PMV57" s="92"/>
      <c r="PMW57" s="92"/>
      <c r="PMX57" s="92"/>
      <c r="PMY57" s="92"/>
      <c r="PMZ57" s="92"/>
      <c r="PNA57" s="92"/>
      <c r="PNB57" s="92"/>
      <c r="PNC57" s="92"/>
      <c r="PND57" s="92"/>
      <c r="PNE57" s="92"/>
      <c r="PNF57" s="92"/>
      <c r="PNG57" s="92"/>
      <c r="PNH57" s="92"/>
      <c r="PNI57" s="92"/>
      <c r="PNJ57" s="92"/>
      <c r="PNK57" s="92"/>
      <c r="PNL57" s="92"/>
      <c r="PNM57" s="92"/>
      <c r="PNN57" s="92"/>
      <c r="PNO57" s="92"/>
      <c r="PNP57" s="92"/>
      <c r="PNQ57" s="92"/>
      <c r="PNR57" s="92"/>
      <c r="PNS57" s="92"/>
      <c r="PNT57" s="92"/>
      <c r="PNU57" s="92"/>
      <c r="PNV57" s="92"/>
      <c r="PNW57" s="92"/>
      <c r="PNX57" s="92"/>
      <c r="PNY57" s="92"/>
      <c r="PNZ57" s="92"/>
      <c r="POA57" s="92"/>
      <c r="POB57" s="92"/>
      <c r="POC57" s="92"/>
      <c r="POD57" s="92"/>
      <c r="POE57" s="92"/>
      <c r="POF57" s="92"/>
      <c r="POG57" s="92"/>
      <c r="POH57" s="92"/>
      <c r="POI57" s="92"/>
      <c r="POJ57" s="92"/>
      <c r="POK57" s="92"/>
      <c r="POL57" s="92"/>
      <c r="POM57" s="92"/>
      <c r="PON57" s="92"/>
      <c r="POO57" s="92"/>
      <c r="POP57" s="92"/>
      <c r="POQ57" s="92"/>
      <c r="POR57" s="92"/>
      <c r="POS57" s="92"/>
      <c r="POT57" s="92"/>
      <c r="POU57" s="92"/>
      <c r="POV57" s="92"/>
      <c r="POW57" s="92"/>
      <c r="POX57" s="92"/>
      <c r="POY57" s="92"/>
      <c r="POZ57" s="92"/>
      <c r="PPA57" s="92"/>
      <c r="PPB57" s="92"/>
      <c r="PPC57" s="92"/>
      <c r="PPD57" s="92"/>
      <c r="PPE57" s="92"/>
      <c r="PPF57" s="92"/>
      <c r="PPG57" s="92"/>
      <c r="PPH57" s="92"/>
      <c r="PPI57" s="92"/>
      <c r="PPJ57" s="92"/>
      <c r="PPK57" s="92"/>
      <c r="PPL57" s="92"/>
      <c r="PPM57" s="92"/>
      <c r="PPN57" s="92"/>
      <c r="PPO57" s="92"/>
      <c r="PPP57" s="92"/>
      <c r="PPQ57" s="92"/>
      <c r="PPR57" s="92"/>
      <c r="PPS57" s="92"/>
      <c r="PPT57" s="92"/>
      <c r="PPU57" s="92"/>
      <c r="PPV57" s="92"/>
      <c r="PPW57" s="92"/>
      <c r="PPX57" s="92"/>
      <c r="PPY57" s="92"/>
      <c r="PPZ57" s="92"/>
      <c r="PQA57" s="92"/>
      <c r="PQB57" s="92"/>
      <c r="PQC57" s="92"/>
      <c r="PQD57" s="92"/>
      <c r="PQE57" s="92"/>
      <c r="PQF57" s="92"/>
      <c r="PQG57" s="92"/>
      <c r="PQH57" s="92"/>
      <c r="PQI57" s="92"/>
      <c r="PQJ57" s="92"/>
      <c r="PQK57" s="92"/>
      <c r="PQL57" s="92"/>
      <c r="PQM57" s="92"/>
      <c r="PQN57" s="92"/>
      <c r="PQO57" s="92"/>
      <c r="PQP57" s="92"/>
      <c r="PQQ57" s="92"/>
      <c r="PQR57" s="92"/>
      <c r="PQS57" s="92"/>
      <c r="PQT57" s="92"/>
      <c r="PQU57" s="92"/>
      <c r="PQV57" s="92"/>
      <c r="PQW57" s="92"/>
      <c r="PQX57" s="92"/>
      <c r="PQY57" s="92"/>
      <c r="PQZ57" s="92"/>
      <c r="PRA57" s="92"/>
      <c r="PRB57" s="92"/>
      <c r="PRC57" s="92"/>
      <c r="PRD57" s="92"/>
      <c r="PRE57" s="92"/>
      <c r="PRF57" s="92"/>
      <c r="PRG57" s="92"/>
      <c r="PRH57" s="92"/>
      <c r="PRI57" s="92"/>
      <c r="PRJ57" s="92"/>
      <c r="PRK57" s="92"/>
      <c r="PRL57" s="92"/>
      <c r="PRM57" s="92"/>
      <c r="PRN57" s="92"/>
      <c r="PRO57" s="92"/>
      <c r="PRP57" s="92"/>
      <c r="PRQ57" s="92"/>
      <c r="PRR57" s="92"/>
      <c r="PRS57" s="92"/>
      <c r="PRT57" s="92"/>
      <c r="PRU57" s="92"/>
      <c r="PRV57" s="92"/>
      <c r="PRW57" s="92"/>
      <c r="PRX57" s="92"/>
      <c r="PRY57" s="92"/>
      <c r="PRZ57" s="92"/>
      <c r="PSA57" s="92"/>
      <c r="PSB57" s="92"/>
      <c r="PSC57" s="92"/>
      <c r="PSD57" s="92"/>
      <c r="PSE57" s="92"/>
      <c r="PSF57" s="92"/>
      <c r="PSG57" s="92"/>
      <c r="PSH57" s="92"/>
      <c r="PSI57" s="92"/>
      <c r="PSJ57" s="92"/>
      <c r="PSK57" s="92"/>
      <c r="PSL57" s="92"/>
      <c r="PSM57" s="92"/>
      <c r="PSN57" s="92"/>
      <c r="PSO57" s="92"/>
      <c r="PSP57" s="92"/>
      <c r="PSQ57" s="92"/>
      <c r="PSR57" s="92"/>
      <c r="PSS57" s="92"/>
      <c r="PST57" s="92"/>
      <c r="PSU57" s="92"/>
      <c r="PSV57" s="92"/>
      <c r="PSW57" s="92"/>
      <c r="PSX57" s="92"/>
      <c r="PSY57" s="92"/>
      <c r="PSZ57" s="92"/>
      <c r="PTA57" s="92"/>
      <c r="PTB57" s="92"/>
      <c r="PTC57" s="92"/>
      <c r="PTD57" s="92"/>
      <c r="PTE57" s="92"/>
      <c r="PTF57" s="92"/>
      <c r="PTG57" s="92"/>
      <c r="PTH57" s="92"/>
      <c r="PTI57" s="92"/>
      <c r="PTJ57" s="92"/>
      <c r="PTK57" s="92"/>
      <c r="PTL57" s="92"/>
      <c r="PTM57" s="92"/>
      <c r="PTN57" s="92"/>
      <c r="PTO57" s="92"/>
      <c r="PTP57" s="92"/>
      <c r="PTQ57" s="92"/>
      <c r="PTR57" s="92"/>
      <c r="PTS57" s="92"/>
      <c r="PTT57" s="92"/>
      <c r="PTU57" s="92"/>
      <c r="PTV57" s="92"/>
      <c r="PTW57" s="92"/>
      <c r="PTX57" s="92"/>
      <c r="PTY57" s="92"/>
      <c r="PTZ57" s="92"/>
      <c r="PUA57" s="92"/>
      <c r="PUB57" s="92"/>
      <c r="PUC57" s="92"/>
      <c r="PUD57" s="92"/>
      <c r="PUE57" s="92"/>
      <c r="PUF57" s="92"/>
      <c r="PUG57" s="92"/>
      <c r="PUH57" s="92"/>
      <c r="PUI57" s="92"/>
      <c r="PUJ57" s="92"/>
      <c r="PUK57" s="92"/>
      <c r="PUL57" s="92"/>
      <c r="PUM57" s="92"/>
      <c r="PUN57" s="92"/>
      <c r="PUO57" s="92"/>
      <c r="PUP57" s="92"/>
      <c r="PUQ57" s="92"/>
      <c r="PUR57" s="92"/>
      <c r="PUS57" s="92"/>
      <c r="PUT57" s="92"/>
      <c r="PUU57" s="92"/>
      <c r="PUV57" s="92"/>
      <c r="PUW57" s="92"/>
      <c r="PUX57" s="92"/>
      <c r="PUY57" s="92"/>
      <c r="PUZ57" s="92"/>
      <c r="PVA57" s="92"/>
      <c r="PVB57" s="92"/>
      <c r="PVC57" s="92"/>
      <c r="PVD57" s="92"/>
      <c r="PVE57" s="92"/>
      <c r="PVF57" s="92"/>
      <c r="PVG57" s="92"/>
      <c r="PVH57" s="92"/>
      <c r="PVI57" s="92"/>
      <c r="PVJ57" s="92"/>
      <c r="PVK57" s="92"/>
      <c r="PVL57" s="92"/>
      <c r="PVM57" s="92"/>
      <c r="PVN57" s="92"/>
      <c r="PVO57" s="92"/>
      <c r="PVP57" s="92"/>
      <c r="PVQ57" s="92"/>
      <c r="PVR57" s="92"/>
      <c r="PVS57" s="92"/>
      <c r="PVT57" s="92"/>
      <c r="PVU57" s="92"/>
      <c r="PVV57" s="92"/>
      <c r="PVW57" s="92"/>
      <c r="PVX57" s="92"/>
      <c r="PVY57" s="92"/>
      <c r="PVZ57" s="92"/>
      <c r="PWA57" s="92"/>
      <c r="PWB57" s="92"/>
      <c r="PWC57" s="92"/>
      <c r="PWD57" s="92"/>
      <c r="PWE57" s="92"/>
      <c r="PWF57" s="92"/>
      <c r="PWG57" s="92"/>
      <c r="PWH57" s="92"/>
      <c r="PWI57" s="92"/>
      <c r="PWJ57" s="92"/>
      <c r="PWK57" s="92"/>
      <c r="PWL57" s="92"/>
      <c r="PWM57" s="92"/>
      <c r="PWN57" s="92"/>
      <c r="PWO57" s="92"/>
      <c r="PWP57" s="92"/>
      <c r="PWQ57" s="92"/>
      <c r="PWR57" s="92"/>
      <c r="PWS57" s="92"/>
      <c r="PWT57" s="92"/>
      <c r="PWU57" s="92"/>
      <c r="PWV57" s="92"/>
      <c r="PWW57" s="92"/>
      <c r="PWX57" s="92"/>
      <c r="PWY57" s="92"/>
      <c r="PWZ57" s="92"/>
      <c r="PXA57" s="92"/>
      <c r="PXB57" s="92"/>
      <c r="PXC57" s="92"/>
      <c r="PXD57" s="92"/>
      <c r="PXE57" s="92"/>
      <c r="PXF57" s="92"/>
      <c r="PXG57" s="92"/>
      <c r="PXH57" s="92"/>
      <c r="PXI57" s="92"/>
      <c r="PXJ57" s="92"/>
      <c r="PXK57" s="92"/>
      <c r="PXL57" s="92"/>
      <c r="PXM57" s="92"/>
      <c r="PXN57" s="92"/>
      <c r="PXO57" s="92"/>
      <c r="PXP57" s="92"/>
      <c r="PXQ57" s="92"/>
      <c r="PXR57" s="92"/>
      <c r="PXS57" s="92"/>
      <c r="PXT57" s="92"/>
      <c r="PXU57" s="92"/>
      <c r="PXV57" s="92"/>
      <c r="PXW57" s="92"/>
      <c r="PXX57" s="92"/>
      <c r="PXY57" s="92"/>
      <c r="PXZ57" s="92"/>
      <c r="PYA57" s="92"/>
      <c r="PYB57" s="92"/>
      <c r="PYC57" s="92"/>
      <c r="PYD57" s="92"/>
      <c r="PYE57" s="92"/>
      <c r="PYF57" s="92"/>
      <c r="PYG57" s="92"/>
      <c r="PYH57" s="92"/>
      <c r="PYI57" s="92"/>
      <c r="PYJ57" s="92"/>
      <c r="PYK57" s="92"/>
      <c r="PYL57" s="92"/>
      <c r="PYM57" s="92"/>
      <c r="PYN57" s="92"/>
      <c r="PYO57" s="92"/>
      <c r="PYP57" s="92"/>
      <c r="PYQ57" s="92"/>
      <c r="PYR57" s="92"/>
      <c r="PYS57" s="92"/>
      <c r="PYT57" s="92"/>
      <c r="PYU57" s="92"/>
      <c r="PYV57" s="92"/>
      <c r="PYW57" s="92"/>
      <c r="PYX57" s="92"/>
      <c r="PYY57" s="92"/>
      <c r="PYZ57" s="92"/>
      <c r="PZA57" s="92"/>
      <c r="PZB57" s="92"/>
      <c r="PZC57" s="92"/>
      <c r="PZD57" s="92"/>
      <c r="PZE57" s="92"/>
      <c r="PZF57" s="92"/>
      <c r="PZG57" s="92"/>
      <c r="PZH57" s="92"/>
      <c r="PZI57" s="92"/>
      <c r="PZJ57" s="92"/>
      <c r="PZK57" s="92"/>
      <c r="PZL57" s="92"/>
      <c r="PZM57" s="92"/>
      <c r="PZN57" s="92"/>
      <c r="PZO57" s="92"/>
      <c r="PZP57" s="92"/>
      <c r="PZQ57" s="92"/>
      <c r="PZR57" s="92"/>
      <c r="PZS57" s="92"/>
      <c r="PZT57" s="92"/>
      <c r="PZU57" s="92"/>
      <c r="PZV57" s="92"/>
      <c r="PZW57" s="92"/>
      <c r="PZX57" s="92"/>
      <c r="PZY57" s="92"/>
      <c r="PZZ57" s="92"/>
      <c r="QAA57" s="92"/>
      <c r="QAB57" s="92"/>
      <c r="QAC57" s="92"/>
      <c r="QAD57" s="92"/>
      <c r="QAE57" s="92"/>
      <c r="QAF57" s="92"/>
      <c r="QAG57" s="92"/>
      <c r="QAH57" s="92"/>
      <c r="QAI57" s="92"/>
      <c r="QAJ57" s="92"/>
      <c r="QAK57" s="92"/>
      <c r="QAL57" s="92"/>
      <c r="QAM57" s="92"/>
      <c r="QAN57" s="92"/>
      <c r="QAO57" s="92"/>
      <c r="QAP57" s="92"/>
      <c r="QAQ57" s="92"/>
      <c r="QAR57" s="92"/>
      <c r="QAS57" s="92"/>
      <c r="QAT57" s="92"/>
      <c r="QAU57" s="92"/>
      <c r="QAV57" s="92"/>
      <c r="QAW57" s="92"/>
      <c r="QAX57" s="92"/>
      <c r="QAY57" s="92"/>
      <c r="QAZ57" s="92"/>
      <c r="QBA57" s="92"/>
      <c r="QBB57" s="92"/>
      <c r="QBC57" s="92"/>
      <c r="QBD57" s="92"/>
      <c r="QBE57" s="92"/>
      <c r="QBF57" s="92"/>
      <c r="QBG57" s="92"/>
      <c r="QBH57" s="92"/>
      <c r="QBI57" s="92"/>
      <c r="QBJ57" s="92"/>
      <c r="QBK57" s="92"/>
      <c r="QBL57" s="92"/>
      <c r="QBM57" s="92"/>
      <c r="QBN57" s="92"/>
      <c r="QBO57" s="92"/>
      <c r="QBP57" s="92"/>
      <c r="QBQ57" s="92"/>
      <c r="QBR57" s="92"/>
      <c r="QBS57" s="92"/>
      <c r="QBT57" s="92"/>
      <c r="QBU57" s="92"/>
      <c r="QBV57" s="92"/>
      <c r="QBW57" s="92"/>
      <c r="QBX57" s="92"/>
      <c r="QBY57" s="92"/>
      <c r="QBZ57" s="92"/>
      <c r="QCA57" s="92"/>
      <c r="QCB57" s="92"/>
      <c r="QCC57" s="92"/>
      <c r="QCD57" s="92"/>
      <c r="QCE57" s="92"/>
      <c r="QCF57" s="92"/>
      <c r="QCG57" s="92"/>
      <c r="QCH57" s="92"/>
      <c r="QCI57" s="92"/>
      <c r="QCJ57" s="92"/>
      <c r="QCK57" s="92"/>
      <c r="QCL57" s="92"/>
      <c r="QCM57" s="92"/>
      <c r="QCN57" s="92"/>
      <c r="QCO57" s="92"/>
      <c r="QCP57" s="92"/>
      <c r="QCQ57" s="92"/>
      <c r="QCR57" s="92"/>
      <c r="QCS57" s="92"/>
      <c r="QCT57" s="92"/>
      <c r="QCU57" s="92"/>
      <c r="QCV57" s="92"/>
      <c r="QCW57" s="92"/>
      <c r="QCX57" s="92"/>
      <c r="QCY57" s="92"/>
      <c r="QCZ57" s="92"/>
      <c r="QDA57" s="92"/>
      <c r="QDB57" s="92"/>
      <c r="QDC57" s="92"/>
      <c r="QDD57" s="92"/>
      <c r="QDE57" s="92"/>
      <c r="QDF57" s="92"/>
      <c r="QDG57" s="92"/>
      <c r="QDH57" s="92"/>
      <c r="QDI57" s="92"/>
      <c r="QDJ57" s="92"/>
      <c r="QDK57" s="92"/>
      <c r="QDL57" s="92"/>
      <c r="QDM57" s="92"/>
      <c r="QDN57" s="92"/>
      <c r="QDO57" s="92"/>
      <c r="QDP57" s="92"/>
      <c r="QDQ57" s="92"/>
      <c r="QDR57" s="92"/>
      <c r="QDS57" s="92"/>
      <c r="QDT57" s="92"/>
      <c r="QDU57" s="92"/>
      <c r="QDV57" s="92"/>
      <c r="QDW57" s="92"/>
      <c r="QDX57" s="92"/>
      <c r="QDY57" s="92"/>
      <c r="QDZ57" s="92"/>
      <c r="QEA57" s="92"/>
      <c r="QEB57" s="92"/>
      <c r="QEC57" s="92"/>
      <c r="QED57" s="92"/>
      <c r="QEE57" s="92"/>
      <c r="QEF57" s="92"/>
      <c r="QEG57" s="92"/>
      <c r="QEH57" s="92"/>
      <c r="QEI57" s="92"/>
      <c r="QEJ57" s="92"/>
      <c r="QEK57" s="92"/>
      <c r="QEL57" s="92"/>
      <c r="QEM57" s="92"/>
      <c r="QEN57" s="92"/>
      <c r="QEO57" s="92"/>
      <c r="QEP57" s="92"/>
      <c r="QEQ57" s="92"/>
      <c r="QER57" s="92"/>
      <c r="QES57" s="92"/>
      <c r="QET57" s="92"/>
      <c r="QEU57" s="92"/>
      <c r="QEV57" s="92"/>
      <c r="QEW57" s="92"/>
      <c r="QEX57" s="92"/>
      <c r="QEY57" s="92"/>
      <c r="QEZ57" s="92"/>
      <c r="QFA57" s="92"/>
      <c r="QFB57" s="92"/>
      <c r="QFC57" s="92"/>
      <c r="QFD57" s="92"/>
      <c r="QFE57" s="92"/>
      <c r="QFF57" s="92"/>
      <c r="QFG57" s="92"/>
      <c r="QFH57" s="92"/>
      <c r="QFI57" s="92"/>
      <c r="QFJ57" s="92"/>
      <c r="QFK57" s="92"/>
      <c r="QFL57" s="92"/>
      <c r="QFM57" s="92"/>
      <c r="QFN57" s="92"/>
      <c r="QFO57" s="92"/>
      <c r="QFP57" s="92"/>
      <c r="QFQ57" s="92"/>
      <c r="QFR57" s="92"/>
      <c r="QFS57" s="92"/>
      <c r="QFT57" s="92"/>
      <c r="QFU57" s="92"/>
      <c r="QFV57" s="92"/>
      <c r="QFW57" s="92"/>
      <c r="QFX57" s="92"/>
      <c r="QFY57" s="92"/>
      <c r="QFZ57" s="92"/>
      <c r="QGA57" s="92"/>
      <c r="QGB57" s="92"/>
      <c r="QGC57" s="92"/>
      <c r="QGD57" s="92"/>
      <c r="QGE57" s="92"/>
      <c r="QGF57" s="92"/>
      <c r="QGG57" s="92"/>
      <c r="QGH57" s="92"/>
      <c r="QGI57" s="92"/>
      <c r="QGJ57" s="92"/>
      <c r="QGK57" s="92"/>
      <c r="QGL57" s="92"/>
      <c r="QGM57" s="92"/>
      <c r="QGN57" s="92"/>
      <c r="QGO57" s="92"/>
      <c r="QGP57" s="92"/>
      <c r="QGQ57" s="92"/>
      <c r="QGR57" s="92"/>
      <c r="QGS57" s="92"/>
      <c r="QGT57" s="92"/>
      <c r="QGU57" s="92"/>
      <c r="QGV57" s="92"/>
      <c r="QGW57" s="92"/>
      <c r="QGX57" s="92"/>
      <c r="QGY57" s="92"/>
      <c r="QGZ57" s="92"/>
      <c r="QHA57" s="92"/>
      <c r="QHB57" s="92"/>
      <c r="QHC57" s="92"/>
      <c r="QHD57" s="92"/>
      <c r="QHE57" s="92"/>
      <c r="QHF57" s="92"/>
      <c r="QHG57" s="92"/>
      <c r="QHH57" s="92"/>
      <c r="QHI57" s="92"/>
      <c r="QHJ57" s="92"/>
      <c r="QHK57" s="92"/>
      <c r="QHL57" s="92"/>
      <c r="QHM57" s="92"/>
      <c r="QHN57" s="92"/>
      <c r="QHO57" s="92"/>
      <c r="QHP57" s="92"/>
      <c r="QHQ57" s="92"/>
      <c r="QHR57" s="92"/>
      <c r="QHS57" s="92"/>
      <c r="QHT57" s="92"/>
      <c r="QHU57" s="92"/>
      <c r="QHV57" s="92"/>
      <c r="QHW57" s="92"/>
      <c r="QHX57" s="92"/>
      <c r="QHY57" s="92"/>
      <c r="QHZ57" s="92"/>
      <c r="QIA57" s="92"/>
      <c r="QIB57" s="92"/>
      <c r="QIC57" s="92"/>
      <c r="QID57" s="92"/>
      <c r="QIE57" s="92"/>
      <c r="QIF57" s="92"/>
      <c r="QIG57" s="92"/>
      <c r="QIH57" s="92"/>
      <c r="QII57" s="92"/>
      <c r="QIJ57" s="92"/>
      <c r="QIK57" s="92"/>
      <c r="QIL57" s="92"/>
      <c r="QIM57" s="92"/>
      <c r="QIN57" s="92"/>
      <c r="QIO57" s="92"/>
      <c r="QIP57" s="92"/>
      <c r="QIQ57" s="92"/>
      <c r="QIR57" s="92"/>
      <c r="QIS57" s="92"/>
      <c r="QIT57" s="92"/>
      <c r="QIU57" s="92"/>
      <c r="QIV57" s="92"/>
      <c r="QIW57" s="92"/>
      <c r="QIX57" s="92"/>
      <c r="QIY57" s="92"/>
      <c r="QIZ57" s="92"/>
      <c r="QJA57" s="92"/>
      <c r="QJB57" s="92"/>
      <c r="QJC57" s="92"/>
      <c r="QJD57" s="92"/>
      <c r="QJE57" s="92"/>
      <c r="QJF57" s="92"/>
      <c r="QJG57" s="92"/>
      <c r="QJH57" s="92"/>
      <c r="QJI57" s="92"/>
      <c r="QJJ57" s="92"/>
      <c r="QJK57" s="92"/>
      <c r="QJL57" s="92"/>
      <c r="QJM57" s="92"/>
      <c r="QJN57" s="92"/>
      <c r="QJO57" s="92"/>
      <c r="QJP57" s="92"/>
      <c r="QJQ57" s="92"/>
      <c r="QJR57" s="92"/>
      <c r="QJS57" s="92"/>
      <c r="QJT57" s="92"/>
      <c r="QJU57" s="92"/>
      <c r="QJV57" s="92"/>
      <c r="QJW57" s="92"/>
      <c r="QJX57" s="92"/>
      <c r="QJY57" s="92"/>
      <c r="QJZ57" s="92"/>
      <c r="QKA57" s="92"/>
      <c r="QKB57" s="92"/>
      <c r="QKC57" s="92"/>
      <c r="QKD57" s="92"/>
      <c r="QKE57" s="92"/>
      <c r="QKF57" s="92"/>
      <c r="QKG57" s="92"/>
      <c r="QKH57" s="92"/>
      <c r="QKI57" s="92"/>
      <c r="QKJ57" s="92"/>
      <c r="QKK57" s="92"/>
      <c r="QKL57" s="92"/>
      <c r="QKM57" s="92"/>
      <c r="QKN57" s="92"/>
      <c r="QKO57" s="92"/>
      <c r="QKP57" s="92"/>
      <c r="QKQ57" s="92"/>
      <c r="QKR57" s="92"/>
      <c r="QKS57" s="92"/>
      <c r="QKT57" s="92"/>
      <c r="QKU57" s="92"/>
      <c r="QKV57" s="92"/>
      <c r="QKW57" s="92"/>
      <c r="QKX57" s="92"/>
      <c r="QKY57" s="92"/>
      <c r="QKZ57" s="92"/>
      <c r="QLA57" s="92"/>
      <c r="QLB57" s="92"/>
      <c r="QLC57" s="92"/>
      <c r="QLD57" s="92"/>
      <c r="QLE57" s="92"/>
      <c r="QLF57" s="92"/>
      <c r="QLG57" s="92"/>
      <c r="QLH57" s="92"/>
      <c r="QLI57" s="92"/>
      <c r="QLJ57" s="92"/>
      <c r="QLK57" s="92"/>
      <c r="QLL57" s="92"/>
      <c r="QLM57" s="92"/>
      <c r="QLN57" s="92"/>
      <c r="QLO57" s="92"/>
      <c r="QLP57" s="92"/>
      <c r="QLQ57" s="92"/>
      <c r="QLR57" s="92"/>
      <c r="QLS57" s="92"/>
      <c r="QLT57" s="92"/>
      <c r="QLU57" s="92"/>
      <c r="QLV57" s="92"/>
      <c r="QLW57" s="92"/>
      <c r="QLX57" s="92"/>
      <c r="QLY57" s="92"/>
      <c r="QLZ57" s="92"/>
      <c r="QMA57" s="92"/>
      <c r="QMB57" s="92"/>
      <c r="QMC57" s="92"/>
      <c r="QMD57" s="92"/>
      <c r="QME57" s="92"/>
      <c r="QMF57" s="92"/>
      <c r="QMG57" s="92"/>
      <c r="QMH57" s="92"/>
      <c r="QMI57" s="92"/>
      <c r="QMJ57" s="92"/>
      <c r="QMK57" s="92"/>
      <c r="QML57" s="92"/>
      <c r="QMM57" s="92"/>
      <c r="QMN57" s="92"/>
      <c r="QMO57" s="92"/>
      <c r="QMP57" s="92"/>
      <c r="QMQ57" s="92"/>
      <c r="QMR57" s="92"/>
      <c r="QMS57" s="92"/>
      <c r="QMT57" s="92"/>
      <c r="QMU57" s="92"/>
      <c r="QMV57" s="92"/>
      <c r="QMW57" s="92"/>
      <c r="QMX57" s="92"/>
      <c r="QMY57" s="92"/>
      <c r="QMZ57" s="92"/>
      <c r="QNA57" s="92"/>
      <c r="QNB57" s="92"/>
      <c r="QNC57" s="92"/>
      <c r="QND57" s="92"/>
      <c r="QNE57" s="92"/>
      <c r="QNF57" s="92"/>
      <c r="QNG57" s="92"/>
      <c r="QNH57" s="92"/>
      <c r="QNI57" s="92"/>
      <c r="QNJ57" s="92"/>
      <c r="QNK57" s="92"/>
      <c r="QNL57" s="92"/>
      <c r="QNM57" s="92"/>
      <c r="QNN57" s="92"/>
      <c r="QNO57" s="92"/>
      <c r="QNP57" s="92"/>
      <c r="QNQ57" s="92"/>
      <c r="QNR57" s="92"/>
      <c r="QNS57" s="92"/>
      <c r="QNT57" s="92"/>
      <c r="QNU57" s="92"/>
      <c r="QNV57" s="92"/>
      <c r="QNW57" s="92"/>
      <c r="QNX57" s="92"/>
      <c r="QNY57" s="92"/>
      <c r="QNZ57" s="92"/>
      <c r="QOA57" s="92"/>
      <c r="QOB57" s="92"/>
      <c r="QOC57" s="92"/>
      <c r="QOD57" s="92"/>
      <c r="QOE57" s="92"/>
      <c r="QOF57" s="92"/>
      <c r="QOG57" s="92"/>
      <c r="QOH57" s="92"/>
      <c r="QOI57" s="92"/>
      <c r="QOJ57" s="92"/>
      <c r="QOK57" s="92"/>
      <c r="QOL57" s="92"/>
      <c r="QOM57" s="92"/>
      <c r="QON57" s="92"/>
      <c r="QOO57" s="92"/>
      <c r="QOP57" s="92"/>
      <c r="QOQ57" s="92"/>
      <c r="QOR57" s="92"/>
      <c r="QOS57" s="92"/>
      <c r="QOT57" s="92"/>
      <c r="QOU57" s="92"/>
      <c r="QOV57" s="92"/>
      <c r="QOW57" s="92"/>
      <c r="QOX57" s="92"/>
      <c r="QOY57" s="92"/>
      <c r="QOZ57" s="92"/>
      <c r="QPA57" s="92"/>
      <c r="QPB57" s="92"/>
      <c r="QPC57" s="92"/>
      <c r="QPD57" s="92"/>
      <c r="QPE57" s="92"/>
      <c r="QPF57" s="92"/>
      <c r="QPG57" s="92"/>
      <c r="QPH57" s="92"/>
      <c r="QPI57" s="92"/>
      <c r="QPJ57" s="92"/>
      <c r="QPK57" s="92"/>
      <c r="QPL57" s="92"/>
      <c r="QPM57" s="92"/>
      <c r="QPN57" s="92"/>
      <c r="QPO57" s="92"/>
      <c r="QPP57" s="92"/>
      <c r="QPQ57" s="92"/>
      <c r="QPR57" s="92"/>
      <c r="QPS57" s="92"/>
      <c r="QPT57" s="92"/>
      <c r="QPU57" s="92"/>
      <c r="QPV57" s="92"/>
      <c r="QPW57" s="92"/>
      <c r="QPX57" s="92"/>
      <c r="QPY57" s="92"/>
      <c r="QPZ57" s="92"/>
      <c r="QQA57" s="92"/>
      <c r="QQB57" s="92"/>
      <c r="QQC57" s="92"/>
      <c r="QQD57" s="92"/>
      <c r="QQE57" s="92"/>
      <c r="QQF57" s="92"/>
      <c r="QQG57" s="92"/>
      <c r="QQH57" s="92"/>
      <c r="QQI57" s="92"/>
      <c r="QQJ57" s="92"/>
      <c r="QQK57" s="92"/>
      <c r="QQL57" s="92"/>
      <c r="QQM57" s="92"/>
      <c r="QQN57" s="92"/>
      <c r="QQO57" s="92"/>
      <c r="QQP57" s="92"/>
      <c r="QQQ57" s="92"/>
      <c r="QQR57" s="92"/>
      <c r="QQS57" s="92"/>
      <c r="QQT57" s="92"/>
      <c r="QQU57" s="92"/>
      <c r="QQV57" s="92"/>
      <c r="QQW57" s="92"/>
      <c r="QQX57" s="92"/>
      <c r="QQY57" s="92"/>
      <c r="QQZ57" s="92"/>
      <c r="QRA57" s="92"/>
      <c r="QRB57" s="92"/>
      <c r="QRC57" s="92"/>
      <c r="QRD57" s="92"/>
      <c r="QRE57" s="92"/>
      <c r="QRF57" s="92"/>
      <c r="QRG57" s="92"/>
      <c r="QRH57" s="92"/>
      <c r="QRI57" s="92"/>
      <c r="QRJ57" s="92"/>
      <c r="QRK57" s="92"/>
      <c r="QRL57" s="92"/>
      <c r="QRM57" s="92"/>
      <c r="QRN57" s="92"/>
      <c r="QRO57" s="92"/>
      <c r="QRP57" s="92"/>
      <c r="QRQ57" s="92"/>
      <c r="QRR57" s="92"/>
      <c r="QRS57" s="92"/>
      <c r="QRT57" s="92"/>
      <c r="QRU57" s="92"/>
      <c r="QRV57" s="92"/>
      <c r="QRW57" s="92"/>
      <c r="QRX57" s="92"/>
      <c r="QRY57" s="92"/>
      <c r="QRZ57" s="92"/>
      <c r="QSA57" s="92"/>
      <c r="QSB57" s="92"/>
      <c r="QSC57" s="92"/>
      <c r="QSD57" s="92"/>
      <c r="QSE57" s="92"/>
      <c r="QSF57" s="92"/>
      <c r="QSG57" s="92"/>
      <c r="QSH57" s="92"/>
      <c r="QSI57" s="92"/>
      <c r="QSJ57" s="92"/>
      <c r="QSK57" s="92"/>
      <c r="QSL57" s="92"/>
      <c r="QSM57" s="92"/>
      <c r="QSN57" s="92"/>
      <c r="QSO57" s="92"/>
      <c r="QSP57" s="92"/>
      <c r="QSQ57" s="92"/>
      <c r="QSR57" s="92"/>
      <c r="QSS57" s="92"/>
      <c r="QST57" s="92"/>
      <c r="QSU57" s="92"/>
      <c r="QSV57" s="92"/>
      <c r="QSW57" s="92"/>
      <c r="QSX57" s="92"/>
      <c r="QSY57" s="92"/>
      <c r="QSZ57" s="92"/>
      <c r="QTA57" s="92"/>
      <c r="QTB57" s="92"/>
      <c r="QTC57" s="92"/>
      <c r="QTD57" s="92"/>
      <c r="QTE57" s="92"/>
      <c r="QTF57" s="92"/>
      <c r="QTG57" s="92"/>
      <c r="QTH57" s="92"/>
      <c r="QTI57" s="92"/>
      <c r="QTJ57" s="92"/>
      <c r="QTK57" s="92"/>
      <c r="QTL57" s="92"/>
      <c r="QTM57" s="92"/>
      <c r="QTN57" s="92"/>
      <c r="QTO57" s="92"/>
      <c r="QTP57" s="92"/>
      <c r="QTQ57" s="92"/>
      <c r="QTR57" s="92"/>
      <c r="QTS57" s="92"/>
      <c r="QTT57" s="92"/>
      <c r="QTU57" s="92"/>
      <c r="QTV57" s="92"/>
      <c r="QTW57" s="92"/>
      <c r="QTX57" s="92"/>
      <c r="QTY57" s="92"/>
      <c r="QTZ57" s="92"/>
      <c r="QUA57" s="92"/>
      <c r="QUB57" s="92"/>
      <c r="QUC57" s="92"/>
      <c r="QUD57" s="92"/>
      <c r="QUE57" s="92"/>
      <c r="QUF57" s="92"/>
      <c r="QUG57" s="92"/>
      <c r="QUH57" s="92"/>
      <c r="QUI57" s="92"/>
      <c r="QUJ57" s="92"/>
      <c r="QUK57" s="92"/>
      <c r="QUL57" s="92"/>
      <c r="QUM57" s="92"/>
      <c r="QUN57" s="92"/>
      <c r="QUO57" s="92"/>
      <c r="QUP57" s="92"/>
      <c r="QUQ57" s="92"/>
      <c r="QUR57" s="92"/>
      <c r="QUS57" s="92"/>
      <c r="QUT57" s="92"/>
      <c r="QUU57" s="92"/>
      <c r="QUV57" s="92"/>
      <c r="QUW57" s="92"/>
      <c r="QUX57" s="92"/>
      <c r="QUY57" s="92"/>
      <c r="QUZ57" s="92"/>
      <c r="QVA57" s="92"/>
      <c r="QVB57" s="92"/>
      <c r="QVC57" s="92"/>
      <c r="QVD57" s="92"/>
      <c r="QVE57" s="92"/>
      <c r="QVF57" s="92"/>
      <c r="QVG57" s="92"/>
      <c r="QVH57" s="92"/>
      <c r="QVI57" s="92"/>
      <c r="QVJ57" s="92"/>
      <c r="QVK57" s="92"/>
      <c r="QVL57" s="92"/>
      <c r="QVM57" s="92"/>
      <c r="QVN57" s="92"/>
      <c r="QVO57" s="92"/>
      <c r="QVP57" s="92"/>
      <c r="QVQ57" s="92"/>
      <c r="QVR57" s="92"/>
      <c r="QVS57" s="92"/>
      <c r="QVT57" s="92"/>
      <c r="QVU57" s="92"/>
      <c r="QVV57" s="92"/>
      <c r="QVW57" s="92"/>
      <c r="QVX57" s="92"/>
      <c r="QVY57" s="92"/>
      <c r="QVZ57" s="92"/>
      <c r="QWA57" s="92"/>
      <c r="QWB57" s="92"/>
      <c r="QWC57" s="92"/>
      <c r="QWD57" s="92"/>
      <c r="QWE57" s="92"/>
      <c r="QWF57" s="92"/>
      <c r="QWG57" s="92"/>
      <c r="QWH57" s="92"/>
      <c r="QWI57" s="92"/>
      <c r="QWJ57" s="92"/>
      <c r="QWK57" s="92"/>
      <c r="QWL57" s="92"/>
      <c r="QWM57" s="92"/>
      <c r="QWN57" s="92"/>
      <c r="QWO57" s="92"/>
      <c r="QWP57" s="92"/>
      <c r="QWQ57" s="92"/>
      <c r="QWR57" s="92"/>
      <c r="QWS57" s="92"/>
      <c r="QWT57" s="92"/>
      <c r="QWU57" s="92"/>
      <c r="QWV57" s="92"/>
      <c r="QWW57" s="92"/>
      <c r="QWX57" s="92"/>
      <c r="QWY57" s="92"/>
      <c r="QWZ57" s="92"/>
      <c r="QXA57" s="92"/>
      <c r="QXB57" s="92"/>
      <c r="QXC57" s="92"/>
      <c r="QXD57" s="92"/>
      <c r="QXE57" s="92"/>
      <c r="QXF57" s="92"/>
      <c r="QXG57" s="92"/>
      <c r="QXH57" s="92"/>
      <c r="QXI57" s="92"/>
      <c r="QXJ57" s="92"/>
      <c r="QXK57" s="92"/>
      <c r="QXL57" s="92"/>
      <c r="QXM57" s="92"/>
      <c r="QXN57" s="92"/>
      <c r="QXO57" s="92"/>
      <c r="QXP57" s="92"/>
      <c r="QXQ57" s="92"/>
      <c r="QXR57" s="92"/>
      <c r="QXS57" s="92"/>
      <c r="QXT57" s="92"/>
      <c r="QXU57" s="92"/>
      <c r="QXV57" s="92"/>
      <c r="QXW57" s="92"/>
      <c r="QXX57" s="92"/>
      <c r="QXY57" s="92"/>
      <c r="QXZ57" s="92"/>
      <c r="QYA57" s="92"/>
      <c r="QYB57" s="92"/>
      <c r="QYC57" s="92"/>
      <c r="QYD57" s="92"/>
      <c r="QYE57" s="92"/>
      <c r="QYF57" s="92"/>
      <c r="QYG57" s="92"/>
      <c r="QYH57" s="92"/>
      <c r="QYI57" s="92"/>
      <c r="QYJ57" s="92"/>
      <c r="QYK57" s="92"/>
      <c r="QYL57" s="92"/>
      <c r="QYM57" s="92"/>
      <c r="QYN57" s="92"/>
      <c r="QYO57" s="92"/>
      <c r="QYP57" s="92"/>
      <c r="QYQ57" s="92"/>
      <c r="QYR57" s="92"/>
      <c r="QYS57" s="92"/>
      <c r="QYT57" s="92"/>
      <c r="QYU57" s="92"/>
      <c r="QYV57" s="92"/>
      <c r="QYW57" s="92"/>
      <c r="QYX57" s="92"/>
      <c r="QYY57" s="92"/>
      <c r="QYZ57" s="92"/>
      <c r="QZA57" s="92"/>
      <c r="QZB57" s="92"/>
      <c r="QZC57" s="92"/>
      <c r="QZD57" s="92"/>
      <c r="QZE57" s="92"/>
      <c r="QZF57" s="92"/>
      <c r="QZG57" s="92"/>
      <c r="QZH57" s="92"/>
      <c r="QZI57" s="92"/>
      <c r="QZJ57" s="92"/>
      <c r="QZK57" s="92"/>
      <c r="QZL57" s="92"/>
      <c r="QZM57" s="92"/>
      <c r="QZN57" s="92"/>
      <c r="QZO57" s="92"/>
      <c r="QZP57" s="92"/>
      <c r="QZQ57" s="92"/>
      <c r="QZR57" s="92"/>
      <c r="QZS57" s="92"/>
      <c r="QZT57" s="92"/>
      <c r="QZU57" s="92"/>
      <c r="QZV57" s="92"/>
      <c r="QZW57" s="92"/>
      <c r="QZX57" s="92"/>
      <c r="QZY57" s="92"/>
      <c r="QZZ57" s="92"/>
      <c r="RAA57" s="92"/>
      <c r="RAB57" s="92"/>
      <c r="RAC57" s="92"/>
      <c r="RAD57" s="92"/>
      <c r="RAE57" s="92"/>
      <c r="RAF57" s="92"/>
      <c r="RAG57" s="92"/>
      <c r="RAH57" s="92"/>
      <c r="RAI57" s="92"/>
      <c r="RAJ57" s="92"/>
      <c r="RAK57" s="92"/>
      <c r="RAL57" s="92"/>
      <c r="RAM57" s="92"/>
      <c r="RAN57" s="92"/>
      <c r="RAO57" s="92"/>
      <c r="RAP57" s="92"/>
      <c r="RAQ57" s="92"/>
      <c r="RAR57" s="92"/>
      <c r="RAS57" s="92"/>
      <c r="RAT57" s="92"/>
      <c r="RAU57" s="92"/>
      <c r="RAV57" s="92"/>
      <c r="RAW57" s="92"/>
      <c r="RAX57" s="92"/>
      <c r="RAY57" s="92"/>
      <c r="RAZ57" s="92"/>
      <c r="RBA57" s="92"/>
      <c r="RBB57" s="92"/>
      <c r="RBC57" s="92"/>
      <c r="RBD57" s="92"/>
      <c r="RBE57" s="92"/>
      <c r="RBF57" s="92"/>
      <c r="RBG57" s="92"/>
      <c r="RBH57" s="92"/>
      <c r="RBI57" s="92"/>
      <c r="RBJ57" s="92"/>
      <c r="RBK57" s="92"/>
      <c r="RBL57" s="92"/>
      <c r="RBM57" s="92"/>
      <c r="RBN57" s="92"/>
      <c r="RBO57" s="92"/>
      <c r="RBP57" s="92"/>
      <c r="RBQ57" s="92"/>
      <c r="RBR57" s="92"/>
      <c r="RBS57" s="92"/>
      <c r="RBT57" s="92"/>
      <c r="RBU57" s="92"/>
      <c r="RBV57" s="92"/>
      <c r="RBW57" s="92"/>
      <c r="RBX57" s="92"/>
      <c r="RBY57" s="92"/>
      <c r="RBZ57" s="92"/>
      <c r="RCA57" s="92"/>
      <c r="RCB57" s="92"/>
      <c r="RCC57" s="92"/>
      <c r="RCD57" s="92"/>
      <c r="RCE57" s="92"/>
      <c r="RCF57" s="92"/>
      <c r="RCG57" s="92"/>
      <c r="RCH57" s="92"/>
      <c r="RCI57" s="92"/>
      <c r="RCJ57" s="92"/>
      <c r="RCK57" s="92"/>
      <c r="RCL57" s="92"/>
      <c r="RCM57" s="92"/>
      <c r="RCN57" s="92"/>
      <c r="RCO57" s="92"/>
      <c r="RCP57" s="92"/>
      <c r="RCQ57" s="92"/>
      <c r="RCR57" s="92"/>
      <c r="RCS57" s="92"/>
      <c r="RCT57" s="92"/>
      <c r="RCU57" s="92"/>
      <c r="RCV57" s="92"/>
      <c r="RCW57" s="92"/>
      <c r="RCX57" s="92"/>
      <c r="RCY57" s="92"/>
      <c r="RCZ57" s="92"/>
      <c r="RDA57" s="92"/>
      <c r="RDB57" s="92"/>
      <c r="RDC57" s="92"/>
      <c r="RDD57" s="92"/>
      <c r="RDE57" s="92"/>
      <c r="RDF57" s="92"/>
      <c r="RDG57" s="92"/>
      <c r="RDH57" s="92"/>
      <c r="RDI57" s="92"/>
      <c r="RDJ57" s="92"/>
      <c r="RDK57" s="92"/>
      <c r="RDL57" s="92"/>
      <c r="RDM57" s="92"/>
      <c r="RDN57" s="92"/>
      <c r="RDO57" s="92"/>
      <c r="RDP57" s="92"/>
      <c r="RDQ57" s="92"/>
      <c r="RDR57" s="92"/>
      <c r="RDS57" s="92"/>
      <c r="RDT57" s="92"/>
      <c r="RDU57" s="92"/>
      <c r="RDV57" s="92"/>
      <c r="RDW57" s="92"/>
      <c r="RDX57" s="92"/>
      <c r="RDY57" s="92"/>
      <c r="RDZ57" s="92"/>
      <c r="REA57" s="92"/>
      <c r="REB57" s="92"/>
      <c r="REC57" s="92"/>
      <c r="RED57" s="92"/>
      <c r="REE57" s="92"/>
      <c r="REF57" s="92"/>
      <c r="REG57" s="92"/>
      <c r="REH57" s="92"/>
      <c r="REI57" s="92"/>
      <c r="REJ57" s="92"/>
      <c r="REK57" s="92"/>
      <c r="REL57" s="92"/>
      <c r="REM57" s="92"/>
      <c r="REN57" s="92"/>
      <c r="REO57" s="92"/>
      <c r="REP57" s="92"/>
      <c r="REQ57" s="92"/>
      <c r="RER57" s="92"/>
      <c r="RES57" s="92"/>
      <c r="RET57" s="92"/>
      <c r="REU57" s="92"/>
      <c r="REV57" s="92"/>
      <c r="REW57" s="92"/>
      <c r="REX57" s="92"/>
      <c r="REY57" s="92"/>
      <c r="REZ57" s="92"/>
      <c r="RFA57" s="92"/>
      <c r="RFB57" s="92"/>
      <c r="RFC57" s="92"/>
      <c r="RFD57" s="92"/>
      <c r="RFE57" s="92"/>
      <c r="RFF57" s="92"/>
      <c r="RFG57" s="92"/>
      <c r="RFH57" s="92"/>
      <c r="RFI57" s="92"/>
      <c r="RFJ57" s="92"/>
      <c r="RFK57" s="92"/>
      <c r="RFL57" s="92"/>
      <c r="RFM57" s="92"/>
      <c r="RFN57" s="92"/>
      <c r="RFO57" s="92"/>
      <c r="RFP57" s="92"/>
      <c r="RFQ57" s="92"/>
      <c r="RFR57" s="92"/>
      <c r="RFS57" s="92"/>
      <c r="RFT57" s="92"/>
      <c r="RFU57" s="92"/>
      <c r="RFV57" s="92"/>
      <c r="RFW57" s="92"/>
      <c r="RFX57" s="92"/>
      <c r="RFY57" s="92"/>
      <c r="RFZ57" s="92"/>
      <c r="RGA57" s="92"/>
      <c r="RGB57" s="92"/>
      <c r="RGC57" s="92"/>
      <c r="RGD57" s="92"/>
      <c r="RGE57" s="92"/>
      <c r="RGF57" s="92"/>
      <c r="RGG57" s="92"/>
      <c r="RGH57" s="92"/>
      <c r="RGI57" s="92"/>
      <c r="RGJ57" s="92"/>
      <c r="RGK57" s="92"/>
      <c r="RGL57" s="92"/>
      <c r="RGM57" s="92"/>
      <c r="RGN57" s="92"/>
      <c r="RGO57" s="92"/>
      <c r="RGP57" s="92"/>
      <c r="RGQ57" s="92"/>
      <c r="RGR57" s="92"/>
      <c r="RGS57" s="92"/>
      <c r="RGT57" s="92"/>
      <c r="RGU57" s="92"/>
      <c r="RGV57" s="92"/>
      <c r="RGW57" s="92"/>
      <c r="RGX57" s="92"/>
      <c r="RGY57" s="92"/>
      <c r="RGZ57" s="92"/>
      <c r="RHA57" s="92"/>
      <c r="RHB57" s="92"/>
      <c r="RHC57" s="92"/>
      <c r="RHD57" s="92"/>
      <c r="RHE57" s="92"/>
      <c r="RHF57" s="92"/>
      <c r="RHG57" s="92"/>
      <c r="RHH57" s="92"/>
      <c r="RHI57" s="92"/>
      <c r="RHJ57" s="92"/>
      <c r="RHK57" s="92"/>
      <c r="RHL57" s="92"/>
      <c r="RHM57" s="92"/>
      <c r="RHN57" s="92"/>
      <c r="RHO57" s="92"/>
      <c r="RHP57" s="92"/>
      <c r="RHQ57" s="92"/>
      <c r="RHR57" s="92"/>
      <c r="RHS57" s="92"/>
      <c r="RHT57" s="92"/>
      <c r="RHU57" s="92"/>
      <c r="RHV57" s="92"/>
      <c r="RHW57" s="92"/>
      <c r="RHX57" s="92"/>
      <c r="RHY57" s="92"/>
      <c r="RHZ57" s="92"/>
      <c r="RIA57" s="92"/>
      <c r="RIB57" s="92"/>
      <c r="RIC57" s="92"/>
      <c r="RID57" s="92"/>
      <c r="RIE57" s="92"/>
      <c r="RIF57" s="92"/>
      <c r="RIG57" s="92"/>
      <c r="RIH57" s="92"/>
      <c r="RII57" s="92"/>
      <c r="RIJ57" s="92"/>
      <c r="RIK57" s="92"/>
      <c r="RIL57" s="92"/>
      <c r="RIM57" s="92"/>
      <c r="RIN57" s="92"/>
      <c r="RIO57" s="92"/>
      <c r="RIP57" s="92"/>
      <c r="RIQ57" s="92"/>
      <c r="RIR57" s="92"/>
      <c r="RIS57" s="92"/>
      <c r="RIT57" s="92"/>
      <c r="RIU57" s="92"/>
      <c r="RIV57" s="92"/>
      <c r="RIW57" s="92"/>
      <c r="RIX57" s="92"/>
      <c r="RIY57" s="92"/>
      <c r="RIZ57" s="92"/>
      <c r="RJA57" s="92"/>
      <c r="RJB57" s="92"/>
      <c r="RJC57" s="92"/>
      <c r="RJD57" s="92"/>
      <c r="RJE57" s="92"/>
      <c r="RJF57" s="92"/>
      <c r="RJG57" s="92"/>
      <c r="RJH57" s="92"/>
      <c r="RJI57" s="92"/>
      <c r="RJJ57" s="92"/>
      <c r="RJK57" s="92"/>
      <c r="RJL57" s="92"/>
      <c r="RJM57" s="92"/>
      <c r="RJN57" s="92"/>
      <c r="RJO57" s="92"/>
      <c r="RJP57" s="92"/>
      <c r="RJQ57" s="92"/>
      <c r="RJR57" s="92"/>
      <c r="RJS57" s="92"/>
      <c r="RJT57" s="92"/>
      <c r="RJU57" s="92"/>
      <c r="RJV57" s="92"/>
      <c r="RJW57" s="92"/>
      <c r="RJX57" s="92"/>
      <c r="RJY57" s="92"/>
      <c r="RJZ57" s="92"/>
      <c r="RKA57" s="92"/>
      <c r="RKB57" s="92"/>
      <c r="RKC57" s="92"/>
      <c r="RKD57" s="92"/>
      <c r="RKE57" s="92"/>
      <c r="RKF57" s="92"/>
      <c r="RKG57" s="92"/>
      <c r="RKH57" s="92"/>
      <c r="RKI57" s="92"/>
      <c r="RKJ57" s="92"/>
      <c r="RKK57" s="92"/>
      <c r="RKL57" s="92"/>
      <c r="RKM57" s="92"/>
      <c r="RKN57" s="92"/>
      <c r="RKO57" s="92"/>
      <c r="RKP57" s="92"/>
      <c r="RKQ57" s="92"/>
      <c r="RKR57" s="92"/>
      <c r="RKS57" s="92"/>
      <c r="RKT57" s="92"/>
      <c r="RKU57" s="92"/>
      <c r="RKV57" s="92"/>
      <c r="RKW57" s="92"/>
      <c r="RKX57" s="92"/>
      <c r="RKY57" s="92"/>
      <c r="RKZ57" s="92"/>
      <c r="RLA57" s="92"/>
      <c r="RLB57" s="92"/>
      <c r="RLC57" s="92"/>
      <c r="RLD57" s="92"/>
      <c r="RLE57" s="92"/>
      <c r="RLF57" s="92"/>
      <c r="RLG57" s="92"/>
      <c r="RLH57" s="92"/>
      <c r="RLI57" s="92"/>
      <c r="RLJ57" s="92"/>
      <c r="RLK57" s="92"/>
      <c r="RLL57" s="92"/>
      <c r="RLM57" s="92"/>
      <c r="RLN57" s="92"/>
      <c r="RLO57" s="92"/>
      <c r="RLP57" s="92"/>
      <c r="RLQ57" s="92"/>
      <c r="RLR57" s="92"/>
      <c r="RLS57" s="92"/>
      <c r="RLT57" s="92"/>
      <c r="RLU57" s="92"/>
      <c r="RLV57" s="92"/>
      <c r="RLW57" s="92"/>
      <c r="RLX57" s="92"/>
      <c r="RLY57" s="92"/>
      <c r="RLZ57" s="92"/>
      <c r="RMA57" s="92"/>
      <c r="RMB57" s="92"/>
      <c r="RMC57" s="92"/>
      <c r="RMD57" s="92"/>
      <c r="RME57" s="92"/>
      <c r="RMF57" s="92"/>
      <c r="RMG57" s="92"/>
      <c r="RMH57" s="92"/>
      <c r="RMI57" s="92"/>
      <c r="RMJ57" s="92"/>
      <c r="RMK57" s="92"/>
      <c r="RML57" s="92"/>
      <c r="RMM57" s="92"/>
      <c r="RMN57" s="92"/>
      <c r="RMO57" s="92"/>
      <c r="RMP57" s="92"/>
      <c r="RMQ57" s="92"/>
      <c r="RMR57" s="92"/>
      <c r="RMS57" s="92"/>
      <c r="RMT57" s="92"/>
      <c r="RMU57" s="92"/>
      <c r="RMV57" s="92"/>
      <c r="RMW57" s="92"/>
      <c r="RMX57" s="92"/>
      <c r="RMY57" s="92"/>
      <c r="RMZ57" s="92"/>
      <c r="RNA57" s="92"/>
      <c r="RNB57" s="92"/>
      <c r="RNC57" s="92"/>
      <c r="RND57" s="92"/>
      <c r="RNE57" s="92"/>
      <c r="RNF57" s="92"/>
      <c r="RNG57" s="92"/>
      <c r="RNH57" s="92"/>
      <c r="RNI57" s="92"/>
      <c r="RNJ57" s="92"/>
      <c r="RNK57" s="92"/>
      <c r="RNL57" s="92"/>
      <c r="RNM57" s="92"/>
      <c r="RNN57" s="92"/>
      <c r="RNO57" s="92"/>
      <c r="RNP57" s="92"/>
      <c r="RNQ57" s="92"/>
      <c r="RNR57" s="92"/>
      <c r="RNS57" s="92"/>
      <c r="RNT57" s="92"/>
      <c r="RNU57" s="92"/>
      <c r="RNV57" s="92"/>
      <c r="RNW57" s="92"/>
      <c r="RNX57" s="92"/>
      <c r="RNY57" s="92"/>
      <c r="RNZ57" s="92"/>
      <c r="ROA57" s="92"/>
      <c r="ROB57" s="92"/>
      <c r="ROC57" s="92"/>
      <c r="ROD57" s="92"/>
      <c r="ROE57" s="92"/>
      <c r="ROF57" s="92"/>
      <c r="ROG57" s="92"/>
      <c r="ROH57" s="92"/>
      <c r="ROI57" s="92"/>
      <c r="ROJ57" s="92"/>
      <c r="ROK57" s="92"/>
      <c r="ROL57" s="92"/>
      <c r="ROM57" s="92"/>
      <c r="RON57" s="92"/>
      <c r="ROO57" s="92"/>
      <c r="ROP57" s="92"/>
      <c r="ROQ57" s="92"/>
      <c r="ROR57" s="92"/>
      <c r="ROS57" s="92"/>
      <c r="ROT57" s="92"/>
      <c r="ROU57" s="92"/>
      <c r="ROV57" s="92"/>
      <c r="ROW57" s="92"/>
      <c r="ROX57" s="92"/>
      <c r="ROY57" s="92"/>
      <c r="ROZ57" s="92"/>
      <c r="RPA57" s="92"/>
      <c r="RPB57" s="92"/>
      <c r="RPC57" s="92"/>
      <c r="RPD57" s="92"/>
      <c r="RPE57" s="92"/>
      <c r="RPF57" s="92"/>
      <c r="RPG57" s="92"/>
      <c r="RPH57" s="92"/>
      <c r="RPI57" s="92"/>
      <c r="RPJ57" s="92"/>
      <c r="RPK57" s="92"/>
      <c r="RPL57" s="92"/>
      <c r="RPM57" s="92"/>
      <c r="RPN57" s="92"/>
      <c r="RPO57" s="92"/>
      <c r="RPP57" s="92"/>
      <c r="RPQ57" s="92"/>
      <c r="RPR57" s="92"/>
      <c r="RPS57" s="92"/>
      <c r="RPT57" s="92"/>
      <c r="RPU57" s="92"/>
      <c r="RPV57" s="92"/>
      <c r="RPW57" s="92"/>
      <c r="RPX57" s="92"/>
      <c r="RPY57" s="92"/>
      <c r="RPZ57" s="92"/>
      <c r="RQA57" s="92"/>
      <c r="RQB57" s="92"/>
      <c r="RQC57" s="92"/>
      <c r="RQD57" s="92"/>
      <c r="RQE57" s="92"/>
      <c r="RQF57" s="92"/>
      <c r="RQG57" s="92"/>
      <c r="RQH57" s="92"/>
      <c r="RQI57" s="92"/>
      <c r="RQJ57" s="92"/>
      <c r="RQK57" s="92"/>
      <c r="RQL57" s="92"/>
      <c r="RQM57" s="92"/>
      <c r="RQN57" s="92"/>
      <c r="RQO57" s="92"/>
      <c r="RQP57" s="92"/>
      <c r="RQQ57" s="92"/>
      <c r="RQR57" s="92"/>
      <c r="RQS57" s="92"/>
      <c r="RQT57" s="92"/>
      <c r="RQU57" s="92"/>
      <c r="RQV57" s="92"/>
      <c r="RQW57" s="92"/>
      <c r="RQX57" s="92"/>
      <c r="RQY57" s="92"/>
      <c r="RQZ57" s="92"/>
      <c r="RRA57" s="92"/>
      <c r="RRB57" s="92"/>
      <c r="RRC57" s="92"/>
      <c r="RRD57" s="92"/>
      <c r="RRE57" s="92"/>
      <c r="RRF57" s="92"/>
      <c r="RRG57" s="92"/>
      <c r="RRH57" s="92"/>
      <c r="RRI57" s="92"/>
      <c r="RRJ57" s="92"/>
      <c r="RRK57" s="92"/>
      <c r="RRL57" s="92"/>
      <c r="RRM57" s="92"/>
      <c r="RRN57" s="92"/>
      <c r="RRO57" s="92"/>
      <c r="RRP57" s="92"/>
      <c r="RRQ57" s="92"/>
      <c r="RRR57" s="92"/>
      <c r="RRS57" s="92"/>
      <c r="RRT57" s="92"/>
      <c r="RRU57" s="92"/>
      <c r="RRV57" s="92"/>
      <c r="RRW57" s="92"/>
      <c r="RRX57" s="92"/>
      <c r="RRY57" s="92"/>
      <c r="RRZ57" s="92"/>
      <c r="RSA57" s="92"/>
      <c r="RSB57" s="92"/>
      <c r="RSC57" s="92"/>
      <c r="RSD57" s="92"/>
      <c r="RSE57" s="92"/>
      <c r="RSF57" s="92"/>
      <c r="RSG57" s="92"/>
      <c r="RSH57" s="92"/>
      <c r="RSI57" s="92"/>
      <c r="RSJ57" s="92"/>
      <c r="RSK57" s="92"/>
      <c r="RSL57" s="92"/>
      <c r="RSM57" s="92"/>
      <c r="RSN57" s="92"/>
      <c r="RSO57" s="92"/>
      <c r="RSP57" s="92"/>
      <c r="RSQ57" s="92"/>
      <c r="RSR57" s="92"/>
      <c r="RSS57" s="92"/>
      <c r="RST57" s="92"/>
      <c r="RSU57" s="92"/>
      <c r="RSV57" s="92"/>
      <c r="RSW57" s="92"/>
      <c r="RSX57" s="92"/>
      <c r="RSY57" s="92"/>
      <c r="RSZ57" s="92"/>
      <c r="RTA57" s="92"/>
      <c r="RTB57" s="92"/>
      <c r="RTC57" s="92"/>
      <c r="RTD57" s="92"/>
      <c r="RTE57" s="92"/>
      <c r="RTF57" s="92"/>
      <c r="RTG57" s="92"/>
      <c r="RTH57" s="92"/>
      <c r="RTI57" s="92"/>
      <c r="RTJ57" s="92"/>
      <c r="RTK57" s="92"/>
      <c r="RTL57" s="92"/>
      <c r="RTM57" s="92"/>
      <c r="RTN57" s="92"/>
      <c r="RTO57" s="92"/>
      <c r="RTP57" s="92"/>
      <c r="RTQ57" s="92"/>
      <c r="RTR57" s="92"/>
      <c r="RTS57" s="92"/>
      <c r="RTT57" s="92"/>
      <c r="RTU57" s="92"/>
      <c r="RTV57" s="92"/>
      <c r="RTW57" s="92"/>
      <c r="RTX57" s="92"/>
      <c r="RTY57" s="92"/>
      <c r="RTZ57" s="92"/>
      <c r="RUA57" s="92"/>
      <c r="RUB57" s="92"/>
      <c r="RUC57" s="92"/>
      <c r="RUD57" s="92"/>
      <c r="RUE57" s="92"/>
      <c r="RUF57" s="92"/>
      <c r="RUG57" s="92"/>
      <c r="RUH57" s="92"/>
      <c r="RUI57" s="92"/>
      <c r="RUJ57" s="92"/>
      <c r="RUK57" s="92"/>
      <c r="RUL57" s="92"/>
      <c r="RUM57" s="92"/>
      <c r="RUN57" s="92"/>
      <c r="RUO57" s="92"/>
      <c r="RUP57" s="92"/>
      <c r="RUQ57" s="92"/>
      <c r="RUR57" s="92"/>
      <c r="RUS57" s="92"/>
      <c r="RUT57" s="92"/>
      <c r="RUU57" s="92"/>
      <c r="RUV57" s="92"/>
      <c r="RUW57" s="92"/>
      <c r="RUX57" s="92"/>
      <c r="RUY57" s="92"/>
      <c r="RUZ57" s="92"/>
      <c r="RVA57" s="92"/>
      <c r="RVB57" s="92"/>
      <c r="RVC57" s="92"/>
      <c r="RVD57" s="92"/>
      <c r="RVE57" s="92"/>
      <c r="RVF57" s="92"/>
      <c r="RVG57" s="92"/>
      <c r="RVH57" s="92"/>
      <c r="RVI57" s="92"/>
      <c r="RVJ57" s="92"/>
      <c r="RVK57" s="92"/>
      <c r="RVL57" s="92"/>
      <c r="RVM57" s="92"/>
      <c r="RVN57" s="92"/>
      <c r="RVO57" s="92"/>
      <c r="RVP57" s="92"/>
      <c r="RVQ57" s="92"/>
      <c r="RVR57" s="92"/>
      <c r="RVS57" s="92"/>
      <c r="RVT57" s="92"/>
      <c r="RVU57" s="92"/>
      <c r="RVV57" s="92"/>
      <c r="RVW57" s="92"/>
      <c r="RVX57" s="92"/>
      <c r="RVY57" s="92"/>
      <c r="RVZ57" s="92"/>
      <c r="RWA57" s="92"/>
      <c r="RWB57" s="92"/>
      <c r="RWC57" s="92"/>
      <c r="RWD57" s="92"/>
      <c r="RWE57" s="92"/>
      <c r="RWF57" s="92"/>
      <c r="RWG57" s="92"/>
      <c r="RWH57" s="92"/>
      <c r="RWI57" s="92"/>
      <c r="RWJ57" s="92"/>
      <c r="RWK57" s="92"/>
      <c r="RWL57" s="92"/>
      <c r="RWM57" s="92"/>
      <c r="RWN57" s="92"/>
      <c r="RWO57" s="92"/>
      <c r="RWP57" s="92"/>
      <c r="RWQ57" s="92"/>
      <c r="RWR57" s="92"/>
      <c r="RWS57" s="92"/>
      <c r="RWT57" s="92"/>
      <c r="RWU57" s="92"/>
      <c r="RWV57" s="92"/>
      <c r="RWW57" s="92"/>
      <c r="RWX57" s="92"/>
      <c r="RWY57" s="92"/>
      <c r="RWZ57" s="92"/>
      <c r="RXA57" s="92"/>
      <c r="RXB57" s="92"/>
      <c r="RXC57" s="92"/>
      <c r="RXD57" s="92"/>
      <c r="RXE57" s="92"/>
      <c r="RXF57" s="92"/>
      <c r="RXG57" s="92"/>
      <c r="RXH57" s="92"/>
      <c r="RXI57" s="92"/>
      <c r="RXJ57" s="92"/>
      <c r="RXK57" s="92"/>
      <c r="RXL57" s="92"/>
      <c r="RXM57" s="92"/>
      <c r="RXN57" s="92"/>
      <c r="RXO57" s="92"/>
      <c r="RXP57" s="92"/>
      <c r="RXQ57" s="92"/>
      <c r="RXR57" s="92"/>
      <c r="RXS57" s="92"/>
      <c r="RXT57" s="92"/>
      <c r="RXU57" s="92"/>
      <c r="RXV57" s="92"/>
      <c r="RXW57" s="92"/>
      <c r="RXX57" s="92"/>
      <c r="RXY57" s="92"/>
      <c r="RXZ57" s="92"/>
      <c r="RYA57" s="92"/>
      <c r="RYB57" s="92"/>
      <c r="RYC57" s="92"/>
      <c r="RYD57" s="92"/>
      <c r="RYE57" s="92"/>
      <c r="RYF57" s="92"/>
      <c r="RYG57" s="92"/>
      <c r="RYH57" s="92"/>
      <c r="RYI57" s="92"/>
      <c r="RYJ57" s="92"/>
      <c r="RYK57" s="92"/>
      <c r="RYL57" s="92"/>
      <c r="RYM57" s="92"/>
      <c r="RYN57" s="92"/>
      <c r="RYO57" s="92"/>
      <c r="RYP57" s="92"/>
      <c r="RYQ57" s="92"/>
      <c r="RYR57" s="92"/>
      <c r="RYS57" s="92"/>
      <c r="RYT57" s="92"/>
      <c r="RYU57" s="92"/>
      <c r="RYV57" s="92"/>
      <c r="RYW57" s="92"/>
      <c r="RYX57" s="92"/>
      <c r="RYY57" s="92"/>
      <c r="RYZ57" s="92"/>
      <c r="RZA57" s="92"/>
      <c r="RZB57" s="92"/>
      <c r="RZC57" s="92"/>
      <c r="RZD57" s="92"/>
      <c r="RZE57" s="92"/>
      <c r="RZF57" s="92"/>
      <c r="RZG57" s="92"/>
      <c r="RZH57" s="92"/>
      <c r="RZI57" s="92"/>
      <c r="RZJ57" s="92"/>
      <c r="RZK57" s="92"/>
      <c r="RZL57" s="92"/>
      <c r="RZM57" s="92"/>
      <c r="RZN57" s="92"/>
      <c r="RZO57" s="92"/>
      <c r="RZP57" s="92"/>
      <c r="RZQ57" s="92"/>
      <c r="RZR57" s="92"/>
      <c r="RZS57" s="92"/>
      <c r="RZT57" s="92"/>
      <c r="RZU57" s="92"/>
      <c r="RZV57" s="92"/>
      <c r="RZW57" s="92"/>
      <c r="RZX57" s="92"/>
      <c r="RZY57" s="92"/>
      <c r="RZZ57" s="92"/>
      <c r="SAA57" s="92"/>
      <c r="SAB57" s="92"/>
      <c r="SAC57" s="92"/>
      <c r="SAD57" s="92"/>
      <c r="SAE57" s="92"/>
      <c r="SAF57" s="92"/>
      <c r="SAG57" s="92"/>
      <c r="SAH57" s="92"/>
      <c r="SAI57" s="92"/>
      <c r="SAJ57" s="92"/>
      <c r="SAK57" s="92"/>
      <c r="SAL57" s="92"/>
      <c r="SAM57" s="92"/>
      <c r="SAN57" s="92"/>
      <c r="SAO57" s="92"/>
      <c r="SAP57" s="92"/>
      <c r="SAQ57" s="92"/>
      <c r="SAR57" s="92"/>
      <c r="SAS57" s="92"/>
      <c r="SAT57" s="92"/>
      <c r="SAU57" s="92"/>
      <c r="SAV57" s="92"/>
      <c r="SAW57" s="92"/>
      <c r="SAX57" s="92"/>
      <c r="SAY57" s="92"/>
      <c r="SAZ57" s="92"/>
      <c r="SBA57" s="92"/>
      <c r="SBB57" s="92"/>
      <c r="SBC57" s="92"/>
      <c r="SBD57" s="92"/>
      <c r="SBE57" s="92"/>
      <c r="SBF57" s="92"/>
      <c r="SBG57" s="92"/>
      <c r="SBH57" s="92"/>
      <c r="SBI57" s="92"/>
      <c r="SBJ57" s="92"/>
      <c r="SBK57" s="92"/>
      <c r="SBL57" s="92"/>
      <c r="SBM57" s="92"/>
      <c r="SBN57" s="92"/>
      <c r="SBO57" s="92"/>
      <c r="SBP57" s="92"/>
      <c r="SBQ57" s="92"/>
      <c r="SBR57" s="92"/>
      <c r="SBS57" s="92"/>
      <c r="SBT57" s="92"/>
      <c r="SBU57" s="92"/>
      <c r="SBV57" s="92"/>
      <c r="SBW57" s="92"/>
      <c r="SBX57" s="92"/>
      <c r="SBY57" s="92"/>
      <c r="SBZ57" s="92"/>
      <c r="SCA57" s="92"/>
      <c r="SCB57" s="92"/>
      <c r="SCC57" s="92"/>
      <c r="SCD57" s="92"/>
      <c r="SCE57" s="92"/>
      <c r="SCF57" s="92"/>
      <c r="SCG57" s="92"/>
      <c r="SCH57" s="92"/>
      <c r="SCI57" s="92"/>
      <c r="SCJ57" s="92"/>
      <c r="SCK57" s="92"/>
      <c r="SCL57" s="92"/>
      <c r="SCM57" s="92"/>
      <c r="SCN57" s="92"/>
      <c r="SCO57" s="92"/>
      <c r="SCP57" s="92"/>
      <c r="SCQ57" s="92"/>
      <c r="SCR57" s="92"/>
      <c r="SCS57" s="92"/>
      <c r="SCT57" s="92"/>
      <c r="SCU57" s="92"/>
      <c r="SCV57" s="92"/>
      <c r="SCW57" s="92"/>
      <c r="SCX57" s="92"/>
      <c r="SCY57" s="92"/>
      <c r="SCZ57" s="92"/>
      <c r="SDA57" s="92"/>
      <c r="SDB57" s="92"/>
      <c r="SDC57" s="92"/>
      <c r="SDD57" s="92"/>
      <c r="SDE57" s="92"/>
      <c r="SDF57" s="92"/>
      <c r="SDG57" s="92"/>
      <c r="SDH57" s="92"/>
      <c r="SDI57" s="92"/>
      <c r="SDJ57" s="92"/>
      <c r="SDK57" s="92"/>
      <c r="SDL57" s="92"/>
      <c r="SDM57" s="92"/>
      <c r="SDN57" s="92"/>
      <c r="SDO57" s="92"/>
      <c r="SDP57" s="92"/>
      <c r="SDQ57" s="92"/>
      <c r="SDR57" s="92"/>
      <c r="SDS57" s="92"/>
      <c r="SDT57" s="92"/>
      <c r="SDU57" s="92"/>
      <c r="SDV57" s="92"/>
      <c r="SDW57" s="92"/>
      <c r="SDX57" s="92"/>
      <c r="SDY57" s="92"/>
      <c r="SDZ57" s="92"/>
      <c r="SEA57" s="92"/>
      <c r="SEB57" s="92"/>
      <c r="SEC57" s="92"/>
      <c r="SED57" s="92"/>
      <c r="SEE57" s="92"/>
      <c r="SEF57" s="92"/>
      <c r="SEG57" s="92"/>
      <c r="SEH57" s="92"/>
      <c r="SEI57" s="92"/>
      <c r="SEJ57" s="92"/>
      <c r="SEK57" s="92"/>
      <c r="SEL57" s="92"/>
      <c r="SEM57" s="92"/>
      <c r="SEN57" s="92"/>
      <c r="SEO57" s="92"/>
      <c r="SEP57" s="92"/>
      <c r="SEQ57" s="92"/>
      <c r="SER57" s="92"/>
      <c r="SES57" s="92"/>
      <c r="SET57" s="92"/>
      <c r="SEU57" s="92"/>
      <c r="SEV57" s="92"/>
      <c r="SEW57" s="92"/>
      <c r="SEX57" s="92"/>
      <c r="SEY57" s="92"/>
      <c r="SEZ57" s="92"/>
      <c r="SFA57" s="92"/>
      <c r="SFB57" s="92"/>
      <c r="SFC57" s="92"/>
      <c r="SFD57" s="92"/>
      <c r="SFE57" s="92"/>
      <c r="SFF57" s="92"/>
      <c r="SFG57" s="92"/>
      <c r="SFH57" s="92"/>
      <c r="SFI57" s="92"/>
      <c r="SFJ57" s="92"/>
      <c r="SFK57" s="92"/>
      <c r="SFL57" s="92"/>
      <c r="SFM57" s="92"/>
      <c r="SFN57" s="92"/>
      <c r="SFO57" s="92"/>
      <c r="SFP57" s="92"/>
      <c r="SFQ57" s="92"/>
      <c r="SFR57" s="92"/>
      <c r="SFS57" s="92"/>
      <c r="SFT57" s="92"/>
      <c r="SFU57" s="92"/>
      <c r="SFV57" s="92"/>
      <c r="SFW57" s="92"/>
      <c r="SFX57" s="92"/>
      <c r="SFY57" s="92"/>
      <c r="SFZ57" s="92"/>
      <c r="SGA57" s="92"/>
      <c r="SGB57" s="92"/>
      <c r="SGC57" s="92"/>
      <c r="SGD57" s="92"/>
      <c r="SGE57" s="92"/>
      <c r="SGF57" s="92"/>
      <c r="SGG57" s="92"/>
      <c r="SGH57" s="92"/>
      <c r="SGI57" s="92"/>
      <c r="SGJ57" s="92"/>
      <c r="SGK57" s="92"/>
      <c r="SGL57" s="92"/>
      <c r="SGM57" s="92"/>
      <c r="SGN57" s="92"/>
      <c r="SGO57" s="92"/>
      <c r="SGP57" s="92"/>
      <c r="SGQ57" s="92"/>
      <c r="SGR57" s="92"/>
      <c r="SGS57" s="92"/>
      <c r="SGT57" s="92"/>
      <c r="SGU57" s="92"/>
      <c r="SGV57" s="92"/>
      <c r="SGW57" s="92"/>
      <c r="SGX57" s="92"/>
      <c r="SGY57" s="92"/>
      <c r="SGZ57" s="92"/>
      <c r="SHA57" s="92"/>
      <c r="SHB57" s="92"/>
      <c r="SHC57" s="92"/>
      <c r="SHD57" s="92"/>
      <c r="SHE57" s="92"/>
      <c r="SHF57" s="92"/>
      <c r="SHG57" s="92"/>
      <c r="SHH57" s="92"/>
      <c r="SHI57" s="92"/>
      <c r="SHJ57" s="92"/>
      <c r="SHK57" s="92"/>
      <c r="SHL57" s="92"/>
      <c r="SHM57" s="92"/>
      <c r="SHN57" s="92"/>
      <c r="SHO57" s="92"/>
      <c r="SHP57" s="92"/>
      <c r="SHQ57" s="92"/>
      <c r="SHR57" s="92"/>
      <c r="SHS57" s="92"/>
      <c r="SHT57" s="92"/>
      <c r="SHU57" s="92"/>
      <c r="SHV57" s="92"/>
      <c r="SHW57" s="92"/>
      <c r="SHX57" s="92"/>
      <c r="SHY57" s="92"/>
      <c r="SHZ57" s="92"/>
      <c r="SIA57" s="92"/>
      <c r="SIB57" s="92"/>
      <c r="SIC57" s="92"/>
      <c r="SID57" s="92"/>
      <c r="SIE57" s="92"/>
      <c r="SIF57" s="92"/>
      <c r="SIG57" s="92"/>
      <c r="SIH57" s="92"/>
      <c r="SII57" s="92"/>
      <c r="SIJ57" s="92"/>
      <c r="SIK57" s="92"/>
      <c r="SIL57" s="92"/>
      <c r="SIM57" s="92"/>
      <c r="SIN57" s="92"/>
      <c r="SIO57" s="92"/>
      <c r="SIP57" s="92"/>
      <c r="SIQ57" s="92"/>
      <c r="SIR57" s="92"/>
      <c r="SIS57" s="92"/>
      <c r="SIT57" s="92"/>
      <c r="SIU57" s="92"/>
      <c r="SIV57" s="92"/>
      <c r="SIW57" s="92"/>
      <c r="SIX57" s="92"/>
      <c r="SIY57" s="92"/>
      <c r="SIZ57" s="92"/>
      <c r="SJA57" s="92"/>
      <c r="SJB57" s="92"/>
      <c r="SJC57" s="92"/>
      <c r="SJD57" s="92"/>
      <c r="SJE57" s="92"/>
      <c r="SJF57" s="92"/>
      <c r="SJG57" s="92"/>
      <c r="SJH57" s="92"/>
      <c r="SJI57" s="92"/>
      <c r="SJJ57" s="92"/>
      <c r="SJK57" s="92"/>
      <c r="SJL57" s="92"/>
      <c r="SJM57" s="92"/>
      <c r="SJN57" s="92"/>
      <c r="SJO57" s="92"/>
      <c r="SJP57" s="92"/>
      <c r="SJQ57" s="92"/>
      <c r="SJR57" s="92"/>
      <c r="SJS57" s="92"/>
      <c r="SJT57" s="92"/>
      <c r="SJU57" s="92"/>
      <c r="SJV57" s="92"/>
      <c r="SJW57" s="92"/>
      <c r="SJX57" s="92"/>
      <c r="SJY57" s="92"/>
      <c r="SJZ57" s="92"/>
      <c r="SKA57" s="92"/>
      <c r="SKB57" s="92"/>
      <c r="SKC57" s="92"/>
      <c r="SKD57" s="92"/>
      <c r="SKE57" s="92"/>
      <c r="SKF57" s="92"/>
      <c r="SKG57" s="92"/>
      <c r="SKH57" s="92"/>
      <c r="SKI57" s="92"/>
      <c r="SKJ57" s="92"/>
      <c r="SKK57" s="92"/>
      <c r="SKL57" s="92"/>
      <c r="SKM57" s="92"/>
      <c r="SKN57" s="92"/>
      <c r="SKO57" s="92"/>
      <c r="SKP57" s="92"/>
      <c r="SKQ57" s="92"/>
      <c r="SKR57" s="92"/>
      <c r="SKS57" s="92"/>
      <c r="SKT57" s="92"/>
      <c r="SKU57" s="92"/>
      <c r="SKV57" s="92"/>
      <c r="SKW57" s="92"/>
      <c r="SKX57" s="92"/>
      <c r="SKY57" s="92"/>
      <c r="SKZ57" s="92"/>
      <c r="SLA57" s="92"/>
      <c r="SLB57" s="92"/>
      <c r="SLC57" s="92"/>
      <c r="SLD57" s="92"/>
      <c r="SLE57" s="92"/>
      <c r="SLF57" s="92"/>
      <c r="SLG57" s="92"/>
      <c r="SLH57" s="92"/>
      <c r="SLI57" s="92"/>
      <c r="SLJ57" s="92"/>
      <c r="SLK57" s="92"/>
      <c r="SLL57" s="92"/>
      <c r="SLM57" s="92"/>
      <c r="SLN57" s="92"/>
      <c r="SLO57" s="92"/>
      <c r="SLP57" s="92"/>
      <c r="SLQ57" s="92"/>
      <c r="SLR57" s="92"/>
      <c r="SLS57" s="92"/>
      <c r="SLT57" s="92"/>
      <c r="SLU57" s="92"/>
      <c r="SLV57" s="92"/>
      <c r="SLW57" s="92"/>
      <c r="SLX57" s="92"/>
      <c r="SLY57" s="92"/>
      <c r="SLZ57" s="92"/>
      <c r="SMA57" s="92"/>
      <c r="SMB57" s="92"/>
      <c r="SMC57" s="92"/>
      <c r="SMD57" s="92"/>
      <c r="SME57" s="92"/>
      <c r="SMF57" s="92"/>
      <c r="SMG57" s="92"/>
      <c r="SMH57" s="92"/>
      <c r="SMI57" s="92"/>
      <c r="SMJ57" s="92"/>
      <c r="SMK57" s="92"/>
      <c r="SML57" s="92"/>
      <c r="SMM57" s="92"/>
      <c r="SMN57" s="92"/>
      <c r="SMO57" s="92"/>
      <c r="SMP57" s="92"/>
      <c r="SMQ57" s="92"/>
      <c r="SMR57" s="92"/>
      <c r="SMS57" s="92"/>
      <c r="SMT57" s="92"/>
      <c r="SMU57" s="92"/>
      <c r="SMV57" s="92"/>
      <c r="SMW57" s="92"/>
      <c r="SMX57" s="92"/>
      <c r="SMY57" s="92"/>
      <c r="SMZ57" s="92"/>
      <c r="SNA57" s="92"/>
      <c r="SNB57" s="92"/>
      <c r="SNC57" s="92"/>
      <c r="SND57" s="92"/>
      <c r="SNE57" s="92"/>
      <c r="SNF57" s="92"/>
      <c r="SNG57" s="92"/>
      <c r="SNH57" s="92"/>
      <c r="SNI57" s="92"/>
      <c r="SNJ57" s="92"/>
      <c r="SNK57" s="92"/>
      <c r="SNL57" s="92"/>
      <c r="SNM57" s="92"/>
      <c r="SNN57" s="92"/>
      <c r="SNO57" s="92"/>
      <c r="SNP57" s="92"/>
      <c r="SNQ57" s="92"/>
      <c r="SNR57" s="92"/>
      <c r="SNS57" s="92"/>
      <c r="SNT57" s="92"/>
      <c r="SNU57" s="92"/>
      <c r="SNV57" s="92"/>
      <c r="SNW57" s="92"/>
      <c r="SNX57" s="92"/>
      <c r="SNY57" s="92"/>
      <c r="SNZ57" s="92"/>
      <c r="SOA57" s="92"/>
      <c r="SOB57" s="92"/>
      <c r="SOC57" s="92"/>
      <c r="SOD57" s="92"/>
      <c r="SOE57" s="92"/>
      <c r="SOF57" s="92"/>
      <c r="SOG57" s="92"/>
      <c r="SOH57" s="92"/>
      <c r="SOI57" s="92"/>
      <c r="SOJ57" s="92"/>
      <c r="SOK57" s="92"/>
      <c r="SOL57" s="92"/>
      <c r="SOM57" s="92"/>
      <c r="SON57" s="92"/>
      <c r="SOO57" s="92"/>
      <c r="SOP57" s="92"/>
      <c r="SOQ57" s="92"/>
      <c r="SOR57" s="92"/>
      <c r="SOS57" s="92"/>
      <c r="SOT57" s="92"/>
      <c r="SOU57" s="92"/>
      <c r="SOV57" s="92"/>
      <c r="SOW57" s="92"/>
      <c r="SOX57" s="92"/>
      <c r="SOY57" s="92"/>
      <c r="SOZ57" s="92"/>
      <c r="SPA57" s="92"/>
      <c r="SPB57" s="92"/>
      <c r="SPC57" s="92"/>
      <c r="SPD57" s="92"/>
      <c r="SPE57" s="92"/>
      <c r="SPF57" s="92"/>
      <c r="SPG57" s="92"/>
      <c r="SPH57" s="92"/>
      <c r="SPI57" s="92"/>
      <c r="SPJ57" s="92"/>
      <c r="SPK57" s="92"/>
      <c r="SPL57" s="92"/>
      <c r="SPM57" s="92"/>
      <c r="SPN57" s="92"/>
      <c r="SPO57" s="92"/>
      <c r="SPP57" s="92"/>
      <c r="SPQ57" s="92"/>
      <c r="SPR57" s="92"/>
      <c r="SPS57" s="92"/>
      <c r="SPT57" s="92"/>
      <c r="SPU57" s="92"/>
      <c r="SPV57" s="92"/>
      <c r="SPW57" s="92"/>
      <c r="SPX57" s="92"/>
      <c r="SPY57" s="92"/>
      <c r="SPZ57" s="92"/>
      <c r="SQA57" s="92"/>
      <c r="SQB57" s="92"/>
      <c r="SQC57" s="92"/>
      <c r="SQD57" s="92"/>
      <c r="SQE57" s="92"/>
      <c r="SQF57" s="92"/>
      <c r="SQG57" s="92"/>
      <c r="SQH57" s="92"/>
      <c r="SQI57" s="92"/>
      <c r="SQJ57" s="92"/>
      <c r="SQK57" s="92"/>
      <c r="SQL57" s="92"/>
      <c r="SQM57" s="92"/>
      <c r="SQN57" s="92"/>
      <c r="SQO57" s="92"/>
      <c r="SQP57" s="92"/>
      <c r="SQQ57" s="92"/>
      <c r="SQR57" s="92"/>
      <c r="SQS57" s="92"/>
      <c r="SQT57" s="92"/>
      <c r="SQU57" s="92"/>
      <c r="SQV57" s="92"/>
      <c r="SQW57" s="92"/>
      <c r="SQX57" s="92"/>
      <c r="SQY57" s="92"/>
      <c r="SQZ57" s="92"/>
      <c r="SRA57" s="92"/>
      <c r="SRB57" s="92"/>
      <c r="SRC57" s="92"/>
      <c r="SRD57" s="92"/>
      <c r="SRE57" s="92"/>
      <c r="SRF57" s="92"/>
      <c r="SRG57" s="92"/>
      <c r="SRH57" s="92"/>
      <c r="SRI57" s="92"/>
      <c r="SRJ57" s="92"/>
      <c r="SRK57" s="92"/>
      <c r="SRL57" s="92"/>
      <c r="SRM57" s="92"/>
      <c r="SRN57" s="92"/>
      <c r="SRO57" s="92"/>
      <c r="SRP57" s="92"/>
      <c r="SRQ57" s="92"/>
      <c r="SRR57" s="92"/>
      <c r="SRS57" s="92"/>
      <c r="SRT57" s="92"/>
      <c r="SRU57" s="92"/>
      <c r="SRV57" s="92"/>
      <c r="SRW57" s="92"/>
      <c r="SRX57" s="92"/>
      <c r="SRY57" s="92"/>
      <c r="SRZ57" s="92"/>
      <c r="SSA57" s="92"/>
      <c r="SSB57" s="92"/>
      <c r="SSC57" s="92"/>
      <c r="SSD57" s="92"/>
      <c r="SSE57" s="92"/>
      <c r="SSF57" s="92"/>
      <c r="SSG57" s="92"/>
      <c r="SSH57" s="92"/>
      <c r="SSI57" s="92"/>
      <c r="SSJ57" s="92"/>
      <c r="SSK57" s="92"/>
      <c r="SSL57" s="92"/>
      <c r="SSM57" s="92"/>
      <c r="SSN57" s="92"/>
      <c r="SSO57" s="92"/>
      <c r="SSP57" s="92"/>
      <c r="SSQ57" s="92"/>
      <c r="SSR57" s="92"/>
      <c r="SSS57" s="92"/>
      <c r="SST57" s="92"/>
      <c r="SSU57" s="92"/>
      <c r="SSV57" s="92"/>
      <c r="SSW57" s="92"/>
      <c r="SSX57" s="92"/>
      <c r="SSY57" s="92"/>
      <c r="SSZ57" s="92"/>
      <c r="STA57" s="92"/>
      <c r="STB57" s="92"/>
      <c r="STC57" s="92"/>
      <c r="STD57" s="92"/>
      <c r="STE57" s="92"/>
      <c r="STF57" s="92"/>
      <c r="STG57" s="92"/>
      <c r="STH57" s="92"/>
      <c r="STI57" s="92"/>
      <c r="STJ57" s="92"/>
      <c r="STK57" s="92"/>
      <c r="STL57" s="92"/>
      <c r="STM57" s="92"/>
      <c r="STN57" s="92"/>
      <c r="STO57" s="92"/>
      <c r="STP57" s="92"/>
      <c r="STQ57" s="92"/>
      <c r="STR57" s="92"/>
      <c r="STS57" s="92"/>
      <c r="STT57" s="92"/>
      <c r="STU57" s="92"/>
      <c r="STV57" s="92"/>
      <c r="STW57" s="92"/>
      <c r="STX57" s="92"/>
      <c r="STY57" s="92"/>
      <c r="STZ57" s="92"/>
      <c r="SUA57" s="92"/>
      <c r="SUB57" s="92"/>
      <c r="SUC57" s="92"/>
      <c r="SUD57" s="92"/>
      <c r="SUE57" s="92"/>
      <c r="SUF57" s="92"/>
      <c r="SUG57" s="92"/>
      <c r="SUH57" s="92"/>
      <c r="SUI57" s="92"/>
      <c r="SUJ57" s="92"/>
      <c r="SUK57" s="92"/>
      <c r="SUL57" s="92"/>
      <c r="SUM57" s="92"/>
      <c r="SUN57" s="92"/>
      <c r="SUO57" s="92"/>
      <c r="SUP57" s="92"/>
      <c r="SUQ57" s="92"/>
      <c r="SUR57" s="92"/>
      <c r="SUS57" s="92"/>
      <c r="SUT57" s="92"/>
      <c r="SUU57" s="92"/>
      <c r="SUV57" s="92"/>
      <c r="SUW57" s="92"/>
      <c r="SUX57" s="92"/>
      <c r="SUY57" s="92"/>
      <c r="SUZ57" s="92"/>
      <c r="SVA57" s="92"/>
      <c r="SVB57" s="92"/>
      <c r="SVC57" s="92"/>
      <c r="SVD57" s="92"/>
      <c r="SVE57" s="92"/>
      <c r="SVF57" s="92"/>
      <c r="SVG57" s="92"/>
      <c r="SVH57" s="92"/>
      <c r="SVI57" s="92"/>
      <c r="SVJ57" s="92"/>
      <c r="SVK57" s="92"/>
      <c r="SVL57" s="92"/>
      <c r="SVM57" s="92"/>
      <c r="SVN57" s="92"/>
      <c r="SVO57" s="92"/>
      <c r="SVP57" s="92"/>
      <c r="SVQ57" s="92"/>
      <c r="SVR57" s="92"/>
      <c r="SVS57" s="92"/>
      <c r="SVT57" s="92"/>
      <c r="SVU57" s="92"/>
      <c r="SVV57" s="92"/>
      <c r="SVW57" s="92"/>
      <c r="SVX57" s="92"/>
      <c r="SVY57" s="92"/>
      <c r="SVZ57" s="92"/>
      <c r="SWA57" s="92"/>
      <c r="SWB57" s="92"/>
      <c r="SWC57" s="92"/>
      <c r="SWD57" s="92"/>
      <c r="SWE57" s="92"/>
      <c r="SWF57" s="92"/>
      <c r="SWG57" s="92"/>
      <c r="SWH57" s="92"/>
      <c r="SWI57" s="92"/>
      <c r="SWJ57" s="92"/>
      <c r="SWK57" s="92"/>
      <c r="SWL57" s="92"/>
      <c r="SWM57" s="92"/>
      <c r="SWN57" s="92"/>
      <c r="SWO57" s="92"/>
      <c r="SWP57" s="92"/>
      <c r="SWQ57" s="92"/>
      <c r="SWR57" s="92"/>
      <c r="SWS57" s="92"/>
      <c r="SWT57" s="92"/>
      <c r="SWU57" s="92"/>
      <c r="SWV57" s="92"/>
      <c r="SWW57" s="92"/>
      <c r="SWX57" s="92"/>
      <c r="SWY57" s="92"/>
      <c r="SWZ57" s="92"/>
      <c r="SXA57" s="92"/>
      <c r="SXB57" s="92"/>
      <c r="SXC57" s="92"/>
      <c r="SXD57" s="92"/>
      <c r="SXE57" s="92"/>
      <c r="SXF57" s="92"/>
      <c r="SXG57" s="92"/>
      <c r="SXH57" s="92"/>
      <c r="SXI57" s="92"/>
      <c r="SXJ57" s="92"/>
      <c r="SXK57" s="92"/>
      <c r="SXL57" s="92"/>
      <c r="SXM57" s="92"/>
      <c r="SXN57" s="92"/>
      <c r="SXO57" s="92"/>
      <c r="SXP57" s="92"/>
      <c r="SXQ57" s="92"/>
      <c r="SXR57" s="92"/>
      <c r="SXS57" s="92"/>
      <c r="SXT57" s="92"/>
      <c r="SXU57" s="92"/>
      <c r="SXV57" s="92"/>
      <c r="SXW57" s="92"/>
      <c r="SXX57" s="92"/>
      <c r="SXY57" s="92"/>
      <c r="SXZ57" s="92"/>
      <c r="SYA57" s="92"/>
      <c r="SYB57" s="92"/>
      <c r="SYC57" s="92"/>
      <c r="SYD57" s="92"/>
      <c r="SYE57" s="92"/>
      <c r="SYF57" s="92"/>
      <c r="SYG57" s="92"/>
      <c r="SYH57" s="92"/>
      <c r="SYI57" s="92"/>
      <c r="SYJ57" s="92"/>
      <c r="SYK57" s="92"/>
      <c r="SYL57" s="92"/>
      <c r="SYM57" s="92"/>
      <c r="SYN57" s="92"/>
      <c r="SYO57" s="92"/>
      <c r="SYP57" s="92"/>
      <c r="SYQ57" s="92"/>
      <c r="SYR57" s="92"/>
      <c r="SYS57" s="92"/>
      <c r="SYT57" s="92"/>
      <c r="SYU57" s="92"/>
      <c r="SYV57" s="92"/>
      <c r="SYW57" s="92"/>
      <c r="SYX57" s="92"/>
      <c r="SYY57" s="92"/>
      <c r="SYZ57" s="92"/>
      <c r="SZA57" s="92"/>
      <c r="SZB57" s="92"/>
      <c r="SZC57" s="92"/>
      <c r="SZD57" s="92"/>
      <c r="SZE57" s="92"/>
      <c r="SZF57" s="92"/>
      <c r="SZG57" s="92"/>
      <c r="SZH57" s="92"/>
      <c r="SZI57" s="92"/>
      <c r="SZJ57" s="92"/>
      <c r="SZK57" s="92"/>
      <c r="SZL57" s="92"/>
      <c r="SZM57" s="92"/>
      <c r="SZN57" s="92"/>
      <c r="SZO57" s="92"/>
      <c r="SZP57" s="92"/>
      <c r="SZQ57" s="92"/>
      <c r="SZR57" s="92"/>
      <c r="SZS57" s="92"/>
      <c r="SZT57" s="92"/>
      <c r="SZU57" s="92"/>
      <c r="SZV57" s="92"/>
      <c r="SZW57" s="92"/>
      <c r="SZX57" s="92"/>
      <c r="SZY57" s="92"/>
      <c r="SZZ57" s="92"/>
      <c r="TAA57" s="92"/>
      <c r="TAB57" s="92"/>
      <c r="TAC57" s="92"/>
      <c r="TAD57" s="92"/>
      <c r="TAE57" s="92"/>
      <c r="TAF57" s="92"/>
      <c r="TAG57" s="92"/>
      <c r="TAH57" s="92"/>
      <c r="TAI57" s="92"/>
      <c r="TAJ57" s="92"/>
      <c r="TAK57" s="92"/>
      <c r="TAL57" s="92"/>
      <c r="TAM57" s="92"/>
      <c r="TAN57" s="92"/>
      <c r="TAO57" s="92"/>
      <c r="TAP57" s="92"/>
      <c r="TAQ57" s="92"/>
      <c r="TAR57" s="92"/>
      <c r="TAS57" s="92"/>
      <c r="TAT57" s="92"/>
      <c r="TAU57" s="92"/>
      <c r="TAV57" s="92"/>
      <c r="TAW57" s="92"/>
      <c r="TAX57" s="92"/>
      <c r="TAY57" s="92"/>
      <c r="TAZ57" s="92"/>
      <c r="TBA57" s="92"/>
      <c r="TBB57" s="92"/>
      <c r="TBC57" s="92"/>
      <c r="TBD57" s="92"/>
      <c r="TBE57" s="92"/>
      <c r="TBF57" s="92"/>
      <c r="TBG57" s="92"/>
      <c r="TBH57" s="92"/>
      <c r="TBI57" s="92"/>
      <c r="TBJ57" s="92"/>
      <c r="TBK57" s="92"/>
      <c r="TBL57" s="92"/>
      <c r="TBM57" s="92"/>
      <c r="TBN57" s="92"/>
      <c r="TBO57" s="92"/>
      <c r="TBP57" s="92"/>
      <c r="TBQ57" s="92"/>
      <c r="TBR57" s="92"/>
      <c r="TBS57" s="92"/>
      <c r="TBT57" s="92"/>
      <c r="TBU57" s="92"/>
      <c r="TBV57" s="92"/>
      <c r="TBW57" s="92"/>
      <c r="TBX57" s="92"/>
      <c r="TBY57" s="92"/>
      <c r="TBZ57" s="92"/>
      <c r="TCA57" s="92"/>
      <c r="TCB57" s="92"/>
      <c r="TCC57" s="92"/>
      <c r="TCD57" s="92"/>
      <c r="TCE57" s="92"/>
      <c r="TCF57" s="92"/>
      <c r="TCG57" s="92"/>
      <c r="TCH57" s="92"/>
      <c r="TCI57" s="92"/>
      <c r="TCJ57" s="92"/>
      <c r="TCK57" s="92"/>
      <c r="TCL57" s="92"/>
      <c r="TCM57" s="92"/>
      <c r="TCN57" s="92"/>
      <c r="TCO57" s="92"/>
      <c r="TCP57" s="92"/>
      <c r="TCQ57" s="92"/>
      <c r="TCR57" s="92"/>
      <c r="TCS57" s="92"/>
      <c r="TCT57" s="92"/>
      <c r="TCU57" s="92"/>
      <c r="TCV57" s="92"/>
      <c r="TCW57" s="92"/>
      <c r="TCX57" s="92"/>
      <c r="TCY57" s="92"/>
      <c r="TCZ57" s="92"/>
      <c r="TDA57" s="92"/>
      <c r="TDB57" s="92"/>
      <c r="TDC57" s="92"/>
      <c r="TDD57" s="92"/>
      <c r="TDE57" s="92"/>
      <c r="TDF57" s="92"/>
      <c r="TDG57" s="92"/>
      <c r="TDH57" s="92"/>
      <c r="TDI57" s="92"/>
      <c r="TDJ57" s="92"/>
      <c r="TDK57" s="92"/>
      <c r="TDL57" s="92"/>
      <c r="TDM57" s="92"/>
      <c r="TDN57" s="92"/>
      <c r="TDO57" s="92"/>
      <c r="TDP57" s="92"/>
      <c r="TDQ57" s="92"/>
      <c r="TDR57" s="92"/>
      <c r="TDS57" s="92"/>
      <c r="TDT57" s="92"/>
      <c r="TDU57" s="92"/>
      <c r="TDV57" s="92"/>
      <c r="TDW57" s="92"/>
      <c r="TDX57" s="92"/>
      <c r="TDY57" s="92"/>
      <c r="TDZ57" s="92"/>
      <c r="TEA57" s="92"/>
      <c r="TEB57" s="92"/>
      <c r="TEC57" s="92"/>
      <c r="TED57" s="92"/>
      <c r="TEE57" s="92"/>
      <c r="TEF57" s="92"/>
      <c r="TEG57" s="92"/>
      <c r="TEH57" s="92"/>
      <c r="TEI57" s="92"/>
      <c r="TEJ57" s="92"/>
      <c r="TEK57" s="92"/>
      <c r="TEL57" s="92"/>
      <c r="TEM57" s="92"/>
      <c r="TEN57" s="92"/>
      <c r="TEO57" s="92"/>
      <c r="TEP57" s="92"/>
      <c r="TEQ57" s="92"/>
      <c r="TER57" s="92"/>
      <c r="TES57" s="92"/>
      <c r="TET57" s="92"/>
      <c r="TEU57" s="92"/>
      <c r="TEV57" s="92"/>
      <c r="TEW57" s="92"/>
      <c r="TEX57" s="92"/>
      <c r="TEY57" s="92"/>
      <c r="TEZ57" s="92"/>
      <c r="TFA57" s="92"/>
      <c r="TFB57" s="92"/>
      <c r="TFC57" s="92"/>
      <c r="TFD57" s="92"/>
      <c r="TFE57" s="92"/>
      <c r="TFF57" s="92"/>
      <c r="TFG57" s="92"/>
      <c r="TFH57" s="92"/>
      <c r="TFI57" s="92"/>
      <c r="TFJ57" s="92"/>
      <c r="TFK57" s="92"/>
      <c r="TFL57" s="92"/>
      <c r="TFM57" s="92"/>
      <c r="TFN57" s="92"/>
      <c r="TFO57" s="92"/>
      <c r="TFP57" s="92"/>
      <c r="TFQ57" s="92"/>
      <c r="TFR57" s="92"/>
      <c r="TFS57" s="92"/>
      <c r="TFT57" s="92"/>
      <c r="TFU57" s="92"/>
      <c r="TFV57" s="92"/>
      <c r="TFW57" s="92"/>
      <c r="TFX57" s="92"/>
      <c r="TFY57" s="92"/>
      <c r="TFZ57" s="92"/>
      <c r="TGA57" s="92"/>
      <c r="TGB57" s="92"/>
      <c r="TGC57" s="92"/>
      <c r="TGD57" s="92"/>
      <c r="TGE57" s="92"/>
      <c r="TGF57" s="92"/>
      <c r="TGG57" s="92"/>
      <c r="TGH57" s="92"/>
      <c r="TGI57" s="92"/>
      <c r="TGJ57" s="92"/>
      <c r="TGK57" s="92"/>
      <c r="TGL57" s="92"/>
      <c r="TGM57" s="92"/>
      <c r="TGN57" s="92"/>
      <c r="TGO57" s="92"/>
      <c r="TGP57" s="92"/>
      <c r="TGQ57" s="92"/>
      <c r="TGR57" s="92"/>
      <c r="TGS57" s="92"/>
      <c r="TGT57" s="92"/>
      <c r="TGU57" s="92"/>
      <c r="TGV57" s="92"/>
      <c r="TGW57" s="92"/>
      <c r="TGX57" s="92"/>
      <c r="TGY57" s="92"/>
      <c r="TGZ57" s="92"/>
      <c r="THA57" s="92"/>
      <c r="THB57" s="92"/>
      <c r="THC57" s="92"/>
      <c r="THD57" s="92"/>
      <c r="THE57" s="92"/>
      <c r="THF57" s="92"/>
      <c r="THG57" s="92"/>
      <c r="THH57" s="92"/>
      <c r="THI57" s="92"/>
      <c r="THJ57" s="92"/>
      <c r="THK57" s="92"/>
      <c r="THL57" s="92"/>
      <c r="THM57" s="92"/>
      <c r="THN57" s="92"/>
      <c r="THO57" s="92"/>
      <c r="THP57" s="92"/>
      <c r="THQ57" s="92"/>
      <c r="THR57" s="92"/>
      <c r="THS57" s="92"/>
      <c r="THT57" s="92"/>
      <c r="THU57" s="92"/>
      <c r="THV57" s="92"/>
      <c r="THW57" s="92"/>
      <c r="THX57" s="92"/>
      <c r="THY57" s="92"/>
      <c r="THZ57" s="92"/>
      <c r="TIA57" s="92"/>
      <c r="TIB57" s="92"/>
      <c r="TIC57" s="92"/>
      <c r="TID57" s="92"/>
      <c r="TIE57" s="92"/>
      <c r="TIF57" s="92"/>
      <c r="TIG57" s="92"/>
      <c r="TIH57" s="92"/>
      <c r="TII57" s="92"/>
      <c r="TIJ57" s="92"/>
      <c r="TIK57" s="92"/>
      <c r="TIL57" s="92"/>
      <c r="TIM57" s="92"/>
      <c r="TIN57" s="92"/>
      <c r="TIO57" s="92"/>
      <c r="TIP57" s="92"/>
      <c r="TIQ57" s="92"/>
      <c r="TIR57" s="92"/>
      <c r="TIS57" s="92"/>
      <c r="TIT57" s="92"/>
      <c r="TIU57" s="92"/>
      <c r="TIV57" s="92"/>
      <c r="TIW57" s="92"/>
      <c r="TIX57" s="92"/>
      <c r="TIY57" s="92"/>
      <c r="TIZ57" s="92"/>
      <c r="TJA57" s="92"/>
      <c r="TJB57" s="92"/>
      <c r="TJC57" s="92"/>
      <c r="TJD57" s="92"/>
      <c r="TJE57" s="92"/>
      <c r="TJF57" s="92"/>
      <c r="TJG57" s="92"/>
      <c r="TJH57" s="92"/>
      <c r="TJI57" s="92"/>
      <c r="TJJ57" s="92"/>
      <c r="TJK57" s="92"/>
      <c r="TJL57" s="92"/>
      <c r="TJM57" s="92"/>
      <c r="TJN57" s="92"/>
      <c r="TJO57" s="92"/>
      <c r="TJP57" s="92"/>
      <c r="TJQ57" s="92"/>
      <c r="TJR57" s="92"/>
      <c r="TJS57" s="92"/>
      <c r="TJT57" s="92"/>
      <c r="TJU57" s="92"/>
      <c r="TJV57" s="92"/>
      <c r="TJW57" s="92"/>
      <c r="TJX57" s="92"/>
      <c r="TJY57" s="92"/>
      <c r="TJZ57" s="92"/>
      <c r="TKA57" s="92"/>
      <c r="TKB57" s="92"/>
      <c r="TKC57" s="92"/>
      <c r="TKD57" s="92"/>
      <c r="TKE57" s="92"/>
      <c r="TKF57" s="92"/>
      <c r="TKG57" s="92"/>
      <c r="TKH57" s="92"/>
      <c r="TKI57" s="92"/>
      <c r="TKJ57" s="92"/>
      <c r="TKK57" s="92"/>
      <c r="TKL57" s="92"/>
      <c r="TKM57" s="92"/>
      <c r="TKN57" s="92"/>
      <c r="TKO57" s="92"/>
      <c r="TKP57" s="92"/>
      <c r="TKQ57" s="92"/>
      <c r="TKR57" s="92"/>
      <c r="TKS57" s="92"/>
      <c r="TKT57" s="92"/>
      <c r="TKU57" s="92"/>
      <c r="TKV57" s="92"/>
      <c r="TKW57" s="92"/>
      <c r="TKX57" s="92"/>
      <c r="TKY57" s="92"/>
      <c r="TKZ57" s="92"/>
      <c r="TLA57" s="92"/>
      <c r="TLB57" s="92"/>
      <c r="TLC57" s="92"/>
      <c r="TLD57" s="92"/>
      <c r="TLE57" s="92"/>
      <c r="TLF57" s="92"/>
      <c r="TLG57" s="92"/>
      <c r="TLH57" s="92"/>
      <c r="TLI57" s="92"/>
      <c r="TLJ57" s="92"/>
      <c r="TLK57" s="92"/>
      <c r="TLL57" s="92"/>
      <c r="TLM57" s="92"/>
      <c r="TLN57" s="92"/>
      <c r="TLO57" s="92"/>
      <c r="TLP57" s="92"/>
      <c r="TLQ57" s="92"/>
      <c r="TLR57" s="92"/>
      <c r="TLS57" s="92"/>
      <c r="TLT57" s="92"/>
      <c r="TLU57" s="92"/>
      <c r="TLV57" s="92"/>
      <c r="TLW57" s="92"/>
      <c r="TLX57" s="92"/>
      <c r="TLY57" s="92"/>
      <c r="TLZ57" s="92"/>
      <c r="TMA57" s="92"/>
      <c r="TMB57" s="92"/>
      <c r="TMC57" s="92"/>
      <c r="TMD57" s="92"/>
      <c r="TME57" s="92"/>
      <c r="TMF57" s="92"/>
      <c r="TMG57" s="92"/>
      <c r="TMH57" s="92"/>
      <c r="TMI57" s="92"/>
      <c r="TMJ57" s="92"/>
      <c r="TMK57" s="92"/>
      <c r="TML57" s="92"/>
      <c r="TMM57" s="92"/>
      <c r="TMN57" s="92"/>
      <c r="TMO57" s="92"/>
      <c r="TMP57" s="92"/>
      <c r="TMQ57" s="92"/>
      <c r="TMR57" s="92"/>
      <c r="TMS57" s="92"/>
      <c r="TMT57" s="92"/>
      <c r="TMU57" s="92"/>
      <c r="TMV57" s="92"/>
      <c r="TMW57" s="92"/>
      <c r="TMX57" s="92"/>
      <c r="TMY57" s="92"/>
      <c r="TMZ57" s="92"/>
      <c r="TNA57" s="92"/>
      <c r="TNB57" s="92"/>
      <c r="TNC57" s="92"/>
      <c r="TND57" s="92"/>
      <c r="TNE57" s="92"/>
      <c r="TNF57" s="92"/>
      <c r="TNG57" s="92"/>
      <c r="TNH57" s="92"/>
      <c r="TNI57" s="92"/>
      <c r="TNJ57" s="92"/>
      <c r="TNK57" s="92"/>
      <c r="TNL57" s="92"/>
      <c r="TNM57" s="92"/>
      <c r="TNN57" s="92"/>
      <c r="TNO57" s="92"/>
      <c r="TNP57" s="92"/>
      <c r="TNQ57" s="92"/>
      <c r="TNR57" s="92"/>
      <c r="TNS57" s="92"/>
      <c r="TNT57" s="92"/>
      <c r="TNU57" s="92"/>
      <c r="TNV57" s="92"/>
      <c r="TNW57" s="92"/>
      <c r="TNX57" s="92"/>
      <c r="TNY57" s="92"/>
      <c r="TNZ57" s="92"/>
      <c r="TOA57" s="92"/>
      <c r="TOB57" s="92"/>
      <c r="TOC57" s="92"/>
      <c r="TOD57" s="92"/>
      <c r="TOE57" s="92"/>
      <c r="TOF57" s="92"/>
      <c r="TOG57" s="92"/>
      <c r="TOH57" s="92"/>
      <c r="TOI57" s="92"/>
      <c r="TOJ57" s="92"/>
      <c r="TOK57" s="92"/>
      <c r="TOL57" s="92"/>
      <c r="TOM57" s="92"/>
      <c r="TON57" s="92"/>
      <c r="TOO57" s="92"/>
      <c r="TOP57" s="92"/>
      <c r="TOQ57" s="92"/>
      <c r="TOR57" s="92"/>
      <c r="TOS57" s="92"/>
      <c r="TOT57" s="92"/>
      <c r="TOU57" s="92"/>
      <c r="TOV57" s="92"/>
      <c r="TOW57" s="92"/>
      <c r="TOX57" s="92"/>
      <c r="TOY57" s="92"/>
      <c r="TOZ57" s="92"/>
      <c r="TPA57" s="92"/>
      <c r="TPB57" s="92"/>
      <c r="TPC57" s="92"/>
      <c r="TPD57" s="92"/>
      <c r="TPE57" s="92"/>
      <c r="TPF57" s="92"/>
      <c r="TPG57" s="92"/>
      <c r="TPH57" s="92"/>
      <c r="TPI57" s="92"/>
      <c r="TPJ57" s="92"/>
      <c r="TPK57" s="92"/>
      <c r="TPL57" s="92"/>
      <c r="TPM57" s="92"/>
      <c r="TPN57" s="92"/>
      <c r="TPO57" s="92"/>
      <c r="TPP57" s="92"/>
      <c r="TPQ57" s="92"/>
      <c r="TPR57" s="92"/>
      <c r="TPS57" s="92"/>
      <c r="TPT57" s="92"/>
      <c r="TPU57" s="92"/>
      <c r="TPV57" s="92"/>
      <c r="TPW57" s="92"/>
      <c r="TPX57" s="92"/>
      <c r="TPY57" s="92"/>
      <c r="TPZ57" s="92"/>
      <c r="TQA57" s="92"/>
      <c r="TQB57" s="92"/>
      <c r="TQC57" s="92"/>
      <c r="TQD57" s="92"/>
      <c r="TQE57" s="92"/>
      <c r="TQF57" s="92"/>
      <c r="TQG57" s="92"/>
      <c r="TQH57" s="92"/>
      <c r="TQI57" s="92"/>
      <c r="TQJ57" s="92"/>
      <c r="TQK57" s="92"/>
      <c r="TQL57" s="92"/>
      <c r="TQM57" s="92"/>
      <c r="TQN57" s="92"/>
      <c r="TQO57" s="92"/>
      <c r="TQP57" s="92"/>
      <c r="TQQ57" s="92"/>
      <c r="TQR57" s="92"/>
      <c r="TQS57" s="92"/>
      <c r="TQT57" s="92"/>
      <c r="TQU57" s="92"/>
      <c r="TQV57" s="92"/>
      <c r="TQW57" s="92"/>
      <c r="TQX57" s="92"/>
      <c r="TQY57" s="92"/>
      <c r="TQZ57" s="92"/>
      <c r="TRA57" s="92"/>
      <c r="TRB57" s="92"/>
      <c r="TRC57" s="92"/>
      <c r="TRD57" s="92"/>
      <c r="TRE57" s="92"/>
      <c r="TRF57" s="92"/>
      <c r="TRG57" s="92"/>
      <c r="TRH57" s="92"/>
      <c r="TRI57" s="92"/>
      <c r="TRJ57" s="92"/>
      <c r="TRK57" s="92"/>
      <c r="TRL57" s="92"/>
      <c r="TRM57" s="92"/>
      <c r="TRN57" s="92"/>
      <c r="TRO57" s="92"/>
      <c r="TRP57" s="92"/>
      <c r="TRQ57" s="92"/>
      <c r="TRR57" s="92"/>
      <c r="TRS57" s="92"/>
      <c r="TRT57" s="92"/>
      <c r="TRU57" s="92"/>
      <c r="TRV57" s="92"/>
      <c r="TRW57" s="92"/>
      <c r="TRX57" s="92"/>
      <c r="TRY57" s="92"/>
      <c r="TRZ57" s="92"/>
      <c r="TSA57" s="92"/>
      <c r="TSB57" s="92"/>
      <c r="TSC57" s="92"/>
      <c r="TSD57" s="92"/>
      <c r="TSE57" s="92"/>
      <c r="TSF57" s="92"/>
      <c r="TSG57" s="92"/>
      <c r="TSH57" s="92"/>
      <c r="TSI57" s="92"/>
      <c r="TSJ57" s="92"/>
      <c r="TSK57" s="92"/>
      <c r="TSL57" s="92"/>
      <c r="TSM57" s="92"/>
      <c r="TSN57" s="92"/>
      <c r="TSO57" s="92"/>
      <c r="TSP57" s="92"/>
      <c r="TSQ57" s="92"/>
      <c r="TSR57" s="92"/>
      <c r="TSS57" s="92"/>
      <c r="TST57" s="92"/>
      <c r="TSU57" s="92"/>
      <c r="TSV57" s="92"/>
      <c r="TSW57" s="92"/>
      <c r="TSX57" s="92"/>
      <c r="TSY57" s="92"/>
      <c r="TSZ57" s="92"/>
      <c r="TTA57" s="92"/>
      <c r="TTB57" s="92"/>
      <c r="TTC57" s="92"/>
      <c r="TTD57" s="92"/>
      <c r="TTE57" s="92"/>
      <c r="TTF57" s="92"/>
      <c r="TTG57" s="92"/>
      <c r="TTH57" s="92"/>
      <c r="TTI57" s="92"/>
      <c r="TTJ57" s="92"/>
      <c r="TTK57" s="92"/>
      <c r="TTL57" s="92"/>
      <c r="TTM57" s="92"/>
      <c r="TTN57" s="92"/>
      <c r="TTO57" s="92"/>
      <c r="TTP57" s="92"/>
      <c r="TTQ57" s="92"/>
      <c r="TTR57" s="92"/>
      <c r="TTS57" s="92"/>
      <c r="TTT57" s="92"/>
      <c r="TTU57" s="92"/>
      <c r="TTV57" s="92"/>
      <c r="TTW57" s="92"/>
      <c r="TTX57" s="92"/>
      <c r="TTY57" s="92"/>
      <c r="TTZ57" s="92"/>
      <c r="TUA57" s="92"/>
      <c r="TUB57" s="92"/>
      <c r="TUC57" s="92"/>
      <c r="TUD57" s="92"/>
      <c r="TUE57" s="92"/>
      <c r="TUF57" s="92"/>
      <c r="TUG57" s="92"/>
      <c r="TUH57" s="92"/>
      <c r="TUI57" s="92"/>
      <c r="TUJ57" s="92"/>
      <c r="TUK57" s="92"/>
      <c r="TUL57" s="92"/>
      <c r="TUM57" s="92"/>
      <c r="TUN57" s="92"/>
      <c r="TUO57" s="92"/>
      <c r="TUP57" s="92"/>
      <c r="TUQ57" s="92"/>
      <c r="TUR57" s="92"/>
      <c r="TUS57" s="92"/>
      <c r="TUT57" s="92"/>
      <c r="TUU57" s="92"/>
      <c r="TUV57" s="92"/>
      <c r="TUW57" s="92"/>
      <c r="TUX57" s="92"/>
      <c r="TUY57" s="92"/>
      <c r="TUZ57" s="92"/>
      <c r="TVA57" s="92"/>
      <c r="TVB57" s="92"/>
      <c r="TVC57" s="92"/>
      <c r="TVD57" s="92"/>
      <c r="TVE57" s="92"/>
      <c r="TVF57" s="92"/>
      <c r="TVG57" s="92"/>
      <c r="TVH57" s="92"/>
      <c r="TVI57" s="92"/>
      <c r="TVJ57" s="92"/>
      <c r="TVK57" s="92"/>
      <c r="TVL57" s="92"/>
      <c r="TVM57" s="92"/>
      <c r="TVN57" s="92"/>
      <c r="TVO57" s="92"/>
      <c r="TVP57" s="92"/>
      <c r="TVQ57" s="92"/>
      <c r="TVR57" s="92"/>
      <c r="TVS57" s="92"/>
      <c r="TVT57" s="92"/>
      <c r="TVU57" s="92"/>
      <c r="TVV57" s="92"/>
      <c r="TVW57" s="92"/>
      <c r="TVX57" s="92"/>
      <c r="TVY57" s="92"/>
      <c r="TVZ57" s="92"/>
      <c r="TWA57" s="92"/>
      <c r="TWB57" s="92"/>
      <c r="TWC57" s="92"/>
      <c r="TWD57" s="92"/>
      <c r="TWE57" s="92"/>
      <c r="TWF57" s="92"/>
      <c r="TWG57" s="92"/>
      <c r="TWH57" s="92"/>
      <c r="TWI57" s="92"/>
      <c r="TWJ57" s="92"/>
      <c r="TWK57" s="92"/>
      <c r="TWL57" s="92"/>
      <c r="TWM57" s="92"/>
      <c r="TWN57" s="92"/>
      <c r="TWO57" s="92"/>
      <c r="TWP57" s="92"/>
      <c r="TWQ57" s="92"/>
      <c r="TWR57" s="92"/>
      <c r="TWS57" s="92"/>
      <c r="TWT57" s="92"/>
      <c r="TWU57" s="92"/>
      <c r="TWV57" s="92"/>
      <c r="TWW57" s="92"/>
      <c r="TWX57" s="92"/>
      <c r="TWY57" s="92"/>
      <c r="TWZ57" s="92"/>
      <c r="TXA57" s="92"/>
      <c r="TXB57" s="92"/>
      <c r="TXC57" s="92"/>
      <c r="TXD57" s="92"/>
      <c r="TXE57" s="92"/>
      <c r="TXF57" s="92"/>
      <c r="TXG57" s="92"/>
      <c r="TXH57" s="92"/>
      <c r="TXI57" s="92"/>
      <c r="TXJ57" s="92"/>
      <c r="TXK57" s="92"/>
      <c r="TXL57" s="92"/>
      <c r="TXM57" s="92"/>
      <c r="TXN57" s="92"/>
      <c r="TXO57" s="92"/>
      <c r="TXP57" s="92"/>
      <c r="TXQ57" s="92"/>
      <c r="TXR57" s="92"/>
      <c r="TXS57" s="92"/>
      <c r="TXT57" s="92"/>
      <c r="TXU57" s="92"/>
      <c r="TXV57" s="92"/>
      <c r="TXW57" s="92"/>
      <c r="TXX57" s="92"/>
      <c r="TXY57" s="92"/>
      <c r="TXZ57" s="92"/>
      <c r="TYA57" s="92"/>
      <c r="TYB57" s="92"/>
      <c r="TYC57" s="92"/>
      <c r="TYD57" s="92"/>
      <c r="TYE57" s="92"/>
      <c r="TYF57" s="92"/>
      <c r="TYG57" s="92"/>
      <c r="TYH57" s="92"/>
      <c r="TYI57" s="92"/>
      <c r="TYJ57" s="92"/>
      <c r="TYK57" s="92"/>
      <c r="TYL57" s="92"/>
      <c r="TYM57" s="92"/>
      <c r="TYN57" s="92"/>
      <c r="TYO57" s="92"/>
      <c r="TYP57" s="92"/>
      <c r="TYQ57" s="92"/>
      <c r="TYR57" s="92"/>
      <c r="TYS57" s="92"/>
      <c r="TYT57" s="92"/>
      <c r="TYU57" s="92"/>
      <c r="TYV57" s="92"/>
      <c r="TYW57" s="92"/>
      <c r="TYX57" s="92"/>
      <c r="TYY57" s="92"/>
      <c r="TYZ57" s="92"/>
      <c r="TZA57" s="92"/>
      <c r="TZB57" s="92"/>
      <c r="TZC57" s="92"/>
      <c r="TZD57" s="92"/>
      <c r="TZE57" s="92"/>
      <c r="TZF57" s="92"/>
      <c r="TZG57" s="92"/>
      <c r="TZH57" s="92"/>
      <c r="TZI57" s="92"/>
      <c r="TZJ57" s="92"/>
      <c r="TZK57" s="92"/>
      <c r="TZL57" s="92"/>
      <c r="TZM57" s="92"/>
      <c r="TZN57" s="92"/>
      <c r="TZO57" s="92"/>
      <c r="TZP57" s="92"/>
      <c r="TZQ57" s="92"/>
      <c r="TZR57" s="92"/>
      <c r="TZS57" s="92"/>
      <c r="TZT57" s="92"/>
      <c r="TZU57" s="92"/>
      <c r="TZV57" s="92"/>
      <c r="TZW57" s="92"/>
      <c r="TZX57" s="92"/>
      <c r="TZY57" s="92"/>
      <c r="TZZ57" s="92"/>
      <c r="UAA57" s="92"/>
      <c r="UAB57" s="92"/>
      <c r="UAC57" s="92"/>
      <c r="UAD57" s="92"/>
      <c r="UAE57" s="92"/>
      <c r="UAF57" s="92"/>
      <c r="UAG57" s="92"/>
      <c r="UAH57" s="92"/>
      <c r="UAI57" s="92"/>
      <c r="UAJ57" s="92"/>
      <c r="UAK57" s="92"/>
      <c r="UAL57" s="92"/>
      <c r="UAM57" s="92"/>
      <c r="UAN57" s="92"/>
      <c r="UAO57" s="92"/>
      <c r="UAP57" s="92"/>
      <c r="UAQ57" s="92"/>
      <c r="UAR57" s="92"/>
      <c r="UAS57" s="92"/>
      <c r="UAT57" s="92"/>
      <c r="UAU57" s="92"/>
      <c r="UAV57" s="92"/>
      <c r="UAW57" s="92"/>
      <c r="UAX57" s="92"/>
      <c r="UAY57" s="92"/>
      <c r="UAZ57" s="92"/>
      <c r="UBA57" s="92"/>
      <c r="UBB57" s="92"/>
      <c r="UBC57" s="92"/>
      <c r="UBD57" s="92"/>
      <c r="UBE57" s="92"/>
      <c r="UBF57" s="92"/>
      <c r="UBG57" s="92"/>
      <c r="UBH57" s="92"/>
      <c r="UBI57" s="92"/>
      <c r="UBJ57" s="92"/>
      <c r="UBK57" s="92"/>
      <c r="UBL57" s="92"/>
      <c r="UBM57" s="92"/>
      <c r="UBN57" s="92"/>
      <c r="UBO57" s="92"/>
      <c r="UBP57" s="92"/>
      <c r="UBQ57" s="92"/>
      <c r="UBR57" s="92"/>
      <c r="UBS57" s="92"/>
      <c r="UBT57" s="92"/>
      <c r="UBU57" s="92"/>
      <c r="UBV57" s="92"/>
      <c r="UBW57" s="92"/>
      <c r="UBX57" s="92"/>
      <c r="UBY57" s="92"/>
      <c r="UBZ57" s="92"/>
      <c r="UCA57" s="92"/>
      <c r="UCB57" s="92"/>
      <c r="UCC57" s="92"/>
      <c r="UCD57" s="92"/>
      <c r="UCE57" s="92"/>
      <c r="UCF57" s="92"/>
      <c r="UCG57" s="92"/>
      <c r="UCH57" s="92"/>
      <c r="UCI57" s="92"/>
      <c r="UCJ57" s="92"/>
      <c r="UCK57" s="92"/>
      <c r="UCL57" s="92"/>
      <c r="UCM57" s="92"/>
      <c r="UCN57" s="92"/>
      <c r="UCO57" s="92"/>
      <c r="UCP57" s="92"/>
      <c r="UCQ57" s="92"/>
      <c r="UCR57" s="92"/>
      <c r="UCS57" s="92"/>
      <c r="UCT57" s="92"/>
      <c r="UCU57" s="92"/>
      <c r="UCV57" s="92"/>
      <c r="UCW57" s="92"/>
      <c r="UCX57" s="92"/>
      <c r="UCY57" s="92"/>
      <c r="UCZ57" s="92"/>
      <c r="UDA57" s="92"/>
      <c r="UDB57" s="92"/>
      <c r="UDC57" s="92"/>
      <c r="UDD57" s="92"/>
      <c r="UDE57" s="92"/>
      <c r="UDF57" s="92"/>
      <c r="UDG57" s="92"/>
      <c r="UDH57" s="92"/>
      <c r="UDI57" s="92"/>
      <c r="UDJ57" s="92"/>
      <c r="UDK57" s="92"/>
      <c r="UDL57" s="92"/>
      <c r="UDM57" s="92"/>
      <c r="UDN57" s="92"/>
      <c r="UDO57" s="92"/>
      <c r="UDP57" s="92"/>
      <c r="UDQ57" s="92"/>
      <c r="UDR57" s="92"/>
      <c r="UDS57" s="92"/>
      <c r="UDT57" s="92"/>
      <c r="UDU57" s="92"/>
      <c r="UDV57" s="92"/>
      <c r="UDW57" s="92"/>
      <c r="UDX57" s="92"/>
      <c r="UDY57" s="92"/>
      <c r="UDZ57" s="92"/>
      <c r="UEA57" s="92"/>
      <c r="UEB57" s="92"/>
      <c r="UEC57" s="92"/>
      <c r="UED57" s="92"/>
      <c r="UEE57" s="92"/>
      <c r="UEF57" s="92"/>
      <c r="UEG57" s="92"/>
      <c r="UEH57" s="92"/>
      <c r="UEI57" s="92"/>
      <c r="UEJ57" s="92"/>
      <c r="UEK57" s="92"/>
      <c r="UEL57" s="92"/>
      <c r="UEM57" s="92"/>
      <c r="UEN57" s="92"/>
      <c r="UEO57" s="92"/>
      <c r="UEP57" s="92"/>
      <c r="UEQ57" s="92"/>
      <c r="UER57" s="92"/>
      <c r="UES57" s="92"/>
      <c r="UET57" s="92"/>
      <c r="UEU57" s="92"/>
      <c r="UEV57" s="92"/>
      <c r="UEW57" s="92"/>
      <c r="UEX57" s="92"/>
      <c r="UEY57" s="92"/>
      <c r="UEZ57" s="92"/>
      <c r="UFA57" s="92"/>
      <c r="UFB57" s="92"/>
      <c r="UFC57" s="92"/>
      <c r="UFD57" s="92"/>
      <c r="UFE57" s="92"/>
      <c r="UFF57" s="92"/>
      <c r="UFG57" s="92"/>
      <c r="UFH57" s="92"/>
      <c r="UFI57" s="92"/>
      <c r="UFJ57" s="92"/>
      <c r="UFK57" s="92"/>
      <c r="UFL57" s="92"/>
      <c r="UFM57" s="92"/>
      <c r="UFN57" s="92"/>
      <c r="UFO57" s="92"/>
      <c r="UFP57" s="92"/>
      <c r="UFQ57" s="92"/>
      <c r="UFR57" s="92"/>
      <c r="UFS57" s="92"/>
      <c r="UFT57" s="92"/>
      <c r="UFU57" s="92"/>
      <c r="UFV57" s="92"/>
      <c r="UFW57" s="92"/>
      <c r="UFX57" s="92"/>
      <c r="UFY57" s="92"/>
      <c r="UFZ57" s="92"/>
      <c r="UGA57" s="92"/>
      <c r="UGB57" s="92"/>
      <c r="UGC57" s="92"/>
      <c r="UGD57" s="92"/>
      <c r="UGE57" s="92"/>
      <c r="UGF57" s="92"/>
      <c r="UGG57" s="92"/>
      <c r="UGH57" s="92"/>
      <c r="UGI57" s="92"/>
      <c r="UGJ57" s="92"/>
      <c r="UGK57" s="92"/>
      <c r="UGL57" s="92"/>
      <c r="UGM57" s="92"/>
      <c r="UGN57" s="92"/>
      <c r="UGO57" s="92"/>
      <c r="UGP57" s="92"/>
      <c r="UGQ57" s="92"/>
      <c r="UGR57" s="92"/>
      <c r="UGS57" s="92"/>
      <c r="UGT57" s="92"/>
      <c r="UGU57" s="92"/>
      <c r="UGV57" s="92"/>
      <c r="UGW57" s="92"/>
      <c r="UGX57" s="92"/>
      <c r="UGY57" s="92"/>
      <c r="UGZ57" s="92"/>
      <c r="UHA57" s="92"/>
      <c r="UHB57" s="92"/>
      <c r="UHC57" s="92"/>
      <c r="UHD57" s="92"/>
      <c r="UHE57" s="92"/>
      <c r="UHF57" s="92"/>
      <c r="UHG57" s="92"/>
      <c r="UHH57" s="92"/>
      <c r="UHI57" s="92"/>
      <c r="UHJ57" s="92"/>
      <c r="UHK57" s="92"/>
      <c r="UHL57" s="92"/>
      <c r="UHM57" s="92"/>
      <c r="UHN57" s="92"/>
      <c r="UHO57" s="92"/>
      <c r="UHP57" s="92"/>
      <c r="UHQ57" s="92"/>
      <c r="UHR57" s="92"/>
      <c r="UHS57" s="92"/>
      <c r="UHT57" s="92"/>
      <c r="UHU57" s="92"/>
      <c r="UHV57" s="92"/>
      <c r="UHW57" s="92"/>
      <c r="UHX57" s="92"/>
      <c r="UHY57" s="92"/>
      <c r="UHZ57" s="92"/>
      <c r="UIA57" s="92"/>
      <c r="UIB57" s="92"/>
      <c r="UIC57" s="92"/>
      <c r="UID57" s="92"/>
      <c r="UIE57" s="92"/>
      <c r="UIF57" s="92"/>
      <c r="UIG57" s="92"/>
      <c r="UIH57" s="92"/>
      <c r="UII57" s="92"/>
      <c r="UIJ57" s="92"/>
      <c r="UIK57" s="92"/>
      <c r="UIL57" s="92"/>
      <c r="UIM57" s="92"/>
      <c r="UIN57" s="92"/>
      <c r="UIO57" s="92"/>
      <c r="UIP57" s="92"/>
      <c r="UIQ57" s="92"/>
      <c r="UIR57" s="92"/>
      <c r="UIS57" s="92"/>
      <c r="UIT57" s="92"/>
      <c r="UIU57" s="92"/>
      <c r="UIV57" s="92"/>
      <c r="UIW57" s="92"/>
      <c r="UIX57" s="92"/>
      <c r="UIY57" s="92"/>
      <c r="UIZ57" s="92"/>
      <c r="UJA57" s="92"/>
      <c r="UJB57" s="92"/>
      <c r="UJC57" s="92"/>
      <c r="UJD57" s="92"/>
      <c r="UJE57" s="92"/>
      <c r="UJF57" s="92"/>
      <c r="UJG57" s="92"/>
      <c r="UJH57" s="92"/>
      <c r="UJI57" s="92"/>
      <c r="UJJ57" s="92"/>
      <c r="UJK57" s="92"/>
      <c r="UJL57" s="92"/>
      <c r="UJM57" s="92"/>
      <c r="UJN57" s="92"/>
      <c r="UJO57" s="92"/>
      <c r="UJP57" s="92"/>
      <c r="UJQ57" s="92"/>
      <c r="UJR57" s="92"/>
      <c r="UJS57" s="92"/>
      <c r="UJT57" s="92"/>
      <c r="UJU57" s="92"/>
      <c r="UJV57" s="92"/>
      <c r="UJW57" s="92"/>
      <c r="UJX57" s="92"/>
      <c r="UJY57" s="92"/>
      <c r="UJZ57" s="92"/>
      <c r="UKA57" s="92"/>
      <c r="UKB57" s="92"/>
      <c r="UKC57" s="92"/>
      <c r="UKD57" s="92"/>
      <c r="UKE57" s="92"/>
      <c r="UKF57" s="92"/>
      <c r="UKG57" s="92"/>
      <c r="UKH57" s="92"/>
      <c r="UKI57" s="92"/>
      <c r="UKJ57" s="92"/>
      <c r="UKK57" s="92"/>
      <c r="UKL57" s="92"/>
      <c r="UKM57" s="92"/>
      <c r="UKN57" s="92"/>
      <c r="UKO57" s="92"/>
      <c r="UKP57" s="92"/>
      <c r="UKQ57" s="92"/>
      <c r="UKR57" s="92"/>
      <c r="UKS57" s="92"/>
      <c r="UKT57" s="92"/>
      <c r="UKU57" s="92"/>
      <c r="UKV57" s="92"/>
      <c r="UKW57" s="92"/>
      <c r="UKX57" s="92"/>
      <c r="UKY57" s="92"/>
      <c r="UKZ57" s="92"/>
      <c r="ULA57" s="92"/>
      <c r="ULB57" s="92"/>
      <c r="ULC57" s="92"/>
      <c r="ULD57" s="92"/>
      <c r="ULE57" s="92"/>
      <c r="ULF57" s="92"/>
      <c r="ULG57" s="92"/>
      <c r="ULH57" s="92"/>
      <c r="ULI57" s="92"/>
      <c r="ULJ57" s="92"/>
      <c r="ULK57" s="92"/>
      <c r="ULL57" s="92"/>
      <c r="ULM57" s="92"/>
      <c r="ULN57" s="92"/>
      <c r="ULO57" s="92"/>
      <c r="ULP57" s="92"/>
      <c r="ULQ57" s="92"/>
      <c r="ULR57" s="92"/>
      <c r="ULS57" s="92"/>
      <c r="ULT57" s="92"/>
      <c r="ULU57" s="92"/>
      <c r="ULV57" s="92"/>
      <c r="ULW57" s="92"/>
      <c r="ULX57" s="92"/>
      <c r="ULY57" s="92"/>
      <c r="ULZ57" s="92"/>
      <c r="UMA57" s="92"/>
      <c r="UMB57" s="92"/>
      <c r="UMC57" s="92"/>
      <c r="UMD57" s="92"/>
      <c r="UME57" s="92"/>
      <c r="UMF57" s="92"/>
      <c r="UMG57" s="92"/>
      <c r="UMH57" s="92"/>
      <c r="UMI57" s="92"/>
      <c r="UMJ57" s="92"/>
      <c r="UMK57" s="92"/>
      <c r="UML57" s="92"/>
      <c r="UMM57" s="92"/>
      <c r="UMN57" s="92"/>
      <c r="UMO57" s="92"/>
      <c r="UMP57" s="92"/>
      <c r="UMQ57" s="92"/>
      <c r="UMR57" s="92"/>
      <c r="UMS57" s="92"/>
      <c r="UMT57" s="92"/>
      <c r="UMU57" s="92"/>
      <c r="UMV57" s="92"/>
      <c r="UMW57" s="92"/>
      <c r="UMX57" s="92"/>
      <c r="UMY57" s="92"/>
      <c r="UMZ57" s="92"/>
      <c r="UNA57" s="92"/>
      <c r="UNB57" s="92"/>
      <c r="UNC57" s="92"/>
      <c r="UND57" s="92"/>
      <c r="UNE57" s="92"/>
      <c r="UNF57" s="92"/>
      <c r="UNG57" s="92"/>
      <c r="UNH57" s="92"/>
      <c r="UNI57" s="92"/>
      <c r="UNJ57" s="92"/>
      <c r="UNK57" s="92"/>
      <c r="UNL57" s="92"/>
      <c r="UNM57" s="92"/>
      <c r="UNN57" s="92"/>
      <c r="UNO57" s="92"/>
      <c r="UNP57" s="92"/>
      <c r="UNQ57" s="92"/>
      <c r="UNR57" s="92"/>
      <c r="UNS57" s="92"/>
      <c r="UNT57" s="92"/>
      <c r="UNU57" s="92"/>
      <c r="UNV57" s="92"/>
      <c r="UNW57" s="92"/>
      <c r="UNX57" s="92"/>
      <c r="UNY57" s="92"/>
      <c r="UNZ57" s="92"/>
      <c r="UOA57" s="92"/>
      <c r="UOB57" s="92"/>
      <c r="UOC57" s="92"/>
      <c r="UOD57" s="92"/>
      <c r="UOE57" s="92"/>
      <c r="UOF57" s="92"/>
      <c r="UOG57" s="92"/>
      <c r="UOH57" s="92"/>
      <c r="UOI57" s="92"/>
      <c r="UOJ57" s="92"/>
      <c r="UOK57" s="92"/>
      <c r="UOL57" s="92"/>
      <c r="UOM57" s="92"/>
      <c r="UON57" s="92"/>
      <c r="UOO57" s="92"/>
      <c r="UOP57" s="92"/>
      <c r="UOQ57" s="92"/>
      <c r="UOR57" s="92"/>
      <c r="UOS57" s="92"/>
      <c r="UOT57" s="92"/>
      <c r="UOU57" s="92"/>
      <c r="UOV57" s="92"/>
      <c r="UOW57" s="92"/>
      <c r="UOX57" s="92"/>
      <c r="UOY57" s="92"/>
      <c r="UOZ57" s="92"/>
      <c r="UPA57" s="92"/>
      <c r="UPB57" s="92"/>
      <c r="UPC57" s="92"/>
      <c r="UPD57" s="92"/>
      <c r="UPE57" s="92"/>
      <c r="UPF57" s="92"/>
      <c r="UPG57" s="92"/>
      <c r="UPH57" s="92"/>
      <c r="UPI57" s="92"/>
      <c r="UPJ57" s="92"/>
      <c r="UPK57" s="92"/>
      <c r="UPL57" s="92"/>
      <c r="UPM57" s="92"/>
      <c r="UPN57" s="92"/>
      <c r="UPO57" s="92"/>
      <c r="UPP57" s="92"/>
      <c r="UPQ57" s="92"/>
      <c r="UPR57" s="92"/>
      <c r="UPS57" s="92"/>
      <c r="UPT57" s="92"/>
      <c r="UPU57" s="92"/>
      <c r="UPV57" s="92"/>
      <c r="UPW57" s="92"/>
      <c r="UPX57" s="92"/>
      <c r="UPY57" s="92"/>
      <c r="UPZ57" s="92"/>
      <c r="UQA57" s="92"/>
      <c r="UQB57" s="92"/>
      <c r="UQC57" s="92"/>
      <c r="UQD57" s="92"/>
      <c r="UQE57" s="92"/>
      <c r="UQF57" s="92"/>
      <c r="UQG57" s="92"/>
      <c r="UQH57" s="92"/>
      <c r="UQI57" s="92"/>
      <c r="UQJ57" s="92"/>
      <c r="UQK57" s="92"/>
      <c r="UQL57" s="92"/>
      <c r="UQM57" s="92"/>
      <c r="UQN57" s="92"/>
      <c r="UQO57" s="92"/>
      <c r="UQP57" s="92"/>
      <c r="UQQ57" s="92"/>
      <c r="UQR57" s="92"/>
      <c r="UQS57" s="92"/>
      <c r="UQT57" s="92"/>
      <c r="UQU57" s="92"/>
      <c r="UQV57" s="92"/>
      <c r="UQW57" s="92"/>
      <c r="UQX57" s="92"/>
      <c r="UQY57" s="92"/>
      <c r="UQZ57" s="92"/>
      <c r="URA57" s="92"/>
      <c r="URB57" s="92"/>
      <c r="URC57" s="92"/>
      <c r="URD57" s="92"/>
      <c r="URE57" s="92"/>
      <c r="URF57" s="92"/>
      <c r="URG57" s="92"/>
      <c r="URH57" s="92"/>
      <c r="URI57" s="92"/>
      <c r="URJ57" s="92"/>
      <c r="URK57" s="92"/>
      <c r="URL57" s="92"/>
      <c r="URM57" s="92"/>
      <c r="URN57" s="92"/>
      <c r="URO57" s="92"/>
      <c r="URP57" s="92"/>
      <c r="URQ57" s="92"/>
      <c r="URR57" s="92"/>
      <c r="URS57" s="92"/>
      <c r="URT57" s="92"/>
      <c r="URU57" s="92"/>
      <c r="URV57" s="92"/>
      <c r="URW57" s="92"/>
      <c r="URX57" s="92"/>
      <c r="URY57" s="92"/>
      <c r="URZ57" s="92"/>
      <c r="USA57" s="92"/>
      <c r="USB57" s="92"/>
      <c r="USC57" s="92"/>
      <c r="USD57" s="92"/>
      <c r="USE57" s="92"/>
      <c r="USF57" s="92"/>
      <c r="USG57" s="92"/>
      <c r="USH57" s="92"/>
      <c r="USI57" s="92"/>
      <c r="USJ57" s="92"/>
      <c r="USK57" s="92"/>
      <c r="USL57" s="92"/>
      <c r="USM57" s="92"/>
      <c r="USN57" s="92"/>
      <c r="USO57" s="92"/>
      <c r="USP57" s="92"/>
      <c r="USQ57" s="92"/>
      <c r="USR57" s="92"/>
      <c r="USS57" s="92"/>
      <c r="UST57" s="92"/>
      <c r="USU57" s="92"/>
      <c r="USV57" s="92"/>
      <c r="USW57" s="92"/>
      <c r="USX57" s="92"/>
      <c r="USY57" s="92"/>
      <c r="USZ57" s="92"/>
      <c r="UTA57" s="92"/>
      <c r="UTB57" s="92"/>
      <c r="UTC57" s="92"/>
      <c r="UTD57" s="92"/>
      <c r="UTE57" s="92"/>
      <c r="UTF57" s="92"/>
      <c r="UTG57" s="92"/>
      <c r="UTH57" s="92"/>
      <c r="UTI57" s="92"/>
      <c r="UTJ57" s="92"/>
      <c r="UTK57" s="92"/>
      <c r="UTL57" s="92"/>
      <c r="UTM57" s="92"/>
      <c r="UTN57" s="92"/>
      <c r="UTO57" s="92"/>
      <c r="UTP57" s="92"/>
      <c r="UTQ57" s="92"/>
      <c r="UTR57" s="92"/>
      <c r="UTS57" s="92"/>
      <c r="UTT57" s="92"/>
      <c r="UTU57" s="92"/>
      <c r="UTV57" s="92"/>
      <c r="UTW57" s="92"/>
      <c r="UTX57" s="92"/>
      <c r="UTY57" s="92"/>
      <c r="UTZ57" s="92"/>
      <c r="UUA57" s="92"/>
      <c r="UUB57" s="92"/>
      <c r="UUC57" s="92"/>
      <c r="UUD57" s="92"/>
      <c r="UUE57" s="92"/>
      <c r="UUF57" s="92"/>
      <c r="UUG57" s="92"/>
      <c r="UUH57" s="92"/>
      <c r="UUI57" s="92"/>
      <c r="UUJ57" s="92"/>
      <c r="UUK57" s="92"/>
      <c r="UUL57" s="92"/>
      <c r="UUM57" s="92"/>
      <c r="UUN57" s="92"/>
      <c r="UUO57" s="92"/>
      <c r="UUP57" s="92"/>
      <c r="UUQ57" s="92"/>
      <c r="UUR57" s="92"/>
      <c r="UUS57" s="92"/>
      <c r="UUT57" s="92"/>
      <c r="UUU57" s="92"/>
      <c r="UUV57" s="92"/>
      <c r="UUW57" s="92"/>
      <c r="UUX57" s="92"/>
      <c r="UUY57" s="92"/>
      <c r="UUZ57" s="92"/>
      <c r="UVA57" s="92"/>
      <c r="UVB57" s="92"/>
      <c r="UVC57" s="92"/>
      <c r="UVD57" s="92"/>
      <c r="UVE57" s="92"/>
      <c r="UVF57" s="92"/>
      <c r="UVG57" s="92"/>
      <c r="UVH57" s="92"/>
      <c r="UVI57" s="92"/>
      <c r="UVJ57" s="92"/>
      <c r="UVK57" s="92"/>
      <c r="UVL57" s="92"/>
      <c r="UVM57" s="92"/>
      <c r="UVN57" s="92"/>
      <c r="UVO57" s="92"/>
      <c r="UVP57" s="92"/>
      <c r="UVQ57" s="92"/>
      <c r="UVR57" s="92"/>
      <c r="UVS57" s="92"/>
      <c r="UVT57" s="92"/>
      <c r="UVU57" s="92"/>
      <c r="UVV57" s="92"/>
      <c r="UVW57" s="92"/>
      <c r="UVX57" s="92"/>
      <c r="UVY57" s="92"/>
      <c r="UVZ57" s="92"/>
      <c r="UWA57" s="92"/>
      <c r="UWB57" s="92"/>
      <c r="UWC57" s="92"/>
      <c r="UWD57" s="92"/>
      <c r="UWE57" s="92"/>
      <c r="UWF57" s="92"/>
      <c r="UWG57" s="92"/>
      <c r="UWH57" s="92"/>
      <c r="UWI57" s="92"/>
      <c r="UWJ57" s="92"/>
      <c r="UWK57" s="92"/>
      <c r="UWL57" s="92"/>
      <c r="UWM57" s="92"/>
      <c r="UWN57" s="92"/>
      <c r="UWO57" s="92"/>
      <c r="UWP57" s="92"/>
      <c r="UWQ57" s="92"/>
      <c r="UWR57" s="92"/>
      <c r="UWS57" s="92"/>
      <c r="UWT57" s="92"/>
      <c r="UWU57" s="92"/>
      <c r="UWV57" s="92"/>
      <c r="UWW57" s="92"/>
      <c r="UWX57" s="92"/>
      <c r="UWY57" s="92"/>
      <c r="UWZ57" s="92"/>
      <c r="UXA57" s="92"/>
      <c r="UXB57" s="92"/>
      <c r="UXC57" s="92"/>
      <c r="UXD57" s="92"/>
      <c r="UXE57" s="92"/>
      <c r="UXF57" s="92"/>
      <c r="UXG57" s="92"/>
      <c r="UXH57" s="92"/>
      <c r="UXI57" s="92"/>
      <c r="UXJ57" s="92"/>
      <c r="UXK57" s="92"/>
      <c r="UXL57" s="92"/>
      <c r="UXM57" s="92"/>
      <c r="UXN57" s="92"/>
      <c r="UXO57" s="92"/>
      <c r="UXP57" s="92"/>
      <c r="UXQ57" s="92"/>
      <c r="UXR57" s="92"/>
      <c r="UXS57" s="92"/>
      <c r="UXT57" s="92"/>
      <c r="UXU57" s="92"/>
      <c r="UXV57" s="92"/>
      <c r="UXW57" s="92"/>
      <c r="UXX57" s="92"/>
      <c r="UXY57" s="92"/>
      <c r="UXZ57" s="92"/>
      <c r="UYA57" s="92"/>
      <c r="UYB57" s="92"/>
      <c r="UYC57" s="92"/>
      <c r="UYD57" s="92"/>
      <c r="UYE57" s="92"/>
      <c r="UYF57" s="92"/>
      <c r="UYG57" s="92"/>
      <c r="UYH57" s="92"/>
      <c r="UYI57" s="92"/>
      <c r="UYJ57" s="92"/>
      <c r="UYK57" s="92"/>
      <c r="UYL57" s="92"/>
      <c r="UYM57" s="92"/>
      <c r="UYN57" s="92"/>
      <c r="UYO57" s="92"/>
      <c r="UYP57" s="92"/>
      <c r="UYQ57" s="92"/>
      <c r="UYR57" s="92"/>
      <c r="UYS57" s="92"/>
      <c r="UYT57" s="92"/>
      <c r="UYU57" s="92"/>
      <c r="UYV57" s="92"/>
      <c r="UYW57" s="92"/>
      <c r="UYX57" s="92"/>
      <c r="UYY57" s="92"/>
      <c r="UYZ57" s="92"/>
      <c r="UZA57" s="92"/>
      <c r="UZB57" s="92"/>
      <c r="UZC57" s="92"/>
      <c r="UZD57" s="92"/>
      <c r="UZE57" s="92"/>
      <c r="UZF57" s="92"/>
      <c r="UZG57" s="92"/>
      <c r="UZH57" s="92"/>
      <c r="UZI57" s="92"/>
      <c r="UZJ57" s="92"/>
      <c r="UZK57" s="92"/>
      <c r="UZL57" s="92"/>
      <c r="UZM57" s="92"/>
      <c r="UZN57" s="92"/>
      <c r="UZO57" s="92"/>
      <c r="UZP57" s="92"/>
      <c r="UZQ57" s="92"/>
      <c r="UZR57" s="92"/>
      <c r="UZS57" s="92"/>
      <c r="UZT57" s="92"/>
      <c r="UZU57" s="92"/>
      <c r="UZV57" s="92"/>
      <c r="UZW57" s="92"/>
      <c r="UZX57" s="92"/>
      <c r="UZY57" s="92"/>
      <c r="UZZ57" s="92"/>
      <c r="VAA57" s="92"/>
      <c r="VAB57" s="92"/>
      <c r="VAC57" s="92"/>
      <c r="VAD57" s="92"/>
      <c r="VAE57" s="92"/>
      <c r="VAF57" s="92"/>
      <c r="VAG57" s="92"/>
      <c r="VAH57" s="92"/>
      <c r="VAI57" s="92"/>
      <c r="VAJ57" s="92"/>
      <c r="VAK57" s="92"/>
      <c r="VAL57" s="92"/>
      <c r="VAM57" s="92"/>
      <c r="VAN57" s="92"/>
      <c r="VAO57" s="92"/>
      <c r="VAP57" s="92"/>
      <c r="VAQ57" s="92"/>
      <c r="VAR57" s="92"/>
      <c r="VAS57" s="92"/>
      <c r="VAT57" s="92"/>
      <c r="VAU57" s="92"/>
      <c r="VAV57" s="92"/>
      <c r="VAW57" s="92"/>
      <c r="VAX57" s="92"/>
      <c r="VAY57" s="92"/>
      <c r="VAZ57" s="92"/>
      <c r="VBA57" s="92"/>
      <c r="VBB57" s="92"/>
      <c r="VBC57" s="92"/>
      <c r="VBD57" s="92"/>
      <c r="VBE57" s="92"/>
      <c r="VBF57" s="92"/>
      <c r="VBG57" s="92"/>
      <c r="VBH57" s="92"/>
      <c r="VBI57" s="92"/>
      <c r="VBJ57" s="92"/>
      <c r="VBK57" s="92"/>
      <c r="VBL57" s="92"/>
      <c r="VBM57" s="92"/>
      <c r="VBN57" s="92"/>
      <c r="VBO57" s="92"/>
      <c r="VBP57" s="92"/>
      <c r="VBQ57" s="92"/>
      <c r="VBR57" s="92"/>
      <c r="VBS57" s="92"/>
      <c r="VBT57" s="92"/>
      <c r="VBU57" s="92"/>
      <c r="VBV57" s="92"/>
      <c r="VBW57" s="92"/>
      <c r="VBX57" s="92"/>
      <c r="VBY57" s="92"/>
      <c r="VBZ57" s="92"/>
      <c r="VCA57" s="92"/>
      <c r="VCB57" s="92"/>
      <c r="VCC57" s="92"/>
      <c r="VCD57" s="92"/>
      <c r="VCE57" s="92"/>
      <c r="VCF57" s="92"/>
      <c r="VCG57" s="92"/>
      <c r="VCH57" s="92"/>
      <c r="VCI57" s="92"/>
      <c r="VCJ57" s="92"/>
      <c r="VCK57" s="92"/>
      <c r="VCL57" s="92"/>
      <c r="VCM57" s="92"/>
      <c r="VCN57" s="92"/>
      <c r="VCO57" s="92"/>
      <c r="VCP57" s="92"/>
      <c r="VCQ57" s="92"/>
      <c r="VCR57" s="92"/>
      <c r="VCS57" s="92"/>
      <c r="VCT57" s="92"/>
      <c r="VCU57" s="92"/>
      <c r="VCV57" s="92"/>
      <c r="VCW57" s="92"/>
      <c r="VCX57" s="92"/>
      <c r="VCY57" s="92"/>
      <c r="VCZ57" s="92"/>
      <c r="VDA57" s="92"/>
      <c r="VDB57" s="92"/>
      <c r="VDC57" s="92"/>
      <c r="VDD57" s="92"/>
      <c r="VDE57" s="92"/>
      <c r="VDF57" s="92"/>
      <c r="VDG57" s="92"/>
      <c r="VDH57" s="92"/>
      <c r="VDI57" s="92"/>
      <c r="VDJ57" s="92"/>
      <c r="VDK57" s="92"/>
      <c r="VDL57" s="92"/>
      <c r="VDM57" s="92"/>
      <c r="VDN57" s="92"/>
      <c r="VDO57" s="92"/>
      <c r="VDP57" s="92"/>
      <c r="VDQ57" s="92"/>
      <c r="VDR57" s="92"/>
      <c r="VDS57" s="92"/>
      <c r="VDT57" s="92"/>
      <c r="VDU57" s="92"/>
      <c r="VDV57" s="92"/>
      <c r="VDW57" s="92"/>
      <c r="VDX57" s="92"/>
      <c r="VDY57" s="92"/>
      <c r="VDZ57" s="92"/>
      <c r="VEA57" s="92"/>
      <c r="VEB57" s="92"/>
      <c r="VEC57" s="92"/>
      <c r="VED57" s="92"/>
      <c r="VEE57" s="92"/>
      <c r="VEF57" s="92"/>
      <c r="VEG57" s="92"/>
      <c r="VEH57" s="92"/>
      <c r="VEI57" s="92"/>
      <c r="VEJ57" s="92"/>
      <c r="VEK57" s="92"/>
      <c r="VEL57" s="92"/>
      <c r="VEM57" s="92"/>
      <c r="VEN57" s="92"/>
      <c r="VEO57" s="92"/>
      <c r="VEP57" s="92"/>
      <c r="VEQ57" s="92"/>
      <c r="VER57" s="92"/>
      <c r="VES57" s="92"/>
      <c r="VET57" s="92"/>
      <c r="VEU57" s="92"/>
      <c r="VEV57" s="92"/>
      <c r="VEW57" s="92"/>
      <c r="VEX57" s="92"/>
      <c r="VEY57" s="92"/>
      <c r="VEZ57" s="92"/>
      <c r="VFA57" s="92"/>
      <c r="VFB57" s="92"/>
      <c r="VFC57" s="92"/>
      <c r="VFD57" s="92"/>
      <c r="VFE57" s="92"/>
      <c r="VFF57" s="92"/>
      <c r="VFG57" s="92"/>
      <c r="VFH57" s="92"/>
      <c r="VFI57" s="92"/>
      <c r="VFJ57" s="92"/>
      <c r="VFK57" s="92"/>
      <c r="VFL57" s="92"/>
      <c r="VFM57" s="92"/>
      <c r="VFN57" s="92"/>
      <c r="VFO57" s="92"/>
      <c r="VFP57" s="92"/>
      <c r="VFQ57" s="92"/>
      <c r="VFR57" s="92"/>
      <c r="VFS57" s="92"/>
      <c r="VFT57" s="92"/>
      <c r="VFU57" s="92"/>
      <c r="VFV57" s="92"/>
      <c r="VFW57" s="92"/>
      <c r="VFX57" s="92"/>
      <c r="VFY57" s="92"/>
      <c r="VFZ57" s="92"/>
      <c r="VGA57" s="92"/>
      <c r="VGB57" s="92"/>
      <c r="VGC57" s="92"/>
      <c r="VGD57" s="92"/>
      <c r="VGE57" s="92"/>
      <c r="VGF57" s="92"/>
      <c r="VGG57" s="92"/>
      <c r="VGH57" s="92"/>
      <c r="VGI57" s="92"/>
      <c r="VGJ57" s="92"/>
      <c r="VGK57" s="92"/>
      <c r="VGL57" s="92"/>
      <c r="VGM57" s="92"/>
      <c r="VGN57" s="92"/>
      <c r="VGO57" s="92"/>
      <c r="VGP57" s="92"/>
      <c r="VGQ57" s="92"/>
      <c r="VGR57" s="92"/>
      <c r="VGS57" s="92"/>
      <c r="VGT57" s="92"/>
      <c r="VGU57" s="92"/>
      <c r="VGV57" s="92"/>
      <c r="VGW57" s="92"/>
      <c r="VGX57" s="92"/>
      <c r="VGY57" s="92"/>
      <c r="VGZ57" s="92"/>
      <c r="VHA57" s="92"/>
      <c r="VHB57" s="92"/>
      <c r="VHC57" s="92"/>
      <c r="VHD57" s="92"/>
      <c r="VHE57" s="92"/>
      <c r="VHF57" s="92"/>
      <c r="VHG57" s="92"/>
      <c r="VHH57" s="92"/>
      <c r="VHI57" s="92"/>
      <c r="VHJ57" s="92"/>
      <c r="VHK57" s="92"/>
      <c r="VHL57" s="92"/>
      <c r="VHM57" s="92"/>
      <c r="VHN57" s="92"/>
      <c r="VHO57" s="92"/>
      <c r="VHP57" s="92"/>
      <c r="VHQ57" s="92"/>
      <c r="VHR57" s="92"/>
      <c r="VHS57" s="92"/>
      <c r="VHT57" s="92"/>
      <c r="VHU57" s="92"/>
      <c r="VHV57" s="92"/>
      <c r="VHW57" s="92"/>
      <c r="VHX57" s="92"/>
      <c r="VHY57" s="92"/>
      <c r="VHZ57" s="92"/>
      <c r="VIA57" s="92"/>
      <c r="VIB57" s="92"/>
      <c r="VIC57" s="92"/>
      <c r="VID57" s="92"/>
      <c r="VIE57" s="92"/>
      <c r="VIF57" s="92"/>
      <c r="VIG57" s="92"/>
      <c r="VIH57" s="92"/>
      <c r="VII57" s="92"/>
      <c r="VIJ57" s="92"/>
      <c r="VIK57" s="92"/>
      <c r="VIL57" s="92"/>
      <c r="VIM57" s="92"/>
      <c r="VIN57" s="92"/>
      <c r="VIO57" s="92"/>
      <c r="VIP57" s="92"/>
      <c r="VIQ57" s="92"/>
      <c r="VIR57" s="92"/>
      <c r="VIS57" s="92"/>
      <c r="VIT57" s="92"/>
      <c r="VIU57" s="92"/>
      <c r="VIV57" s="92"/>
      <c r="VIW57" s="92"/>
      <c r="VIX57" s="92"/>
      <c r="VIY57" s="92"/>
      <c r="VIZ57" s="92"/>
      <c r="VJA57" s="92"/>
      <c r="VJB57" s="92"/>
      <c r="VJC57" s="92"/>
      <c r="VJD57" s="92"/>
      <c r="VJE57" s="92"/>
      <c r="VJF57" s="92"/>
      <c r="VJG57" s="92"/>
      <c r="VJH57" s="92"/>
      <c r="VJI57" s="92"/>
      <c r="VJJ57" s="92"/>
      <c r="VJK57" s="92"/>
      <c r="VJL57" s="92"/>
      <c r="VJM57" s="92"/>
      <c r="VJN57" s="92"/>
      <c r="VJO57" s="92"/>
      <c r="VJP57" s="92"/>
      <c r="VJQ57" s="92"/>
      <c r="VJR57" s="92"/>
      <c r="VJS57" s="92"/>
      <c r="VJT57" s="92"/>
      <c r="VJU57" s="92"/>
      <c r="VJV57" s="92"/>
      <c r="VJW57" s="92"/>
      <c r="VJX57" s="92"/>
      <c r="VJY57" s="92"/>
      <c r="VJZ57" s="92"/>
      <c r="VKA57" s="92"/>
      <c r="VKB57" s="92"/>
      <c r="VKC57" s="92"/>
      <c r="VKD57" s="92"/>
      <c r="VKE57" s="92"/>
      <c r="VKF57" s="92"/>
      <c r="VKG57" s="92"/>
      <c r="VKH57" s="92"/>
      <c r="VKI57" s="92"/>
      <c r="VKJ57" s="92"/>
      <c r="VKK57" s="92"/>
      <c r="VKL57" s="92"/>
      <c r="VKM57" s="92"/>
      <c r="VKN57" s="92"/>
      <c r="VKO57" s="92"/>
      <c r="VKP57" s="92"/>
      <c r="VKQ57" s="92"/>
      <c r="VKR57" s="92"/>
      <c r="VKS57" s="92"/>
      <c r="VKT57" s="92"/>
      <c r="VKU57" s="92"/>
      <c r="VKV57" s="92"/>
      <c r="VKW57" s="92"/>
      <c r="VKX57" s="92"/>
      <c r="VKY57" s="92"/>
      <c r="VKZ57" s="92"/>
      <c r="VLA57" s="92"/>
      <c r="VLB57" s="92"/>
      <c r="VLC57" s="92"/>
      <c r="VLD57" s="92"/>
      <c r="VLE57" s="92"/>
      <c r="VLF57" s="92"/>
      <c r="VLG57" s="92"/>
      <c r="VLH57" s="92"/>
      <c r="VLI57" s="92"/>
      <c r="VLJ57" s="92"/>
      <c r="VLK57" s="92"/>
      <c r="VLL57" s="92"/>
      <c r="VLM57" s="92"/>
      <c r="VLN57" s="92"/>
      <c r="VLO57" s="92"/>
      <c r="VLP57" s="92"/>
      <c r="VLQ57" s="92"/>
      <c r="VLR57" s="92"/>
      <c r="VLS57" s="92"/>
      <c r="VLT57" s="92"/>
      <c r="VLU57" s="92"/>
      <c r="VLV57" s="92"/>
      <c r="VLW57" s="92"/>
      <c r="VLX57" s="92"/>
      <c r="VLY57" s="92"/>
      <c r="VLZ57" s="92"/>
      <c r="VMA57" s="92"/>
      <c r="VMB57" s="92"/>
      <c r="VMC57" s="92"/>
      <c r="VMD57" s="92"/>
      <c r="VME57" s="92"/>
      <c r="VMF57" s="92"/>
      <c r="VMG57" s="92"/>
      <c r="VMH57" s="92"/>
      <c r="VMI57" s="92"/>
      <c r="VMJ57" s="92"/>
      <c r="VMK57" s="92"/>
      <c r="VML57" s="92"/>
      <c r="VMM57" s="92"/>
      <c r="VMN57" s="92"/>
      <c r="VMO57" s="92"/>
      <c r="VMP57" s="92"/>
      <c r="VMQ57" s="92"/>
      <c r="VMR57" s="92"/>
      <c r="VMS57" s="92"/>
      <c r="VMT57" s="92"/>
      <c r="VMU57" s="92"/>
      <c r="VMV57" s="92"/>
      <c r="VMW57" s="92"/>
      <c r="VMX57" s="92"/>
      <c r="VMY57" s="92"/>
      <c r="VMZ57" s="92"/>
      <c r="VNA57" s="92"/>
      <c r="VNB57" s="92"/>
      <c r="VNC57" s="92"/>
      <c r="VND57" s="92"/>
      <c r="VNE57" s="92"/>
      <c r="VNF57" s="92"/>
      <c r="VNG57" s="92"/>
      <c r="VNH57" s="92"/>
      <c r="VNI57" s="92"/>
      <c r="VNJ57" s="92"/>
      <c r="VNK57" s="92"/>
      <c r="VNL57" s="92"/>
      <c r="VNM57" s="92"/>
      <c r="VNN57" s="92"/>
      <c r="VNO57" s="92"/>
      <c r="VNP57" s="92"/>
      <c r="VNQ57" s="92"/>
      <c r="VNR57" s="92"/>
      <c r="VNS57" s="92"/>
      <c r="VNT57" s="92"/>
      <c r="VNU57" s="92"/>
      <c r="VNV57" s="92"/>
      <c r="VNW57" s="92"/>
      <c r="VNX57" s="92"/>
      <c r="VNY57" s="92"/>
      <c r="VNZ57" s="92"/>
      <c r="VOA57" s="92"/>
      <c r="VOB57" s="92"/>
      <c r="VOC57" s="92"/>
      <c r="VOD57" s="92"/>
      <c r="VOE57" s="92"/>
      <c r="VOF57" s="92"/>
      <c r="VOG57" s="92"/>
      <c r="VOH57" s="92"/>
      <c r="VOI57" s="92"/>
      <c r="VOJ57" s="92"/>
      <c r="VOK57" s="92"/>
      <c r="VOL57" s="92"/>
      <c r="VOM57" s="92"/>
      <c r="VON57" s="92"/>
      <c r="VOO57" s="92"/>
      <c r="VOP57" s="92"/>
      <c r="VOQ57" s="92"/>
      <c r="VOR57" s="92"/>
      <c r="VOS57" s="92"/>
      <c r="VOT57" s="92"/>
      <c r="VOU57" s="92"/>
      <c r="VOV57" s="92"/>
      <c r="VOW57" s="92"/>
      <c r="VOX57" s="92"/>
      <c r="VOY57" s="92"/>
      <c r="VOZ57" s="92"/>
      <c r="VPA57" s="92"/>
      <c r="VPB57" s="92"/>
      <c r="VPC57" s="92"/>
      <c r="VPD57" s="92"/>
      <c r="VPE57" s="92"/>
      <c r="VPF57" s="92"/>
      <c r="VPG57" s="92"/>
      <c r="VPH57" s="92"/>
      <c r="VPI57" s="92"/>
      <c r="VPJ57" s="92"/>
      <c r="VPK57" s="92"/>
      <c r="VPL57" s="92"/>
      <c r="VPM57" s="92"/>
      <c r="VPN57" s="92"/>
      <c r="VPO57" s="92"/>
      <c r="VPP57" s="92"/>
      <c r="VPQ57" s="92"/>
      <c r="VPR57" s="92"/>
      <c r="VPS57" s="92"/>
      <c r="VPT57" s="92"/>
      <c r="VPU57" s="92"/>
      <c r="VPV57" s="92"/>
      <c r="VPW57" s="92"/>
      <c r="VPX57" s="92"/>
      <c r="VPY57" s="92"/>
      <c r="VPZ57" s="92"/>
      <c r="VQA57" s="92"/>
      <c r="VQB57" s="92"/>
      <c r="VQC57" s="92"/>
      <c r="VQD57" s="92"/>
      <c r="VQE57" s="92"/>
      <c r="VQF57" s="92"/>
      <c r="VQG57" s="92"/>
      <c r="VQH57" s="92"/>
      <c r="VQI57" s="92"/>
      <c r="VQJ57" s="92"/>
      <c r="VQK57" s="92"/>
      <c r="VQL57" s="92"/>
      <c r="VQM57" s="92"/>
      <c r="VQN57" s="92"/>
      <c r="VQO57" s="92"/>
      <c r="VQP57" s="92"/>
      <c r="VQQ57" s="92"/>
      <c r="VQR57" s="92"/>
      <c r="VQS57" s="92"/>
      <c r="VQT57" s="92"/>
      <c r="VQU57" s="92"/>
      <c r="VQV57" s="92"/>
      <c r="VQW57" s="92"/>
      <c r="VQX57" s="92"/>
      <c r="VQY57" s="92"/>
      <c r="VQZ57" s="92"/>
      <c r="VRA57" s="92"/>
      <c r="VRB57" s="92"/>
      <c r="VRC57" s="92"/>
      <c r="VRD57" s="92"/>
      <c r="VRE57" s="92"/>
      <c r="VRF57" s="92"/>
      <c r="VRG57" s="92"/>
      <c r="VRH57" s="92"/>
      <c r="VRI57" s="92"/>
      <c r="VRJ57" s="92"/>
      <c r="VRK57" s="92"/>
      <c r="VRL57" s="92"/>
      <c r="VRM57" s="92"/>
      <c r="VRN57" s="92"/>
      <c r="VRO57" s="92"/>
      <c r="VRP57" s="92"/>
      <c r="VRQ57" s="92"/>
      <c r="VRR57" s="92"/>
      <c r="VRS57" s="92"/>
      <c r="VRT57" s="92"/>
      <c r="VRU57" s="92"/>
      <c r="VRV57" s="92"/>
      <c r="VRW57" s="92"/>
      <c r="VRX57" s="92"/>
      <c r="VRY57" s="92"/>
      <c r="VRZ57" s="92"/>
      <c r="VSA57" s="92"/>
      <c r="VSB57" s="92"/>
      <c r="VSC57" s="92"/>
      <c r="VSD57" s="92"/>
      <c r="VSE57" s="92"/>
      <c r="VSF57" s="92"/>
      <c r="VSG57" s="92"/>
      <c r="VSH57" s="92"/>
      <c r="VSI57" s="92"/>
      <c r="VSJ57" s="92"/>
      <c r="VSK57" s="92"/>
      <c r="VSL57" s="92"/>
      <c r="VSM57" s="92"/>
      <c r="VSN57" s="92"/>
      <c r="VSO57" s="92"/>
      <c r="VSP57" s="92"/>
      <c r="VSQ57" s="92"/>
      <c r="VSR57" s="92"/>
      <c r="VSS57" s="92"/>
      <c r="VST57" s="92"/>
      <c r="VSU57" s="92"/>
      <c r="VSV57" s="92"/>
      <c r="VSW57" s="92"/>
      <c r="VSX57" s="92"/>
      <c r="VSY57" s="92"/>
      <c r="VSZ57" s="92"/>
      <c r="VTA57" s="92"/>
      <c r="VTB57" s="92"/>
      <c r="VTC57" s="92"/>
      <c r="VTD57" s="92"/>
      <c r="VTE57" s="92"/>
      <c r="VTF57" s="92"/>
      <c r="VTG57" s="92"/>
      <c r="VTH57" s="92"/>
      <c r="VTI57" s="92"/>
      <c r="VTJ57" s="92"/>
      <c r="VTK57" s="92"/>
      <c r="VTL57" s="92"/>
      <c r="VTM57" s="92"/>
      <c r="VTN57" s="92"/>
      <c r="VTO57" s="92"/>
      <c r="VTP57" s="92"/>
      <c r="VTQ57" s="92"/>
      <c r="VTR57" s="92"/>
      <c r="VTS57" s="92"/>
      <c r="VTT57" s="92"/>
      <c r="VTU57" s="92"/>
      <c r="VTV57" s="92"/>
      <c r="VTW57" s="92"/>
      <c r="VTX57" s="92"/>
      <c r="VTY57" s="92"/>
      <c r="VTZ57" s="92"/>
      <c r="VUA57" s="92"/>
      <c r="VUB57" s="92"/>
      <c r="VUC57" s="92"/>
      <c r="VUD57" s="92"/>
      <c r="VUE57" s="92"/>
      <c r="VUF57" s="92"/>
      <c r="VUG57" s="92"/>
      <c r="VUH57" s="92"/>
      <c r="VUI57" s="92"/>
      <c r="VUJ57" s="92"/>
      <c r="VUK57" s="92"/>
      <c r="VUL57" s="92"/>
      <c r="VUM57" s="92"/>
      <c r="VUN57" s="92"/>
      <c r="VUO57" s="92"/>
      <c r="VUP57" s="92"/>
      <c r="VUQ57" s="92"/>
      <c r="VUR57" s="92"/>
      <c r="VUS57" s="92"/>
      <c r="VUT57" s="92"/>
      <c r="VUU57" s="92"/>
      <c r="VUV57" s="92"/>
      <c r="VUW57" s="92"/>
      <c r="VUX57" s="92"/>
      <c r="VUY57" s="92"/>
      <c r="VUZ57" s="92"/>
      <c r="VVA57" s="92"/>
      <c r="VVB57" s="92"/>
      <c r="VVC57" s="92"/>
      <c r="VVD57" s="92"/>
      <c r="VVE57" s="92"/>
      <c r="VVF57" s="92"/>
      <c r="VVG57" s="92"/>
      <c r="VVH57" s="92"/>
      <c r="VVI57" s="92"/>
      <c r="VVJ57" s="92"/>
      <c r="VVK57" s="92"/>
      <c r="VVL57" s="92"/>
      <c r="VVM57" s="92"/>
      <c r="VVN57" s="92"/>
      <c r="VVO57" s="92"/>
      <c r="VVP57" s="92"/>
      <c r="VVQ57" s="92"/>
      <c r="VVR57" s="92"/>
      <c r="VVS57" s="92"/>
      <c r="VVT57" s="92"/>
      <c r="VVU57" s="92"/>
      <c r="VVV57" s="92"/>
      <c r="VVW57" s="92"/>
      <c r="VVX57" s="92"/>
      <c r="VVY57" s="92"/>
      <c r="VVZ57" s="92"/>
      <c r="VWA57" s="92"/>
      <c r="VWB57" s="92"/>
      <c r="VWC57" s="92"/>
      <c r="VWD57" s="92"/>
      <c r="VWE57" s="92"/>
      <c r="VWF57" s="92"/>
      <c r="VWG57" s="92"/>
      <c r="VWH57" s="92"/>
      <c r="VWI57" s="92"/>
      <c r="VWJ57" s="92"/>
      <c r="VWK57" s="92"/>
      <c r="VWL57" s="92"/>
      <c r="VWM57" s="92"/>
      <c r="VWN57" s="92"/>
      <c r="VWO57" s="92"/>
      <c r="VWP57" s="92"/>
      <c r="VWQ57" s="92"/>
      <c r="VWR57" s="92"/>
      <c r="VWS57" s="92"/>
      <c r="VWT57" s="92"/>
      <c r="VWU57" s="92"/>
      <c r="VWV57" s="92"/>
      <c r="VWW57" s="92"/>
      <c r="VWX57" s="92"/>
      <c r="VWY57" s="92"/>
      <c r="VWZ57" s="92"/>
      <c r="VXA57" s="92"/>
      <c r="VXB57" s="92"/>
      <c r="VXC57" s="92"/>
      <c r="VXD57" s="92"/>
      <c r="VXE57" s="92"/>
      <c r="VXF57" s="92"/>
      <c r="VXG57" s="92"/>
      <c r="VXH57" s="92"/>
      <c r="VXI57" s="92"/>
      <c r="VXJ57" s="92"/>
      <c r="VXK57" s="92"/>
      <c r="VXL57" s="92"/>
      <c r="VXM57" s="92"/>
      <c r="VXN57" s="92"/>
      <c r="VXO57" s="92"/>
      <c r="VXP57" s="92"/>
      <c r="VXQ57" s="92"/>
      <c r="VXR57" s="92"/>
      <c r="VXS57" s="92"/>
      <c r="VXT57" s="92"/>
      <c r="VXU57" s="92"/>
      <c r="VXV57" s="92"/>
      <c r="VXW57" s="92"/>
      <c r="VXX57" s="92"/>
      <c r="VXY57" s="92"/>
      <c r="VXZ57" s="92"/>
      <c r="VYA57" s="92"/>
      <c r="VYB57" s="92"/>
      <c r="VYC57" s="92"/>
      <c r="VYD57" s="92"/>
      <c r="VYE57" s="92"/>
      <c r="VYF57" s="92"/>
      <c r="VYG57" s="92"/>
      <c r="VYH57" s="92"/>
      <c r="VYI57" s="92"/>
      <c r="VYJ57" s="92"/>
      <c r="VYK57" s="92"/>
      <c r="VYL57" s="92"/>
      <c r="VYM57" s="92"/>
      <c r="VYN57" s="92"/>
      <c r="VYO57" s="92"/>
      <c r="VYP57" s="92"/>
      <c r="VYQ57" s="92"/>
      <c r="VYR57" s="92"/>
      <c r="VYS57" s="92"/>
      <c r="VYT57" s="92"/>
      <c r="VYU57" s="92"/>
      <c r="VYV57" s="92"/>
      <c r="VYW57" s="92"/>
      <c r="VYX57" s="92"/>
      <c r="VYY57" s="92"/>
      <c r="VYZ57" s="92"/>
      <c r="VZA57" s="92"/>
      <c r="VZB57" s="92"/>
      <c r="VZC57" s="92"/>
      <c r="VZD57" s="92"/>
      <c r="VZE57" s="92"/>
      <c r="VZF57" s="92"/>
      <c r="VZG57" s="92"/>
      <c r="VZH57" s="92"/>
      <c r="VZI57" s="92"/>
      <c r="VZJ57" s="92"/>
      <c r="VZK57" s="92"/>
      <c r="VZL57" s="92"/>
      <c r="VZM57" s="92"/>
      <c r="VZN57" s="92"/>
      <c r="VZO57" s="92"/>
      <c r="VZP57" s="92"/>
      <c r="VZQ57" s="92"/>
      <c r="VZR57" s="92"/>
      <c r="VZS57" s="92"/>
      <c r="VZT57" s="92"/>
      <c r="VZU57" s="92"/>
      <c r="VZV57" s="92"/>
      <c r="VZW57" s="92"/>
      <c r="VZX57" s="92"/>
      <c r="VZY57" s="92"/>
      <c r="VZZ57" s="92"/>
      <c r="WAA57" s="92"/>
      <c r="WAB57" s="92"/>
      <c r="WAC57" s="92"/>
      <c r="WAD57" s="92"/>
      <c r="WAE57" s="92"/>
      <c r="WAF57" s="92"/>
      <c r="WAG57" s="92"/>
      <c r="WAH57" s="92"/>
      <c r="WAI57" s="92"/>
      <c r="WAJ57" s="92"/>
      <c r="WAK57" s="92"/>
      <c r="WAL57" s="92"/>
      <c r="WAM57" s="92"/>
      <c r="WAN57" s="92"/>
      <c r="WAO57" s="92"/>
      <c r="WAP57" s="92"/>
      <c r="WAQ57" s="92"/>
      <c r="WAR57" s="92"/>
      <c r="WAS57" s="92"/>
      <c r="WAT57" s="92"/>
      <c r="WAU57" s="92"/>
      <c r="WAV57" s="92"/>
      <c r="WAW57" s="92"/>
      <c r="WAX57" s="92"/>
      <c r="WAY57" s="92"/>
      <c r="WAZ57" s="92"/>
      <c r="WBA57" s="92"/>
      <c r="WBB57" s="92"/>
      <c r="WBC57" s="92"/>
      <c r="WBD57" s="92"/>
      <c r="WBE57" s="92"/>
      <c r="WBF57" s="92"/>
      <c r="WBG57" s="92"/>
      <c r="WBH57" s="92"/>
      <c r="WBI57" s="92"/>
      <c r="WBJ57" s="92"/>
      <c r="WBK57" s="92"/>
      <c r="WBL57" s="92"/>
      <c r="WBM57" s="92"/>
      <c r="WBN57" s="92"/>
      <c r="WBO57" s="92"/>
      <c r="WBP57" s="92"/>
      <c r="WBQ57" s="92"/>
      <c r="WBR57" s="92"/>
      <c r="WBS57" s="92"/>
      <c r="WBT57" s="92"/>
      <c r="WBU57" s="92"/>
      <c r="WBV57" s="92"/>
      <c r="WBW57" s="92"/>
      <c r="WBX57" s="92"/>
      <c r="WBY57" s="92"/>
      <c r="WBZ57" s="92"/>
      <c r="WCA57" s="92"/>
      <c r="WCB57" s="92"/>
      <c r="WCC57" s="92"/>
      <c r="WCD57" s="92"/>
      <c r="WCE57" s="92"/>
      <c r="WCF57" s="92"/>
      <c r="WCG57" s="92"/>
      <c r="WCH57" s="92"/>
      <c r="WCI57" s="92"/>
      <c r="WCJ57" s="92"/>
      <c r="WCK57" s="92"/>
      <c r="WCL57" s="92"/>
      <c r="WCM57" s="92"/>
      <c r="WCN57" s="92"/>
      <c r="WCO57" s="92"/>
      <c r="WCP57" s="92"/>
      <c r="WCQ57" s="92"/>
      <c r="WCR57" s="92"/>
      <c r="WCS57" s="92"/>
      <c r="WCT57" s="92"/>
      <c r="WCU57" s="92"/>
      <c r="WCV57" s="92"/>
      <c r="WCW57" s="92"/>
      <c r="WCX57" s="92"/>
      <c r="WCY57" s="92"/>
      <c r="WCZ57" s="92"/>
      <c r="WDA57" s="92"/>
      <c r="WDB57" s="92"/>
      <c r="WDC57" s="92"/>
      <c r="WDD57" s="92"/>
      <c r="WDE57" s="92"/>
      <c r="WDF57" s="92"/>
      <c r="WDG57" s="92"/>
      <c r="WDH57" s="92"/>
      <c r="WDI57" s="92"/>
      <c r="WDJ57" s="92"/>
      <c r="WDK57" s="92"/>
      <c r="WDL57" s="92"/>
      <c r="WDM57" s="92"/>
      <c r="WDN57" s="92"/>
      <c r="WDO57" s="92"/>
      <c r="WDP57" s="92"/>
      <c r="WDQ57" s="92"/>
      <c r="WDR57" s="92"/>
      <c r="WDS57" s="92"/>
      <c r="WDT57" s="92"/>
      <c r="WDU57" s="92"/>
      <c r="WDV57" s="92"/>
      <c r="WDW57" s="92"/>
      <c r="WDX57" s="92"/>
      <c r="WDY57" s="92"/>
      <c r="WDZ57" s="92"/>
      <c r="WEA57" s="92"/>
      <c r="WEB57" s="92"/>
      <c r="WEC57" s="92"/>
      <c r="WED57" s="92"/>
      <c r="WEE57" s="92"/>
      <c r="WEF57" s="92"/>
      <c r="WEG57" s="92"/>
      <c r="WEH57" s="92"/>
      <c r="WEI57" s="92"/>
      <c r="WEJ57" s="92"/>
      <c r="WEK57" s="92"/>
      <c r="WEL57" s="92"/>
      <c r="WEM57" s="92"/>
      <c r="WEN57" s="92"/>
      <c r="WEO57" s="92"/>
      <c r="WEP57" s="92"/>
      <c r="WEQ57" s="92"/>
      <c r="WER57" s="92"/>
      <c r="WES57" s="92"/>
      <c r="WET57" s="92"/>
      <c r="WEU57" s="92"/>
      <c r="WEV57" s="92"/>
      <c r="WEW57" s="92"/>
      <c r="WEX57" s="92"/>
      <c r="WEY57" s="92"/>
      <c r="WEZ57" s="92"/>
      <c r="WFA57" s="92"/>
      <c r="WFB57" s="92"/>
      <c r="WFC57" s="92"/>
      <c r="WFD57" s="92"/>
      <c r="WFE57" s="92"/>
      <c r="WFF57" s="92"/>
      <c r="WFG57" s="92"/>
      <c r="WFH57" s="92"/>
      <c r="WFI57" s="92"/>
      <c r="WFJ57" s="92"/>
      <c r="WFK57" s="92"/>
      <c r="WFL57" s="92"/>
      <c r="WFM57" s="92"/>
      <c r="WFN57" s="92"/>
      <c r="WFO57" s="92"/>
      <c r="WFP57" s="92"/>
      <c r="WFQ57" s="92"/>
      <c r="WFR57" s="92"/>
      <c r="WFS57" s="92"/>
      <c r="WFT57" s="92"/>
      <c r="WFU57" s="92"/>
      <c r="WFV57" s="92"/>
      <c r="WFW57" s="92"/>
      <c r="WFX57" s="92"/>
      <c r="WFY57" s="92"/>
      <c r="WFZ57" s="92"/>
      <c r="WGA57" s="92"/>
      <c r="WGB57" s="92"/>
      <c r="WGC57" s="92"/>
      <c r="WGD57" s="92"/>
      <c r="WGE57" s="92"/>
      <c r="WGF57" s="92"/>
      <c r="WGG57" s="92"/>
      <c r="WGH57" s="92"/>
      <c r="WGI57" s="92"/>
      <c r="WGJ57" s="92"/>
      <c r="WGK57" s="92"/>
      <c r="WGL57" s="92"/>
      <c r="WGM57" s="92"/>
      <c r="WGN57" s="92"/>
      <c r="WGO57" s="92"/>
      <c r="WGP57" s="92"/>
      <c r="WGQ57" s="92"/>
      <c r="WGR57" s="92"/>
      <c r="WGS57" s="92"/>
      <c r="WGT57" s="92"/>
      <c r="WGU57" s="92"/>
      <c r="WGV57" s="92"/>
      <c r="WGW57" s="92"/>
      <c r="WGX57" s="92"/>
      <c r="WGY57" s="92"/>
      <c r="WGZ57" s="92"/>
      <c r="WHA57" s="92"/>
      <c r="WHB57" s="92"/>
      <c r="WHC57" s="92"/>
      <c r="WHD57" s="92"/>
      <c r="WHE57" s="92"/>
      <c r="WHF57" s="92"/>
      <c r="WHG57" s="92"/>
      <c r="WHH57" s="92"/>
      <c r="WHI57" s="92"/>
      <c r="WHJ57" s="92"/>
      <c r="WHK57" s="92"/>
      <c r="WHL57" s="92"/>
      <c r="WHM57" s="92"/>
      <c r="WHN57" s="92"/>
      <c r="WHO57" s="92"/>
      <c r="WHP57" s="92"/>
      <c r="WHQ57" s="92"/>
      <c r="WHR57" s="92"/>
      <c r="WHS57" s="92"/>
      <c r="WHT57" s="92"/>
      <c r="WHU57" s="92"/>
      <c r="WHV57" s="92"/>
      <c r="WHW57" s="92"/>
      <c r="WHX57" s="92"/>
      <c r="WHY57" s="92"/>
      <c r="WHZ57" s="92"/>
      <c r="WIA57" s="92"/>
      <c r="WIB57" s="92"/>
      <c r="WIC57" s="92"/>
      <c r="WID57" s="92"/>
      <c r="WIE57" s="92"/>
      <c r="WIF57" s="92"/>
      <c r="WIG57" s="92"/>
      <c r="WIH57" s="92"/>
      <c r="WII57" s="92"/>
      <c r="WIJ57" s="92"/>
      <c r="WIK57" s="92"/>
      <c r="WIL57" s="92"/>
      <c r="WIM57" s="92"/>
      <c r="WIN57" s="92"/>
      <c r="WIO57" s="92"/>
      <c r="WIP57" s="92"/>
      <c r="WIQ57" s="92"/>
      <c r="WIR57" s="92"/>
      <c r="WIS57" s="92"/>
      <c r="WIT57" s="92"/>
      <c r="WIU57" s="92"/>
      <c r="WIV57" s="92"/>
      <c r="WIW57" s="92"/>
      <c r="WIX57" s="92"/>
      <c r="WIY57" s="92"/>
      <c r="WIZ57" s="92"/>
      <c r="WJA57" s="92"/>
      <c r="WJB57" s="92"/>
      <c r="WJC57" s="92"/>
      <c r="WJD57" s="92"/>
      <c r="WJE57" s="92"/>
      <c r="WJF57" s="92"/>
      <c r="WJG57" s="92"/>
      <c r="WJH57" s="92"/>
      <c r="WJI57" s="92"/>
      <c r="WJJ57" s="92"/>
      <c r="WJK57" s="92"/>
      <c r="WJL57" s="92"/>
      <c r="WJM57" s="92"/>
      <c r="WJN57" s="92"/>
      <c r="WJO57" s="92"/>
      <c r="WJP57" s="92"/>
      <c r="WJQ57" s="92"/>
      <c r="WJR57" s="92"/>
      <c r="WJS57" s="92"/>
      <c r="WJT57" s="92"/>
      <c r="WJU57" s="92"/>
      <c r="WJV57" s="92"/>
      <c r="WJW57" s="92"/>
      <c r="WJX57" s="92"/>
      <c r="WJY57" s="92"/>
      <c r="WJZ57" s="92"/>
      <c r="WKA57" s="92"/>
      <c r="WKB57" s="92"/>
      <c r="WKC57" s="92"/>
      <c r="WKD57" s="92"/>
      <c r="WKE57" s="92"/>
      <c r="WKF57" s="92"/>
      <c r="WKG57" s="92"/>
      <c r="WKH57" s="92"/>
      <c r="WKI57" s="92"/>
      <c r="WKJ57" s="92"/>
      <c r="WKK57" s="92"/>
      <c r="WKL57" s="92"/>
      <c r="WKM57" s="92"/>
      <c r="WKN57" s="92"/>
      <c r="WKO57" s="92"/>
      <c r="WKP57" s="92"/>
      <c r="WKQ57" s="92"/>
      <c r="WKR57" s="92"/>
      <c r="WKS57" s="92"/>
      <c r="WKT57" s="92"/>
      <c r="WKU57" s="92"/>
      <c r="WKV57" s="92"/>
      <c r="WKW57" s="92"/>
      <c r="WKX57" s="92"/>
      <c r="WKY57" s="92"/>
      <c r="WKZ57" s="92"/>
      <c r="WLA57" s="92"/>
      <c r="WLB57" s="92"/>
      <c r="WLC57" s="92"/>
      <c r="WLD57" s="92"/>
      <c r="WLE57" s="92"/>
      <c r="WLF57" s="92"/>
      <c r="WLG57" s="92"/>
      <c r="WLH57" s="92"/>
      <c r="WLI57" s="92"/>
      <c r="WLJ57" s="92"/>
      <c r="WLK57" s="92"/>
      <c r="WLL57" s="92"/>
      <c r="WLM57" s="92"/>
      <c r="WLN57" s="92"/>
      <c r="WLO57" s="92"/>
      <c r="WLP57" s="92"/>
      <c r="WLQ57" s="92"/>
      <c r="WLR57" s="92"/>
      <c r="WLS57" s="92"/>
      <c r="WLT57" s="92"/>
      <c r="WLU57" s="92"/>
      <c r="WLV57" s="92"/>
      <c r="WLW57" s="92"/>
      <c r="WLX57" s="92"/>
      <c r="WLY57" s="92"/>
      <c r="WLZ57" s="92"/>
      <c r="WMA57" s="92"/>
      <c r="WMB57" s="92"/>
      <c r="WMC57" s="92"/>
      <c r="WMD57" s="92"/>
      <c r="WME57" s="92"/>
      <c r="WMF57" s="92"/>
      <c r="WMG57" s="92"/>
      <c r="WMH57" s="92"/>
      <c r="WMI57" s="92"/>
      <c r="WMJ57" s="92"/>
      <c r="WMK57" s="92"/>
      <c r="WML57" s="92"/>
      <c r="WMM57" s="92"/>
      <c r="WMN57" s="92"/>
      <c r="WMO57" s="92"/>
      <c r="WMP57" s="92"/>
      <c r="WMQ57" s="92"/>
      <c r="WMR57" s="92"/>
      <c r="WMS57" s="92"/>
      <c r="WMT57" s="92"/>
      <c r="WMU57" s="92"/>
      <c r="WMV57" s="92"/>
      <c r="WMW57" s="92"/>
      <c r="WMX57" s="92"/>
      <c r="WMY57" s="92"/>
      <c r="WMZ57" s="92"/>
      <c r="WNA57" s="92"/>
      <c r="WNB57" s="92"/>
      <c r="WNC57" s="92"/>
      <c r="WND57" s="92"/>
      <c r="WNE57" s="92"/>
      <c r="WNF57" s="92"/>
      <c r="WNG57" s="92"/>
      <c r="WNH57" s="92"/>
      <c r="WNI57" s="92"/>
      <c r="WNJ57" s="92"/>
      <c r="WNK57" s="92"/>
      <c r="WNL57" s="92"/>
      <c r="WNM57" s="92"/>
      <c r="WNN57" s="92"/>
      <c r="WNO57" s="92"/>
      <c r="WNP57" s="92"/>
      <c r="WNQ57" s="92"/>
      <c r="WNR57" s="92"/>
      <c r="WNS57" s="92"/>
      <c r="WNT57" s="92"/>
      <c r="WNU57" s="92"/>
      <c r="WNV57" s="92"/>
      <c r="WNW57" s="92"/>
      <c r="WNX57" s="92"/>
      <c r="WNY57" s="92"/>
      <c r="WNZ57" s="92"/>
      <c r="WOA57" s="92"/>
      <c r="WOB57" s="92"/>
      <c r="WOC57" s="92"/>
      <c r="WOD57" s="92"/>
      <c r="WOE57" s="92"/>
      <c r="WOF57" s="92"/>
      <c r="WOG57" s="92"/>
      <c r="WOH57" s="92"/>
      <c r="WOI57" s="92"/>
      <c r="WOJ57" s="92"/>
      <c r="WOK57" s="92"/>
      <c r="WOL57" s="92"/>
      <c r="WOM57" s="92"/>
      <c r="WON57" s="92"/>
      <c r="WOO57" s="92"/>
      <c r="WOP57" s="92"/>
      <c r="WOQ57" s="92"/>
      <c r="WOR57" s="92"/>
      <c r="WOS57" s="92"/>
      <c r="WOT57" s="92"/>
      <c r="WOU57" s="92"/>
      <c r="WOV57" s="92"/>
      <c r="WOW57" s="92"/>
      <c r="WOX57" s="92"/>
      <c r="WOY57" s="92"/>
      <c r="WOZ57" s="92"/>
      <c r="WPA57" s="92"/>
      <c r="WPB57" s="92"/>
      <c r="WPC57" s="92"/>
      <c r="WPD57" s="92"/>
      <c r="WPE57" s="92"/>
      <c r="WPF57" s="92"/>
      <c r="WPG57" s="92"/>
      <c r="WPH57" s="92"/>
      <c r="WPI57" s="92"/>
      <c r="WPJ57" s="92"/>
      <c r="WPK57" s="92"/>
      <c r="WPL57" s="92"/>
      <c r="WPM57" s="92"/>
      <c r="WPN57" s="92"/>
      <c r="WPO57" s="92"/>
      <c r="WPP57" s="92"/>
      <c r="WPQ57" s="92"/>
      <c r="WPR57" s="92"/>
      <c r="WPS57" s="92"/>
      <c r="WPT57" s="92"/>
      <c r="WPU57" s="92"/>
      <c r="WPV57" s="92"/>
      <c r="WPW57" s="92"/>
      <c r="WPX57" s="92"/>
      <c r="WPY57" s="92"/>
      <c r="WPZ57" s="92"/>
      <c r="WQA57" s="92"/>
      <c r="WQB57" s="92"/>
      <c r="WQC57" s="92"/>
      <c r="WQD57" s="92"/>
      <c r="WQE57" s="92"/>
      <c r="WQF57" s="92"/>
      <c r="WQG57" s="92"/>
      <c r="WQH57" s="92"/>
      <c r="WQI57" s="92"/>
      <c r="WQJ57" s="92"/>
      <c r="WQK57" s="92"/>
      <c r="WQL57" s="92"/>
      <c r="WQM57" s="92"/>
      <c r="WQN57" s="92"/>
      <c r="WQO57" s="92"/>
      <c r="WQP57" s="92"/>
      <c r="WQQ57" s="92"/>
      <c r="WQR57" s="92"/>
      <c r="WQS57" s="92"/>
      <c r="WQT57" s="92"/>
      <c r="WQU57" s="92"/>
      <c r="WQV57" s="92"/>
      <c r="WQW57" s="92"/>
      <c r="WQX57" s="92"/>
      <c r="WQY57" s="92"/>
      <c r="WQZ57" s="92"/>
      <c r="WRA57" s="92"/>
      <c r="WRB57" s="92"/>
      <c r="WRC57" s="92"/>
      <c r="WRD57" s="92"/>
      <c r="WRE57" s="92"/>
      <c r="WRF57" s="92"/>
      <c r="WRG57" s="92"/>
      <c r="WRH57" s="92"/>
      <c r="WRI57" s="92"/>
      <c r="WRJ57" s="92"/>
      <c r="WRK57" s="92"/>
      <c r="WRL57" s="92"/>
      <c r="WRM57" s="92"/>
      <c r="WRN57" s="92"/>
      <c r="WRO57" s="92"/>
      <c r="WRP57" s="92"/>
      <c r="WRQ57" s="92"/>
      <c r="WRR57" s="92"/>
      <c r="WRS57" s="92"/>
      <c r="WRT57" s="92"/>
      <c r="WRU57" s="92"/>
      <c r="WRV57" s="92"/>
      <c r="WRW57" s="92"/>
      <c r="WRX57" s="92"/>
      <c r="WRY57" s="92"/>
      <c r="WRZ57" s="92"/>
      <c r="WSA57" s="92"/>
      <c r="WSB57" s="92"/>
      <c r="WSC57" s="92"/>
      <c r="WSD57" s="92"/>
      <c r="WSE57" s="92"/>
      <c r="WSF57" s="92"/>
      <c r="WSG57" s="92"/>
      <c r="WSH57" s="92"/>
      <c r="WSI57" s="92"/>
      <c r="WSJ57" s="92"/>
      <c r="WSK57" s="92"/>
      <c r="WSL57" s="92"/>
      <c r="WSM57" s="92"/>
      <c r="WSN57" s="92"/>
      <c r="WSO57" s="92"/>
      <c r="WSP57" s="92"/>
      <c r="WSQ57" s="92"/>
      <c r="WSR57" s="92"/>
      <c r="WSS57" s="92"/>
      <c r="WST57" s="92"/>
      <c r="WSU57" s="92"/>
      <c r="WSV57" s="92"/>
      <c r="WSW57" s="92"/>
      <c r="WSX57" s="92"/>
      <c r="WSY57" s="92"/>
      <c r="WSZ57" s="92"/>
      <c r="WTA57" s="92"/>
      <c r="WTB57" s="92"/>
      <c r="WTC57" s="92"/>
      <c r="WTD57" s="92"/>
      <c r="WTE57" s="92"/>
      <c r="WTF57" s="92"/>
      <c r="WTG57" s="92"/>
      <c r="WTH57" s="92"/>
      <c r="WTI57" s="92"/>
      <c r="WTJ57" s="92"/>
      <c r="WTK57" s="92"/>
      <c r="WTL57" s="92"/>
      <c r="WTM57" s="92"/>
      <c r="WTN57" s="92"/>
      <c r="WTO57" s="92"/>
      <c r="WTP57" s="92"/>
      <c r="WTQ57" s="92"/>
      <c r="WTR57" s="92"/>
      <c r="WTS57" s="92"/>
      <c r="WTT57" s="92"/>
      <c r="WTU57" s="92"/>
      <c r="WTV57" s="92"/>
      <c r="WTW57" s="92"/>
      <c r="WTX57" s="92"/>
      <c r="WTY57" s="92"/>
      <c r="WTZ57" s="92"/>
      <c r="WUA57" s="92"/>
      <c r="WUB57" s="92"/>
      <c r="WUC57" s="92"/>
      <c r="WUD57" s="92"/>
      <c r="WUE57" s="92"/>
      <c r="WUF57" s="92"/>
      <c r="WUG57" s="92"/>
      <c r="WUH57" s="92"/>
      <c r="WUI57" s="92"/>
      <c r="WUJ57" s="92"/>
      <c r="WUK57" s="92"/>
      <c r="WUL57" s="92"/>
      <c r="WUM57" s="92"/>
      <c r="WUN57" s="92"/>
      <c r="WUO57" s="92"/>
      <c r="WUP57" s="92"/>
      <c r="WUQ57" s="92"/>
      <c r="WUR57" s="92"/>
      <c r="WUS57" s="92"/>
      <c r="WUT57" s="92"/>
      <c r="WUU57" s="92"/>
      <c r="WUV57" s="92"/>
      <c r="WUW57" s="92"/>
      <c r="WUX57" s="92"/>
      <c r="WUY57" s="92"/>
      <c r="WUZ57" s="92"/>
      <c r="WVA57" s="92"/>
      <c r="WVB57" s="92"/>
      <c r="WVC57" s="92"/>
      <c r="WVD57" s="92"/>
      <c r="WVE57" s="92"/>
      <c r="WVF57" s="92"/>
      <c r="WVG57" s="92"/>
      <c r="WVH57" s="92"/>
      <c r="WVI57" s="92"/>
      <c r="WVJ57" s="92"/>
      <c r="WVK57" s="92"/>
      <c r="WVL57" s="92"/>
      <c r="WVM57" s="92"/>
      <c r="WVN57" s="92"/>
      <c r="WVO57" s="92"/>
      <c r="WVP57" s="92"/>
      <c r="WVQ57" s="92"/>
      <c r="WVR57" s="92"/>
      <c r="WVS57" s="92"/>
      <c r="WVT57" s="92"/>
      <c r="WVU57" s="92"/>
      <c r="WVV57" s="92"/>
      <c r="WVW57" s="92"/>
      <c r="WVX57" s="92"/>
      <c r="WVY57" s="92"/>
      <c r="WVZ57" s="92"/>
      <c r="WWA57" s="92"/>
      <c r="WWB57" s="92"/>
      <c r="WWC57" s="92"/>
      <c r="WWD57" s="92"/>
      <c r="WWE57" s="92"/>
      <c r="WWF57" s="92"/>
      <c r="WWG57" s="92"/>
      <c r="WWH57" s="92"/>
      <c r="WWI57" s="92"/>
      <c r="WWJ57" s="92"/>
      <c r="WWK57" s="92"/>
      <c r="WWL57" s="92"/>
      <c r="WWM57" s="92"/>
      <c r="WWN57" s="92"/>
      <c r="WWO57" s="92"/>
      <c r="WWP57" s="92"/>
      <c r="WWQ57" s="92"/>
      <c r="WWR57" s="92"/>
      <c r="WWS57" s="92"/>
      <c r="WWT57" s="92"/>
      <c r="WWU57" s="92"/>
      <c r="WWV57" s="92"/>
      <c r="WWW57" s="92"/>
      <c r="WWX57" s="92"/>
      <c r="WWY57" s="92"/>
      <c r="WWZ57" s="92"/>
      <c r="WXA57" s="92"/>
      <c r="WXB57" s="92"/>
      <c r="WXC57" s="92"/>
      <c r="WXD57" s="92"/>
      <c r="WXE57" s="92"/>
      <c r="WXF57" s="92"/>
      <c r="WXG57" s="92"/>
      <c r="WXH57" s="92"/>
      <c r="WXI57" s="92"/>
      <c r="WXJ57" s="92"/>
      <c r="WXK57" s="92"/>
      <c r="WXL57" s="92"/>
      <c r="WXM57" s="92"/>
      <c r="WXN57" s="92"/>
      <c r="WXO57" s="92"/>
      <c r="WXP57" s="92"/>
      <c r="WXQ57" s="92"/>
      <c r="WXR57" s="92"/>
      <c r="WXS57" s="92"/>
      <c r="WXT57" s="92"/>
      <c r="WXU57" s="92"/>
      <c r="WXV57" s="92"/>
      <c r="WXW57" s="92"/>
      <c r="WXX57" s="92"/>
      <c r="WXY57" s="92"/>
      <c r="WXZ57" s="92"/>
      <c r="WYA57" s="92"/>
      <c r="WYB57" s="92"/>
      <c r="WYC57" s="92"/>
      <c r="WYD57" s="92"/>
      <c r="WYE57" s="92"/>
      <c r="WYF57" s="92"/>
      <c r="WYG57" s="92"/>
      <c r="WYH57" s="92"/>
      <c r="WYI57" s="92"/>
      <c r="WYJ57" s="92"/>
      <c r="WYK57" s="92"/>
      <c r="WYL57" s="92"/>
      <c r="WYM57" s="92"/>
      <c r="WYN57" s="92"/>
      <c r="WYO57" s="92"/>
      <c r="WYP57" s="92"/>
      <c r="WYQ57" s="92"/>
      <c r="WYR57" s="92"/>
      <c r="WYS57" s="92"/>
      <c r="WYT57" s="92"/>
      <c r="WYU57" s="92"/>
      <c r="WYV57" s="92"/>
      <c r="WYW57" s="92"/>
      <c r="WYX57" s="92"/>
      <c r="WYY57" s="92"/>
      <c r="WYZ57" s="92"/>
      <c r="WZA57" s="92"/>
      <c r="WZB57" s="92"/>
      <c r="WZC57" s="92"/>
      <c r="WZD57" s="92"/>
      <c r="WZE57" s="92"/>
      <c r="WZF57" s="92"/>
      <c r="WZG57" s="92"/>
      <c r="WZH57" s="92"/>
      <c r="WZI57" s="92"/>
      <c r="WZJ57" s="92"/>
      <c r="WZK57" s="92"/>
      <c r="WZL57" s="92"/>
      <c r="WZM57" s="92"/>
      <c r="WZN57" s="92"/>
      <c r="WZO57" s="92"/>
      <c r="WZP57" s="92"/>
      <c r="WZQ57" s="92"/>
      <c r="WZR57" s="92"/>
      <c r="WZS57" s="92"/>
      <c r="WZT57" s="92"/>
      <c r="WZU57" s="92"/>
      <c r="WZV57" s="92"/>
      <c r="WZW57" s="92"/>
      <c r="WZX57" s="92"/>
      <c r="WZY57" s="92"/>
      <c r="WZZ57" s="92"/>
      <c r="XAA57" s="92"/>
      <c r="XAB57" s="92"/>
      <c r="XAC57" s="92"/>
      <c r="XAD57" s="92"/>
      <c r="XAE57" s="92"/>
      <c r="XAF57" s="92"/>
      <c r="XAG57" s="92"/>
      <c r="XAH57" s="92"/>
      <c r="XAI57" s="92"/>
      <c r="XAJ57" s="92"/>
      <c r="XAK57" s="92"/>
      <c r="XAL57" s="92"/>
      <c r="XAM57" s="92"/>
      <c r="XAN57" s="92"/>
      <c r="XAO57" s="92"/>
      <c r="XAP57" s="92"/>
      <c r="XAQ57" s="92"/>
      <c r="XAR57" s="92"/>
      <c r="XAS57" s="92"/>
      <c r="XAT57" s="92"/>
      <c r="XAU57" s="92"/>
      <c r="XAV57" s="92"/>
      <c r="XAW57" s="92"/>
      <c r="XAX57" s="92"/>
      <c r="XAY57" s="92"/>
      <c r="XAZ57" s="92"/>
      <c r="XBA57" s="92"/>
      <c r="XBB57" s="92"/>
      <c r="XBC57" s="92"/>
      <c r="XBD57" s="92"/>
      <c r="XBE57" s="92"/>
      <c r="XBF57" s="92"/>
      <c r="XBG57" s="92"/>
      <c r="XBH57" s="92"/>
      <c r="XBI57" s="92"/>
      <c r="XBJ57" s="92"/>
      <c r="XBK57" s="92"/>
      <c r="XBL57" s="92"/>
      <c r="XBM57" s="92"/>
      <c r="XBN57" s="92"/>
      <c r="XBO57" s="92"/>
      <c r="XBP57" s="92"/>
      <c r="XBQ57" s="92"/>
      <c r="XBR57" s="92"/>
      <c r="XBS57" s="92"/>
      <c r="XBT57" s="92"/>
      <c r="XBU57" s="92"/>
      <c r="XBV57" s="92"/>
      <c r="XBW57" s="92"/>
      <c r="XBX57" s="92"/>
      <c r="XBY57" s="92"/>
      <c r="XBZ57" s="92"/>
      <c r="XCA57" s="92"/>
      <c r="XCB57" s="92"/>
      <c r="XCC57" s="92"/>
      <c r="XCD57" s="92"/>
      <c r="XCE57" s="92"/>
      <c r="XCF57" s="92"/>
      <c r="XCG57" s="92"/>
      <c r="XCH57" s="92"/>
      <c r="XCI57" s="92"/>
      <c r="XCJ57" s="92"/>
      <c r="XCK57" s="92"/>
      <c r="XCL57" s="92"/>
      <c r="XCM57" s="92"/>
      <c r="XCN57" s="92"/>
      <c r="XCO57" s="92"/>
      <c r="XCP57" s="92"/>
      <c r="XCQ57" s="92"/>
      <c r="XCR57" s="92"/>
      <c r="XCS57" s="92"/>
      <c r="XCT57" s="92"/>
      <c r="XCU57" s="92"/>
      <c r="XCV57" s="92"/>
      <c r="XCW57" s="92"/>
      <c r="XCX57" s="92"/>
      <c r="XCY57" s="92"/>
      <c r="XCZ57" s="92"/>
      <c r="XDA57" s="92"/>
      <c r="XDB57" s="92"/>
      <c r="XDC57" s="92"/>
      <c r="XDD57" s="92"/>
      <c r="XDE57" s="92"/>
      <c r="XDF57" s="92"/>
      <c r="XDG57" s="92"/>
      <c r="XDH57" s="92"/>
      <c r="XDI57" s="92"/>
      <c r="XDJ57" s="92"/>
      <c r="XDK57" s="92"/>
      <c r="XDL57" s="92"/>
      <c r="XDM57" s="92"/>
      <c r="XDN57" s="92"/>
      <c r="XDO57" s="92"/>
      <c r="XDP57" s="92"/>
      <c r="XDQ57" s="92"/>
      <c r="XDR57" s="92"/>
      <c r="XDS57" s="92"/>
      <c r="XDT57" s="92"/>
      <c r="XDU57" s="92"/>
      <c r="XDV57" s="92"/>
      <c r="XDW57" s="92"/>
      <c r="XDX57" s="92"/>
      <c r="XDY57" s="92"/>
      <c r="XDZ57" s="92"/>
      <c r="XEA57" s="92"/>
      <c r="XEB57" s="92"/>
      <c r="XEC57" s="92"/>
      <c r="XED57" s="92"/>
      <c r="XEE57" s="92"/>
      <c r="XEF57" s="92"/>
      <c r="XEG57" s="92"/>
      <c r="XEH57" s="92"/>
      <c r="XEI57" s="92"/>
      <c r="XEJ57" s="92"/>
      <c r="XEK57" s="92"/>
      <c r="XEL57" s="92"/>
      <c r="XEM57" s="92"/>
      <c r="XEN57" s="92"/>
      <c r="XEO57" s="92"/>
      <c r="XEP57" s="92"/>
      <c r="XEQ57" s="92"/>
      <c r="XER57" s="92"/>
      <c r="XES57" s="92"/>
      <c r="XET57" s="92"/>
      <c r="XEU57" s="92"/>
      <c r="XEV57" s="92"/>
      <c r="XEW57" s="92"/>
      <c r="XEX57" s="92"/>
      <c r="XEY57" s="92"/>
      <c r="XEZ57" s="92"/>
      <c r="XFA57" s="92"/>
      <c r="XFB57" s="92"/>
      <c r="XFC57" s="92"/>
      <c r="XFD57" s="92"/>
    </row>
    <row r="58" spans="1:16384">
      <c r="A58" s="66">
        <v>48</v>
      </c>
      <c r="B58" s="92" t="str">
        <f>IF(DATA!D55="","",DATA!D55)</f>
        <v/>
      </c>
      <c r="C58" s="93" t="str">
        <f>IF(QH!X55="","",QH!X55)</f>
        <v/>
      </c>
      <c r="D58" s="93" t="str">
        <f>IF(QH!Y55="","",QH!Y55)</f>
        <v/>
      </c>
      <c r="E58" s="93" t="str">
        <f>IF(QH!Z55="","",QH!Z55)</f>
        <v/>
      </c>
      <c r="F58" s="93" t="str">
        <f>IF(QH!AA55="","",QH!AA55)</f>
        <v/>
      </c>
      <c r="G58" s="93" t="str">
        <f>IF(QH!AB55="","",QH!AB55)</f>
        <v/>
      </c>
      <c r="H58" s="93" t="str">
        <f>IF(QH!AC55="","",QH!AC55)</f>
        <v/>
      </c>
      <c r="I58" s="93" t="str">
        <f>IF(QH!AD55="","",QH!AD55)</f>
        <v/>
      </c>
      <c r="J58" s="93" t="str">
        <f>IF(QH!AE55="","",QH!AE55)</f>
        <v/>
      </c>
      <c r="K58" s="93" t="str">
        <f>IF(QH!AF55="","",QH!AF55)</f>
        <v/>
      </c>
      <c r="L58" s="93" t="str">
        <f>IF(QH!AG55="","",QH!AG55)</f>
        <v/>
      </c>
      <c r="M58" s="94" t="str">
        <f>IF(AA!X55="","",AA!X55)</f>
        <v/>
      </c>
      <c r="N58" s="94" t="str">
        <f>IF(AA!Y55="","",AA!Y55)</f>
        <v/>
      </c>
      <c r="O58" s="94" t="str">
        <f>IF(AA!Z55="","",AA!Z55)</f>
        <v/>
      </c>
      <c r="P58" s="94" t="str">
        <f>IF(AA!AA55="","",AA!AA55)</f>
        <v/>
      </c>
      <c r="Q58" s="94" t="str">
        <f>IF(AA!AB55="","",AA!AB55)</f>
        <v/>
      </c>
      <c r="R58" s="94" t="str">
        <f>IF(AA!AC55="","",AA!AC55)</f>
        <v/>
      </c>
      <c r="S58" s="94" t="str">
        <f>IF(AA!AD55="","",AA!AD55)</f>
        <v/>
      </c>
      <c r="T58" s="94" t="str">
        <f>IF(AA!AE55="","",AA!AE55)</f>
        <v/>
      </c>
      <c r="U58" s="94" t="str">
        <f>IF(AA!AF55="","",AA!AF55)</f>
        <v/>
      </c>
      <c r="V58" s="94" t="str">
        <f>IF(AA!AG55="","",AA!AG55)</f>
        <v/>
      </c>
      <c r="W58" s="94" t="str">
        <f>IF(FIKIH!X55="","",FIKIH!X55)</f>
        <v/>
      </c>
      <c r="X58" s="94" t="str">
        <f>IF(FIKIH!Y55="","",FIKIH!Y55)</f>
        <v/>
      </c>
      <c r="Y58" s="94" t="str">
        <f>IF(FIKIH!Z55="","",FIKIH!Z55)</f>
        <v/>
      </c>
      <c r="Z58" s="94" t="str">
        <f>IF(FIKIH!AA55="","",FIKIH!AA55)</f>
        <v/>
      </c>
      <c r="AA58" s="94" t="str">
        <f>IF(FIKIH!AB55="","",FIKIH!AB55)</f>
        <v/>
      </c>
      <c r="AB58" s="94" t="str">
        <f>IF(FIKIH!AC55="","",FIKIH!AC55)</f>
        <v/>
      </c>
      <c r="AC58" s="94" t="str">
        <f>IF(FIKIH!AD55="","",FIKIH!AD55)</f>
        <v/>
      </c>
      <c r="AD58" s="94" t="str">
        <f>IF(FIKIH!AE55="","",FIKIH!AE55)</f>
        <v/>
      </c>
      <c r="AE58" s="94" t="str">
        <f>IF(FIKIH!AF55="","",FIKIH!AF55)</f>
        <v/>
      </c>
      <c r="AF58" s="94" t="str">
        <f>IF(FIKIH!AG55="","",FIKIH!AG55)</f>
        <v/>
      </c>
      <c r="AG58" s="94">
        <f>IF(SKI!X55="","",SKI!X55)</f>
        <v>3</v>
      </c>
      <c r="AH58" s="94" t="str">
        <f>IF(SKI!Y55="","",SKI!Y55)</f>
        <v>Melaksanakan sholat dhuhur berjemaah, berdo'a di awal dan di akhir kegiatan pembelajaran , serta melaksanakan kegiatan amaliyah siswa</v>
      </c>
      <c r="AI58" s="94">
        <f>IF(SKI!Z55="","",SKI!Z55)</f>
        <v>3</v>
      </c>
      <c r="AJ58" s="94">
        <f>IF(SKI!AA55="","",SKI!AA55)</f>
        <v>3</v>
      </c>
      <c r="AK58" s="94">
        <f>IF(SKI!AB55="","",SKI!AB55)</f>
        <v>3</v>
      </c>
      <c r="AL58" s="94">
        <f>IF(SKI!AC55="","",SKI!AC55)</f>
        <v>3</v>
      </c>
      <c r="AM58" s="94">
        <f>IF(SKI!AD55="","",SKI!AD55)</f>
        <v>3</v>
      </c>
      <c r="AN58" s="94">
        <f>IF(SKI!AE55="","",SKI!AE55)</f>
        <v>3</v>
      </c>
      <c r="AO58" s="94">
        <f>IF(SKI!AF55="","",SKI!AF55)</f>
        <v>3</v>
      </c>
      <c r="AP58" s="94" t="str">
        <f>IF(SKI!AG55="","",SKI!AG55)</f>
        <v>Santun dalam bersikap, disiplin dalam mentaati tata tertib madrasah, peduli pada lingkungan, orang tua, bertanggung jawab dalam melaksanakan tugas, baik sebagai individu maupun makhluk sosial</v>
      </c>
      <c r="AQ58" s="94" t="str">
        <f>IF(PKN!X55="","",PKN!X55)</f>
        <v/>
      </c>
      <c r="AR58" s="94" t="str">
        <f>IF(PKN!Y55="","",PKN!Y55)</f>
        <v/>
      </c>
      <c r="AS58" s="94" t="str">
        <f>IF(PKN!Z55="","",PKN!Z55)</f>
        <v/>
      </c>
      <c r="AT58" s="94" t="str">
        <f>IF(PKN!AA55="","",PKN!AA55)</f>
        <v/>
      </c>
      <c r="AU58" s="94" t="str">
        <f>IF(PKN!AB55="","",PKN!AB55)</f>
        <v/>
      </c>
      <c r="AV58" s="94" t="str">
        <f>IF(PKN!AC55="","",PKN!AC55)</f>
        <v/>
      </c>
      <c r="AW58" s="94" t="str">
        <f>IF(PKN!AD55="","",PKN!AD55)</f>
        <v/>
      </c>
      <c r="AX58" s="94" t="str">
        <f>IF(PKN!AE55="","",PKN!AE55)</f>
        <v/>
      </c>
      <c r="AY58" s="94" t="str">
        <f>IF(PKN!AF55="","",PKN!AF55)</f>
        <v/>
      </c>
      <c r="AZ58" s="94" t="str">
        <f>IF(PKN!AG55="","",PKN!AG55)</f>
        <v/>
      </c>
      <c r="BA58" s="93" t="str">
        <f>IF(INDO!X55="","",INDO!X55)</f>
        <v/>
      </c>
      <c r="BB58" s="93" t="str">
        <f>IF(INDO!Y55="","",INDO!Y55)</f>
        <v/>
      </c>
      <c r="BC58" s="93" t="str">
        <f>IF(INDO!Z55="","",INDO!Z55)</f>
        <v/>
      </c>
      <c r="BD58" s="93" t="str">
        <f>IF(INDO!AA55="","",INDO!AA55)</f>
        <v/>
      </c>
      <c r="BE58" s="93" t="str">
        <f>IF(INDO!AB55="","",INDO!AB55)</f>
        <v/>
      </c>
      <c r="BF58" s="93" t="str">
        <f>IF(INDO!AC55="","",INDO!AC55)</f>
        <v/>
      </c>
      <c r="BG58" s="93" t="str">
        <f>IF(INDO!AD55="","",INDO!AD55)</f>
        <v/>
      </c>
      <c r="BH58" s="93" t="str">
        <f>IF(INDO!AE55="","",INDO!AE55)</f>
        <v/>
      </c>
      <c r="BI58" s="93" t="str">
        <f>IF(INDO!AF55="","",INDO!AF55)</f>
        <v/>
      </c>
      <c r="BJ58" s="93" t="str">
        <f>IF(INDO!AG55="","",INDO!AG55)</f>
        <v/>
      </c>
      <c r="BK58" s="93" t="str">
        <f>IF(ARAB!X55="","",ARAB!X55)</f>
        <v/>
      </c>
      <c r="BL58" s="93" t="str">
        <f>IF(ARAB!Y55="","",ARAB!Y55)</f>
        <v/>
      </c>
      <c r="BM58" s="93" t="str">
        <f>IF(ARAB!Z55="","",ARAB!Z55)</f>
        <v/>
      </c>
      <c r="BN58" s="93" t="str">
        <f>IF(ARAB!AA55="","",ARAB!AA55)</f>
        <v/>
      </c>
      <c r="BO58" s="93" t="str">
        <f>IF(ARAB!AB55="","",ARAB!AB55)</f>
        <v/>
      </c>
      <c r="BP58" s="93" t="str">
        <f>IF(ARAB!AC55="","",ARAB!AC55)</f>
        <v/>
      </c>
      <c r="BQ58" s="93" t="str">
        <f>IF(ARAB!AD55="","",ARAB!AD55)</f>
        <v/>
      </c>
      <c r="BR58" s="93" t="str">
        <f>IF(ARAB!AE55="","",ARAB!AE55)</f>
        <v/>
      </c>
      <c r="BS58" s="93" t="str">
        <f>IF(ARAB!AF55="","",ARAB!AF55)</f>
        <v/>
      </c>
      <c r="BT58" s="93" t="str">
        <f>IF(ARAB!AG55="","",ARAB!AG55)</f>
        <v/>
      </c>
      <c r="BU58" s="94" t="str">
        <f>IF(MAT!X55="","",MAT!X55)</f>
        <v/>
      </c>
      <c r="BV58" s="94" t="str">
        <f>IF(MAT!Y55="","",MAT!Y55)</f>
        <v/>
      </c>
      <c r="BW58" s="94" t="str">
        <f>IF(MAT!Z55="","",MAT!Z55)</f>
        <v/>
      </c>
      <c r="BX58" s="94" t="str">
        <f>IF(MAT!AA55="","",MAT!AA55)</f>
        <v/>
      </c>
      <c r="BY58" s="94" t="str">
        <f>IF(MAT!AB55="","",MAT!AB55)</f>
        <v/>
      </c>
      <c r="BZ58" s="94" t="str">
        <f>IF(MAT!AC55="","",MAT!AC55)</f>
        <v/>
      </c>
      <c r="CA58" s="94" t="str">
        <f>IF(MAT!AD55="","",MAT!AD55)</f>
        <v/>
      </c>
      <c r="CB58" s="94" t="str">
        <f>IF(MAT!AE55="","",MAT!AE55)</f>
        <v/>
      </c>
      <c r="CC58" s="94" t="str">
        <f>IF(MAT!AF55="","",MAT!AF55)</f>
        <v/>
      </c>
      <c r="CD58" s="94" t="str">
        <f>IF(MAT!AG55="","",MAT!AG55)</f>
        <v/>
      </c>
      <c r="CE58" s="94" t="str">
        <f>IF(IPA!X55="","",IPA!X55)</f>
        <v/>
      </c>
      <c r="CF58" s="94" t="str">
        <f>IF(IPA!Y55="","",IPA!Y55)</f>
        <v/>
      </c>
      <c r="CG58" s="94" t="str">
        <f>IF(IPA!Z55="","",IPA!Z55)</f>
        <v/>
      </c>
      <c r="CH58" s="94" t="str">
        <f>IF(IPA!AA55="","",IPA!AA55)</f>
        <v/>
      </c>
      <c r="CI58" s="94" t="str">
        <f>IF(IPA!AB55="","",IPA!AB55)</f>
        <v/>
      </c>
      <c r="CJ58" s="94" t="str">
        <f>IF(IPA!AC55="","",IPA!AC55)</f>
        <v/>
      </c>
      <c r="CK58" s="94" t="str">
        <f>IF(IPA!AD55="","",IPA!AD55)</f>
        <v/>
      </c>
      <c r="CL58" s="94" t="str">
        <f>IF(IPA!AE55="","",IPA!AE55)</f>
        <v/>
      </c>
      <c r="CM58" s="94" t="str">
        <f>IF(IPA!AF55="","",IPA!AF55)</f>
        <v/>
      </c>
      <c r="CN58" s="94" t="str">
        <f>IF(IPA!AG55="","",IPA!AG55)</f>
        <v/>
      </c>
      <c r="CO58" s="93" t="str">
        <f>IF(IPS!X55="","",IPS!X55)</f>
        <v/>
      </c>
      <c r="CP58" s="93" t="str">
        <f>IF(IPS!Y55="","",IPS!Y55)</f>
        <v/>
      </c>
      <c r="CQ58" s="93" t="str">
        <f>IF(IPS!Z55="","",IPS!Z55)</f>
        <v/>
      </c>
      <c r="CR58" s="93" t="str">
        <f>IF(IPS!AA55="","",IPS!AA55)</f>
        <v/>
      </c>
      <c r="CS58" s="93" t="str">
        <f>IF(IPS!AB55="","",IPS!AB55)</f>
        <v/>
      </c>
      <c r="CT58" s="93" t="str">
        <f>IF(IPS!AC55="","",IPS!AC55)</f>
        <v/>
      </c>
      <c r="CU58" s="93" t="str">
        <f>IF(IPS!AD55="","",IPS!AD55)</f>
        <v/>
      </c>
      <c r="CV58" s="93" t="str">
        <f>IF(IPS!AE55="","",IPS!AE55)</f>
        <v/>
      </c>
      <c r="CW58" s="93" t="str">
        <f>IF(IPS!AF55="","",IPS!AF55)</f>
        <v/>
      </c>
      <c r="CX58" s="93" t="str">
        <f>IF(IPS!AG55="","",IPS!AG55)</f>
        <v/>
      </c>
      <c r="CY58" s="94" t="str">
        <f>IF(INGG!X55="","",INGG!X55)</f>
        <v/>
      </c>
      <c r="CZ58" s="94" t="str">
        <f>IF(INGG!Y55="","",INGG!Y55)</f>
        <v/>
      </c>
      <c r="DA58" s="94" t="str">
        <f>IF(INGG!Z55="","",INGG!Z55)</f>
        <v/>
      </c>
      <c r="DB58" s="94" t="str">
        <f>IF(INGG!AA55="","",INGG!AA55)</f>
        <v/>
      </c>
      <c r="DC58" s="94" t="str">
        <f>IF(INGG!AB55="","",INGG!AB55)</f>
        <v/>
      </c>
      <c r="DD58" s="94" t="str">
        <f>IF(INGG!AC55="","",INGG!AC55)</f>
        <v/>
      </c>
      <c r="DE58" s="94" t="str">
        <f>IF(INGG!AD55="","",INGG!AD55)</f>
        <v/>
      </c>
      <c r="DF58" s="94" t="str">
        <f>IF(INGG!AE55="","",INGG!AE55)</f>
        <v/>
      </c>
      <c r="DG58" s="94" t="str">
        <f>IF(INGG!AF55="","",INGG!AF55)</f>
        <v/>
      </c>
      <c r="DH58" s="94" t="str">
        <f>IF(INGG!AG55="","",INGG!AG55)</f>
        <v/>
      </c>
      <c r="DI58" s="94" t="str">
        <f>IF(SENBUD!X55="","",SENBUD!X55)</f>
        <v/>
      </c>
      <c r="DJ58" s="94" t="str">
        <f>IF(SENBUD!Y55="","",SENBUD!Y55)</f>
        <v/>
      </c>
      <c r="DK58" s="94" t="str">
        <f>IF(SENBUD!Z55="","",SENBUD!Z55)</f>
        <v/>
      </c>
      <c r="DL58" s="94" t="str">
        <f>IF(SENBUD!AA55="","",SENBUD!AA55)</f>
        <v/>
      </c>
      <c r="DM58" s="94" t="str">
        <f>IF(SENBUD!AB55="","",SENBUD!AB55)</f>
        <v/>
      </c>
      <c r="DN58" s="94" t="str">
        <f>IF(SENBUD!AC55="","",SENBUD!AC55)</f>
        <v/>
      </c>
      <c r="DO58" s="94" t="str">
        <f>IF(SENBUD!AD55="","",SENBUD!AD55)</f>
        <v/>
      </c>
      <c r="DP58" s="94" t="str">
        <f>IF(SENBUD!AE55="","",SENBUD!AE55)</f>
        <v/>
      </c>
      <c r="DQ58" s="94" t="str">
        <f>IF(SENBUD!AF55="","",SENBUD!AF55)</f>
        <v/>
      </c>
      <c r="DR58" s="94" t="str">
        <f>IF(SENBUD!AG55="","",SENBUD!AG55)</f>
        <v/>
      </c>
      <c r="DS58" s="93" t="str">
        <f>IF(PENJAS!X55="","",PENJAS!X55)</f>
        <v/>
      </c>
      <c r="DT58" s="93" t="str">
        <f>IF(PENJAS!Y55="","",PENJAS!Y55)</f>
        <v/>
      </c>
      <c r="DU58" s="93" t="str">
        <f>IF(PENJAS!Z55="","",PENJAS!Z55)</f>
        <v/>
      </c>
      <c r="DV58" s="93" t="str">
        <f>IF(PENJAS!AA55="","",PENJAS!AA55)</f>
        <v/>
      </c>
      <c r="DW58" s="93" t="str">
        <f>IF(PENJAS!AB55="","",PENJAS!AB55)</f>
        <v/>
      </c>
      <c r="DX58" s="93" t="str">
        <f>IF(PENJAS!AC55="","",PENJAS!AC55)</f>
        <v/>
      </c>
      <c r="DY58" s="93" t="str">
        <f>IF(PENJAS!AD55="","",PENJAS!AD55)</f>
        <v/>
      </c>
      <c r="DZ58" s="93" t="str">
        <f>IF(PENJAS!AE55="","",PENJAS!AE55)</f>
        <v/>
      </c>
      <c r="EA58" s="93" t="str">
        <f>IF(PENJAS!AF55="","",PENJAS!AF55)</f>
        <v/>
      </c>
      <c r="EB58" s="93" t="str">
        <f>IF(PENJAS!AG55="","",PENJAS!AG55)</f>
        <v/>
      </c>
      <c r="EC58" s="93" t="str">
        <f>IF(PRAKARYA!X55="","",PRAKARYA!X55)</f>
        <v/>
      </c>
      <c r="ED58" s="93" t="str">
        <f>IF(PRAKARYA!Y55="","",PRAKARYA!Y55)</f>
        <v/>
      </c>
      <c r="EE58" s="93" t="str">
        <f>IF(PRAKARYA!Z55="","",PRAKARYA!Z55)</f>
        <v/>
      </c>
      <c r="EF58" s="93" t="str">
        <f>IF(PRAKARYA!AA55="","",PRAKARYA!AA55)</f>
        <v/>
      </c>
      <c r="EG58" s="93" t="str">
        <f>IF(PRAKARYA!AB55="","",PRAKARYA!AB55)</f>
        <v/>
      </c>
      <c r="EH58" s="93" t="str">
        <f>IF(PRAKARYA!AC55="","",PRAKARYA!AC55)</f>
        <v/>
      </c>
      <c r="EI58" s="93" t="str">
        <f>IF(PRAKARYA!AD55="","",PRAKARYA!AD55)</f>
        <v/>
      </c>
      <c r="EJ58" s="93" t="str">
        <f>IF(PRAKARYA!AE55="","",PRAKARYA!AE55)</f>
        <v/>
      </c>
      <c r="EK58" s="93" t="str">
        <f>IF(PRAKARYA!AF55="","",PRAKARYA!AF55)</f>
        <v/>
      </c>
      <c r="EL58" s="93" t="str">
        <f>IF(PRAKARYA!AG55="","",PRAKARYA!AG55)</f>
        <v/>
      </c>
      <c r="EM58" s="95" t="str">
        <f>IF(BADER!X55="","",BADER!X55)</f>
        <v/>
      </c>
      <c r="EN58" s="95" t="str">
        <f>IF(BADER!Y55="","",BADER!Y55)</f>
        <v/>
      </c>
      <c r="EO58" s="95" t="str">
        <f>IF(BADER!Z55="","",BADER!Z55)</f>
        <v/>
      </c>
      <c r="EP58" s="95" t="str">
        <f>IF(BADER!AA55="","",BADER!AA55)</f>
        <v/>
      </c>
      <c r="EQ58" s="95" t="str">
        <f>IF(BADER!AB55="","",BADER!AB55)</f>
        <v/>
      </c>
      <c r="ER58" s="95" t="str">
        <f>IF(BADER!AC55="","",BADER!AC55)</f>
        <v/>
      </c>
      <c r="ES58" s="95" t="str">
        <f>IF(BADER!AD55="","",BADER!AD55)</f>
        <v/>
      </c>
      <c r="ET58" s="95" t="str">
        <f>IF(BADER!AE55="","",BADER!AE55)</f>
        <v/>
      </c>
      <c r="EU58" s="95" t="str">
        <f>IF(BADER!AF55="","",BADER!AF55)</f>
        <v/>
      </c>
      <c r="EV58" s="95" t="str">
        <f>IF(BADER!AG55="","",BADER!AG55)</f>
        <v/>
      </c>
      <c r="EW58" s="96" t="str">
        <f t="shared" si="1"/>
        <v/>
      </c>
      <c r="EX58" s="96" t="str">
        <f t="shared" si="2"/>
        <v/>
      </c>
      <c r="EY58" s="96" t="str">
        <f t="shared" si="14"/>
        <v/>
      </c>
      <c r="EZ58" s="96" t="str">
        <f t="shared" si="14"/>
        <v/>
      </c>
      <c r="FA58" s="96" t="str">
        <f t="shared" si="14"/>
        <v/>
      </c>
      <c r="FB58" s="96" t="str">
        <f t="shared" si="14"/>
        <v/>
      </c>
      <c r="FC58" s="96" t="str">
        <f t="shared" si="14"/>
        <v/>
      </c>
      <c r="FD58" s="96" t="str">
        <f t="shared" si="14"/>
        <v/>
      </c>
      <c r="FE58" s="96" t="str">
        <f t="shared" si="14"/>
        <v/>
      </c>
      <c r="FF58" s="96" t="str">
        <f t="shared" si="3"/>
        <v/>
      </c>
      <c r="FG58" s="96" t="str">
        <f t="shared" si="4"/>
        <v/>
      </c>
      <c r="FH58" s="92" t="str">
        <f t="shared" si="5"/>
        <v/>
      </c>
      <c r="FI58" s="92" t="str">
        <f t="shared" si="6"/>
        <v xml:space="preserve"> </v>
      </c>
      <c r="FJ58" s="92" t="str">
        <f t="shared" si="7"/>
        <v xml:space="preserve"> </v>
      </c>
      <c r="FK58" s="92" t="str">
        <f t="shared" si="8"/>
        <v xml:space="preserve"> </v>
      </c>
      <c r="FL58" s="92" t="str">
        <f t="shared" si="9"/>
        <v xml:space="preserve"> </v>
      </c>
      <c r="FM58" s="92" t="str">
        <f t="shared" si="10"/>
        <v xml:space="preserve"> </v>
      </c>
      <c r="FN58" s="92" t="str">
        <f t="shared" si="11"/>
        <v xml:space="preserve"> </v>
      </c>
      <c r="FO58" s="92" t="str">
        <f t="shared" si="12"/>
        <v xml:space="preserve"> </v>
      </c>
      <c r="FP58" s="92" t="str">
        <f t="shared" si="13"/>
        <v xml:space="preserve">,  ,  ,  ,  ,  ,  ,  </v>
      </c>
    </row>
    <row r="59" spans="1:16384">
      <c r="A59" s="66">
        <v>49</v>
      </c>
      <c r="B59" s="92">
        <f>IF(DATA!D56="","",DATA!D56)</f>
        <v>33</v>
      </c>
      <c r="C59" s="93" t="str">
        <f>IF(QH!X56="","",QH!X56)</f>
        <v/>
      </c>
      <c r="D59" s="93" t="str">
        <f>IF(QH!Y56="","",QH!Y56)</f>
        <v/>
      </c>
      <c r="E59" s="93" t="str">
        <f>IF(QH!Z56="","",QH!Z56)</f>
        <v/>
      </c>
      <c r="F59" s="93" t="str">
        <f>IF(QH!AA56="","",QH!AA56)</f>
        <v/>
      </c>
      <c r="G59" s="93" t="str">
        <f>IF(QH!AB56="","",QH!AB56)</f>
        <v/>
      </c>
      <c r="H59" s="93" t="str">
        <f>IF(QH!AC56="","",QH!AC56)</f>
        <v/>
      </c>
      <c r="I59" s="93" t="str">
        <f>IF(QH!AD56="","",QH!AD56)</f>
        <v/>
      </c>
      <c r="J59" s="93" t="str">
        <f>IF(QH!AE56="","",QH!AE56)</f>
        <v/>
      </c>
      <c r="K59" s="93" t="str">
        <f>IF(QH!AF56="","",QH!AF56)</f>
        <v/>
      </c>
      <c r="L59" s="93" t="str">
        <f>IF(QH!AG56="","",QH!AG56)</f>
        <v/>
      </c>
      <c r="M59" s="94" t="str">
        <f>IF(AA!X56="","",AA!X56)</f>
        <v/>
      </c>
      <c r="N59" s="94" t="str">
        <f>IF(AA!Y56="","",AA!Y56)</f>
        <v/>
      </c>
      <c r="O59" s="94" t="str">
        <f>IF(AA!Z56="","",AA!Z56)</f>
        <v/>
      </c>
      <c r="P59" s="94" t="str">
        <f>IF(AA!AA56="","",AA!AA56)</f>
        <v/>
      </c>
      <c r="Q59" s="94" t="str">
        <f>IF(AA!AB56="","",AA!AB56)</f>
        <v/>
      </c>
      <c r="R59" s="94" t="str">
        <f>IF(AA!AC56="","",AA!AC56)</f>
        <v/>
      </c>
      <c r="S59" s="94" t="str">
        <f>IF(AA!AD56="","",AA!AD56)</f>
        <v/>
      </c>
      <c r="T59" s="94" t="str">
        <f>IF(AA!AE56="","",AA!AE56)</f>
        <v/>
      </c>
      <c r="U59" s="94" t="str">
        <f>IF(AA!AF56="","",AA!AF56)</f>
        <v/>
      </c>
      <c r="V59" s="94" t="str">
        <f>IF(AA!AG56="","",AA!AG56)</f>
        <v/>
      </c>
      <c r="W59" s="94" t="str">
        <f>IF(FIKIH!X56="","",FIKIH!X56)</f>
        <v/>
      </c>
      <c r="X59" s="94" t="str">
        <f>IF(FIKIH!Y56="","",FIKIH!Y56)</f>
        <v/>
      </c>
      <c r="Y59" s="94" t="str">
        <f>IF(FIKIH!Z56="","",FIKIH!Z56)</f>
        <v/>
      </c>
      <c r="Z59" s="94" t="str">
        <f>IF(FIKIH!AA56="","",FIKIH!AA56)</f>
        <v/>
      </c>
      <c r="AA59" s="94" t="str">
        <f>IF(FIKIH!AB56="","",FIKIH!AB56)</f>
        <v/>
      </c>
      <c r="AB59" s="94" t="str">
        <f>IF(FIKIH!AC56="","",FIKIH!AC56)</f>
        <v/>
      </c>
      <c r="AC59" s="94" t="str">
        <f>IF(FIKIH!AD56="","",FIKIH!AD56)</f>
        <v/>
      </c>
      <c r="AD59" s="94" t="str">
        <f>IF(FIKIH!AE56="","",FIKIH!AE56)</f>
        <v/>
      </c>
      <c r="AE59" s="94" t="str">
        <f>IF(FIKIH!AF56="","",FIKIH!AF56)</f>
        <v/>
      </c>
      <c r="AF59" s="94" t="str">
        <f>IF(FIKIH!AG56="","",FIKIH!AG56)</f>
        <v/>
      </c>
      <c r="AG59" s="94" t="str">
        <f>IF(SKI!X56="","",SKI!X56)</f>
        <v/>
      </c>
      <c r="AH59" s="94" t="str">
        <f>IF(SKI!Y56="","",SKI!Y56)</f>
        <v/>
      </c>
      <c r="AI59" s="94" t="str">
        <f>IF(SKI!Z56="","",SKI!Z56)</f>
        <v/>
      </c>
      <c r="AJ59" s="94" t="str">
        <f>IF(SKI!AA56="","",SKI!AA56)</f>
        <v/>
      </c>
      <c r="AK59" s="94" t="str">
        <f>IF(SKI!AB56="","",SKI!AB56)</f>
        <v/>
      </c>
      <c r="AL59" s="94" t="str">
        <f>IF(SKI!AC56="","",SKI!AC56)</f>
        <v/>
      </c>
      <c r="AM59" s="94" t="str">
        <f>IF(SKI!AD56="","",SKI!AD56)</f>
        <v/>
      </c>
      <c r="AN59" s="94" t="str">
        <f>IF(SKI!AE56="","",SKI!AE56)</f>
        <v/>
      </c>
      <c r="AO59" s="94" t="str">
        <f>IF(SKI!AF56="","",SKI!AF56)</f>
        <v/>
      </c>
      <c r="AP59" s="94" t="str">
        <f>IF(SKI!AG56="","",SKI!AG56)</f>
        <v/>
      </c>
      <c r="AQ59" s="94" t="str">
        <f>IF(PKN!X56="","",PKN!X56)</f>
        <v/>
      </c>
      <c r="AR59" s="94" t="str">
        <f>IF(PKN!Y56="","",PKN!Y56)</f>
        <v/>
      </c>
      <c r="AS59" s="94" t="str">
        <f>IF(PKN!Z56="","",PKN!Z56)</f>
        <v/>
      </c>
      <c r="AT59" s="94" t="str">
        <f>IF(PKN!AA56="","",PKN!AA56)</f>
        <v/>
      </c>
      <c r="AU59" s="94" t="str">
        <f>IF(PKN!AB56="","",PKN!AB56)</f>
        <v/>
      </c>
      <c r="AV59" s="94" t="str">
        <f>IF(PKN!AC56="","",PKN!AC56)</f>
        <v/>
      </c>
      <c r="AW59" s="94" t="str">
        <f>IF(PKN!AD56="","",PKN!AD56)</f>
        <v/>
      </c>
      <c r="AX59" s="94" t="str">
        <f>IF(PKN!AE56="","",PKN!AE56)</f>
        <v/>
      </c>
      <c r="AY59" s="94" t="str">
        <f>IF(PKN!AF56="","",PKN!AF56)</f>
        <v/>
      </c>
      <c r="AZ59" s="94" t="str">
        <f>IF(PKN!AG56="","",PKN!AG56)</f>
        <v/>
      </c>
      <c r="BA59" s="93" t="str">
        <f>IF(INDO!X56="","",INDO!X56)</f>
        <v/>
      </c>
      <c r="BB59" s="93" t="str">
        <f>IF(INDO!Y56="","",INDO!Y56)</f>
        <v/>
      </c>
      <c r="BC59" s="93" t="str">
        <f>IF(INDO!Z56="","",INDO!Z56)</f>
        <v/>
      </c>
      <c r="BD59" s="93" t="str">
        <f>IF(INDO!AA56="","",INDO!AA56)</f>
        <v/>
      </c>
      <c r="BE59" s="93" t="str">
        <f>IF(INDO!AB56="","",INDO!AB56)</f>
        <v/>
      </c>
      <c r="BF59" s="93" t="str">
        <f>IF(INDO!AC56="","",INDO!AC56)</f>
        <v/>
      </c>
      <c r="BG59" s="93" t="str">
        <f>IF(INDO!AD56="","",INDO!AD56)</f>
        <v/>
      </c>
      <c r="BH59" s="93" t="str">
        <f>IF(INDO!AE56="","",INDO!AE56)</f>
        <v/>
      </c>
      <c r="BI59" s="93" t="str">
        <f>IF(INDO!AF56="","",INDO!AF56)</f>
        <v/>
      </c>
      <c r="BJ59" s="93" t="str">
        <f>IF(INDO!AG56="","",INDO!AG56)</f>
        <v/>
      </c>
      <c r="BK59" s="93" t="str">
        <f>IF(ARAB!X56="","",ARAB!X56)</f>
        <v/>
      </c>
      <c r="BL59" s="93" t="str">
        <f>IF(ARAB!Y56="","",ARAB!Y56)</f>
        <v/>
      </c>
      <c r="BM59" s="93" t="str">
        <f>IF(ARAB!Z56="","",ARAB!Z56)</f>
        <v/>
      </c>
      <c r="BN59" s="93" t="str">
        <f>IF(ARAB!AA56="","",ARAB!AA56)</f>
        <v/>
      </c>
      <c r="BO59" s="93" t="str">
        <f>IF(ARAB!AB56="","",ARAB!AB56)</f>
        <v/>
      </c>
      <c r="BP59" s="93" t="str">
        <f>IF(ARAB!AC56="","",ARAB!AC56)</f>
        <v/>
      </c>
      <c r="BQ59" s="93" t="str">
        <f>IF(ARAB!AD56="","",ARAB!AD56)</f>
        <v/>
      </c>
      <c r="BR59" s="93" t="str">
        <f>IF(ARAB!AE56="","",ARAB!AE56)</f>
        <v/>
      </c>
      <c r="BS59" s="93" t="str">
        <f>IF(ARAB!AF56="","",ARAB!AF56)</f>
        <v/>
      </c>
      <c r="BT59" s="93" t="str">
        <f>IF(ARAB!AG56="","",ARAB!AG56)</f>
        <v/>
      </c>
      <c r="BU59" s="94" t="str">
        <f>IF(MAT!X56="","",MAT!X56)</f>
        <v/>
      </c>
      <c r="BV59" s="94" t="str">
        <f>IF(MAT!Y56="","",MAT!Y56)</f>
        <v/>
      </c>
      <c r="BW59" s="94" t="str">
        <f>IF(MAT!Z56="","",MAT!Z56)</f>
        <v/>
      </c>
      <c r="BX59" s="94" t="str">
        <f>IF(MAT!AA56="","",MAT!AA56)</f>
        <v/>
      </c>
      <c r="BY59" s="94" t="str">
        <f>IF(MAT!AB56="","",MAT!AB56)</f>
        <v/>
      </c>
      <c r="BZ59" s="94" t="str">
        <f>IF(MAT!AC56="","",MAT!AC56)</f>
        <v/>
      </c>
      <c r="CA59" s="94" t="str">
        <f>IF(MAT!AD56="","",MAT!AD56)</f>
        <v/>
      </c>
      <c r="CB59" s="94" t="str">
        <f>IF(MAT!AE56="","",MAT!AE56)</f>
        <v/>
      </c>
      <c r="CC59" s="94" t="str">
        <f>IF(MAT!AF56="","",MAT!AF56)</f>
        <v/>
      </c>
      <c r="CD59" s="94" t="str">
        <f>IF(MAT!AG56="","",MAT!AG56)</f>
        <v/>
      </c>
      <c r="CE59" s="94" t="str">
        <f>IF(IPA!X56="","",IPA!X56)</f>
        <v/>
      </c>
      <c r="CF59" s="94" t="str">
        <f>IF(IPA!Y56="","",IPA!Y56)</f>
        <v/>
      </c>
      <c r="CG59" s="94" t="str">
        <f>IF(IPA!Z56="","",IPA!Z56)</f>
        <v/>
      </c>
      <c r="CH59" s="94" t="str">
        <f>IF(IPA!AA56="","",IPA!AA56)</f>
        <v/>
      </c>
      <c r="CI59" s="94" t="str">
        <f>IF(IPA!AB56="","",IPA!AB56)</f>
        <v/>
      </c>
      <c r="CJ59" s="94" t="str">
        <f>IF(IPA!AC56="","",IPA!AC56)</f>
        <v/>
      </c>
      <c r="CK59" s="94" t="str">
        <f>IF(IPA!AD56="","",IPA!AD56)</f>
        <v/>
      </c>
      <c r="CL59" s="94" t="str">
        <f>IF(IPA!AE56="","",IPA!AE56)</f>
        <v/>
      </c>
      <c r="CM59" s="94" t="str">
        <f>IF(IPA!AF56="","",IPA!AF56)</f>
        <v/>
      </c>
      <c r="CN59" s="94" t="str">
        <f>IF(IPA!AG56="","",IPA!AG56)</f>
        <v/>
      </c>
      <c r="CO59" s="93" t="str">
        <f>IF(IPS!X56="","",IPS!X56)</f>
        <v/>
      </c>
      <c r="CP59" s="93" t="str">
        <f>IF(IPS!Y56="","",IPS!Y56)</f>
        <v/>
      </c>
      <c r="CQ59" s="93" t="str">
        <f>IF(IPS!Z56="","",IPS!Z56)</f>
        <v/>
      </c>
      <c r="CR59" s="93" t="str">
        <f>IF(IPS!AA56="","",IPS!AA56)</f>
        <v/>
      </c>
      <c r="CS59" s="93" t="str">
        <f>IF(IPS!AB56="","",IPS!AB56)</f>
        <v/>
      </c>
      <c r="CT59" s="93" t="str">
        <f>IF(IPS!AC56="","",IPS!AC56)</f>
        <v/>
      </c>
      <c r="CU59" s="93" t="str">
        <f>IF(IPS!AD56="","",IPS!AD56)</f>
        <v/>
      </c>
      <c r="CV59" s="93" t="str">
        <f>IF(IPS!AE56="","",IPS!AE56)</f>
        <v/>
      </c>
      <c r="CW59" s="93" t="str">
        <f>IF(IPS!AF56="","",IPS!AF56)</f>
        <v/>
      </c>
      <c r="CX59" s="93" t="str">
        <f>IF(IPS!AG56="","",IPS!AG56)</f>
        <v/>
      </c>
      <c r="CY59" s="94" t="str">
        <f>IF(INGG!X56="","",INGG!X56)</f>
        <v/>
      </c>
      <c r="CZ59" s="94" t="str">
        <f>IF(INGG!Y56="","",INGG!Y56)</f>
        <v/>
      </c>
      <c r="DA59" s="94" t="str">
        <f>IF(INGG!Z56="","",INGG!Z56)</f>
        <v/>
      </c>
      <c r="DB59" s="94" t="str">
        <f>IF(INGG!AA56="","",INGG!AA56)</f>
        <v/>
      </c>
      <c r="DC59" s="94" t="str">
        <f>IF(INGG!AB56="","",INGG!AB56)</f>
        <v/>
      </c>
      <c r="DD59" s="94" t="str">
        <f>IF(INGG!AC56="","",INGG!AC56)</f>
        <v/>
      </c>
      <c r="DE59" s="94" t="str">
        <f>IF(INGG!AD56="","",INGG!AD56)</f>
        <v/>
      </c>
      <c r="DF59" s="94" t="str">
        <f>IF(INGG!AE56="","",INGG!AE56)</f>
        <v/>
      </c>
      <c r="DG59" s="94" t="str">
        <f>IF(INGG!AF56="","",INGG!AF56)</f>
        <v/>
      </c>
      <c r="DH59" s="94" t="str">
        <f>IF(INGG!AG56="","",INGG!AG56)</f>
        <v/>
      </c>
      <c r="DI59" s="94" t="str">
        <f>IF(SENBUD!X56="","",SENBUD!X56)</f>
        <v/>
      </c>
      <c r="DJ59" s="94" t="str">
        <f>IF(SENBUD!Y56="","",SENBUD!Y56)</f>
        <v/>
      </c>
      <c r="DK59" s="94" t="str">
        <f>IF(SENBUD!Z56="","",SENBUD!Z56)</f>
        <v/>
      </c>
      <c r="DL59" s="94" t="str">
        <f>IF(SENBUD!AA56="","",SENBUD!AA56)</f>
        <v/>
      </c>
      <c r="DM59" s="94" t="str">
        <f>IF(SENBUD!AB56="","",SENBUD!AB56)</f>
        <v/>
      </c>
      <c r="DN59" s="94" t="str">
        <f>IF(SENBUD!AC56="","",SENBUD!AC56)</f>
        <v/>
      </c>
      <c r="DO59" s="94" t="str">
        <f>IF(SENBUD!AD56="","",SENBUD!AD56)</f>
        <v/>
      </c>
      <c r="DP59" s="94" t="str">
        <f>IF(SENBUD!AE56="","",SENBUD!AE56)</f>
        <v/>
      </c>
      <c r="DQ59" s="94" t="str">
        <f>IF(SENBUD!AF56="","",SENBUD!AF56)</f>
        <v/>
      </c>
      <c r="DR59" s="94" t="str">
        <f>IF(SENBUD!AG56="","",SENBUD!AG56)</f>
        <v/>
      </c>
      <c r="DS59" s="93" t="str">
        <f>IF(PENJAS!X56="","",PENJAS!X56)</f>
        <v/>
      </c>
      <c r="DT59" s="93" t="str">
        <f>IF(PENJAS!Y56="","",PENJAS!Y56)</f>
        <v/>
      </c>
      <c r="DU59" s="93" t="str">
        <f>IF(PENJAS!Z56="","",PENJAS!Z56)</f>
        <v/>
      </c>
      <c r="DV59" s="93" t="str">
        <f>IF(PENJAS!AA56="","",PENJAS!AA56)</f>
        <v/>
      </c>
      <c r="DW59" s="93" t="str">
        <f>IF(PENJAS!AB56="","",PENJAS!AB56)</f>
        <v/>
      </c>
      <c r="DX59" s="93" t="str">
        <f>IF(PENJAS!AC56="","",PENJAS!AC56)</f>
        <v/>
      </c>
      <c r="DY59" s="93" t="str">
        <f>IF(PENJAS!AD56="","",PENJAS!AD56)</f>
        <v/>
      </c>
      <c r="DZ59" s="93" t="str">
        <f>IF(PENJAS!AE56="","",PENJAS!AE56)</f>
        <v/>
      </c>
      <c r="EA59" s="93" t="str">
        <f>IF(PENJAS!AF56="","",PENJAS!AF56)</f>
        <v/>
      </c>
      <c r="EB59" s="93" t="str">
        <f>IF(PENJAS!AG56="","",PENJAS!AG56)</f>
        <v/>
      </c>
      <c r="EC59" s="93" t="str">
        <f>IF(PRAKARYA!X56="","",PRAKARYA!X56)</f>
        <v/>
      </c>
      <c r="ED59" s="93" t="str">
        <f>IF(PRAKARYA!Y56="","",PRAKARYA!Y56)</f>
        <v/>
      </c>
      <c r="EE59" s="93" t="str">
        <f>IF(PRAKARYA!Z56="","",PRAKARYA!Z56)</f>
        <v/>
      </c>
      <c r="EF59" s="93" t="str">
        <f>IF(PRAKARYA!AA56="","",PRAKARYA!AA56)</f>
        <v/>
      </c>
      <c r="EG59" s="93" t="str">
        <f>IF(PRAKARYA!AB56="","",PRAKARYA!AB56)</f>
        <v/>
      </c>
      <c r="EH59" s="93" t="str">
        <f>IF(PRAKARYA!AC56="","",PRAKARYA!AC56)</f>
        <v/>
      </c>
      <c r="EI59" s="93" t="str">
        <f>IF(PRAKARYA!AD56="","",PRAKARYA!AD56)</f>
        <v/>
      </c>
      <c r="EJ59" s="93" t="str">
        <f>IF(PRAKARYA!AE56="","",PRAKARYA!AE56)</f>
        <v/>
      </c>
      <c r="EK59" s="93" t="str">
        <f>IF(PRAKARYA!AF56="","",PRAKARYA!AF56)</f>
        <v/>
      </c>
      <c r="EL59" s="93" t="str">
        <f>IF(PRAKARYA!AG56="","",PRAKARYA!AG56)</f>
        <v/>
      </c>
      <c r="EM59" s="95" t="str">
        <f>IF(BADER!X56="","",BADER!X56)</f>
        <v/>
      </c>
      <c r="EN59" s="95" t="str">
        <f>IF(BADER!Y56="","",BADER!Y56)</f>
        <v/>
      </c>
      <c r="EO59" s="95" t="str">
        <f>IF(BADER!Z56="","",BADER!Z56)</f>
        <v/>
      </c>
      <c r="EP59" s="95" t="str">
        <f>IF(BADER!AA56="","",BADER!AA56)</f>
        <v/>
      </c>
      <c r="EQ59" s="95" t="str">
        <f>IF(BADER!AB56="","",BADER!AB56)</f>
        <v/>
      </c>
      <c r="ER59" s="95" t="str">
        <f>IF(BADER!AC56="","",BADER!AC56)</f>
        <v/>
      </c>
      <c r="ES59" s="95" t="str">
        <f>IF(BADER!AD56="","",BADER!AD56)</f>
        <v/>
      </c>
      <c r="ET59" s="95" t="str">
        <f>IF(BADER!AE56="","",BADER!AE56)</f>
        <v/>
      </c>
      <c r="EU59" s="95" t="str">
        <f>IF(BADER!AF56="","",BADER!AF56)</f>
        <v/>
      </c>
      <c r="EV59" s="95" t="str">
        <f>IF(BADER!AG56="","",BADER!AG56)</f>
        <v/>
      </c>
      <c r="EW59" s="96" t="str">
        <f t="shared" si="1"/>
        <v/>
      </c>
      <c r="EX59" s="96" t="str">
        <f t="shared" si="2"/>
        <v/>
      </c>
      <c r="EY59" s="96" t="str">
        <f t="shared" si="14"/>
        <v/>
      </c>
      <c r="EZ59" s="96" t="str">
        <f t="shared" si="14"/>
        <v/>
      </c>
      <c r="FA59" s="96" t="str">
        <f t="shared" si="14"/>
        <v/>
      </c>
      <c r="FB59" s="96" t="str">
        <f t="shared" si="14"/>
        <v/>
      </c>
      <c r="FC59" s="96" t="str">
        <f t="shared" si="14"/>
        <v/>
      </c>
      <c r="FD59" s="96" t="str">
        <f t="shared" si="14"/>
        <v/>
      </c>
      <c r="FE59" s="96" t="str">
        <f t="shared" si="14"/>
        <v/>
      </c>
      <c r="FF59" s="96" t="str">
        <f t="shared" si="3"/>
        <v/>
      </c>
      <c r="FG59" s="96" t="str">
        <f t="shared" si="4"/>
        <v/>
      </c>
      <c r="FH59" s="92" t="str">
        <f t="shared" si="5"/>
        <v/>
      </c>
      <c r="FI59" s="92" t="str">
        <f t="shared" si="6"/>
        <v/>
      </c>
      <c r="FJ59" s="92" t="str">
        <f t="shared" si="7"/>
        <v/>
      </c>
      <c r="FK59" s="92" t="str">
        <f t="shared" si="8"/>
        <v/>
      </c>
      <c r="FL59" s="92" t="str">
        <f t="shared" si="9"/>
        <v/>
      </c>
      <c r="FM59" s="92" t="str">
        <f t="shared" si="10"/>
        <v/>
      </c>
      <c r="FN59" s="92" t="str">
        <f t="shared" si="11"/>
        <v/>
      </c>
      <c r="FO59" s="92" t="str">
        <f t="shared" si="12"/>
        <v/>
      </c>
      <c r="FP59" s="92" t="str">
        <f t="shared" si="13"/>
        <v xml:space="preserve">,  ,  ,  ,  ,  ,  ,  </v>
      </c>
    </row>
    <row r="60" spans="1:16384" s="101" customFormat="1" ht="16.5">
      <c r="A60" s="98"/>
      <c r="B60" s="99"/>
      <c r="C60" s="100"/>
      <c r="D60" s="100"/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0"/>
      <c r="P60" s="100"/>
      <c r="Q60" s="100"/>
      <c r="R60" s="100"/>
      <c r="S60" s="100"/>
      <c r="T60" s="100"/>
      <c r="U60" s="100"/>
      <c r="V60" s="100"/>
      <c r="W60" s="100"/>
      <c r="X60" s="100"/>
      <c r="Y60" s="100"/>
      <c r="Z60" s="100"/>
      <c r="AA60" s="100"/>
      <c r="AB60" s="100"/>
      <c r="AC60" s="100"/>
      <c r="AD60" s="100"/>
      <c r="AE60" s="100"/>
      <c r="AF60" s="100"/>
      <c r="AG60" s="100"/>
      <c r="AH60" s="100"/>
      <c r="AI60" s="100"/>
      <c r="AJ60" s="100"/>
      <c r="AK60" s="100"/>
      <c r="AL60" s="100"/>
      <c r="AM60" s="100"/>
      <c r="AN60" s="100"/>
      <c r="AO60" s="100"/>
      <c r="AP60" s="100"/>
      <c r="AQ60" s="100"/>
      <c r="AR60" s="100"/>
      <c r="AS60" s="100"/>
      <c r="AT60" s="100"/>
      <c r="AU60" s="100"/>
      <c r="AV60" s="100"/>
      <c r="AW60" s="100"/>
      <c r="AX60" s="100"/>
      <c r="AY60" s="100"/>
      <c r="AZ60" s="100"/>
      <c r="BA60" s="100"/>
      <c r="BB60" s="100"/>
      <c r="BC60" s="100"/>
      <c r="BD60" s="100"/>
      <c r="BE60" s="100"/>
      <c r="BF60" s="100"/>
      <c r="BG60" s="100"/>
      <c r="BH60" s="100"/>
      <c r="BI60" s="100"/>
      <c r="BJ60" s="100"/>
      <c r="BK60" s="100"/>
      <c r="BL60" s="100"/>
      <c r="BM60" s="100"/>
      <c r="BN60" s="100"/>
      <c r="BO60" s="100"/>
      <c r="BP60" s="100"/>
      <c r="BQ60" s="100"/>
      <c r="BR60" s="100"/>
      <c r="BS60" s="100"/>
      <c r="BT60" s="100"/>
      <c r="BU60" s="100"/>
      <c r="BV60" s="100"/>
      <c r="BW60" s="100"/>
      <c r="BX60" s="104"/>
      <c r="BY60" s="100"/>
      <c r="BZ60" s="100"/>
      <c r="CA60" s="100"/>
      <c r="CB60" s="100"/>
      <c r="CC60" s="100"/>
      <c r="CD60" s="100"/>
      <c r="CE60" s="100"/>
      <c r="CF60" s="100"/>
      <c r="CG60" s="100"/>
      <c r="CH60" s="100"/>
      <c r="CI60" s="100"/>
      <c r="CJ60" s="100"/>
      <c r="CK60" s="100"/>
      <c r="CL60" s="100"/>
      <c r="CM60" s="100"/>
      <c r="CN60" s="100"/>
      <c r="CO60" s="100"/>
      <c r="CP60" s="100"/>
      <c r="CQ60" s="100"/>
      <c r="CR60" s="100"/>
      <c r="CS60" s="100"/>
      <c r="CT60" s="100"/>
      <c r="CU60" s="100"/>
      <c r="CV60" s="100"/>
      <c r="CW60" s="100"/>
      <c r="CX60" s="100"/>
      <c r="CY60" s="100"/>
      <c r="CZ60" s="100"/>
      <c r="DA60" s="100"/>
      <c r="DB60" s="100"/>
      <c r="DC60" s="100"/>
      <c r="DD60" s="100"/>
      <c r="DE60" s="100"/>
      <c r="DF60" s="100"/>
      <c r="DG60" s="100"/>
      <c r="DH60" s="100"/>
      <c r="DI60" s="100"/>
      <c r="DJ60" s="100"/>
      <c r="DK60" s="100"/>
      <c r="DL60" s="100"/>
      <c r="DM60" s="100"/>
      <c r="DN60" s="100"/>
      <c r="DO60" s="100"/>
      <c r="DP60" s="100"/>
      <c r="DQ60" s="100"/>
      <c r="DR60" s="100"/>
      <c r="DS60" s="100"/>
      <c r="DT60" s="100"/>
      <c r="DU60" s="107"/>
      <c r="DV60" s="108"/>
      <c r="DW60" s="109"/>
      <c r="DX60" s="109"/>
      <c r="DY60" s="110"/>
      <c r="DZ60" s="109"/>
      <c r="EA60" s="109"/>
      <c r="EB60" s="109"/>
      <c r="EC60" s="100"/>
      <c r="ED60" s="100"/>
      <c r="EE60" s="107"/>
      <c r="EF60" s="108"/>
      <c r="EG60" s="109"/>
      <c r="EH60" s="109"/>
      <c r="EI60" s="110"/>
      <c r="EJ60" s="109"/>
      <c r="EK60" s="109"/>
      <c r="EL60" s="109"/>
      <c r="EM60" s="105"/>
      <c r="EN60" s="105"/>
      <c r="EO60" s="105"/>
      <c r="EP60" s="105"/>
      <c r="EQ60" s="105"/>
      <c r="ER60" s="105"/>
      <c r="ES60" s="105"/>
      <c r="ET60" s="105"/>
      <c r="EU60" s="100"/>
      <c r="EV60" s="106"/>
      <c r="EW60" s="96" t="str">
        <f t="shared" si="1"/>
        <v/>
      </c>
      <c r="EX60" s="96" t="str">
        <f t="shared" si="2"/>
        <v/>
      </c>
      <c r="EY60" s="96" t="str">
        <f t="shared" si="14"/>
        <v/>
      </c>
      <c r="EZ60" s="96" t="str">
        <f t="shared" si="14"/>
        <v/>
      </c>
      <c r="FA60" s="96" t="str">
        <f t="shared" si="14"/>
        <v/>
      </c>
      <c r="FB60" s="96" t="str">
        <f t="shared" si="14"/>
        <v/>
      </c>
      <c r="FC60" s="96" t="str">
        <f t="shared" si="14"/>
        <v/>
      </c>
      <c r="FD60" s="96" t="str">
        <f t="shared" si="14"/>
        <v/>
      </c>
      <c r="FE60" s="96" t="str">
        <f t="shared" si="14"/>
        <v/>
      </c>
      <c r="FF60" s="96" t="str">
        <f t="shared" si="3"/>
        <v/>
      </c>
      <c r="FG60" s="96" t="str">
        <f t="shared" si="4"/>
        <v/>
      </c>
      <c r="FH60" s="92" t="str">
        <f t="shared" si="5"/>
        <v/>
      </c>
      <c r="FI60" s="92" t="str">
        <f t="shared" si="6"/>
        <v/>
      </c>
      <c r="FJ60" s="92" t="str">
        <f t="shared" si="7"/>
        <v/>
      </c>
      <c r="FK60" s="92" t="str">
        <f t="shared" si="8"/>
        <v/>
      </c>
      <c r="FL60" s="92" t="str">
        <f t="shared" si="9"/>
        <v/>
      </c>
      <c r="FM60" s="92" t="str">
        <f t="shared" si="10"/>
        <v/>
      </c>
      <c r="FN60" s="92" t="str">
        <f t="shared" si="11"/>
        <v/>
      </c>
      <c r="FO60" s="92" t="str">
        <f t="shared" si="12"/>
        <v/>
      </c>
      <c r="FP60" s="92" t="str">
        <f t="shared" si="13"/>
        <v xml:space="preserve">,  ,  ,  ,  ,  ,  ,  </v>
      </c>
    </row>
    <row r="61" spans="1:16384">
      <c r="C61" s="102"/>
      <c r="D61" s="102"/>
      <c r="E61" s="103"/>
      <c r="F61" s="102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2"/>
      <c r="AC61" s="103"/>
      <c r="AD61" s="102"/>
      <c r="AE61" s="103"/>
      <c r="AF61" s="102"/>
      <c r="AG61" s="103"/>
      <c r="AH61" s="103"/>
      <c r="AI61" s="102"/>
      <c r="AJ61" s="103"/>
      <c r="AK61" s="102"/>
      <c r="AL61" s="103"/>
      <c r="AM61" s="102"/>
      <c r="AN61" s="103"/>
      <c r="AO61" s="103"/>
      <c r="AP61" s="103"/>
      <c r="AQ61" s="103"/>
      <c r="AR61" s="103"/>
      <c r="AS61" s="103"/>
      <c r="AT61" s="103"/>
      <c r="AU61" s="103"/>
      <c r="AV61" s="103"/>
      <c r="AW61" s="102"/>
      <c r="AX61" s="103"/>
      <c r="AY61" s="102"/>
      <c r="AZ61" s="103"/>
      <c r="BA61" s="102"/>
      <c r="BB61" s="103"/>
      <c r="BC61" s="103"/>
      <c r="BD61" s="102"/>
      <c r="BE61" s="103"/>
      <c r="BF61" s="102"/>
      <c r="BG61" s="103"/>
      <c r="BH61" s="102"/>
      <c r="BI61" s="103"/>
      <c r="BJ61" s="103"/>
      <c r="BK61" s="102"/>
      <c r="BL61" s="103"/>
      <c r="BM61" s="102"/>
      <c r="BN61" s="103"/>
      <c r="BO61" s="102"/>
      <c r="BP61" s="103"/>
      <c r="BQ61" s="103"/>
      <c r="BR61" s="102"/>
      <c r="BS61" s="103"/>
      <c r="BT61" s="102"/>
      <c r="BU61" s="103"/>
      <c r="BV61" s="102"/>
      <c r="BW61" s="103"/>
      <c r="BX61" s="103"/>
      <c r="BY61" s="102"/>
      <c r="BZ61" s="103"/>
      <c r="CA61" s="102"/>
      <c r="CB61" s="103"/>
      <c r="CC61" s="102"/>
      <c r="CD61" s="103"/>
      <c r="CE61" s="103"/>
      <c r="CF61" s="102"/>
      <c r="CG61" s="103"/>
      <c r="CH61" s="102"/>
      <c r="CI61" s="103"/>
      <c r="CJ61" s="102"/>
      <c r="CK61" s="103"/>
      <c r="CL61" s="103"/>
      <c r="CM61" s="102"/>
      <c r="CN61" s="103"/>
      <c r="CO61" s="102"/>
      <c r="CP61" s="103"/>
      <c r="CQ61" s="102"/>
      <c r="CR61" s="103"/>
      <c r="CS61" s="103"/>
      <c r="CT61" s="103"/>
      <c r="CU61" s="103"/>
      <c r="CV61" s="103"/>
      <c r="CW61" s="103"/>
      <c r="CX61" s="103"/>
      <c r="CY61" s="103"/>
      <c r="CZ61" s="103"/>
      <c r="DA61" s="103"/>
      <c r="DB61" s="103"/>
      <c r="DC61" s="103"/>
      <c r="DD61" s="103"/>
      <c r="DE61" s="103"/>
      <c r="DF61" s="103"/>
      <c r="DG61" s="103"/>
      <c r="DH61" s="102"/>
      <c r="DI61" s="103"/>
      <c r="DJ61" s="102"/>
      <c r="DK61" s="103"/>
      <c r="DL61" s="102"/>
      <c r="DM61" s="103"/>
      <c r="DN61" s="103"/>
      <c r="DO61" s="102"/>
      <c r="DP61" s="102"/>
      <c r="DQ61" s="102"/>
      <c r="DR61" s="102"/>
      <c r="DS61" s="102"/>
      <c r="DT61" s="102"/>
      <c r="DU61" s="102"/>
      <c r="DV61" s="102"/>
      <c r="DW61" s="102"/>
      <c r="DX61" s="102"/>
      <c r="DY61" s="102"/>
      <c r="DZ61" s="102"/>
      <c r="EA61" s="102"/>
      <c r="EB61" s="102"/>
      <c r="EC61" s="102"/>
      <c r="ED61" s="102"/>
      <c r="EE61" s="102"/>
      <c r="EF61" s="102"/>
      <c r="EG61" s="102"/>
      <c r="EH61" s="102"/>
      <c r="EI61" s="102"/>
      <c r="EJ61" s="102"/>
      <c r="EK61" s="102"/>
      <c r="EL61" s="102"/>
      <c r="EM61" s="102"/>
      <c r="EN61" s="102"/>
      <c r="EO61" s="102"/>
      <c r="EP61" s="102"/>
      <c r="EQ61" s="102"/>
      <c r="ER61" s="102"/>
      <c r="ES61" s="102"/>
      <c r="ET61" s="102"/>
      <c r="EU61" s="102"/>
      <c r="EV61" s="102"/>
      <c r="EW61" s="102"/>
      <c r="EX61" s="102"/>
      <c r="EY61" s="102"/>
      <c r="EZ61" s="102"/>
      <c r="FA61" s="102"/>
      <c r="FB61" s="102"/>
      <c r="FC61" s="102"/>
      <c r="FD61" s="102"/>
      <c r="FE61" s="102"/>
      <c r="FF61" s="102"/>
      <c r="FG61" s="102"/>
    </row>
  </sheetData>
  <sheetProtection password="D4C3" sheet="1" objects="1" scenarios="1"/>
  <mergeCells count="29">
    <mergeCell ref="C1:BF1"/>
    <mergeCell ref="C2:BF2"/>
    <mergeCell ref="C3:BF3"/>
    <mergeCell ref="D5:BE5"/>
    <mergeCell ref="C6:D6"/>
    <mergeCell ref="E6:G6"/>
    <mergeCell ref="AB6:AE6"/>
    <mergeCell ref="AF6:AJ6"/>
    <mergeCell ref="AL6:AW6"/>
    <mergeCell ref="AX6:AZ6"/>
    <mergeCell ref="CO8:CX9"/>
    <mergeCell ref="A8:A10"/>
    <mergeCell ref="B8:B10"/>
    <mergeCell ref="C8:L9"/>
    <mergeCell ref="M8:V9"/>
    <mergeCell ref="W8:AF9"/>
    <mergeCell ref="AG8:AP9"/>
    <mergeCell ref="AQ8:AZ9"/>
    <mergeCell ref="BA8:BJ9"/>
    <mergeCell ref="BK8:BT9"/>
    <mergeCell ref="BU8:CD9"/>
    <mergeCell ref="CE8:CN9"/>
    <mergeCell ref="FG8:FP9"/>
    <mergeCell ref="CY8:DH9"/>
    <mergeCell ref="DI8:DR9"/>
    <mergeCell ref="DS8:EB9"/>
    <mergeCell ref="EC8:EL9"/>
    <mergeCell ref="EM8:EV9"/>
    <mergeCell ref="EW8:FF9"/>
  </mergeCells>
  <pageMargins left="0.7" right="0.7" top="0.75" bottom="0.75" header="0.3" footer="0.3"/>
  <pageSetup paperSize="9" orientation="portrait" horizontalDpi="429496729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U53"/>
  <sheetViews>
    <sheetView workbookViewId="0">
      <pane xSplit="2" ySplit="5" topLeftCell="F6" activePane="bottomRight" state="frozen"/>
      <selection pane="topRight" activeCell="C1" sqref="C1"/>
      <selection pane="bottomLeft" activeCell="A6" sqref="A6"/>
      <selection pane="bottomRight" activeCell="C6" sqref="C6:S53"/>
    </sheetView>
  </sheetViews>
  <sheetFormatPr defaultRowHeight="15"/>
  <cols>
    <col min="1" max="1" width="9.140625" style="6"/>
    <col min="2" max="2" width="25.28515625" style="6" customWidth="1"/>
    <col min="3" max="16384" width="9.140625" style="6"/>
  </cols>
  <sheetData>
    <row r="1" spans="1:21" ht="18.75">
      <c r="C1" s="322" t="s">
        <v>324</v>
      </c>
      <c r="D1" s="322"/>
      <c r="E1" s="322"/>
      <c r="F1" s="322"/>
      <c r="G1" s="322"/>
      <c r="H1" s="322"/>
      <c r="I1" s="322"/>
      <c r="J1" s="322"/>
      <c r="K1" s="322"/>
      <c r="L1" s="322"/>
      <c r="M1" s="322"/>
      <c r="N1" s="322"/>
      <c r="O1" s="322"/>
      <c r="P1" s="322"/>
      <c r="Q1" s="322"/>
      <c r="R1" s="322"/>
      <c r="S1" s="322"/>
    </row>
    <row r="2" spans="1:21">
      <c r="H2" s="342" t="str">
        <f>UTAMA!D15&amp;"/ "&amp;UTAMA!D17&amp;"/"&amp;UTAMA!D17</f>
        <v>VII/ 2017-2018/2017-2018</v>
      </c>
      <c r="I2" s="342"/>
      <c r="J2" s="342"/>
      <c r="K2" s="342"/>
      <c r="L2" s="342"/>
      <c r="M2" s="342"/>
      <c r="N2" s="342"/>
    </row>
    <row r="3" spans="1:21" ht="15" customHeight="1">
      <c r="A3" s="317" t="s">
        <v>49</v>
      </c>
      <c r="B3" s="317" t="s">
        <v>100</v>
      </c>
      <c r="C3" s="124" t="s">
        <v>325</v>
      </c>
      <c r="D3" s="125" t="s">
        <v>326</v>
      </c>
      <c r="E3" s="125" t="s">
        <v>327</v>
      </c>
      <c r="F3" s="125" t="s">
        <v>328</v>
      </c>
      <c r="G3" s="125" t="s">
        <v>329</v>
      </c>
      <c r="H3" s="125" t="s">
        <v>330</v>
      </c>
      <c r="I3" s="126" t="s">
        <v>331</v>
      </c>
      <c r="J3" s="126" t="s">
        <v>332</v>
      </c>
      <c r="K3" s="126" t="s">
        <v>333</v>
      </c>
      <c r="L3" s="126" t="s">
        <v>334</v>
      </c>
      <c r="M3" s="126" t="s">
        <v>335</v>
      </c>
      <c r="N3" s="67" t="s">
        <v>336</v>
      </c>
      <c r="O3" s="67" t="s">
        <v>337</v>
      </c>
      <c r="P3" s="67" t="s">
        <v>338</v>
      </c>
      <c r="Q3" s="67" t="s">
        <v>339</v>
      </c>
      <c r="R3" s="67" t="s">
        <v>340</v>
      </c>
      <c r="S3" s="67" t="s">
        <v>341</v>
      </c>
      <c r="T3" s="336" t="s">
        <v>342</v>
      </c>
      <c r="U3" s="339" t="s">
        <v>343</v>
      </c>
    </row>
    <row r="4" spans="1:21" ht="15" customHeight="1">
      <c r="A4" s="317"/>
      <c r="B4" s="317"/>
      <c r="C4" s="334" t="s">
        <v>8</v>
      </c>
      <c r="D4" s="334" t="s">
        <v>9</v>
      </c>
      <c r="E4" s="334" t="s">
        <v>10</v>
      </c>
      <c r="F4" s="334" t="s">
        <v>11</v>
      </c>
      <c r="G4" s="334" t="s">
        <v>12</v>
      </c>
      <c r="H4" s="334" t="s">
        <v>13</v>
      </c>
      <c r="I4" s="334" t="s">
        <v>14</v>
      </c>
      <c r="J4" s="334" t="s">
        <v>15</v>
      </c>
      <c r="K4" s="334" t="s">
        <v>16</v>
      </c>
      <c r="L4" s="334" t="s">
        <v>17</v>
      </c>
      <c r="M4" s="334" t="s">
        <v>18</v>
      </c>
      <c r="N4" s="334" t="s">
        <v>20</v>
      </c>
      <c r="O4" s="334" t="s">
        <v>21</v>
      </c>
      <c r="P4" s="334" t="s">
        <v>22</v>
      </c>
      <c r="Q4" s="334" t="s">
        <v>23</v>
      </c>
      <c r="R4" s="334" t="s">
        <v>88</v>
      </c>
      <c r="S4" s="334" t="s">
        <v>89</v>
      </c>
      <c r="T4" s="337"/>
      <c r="U4" s="340"/>
    </row>
    <row r="5" spans="1:21" ht="29.25" customHeight="1">
      <c r="A5" s="317"/>
      <c r="B5" s="317"/>
      <c r="C5" s="335"/>
      <c r="D5" s="335"/>
      <c r="E5" s="335"/>
      <c r="F5" s="335"/>
      <c r="G5" s="335"/>
      <c r="H5" s="335"/>
      <c r="I5" s="335"/>
      <c r="J5" s="335"/>
      <c r="K5" s="335"/>
      <c r="L5" s="335"/>
      <c r="M5" s="335"/>
      <c r="N5" s="335"/>
      <c r="O5" s="335"/>
      <c r="P5" s="335"/>
      <c r="Q5" s="335"/>
      <c r="R5" s="335"/>
      <c r="S5" s="335"/>
      <c r="T5" s="338"/>
      <c r="U5" s="341"/>
    </row>
    <row r="6" spans="1:21">
      <c r="A6" s="127">
        <v>1</v>
      </c>
      <c r="B6" s="128" t="str">
        <f>IF(DATA!D8="","",DATA!D8)</f>
        <v>Abd. Muis</v>
      </c>
      <c r="C6" s="197" t="str">
        <f>IF(QH!W8="","",QH!W8)</f>
        <v/>
      </c>
      <c r="D6" s="197" t="str">
        <f>IF(AA!W8="","",AA!W8)</f>
        <v/>
      </c>
      <c r="E6" s="197" t="str">
        <f>IF(FIKIH!W8="","",FIKIH!W8)</f>
        <v/>
      </c>
      <c r="F6" s="197">
        <f>IF(SKI!W8="","",SKI!W8)</f>
        <v>82</v>
      </c>
      <c r="G6" s="197" t="str">
        <f>IF(PKN!W8="","",PKN!W8)</f>
        <v/>
      </c>
      <c r="H6" s="197" t="str">
        <f>IF(INDO!W8="","",INDO!W8)</f>
        <v/>
      </c>
      <c r="I6" s="197" t="str">
        <f>IF(ARAB!W8="","",ARAB!W8)</f>
        <v/>
      </c>
      <c r="J6" s="197" t="str">
        <f>IF(MAT!W8="","",MAT!W8)</f>
        <v/>
      </c>
      <c r="K6" s="197" t="str">
        <f>IF(IPA!W8="","",IPA!W8)</f>
        <v/>
      </c>
      <c r="L6" s="197" t="str">
        <f>IF(IPS!W8="","",IPS!W8)</f>
        <v/>
      </c>
      <c r="M6" s="197" t="str">
        <f>IF(INGG!W8="","",INGG!W8)</f>
        <v/>
      </c>
      <c r="N6" s="197" t="str">
        <f>IF(SENBUD!W8="","",SENBUD!W8)</f>
        <v/>
      </c>
      <c r="O6" s="197" t="str">
        <f>IF(PENJAS!W8="","",PENJAS!W8)</f>
        <v/>
      </c>
      <c r="P6" s="197" t="str">
        <f>IF(PRAKARYA!W8="","",PRAKARYA!W8)</f>
        <v/>
      </c>
      <c r="Q6" s="197" t="str">
        <f>IF(BADER!W8="","",BADER!W8)</f>
        <v/>
      </c>
      <c r="R6" s="197" t="str">
        <f>IF(TAMB1!W8="","",TAMB1!W8)</f>
        <v/>
      </c>
      <c r="S6" s="197" t="str">
        <f>IF(TAMB2!W8="","",TAMB2!W8)</f>
        <v/>
      </c>
      <c r="T6" s="129" t="str">
        <f t="shared" ref="T6:T53" si="0">IF(C6="","",SUM(C6:S6))</f>
        <v/>
      </c>
      <c r="U6" s="130" t="str">
        <f t="shared" ref="U6:U53" si="1">IF(C6="","",RANK(T6,$T$6:$T$53,0))</f>
        <v/>
      </c>
    </row>
    <row r="7" spans="1:21">
      <c r="A7" s="127">
        <v>2</v>
      </c>
      <c r="B7" s="128" t="str">
        <f>IF(DATA!D9="","",DATA!D9)</f>
        <v>Achmad Buka</v>
      </c>
      <c r="C7" s="197" t="str">
        <f>IF(QH!W9="","",QH!W9)</f>
        <v/>
      </c>
      <c r="D7" s="197" t="str">
        <f>IF(AA!W9="","",AA!W9)</f>
        <v/>
      </c>
      <c r="E7" s="197" t="str">
        <f>IF(FIKIH!W9="","",FIKIH!W9)</f>
        <v/>
      </c>
      <c r="F7" s="197" t="str">
        <f>IF(SKI!W9="","",SKI!W9)</f>
        <v/>
      </c>
      <c r="G7" s="197" t="str">
        <f>IF(PKN!W9="","",PKN!W9)</f>
        <v/>
      </c>
      <c r="H7" s="197" t="str">
        <f>IF(INDO!W9="","",INDO!W9)</f>
        <v/>
      </c>
      <c r="I7" s="197" t="str">
        <f>IF(ARAB!W9="","",ARAB!W9)</f>
        <v/>
      </c>
      <c r="J7" s="197" t="str">
        <f>IF(MAT!W9="","",MAT!W9)</f>
        <v/>
      </c>
      <c r="K7" s="197" t="str">
        <f>IF(IPA!W9="","",IPA!W9)</f>
        <v/>
      </c>
      <c r="L7" s="197" t="str">
        <f>IF(IPS!W9="","",IPS!W9)</f>
        <v/>
      </c>
      <c r="M7" s="197" t="str">
        <f>IF(INGG!W9="","",INGG!W9)</f>
        <v/>
      </c>
      <c r="N7" s="197" t="str">
        <f>IF(SENBUD!W9="","",SENBUD!W9)</f>
        <v/>
      </c>
      <c r="O7" s="197" t="str">
        <f>IF(PENJAS!W9="","",PENJAS!W9)</f>
        <v/>
      </c>
      <c r="P7" s="197" t="str">
        <f>IF(PRAKARYA!W9="","",PRAKARYA!W9)</f>
        <v/>
      </c>
      <c r="Q7" s="197" t="str">
        <f>IF(BADER!W9="","",BADER!W9)</f>
        <v/>
      </c>
      <c r="R7" s="197" t="str">
        <f>IF(TAMB1!W9="","",TAMB1!W9)</f>
        <v/>
      </c>
      <c r="S7" s="197" t="str">
        <f>IF(TAMB2!W9="","",TAMB2!W9)</f>
        <v/>
      </c>
      <c r="T7" s="129" t="str">
        <f t="shared" si="0"/>
        <v/>
      </c>
      <c r="U7" s="130" t="str">
        <f t="shared" si="1"/>
        <v/>
      </c>
    </row>
    <row r="8" spans="1:21">
      <c r="A8" s="127">
        <v>3</v>
      </c>
      <c r="B8" s="128" t="str">
        <f>IF(DATA!D10="","",DATA!D10)</f>
        <v>AHMAD HAMBALI</v>
      </c>
      <c r="C8" s="197" t="str">
        <f>IF(QH!W10="","",QH!W10)</f>
        <v/>
      </c>
      <c r="D8" s="197" t="str">
        <f>IF(AA!W10="","",AA!W10)</f>
        <v/>
      </c>
      <c r="E8" s="197" t="str">
        <f>IF(FIKIH!W10="","",FIKIH!W10)</f>
        <v/>
      </c>
      <c r="F8" s="197" t="str">
        <f>IF(SKI!W10="","",SKI!W10)</f>
        <v/>
      </c>
      <c r="G8" s="197" t="str">
        <f>IF(PKN!W10="","",PKN!W10)</f>
        <v/>
      </c>
      <c r="H8" s="197" t="str">
        <f>IF(INDO!W10="","",INDO!W10)</f>
        <v/>
      </c>
      <c r="I8" s="197" t="str">
        <f>IF(ARAB!W10="","",ARAB!W10)</f>
        <v/>
      </c>
      <c r="J8" s="197" t="str">
        <f>IF(MAT!W10="","",MAT!W10)</f>
        <v/>
      </c>
      <c r="K8" s="197" t="str">
        <f>IF(IPA!W10="","",IPA!W10)</f>
        <v/>
      </c>
      <c r="L8" s="197" t="str">
        <f>IF(IPS!W10="","",IPS!W10)</f>
        <v/>
      </c>
      <c r="M8" s="197" t="str">
        <f>IF(INGG!W10="","",INGG!W10)</f>
        <v/>
      </c>
      <c r="N8" s="197" t="str">
        <f>IF(SENBUD!W10="","",SENBUD!W10)</f>
        <v/>
      </c>
      <c r="O8" s="197" t="str">
        <f>IF(PENJAS!W10="","",PENJAS!W10)</f>
        <v/>
      </c>
      <c r="P8" s="197" t="str">
        <f>IF(PRAKARYA!W10="","",PRAKARYA!W10)</f>
        <v/>
      </c>
      <c r="Q8" s="197" t="str">
        <f>IF(BADER!W10="","",BADER!W10)</f>
        <v/>
      </c>
      <c r="R8" s="197" t="str">
        <f>IF(TAMB1!W10="","",TAMB1!W10)</f>
        <v/>
      </c>
      <c r="S8" s="197" t="str">
        <f>IF(TAMB2!W10="","",TAMB2!W10)</f>
        <v/>
      </c>
      <c r="T8" s="129" t="str">
        <f t="shared" si="0"/>
        <v/>
      </c>
      <c r="U8" s="130" t="str">
        <f t="shared" si="1"/>
        <v/>
      </c>
    </row>
    <row r="9" spans="1:21">
      <c r="A9" s="127">
        <v>4</v>
      </c>
      <c r="B9" s="128" t="str">
        <f>IF(DATA!D11="","",DATA!D11)</f>
        <v>AHMADI</v>
      </c>
      <c r="C9" s="197" t="str">
        <f>IF(QH!W11="","",QH!W11)</f>
        <v/>
      </c>
      <c r="D9" s="197" t="str">
        <f>IF(AA!W11="","",AA!W11)</f>
        <v/>
      </c>
      <c r="E9" s="197" t="str">
        <f>IF(FIKIH!W11="","",FIKIH!W11)</f>
        <v/>
      </c>
      <c r="F9" s="197" t="str">
        <f>IF(SKI!W11="","",SKI!W11)</f>
        <v/>
      </c>
      <c r="G9" s="197" t="str">
        <f>IF(PKN!W11="","",PKN!W11)</f>
        <v/>
      </c>
      <c r="H9" s="197" t="str">
        <f>IF(INDO!W11="","",INDO!W11)</f>
        <v/>
      </c>
      <c r="I9" s="197" t="str">
        <f>IF(ARAB!W11="","",ARAB!W11)</f>
        <v/>
      </c>
      <c r="J9" s="197" t="str">
        <f>IF(MAT!W11="","",MAT!W11)</f>
        <v/>
      </c>
      <c r="K9" s="197" t="str">
        <f>IF(IPA!W11="","",IPA!W11)</f>
        <v/>
      </c>
      <c r="L9" s="197" t="str">
        <f>IF(IPS!W11="","",IPS!W11)</f>
        <v/>
      </c>
      <c r="M9" s="197" t="str">
        <f>IF(INGG!W11="","",INGG!W11)</f>
        <v/>
      </c>
      <c r="N9" s="197" t="str">
        <f>IF(SENBUD!W11="","",SENBUD!W11)</f>
        <v/>
      </c>
      <c r="O9" s="197" t="str">
        <f>IF(PENJAS!W11="","",PENJAS!W11)</f>
        <v/>
      </c>
      <c r="P9" s="197" t="str">
        <f>IF(PRAKARYA!W11="","",PRAKARYA!W11)</f>
        <v/>
      </c>
      <c r="Q9" s="197" t="str">
        <f>IF(BADER!W11="","",BADER!W11)</f>
        <v/>
      </c>
      <c r="R9" s="197" t="str">
        <f>IF(TAMB1!W11="","",TAMB1!W11)</f>
        <v/>
      </c>
      <c r="S9" s="197" t="str">
        <f>IF(TAMB2!W11="","",TAMB2!W11)</f>
        <v/>
      </c>
      <c r="T9" s="129" t="str">
        <f t="shared" si="0"/>
        <v/>
      </c>
      <c r="U9" s="130" t="str">
        <f t="shared" si="1"/>
        <v/>
      </c>
    </row>
    <row r="10" spans="1:21">
      <c r="A10" s="127">
        <v>5</v>
      </c>
      <c r="B10" s="128" t="str">
        <f>IF(DATA!D12="","",DATA!D12)</f>
        <v xml:space="preserve">AINUR ROFIK </v>
      </c>
      <c r="C10" s="197" t="str">
        <f>IF(QH!W12="","",QH!W12)</f>
        <v/>
      </c>
      <c r="D10" s="197" t="str">
        <f>IF(AA!W12="","",AA!W12)</f>
        <v/>
      </c>
      <c r="E10" s="197" t="str">
        <f>IF(FIKIH!W12="","",FIKIH!W12)</f>
        <v/>
      </c>
      <c r="F10" s="197" t="str">
        <f>IF(SKI!W12="","",SKI!W12)</f>
        <v/>
      </c>
      <c r="G10" s="197" t="str">
        <f>IF(PKN!W12="","",PKN!W12)</f>
        <v/>
      </c>
      <c r="H10" s="197" t="str">
        <f>IF(INDO!W12="","",INDO!W12)</f>
        <v/>
      </c>
      <c r="I10" s="197" t="str">
        <f>IF(ARAB!W12="","",ARAB!W12)</f>
        <v/>
      </c>
      <c r="J10" s="197" t="str">
        <f>IF(MAT!W12="","",MAT!W12)</f>
        <v/>
      </c>
      <c r="K10" s="197" t="str">
        <f>IF(IPA!W12="","",IPA!W12)</f>
        <v/>
      </c>
      <c r="L10" s="197" t="str">
        <f>IF(IPS!W12="","",IPS!W12)</f>
        <v/>
      </c>
      <c r="M10" s="197" t="str">
        <f>IF(INGG!W12="","",INGG!W12)</f>
        <v/>
      </c>
      <c r="N10" s="197" t="str">
        <f>IF(SENBUD!W12="","",SENBUD!W12)</f>
        <v/>
      </c>
      <c r="O10" s="197" t="str">
        <f>IF(PENJAS!W12="","",PENJAS!W12)</f>
        <v/>
      </c>
      <c r="P10" s="197" t="str">
        <f>IF(PRAKARYA!W12="","",PRAKARYA!W12)</f>
        <v/>
      </c>
      <c r="Q10" s="197" t="str">
        <f>IF(BADER!W12="","",BADER!W12)</f>
        <v/>
      </c>
      <c r="R10" s="197" t="str">
        <f>IF(TAMB1!W12="","",TAMB1!W12)</f>
        <v/>
      </c>
      <c r="S10" s="197" t="str">
        <f>IF(TAMB2!W12="","",TAMB2!W12)</f>
        <v/>
      </c>
      <c r="T10" s="129" t="str">
        <f t="shared" si="0"/>
        <v/>
      </c>
      <c r="U10" s="130" t="str">
        <f t="shared" si="1"/>
        <v/>
      </c>
    </row>
    <row r="11" spans="1:21">
      <c r="A11" s="127">
        <v>6</v>
      </c>
      <c r="B11" s="128" t="str">
        <f>IF(DATA!D13="","",DATA!D13)</f>
        <v>AT-THORIQ BINTANG PRAJA</v>
      </c>
      <c r="C11" s="197" t="str">
        <f>IF(QH!W13="","",QH!W13)</f>
        <v/>
      </c>
      <c r="D11" s="197" t="str">
        <f>IF(AA!W13="","",AA!W13)</f>
        <v/>
      </c>
      <c r="E11" s="197" t="str">
        <f>IF(FIKIH!W13="","",FIKIH!W13)</f>
        <v/>
      </c>
      <c r="F11" s="197" t="str">
        <f>IF(SKI!W13="","",SKI!W13)</f>
        <v/>
      </c>
      <c r="G11" s="197" t="str">
        <f>IF(PKN!W13="","",PKN!W13)</f>
        <v/>
      </c>
      <c r="H11" s="197" t="str">
        <f>IF(INDO!W13="","",INDO!W13)</f>
        <v/>
      </c>
      <c r="I11" s="197" t="str">
        <f>IF(ARAB!W13="","",ARAB!W13)</f>
        <v/>
      </c>
      <c r="J11" s="197" t="str">
        <f>IF(MAT!W13="","",MAT!W13)</f>
        <v/>
      </c>
      <c r="K11" s="197" t="str">
        <f>IF(IPA!W13="","",IPA!W13)</f>
        <v/>
      </c>
      <c r="L11" s="197" t="str">
        <f>IF(IPS!W13="","",IPS!W13)</f>
        <v/>
      </c>
      <c r="M11" s="197" t="str">
        <f>IF(INGG!W13="","",INGG!W13)</f>
        <v/>
      </c>
      <c r="N11" s="197" t="str">
        <f>IF(SENBUD!W13="","",SENBUD!W13)</f>
        <v/>
      </c>
      <c r="O11" s="197" t="str">
        <f>IF(PENJAS!W13="","",PENJAS!W13)</f>
        <v/>
      </c>
      <c r="P11" s="197" t="str">
        <f>IF(PRAKARYA!W13="","",PRAKARYA!W13)</f>
        <v/>
      </c>
      <c r="Q11" s="197" t="str">
        <f>IF(BADER!W13="","",BADER!W13)</f>
        <v/>
      </c>
      <c r="R11" s="197" t="str">
        <f>IF(TAMB1!W13="","",TAMB1!W13)</f>
        <v/>
      </c>
      <c r="S11" s="197" t="str">
        <f>IF(TAMB2!W13="","",TAMB2!W13)</f>
        <v/>
      </c>
      <c r="T11" s="129" t="str">
        <f t="shared" si="0"/>
        <v/>
      </c>
      <c r="U11" s="130" t="str">
        <f t="shared" si="1"/>
        <v/>
      </c>
    </row>
    <row r="12" spans="1:21">
      <c r="A12" s="127">
        <v>7</v>
      </c>
      <c r="B12" s="128" t="str">
        <f>IF(DATA!D14="","",DATA!D14)</f>
        <v>DEWI WULANDARI</v>
      </c>
      <c r="C12" s="197" t="str">
        <f>IF(QH!W14="","",QH!W14)</f>
        <v/>
      </c>
      <c r="D12" s="197" t="str">
        <f>IF(AA!W14="","",AA!W14)</f>
        <v/>
      </c>
      <c r="E12" s="197" t="str">
        <f>IF(FIKIH!W14="","",FIKIH!W14)</f>
        <v/>
      </c>
      <c r="F12" s="197" t="str">
        <f>IF(SKI!W14="","",SKI!W14)</f>
        <v/>
      </c>
      <c r="G12" s="197" t="str">
        <f>IF(PKN!W14="","",PKN!W14)</f>
        <v/>
      </c>
      <c r="H12" s="197" t="str">
        <f>IF(INDO!W14="","",INDO!W14)</f>
        <v/>
      </c>
      <c r="I12" s="197" t="str">
        <f>IF(ARAB!W14="","",ARAB!W14)</f>
        <v/>
      </c>
      <c r="J12" s="197" t="str">
        <f>IF(MAT!W14="","",MAT!W14)</f>
        <v/>
      </c>
      <c r="K12" s="197" t="str">
        <f>IF(IPA!W14="","",IPA!W14)</f>
        <v/>
      </c>
      <c r="L12" s="197" t="str">
        <f>IF(IPS!W14="","",IPS!W14)</f>
        <v/>
      </c>
      <c r="M12" s="197" t="str">
        <f>IF(INGG!W14="","",INGG!W14)</f>
        <v/>
      </c>
      <c r="N12" s="197" t="str">
        <f>IF(SENBUD!W14="","",SENBUD!W14)</f>
        <v/>
      </c>
      <c r="O12" s="197" t="str">
        <f>IF(PENJAS!W14="","",PENJAS!W14)</f>
        <v/>
      </c>
      <c r="P12" s="197" t="str">
        <f>IF(PRAKARYA!W14="","",PRAKARYA!W14)</f>
        <v/>
      </c>
      <c r="Q12" s="197" t="str">
        <f>IF(BADER!W14="","",BADER!W14)</f>
        <v/>
      </c>
      <c r="R12" s="197" t="str">
        <f>IF(TAMB1!W14="","",TAMB1!W14)</f>
        <v/>
      </c>
      <c r="S12" s="197" t="str">
        <f>IF(TAMB2!W14="","",TAMB2!W14)</f>
        <v/>
      </c>
      <c r="T12" s="129" t="str">
        <f t="shared" si="0"/>
        <v/>
      </c>
      <c r="U12" s="130" t="str">
        <f t="shared" si="1"/>
        <v/>
      </c>
    </row>
    <row r="13" spans="1:21">
      <c r="A13" s="127">
        <v>8</v>
      </c>
      <c r="B13" s="128" t="str">
        <f>IF(DATA!D15="","",DATA!D15)</f>
        <v>ENI UMAMAH</v>
      </c>
      <c r="C13" s="197" t="str">
        <f>IF(QH!W15="","",QH!W15)</f>
        <v/>
      </c>
      <c r="D13" s="197" t="str">
        <f>IF(AA!W15="","",AA!W15)</f>
        <v/>
      </c>
      <c r="E13" s="197" t="str">
        <f>IF(FIKIH!W15="","",FIKIH!W15)</f>
        <v/>
      </c>
      <c r="F13" s="197" t="str">
        <f>IF(SKI!W15="","",SKI!W15)</f>
        <v/>
      </c>
      <c r="G13" s="197" t="str">
        <f>IF(PKN!W15="","",PKN!W15)</f>
        <v/>
      </c>
      <c r="H13" s="197" t="str">
        <f>IF(INDO!W15="","",INDO!W15)</f>
        <v/>
      </c>
      <c r="I13" s="197" t="str">
        <f>IF(ARAB!W15="","",ARAB!W15)</f>
        <v/>
      </c>
      <c r="J13" s="197" t="str">
        <f>IF(MAT!W15="","",MAT!W15)</f>
        <v/>
      </c>
      <c r="K13" s="197" t="str">
        <f>IF(IPA!W15="","",IPA!W15)</f>
        <v/>
      </c>
      <c r="L13" s="197" t="str">
        <f>IF(IPS!W15="","",IPS!W15)</f>
        <v/>
      </c>
      <c r="M13" s="197" t="str">
        <f>IF(INGG!W15="","",INGG!W15)</f>
        <v/>
      </c>
      <c r="N13" s="197" t="str">
        <f>IF(SENBUD!W15="","",SENBUD!W15)</f>
        <v/>
      </c>
      <c r="O13" s="197" t="str">
        <f>IF(PENJAS!W15="","",PENJAS!W15)</f>
        <v/>
      </c>
      <c r="P13" s="197" t="str">
        <f>IF(PRAKARYA!W15="","",PRAKARYA!W15)</f>
        <v/>
      </c>
      <c r="Q13" s="197" t="str">
        <f>IF(BADER!W15="","",BADER!W15)</f>
        <v/>
      </c>
      <c r="R13" s="197" t="str">
        <f>IF(TAMB1!W15="","",TAMB1!W15)</f>
        <v/>
      </c>
      <c r="S13" s="197" t="str">
        <f>IF(TAMB2!W15="","",TAMB2!W15)</f>
        <v/>
      </c>
      <c r="T13" s="129" t="str">
        <f t="shared" si="0"/>
        <v/>
      </c>
      <c r="U13" s="130" t="str">
        <f t="shared" si="1"/>
        <v/>
      </c>
    </row>
    <row r="14" spans="1:21">
      <c r="A14" s="127">
        <v>9</v>
      </c>
      <c r="B14" s="128" t="str">
        <f>IF(DATA!D16="","",DATA!D16)</f>
        <v>FADIA FASSA</v>
      </c>
      <c r="C14" s="197" t="str">
        <f>IF(QH!W16="","",QH!W16)</f>
        <v/>
      </c>
      <c r="D14" s="197" t="str">
        <f>IF(AA!W16="","",AA!W16)</f>
        <v/>
      </c>
      <c r="E14" s="197" t="str">
        <f>IF(FIKIH!W16="","",FIKIH!W16)</f>
        <v/>
      </c>
      <c r="F14" s="197" t="str">
        <f>IF(SKI!W16="","",SKI!W16)</f>
        <v/>
      </c>
      <c r="G14" s="197" t="str">
        <f>IF(PKN!W16="","",PKN!W16)</f>
        <v/>
      </c>
      <c r="H14" s="197" t="str">
        <f>IF(INDO!W16="","",INDO!W16)</f>
        <v/>
      </c>
      <c r="I14" s="197" t="str">
        <f>IF(ARAB!W16="","",ARAB!W16)</f>
        <v/>
      </c>
      <c r="J14" s="197" t="str">
        <f>IF(MAT!W16="","",MAT!W16)</f>
        <v/>
      </c>
      <c r="K14" s="197" t="str">
        <f>IF(IPA!W16="","",IPA!W16)</f>
        <v/>
      </c>
      <c r="L14" s="197" t="str">
        <f>IF(IPS!W16="","",IPS!W16)</f>
        <v/>
      </c>
      <c r="M14" s="197" t="str">
        <f>IF(INGG!W16="","",INGG!W16)</f>
        <v/>
      </c>
      <c r="N14" s="197" t="str">
        <f>IF(SENBUD!W16="","",SENBUD!W16)</f>
        <v/>
      </c>
      <c r="O14" s="197" t="str">
        <f>IF(PENJAS!W16="","",PENJAS!W16)</f>
        <v/>
      </c>
      <c r="P14" s="197" t="str">
        <f>IF(PRAKARYA!W16="","",PRAKARYA!W16)</f>
        <v/>
      </c>
      <c r="Q14" s="197" t="str">
        <f>IF(BADER!W16="","",BADER!W16)</f>
        <v/>
      </c>
      <c r="R14" s="197" t="str">
        <f>IF(TAMB1!W16="","",TAMB1!W16)</f>
        <v/>
      </c>
      <c r="S14" s="197" t="str">
        <f>IF(TAMB2!W16="","",TAMB2!W16)</f>
        <v/>
      </c>
      <c r="T14" s="129" t="str">
        <f t="shared" si="0"/>
        <v/>
      </c>
      <c r="U14" s="130" t="str">
        <f t="shared" si="1"/>
        <v/>
      </c>
    </row>
    <row r="15" spans="1:21">
      <c r="A15" s="127">
        <v>10</v>
      </c>
      <c r="B15" s="128" t="str">
        <f>IF(DATA!D17="","",DATA!D17)</f>
        <v>FATIMATUZ  ZAHROH</v>
      </c>
      <c r="C15" s="197" t="str">
        <f>IF(QH!W17="","",QH!W17)</f>
        <v/>
      </c>
      <c r="D15" s="197" t="str">
        <f>IF(AA!W17="","",AA!W17)</f>
        <v/>
      </c>
      <c r="E15" s="197" t="str">
        <f>IF(FIKIH!W17="","",FIKIH!W17)</f>
        <v/>
      </c>
      <c r="F15" s="197" t="str">
        <f>IF(SKI!W17="","",SKI!W17)</f>
        <v/>
      </c>
      <c r="G15" s="197" t="str">
        <f>IF(PKN!W17="","",PKN!W17)</f>
        <v/>
      </c>
      <c r="H15" s="197" t="str">
        <f>IF(INDO!W17="","",INDO!W17)</f>
        <v/>
      </c>
      <c r="I15" s="197" t="str">
        <f>IF(ARAB!W17="","",ARAB!W17)</f>
        <v/>
      </c>
      <c r="J15" s="197" t="str">
        <f>IF(MAT!W17="","",MAT!W17)</f>
        <v/>
      </c>
      <c r="K15" s="197" t="str">
        <f>IF(IPA!W17="","",IPA!W17)</f>
        <v/>
      </c>
      <c r="L15" s="197" t="str">
        <f>IF(IPS!W17="","",IPS!W17)</f>
        <v/>
      </c>
      <c r="M15" s="197" t="str">
        <f>IF(INGG!W17="","",INGG!W17)</f>
        <v/>
      </c>
      <c r="N15" s="197" t="str">
        <f>IF(SENBUD!W17="","",SENBUD!W17)</f>
        <v/>
      </c>
      <c r="O15" s="197" t="str">
        <f>IF(PENJAS!W17="","",PENJAS!W17)</f>
        <v/>
      </c>
      <c r="P15" s="197" t="str">
        <f>IF(PRAKARYA!W17="","",PRAKARYA!W17)</f>
        <v/>
      </c>
      <c r="Q15" s="197" t="str">
        <f>IF(BADER!W17="","",BADER!W17)</f>
        <v/>
      </c>
      <c r="R15" s="197" t="str">
        <f>IF(TAMB1!W17="","",TAMB1!W17)</f>
        <v/>
      </c>
      <c r="S15" s="197" t="str">
        <f>IF(TAMB2!W17="","",TAMB2!W17)</f>
        <v/>
      </c>
      <c r="T15" s="129" t="str">
        <f t="shared" si="0"/>
        <v/>
      </c>
      <c r="U15" s="130" t="str">
        <f t="shared" si="1"/>
        <v/>
      </c>
    </row>
    <row r="16" spans="1:21">
      <c r="A16" s="127">
        <v>11</v>
      </c>
      <c r="B16" s="128" t="str">
        <f>IF(DATA!D18="","",DATA!D18)</f>
        <v>IMAM FATONI</v>
      </c>
      <c r="C16" s="197" t="str">
        <f>IF(QH!W18="","",QH!W18)</f>
        <v/>
      </c>
      <c r="D16" s="197" t="str">
        <f>IF(AA!W18="","",AA!W18)</f>
        <v/>
      </c>
      <c r="E16" s="197" t="str">
        <f>IF(FIKIH!W18="","",FIKIH!W18)</f>
        <v/>
      </c>
      <c r="F16" s="197" t="str">
        <f>IF(SKI!W18="","",SKI!W18)</f>
        <v/>
      </c>
      <c r="G16" s="197" t="str">
        <f>IF(PKN!W18="","",PKN!W18)</f>
        <v/>
      </c>
      <c r="H16" s="197" t="str">
        <f>IF(INDO!W18="","",INDO!W18)</f>
        <v/>
      </c>
      <c r="I16" s="197" t="str">
        <f>IF(ARAB!W18="","",ARAB!W18)</f>
        <v/>
      </c>
      <c r="J16" s="197" t="str">
        <f>IF(MAT!W18="","",MAT!W18)</f>
        <v/>
      </c>
      <c r="K16" s="197" t="str">
        <f>IF(IPA!W18="","",IPA!W18)</f>
        <v/>
      </c>
      <c r="L16" s="197" t="str">
        <f>IF(IPS!W18="","",IPS!W18)</f>
        <v/>
      </c>
      <c r="M16" s="197" t="str">
        <f>IF(INGG!W18="","",INGG!W18)</f>
        <v/>
      </c>
      <c r="N16" s="197" t="str">
        <f>IF(SENBUD!W18="","",SENBUD!W18)</f>
        <v/>
      </c>
      <c r="O16" s="197" t="str">
        <f>IF(PENJAS!W18="","",PENJAS!W18)</f>
        <v/>
      </c>
      <c r="P16" s="197" t="str">
        <f>IF(PRAKARYA!W18="","",PRAKARYA!W18)</f>
        <v/>
      </c>
      <c r="Q16" s="197" t="str">
        <f>IF(BADER!W18="","",BADER!W18)</f>
        <v/>
      </c>
      <c r="R16" s="197" t="str">
        <f>IF(TAMB1!W18="","",TAMB1!W18)</f>
        <v/>
      </c>
      <c r="S16" s="197" t="str">
        <f>IF(TAMB2!W18="","",TAMB2!W18)</f>
        <v/>
      </c>
      <c r="T16" s="129" t="str">
        <f t="shared" si="0"/>
        <v/>
      </c>
      <c r="U16" s="130" t="str">
        <f t="shared" si="1"/>
        <v/>
      </c>
    </row>
    <row r="17" spans="1:21">
      <c r="A17" s="127">
        <v>12</v>
      </c>
      <c r="B17" s="128" t="str">
        <f>IF(DATA!D19="","",DATA!D19)</f>
        <v>ISMA SRI WAHYUNI</v>
      </c>
      <c r="C17" s="197" t="str">
        <f>IF(QH!W19="","",QH!W19)</f>
        <v/>
      </c>
      <c r="D17" s="197" t="str">
        <f>IF(AA!W19="","",AA!W19)</f>
        <v/>
      </c>
      <c r="E17" s="197" t="str">
        <f>IF(FIKIH!W19="","",FIKIH!W19)</f>
        <v/>
      </c>
      <c r="F17" s="197" t="str">
        <f>IF(SKI!W19="","",SKI!W19)</f>
        <v/>
      </c>
      <c r="G17" s="197" t="str">
        <f>IF(PKN!W19="","",PKN!W19)</f>
        <v/>
      </c>
      <c r="H17" s="197" t="str">
        <f>IF(INDO!W19="","",INDO!W19)</f>
        <v/>
      </c>
      <c r="I17" s="197" t="str">
        <f>IF(ARAB!W19="","",ARAB!W19)</f>
        <v/>
      </c>
      <c r="J17" s="197" t="str">
        <f>IF(MAT!W19="","",MAT!W19)</f>
        <v/>
      </c>
      <c r="K17" s="197" t="str">
        <f>IF(IPA!W19="","",IPA!W19)</f>
        <v/>
      </c>
      <c r="L17" s="197" t="str">
        <f>IF(IPS!W19="","",IPS!W19)</f>
        <v/>
      </c>
      <c r="M17" s="197" t="str">
        <f>IF(INGG!W19="","",INGG!W19)</f>
        <v/>
      </c>
      <c r="N17" s="197" t="str">
        <f>IF(SENBUD!W19="","",SENBUD!W19)</f>
        <v/>
      </c>
      <c r="O17" s="197" t="str">
        <f>IF(PENJAS!W19="","",PENJAS!W19)</f>
        <v/>
      </c>
      <c r="P17" s="197" t="str">
        <f>IF(PRAKARYA!W19="","",PRAKARYA!W19)</f>
        <v/>
      </c>
      <c r="Q17" s="197" t="str">
        <f>IF(BADER!W19="","",BADER!W19)</f>
        <v/>
      </c>
      <c r="R17" s="197" t="str">
        <f>IF(TAMB1!W19="","",TAMB1!W19)</f>
        <v/>
      </c>
      <c r="S17" s="197" t="str">
        <f>IF(TAMB2!W19="","",TAMB2!W19)</f>
        <v/>
      </c>
      <c r="T17" s="129" t="str">
        <f t="shared" si="0"/>
        <v/>
      </c>
      <c r="U17" s="130" t="str">
        <f t="shared" si="1"/>
        <v/>
      </c>
    </row>
    <row r="18" spans="1:21">
      <c r="A18" s="127">
        <v>13</v>
      </c>
      <c r="B18" s="128" t="str">
        <f>IF(DATA!D20="","",DATA!D20)</f>
        <v>JAKFAR SODIK ROMADHONI</v>
      </c>
      <c r="C18" s="197" t="str">
        <f>IF(QH!W20="","",QH!W20)</f>
        <v/>
      </c>
      <c r="D18" s="197" t="str">
        <f>IF(AA!W20="","",AA!W20)</f>
        <v/>
      </c>
      <c r="E18" s="197" t="str">
        <f>IF(FIKIH!W20="","",FIKIH!W20)</f>
        <v/>
      </c>
      <c r="F18" s="197" t="str">
        <f>IF(SKI!W20="","",SKI!W20)</f>
        <v/>
      </c>
      <c r="G18" s="197" t="str">
        <f>IF(PKN!W20="","",PKN!W20)</f>
        <v/>
      </c>
      <c r="H18" s="197" t="str">
        <f>IF(INDO!W20="","",INDO!W20)</f>
        <v/>
      </c>
      <c r="I18" s="197" t="str">
        <f>IF(ARAB!W20="","",ARAB!W20)</f>
        <v/>
      </c>
      <c r="J18" s="197" t="str">
        <f>IF(MAT!W20="","",MAT!W20)</f>
        <v/>
      </c>
      <c r="K18" s="197" t="str">
        <f>IF(IPA!W20="","",IPA!W20)</f>
        <v/>
      </c>
      <c r="L18" s="197" t="str">
        <f>IF(IPS!W20="","",IPS!W20)</f>
        <v/>
      </c>
      <c r="M18" s="197" t="str">
        <f>IF(INGG!W20="","",INGG!W20)</f>
        <v/>
      </c>
      <c r="N18" s="197" t="str">
        <f>IF(SENBUD!W20="","",SENBUD!W20)</f>
        <v/>
      </c>
      <c r="O18" s="197" t="str">
        <f>IF(PENJAS!W20="","",PENJAS!W20)</f>
        <v/>
      </c>
      <c r="P18" s="197" t="str">
        <f>IF(PRAKARYA!W20="","",PRAKARYA!W20)</f>
        <v/>
      </c>
      <c r="Q18" s="197" t="str">
        <f>IF(BADER!W20="","",BADER!W20)</f>
        <v/>
      </c>
      <c r="R18" s="197" t="str">
        <f>IF(TAMB1!W20="","",TAMB1!W20)</f>
        <v/>
      </c>
      <c r="S18" s="197" t="str">
        <f>IF(TAMB2!W20="","",TAMB2!W20)</f>
        <v/>
      </c>
      <c r="T18" s="129" t="str">
        <f t="shared" si="0"/>
        <v/>
      </c>
      <c r="U18" s="130" t="str">
        <f t="shared" si="1"/>
        <v/>
      </c>
    </row>
    <row r="19" spans="1:21">
      <c r="A19" s="127">
        <v>14</v>
      </c>
      <c r="B19" s="128" t="str">
        <f>IF(DATA!D21="","",DATA!D21)</f>
        <v>KHOIRIL NISA'</v>
      </c>
      <c r="C19" s="197" t="str">
        <f>IF(QH!W21="","",QH!W21)</f>
        <v/>
      </c>
      <c r="D19" s="197" t="str">
        <f>IF(AA!W21="","",AA!W21)</f>
        <v/>
      </c>
      <c r="E19" s="197" t="str">
        <f>IF(FIKIH!W21="","",FIKIH!W21)</f>
        <v/>
      </c>
      <c r="F19" s="197" t="str">
        <f>IF(SKI!W21="","",SKI!W21)</f>
        <v/>
      </c>
      <c r="G19" s="197" t="str">
        <f>IF(PKN!W21="","",PKN!W21)</f>
        <v/>
      </c>
      <c r="H19" s="197" t="str">
        <f>IF(INDO!W21="","",INDO!W21)</f>
        <v/>
      </c>
      <c r="I19" s="197" t="str">
        <f>IF(ARAB!W21="","",ARAB!W21)</f>
        <v/>
      </c>
      <c r="J19" s="197" t="str">
        <f>IF(MAT!W21="","",MAT!W21)</f>
        <v/>
      </c>
      <c r="K19" s="197" t="str">
        <f>IF(IPA!W21="","",IPA!W21)</f>
        <v/>
      </c>
      <c r="L19" s="197" t="str">
        <f>IF(IPS!W21="","",IPS!W21)</f>
        <v/>
      </c>
      <c r="M19" s="197" t="str">
        <f>IF(INGG!W21="","",INGG!W21)</f>
        <v/>
      </c>
      <c r="N19" s="197" t="str">
        <f>IF(SENBUD!W21="","",SENBUD!W21)</f>
        <v/>
      </c>
      <c r="O19" s="197" t="str">
        <f>IF(PENJAS!W21="","",PENJAS!W21)</f>
        <v/>
      </c>
      <c r="P19" s="197" t="str">
        <f>IF(PRAKARYA!W21="","",PRAKARYA!W21)</f>
        <v/>
      </c>
      <c r="Q19" s="197" t="str">
        <f>IF(BADER!W21="","",BADER!W21)</f>
        <v/>
      </c>
      <c r="R19" s="197" t="str">
        <f>IF(TAMB1!W21="","",TAMB1!W21)</f>
        <v/>
      </c>
      <c r="S19" s="197" t="str">
        <f>IF(TAMB2!W21="","",TAMB2!W21)</f>
        <v/>
      </c>
      <c r="T19" s="129" t="str">
        <f t="shared" si="0"/>
        <v/>
      </c>
      <c r="U19" s="130" t="str">
        <f t="shared" si="1"/>
        <v/>
      </c>
    </row>
    <row r="20" spans="1:21">
      <c r="A20" s="127">
        <v>15</v>
      </c>
      <c r="B20" s="128" t="str">
        <f>IF(DATA!D22="","",DATA!D22)</f>
        <v>LATIFA MAHARANI</v>
      </c>
      <c r="C20" s="197" t="str">
        <f>IF(QH!W22="","",QH!W22)</f>
        <v/>
      </c>
      <c r="D20" s="197" t="str">
        <f>IF(AA!W22="","",AA!W22)</f>
        <v/>
      </c>
      <c r="E20" s="197" t="str">
        <f>IF(FIKIH!W22="","",FIKIH!W22)</f>
        <v/>
      </c>
      <c r="F20" s="197" t="str">
        <f>IF(SKI!W22="","",SKI!W22)</f>
        <v/>
      </c>
      <c r="G20" s="197" t="str">
        <f>IF(PKN!W22="","",PKN!W22)</f>
        <v/>
      </c>
      <c r="H20" s="197" t="str">
        <f>IF(INDO!W22="","",INDO!W22)</f>
        <v/>
      </c>
      <c r="I20" s="197" t="str">
        <f>IF(ARAB!W22="","",ARAB!W22)</f>
        <v/>
      </c>
      <c r="J20" s="197" t="str">
        <f>IF(MAT!W22="","",MAT!W22)</f>
        <v/>
      </c>
      <c r="K20" s="197" t="str">
        <f>IF(IPA!W22="","",IPA!W22)</f>
        <v/>
      </c>
      <c r="L20" s="197" t="str">
        <f>IF(IPS!W22="","",IPS!W22)</f>
        <v/>
      </c>
      <c r="M20" s="197" t="str">
        <f>IF(INGG!W22="","",INGG!W22)</f>
        <v/>
      </c>
      <c r="N20" s="197" t="str">
        <f>IF(SENBUD!W22="","",SENBUD!W22)</f>
        <v/>
      </c>
      <c r="O20" s="197" t="str">
        <f>IF(PENJAS!W22="","",PENJAS!W22)</f>
        <v/>
      </c>
      <c r="P20" s="197" t="str">
        <f>IF(PRAKARYA!W22="","",PRAKARYA!W22)</f>
        <v/>
      </c>
      <c r="Q20" s="197" t="str">
        <f>IF(BADER!W22="","",BADER!W22)</f>
        <v/>
      </c>
      <c r="R20" s="197" t="str">
        <f>IF(TAMB1!W22="","",TAMB1!W22)</f>
        <v/>
      </c>
      <c r="S20" s="197" t="str">
        <f>IF(TAMB2!W22="","",TAMB2!W22)</f>
        <v/>
      </c>
      <c r="T20" s="129" t="str">
        <f t="shared" si="0"/>
        <v/>
      </c>
      <c r="U20" s="130" t="str">
        <f t="shared" si="1"/>
        <v/>
      </c>
    </row>
    <row r="21" spans="1:21">
      <c r="A21" s="127">
        <v>16</v>
      </c>
      <c r="B21" s="128" t="str">
        <f>IF(DATA!D23="","",DATA!D23)</f>
        <v>LUQMANUL FIKRI SYAIFULLAH</v>
      </c>
      <c r="C21" s="197" t="str">
        <f>IF(QH!W23="","",QH!W23)</f>
        <v/>
      </c>
      <c r="D21" s="197" t="str">
        <f>IF(AA!W23="","",AA!W23)</f>
        <v/>
      </c>
      <c r="E21" s="197" t="str">
        <f>IF(FIKIH!W23="","",FIKIH!W23)</f>
        <v/>
      </c>
      <c r="F21" s="197" t="str">
        <f>IF(SKI!W23="","",SKI!W23)</f>
        <v/>
      </c>
      <c r="G21" s="197" t="str">
        <f>IF(PKN!W23="","",PKN!W23)</f>
        <v/>
      </c>
      <c r="H21" s="197" t="str">
        <f>IF(INDO!W23="","",INDO!W23)</f>
        <v/>
      </c>
      <c r="I21" s="197" t="str">
        <f>IF(ARAB!W23="","",ARAB!W23)</f>
        <v/>
      </c>
      <c r="J21" s="197" t="str">
        <f>IF(MAT!W23="","",MAT!W23)</f>
        <v/>
      </c>
      <c r="K21" s="197" t="str">
        <f>IF(IPA!W23="","",IPA!W23)</f>
        <v/>
      </c>
      <c r="L21" s="197" t="str">
        <f>IF(IPS!W23="","",IPS!W23)</f>
        <v/>
      </c>
      <c r="M21" s="197" t="str">
        <f>IF(INGG!W23="","",INGG!W23)</f>
        <v/>
      </c>
      <c r="N21" s="197" t="str">
        <f>IF(SENBUD!W23="","",SENBUD!W23)</f>
        <v/>
      </c>
      <c r="O21" s="197" t="str">
        <f>IF(PENJAS!W23="","",PENJAS!W23)</f>
        <v/>
      </c>
      <c r="P21" s="197" t="str">
        <f>IF(PRAKARYA!W23="","",PRAKARYA!W23)</f>
        <v/>
      </c>
      <c r="Q21" s="197" t="str">
        <f>IF(BADER!W23="","",BADER!W23)</f>
        <v/>
      </c>
      <c r="R21" s="197" t="str">
        <f>IF(TAMB1!W23="","",TAMB1!W23)</f>
        <v/>
      </c>
      <c r="S21" s="197" t="str">
        <f>IF(TAMB2!W23="","",TAMB2!W23)</f>
        <v/>
      </c>
      <c r="T21" s="129" t="str">
        <f t="shared" si="0"/>
        <v/>
      </c>
      <c r="U21" s="130" t="str">
        <f t="shared" si="1"/>
        <v/>
      </c>
    </row>
    <row r="22" spans="1:21">
      <c r="A22" s="127">
        <v>17</v>
      </c>
      <c r="B22" s="128" t="str">
        <f>IF(DATA!D24="","",DATA!D24)</f>
        <v>MAR'ATUS SOLEHAH</v>
      </c>
      <c r="C22" s="197" t="str">
        <f>IF(QH!W24="","",QH!W24)</f>
        <v/>
      </c>
      <c r="D22" s="197" t="str">
        <f>IF(AA!W24="","",AA!W24)</f>
        <v/>
      </c>
      <c r="E22" s="197" t="str">
        <f>IF(FIKIH!W24="","",FIKIH!W24)</f>
        <v/>
      </c>
      <c r="F22" s="197" t="str">
        <f>IF(SKI!W24="","",SKI!W24)</f>
        <v/>
      </c>
      <c r="G22" s="197" t="str">
        <f>IF(PKN!W24="","",PKN!W24)</f>
        <v/>
      </c>
      <c r="H22" s="197" t="str">
        <f>IF(INDO!W24="","",INDO!W24)</f>
        <v/>
      </c>
      <c r="I22" s="197" t="str">
        <f>IF(ARAB!W24="","",ARAB!W24)</f>
        <v/>
      </c>
      <c r="J22" s="197" t="str">
        <f>IF(MAT!W24="","",MAT!W24)</f>
        <v/>
      </c>
      <c r="K22" s="197" t="str">
        <f>IF(IPA!W24="","",IPA!W24)</f>
        <v/>
      </c>
      <c r="L22" s="197" t="str">
        <f>IF(IPS!W24="","",IPS!W24)</f>
        <v/>
      </c>
      <c r="M22" s="197" t="str">
        <f>IF(INGG!W24="","",INGG!W24)</f>
        <v/>
      </c>
      <c r="N22" s="197" t="str">
        <f>IF(SENBUD!W24="","",SENBUD!W24)</f>
        <v/>
      </c>
      <c r="O22" s="197" t="str">
        <f>IF(PENJAS!W24="","",PENJAS!W24)</f>
        <v/>
      </c>
      <c r="P22" s="197" t="str">
        <f>IF(PRAKARYA!W24="","",PRAKARYA!W24)</f>
        <v/>
      </c>
      <c r="Q22" s="197" t="str">
        <f>IF(BADER!W24="","",BADER!W24)</f>
        <v/>
      </c>
      <c r="R22" s="197" t="str">
        <f>IF(TAMB1!W24="","",TAMB1!W24)</f>
        <v/>
      </c>
      <c r="S22" s="197" t="str">
        <f>IF(TAMB2!W24="","",TAMB2!W24)</f>
        <v/>
      </c>
      <c r="T22" s="129" t="str">
        <f t="shared" si="0"/>
        <v/>
      </c>
      <c r="U22" s="130" t="str">
        <f t="shared" si="1"/>
        <v/>
      </c>
    </row>
    <row r="23" spans="1:21">
      <c r="A23" s="127">
        <v>18</v>
      </c>
      <c r="B23" s="128" t="str">
        <f>IF(DATA!D25="","",DATA!D25)</f>
        <v>MOCH.  SHOLEH W. H</v>
      </c>
      <c r="C23" s="197" t="str">
        <f>IF(QH!W25="","",QH!W25)</f>
        <v/>
      </c>
      <c r="D23" s="197" t="str">
        <f>IF(AA!W25="","",AA!W25)</f>
        <v/>
      </c>
      <c r="E23" s="197" t="str">
        <f>IF(FIKIH!W25="","",FIKIH!W25)</f>
        <v/>
      </c>
      <c r="F23" s="197" t="str">
        <f>IF(SKI!W25="","",SKI!W25)</f>
        <v/>
      </c>
      <c r="G23" s="197" t="str">
        <f>IF(PKN!W25="","",PKN!W25)</f>
        <v/>
      </c>
      <c r="H23" s="197" t="str">
        <f>IF(INDO!W25="","",INDO!W25)</f>
        <v/>
      </c>
      <c r="I23" s="197" t="str">
        <f>IF(ARAB!W25="","",ARAB!W25)</f>
        <v/>
      </c>
      <c r="J23" s="197" t="str">
        <f>IF(MAT!W25="","",MAT!W25)</f>
        <v/>
      </c>
      <c r="K23" s="197" t="str">
        <f>IF(IPA!W25="","",IPA!W25)</f>
        <v/>
      </c>
      <c r="L23" s="197" t="str">
        <f>IF(IPS!W25="","",IPS!W25)</f>
        <v/>
      </c>
      <c r="M23" s="197" t="str">
        <f>IF(INGG!W25="","",INGG!W25)</f>
        <v/>
      </c>
      <c r="N23" s="197" t="str">
        <f>IF(SENBUD!W25="","",SENBUD!W25)</f>
        <v/>
      </c>
      <c r="O23" s="197" t="str">
        <f>IF(PENJAS!W25="","",PENJAS!W25)</f>
        <v/>
      </c>
      <c r="P23" s="197" t="str">
        <f>IF(PRAKARYA!W25="","",PRAKARYA!W25)</f>
        <v/>
      </c>
      <c r="Q23" s="197" t="str">
        <f>IF(BADER!W25="","",BADER!W25)</f>
        <v/>
      </c>
      <c r="R23" s="197" t="str">
        <f>IF(TAMB1!W25="","",TAMB1!W25)</f>
        <v/>
      </c>
      <c r="S23" s="197" t="str">
        <f>IF(TAMB2!W25="","",TAMB2!W25)</f>
        <v/>
      </c>
      <c r="T23" s="129" t="str">
        <f t="shared" si="0"/>
        <v/>
      </c>
      <c r="U23" s="130" t="str">
        <f t="shared" si="1"/>
        <v/>
      </c>
    </row>
    <row r="24" spans="1:21">
      <c r="A24" s="127">
        <v>19</v>
      </c>
      <c r="B24" s="128" t="str">
        <f>IF(DATA!D26="","",DATA!D26)</f>
        <v>MOCH. FAWES</v>
      </c>
      <c r="C24" s="197" t="str">
        <f>IF(QH!W26="","",QH!W26)</f>
        <v/>
      </c>
      <c r="D24" s="197" t="str">
        <f>IF(AA!W26="","",AA!W26)</f>
        <v/>
      </c>
      <c r="E24" s="197" t="str">
        <f>IF(FIKIH!W26="","",FIKIH!W26)</f>
        <v/>
      </c>
      <c r="F24" s="197" t="str">
        <f>IF(SKI!W26="","",SKI!W26)</f>
        <v/>
      </c>
      <c r="G24" s="197" t="str">
        <f>IF(PKN!W26="","",PKN!W26)</f>
        <v/>
      </c>
      <c r="H24" s="197" t="str">
        <f>IF(INDO!W26="","",INDO!W26)</f>
        <v/>
      </c>
      <c r="I24" s="197" t="str">
        <f>IF(ARAB!W26="","",ARAB!W26)</f>
        <v/>
      </c>
      <c r="J24" s="197" t="str">
        <f>IF(MAT!W26="","",MAT!W26)</f>
        <v/>
      </c>
      <c r="K24" s="197" t="str">
        <f>IF(IPA!W26="","",IPA!W26)</f>
        <v/>
      </c>
      <c r="L24" s="197" t="str">
        <f>IF(IPS!W26="","",IPS!W26)</f>
        <v/>
      </c>
      <c r="M24" s="197" t="str">
        <f>IF(INGG!W26="","",INGG!W26)</f>
        <v/>
      </c>
      <c r="N24" s="197" t="str">
        <f>IF(SENBUD!W26="","",SENBUD!W26)</f>
        <v/>
      </c>
      <c r="O24" s="197" t="str">
        <f>IF(PENJAS!W26="","",PENJAS!W26)</f>
        <v/>
      </c>
      <c r="P24" s="197" t="str">
        <f>IF(PRAKARYA!W26="","",PRAKARYA!W26)</f>
        <v/>
      </c>
      <c r="Q24" s="197" t="str">
        <f>IF(BADER!W26="","",BADER!W26)</f>
        <v/>
      </c>
      <c r="R24" s="197" t="str">
        <f>IF(TAMB1!W26="","",TAMB1!W26)</f>
        <v/>
      </c>
      <c r="S24" s="197" t="str">
        <f>IF(TAMB2!W26="","",TAMB2!W26)</f>
        <v/>
      </c>
      <c r="T24" s="129" t="str">
        <f t="shared" si="0"/>
        <v/>
      </c>
      <c r="U24" s="130" t="str">
        <f t="shared" si="1"/>
        <v/>
      </c>
    </row>
    <row r="25" spans="1:21">
      <c r="A25" s="127">
        <v>20</v>
      </c>
      <c r="B25" s="128" t="str">
        <f>IF(DATA!D27="","",DATA!D27)</f>
        <v>MOH SAHRUL RAMADON</v>
      </c>
      <c r="C25" s="197" t="str">
        <f>IF(QH!W27="","",QH!W27)</f>
        <v/>
      </c>
      <c r="D25" s="197" t="str">
        <f>IF(AA!W27="","",AA!W27)</f>
        <v/>
      </c>
      <c r="E25" s="197" t="str">
        <f>IF(FIKIH!W27="","",FIKIH!W27)</f>
        <v/>
      </c>
      <c r="F25" s="197" t="str">
        <f>IF(SKI!W27="","",SKI!W27)</f>
        <v/>
      </c>
      <c r="G25" s="197" t="str">
        <f>IF(PKN!W27="","",PKN!W27)</f>
        <v/>
      </c>
      <c r="H25" s="197" t="str">
        <f>IF(INDO!W27="","",INDO!W27)</f>
        <v/>
      </c>
      <c r="I25" s="197" t="str">
        <f>IF(ARAB!W27="","",ARAB!W27)</f>
        <v/>
      </c>
      <c r="J25" s="197" t="str">
        <f>IF(MAT!W27="","",MAT!W27)</f>
        <v/>
      </c>
      <c r="K25" s="197" t="str">
        <f>IF(IPA!W27="","",IPA!W27)</f>
        <v/>
      </c>
      <c r="L25" s="197" t="str">
        <f>IF(IPS!W27="","",IPS!W27)</f>
        <v/>
      </c>
      <c r="M25" s="197" t="str">
        <f>IF(INGG!W27="","",INGG!W27)</f>
        <v/>
      </c>
      <c r="N25" s="197" t="str">
        <f>IF(SENBUD!W27="","",SENBUD!W27)</f>
        <v/>
      </c>
      <c r="O25" s="197" t="str">
        <f>IF(PENJAS!W27="","",PENJAS!W27)</f>
        <v/>
      </c>
      <c r="P25" s="197" t="str">
        <f>IF(PRAKARYA!W27="","",PRAKARYA!W27)</f>
        <v/>
      </c>
      <c r="Q25" s="197" t="str">
        <f>IF(BADER!W27="","",BADER!W27)</f>
        <v/>
      </c>
      <c r="R25" s="197" t="str">
        <f>IF(TAMB1!W27="","",TAMB1!W27)</f>
        <v/>
      </c>
      <c r="S25" s="197" t="str">
        <f>IF(TAMB2!W27="","",TAMB2!W27)</f>
        <v/>
      </c>
      <c r="T25" s="129" t="str">
        <f t="shared" si="0"/>
        <v/>
      </c>
      <c r="U25" s="130" t="str">
        <f t="shared" si="1"/>
        <v/>
      </c>
    </row>
    <row r="26" spans="1:21">
      <c r="A26" s="127">
        <v>21</v>
      </c>
      <c r="B26" s="128" t="str">
        <f>IF(DATA!D28="","",DATA!D28)</f>
        <v>MOHAMMAD RAMADAN PURNOMO</v>
      </c>
      <c r="C26" s="197" t="str">
        <f>IF(QH!W28="","",QH!W28)</f>
        <v/>
      </c>
      <c r="D26" s="197" t="str">
        <f>IF(AA!W28="","",AA!W28)</f>
        <v/>
      </c>
      <c r="E26" s="197" t="str">
        <f>IF(FIKIH!W28="","",FIKIH!W28)</f>
        <v/>
      </c>
      <c r="F26" s="197" t="str">
        <f>IF(SKI!W28="","",SKI!W28)</f>
        <v/>
      </c>
      <c r="G26" s="197" t="str">
        <f>IF(PKN!W28="","",PKN!W28)</f>
        <v/>
      </c>
      <c r="H26" s="197" t="str">
        <f>IF(INDO!W28="","",INDO!W28)</f>
        <v/>
      </c>
      <c r="I26" s="197" t="str">
        <f>IF(ARAB!W28="","",ARAB!W28)</f>
        <v/>
      </c>
      <c r="J26" s="197" t="str">
        <f>IF(MAT!W28="","",MAT!W28)</f>
        <v/>
      </c>
      <c r="K26" s="197" t="str">
        <f>IF(IPA!W28="","",IPA!W28)</f>
        <v/>
      </c>
      <c r="L26" s="197" t="str">
        <f>IF(IPS!W28="","",IPS!W28)</f>
        <v/>
      </c>
      <c r="M26" s="197" t="str">
        <f>IF(INGG!W28="","",INGG!W28)</f>
        <v/>
      </c>
      <c r="N26" s="197" t="str">
        <f>IF(SENBUD!W28="","",SENBUD!W28)</f>
        <v/>
      </c>
      <c r="O26" s="197" t="str">
        <f>IF(PENJAS!W28="","",PENJAS!W28)</f>
        <v/>
      </c>
      <c r="P26" s="197" t="str">
        <f>IF(PRAKARYA!W28="","",PRAKARYA!W28)</f>
        <v/>
      </c>
      <c r="Q26" s="197" t="str">
        <f>IF(BADER!W28="","",BADER!W28)</f>
        <v/>
      </c>
      <c r="R26" s="197" t="str">
        <f>IF(TAMB1!W28="","",TAMB1!W28)</f>
        <v/>
      </c>
      <c r="S26" s="197" t="str">
        <f>IF(TAMB2!W28="","",TAMB2!W28)</f>
        <v/>
      </c>
      <c r="T26" s="129" t="str">
        <f t="shared" si="0"/>
        <v/>
      </c>
      <c r="U26" s="130" t="str">
        <f t="shared" si="1"/>
        <v/>
      </c>
    </row>
    <row r="27" spans="1:21">
      <c r="A27" s="127">
        <v>22</v>
      </c>
      <c r="B27" s="128" t="str">
        <f>IF(DATA!D29="","",DATA!D29)</f>
        <v>MOHAMMAD ROFI'I</v>
      </c>
      <c r="C27" s="197" t="str">
        <f>IF(QH!W29="","",QH!W29)</f>
        <v/>
      </c>
      <c r="D27" s="197" t="str">
        <f>IF(AA!W29="","",AA!W29)</f>
        <v/>
      </c>
      <c r="E27" s="197" t="str">
        <f>IF(FIKIH!W29="","",FIKIH!W29)</f>
        <v/>
      </c>
      <c r="F27" s="197" t="str">
        <f>IF(SKI!W29="","",SKI!W29)</f>
        <v/>
      </c>
      <c r="G27" s="197" t="str">
        <f>IF(PKN!W29="","",PKN!W29)</f>
        <v/>
      </c>
      <c r="H27" s="197" t="str">
        <f>IF(INDO!W29="","",INDO!W29)</f>
        <v/>
      </c>
      <c r="I27" s="197" t="str">
        <f>IF(ARAB!W29="","",ARAB!W29)</f>
        <v/>
      </c>
      <c r="J27" s="197" t="str">
        <f>IF(MAT!W29="","",MAT!W29)</f>
        <v/>
      </c>
      <c r="K27" s="197" t="str">
        <f>IF(IPA!W29="","",IPA!W29)</f>
        <v/>
      </c>
      <c r="L27" s="197" t="str">
        <f>IF(IPS!W29="","",IPS!W29)</f>
        <v/>
      </c>
      <c r="M27" s="197" t="str">
        <f>IF(INGG!W29="","",INGG!W29)</f>
        <v/>
      </c>
      <c r="N27" s="197" t="str">
        <f>IF(SENBUD!W29="","",SENBUD!W29)</f>
        <v/>
      </c>
      <c r="O27" s="197" t="str">
        <f>IF(PENJAS!W29="","",PENJAS!W29)</f>
        <v/>
      </c>
      <c r="P27" s="197" t="str">
        <f>IF(PRAKARYA!W29="","",PRAKARYA!W29)</f>
        <v/>
      </c>
      <c r="Q27" s="197" t="str">
        <f>IF(BADER!W29="","",BADER!W29)</f>
        <v/>
      </c>
      <c r="R27" s="197" t="str">
        <f>IF(TAMB1!W29="","",TAMB1!W29)</f>
        <v/>
      </c>
      <c r="S27" s="197" t="str">
        <f>IF(TAMB2!W29="","",TAMB2!W29)</f>
        <v/>
      </c>
      <c r="T27" s="129" t="str">
        <f t="shared" si="0"/>
        <v/>
      </c>
      <c r="U27" s="130" t="str">
        <f t="shared" si="1"/>
        <v/>
      </c>
    </row>
    <row r="28" spans="1:21">
      <c r="A28" s="127">
        <v>23</v>
      </c>
      <c r="B28" s="128" t="str">
        <f>IF(DATA!D30="","",DATA!D30)</f>
        <v>NI'MATUS SHOLIHA</v>
      </c>
      <c r="C28" s="197" t="str">
        <f>IF(QH!W30="","",QH!W30)</f>
        <v/>
      </c>
      <c r="D28" s="197" t="str">
        <f>IF(AA!W30="","",AA!W30)</f>
        <v/>
      </c>
      <c r="E28" s="197" t="str">
        <f>IF(FIKIH!W30="","",FIKIH!W30)</f>
        <v/>
      </c>
      <c r="F28" s="197" t="str">
        <f>IF(SKI!W30="","",SKI!W30)</f>
        <v/>
      </c>
      <c r="G28" s="197" t="str">
        <f>IF(PKN!W30="","",PKN!W30)</f>
        <v/>
      </c>
      <c r="H28" s="197" t="str">
        <f>IF(INDO!W30="","",INDO!W30)</f>
        <v/>
      </c>
      <c r="I28" s="197" t="str">
        <f>IF(ARAB!W30="","",ARAB!W30)</f>
        <v/>
      </c>
      <c r="J28" s="197" t="str">
        <f>IF(MAT!W30="","",MAT!W30)</f>
        <v/>
      </c>
      <c r="K28" s="197" t="str">
        <f>IF(IPA!W30="","",IPA!W30)</f>
        <v/>
      </c>
      <c r="L28" s="197" t="str">
        <f>IF(IPS!W30="","",IPS!W30)</f>
        <v/>
      </c>
      <c r="M28" s="197" t="str">
        <f>IF(INGG!W30="","",INGG!W30)</f>
        <v/>
      </c>
      <c r="N28" s="197" t="str">
        <f>IF(SENBUD!W30="","",SENBUD!W30)</f>
        <v/>
      </c>
      <c r="O28" s="197" t="str">
        <f>IF(PENJAS!W30="","",PENJAS!W30)</f>
        <v/>
      </c>
      <c r="P28" s="197" t="str">
        <f>IF(PRAKARYA!W30="","",PRAKARYA!W30)</f>
        <v/>
      </c>
      <c r="Q28" s="197" t="str">
        <f>IF(BADER!W30="","",BADER!W30)</f>
        <v/>
      </c>
      <c r="R28" s="197" t="str">
        <f>IF(TAMB1!W30="","",TAMB1!W30)</f>
        <v/>
      </c>
      <c r="S28" s="197" t="str">
        <f>IF(TAMB2!W30="","",TAMB2!W30)</f>
        <v/>
      </c>
      <c r="T28" s="129" t="str">
        <f t="shared" si="0"/>
        <v/>
      </c>
      <c r="U28" s="130" t="str">
        <f t="shared" si="1"/>
        <v/>
      </c>
    </row>
    <row r="29" spans="1:21">
      <c r="A29" s="127">
        <v>24</v>
      </c>
      <c r="B29" s="128" t="str">
        <f>IF(DATA!D31="","",DATA!D31)</f>
        <v>PANJI FIKRI ISLAMI</v>
      </c>
      <c r="C29" s="197" t="str">
        <f>IF(QH!W31="","",QH!W31)</f>
        <v/>
      </c>
      <c r="D29" s="197" t="str">
        <f>IF(AA!W31="","",AA!W31)</f>
        <v/>
      </c>
      <c r="E29" s="197" t="str">
        <f>IF(FIKIH!W31="","",FIKIH!W31)</f>
        <v/>
      </c>
      <c r="F29" s="197" t="str">
        <f>IF(SKI!W31="","",SKI!W31)</f>
        <v/>
      </c>
      <c r="G29" s="197" t="str">
        <f>IF(PKN!W31="","",PKN!W31)</f>
        <v/>
      </c>
      <c r="H29" s="197" t="str">
        <f>IF(INDO!W31="","",INDO!W31)</f>
        <v/>
      </c>
      <c r="I29" s="197" t="str">
        <f>IF(ARAB!W31="","",ARAB!W31)</f>
        <v/>
      </c>
      <c r="J29" s="197" t="str">
        <f>IF(MAT!W31="","",MAT!W31)</f>
        <v/>
      </c>
      <c r="K29" s="197" t="str">
        <f>IF(IPA!W31="","",IPA!W31)</f>
        <v/>
      </c>
      <c r="L29" s="197" t="str">
        <f>IF(IPS!W31="","",IPS!W31)</f>
        <v/>
      </c>
      <c r="M29" s="197" t="str">
        <f>IF(INGG!W31="","",INGG!W31)</f>
        <v/>
      </c>
      <c r="N29" s="197" t="str">
        <f>IF(SENBUD!W31="","",SENBUD!W31)</f>
        <v/>
      </c>
      <c r="O29" s="197" t="str">
        <f>IF(PENJAS!W31="","",PENJAS!W31)</f>
        <v/>
      </c>
      <c r="P29" s="197" t="str">
        <f>IF(PRAKARYA!W31="","",PRAKARYA!W31)</f>
        <v/>
      </c>
      <c r="Q29" s="197" t="str">
        <f>IF(BADER!W31="","",BADER!W31)</f>
        <v/>
      </c>
      <c r="R29" s="197" t="str">
        <f>IF(TAMB1!W31="","",TAMB1!W31)</f>
        <v/>
      </c>
      <c r="S29" s="197" t="str">
        <f>IF(TAMB2!W31="","",TAMB2!W31)</f>
        <v/>
      </c>
      <c r="T29" s="129" t="str">
        <f t="shared" si="0"/>
        <v/>
      </c>
      <c r="U29" s="130" t="str">
        <f t="shared" si="1"/>
        <v/>
      </c>
    </row>
    <row r="30" spans="1:21">
      <c r="A30" s="127">
        <v>25</v>
      </c>
      <c r="B30" s="128" t="str">
        <f>IF(DATA!D32="","",DATA!D32)</f>
        <v>RACMAT MAULIDI ABDANY</v>
      </c>
      <c r="C30" s="197" t="str">
        <f>IF(QH!W32="","",QH!W32)</f>
        <v/>
      </c>
      <c r="D30" s="197" t="str">
        <f>IF(AA!W32="","",AA!W32)</f>
        <v/>
      </c>
      <c r="E30" s="197" t="str">
        <f>IF(FIKIH!W32="","",FIKIH!W32)</f>
        <v/>
      </c>
      <c r="F30" s="197" t="str">
        <f>IF(SKI!W32="","",SKI!W32)</f>
        <v/>
      </c>
      <c r="G30" s="197" t="str">
        <f>IF(PKN!W32="","",PKN!W32)</f>
        <v/>
      </c>
      <c r="H30" s="197" t="str">
        <f>IF(INDO!W32="","",INDO!W32)</f>
        <v/>
      </c>
      <c r="I30" s="197" t="str">
        <f>IF(ARAB!W32="","",ARAB!W32)</f>
        <v/>
      </c>
      <c r="J30" s="197" t="str">
        <f>IF(MAT!W32="","",MAT!W32)</f>
        <v/>
      </c>
      <c r="K30" s="197" t="str">
        <f>IF(IPA!W32="","",IPA!W32)</f>
        <v/>
      </c>
      <c r="L30" s="197" t="str">
        <f>IF(IPS!W32="","",IPS!W32)</f>
        <v/>
      </c>
      <c r="M30" s="197" t="str">
        <f>IF(INGG!W32="","",INGG!W32)</f>
        <v/>
      </c>
      <c r="N30" s="197" t="str">
        <f>IF(SENBUD!W32="","",SENBUD!W32)</f>
        <v/>
      </c>
      <c r="O30" s="197" t="str">
        <f>IF(PENJAS!W32="","",PENJAS!W32)</f>
        <v/>
      </c>
      <c r="P30" s="197" t="str">
        <f>IF(PRAKARYA!W32="","",PRAKARYA!W32)</f>
        <v/>
      </c>
      <c r="Q30" s="197" t="str">
        <f>IF(BADER!W32="","",BADER!W32)</f>
        <v/>
      </c>
      <c r="R30" s="197" t="str">
        <f>IF(TAMB1!W32="","",TAMB1!W32)</f>
        <v/>
      </c>
      <c r="S30" s="197" t="str">
        <f>IF(TAMB2!W32="","",TAMB2!W32)</f>
        <v/>
      </c>
      <c r="T30" s="129" t="str">
        <f t="shared" si="0"/>
        <v/>
      </c>
      <c r="U30" s="130" t="str">
        <f t="shared" si="1"/>
        <v/>
      </c>
    </row>
    <row r="31" spans="1:21">
      <c r="A31" s="127">
        <v>26</v>
      </c>
      <c r="B31" s="128" t="str">
        <f>IF(DATA!D33="","",DATA!D33)</f>
        <v>RAIHAN</v>
      </c>
      <c r="C31" s="197" t="str">
        <f>IF(QH!W33="","",QH!W33)</f>
        <v/>
      </c>
      <c r="D31" s="197" t="str">
        <f>IF(AA!W33="","",AA!W33)</f>
        <v/>
      </c>
      <c r="E31" s="197" t="str">
        <f>IF(FIKIH!W33="","",FIKIH!W33)</f>
        <v/>
      </c>
      <c r="F31" s="197" t="str">
        <f>IF(SKI!W33="","",SKI!W33)</f>
        <v/>
      </c>
      <c r="G31" s="197" t="str">
        <f>IF(PKN!W33="","",PKN!W33)</f>
        <v/>
      </c>
      <c r="H31" s="197" t="str">
        <f>IF(INDO!W33="","",INDO!W33)</f>
        <v/>
      </c>
      <c r="I31" s="197" t="str">
        <f>IF(ARAB!W33="","",ARAB!W33)</f>
        <v/>
      </c>
      <c r="J31" s="197" t="str">
        <f>IF(MAT!W33="","",MAT!W33)</f>
        <v/>
      </c>
      <c r="K31" s="197" t="str">
        <f>IF(IPA!W33="","",IPA!W33)</f>
        <v/>
      </c>
      <c r="L31" s="197" t="str">
        <f>IF(IPS!W33="","",IPS!W33)</f>
        <v/>
      </c>
      <c r="M31" s="197" t="str">
        <f>IF(INGG!W33="","",INGG!W33)</f>
        <v/>
      </c>
      <c r="N31" s="197" t="str">
        <f>IF(SENBUD!W33="","",SENBUD!W33)</f>
        <v/>
      </c>
      <c r="O31" s="197" t="str">
        <f>IF(PENJAS!W33="","",PENJAS!W33)</f>
        <v/>
      </c>
      <c r="P31" s="197" t="str">
        <f>IF(PRAKARYA!W33="","",PRAKARYA!W33)</f>
        <v/>
      </c>
      <c r="Q31" s="197" t="str">
        <f>IF(BADER!W33="","",BADER!W33)</f>
        <v/>
      </c>
      <c r="R31" s="197" t="str">
        <f>IF(TAMB1!W33="","",TAMB1!W33)</f>
        <v/>
      </c>
      <c r="S31" s="197" t="str">
        <f>IF(TAMB2!W33="","",TAMB2!W33)</f>
        <v/>
      </c>
      <c r="T31" s="129" t="str">
        <f t="shared" si="0"/>
        <v/>
      </c>
      <c r="U31" s="130" t="str">
        <f t="shared" si="1"/>
        <v/>
      </c>
    </row>
    <row r="32" spans="1:21">
      <c r="A32" s="127">
        <v>27</v>
      </c>
      <c r="B32" s="128" t="str">
        <f>IF(DATA!D34="","",DATA!D34)</f>
        <v>REFITA ANNASTASYA</v>
      </c>
      <c r="C32" s="197" t="str">
        <f>IF(QH!W34="","",QH!W34)</f>
        <v/>
      </c>
      <c r="D32" s="197" t="str">
        <f>IF(AA!W34="","",AA!W34)</f>
        <v/>
      </c>
      <c r="E32" s="197" t="str">
        <f>IF(FIKIH!W34="","",FIKIH!W34)</f>
        <v/>
      </c>
      <c r="F32" s="197" t="str">
        <f>IF(SKI!W34="","",SKI!W34)</f>
        <v/>
      </c>
      <c r="G32" s="197" t="str">
        <f>IF(PKN!W34="","",PKN!W34)</f>
        <v/>
      </c>
      <c r="H32" s="197" t="str">
        <f>IF(INDO!W34="","",INDO!W34)</f>
        <v/>
      </c>
      <c r="I32" s="197" t="str">
        <f>IF(ARAB!W34="","",ARAB!W34)</f>
        <v/>
      </c>
      <c r="J32" s="197" t="str">
        <f>IF(MAT!W34="","",MAT!W34)</f>
        <v/>
      </c>
      <c r="K32" s="197" t="str">
        <f>IF(IPA!W34="","",IPA!W34)</f>
        <v/>
      </c>
      <c r="L32" s="197" t="str">
        <f>IF(IPS!W34="","",IPS!W34)</f>
        <v/>
      </c>
      <c r="M32" s="197" t="str">
        <f>IF(INGG!W34="","",INGG!W34)</f>
        <v/>
      </c>
      <c r="N32" s="197" t="str">
        <f>IF(SENBUD!W34="","",SENBUD!W34)</f>
        <v/>
      </c>
      <c r="O32" s="197" t="str">
        <f>IF(PENJAS!W34="","",PENJAS!W34)</f>
        <v/>
      </c>
      <c r="P32" s="197" t="str">
        <f>IF(PRAKARYA!W34="","",PRAKARYA!W34)</f>
        <v/>
      </c>
      <c r="Q32" s="197" t="str">
        <f>IF(BADER!W34="","",BADER!W34)</f>
        <v/>
      </c>
      <c r="R32" s="197" t="str">
        <f>IF(TAMB1!W34="","",TAMB1!W34)</f>
        <v/>
      </c>
      <c r="S32" s="197" t="str">
        <f>IF(TAMB2!W34="","",TAMB2!W34)</f>
        <v/>
      </c>
      <c r="T32" s="129" t="str">
        <f t="shared" si="0"/>
        <v/>
      </c>
      <c r="U32" s="130" t="str">
        <f t="shared" si="1"/>
        <v/>
      </c>
    </row>
    <row r="33" spans="1:21">
      <c r="A33" s="127">
        <v>28</v>
      </c>
      <c r="B33" s="128" t="str">
        <f>IF(DATA!D35="","",DATA!D35)</f>
        <v>RISKIYAH</v>
      </c>
      <c r="C33" s="197" t="str">
        <f>IF(QH!W35="","",QH!W35)</f>
        <v/>
      </c>
      <c r="D33" s="197" t="str">
        <f>IF(AA!W35="","",AA!W35)</f>
        <v/>
      </c>
      <c r="E33" s="197" t="str">
        <f>IF(FIKIH!W35="","",FIKIH!W35)</f>
        <v/>
      </c>
      <c r="F33" s="197" t="str">
        <f>IF(SKI!W35="","",SKI!W35)</f>
        <v/>
      </c>
      <c r="G33" s="197" t="str">
        <f>IF(PKN!W35="","",PKN!W35)</f>
        <v/>
      </c>
      <c r="H33" s="197" t="str">
        <f>IF(INDO!W35="","",INDO!W35)</f>
        <v/>
      </c>
      <c r="I33" s="197" t="str">
        <f>IF(ARAB!W35="","",ARAB!W35)</f>
        <v/>
      </c>
      <c r="J33" s="197" t="str">
        <f>IF(MAT!W35="","",MAT!W35)</f>
        <v/>
      </c>
      <c r="K33" s="197" t="str">
        <f>IF(IPA!W35="","",IPA!W35)</f>
        <v/>
      </c>
      <c r="L33" s="197" t="str">
        <f>IF(IPS!W35="","",IPS!W35)</f>
        <v/>
      </c>
      <c r="M33" s="197" t="str">
        <f>IF(INGG!W35="","",INGG!W35)</f>
        <v/>
      </c>
      <c r="N33" s="197" t="str">
        <f>IF(SENBUD!W35="","",SENBUD!W35)</f>
        <v/>
      </c>
      <c r="O33" s="197" t="str">
        <f>IF(PENJAS!W35="","",PENJAS!W35)</f>
        <v/>
      </c>
      <c r="P33" s="197" t="str">
        <f>IF(PRAKARYA!W35="","",PRAKARYA!W35)</f>
        <v/>
      </c>
      <c r="Q33" s="197" t="str">
        <f>IF(BADER!W35="","",BADER!W35)</f>
        <v/>
      </c>
      <c r="R33" s="197" t="str">
        <f>IF(TAMB1!W35="","",TAMB1!W35)</f>
        <v/>
      </c>
      <c r="S33" s="197" t="str">
        <f>IF(TAMB2!W35="","",TAMB2!W35)</f>
        <v/>
      </c>
      <c r="T33" s="129" t="str">
        <f t="shared" si="0"/>
        <v/>
      </c>
      <c r="U33" s="130" t="str">
        <f t="shared" si="1"/>
        <v/>
      </c>
    </row>
    <row r="34" spans="1:21">
      <c r="A34" s="127">
        <v>29</v>
      </c>
      <c r="B34" s="128" t="str">
        <f>IF(DATA!D36="","",DATA!D36)</f>
        <v>SALILATUL HUSNA</v>
      </c>
      <c r="C34" s="197" t="str">
        <f>IF(QH!W36="","",QH!W36)</f>
        <v/>
      </c>
      <c r="D34" s="197" t="str">
        <f>IF(AA!W36="","",AA!W36)</f>
        <v/>
      </c>
      <c r="E34" s="197" t="str">
        <f>IF(FIKIH!W36="","",FIKIH!W36)</f>
        <v/>
      </c>
      <c r="F34" s="197" t="str">
        <f>IF(SKI!W36="","",SKI!W36)</f>
        <v/>
      </c>
      <c r="G34" s="197" t="str">
        <f>IF(PKN!W36="","",PKN!W36)</f>
        <v/>
      </c>
      <c r="H34" s="197" t="str">
        <f>IF(INDO!W36="","",INDO!W36)</f>
        <v/>
      </c>
      <c r="I34" s="197" t="str">
        <f>IF(ARAB!W36="","",ARAB!W36)</f>
        <v/>
      </c>
      <c r="J34" s="197" t="str">
        <f>IF(MAT!W36="","",MAT!W36)</f>
        <v/>
      </c>
      <c r="K34" s="197" t="str">
        <f>IF(IPA!W36="","",IPA!W36)</f>
        <v/>
      </c>
      <c r="L34" s="197" t="str">
        <f>IF(IPS!W36="","",IPS!W36)</f>
        <v/>
      </c>
      <c r="M34" s="197" t="str">
        <f>IF(INGG!W36="","",INGG!W36)</f>
        <v/>
      </c>
      <c r="N34" s="197" t="str">
        <f>IF(SENBUD!W36="","",SENBUD!W36)</f>
        <v/>
      </c>
      <c r="O34" s="197" t="str">
        <f>IF(PENJAS!W36="","",PENJAS!W36)</f>
        <v/>
      </c>
      <c r="P34" s="197" t="str">
        <f>IF(PRAKARYA!W36="","",PRAKARYA!W36)</f>
        <v/>
      </c>
      <c r="Q34" s="197" t="str">
        <f>IF(BADER!W36="","",BADER!W36)</f>
        <v/>
      </c>
      <c r="R34" s="197" t="str">
        <f>IF(TAMB1!W36="","",TAMB1!W36)</f>
        <v/>
      </c>
      <c r="S34" s="197" t="str">
        <f>IF(TAMB2!W36="","",TAMB2!W36)</f>
        <v/>
      </c>
      <c r="T34" s="129" t="str">
        <f t="shared" si="0"/>
        <v/>
      </c>
      <c r="U34" s="130" t="str">
        <f t="shared" si="1"/>
        <v/>
      </c>
    </row>
    <row r="35" spans="1:21">
      <c r="A35" s="127">
        <v>30</v>
      </c>
      <c r="B35" s="128" t="str">
        <f>IF(DATA!D37="","",DATA!D37)</f>
        <v>SALMA NABILA</v>
      </c>
      <c r="C35" s="197" t="str">
        <f>IF(QH!W37="","",QH!W37)</f>
        <v/>
      </c>
      <c r="D35" s="197" t="str">
        <f>IF(AA!W37="","",AA!W37)</f>
        <v/>
      </c>
      <c r="E35" s="197" t="str">
        <f>IF(FIKIH!W37="","",FIKIH!W37)</f>
        <v/>
      </c>
      <c r="F35" s="197" t="str">
        <f>IF(SKI!W37="","",SKI!W37)</f>
        <v/>
      </c>
      <c r="G35" s="197" t="str">
        <f>IF(PKN!W37="","",PKN!W37)</f>
        <v/>
      </c>
      <c r="H35" s="197" t="str">
        <f>IF(INDO!W37="","",INDO!W37)</f>
        <v/>
      </c>
      <c r="I35" s="197" t="str">
        <f>IF(ARAB!W37="","",ARAB!W37)</f>
        <v/>
      </c>
      <c r="J35" s="197" t="str">
        <f>IF(MAT!W37="","",MAT!W37)</f>
        <v/>
      </c>
      <c r="K35" s="197" t="str">
        <f>IF(IPA!W37="","",IPA!W37)</f>
        <v/>
      </c>
      <c r="L35" s="197" t="str">
        <f>IF(IPS!W37="","",IPS!W37)</f>
        <v/>
      </c>
      <c r="M35" s="197" t="str">
        <f>IF(INGG!W37="","",INGG!W37)</f>
        <v/>
      </c>
      <c r="N35" s="197" t="str">
        <f>IF(SENBUD!W37="","",SENBUD!W37)</f>
        <v/>
      </c>
      <c r="O35" s="197" t="str">
        <f>IF(PENJAS!W37="","",PENJAS!W37)</f>
        <v/>
      </c>
      <c r="P35" s="197" t="str">
        <f>IF(PRAKARYA!W37="","",PRAKARYA!W37)</f>
        <v/>
      </c>
      <c r="Q35" s="197" t="str">
        <f>IF(BADER!W37="","",BADER!W37)</f>
        <v/>
      </c>
      <c r="R35" s="197" t="str">
        <f>IF(TAMB1!W37="","",TAMB1!W37)</f>
        <v/>
      </c>
      <c r="S35" s="197" t="str">
        <f>IF(TAMB2!W37="","",TAMB2!W37)</f>
        <v/>
      </c>
      <c r="T35" s="129" t="str">
        <f t="shared" si="0"/>
        <v/>
      </c>
      <c r="U35" s="130" t="str">
        <f t="shared" si="1"/>
        <v/>
      </c>
    </row>
    <row r="36" spans="1:21">
      <c r="A36" s="127">
        <v>31</v>
      </c>
      <c r="B36" s="128" t="str">
        <f>IF(DATA!D38="","",DATA!D38)</f>
        <v>SITI AINUR ROHIMAH</v>
      </c>
      <c r="C36" s="197" t="str">
        <f>IF(QH!W38="","",QH!W38)</f>
        <v/>
      </c>
      <c r="D36" s="197" t="str">
        <f>IF(AA!W38="","",AA!W38)</f>
        <v/>
      </c>
      <c r="E36" s="197" t="str">
        <f>IF(FIKIH!W38="","",FIKIH!W38)</f>
        <v/>
      </c>
      <c r="F36" s="197" t="str">
        <f>IF(SKI!W38="","",SKI!W38)</f>
        <v/>
      </c>
      <c r="G36" s="197" t="str">
        <f>IF(PKN!W38="","",PKN!W38)</f>
        <v/>
      </c>
      <c r="H36" s="197" t="str">
        <f>IF(INDO!W38="","",INDO!W38)</f>
        <v/>
      </c>
      <c r="I36" s="197" t="str">
        <f>IF(ARAB!W38="","",ARAB!W38)</f>
        <v/>
      </c>
      <c r="J36" s="197" t="str">
        <f>IF(MAT!W38="","",MAT!W38)</f>
        <v/>
      </c>
      <c r="K36" s="197" t="str">
        <f>IF(IPA!W38="","",IPA!W38)</f>
        <v/>
      </c>
      <c r="L36" s="197" t="str">
        <f>IF(IPS!W38="","",IPS!W38)</f>
        <v/>
      </c>
      <c r="M36" s="197" t="str">
        <f>IF(INGG!W38="","",INGG!W38)</f>
        <v/>
      </c>
      <c r="N36" s="197" t="str">
        <f>IF(SENBUD!W38="","",SENBUD!W38)</f>
        <v/>
      </c>
      <c r="O36" s="197" t="str">
        <f>IF(PENJAS!W38="","",PENJAS!W38)</f>
        <v/>
      </c>
      <c r="P36" s="197" t="str">
        <f>IF(PRAKARYA!W38="","",PRAKARYA!W38)</f>
        <v/>
      </c>
      <c r="Q36" s="197" t="str">
        <f>IF(BADER!W38="","",BADER!W38)</f>
        <v/>
      </c>
      <c r="R36" s="197" t="str">
        <f>IF(TAMB1!W38="","",TAMB1!W38)</f>
        <v/>
      </c>
      <c r="S36" s="197" t="str">
        <f>IF(TAMB2!W38="","",TAMB2!W38)</f>
        <v/>
      </c>
      <c r="T36" s="129" t="str">
        <f t="shared" si="0"/>
        <v/>
      </c>
      <c r="U36" s="130" t="str">
        <f t="shared" si="1"/>
        <v/>
      </c>
    </row>
    <row r="37" spans="1:21">
      <c r="A37" s="127">
        <v>32</v>
      </c>
      <c r="B37" s="128" t="str">
        <f>IF(DATA!D39="","",DATA!D39)</f>
        <v>SYARIF HIDAYATULLOH</v>
      </c>
      <c r="C37" s="197" t="str">
        <f>IF(QH!W39="","",QH!W39)</f>
        <v/>
      </c>
      <c r="D37" s="197" t="str">
        <f>IF(AA!W39="","",AA!W39)</f>
        <v/>
      </c>
      <c r="E37" s="197" t="str">
        <f>IF(FIKIH!W39="","",FIKIH!W39)</f>
        <v/>
      </c>
      <c r="F37" s="197" t="str">
        <f>IF(SKI!W39="","",SKI!W39)</f>
        <v/>
      </c>
      <c r="G37" s="197" t="str">
        <f>IF(PKN!W39="","",PKN!W39)</f>
        <v/>
      </c>
      <c r="H37" s="197" t="str">
        <f>IF(INDO!W39="","",INDO!W39)</f>
        <v/>
      </c>
      <c r="I37" s="197" t="str">
        <f>IF(ARAB!W39="","",ARAB!W39)</f>
        <v/>
      </c>
      <c r="J37" s="197" t="str">
        <f>IF(MAT!W39="","",MAT!W39)</f>
        <v/>
      </c>
      <c r="K37" s="197" t="str">
        <f>IF(IPA!W39="","",IPA!W39)</f>
        <v/>
      </c>
      <c r="L37" s="197" t="str">
        <f>IF(IPS!W39="","",IPS!W39)</f>
        <v/>
      </c>
      <c r="M37" s="197" t="str">
        <f>IF(INGG!W39="","",INGG!W39)</f>
        <v/>
      </c>
      <c r="N37" s="197" t="str">
        <f>IF(SENBUD!W39="","",SENBUD!W39)</f>
        <v/>
      </c>
      <c r="O37" s="197" t="str">
        <f>IF(PENJAS!W39="","",PENJAS!W39)</f>
        <v/>
      </c>
      <c r="P37" s="197" t="str">
        <f>IF(PRAKARYA!W39="","",PRAKARYA!W39)</f>
        <v/>
      </c>
      <c r="Q37" s="197" t="str">
        <f>IF(BADER!W39="","",BADER!W39)</f>
        <v/>
      </c>
      <c r="R37" s="197" t="str">
        <f>IF(TAMB1!W39="","",TAMB1!W39)</f>
        <v/>
      </c>
      <c r="S37" s="197" t="str">
        <f>IF(TAMB2!W39="","",TAMB2!W39)</f>
        <v/>
      </c>
      <c r="T37" s="129" t="str">
        <f t="shared" si="0"/>
        <v/>
      </c>
      <c r="U37" s="130" t="str">
        <f t="shared" si="1"/>
        <v/>
      </c>
    </row>
    <row r="38" spans="1:21">
      <c r="A38" s="127">
        <v>33</v>
      </c>
      <c r="B38" s="128" t="str">
        <f>IF(DATA!D40="","",DATA!D40)</f>
        <v>URVIA ZAHNA ROHANDY</v>
      </c>
      <c r="C38" s="197" t="str">
        <f>IF(QH!W40="","",QH!W40)</f>
        <v/>
      </c>
      <c r="D38" s="197" t="str">
        <f>IF(AA!W40="","",AA!W40)</f>
        <v/>
      </c>
      <c r="E38" s="197" t="str">
        <f>IF(FIKIH!W40="","",FIKIH!W40)</f>
        <v/>
      </c>
      <c r="F38" s="197" t="str">
        <f>IF(SKI!W40="","",SKI!W40)</f>
        <v/>
      </c>
      <c r="G38" s="197" t="str">
        <f>IF(PKN!W40="","",PKN!W40)</f>
        <v/>
      </c>
      <c r="H38" s="197" t="str">
        <f>IF(INDO!W40="","",INDO!W40)</f>
        <v/>
      </c>
      <c r="I38" s="197" t="str">
        <f>IF(ARAB!W40="","",ARAB!W40)</f>
        <v/>
      </c>
      <c r="J38" s="197" t="str">
        <f>IF(MAT!W40="","",MAT!W40)</f>
        <v/>
      </c>
      <c r="K38" s="197" t="str">
        <f>IF(IPA!W40="","",IPA!W40)</f>
        <v/>
      </c>
      <c r="L38" s="197" t="str">
        <f>IF(IPS!W40="","",IPS!W40)</f>
        <v/>
      </c>
      <c r="M38" s="197" t="str">
        <f>IF(INGG!W40="","",INGG!W40)</f>
        <v/>
      </c>
      <c r="N38" s="197" t="str">
        <f>IF(SENBUD!W40="","",SENBUD!W40)</f>
        <v/>
      </c>
      <c r="O38" s="197" t="str">
        <f>IF(PENJAS!W40="","",PENJAS!W40)</f>
        <v/>
      </c>
      <c r="P38" s="197" t="str">
        <f>IF(PRAKARYA!W40="","",PRAKARYA!W40)</f>
        <v/>
      </c>
      <c r="Q38" s="197" t="str">
        <f>IF(BADER!W40="","",BADER!W40)</f>
        <v/>
      </c>
      <c r="R38" s="197" t="str">
        <f>IF(TAMB1!W40="","",TAMB1!W40)</f>
        <v/>
      </c>
      <c r="S38" s="197" t="str">
        <f>IF(TAMB2!W40="","",TAMB2!W40)</f>
        <v/>
      </c>
      <c r="T38" s="129" t="str">
        <f t="shared" si="0"/>
        <v/>
      </c>
      <c r="U38" s="130" t="str">
        <f t="shared" si="1"/>
        <v/>
      </c>
    </row>
    <row r="39" spans="1:21">
      <c r="A39" s="127">
        <v>34</v>
      </c>
      <c r="B39" s="128" t="str">
        <f>IF(DATA!D41="","",DATA!D41)</f>
        <v/>
      </c>
      <c r="C39" s="197" t="str">
        <f>IF(QH!W41="","",QH!W41)</f>
        <v/>
      </c>
      <c r="D39" s="197" t="str">
        <f>IF(AA!W41="","",AA!W41)</f>
        <v/>
      </c>
      <c r="E39" s="197" t="str">
        <f>IF(FIKIH!W41="","",FIKIH!W41)</f>
        <v/>
      </c>
      <c r="F39" s="197" t="str">
        <f>IF(SKI!W41="","",SKI!W41)</f>
        <v/>
      </c>
      <c r="G39" s="197" t="str">
        <f>IF(PKN!W41="","",PKN!W41)</f>
        <v/>
      </c>
      <c r="H39" s="197" t="str">
        <f>IF(INDO!W41="","",INDO!W41)</f>
        <v/>
      </c>
      <c r="I39" s="197" t="str">
        <f>IF(ARAB!W41="","",ARAB!W41)</f>
        <v/>
      </c>
      <c r="J39" s="197" t="str">
        <f>IF(MAT!W41="","",MAT!W41)</f>
        <v/>
      </c>
      <c r="K39" s="197" t="str">
        <f>IF(IPA!W41="","",IPA!W41)</f>
        <v/>
      </c>
      <c r="L39" s="197" t="str">
        <f>IF(IPS!W41="","",IPS!W41)</f>
        <v/>
      </c>
      <c r="M39" s="197" t="str">
        <f>IF(INGG!W41="","",INGG!W41)</f>
        <v/>
      </c>
      <c r="N39" s="197" t="str">
        <f>IF(SENBUD!W41="","",SENBUD!W41)</f>
        <v/>
      </c>
      <c r="O39" s="197" t="str">
        <f>IF(PENJAS!W41="","",PENJAS!W41)</f>
        <v/>
      </c>
      <c r="P39" s="197" t="str">
        <f>IF(PRAKARYA!W41="","",PRAKARYA!W41)</f>
        <v/>
      </c>
      <c r="Q39" s="197" t="str">
        <f>IF(BADER!W41="","",BADER!W41)</f>
        <v/>
      </c>
      <c r="R39" s="197" t="str">
        <f>IF(TAMB1!W41="","",TAMB1!W41)</f>
        <v/>
      </c>
      <c r="S39" s="197" t="str">
        <f>IF(TAMB2!W41="","",TAMB2!W41)</f>
        <v/>
      </c>
      <c r="T39" s="129" t="str">
        <f t="shared" si="0"/>
        <v/>
      </c>
      <c r="U39" s="130" t="str">
        <f t="shared" si="1"/>
        <v/>
      </c>
    </row>
    <row r="40" spans="1:21">
      <c r="A40" s="127">
        <v>35</v>
      </c>
      <c r="B40" s="128" t="str">
        <f>IF(DATA!D42="","",DATA!D42)</f>
        <v/>
      </c>
      <c r="C40" s="197" t="str">
        <f>IF(QH!W42="","",QH!W42)</f>
        <v/>
      </c>
      <c r="D40" s="197" t="str">
        <f>IF(AA!W42="","",AA!W42)</f>
        <v/>
      </c>
      <c r="E40" s="197" t="str">
        <f>IF(FIKIH!W42="","",FIKIH!W42)</f>
        <v/>
      </c>
      <c r="F40" s="197" t="str">
        <f>IF(SKI!W42="","",SKI!W42)</f>
        <v/>
      </c>
      <c r="G40" s="197" t="str">
        <f>IF(PKN!W42="","",PKN!W42)</f>
        <v/>
      </c>
      <c r="H40" s="197" t="str">
        <f>IF(INDO!W42="","",INDO!W42)</f>
        <v/>
      </c>
      <c r="I40" s="197" t="str">
        <f>IF(ARAB!W42="","",ARAB!W42)</f>
        <v/>
      </c>
      <c r="J40" s="197" t="str">
        <f>IF(MAT!W42="","",MAT!W42)</f>
        <v/>
      </c>
      <c r="K40" s="197" t="str">
        <f>IF(IPA!W42="","",IPA!W42)</f>
        <v/>
      </c>
      <c r="L40" s="197" t="str">
        <f>IF(IPS!W42="","",IPS!W42)</f>
        <v/>
      </c>
      <c r="M40" s="197" t="str">
        <f>IF(INGG!W42="","",INGG!W42)</f>
        <v/>
      </c>
      <c r="N40" s="197" t="str">
        <f>IF(SENBUD!W42="","",SENBUD!W42)</f>
        <v/>
      </c>
      <c r="O40" s="197" t="str">
        <f>IF(PENJAS!W42="","",PENJAS!W42)</f>
        <v/>
      </c>
      <c r="P40" s="197" t="str">
        <f>IF(PRAKARYA!W42="","",PRAKARYA!W42)</f>
        <v/>
      </c>
      <c r="Q40" s="197" t="str">
        <f>IF(BADER!W42="","",BADER!W42)</f>
        <v/>
      </c>
      <c r="R40" s="197" t="str">
        <f>IF(TAMB1!W42="","",TAMB1!W42)</f>
        <v/>
      </c>
      <c r="S40" s="197" t="str">
        <f>IF(TAMB2!W42="","",TAMB2!W42)</f>
        <v/>
      </c>
      <c r="T40" s="129" t="str">
        <f t="shared" si="0"/>
        <v/>
      </c>
      <c r="U40" s="130" t="str">
        <f t="shared" si="1"/>
        <v/>
      </c>
    </row>
    <row r="41" spans="1:21">
      <c r="A41" s="127">
        <v>36</v>
      </c>
      <c r="B41" s="128" t="str">
        <f>IF(DATA!D43="","",DATA!D43)</f>
        <v/>
      </c>
      <c r="C41" s="197" t="str">
        <f>IF(QH!W43="","",QH!W43)</f>
        <v/>
      </c>
      <c r="D41" s="197" t="str">
        <f>IF(AA!W43="","",AA!W43)</f>
        <v/>
      </c>
      <c r="E41" s="197" t="str">
        <f>IF(FIKIH!W43="","",FIKIH!W43)</f>
        <v/>
      </c>
      <c r="F41" s="197" t="str">
        <f>IF(SKI!W43="","",SKI!W43)</f>
        <v/>
      </c>
      <c r="G41" s="197" t="str">
        <f>IF(PKN!W43="","",PKN!W43)</f>
        <v/>
      </c>
      <c r="H41" s="197" t="str">
        <f>IF(INDO!W43="","",INDO!W43)</f>
        <v/>
      </c>
      <c r="I41" s="197" t="str">
        <f>IF(ARAB!W43="","",ARAB!W43)</f>
        <v/>
      </c>
      <c r="J41" s="197" t="str">
        <f>IF(MAT!W43="","",MAT!W43)</f>
        <v/>
      </c>
      <c r="K41" s="197" t="str">
        <f>IF(IPA!W43="","",IPA!W43)</f>
        <v/>
      </c>
      <c r="L41" s="197" t="str">
        <f>IF(IPS!W43="","",IPS!W43)</f>
        <v/>
      </c>
      <c r="M41" s="197" t="str">
        <f>IF(INGG!W43="","",INGG!W43)</f>
        <v/>
      </c>
      <c r="N41" s="197" t="str">
        <f>IF(SENBUD!W43="","",SENBUD!W43)</f>
        <v/>
      </c>
      <c r="O41" s="197" t="str">
        <f>IF(PENJAS!W43="","",PENJAS!W43)</f>
        <v/>
      </c>
      <c r="P41" s="197" t="str">
        <f>IF(PRAKARYA!W43="","",PRAKARYA!W43)</f>
        <v/>
      </c>
      <c r="Q41" s="197" t="str">
        <f>IF(BADER!W43="","",BADER!W43)</f>
        <v/>
      </c>
      <c r="R41" s="197" t="str">
        <f>IF(TAMB1!W43="","",TAMB1!W43)</f>
        <v/>
      </c>
      <c r="S41" s="197" t="str">
        <f>IF(TAMB2!W43="","",TAMB2!W43)</f>
        <v/>
      </c>
      <c r="T41" s="129" t="str">
        <f t="shared" si="0"/>
        <v/>
      </c>
      <c r="U41" s="130" t="str">
        <f t="shared" si="1"/>
        <v/>
      </c>
    </row>
    <row r="42" spans="1:21">
      <c r="A42" s="127">
        <v>37</v>
      </c>
      <c r="B42" s="128" t="str">
        <f>IF(DATA!D44="","",DATA!D44)</f>
        <v/>
      </c>
      <c r="C42" s="197" t="str">
        <f>IF(QH!W44="","",QH!W44)</f>
        <v/>
      </c>
      <c r="D42" s="197" t="str">
        <f>IF(AA!W44="","",AA!W44)</f>
        <v/>
      </c>
      <c r="E42" s="197" t="str">
        <f>IF(FIKIH!W44="","",FIKIH!W44)</f>
        <v/>
      </c>
      <c r="F42" s="197" t="str">
        <f>IF(SKI!W44="","",SKI!W44)</f>
        <v/>
      </c>
      <c r="G42" s="197" t="str">
        <f>IF(PKN!W44="","",PKN!W44)</f>
        <v/>
      </c>
      <c r="H42" s="197" t="str">
        <f>IF(INDO!W44="","",INDO!W44)</f>
        <v/>
      </c>
      <c r="I42" s="197" t="str">
        <f>IF(ARAB!W44="","",ARAB!W44)</f>
        <v/>
      </c>
      <c r="J42" s="197" t="str">
        <f>IF(MAT!W44="","",MAT!W44)</f>
        <v/>
      </c>
      <c r="K42" s="197" t="str">
        <f>IF(IPA!W44="","",IPA!W44)</f>
        <v/>
      </c>
      <c r="L42" s="197" t="str">
        <f>IF(IPS!W44="","",IPS!W44)</f>
        <v/>
      </c>
      <c r="M42" s="197" t="str">
        <f>IF(INGG!W44="","",INGG!W44)</f>
        <v/>
      </c>
      <c r="N42" s="197" t="str">
        <f>IF(SENBUD!W44="","",SENBUD!W44)</f>
        <v/>
      </c>
      <c r="O42" s="197" t="str">
        <f>IF(PENJAS!W44="","",PENJAS!W44)</f>
        <v/>
      </c>
      <c r="P42" s="197" t="str">
        <f>IF(PRAKARYA!W44="","",PRAKARYA!W44)</f>
        <v/>
      </c>
      <c r="Q42" s="197" t="str">
        <f>IF(BADER!W44="","",BADER!W44)</f>
        <v/>
      </c>
      <c r="R42" s="197" t="str">
        <f>IF(TAMB1!W44="","",TAMB1!W44)</f>
        <v/>
      </c>
      <c r="S42" s="197" t="str">
        <f>IF(TAMB2!W44="","",TAMB2!W44)</f>
        <v/>
      </c>
      <c r="T42" s="129" t="str">
        <f t="shared" si="0"/>
        <v/>
      </c>
      <c r="U42" s="130" t="str">
        <f t="shared" si="1"/>
        <v/>
      </c>
    </row>
    <row r="43" spans="1:21">
      <c r="A43" s="127">
        <v>38</v>
      </c>
      <c r="B43" s="128" t="str">
        <f>IF(DATA!D45="","",DATA!D45)</f>
        <v/>
      </c>
      <c r="C43" s="197" t="str">
        <f>IF(QH!W45="","",QH!W45)</f>
        <v/>
      </c>
      <c r="D43" s="197" t="str">
        <f>IF(AA!W45="","",AA!W45)</f>
        <v/>
      </c>
      <c r="E43" s="197" t="str">
        <f>IF(FIKIH!W45="","",FIKIH!W45)</f>
        <v/>
      </c>
      <c r="F43" s="197" t="str">
        <f>IF(SKI!W45="","",SKI!W45)</f>
        <v/>
      </c>
      <c r="G43" s="197" t="str">
        <f>IF(PKN!W45="","",PKN!W45)</f>
        <v/>
      </c>
      <c r="H43" s="197" t="str">
        <f>IF(INDO!W45="","",INDO!W45)</f>
        <v/>
      </c>
      <c r="I43" s="197" t="str">
        <f>IF(ARAB!W45="","",ARAB!W45)</f>
        <v/>
      </c>
      <c r="J43" s="197" t="str">
        <f>IF(MAT!W45="","",MAT!W45)</f>
        <v/>
      </c>
      <c r="K43" s="197" t="str">
        <f>IF(IPA!W45="","",IPA!W45)</f>
        <v/>
      </c>
      <c r="L43" s="197" t="str">
        <f>IF(IPS!W45="","",IPS!W45)</f>
        <v/>
      </c>
      <c r="M43" s="197" t="str">
        <f>IF(INGG!W45="","",INGG!W45)</f>
        <v/>
      </c>
      <c r="N43" s="197" t="str">
        <f>IF(SENBUD!W45="","",SENBUD!W45)</f>
        <v/>
      </c>
      <c r="O43" s="197" t="str">
        <f>IF(PENJAS!W45="","",PENJAS!W45)</f>
        <v/>
      </c>
      <c r="P43" s="197" t="str">
        <f>IF(PRAKARYA!W45="","",PRAKARYA!W45)</f>
        <v/>
      </c>
      <c r="Q43" s="197" t="str">
        <f>IF(BADER!W45="","",BADER!W45)</f>
        <v/>
      </c>
      <c r="R43" s="197" t="str">
        <f>IF(TAMB1!W45="","",TAMB1!W45)</f>
        <v/>
      </c>
      <c r="S43" s="197" t="str">
        <f>IF(TAMB2!W45="","",TAMB2!W45)</f>
        <v/>
      </c>
      <c r="T43" s="129" t="str">
        <f t="shared" si="0"/>
        <v/>
      </c>
      <c r="U43" s="130" t="str">
        <f t="shared" si="1"/>
        <v/>
      </c>
    </row>
    <row r="44" spans="1:21">
      <c r="A44" s="127">
        <v>39</v>
      </c>
      <c r="B44" s="128" t="str">
        <f>IF(DATA!D46="","",DATA!D46)</f>
        <v/>
      </c>
      <c r="C44" s="197" t="str">
        <f>IF(QH!W46="","",QH!W46)</f>
        <v/>
      </c>
      <c r="D44" s="197" t="str">
        <f>IF(AA!W46="","",AA!W46)</f>
        <v/>
      </c>
      <c r="E44" s="197" t="str">
        <f>IF(FIKIH!W46="","",FIKIH!W46)</f>
        <v/>
      </c>
      <c r="F44" s="197" t="str">
        <f>IF(SKI!W46="","",SKI!W46)</f>
        <v/>
      </c>
      <c r="G44" s="197" t="str">
        <f>IF(PKN!W46="","",PKN!W46)</f>
        <v/>
      </c>
      <c r="H44" s="197" t="str">
        <f>IF(INDO!W46="","",INDO!W46)</f>
        <v/>
      </c>
      <c r="I44" s="197" t="str">
        <f>IF(ARAB!W46="","",ARAB!W46)</f>
        <v/>
      </c>
      <c r="J44" s="197" t="str">
        <f>IF(MAT!W46="","",MAT!W46)</f>
        <v/>
      </c>
      <c r="K44" s="197" t="str">
        <f>IF(IPA!W46="","",IPA!W46)</f>
        <v/>
      </c>
      <c r="L44" s="197" t="str">
        <f>IF(IPS!W46="","",IPS!W46)</f>
        <v/>
      </c>
      <c r="M44" s="197" t="str">
        <f>IF(INGG!W46="","",INGG!W46)</f>
        <v/>
      </c>
      <c r="N44" s="197" t="str">
        <f>IF(SENBUD!W46="","",SENBUD!W46)</f>
        <v/>
      </c>
      <c r="O44" s="197" t="str">
        <f>IF(PENJAS!W46="","",PENJAS!W46)</f>
        <v/>
      </c>
      <c r="P44" s="197" t="str">
        <f>IF(PRAKARYA!W46="","",PRAKARYA!W46)</f>
        <v/>
      </c>
      <c r="Q44" s="197" t="str">
        <f>IF(BADER!W46="","",BADER!W46)</f>
        <v/>
      </c>
      <c r="R44" s="197" t="str">
        <f>IF(TAMB1!W46="","",TAMB1!W46)</f>
        <v/>
      </c>
      <c r="S44" s="197" t="str">
        <f>IF(TAMB2!W46="","",TAMB2!W46)</f>
        <v/>
      </c>
      <c r="T44" s="129" t="str">
        <f t="shared" si="0"/>
        <v/>
      </c>
      <c r="U44" s="130" t="str">
        <f t="shared" si="1"/>
        <v/>
      </c>
    </row>
    <row r="45" spans="1:21">
      <c r="A45" s="127">
        <v>40</v>
      </c>
      <c r="B45" s="128" t="str">
        <f>IF(DATA!D47="","",DATA!D47)</f>
        <v/>
      </c>
      <c r="C45" s="197" t="str">
        <f>IF(QH!W47="","",QH!W47)</f>
        <v/>
      </c>
      <c r="D45" s="197" t="str">
        <f>IF(AA!W47="","",AA!W47)</f>
        <v/>
      </c>
      <c r="E45" s="197" t="str">
        <f>IF(FIKIH!W47="","",FIKIH!W47)</f>
        <v/>
      </c>
      <c r="F45" s="197" t="str">
        <f>IF(SKI!W47="","",SKI!W47)</f>
        <v/>
      </c>
      <c r="G45" s="197" t="str">
        <f>IF(PKN!W47="","",PKN!W47)</f>
        <v/>
      </c>
      <c r="H45" s="197" t="str">
        <f>IF(INDO!W47="","",INDO!W47)</f>
        <v/>
      </c>
      <c r="I45" s="197" t="str">
        <f>IF(ARAB!W47="","",ARAB!W47)</f>
        <v/>
      </c>
      <c r="J45" s="197" t="str">
        <f>IF(MAT!W47="","",MAT!W47)</f>
        <v/>
      </c>
      <c r="K45" s="197" t="str">
        <f>IF(IPA!W47="","",IPA!W47)</f>
        <v/>
      </c>
      <c r="L45" s="197" t="str">
        <f>IF(IPS!W47="","",IPS!W47)</f>
        <v/>
      </c>
      <c r="M45" s="197" t="str">
        <f>IF(INGG!W47="","",INGG!W47)</f>
        <v/>
      </c>
      <c r="N45" s="197" t="str">
        <f>IF(SENBUD!W47="","",SENBUD!W47)</f>
        <v/>
      </c>
      <c r="O45" s="197" t="str">
        <f>IF(PENJAS!W47="","",PENJAS!W47)</f>
        <v/>
      </c>
      <c r="P45" s="197" t="str">
        <f>IF(PRAKARYA!W47="","",PRAKARYA!W47)</f>
        <v/>
      </c>
      <c r="Q45" s="197" t="str">
        <f>IF(BADER!W47="","",BADER!W47)</f>
        <v/>
      </c>
      <c r="R45" s="197" t="str">
        <f>IF(TAMB1!W47="","",TAMB1!W47)</f>
        <v/>
      </c>
      <c r="S45" s="197" t="str">
        <f>IF(TAMB2!W47="","",TAMB2!W47)</f>
        <v/>
      </c>
      <c r="T45" s="129" t="str">
        <f t="shared" si="0"/>
        <v/>
      </c>
      <c r="U45" s="130" t="str">
        <f t="shared" si="1"/>
        <v/>
      </c>
    </row>
    <row r="46" spans="1:21">
      <c r="A46" s="127">
        <v>41</v>
      </c>
      <c r="B46" s="128" t="str">
        <f>IF(DATA!D48="","",DATA!D48)</f>
        <v/>
      </c>
      <c r="C46" s="197" t="str">
        <f>IF(QH!W48="","",QH!W48)</f>
        <v/>
      </c>
      <c r="D46" s="197" t="str">
        <f>IF(AA!W48="","",AA!W48)</f>
        <v/>
      </c>
      <c r="E46" s="197" t="str">
        <f>IF(FIKIH!W48="","",FIKIH!W48)</f>
        <v/>
      </c>
      <c r="F46" s="197" t="str">
        <f>IF(SKI!W48="","",SKI!W48)</f>
        <v/>
      </c>
      <c r="G46" s="197" t="str">
        <f>IF(PKN!W48="","",PKN!W48)</f>
        <v/>
      </c>
      <c r="H46" s="197" t="str">
        <f>IF(INDO!W48="","",INDO!W48)</f>
        <v/>
      </c>
      <c r="I46" s="197" t="str">
        <f>IF(ARAB!W48="","",ARAB!W48)</f>
        <v/>
      </c>
      <c r="J46" s="197" t="str">
        <f>IF(MAT!W48="","",MAT!W48)</f>
        <v/>
      </c>
      <c r="K46" s="197" t="str">
        <f>IF(IPA!W48="","",IPA!W48)</f>
        <v/>
      </c>
      <c r="L46" s="197" t="str">
        <f>IF(IPS!W48="","",IPS!W48)</f>
        <v/>
      </c>
      <c r="M46" s="197" t="str">
        <f>IF(INGG!W48="","",INGG!W48)</f>
        <v/>
      </c>
      <c r="N46" s="197" t="str">
        <f>IF(SENBUD!W48="","",SENBUD!W48)</f>
        <v/>
      </c>
      <c r="O46" s="197" t="str">
        <f>IF(PENJAS!W48="","",PENJAS!W48)</f>
        <v/>
      </c>
      <c r="P46" s="197" t="str">
        <f>IF(PRAKARYA!W48="","",PRAKARYA!W48)</f>
        <v/>
      </c>
      <c r="Q46" s="197" t="str">
        <f>IF(BADER!W48="","",BADER!W48)</f>
        <v/>
      </c>
      <c r="R46" s="197" t="str">
        <f>IF(TAMB1!W48="","",TAMB1!W48)</f>
        <v/>
      </c>
      <c r="S46" s="197" t="str">
        <f>IF(TAMB2!W48="","",TAMB2!W48)</f>
        <v/>
      </c>
      <c r="T46" s="129" t="str">
        <f t="shared" si="0"/>
        <v/>
      </c>
      <c r="U46" s="130" t="str">
        <f t="shared" si="1"/>
        <v/>
      </c>
    </row>
    <row r="47" spans="1:21">
      <c r="A47" s="127">
        <v>42</v>
      </c>
      <c r="B47" s="128" t="str">
        <f>IF(DATA!D49="","",DATA!D49)</f>
        <v/>
      </c>
      <c r="C47" s="197" t="str">
        <f>IF(QH!W49="","",QH!W49)</f>
        <v/>
      </c>
      <c r="D47" s="197" t="str">
        <f>IF(AA!W49="","",AA!W49)</f>
        <v/>
      </c>
      <c r="E47" s="197" t="str">
        <f>IF(FIKIH!W49="","",FIKIH!W49)</f>
        <v/>
      </c>
      <c r="F47" s="197" t="str">
        <f>IF(SKI!W49="","",SKI!W49)</f>
        <v/>
      </c>
      <c r="G47" s="197" t="str">
        <f>IF(PKN!W49="","",PKN!W49)</f>
        <v/>
      </c>
      <c r="H47" s="197" t="str">
        <f>IF(INDO!W49="","",INDO!W49)</f>
        <v/>
      </c>
      <c r="I47" s="197" t="str">
        <f>IF(ARAB!W49="","",ARAB!W49)</f>
        <v/>
      </c>
      <c r="J47" s="197" t="str">
        <f>IF(MAT!W49="","",MAT!W49)</f>
        <v/>
      </c>
      <c r="K47" s="197" t="str">
        <f>IF(IPA!W49="","",IPA!W49)</f>
        <v/>
      </c>
      <c r="L47" s="197" t="str">
        <f>IF(IPS!W49="","",IPS!W49)</f>
        <v/>
      </c>
      <c r="M47" s="197" t="str">
        <f>IF(INGG!W49="","",INGG!W49)</f>
        <v/>
      </c>
      <c r="N47" s="197" t="str">
        <f>IF(SENBUD!W49="","",SENBUD!W49)</f>
        <v/>
      </c>
      <c r="O47" s="197" t="str">
        <f>IF(PENJAS!W49="","",PENJAS!W49)</f>
        <v/>
      </c>
      <c r="P47" s="197" t="str">
        <f>IF(PRAKARYA!W49="","",PRAKARYA!W49)</f>
        <v/>
      </c>
      <c r="Q47" s="197" t="str">
        <f>IF(BADER!W49="","",BADER!W49)</f>
        <v/>
      </c>
      <c r="R47" s="197" t="str">
        <f>IF(TAMB1!W49="","",TAMB1!W49)</f>
        <v/>
      </c>
      <c r="S47" s="197" t="str">
        <f>IF(TAMB2!W49="","",TAMB2!W49)</f>
        <v/>
      </c>
      <c r="T47" s="129" t="str">
        <f t="shared" si="0"/>
        <v/>
      </c>
      <c r="U47" s="130" t="str">
        <f t="shared" si="1"/>
        <v/>
      </c>
    </row>
    <row r="48" spans="1:21">
      <c r="A48" s="127">
        <v>43</v>
      </c>
      <c r="B48" s="128" t="str">
        <f>IF(DATA!D50="","",DATA!D50)</f>
        <v/>
      </c>
      <c r="C48" s="197" t="str">
        <f>IF(QH!W50="","",QH!W50)</f>
        <v/>
      </c>
      <c r="D48" s="197" t="str">
        <f>IF(AA!W50="","",AA!W50)</f>
        <v/>
      </c>
      <c r="E48" s="197" t="str">
        <f>IF(FIKIH!W50="","",FIKIH!W50)</f>
        <v/>
      </c>
      <c r="F48" s="197" t="str">
        <f>IF(SKI!W50="","",SKI!W50)</f>
        <v/>
      </c>
      <c r="G48" s="197" t="str">
        <f>IF(PKN!W50="","",PKN!W50)</f>
        <v/>
      </c>
      <c r="H48" s="197" t="str">
        <f>IF(INDO!W50="","",INDO!W50)</f>
        <v/>
      </c>
      <c r="I48" s="197" t="str">
        <f>IF(ARAB!W50="","",ARAB!W50)</f>
        <v/>
      </c>
      <c r="J48" s="197" t="str">
        <f>IF(MAT!W50="","",MAT!W50)</f>
        <v/>
      </c>
      <c r="K48" s="197" t="str">
        <f>IF(IPA!W50="","",IPA!W50)</f>
        <v/>
      </c>
      <c r="L48" s="197" t="str">
        <f>IF(IPS!W50="","",IPS!W50)</f>
        <v/>
      </c>
      <c r="M48" s="197" t="str">
        <f>IF(INGG!W50="","",INGG!W50)</f>
        <v/>
      </c>
      <c r="N48" s="197" t="str">
        <f>IF(SENBUD!W50="","",SENBUD!W50)</f>
        <v/>
      </c>
      <c r="O48" s="197" t="str">
        <f>IF(PENJAS!W50="","",PENJAS!W50)</f>
        <v/>
      </c>
      <c r="P48" s="197" t="str">
        <f>IF(PRAKARYA!W50="","",PRAKARYA!W50)</f>
        <v/>
      </c>
      <c r="Q48" s="197" t="str">
        <f>IF(BADER!W50="","",BADER!W50)</f>
        <v/>
      </c>
      <c r="R48" s="197" t="str">
        <f>IF(TAMB1!W50="","",TAMB1!W50)</f>
        <v/>
      </c>
      <c r="S48" s="197" t="str">
        <f>IF(TAMB2!W50="","",TAMB2!W50)</f>
        <v/>
      </c>
      <c r="T48" s="129" t="str">
        <f t="shared" si="0"/>
        <v/>
      </c>
      <c r="U48" s="130" t="str">
        <f t="shared" si="1"/>
        <v/>
      </c>
    </row>
    <row r="49" spans="1:21">
      <c r="A49" s="127">
        <v>44</v>
      </c>
      <c r="B49" s="128" t="str">
        <f>IF(DATA!D51="","",DATA!D51)</f>
        <v/>
      </c>
      <c r="C49" s="197" t="str">
        <f>IF(QH!W51="","",QH!W51)</f>
        <v/>
      </c>
      <c r="D49" s="197" t="str">
        <f>IF(AA!W51="","",AA!W51)</f>
        <v/>
      </c>
      <c r="E49" s="197" t="str">
        <f>IF(FIKIH!W51="","",FIKIH!W51)</f>
        <v/>
      </c>
      <c r="F49" s="197" t="str">
        <f>IF(SKI!W51="","",SKI!W51)</f>
        <v/>
      </c>
      <c r="G49" s="197" t="str">
        <f>IF(PKN!W51="","",PKN!W51)</f>
        <v/>
      </c>
      <c r="H49" s="197" t="str">
        <f>IF(INDO!W51="","",INDO!W51)</f>
        <v/>
      </c>
      <c r="I49" s="197" t="str">
        <f>IF(ARAB!W51="","",ARAB!W51)</f>
        <v/>
      </c>
      <c r="J49" s="197" t="str">
        <f>IF(MAT!W51="","",MAT!W51)</f>
        <v/>
      </c>
      <c r="K49" s="197" t="str">
        <f>IF(IPA!W51="","",IPA!W51)</f>
        <v/>
      </c>
      <c r="L49" s="197" t="str">
        <f>IF(IPS!W51="","",IPS!W51)</f>
        <v/>
      </c>
      <c r="M49" s="197" t="str">
        <f>IF(INGG!W51="","",INGG!W51)</f>
        <v/>
      </c>
      <c r="N49" s="197" t="str">
        <f>IF(SENBUD!W51="","",SENBUD!W51)</f>
        <v/>
      </c>
      <c r="O49" s="197" t="str">
        <f>IF(PENJAS!W51="","",PENJAS!W51)</f>
        <v/>
      </c>
      <c r="P49" s="197" t="str">
        <f>IF(PRAKARYA!W51="","",PRAKARYA!W51)</f>
        <v/>
      </c>
      <c r="Q49" s="197" t="str">
        <f>IF(BADER!W51="","",BADER!W51)</f>
        <v/>
      </c>
      <c r="R49" s="197" t="str">
        <f>IF(TAMB1!W51="","",TAMB1!W51)</f>
        <v/>
      </c>
      <c r="S49" s="197" t="str">
        <f>IF(TAMB2!W51="","",TAMB2!W51)</f>
        <v/>
      </c>
      <c r="T49" s="129" t="str">
        <f t="shared" si="0"/>
        <v/>
      </c>
      <c r="U49" s="130" t="str">
        <f t="shared" si="1"/>
        <v/>
      </c>
    </row>
    <row r="50" spans="1:21">
      <c r="A50" s="127">
        <v>45</v>
      </c>
      <c r="B50" s="128" t="str">
        <f>IF(DATA!D52="","",DATA!D52)</f>
        <v/>
      </c>
      <c r="C50" s="197" t="str">
        <f>IF(QH!W52="","",QH!W52)</f>
        <v/>
      </c>
      <c r="D50" s="197" t="str">
        <f>IF(AA!W52="","",AA!W52)</f>
        <v/>
      </c>
      <c r="E50" s="197" t="str">
        <f>IF(FIKIH!W52="","",FIKIH!W52)</f>
        <v/>
      </c>
      <c r="F50" s="197" t="str">
        <f>IF(SKI!W52="","",SKI!W52)</f>
        <v/>
      </c>
      <c r="G50" s="197" t="str">
        <f>IF(PKN!W52="","",PKN!W52)</f>
        <v/>
      </c>
      <c r="H50" s="197" t="str">
        <f>IF(INDO!W52="","",INDO!W52)</f>
        <v/>
      </c>
      <c r="I50" s="197" t="str">
        <f>IF(ARAB!W52="","",ARAB!W52)</f>
        <v/>
      </c>
      <c r="J50" s="197" t="str">
        <f>IF(MAT!W52="","",MAT!W52)</f>
        <v/>
      </c>
      <c r="K50" s="197" t="str">
        <f>IF(IPA!W52="","",IPA!W52)</f>
        <v/>
      </c>
      <c r="L50" s="197" t="str">
        <f>IF(IPS!W52="","",IPS!W52)</f>
        <v/>
      </c>
      <c r="M50" s="197" t="str">
        <f>IF(INGG!W52="","",INGG!W52)</f>
        <v/>
      </c>
      <c r="N50" s="197" t="str">
        <f>IF(SENBUD!W52="","",SENBUD!W52)</f>
        <v/>
      </c>
      <c r="O50" s="197" t="str">
        <f>IF(PENJAS!W52="","",PENJAS!W52)</f>
        <v/>
      </c>
      <c r="P50" s="197" t="str">
        <f>IF(PRAKARYA!W52="","",PRAKARYA!W52)</f>
        <v/>
      </c>
      <c r="Q50" s="197" t="str">
        <f>IF(BADER!W52="","",BADER!W52)</f>
        <v/>
      </c>
      <c r="R50" s="197" t="str">
        <f>IF(TAMB1!W52="","",TAMB1!W52)</f>
        <v/>
      </c>
      <c r="S50" s="197" t="str">
        <f>IF(TAMB2!W52="","",TAMB2!W52)</f>
        <v/>
      </c>
      <c r="T50" s="129" t="str">
        <f t="shared" si="0"/>
        <v/>
      </c>
      <c r="U50" s="130" t="str">
        <f t="shared" si="1"/>
        <v/>
      </c>
    </row>
    <row r="51" spans="1:21">
      <c r="A51" s="127">
        <v>46</v>
      </c>
      <c r="B51" s="128" t="str">
        <f>IF(DATA!D53="","",DATA!D53)</f>
        <v/>
      </c>
      <c r="C51" s="197" t="str">
        <f>IF(QH!W53="","",QH!W53)</f>
        <v/>
      </c>
      <c r="D51" s="197" t="str">
        <f>IF(AA!W53="","",AA!W53)</f>
        <v/>
      </c>
      <c r="E51" s="197" t="str">
        <f>IF(FIKIH!W53="","",FIKIH!W53)</f>
        <v/>
      </c>
      <c r="F51" s="197" t="str">
        <f>IF(SKI!W53="","",SKI!W53)</f>
        <v/>
      </c>
      <c r="G51" s="197" t="str">
        <f>IF(PKN!W53="","",PKN!W53)</f>
        <v/>
      </c>
      <c r="H51" s="197" t="str">
        <f>IF(INDO!W53="","",INDO!W53)</f>
        <v/>
      </c>
      <c r="I51" s="197" t="str">
        <f>IF(ARAB!W53="","",ARAB!W53)</f>
        <v/>
      </c>
      <c r="J51" s="197" t="str">
        <f>IF(MAT!W53="","",MAT!W53)</f>
        <v/>
      </c>
      <c r="K51" s="197" t="str">
        <f>IF(IPA!W53="","",IPA!W53)</f>
        <v/>
      </c>
      <c r="L51" s="197" t="str">
        <f>IF(IPS!W53="","",IPS!W53)</f>
        <v/>
      </c>
      <c r="M51" s="197" t="str">
        <f>IF(INGG!W53="","",INGG!W53)</f>
        <v/>
      </c>
      <c r="N51" s="197" t="str">
        <f>IF(SENBUD!W53="","",SENBUD!W53)</f>
        <v/>
      </c>
      <c r="O51" s="197" t="str">
        <f>IF(PENJAS!W53="","",PENJAS!W53)</f>
        <v/>
      </c>
      <c r="P51" s="197" t="str">
        <f>IF(PRAKARYA!W53="","",PRAKARYA!W53)</f>
        <v/>
      </c>
      <c r="Q51" s="197" t="str">
        <f>IF(BADER!W53="","",BADER!W53)</f>
        <v/>
      </c>
      <c r="R51" s="197" t="str">
        <f>IF(TAMB1!W53="","",TAMB1!W53)</f>
        <v/>
      </c>
      <c r="S51" s="197" t="str">
        <f>IF(TAMB2!W53="","",TAMB2!W53)</f>
        <v/>
      </c>
      <c r="T51" s="129" t="str">
        <f t="shared" si="0"/>
        <v/>
      </c>
      <c r="U51" s="130" t="str">
        <f t="shared" si="1"/>
        <v/>
      </c>
    </row>
    <row r="52" spans="1:21">
      <c r="A52" s="127">
        <v>47</v>
      </c>
      <c r="B52" s="128" t="str">
        <f>IF(DATA!D54="","",DATA!D54)</f>
        <v/>
      </c>
      <c r="C52" s="197" t="str">
        <f>IF(QH!W54="","",QH!W54)</f>
        <v/>
      </c>
      <c r="D52" s="197" t="str">
        <f>IF(AA!W54="","",AA!W54)</f>
        <v/>
      </c>
      <c r="E52" s="197" t="str">
        <f>IF(FIKIH!W54="","",FIKIH!W54)</f>
        <v/>
      </c>
      <c r="F52" s="197" t="str">
        <f>IF(SKI!W54="","",SKI!W54)</f>
        <v/>
      </c>
      <c r="G52" s="197" t="str">
        <f>IF(PKN!W54="","",PKN!W54)</f>
        <v/>
      </c>
      <c r="H52" s="197" t="str">
        <f>IF(INDO!W54="","",INDO!W54)</f>
        <v/>
      </c>
      <c r="I52" s="197" t="str">
        <f>IF(ARAB!W54="","",ARAB!W54)</f>
        <v/>
      </c>
      <c r="J52" s="197" t="str">
        <f>IF(MAT!W54="","",MAT!W54)</f>
        <v/>
      </c>
      <c r="K52" s="197" t="str">
        <f>IF(IPA!W54="","",IPA!W54)</f>
        <v/>
      </c>
      <c r="L52" s="197" t="str">
        <f>IF(IPS!W54="","",IPS!W54)</f>
        <v/>
      </c>
      <c r="M52" s="197" t="str">
        <f>IF(INGG!W54="","",INGG!W54)</f>
        <v/>
      </c>
      <c r="N52" s="197" t="str">
        <f>IF(SENBUD!W54="","",SENBUD!W54)</f>
        <v/>
      </c>
      <c r="O52" s="197" t="str">
        <f>IF(PENJAS!W54="","",PENJAS!W54)</f>
        <v/>
      </c>
      <c r="P52" s="197" t="str">
        <f>IF(PRAKARYA!W54="","",PRAKARYA!W54)</f>
        <v/>
      </c>
      <c r="Q52" s="197" t="str">
        <f>IF(BADER!W54="","",BADER!W54)</f>
        <v/>
      </c>
      <c r="R52" s="197" t="str">
        <f>IF(TAMB1!W54="","",TAMB1!W54)</f>
        <v/>
      </c>
      <c r="S52" s="197" t="str">
        <f>IF(TAMB2!W54="","",TAMB2!W54)</f>
        <v/>
      </c>
      <c r="T52" s="129" t="str">
        <f t="shared" si="0"/>
        <v/>
      </c>
      <c r="U52" s="130" t="str">
        <f t="shared" si="1"/>
        <v/>
      </c>
    </row>
    <row r="53" spans="1:21">
      <c r="A53" s="127">
        <v>48</v>
      </c>
      <c r="B53" s="128" t="str">
        <f>IF(DATA!D55="","",DATA!D55)</f>
        <v/>
      </c>
      <c r="C53" s="197" t="str">
        <f>IF(QH!W55="","",QH!W55)</f>
        <v/>
      </c>
      <c r="D53" s="197" t="str">
        <f>IF(AA!W55="","",AA!W55)</f>
        <v/>
      </c>
      <c r="E53" s="197" t="str">
        <f>IF(FIKIH!W55="","",FIKIH!W55)</f>
        <v/>
      </c>
      <c r="F53" s="197" t="str">
        <f>IF(SKI!W55="","",SKI!W55)</f>
        <v/>
      </c>
      <c r="G53" s="197" t="str">
        <f>IF(PKN!W55="","",PKN!W55)</f>
        <v/>
      </c>
      <c r="H53" s="197" t="str">
        <f>IF(INDO!W55="","",INDO!W55)</f>
        <v/>
      </c>
      <c r="I53" s="197" t="str">
        <f>IF(ARAB!W55="","",ARAB!W55)</f>
        <v/>
      </c>
      <c r="J53" s="197" t="str">
        <f>IF(MAT!W55="","",MAT!W55)</f>
        <v/>
      </c>
      <c r="K53" s="197" t="str">
        <f>IF(IPA!W55="","",IPA!W55)</f>
        <v/>
      </c>
      <c r="L53" s="197" t="str">
        <f>IF(IPS!W55="","",IPS!W55)</f>
        <v/>
      </c>
      <c r="M53" s="197" t="str">
        <f>IF(INGG!W55="","",INGG!W55)</f>
        <v/>
      </c>
      <c r="N53" s="197" t="str">
        <f>IF(SENBUD!W55="","",SENBUD!W55)</f>
        <v/>
      </c>
      <c r="O53" s="197" t="str">
        <f>IF(PENJAS!W55="","",PENJAS!W55)</f>
        <v/>
      </c>
      <c r="P53" s="197" t="str">
        <f>IF(PRAKARYA!W55="","",PRAKARYA!W55)</f>
        <v/>
      </c>
      <c r="Q53" s="197" t="str">
        <f>IF(BADER!W55="","",BADER!W55)</f>
        <v/>
      </c>
      <c r="R53" s="197" t="str">
        <f>IF(TAMB1!W55="","",TAMB1!W55)</f>
        <v/>
      </c>
      <c r="S53" s="197" t="str">
        <f>IF(TAMB2!W55="","",TAMB2!W55)</f>
        <v/>
      </c>
      <c r="T53" s="129" t="str">
        <f t="shared" si="0"/>
        <v/>
      </c>
      <c r="U53" s="130" t="str">
        <f t="shared" si="1"/>
        <v/>
      </c>
    </row>
  </sheetData>
  <sheetProtection password="D4C3" sheet="1" scenarios="1" formatCells="0" formatColumns="0" formatRows="0" insertColumns="0" insertRows="0" deleteColumns="0" deleteRows="0"/>
  <mergeCells count="23">
    <mergeCell ref="C1:S1"/>
    <mergeCell ref="A3:A5"/>
    <mergeCell ref="B3:B5"/>
    <mergeCell ref="T3:T5"/>
    <mergeCell ref="U3:U5"/>
    <mergeCell ref="C4:C5"/>
    <mergeCell ref="D4:D5"/>
    <mergeCell ref="E4:E5"/>
    <mergeCell ref="F4:F5"/>
    <mergeCell ref="G4:G5"/>
    <mergeCell ref="H2:N2"/>
    <mergeCell ref="R4:R5"/>
    <mergeCell ref="S4:S5"/>
    <mergeCell ref="H4:H5"/>
    <mergeCell ref="I4:I5"/>
    <mergeCell ref="J4:J5"/>
    <mergeCell ref="P4:P5"/>
    <mergeCell ref="Q4:Q5"/>
    <mergeCell ref="K4:K5"/>
    <mergeCell ref="L4:L5"/>
    <mergeCell ref="M4:M5"/>
    <mergeCell ref="N4:N5"/>
    <mergeCell ref="O4:O5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AH55"/>
  <sheetViews>
    <sheetView workbookViewId="0">
      <selection activeCell="E9" sqref="E9"/>
    </sheetView>
  </sheetViews>
  <sheetFormatPr defaultRowHeight="15"/>
  <cols>
    <col min="1" max="1" width="4.28515625" style="6" customWidth="1"/>
    <col min="2" max="2" width="41" style="20" customWidth="1"/>
    <col min="3" max="12" width="5.7109375" style="20" customWidth="1"/>
    <col min="13" max="18" width="5.7109375" style="6" customWidth="1"/>
    <col min="19" max="19" width="7.7109375" style="6" customWidth="1"/>
    <col min="20" max="20" width="9.5703125" style="6" customWidth="1"/>
    <col min="21" max="21" width="7" style="6" customWidth="1"/>
    <col min="22" max="22" width="6.28515625" style="6" customWidth="1"/>
    <col min="23" max="23" width="7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 t="str">
        <f>UTAMA!D15</f>
        <v>VII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73</v>
      </c>
      <c r="Q3" s="11"/>
      <c r="R3" s="11"/>
      <c r="S3" s="11"/>
      <c r="T3" s="11"/>
      <c r="U3" s="11"/>
      <c r="V3" s="12"/>
      <c r="W3" s="12"/>
    </row>
    <row r="4" spans="1:34">
      <c r="A4" s="132" t="s">
        <v>130</v>
      </c>
      <c r="B4" s="132" t="s">
        <v>131</v>
      </c>
      <c r="C4" s="132" t="s">
        <v>132</v>
      </c>
      <c r="D4" s="132" t="s">
        <v>133</v>
      </c>
      <c r="E4" s="132" t="s">
        <v>134</v>
      </c>
      <c r="F4" s="132" t="s">
        <v>135</v>
      </c>
      <c r="G4" s="132" t="s">
        <v>136</v>
      </c>
      <c r="H4" s="132" t="s">
        <v>137</v>
      </c>
      <c r="I4" s="132" t="s">
        <v>138</v>
      </c>
      <c r="J4" s="132" t="s">
        <v>139</v>
      </c>
      <c r="K4" s="132" t="s">
        <v>140</v>
      </c>
      <c r="L4" s="132" t="s">
        <v>141</v>
      </c>
      <c r="M4" s="132" t="s">
        <v>142</v>
      </c>
      <c r="N4" s="132" t="s">
        <v>143</v>
      </c>
      <c r="O4" s="132" t="s">
        <v>144</v>
      </c>
      <c r="P4" s="132" t="s">
        <v>145</v>
      </c>
      <c r="Q4" s="132" t="s">
        <v>146</v>
      </c>
      <c r="R4" s="132" t="s">
        <v>147</v>
      </c>
      <c r="S4" s="132" t="s">
        <v>148</v>
      </c>
      <c r="T4" s="132" t="s">
        <v>149</v>
      </c>
      <c r="U4" s="132" t="s">
        <v>150</v>
      </c>
      <c r="V4" s="132" t="s">
        <v>151</v>
      </c>
      <c r="W4" s="132" t="s">
        <v>152</v>
      </c>
    </row>
    <row r="5" spans="1:34">
      <c r="A5" s="355" t="s">
        <v>49</v>
      </c>
      <c r="B5" s="356" t="s">
        <v>50</v>
      </c>
      <c r="C5" s="357" t="s">
        <v>51</v>
      </c>
      <c r="D5" s="357"/>
      <c r="E5" s="357"/>
      <c r="F5" s="357"/>
      <c r="G5" s="357"/>
      <c r="H5" s="357"/>
      <c r="I5" s="357"/>
      <c r="J5" s="357"/>
      <c r="K5" s="357"/>
      <c r="L5" s="357"/>
      <c r="M5" s="358" t="s">
        <v>52</v>
      </c>
      <c r="N5" s="359"/>
      <c r="O5" s="359"/>
      <c r="P5" s="359"/>
      <c r="Q5" s="359"/>
      <c r="R5" s="359"/>
      <c r="S5" s="359"/>
      <c r="T5" s="359"/>
      <c r="U5" s="359"/>
      <c r="V5" s="360"/>
      <c r="W5" s="361" t="s">
        <v>353</v>
      </c>
      <c r="X5" s="352" t="s">
        <v>115</v>
      </c>
      <c r="Y5" s="353"/>
      <c r="Z5" s="353"/>
      <c r="AA5" s="353"/>
      <c r="AB5" s="353"/>
      <c r="AC5" s="353"/>
      <c r="AD5" s="353"/>
      <c r="AE5" s="353"/>
      <c r="AF5" s="353"/>
      <c r="AG5" s="353"/>
      <c r="AH5" s="354" t="s">
        <v>31</v>
      </c>
    </row>
    <row r="6" spans="1:34">
      <c r="A6" s="355"/>
      <c r="B6" s="356"/>
      <c r="C6" s="343" t="s">
        <v>54</v>
      </c>
      <c r="D6" s="344"/>
      <c r="E6" s="344"/>
      <c r="F6" s="344"/>
      <c r="G6" s="345" t="s">
        <v>36</v>
      </c>
      <c r="H6" s="346" t="s">
        <v>346</v>
      </c>
      <c r="I6" s="347" t="s">
        <v>53</v>
      </c>
      <c r="J6" s="346" t="s">
        <v>351</v>
      </c>
      <c r="K6" s="367" t="s">
        <v>344</v>
      </c>
      <c r="L6" s="367" t="s">
        <v>345</v>
      </c>
      <c r="M6" s="358" t="s">
        <v>54</v>
      </c>
      <c r="N6" s="359"/>
      <c r="O6" s="359"/>
      <c r="P6" s="359"/>
      <c r="Q6" s="359"/>
      <c r="R6" s="359"/>
      <c r="S6" s="364" t="s">
        <v>352</v>
      </c>
      <c r="T6" s="366" t="s">
        <v>347</v>
      </c>
      <c r="U6" s="366" t="s">
        <v>344</v>
      </c>
      <c r="V6" s="366" t="s">
        <v>345</v>
      </c>
      <c r="W6" s="362"/>
      <c r="X6" s="348" t="s">
        <v>116</v>
      </c>
      <c r="Y6" s="349"/>
      <c r="Z6" s="350" t="s">
        <v>117</v>
      </c>
      <c r="AA6" s="351"/>
      <c r="AB6" s="351"/>
      <c r="AC6" s="351"/>
      <c r="AD6" s="351"/>
      <c r="AE6" s="351"/>
      <c r="AF6" s="351"/>
      <c r="AG6" s="351"/>
      <c r="AH6" s="354"/>
    </row>
    <row r="7" spans="1:34" ht="30">
      <c r="A7" s="355"/>
      <c r="B7" s="356"/>
      <c r="C7" s="16" t="s">
        <v>32</v>
      </c>
      <c r="D7" s="16" t="s">
        <v>33</v>
      </c>
      <c r="E7" s="16" t="s">
        <v>34</v>
      </c>
      <c r="F7" s="190" t="s">
        <v>35</v>
      </c>
      <c r="G7" s="345"/>
      <c r="H7" s="346"/>
      <c r="I7" s="347"/>
      <c r="J7" s="346"/>
      <c r="K7" s="367"/>
      <c r="L7" s="367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65"/>
      <c r="T7" s="366"/>
      <c r="U7" s="366"/>
      <c r="V7" s="366"/>
      <c r="W7" s="363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54"/>
    </row>
    <row r="8" spans="1:34">
      <c r="A8" s="18">
        <v>1</v>
      </c>
      <c r="B8" s="19" t="str">
        <f>DATA!D8</f>
        <v>Abd. Muis</v>
      </c>
      <c r="C8" s="25">
        <v>80</v>
      </c>
      <c r="D8" s="25">
        <v>80</v>
      </c>
      <c r="E8" s="25">
        <v>80</v>
      </c>
      <c r="F8" s="25">
        <v>85</v>
      </c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96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Achmad Buka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96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96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96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96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96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96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96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96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96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96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96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96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96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96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96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96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96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96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96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96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96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96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96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96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96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96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96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96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96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96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96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96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96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96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96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96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96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96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96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96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96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96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96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96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96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96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96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 formatCells="0" formatColumns="0" formatRows="0" insertColumns="0" insertRows="0" deleteColumns="0" deleteRows="0"/>
  <mergeCells count="21">
    <mergeCell ref="X6:Y6"/>
    <mergeCell ref="Z6:AG6"/>
    <mergeCell ref="X5:AG5"/>
    <mergeCell ref="AH5:AH7"/>
    <mergeCell ref="A5:A7"/>
    <mergeCell ref="B5:B7"/>
    <mergeCell ref="C5:L5"/>
    <mergeCell ref="M5:V5"/>
    <mergeCell ref="W5:W7"/>
    <mergeCell ref="M6:R6"/>
    <mergeCell ref="S6:S7"/>
    <mergeCell ref="T6:T7"/>
    <mergeCell ref="U6:U7"/>
    <mergeCell ref="V6:V7"/>
    <mergeCell ref="K6:K7"/>
    <mergeCell ref="L6:L7"/>
    <mergeCell ref="C6:F6"/>
    <mergeCell ref="G6:G7"/>
    <mergeCell ref="H6:H7"/>
    <mergeCell ref="I6:I7"/>
    <mergeCell ref="J6:J7"/>
  </mergeCells>
  <pageMargins left="0.7" right="0.7" top="0.75" bottom="0.75" header="0.3" footer="0.3"/>
  <pageSetup paperSize="9" orientation="portrait" horizontalDpi="4294967292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/>
  <dimension ref="A1:AH55"/>
  <sheetViews>
    <sheetView workbookViewId="0"/>
  </sheetViews>
  <sheetFormatPr defaultRowHeight="15"/>
  <cols>
    <col min="1" max="1" width="4.28515625" style="6" customWidth="1"/>
    <col min="2" max="2" width="41" style="20" customWidth="1"/>
    <col min="3" max="12" width="6" style="20" customWidth="1"/>
    <col min="13" max="22" width="6" style="6" customWidth="1"/>
    <col min="23" max="23" width="5.425781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 t="str">
        <f>UTAMA!D15</f>
        <v>VII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74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ht="15" customHeight="1">
      <c r="A5" s="355" t="s">
        <v>49</v>
      </c>
      <c r="B5" s="356" t="s">
        <v>50</v>
      </c>
      <c r="C5" s="357" t="s">
        <v>51</v>
      </c>
      <c r="D5" s="357"/>
      <c r="E5" s="357"/>
      <c r="F5" s="357"/>
      <c r="G5" s="357"/>
      <c r="H5" s="357"/>
      <c r="I5" s="357"/>
      <c r="J5" s="357"/>
      <c r="K5" s="357"/>
      <c r="L5" s="357"/>
      <c r="M5" s="358" t="s">
        <v>52</v>
      </c>
      <c r="N5" s="359"/>
      <c r="O5" s="359"/>
      <c r="P5" s="359"/>
      <c r="Q5" s="359"/>
      <c r="R5" s="359"/>
      <c r="S5" s="359"/>
      <c r="T5" s="359"/>
      <c r="U5" s="359"/>
      <c r="V5" s="360"/>
      <c r="W5" s="361" t="s">
        <v>353</v>
      </c>
      <c r="X5" s="352" t="s">
        <v>115</v>
      </c>
      <c r="Y5" s="353"/>
      <c r="Z5" s="353"/>
      <c r="AA5" s="353"/>
      <c r="AB5" s="353"/>
      <c r="AC5" s="353"/>
      <c r="AD5" s="353"/>
      <c r="AE5" s="353"/>
      <c r="AF5" s="353"/>
      <c r="AG5" s="353"/>
      <c r="AH5" s="354" t="s">
        <v>31</v>
      </c>
    </row>
    <row r="6" spans="1:34" ht="15" customHeight="1">
      <c r="A6" s="355"/>
      <c r="B6" s="356"/>
      <c r="C6" s="343" t="s">
        <v>54</v>
      </c>
      <c r="D6" s="344"/>
      <c r="E6" s="344"/>
      <c r="F6" s="344"/>
      <c r="G6" s="345" t="s">
        <v>36</v>
      </c>
      <c r="H6" s="346" t="s">
        <v>346</v>
      </c>
      <c r="I6" s="347" t="s">
        <v>53</v>
      </c>
      <c r="J6" s="346" t="s">
        <v>351</v>
      </c>
      <c r="K6" s="367" t="s">
        <v>344</v>
      </c>
      <c r="L6" s="367" t="s">
        <v>345</v>
      </c>
      <c r="M6" s="358" t="s">
        <v>54</v>
      </c>
      <c r="N6" s="359"/>
      <c r="O6" s="359"/>
      <c r="P6" s="359"/>
      <c r="Q6" s="359"/>
      <c r="R6" s="359"/>
      <c r="S6" s="364" t="s">
        <v>352</v>
      </c>
      <c r="T6" s="366" t="s">
        <v>347</v>
      </c>
      <c r="U6" s="366" t="s">
        <v>344</v>
      </c>
      <c r="V6" s="366" t="s">
        <v>345</v>
      </c>
      <c r="W6" s="362"/>
      <c r="X6" s="348" t="s">
        <v>116</v>
      </c>
      <c r="Y6" s="349"/>
      <c r="Z6" s="350" t="s">
        <v>117</v>
      </c>
      <c r="AA6" s="351"/>
      <c r="AB6" s="351"/>
      <c r="AC6" s="351"/>
      <c r="AD6" s="351"/>
      <c r="AE6" s="351"/>
      <c r="AF6" s="351"/>
      <c r="AG6" s="351"/>
      <c r="AH6" s="354"/>
    </row>
    <row r="7" spans="1:34" ht="30">
      <c r="A7" s="355"/>
      <c r="B7" s="356"/>
      <c r="C7" s="16" t="s">
        <v>32</v>
      </c>
      <c r="D7" s="16" t="s">
        <v>33</v>
      </c>
      <c r="E7" s="16" t="s">
        <v>34</v>
      </c>
      <c r="F7" s="190" t="s">
        <v>35</v>
      </c>
      <c r="G7" s="345"/>
      <c r="H7" s="346"/>
      <c r="I7" s="347"/>
      <c r="J7" s="346"/>
      <c r="K7" s="367"/>
      <c r="L7" s="367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65"/>
      <c r="T7" s="366"/>
      <c r="U7" s="366"/>
      <c r="V7" s="366"/>
      <c r="W7" s="363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54"/>
    </row>
    <row r="8" spans="1:34">
      <c r="A8" s="18">
        <v>1</v>
      </c>
      <c r="B8" s="19" t="str">
        <f>DATA!D8</f>
        <v>Abd. Muis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Achmad Buka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  <mergeCell ref="K6:K7"/>
    <mergeCell ref="L6:L7"/>
    <mergeCell ref="M6:R6"/>
    <mergeCell ref="S6:S7"/>
    <mergeCell ref="T6:T7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AH55"/>
  <sheetViews>
    <sheetView workbookViewId="0">
      <selection activeCell="H14" sqref="H14"/>
    </sheetView>
  </sheetViews>
  <sheetFormatPr defaultRowHeight="15"/>
  <cols>
    <col min="1" max="1" width="4.28515625" style="6" customWidth="1"/>
    <col min="2" max="2" width="41" style="20" customWidth="1"/>
    <col min="3" max="12" width="6.28515625" style="20" customWidth="1"/>
    <col min="13" max="23" width="6.285156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 t="str">
        <f>UTAMA!D15</f>
        <v>VII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62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ht="15" customHeight="1">
      <c r="A5" s="355" t="s">
        <v>49</v>
      </c>
      <c r="B5" s="356" t="s">
        <v>50</v>
      </c>
      <c r="C5" s="357" t="s">
        <v>51</v>
      </c>
      <c r="D5" s="357"/>
      <c r="E5" s="357"/>
      <c r="F5" s="357"/>
      <c r="G5" s="357"/>
      <c r="H5" s="357"/>
      <c r="I5" s="357"/>
      <c r="J5" s="357"/>
      <c r="K5" s="357"/>
      <c r="L5" s="357"/>
      <c r="M5" s="358" t="s">
        <v>52</v>
      </c>
      <c r="N5" s="359"/>
      <c r="O5" s="359"/>
      <c r="P5" s="359"/>
      <c r="Q5" s="359"/>
      <c r="R5" s="359"/>
      <c r="S5" s="359"/>
      <c r="T5" s="359"/>
      <c r="U5" s="359"/>
      <c r="V5" s="360"/>
      <c r="W5" s="361" t="s">
        <v>353</v>
      </c>
      <c r="X5" s="352" t="s">
        <v>115</v>
      </c>
      <c r="Y5" s="353"/>
      <c r="Z5" s="353"/>
      <c r="AA5" s="353"/>
      <c r="AB5" s="353"/>
      <c r="AC5" s="353"/>
      <c r="AD5" s="353"/>
      <c r="AE5" s="353"/>
      <c r="AF5" s="353"/>
      <c r="AG5" s="353"/>
      <c r="AH5" s="354" t="s">
        <v>31</v>
      </c>
    </row>
    <row r="6" spans="1:34" ht="15" customHeight="1">
      <c r="A6" s="355"/>
      <c r="B6" s="356"/>
      <c r="C6" s="343" t="s">
        <v>54</v>
      </c>
      <c r="D6" s="344"/>
      <c r="E6" s="344"/>
      <c r="F6" s="344"/>
      <c r="G6" s="345" t="s">
        <v>36</v>
      </c>
      <c r="H6" s="346" t="s">
        <v>346</v>
      </c>
      <c r="I6" s="347" t="s">
        <v>53</v>
      </c>
      <c r="J6" s="346" t="s">
        <v>351</v>
      </c>
      <c r="K6" s="367" t="s">
        <v>344</v>
      </c>
      <c r="L6" s="367" t="s">
        <v>345</v>
      </c>
      <c r="M6" s="358" t="s">
        <v>54</v>
      </c>
      <c r="N6" s="359"/>
      <c r="O6" s="359"/>
      <c r="P6" s="359"/>
      <c r="Q6" s="359"/>
      <c r="R6" s="359"/>
      <c r="S6" s="364" t="s">
        <v>352</v>
      </c>
      <c r="T6" s="366" t="s">
        <v>347</v>
      </c>
      <c r="U6" s="366" t="s">
        <v>344</v>
      </c>
      <c r="V6" s="366" t="s">
        <v>345</v>
      </c>
      <c r="W6" s="362"/>
      <c r="X6" s="348" t="s">
        <v>116</v>
      </c>
      <c r="Y6" s="349"/>
      <c r="Z6" s="350" t="s">
        <v>117</v>
      </c>
      <c r="AA6" s="351"/>
      <c r="AB6" s="351"/>
      <c r="AC6" s="351"/>
      <c r="AD6" s="351"/>
      <c r="AE6" s="351"/>
      <c r="AF6" s="351"/>
      <c r="AG6" s="351"/>
      <c r="AH6" s="354"/>
    </row>
    <row r="7" spans="1:34" ht="30">
      <c r="A7" s="355"/>
      <c r="B7" s="356"/>
      <c r="C7" s="16" t="s">
        <v>32</v>
      </c>
      <c r="D7" s="16" t="s">
        <v>33</v>
      </c>
      <c r="E7" s="16" t="s">
        <v>34</v>
      </c>
      <c r="F7" s="190" t="s">
        <v>35</v>
      </c>
      <c r="G7" s="345"/>
      <c r="H7" s="346"/>
      <c r="I7" s="347"/>
      <c r="J7" s="346"/>
      <c r="K7" s="367"/>
      <c r="L7" s="367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65"/>
      <c r="T7" s="366"/>
      <c r="U7" s="366"/>
      <c r="V7" s="366"/>
      <c r="W7" s="363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54"/>
    </row>
    <row r="8" spans="1:34">
      <c r="A8" s="18">
        <v>1</v>
      </c>
      <c r="B8" s="19" t="str">
        <f>DATA!D8</f>
        <v>Abd. Muis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Achmad Buka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  <mergeCell ref="K6:K7"/>
    <mergeCell ref="L6:L7"/>
    <mergeCell ref="M6:R6"/>
    <mergeCell ref="S6:S7"/>
    <mergeCell ref="T6:T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7"/>
  <dimension ref="A1:AH55"/>
  <sheetViews>
    <sheetView zoomScale="90" zoomScaleNormal="90" workbookViewId="0">
      <selection activeCell="I8" sqref="I8"/>
    </sheetView>
  </sheetViews>
  <sheetFormatPr defaultRowHeight="15"/>
  <cols>
    <col min="1" max="1" width="4.28515625" style="6" customWidth="1"/>
    <col min="2" max="2" width="41" style="20" customWidth="1"/>
    <col min="3" max="12" width="6.7109375" style="20" customWidth="1"/>
    <col min="13" max="22" width="6.7109375" style="6" customWidth="1"/>
    <col min="23" max="23" width="5.425781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 t="str">
        <f>UTAMA!D15</f>
        <v>VII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63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ht="15" customHeight="1">
      <c r="A5" s="355" t="s">
        <v>49</v>
      </c>
      <c r="B5" s="356" t="s">
        <v>50</v>
      </c>
      <c r="C5" s="357" t="s">
        <v>51</v>
      </c>
      <c r="D5" s="357"/>
      <c r="E5" s="357"/>
      <c r="F5" s="357"/>
      <c r="G5" s="357"/>
      <c r="H5" s="357"/>
      <c r="I5" s="357"/>
      <c r="J5" s="357"/>
      <c r="K5" s="357"/>
      <c r="L5" s="357"/>
      <c r="M5" s="358" t="s">
        <v>52</v>
      </c>
      <c r="N5" s="359"/>
      <c r="O5" s="359"/>
      <c r="P5" s="359"/>
      <c r="Q5" s="359"/>
      <c r="R5" s="359"/>
      <c r="S5" s="359"/>
      <c r="T5" s="359"/>
      <c r="U5" s="359"/>
      <c r="V5" s="360"/>
      <c r="W5" s="361" t="s">
        <v>353</v>
      </c>
      <c r="X5" s="352" t="s">
        <v>115</v>
      </c>
      <c r="Y5" s="353"/>
      <c r="Z5" s="353"/>
      <c r="AA5" s="353"/>
      <c r="AB5" s="353"/>
      <c r="AC5" s="353"/>
      <c r="AD5" s="353"/>
      <c r="AE5" s="353"/>
      <c r="AF5" s="353"/>
      <c r="AG5" s="353"/>
      <c r="AH5" s="354" t="s">
        <v>31</v>
      </c>
    </row>
    <row r="6" spans="1:34" ht="15" customHeight="1">
      <c r="A6" s="355"/>
      <c r="B6" s="356"/>
      <c r="C6" s="343" t="s">
        <v>54</v>
      </c>
      <c r="D6" s="344"/>
      <c r="E6" s="344"/>
      <c r="F6" s="344"/>
      <c r="G6" s="345" t="s">
        <v>36</v>
      </c>
      <c r="H6" s="346" t="s">
        <v>346</v>
      </c>
      <c r="I6" s="347" t="s">
        <v>53</v>
      </c>
      <c r="J6" s="346" t="s">
        <v>351</v>
      </c>
      <c r="K6" s="367" t="s">
        <v>344</v>
      </c>
      <c r="L6" s="367" t="s">
        <v>345</v>
      </c>
      <c r="M6" s="358" t="s">
        <v>54</v>
      </c>
      <c r="N6" s="359"/>
      <c r="O6" s="359"/>
      <c r="P6" s="359"/>
      <c r="Q6" s="359"/>
      <c r="R6" s="359"/>
      <c r="S6" s="364" t="s">
        <v>352</v>
      </c>
      <c r="T6" s="366" t="s">
        <v>347</v>
      </c>
      <c r="U6" s="366" t="s">
        <v>344</v>
      </c>
      <c r="V6" s="366" t="s">
        <v>345</v>
      </c>
      <c r="W6" s="362"/>
      <c r="X6" s="348" t="s">
        <v>116</v>
      </c>
      <c r="Y6" s="349"/>
      <c r="Z6" s="350" t="s">
        <v>117</v>
      </c>
      <c r="AA6" s="351"/>
      <c r="AB6" s="351"/>
      <c r="AC6" s="351"/>
      <c r="AD6" s="351"/>
      <c r="AE6" s="351"/>
      <c r="AF6" s="351"/>
      <c r="AG6" s="351"/>
      <c r="AH6" s="354"/>
    </row>
    <row r="7" spans="1:34" ht="30">
      <c r="A7" s="355"/>
      <c r="B7" s="356"/>
      <c r="C7" s="16" t="s">
        <v>32</v>
      </c>
      <c r="D7" s="16" t="s">
        <v>33</v>
      </c>
      <c r="E7" s="16" t="s">
        <v>34</v>
      </c>
      <c r="F7" s="190" t="s">
        <v>35</v>
      </c>
      <c r="G7" s="345"/>
      <c r="H7" s="346"/>
      <c r="I7" s="347"/>
      <c r="J7" s="346"/>
      <c r="K7" s="367"/>
      <c r="L7" s="367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65"/>
      <c r="T7" s="366"/>
      <c r="U7" s="366"/>
      <c r="V7" s="366"/>
      <c r="W7" s="363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54"/>
    </row>
    <row r="8" spans="1:34" ht="357">
      <c r="A8" s="18">
        <v>1</v>
      </c>
      <c r="B8" s="19" t="str">
        <f>DATA!D8</f>
        <v>Abd. Muis</v>
      </c>
      <c r="C8" s="25">
        <v>80</v>
      </c>
      <c r="D8" s="25">
        <v>80</v>
      </c>
      <c r="E8" s="25">
        <v>85</v>
      </c>
      <c r="F8" s="25">
        <v>85</v>
      </c>
      <c r="G8" s="188">
        <v>85</v>
      </c>
      <c r="H8" s="184">
        <v>84.0625</v>
      </c>
      <c r="I8" s="184">
        <v>86.041666666666671</v>
      </c>
      <c r="J8" s="184">
        <v>86</v>
      </c>
      <c r="K8" s="189">
        <v>86</v>
      </c>
      <c r="L8" s="189" t="s">
        <v>391</v>
      </c>
      <c r="M8" s="26">
        <v>78</v>
      </c>
      <c r="N8" s="26" t="s">
        <v>392</v>
      </c>
      <c r="O8" s="26" t="s">
        <v>392</v>
      </c>
      <c r="P8" s="26" t="s">
        <v>392</v>
      </c>
      <c r="Q8" s="26" t="s">
        <v>392</v>
      </c>
      <c r="R8" s="26" t="s">
        <v>392</v>
      </c>
      <c r="S8" s="185">
        <v>5</v>
      </c>
      <c r="T8" s="186">
        <v>78</v>
      </c>
      <c r="U8" s="186">
        <v>78</v>
      </c>
      <c r="V8" s="186" t="s">
        <v>393</v>
      </c>
      <c r="W8" s="187">
        <v>82</v>
      </c>
      <c r="X8" s="111">
        <v>3</v>
      </c>
      <c r="Y8" s="111" t="s">
        <v>394</v>
      </c>
      <c r="Z8" s="111">
        <v>3</v>
      </c>
      <c r="AA8" s="111">
        <v>3</v>
      </c>
      <c r="AB8" s="111">
        <v>3</v>
      </c>
      <c r="AC8" s="111">
        <v>3</v>
      </c>
      <c r="AD8" s="111">
        <v>3</v>
      </c>
      <c r="AE8" s="111">
        <v>3</v>
      </c>
      <c r="AF8" s="111">
        <v>3</v>
      </c>
      <c r="AG8" s="111" t="s">
        <v>395</v>
      </c>
      <c r="AH8" s="191">
        <v>80</v>
      </c>
    </row>
    <row r="9" spans="1:34" ht="163.5">
      <c r="A9" s="18">
        <v>2</v>
      </c>
      <c r="B9" s="19" t="str">
        <f>DATA!D9</f>
        <v>Achmad Buka</v>
      </c>
      <c r="C9" s="25" t="s">
        <v>392</v>
      </c>
      <c r="D9" s="25" t="s">
        <v>392</v>
      </c>
      <c r="E9" s="25" t="s">
        <v>392</v>
      </c>
      <c r="F9" s="25" t="s">
        <v>392</v>
      </c>
      <c r="G9" s="188" t="s">
        <v>392</v>
      </c>
      <c r="H9" s="184" t="s">
        <v>392</v>
      </c>
      <c r="I9" s="184" t="s">
        <v>392</v>
      </c>
      <c r="J9" s="184" t="s">
        <v>392</v>
      </c>
      <c r="K9" s="189" t="s">
        <v>392</v>
      </c>
      <c r="L9" s="189" t="s">
        <v>392</v>
      </c>
      <c r="M9" s="26" t="s">
        <v>392</v>
      </c>
      <c r="N9" s="26" t="s">
        <v>392</v>
      </c>
      <c r="O9" s="26" t="s">
        <v>392</v>
      </c>
      <c r="P9" s="26" t="s">
        <v>392</v>
      </c>
      <c r="Q9" s="26" t="s">
        <v>392</v>
      </c>
      <c r="R9" s="26" t="s">
        <v>392</v>
      </c>
      <c r="S9" s="185">
        <v>5</v>
      </c>
      <c r="T9" s="186" t="s">
        <v>392</v>
      </c>
      <c r="U9" s="186" t="s">
        <v>392</v>
      </c>
      <c r="V9" s="186" t="s">
        <v>392</v>
      </c>
      <c r="W9" s="187" t="s">
        <v>392</v>
      </c>
      <c r="X9" s="111">
        <v>3</v>
      </c>
      <c r="Y9" s="112" t="s">
        <v>394</v>
      </c>
      <c r="Z9" s="113">
        <v>3</v>
      </c>
      <c r="AA9" s="113">
        <v>3</v>
      </c>
      <c r="AB9" s="113">
        <v>3</v>
      </c>
      <c r="AC9" s="113">
        <v>3</v>
      </c>
      <c r="AD9" s="114">
        <v>3</v>
      </c>
      <c r="AE9" s="114">
        <v>3</v>
      </c>
      <c r="AF9" s="114">
        <v>3</v>
      </c>
      <c r="AG9" s="112" t="s">
        <v>395</v>
      </c>
      <c r="AH9" s="192" t="s">
        <v>392</v>
      </c>
    </row>
    <row r="10" spans="1:34" ht="163.5">
      <c r="A10" s="18">
        <v>3</v>
      </c>
      <c r="B10" s="19" t="str">
        <f>DATA!D10</f>
        <v>AHMAD HAMBALI</v>
      </c>
      <c r="C10" s="25" t="s">
        <v>392</v>
      </c>
      <c r="D10" s="25" t="s">
        <v>392</v>
      </c>
      <c r="E10" s="25" t="s">
        <v>392</v>
      </c>
      <c r="F10" s="25" t="s">
        <v>392</v>
      </c>
      <c r="G10" s="188" t="s">
        <v>392</v>
      </c>
      <c r="H10" s="184" t="s">
        <v>392</v>
      </c>
      <c r="I10" s="184" t="s">
        <v>392</v>
      </c>
      <c r="J10" s="184" t="s">
        <v>392</v>
      </c>
      <c r="K10" s="189" t="s">
        <v>392</v>
      </c>
      <c r="L10" s="189" t="s">
        <v>392</v>
      </c>
      <c r="M10" s="26" t="s">
        <v>392</v>
      </c>
      <c r="N10" s="26" t="s">
        <v>392</v>
      </c>
      <c r="O10" s="26" t="s">
        <v>392</v>
      </c>
      <c r="P10" s="26" t="s">
        <v>392</v>
      </c>
      <c r="Q10" s="26" t="s">
        <v>392</v>
      </c>
      <c r="R10" s="26" t="s">
        <v>392</v>
      </c>
      <c r="S10" s="185">
        <v>5</v>
      </c>
      <c r="T10" s="186" t="s">
        <v>392</v>
      </c>
      <c r="U10" s="186" t="s">
        <v>392</v>
      </c>
      <c r="V10" s="186" t="s">
        <v>392</v>
      </c>
      <c r="W10" s="187" t="s">
        <v>392</v>
      </c>
      <c r="X10" s="111">
        <v>3</v>
      </c>
      <c r="Y10" s="112" t="s">
        <v>394</v>
      </c>
      <c r="Z10" s="113">
        <v>3</v>
      </c>
      <c r="AA10" s="113">
        <v>3</v>
      </c>
      <c r="AB10" s="113">
        <v>3</v>
      </c>
      <c r="AC10" s="113">
        <v>3</v>
      </c>
      <c r="AD10" s="114">
        <v>3</v>
      </c>
      <c r="AE10" s="114">
        <v>3</v>
      </c>
      <c r="AF10" s="114">
        <v>3</v>
      </c>
      <c r="AG10" s="112" t="s">
        <v>395</v>
      </c>
      <c r="AH10" s="192" t="s">
        <v>392</v>
      </c>
    </row>
    <row r="11" spans="1:34" ht="163.5">
      <c r="A11" s="18">
        <v>4</v>
      </c>
      <c r="B11" s="19" t="str">
        <f>DATA!D11</f>
        <v>AHMADI</v>
      </c>
      <c r="C11" s="25" t="s">
        <v>392</v>
      </c>
      <c r="D11" s="25" t="s">
        <v>392</v>
      </c>
      <c r="E11" s="25" t="s">
        <v>392</v>
      </c>
      <c r="F11" s="25" t="s">
        <v>392</v>
      </c>
      <c r="G11" s="188" t="s">
        <v>392</v>
      </c>
      <c r="H11" s="184" t="s">
        <v>392</v>
      </c>
      <c r="I11" s="184" t="s">
        <v>392</v>
      </c>
      <c r="J11" s="184" t="s">
        <v>392</v>
      </c>
      <c r="K11" s="189" t="s">
        <v>392</v>
      </c>
      <c r="L11" s="189" t="s">
        <v>392</v>
      </c>
      <c r="M11" s="26" t="s">
        <v>392</v>
      </c>
      <c r="N11" s="26" t="s">
        <v>392</v>
      </c>
      <c r="O11" s="26" t="s">
        <v>392</v>
      </c>
      <c r="P11" s="26" t="s">
        <v>392</v>
      </c>
      <c r="Q11" s="26" t="s">
        <v>392</v>
      </c>
      <c r="R11" s="26" t="s">
        <v>392</v>
      </c>
      <c r="S11" s="185">
        <v>5</v>
      </c>
      <c r="T11" s="186" t="s">
        <v>392</v>
      </c>
      <c r="U11" s="186" t="s">
        <v>392</v>
      </c>
      <c r="V11" s="186" t="s">
        <v>392</v>
      </c>
      <c r="W11" s="187" t="s">
        <v>392</v>
      </c>
      <c r="X11" s="111">
        <v>3</v>
      </c>
      <c r="Y11" s="112" t="s">
        <v>394</v>
      </c>
      <c r="Z11" s="113">
        <v>3</v>
      </c>
      <c r="AA11" s="113">
        <v>3</v>
      </c>
      <c r="AB11" s="113">
        <v>3</v>
      </c>
      <c r="AC11" s="113">
        <v>3</v>
      </c>
      <c r="AD11" s="114">
        <v>3</v>
      </c>
      <c r="AE11" s="114">
        <v>3</v>
      </c>
      <c r="AF11" s="114">
        <v>3</v>
      </c>
      <c r="AG11" s="112" t="s">
        <v>395</v>
      </c>
      <c r="AH11" s="192" t="s">
        <v>392</v>
      </c>
    </row>
    <row r="12" spans="1:34" ht="163.5">
      <c r="A12" s="18">
        <v>5</v>
      </c>
      <c r="B12" s="19" t="str">
        <f>DATA!D12</f>
        <v xml:space="preserve">AINUR ROFIK </v>
      </c>
      <c r="C12" s="25" t="s">
        <v>392</v>
      </c>
      <c r="D12" s="25" t="s">
        <v>392</v>
      </c>
      <c r="E12" s="25" t="s">
        <v>392</v>
      </c>
      <c r="F12" s="25" t="s">
        <v>392</v>
      </c>
      <c r="G12" s="188" t="s">
        <v>392</v>
      </c>
      <c r="H12" s="184" t="s">
        <v>392</v>
      </c>
      <c r="I12" s="184" t="s">
        <v>392</v>
      </c>
      <c r="J12" s="184" t="s">
        <v>392</v>
      </c>
      <c r="K12" s="189" t="s">
        <v>392</v>
      </c>
      <c r="L12" s="189" t="s">
        <v>392</v>
      </c>
      <c r="M12" s="26" t="s">
        <v>392</v>
      </c>
      <c r="N12" s="26" t="s">
        <v>392</v>
      </c>
      <c r="O12" s="26" t="s">
        <v>392</v>
      </c>
      <c r="P12" s="26" t="s">
        <v>392</v>
      </c>
      <c r="Q12" s="26" t="s">
        <v>392</v>
      </c>
      <c r="R12" s="26" t="s">
        <v>392</v>
      </c>
      <c r="S12" s="185">
        <v>5</v>
      </c>
      <c r="T12" s="186" t="s">
        <v>392</v>
      </c>
      <c r="U12" s="186" t="s">
        <v>392</v>
      </c>
      <c r="V12" s="186" t="s">
        <v>392</v>
      </c>
      <c r="W12" s="187" t="s">
        <v>392</v>
      </c>
      <c r="X12" s="111">
        <v>3</v>
      </c>
      <c r="Y12" s="112" t="s">
        <v>394</v>
      </c>
      <c r="Z12" s="113">
        <v>3</v>
      </c>
      <c r="AA12" s="113">
        <v>3</v>
      </c>
      <c r="AB12" s="113">
        <v>3</v>
      </c>
      <c r="AC12" s="113">
        <v>3</v>
      </c>
      <c r="AD12" s="114">
        <v>3</v>
      </c>
      <c r="AE12" s="114">
        <v>3</v>
      </c>
      <c r="AF12" s="114">
        <v>3</v>
      </c>
      <c r="AG12" s="112" t="s">
        <v>395</v>
      </c>
      <c r="AH12" s="192" t="s">
        <v>392</v>
      </c>
    </row>
    <row r="13" spans="1:34" ht="163.5">
      <c r="A13" s="18">
        <v>6</v>
      </c>
      <c r="B13" s="19" t="str">
        <f>DATA!D13</f>
        <v>AT-THORIQ BINTANG PRAJA</v>
      </c>
      <c r="C13" s="25" t="s">
        <v>392</v>
      </c>
      <c r="D13" s="25" t="s">
        <v>392</v>
      </c>
      <c r="E13" s="25" t="s">
        <v>392</v>
      </c>
      <c r="F13" s="25" t="s">
        <v>392</v>
      </c>
      <c r="G13" s="188" t="s">
        <v>392</v>
      </c>
      <c r="H13" s="184" t="s">
        <v>392</v>
      </c>
      <c r="I13" s="184" t="s">
        <v>392</v>
      </c>
      <c r="J13" s="184" t="s">
        <v>392</v>
      </c>
      <c r="K13" s="189" t="s">
        <v>392</v>
      </c>
      <c r="L13" s="189" t="s">
        <v>392</v>
      </c>
      <c r="M13" s="26" t="s">
        <v>392</v>
      </c>
      <c r="N13" s="26" t="s">
        <v>392</v>
      </c>
      <c r="O13" s="26" t="s">
        <v>392</v>
      </c>
      <c r="P13" s="26" t="s">
        <v>392</v>
      </c>
      <c r="Q13" s="26" t="s">
        <v>392</v>
      </c>
      <c r="R13" s="26" t="s">
        <v>392</v>
      </c>
      <c r="S13" s="185">
        <v>5</v>
      </c>
      <c r="T13" s="186" t="s">
        <v>392</v>
      </c>
      <c r="U13" s="186" t="s">
        <v>392</v>
      </c>
      <c r="V13" s="186" t="s">
        <v>392</v>
      </c>
      <c r="W13" s="187" t="s">
        <v>392</v>
      </c>
      <c r="X13" s="111">
        <v>3</v>
      </c>
      <c r="Y13" s="112" t="s">
        <v>394</v>
      </c>
      <c r="Z13" s="113">
        <v>3</v>
      </c>
      <c r="AA13" s="113">
        <v>3</v>
      </c>
      <c r="AB13" s="113">
        <v>3</v>
      </c>
      <c r="AC13" s="113">
        <v>3</v>
      </c>
      <c r="AD13" s="114">
        <v>3</v>
      </c>
      <c r="AE13" s="114">
        <v>3</v>
      </c>
      <c r="AF13" s="114">
        <v>3</v>
      </c>
      <c r="AG13" s="112" t="s">
        <v>395</v>
      </c>
      <c r="AH13" s="192" t="s">
        <v>392</v>
      </c>
    </row>
    <row r="14" spans="1:34" ht="163.5">
      <c r="A14" s="18">
        <v>7</v>
      </c>
      <c r="B14" s="19" t="str">
        <f>DATA!D14</f>
        <v>DEWI WULANDARI</v>
      </c>
      <c r="C14" s="25" t="s">
        <v>392</v>
      </c>
      <c r="D14" s="25" t="s">
        <v>392</v>
      </c>
      <c r="E14" s="25" t="s">
        <v>392</v>
      </c>
      <c r="F14" s="25" t="s">
        <v>392</v>
      </c>
      <c r="G14" s="188" t="s">
        <v>392</v>
      </c>
      <c r="H14" s="184" t="s">
        <v>392</v>
      </c>
      <c r="I14" s="184" t="s">
        <v>392</v>
      </c>
      <c r="J14" s="184" t="s">
        <v>392</v>
      </c>
      <c r="K14" s="189" t="s">
        <v>392</v>
      </c>
      <c r="L14" s="189" t="s">
        <v>392</v>
      </c>
      <c r="M14" s="26" t="s">
        <v>392</v>
      </c>
      <c r="N14" s="26" t="s">
        <v>392</v>
      </c>
      <c r="O14" s="26" t="s">
        <v>392</v>
      </c>
      <c r="P14" s="26" t="s">
        <v>392</v>
      </c>
      <c r="Q14" s="26" t="s">
        <v>392</v>
      </c>
      <c r="R14" s="26" t="s">
        <v>392</v>
      </c>
      <c r="S14" s="185">
        <v>5</v>
      </c>
      <c r="T14" s="186" t="s">
        <v>392</v>
      </c>
      <c r="U14" s="186" t="s">
        <v>392</v>
      </c>
      <c r="V14" s="186" t="s">
        <v>392</v>
      </c>
      <c r="W14" s="187" t="s">
        <v>392</v>
      </c>
      <c r="X14" s="111">
        <v>3</v>
      </c>
      <c r="Y14" s="112" t="s">
        <v>394</v>
      </c>
      <c r="Z14" s="113">
        <v>3</v>
      </c>
      <c r="AA14" s="113">
        <v>3</v>
      </c>
      <c r="AB14" s="113">
        <v>3</v>
      </c>
      <c r="AC14" s="113">
        <v>3</v>
      </c>
      <c r="AD14" s="114">
        <v>3</v>
      </c>
      <c r="AE14" s="114">
        <v>3</v>
      </c>
      <c r="AF14" s="114">
        <v>3</v>
      </c>
      <c r="AG14" s="112" t="s">
        <v>395</v>
      </c>
      <c r="AH14" s="192" t="s">
        <v>392</v>
      </c>
    </row>
    <row r="15" spans="1:34" ht="163.5">
      <c r="A15" s="18">
        <v>8</v>
      </c>
      <c r="B15" s="19" t="str">
        <f>DATA!D15</f>
        <v>ENI UMAMAH</v>
      </c>
      <c r="C15" s="25" t="s">
        <v>392</v>
      </c>
      <c r="D15" s="25" t="s">
        <v>392</v>
      </c>
      <c r="E15" s="25" t="s">
        <v>392</v>
      </c>
      <c r="F15" s="25" t="s">
        <v>392</v>
      </c>
      <c r="G15" s="188" t="s">
        <v>392</v>
      </c>
      <c r="H15" s="184" t="s">
        <v>392</v>
      </c>
      <c r="I15" s="184" t="s">
        <v>392</v>
      </c>
      <c r="J15" s="184" t="s">
        <v>392</v>
      </c>
      <c r="K15" s="189" t="s">
        <v>392</v>
      </c>
      <c r="L15" s="189" t="s">
        <v>392</v>
      </c>
      <c r="M15" s="26" t="s">
        <v>392</v>
      </c>
      <c r="N15" s="26" t="s">
        <v>392</v>
      </c>
      <c r="O15" s="26" t="s">
        <v>392</v>
      </c>
      <c r="P15" s="26" t="s">
        <v>392</v>
      </c>
      <c r="Q15" s="26" t="s">
        <v>392</v>
      </c>
      <c r="R15" s="26" t="s">
        <v>392</v>
      </c>
      <c r="S15" s="185">
        <v>5</v>
      </c>
      <c r="T15" s="186" t="s">
        <v>392</v>
      </c>
      <c r="U15" s="186" t="s">
        <v>392</v>
      </c>
      <c r="V15" s="186" t="s">
        <v>392</v>
      </c>
      <c r="W15" s="187" t="s">
        <v>392</v>
      </c>
      <c r="X15" s="111">
        <v>3</v>
      </c>
      <c r="Y15" s="112" t="s">
        <v>394</v>
      </c>
      <c r="Z15" s="113">
        <v>3</v>
      </c>
      <c r="AA15" s="113">
        <v>3</v>
      </c>
      <c r="AB15" s="113">
        <v>3</v>
      </c>
      <c r="AC15" s="113">
        <v>3</v>
      </c>
      <c r="AD15" s="114">
        <v>3</v>
      </c>
      <c r="AE15" s="114">
        <v>3</v>
      </c>
      <c r="AF15" s="114">
        <v>3</v>
      </c>
      <c r="AG15" s="112" t="s">
        <v>395</v>
      </c>
      <c r="AH15" s="192" t="s">
        <v>392</v>
      </c>
    </row>
    <row r="16" spans="1:34" ht="163.5">
      <c r="A16" s="18">
        <v>9</v>
      </c>
      <c r="B16" s="19" t="str">
        <f>DATA!D16</f>
        <v>FADIA FASSA</v>
      </c>
      <c r="C16" s="25" t="s">
        <v>392</v>
      </c>
      <c r="D16" s="25" t="s">
        <v>392</v>
      </c>
      <c r="E16" s="25" t="s">
        <v>392</v>
      </c>
      <c r="F16" s="25" t="s">
        <v>392</v>
      </c>
      <c r="G16" s="188" t="s">
        <v>392</v>
      </c>
      <c r="H16" s="184" t="s">
        <v>392</v>
      </c>
      <c r="I16" s="184" t="s">
        <v>392</v>
      </c>
      <c r="J16" s="184" t="s">
        <v>392</v>
      </c>
      <c r="K16" s="189" t="s">
        <v>392</v>
      </c>
      <c r="L16" s="189" t="s">
        <v>392</v>
      </c>
      <c r="M16" s="26" t="s">
        <v>392</v>
      </c>
      <c r="N16" s="26" t="s">
        <v>392</v>
      </c>
      <c r="O16" s="26" t="s">
        <v>392</v>
      </c>
      <c r="P16" s="26" t="s">
        <v>392</v>
      </c>
      <c r="Q16" s="26" t="s">
        <v>392</v>
      </c>
      <c r="R16" s="26" t="s">
        <v>392</v>
      </c>
      <c r="S16" s="185">
        <v>5</v>
      </c>
      <c r="T16" s="186" t="s">
        <v>392</v>
      </c>
      <c r="U16" s="186" t="s">
        <v>392</v>
      </c>
      <c r="V16" s="186" t="s">
        <v>392</v>
      </c>
      <c r="W16" s="187" t="s">
        <v>392</v>
      </c>
      <c r="X16" s="111">
        <v>3</v>
      </c>
      <c r="Y16" s="112" t="s">
        <v>394</v>
      </c>
      <c r="Z16" s="113">
        <v>3</v>
      </c>
      <c r="AA16" s="113">
        <v>3</v>
      </c>
      <c r="AB16" s="113">
        <v>3</v>
      </c>
      <c r="AC16" s="113">
        <v>3</v>
      </c>
      <c r="AD16" s="114">
        <v>3</v>
      </c>
      <c r="AE16" s="114">
        <v>3</v>
      </c>
      <c r="AF16" s="114">
        <v>3</v>
      </c>
      <c r="AG16" s="112" t="s">
        <v>395</v>
      </c>
      <c r="AH16" s="192" t="s">
        <v>392</v>
      </c>
    </row>
    <row r="17" spans="1:34" ht="163.5">
      <c r="A17" s="18">
        <v>10</v>
      </c>
      <c r="B17" s="19" t="str">
        <f>DATA!D17</f>
        <v>FATIMATUZ  ZAHROH</v>
      </c>
      <c r="C17" s="25" t="s">
        <v>392</v>
      </c>
      <c r="D17" s="25" t="s">
        <v>392</v>
      </c>
      <c r="E17" s="25" t="s">
        <v>392</v>
      </c>
      <c r="F17" s="25" t="s">
        <v>392</v>
      </c>
      <c r="G17" s="188" t="s">
        <v>392</v>
      </c>
      <c r="H17" s="184" t="s">
        <v>392</v>
      </c>
      <c r="I17" s="184" t="s">
        <v>392</v>
      </c>
      <c r="J17" s="184" t="s">
        <v>392</v>
      </c>
      <c r="K17" s="189" t="s">
        <v>392</v>
      </c>
      <c r="L17" s="189" t="s">
        <v>392</v>
      </c>
      <c r="M17" s="26" t="s">
        <v>392</v>
      </c>
      <c r="N17" s="26" t="s">
        <v>392</v>
      </c>
      <c r="O17" s="26" t="s">
        <v>392</v>
      </c>
      <c r="P17" s="26" t="s">
        <v>392</v>
      </c>
      <c r="Q17" s="26" t="s">
        <v>392</v>
      </c>
      <c r="R17" s="26" t="s">
        <v>392</v>
      </c>
      <c r="S17" s="185">
        <v>5</v>
      </c>
      <c r="T17" s="186" t="s">
        <v>392</v>
      </c>
      <c r="U17" s="186" t="s">
        <v>392</v>
      </c>
      <c r="V17" s="186" t="s">
        <v>392</v>
      </c>
      <c r="W17" s="187" t="s">
        <v>392</v>
      </c>
      <c r="X17" s="111">
        <v>3</v>
      </c>
      <c r="Y17" s="112" t="s">
        <v>394</v>
      </c>
      <c r="Z17" s="113">
        <v>3</v>
      </c>
      <c r="AA17" s="113">
        <v>3</v>
      </c>
      <c r="AB17" s="113">
        <v>3</v>
      </c>
      <c r="AC17" s="113">
        <v>3</v>
      </c>
      <c r="AD17" s="114">
        <v>3</v>
      </c>
      <c r="AE17" s="114">
        <v>3</v>
      </c>
      <c r="AF17" s="114">
        <v>3</v>
      </c>
      <c r="AG17" s="112" t="s">
        <v>395</v>
      </c>
      <c r="AH17" s="192" t="s">
        <v>392</v>
      </c>
    </row>
    <row r="18" spans="1:34" ht="163.5">
      <c r="A18" s="18">
        <v>11</v>
      </c>
      <c r="B18" s="19" t="str">
        <f>DATA!D18</f>
        <v>IMAM FATONI</v>
      </c>
      <c r="C18" s="25" t="s">
        <v>392</v>
      </c>
      <c r="D18" s="25" t="s">
        <v>392</v>
      </c>
      <c r="E18" s="25" t="s">
        <v>392</v>
      </c>
      <c r="F18" s="25" t="s">
        <v>392</v>
      </c>
      <c r="G18" s="188" t="s">
        <v>392</v>
      </c>
      <c r="H18" s="184" t="s">
        <v>392</v>
      </c>
      <c r="I18" s="184" t="s">
        <v>392</v>
      </c>
      <c r="J18" s="184" t="s">
        <v>392</v>
      </c>
      <c r="K18" s="189" t="s">
        <v>392</v>
      </c>
      <c r="L18" s="189" t="s">
        <v>392</v>
      </c>
      <c r="M18" s="26" t="s">
        <v>392</v>
      </c>
      <c r="N18" s="26" t="s">
        <v>392</v>
      </c>
      <c r="O18" s="26" t="s">
        <v>392</v>
      </c>
      <c r="P18" s="26" t="s">
        <v>392</v>
      </c>
      <c r="Q18" s="26" t="s">
        <v>392</v>
      </c>
      <c r="R18" s="26" t="s">
        <v>392</v>
      </c>
      <c r="S18" s="185">
        <v>5</v>
      </c>
      <c r="T18" s="186" t="s">
        <v>392</v>
      </c>
      <c r="U18" s="186" t="s">
        <v>392</v>
      </c>
      <c r="V18" s="186" t="s">
        <v>392</v>
      </c>
      <c r="W18" s="187" t="s">
        <v>392</v>
      </c>
      <c r="X18" s="111">
        <v>3</v>
      </c>
      <c r="Y18" s="112" t="s">
        <v>394</v>
      </c>
      <c r="Z18" s="113">
        <v>3</v>
      </c>
      <c r="AA18" s="113">
        <v>3</v>
      </c>
      <c r="AB18" s="113">
        <v>3</v>
      </c>
      <c r="AC18" s="113">
        <v>3</v>
      </c>
      <c r="AD18" s="114">
        <v>3</v>
      </c>
      <c r="AE18" s="114">
        <v>3</v>
      </c>
      <c r="AF18" s="114">
        <v>3</v>
      </c>
      <c r="AG18" s="112" t="s">
        <v>395</v>
      </c>
      <c r="AH18" s="192" t="s">
        <v>392</v>
      </c>
    </row>
    <row r="19" spans="1:34" ht="163.5">
      <c r="A19" s="18">
        <v>12</v>
      </c>
      <c r="B19" s="19" t="str">
        <f>DATA!D19</f>
        <v>ISMA SRI WAHYUNI</v>
      </c>
      <c r="C19" s="25" t="s">
        <v>392</v>
      </c>
      <c r="D19" s="25" t="s">
        <v>392</v>
      </c>
      <c r="E19" s="25" t="s">
        <v>392</v>
      </c>
      <c r="F19" s="25" t="s">
        <v>392</v>
      </c>
      <c r="G19" s="188" t="s">
        <v>392</v>
      </c>
      <c r="H19" s="184" t="s">
        <v>392</v>
      </c>
      <c r="I19" s="184" t="s">
        <v>392</v>
      </c>
      <c r="J19" s="184" t="s">
        <v>392</v>
      </c>
      <c r="K19" s="189" t="s">
        <v>392</v>
      </c>
      <c r="L19" s="189" t="s">
        <v>392</v>
      </c>
      <c r="M19" s="26" t="s">
        <v>392</v>
      </c>
      <c r="N19" s="26" t="s">
        <v>392</v>
      </c>
      <c r="O19" s="26" t="s">
        <v>392</v>
      </c>
      <c r="P19" s="26" t="s">
        <v>392</v>
      </c>
      <c r="Q19" s="26" t="s">
        <v>392</v>
      </c>
      <c r="R19" s="26" t="s">
        <v>392</v>
      </c>
      <c r="S19" s="185">
        <v>5</v>
      </c>
      <c r="T19" s="186" t="s">
        <v>392</v>
      </c>
      <c r="U19" s="186" t="s">
        <v>392</v>
      </c>
      <c r="V19" s="186" t="s">
        <v>392</v>
      </c>
      <c r="W19" s="187" t="s">
        <v>392</v>
      </c>
      <c r="X19" s="111">
        <v>3</v>
      </c>
      <c r="Y19" s="112" t="s">
        <v>394</v>
      </c>
      <c r="Z19" s="113">
        <v>3</v>
      </c>
      <c r="AA19" s="113">
        <v>3</v>
      </c>
      <c r="AB19" s="113">
        <v>3</v>
      </c>
      <c r="AC19" s="113">
        <v>3</v>
      </c>
      <c r="AD19" s="114">
        <v>3</v>
      </c>
      <c r="AE19" s="114">
        <v>3</v>
      </c>
      <c r="AF19" s="114">
        <v>3</v>
      </c>
      <c r="AG19" s="112" t="s">
        <v>395</v>
      </c>
      <c r="AH19" s="192" t="s">
        <v>392</v>
      </c>
    </row>
    <row r="20" spans="1:34" ht="163.5">
      <c r="A20" s="18">
        <v>13</v>
      </c>
      <c r="B20" s="19" t="str">
        <f>DATA!D20</f>
        <v>JAKFAR SODIK ROMADHONI</v>
      </c>
      <c r="C20" s="25" t="s">
        <v>392</v>
      </c>
      <c r="D20" s="25" t="s">
        <v>392</v>
      </c>
      <c r="E20" s="25" t="s">
        <v>392</v>
      </c>
      <c r="F20" s="25" t="s">
        <v>392</v>
      </c>
      <c r="G20" s="188" t="s">
        <v>392</v>
      </c>
      <c r="H20" s="184" t="s">
        <v>392</v>
      </c>
      <c r="I20" s="184" t="s">
        <v>392</v>
      </c>
      <c r="J20" s="184" t="s">
        <v>392</v>
      </c>
      <c r="K20" s="189" t="s">
        <v>392</v>
      </c>
      <c r="L20" s="189" t="s">
        <v>392</v>
      </c>
      <c r="M20" s="26" t="s">
        <v>392</v>
      </c>
      <c r="N20" s="26" t="s">
        <v>392</v>
      </c>
      <c r="O20" s="26" t="s">
        <v>392</v>
      </c>
      <c r="P20" s="26" t="s">
        <v>392</v>
      </c>
      <c r="Q20" s="26" t="s">
        <v>392</v>
      </c>
      <c r="R20" s="26" t="s">
        <v>392</v>
      </c>
      <c r="S20" s="185">
        <v>5</v>
      </c>
      <c r="T20" s="186" t="s">
        <v>392</v>
      </c>
      <c r="U20" s="186" t="s">
        <v>392</v>
      </c>
      <c r="V20" s="186" t="s">
        <v>392</v>
      </c>
      <c r="W20" s="187" t="s">
        <v>392</v>
      </c>
      <c r="X20" s="111">
        <v>3</v>
      </c>
      <c r="Y20" s="112" t="s">
        <v>394</v>
      </c>
      <c r="Z20" s="113">
        <v>3</v>
      </c>
      <c r="AA20" s="113">
        <v>3</v>
      </c>
      <c r="AB20" s="113">
        <v>3</v>
      </c>
      <c r="AC20" s="113">
        <v>3</v>
      </c>
      <c r="AD20" s="114">
        <v>3</v>
      </c>
      <c r="AE20" s="114">
        <v>3</v>
      </c>
      <c r="AF20" s="114">
        <v>3</v>
      </c>
      <c r="AG20" s="112" t="s">
        <v>395</v>
      </c>
      <c r="AH20" s="192" t="s">
        <v>392</v>
      </c>
    </row>
    <row r="21" spans="1:34" ht="163.5">
      <c r="A21" s="18">
        <v>14</v>
      </c>
      <c r="B21" s="19" t="str">
        <f>DATA!D21</f>
        <v>KHOIRIL NISA'</v>
      </c>
      <c r="C21" s="25" t="s">
        <v>392</v>
      </c>
      <c r="D21" s="25" t="s">
        <v>392</v>
      </c>
      <c r="E21" s="25" t="s">
        <v>392</v>
      </c>
      <c r="F21" s="25" t="s">
        <v>392</v>
      </c>
      <c r="G21" s="188" t="s">
        <v>392</v>
      </c>
      <c r="H21" s="184" t="s">
        <v>392</v>
      </c>
      <c r="I21" s="184" t="s">
        <v>392</v>
      </c>
      <c r="J21" s="184" t="s">
        <v>392</v>
      </c>
      <c r="K21" s="189" t="s">
        <v>392</v>
      </c>
      <c r="L21" s="189" t="s">
        <v>392</v>
      </c>
      <c r="M21" s="26" t="s">
        <v>392</v>
      </c>
      <c r="N21" s="26" t="s">
        <v>392</v>
      </c>
      <c r="O21" s="26" t="s">
        <v>392</v>
      </c>
      <c r="P21" s="26" t="s">
        <v>392</v>
      </c>
      <c r="Q21" s="26" t="s">
        <v>392</v>
      </c>
      <c r="R21" s="26" t="s">
        <v>392</v>
      </c>
      <c r="S21" s="185">
        <v>5</v>
      </c>
      <c r="T21" s="186" t="s">
        <v>392</v>
      </c>
      <c r="U21" s="186" t="s">
        <v>392</v>
      </c>
      <c r="V21" s="186" t="s">
        <v>392</v>
      </c>
      <c r="W21" s="187" t="s">
        <v>392</v>
      </c>
      <c r="X21" s="111">
        <v>3</v>
      </c>
      <c r="Y21" s="112" t="s">
        <v>394</v>
      </c>
      <c r="Z21" s="113">
        <v>3</v>
      </c>
      <c r="AA21" s="113">
        <v>3</v>
      </c>
      <c r="AB21" s="113">
        <v>3</v>
      </c>
      <c r="AC21" s="113">
        <v>3</v>
      </c>
      <c r="AD21" s="114">
        <v>3</v>
      </c>
      <c r="AE21" s="114">
        <v>3</v>
      </c>
      <c r="AF21" s="114">
        <v>3</v>
      </c>
      <c r="AG21" s="112" t="s">
        <v>395</v>
      </c>
      <c r="AH21" s="192" t="s">
        <v>392</v>
      </c>
    </row>
    <row r="22" spans="1:34" ht="163.5">
      <c r="A22" s="18">
        <v>15</v>
      </c>
      <c r="B22" s="19" t="str">
        <f>DATA!D22</f>
        <v>LATIFA MAHARANI</v>
      </c>
      <c r="C22" s="25" t="s">
        <v>392</v>
      </c>
      <c r="D22" s="25" t="s">
        <v>392</v>
      </c>
      <c r="E22" s="25" t="s">
        <v>392</v>
      </c>
      <c r="F22" s="25" t="s">
        <v>392</v>
      </c>
      <c r="G22" s="188" t="s">
        <v>392</v>
      </c>
      <c r="H22" s="184" t="s">
        <v>392</v>
      </c>
      <c r="I22" s="184" t="s">
        <v>392</v>
      </c>
      <c r="J22" s="184" t="s">
        <v>392</v>
      </c>
      <c r="K22" s="189" t="s">
        <v>392</v>
      </c>
      <c r="L22" s="189" t="s">
        <v>392</v>
      </c>
      <c r="M22" s="26" t="s">
        <v>392</v>
      </c>
      <c r="N22" s="26" t="s">
        <v>392</v>
      </c>
      <c r="O22" s="26" t="s">
        <v>392</v>
      </c>
      <c r="P22" s="26" t="s">
        <v>392</v>
      </c>
      <c r="Q22" s="26" t="s">
        <v>392</v>
      </c>
      <c r="R22" s="26" t="s">
        <v>392</v>
      </c>
      <c r="S22" s="185">
        <v>5</v>
      </c>
      <c r="T22" s="186" t="s">
        <v>392</v>
      </c>
      <c r="U22" s="186" t="s">
        <v>392</v>
      </c>
      <c r="V22" s="186" t="s">
        <v>392</v>
      </c>
      <c r="W22" s="187" t="s">
        <v>392</v>
      </c>
      <c r="X22" s="111">
        <v>3</v>
      </c>
      <c r="Y22" s="112" t="s">
        <v>394</v>
      </c>
      <c r="Z22" s="113">
        <v>3</v>
      </c>
      <c r="AA22" s="113">
        <v>3</v>
      </c>
      <c r="AB22" s="113">
        <v>3</v>
      </c>
      <c r="AC22" s="113">
        <v>3</v>
      </c>
      <c r="AD22" s="114">
        <v>3</v>
      </c>
      <c r="AE22" s="114">
        <v>3</v>
      </c>
      <c r="AF22" s="114">
        <v>3</v>
      </c>
      <c r="AG22" s="112" t="s">
        <v>395</v>
      </c>
      <c r="AH22" s="192" t="s">
        <v>392</v>
      </c>
    </row>
    <row r="23" spans="1:34" ht="163.5">
      <c r="A23" s="18">
        <v>16</v>
      </c>
      <c r="B23" s="19" t="str">
        <f>DATA!D23</f>
        <v>LUQMANUL FIKRI SYAIFULLAH</v>
      </c>
      <c r="C23" s="25" t="s">
        <v>392</v>
      </c>
      <c r="D23" s="25" t="s">
        <v>392</v>
      </c>
      <c r="E23" s="25" t="s">
        <v>392</v>
      </c>
      <c r="F23" s="25" t="s">
        <v>392</v>
      </c>
      <c r="G23" s="188" t="s">
        <v>392</v>
      </c>
      <c r="H23" s="184" t="s">
        <v>392</v>
      </c>
      <c r="I23" s="184" t="s">
        <v>392</v>
      </c>
      <c r="J23" s="184" t="s">
        <v>392</v>
      </c>
      <c r="K23" s="189" t="s">
        <v>392</v>
      </c>
      <c r="L23" s="189" t="s">
        <v>392</v>
      </c>
      <c r="M23" s="26" t="s">
        <v>392</v>
      </c>
      <c r="N23" s="26" t="s">
        <v>392</v>
      </c>
      <c r="O23" s="26" t="s">
        <v>392</v>
      </c>
      <c r="P23" s="26" t="s">
        <v>392</v>
      </c>
      <c r="Q23" s="26" t="s">
        <v>392</v>
      </c>
      <c r="R23" s="26" t="s">
        <v>392</v>
      </c>
      <c r="S23" s="185">
        <v>5</v>
      </c>
      <c r="T23" s="186" t="s">
        <v>392</v>
      </c>
      <c r="U23" s="186" t="s">
        <v>392</v>
      </c>
      <c r="V23" s="186" t="s">
        <v>392</v>
      </c>
      <c r="W23" s="187" t="s">
        <v>392</v>
      </c>
      <c r="X23" s="111">
        <v>3</v>
      </c>
      <c r="Y23" s="112" t="s">
        <v>394</v>
      </c>
      <c r="Z23" s="113">
        <v>3</v>
      </c>
      <c r="AA23" s="113">
        <v>3</v>
      </c>
      <c r="AB23" s="113">
        <v>3</v>
      </c>
      <c r="AC23" s="113">
        <v>3</v>
      </c>
      <c r="AD23" s="114">
        <v>3</v>
      </c>
      <c r="AE23" s="114">
        <v>3</v>
      </c>
      <c r="AF23" s="114">
        <v>3</v>
      </c>
      <c r="AG23" s="112" t="s">
        <v>395</v>
      </c>
      <c r="AH23" s="192" t="s">
        <v>392</v>
      </c>
    </row>
    <row r="24" spans="1:34" ht="163.5">
      <c r="A24" s="18">
        <v>17</v>
      </c>
      <c r="B24" s="19" t="str">
        <f>DATA!D24</f>
        <v>MAR'ATUS SOLEHAH</v>
      </c>
      <c r="C24" s="25" t="s">
        <v>392</v>
      </c>
      <c r="D24" s="25" t="s">
        <v>392</v>
      </c>
      <c r="E24" s="25" t="s">
        <v>392</v>
      </c>
      <c r="F24" s="25" t="s">
        <v>392</v>
      </c>
      <c r="G24" s="188" t="s">
        <v>392</v>
      </c>
      <c r="H24" s="184" t="s">
        <v>392</v>
      </c>
      <c r="I24" s="184" t="s">
        <v>392</v>
      </c>
      <c r="J24" s="184" t="s">
        <v>392</v>
      </c>
      <c r="K24" s="189" t="s">
        <v>392</v>
      </c>
      <c r="L24" s="189" t="s">
        <v>392</v>
      </c>
      <c r="M24" s="26" t="s">
        <v>392</v>
      </c>
      <c r="N24" s="26" t="s">
        <v>392</v>
      </c>
      <c r="O24" s="26" t="s">
        <v>392</v>
      </c>
      <c r="P24" s="26" t="s">
        <v>392</v>
      </c>
      <c r="Q24" s="26" t="s">
        <v>392</v>
      </c>
      <c r="R24" s="26" t="s">
        <v>392</v>
      </c>
      <c r="S24" s="185">
        <v>5</v>
      </c>
      <c r="T24" s="186" t="s">
        <v>392</v>
      </c>
      <c r="U24" s="186" t="s">
        <v>392</v>
      </c>
      <c r="V24" s="186" t="s">
        <v>392</v>
      </c>
      <c r="W24" s="187" t="s">
        <v>392</v>
      </c>
      <c r="X24" s="111">
        <v>3</v>
      </c>
      <c r="Y24" s="112" t="s">
        <v>394</v>
      </c>
      <c r="Z24" s="113">
        <v>3</v>
      </c>
      <c r="AA24" s="113">
        <v>3</v>
      </c>
      <c r="AB24" s="113">
        <v>3</v>
      </c>
      <c r="AC24" s="113">
        <v>3</v>
      </c>
      <c r="AD24" s="114">
        <v>3</v>
      </c>
      <c r="AE24" s="114">
        <v>3</v>
      </c>
      <c r="AF24" s="114">
        <v>3</v>
      </c>
      <c r="AG24" s="112" t="s">
        <v>395</v>
      </c>
      <c r="AH24" s="192" t="s">
        <v>392</v>
      </c>
    </row>
    <row r="25" spans="1:34" ht="163.5">
      <c r="A25" s="18">
        <v>18</v>
      </c>
      <c r="B25" s="19" t="str">
        <f>DATA!D25</f>
        <v>MOCH.  SHOLEH W. H</v>
      </c>
      <c r="C25" s="25" t="s">
        <v>392</v>
      </c>
      <c r="D25" s="25" t="s">
        <v>392</v>
      </c>
      <c r="E25" s="25" t="s">
        <v>392</v>
      </c>
      <c r="F25" s="25" t="s">
        <v>392</v>
      </c>
      <c r="G25" s="188" t="s">
        <v>392</v>
      </c>
      <c r="H25" s="184" t="s">
        <v>392</v>
      </c>
      <c r="I25" s="184" t="s">
        <v>392</v>
      </c>
      <c r="J25" s="184" t="s">
        <v>392</v>
      </c>
      <c r="K25" s="189" t="s">
        <v>392</v>
      </c>
      <c r="L25" s="189" t="s">
        <v>392</v>
      </c>
      <c r="M25" s="26" t="s">
        <v>392</v>
      </c>
      <c r="N25" s="26" t="s">
        <v>392</v>
      </c>
      <c r="O25" s="26" t="s">
        <v>392</v>
      </c>
      <c r="P25" s="26" t="s">
        <v>392</v>
      </c>
      <c r="Q25" s="26" t="s">
        <v>392</v>
      </c>
      <c r="R25" s="26" t="s">
        <v>392</v>
      </c>
      <c r="S25" s="185">
        <v>5</v>
      </c>
      <c r="T25" s="186" t="s">
        <v>392</v>
      </c>
      <c r="U25" s="186" t="s">
        <v>392</v>
      </c>
      <c r="V25" s="186" t="s">
        <v>392</v>
      </c>
      <c r="W25" s="187" t="s">
        <v>392</v>
      </c>
      <c r="X25" s="111">
        <v>3</v>
      </c>
      <c r="Y25" s="112" t="s">
        <v>394</v>
      </c>
      <c r="Z25" s="113">
        <v>3</v>
      </c>
      <c r="AA25" s="113">
        <v>3</v>
      </c>
      <c r="AB25" s="113">
        <v>3</v>
      </c>
      <c r="AC25" s="113">
        <v>3</v>
      </c>
      <c r="AD25" s="114">
        <v>3</v>
      </c>
      <c r="AE25" s="114">
        <v>3</v>
      </c>
      <c r="AF25" s="114">
        <v>3</v>
      </c>
      <c r="AG25" s="112" t="s">
        <v>395</v>
      </c>
      <c r="AH25" s="192" t="s">
        <v>392</v>
      </c>
    </row>
    <row r="26" spans="1:34" ht="163.5">
      <c r="A26" s="18">
        <v>19</v>
      </c>
      <c r="B26" s="19" t="str">
        <f>DATA!D26</f>
        <v>MOCH. FAWES</v>
      </c>
      <c r="C26" s="25" t="s">
        <v>392</v>
      </c>
      <c r="D26" s="25" t="s">
        <v>392</v>
      </c>
      <c r="E26" s="25" t="s">
        <v>392</v>
      </c>
      <c r="F26" s="25" t="s">
        <v>392</v>
      </c>
      <c r="G26" s="188" t="s">
        <v>392</v>
      </c>
      <c r="H26" s="184" t="s">
        <v>392</v>
      </c>
      <c r="I26" s="184" t="s">
        <v>392</v>
      </c>
      <c r="J26" s="184" t="s">
        <v>392</v>
      </c>
      <c r="K26" s="189" t="s">
        <v>392</v>
      </c>
      <c r="L26" s="189" t="s">
        <v>392</v>
      </c>
      <c r="M26" s="26" t="s">
        <v>392</v>
      </c>
      <c r="N26" s="26" t="s">
        <v>392</v>
      </c>
      <c r="O26" s="26" t="s">
        <v>392</v>
      </c>
      <c r="P26" s="26" t="s">
        <v>392</v>
      </c>
      <c r="Q26" s="26" t="s">
        <v>392</v>
      </c>
      <c r="R26" s="26" t="s">
        <v>392</v>
      </c>
      <c r="S26" s="185">
        <v>5</v>
      </c>
      <c r="T26" s="186" t="s">
        <v>392</v>
      </c>
      <c r="U26" s="186" t="s">
        <v>392</v>
      </c>
      <c r="V26" s="186" t="s">
        <v>392</v>
      </c>
      <c r="W26" s="187" t="s">
        <v>392</v>
      </c>
      <c r="X26" s="111">
        <v>3</v>
      </c>
      <c r="Y26" s="112" t="s">
        <v>394</v>
      </c>
      <c r="Z26" s="113">
        <v>3</v>
      </c>
      <c r="AA26" s="113">
        <v>3</v>
      </c>
      <c r="AB26" s="113">
        <v>3</v>
      </c>
      <c r="AC26" s="113">
        <v>3</v>
      </c>
      <c r="AD26" s="114">
        <v>3</v>
      </c>
      <c r="AE26" s="114">
        <v>3</v>
      </c>
      <c r="AF26" s="114">
        <v>3</v>
      </c>
      <c r="AG26" s="112" t="s">
        <v>395</v>
      </c>
      <c r="AH26" s="192" t="s">
        <v>392</v>
      </c>
    </row>
    <row r="27" spans="1:34" ht="163.5">
      <c r="A27" s="18">
        <v>20</v>
      </c>
      <c r="B27" s="19" t="str">
        <f>DATA!D27</f>
        <v>MOH SAHRUL RAMADON</v>
      </c>
      <c r="C27" s="25" t="s">
        <v>392</v>
      </c>
      <c r="D27" s="25" t="s">
        <v>392</v>
      </c>
      <c r="E27" s="25" t="s">
        <v>392</v>
      </c>
      <c r="F27" s="25" t="s">
        <v>392</v>
      </c>
      <c r="G27" s="188" t="s">
        <v>392</v>
      </c>
      <c r="H27" s="184" t="s">
        <v>392</v>
      </c>
      <c r="I27" s="184" t="s">
        <v>392</v>
      </c>
      <c r="J27" s="184" t="s">
        <v>392</v>
      </c>
      <c r="K27" s="189" t="s">
        <v>392</v>
      </c>
      <c r="L27" s="189" t="s">
        <v>392</v>
      </c>
      <c r="M27" s="26" t="s">
        <v>392</v>
      </c>
      <c r="N27" s="26" t="s">
        <v>392</v>
      </c>
      <c r="O27" s="26" t="s">
        <v>392</v>
      </c>
      <c r="P27" s="26" t="s">
        <v>392</v>
      </c>
      <c r="Q27" s="26" t="s">
        <v>392</v>
      </c>
      <c r="R27" s="26" t="s">
        <v>392</v>
      </c>
      <c r="S27" s="185">
        <v>5</v>
      </c>
      <c r="T27" s="186" t="s">
        <v>392</v>
      </c>
      <c r="U27" s="186" t="s">
        <v>392</v>
      </c>
      <c r="V27" s="186" t="s">
        <v>392</v>
      </c>
      <c r="W27" s="187" t="s">
        <v>392</v>
      </c>
      <c r="X27" s="111">
        <v>3</v>
      </c>
      <c r="Y27" s="112" t="s">
        <v>394</v>
      </c>
      <c r="Z27" s="113">
        <v>3</v>
      </c>
      <c r="AA27" s="113">
        <v>3</v>
      </c>
      <c r="AB27" s="113">
        <v>3</v>
      </c>
      <c r="AC27" s="113">
        <v>3</v>
      </c>
      <c r="AD27" s="114">
        <v>3</v>
      </c>
      <c r="AE27" s="114">
        <v>3</v>
      </c>
      <c r="AF27" s="114">
        <v>3</v>
      </c>
      <c r="AG27" s="112" t="s">
        <v>395</v>
      </c>
      <c r="AH27" s="192" t="s">
        <v>392</v>
      </c>
    </row>
    <row r="28" spans="1:34" ht="163.5">
      <c r="A28" s="18">
        <v>21</v>
      </c>
      <c r="B28" s="19" t="str">
        <f>DATA!D28</f>
        <v>MOHAMMAD RAMADAN PURNOMO</v>
      </c>
      <c r="C28" s="25" t="s">
        <v>392</v>
      </c>
      <c r="D28" s="25" t="s">
        <v>392</v>
      </c>
      <c r="E28" s="25" t="s">
        <v>392</v>
      </c>
      <c r="F28" s="25" t="s">
        <v>392</v>
      </c>
      <c r="G28" s="188" t="s">
        <v>392</v>
      </c>
      <c r="H28" s="184" t="s">
        <v>392</v>
      </c>
      <c r="I28" s="184" t="s">
        <v>392</v>
      </c>
      <c r="J28" s="184" t="s">
        <v>392</v>
      </c>
      <c r="K28" s="189" t="s">
        <v>392</v>
      </c>
      <c r="L28" s="189" t="s">
        <v>392</v>
      </c>
      <c r="M28" s="26" t="s">
        <v>392</v>
      </c>
      <c r="N28" s="26" t="s">
        <v>392</v>
      </c>
      <c r="O28" s="26" t="s">
        <v>392</v>
      </c>
      <c r="P28" s="26" t="s">
        <v>392</v>
      </c>
      <c r="Q28" s="26" t="s">
        <v>392</v>
      </c>
      <c r="R28" s="26" t="s">
        <v>392</v>
      </c>
      <c r="S28" s="185" t="s">
        <v>392</v>
      </c>
      <c r="T28" s="186" t="s">
        <v>392</v>
      </c>
      <c r="U28" s="186" t="s">
        <v>392</v>
      </c>
      <c r="V28" s="186" t="s">
        <v>392</v>
      </c>
      <c r="W28" s="187" t="s">
        <v>392</v>
      </c>
      <c r="X28" s="111">
        <v>3</v>
      </c>
      <c r="Y28" s="112" t="s">
        <v>394</v>
      </c>
      <c r="Z28" s="113">
        <v>3</v>
      </c>
      <c r="AA28" s="113">
        <v>3</v>
      </c>
      <c r="AB28" s="113">
        <v>3</v>
      </c>
      <c r="AC28" s="113">
        <v>3</v>
      </c>
      <c r="AD28" s="114">
        <v>3</v>
      </c>
      <c r="AE28" s="114">
        <v>3</v>
      </c>
      <c r="AF28" s="114">
        <v>3</v>
      </c>
      <c r="AG28" s="112" t="s">
        <v>395</v>
      </c>
      <c r="AH28" s="192" t="s">
        <v>392</v>
      </c>
    </row>
    <row r="29" spans="1:34" ht="163.5">
      <c r="A29" s="18">
        <v>22</v>
      </c>
      <c r="B29" s="19" t="str">
        <f>DATA!D29</f>
        <v>MOHAMMAD ROFI'I</v>
      </c>
      <c r="C29" s="25" t="s">
        <v>392</v>
      </c>
      <c r="D29" s="25" t="s">
        <v>392</v>
      </c>
      <c r="E29" s="25" t="s">
        <v>392</v>
      </c>
      <c r="F29" s="25" t="s">
        <v>392</v>
      </c>
      <c r="G29" s="188" t="s">
        <v>392</v>
      </c>
      <c r="H29" s="184" t="s">
        <v>392</v>
      </c>
      <c r="I29" s="184" t="s">
        <v>392</v>
      </c>
      <c r="J29" s="184" t="s">
        <v>392</v>
      </c>
      <c r="K29" s="189" t="s">
        <v>392</v>
      </c>
      <c r="L29" s="189" t="s">
        <v>392</v>
      </c>
      <c r="M29" s="26" t="s">
        <v>392</v>
      </c>
      <c r="N29" s="26" t="s">
        <v>392</v>
      </c>
      <c r="O29" s="26" t="s">
        <v>392</v>
      </c>
      <c r="P29" s="26" t="s">
        <v>392</v>
      </c>
      <c r="Q29" s="26" t="s">
        <v>392</v>
      </c>
      <c r="R29" s="26" t="s">
        <v>392</v>
      </c>
      <c r="S29" s="185" t="s">
        <v>392</v>
      </c>
      <c r="T29" s="186" t="s">
        <v>392</v>
      </c>
      <c r="U29" s="186" t="s">
        <v>392</v>
      </c>
      <c r="V29" s="186" t="s">
        <v>392</v>
      </c>
      <c r="W29" s="187" t="s">
        <v>392</v>
      </c>
      <c r="X29" s="111">
        <v>3</v>
      </c>
      <c r="Y29" s="112" t="s">
        <v>394</v>
      </c>
      <c r="Z29" s="113">
        <v>3</v>
      </c>
      <c r="AA29" s="113">
        <v>3</v>
      </c>
      <c r="AB29" s="113">
        <v>3</v>
      </c>
      <c r="AC29" s="113">
        <v>3</v>
      </c>
      <c r="AD29" s="114">
        <v>3</v>
      </c>
      <c r="AE29" s="114">
        <v>3</v>
      </c>
      <c r="AF29" s="114">
        <v>3</v>
      </c>
      <c r="AG29" s="112" t="s">
        <v>395</v>
      </c>
      <c r="AH29" s="192" t="s">
        <v>392</v>
      </c>
    </row>
    <row r="30" spans="1:34" ht="163.5">
      <c r="A30" s="18">
        <v>23</v>
      </c>
      <c r="B30" s="19" t="str">
        <f>DATA!D30</f>
        <v>NI'MATUS SHOLIHA</v>
      </c>
      <c r="C30" s="25" t="s">
        <v>392</v>
      </c>
      <c r="D30" s="25" t="s">
        <v>392</v>
      </c>
      <c r="E30" s="25" t="s">
        <v>392</v>
      </c>
      <c r="F30" s="25" t="s">
        <v>392</v>
      </c>
      <c r="G30" s="188" t="s">
        <v>392</v>
      </c>
      <c r="H30" s="184" t="s">
        <v>392</v>
      </c>
      <c r="I30" s="184" t="s">
        <v>392</v>
      </c>
      <c r="J30" s="184" t="s">
        <v>392</v>
      </c>
      <c r="K30" s="189" t="s">
        <v>392</v>
      </c>
      <c r="L30" s="189" t="s">
        <v>392</v>
      </c>
      <c r="M30" s="26" t="s">
        <v>392</v>
      </c>
      <c r="N30" s="26" t="s">
        <v>392</v>
      </c>
      <c r="O30" s="26" t="s">
        <v>392</v>
      </c>
      <c r="P30" s="26" t="s">
        <v>392</v>
      </c>
      <c r="Q30" s="26" t="s">
        <v>392</v>
      </c>
      <c r="R30" s="26" t="s">
        <v>392</v>
      </c>
      <c r="S30" s="185" t="s">
        <v>392</v>
      </c>
      <c r="T30" s="186" t="s">
        <v>392</v>
      </c>
      <c r="U30" s="186" t="s">
        <v>392</v>
      </c>
      <c r="V30" s="186" t="s">
        <v>392</v>
      </c>
      <c r="W30" s="187" t="s">
        <v>392</v>
      </c>
      <c r="X30" s="111">
        <v>3</v>
      </c>
      <c r="Y30" s="112" t="s">
        <v>394</v>
      </c>
      <c r="Z30" s="113">
        <v>3</v>
      </c>
      <c r="AA30" s="113">
        <v>3</v>
      </c>
      <c r="AB30" s="113">
        <v>3</v>
      </c>
      <c r="AC30" s="113">
        <v>3</v>
      </c>
      <c r="AD30" s="114">
        <v>3</v>
      </c>
      <c r="AE30" s="114">
        <v>3</v>
      </c>
      <c r="AF30" s="114">
        <v>3</v>
      </c>
      <c r="AG30" s="112" t="s">
        <v>395</v>
      </c>
      <c r="AH30" s="192" t="s">
        <v>392</v>
      </c>
    </row>
    <row r="31" spans="1:34" ht="163.5">
      <c r="A31" s="18">
        <v>24</v>
      </c>
      <c r="B31" s="19" t="str">
        <f>DATA!D31</f>
        <v>PANJI FIKRI ISLAMI</v>
      </c>
      <c r="C31" s="25" t="s">
        <v>392</v>
      </c>
      <c r="D31" s="25" t="s">
        <v>392</v>
      </c>
      <c r="E31" s="25" t="s">
        <v>392</v>
      </c>
      <c r="F31" s="25" t="s">
        <v>392</v>
      </c>
      <c r="G31" s="188" t="s">
        <v>392</v>
      </c>
      <c r="H31" s="184" t="s">
        <v>392</v>
      </c>
      <c r="I31" s="184" t="s">
        <v>392</v>
      </c>
      <c r="J31" s="184" t="s">
        <v>392</v>
      </c>
      <c r="K31" s="189" t="s">
        <v>392</v>
      </c>
      <c r="L31" s="189" t="s">
        <v>392</v>
      </c>
      <c r="M31" s="26" t="s">
        <v>392</v>
      </c>
      <c r="N31" s="26" t="s">
        <v>392</v>
      </c>
      <c r="O31" s="26" t="s">
        <v>392</v>
      </c>
      <c r="P31" s="26" t="s">
        <v>392</v>
      </c>
      <c r="Q31" s="26" t="s">
        <v>392</v>
      </c>
      <c r="R31" s="26" t="s">
        <v>392</v>
      </c>
      <c r="S31" s="185" t="s">
        <v>392</v>
      </c>
      <c r="T31" s="186" t="s">
        <v>392</v>
      </c>
      <c r="U31" s="186" t="s">
        <v>392</v>
      </c>
      <c r="V31" s="186" t="s">
        <v>392</v>
      </c>
      <c r="W31" s="187" t="s">
        <v>392</v>
      </c>
      <c r="X31" s="111">
        <v>3</v>
      </c>
      <c r="Y31" s="112" t="s">
        <v>394</v>
      </c>
      <c r="Z31" s="113">
        <v>3</v>
      </c>
      <c r="AA31" s="113">
        <v>3</v>
      </c>
      <c r="AB31" s="113">
        <v>3</v>
      </c>
      <c r="AC31" s="113">
        <v>3</v>
      </c>
      <c r="AD31" s="114">
        <v>3</v>
      </c>
      <c r="AE31" s="114">
        <v>3</v>
      </c>
      <c r="AF31" s="114">
        <v>3</v>
      </c>
      <c r="AG31" s="112" t="s">
        <v>395</v>
      </c>
      <c r="AH31" s="192" t="s">
        <v>392</v>
      </c>
    </row>
    <row r="32" spans="1:34" ht="163.5">
      <c r="A32" s="18">
        <v>25</v>
      </c>
      <c r="B32" s="19" t="str">
        <f>DATA!D32</f>
        <v>RACMAT MAULIDI ABDANY</v>
      </c>
      <c r="C32" s="25" t="s">
        <v>392</v>
      </c>
      <c r="D32" s="25" t="s">
        <v>392</v>
      </c>
      <c r="E32" s="25" t="s">
        <v>392</v>
      </c>
      <c r="F32" s="25" t="s">
        <v>392</v>
      </c>
      <c r="G32" s="188" t="s">
        <v>392</v>
      </c>
      <c r="H32" s="184" t="s">
        <v>392</v>
      </c>
      <c r="I32" s="184" t="s">
        <v>392</v>
      </c>
      <c r="J32" s="184" t="s">
        <v>392</v>
      </c>
      <c r="K32" s="189" t="s">
        <v>392</v>
      </c>
      <c r="L32" s="189" t="s">
        <v>392</v>
      </c>
      <c r="M32" s="26" t="s">
        <v>392</v>
      </c>
      <c r="N32" s="26" t="s">
        <v>392</v>
      </c>
      <c r="O32" s="26" t="s">
        <v>392</v>
      </c>
      <c r="P32" s="26" t="s">
        <v>392</v>
      </c>
      <c r="Q32" s="26" t="s">
        <v>392</v>
      </c>
      <c r="R32" s="26" t="s">
        <v>392</v>
      </c>
      <c r="S32" s="185" t="s">
        <v>392</v>
      </c>
      <c r="T32" s="186" t="s">
        <v>392</v>
      </c>
      <c r="U32" s="186" t="s">
        <v>392</v>
      </c>
      <c r="V32" s="186" t="s">
        <v>392</v>
      </c>
      <c r="W32" s="187" t="s">
        <v>392</v>
      </c>
      <c r="X32" s="111">
        <v>3</v>
      </c>
      <c r="Y32" s="112" t="s">
        <v>394</v>
      </c>
      <c r="Z32" s="113">
        <v>3</v>
      </c>
      <c r="AA32" s="113">
        <v>3</v>
      </c>
      <c r="AB32" s="113">
        <v>3</v>
      </c>
      <c r="AC32" s="113">
        <v>3</v>
      </c>
      <c r="AD32" s="114">
        <v>3</v>
      </c>
      <c r="AE32" s="114">
        <v>3</v>
      </c>
      <c r="AF32" s="114">
        <v>3</v>
      </c>
      <c r="AG32" s="112" t="s">
        <v>395</v>
      </c>
      <c r="AH32" s="192" t="s">
        <v>392</v>
      </c>
    </row>
    <row r="33" spans="1:34" ht="163.5">
      <c r="A33" s="18">
        <v>26</v>
      </c>
      <c r="B33" s="19" t="str">
        <f>DATA!D33</f>
        <v>RAIHAN</v>
      </c>
      <c r="C33" s="25" t="s">
        <v>392</v>
      </c>
      <c r="D33" s="25" t="s">
        <v>392</v>
      </c>
      <c r="E33" s="25" t="s">
        <v>392</v>
      </c>
      <c r="F33" s="25" t="s">
        <v>392</v>
      </c>
      <c r="G33" s="188" t="s">
        <v>392</v>
      </c>
      <c r="H33" s="184" t="s">
        <v>392</v>
      </c>
      <c r="I33" s="184" t="s">
        <v>392</v>
      </c>
      <c r="J33" s="184" t="s">
        <v>392</v>
      </c>
      <c r="K33" s="189" t="s">
        <v>392</v>
      </c>
      <c r="L33" s="189" t="s">
        <v>392</v>
      </c>
      <c r="M33" s="26" t="s">
        <v>392</v>
      </c>
      <c r="N33" s="26" t="s">
        <v>392</v>
      </c>
      <c r="O33" s="26" t="s">
        <v>392</v>
      </c>
      <c r="P33" s="26" t="s">
        <v>392</v>
      </c>
      <c r="Q33" s="26" t="s">
        <v>392</v>
      </c>
      <c r="R33" s="26" t="s">
        <v>392</v>
      </c>
      <c r="S33" s="185" t="s">
        <v>392</v>
      </c>
      <c r="T33" s="186" t="s">
        <v>392</v>
      </c>
      <c r="U33" s="186" t="s">
        <v>392</v>
      </c>
      <c r="V33" s="186" t="s">
        <v>392</v>
      </c>
      <c r="W33" s="187" t="s">
        <v>392</v>
      </c>
      <c r="X33" s="111">
        <v>3</v>
      </c>
      <c r="Y33" s="112" t="s">
        <v>394</v>
      </c>
      <c r="Z33" s="113">
        <v>3</v>
      </c>
      <c r="AA33" s="113">
        <v>3</v>
      </c>
      <c r="AB33" s="113">
        <v>3</v>
      </c>
      <c r="AC33" s="113">
        <v>3</v>
      </c>
      <c r="AD33" s="114">
        <v>3</v>
      </c>
      <c r="AE33" s="114">
        <v>3</v>
      </c>
      <c r="AF33" s="114">
        <v>3</v>
      </c>
      <c r="AG33" s="112" t="s">
        <v>395</v>
      </c>
      <c r="AH33" s="192" t="s">
        <v>392</v>
      </c>
    </row>
    <row r="34" spans="1:34" ht="163.5">
      <c r="A34" s="18">
        <v>27</v>
      </c>
      <c r="B34" s="19" t="str">
        <f>DATA!D34</f>
        <v>REFITA ANNASTASYA</v>
      </c>
      <c r="C34" s="25" t="s">
        <v>392</v>
      </c>
      <c r="D34" s="25" t="s">
        <v>392</v>
      </c>
      <c r="E34" s="25" t="s">
        <v>392</v>
      </c>
      <c r="F34" s="25" t="s">
        <v>392</v>
      </c>
      <c r="G34" s="188" t="s">
        <v>392</v>
      </c>
      <c r="H34" s="184" t="s">
        <v>392</v>
      </c>
      <c r="I34" s="184" t="s">
        <v>392</v>
      </c>
      <c r="J34" s="184" t="s">
        <v>392</v>
      </c>
      <c r="K34" s="189" t="s">
        <v>392</v>
      </c>
      <c r="L34" s="189" t="s">
        <v>392</v>
      </c>
      <c r="M34" s="26" t="s">
        <v>392</v>
      </c>
      <c r="N34" s="26" t="s">
        <v>392</v>
      </c>
      <c r="O34" s="26" t="s">
        <v>392</v>
      </c>
      <c r="P34" s="26" t="s">
        <v>392</v>
      </c>
      <c r="Q34" s="26" t="s">
        <v>392</v>
      </c>
      <c r="R34" s="26" t="s">
        <v>392</v>
      </c>
      <c r="S34" s="185" t="s">
        <v>392</v>
      </c>
      <c r="T34" s="186" t="s">
        <v>392</v>
      </c>
      <c r="U34" s="186" t="s">
        <v>392</v>
      </c>
      <c r="V34" s="186" t="s">
        <v>392</v>
      </c>
      <c r="W34" s="187" t="s">
        <v>392</v>
      </c>
      <c r="X34" s="111">
        <v>3</v>
      </c>
      <c r="Y34" s="112" t="s">
        <v>394</v>
      </c>
      <c r="Z34" s="113">
        <v>3</v>
      </c>
      <c r="AA34" s="113">
        <v>3</v>
      </c>
      <c r="AB34" s="113">
        <v>3</v>
      </c>
      <c r="AC34" s="113">
        <v>3</v>
      </c>
      <c r="AD34" s="114">
        <v>3</v>
      </c>
      <c r="AE34" s="114">
        <v>3</v>
      </c>
      <c r="AF34" s="114">
        <v>3</v>
      </c>
      <c r="AG34" s="112" t="s">
        <v>395</v>
      </c>
      <c r="AH34" s="192" t="s">
        <v>392</v>
      </c>
    </row>
    <row r="35" spans="1:34" ht="163.5">
      <c r="A35" s="18">
        <v>28</v>
      </c>
      <c r="B35" s="19" t="str">
        <f>DATA!D35</f>
        <v>RISKIYAH</v>
      </c>
      <c r="C35" s="25" t="s">
        <v>392</v>
      </c>
      <c r="D35" s="25" t="s">
        <v>392</v>
      </c>
      <c r="E35" s="25" t="s">
        <v>392</v>
      </c>
      <c r="F35" s="25" t="s">
        <v>392</v>
      </c>
      <c r="G35" s="188" t="s">
        <v>392</v>
      </c>
      <c r="H35" s="184" t="s">
        <v>392</v>
      </c>
      <c r="I35" s="184" t="s">
        <v>392</v>
      </c>
      <c r="J35" s="184" t="s">
        <v>392</v>
      </c>
      <c r="K35" s="189" t="s">
        <v>392</v>
      </c>
      <c r="L35" s="189" t="s">
        <v>392</v>
      </c>
      <c r="M35" s="26" t="s">
        <v>392</v>
      </c>
      <c r="N35" s="26" t="s">
        <v>392</v>
      </c>
      <c r="O35" s="26" t="s">
        <v>392</v>
      </c>
      <c r="P35" s="26" t="s">
        <v>392</v>
      </c>
      <c r="Q35" s="26" t="s">
        <v>392</v>
      </c>
      <c r="R35" s="26" t="s">
        <v>392</v>
      </c>
      <c r="S35" s="185" t="s">
        <v>392</v>
      </c>
      <c r="T35" s="186" t="s">
        <v>392</v>
      </c>
      <c r="U35" s="186" t="s">
        <v>392</v>
      </c>
      <c r="V35" s="186" t="s">
        <v>392</v>
      </c>
      <c r="W35" s="187" t="s">
        <v>392</v>
      </c>
      <c r="X35" s="111">
        <v>3</v>
      </c>
      <c r="Y35" s="112" t="s">
        <v>394</v>
      </c>
      <c r="Z35" s="113">
        <v>3</v>
      </c>
      <c r="AA35" s="113">
        <v>3</v>
      </c>
      <c r="AB35" s="113">
        <v>3</v>
      </c>
      <c r="AC35" s="113">
        <v>3</v>
      </c>
      <c r="AD35" s="114">
        <v>3</v>
      </c>
      <c r="AE35" s="114">
        <v>3</v>
      </c>
      <c r="AF35" s="114">
        <v>3</v>
      </c>
      <c r="AG35" s="112" t="s">
        <v>395</v>
      </c>
      <c r="AH35" s="192" t="s">
        <v>392</v>
      </c>
    </row>
    <row r="36" spans="1:34" ht="163.5">
      <c r="A36" s="18">
        <v>29</v>
      </c>
      <c r="B36" s="19" t="str">
        <f>DATA!D36</f>
        <v>SALILATUL HUSNA</v>
      </c>
      <c r="C36" s="25" t="s">
        <v>392</v>
      </c>
      <c r="D36" s="25" t="s">
        <v>392</v>
      </c>
      <c r="E36" s="25" t="s">
        <v>392</v>
      </c>
      <c r="F36" s="25" t="s">
        <v>392</v>
      </c>
      <c r="G36" s="188" t="s">
        <v>392</v>
      </c>
      <c r="H36" s="184" t="s">
        <v>392</v>
      </c>
      <c r="I36" s="184" t="s">
        <v>392</v>
      </c>
      <c r="J36" s="184" t="s">
        <v>392</v>
      </c>
      <c r="K36" s="189" t="s">
        <v>392</v>
      </c>
      <c r="L36" s="189" t="s">
        <v>392</v>
      </c>
      <c r="M36" s="26" t="s">
        <v>392</v>
      </c>
      <c r="N36" s="26" t="s">
        <v>392</v>
      </c>
      <c r="O36" s="26" t="s">
        <v>392</v>
      </c>
      <c r="P36" s="26" t="s">
        <v>392</v>
      </c>
      <c r="Q36" s="26" t="s">
        <v>392</v>
      </c>
      <c r="R36" s="26" t="s">
        <v>392</v>
      </c>
      <c r="S36" s="185" t="s">
        <v>392</v>
      </c>
      <c r="T36" s="186" t="s">
        <v>392</v>
      </c>
      <c r="U36" s="186" t="s">
        <v>392</v>
      </c>
      <c r="V36" s="186" t="s">
        <v>392</v>
      </c>
      <c r="W36" s="187" t="s">
        <v>392</v>
      </c>
      <c r="X36" s="111">
        <v>3</v>
      </c>
      <c r="Y36" s="112" t="s">
        <v>394</v>
      </c>
      <c r="Z36" s="113">
        <v>3</v>
      </c>
      <c r="AA36" s="113">
        <v>3</v>
      </c>
      <c r="AB36" s="113">
        <v>3</v>
      </c>
      <c r="AC36" s="113">
        <v>3</v>
      </c>
      <c r="AD36" s="114">
        <v>3</v>
      </c>
      <c r="AE36" s="114">
        <v>3</v>
      </c>
      <c r="AF36" s="114">
        <v>3</v>
      </c>
      <c r="AG36" s="112" t="s">
        <v>395</v>
      </c>
      <c r="AH36" s="192" t="s">
        <v>392</v>
      </c>
    </row>
    <row r="37" spans="1:34" ht="163.5">
      <c r="A37" s="18">
        <v>30</v>
      </c>
      <c r="B37" s="19" t="str">
        <f>DATA!D37</f>
        <v>SALMA NABILA</v>
      </c>
      <c r="C37" s="25" t="s">
        <v>392</v>
      </c>
      <c r="D37" s="25" t="s">
        <v>392</v>
      </c>
      <c r="E37" s="25" t="s">
        <v>392</v>
      </c>
      <c r="F37" s="25" t="s">
        <v>392</v>
      </c>
      <c r="G37" s="188" t="s">
        <v>392</v>
      </c>
      <c r="H37" s="184" t="s">
        <v>392</v>
      </c>
      <c r="I37" s="184" t="s">
        <v>392</v>
      </c>
      <c r="J37" s="184" t="s">
        <v>392</v>
      </c>
      <c r="K37" s="189" t="s">
        <v>392</v>
      </c>
      <c r="L37" s="189" t="s">
        <v>392</v>
      </c>
      <c r="M37" s="26" t="s">
        <v>392</v>
      </c>
      <c r="N37" s="26" t="s">
        <v>392</v>
      </c>
      <c r="O37" s="26" t="s">
        <v>392</v>
      </c>
      <c r="P37" s="26" t="s">
        <v>392</v>
      </c>
      <c r="Q37" s="26" t="s">
        <v>392</v>
      </c>
      <c r="R37" s="26" t="s">
        <v>392</v>
      </c>
      <c r="S37" s="185" t="s">
        <v>392</v>
      </c>
      <c r="T37" s="186" t="s">
        <v>392</v>
      </c>
      <c r="U37" s="186" t="s">
        <v>392</v>
      </c>
      <c r="V37" s="186" t="s">
        <v>392</v>
      </c>
      <c r="W37" s="187" t="s">
        <v>392</v>
      </c>
      <c r="X37" s="111">
        <v>3</v>
      </c>
      <c r="Y37" s="112" t="s">
        <v>394</v>
      </c>
      <c r="Z37" s="113">
        <v>3</v>
      </c>
      <c r="AA37" s="113">
        <v>3</v>
      </c>
      <c r="AB37" s="113">
        <v>3</v>
      </c>
      <c r="AC37" s="113">
        <v>3</v>
      </c>
      <c r="AD37" s="114">
        <v>3</v>
      </c>
      <c r="AE37" s="114">
        <v>3</v>
      </c>
      <c r="AF37" s="114">
        <v>3</v>
      </c>
      <c r="AG37" s="112" t="s">
        <v>395</v>
      </c>
      <c r="AH37" s="192" t="s">
        <v>392</v>
      </c>
    </row>
    <row r="38" spans="1:34" ht="163.5">
      <c r="A38" s="18">
        <v>31</v>
      </c>
      <c r="B38" s="19" t="str">
        <f>DATA!D38</f>
        <v>SITI AINUR ROHIMAH</v>
      </c>
      <c r="C38" s="25" t="s">
        <v>392</v>
      </c>
      <c r="D38" s="25" t="s">
        <v>392</v>
      </c>
      <c r="E38" s="25" t="s">
        <v>392</v>
      </c>
      <c r="F38" s="25" t="s">
        <v>392</v>
      </c>
      <c r="G38" s="188" t="s">
        <v>392</v>
      </c>
      <c r="H38" s="184" t="s">
        <v>392</v>
      </c>
      <c r="I38" s="184" t="s">
        <v>392</v>
      </c>
      <c r="J38" s="184" t="s">
        <v>392</v>
      </c>
      <c r="K38" s="189" t="s">
        <v>392</v>
      </c>
      <c r="L38" s="189" t="s">
        <v>392</v>
      </c>
      <c r="M38" s="26" t="s">
        <v>392</v>
      </c>
      <c r="N38" s="26" t="s">
        <v>392</v>
      </c>
      <c r="O38" s="26" t="s">
        <v>392</v>
      </c>
      <c r="P38" s="26" t="s">
        <v>392</v>
      </c>
      <c r="Q38" s="26" t="s">
        <v>392</v>
      </c>
      <c r="R38" s="26" t="s">
        <v>392</v>
      </c>
      <c r="S38" s="185" t="s">
        <v>392</v>
      </c>
      <c r="T38" s="186" t="s">
        <v>392</v>
      </c>
      <c r="U38" s="186" t="s">
        <v>392</v>
      </c>
      <c r="V38" s="186" t="s">
        <v>392</v>
      </c>
      <c r="W38" s="187" t="s">
        <v>392</v>
      </c>
      <c r="X38" s="111">
        <v>3</v>
      </c>
      <c r="Y38" s="112" t="s">
        <v>394</v>
      </c>
      <c r="Z38" s="113">
        <v>3</v>
      </c>
      <c r="AA38" s="113">
        <v>3</v>
      </c>
      <c r="AB38" s="113">
        <v>3</v>
      </c>
      <c r="AC38" s="113">
        <v>3</v>
      </c>
      <c r="AD38" s="114">
        <v>3</v>
      </c>
      <c r="AE38" s="114">
        <v>3</v>
      </c>
      <c r="AF38" s="114">
        <v>3</v>
      </c>
      <c r="AG38" s="112" t="s">
        <v>395</v>
      </c>
      <c r="AH38" s="192" t="s">
        <v>392</v>
      </c>
    </row>
    <row r="39" spans="1:34" ht="163.5">
      <c r="A39" s="18">
        <v>32</v>
      </c>
      <c r="B39" s="19" t="str">
        <f>DATA!D39</f>
        <v>SYARIF HIDAYATULLOH</v>
      </c>
      <c r="C39" s="25" t="s">
        <v>392</v>
      </c>
      <c r="D39" s="25" t="s">
        <v>392</v>
      </c>
      <c r="E39" s="25" t="s">
        <v>392</v>
      </c>
      <c r="F39" s="25" t="s">
        <v>392</v>
      </c>
      <c r="G39" s="188" t="s">
        <v>392</v>
      </c>
      <c r="H39" s="184" t="s">
        <v>392</v>
      </c>
      <c r="I39" s="184" t="s">
        <v>392</v>
      </c>
      <c r="J39" s="184" t="s">
        <v>392</v>
      </c>
      <c r="K39" s="189" t="s">
        <v>392</v>
      </c>
      <c r="L39" s="189" t="s">
        <v>392</v>
      </c>
      <c r="M39" s="26" t="s">
        <v>392</v>
      </c>
      <c r="N39" s="26" t="s">
        <v>392</v>
      </c>
      <c r="O39" s="26" t="s">
        <v>392</v>
      </c>
      <c r="P39" s="26" t="s">
        <v>392</v>
      </c>
      <c r="Q39" s="26" t="s">
        <v>392</v>
      </c>
      <c r="R39" s="26" t="s">
        <v>392</v>
      </c>
      <c r="S39" s="185" t="s">
        <v>392</v>
      </c>
      <c r="T39" s="186" t="s">
        <v>392</v>
      </c>
      <c r="U39" s="186" t="s">
        <v>392</v>
      </c>
      <c r="V39" s="186" t="s">
        <v>392</v>
      </c>
      <c r="W39" s="187" t="s">
        <v>392</v>
      </c>
      <c r="X39" s="111">
        <v>3</v>
      </c>
      <c r="Y39" s="112" t="s">
        <v>394</v>
      </c>
      <c r="Z39" s="113">
        <v>3</v>
      </c>
      <c r="AA39" s="113">
        <v>3</v>
      </c>
      <c r="AB39" s="113">
        <v>3</v>
      </c>
      <c r="AC39" s="113">
        <v>3</v>
      </c>
      <c r="AD39" s="114">
        <v>3</v>
      </c>
      <c r="AE39" s="114">
        <v>3</v>
      </c>
      <c r="AF39" s="114">
        <v>3</v>
      </c>
      <c r="AG39" s="112" t="s">
        <v>395</v>
      </c>
      <c r="AH39" s="192" t="s">
        <v>392</v>
      </c>
    </row>
    <row r="40" spans="1:34" ht="163.5">
      <c r="A40" s="18">
        <v>33</v>
      </c>
      <c r="B40" s="19" t="str">
        <f>DATA!D40</f>
        <v>URVIA ZAHNA ROHANDY</v>
      </c>
      <c r="C40" s="25" t="s">
        <v>392</v>
      </c>
      <c r="D40" s="25" t="s">
        <v>392</v>
      </c>
      <c r="E40" s="25" t="s">
        <v>392</v>
      </c>
      <c r="F40" s="25" t="s">
        <v>392</v>
      </c>
      <c r="G40" s="188" t="s">
        <v>392</v>
      </c>
      <c r="H40" s="184" t="s">
        <v>392</v>
      </c>
      <c r="I40" s="184" t="s">
        <v>392</v>
      </c>
      <c r="J40" s="184" t="s">
        <v>392</v>
      </c>
      <c r="K40" s="189" t="s">
        <v>392</v>
      </c>
      <c r="L40" s="189" t="s">
        <v>392</v>
      </c>
      <c r="M40" s="26" t="s">
        <v>392</v>
      </c>
      <c r="N40" s="26" t="s">
        <v>392</v>
      </c>
      <c r="O40" s="26" t="s">
        <v>392</v>
      </c>
      <c r="P40" s="26" t="s">
        <v>392</v>
      </c>
      <c r="Q40" s="26" t="s">
        <v>392</v>
      </c>
      <c r="R40" s="26" t="s">
        <v>392</v>
      </c>
      <c r="S40" s="185" t="s">
        <v>392</v>
      </c>
      <c r="T40" s="186" t="s">
        <v>392</v>
      </c>
      <c r="U40" s="186" t="s">
        <v>392</v>
      </c>
      <c r="V40" s="186" t="s">
        <v>392</v>
      </c>
      <c r="W40" s="187" t="s">
        <v>392</v>
      </c>
      <c r="X40" s="111">
        <v>3</v>
      </c>
      <c r="Y40" s="112" t="s">
        <v>394</v>
      </c>
      <c r="Z40" s="113">
        <v>3</v>
      </c>
      <c r="AA40" s="113">
        <v>3</v>
      </c>
      <c r="AB40" s="113">
        <v>3</v>
      </c>
      <c r="AC40" s="113">
        <v>3</v>
      </c>
      <c r="AD40" s="114">
        <v>3</v>
      </c>
      <c r="AE40" s="114">
        <v>3</v>
      </c>
      <c r="AF40" s="114">
        <v>3</v>
      </c>
      <c r="AG40" s="112" t="s">
        <v>395</v>
      </c>
      <c r="AH40" s="192" t="s">
        <v>392</v>
      </c>
    </row>
    <row r="41" spans="1:34" ht="163.5">
      <c r="A41" s="18">
        <v>34</v>
      </c>
      <c r="B41" s="19">
        <f>DATA!D41</f>
        <v>0</v>
      </c>
      <c r="C41" s="25" t="s">
        <v>392</v>
      </c>
      <c r="D41" s="25" t="s">
        <v>392</v>
      </c>
      <c r="E41" s="25" t="s">
        <v>392</v>
      </c>
      <c r="F41" s="25" t="s">
        <v>392</v>
      </c>
      <c r="G41" s="188" t="s">
        <v>392</v>
      </c>
      <c r="H41" s="184" t="s">
        <v>392</v>
      </c>
      <c r="I41" s="184" t="s">
        <v>392</v>
      </c>
      <c r="J41" s="184" t="s">
        <v>392</v>
      </c>
      <c r="K41" s="189" t="s">
        <v>392</v>
      </c>
      <c r="L41" s="189" t="s">
        <v>392</v>
      </c>
      <c r="M41" s="26" t="s">
        <v>392</v>
      </c>
      <c r="N41" s="26" t="s">
        <v>392</v>
      </c>
      <c r="O41" s="26" t="s">
        <v>392</v>
      </c>
      <c r="P41" s="26" t="s">
        <v>392</v>
      </c>
      <c r="Q41" s="26" t="s">
        <v>392</v>
      </c>
      <c r="R41" s="26" t="s">
        <v>392</v>
      </c>
      <c r="S41" s="185" t="s">
        <v>392</v>
      </c>
      <c r="T41" s="186" t="s">
        <v>392</v>
      </c>
      <c r="U41" s="186" t="s">
        <v>392</v>
      </c>
      <c r="V41" s="186" t="s">
        <v>392</v>
      </c>
      <c r="W41" s="187" t="s">
        <v>392</v>
      </c>
      <c r="X41" s="111">
        <v>3</v>
      </c>
      <c r="Y41" s="112" t="s">
        <v>394</v>
      </c>
      <c r="Z41" s="113">
        <v>3</v>
      </c>
      <c r="AA41" s="113">
        <v>3</v>
      </c>
      <c r="AB41" s="113">
        <v>3</v>
      </c>
      <c r="AC41" s="113">
        <v>3</v>
      </c>
      <c r="AD41" s="114">
        <v>3</v>
      </c>
      <c r="AE41" s="114">
        <v>3</v>
      </c>
      <c r="AF41" s="114">
        <v>3</v>
      </c>
      <c r="AG41" s="112" t="s">
        <v>395</v>
      </c>
      <c r="AH41" s="192" t="s">
        <v>392</v>
      </c>
    </row>
    <row r="42" spans="1:34" ht="163.5">
      <c r="A42" s="18">
        <v>35</v>
      </c>
      <c r="B42" s="19">
        <f>DATA!D42</f>
        <v>0</v>
      </c>
      <c r="C42" s="25" t="s">
        <v>392</v>
      </c>
      <c r="D42" s="25" t="s">
        <v>392</v>
      </c>
      <c r="E42" s="25" t="s">
        <v>392</v>
      </c>
      <c r="F42" s="25" t="s">
        <v>392</v>
      </c>
      <c r="G42" s="188" t="s">
        <v>392</v>
      </c>
      <c r="H42" s="184" t="s">
        <v>392</v>
      </c>
      <c r="I42" s="184" t="s">
        <v>392</v>
      </c>
      <c r="J42" s="184" t="s">
        <v>392</v>
      </c>
      <c r="K42" s="189" t="s">
        <v>392</v>
      </c>
      <c r="L42" s="189" t="s">
        <v>392</v>
      </c>
      <c r="M42" s="26" t="s">
        <v>392</v>
      </c>
      <c r="N42" s="26" t="s">
        <v>392</v>
      </c>
      <c r="O42" s="26" t="s">
        <v>392</v>
      </c>
      <c r="P42" s="26" t="s">
        <v>392</v>
      </c>
      <c r="Q42" s="26" t="s">
        <v>392</v>
      </c>
      <c r="R42" s="26" t="s">
        <v>392</v>
      </c>
      <c r="S42" s="185" t="s">
        <v>392</v>
      </c>
      <c r="T42" s="186" t="s">
        <v>392</v>
      </c>
      <c r="U42" s="186" t="s">
        <v>392</v>
      </c>
      <c r="V42" s="186" t="s">
        <v>392</v>
      </c>
      <c r="W42" s="187" t="s">
        <v>392</v>
      </c>
      <c r="X42" s="111">
        <v>3</v>
      </c>
      <c r="Y42" s="112" t="s">
        <v>394</v>
      </c>
      <c r="Z42" s="113">
        <v>3</v>
      </c>
      <c r="AA42" s="113">
        <v>3</v>
      </c>
      <c r="AB42" s="113">
        <v>3</v>
      </c>
      <c r="AC42" s="113">
        <v>3</v>
      </c>
      <c r="AD42" s="114">
        <v>3</v>
      </c>
      <c r="AE42" s="114">
        <v>3</v>
      </c>
      <c r="AF42" s="114">
        <v>3</v>
      </c>
      <c r="AG42" s="112" t="s">
        <v>395</v>
      </c>
      <c r="AH42" s="192" t="s">
        <v>392</v>
      </c>
    </row>
    <row r="43" spans="1:34" ht="163.5">
      <c r="A43" s="18">
        <v>36</v>
      </c>
      <c r="B43" s="19">
        <f>DATA!D43</f>
        <v>0</v>
      </c>
      <c r="C43" s="25" t="s">
        <v>392</v>
      </c>
      <c r="D43" s="25" t="s">
        <v>392</v>
      </c>
      <c r="E43" s="25" t="s">
        <v>392</v>
      </c>
      <c r="F43" s="25" t="s">
        <v>392</v>
      </c>
      <c r="G43" s="188" t="s">
        <v>392</v>
      </c>
      <c r="H43" s="184" t="s">
        <v>392</v>
      </c>
      <c r="I43" s="184" t="s">
        <v>392</v>
      </c>
      <c r="J43" s="184" t="s">
        <v>392</v>
      </c>
      <c r="K43" s="189" t="s">
        <v>392</v>
      </c>
      <c r="L43" s="189" t="s">
        <v>392</v>
      </c>
      <c r="M43" s="26" t="s">
        <v>392</v>
      </c>
      <c r="N43" s="26" t="s">
        <v>392</v>
      </c>
      <c r="O43" s="26" t="s">
        <v>392</v>
      </c>
      <c r="P43" s="26" t="s">
        <v>392</v>
      </c>
      <c r="Q43" s="26" t="s">
        <v>392</v>
      </c>
      <c r="R43" s="26" t="s">
        <v>392</v>
      </c>
      <c r="S43" s="185" t="s">
        <v>392</v>
      </c>
      <c r="T43" s="186" t="s">
        <v>392</v>
      </c>
      <c r="U43" s="186" t="s">
        <v>392</v>
      </c>
      <c r="V43" s="186" t="s">
        <v>392</v>
      </c>
      <c r="W43" s="187" t="s">
        <v>392</v>
      </c>
      <c r="X43" s="111">
        <v>3</v>
      </c>
      <c r="Y43" s="112" t="s">
        <v>394</v>
      </c>
      <c r="Z43" s="113">
        <v>3</v>
      </c>
      <c r="AA43" s="113">
        <v>3</v>
      </c>
      <c r="AB43" s="113">
        <v>3</v>
      </c>
      <c r="AC43" s="113">
        <v>3</v>
      </c>
      <c r="AD43" s="114">
        <v>3</v>
      </c>
      <c r="AE43" s="114">
        <v>3</v>
      </c>
      <c r="AF43" s="114">
        <v>3</v>
      </c>
      <c r="AG43" s="112" t="s">
        <v>395</v>
      </c>
      <c r="AH43" s="192" t="s">
        <v>392</v>
      </c>
    </row>
    <row r="44" spans="1:34" ht="163.5">
      <c r="A44" s="18">
        <v>37</v>
      </c>
      <c r="B44" s="19">
        <f>DATA!D44</f>
        <v>0</v>
      </c>
      <c r="C44" s="25" t="s">
        <v>392</v>
      </c>
      <c r="D44" s="25" t="s">
        <v>392</v>
      </c>
      <c r="E44" s="25" t="s">
        <v>392</v>
      </c>
      <c r="F44" s="25" t="s">
        <v>392</v>
      </c>
      <c r="G44" s="188" t="s">
        <v>392</v>
      </c>
      <c r="H44" s="184" t="s">
        <v>392</v>
      </c>
      <c r="I44" s="184" t="s">
        <v>392</v>
      </c>
      <c r="J44" s="184" t="s">
        <v>392</v>
      </c>
      <c r="K44" s="189" t="s">
        <v>392</v>
      </c>
      <c r="L44" s="189" t="s">
        <v>392</v>
      </c>
      <c r="M44" s="26" t="s">
        <v>392</v>
      </c>
      <c r="N44" s="26" t="s">
        <v>392</v>
      </c>
      <c r="O44" s="26" t="s">
        <v>392</v>
      </c>
      <c r="P44" s="26" t="s">
        <v>392</v>
      </c>
      <c r="Q44" s="26" t="s">
        <v>392</v>
      </c>
      <c r="R44" s="26" t="s">
        <v>392</v>
      </c>
      <c r="S44" s="185" t="s">
        <v>392</v>
      </c>
      <c r="T44" s="186" t="s">
        <v>392</v>
      </c>
      <c r="U44" s="186" t="s">
        <v>392</v>
      </c>
      <c r="V44" s="186" t="s">
        <v>392</v>
      </c>
      <c r="W44" s="187" t="s">
        <v>392</v>
      </c>
      <c r="X44" s="111">
        <v>3</v>
      </c>
      <c r="Y44" s="112" t="s">
        <v>394</v>
      </c>
      <c r="Z44" s="113">
        <v>3</v>
      </c>
      <c r="AA44" s="113">
        <v>3</v>
      </c>
      <c r="AB44" s="113">
        <v>3</v>
      </c>
      <c r="AC44" s="113">
        <v>3</v>
      </c>
      <c r="AD44" s="114">
        <v>3</v>
      </c>
      <c r="AE44" s="114">
        <v>3</v>
      </c>
      <c r="AF44" s="114">
        <v>3</v>
      </c>
      <c r="AG44" s="112" t="s">
        <v>395</v>
      </c>
      <c r="AH44" s="192" t="s">
        <v>392</v>
      </c>
    </row>
    <row r="45" spans="1:34" ht="163.5">
      <c r="A45" s="18">
        <v>38</v>
      </c>
      <c r="B45" s="19">
        <f>DATA!D45</f>
        <v>0</v>
      </c>
      <c r="C45" s="25" t="s">
        <v>392</v>
      </c>
      <c r="D45" s="25" t="s">
        <v>392</v>
      </c>
      <c r="E45" s="25" t="s">
        <v>392</v>
      </c>
      <c r="F45" s="25" t="s">
        <v>392</v>
      </c>
      <c r="G45" s="188" t="s">
        <v>392</v>
      </c>
      <c r="H45" s="184" t="s">
        <v>392</v>
      </c>
      <c r="I45" s="184" t="s">
        <v>392</v>
      </c>
      <c r="J45" s="184" t="s">
        <v>392</v>
      </c>
      <c r="K45" s="189" t="s">
        <v>392</v>
      </c>
      <c r="L45" s="189" t="s">
        <v>392</v>
      </c>
      <c r="M45" s="26" t="s">
        <v>392</v>
      </c>
      <c r="N45" s="26" t="s">
        <v>392</v>
      </c>
      <c r="O45" s="26" t="s">
        <v>392</v>
      </c>
      <c r="P45" s="26" t="s">
        <v>392</v>
      </c>
      <c r="Q45" s="26" t="s">
        <v>392</v>
      </c>
      <c r="R45" s="26" t="s">
        <v>392</v>
      </c>
      <c r="S45" s="185" t="s">
        <v>392</v>
      </c>
      <c r="T45" s="186" t="s">
        <v>392</v>
      </c>
      <c r="U45" s="186" t="s">
        <v>392</v>
      </c>
      <c r="V45" s="186" t="s">
        <v>392</v>
      </c>
      <c r="W45" s="187" t="s">
        <v>392</v>
      </c>
      <c r="X45" s="111">
        <v>3</v>
      </c>
      <c r="Y45" s="112" t="s">
        <v>394</v>
      </c>
      <c r="Z45" s="113">
        <v>3</v>
      </c>
      <c r="AA45" s="113">
        <v>3</v>
      </c>
      <c r="AB45" s="113">
        <v>3</v>
      </c>
      <c r="AC45" s="113">
        <v>3</v>
      </c>
      <c r="AD45" s="114">
        <v>3</v>
      </c>
      <c r="AE45" s="114">
        <v>3</v>
      </c>
      <c r="AF45" s="114">
        <v>3</v>
      </c>
      <c r="AG45" s="112" t="s">
        <v>395</v>
      </c>
      <c r="AH45" s="192" t="s">
        <v>392</v>
      </c>
    </row>
    <row r="46" spans="1:34" ht="163.5">
      <c r="A46" s="18">
        <v>39</v>
      </c>
      <c r="B46" s="19">
        <f>DATA!D46</f>
        <v>0</v>
      </c>
      <c r="C46" s="25" t="s">
        <v>392</v>
      </c>
      <c r="D46" s="25" t="s">
        <v>392</v>
      </c>
      <c r="E46" s="25" t="s">
        <v>392</v>
      </c>
      <c r="F46" s="25" t="s">
        <v>392</v>
      </c>
      <c r="G46" s="188" t="s">
        <v>392</v>
      </c>
      <c r="H46" s="184" t="s">
        <v>392</v>
      </c>
      <c r="I46" s="184" t="s">
        <v>392</v>
      </c>
      <c r="J46" s="184" t="s">
        <v>392</v>
      </c>
      <c r="K46" s="189" t="s">
        <v>392</v>
      </c>
      <c r="L46" s="189" t="s">
        <v>392</v>
      </c>
      <c r="M46" s="26" t="s">
        <v>392</v>
      </c>
      <c r="N46" s="26" t="s">
        <v>392</v>
      </c>
      <c r="O46" s="26" t="s">
        <v>392</v>
      </c>
      <c r="P46" s="26" t="s">
        <v>392</v>
      </c>
      <c r="Q46" s="26" t="s">
        <v>392</v>
      </c>
      <c r="R46" s="26" t="s">
        <v>392</v>
      </c>
      <c r="S46" s="185" t="s">
        <v>392</v>
      </c>
      <c r="T46" s="186" t="s">
        <v>392</v>
      </c>
      <c r="U46" s="186" t="s">
        <v>392</v>
      </c>
      <c r="V46" s="186" t="s">
        <v>392</v>
      </c>
      <c r="W46" s="187" t="s">
        <v>392</v>
      </c>
      <c r="X46" s="111">
        <v>3</v>
      </c>
      <c r="Y46" s="112" t="s">
        <v>394</v>
      </c>
      <c r="Z46" s="113">
        <v>3</v>
      </c>
      <c r="AA46" s="113">
        <v>3</v>
      </c>
      <c r="AB46" s="113">
        <v>3</v>
      </c>
      <c r="AC46" s="113">
        <v>3</v>
      </c>
      <c r="AD46" s="114">
        <v>3</v>
      </c>
      <c r="AE46" s="114">
        <v>3</v>
      </c>
      <c r="AF46" s="114">
        <v>3</v>
      </c>
      <c r="AG46" s="112" t="s">
        <v>395</v>
      </c>
      <c r="AH46" s="192" t="s">
        <v>392</v>
      </c>
    </row>
    <row r="47" spans="1:34" ht="163.5">
      <c r="A47" s="18">
        <v>40</v>
      </c>
      <c r="B47" s="19">
        <f>DATA!D47</f>
        <v>0</v>
      </c>
      <c r="C47" s="25" t="s">
        <v>392</v>
      </c>
      <c r="D47" s="25" t="s">
        <v>392</v>
      </c>
      <c r="E47" s="25" t="s">
        <v>392</v>
      </c>
      <c r="F47" s="25" t="s">
        <v>392</v>
      </c>
      <c r="G47" s="188" t="s">
        <v>392</v>
      </c>
      <c r="H47" s="184" t="s">
        <v>392</v>
      </c>
      <c r="I47" s="184" t="s">
        <v>392</v>
      </c>
      <c r="J47" s="184" t="s">
        <v>392</v>
      </c>
      <c r="K47" s="189" t="s">
        <v>392</v>
      </c>
      <c r="L47" s="189" t="s">
        <v>392</v>
      </c>
      <c r="M47" s="26" t="s">
        <v>392</v>
      </c>
      <c r="N47" s="26" t="s">
        <v>392</v>
      </c>
      <c r="O47" s="26" t="s">
        <v>392</v>
      </c>
      <c r="P47" s="26" t="s">
        <v>392</v>
      </c>
      <c r="Q47" s="26" t="s">
        <v>392</v>
      </c>
      <c r="R47" s="26" t="s">
        <v>392</v>
      </c>
      <c r="S47" s="185" t="s">
        <v>392</v>
      </c>
      <c r="T47" s="186" t="s">
        <v>392</v>
      </c>
      <c r="U47" s="186" t="s">
        <v>392</v>
      </c>
      <c r="V47" s="186" t="s">
        <v>392</v>
      </c>
      <c r="W47" s="187" t="s">
        <v>392</v>
      </c>
      <c r="X47" s="111">
        <v>3</v>
      </c>
      <c r="Y47" s="112" t="s">
        <v>394</v>
      </c>
      <c r="Z47" s="113">
        <v>3</v>
      </c>
      <c r="AA47" s="113">
        <v>3</v>
      </c>
      <c r="AB47" s="113">
        <v>3</v>
      </c>
      <c r="AC47" s="113">
        <v>3</v>
      </c>
      <c r="AD47" s="114">
        <v>3</v>
      </c>
      <c r="AE47" s="114">
        <v>3</v>
      </c>
      <c r="AF47" s="114">
        <v>3</v>
      </c>
      <c r="AG47" s="112" t="s">
        <v>395</v>
      </c>
      <c r="AH47" s="192" t="s">
        <v>392</v>
      </c>
    </row>
    <row r="48" spans="1:34" ht="163.5">
      <c r="A48" s="18">
        <v>41</v>
      </c>
      <c r="B48" s="19">
        <f>DATA!D48</f>
        <v>0</v>
      </c>
      <c r="C48" s="25" t="s">
        <v>392</v>
      </c>
      <c r="D48" s="25" t="s">
        <v>392</v>
      </c>
      <c r="E48" s="25" t="s">
        <v>392</v>
      </c>
      <c r="F48" s="25" t="s">
        <v>392</v>
      </c>
      <c r="G48" s="188" t="s">
        <v>392</v>
      </c>
      <c r="H48" s="184" t="s">
        <v>392</v>
      </c>
      <c r="I48" s="184" t="s">
        <v>392</v>
      </c>
      <c r="J48" s="184" t="s">
        <v>392</v>
      </c>
      <c r="K48" s="189" t="s">
        <v>392</v>
      </c>
      <c r="L48" s="189" t="s">
        <v>392</v>
      </c>
      <c r="M48" s="26" t="s">
        <v>392</v>
      </c>
      <c r="N48" s="26" t="s">
        <v>392</v>
      </c>
      <c r="O48" s="26" t="s">
        <v>392</v>
      </c>
      <c r="P48" s="26" t="s">
        <v>392</v>
      </c>
      <c r="Q48" s="26" t="s">
        <v>392</v>
      </c>
      <c r="R48" s="26" t="s">
        <v>392</v>
      </c>
      <c r="S48" s="185" t="s">
        <v>392</v>
      </c>
      <c r="T48" s="186" t="s">
        <v>392</v>
      </c>
      <c r="U48" s="186" t="s">
        <v>392</v>
      </c>
      <c r="V48" s="186" t="s">
        <v>392</v>
      </c>
      <c r="W48" s="187" t="s">
        <v>392</v>
      </c>
      <c r="X48" s="111">
        <v>3</v>
      </c>
      <c r="Y48" s="112" t="s">
        <v>394</v>
      </c>
      <c r="Z48" s="113">
        <v>3</v>
      </c>
      <c r="AA48" s="113">
        <v>3</v>
      </c>
      <c r="AB48" s="113">
        <v>3</v>
      </c>
      <c r="AC48" s="113">
        <v>3</v>
      </c>
      <c r="AD48" s="114">
        <v>3</v>
      </c>
      <c r="AE48" s="114">
        <v>3</v>
      </c>
      <c r="AF48" s="114">
        <v>3</v>
      </c>
      <c r="AG48" s="112" t="s">
        <v>395</v>
      </c>
      <c r="AH48" s="192" t="s">
        <v>392</v>
      </c>
    </row>
    <row r="49" spans="1:34" ht="163.5">
      <c r="A49" s="18">
        <v>42</v>
      </c>
      <c r="B49" s="19">
        <f>DATA!D49</f>
        <v>0</v>
      </c>
      <c r="C49" s="25" t="s">
        <v>392</v>
      </c>
      <c r="D49" s="25" t="s">
        <v>392</v>
      </c>
      <c r="E49" s="25" t="s">
        <v>392</v>
      </c>
      <c r="F49" s="25" t="s">
        <v>392</v>
      </c>
      <c r="G49" s="188" t="s">
        <v>392</v>
      </c>
      <c r="H49" s="184" t="s">
        <v>392</v>
      </c>
      <c r="I49" s="184" t="s">
        <v>392</v>
      </c>
      <c r="J49" s="184" t="s">
        <v>392</v>
      </c>
      <c r="K49" s="189" t="s">
        <v>392</v>
      </c>
      <c r="L49" s="189" t="s">
        <v>392</v>
      </c>
      <c r="M49" s="26" t="s">
        <v>392</v>
      </c>
      <c r="N49" s="26" t="s">
        <v>392</v>
      </c>
      <c r="O49" s="26" t="s">
        <v>392</v>
      </c>
      <c r="P49" s="26" t="s">
        <v>392</v>
      </c>
      <c r="Q49" s="26" t="s">
        <v>392</v>
      </c>
      <c r="R49" s="26" t="s">
        <v>392</v>
      </c>
      <c r="S49" s="185" t="s">
        <v>392</v>
      </c>
      <c r="T49" s="186" t="s">
        <v>392</v>
      </c>
      <c r="U49" s="186" t="s">
        <v>392</v>
      </c>
      <c r="V49" s="186" t="s">
        <v>392</v>
      </c>
      <c r="W49" s="187" t="s">
        <v>392</v>
      </c>
      <c r="X49" s="111">
        <v>3</v>
      </c>
      <c r="Y49" s="112" t="s">
        <v>394</v>
      </c>
      <c r="Z49" s="113">
        <v>3</v>
      </c>
      <c r="AA49" s="113">
        <v>3</v>
      </c>
      <c r="AB49" s="113">
        <v>3</v>
      </c>
      <c r="AC49" s="113">
        <v>3</v>
      </c>
      <c r="AD49" s="114">
        <v>3</v>
      </c>
      <c r="AE49" s="114">
        <v>3</v>
      </c>
      <c r="AF49" s="114">
        <v>3</v>
      </c>
      <c r="AG49" s="112" t="s">
        <v>395</v>
      </c>
      <c r="AH49" s="192" t="s">
        <v>392</v>
      </c>
    </row>
    <row r="50" spans="1:34" ht="163.5">
      <c r="A50" s="18">
        <v>43</v>
      </c>
      <c r="B50" s="19">
        <f>DATA!D50</f>
        <v>0</v>
      </c>
      <c r="C50" s="25" t="s">
        <v>392</v>
      </c>
      <c r="D50" s="25" t="s">
        <v>392</v>
      </c>
      <c r="E50" s="25" t="s">
        <v>392</v>
      </c>
      <c r="F50" s="25" t="s">
        <v>392</v>
      </c>
      <c r="G50" s="188" t="s">
        <v>392</v>
      </c>
      <c r="H50" s="184" t="s">
        <v>392</v>
      </c>
      <c r="I50" s="184" t="s">
        <v>392</v>
      </c>
      <c r="J50" s="184" t="s">
        <v>392</v>
      </c>
      <c r="K50" s="189" t="s">
        <v>392</v>
      </c>
      <c r="L50" s="189" t="s">
        <v>392</v>
      </c>
      <c r="M50" s="26" t="s">
        <v>392</v>
      </c>
      <c r="N50" s="26" t="s">
        <v>392</v>
      </c>
      <c r="O50" s="26" t="s">
        <v>392</v>
      </c>
      <c r="P50" s="26" t="s">
        <v>392</v>
      </c>
      <c r="Q50" s="26" t="s">
        <v>392</v>
      </c>
      <c r="R50" s="26" t="s">
        <v>392</v>
      </c>
      <c r="S50" s="185" t="s">
        <v>392</v>
      </c>
      <c r="T50" s="186" t="s">
        <v>392</v>
      </c>
      <c r="U50" s="186" t="s">
        <v>392</v>
      </c>
      <c r="V50" s="186" t="s">
        <v>392</v>
      </c>
      <c r="W50" s="187" t="s">
        <v>392</v>
      </c>
      <c r="X50" s="111">
        <v>3</v>
      </c>
      <c r="Y50" s="112" t="s">
        <v>394</v>
      </c>
      <c r="Z50" s="113">
        <v>3</v>
      </c>
      <c r="AA50" s="113">
        <v>3</v>
      </c>
      <c r="AB50" s="113">
        <v>3</v>
      </c>
      <c r="AC50" s="113">
        <v>3</v>
      </c>
      <c r="AD50" s="114">
        <v>3</v>
      </c>
      <c r="AE50" s="114">
        <v>3</v>
      </c>
      <c r="AF50" s="114">
        <v>3</v>
      </c>
      <c r="AG50" s="112" t="s">
        <v>395</v>
      </c>
      <c r="AH50" s="192" t="s">
        <v>392</v>
      </c>
    </row>
    <row r="51" spans="1:34" ht="163.5">
      <c r="A51" s="18">
        <v>44</v>
      </c>
      <c r="B51" s="19">
        <f>DATA!D51</f>
        <v>0</v>
      </c>
      <c r="C51" s="25" t="s">
        <v>392</v>
      </c>
      <c r="D51" s="25" t="s">
        <v>392</v>
      </c>
      <c r="E51" s="25" t="s">
        <v>392</v>
      </c>
      <c r="F51" s="25" t="s">
        <v>392</v>
      </c>
      <c r="G51" s="188" t="s">
        <v>392</v>
      </c>
      <c r="H51" s="184" t="s">
        <v>392</v>
      </c>
      <c r="I51" s="184" t="s">
        <v>392</v>
      </c>
      <c r="J51" s="184" t="s">
        <v>392</v>
      </c>
      <c r="K51" s="189" t="s">
        <v>392</v>
      </c>
      <c r="L51" s="189" t="s">
        <v>392</v>
      </c>
      <c r="M51" s="26" t="s">
        <v>392</v>
      </c>
      <c r="N51" s="26" t="s">
        <v>392</v>
      </c>
      <c r="O51" s="26" t="s">
        <v>392</v>
      </c>
      <c r="P51" s="26" t="s">
        <v>392</v>
      </c>
      <c r="Q51" s="26" t="s">
        <v>392</v>
      </c>
      <c r="R51" s="26" t="s">
        <v>392</v>
      </c>
      <c r="S51" s="185" t="s">
        <v>392</v>
      </c>
      <c r="T51" s="186" t="s">
        <v>392</v>
      </c>
      <c r="U51" s="186" t="s">
        <v>392</v>
      </c>
      <c r="V51" s="186" t="s">
        <v>392</v>
      </c>
      <c r="W51" s="187" t="s">
        <v>392</v>
      </c>
      <c r="X51" s="111">
        <v>3</v>
      </c>
      <c r="Y51" s="112" t="s">
        <v>394</v>
      </c>
      <c r="Z51" s="113">
        <v>3</v>
      </c>
      <c r="AA51" s="113">
        <v>3</v>
      </c>
      <c r="AB51" s="113">
        <v>3</v>
      </c>
      <c r="AC51" s="113">
        <v>3</v>
      </c>
      <c r="AD51" s="114">
        <v>3</v>
      </c>
      <c r="AE51" s="114">
        <v>3</v>
      </c>
      <c r="AF51" s="114">
        <v>3</v>
      </c>
      <c r="AG51" s="112" t="s">
        <v>395</v>
      </c>
      <c r="AH51" s="192" t="s">
        <v>392</v>
      </c>
    </row>
    <row r="52" spans="1:34" ht="163.5">
      <c r="A52" s="18">
        <v>45</v>
      </c>
      <c r="B52" s="19">
        <f>DATA!D52</f>
        <v>0</v>
      </c>
      <c r="C52" s="25" t="s">
        <v>392</v>
      </c>
      <c r="D52" s="25" t="s">
        <v>392</v>
      </c>
      <c r="E52" s="25" t="s">
        <v>392</v>
      </c>
      <c r="F52" s="25" t="s">
        <v>392</v>
      </c>
      <c r="G52" s="188" t="s">
        <v>392</v>
      </c>
      <c r="H52" s="184" t="s">
        <v>392</v>
      </c>
      <c r="I52" s="184" t="s">
        <v>392</v>
      </c>
      <c r="J52" s="184" t="s">
        <v>392</v>
      </c>
      <c r="K52" s="189" t="s">
        <v>392</v>
      </c>
      <c r="L52" s="189" t="s">
        <v>392</v>
      </c>
      <c r="M52" s="26" t="s">
        <v>392</v>
      </c>
      <c r="N52" s="26" t="s">
        <v>392</v>
      </c>
      <c r="O52" s="26" t="s">
        <v>392</v>
      </c>
      <c r="P52" s="26" t="s">
        <v>392</v>
      </c>
      <c r="Q52" s="26" t="s">
        <v>392</v>
      </c>
      <c r="R52" s="26" t="s">
        <v>392</v>
      </c>
      <c r="S52" s="185" t="s">
        <v>392</v>
      </c>
      <c r="T52" s="186" t="s">
        <v>392</v>
      </c>
      <c r="U52" s="186" t="s">
        <v>392</v>
      </c>
      <c r="V52" s="186" t="s">
        <v>392</v>
      </c>
      <c r="W52" s="187" t="s">
        <v>392</v>
      </c>
      <c r="X52" s="111">
        <v>3</v>
      </c>
      <c r="Y52" s="112" t="s">
        <v>394</v>
      </c>
      <c r="Z52" s="113">
        <v>3</v>
      </c>
      <c r="AA52" s="113">
        <v>3</v>
      </c>
      <c r="AB52" s="113">
        <v>3</v>
      </c>
      <c r="AC52" s="113">
        <v>3</v>
      </c>
      <c r="AD52" s="114">
        <v>3</v>
      </c>
      <c r="AE52" s="114">
        <v>3</v>
      </c>
      <c r="AF52" s="114">
        <v>3</v>
      </c>
      <c r="AG52" s="112" t="s">
        <v>395</v>
      </c>
      <c r="AH52" s="192" t="s">
        <v>392</v>
      </c>
    </row>
    <row r="53" spans="1:34" ht="163.5">
      <c r="A53" s="18">
        <v>46</v>
      </c>
      <c r="B53" s="19">
        <f>DATA!D53</f>
        <v>0</v>
      </c>
      <c r="C53" s="25" t="s">
        <v>392</v>
      </c>
      <c r="D53" s="25" t="s">
        <v>392</v>
      </c>
      <c r="E53" s="25" t="s">
        <v>392</v>
      </c>
      <c r="F53" s="25" t="s">
        <v>392</v>
      </c>
      <c r="G53" s="188" t="s">
        <v>392</v>
      </c>
      <c r="H53" s="184" t="s">
        <v>392</v>
      </c>
      <c r="I53" s="184" t="s">
        <v>392</v>
      </c>
      <c r="J53" s="184" t="s">
        <v>392</v>
      </c>
      <c r="K53" s="189" t="s">
        <v>392</v>
      </c>
      <c r="L53" s="189" t="s">
        <v>392</v>
      </c>
      <c r="M53" s="26" t="s">
        <v>392</v>
      </c>
      <c r="N53" s="26" t="s">
        <v>392</v>
      </c>
      <c r="O53" s="26" t="s">
        <v>392</v>
      </c>
      <c r="P53" s="26" t="s">
        <v>392</v>
      </c>
      <c r="Q53" s="26" t="s">
        <v>392</v>
      </c>
      <c r="R53" s="26" t="s">
        <v>392</v>
      </c>
      <c r="S53" s="185" t="s">
        <v>392</v>
      </c>
      <c r="T53" s="186" t="s">
        <v>392</v>
      </c>
      <c r="U53" s="186" t="s">
        <v>392</v>
      </c>
      <c r="V53" s="186" t="s">
        <v>392</v>
      </c>
      <c r="W53" s="187" t="s">
        <v>392</v>
      </c>
      <c r="X53" s="111">
        <v>3</v>
      </c>
      <c r="Y53" s="112" t="s">
        <v>394</v>
      </c>
      <c r="Z53" s="113">
        <v>3</v>
      </c>
      <c r="AA53" s="113">
        <v>3</v>
      </c>
      <c r="AB53" s="113">
        <v>3</v>
      </c>
      <c r="AC53" s="113">
        <v>3</v>
      </c>
      <c r="AD53" s="114">
        <v>3</v>
      </c>
      <c r="AE53" s="114">
        <v>3</v>
      </c>
      <c r="AF53" s="114">
        <v>3</v>
      </c>
      <c r="AG53" s="112" t="s">
        <v>395</v>
      </c>
      <c r="AH53" s="192" t="s">
        <v>392</v>
      </c>
    </row>
    <row r="54" spans="1:34" ht="163.5">
      <c r="A54" s="18">
        <v>47</v>
      </c>
      <c r="B54" s="19">
        <f>DATA!D54</f>
        <v>0</v>
      </c>
      <c r="C54" s="25" t="s">
        <v>392</v>
      </c>
      <c r="D54" s="25" t="s">
        <v>392</v>
      </c>
      <c r="E54" s="25" t="s">
        <v>392</v>
      </c>
      <c r="F54" s="25" t="s">
        <v>392</v>
      </c>
      <c r="G54" s="188" t="s">
        <v>392</v>
      </c>
      <c r="H54" s="184" t="s">
        <v>392</v>
      </c>
      <c r="I54" s="184" t="s">
        <v>392</v>
      </c>
      <c r="J54" s="184" t="s">
        <v>392</v>
      </c>
      <c r="K54" s="189" t="s">
        <v>392</v>
      </c>
      <c r="L54" s="189" t="s">
        <v>392</v>
      </c>
      <c r="M54" s="26" t="s">
        <v>392</v>
      </c>
      <c r="N54" s="26" t="s">
        <v>392</v>
      </c>
      <c r="O54" s="26" t="s">
        <v>392</v>
      </c>
      <c r="P54" s="26" t="s">
        <v>392</v>
      </c>
      <c r="Q54" s="26" t="s">
        <v>392</v>
      </c>
      <c r="R54" s="26" t="s">
        <v>392</v>
      </c>
      <c r="S54" s="185" t="s">
        <v>392</v>
      </c>
      <c r="T54" s="186" t="s">
        <v>392</v>
      </c>
      <c r="U54" s="186" t="s">
        <v>392</v>
      </c>
      <c r="V54" s="186" t="s">
        <v>392</v>
      </c>
      <c r="W54" s="187" t="s">
        <v>392</v>
      </c>
      <c r="X54" s="111">
        <v>3</v>
      </c>
      <c r="Y54" s="112" t="s">
        <v>394</v>
      </c>
      <c r="Z54" s="113">
        <v>3</v>
      </c>
      <c r="AA54" s="113">
        <v>3</v>
      </c>
      <c r="AB54" s="113">
        <v>3</v>
      </c>
      <c r="AC54" s="113">
        <v>3</v>
      </c>
      <c r="AD54" s="114">
        <v>3</v>
      </c>
      <c r="AE54" s="114">
        <v>3</v>
      </c>
      <c r="AF54" s="114">
        <v>3</v>
      </c>
      <c r="AG54" s="112" t="s">
        <v>395</v>
      </c>
      <c r="AH54" s="192" t="s">
        <v>392</v>
      </c>
    </row>
    <row r="55" spans="1:34" ht="163.5">
      <c r="A55" s="18">
        <v>48</v>
      </c>
      <c r="B55" s="19">
        <f>DATA!D55</f>
        <v>0</v>
      </c>
      <c r="C55" s="25" t="s">
        <v>392</v>
      </c>
      <c r="D55" s="25" t="s">
        <v>392</v>
      </c>
      <c r="E55" s="25" t="s">
        <v>392</v>
      </c>
      <c r="F55" s="25" t="s">
        <v>392</v>
      </c>
      <c r="G55" s="188" t="s">
        <v>392</v>
      </c>
      <c r="H55" s="184" t="s">
        <v>392</v>
      </c>
      <c r="I55" s="184" t="s">
        <v>392</v>
      </c>
      <c r="J55" s="184" t="s">
        <v>392</v>
      </c>
      <c r="K55" s="189" t="s">
        <v>392</v>
      </c>
      <c r="L55" s="189" t="s">
        <v>392</v>
      </c>
      <c r="M55" s="26" t="s">
        <v>392</v>
      </c>
      <c r="N55" s="26" t="s">
        <v>392</v>
      </c>
      <c r="O55" s="26" t="s">
        <v>392</v>
      </c>
      <c r="P55" s="26" t="s">
        <v>392</v>
      </c>
      <c r="Q55" s="26" t="s">
        <v>392</v>
      </c>
      <c r="R55" s="26" t="s">
        <v>392</v>
      </c>
      <c r="S55" s="185" t="s">
        <v>392</v>
      </c>
      <c r="T55" s="186" t="s">
        <v>392</v>
      </c>
      <c r="U55" s="186" t="s">
        <v>392</v>
      </c>
      <c r="V55" s="186" t="s">
        <v>392</v>
      </c>
      <c r="W55" s="187" t="s">
        <v>392</v>
      </c>
      <c r="X55" s="111">
        <v>3</v>
      </c>
      <c r="Y55" s="112" t="s">
        <v>394</v>
      </c>
      <c r="Z55" s="113">
        <v>3</v>
      </c>
      <c r="AA55" s="113">
        <v>3</v>
      </c>
      <c r="AB55" s="113">
        <v>3</v>
      </c>
      <c r="AC55" s="113">
        <v>3</v>
      </c>
      <c r="AD55" s="114">
        <v>3</v>
      </c>
      <c r="AE55" s="114">
        <v>3</v>
      </c>
      <c r="AF55" s="114">
        <v>3</v>
      </c>
      <c r="AG55" s="112" t="s">
        <v>395</v>
      </c>
      <c r="AH55" s="192" t="s">
        <v>392</v>
      </c>
    </row>
  </sheetData>
  <sheetProtection password="D4C3" sheet="1" objects="1" scenarios="1"/>
  <mergeCells count="21"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  <mergeCell ref="K6:K7"/>
    <mergeCell ref="L6:L7"/>
    <mergeCell ref="M6:R6"/>
    <mergeCell ref="S6:S7"/>
    <mergeCell ref="T6:T7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8"/>
  <dimension ref="A1:AH55"/>
  <sheetViews>
    <sheetView workbookViewId="0">
      <selection activeCell="C8" sqref="C8:AH55"/>
    </sheetView>
  </sheetViews>
  <sheetFormatPr defaultRowHeight="15"/>
  <cols>
    <col min="1" max="1" width="4.28515625" style="6" customWidth="1"/>
    <col min="2" max="2" width="41" style="20" customWidth="1"/>
    <col min="3" max="12" width="5.7109375" style="20" customWidth="1"/>
    <col min="13" max="22" width="5.7109375" style="6" customWidth="1"/>
    <col min="23" max="23" width="5.425781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 t="str">
        <f>UTAMA!D15</f>
        <v>VII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75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ht="15" customHeight="1">
      <c r="A5" s="355" t="s">
        <v>49</v>
      </c>
      <c r="B5" s="356" t="s">
        <v>50</v>
      </c>
      <c r="C5" s="357" t="s">
        <v>51</v>
      </c>
      <c r="D5" s="357"/>
      <c r="E5" s="357"/>
      <c r="F5" s="357"/>
      <c r="G5" s="357"/>
      <c r="H5" s="357"/>
      <c r="I5" s="357"/>
      <c r="J5" s="357"/>
      <c r="K5" s="357"/>
      <c r="L5" s="357"/>
      <c r="M5" s="358" t="s">
        <v>52</v>
      </c>
      <c r="N5" s="359"/>
      <c r="O5" s="359"/>
      <c r="P5" s="359"/>
      <c r="Q5" s="359"/>
      <c r="R5" s="359"/>
      <c r="S5" s="359"/>
      <c r="T5" s="359"/>
      <c r="U5" s="359"/>
      <c r="V5" s="360"/>
      <c r="W5" s="361" t="s">
        <v>353</v>
      </c>
      <c r="X5" s="352" t="s">
        <v>115</v>
      </c>
      <c r="Y5" s="353"/>
      <c r="Z5" s="353"/>
      <c r="AA5" s="353"/>
      <c r="AB5" s="353"/>
      <c r="AC5" s="353"/>
      <c r="AD5" s="353"/>
      <c r="AE5" s="353"/>
      <c r="AF5" s="353"/>
      <c r="AG5" s="353"/>
      <c r="AH5" s="354" t="s">
        <v>31</v>
      </c>
    </row>
    <row r="6" spans="1:34" ht="15" customHeight="1">
      <c r="A6" s="355"/>
      <c r="B6" s="356"/>
      <c r="C6" s="343" t="s">
        <v>54</v>
      </c>
      <c r="D6" s="344"/>
      <c r="E6" s="344"/>
      <c r="F6" s="344"/>
      <c r="G6" s="345" t="s">
        <v>36</v>
      </c>
      <c r="H6" s="346" t="s">
        <v>346</v>
      </c>
      <c r="I6" s="347" t="s">
        <v>53</v>
      </c>
      <c r="J6" s="346" t="s">
        <v>351</v>
      </c>
      <c r="K6" s="367" t="s">
        <v>344</v>
      </c>
      <c r="L6" s="367" t="s">
        <v>345</v>
      </c>
      <c r="M6" s="358" t="s">
        <v>54</v>
      </c>
      <c r="N6" s="359"/>
      <c r="O6" s="359"/>
      <c r="P6" s="359"/>
      <c r="Q6" s="359"/>
      <c r="R6" s="359"/>
      <c r="S6" s="364" t="s">
        <v>352</v>
      </c>
      <c r="T6" s="366" t="s">
        <v>347</v>
      </c>
      <c r="U6" s="366" t="s">
        <v>344</v>
      </c>
      <c r="V6" s="366" t="s">
        <v>345</v>
      </c>
      <c r="W6" s="362"/>
      <c r="X6" s="348" t="s">
        <v>116</v>
      </c>
      <c r="Y6" s="349"/>
      <c r="Z6" s="350" t="s">
        <v>117</v>
      </c>
      <c r="AA6" s="351"/>
      <c r="AB6" s="351"/>
      <c r="AC6" s="351"/>
      <c r="AD6" s="351"/>
      <c r="AE6" s="351"/>
      <c r="AF6" s="351"/>
      <c r="AG6" s="351"/>
      <c r="AH6" s="354"/>
    </row>
    <row r="7" spans="1:34" ht="30">
      <c r="A7" s="355"/>
      <c r="B7" s="356"/>
      <c r="C7" s="16" t="s">
        <v>32</v>
      </c>
      <c r="D7" s="16" t="s">
        <v>33</v>
      </c>
      <c r="E7" s="16" t="s">
        <v>34</v>
      </c>
      <c r="F7" s="190" t="s">
        <v>35</v>
      </c>
      <c r="G7" s="345"/>
      <c r="H7" s="346"/>
      <c r="I7" s="347"/>
      <c r="J7" s="346"/>
      <c r="K7" s="367"/>
      <c r="L7" s="367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65"/>
      <c r="T7" s="366"/>
      <c r="U7" s="366"/>
      <c r="V7" s="366"/>
      <c r="W7" s="363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54"/>
    </row>
    <row r="8" spans="1:34">
      <c r="A8" s="18">
        <v>1</v>
      </c>
      <c r="B8" s="19" t="str">
        <f>DATA!D8</f>
        <v>Abd. Muis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Achmad Buka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  <mergeCell ref="K6:K7"/>
    <mergeCell ref="L6:L7"/>
    <mergeCell ref="M6:R6"/>
    <mergeCell ref="S6:S7"/>
    <mergeCell ref="T6:T7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9"/>
  <dimension ref="A1:AH55"/>
  <sheetViews>
    <sheetView workbookViewId="0"/>
  </sheetViews>
  <sheetFormatPr defaultRowHeight="15"/>
  <cols>
    <col min="1" max="1" width="4.28515625" style="6" customWidth="1"/>
    <col min="2" max="2" width="41" style="20" customWidth="1"/>
    <col min="3" max="12" width="5.85546875" style="20" customWidth="1"/>
    <col min="13" max="22" width="5.85546875" style="6" customWidth="1"/>
    <col min="23" max="23" width="5.425781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 t="str">
        <f>UTAMA!D15</f>
        <v>VII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76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ht="15" customHeight="1">
      <c r="A5" s="355" t="s">
        <v>49</v>
      </c>
      <c r="B5" s="356" t="s">
        <v>50</v>
      </c>
      <c r="C5" s="357" t="s">
        <v>51</v>
      </c>
      <c r="D5" s="357"/>
      <c r="E5" s="357"/>
      <c r="F5" s="357"/>
      <c r="G5" s="357"/>
      <c r="H5" s="357"/>
      <c r="I5" s="357"/>
      <c r="J5" s="357"/>
      <c r="K5" s="357"/>
      <c r="L5" s="357"/>
      <c r="M5" s="358" t="s">
        <v>52</v>
      </c>
      <c r="N5" s="359"/>
      <c r="O5" s="359"/>
      <c r="P5" s="359"/>
      <c r="Q5" s="359"/>
      <c r="R5" s="359"/>
      <c r="S5" s="359"/>
      <c r="T5" s="359"/>
      <c r="U5" s="359"/>
      <c r="V5" s="360"/>
      <c r="W5" s="361" t="s">
        <v>353</v>
      </c>
      <c r="X5" s="352" t="s">
        <v>115</v>
      </c>
      <c r="Y5" s="353"/>
      <c r="Z5" s="353"/>
      <c r="AA5" s="353"/>
      <c r="AB5" s="353"/>
      <c r="AC5" s="353"/>
      <c r="AD5" s="353"/>
      <c r="AE5" s="353"/>
      <c r="AF5" s="353"/>
      <c r="AG5" s="353"/>
      <c r="AH5" s="354" t="s">
        <v>31</v>
      </c>
    </row>
    <row r="6" spans="1:34" ht="15" customHeight="1">
      <c r="A6" s="355"/>
      <c r="B6" s="356"/>
      <c r="C6" s="343" t="s">
        <v>54</v>
      </c>
      <c r="D6" s="344"/>
      <c r="E6" s="344"/>
      <c r="F6" s="344"/>
      <c r="G6" s="345" t="s">
        <v>36</v>
      </c>
      <c r="H6" s="346" t="s">
        <v>346</v>
      </c>
      <c r="I6" s="347" t="s">
        <v>53</v>
      </c>
      <c r="J6" s="346" t="s">
        <v>351</v>
      </c>
      <c r="K6" s="367" t="s">
        <v>344</v>
      </c>
      <c r="L6" s="367" t="s">
        <v>345</v>
      </c>
      <c r="M6" s="358" t="s">
        <v>54</v>
      </c>
      <c r="N6" s="359"/>
      <c r="O6" s="359"/>
      <c r="P6" s="359"/>
      <c r="Q6" s="359"/>
      <c r="R6" s="359"/>
      <c r="S6" s="364" t="s">
        <v>352</v>
      </c>
      <c r="T6" s="366" t="s">
        <v>347</v>
      </c>
      <c r="U6" s="366" t="s">
        <v>344</v>
      </c>
      <c r="V6" s="366" t="s">
        <v>345</v>
      </c>
      <c r="W6" s="362"/>
      <c r="X6" s="348" t="s">
        <v>116</v>
      </c>
      <c r="Y6" s="349"/>
      <c r="Z6" s="350" t="s">
        <v>117</v>
      </c>
      <c r="AA6" s="351"/>
      <c r="AB6" s="351"/>
      <c r="AC6" s="351"/>
      <c r="AD6" s="351"/>
      <c r="AE6" s="351"/>
      <c r="AF6" s="351"/>
      <c r="AG6" s="351"/>
      <c r="AH6" s="354"/>
    </row>
    <row r="7" spans="1:34" ht="30">
      <c r="A7" s="355"/>
      <c r="B7" s="356"/>
      <c r="C7" s="16" t="s">
        <v>32</v>
      </c>
      <c r="D7" s="16" t="s">
        <v>33</v>
      </c>
      <c r="E7" s="16" t="s">
        <v>34</v>
      </c>
      <c r="F7" s="190" t="s">
        <v>35</v>
      </c>
      <c r="G7" s="345"/>
      <c r="H7" s="346"/>
      <c r="I7" s="347"/>
      <c r="J7" s="346"/>
      <c r="K7" s="367"/>
      <c r="L7" s="367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65"/>
      <c r="T7" s="366"/>
      <c r="U7" s="366"/>
      <c r="V7" s="366"/>
      <c r="W7" s="363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54"/>
    </row>
    <row r="8" spans="1:34">
      <c r="A8" s="18">
        <v>1</v>
      </c>
      <c r="B8" s="19" t="str">
        <f>DATA!D8</f>
        <v>Abd. Muis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Achmad Buka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  <mergeCell ref="K6:K7"/>
    <mergeCell ref="L6:L7"/>
    <mergeCell ref="M6:R6"/>
    <mergeCell ref="S6:S7"/>
    <mergeCell ref="T6:T7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/>
  <dimension ref="A1:AH55"/>
  <sheetViews>
    <sheetView workbookViewId="0"/>
  </sheetViews>
  <sheetFormatPr defaultRowHeight="15"/>
  <cols>
    <col min="1" max="1" width="4.28515625" style="6" customWidth="1"/>
    <col min="2" max="2" width="41" style="20" customWidth="1"/>
    <col min="3" max="12" width="6.28515625" style="20" customWidth="1"/>
    <col min="13" max="22" width="6.28515625" style="6" customWidth="1"/>
    <col min="23" max="23" width="5.425781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 t="str">
        <f>UTAMA!D15</f>
        <v>VII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77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ht="15" customHeight="1">
      <c r="A5" s="355" t="s">
        <v>49</v>
      </c>
      <c r="B5" s="356" t="s">
        <v>50</v>
      </c>
      <c r="C5" s="357" t="s">
        <v>51</v>
      </c>
      <c r="D5" s="357"/>
      <c r="E5" s="357"/>
      <c r="F5" s="357"/>
      <c r="G5" s="357"/>
      <c r="H5" s="357"/>
      <c r="I5" s="357"/>
      <c r="J5" s="357"/>
      <c r="K5" s="357"/>
      <c r="L5" s="357"/>
      <c r="M5" s="358" t="s">
        <v>52</v>
      </c>
      <c r="N5" s="359"/>
      <c r="O5" s="359"/>
      <c r="P5" s="359"/>
      <c r="Q5" s="359"/>
      <c r="R5" s="359"/>
      <c r="S5" s="359"/>
      <c r="T5" s="359"/>
      <c r="U5" s="359"/>
      <c r="V5" s="360"/>
      <c r="W5" s="361" t="s">
        <v>353</v>
      </c>
      <c r="X5" s="352" t="s">
        <v>115</v>
      </c>
      <c r="Y5" s="353"/>
      <c r="Z5" s="353"/>
      <c r="AA5" s="353"/>
      <c r="AB5" s="353"/>
      <c r="AC5" s="353"/>
      <c r="AD5" s="353"/>
      <c r="AE5" s="353"/>
      <c r="AF5" s="353"/>
      <c r="AG5" s="353"/>
      <c r="AH5" s="354" t="s">
        <v>31</v>
      </c>
    </row>
    <row r="6" spans="1:34" ht="15" customHeight="1">
      <c r="A6" s="355"/>
      <c r="B6" s="356"/>
      <c r="C6" s="343" t="s">
        <v>54</v>
      </c>
      <c r="D6" s="344"/>
      <c r="E6" s="344"/>
      <c r="F6" s="344"/>
      <c r="G6" s="345" t="s">
        <v>36</v>
      </c>
      <c r="H6" s="346" t="s">
        <v>346</v>
      </c>
      <c r="I6" s="347" t="s">
        <v>53</v>
      </c>
      <c r="J6" s="346" t="s">
        <v>351</v>
      </c>
      <c r="K6" s="367" t="s">
        <v>344</v>
      </c>
      <c r="L6" s="367" t="s">
        <v>345</v>
      </c>
      <c r="M6" s="358" t="s">
        <v>54</v>
      </c>
      <c r="N6" s="359"/>
      <c r="O6" s="359"/>
      <c r="P6" s="359"/>
      <c r="Q6" s="359"/>
      <c r="R6" s="359"/>
      <c r="S6" s="364" t="s">
        <v>352</v>
      </c>
      <c r="T6" s="366" t="s">
        <v>347</v>
      </c>
      <c r="U6" s="366" t="s">
        <v>344</v>
      </c>
      <c r="V6" s="366" t="s">
        <v>345</v>
      </c>
      <c r="W6" s="362"/>
      <c r="X6" s="348" t="s">
        <v>116</v>
      </c>
      <c r="Y6" s="349"/>
      <c r="Z6" s="350" t="s">
        <v>117</v>
      </c>
      <c r="AA6" s="351"/>
      <c r="AB6" s="351"/>
      <c r="AC6" s="351"/>
      <c r="AD6" s="351"/>
      <c r="AE6" s="351"/>
      <c r="AF6" s="351"/>
      <c r="AG6" s="351"/>
      <c r="AH6" s="354"/>
    </row>
    <row r="7" spans="1:34" ht="30">
      <c r="A7" s="355"/>
      <c r="B7" s="356"/>
      <c r="C7" s="16" t="s">
        <v>32</v>
      </c>
      <c r="D7" s="16" t="s">
        <v>33</v>
      </c>
      <c r="E7" s="16" t="s">
        <v>34</v>
      </c>
      <c r="F7" s="190" t="s">
        <v>35</v>
      </c>
      <c r="G7" s="345"/>
      <c r="H7" s="346"/>
      <c r="I7" s="347"/>
      <c r="J7" s="346"/>
      <c r="K7" s="367"/>
      <c r="L7" s="367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65"/>
      <c r="T7" s="366"/>
      <c r="U7" s="366"/>
      <c r="V7" s="366"/>
      <c r="W7" s="363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54"/>
    </row>
    <row r="8" spans="1:34">
      <c r="A8" s="18">
        <v>1</v>
      </c>
      <c r="B8" s="19" t="str">
        <f>DATA!D8</f>
        <v>Abd. Muis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Achmad Buka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  <mergeCell ref="K6:K7"/>
    <mergeCell ref="L6:L7"/>
    <mergeCell ref="M6:R6"/>
    <mergeCell ref="S6:S7"/>
    <mergeCell ref="T6:T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1"/>
  <dimension ref="A1:AH55"/>
  <sheetViews>
    <sheetView workbookViewId="0"/>
  </sheetViews>
  <sheetFormatPr defaultRowHeight="15"/>
  <cols>
    <col min="1" max="1" width="4.28515625" style="6" customWidth="1"/>
    <col min="2" max="2" width="41" style="20" customWidth="1"/>
    <col min="3" max="12" width="6.42578125" style="20" customWidth="1"/>
    <col min="13" max="22" width="6.42578125" style="6" customWidth="1"/>
    <col min="23" max="23" width="7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 t="str">
        <f>UTAMA!D15</f>
        <v>VII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78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ht="15" customHeight="1">
      <c r="A5" s="355" t="s">
        <v>49</v>
      </c>
      <c r="B5" s="356" t="s">
        <v>50</v>
      </c>
      <c r="C5" s="357" t="s">
        <v>51</v>
      </c>
      <c r="D5" s="357"/>
      <c r="E5" s="357"/>
      <c r="F5" s="357"/>
      <c r="G5" s="357"/>
      <c r="H5" s="357"/>
      <c r="I5" s="357"/>
      <c r="J5" s="357"/>
      <c r="K5" s="357"/>
      <c r="L5" s="357"/>
      <c r="M5" s="358" t="s">
        <v>52</v>
      </c>
      <c r="N5" s="359"/>
      <c r="O5" s="359"/>
      <c r="P5" s="359"/>
      <c r="Q5" s="359"/>
      <c r="R5" s="359"/>
      <c r="S5" s="359"/>
      <c r="T5" s="359"/>
      <c r="U5" s="359"/>
      <c r="V5" s="360"/>
      <c r="W5" s="361" t="s">
        <v>353</v>
      </c>
      <c r="X5" s="352" t="s">
        <v>115</v>
      </c>
      <c r="Y5" s="353"/>
      <c r="Z5" s="353"/>
      <c r="AA5" s="353"/>
      <c r="AB5" s="353"/>
      <c r="AC5" s="353"/>
      <c r="AD5" s="353"/>
      <c r="AE5" s="353"/>
      <c r="AF5" s="353"/>
      <c r="AG5" s="353"/>
      <c r="AH5" s="354" t="s">
        <v>31</v>
      </c>
    </row>
    <row r="6" spans="1:34" ht="15" customHeight="1">
      <c r="A6" s="355"/>
      <c r="B6" s="356"/>
      <c r="C6" s="343" t="s">
        <v>54</v>
      </c>
      <c r="D6" s="344"/>
      <c r="E6" s="344"/>
      <c r="F6" s="344"/>
      <c r="G6" s="345" t="s">
        <v>36</v>
      </c>
      <c r="H6" s="346" t="s">
        <v>346</v>
      </c>
      <c r="I6" s="347" t="s">
        <v>53</v>
      </c>
      <c r="J6" s="346" t="s">
        <v>351</v>
      </c>
      <c r="K6" s="367" t="s">
        <v>344</v>
      </c>
      <c r="L6" s="367" t="s">
        <v>345</v>
      </c>
      <c r="M6" s="358" t="s">
        <v>54</v>
      </c>
      <c r="N6" s="359"/>
      <c r="O6" s="359"/>
      <c r="P6" s="359"/>
      <c r="Q6" s="359"/>
      <c r="R6" s="359"/>
      <c r="S6" s="364" t="s">
        <v>352</v>
      </c>
      <c r="T6" s="366" t="s">
        <v>347</v>
      </c>
      <c r="U6" s="366" t="s">
        <v>344</v>
      </c>
      <c r="V6" s="366" t="s">
        <v>345</v>
      </c>
      <c r="W6" s="362"/>
      <c r="X6" s="348" t="s">
        <v>116</v>
      </c>
      <c r="Y6" s="349"/>
      <c r="Z6" s="350" t="s">
        <v>117</v>
      </c>
      <c r="AA6" s="351"/>
      <c r="AB6" s="351"/>
      <c r="AC6" s="351"/>
      <c r="AD6" s="351"/>
      <c r="AE6" s="351"/>
      <c r="AF6" s="351"/>
      <c r="AG6" s="351"/>
      <c r="AH6" s="354"/>
    </row>
    <row r="7" spans="1:34" ht="30">
      <c r="A7" s="355"/>
      <c r="B7" s="356"/>
      <c r="C7" s="16" t="s">
        <v>32</v>
      </c>
      <c r="D7" s="16" t="s">
        <v>33</v>
      </c>
      <c r="E7" s="16" t="s">
        <v>34</v>
      </c>
      <c r="F7" s="190" t="s">
        <v>35</v>
      </c>
      <c r="G7" s="345"/>
      <c r="H7" s="346"/>
      <c r="I7" s="347"/>
      <c r="J7" s="346"/>
      <c r="K7" s="367"/>
      <c r="L7" s="367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65"/>
      <c r="T7" s="366"/>
      <c r="U7" s="366"/>
      <c r="V7" s="366"/>
      <c r="W7" s="363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54"/>
    </row>
    <row r="8" spans="1:34">
      <c r="A8" s="18">
        <v>1</v>
      </c>
      <c r="B8" s="19" t="str">
        <f>DATA!D8</f>
        <v>Abd. Muis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Achmad Buka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  <mergeCell ref="K6:K7"/>
    <mergeCell ref="L6:L7"/>
    <mergeCell ref="M6:R6"/>
    <mergeCell ref="S6:S7"/>
    <mergeCell ref="T6:T7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2"/>
  <dimension ref="A1:AH55"/>
  <sheetViews>
    <sheetView workbookViewId="0">
      <selection activeCell="C8" sqref="C8:AI55"/>
    </sheetView>
  </sheetViews>
  <sheetFormatPr defaultRowHeight="15"/>
  <cols>
    <col min="1" max="1" width="4.28515625" style="6" customWidth="1"/>
    <col min="2" max="2" width="41" style="20" customWidth="1"/>
    <col min="3" max="12" width="6.5703125" style="20" customWidth="1"/>
    <col min="13" max="22" width="6.5703125" style="6" customWidth="1"/>
    <col min="23" max="23" width="5.425781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 t="str">
        <f>UTAMA!D15</f>
        <v>VII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79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ht="15" customHeight="1">
      <c r="A5" s="355" t="s">
        <v>49</v>
      </c>
      <c r="B5" s="356" t="s">
        <v>50</v>
      </c>
      <c r="C5" s="357" t="s">
        <v>51</v>
      </c>
      <c r="D5" s="357"/>
      <c r="E5" s="357"/>
      <c r="F5" s="357"/>
      <c r="G5" s="357"/>
      <c r="H5" s="357"/>
      <c r="I5" s="357"/>
      <c r="J5" s="357"/>
      <c r="K5" s="357"/>
      <c r="L5" s="357"/>
      <c r="M5" s="358" t="s">
        <v>52</v>
      </c>
      <c r="N5" s="359"/>
      <c r="O5" s="359"/>
      <c r="P5" s="359"/>
      <c r="Q5" s="359"/>
      <c r="R5" s="359"/>
      <c r="S5" s="359"/>
      <c r="T5" s="359"/>
      <c r="U5" s="359"/>
      <c r="V5" s="360"/>
      <c r="W5" s="361" t="s">
        <v>353</v>
      </c>
      <c r="X5" s="352" t="s">
        <v>115</v>
      </c>
      <c r="Y5" s="353"/>
      <c r="Z5" s="353"/>
      <c r="AA5" s="353"/>
      <c r="AB5" s="353"/>
      <c r="AC5" s="353"/>
      <c r="AD5" s="353"/>
      <c r="AE5" s="353"/>
      <c r="AF5" s="353"/>
      <c r="AG5" s="353"/>
      <c r="AH5" s="354" t="s">
        <v>31</v>
      </c>
    </row>
    <row r="6" spans="1:34" ht="15" customHeight="1">
      <c r="A6" s="355"/>
      <c r="B6" s="356"/>
      <c r="C6" s="343" t="s">
        <v>54</v>
      </c>
      <c r="D6" s="344"/>
      <c r="E6" s="344"/>
      <c r="F6" s="344"/>
      <c r="G6" s="345" t="s">
        <v>36</v>
      </c>
      <c r="H6" s="346" t="s">
        <v>346</v>
      </c>
      <c r="I6" s="347" t="s">
        <v>53</v>
      </c>
      <c r="J6" s="346" t="s">
        <v>351</v>
      </c>
      <c r="K6" s="367" t="s">
        <v>344</v>
      </c>
      <c r="L6" s="367" t="s">
        <v>345</v>
      </c>
      <c r="M6" s="358" t="s">
        <v>54</v>
      </c>
      <c r="N6" s="359"/>
      <c r="O6" s="359"/>
      <c r="P6" s="359"/>
      <c r="Q6" s="359"/>
      <c r="R6" s="359"/>
      <c r="S6" s="364" t="s">
        <v>352</v>
      </c>
      <c r="T6" s="366" t="s">
        <v>347</v>
      </c>
      <c r="U6" s="366" t="s">
        <v>344</v>
      </c>
      <c r="V6" s="366" t="s">
        <v>345</v>
      </c>
      <c r="W6" s="362"/>
      <c r="X6" s="348" t="s">
        <v>116</v>
      </c>
      <c r="Y6" s="349"/>
      <c r="Z6" s="350" t="s">
        <v>117</v>
      </c>
      <c r="AA6" s="351"/>
      <c r="AB6" s="351"/>
      <c r="AC6" s="351"/>
      <c r="AD6" s="351"/>
      <c r="AE6" s="351"/>
      <c r="AF6" s="351"/>
      <c r="AG6" s="351"/>
      <c r="AH6" s="354"/>
    </row>
    <row r="7" spans="1:34" ht="30">
      <c r="A7" s="355"/>
      <c r="B7" s="356"/>
      <c r="C7" s="16" t="s">
        <v>32</v>
      </c>
      <c r="D7" s="16" t="s">
        <v>33</v>
      </c>
      <c r="E7" s="16" t="s">
        <v>34</v>
      </c>
      <c r="F7" s="190" t="s">
        <v>35</v>
      </c>
      <c r="G7" s="345"/>
      <c r="H7" s="346"/>
      <c r="I7" s="347"/>
      <c r="J7" s="346"/>
      <c r="K7" s="367"/>
      <c r="L7" s="367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65"/>
      <c r="T7" s="366"/>
      <c r="U7" s="366"/>
      <c r="V7" s="366"/>
      <c r="W7" s="363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54"/>
    </row>
    <row r="8" spans="1:34">
      <c r="A8" s="18">
        <v>1</v>
      </c>
      <c r="B8" s="19" t="str">
        <f>DATA!D8</f>
        <v>Abd. Muis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Achmad Buka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  <mergeCell ref="K6:K7"/>
    <mergeCell ref="L6:L7"/>
    <mergeCell ref="M6:R6"/>
    <mergeCell ref="S6:S7"/>
    <mergeCell ref="T6:T7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3"/>
  <dimension ref="A1:AH55"/>
  <sheetViews>
    <sheetView workbookViewId="0">
      <selection activeCell="J18" sqref="J18"/>
    </sheetView>
  </sheetViews>
  <sheetFormatPr defaultRowHeight="15"/>
  <cols>
    <col min="1" max="1" width="4.28515625" style="6" customWidth="1"/>
    <col min="2" max="2" width="41" style="20" customWidth="1"/>
    <col min="3" max="12" width="5.85546875" style="20" customWidth="1"/>
    <col min="13" max="22" width="5.85546875" style="6" customWidth="1"/>
    <col min="23" max="23" width="5.425781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 t="str">
        <f>UTAMA!D15</f>
        <v>VII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80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ht="15" customHeight="1">
      <c r="A5" s="355" t="s">
        <v>49</v>
      </c>
      <c r="B5" s="356" t="s">
        <v>50</v>
      </c>
      <c r="C5" s="357" t="s">
        <v>51</v>
      </c>
      <c r="D5" s="357"/>
      <c r="E5" s="357"/>
      <c r="F5" s="357"/>
      <c r="G5" s="357"/>
      <c r="H5" s="357"/>
      <c r="I5" s="357"/>
      <c r="J5" s="357"/>
      <c r="K5" s="357"/>
      <c r="L5" s="357"/>
      <c r="M5" s="358" t="s">
        <v>52</v>
      </c>
      <c r="N5" s="359"/>
      <c r="O5" s="359"/>
      <c r="P5" s="359"/>
      <c r="Q5" s="359"/>
      <c r="R5" s="359"/>
      <c r="S5" s="359"/>
      <c r="T5" s="359"/>
      <c r="U5" s="359"/>
      <c r="V5" s="360"/>
      <c r="W5" s="361" t="s">
        <v>353</v>
      </c>
      <c r="X5" s="352" t="s">
        <v>115</v>
      </c>
      <c r="Y5" s="353"/>
      <c r="Z5" s="353"/>
      <c r="AA5" s="353"/>
      <c r="AB5" s="353"/>
      <c r="AC5" s="353"/>
      <c r="AD5" s="353"/>
      <c r="AE5" s="353"/>
      <c r="AF5" s="353"/>
      <c r="AG5" s="353"/>
      <c r="AH5" s="354" t="s">
        <v>31</v>
      </c>
    </row>
    <row r="6" spans="1:34" ht="15" customHeight="1">
      <c r="A6" s="355"/>
      <c r="B6" s="356"/>
      <c r="C6" s="343" t="s">
        <v>54</v>
      </c>
      <c r="D6" s="344"/>
      <c r="E6" s="344"/>
      <c r="F6" s="344"/>
      <c r="G6" s="345" t="s">
        <v>36</v>
      </c>
      <c r="H6" s="346" t="s">
        <v>346</v>
      </c>
      <c r="I6" s="347" t="s">
        <v>53</v>
      </c>
      <c r="J6" s="346" t="s">
        <v>351</v>
      </c>
      <c r="K6" s="367" t="s">
        <v>344</v>
      </c>
      <c r="L6" s="367" t="s">
        <v>345</v>
      </c>
      <c r="M6" s="358" t="s">
        <v>54</v>
      </c>
      <c r="N6" s="359"/>
      <c r="O6" s="359"/>
      <c r="P6" s="359"/>
      <c r="Q6" s="359"/>
      <c r="R6" s="359"/>
      <c r="S6" s="364" t="s">
        <v>352</v>
      </c>
      <c r="T6" s="366" t="s">
        <v>347</v>
      </c>
      <c r="U6" s="366" t="s">
        <v>344</v>
      </c>
      <c r="V6" s="366" t="s">
        <v>345</v>
      </c>
      <c r="W6" s="362"/>
      <c r="X6" s="348" t="s">
        <v>116</v>
      </c>
      <c r="Y6" s="349"/>
      <c r="Z6" s="350" t="s">
        <v>117</v>
      </c>
      <c r="AA6" s="351"/>
      <c r="AB6" s="351"/>
      <c r="AC6" s="351"/>
      <c r="AD6" s="351"/>
      <c r="AE6" s="351"/>
      <c r="AF6" s="351"/>
      <c r="AG6" s="351"/>
      <c r="AH6" s="354"/>
    </row>
    <row r="7" spans="1:34" ht="30">
      <c r="A7" s="355"/>
      <c r="B7" s="356"/>
      <c r="C7" s="16" t="s">
        <v>32</v>
      </c>
      <c r="D7" s="16" t="s">
        <v>33</v>
      </c>
      <c r="E7" s="16" t="s">
        <v>34</v>
      </c>
      <c r="F7" s="190" t="s">
        <v>35</v>
      </c>
      <c r="G7" s="345"/>
      <c r="H7" s="346"/>
      <c r="I7" s="347"/>
      <c r="J7" s="346"/>
      <c r="K7" s="367"/>
      <c r="L7" s="367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65"/>
      <c r="T7" s="366"/>
      <c r="U7" s="366"/>
      <c r="V7" s="366"/>
      <c r="W7" s="363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54"/>
    </row>
    <row r="8" spans="1:34">
      <c r="A8" s="18">
        <v>1</v>
      </c>
      <c r="B8" s="19" t="str">
        <f>DATA!D8</f>
        <v>Abd. Muis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Achmad Buka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  <mergeCell ref="K6:K7"/>
    <mergeCell ref="L6:L7"/>
    <mergeCell ref="M6:R6"/>
    <mergeCell ref="S6:S7"/>
    <mergeCell ref="T6:T7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/>
  <dimension ref="A1:AH55"/>
  <sheetViews>
    <sheetView workbookViewId="0">
      <selection activeCell="I13" sqref="I13"/>
    </sheetView>
  </sheetViews>
  <sheetFormatPr defaultRowHeight="15"/>
  <cols>
    <col min="1" max="1" width="4.28515625" style="6" customWidth="1"/>
    <col min="2" max="2" width="41" style="20" customWidth="1"/>
    <col min="3" max="12" width="6" style="20" customWidth="1"/>
    <col min="13" max="22" width="6" style="6" customWidth="1"/>
    <col min="23" max="23" width="5.425781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 t="str">
        <f>UTAMA!D15</f>
        <v>VII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81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>
      <c r="A5" s="355" t="s">
        <v>49</v>
      </c>
      <c r="B5" s="356" t="s">
        <v>50</v>
      </c>
      <c r="C5" s="357" t="s">
        <v>51</v>
      </c>
      <c r="D5" s="357"/>
      <c r="E5" s="357"/>
      <c r="F5" s="357"/>
      <c r="G5" s="357"/>
      <c r="H5" s="357"/>
      <c r="I5" s="357"/>
      <c r="J5" s="357"/>
      <c r="K5" s="357"/>
      <c r="L5" s="357"/>
      <c r="M5" s="358" t="s">
        <v>52</v>
      </c>
      <c r="N5" s="359"/>
      <c r="O5" s="359"/>
      <c r="P5" s="359"/>
      <c r="Q5" s="359"/>
      <c r="R5" s="359"/>
      <c r="S5" s="359"/>
      <c r="T5" s="359"/>
      <c r="U5" s="359"/>
      <c r="V5" s="360"/>
      <c r="W5" s="361" t="s">
        <v>353</v>
      </c>
      <c r="X5" s="352" t="s">
        <v>115</v>
      </c>
      <c r="Y5" s="353"/>
      <c r="Z5" s="353"/>
      <c r="AA5" s="353"/>
      <c r="AB5" s="353"/>
      <c r="AC5" s="353"/>
      <c r="AD5" s="353"/>
      <c r="AE5" s="353"/>
      <c r="AF5" s="353"/>
      <c r="AG5" s="353"/>
      <c r="AH5" s="354" t="s">
        <v>31</v>
      </c>
    </row>
    <row r="6" spans="1:34">
      <c r="A6" s="355"/>
      <c r="B6" s="356"/>
      <c r="C6" s="343" t="s">
        <v>54</v>
      </c>
      <c r="D6" s="344"/>
      <c r="E6" s="344"/>
      <c r="F6" s="344"/>
      <c r="G6" s="345" t="s">
        <v>36</v>
      </c>
      <c r="H6" s="346" t="s">
        <v>346</v>
      </c>
      <c r="I6" s="347" t="s">
        <v>53</v>
      </c>
      <c r="J6" s="346" t="s">
        <v>351</v>
      </c>
      <c r="K6" s="367" t="s">
        <v>344</v>
      </c>
      <c r="L6" s="367" t="s">
        <v>345</v>
      </c>
      <c r="M6" s="358" t="s">
        <v>54</v>
      </c>
      <c r="N6" s="359"/>
      <c r="O6" s="359"/>
      <c r="P6" s="359"/>
      <c r="Q6" s="359"/>
      <c r="R6" s="359"/>
      <c r="S6" s="364" t="s">
        <v>352</v>
      </c>
      <c r="T6" s="366" t="s">
        <v>347</v>
      </c>
      <c r="U6" s="366" t="s">
        <v>344</v>
      </c>
      <c r="V6" s="366" t="s">
        <v>345</v>
      </c>
      <c r="W6" s="362"/>
      <c r="X6" s="348" t="s">
        <v>116</v>
      </c>
      <c r="Y6" s="349"/>
      <c r="Z6" s="350" t="s">
        <v>117</v>
      </c>
      <c r="AA6" s="351"/>
      <c r="AB6" s="351"/>
      <c r="AC6" s="351"/>
      <c r="AD6" s="351"/>
      <c r="AE6" s="351"/>
      <c r="AF6" s="351"/>
      <c r="AG6" s="351"/>
      <c r="AH6" s="354"/>
    </row>
    <row r="7" spans="1:34" ht="30">
      <c r="A7" s="355"/>
      <c r="B7" s="356"/>
      <c r="C7" s="16" t="s">
        <v>32</v>
      </c>
      <c r="D7" s="16" t="s">
        <v>33</v>
      </c>
      <c r="E7" s="16" t="s">
        <v>34</v>
      </c>
      <c r="F7" s="190" t="s">
        <v>35</v>
      </c>
      <c r="G7" s="345"/>
      <c r="H7" s="346"/>
      <c r="I7" s="347"/>
      <c r="J7" s="346"/>
      <c r="K7" s="367"/>
      <c r="L7" s="367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65"/>
      <c r="T7" s="366"/>
      <c r="U7" s="366"/>
      <c r="V7" s="366"/>
      <c r="W7" s="363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54"/>
    </row>
    <row r="8" spans="1:34">
      <c r="A8" s="18">
        <v>1</v>
      </c>
      <c r="B8" s="19" t="str">
        <f>DATA!D8</f>
        <v>Abd. Muis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Achmad Buka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  <mergeCell ref="K6:K7"/>
    <mergeCell ref="L6:L7"/>
    <mergeCell ref="M6:R6"/>
    <mergeCell ref="S6:S7"/>
    <mergeCell ref="T6:T7"/>
  </mergeCells>
  <pageMargins left="0.7" right="0.7" top="0.75" bottom="0.75" header="0.3" footer="0.3"/>
  <pageSetup paperSize="9" orientation="portrait" horizontalDpi="4294967292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5"/>
  <dimension ref="A1:AH55"/>
  <sheetViews>
    <sheetView workbookViewId="0"/>
  </sheetViews>
  <sheetFormatPr defaultRowHeight="15"/>
  <cols>
    <col min="1" max="1" width="4.28515625" style="6" customWidth="1"/>
    <col min="2" max="2" width="41" style="20" customWidth="1"/>
    <col min="3" max="12" width="6.28515625" style="20" customWidth="1"/>
    <col min="13" max="22" width="6.28515625" style="6" customWidth="1"/>
    <col min="23" max="23" width="5.425781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 t="str">
        <f>UTAMA!D15</f>
        <v>VII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61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>
      <c r="A5" s="355" t="s">
        <v>49</v>
      </c>
      <c r="B5" s="356" t="s">
        <v>50</v>
      </c>
      <c r="C5" s="357" t="s">
        <v>51</v>
      </c>
      <c r="D5" s="357"/>
      <c r="E5" s="357"/>
      <c r="F5" s="357"/>
      <c r="G5" s="357"/>
      <c r="H5" s="357"/>
      <c r="I5" s="357"/>
      <c r="J5" s="357"/>
      <c r="K5" s="357"/>
      <c r="L5" s="357"/>
      <c r="M5" s="358" t="s">
        <v>52</v>
      </c>
      <c r="N5" s="359"/>
      <c r="O5" s="359"/>
      <c r="P5" s="359"/>
      <c r="Q5" s="359"/>
      <c r="R5" s="359"/>
      <c r="S5" s="359"/>
      <c r="T5" s="359"/>
      <c r="U5" s="359"/>
      <c r="V5" s="360"/>
      <c r="W5" s="361" t="s">
        <v>353</v>
      </c>
      <c r="X5" s="352" t="s">
        <v>115</v>
      </c>
      <c r="Y5" s="353"/>
      <c r="Z5" s="353"/>
      <c r="AA5" s="353"/>
      <c r="AB5" s="353"/>
      <c r="AC5" s="353"/>
      <c r="AD5" s="353"/>
      <c r="AE5" s="353"/>
      <c r="AF5" s="353"/>
      <c r="AG5" s="353"/>
      <c r="AH5" s="354" t="s">
        <v>31</v>
      </c>
    </row>
    <row r="6" spans="1:34">
      <c r="A6" s="355"/>
      <c r="B6" s="356"/>
      <c r="C6" s="343" t="s">
        <v>54</v>
      </c>
      <c r="D6" s="344"/>
      <c r="E6" s="344"/>
      <c r="F6" s="344"/>
      <c r="G6" s="345" t="s">
        <v>36</v>
      </c>
      <c r="H6" s="346" t="s">
        <v>346</v>
      </c>
      <c r="I6" s="347" t="s">
        <v>53</v>
      </c>
      <c r="J6" s="346" t="s">
        <v>351</v>
      </c>
      <c r="K6" s="367" t="s">
        <v>344</v>
      </c>
      <c r="L6" s="367" t="s">
        <v>345</v>
      </c>
      <c r="M6" s="358" t="s">
        <v>54</v>
      </c>
      <c r="N6" s="359"/>
      <c r="O6" s="359"/>
      <c r="P6" s="359"/>
      <c r="Q6" s="359"/>
      <c r="R6" s="359"/>
      <c r="S6" s="364" t="s">
        <v>352</v>
      </c>
      <c r="T6" s="366" t="s">
        <v>347</v>
      </c>
      <c r="U6" s="366" t="s">
        <v>344</v>
      </c>
      <c r="V6" s="366" t="s">
        <v>345</v>
      </c>
      <c r="W6" s="362"/>
      <c r="X6" s="348" t="s">
        <v>116</v>
      </c>
      <c r="Y6" s="349"/>
      <c r="Z6" s="350" t="s">
        <v>117</v>
      </c>
      <c r="AA6" s="351"/>
      <c r="AB6" s="351"/>
      <c r="AC6" s="351"/>
      <c r="AD6" s="351"/>
      <c r="AE6" s="351"/>
      <c r="AF6" s="351"/>
      <c r="AG6" s="351"/>
      <c r="AH6" s="354"/>
    </row>
    <row r="7" spans="1:34" ht="30">
      <c r="A7" s="355"/>
      <c r="B7" s="356"/>
      <c r="C7" s="16" t="s">
        <v>32</v>
      </c>
      <c r="D7" s="16" t="s">
        <v>33</v>
      </c>
      <c r="E7" s="16" t="s">
        <v>34</v>
      </c>
      <c r="F7" s="190" t="s">
        <v>35</v>
      </c>
      <c r="G7" s="345"/>
      <c r="H7" s="346"/>
      <c r="I7" s="347"/>
      <c r="J7" s="346"/>
      <c r="K7" s="367"/>
      <c r="L7" s="367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65"/>
      <c r="T7" s="366"/>
      <c r="U7" s="366"/>
      <c r="V7" s="366"/>
      <c r="W7" s="363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54"/>
    </row>
    <row r="8" spans="1:34">
      <c r="A8" s="18">
        <v>1</v>
      </c>
      <c r="B8" s="19" t="str">
        <f>DATA!D8</f>
        <v>Abd. Muis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Achmad Buka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  <mergeCell ref="K6:K7"/>
    <mergeCell ref="L6:L7"/>
    <mergeCell ref="M6:R6"/>
    <mergeCell ref="S6:S7"/>
    <mergeCell ref="T6:T7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6"/>
  <dimension ref="A1:AH55"/>
  <sheetViews>
    <sheetView workbookViewId="0">
      <selection activeCell="B13" sqref="B13"/>
    </sheetView>
  </sheetViews>
  <sheetFormatPr defaultRowHeight="15"/>
  <cols>
    <col min="1" max="1" width="4.28515625" style="6" customWidth="1"/>
    <col min="2" max="2" width="41" style="20" customWidth="1"/>
    <col min="3" max="12" width="6.85546875" style="20" customWidth="1"/>
    <col min="13" max="22" width="6.85546875" style="6" customWidth="1"/>
    <col min="23" max="23" width="5.425781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 t="str">
        <f>UTAMA!D15</f>
        <v>VII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64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>
      <c r="A5" s="355" t="s">
        <v>49</v>
      </c>
      <c r="B5" s="356" t="s">
        <v>50</v>
      </c>
      <c r="C5" s="357" t="s">
        <v>51</v>
      </c>
      <c r="D5" s="357"/>
      <c r="E5" s="357"/>
      <c r="F5" s="357"/>
      <c r="G5" s="357"/>
      <c r="H5" s="357"/>
      <c r="I5" s="357"/>
      <c r="J5" s="357"/>
      <c r="K5" s="357"/>
      <c r="L5" s="357"/>
      <c r="M5" s="358" t="s">
        <v>52</v>
      </c>
      <c r="N5" s="359"/>
      <c r="O5" s="359"/>
      <c r="P5" s="359"/>
      <c r="Q5" s="359"/>
      <c r="R5" s="359"/>
      <c r="S5" s="359"/>
      <c r="T5" s="359"/>
      <c r="U5" s="359"/>
      <c r="V5" s="360"/>
      <c r="W5" s="361" t="s">
        <v>353</v>
      </c>
      <c r="X5" s="352" t="s">
        <v>115</v>
      </c>
      <c r="Y5" s="353"/>
      <c r="Z5" s="353"/>
      <c r="AA5" s="353"/>
      <c r="AB5" s="353"/>
      <c r="AC5" s="353"/>
      <c r="AD5" s="353"/>
      <c r="AE5" s="353"/>
      <c r="AF5" s="353"/>
      <c r="AG5" s="353"/>
      <c r="AH5" s="354" t="s">
        <v>31</v>
      </c>
    </row>
    <row r="6" spans="1:34">
      <c r="A6" s="355"/>
      <c r="B6" s="356"/>
      <c r="C6" s="343" t="s">
        <v>54</v>
      </c>
      <c r="D6" s="344"/>
      <c r="E6" s="344"/>
      <c r="F6" s="344"/>
      <c r="G6" s="345" t="s">
        <v>36</v>
      </c>
      <c r="H6" s="346" t="s">
        <v>346</v>
      </c>
      <c r="I6" s="347" t="s">
        <v>53</v>
      </c>
      <c r="J6" s="346" t="s">
        <v>351</v>
      </c>
      <c r="K6" s="367" t="s">
        <v>344</v>
      </c>
      <c r="L6" s="367" t="s">
        <v>345</v>
      </c>
      <c r="M6" s="358" t="s">
        <v>54</v>
      </c>
      <c r="N6" s="359"/>
      <c r="O6" s="359"/>
      <c r="P6" s="359"/>
      <c r="Q6" s="359"/>
      <c r="R6" s="359"/>
      <c r="S6" s="364" t="s">
        <v>352</v>
      </c>
      <c r="T6" s="366" t="s">
        <v>347</v>
      </c>
      <c r="U6" s="366" t="s">
        <v>344</v>
      </c>
      <c r="V6" s="366" t="s">
        <v>345</v>
      </c>
      <c r="W6" s="362"/>
      <c r="X6" s="348" t="s">
        <v>116</v>
      </c>
      <c r="Y6" s="349"/>
      <c r="Z6" s="350" t="s">
        <v>117</v>
      </c>
      <c r="AA6" s="351"/>
      <c r="AB6" s="351"/>
      <c r="AC6" s="351"/>
      <c r="AD6" s="351"/>
      <c r="AE6" s="351"/>
      <c r="AF6" s="351"/>
      <c r="AG6" s="351"/>
      <c r="AH6" s="354"/>
    </row>
    <row r="7" spans="1:34" ht="30">
      <c r="A7" s="355"/>
      <c r="B7" s="356"/>
      <c r="C7" s="16" t="s">
        <v>32</v>
      </c>
      <c r="D7" s="16" t="s">
        <v>33</v>
      </c>
      <c r="E7" s="16" t="s">
        <v>34</v>
      </c>
      <c r="F7" s="190" t="s">
        <v>35</v>
      </c>
      <c r="G7" s="345"/>
      <c r="H7" s="346"/>
      <c r="I7" s="347"/>
      <c r="J7" s="346"/>
      <c r="K7" s="367"/>
      <c r="L7" s="367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65"/>
      <c r="T7" s="366"/>
      <c r="U7" s="366"/>
      <c r="V7" s="366"/>
      <c r="W7" s="363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54"/>
    </row>
    <row r="8" spans="1:34">
      <c r="A8" s="18">
        <v>1</v>
      </c>
      <c r="B8" s="19" t="str">
        <f>DATA!D8</f>
        <v>Abd. Muis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Achmad Buka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  <mergeCell ref="K6:K7"/>
    <mergeCell ref="L6:L7"/>
    <mergeCell ref="M6:R6"/>
    <mergeCell ref="S6:S7"/>
    <mergeCell ref="T6:T7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7"/>
  <dimension ref="A1:AH55"/>
  <sheetViews>
    <sheetView workbookViewId="0"/>
  </sheetViews>
  <sheetFormatPr defaultRowHeight="15"/>
  <cols>
    <col min="1" max="1" width="4.28515625" style="6" customWidth="1"/>
    <col min="2" max="2" width="41" style="20" customWidth="1"/>
    <col min="3" max="12" width="6.42578125" style="20" customWidth="1"/>
    <col min="13" max="22" width="6.42578125" style="6" customWidth="1"/>
    <col min="23" max="23" width="5.425781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 t="str">
        <f>UTAMA!D15</f>
        <v>VII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85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>
      <c r="A5" s="355" t="s">
        <v>49</v>
      </c>
      <c r="B5" s="356" t="s">
        <v>50</v>
      </c>
      <c r="C5" s="357" t="s">
        <v>51</v>
      </c>
      <c r="D5" s="357"/>
      <c r="E5" s="357"/>
      <c r="F5" s="357"/>
      <c r="G5" s="357"/>
      <c r="H5" s="357"/>
      <c r="I5" s="357"/>
      <c r="J5" s="357"/>
      <c r="K5" s="357"/>
      <c r="L5" s="357"/>
      <c r="M5" s="358" t="s">
        <v>52</v>
      </c>
      <c r="N5" s="359"/>
      <c r="O5" s="359"/>
      <c r="P5" s="359"/>
      <c r="Q5" s="359"/>
      <c r="R5" s="359"/>
      <c r="S5" s="359"/>
      <c r="T5" s="359"/>
      <c r="U5" s="359"/>
      <c r="V5" s="360"/>
      <c r="W5" s="361" t="s">
        <v>353</v>
      </c>
      <c r="X5" s="352" t="s">
        <v>115</v>
      </c>
      <c r="Y5" s="353"/>
      <c r="Z5" s="353"/>
      <c r="AA5" s="353"/>
      <c r="AB5" s="353"/>
      <c r="AC5" s="353"/>
      <c r="AD5" s="353"/>
      <c r="AE5" s="353"/>
      <c r="AF5" s="353"/>
      <c r="AG5" s="353"/>
      <c r="AH5" s="354" t="s">
        <v>31</v>
      </c>
    </row>
    <row r="6" spans="1:34">
      <c r="A6" s="355"/>
      <c r="B6" s="356"/>
      <c r="C6" s="343" t="s">
        <v>54</v>
      </c>
      <c r="D6" s="344"/>
      <c r="E6" s="344"/>
      <c r="F6" s="344"/>
      <c r="G6" s="345" t="s">
        <v>36</v>
      </c>
      <c r="H6" s="346" t="s">
        <v>346</v>
      </c>
      <c r="I6" s="347" t="s">
        <v>53</v>
      </c>
      <c r="J6" s="346" t="s">
        <v>351</v>
      </c>
      <c r="K6" s="367" t="s">
        <v>344</v>
      </c>
      <c r="L6" s="367" t="s">
        <v>345</v>
      </c>
      <c r="M6" s="358" t="s">
        <v>54</v>
      </c>
      <c r="N6" s="359"/>
      <c r="O6" s="359"/>
      <c r="P6" s="359"/>
      <c r="Q6" s="359"/>
      <c r="R6" s="359"/>
      <c r="S6" s="364" t="s">
        <v>352</v>
      </c>
      <c r="T6" s="366" t="s">
        <v>347</v>
      </c>
      <c r="U6" s="366" t="s">
        <v>344</v>
      </c>
      <c r="V6" s="366" t="s">
        <v>345</v>
      </c>
      <c r="W6" s="362"/>
      <c r="X6" s="348" t="s">
        <v>116</v>
      </c>
      <c r="Y6" s="349"/>
      <c r="Z6" s="350" t="s">
        <v>117</v>
      </c>
      <c r="AA6" s="351"/>
      <c r="AB6" s="351"/>
      <c r="AC6" s="351"/>
      <c r="AD6" s="351"/>
      <c r="AE6" s="351"/>
      <c r="AF6" s="351"/>
      <c r="AG6" s="351"/>
      <c r="AH6" s="354"/>
    </row>
    <row r="7" spans="1:34" ht="30">
      <c r="A7" s="355"/>
      <c r="B7" s="356"/>
      <c r="C7" s="16" t="s">
        <v>32</v>
      </c>
      <c r="D7" s="16" t="s">
        <v>33</v>
      </c>
      <c r="E7" s="16" t="s">
        <v>34</v>
      </c>
      <c r="F7" s="190" t="s">
        <v>35</v>
      </c>
      <c r="G7" s="345"/>
      <c r="H7" s="346"/>
      <c r="I7" s="347"/>
      <c r="J7" s="346"/>
      <c r="K7" s="367"/>
      <c r="L7" s="367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65"/>
      <c r="T7" s="366"/>
      <c r="U7" s="366"/>
      <c r="V7" s="366"/>
      <c r="W7" s="363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54"/>
    </row>
    <row r="8" spans="1:34">
      <c r="A8" s="18">
        <v>1</v>
      </c>
      <c r="B8" s="19" t="str">
        <f>DATA!D8</f>
        <v>Abd. Muis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Achmad Buka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  <mergeCell ref="K6:K7"/>
    <mergeCell ref="L6:L7"/>
    <mergeCell ref="M6:R6"/>
    <mergeCell ref="S6:S7"/>
    <mergeCell ref="T6:T7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18"/>
  <dimension ref="A1:AH55"/>
  <sheetViews>
    <sheetView workbookViewId="0">
      <selection activeCell="C12" sqref="C12"/>
    </sheetView>
  </sheetViews>
  <sheetFormatPr defaultRowHeight="15"/>
  <cols>
    <col min="1" max="1" width="4.28515625" style="6" customWidth="1"/>
    <col min="2" max="2" width="41" style="20" customWidth="1"/>
    <col min="3" max="12" width="6.5703125" style="20" customWidth="1"/>
    <col min="13" max="22" width="6.5703125" style="6" customWidth="1"/>
    <col min="23" max="23" width="5.425781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 t="str">
        <f>UTAMA!D15</f>
        <v>VII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82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>
      <c r="A5" s="355" t="s">
        <v>49</v>
      </c>
      <c r="B5" s="356" t="s">
        <v>50</v>
      </c>
      <c r="C5" s="357" t="s">
        <v>51</v>
      </c>
      <c r="D5" s="357"/>
      <c r="E5" s="357"/>
      <c r="F5" s="357"/>
      <c r="G5" s="357"/>
      <c r="H5" s="357"/>
      <c r="I5" s="357"/>
      <c r="J5" s="357"/>
      <c r="K5" s="357"/>
      <c r="L5" s="357"/>
      <c r="M5" s="358" t="s">
        <v>52</v>
      </c>
      <c r="N5" s="359"/>
      <c r="O5" s="359"/>
      <c r="P5" s="359"/>
      <c r="Q5" s="359"/>
      <c r="R5" s="359"/>
      <c r="S5" s="359"/>
      <c r="T5" s="359"/>
      <c r="U5" s="359"/>
      <c r="V5" s="360"/>
      <c r="W5" s="361" t="s">
        <v>353</v>
      </c>
      <c r="X5" s="352" t="s">
        <v>115</v>
      </c>
      <c r="Y5" s="353"/>
      <c r="Z5" s="353"/>
      <c r="AA5" s="353"/>
      <c r="AB5" s="353"/>
      <c r="AC5" s="353"/>
      <c r="AD5" s="353"/>
      <c r="AE5" s="353"/>
      <c r="AF5" s="353"/>
      <c r="AG5" s="353"/>
      <c r="AH5" s="354" t="s">
        <v>31</v>
      </c>
    </row>
    <row r="6" spans="1:34">
      <c r="A6" s="355"/>
      <c r="B6" s="356"/>
      <c r="C6" s="343" t="s">
        <v>54</v>
      </c>
      <c r="D6" s="344"/>
      <c r="E6" s="344"/>
      <c r="F6" s="344"/>
      <c r="G6" s="345" t="s">
        <v>36</v>
      </c>
      <c r="H6" s="346" t="s">
        <v>346</v>
      </c>
      <c r="I6" s="347" t="s">
        <v>53</v>
      </c>
      <c r="J6" s="346" t="s">
        <v>351</v>
      </c>
      <c r="K6" s="367" t="s">
        <v>344</v>
      </c>
      <c r="L6" s="367" t="s">
        <v>345</v>
      </c>
      <c r="M6" s="358" t="s">
        <v>54</v>
      </c>
      <c r="N6" s="359"/>
      <c r="O6" s="359"/>
      <c r="P6" s="359"/>
      <c r="Q6" s="359"/>
      <c r="R6" s="359"/>
      <c r="S6" s="364" t="s">
        <v>352</v>
      </c>
      <c r="T6" s="366" t="s">
        <v>347</v>
      </c>
      <c r="U6" s="366" t="s">
        <v>344</v>
      </c>
      <c r="V6" s="366" t="s">
        <v>345</v>
      </c>
      <c r="W6" s="362"/>
      <c r="X6" s="348" t="s">
        <v>116</v>
      </c>
      <c r="Y6" s="349"/>
      <c r="Z6" s="350" t="s">
        <v>117</v>
      </c>
      <c r="AA6" s="351"/>
      <c r="AB6" s="351"/>
      <c r="AC6" s="351"/>
      <c r="AD6" s="351"/>
      <c r="AE6" s="351"/>
      <c r="AF6" s="351"/>
      <c r="AG6" s="351"/>
      <c r="AH6" s="354"/>
    </row>
    <row r="7" spans="1:34" ht="30">
      <c r="A7" s="355"/>
      <c r="B7" s="356"/>
      <c r="C7" s="16" t="s">
        <v>32</v>
      </c>
      <c r="D7" s="16" t="s">
        <v>33</v>
      </c>
      <c r="E7" s="16" t="s">
        <v>34</v>
      </c>
      <c r="F7" s="190" t="s">
        <v>35</v>
      </c>
      <c r="G7" s="345"/>
      <c r="H7" s="346"/>
      <c r="I7" s="347"/>
      <c r="J7" s="346"/>
      <c r="K7" s="367"/>
      <c r="L7" s="367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65"/>
      <c r="T7" s="366"/>
      <c r="U7" s="366"/>
      <c r="V7" s="366"/>
      <c r="W7" s="363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54"/>
    </row>
    <row r="8" spans="1:34">
      <c r="A8" s="18">
        <v>1</v>
      </c>
      <c r="B8" s="19" t="str">
        <f>DATA!D8</f>
        <v>Abd. Muis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Achmad Buka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  <mergeCell ref="K6:K7"/>
    <mergeCell ref="L6:L7"/>
    <mergeCell ref="M6:R6"/>
    <mergeCell ref="S6:S7"/>
    <mergeCell ref="T6:T7"/>
  </mergeCell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19"/>
  <dimension ref="A1:AH55"/>
  <sheetViews>
    <sheetView workbookViewId="0">
      <selection activeCell="J15" sqref="J15"/>
    </sheetView>
  </sheetViews>
  <sheetFormatPr defaultRowHeight="15"/>
  <cols>
    <col min="1" max="1" width="4.28515625" style="6" customWidth="1"/>
    <col min="2" max="2" width="41" style="20" customWidth="1"/>
    <col min="3" max="12" width="5.7109375" style="20" customWidth="1"/>
    <col min="13" max="22" width="5.7109375" style="6" customWidth="1"/>
    <col min="23" max="23" width="5.425781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 t="str">
        <f>UTAMA!$D$15</f>
        <v>VII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83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>
      <c r="A5" s="355" t="s">
        <v>49</v>
      </c>
      <c r="B5" s="356" t="s">
        <v>50</v>
      </c>
      <c r="C5" s="357" t="s">
        <v>51</v>
      </c>
      <c r="D5" s="357"/>
      <c r="E5" s="357"/>
      <c r="F5" s="357"/>
      <c r="G5" s="357"/>
      <c r="H5" s="357"/>
      <c r="I5" s="357"/>
      <c r="J5" s="357"/>
      <c r="K5" s="357"/>
      <c r="L5" s="357"/>
      <c r="M5" s="358" t="s">
        <v>52</v>
      </c>
      <c r="N5" s="359"/>
      <c r="O5" s="359"/>
      <c r="P5" s="359"/>
      <c r="Q5" s="359"/>
      <c r="R5" s="359"/>
      <c r="S5" s="359"/>
      <c r="T5" s="359"/>
      <c r="U5" s="359"/>
      <c r="V5" s="360"/>
      <c r="W5" s="361" t="s">
        <v>353</v>
      </c>
      <c r="X5" s="352" t="s">
        <v>115</v>
      </c>
      <c r="Y5" s="353"/>
      <c r="Z5" s="353"/>
      <c r="AA5" s="353"/>
      <c r="AB5" s="353"/>
      <c r="AC5" s="353"/>
      <c r="AD5" s="353"/>
      <c r="AE5" s="353"/>
      <c r="AF5" s="353"/>
      <c r="AG5" s="353"/>
      <c r="AH5" s="354" t="s">
        <v>31</v>
      </c>
    </row>
    <row r="6" spans="1:34">
      <c r="A6" s="355"/>
      <c r="B6" s="356"/>
      <c r="C6" s="343" t="s">
        <v>54</v>
      </c>
      <c r="D6" s="344"/>
      <c r="E6" s="344"/>
      <c r="F6" s="344"/>
      <c r="G6" s="345" t="s">
        <v>36</v>
      </c>
      <c r="H6" s="346" t="s">
        <v>346</v>
      </c>
      <c r="I6" s="347" t="s">
        <v>53</v>
      </c>
      <c r="J6" s="346" t="s">
        <v>351</v>
      </c>
      <c r="K6" s="367" t="s">
        <v>344</v>
      </c>
      <c r="L6" s="367" t="s">
        <v>345</v>
      </c>
      <c r="M6" s="358" t="s">
        <v>54</v>
      </c>
      <c r="N6" s="359"/>
      <c r="O6" s="359"/>
      <c r="P6" s="359"/>
      <c r="Q6" s="359"/>
      <c r="R6" s="359"/>
      <c r="S6" s="364" t="s">
        <v>352</v>
      </c>
      <c r="T6" s="366" t="s">
        <v>347</v>
      </c>
      <c r="U6" s="366" t="s">
        <v>344</v>
      </c>
      <c r="V6" s="366" t="s">
        <v>345</v>
      </c>
      <c r="W6" s="362"/>
      <c r="X6" s="348" t="s">
        <v>116</v>
      </c>
      <c r="Y6" s="349"/>
      <c r="Z6" s="350" t="s">
        <v>117</v>
      </c>
      <c r="AA6" s="351"/>
      <c r="AB6" s="351"/>
      <c r="AC6" s="351"/>
      <c r="AD6" s="351"/>
      <c r="AE6" s="351"/>
      <c r="AF6" s="351"/>
      <c r="AG6" s="351"/>
      <c r="AH6" s="354"/>
    </row>
    <row r="7" spans="1:34" ht="30">
      <c r="A7" s="355"/>
      <c r="B7" s="356"/>
      <c r="C7" s="16" t="s">
        <v>32</v>
      </c>
      <c r="D7" s="16" t="s">
        <v>33</v>
      </c>
      <c r="E7" s="16" t="s">
        <v>34</v>
      </c>
      <c r="F7" s="190" t="s">
        <v>35</v>
      </c>
      <c r="G7" s="345"/>
      <c r="H7" s="346"/>
      <c r="I7" s="347"/>
      <c r="J7" s="346"/>
      <c r="K7" s="367"/>
      <c r="L7" s="367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65"/>
      <c r="T7" s="366"/>
      <c r="U7" s="366"/>
      <c r="V7" s="366"/>
      <c r="W7" s="363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54"/>
    </row>
    <row r="8" spans="1:34">
      <c r="A8" s="18">
        <v>1</v>
      </c>
      <c r="B8" s="19" t="str">
        <f>DATA!D8</f>
        <v>Abd. Muis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Achmad Buka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  <mergeCell ref="K6:K7"/>
    <mergeCell ref="L6:L7"/>
    <mergeCell ref="M6:R6"/>
    <mergeCell ref="S6:S7"/>
    <mergeCell ref="T6:T7"/>
  </mergeCell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0"/>
  <dimension ref="A1:AH1048576"/>
  <sheetViews>
    <sheetView workbookViewId="0">
      <selection activeCell="I14" sqref="I14"/>
    </sheetView>
  </sheetViews>
  <sheetFormatPr defaultColWidth="9.140625" defaultRowHeight="15"/>
  <cols>
    <col min="1" max="1" width="4.28515625" style="6" customWidth="1"/>
    <col min="2" max="2" width="41" style="20" customWidth="1"/>
    <col min="3" max="12" width="6.140625" style="20" customWidth="1"/>
    <col min="13" max="22" width="6.140625" style="6" customWidth="1"/>
    <col min="23" max="23" width="5.42578125" style="6" customWidth="1"/>
    <col min="24" max="24" width="9.140625" style="6" customWidth="1"/>
    <col min="25" max="16384" width="9.140625" style="6"/>
  </cols>
  <sheetData>
    <row r="1" spans="1:34" ht="21">
      <c r="A1" s="10" t="s">
        <v>96</v>
      </c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 t="str">
        <f>UTAMA!D15</f>
        <v>VII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84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>
      <c r="A5" s="355" t="s">
        <v>49</v>
      </c>
      <c r="B5" s="356" t="s">
        <v>50</v>
      </c>
      <c r="C5" s="357" t="s">
        <v>51</v>
      </c>
      <c r="D5" s="357"/>
      <c r="E5" s="357"/>
      <c r="F5" s="357"/>
      <c r="G5" s="357"/>
      <c r="H5" s="357"/>
      <c r="I5" s="357"/>
      <c r="J5" s="357"/>
      <c r="K5" s="357"/>
      <c r="L5" s="357"/>
      <c r="M5" s="358" t="s">
        <v>52</v>
      </c>
      <c r="N5" s="359"/>
      <c r="O5" s="359"/>
      <c r="P5" s="359"/>
      <c r="Q5" s="359"/>
      <c r="R5" s="359"/>
      <c r="S5" s="359"/>
      <c r="T5" s="359"/>
      <c r="U5" s="359"/>
      <c r="V5" s="360"/>
      <c r="W5" s="361" t="s">
        <v>353</v>
      </c>
      <c r="X5" s="352" t="s">
        <v>115</v>
      </c>
      <c r="Y5" s="353"/>
      <c r="Z5" s="353"/>
      <c r="AA5" s="353"/>
      <c r="AB5" s="353"/>
      <c r="AC5" s="353"/>
      <c r="AD5" s="353"/>
      <c r="AE5" s="353"/>
      <c r="AF5" s="353"/>
      <c r="AG5" s="353"/>
      <c r="AH5" s="354" t="s">
        <v>31</v>
      </c>
    </row>
    <row r="6" spans="1:34">
      <c r="A6" s="355"/>
      <c r="B6" s="356"/>
      <c r="C6" s="343" t="s">
        <v>54</v>
      </c>
      <c r="D6" s="344"/>
      <c r="E6" s="344"/>
      <c r="F6" s="344"/>
      <c r="G6" s="345" t="s">
        <v>36</v>
      </c>
      <c r="H6" s="346" t="s">
        <v>346</v>
      </c>
      <c r="I6" s="347" t="s">
        <v>53</v>
      </c>
      <c r="J6" s="346" t="s">
        <v>351</v>
      </c>
      <c r="K6" s="367" t="s">
        <v>344</v>
      </c>
      <c r="L6" s="367" t="s">
        <v>345</v>
      </c>
      <c r="M6" s="358" t="s">
        <v>54</v>
      </c>
      <c r="N6" s="359"/>
      <c r="O6" s="359"/>
      <c r="P6" s="359"/>
      <c r="Q6" s="359"/>
      <c r="R6" s="359"/>
      <c r="S6" s="364" t="s">
        <v>352</v>
      </c>
      <c r="T6" s="366" t="s">
        <v>347</v>
      </c>
      <c r="U6" s="366" t="s">
        <v>344</v>
      </c>
      <c r="V6" s="366" t="s">
        <v>345</v>
      </c>
      <c r="W6" s="362"/>
      <c r="X6" s="348" t="s">
        <v>116</v>
      </c>
      <c r="Y6" s="349"/>
      <c r="Z6" s="350" t="s">
        <v>117</v>
      </c>
      <c r="AA6" s="351"/>
      <c r="AB6" s="351"/>
      <c r="AC6" s="351"/>
      <c r="AD6" s="351"/>
      <c r="AE6" s="351"/>
      <c r="AF6" s="351"/>
      <c r="AG6" s="351"/>
      <c r="AH6" s="354"/>
    </row>
    <row r="7" spans="1:34" ht="30">
      <c r="A7" s="355"/>
      <c r="B7" s="356"/>
      <c r="C7" s="16" t="s">
        <v>32</v>
      </c>
      <c r="D7" s="16" t="s">
        <v>33</v>
      </c>
      <c r="E7" s="16" t="s">
        <v>34</v>
      </c>
      <c r="F7" s="190" t="s">
        <v>35</v>
      </c>
      <c r="G7" s="345"/>
      <c r="H7" s="346"/>
      <c r="I7" s="347"/>
      <c r="J7" s="346"/>
      <c r="K7" s="367"/>
      <c r="L7" s="367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65"/>
      <c r="T7" s="366"/>
      <c r="U7" s="366"/>
      <c r="V7" s="366"/>
      <c r="W7" s="363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54"/>
    </row>
    <row r="8" spans="1:34">
      <c r="A8" s="18">
        <v>1</v>
      </c>
      <c r="B8" s="19" t="str">
        <f>DATA!D8</f>
        <v>Abd. Muis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Achmad Buka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  <row r="1048576" hidden="1"/>
  </sheetData>
  <sheetProtection password="D4C3" sheet="1" objects="1" scenarios="1"/>
  <mergeCells count="21"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  <mergeCell ref="K6:K7"/>
    <mergeCell ref="L6:L7"/>
    <mergeCell ref="M6:R6"/>
    <mergeCell ref="S6:S7"/>
    <mergeCell ref="T6:T7"/>
  </mergeCell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1"/>
  <dimension ref="A1"/>
  <sheetViews>
    <sheetView workbookViewId="0">
      <selection activeCell="D20" sqref="D20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</vt:i4>
      </vt:variant>
    </vt:vector>
  </HeadingPairs>
  <TitlesOfParts>
    <vt:vector size="25" baseType="lpstr">
      <vt:lpstr>UTAMA</vt:lpstr>
      <vt:lpstr>profil</vt:lpstr>
      <vt:lpstr>DATA</vt:lpstr>
      <vt:lpstr>CETAK</vt:lpstr>
      <vt:lpstr>DESKRIPSI</vt:lpstr>
      <vt:lpstr>RANK</vt:lpstr>
      <vt:lpstr>QH</vt:lpstr>
      <vt:lpstr>AA</vt:lpstr>
      <vt:lpstr>FIKIH</vt:lpstr>
      <vt:lpstr>SKI</vt:lpstr>
      <vt:lpstr>PKN</vt:lpstr>
      <vt:lpstr>INDO</vt:lpstr>
      <vt:lpstr>ARAB</vt:lpstr>
      <vt:lpstr>MAT</vt:lpstr>
      <vt:lpstr>IPA</vt:lpstr>
      <vt:lpstr>IPS</vt:lpstr>
      <vt:lpstr>INGG</vt:lpstr>
      <vt:lpstr>SENBUD</vt:lpstr>
      <vt:lpstr>PRAKARYA</vt:lpstr>
      <vt:lpstr>PENJAS</vt:lpstr>
      <vt:lpstr>BADER</vt:lpstr>
      <vt:lpstr>TAMB1</vt:lpstr>
      <vt:lpstr>TAMB2</vt:lpstr>
      <vt:lpstr>Sheet3</vt:lpstr>
      <vt:lpstr>CETAK!Print_Area</vt:lpstr>
    </vt:vector>
  </TitlesOfParts>
  <Company>mlg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Suliyat,M.Si</dc:creator>
  <cp:lastModifiedBy>USER</cp:lastModifiedBy>
  <cp:lastPrinted>2017-06-05T15:49:09Z</cp:lastPrinted>
  <dcterms:created xsi:type="dcterms:W3CDTF">2014-06-16T07:10:41Z</dcterms:created>
  <dcterms:modified xsi:type="dcterms:W3CDTF">2018-01-24T08:15:40Z</dcterms:modified>
</cp:coreProperties>
</file>