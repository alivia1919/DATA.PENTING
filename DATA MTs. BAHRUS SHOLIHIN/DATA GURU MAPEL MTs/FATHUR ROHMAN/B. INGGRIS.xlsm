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drawings/drawing26.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drawings/drawing11.xml" ContentType="application/vnd.openxmlformats-officedocument.drawing+xml"/>
  <Override PartName="/xl/drawings/drawing20.xml" ContentType="application/vnd.openxmlformats-officedocument.drawing+xml"/>
  <Override PartName="/xl/worksheets/sheet19.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sharedStrings.xml" ContentType="application/vnd.openxmlformats-officedocument.spreadsheetml.sharedStrings+xml"/>
  <Override PartName="/xl/drawings/drawing10.xml" ContentType="application/vnd.openxmlformats-officedocument.drawing+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Default Extension="png" ContentType="image/png"/>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comments7.xml" ContentType="application/vnd.openxmlformats-officedocument.spreadsheetml.comments+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25.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showSheetTabs="0" xWindow="-15" yWindow="-15" windowWidth="10980" windowHeight="7545"/>
  </bookViews>
  <sheets>
    <sheet name="menu" sheetId="28" r:id="rId1"/>
    <sheet name="profil" sheetId="46" r:id="rId2"/>
    <sheet name="KDOKE" sheetId="43" r:id="rId3"/>
    <sheet name="LIHAT" sheetId="42" r:id="rId4"/>
    <sheet name="DATA SISWA" sheetId="18" r:id="rId5"/>
    <sheet name="UTSangka" sheetId="34" r:id="rId6"/>
    <sheet name="NILAI_JADI" sheetId="31" r:id="rId7"/>
    <sheet name="Form Nilai Pengetahuan" sheetId="38" r:id="rId8"/>
    <sheet name="Input Nilai Pengetahuan" sheetId="6" r:id="rId9"/>
    <sheet name="DATAPENG" sheetId="44" state="hidden" r:id="rId10"/>
    <sheet name="Sheet1" sheetId="33" r:id="rId11"/>
    <sheet name="Form NilKet" sheetId="39" r:id="rId12"/>
    <sheet name="Input Nilai Ketrampilan" sheetId="8" r:id="rId13"/>
    <sheet name="DATAKET" sheetId="45" state="hidden" r:id="rId14"/>
    <sheet name="proyek" sheetId="17" r:id="rId15"/>
    <sheet name="praktek" sheetId="16" r:id="rId16"/>
    <sheet name="form penilaian teman" sheetId="19" r:id="rId17"/>
    <sheet name="form penilaian diri" sheetId="20" r:id="rId18"/>
    <sheet name="rekap antar teman" sheetId="21" r:id="rId19"/>
    <sheet name="FORM Nil Sikap" sheetId="40" r:id="rId20"/>
    <sheet name="Input Nilai Sikap" sheetId="9" r:id="rId21"/>
    <sheet name="observasi2" sheetId="37" r:id="rId22"/>
    <sheet name="observasi1" sheetId="36" r:id="rId23"/>
    <sheet name="rekap observasi" sheetId="27" r:id="rId24"/>
    <sheet name="Sheet2" sheetId="35" r:id="rId25"/>
    <sheet name="REKAP PENILAIAN DIRI" sheetId="23" r:id="rId26"/>
    <sheet name="jurnal" sheetId="24" r:id="rId27"/>
    <sheet name="PORTOFOLIO" sheetId="30" r:id="rId28"/>
    <sheet name="FORM PORTOFOLIO" sheetId="29" r:id="rId29"/>
  </sheets>
  <externalReferences>
    <externalReference r:id="rId30"/>
    <externalReference r:id="rId31"/>
  </externalReferences>
  <definedNames>
    <definedName name="_xlnm._FilterDatabase" localSheetId="4" hidden="1">'DATA SISWA'!$A$4:$E$44</definedName>
    <definedName name="_xlnm._FilterDatabase" localSheetId="19" hidden="1">'FORM Nil Sikap'!$A$8:$AR$48</definedName>
    <definedName name="_xlnm._FilterDatabase" localSheetId="7" hidden="1">'Form Nilai Pengetahuan'!$A$7:$E$7</definedName>
    <definedName name="_xlnm._FilterDatabase" localSheetId="11" hidden="1">'Form NilKet'!$A$7:$U$47</definedName>
    <definedName name="_xlnm._FilterDatabase" localSheetId="12" hidden="1">'Input Nilai Ketrampilan'!$A$4:$BK$44</definedName>
    <definedName name="_xlnm._FilterDatabase" localSheetId="8" hidden="1">'Input Nilai Pengetahuan'!$A$4:$CX$4</definedName>
    <definedName name="_xlnm._FilterDatabase" localSheetId="20" hidden="1">'Input Nilai Sikap'!$A$6:$AL$46</definedName>
    <definedName name="KD">#REF!</definedName>
    <definedName name="nilai_jadi">NILAI_JADI!$A$14:$S$61</definedName>
    <definedName name="_xlnm.Print_Area" localSheetId="4">'DATA SISWA'!$A$1:$F$53</definedName>
    <definedName name="_xlnm.Print_Area" localSheetId="17">'form penilaian diri'!$A$1:$G$64</definedName>
    <definedName name="_xlnm.Print_Area" localSheetId="16">'form penilaian teman'!$A$1:$F$56</definedName>
    <definedName name="_xlnm.Print_Area" localSheetId="28">'FORM PORTOFOLIO'!$A$1:$L$70</definedName>
    <definedName name="_xlnm.Print_Area" localSheetId="12">'Input Nilai Ketrampilan'!$A$1:$BK$52</definedName>
    <definedName name="_xlnm.Print_Area" localSheetId="20">'Input Nilai Sikap'!$A$1:$AL$54</definedName>
    <definedName name="_xlnm.Print_Area" localSheetId="3">LIHAT!$B$1:$N$14</definedName>
    <definedName name="_xlnm.Print_Titles" localSheetId="19">'FORM Nil Sikap'!$A:$D</definedName>
    <definedName name="_xlnm.Print_Titles" localSheetId="26">jurnal!$1:$4</definedName>
  </definedNames>
  <calcPr calcId="124519"/>
  <fileRecoveryPr autoRecover="0"/>
</workbook>
</file>

<file path=xl/calcChain.xml><?xml version="1.0" encoding="utf-8"?>
<calcChain xmlns="http://schemas.openxmlformats.org/spreadsheetml/2006/main">
  <c r="CD52" i="6"/>
  <c r="CD51"/>
  <c r="CG51" s="1"/>
  <c r="CD50"/>
  <c r="CD49"/>
  <c r="CD48"/>
  <c r="CG47"/>
  <c r="CD47"/>
  <c r="CD46"/>
  <c r="CD45"/>
  <c r="CD44"/>
  <c r="CG43"/>
  <c r="CD43"/>
  <c r="CD42"/>
  <c r="CD41"/>
  <c r="CD40"/>
  <c r="CG39"/>
  <c r="CD39"/>
  <c r="CD38"/>
  <c r="CD37"/>
  <c r="CD36"/>
  <c r="CG35"/>
  <c r="CD35"/>
  <c r="CD34"/>
  <c r="CD33"/>
  <c r="CD32"/>
  <c r="CG31"/>
  <c r="CD31"/>
  <c r="CD30"/>
  <c r="CD29"/>
  <c r="CD28"/>
  <c r="CG27"/>
  <c r="CD27"/>
  <c r="CD26"/>
  <c r="CD25"/>
  <c r="CD24"/>
  <c r="CG23"/>
  <c r="CD23"/>
  <c r="CD22"/>
  <c r="CD21"/>
  <c r="CD20"/>
  <c r="CG19"/>
  <c r="CD19"/>
  <c r="CD18"/>
  <c r="CD17"/>
  <c r="CD16"/>
  <c r="CG15"/>
  <c r="CD15"/>
  <c r="CD14"/>
  <c r="CD13"/>
  <c r="CD12"/>
  <c r="CG11"/>
  <c r="CD11"/>
  <c r="CD10"/>
  <c r="CD9"/>
  <c r="CD8"/>
  <c r="CG7"/>
  <c r="CD7"/>
  <c r="CD6"/>
  <c r="CD5"/>
  <c r="BV52"/>
  <c r="BY51"/>
  <c r="BV51"/>
  <c r="BV50"/>
  <c r="BV49"/>
  <c r="BV48"/>
  <c r="BY47"/>
  <c r="BV47"/>
  <c r="BV46"/>
  <c r="BV45"/>
  <c r="BV44"/>
  <c r="BY43"/>
  <c r="BV43"/>
  <c r="BV42"/>
  <c r="BV41"/>
  <c r="BV40"/>
  <c r="BY39"/>
  <c r="BV39"/>
  <c r="BV38"/>
  <c r="BV37"/>
  <c r="BV36"/>
  <c r="BY35"/>
  <c r="BV35"/>
  <c r="BV34"/>
  <c r="BV33"/>
  <c r="BV32"/>
  <c r="BY31"/>
  <c r="BV31"/>
  <c r="BV30"/>
  <c r="BV29"/>
  <c r="BV28"/>
  <c r="BY27"/>
  <c r="BV27"/>
  <c r="BV26"/>
  <c r="BV25"/>
  <c r="BV24"/>
  <c r="BY23"/>
  <c r="BV23"/>
  <c r="BV22"/>
  <c r="BV21"/>
  <c r="BV20"/>
  <c r="BY19"/>
  <c r="BV19"/>
  <c r="BV18"/>
  <c r="BV17"/>
  <c r="BV16"/>
  <c r="BY15"/>
  <c r="BV15"/>
  <c r="BV14"/>
  <c r="BV13"/>
  <c r="BV12"/>
  <c r="BY11"/>
  <c r="BV11"/>
  <c r="BV10"/>
  <c r="BV9"/>
  <c r="BV8"/>
  <c r="BY7"/>
  <c r="BV7"/>
  <c r="BV6"/>
  <c r="BV5"/>
  <c r="BN52"/>
  <c r="BQ51"/>
  <c r="BN51"/>
  <c r="BN50"/>
  <c r="BN49"/>
  <c r="BN48"/>
  <c r="BQ47"/>
  <c r="BN47"/>
  <c r="BN46"/>
  <c r="BN45"/>
  <c r="BN44"/>
  <c r="BQ43"/>
  <c r="BN43"/>
  <c r="BN42"/>
  <c r="BN41"/>
  <c r="BN40"/>
  <c r="BQ39"/>
  <c r="BN39"/>
  <c r="BN38"/>
  <c r="BN37"/>
  <c r="BN36"/>
  <c r="BQ35"/>
  <c r="BN35"/>
  <c r="BN34"/>
  <c r="BN33"/>
  <c r="BN32"/>
  <c r="BQ31"/>
  <c r="BN31"/>
  <c r="BN30"/>
  <c r="BN29"/>
  <c r="BN28"/>
  <c r="BQ27"/>
  <c r="BN27"/>
  <c r="BN26"/>
  <c r="BN25"/>
  <c r="BN24"/>
  <c r="BQ23"/>
  <c r="BN23"/>
  <c r="BN22"/>
  <c r="BN21"/>
  <c r="BN20"/>
  <c r="BQ19"/>
  <c r="BN19"/>
  <c r="BN18"/>
  <c r="BN17"/>
  <c r="BN16"/>
  <c r="BQ15"/>
  <c r="BN15"/>
  <c r="BN14"/>
  <c r="BN13"/>
  <c r="BN12"/>
  <c r="BQ11"/>
  <c r="BN11"/>
  <c r="BN10"/>
  <c r="BN9"/>
  <c r="BN8"/>
  <c r="BN7"/>
  <c r="BQ7" s="1"/>
  <c r="BN6"/>
  <c r="BN5"/>
  <c r="BF52"/>
  <c r="BF51"/>
  <c r="BI51" s="1"/>
  <c r="BF50"/>
  <c r="BF49"/>
  <c r="BF48"/>
  <c r="BI47"/>
  <c r="BF47"/>
  <c r="BF46"/>
  <c r="BF45"/>
  <c r="BF44"/>
  <c r="BI43"/>
  <c r="BF43"/>
  <c r="BF42"/>
  <c r="BF41"/>
  <c r="BF40"/>
  <c r="BI39"/>
  <c r="BF39"/>
  <c r="BF38"/>
  <c r="BF37"/>
  <c r="BF36"/>
  <c r="BI35"/>
  <c r="BF35"/>
  <c r="BF34"/>
  <c r="BF33"/>
  <c r="BF32"/>
  <c r="BI31"/>
  <c r="BF31"/>
  <c r="BF30"/>
  <c r="BF29"/>
  <c r="BF28"/>
  <c r="BI27"/>
  <c r="BF27"/>
  <c r="BF26"/>
  <c r="BF25"/>
  <c r="BF24"/>
  <c r="BI23"/>
  <c r="BF23"/>
  <c r="BF22"/>
  <c r="BF21"/>
  <c r="BF20"/>
  <c r="BI19"/>
  <c r="BF19"/>
  <c r="BF18"/>
  <c r="BF17"/>
  <c r="BF16"/>
  <c r="BI15"/>
  <c r="BF15"/>
  <c r="BF14"/>
  <c r="BF13"/>
  <c r="BF12"/>
  <c r="BI11"/>
  <c r="BF11"/>
  <c r="BF10"/>
  <c r="BF9"/>
  <c r="BF8"/>
  <c r="BI7"/>
  <c r="BF7"/>
  <c r="BF6"/>
  <c r="BF5"/>
  <c r="AX52"/>
  <c r="BA51"/>
  <c r="AX51"/>
  <c r="AX50"/>
  <c r="AX49"/>
  <c r="AX48"/>
  <c r="BA47"/>
  <c r="AX47"/>
  <c r="AX46"/>
  <c r="AX45"/>
  <c r="AX44"/>
  <c r="BA43"/>
  <c r="AX43"/>
  <c r="AX42"/>
  <c r="AX41"/>
  <c r="AX40"/>
  <c r="BA39"/>
  <c r="AX39"/>
  <c r="AX38"/>
  <c r="AX37"/>
  <c r="AX36"/>
  <c r="BA35"/>
  <c r="AX35"/>
  <c r="AX34"/>
  <c r="AX33"/>
  <c r="AX32"/>
  <c r="BA31"/>
  <c r="AX31"/>
  <c r="AX30"/>
  <c r="AX29"/>
  <c r="AX28"/>
  <c r="BA27"/>
  <c r="AX27"/>
  <c r="AX26"/>
  <c r="AX25"/>
  <c r="AX24"/>
  <c r="BA23"/>
  <c r="AX23"/>
  <c r="AX22"/>
  <c r="AX21"/>
  <c r="AX20"/>
  <c r="BA19"/>
  <c r="AX19"/>
  <c r="AX18"/>
  <c r="AX17"/>
  <c r="AX16"/>
  <c r="BA15"/>
  <c r="AX15"/>
  <c r="AX14"/>
  <c r="AX13"/>
  <c r="AX12"/>
  <c r="BA11"/>
  <c r="AX11"/>
  <c r="AX10"/>
  <c r="AX9"/>
  <c r="AX8"/>
  <c r="AX7"/>
  <c r="BA7" s="1"/>
  <c r="AX6"/>
  <c r="AX5"/>
  <c r="AP52"/>
  <c r="AP51"/>
  <c r="AS51" s="1"/>
  <c r="AP50"/>
  <c r="AP49"/>
  <c r="AP48"/>
  <c r="AP47"/>
  <c r="AS47" s="1"/>
  <c r="AP46"/>
  <c r="AP45"/>
  <c r="AP44"/>
  <c r="AP43"/>
  <c r="AS43" s="1"/>
  <c r="AP42"/>
  <c r="AP41"/>
  <c r="AP40"/>
  <c r="AP39"/>
  <c r="AS39" s="1"/>
  <c r="AP38"/>
  <c r="AP37"/>
  <c r="AP36"/>
  <c r="AP35"/>
  <c r="AS35" s="1"/>
  <c r="AP34"/>
  <c r="AP33"/>
  <c r="AP32"/>
  <c r="AP31"/>
  <c r="AS31" s="1"/>
  <c r="AP30"/>
  <c r="AP29"/>
  <c r="AP28"/>
  <c r="AP27"/>
  <c r="AS27" s="1"/>
  <c r="AP26"/>
  <c r="AP25"/>
  <c r="AP24"/>
  <c r="AP23"/>
  <c r="AS23" s="1"/>
  <c r="AP22"/>
  <c r="AP21"/>
  <c r="AP20"/>
  <c r="AP19"/>
  <c r="AS19" s="1"/>
  <c r="AP18"/>
  <c r="AP17"/>
  <c r="AP16"/>
  <c r="AS15"/>
  <c r="AP15"/>
  <c r="AP14"/>
  <c r="AP13"/>
  <c r="AP12"/>
  <c r="AS11"/>
  <c r="AP11"/>
  <c r="AP10"/>
  <c r="AP9"/>
  <c r="AP8"/>
  <c r="AS7"/>
  <c r="AP7"/>
  <c r="AP6"/>
  <c r="AP5"/>
  <c r="AH52"/>
  <c r="AH51"/>
  <c r="AK51" s="1"/>
  <c r="AH50"/>
  <c r="AH49"/>
  <c r="AH48"/>
  <c r="AK47"/>
  <c r="AH47"/>
  <c r="AH46"/>
  <c r="AH45"/>
  <c r="AH44"/>
  <c r="AK43"/>
  <c r="AH43"/>
  <c r="AH42"/>
  <c r="AH41"/>
  <c r="AH40"/>
  <c r="AH39"/>
  <c r="AK39" s="1"/>
  <c r="AH38"/>
  <c r="AH37"/>
  <c r="AH36"/>
  <c r="AH35"/>
  <c r="AK35" s="1"/>
  <c r="AH34"/>
  <c r="AH33"/>
  <c r="AH32"/>
  <c r="AK31"/>
  <c r="AH31"/>
  <c r="AH30"/>
  <c r="AH29"/>
  <c r="AH28"/>
  <c r="AK27"/>
  <c r="AH27"/>
  <c r="AH26"/>
  <c r="AH25"/>
  <c r="AH24"/>
  <c r="AH23"/>
  <c r="AK23" s="1"/>
  <c r="AH22"/>
  <c r="AH21"/>
  <c r="AH20"/>
  <c r="AH19"/>
  <c r="AK19" s="1"/>
  <c r="AH18"/>
  <c r="AH17"/>
  <c r="AH16"/>
  <c r="AH15"/>
  <c r="AK15" s="1"/>
  <c r="AH14"/>
  <c r="AH13"/>
  <c r="AH12"/>
  <c r="AH11"/>
  <c r="AK11" s="1"/>
  <c r="AH10"/>
  <c r="AH9"/>
  <c r="AH8"/>
  <c r="AH7"/>
  <c r="AK7" s="1"/>
  <c r="AH6"/>
  <c r="AH5"/>
  <c r="Z52"/>
  <c r="Z51"/>
  <c r="AC51" s="1"/>
  <c r="Z50"/>
  <c r="Z49"/>
  <c r="Z48"/>
  <c r="AC47"/>
  <c r="Z47"/>
  <c r="Z46"/>
  <c r="Z45"/>
  <c r="Z44"/>
  <c r="AC43"/>
  <c r="Z43"/>
  <c r="Z42"/>
  <c r="Z41"/>
  <c r="Z40"/>
  <c r="Z39"/>
  <c r="AC39" s="1"/>
  <c r="Z38"/>
  <c r="Z37"/>
  <c r="Z36"/>
  <c r="Z35"/>
  <c r="AC35" s="1"/>
  <c r="Z34"/>
  <c r="Z33"/>
  <c r="Z32"/>
  <c r="Z31"/>
  <c r="AC31" s="1"/>
  <c r="Z30"/>
  <c r="Z29"/>
  <c r="Z28"/>
  <c r="Z27"/>
  <c r="AC27" s="1"/>
  <c r="Z26"/>
  <c r="Z25"/>
  <c r="Z24"/>
  <c r="Z23"/>
  <c r="AC23" s="1"/>
  <c r="Z22"/>
  <c r="Z21"/>
  <c r="Z20"/>
  <c r="Z19"/>
  <c r="AC19" s="1"/>
  <c r="Z18"/>
  <c r="Z17"/>
  <c r="Z16"/>
  <c r="Z15"/>
  <c r="AC15" s="1"/>
  <c r="Z14"/>
  <c r="Z13"/>
  <c r="Z12"/>
  <c r="Z11"/>
  <c r="AC11" s="1"/>
  <c r="Z10"/>
  <c r="Z9"/>
  <c r="Z8"/>
  <c r="Z7"/>
  <c r="AC7" s="1"/>
  <c r="Z6"/>
  <c r="Z5"/>
  <c r="R52"/>
  <c r="R51"/>
  <c r="U51" s="1"/>
  <c r="R50"/>
  <c r="R49"/>
  <c r="R48"/>
  <c r="U47"/>
  <c r="R47"/>
  <c r="R46"/>
  <c r="R45"/>
  <c r="R44"/>
  <c r="U43"/>
  <c r="R43"/>
  <c r="R42"/>
  <c r="R41"/>
  <c r="R40"/>
  <c r="R39"/>
  <c r="U39" s="1"/>
  <c r="R38"/>
  <c r="R37"/>
  <c r="R36"/>
  <c r="U35"/>
  <c r="R35"/>
  <c r="R34"/>
  <c r="R33"/>
  <c r="R32"/>
  <c r="R31"/>
  <c r="U31" s="1"/>
  <c r="R30"/>
  <c r="R29"/>
  <c r="R28"/>
  <c r="R27"/>
  <c r="U27" s="1"/>
  <c r="R26"/>
  <c r="R25"/>
  <c r="R24"/>
  <c r="R23"/>
  <c r="U23" s="1"/>
  <c r="R22"/>
  <c r="R21"/>
  <c r="R20"/>
  <c r="U19"/>
  <c r="R19"/>
  <c r="R18"/>
  <c r="R17"/>
  <c r="R16"/>
  <c r="R15"/>
  <c r="U15" s="1"/>
  <c r="R14"/>
  <c r="R13"/>
  <c r="R12"/>
  <c r="R11"/>
  <c r="U11" s="1"/>
  <c r="R10"/>
  <c r="R9"/>
  <c r="R8"/>
  <c r="R7"/>
  <c r="U7" s="1"/>
  <c r="R6"/>
  <c r="R5"/>
  <c r="J52"/>
  <c r="M51"/>
  <c r="J51"/>
  <c r="J50"/>
  <c r="J49"/>
  <c r="J48"/>
  <c r="M47"/>
  <c r="J47"/>
  <c r="J46"/>
  <c r="J45"/>
  <c r="J44"/>
  <c r="M43"/>
  <c r="J43"/>
  <c r="J42"/>
  <c r="J41"/>
  <c r="J40"/>
  <c r="J39"/>
  <c r="M39" s="1"/>
  <c r="J38"/>
  <c r="J37"/>
  <c r="J36"/>
  <c r="M35"/>
  <c r="J35"/>
  <c r="J34"/>
  <c r="J33"/>
  <c r="J32"/>
  <c r="J31"/>
  <c r="M31" s="1"/>
  <c r="J30"/>
  <c r="J29"/>
  <c r="J28"/>
  <c r="J27"/>
  <c r="M27" s="1"/>
  <c r="J26"/>
  <c r="J25"/>
  <c r="J24"/>
  <c r="J23"/>
  <c r="M23" s="1"/>
  <c r="J22"/>
  <c r="J21"/>
  <c r="J20"/>
  <c r="J19"/>
  <c r="M19" s="1"/>
  <c r="J18"/>
  <c r="J17"/>
  <c r="J16"/>
  <c r="J15"/>
  <c r="M15" s="1"/>
  <c r="J14"/>
  <c r="J13"/>
  <c r="J12"/>
  <c r="J11"/>
  <c r="M11" s="1"/>
  <c r="J10"/>
  <c r="J9"/>
  <c r="J8"/>
  <c r="J6"/>
  <c r="J7"/>
  <c r="M7" s="1"/>
  <c r="J5"/>
  <c r="AK54" i="9" l="1"/>
  <c r="AK53"/>
  <c r="AK52"/>
  <c r="AK51"/>
  <c r="AK50"/>
  <c r="AK49"/>
  <c r="AK48"/>
  <c r="AK47"/>
  <c r="AK46"/>
  <c r="AK45"/>
  <c r="AK44"/>
  <c r="AK43"/>
  <c r="AK42"/>
  <c r="AK41"/>
  <c r="AK40"/>
  <c r="AK39"/>
  <c r="AK38"/>
  <c r="AK37"/>
  <c r="AK36"/>
  <c r="AK35"/>
  <c r="AK34"/>
  <c r="AK33"/>
  <c r="AK32"/>
  <c r="AK31"/>
  <c r="AK30"/>
  <c r="AK29"/>
  <c r="AK28"/>
  <c r="AK27"/>
  <c r="AK26"/>
  <c r="AK25"/>
  <c r="AK24"/>
  <c r="AK23"/>
  <c r="AK22"/>
  <c r="AK21"/>
  <c r="AK20"/>
  <c r="AK19"/>
  <c r="AK18"/>
  <c r="AK17"/>
  <c r="AK16"/>
  <c r="AK15"/>
  <c r="AK14"/>
  <c r="AK13"/>
  <c r="AK12"/>
  <c r="AK11"/>
  <c r="AK10"/>
  <c r="AK9"/>
  <c r="AK8"/>
  <c r="AK7"/>
  <c r="AG54"/>
  <c r="AG53"/>
  <c r="AG52"/>
  <c r="AG51"/>
  <c r="AG50"/>
  <c r="AG49"/>
  <c r="AG48"/>
  <c r="AG47"/>
  <c r="AG46"/>
  <c r="AG45"/>
  <c r="AG44"/>
  <c r="AG43"/>
  <c r="AG42"/>
  <c r="AG41"/>
  <c r="AG40"/>
  <c r="AG39"/>
  <c r="AG38"/>
  <c r="AG37"/>
  <c r="AG36"/>
  <c r="AG35"/>
  <c r="AG34"/>
  <c r="AG33"/>
  <c r="AG32"/>
  <c r="AG31"/>
  <c r="AG30"/>
  <c r="AG29"/>
  <c r="AG28"/>
  <c r="AG27"/>
  <c r="AG26"/>
  <c r="AG25"/>
  <c r="AG24"/>
  <c r="AG23"/>
  <c r="AG22"/>
  <c r="AG21"/>
  <c r="AG20"/>
  <c r="AG19"/>
  <c r="AG18"/>
  <c r="AG17"/>
  <c r="AG16"/>
  <c r="AG15"/>
  <c r="AG14"/>
  <c r="AG13"/>
  <c r="AG12"/>
  <c r="AG11"/>
  <c r="AG10"/>
  <c r="AG9"/>
  <c r="AG8"/>
  <c r="AG7"/>
  <c r="AC54"/>
  <c r="AC53"/>
  <c r="AC52"/>
  <c r="AC51"/>
  <c r="AC50"/>
  <c r="AC49"/>
  <c r="AC48"/>
  <c r="AC47"/>
  <c r="AC46"/>
  <c r="AC45"/>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Y54"/>
  <c r="Y53"/>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U54"/>
  <c r="U53"/>
  <c r="U52"/>
  <c r="U51"/>
  <c r="U50"/>
  <c r="U49"/>
  <c r="U48"/>
  <c r="U47"/>
  <c r="U46"/>
  <c r="U45"/>
  <c r="U44"/>
  <c r="U43"/>
  <c r="U42"/>
  <c r="U41"/>
  <c r="U40"/>
  <c r="U39"/>
  <c r="U38"/>
  <c r="U37"/>
  <c r="U36"/>
  <c r="U35"/>
  <c r="U34"/>
  <c r="U33"/>
  <c r="U32"/>
  <c r="U31"/>
  <c r="U30"/>
  <c r="U29"/>
  <c r="U28"/>
  <c r="U27"/>
  <c r="U26"/>
  <c r="U25"/>
  <c r="U24"/>
  <c r="U23"/>
  <c r="U22"/>
  <c r="U21"/>
  <c r="U20"/>
  <c r="U19"/>
  <c r="U18"/>
  <c r="U17"/>
  <c r="U16"/>
  <c r="U15"/>
  <c r="U14"/>
  <c r="U13"/>
  <c r="U12"/>
  <c r="U11"/>
  <c r="U10"/>
  <c r="U9"/>
  <c r="U8"/>
  <c r="U7"/>
  <c r="Q54"/>
  <c r="Q53"/>
  <c r="Q52"/>
  <c r="Q51"/>
  <c r="Q50"/>
  <c r="Q49"/>
  <c r="Q48"/>
  <c r="Q47"/>
  <c r="Q46"/>
  <c r="Q45"/>
  <c r="Q44"/>
  <c r="Q43"/>
  <c r="Q42"/>
  <c r="Q41"/>
  <c r="Q40"/>
  <c r="Q39"/>
  <c r="Q38"/>
  <c r="Q37"/>
  <c r="Q36"/>
  <c r="Q35"/>
  <c r="Q34"/>
  <c r="Q33"/>
  <c r="Q32"/>
  <c r="Q31"/>
  <c r="Q30"/>
  <c r="Q29"/>
  <c r="Q28"/>
  <c r="Q27"/>
  <c r="Q26"/>
  <c r="Q25"/>
  <c r="Q24"/>
  <c r="Q23"/>
  <c r="Q22"/>
  <c r="Q21"/>
  <c r="Q20"/>
  <c r="Q19"/>
  <c r="Q18"/>
  <c r="Q17"/>
  <c r="Q16"/>
  <c r="Q15"/>
  <c r="Q14"/>
  <c r="Q13"/>
  <c r="Q12"/>
  <c r="Q11"/>
  <c r="Q10"/>
  <c r="Q9"/>
  <c r="Q8"/>
  <c r="Q7"/>
  <c r="M8"/>
  <c r="M9"/>
  <c r="M10"/>
  <c r="M11"/>
  <c r="M12"/>
  <c r="M13"/>
  <c r="M14"/>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7"/>
  <c r="H8"/>
  <c r="H9"/>
  <c r="H10"/>
  <c r="H11"/>
  <c r="H12"/>
  <c r="H13"/>
  <c r="H14"/>
  <c r="H15"/>
  <c r="H16"/>
  <c r="H17"/>
  <c r="H18"/>
  <c r="H19"/>
  <c r="H20"/>
  <c r="H21"/>
  <c r="H22"/>
  <c r="H23"/>
  <c r="H24"/>
  <c r="H25"/>
  <c r="H26"/>
  <c r="H27"/>
  <c r="H28"/>
  <c r="H29"/>
  <c r="H30"/>
  <c r="H31"/>
  <c r="H32"/>
  <c r="H33"/>
  <c r="H34"/>
  <c r="H35"/>
  <c r="H36"/>
  <c r="H37"/>
  <c r="H38"/>
  <c r="H39"/>
  <c r="H40"/>
  <c r="H41"/>
  <c r="H42"/>
  <c r="H43"/>
  <c r="H44"/>
  <c r="H45"/>
  <c r="H46"/>
  <c r="H47"/>
  <c r="H48"/>
  <c r="H49"/>
  <c r="H50"/>
  <c r="H51"/>
  <c r="H52"/>
  <c r="H53"/>
  <c r="H54"/>
  <c r="H7"/>
  <c r="BC52" i="8"/>
  <c r="BC51"/>
  <c r="BC50"/>
  <c r="BC49"/>
  <c r="BC48"/>
  <c r="BC47"/>
  <c r="BC46"/>
  <c r="BC45"/>
  <c r="BC44"/>
  <c r="BC43"/>
  <c r="BC42"/>
  <c r="BC41"/>
  <c r="BC40"/>
  <c r="BC39"/>
  <c r="BC38"/>
  <c r="BC37"/>
  <c r="BC36"/>
  <c r="BC35"/>
  <c r="BC34"/>
  <c r="BC33"/>
  <c r="BC32"/>
  <c r="BC31"/>
  <c r="BC30"/>
  <c r="BC29"/>
  <c r="BC28"/>
  <c r="BC27"/>
  <c r="BC26"/>
  <c r="BC25"/>
  <c r="BC24"/>
  <c r="BC23"/>
  <c r="BC22"/>
  <c r="BC21"/>
  <c r="BC20"/>
  <c r="BC19"/>
  <c r="BC18"/>
  <c r="BC17"/>
  <c r="BC16"/>
  <c r="BC15"/>
  <c r="BC14"/>
  <c r="BC13"/>
  <c r="BC12"/>
  <c r="BC11"/>
  <c r="BC10"/>
  <c r="BC9"/>
  <c r="BC8"/>
  <c r="BC7"/>
  <c r="BC6"/>
  <c r="BC5"/>
  <c r="AX52"/>
  <c r="AX51"/>
  <c r="AX50"/>
  <c r="AX49"/>
  <c r="AX48"/>
  <c r="AX47"/>
  <c r="AX46"/>
  <c r="AX45"/>
  <c r="AX44"/>
  <c r="AX43"/>
  <c r="AX42"/>
  <c r="AX41"/>
  <c r="AX40"/>
  <c r="AX39"/>
  <c r="AX38"/>
  <c r="AX37"/>
  <c r="AX36"/>
  <c r="AX35"/>
  <c r="AX34"/>
  <c r="AX33"/>
  <c r="AX32"/>
  <c r="AX31"/>
  <c r="AX30"/>
  <c r="AX29"/>
  <c r="AX28"/>
  <c r="AX27"/>
  <c r="AX26"/>
  <c r="AX25"/>
  <c r="AX24"/>
  <c r="AX23"/>
  <c r="AX22"/>
  <c r="AX21"/>
  <c r="AX20"/>
  <c r="AX19"/>
  <c r="AX18"/>
  <c r="AX17"/>
  <c r="AX16"/>
  <c r="AX15"/>
  <c r="AX14"/>
  <c r="AX13"/>
  <c r="AX12"/>
  <c r="AX11"/>
  <c r="AX10"/>
  <c r="AX9"/>
  <c r="AX8"/>
  <c r="AX7"/>
  <c r="AX6"/>
  <c r="AX5"/>
  <c r="AS52"/>
  <c r="AS51"/>
  <c r="AS50"/>
  <c r="AS49"/>
  <c r="AS48"/>
  <c r="AS47"/>
  <c r="AS46"/>
  <c r="AS45"/>
  <c r="AS44"/>
  <c r="AS43"/>
  <c r="AS42"/>
  <c r="AS41"/>
  <c r="AS40"/>
  <c r="AS39"/>
  <c r="AS38"/>
  <c r="AS37"/>
  <c r="AS36"/>
  <c r="AS35"/>
  <c r="AS34"/>
  <c r="AS33"/>
  <c r="AS32"/>
  <c r="AS31"/>
  <c r="AS30"/>
  <c r="AS29"/>
  <c r="AS28"/>
  <c r="AS27"/>
  <c r="AS26"/>
  <c r="AS25"/>
  <c r="AS24"/>
  <c r="AS23"/>
  <c r="AS22"/>
  <c r="AS21"/>
  <c r="AS20"/>
  <c r="AS19"/>
  <c r="AS18"/>
  <c r="AS17"/>
  <c r="AS16"/>
  <c r="AS15"/>
  <c r="AS14"/>
  <c r="AS13"/>
  <c r="AS12"/>
  <c r="AS11"/>
  <c r="AS10"/>
  <c r="AS9"/>
  <c r="AS8"/>
  <c r="AS7"/>
  <c r="AS6"/>
  <c r="AS5"/>
  <c r="AN52"/>
  <c r="AN51"/>
  <c r="AN50"/>
  <c r="AN49"/>
  <c r="AN48"/>
  <c r="AN47"/>
  <c r="AN46"/>
  <c r="AN45"/>
  <c r="AN44"/>
  <c r="AN43"/>
  <c r="AN42"/>
  <c r="AN41"/>
  <c r="AN40"/>
  <c r="AN39"/>
  <c r="AN38"/>
  <c r="AN37"/>
  <c r="AN36"/>
  <c r="AN35"/>
  <c r="AN34"/>
  <c r="AN33"/>
  <c r="AN32"/>
  <c r="AN31"/>
  <c r="AN30"/>
  <c r="AN29"/>
  <c r="AN28"/>
  <c r="AN27"/>
  <c r="AN26"/>
  <c r="AN25"/>
  <c r="AN24"/>
  <c r="AN23"/>
  <c r="AN22"/>
  <c r="AN21"/>
  <c r="AN20"/>
  <c r="AN19"/>
  <c r="AN18"/>
  <c r="AN17"/>
  <c r="AN16"/>
  <c r="AN15"/>
  <c r="AN14"/>
  <c r="AN13"/>
  <c r="AN12"/>
  <c r="AN11"/>
  <c r="AN10"/>
  <c r="AN9"/>
  <c r="AN8"/>
  <c r="AN7"/>
  <c r="AN6"/>
  <c r="AN5"/>
  <c r="AI52"/>
  <c r="AI51"/>
  <c r="AI50"/>
  <c r="AI49"/>
  <c r="AI48"/>
  <c r="AI47"/>
  <c r="AI46"/>
  <c r="AI45"/>
  <c r="AI44"/>
  <c r="AI43"/>
  <c r="AI42"/>
  <c r="AI41"/>
  <c r="AI40"/>
  <c r="AI39"/>
  <c r="AI38"/>
  <c r="AI37"/>
  <c r="AI36"/>
  <c r="AI35"/>
  <c r="AI34"/>
  <c r="AI33"/>
  <c r="AI32"/>
  <c r="AI31"/>
  <c r="AI30"/>
  <c r="AI29"/>
  <c r="AI28"/>
  <c r="AI27"/>
  <c r="AI26"/>
  <c r="AI25"/>
  <c r="AI24"/>
  <c r="AI23"/>
  <c r="AI22"/>
  <c r="AI21"/>
  <c r="AI20"/>
  <c r="AI19"/>
  <c r="AI18"/>
  <c r="AI17"/>
  <c r="AI16"/>
  <c r="AI15"/>
  <c r="AI14"/>
  <c r="AI13"/>
  <c r="AI12"/>
  <c r="AI11"/>
  <c r="AI10"/>
  <c r="AI9"/>
  <c r="AI8"/>
  <c r="AI7"/>
  <c r="AI6"/>
  <c r="AI5"/>
  <c r="AD52"/>
  <c r="AD51"/>
  <c r="AD50"/>
  <c r="AD49"/>
  <c r="AD48"/>
  <c r="AD47"/>
  <c r="AD46"/>
  <c r="AD45"/>
  <c r="AD44"/>
  <c r="AD43"/>
  <c r="AD42"/>
  <c r="AD41"/>
  <c r="AD40"/>
  <c r="AD39"/>
  <c r="AD38"/>
  <c r="AD37"/>
  <c r="AD36"/>
  <c r="AD35"/>
  <c r="AD34"/>
  <c r="AD33"/>
  <c r="AD32"/>
  <c r="AD31"/>
  <c r="AD30"/>
  <c r="AD29"/>
  <c r="AD28"/>
  <c r="AD27"/>
  <c r="AD26"/>
  <c r="AD25"/>
  <c r="AD24"/>
  <c r="AD23"/>
  <c r="AD22"/>
  <c r="AD21"/>
  <c r="AD20"/>
  <c r="AD19"/>
  <c r="AD18"/>
  <c r="AD17"/>
  <c r="AD16"/>
  <c r="AD15"/>
  <c r="AD14"/>
  <c r="AD13"/>
  <c r="AD12"/>
  <c r="AD11"/>
  <c r="AD10"/>
  <c r="AD9"/>
  <c r="AD8"/>
  <c r="AD7"/>
  <c r="AD6"/>
  <c r="AD5"/>
  <c r="Y52"/>
  <c r="Y51"/>
  <c r="Y50"/>
  <c r="Y49"/>
  <c r="Y48"/>
  <c r="Y47"/>
  <c r="Y46"/>
  <c r="Y45"/>
  <c r="Y44"/>
  <c r="Y43"/>
  <c r="Y42"/>
  <c r="Y41"/>
  <c r="Y40"/>
  <c r="Y39"/>
  <c r="Y38"/>
  <c r="Y37"/>
  <c r="Y36"/>
  <c r="Y35"/>
  <c r="Y34"/>
  <c r="Y33"/>
  <c r="Y32"/>
  <c r="Y31"/>
  <c r="Y30"/>
  <c r="Y29"/>
  <c r="Y28"/>
  <c r="Y27"/>
  <c r="Y26"/>
  <c r="Y25"/>
  <c r="Y24"/>
  <c r="Y23"/>
  <c r="Y22"/>
  <c r="Y21"/>
  <c r="Y20"/>
  <c r="Y19"/>
  <c r="Y18"/>
  <c r="Y17"/>
  <c r="Y16"/>
  <c r="Y15"/>
  <c r="Y14"/>
  <c r="Y13"/>
  <c r="Y12"/>
  <c r="Y11"/>
  <c r="Y10"/>
  <c r="Y9"/>
  <c r="Y8"/>
  <c r="Y7"/>
  <c r="Y6"/>
  <c r="Y5"/>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J6"/>
  <c r="J7"/>
  <c r="J8"/>
  <c r="J9"/>
  <c r="J10"/>
  <c r="J11"/>
  <c r="J12"/>
  <c r="J13"/>
  <c r="J14"/>
  <c r="J15"/>
  <c r="J16"/>
  <c r="J17"/>
  <c r="J18"/>
  <c r="J19"/>
  <c r="J20"/>
  <c r="J21"/>
  <c r="J22"/>
  <c r="J23"/>
  <c r="J24"/>
  <c r="J25"/>
  <c r="J26"/>
  <c r="J27"/>
  <c r="J28"/>
  <c r="J29"/>
  <c r="J30"/>
  <c r="J31"/>
  <c r="J32"/>
  <c r="J33"/>
  <c r="J34"/>
  <c r="J35"/>
  <c r="J36"/>
  <c r="J37"/>
  <c r="J38"/>
  <c r="J39"/>
  <c r="J40"/>
  <c r="J41"/>
  <c r="J42"/>
  <c r="J43"/>
  <c r="J44"/>
  <c r="J45"/>
  <c r="J46"/>
  <c r="J47"/>
  <c r="J48"/>
  <c r="J49"/>
  <c r="J50"/>
  <c r="J51"/>
  <c r="J52"/>
  <c r="J5"/>
  <c r="BH2"/>
  <c r="CT2" i="6"/>
  <c r="BQ50" l="1"/>
  <c r="BQ49"/>
  <c r="BQ48"/>
  <c r="BQ46"/>
  <c r="BQ45"/>
  <c r="BQ44"/>
  <c r="BQ42"/>
  <c r="BQ41"/>
  <c r="BQ40"/>
  <c r="BQ38"/>
  <c r="BQ37"/>
  <c r="BQ36"/>
  <c r="BQ34"/>
  <c r="BQ33"/>
  <c r="BQ32"/>
  <c r="BQ30"/>
  <c r="BQ29"/>
  <c r="BQ28"/>
  <c r="BQ26"/>
  <c r="BQ25"/>
  <c r="BQ24"/>
  <c r="BQ22"/>
  <c r="BQ21"/>
  <c r="BQ20"/>
  <c r="BQ18"/>
  <c r="BQ17"/>
  <c r="BQ16"/>
  <c r="BQ14"/>
  <c r="BQ13"/>
  <c r="BQ12"/>
  <c r="BQ10"/>
  <c r="BQ9"/>
  <c r="BQ8"/>
  <c r="BQ6"/>
  <c r="BQ5"/>
  <c r="BI50"/>
  <c r="BI49"/>
  <c r="BI48"/>
  <c r="BI46"/>
  <c r="BI45"/>
  <c r="BI44"/>
  <c r="BI42"/>
  <c r="BI41"/>
  <c r="BI40"/>
  <c r="BI38"/>
  <c r="BI37"/>
  <c r="BI36"/>
  <c r="BI34"/>
  <c r="BI33"/>
  <c r="BI32"/>
  <c r="BI30"/>
  <c r="BI29"/>
  <c r="BI28"/>
  <c r="BI26"/>
  <c r="BI25"/>
  <c r="BI24"/>
  <c r="BI22"/>
  <c r="BI21"/>
  <c r="BI20"/>
  <c r="BI18"/>
  <c r="BI17"/>
  <c r="BI16"/>
  <c r="BI14"/>
  <c r="BI13"/>
  <c r="BI12"/>
  <c r="BI10"/>
  <c r="BI9"/>
  <c r="BI8"/>
  <c r="BI6"/>
  <c r="BI5"/>
  <c r="BA52"/>
  <c r="BA50"/>
  <c r="BA49"/>
  <c r="BA48"/>
  <c r="BA46"/>
  <c r="BA45"/>
  <c r="BA44"/>
  <c r="BA42"/>
  <c r="BA41"/>
  <c r="BA40"/>
  <c r="BA38"/>
  <c r="BA37"/>
  <c r="BA36"/>
  <c r="BA34"/>
  <c r="BA33"/>
  <c r="BA32"/>
  <c r="BA30"/>
  <c r="BA29"/>
  <c r="BA28"/>
  <c r="BA26"/>
  <c r="BA25"/>
  <c r="BA24"/>
  <c r="BA22"/>
  <c r="BA21"/>
  <c r="BA20"/>
  <c r="BA18"/>
  <c r="BA17"/>
  <c r="BA16"/>
  <c r="BA14"/>
  <c r="BA13"/>
  <c r="BA12"/>
  <c r="BA10"/>
  <c r="BA9"/>
  <c r="BA8"/>
  <c r="BA6"/>
  <c r="BA5"/>
  <c r="AS50"/>
  <c r="AS42"/>
  <c r="AS34"/>
  <c r="AS26"/>
  <c r="AS18"/>
  <c r="AK18"/>
  <c r="AK10"/>
  <c r="AC50"/>
  <c r="M50"/>
  <c r="M49"/>
  <c r="M48"/>
  <c r="M46"/>
  <c r="M45"/>
  <c r="M44"/>
  <c r="M42"/>
  <c r="M41"/>
  <c r="M38"/>
  <c r="M37"/>
  <c r="M36"/>
  <c r="M34"/>
  <c r="M33"/>
  <c r="M32"/>
  <c r="M30"/>
  <c r="M29"/>
  <c r="M26"/>
  <c r="M25"/>
  <c r="M24"/>
  <c r="M22"/>
  <c r="M21"/>
  <c r="M20"/>
  <c r="M18"/>
  <c r="M17"/>
  <c r="M14"/>
  <c r="M13"/>
  <c r="M10"/>
  <c r="M6"/>
  <c r="U36"/>
  <c r="U34"/>
  <c r="U29"/>
  <c r="U26"/>
  <c r="U22"/>
  <c r="U20"/>
  <c r="U17"/>
  <c r="U16"/>
  <c r="U13"/>
  <c r="U10"/>
  <c r="U5"/>
  <c r="CG50"/>
  <c r="CG49"/>
  <c r="CG48"/>
  <c r="CG46"/>
  <c r="CG45"/>
  <c r="CG44"/>
  <c r="CG42"/>
  <c r="CG41"/>
  <c r="CG40"/>
  <c r="CG38"/>
  <c r="CG37"/>
  <c r="CG36"/>
  <c r="CG34"/>
  <c r="CG33"/>
  <c r="CG32"/>
  <c r="CG30"/>
  <c r="CG29"/>
  <c r="CG28"/>
  <c r="CG26"/>
  <c r="CG25"/>
  <c r="CG24"/>
  <c r="CG22"/>
  <c r="CG21"/>
  <c r="CG20"/>
  <c r="CG18"/>
  <c r="CG17"/>
  <c r="CG16"/>
  <c r="CG14"/>
  <c r="CG13"/>
  <c r="CG12"/>
  <c r="CG10"/>
  <c r="CG9"/>
  <c r="CG8"/>
  <c r="CG6"/>
  <c r="CG5"/>
  <c r="BY52"/>
  <c r="BY50"/>
  <c r="BY49"/>
  <c r="BY48"/>
  <c r="BY46"/>
  <c r="BY45"/>
  <c r="BY44"/>
  <c r="BY42"/>
  <c r="BY41"/>
  <c r="BY40"/>
  <c r="BY38"/>
  <c r="BY37"/>
  <c r="BY36"/>
  <c r="BY34"/>
  <c r="BY33"/>
  <c r="BY32"/>
  <c r="BY30"/>
  <c r="BY29"/>
  <c r="BY28"/>
  <c r="BY26"/>
  <c r="BY25"/>
  <c r="BY24"/>
  <c r="BY22"/>
  <c r="BY21"/>
  <c r="BY20"/>
  <c r="BY18"/>
  <c r="BY17"/>
  <c r="BY16"/>
  <c r="BY14"/>
  <c r="BY13"/>
  <c r="BY12"/>
  <c r="BY10"/>
  <c r="BY9"/>
  <c r="BY8"/>
  <c r="BY6"/>
  <c r="BY5"/>
  <c r="AS46"/>
  <c r="AS38"/>
  <c r="AS30"/>
  <c r="AS22"/>
  <c r="AS16"/>
  <c r="AS14"/>
  <c r="AS13"/>
  <c r="AS12"/>
  <c r="AS10"/>
  <c r="AS9"/>
  <c r="AS8"/>
  <c r="AS6"/>
  <c r="AS5"/>
  <c r="AK50"/>
  <c r="AK49"/>
  <c r="AK48"/>
  <c r="AK46"/>
  <c r="AK45"/>
  <c r="AK44"/>
  <c r="AK42"/>
  <c r="AK41"/>
  <c r="AK40"/>
  <c r="AK38"/>
  <c r="AK37"/>
  <c r="AK36"/>
  <c r="AK34"/>
  <c r="AK33"/>
  <c r="AK32"/>
  <c r="AK30"/>
  <c r="AK29"/>
  <c r="AK28"/>
  <c r="AK26"/>
  <c r="AK25"/>
  <c r="AK22"/>
  <c r="AK14"/>
  <c r="AK6"/>
  <c r="AC48"/>
  <c r="AC46"/>
  <c r="AC45"/>
  <c r="AC44"/>
  <c r="AC42"/>
  <c r="AC41"/>
  <c r="AC40"/>
  <c r="AC38"/>
  <c r="AC37"/>
  <c r="AC36"/>
  <c r="AC34"/>
  <c r="AC33"/>
  <c r="AC32"/>
  <c r="AC30"/>
  <c r="AC29"/>
  <c r="AC28"/>
  <c r="AC26"/>
  <c r="AC25"/>
  <c r="AC24"/>
  <c r="AC22"/>
  <c r="AC21"/>
  <c r="AC20"/>
  <c r="AC18"/>
  <c r="AC17"/>
  <c r="AC16"/>
  <c r="AC14"/>
  <c r="AC13"/>
  <c r="AC12"/>
  <c r="AC10"/>
  <c r="AC9"/>
  <c r="AC8"/>
  <c r="AC6"/>
  <c r="AC5"/>
  <c r="U50"/>
  <c r="U49"/>
  <c r="U48"/>
  <c r="U46"/>
  <c r="U45"/>
  <c r="U44"/>
  <c r="U42"/>
  <c r="U41"/>
  <c r="U40"/>
  <c r="U38"/>
  <c r="U37"/>
  <c r="U33"/>
  <c r="U32"/>
  <c r="U30"/>
  <c r="U28"/>
  <c r="U25"/>
  <c r="U24"/>
  <c r="U21"/>
  <c r="U18"/>
  <c r="U14"/>
  <c r="U12"/>
  <c r="U9"/>
  <c r="U8"/>
  <c r="U6"/>
  <c r="BI52"/>
  <c r="AS49"/>
  <c r="AS41"/>
  <c r="AS33"/>
  <c r="AS25"/>
  <c r="AS17"/>
  <c r="AK17"/>
  <c r="AK9"/>
  <c r="AC49"/>
  <c r="M28"/>
  <c r="M12"/>
  <c r="M5"/>
  <c r="M8"/>
  <c r="BQ52"/>
  <c r="AS45"/>
  <c r="AS37"/>
  <c r="AS29"/>
  <c r="AS21"/>
  <c r="AK24"/>
  <c r="AK16"/>
  <c r="AK8"/>
  <c r="U52"/>
  <c r="AS52"/>
  <c r="AS44"/>
  <c r="AS36"/>
  <c r="AS28"/>
  <c r="AS20"/>
  <c r="AK20"/>
  <c r="AK12"/>
  <c r="AC52"/>
  <c r="M40"/>
  <c r="M16"/>
  <c r="M9"/>
  <c r="M52"/>
  <c r="CG52"/>
  <c r="AS48"/>
  <c r="AS40"/>
  <c r="AS32"/>
  <c r="AS24"/>
  <c r="AK52"/>
  <c r="AK21"/>
  <c r="AK13"/>
  <c r="AK5"/>
  <c r="CN6"/>
  <c r="CO6"/>
  <c r="CN7"/>
  <c r="CO7"/>
  <c r="CN8"/>
  <c r="CO8"/>
  <c r="CN9"/>
  <c r="CO9"/>
  <c r="CN10"/>
  <c r="CO10"/>
  <c r="CN11"/>
  <c r="CO11"/>
  <c r="CN12"/>
  <c r="CO12"/>
  <c r="CN13"/>
  <c r="CO13"/>
  <c r="CN14"/>
  <c r="CO14"/>
  <c r="CN15"/>
  <c r="CO15"/>
  <c r="CN16"/>
  <c r="CO16"/>
  <c r="CN17"/>
  <c r="CO17"/>
  <c r="CN18"/>
  <c r="CO18"/>
  <c r="CN19"/>
  <c r="CO19"/>
  <c r="CN20"/>
  <c r="CO20"/>
  <c r="CN21"/>
  <c r="CO21"/>
  <c r="CN22"/>
  <c r="CO22"/>
  <c r="CN23"/>
  <c r="CO23"/>
  <c r="CN24"/>
  <c r="CO24"/>
  <c r="CN25"/>
  <c r="CO25"/>
  <c r="CN26"/>
  <c r="CO26"/>
  <c r="CN27"/>
  <c r="CO27"/>
  <c r="CN28"/>
  <c r="CO28"/>
  <c r="CN29"/>
  <c r="CO29"/>
  <c r="CN30"/>
  <c r="CO30"/>
  <c r="CN31"/>
  <c r="CO31"/>
  <c r="CN32"/>
  <c r="CO32"/>
  <c r="CN33"/>
  <c r="CO33"/>
  <c r="CN34"/>
  <c r="CO34"/>
  <c r="CN35"/>
  <c r="CO35"/>
  <c r="CN36"/>
  <c r="CO36"/>
  <c r="CN37"/>
  <c r="CO37"/>
  <c r="CN38"/>
  <c r="CO38"/>
  <c r="CN39"/>
  <c r="CO39"/>
  <c r="CN40"/>
  <c r="CO40"/>
  <c r="CN41"/>
  <c r="CO41"/>
  <c r="CN42"/>
  <c r="CO42"/>
  <c r="CN43"/>
  <c r="CO43"/>
  <c r="CN44"/>
  <c r="CO44"/>
  <c r="CN45"/>
  <c r="CO45"/>
  <c r="CN46"/>
  <c r="CO46"/>
  <c r="CN47"/>
  <c r="CO47"/>
  <c r="CN48"/>
  <c r="CO48"/>
  <c r="CN49"/>
  <c r="CO49"/>
  <c r="CN50"/>
  <c r="CO50"/>
  <c r="CN51"/>
  <c r="CO51"/>
  <c r="CN52"/>
  <c r="CO52"/>
  <c r="CN5"/>
  <c r="CO5"/>
  <c r="E5" i="18" l="1"/>
  <c r="E6"/>
  <c r="E7"/>
  <c r="E8"/>
  <c r="E9"/>
  <c r="E10"/>
  <c r="E11"/>
  <c r="E12"/>
  <c r="E13"/>
  <c r="E14"/>
  <c r="E15"/>
  <c r="E16"/>
  <c r="E17"/>
  <c r="E18"/>
  <c r="E19"/>
  <c r="E20"/>
  <c r="E21"/>
  <c r="E22"/>
  <c r="E23"/>
  <c r="E24"/>
  <c r="E25"/>
  <c r="E26"/>
  <c r="E27"/>
  <c r="E28"/>
  <c r="E29"/>
  <c r="E30"/>
  <c r="E31"/>
  <c r="E32"/>
  <c r="E33"/>
  <c r="E34"/>
  <c r="E35"/>
  <c r="E36"/>
  <c r="AY1" i="8" l="1"/>
  <c r="AT1"/>
  <c r="AO1"/>
  <c r="AJ1"/>
  <c r="AE1"/>
  <c r="Z1"/>
  <c r="U1"/>
  <c r="P1"/>
  <c r="K1"/>
  <c r="F1"/>
  <c r="AY2"/>
  <c r="AT2"/>
  <c r="AO2"/>
  <c r="AJ2"/>
  <c r="AE2"/>
  <c r="Z2"/>
  <c r="U2"/>
  <c r="P2"/>
  <c r="K2"/>
  <c r="F2"/>
  <c r="BZ2" i="6"/>
  <c r="BZ1"/>
  <c r="BR2"/>
  <c r="BR1"/>
  <c r="BJ2"/>
  <c r="BJ1"/>
  <c r="BB2"/>
  <c r="BB1"/>
  <c r="AT2"/>
  <c r="AT1"/>
  <c r="AL2"/>
  <c r="AL1"/>
  <c r="AD1"/>
  <c r="AD2"/>
  <c r="V1"/>
  <c r="V2"/>
  <c r="N2"/>
  <c r="N1"/>
  <c r="F1"/>
  <c r="F2"/>
  <c r="P3" i="34"/>
  <c r="C4" i="29"/>
  <c r="A2" i="39"/>
  <c r="J15" i="31"/>
  <c r="J16"/>
  <c r="J17"/>
  <c r="J18"/>
  <c r="J19"/>
  <c r="J20"/>
  <c r="J21"/>
  <c r="J22"/>
  <c r="J23"/>
  <c r="J24"/>
  <c r="J25"/>
  <c r="J26"/>
  <c r="J27"/>
  <c r="J28"/>
  <c r="J29"/>
  <c r="J30"/>
  <c r="J31"/>
  <c r="J32"/>
  <c r="J33"/>
  <c r="J34"/>
  <c r="J35"/>
  <c r="J36"/>
  <c r="J37"/>
  <c r="J38"/>
  <c r="J39"/>
  <c r="J40"/>
  <c r="J41"/>
  <c r="J42"/>
  <c r="J43"/>
  <c r="J44"/>
  <c r="J45"/>
  <c r="J46"/>
  <c r="J47"/>
  <c r="J48"/>
  <c r="J49"/>
  <c r="J50"/>
  <c r="J51"/>
  <c r="J52"/>
  <c r="J53"/>
  <c r="J54"/>
  <c r="J55"/>
  <c r="J56"/>
  <c r="J57"/>
  <c r="J58"/>
  <c r="J59"/>
  <c r="J60"/>
  <c r="J61"/>
  <c r="L15"/>
  <c r="L16"/>
  <c r="L17"/>
  <c r="L18"/>
  <c r="L19"/>
  <c r="L20"/>
  <c r="L21"/>
  <c r="L22"/>
  <c r="L23"/>
  <c r="L24"/>
  <c r="L25"/>
  <c r="L26"/>
  <c r="L27"/>
  <c r="L28"/>
  <c r="L29"/>
  <c r="L30"/>
  <c r="L31"/>
  <c r="L32"/>
  <c r="L33"/>
  <c r="L34"/>
  <c r="L35"/>
  <c r="L36"/>
  <c r="L37"/>
  <c r="L38"/>
  <c r="L39"/>
  <c r="L40"/>
  <c r="L41"/>
  <c r="L42"/>
  <c r="L43"/>
  <c r="L44"/>
  <c r="L45"/>
  <c r="L46"/>
  <c r="L47"/>
  <c r="L48"/>
  <c r="L49"/>
  <c r="L50"/>
  <c r="L51"/>
  <c r="L52"/>
  <c r="L53"/>
  <c r="L54"/>
  <c r="L55"/>
  <c r="L56"/>
  <c r="L57"/>
  <c r="L58"/>
  <c r="L59"/>
  <c r="L60"/>
  <c r="L61"/>
  <c r="M15"/>
  <c r="M16"/>
  <c r="M17"/>
  <c r="M18"/>
  <c r="M19"/>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14"/>
  <c r="Q14"/>
  <c r="P14"/>
  <c r="O14"/>
  <c r="N14"/>
  <c r="M14"/>
  <c r="L14"/>
  <c r="F1" i="9" l="1"/>
  <c r="J1" l="1"/>
  <c r="D8" i="31"/>
  <c r="A2" i="38"/>
  <c r="AL8" i="9" l="1"/>
  <c r="S15" i="31" s="1"/>
  <c r="AL10" i="9"/>
  <c r="S17" i="31" s="1"/>
  <c r="AL12" i="9"/>
  <c r="S19" i="31" s="1"/>
  <c r="AL14" i="9"/>
  <c r="S21" i="31" s="1"/>
  <c r="AL16" i="9"/>
  <c r="S23" i="31" s="1"/>
  <c r="AL18" i="9"/>
  <c r="AL20"/>
  <c r="S27" i="31" s="1"/>
  <c r="AL22" i="9"/>
  <c r="S29" i="31" s="1"/>
  <c r="AL24" i="9"/>
  <c r="S31" i="31" s="1"/>
  <c r="AL26" i="9"/>
  <c r="AL28"/>
  <c r="S35" i="31" s="1"/>
  <c r="AL30" i="9"/>
  <c r="S37" i="31" s="1"/>
  <c r="AL32" i="9"/>
  <c r="S39" i="31" s="1"/>
  <c r="AL34" i="9"/>
  <c r="S41" i="31" s="1"/>
  <c r="AL36" i="9"/>
  <c r="S43" i="31" s="1"/>
  <c r="AL38" i="9"/>
  <c r="S45" i="31" s="1"/>
  <c r="AL40" i="9"/>
  <c r="S47" i="31" s="1"/>
  <c r="AL42" i="9"/>
  <c r="AL44"/>
  <c r="S51" i="31" s="1"/>
  <c r="AL46" i="9"/>
  <c r="S53" i="31" s="1"/>
  <c r="AL48" i="9"/>
  <c r="S55" i="31" s="1"/>
  <c r="AL50" i="9"/>
  <c r="S57" i="31" s="1"/>
  <c r="AL52" i="9"/>
  <c r="S59" i="31" s="1"/>
  <c r="AL54" i="9"/>
  <c r="S61" i="31" s="1"/>
  <c r="AL7" i="9"/>
  <c r="AL9"/>
  <c r="AL11"/>
  <c r="S18" i="31" s="1"/>
  <c r="AL13" i="9"/>
  <c r="S20" i="31" s="1"/>
  <c r="AL15" i="9"/>
  <c r="S22" i="31" s="1"/>
  <c r="AL17" i="9"/>
  <c r="AL19"/>
  <c r="S26" i="31" s="1"/>
  <c r="AL21" i="9"/>
  <c r="S28" i="31" s="1"/>
  <c r="AL23" i="9"/>
  <c r="AL25"/>
  <c r="S32" i="31" s="1"/>
  <c r="AL27" i="9"/>
  <c r="S34" i="31" s="1"/>
  <c r="AL29" i="9"/>
  <c r="S36" i="31" s="1"/>
  <c r="AL31" i="9"/>
  <c r="AL33"/>
  <c r="S40" i="31" s="1"/>
  <c r="AL35" i="9"/>
  <c r="S42" i="31" s="1"/>
  <c r="AL37" i="9"/>
  <c r="S44" i="31" s="1"/>
  <c r="AL39" i="9"/>
  <c r="AL41"/>
  <c r="AL43"/>
  <c r="S50" i="31" s="1"/>
  <c r="AL45" i="9"/>
  <c r="S52" i="31" s="1"/>
  <c r="AL47" i="9"/>
  <c r="AL49"/>
  <c r="AL51"/>
  <c r="S58" i="31" s="1"/>
  <c r="AL53" i="9"/>
  <c r="S60" i="31" s="1"/>
  <c r="S14"/>
  <c r="S56"/>
  <c r="S54"/>
  <c r="S48"/>
  <c r="S46"/>
  <c r="S38"/>
  <c r="S30"/>
  <c r="S24"/>
  <c r="S16"/>
  <c r="S49"/>
  <c r="S33"/>
  <c r="S25"/>
  <c r="I54" i="9"/>
  <c r="K61" i="31" s="1"/>
  <c r="I52" i="9"/>
  <c r="K59" i="31" s="1"/>
  <c r="I50" i="9"/>
  <c r="K57" i="31" s="1"/>
  <c r="I48" i="9"/>
  <c r="K55" i="31" s="1"/>
  <c r="I46" i="9"/>
  <c r="K53" i="31" s="1"/>
  <c r="I44" i="9"/>
  <c r="K51" i="31" s="1"/>
  <c r="I42" i="9"/>
  <c r="K49" i="31" s="1"/>
  <c r="I40" i="9"/>
  <c r="K47" i="31" s="1"/>
  <c r="I38" i="9"/>
  <c r="K45" i="31" s="1"/>
  <c r="I36" i="9"/>
  <c r="K43" i="31" s="1"/>
  <c r="I34" i="9"/>
  <c r="K41" i="31" s="1"/>
  <c r="I32" i="9"/>
  <c r="K39" i="31" s="1"/>
  <c r="I30" i="9"/>
  <c r="K37" i="31" s="1"/>
  <c r="I28" i="9"/>
  <c r="K35" i="31" s="1"/>
  <c r="I26" i="9"/>
  <c r="K33" i="31" s="1"/>
  <c r="I24" i="9"/>
  <c r="K31" i="31" s="1"/>
  <c r="I22" i="9"/>
  <c r="K29" i="31" s="1"/>
  <c r="I20" i="9"/>
  <c r="K27" i="31" s="1"/>
  <c r="I18" i="9"/>
  <c r="K25" i="31" s="1"/>
  <c r="I16" i="9"/>
  <c r="K23" i="31" s="1"/>
  <c r="I14" i="9"/>
  <c r="K21" i="31" s="1"/>
  <c r="I12" i="9"/>
  <c r="K19" i="31" s="1"/>
  <c r="I10" i="9"/>
  <c r="K17" i="31" s="1"/>
  <c r="I8" i="9"/>
  <c r="K15" i="31" s="1"/>
  <c r="I53" i="9"/>
  <c r="K60" i="31" s="1"/>
  <c r="I51" i="9"/>
  <c r="K58" i="31" s="1"/>
  <c r="I49" i="9"/>
  <c r="K56" i="31" s="1"/>
  <c r="I47" i="9"/>
  <c r="K54" i="31" s="1"/>
  <c r="I45" i="9"/>
  <c r="K52" i="31" s="1"/>
  <c r="I43" i="9"/>
  <c r="K50" i="31" s="1"/>
  <c r="I41" i="9"/>
  <c r="K48" i="31" s="1"/>
  <c r="I39" i="9"/>
  <c r="K46" i="31" s="1"/>
  <c r="I37" i="9"/>
  <c r="K44" i="31" s="1"/>
  <c r="I35" i="9"/>
  <c r="K42" i="31" s="1"/>
  <c r="I33" i="9"/>
  <c r="K40" i="31" s="1"/>
  <c r="I31" i="9"/>
  <c r="K38" i="31" s="1"/>
  <c r="I29" i="9"/>
  <c r="K36" i="31" s="1"/>
  <c r="I27" i="9"/>
  <c r="K34" i="31" s="1"/>
  <c r="I25" i="9"/>
  <c r="K32" i="31" s="1"/>
  <c r="I23" i="9"/>
  <c r="K30" i="31" s="1"/>
  <c r="I21" i="9"/>
  <c r="K28" i="31" s="1"/>
  <c r="I19" i="9"/>
  <c r="K26" i="31" s="1"/>
  <c r="I17" i="9"/>
  <c r="K24" i="31" s="1"/>
  <c r="I15" i="9"/>
  <c r="K22" i="31" s="1"/>
  <c r="I13" i="9"/>
  <c r="K20" i="31" s="1"/>
  <c r="I11" i="9"/>
  <c r="K18" i="31" s="1"/>
  <c r="I9" i="9"/>
  <c r="K16" i="31" s="1"/>
  <c r="J14"/>
  <c r="I7" i="9"/>
  <c r="K14" i="31" s="1"/>
  <c r="D16" i="45"/>
  <c r="H25"/>
  <c r="F25"/>
  <c r="D25"/>
  <c r="H24"/>
  <c r="F24"/>
  <c r="D24"/>
  <c r="H23"/>
  <c r="F23"/>
  <c r="D23"/>
  <c r="H22"/>
  <c r="F22"/>
  <c r="D22"/>
  <c r="H21"/>
  <c r="F21"/>
  <c r="D21"/>
  <c r="H20"/>
  <c r="F20"/>
  <c r="D20"/>
  <c r="H19"/>
  <c r="F19"/>
  <c r="D19"/>
  <c r="H18"/>
  <c r="F18"/>
  <c r="D18"/>
  <c r="H17"/>
  <c r="F17"/>
  <c r="D17"/>
  <c r="H16"/>
  <c r="F16"/>
  <c r="J15"/>
  <c r="D25" i="44"/>
  <c r="D24"/>
  <c r="D23"/>
  <c r="D22"/>
  <c r="D21"/>
  <c r="D20"/>
  <c r="D19"/>
  <c r="D18"/>
  <c r="D17"/>
  <c r="D16"/>
  <c r="F25"/>
  <c r="F24"/>
  <c r="F23"/>
  <c r="F22"/>
  <c r="F21"/>
  <c r="F20"/>
  <c r="F19"/>
  <c r="F18"/>
  <c r="F17"/>
  <c r="F16"/>
  <c r="H25"/>
  <c r="H24"/>
  <c r="H23"/>
  <c r="H22"/>
  <c r="H21"/>
  <c r="H20"/>
  <c r="H19"/>
  <c r="H18"/>
  <c r="H17"/>
  <c r="H16"/>
  <c r="J15"/>
  <c r="J24" s="1"/>
  <c r="J19" l="1"/>
  <c r="L15"/>
  <c r="L24" s="1"/>
  <c r="J23"/>
  <c r="J21"/>
  <c r="J17"/>
  <c r="J25"/>
  <c r="L18"/>
  <c r="L23"/>
  <c r="J16"/>
  <c r="J18"/>
  <c r="J20"/>
  <c r="J22"/>
  <c r="J25" i="45"/>
  <c r="J23"/>
  <c r="J21"/>
  <c r="J19"/>
  <c r="J17"/>
  <c r="J24"/>
  <c r="J22"/>
  <c r="J20"/>
  <c r="J18"/>
  <c r="J16"/>
  <c r="L15"/>
  <c r="L19" i="44" l="1"/>
  <c r="L20"/>
  <c r="N15"/>
  <c r="N22" s="1"/>
  <c r="L22"/>
  <c r="L16"/>
  <c r="L21"/>
  <c r="L17"/>
  <c r="L25"/>
  <c r="N24"/>
  <c r="N20"/>
  <c r="N16"/>
  <c r="N21"/>
  <c r="N23"/>
  <c r="P15"/>
  <c r="L24" i="45"/>
  <c r="L22"/>
  <c r="L20"/>
  <c r="L18"/>
  <c r="L16"/>
  <c r="L25"/>
  <c r="L23"/>
  <c r="L21"/>
  <c r="L19"/>
  <c r="L17"/>
  <c r="N15"/>
  <c r="E37" i="18"/>
  <c r="E38"/>
  <c r="E39"/>
  <c r="E40"/>
  <c r="E41"/>
  <c r="E42"/>
  <c r="E43"/>
  <c r="E44"/>
  <c r="E45"/>
  <c r="E46"/>
  <c r="E47"/>
  <c r="E48"/>
  <c r="E49"/>
  <c r="E50"/>
  <c r="E51"/>
  <c r="E52"/>
  <c r="W9" i="34"/>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8"/>
  <c r="N19" i="44" l="1"/>
  <c r="N17"/>
  <c r="N25"/>
  <c r="N18"/>
  <c r="P24"/>
  <c r="P22"/>
  <c r="P20"/>
  <c r="P18"/>
  <c r="P16"/>
  <c r="R15"/>
  <c r="P23"/>
  <c r="P19"/>
  <c r="P25"/>
  <c r="P21"/>
  <c r="P17"/>
  <c r="N25" i="45"/>
  <c r="N23"/>
  <c r="N21"/>
  <c r="N19"/>
  <c r="N17"/>
  <c r="N24"/>
  <c r="N22"/>
  <c r="N20"/>
  <c r="N18"/>
  <c r="N16"/>
  <c r="P15"/>
  <c r="L2" i="16"/>
  <c r="DG14" i="30"/>
  <c r="CU14"/>
  <c r="CI14"/>
  <c r="BW14"/>
  <c r="BK14"/>
  <c r="AY14"/>
  <c r="AM14"/>
  <c r="AA14"/>
  <c r="O14"/>
  <c r="C14"/>
  <c r="F2" i="34"/>
  <c r="R24" i="44" l="1"/>
  <c r="R22"/>
  <c r="R20"/>
  <c r="R18"/>
  <c r="R16"/>
  <c r="R25"/>
  <c r="R21"/>
  <c r="R17"/>
  <c r="T15"/>
  <c r="R23"/>
  <c r="R19"/>
  <c r="P24" i="45"/>
  <c r="P22"/>
  <c r="P20"/>
  <c r="P18"/>
  <c r="P16"/>
  <c r="P25"/>
  <c r="P23"/>
  <c r="P21"/>
  <c r="P19"/>
  <c r="P17"/>
  <c r="R15"/>
  <c r="B59" i="31"/>
  <c r="C59"/>
  <c r="B60"/>
  <c r="C60"/>
  <c r="B61"/>
  <c r="C61"/>
  <c r="A59"/>
  <c r="A60"/>
  <c r="A61"/>
  <c r="BH2" i="16"/>
  <c r="AY2" i="17"/>
  <c r="BB2" i="16"/>
  <c r="AT2" i="17"/>
  <c r="AV2" i="16"/>
  <c r="AO2" i="17"/>
  <c r="AP2" i="16"/>
  <c r="AJ2" i="17"/>
  <c r="AJ2" i="16"/>
  <c r="AE2" i="17"/>
  <c r="AD2" i="16"/>
  <c r="Z2" i="17"/>
  <c r="X2" i="16"/>
  <c r="U2" i="17"/>
  <c r="R2" i="16"/>
  <c r="P2" i="17"/>
  <c r="K2"/>
  <c r="F2" i="16"/>
  <c r="F2" i="17"/>
  <c r="I8" i="31"/>
  <c r="D9"/>
  <c r="T24" i="44" l="1"/>
  <c r="T22"/>
  <c r="T20"/>
  <c r="T18"/>
  <c r="T16"/>
  <c r="V15"/>
  <c r="T23"/>
  <c r="T19"/>
  <c r="T25"/>
  <c r="T21"/>
  <c r="T17"/>
  <c r="R25" i="45"/>
  <c r="R23"/>
  <c r="R21"/>
  <c r="R19"/>
  <c r="R17"/>
  <c r="R24"/>
  <c r="R22"/>
  <c r="R20"/>
  <c r="R18"/>
  <c r="R16"/>
  <c r="T15"/>
  <c r="I2" i="30"/>
  <c r="I1"/>
  <c r="L5" i="29"/>
  <c r="A67"/>
  <c r="B67"/>
  <c r="A68"/>
  <c r="B68"/>
  <c r="A69"/>
  <c r="B69"/>
  <c r="V24" i="44" l="1"/>
  <c r="V22"/>
  <c r="V20"/>
  <c r="V18"/>
  <c r="V16"/>
  <c r="V25"/>
  <c r="V21"/>
  <c r="V17"/>
  <c r="V23"/>
  <c r="V19"/>
  <c r="X15"/>
  <c r="T24" i="45"/>
  <c r="T22"/>
  <c r="T20"/>
  <c r="T18"/>
  <c r="T16"/>
  <c r="T25"/>
  <c r="T23"/>
  <c r="T21"/>
  <c r="T19"/>
  <c r="T17"/>
  <c r="V15"/>
  <c r="R2" i="39"/>
  <c r="A1"/>
  <c r="X24" i="44" l="1"/>
  <c r="X22"/>
  <c r="X20"/>
  <c r="X18"/>
  <c r="X16"/>
  <c r="Z15"/>
  <c r="X25"/>
  <c r="X21"/>
  <c r="X17"/>
  <c r="X23"/>
  <c r="X19"/>
  <c r="V25" i="45"/>
  <c r="V23"/>
  <c r="V21"/>
  <c r="V19"/>
  <c r="V17"/>
  <c r="V24"/>
  <c r="V22"/>
  <c r="V20"/>
  <c r="V18"/>
  <c r="V16"/>
  <c r="X15"/>
  <c r="K2" i="40"/>
  <c r="A2"/>
  <c r="A1"/>
  <c r="D56"/>
  <c r="C56"/>
  <c r="B56"/>
  <c r="A56"/>
  <c r="D55"/>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55" i="39"/>
  <c r="C55"/>
  <c r="B55"/>
  <c r="A55"/>
  <c r="D54"/>
  <c r="C54"/>
  <c r="B54"/>
  <c r="A54"/>
  <c r="D53"/>
  <c r="C53"/>
  <c r="B53"/>
  <c r="A53"/>
  <c r="D52"/>
  <c r="C52"/>
  <c r="B52"/>
  <c r="A52"/>
  <c r="D51"/>
  <c r="C51"/>
  <c r="B51"/>
  <c r="A51"/>
  <c r="D50"/>
  <c r="C50"/>
  <c r="B50"/>
  <c r="A50"/>
  <c r="D49"/>
  <c r="C49"/>
  <c r="B49"/>
  <c r="A49"/>
  <c r="D48"/>
  <c r="C48"/>
  <c r="B48"/>
  <c r="A48"/>
  <c r="D47"/>
  <c r="C47"/>
  <c r="B47"/>
  <c r="A47"/>
  <c r="D46"/>
  <c r="C46"/>
  <c r="B46"/>
  <c r="A46"/>
  <c r="D45"/>
  <c r="C45"/>
  <c r="B45"/>
  <c r="A45"/>
  <c r="D44"/>
  <c r="C44"/>
  <c r="B44"/>
  <c r="A44"/>
  <c r="D43"/>
  <c r="C43"/>
  <c r="B43"/>
  <c r="A43"/>
  <c r="D42"/>
  <c r="C42"/>
  <c r="B42"/>
  <c r="A42"/>
  <c r="D41"/>
  <c r="C41"/>
  <c r="B41"/>
  <c r="A41"/>
  <c r="D40"/>
  <c r="C40"/>
  <c r="B40"/>
  <c r="A40"/>
  <c r="D39"/>
  <c r="C39"/>
  <c r="B39"/>
  <c r="A39"/>
  <c r="D38"/>
  <c r="C38"/>
  <c r="B38"/>
  <c r="A38"/>
  <c r="D37"/>
  <c r="C37"/>
  <c r="B37"/>
  <c r="A37"/>
  <c r="D36"/>
  <c r="C36"/>
  <c r="B36"/>
  <c r="A36"/>
  <c r="D35"/>
  <c r="C35"/>
  <c r="B35"/>
  <c r="A35"/>
  <c r="D34"/>
  <c r="C34"/>
  <c r="B34"/>
  <c r="A34"/>
  <c r="D33"/>
  <c r="C33"/>
  <c r="B33"/>
  <c r="A33"/>
  <c r="D32"/>
  <c r="C32"/>
  <c r="B32"/>
  <c r="A32"/>
  <c r="D31"/>
  <c r="C31"/>
  <c r="B31"/>
  <c r="A31"/>
  <c r="D30"/>
  <c r="C30"/>
  <c r="B30"/>
  <c r="A30"/>
  <c r="D29"/>
  <c r="C29"/>
  <c r="B29"/>
  <c r="A29"/>
  <c r="D28"/>
  <c r="C28"/>
  <c r="B28"/>
  <c r="A28"/>
  <c r="D27"/>
  <c r="C27"/>
  <c r="B27"/>
  <c r="A27"/>
  <c r="D26"/>
  <c r="C26"/>
  <c r="B26"/>
  <c r="A26"/>
  <c r="D25"/>
  <c r="C25"/>
  <c r="B25"/>
  <c r="A25"/>
  <c r="D24"/>
  <c r="C24"/>
  <c r="B24"/>
  <c r="A24"/>
  <c r="D23"/>
  <c r="C23"/>
  <c r="B23"/>
  <c r="A23"/>
  <c r="D22"/>
  <c r="C22"/>
  <c r="B22"/>
  <c r="A22"/>
  <c r="D21"/>
  <c r="C21"/>
  <c r="B21"/>
  <c r="A21"/>
  <c r="D20"/>
  <c r="C20"/>
  <c r="B20"/>
  <c r="A20"/>
  <c r="D19"/>
  <c r="C19"/>
  <c r="B19"/>
  <c r="A19"/>
  <c r="D18"/>
  <c r="C18"/>
  <c r="B18"/>
  <c r="A18"/>
  <c r="D17"/>
  <c r="C17"/>
  <c r="B17"/>
  <c r="A17"/>
  <c r="D16"/>
  <c r="C16"/>
  <c r="B16"/>
  <c r="A16"/>
  <c r="D15"/>
  <c r="C15"/>
  <c r="B15"/>
  <c r="A15"/>
  <c r="D14"/>
  <c r="C14"/>
  <c r="B14"/>
  <c r="A14"/>
  <c r="D13"/>
  <c r="C13"/>
  <c r="B13"/>
  <c r="A13"/>
  <c r="D12"/>
  <c r="C12"/>
  <c r="B12"/>
  <c r="A12"/>
  <c r="D11"/>
  <c r="C11"/>
  <c r="B11"/>
  <c r="A11"/>
  <c r="D10"/>
  <c r="C10"/>
  <c r="B10"/>
  <c r="A10"/>
  <c r="D9"/>
  <c r="C9"/>
  <c r="B9"/>
  <c r="A9"/>
  <c r="D8"/>
  <c r="C8"/>
  <c r="B8"/>
  <c r="A8"/>
  <c r="E10" i="4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5" i="38"/>
  <c r="E9" i="40"/>
  <c r="A1" i="38"/>
  <c r="D55"/>
  <c r="C55"/>
  <c r="B55"/>
  <c r="A55"/>
  <c r="E54"/>
  <c r="D54"/>
  <c r="C54"/>
  <c r="B54"/>
  <c r="A54"/>
  <c r="E53"/>
  <c r="D53"/>
  <c r="C53"/>
  <c r="B53"/>
  <c r="A53"/>
  <c r="E52"/>
  <c r="D52"/>
  <c r="C52"/>
  <c r="B52"/>
  <c r="A52"/>
  <c r="E51"/>
  <c r="D51"/>
  <c r="C51"/>
  <c r="B51"/>
  <c r="A51"/>
  <c r="E50"/>
  <c r="D50"/>
  <c r="C50"/>
  <c r="B50"/>
  <c r="A50"/>
  <c r="E49"/>
  <c r="D49"/>
  <c r="C49"/>
  <c r="B49"/>
  <c r="A49"/>
  <c r="E48"/>
  <c r="D48"/>
  <c r="C48"/>
  <c r="B48"/>
  <c r="A48"/>
  <c r="E47"/>
  <c r="D47"/>
  <c r="C47"/>
  <c r="B47"/>
  <c r="A47"/>
  <c r="E46"/>
  <c r="D46"/>
  <c r="C46"/>
  <c r="B46"/>
  <c r="A46"/>
  <c r="E45"/>
  <c r="D45"/>
  <c r="C45"/>
  <c r="B45"/>
  <c r="A45"/>
  <c r="E44"/>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Z24" i="44" l="1"/>
  <c r="Z22"/>
  <c r="Z20"/>
  <c r="Z18"/>
  <c r="Z16"/>
  <c r="Z23"/>
  <c r="Z19"/>
  <c r="AB15"/>
  <c r="Z25"/>
  <c r="Z21"/>
  <c r="Z17"/>
  <c r="X24" i="45"/>
  <c r="X22"/>
  <c r="X20"/>
  <c r="X18"/>
  <c r="X16"/>
  <c r="X25"/>
  <c r="X23"/>
  <c r="X21"/>
  <c r="X19"/>
  <c r="X17"/>
  <c r="Z15"/>
  <c r="E8" i="39"/>
  <c r="E10"/>
  <c r="E12"/>
  <c r="E14"/>
  <c r="E16"/>
  <c r="E18"/>
  <c r="E20"/>
  <c r="E22"/>
  <c r="E24"/>
  <c r="E26"/>
  <c r="E28"/>
  <c r="E30"/>
  <c r="E32"/>
  <c r="E34"/>
  <c r="E36"/>
  <c r="E38"/>
  <c r="E40"/>
  <c r="E42"/>
  <c r="E44"/>
  <c r="E46"/>
  <c r="E48"/>
  <c r="E50"/>
  <c r="E52"/>
  <c r="E54"/>
  <c r="E9"/>
  <c r="E11"/>
  <c r="E13"/>
  <c r="E15"/>
  <c r="E17"/>
  <c r="E19"/>
  <c r="E21"/>
  <c r="E23"/>
  <c r="E25"/>
  <c r="E27"/>
  <c r="E29"/>
  <c r="E31"/>
  <c r="E33"/>
  <c r="E35"/>
  <c r="E37"/>
  <c r="E39"/>
  <c r="E41"/>
  <c r="E43"/>
  <c r="E45"/>
  <c r="E47"/>
  <c r="E49"/>
  <c r="E51"/>
  <c r="E53"/>
  <c r="E55"/>
  <c r="E56" i="40"/>
  <c r="AB24" i="44" l="1"/>
  <c r="AB22"/>
  <c r="AB20"/>
  <c r="AB18"/>
  <c r="AB16"/>
  <c r="AD15"/>
  <c r="AB23"/>
  <c r="AB19"/>
  <c r="AB25"/>
  <c r="AB21"/>
  <c r="AB17"/>
  <c r="Z25" i="45"/>
  <c r="Z23"/>
  <c r="Z21"/>
  <c r="Z19"/>
  <c r="Z17"/>
  <c r="Z24"/>
  <c r="Z22"/>
  <c r="Z20"/>
  <c r="Z18"/>
  <c r="Z16"/>
  <c r="AB15"/>
  <c r="AY52" i="23"/>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AY52" i="37"/>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8"/>
  <c r="F8"/>
  <c r="E8"/>
  <c r="D8"/>
  <c r="E8" i="36"/>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G52"/>
  <c r="F52"/>
  <c r="E52"/>
  <c r="D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G46"/>
  <c r="F46"/>
  <c r="E46"/>
  <c r="D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G40"/>
  <c r="F40"/>
  <c r="E40"/>
  <c r="D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G35"/>
  <c r="F35"/>
  <c r="E35"/>
  <c r="D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G29"/>
  <c r="F29"/>
  <c r="E29"/>
  <c r="D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G23"/>
  <c r="F23"/>
  <c r="E23"/>
  <c r="D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G14"/>
  <c r="F14"/>
  <c r="E14"/>
  <c r="D14"/>
  <c r="E46" i="21"/>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D46"/>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D40"/>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D3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D29"/>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D23"/>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D17"/>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D8"/>
  <c r="F3" i="34"/>
  <c r="A48"/>
  <c r="A49"/>
  <c r="A50"/>
  <c r="A51"/>
  <c r="A52"/>
  <c r="A53"/>
  <c r="A54"/>
  <c r="A55"/>
  <c r="B48"/>
  <c r="B49"/>
  <c r="B50"/>
  <c r="B51"/>
  <c r="B52"/>
  <c r="B53"/>
  <c r="B54"/>
  <c r="B55"/>
  <c r="AD24" i="44" l="1"/>
  <c r="AD22"/>
  <c r="AD20"/>
  <c r="AD18"/>
  <c r="AD16"/>
  <c r="AD25"/>
  <c r="AD21"/>
  <c r="AD17"/>
  <c r="AD23"/>
  <c r="AD19"/>
  <c r="AF15"/>
  <c r="AB24" i="45"/>
  <c r="AB22"/>
  <c r="AB20"/>
  <c r="AB18"/>
  <c r="AB16"/>
  <c r="AB25"/>
  <c r="AB23"/>
  <c r="AB21"/>
  <c r="AB19"/>
  <c r="AB17"/>
  <c r="AD15"/>
  <c r="AF24" i="44" l="1"/>
  <c r="AF22"/>
  <c r="AF20"/>
  <c r="AF18"/>
  <c r="AF16"/>
  <c r="AH15"/>
  <c r="AF23"/>
  <c r="AF19"/>
  <c r="AF25"/>
  <c r="AF21"/>
  <c r="AF17"/>
  <c r="AD25" i="45"/>
  <c r="AD23"/>
  <c r="AD21"/>
  <c r="AD19"/>
  <c r="AD17"/>
  <c r="AD24"/>
  <c r="AD22"/>
  <c r="AD20"/>
  <c r="AD18"/>
  <c r="AD16"/>
  <c r="AF15"/>
  <c r="AY7" i="27"/>
  <c r="AX7"/>
  <c r="AW7"/>
  <c r="AV7"/>
  <c r="AU7"/>
  <c r="AT7"/>
  <c r="AS7"/>
  <c r="AR7"/>
  <c r="AQ7"/>
  <c r="AP7"/>
  <c r="AO7"/>
  <c r="AN7"/>
  <c r="AM7"/>
  <c r="AL7"/>
  <c r="AK7"/>
  <c r="AJ7"/>
  <c r="AI7"/>
  <c r="AH7"/>
  <c r="AG7"/>
  <c r="AF7"/>
  <c r="AE7"/>
  <c r="AD7"/>
  <c r="AC7"/>
  <c r="AB7"/>
  <c r="AA7"/>
  <c r="Z7"/>
  <c r="Y7"/>
  <c r="X7"/>
  <c r="W7"/>
  <c r="V7"/>
  <c r="U7"/>
  <c r="T7"/>
  <c r="S7"/>
  <c r="R7"/>
  <c r="Q7"/>
  <c r="P7"/>
  <c r="O7"/>
  <c r="N7"/>
  <c r="M7"/>
  <c r="L7"/>
  <c r="K7"/>
  <c r="J7"/>
  <c r="I7"/>
  <c r="H7"/>
  <c r="G7"/>
  <c r="F7"/>
  <c r="E7"/>
  <c r="AY6"/>
  <c r="AX6"/>
  <c r="AW6"/>
  <c r="AV6"/>
  <c r="AU6"/>
  <c r="AT6"/>
  <c r="AS6"/>
  <c r="AR6"/>
  <c r="AQ6"/>
  <c r="AP6"/>
  <c r="AO6"/>
  <c r="AN6"/>
  <c r="AM6"/>
  <c r="AL6"/>
  <c r="AK6"/>
  <c r="AJ6"/>
  <c r="AI6"/>
  <c r="AH6"/>
  <c r="AG6"/>
  <c r="AF6"/>
  <c r="AE6"/>
  <c r="AD6"/>
  <c r="AC6"/>
  <c r="AB6"/>
  <c r="AA6"/>
  <c r="Z6"/>
  <c r="Y6"/>
  <c r="X6"/>
  <c r="W6"/>
  <c r="V6"/>
  <c r="U6"/>
  <c r="T6"/>
  <c r="S6"/>
  <c r="R6"/>
  <c r="Q6"/>
  <c r="P6"/>
  <c r="O6"/>
  <c r="N6"/>
  <c r="M6"/>
  <c r="L6"/>
  <c r="K6"/>
  <c r="J6"/>
  <c r="I6"/>
  <c r="H6"/>
  <c r="G6"/>
  <c r="F6"/>
  <c r="E6"/>
  <c r="AY5"/>
  <c r="AX5"/>
  <c r="AW5"/>
  <c r="AV5"/>
  <c r="AU5"/>
  <c r="AT5"/>
  <c r="AS5"/>
  <c r="AR5"/>
  <c r="AQ5"/>
  <c r="AP5"/>
  <c r="AO5"/>
  <c r="AN5"/>
  <c r="AM5"/>
  <c r="AL5"/>
  <c r="AK5"/>
  <c r="AJ5"/>
  <c r="AI5"/>
  <c r="AH5"/>
  <c r="AG5"/>
  <c r="AF5"/>
  <c r="AE5"/>
  <c r="AD5"/>
  <c r="AC5"/>
  <c r="AB5"/>
  <c r="AA5"/>
  <c r="Z5"/>
  <c r="Y5"/>
  <c r="X5"/>
  <c r="W5"/>
  <c r="V5"/>
  <c r="U5"/>
  <c r="T5"/>
  <c r="S5"/>
  <c r="R5"/>
  <c r="Q5"/>
  <c r="P5"/>
  <c r="O5"/>
  <c r="N5"/>
  <c r="M5"/>
  <c r="L5"/>
  <c r="K5"/>
  <c r="J5"/>
  <c r="I5"/>
  <c r="H5"/>
  <c r="G5"/>
  <c r="F5"/>
  <c r="E5"/>
  <c r="AY4"/>
  <c r="AX4"/>
  <c r="AW4"/>
  <c r="AV4"/>
  <c r="AU4"/>
  <c r="AT4"/>
  <c r="AS4"/>
  <c r="AR4"/>
  <c r="AQ4"/>
  <c r="AP4"/>
  <c r="AO4"/>
  <c r="AN4"/>
  <c r="AM4"/>
  <c r="AL4"/>
  <c r="AK4"/>
  <c r="AJ4"/>
  <c r="AI4"/>
  <c r="AH4"/>
  <c r="AG4"/>
  <c r="AF4"/>
  <c r="AE4"/>
  <c r="AD4"/>
  <c r="AC4"/>
  <c r="AB4"/>
  <c r="AA4"/>
  <c r="Z4"/>
  <c r="Y4"/>
  <c r="X4"/>
  <c r="W4"/>
  <c r="V4"/>
  <c r="U4"/>
  <c r="T4"/>
  <c r="S4"/>
  <c r="R4"/>
  <c r="Q4"/>
  <c r="P4"/>
  <c r="O4"/>
  <c r="N4"/>
  <c r="M4"/>
  <c r="L4"/>
  <c r="K4"/>
  <c r="J4"/>
  <c r="I4"/>
  <c r="H4"/>
  <c r="G4"/>
  <c r="F4"/>
  <c r="E4"/>
  <c r="AY3"/>
  <c r="AX3"/>
  <c r="AW3"/>
  <c r="AV3"/>
  <c r="AU3"/>
  <c r="AT3"/>
  <c r="AS3"/>
  <c r="AR3"/>
  <c r="AQ3"/>
  <c r="AP3"/>
  <c r="AO3"/>
  <c r="AN3"/>
  <c r="AM3"/>
  <c r="AL3"/>
  <c r="AK3"/>
  <c r="AJ3"/>
  <c r="AI3"/>
  <c r="AH3"/>
  <c r="AG3"/>
  <c r="AF3"/>
  <c r="AE3"/>
  <c r="AD3"/>
  <c r="AC3"/>
  <c r="AB3"/>
  <c r="AA3"/>
  <c r="Z3"/>
  <c r="Y3"/>
  <c r="X3"/>
  <c r="W3"/>
  <c r="V3"/>
  <c r="U3"/>
  <c r="T3"/>
  <c r="S3"/>
  <c r="R3"/>
  <c r="Q3"/>
  <c r="P3"/>
  <c r="O3"/>
  <c r="N3"/>
  <c r="M3"/>
  <c r="L3"/>
  <c r="K3"/>
  <c r="J3"/>
  <c r="I3"/>
  <c r="H3"/>
  <c r="G3"/>
  <c r="F3"/>
  <c r="E3"/>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M51"/>
  <c r="L51"/>
  <c r="K51"/>
  <c r="J51"/>
  <c r="I51"/>
  <c r="H51"/>
  <c r="G51"/>
  <c r="F51"/>
  <c r="E51"/>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M50"/>
  <c r="L50"/>
  <c r="K50"/>
  <c r="J50"/>
  <c r="I50"/>
  <c r="H50"/>
  <c r="G50"/>
  <c r="F50"/>
  <c r="E50"/>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M49"/>
  <c r="L49"/>
  <c r="K49"/>
  <c r="J49"/>
  <c r="I49"/>
  <c r="H49"/>
  <c r="G49"/>
  <c r="F49"/>
  <c r="E49"/>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M48"/>
  <c r="L48"/>
  <c r="K48"/>
  <c r="J48"/>
  <c r="I48"/>
  <c r="H48"/>
  <c r="G48"/>
  <c r="F48"/>
  <c r="E48"/>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M47"/>
  <c r="L47"/>
  <c r="K47"/>
  <c r="J47"/>
  <c r="I47"/>
  <c r="H47"/>
  <c r="G47"/>
  <c r="F47"/>
  <c r="E47"/>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M45"/>
  <c r="L45"/>
  <c r="K45"/>
  <c r="J45"/>
  <c r="I45"/>
  <c r="H45"/>
  <c r="G45"/>
  <c r="F45"/>
  <c r="E45"/>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M44"/>
  <c r="L44"/>
  <c r="K44"/>
  <c r="J44"/>
  <c r="I44"/>
  <c r="H44"/>
  <c r="G44"/>
  <c r="F44"/>
  <c r="E44"/>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M43"/>
  <c r="L43"/>
  <c r="K43"/>
  <c r="J43"/>
  <c r="I43"/>
  <c r="H43"/>
  <c r="G43"/>
  <c r="F43"/>
  <c r="E43"/>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M42"/>
  <c r="L42"/>
  <c r="K42"/>
  <c r="J42"/>
  <c r="I42"/>
  <c r="H42"/>
  <c r="G42"/>
  <c r="F42"/>
  <c r="E42"/>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M41"/>
  <c r="L41"/>
  <c r="K41"/>
  <c r="J41"/>
  <c r="I41"/>
  <c r="H41"/>
  <c r="G41"/>
  <c r="F41"/>
  <c r="E41"/>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M39"/>
  <c r="L39"/>
  <c r="K39"/>
  <c r="J39"/>
  <c r="I39"/>
  <c r="H39"/>
  <c r="G39"/>
  <c r="F39"/>
  <c r="E39"/>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M38"/>
  <c r="L38"/>
  <c r="K38"/>
  <c r="J38"/>
  <c r="I38"/>
  <c r="H38"/>
  <c r="G38"/>
  <c r="F38"/>
  <c r="E38"/>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M37"/>
  <c r="L37"/>
  <c r="K37"/>
  <c r="J37"/>
  <c r="I37"/>
  <c r="H37"/>
  <c r="G37"/>
  <c r="F37"/>
  <c r="E37"/>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M36"/>
  <c r="L36"/>
  <c r="K36"/>
  <c r="J36"/>
  <c r="I36"/>
  <c r="H36"/>
  <c r="G36"/>
  <c r="F36"/>
  <c r="E36"/>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M34"/>
  <c r="L34"/>
  <c r="K34"/>
  <c r="J34"/>
  <c r="I34"/>
  <c r="H34"/>
  <c r="G34"/>
  <c r="F34"/>
  <c r="E34"/>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M33"/>
  <c r="L33"/>
  <c r="K33"/>
  <c r="J33"/>
  <c r="I33"/>
  <c r="H33"/>
  <c r="G33"/>
  <c r="F33"/>
  <c r="E33"/>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M32"/>
  <c r="L32"/>
  <c r="K32"/>
  <c r="J32"/>
  <c r="I32"/>
  <c r="H32"/>
  <c r="G32"/>
  <c r="F32"/>
  <c r="E32"/>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M31"/>
  <c r="L31"/>
  <c r="K31"/>
  <c r="J31"/>
  <c r="I31"/>
  <c r="H31"/>
  <c r="G31"/>
  <c r="F31"/>
  <c r="E31"/>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M30"/>
  <c r="L30"/>
  <c r="K30"/>
  <c r="J30"/>
  <c r="I30"/>
  <c r="H30"/>
  <c r="G30"/>
  <c r="F30"/>
  <c r="E30"/>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M28"/>
  <c r="L28"/>
  <c r="K28"/>
  <c r="J28"/>
  <c r="I28"/>
  <c r="H28"/>
  <c r="G28"/>
  <c r="F28"/>
  <c r="E28"/>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M27"/>
  <c r="L27"/>
  <c r="K27"/>
  <c r="J27"/>
  <c r="I27"/>
  <c r="H27"/>
  <c r="G27"/>
  <c r="F27"/>
  <c r="E27"/>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M26"/>
  <c r="L26"/>
  <c r="K26"/>
  <c r="J26"/>
  <c r="I26"/>
  <c r="H26"/>
  <c r="G26"/>
  <c r="F26"/>
  <c r="E26"/>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M25"/>
  <c r="L25"/>
  <c r="K25"/>
  <c r="J25"/>
  <c r="I25"/>
  <c r="H25"/>
  <c r="G25"/>
  <c r="F25"/>
  <c r="E25"/>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M24"/>
  <c r="L24"/>
  <c r="K24"/>
  <c r="J24"/>
  <c r="I24"/>
  <c r="H24"/>
  <c r="G24"/>
  <c r="F24"/>
  <c r="E24"/>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M22"/>
  <c r="L22"/>
  <c r="K22"/>
  <c r="J22"/>
  <c r="I22"/>
  <c r="H22"/>
  <c r="G22"/>
  <c r="F22"/>
  <c r="E22"/>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M21"/>
  <c r="L21"/>
  <c r="K21"/>
  <c r="J21"/>
  <c r="I21"/>
  <c r="H21"/>
  <c r="G21"/>
  <c r="F21"/>
  <c r="E21"/>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M20"/>
  <c r="L20"/>
  <c r="K20"/>
  <c r="J20"/>
  <c r="I20"/>
  <c r="H20"/>
  <c r="G20"/>
  <c r="F20"/>
  <c r="E20"/>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M19"/>
  <c r="L19"/>
  <c r="K19"/>
  <c r="J19"/>
  <c r="I19"/>
  <c r="H19"/>
  <c r="G19"/>
  <c r="F19"/>
  <c r="E19"/>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M18"/>
  <c r="L18"/>
  <c r="K18"/>
  <c r="J18"/>
  <c r="I18"/>
  <c r="H18"/>
  <c r="G18"/>
  <c r="F18"/>
  <c r="E18"/>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M17"/>
  <c r="L17"/>
  <c r="K17"/>
  <c r="J17"/>
  <c r="I17"/>
  <c r="H17"/>
  <c r="G17"/>
  <c r="F17"/>
  <c r="E17"/>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M16"/>
  <c r="L16"/>
  <c r="K16"/>
  <c r="J16"/>
  <c r="I16"/>
  <c r="H16"/>
  <c r="G16"/>
  <c r="F16"/>
  <c r="E16"/>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M15"/>
  <c r="L15"/>
  <c r="K15"/>
  <c r="J15"/>
  <c r="I15"/>
  <c r="H15"/>
  <c r="G15"/>
  <c r="F15"/>
  <c r="E15"/>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M13"/>
  <c r="L13"/>
  <c r="K13"/>
  <c r="J13"/>
  <c r="I13"/>
  <c r="H13"/>
  <c r="G13"/>
  <c r="F13"/>
  <c r="E13"/>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M12"/>
  <c r="L12"/>
  <c r="K12"/>
  <c r="J12"/>
  <c r="I12"/>
  <c r="H12"/>
  <c r="G12"/>
  <c r="F12"/>
  <c r="E12"/>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M11"/>
  <c r="L11"/>
  <c r="K11"/>
  <c r="J11"/>
  <c r="I11"/>
  <c r="H11"/>
  <c r="G11"/>
  <c r="F11"/>
  <c r="E11"/>
  <c r="AY10"/>
  <c r="AX10"/>
  <c r="AW10"/>
  <c r="AV10"/>
  <c r="AU10"/>
  <c r="AT10"/>
  <c r="AS10"/>
  <c r="AR10"/>
  <c r="AQ10"/>
  <c r="AP10"/>
  <c r="AO10"/>
  <c r="AN10"/>
  <c r="AM10"/>
  <c r="AL10"/>
  <c r="AK10"/>
  <c r="AJ10"/>
  <c r="AI10"/>
  <c r="AH10"/>
  <c r="AG10"/>
  <c r="AF10"/>
  <c r="AE10"/>
  <c r="AD10"/>
  <c r="AC10"/>
  <c r="AB10"/>
  <c r="AA10"/>
  <c r="Z10"/>
  <c r="Y10"/>
  <c r="X10"/>
  <c r="W10"/>
  <c r="V10"/>
  <c r="U10"/>
  <c r="T10"/>
  <c r="S10"/>
  <c r="R10"/>
  <c r="Q10"/>
  <c r="P10"/>
  <c r="O10"/>
  <c r="N10"/>
  <c r="M10"/>
  <c r="L10"/>
  <c r="K10"/>
  <c r="J10"/>
  <c r="I10"/>
  <c r="H10"/>
  <c r="G10"/>
  <c r="F10"/>
  <c r="E10"/>
  <c r="AY9"/>
  <c r="AX9"/>
  <c r="AW9"/>
  <c r="AV9"/>
  <c r="AU9"/>
  <c r="AT9"/>
  <c r="AS9"/>
  <c r="AR9"/>
  <c r="AQ9"/>
  <c r="AP9"/>
  <c r="AO9"/>
  <c r="AN9"/>
  <c r="AM9"/>
  <c r="AL9"/>
  <c r="AK9"/>
  <c r="AJ9"/>
  <c r="AI9"/>
  <c r="AH9"/>
  <c r="AG9"/>
  <c r="AF9"/>
  <c r="AE9"/>
  <c r="AD9"/>
  <c r="AC9"/>
  <c r="AB9"/>
  <c r="AA9"/>
  <c r="Z9"/>
  <c r="Y9"/>
  <c r="X9"/>
  <c r="W9"/>
  <c r="V9"/>
  <c r="U9"/>
  <c r="T9"/>
  <c r="S9"/>
  <c r="R9"/>
  <c r="Q9"/>
  <c r="P9"/>
  <c r="O9"/>
  <c r="N9"/>
  <c r="M9"/>
  <c r="L9"/>
  <c r="K9"/>
  <c r="J9"/>
  <c r="I9"/>
  <c r="H9"/>
  <c r="G9"/>
  <c r="F9"/>
  <c r="E9"/>
  <c r="D51"/>
  <c r="D50"/>
  <c r="D49"/>
  <c r="D48"/>
  <c r="D47"/>
  <c r="D45"/>
  <c r="D44"/>
  <c r="D43"/>
  <c r="D42"/>
  <c r="D41"/>
  <c r="D39"/>
  <c r="D38"/>
  <c r="D37"/>
  <c r="D36"/>
  <c r="D34"/>
  <c r="D33"/>
  <c r="D32"/>
  <c r="D31"/>
  <c r="D30"/>
  <c r="D28"/>
  <c r="D27"/>
  <c r="D26"/>
  <c r="D25"/>
  <c r="D24"/>
  <c r="D22"/>
  <c r="D21"/>
  <c r="D20"/>
  <c r="D19"/>
  <c r="D18"/>
  <c r="D17"/>
  <c r="D16"/>
  <c r="D15"/>
  <c r="D10"/>
  <c r="D11"/>
  <c r="D12"/>
  <c r="D13"/>
  <c r="D9"/>
  <c r="D7"/>
  <c r="D6"/>
  <c r="D5"/>
  <c r="D4"/>
  <c r="D3"/>
  <c r="AH24" i="44" l="1"/>
  <c r="AH22"/>
  <c r="AH20"/>
  <c r="AH18"/>
  <c r="AH16"/>
  <c r="AH25"/>
  <c r="AH21"/>
  <c r="AH17"/>
  <c r="AJ15"/>
  <c r="AH23"/>
  <c r="AH19"/>
  <c r="AF24" i="45"/>
  <c r="AF22"/>
  <c r="AF20"/>
  <c r="AF18"/>
  <c r="AF16"/>
  <c r="AF25"/>
  <c r="AF23"/>
  <c r="AF21"/>
  <c r="AF19"/>
  <c r="AF17"/>
  <c r="AH15"/>
  <c r="F52" i="27"/>
  <c r="H52"/>
  <c r="J52"/>
  <c r="L52"/>
  <c r="N52"/>
  <c r="P52"/>
  <c r="R52"/>
  <c r="T52"/>
  <c r="V52"/>
  <c r="X52"/>
  <c r="Z52"/>
  <c r="AB52"/>
  <c r="AD52"/>
  <c r="AF52"/>
  <c r="AH52"/>
  <c r="AJ52"/>
  <c r="AL52"/>
  <c r="AN52"/>
  <c r="AP52"/>
  <c r="AR52"/>
  <c r="AT52"/>
  <c r="AV52"/>
  <c r="AX52"/>
  <c r="D46"/>
  <c r="D29"/>
  <c r="F35"/>
  <c r="H35"/>
  <c r="J35"/>
  <c r="L35"/>
  <c r="N35"/>
  <c r="P35"/>
  <c r="R35"/>
  <c r="T35"/>
  <c r="V35"/>
  <c r="X35"/>
  <c r="Z35"/>
  <c r="AB35"/>
  <c r="AD35"/>
  <c r="AF35"/>
  <c r="AH35"/>
  <c r="AJ35"/>
  <c r="AL35"/>
  <c r="AN35"/>
  <c r="AP35"/>
  <c r="AR35"/>
  <c r="AT35"/>
  <c r="AV35"/>
  <c r="AX35"/>
  <c r="E40"/>
  <c r="G40"/>
  <c r="I40"/>
  <c r="K40"/>
  <c r="M40"/>
  <c r="O40"/>
  <c r="Q40"/>
  <c r="S40"/>
  <c r="U40"/>
  <c r="W40"/>
  <c r="Y40"/>
  <c r="AA40"/>
  <c r="AC40"/>
  <c r="AE40"/>
  <c r="AG40"/>
  <c r="AI40"/>
  <c r="AK40"/>
  <c r="AM40"/>
  <c r="AO40"/>
  <c r="AQ40"/>
  <c r="AS40"/>
  <c r="AU40"/>
  <c r="AW40"/>
  <c r="AY40"/>
  <c r="E46"/>
  <c r="G46"/>
  <c r="I46"/>
  <c r="K46"/>
  <c r="M46"/>
  <c r="O46"/>
  <c r="Q46"/>
  <c r="S46"/>
  <c r="U46"/>
  <c r="W46"/>
  <c r="Y46"/>
  <c r="AA46"/>
  <c r="AC46"/>
  <c r="AE46"/>
  <c r="AG46"/>
  <c r="AI46"/>
  <c r="AK46"/>
  <c r="AM46"/>
  <c r="AO46"/>
  <c r="AQ46"/>
  <c r="AS46"/>
  <c r="AU46"/>
  <c r="AW46"/>
  <c r="AY46"/>
  <c r="E8"/>
  <c r="G8"/>
  <c r="I8"/>
  <c r="K8"/>
  <c r="M8"/>
  <c r="O8"/>
  <c r="Q8"/>
  <c r="S8"/>
  <c r="U8"/>
  <c r="W8"/>
  <c r="Y8"/>
  <c r="AA8"/>
  <c r="AC8"/>
  <c r="AE8"/>
  <c r="AG8"/>
  <c r="AI8"/>
  <c r="AK8"/>
  <c r="AM8"/>
  <c r="AO8"/>
  <c r="AQ8"/>
  <c r="AS8"/>
  <c r="AU8"/>
  <c r="AW8"/>
  <c r="AY8"/>
  <c r="D14"/>
  <c r="D23"/>
  <c r="D40"/>
  <c r="D52"/>
  <c r="E14"/>
  <c r="G14"/>
  <c r="I14"/>
  <c r="K14"/>
  <c r="M14"/>
  <c r="O14"/>
  <c r="Q14"/>
  <c r="S14"/>
  <c r="U14"/>
  <c r="W14"/>
  <c r="Y14"/>
  <c r="AA14"/>
  <c r="AC14"/>
  <c r="AE14"/>
  <c r="AG14"/>
  <c r="AI14"/>
  <c r="AK14"/>
  <c r="AM14"/>
  <c r="AO14"/>
  <c r="AQ14"/>
  <c r="AS14"/>
  <c r="AU14"/>
  <c r="AW14"/>
  <c r="AY14"/>
  <c r="F23"/>
  <c r="H23"/>
  <c r="J23"/>
  <c r="L23"/>
  <c r="N23"/>
  <c r="P23"/>
  <c r="R23"/>
  <c r="T23"/>
  <c r="V23"/>
  <c r="X23"/>
  <c r="Z23"/>
  <c r="AB23"/>
  <c r="AD23"/>
  <c r="AF23"/>
  <c r="AH23"/>
  <c r="AJ23"/>
  <c r="AL23"/>
  <c r="AN23"/>
  <c r="AP23"/>
  <c r="AR23"/>
  <c r="AT23"/>
  <c r="AV23"/>
  <c r="AX23"/>
  <c r="F29"/>
  <c r="H29"/>
  <c r="J29"/>
  <c r="L29"/>
  <c r="N29"/>
  <c r="P29"/>
  <c r="R29"/>
  <c r="T29"/>
  <c r="V29"/>
  <c r="X29"/>
  <c r="Z29"/>
  <c r="AB29"/>
  <c r="AD29"/>
  <c r="AF29"/>
  <c r="AH29"/>
  <c r="AJ29"/>
  <c r="AL29"/>
  <c r="AN29"/>
  <c r="AP29"/>
  <c r="AR29"/>
  <c r="AT29"/>
  <c r="AV29"/>
  <c r="AX29"/>
  <c r="E35"/>
  <c r="G35"/>
  <c r="I35"/>
  <c r="K35"/>
  <c r="M35"/>
  <c r="O35"/>
  <c r="Q35"/>
  <c r="S35"/>
  <c r="U35"/>
  <c r="W35"/>
  <c r="Y35"/>
  <c r="AA35"/>
  <c r="AC35"/>
  <c r="AE35"/>
  <c r="AG35"/>
  <c r="AI35"/>
  <c r="AK35"/>
  <c r="AM35"/>
  <c r="AO35"/>
  <c r="AQ35"/>
  <c r="AS35"/>
  <c r="AU35"/>
  <c r="AW35"/>
  <c r="AY35"/>
  <c r="F40"/>
  <c r="H40"/>
  <c r="J40"/>
  <c r="L40"/>
  <c r="N40"/>
  <c r="P40"/>
  <c r="R40"/>
  <c r="T40"/>
  <c r="V40"/>
  <c r="X40"/>
  <c r="Z40"/>
  <c r="AB40"/>
  <c r="AD40"/>
  <c r="AF40"/>
  <c r="AH40"/>
  <c r="AJ40"/>
  <c r="AL40"/>
  <c r="AN40"/>
  <c r="AP40"/>
  <c r="AR40"/>
  <c r="AT40"/>
  <c r="AV40"/>
  <c r="AX40"/>
  <c r="F46"/>
  <c r="H46"/>
  <c r="J46"/>
  <c r="L46"/>
  <c r="N46"/>
  <c r="P46"/>
  <c r="R46"/>
  <c r="T46"/>
  <c r="V46"/>
  <c r="X46"/>
  <c r="Z46"/>
  <c r="AB46"/>
  <c r="AD46"/>
  <c r="AF46"/>
  <c r="AH46"/>
  <c r="AJ46"/>
  <c r="AL46"/>
  <c r="AN46"/>
  <c r="AP46"/>
  <c r="AR46"/>
  <c r="AT46"/>
  <c r="AV46"/>
  <c r="AX46"/>
  <c r="E52"/>
  <c r="G52"/>
  <c r="I52"/>
  <c r="K52"/>
  <c r="M52"/>
  <c r="O52"/>
  <c r="Q52"/>
  <c r="S52"/>
  <c r="U52"/>
  <c r="W52"/>
  <c r="Y52"/>
  <c r="AA52"/>
  <c r="AC52"/>
  <c r="AE52"/>
  <c r="AG52"/>
  <c r="AI52"/>
  <c r="AK52"/>
  <c r="AM52"/>
  <c r="AO52"/>
  <c r="AQ52"/>
  <c r="AS52"/>
  <c r="AU52"/>
  <c r="AW52"/>
  <c r="AY52"/>
  <c r="F8"/>
  <c r="H8"/>
  <c r="J8"/>
  <c r="L8"/>
  <c r="N8"/>
  <c r="P8"/>
  <c r="R8"/>
  <c r="T8"/>
  <c r="V8"/>
  <c r="X8"/>
  <c r="Z8"/>
  <c r="AB8"/>
  <c r="AD8"/>
  <c r="AF8"/>
  <c r="AH8"/>
  <c r="AJ8"/>
  <c r="AL8"/>
  <c r="AN8"/>
  <c r="AP8"/>
  <c r="AR8"/>
  <c r="AT8"/>
  <c r="AV8"/>
  <c r="AX8"/>
  <c r="D8"/>
  <c r="D35"/>
  <c r="F14"/>
  <c r="H14"/>
  <c r="J14"/>
  <c r="L14"/>
  <c r="N14"/>
  <c r="P14"/>
  <c r="R14"/>
  <c r="T14"/>
  <c r="V14"/>
  <c r="X14"/>
  <c r="Z14"/>
  <c r="AB14"/>
  <c r="AD14"/>
  <c r="AF14"/>
  <c r="AH14"/>
  <c r="AJ14"/>
  <c r="AL14"/>
  <c r="AN14"/>
  <c r="AP14"/>
  <c r="AR14"/>
  <c r="AT14"/>
  <c r="AV14"/>
  <c r="AX14"/>
  <c r="E23"/>
  <c r="G23"/>
  <c r="I23"/>
  <c r="K23"/>
  <c r="M23"/>
  <c r="O23"/>
  <c r="Q23"/>
  <c r="S23"/>
  <c r="U23"/>
  <c r="W23"/>
  <c r="Y23"/>
  <c r="AA23"/>
  <c r="AC23"/>
  <c r="AE23"/>
  <c r="AG23"/>
  <c r="AI23"/>
  <c r="AK23"/>
  <c r="AM23"/>
  <c r="AO23"/>
  <c r="AQ23"/>
  <c r="AS23"/>
  <c r="AU23"/>
  <c r="AW23"/>
  <c r="AY23"/>
  <c r="E29"/>
  <c r="G29"/>
  <c r="I29"/>
  <c r="K29"/>
  <c r="M29"/>
  <c r="O29"/>
  <c r="Q29"/>
  <c r="S29"/>
  <c r="U29"/>
  <c r="W29"/>
  <c r="Y29"/>
  <c r="AA29"/>
  <c r="AC29"/>
  <c r="AE29"/>
  <c r="AG29"/>
  <c r="AI29"/>
  <c r="AK29"/>
  <c r="AM29"/>
  <c r="AO29"/>
  <c r="AQ29"/>
  <c r="AS29"/>
  <c r="AU29"/>
  <c r="AW29"/>
  <c r="AY29"/>
  <c r="F48" i="21"/>
  <c r="H48"/>
  <c r="J48"/>
  <c r="L48"/>
  <c r="N48"/>
  <c r="P48"/>
  <c r="R48"/>
  <c r="T48"/>
  <c r="V48"/>
  <c r="X48"/>
  <c r="Z48"/>
  <c r="AB48"/>
  <c r="AD48"/>
  <c r="AF48"/>
  <c r="AH48"/>
  <c r="AJ48"/>
  <c r="AL48"/>
  <c r="AN48"/>
  <c r="AP48"/>
  <c r="AR48"/>
  <c r="AT48"/>
  <c r="AV48"/>
  <c r="AX48"/>
  <c r="E54" i="23"/>
  <c r="G54"/>
  <c r="I54"/>
  <c r="K54"/>
  <c r="M54"/>
  <c r="O54"/>
  <c r="Q54"/>
  <c r="S54"/>
  <c r="U54"/>
  <c r="W54"/>
  <c r="Y54"/>
  <c r="AA54"/>
  <c r="AC54"/>
  <c r="AE54"/>
  <c r="AG54"/>
  <c r="AI54"/>
  <c r="AK54"/>
  <c r="AM54"/>
  <c r="AO54"/>
  <c r="AQ54"/>
  <c r="AS54"/>
  <c r="AU54"/>
  <c r="AW54"/>
  <c r="AY54"/>
  <c r="AJ24" i="44" l="1"/>
  <c r="AJ22"/>
  <c r="AJ20"/>
  <c r="AJ18"/>
  <c r="AJ16"/>
  <c r="AL15"/>
  <c r="AJ23"/>
  <c r="AJ19"/>
  <c r="AJ25"/>
  <c r="AJ21"/>
  <c r="AJ17"/>
  <c r="AH25" i="45"/>
  <c r="AH23"/>
  <c r="AH21"/>
  <c r="AH19"/>
  <c r="AH17"/>
  <c r="AH24"/>
  <c r="AH22"/>
  <c r="AH20"/>
  <c r="AH18"/>
  <c r="AH16"/>
  <c r="AJ15"/>
  <c r="H54" i="27"/>
  <c r="AM54"/>
  <c r="W54"/>
  <c r="AF54"/>
  <c r="N54"/>
  <c r="AR54"/>
  <c r="AI54"/>
  <c r="Z54"/>
  <c r="S54"/>
  <c r="K54"/>
  <c r="AV54"/>
  <c r="AP54"/>
  <c r="AB54"/>
  <c r="P54"/>
  <c r="F54"/>
  <c r="AY54"/>
  <c r="AX54"/>
  <c r="AU54"/>
  <c r="AQ54"/>
  <c r="AN54"/>
  <c r="AJ54"/>
  <c r="AH54"/>
  <c r="AE54"/>
  <c r="AA54"/>
  <c r="X54"/>
  <c r="T54"/>
  <c r="R54"/>
  <c r="O54"/>
  <c r="L54"/>
  <c r="J54"/>
  <c r="G54"/>
  <c r="AT54"/>
  <c r="AL54"/>
  <c r="AD54"/>
  <c r="V54"/>
  <c r="D54" i="23"/>
  <c r="AX54"/>
  <c r="AV54"/>
  <c r="AT54"/>
  <c r="AR54"/>
  <c r="AP54"/>
  <c r="AN54"/>
  <c r="AL54"/>
  <c r="AJ54"/>
  <c r="AH54"/>
  <c r="AF54"/>
  <c r="AD54"/>
  <c r="AB54"/>
  <c r="Z54"/>
  <c r="X54"/>
  <c r="V54"/>
  <c r="T54"/>
  <c r="R54"/>
  <c r="P54"/>
  <c r="N54"/>
  <c r="L54"/>
  <c r="J54"/>
  <c r="H54"/>
  <c r="F54"/>
  <c r="AY48" i="21"/>
  <c r="AW48"/>
  <c r="AU48"/>
  <c r="AS48"/>
  <c r="AQ48"/>
  <c r="AO48"/>
  <c r="AM48"/>
  <c r="AK48"/>
  <c r="AI48"/>
  <c r="AG48"/>
  <c r="AE48"/>
  <c r="AC48"/>
  <c r="AA48"/>
  <c r="Y48"/>
  <c r="W48"/>
  <c r="U48"/>
  <c r="S48"/>
  <c r="Q48"/>
  <c r="O48"/>
  <c r="M48"/>
  <c r="K48"/>
  <c r="I48"/>
  <c r="G48"/>
  <c r="E48"/>
  <c r="AW54" i="27"/>
  <c r="AS54"/>
  <c r="AO54"/>
  <c r="AK54"/>
  <c r="AG54"/>
  <c r="AC54"/>
  <c r="Y54"/>
  <c r="U54"/>
  <c r="Q54"/>
  <c r="M54"/>
  <c r="I54"/>
  <c r="E54"/>
  <c r="D48" i="21"/>
  <c r="BL45" i="16"/>
  <c r="BM45" s="1"/>
  <c r="BL46"/>
  <c r="BM46" s="1"/>
  <c r="BL47"/>
  <c r="BM47" s="1"/>
  <c r="BL48"/>
  <c r="BM48" s="1"/>
  <c r="BL49"/>
  <c r="BM49" s="1"/>
  <c r="BL50"/>
  <c r="BM50" s="1"/>
  <c r="BL51"/>
  <c r="BM51" s="1"/>
  <c r="BL52"/>
  <c r="BM52" s="1"/>
  <c r="BL53"/>
  <c r="BM53" s="1"/>
  <c r="BF45"/>
  <c r="BG45" s="1"/>
  <c r="BF46"/>
  <c r="BG46" s="1"/>
  <c r="BF47"/>
  <c r="BG47" s="1"/>
  <c r="BF48"/>
  <c r="BG48" s="1"/>
  <c r="BF49"/>
  <c r="BG49" s="1"/>
  <c r="BF50"/>
  <c r="BG50" s="1"/>
  <c r="BF51"/>
  <c r="BG51" s="1"/>
  <c r="BF52"/>
  <c r="BG52" s="1"/>
  <c r="BF53"/>
  <c r="BG53" s="1"/>
  <c r="AZ45"/>
  <c r="BA45" s="1"/>
  <c r="AZ46"/>
  <c r="BA46" s="1"/>
  <c r="AZ47"/>
  <c r="BA47" s="1"/>
  <c r="AZ48"/>
  <c r="BA48" s="1"/>
  <c r="AZ49"/>
  <c r="BA49" s="1"/>
  <c r="AZ50"/>
  <c r="BA50" s="1"/>
  <c r="AZ51"/>
  <c r="BA51" s="1"/>
  <c r="AZ52"/>
  <c r="BA52" s="1"/>
  <c r="AZ53"/>
  <c r="BA53" s="1"/>
  <c r="AT45"/>
  <c r="AU45" s="1"/>
  <c r="AT46"/>
  <c r="AU46" s="1"/>
  <c r="AT47"/>
  <c r="AU47" s="1"/>
  <c r="AT48"/>
  <c r="AU48" s="1"/>
  <c r="AT49"/>
  <c r="AU49" s="1"/>
  <c r="AT50"/>
  <c r="AU50" s="1"/>
  <c r="AT51"/>
  <c r="AU51" s="1"/>
  <c r="AT52"/>
  <c r="AU52" s="1"/>
  <c r="AT53"/>
  <c r="AU53" s="1"/>
  <c r="AN45"/>
  <c r="AO45" s="1"/>
  <c r="AN46"/>
  <c r="AO46" s="1"/>
  <c r="AN47"/>
  <c r="AO47" s="1"/>
  <c r="AN48"/>
  <c r="AO48" s="1"/>
  <c r="AN49"/>
  <c r="AO49" s="1"/>
  <c r="AN50"/>
  <c r="AO50" s="1"/>
  <c r="AN51"/>
  <c r="AO51" s="1"/>
  <c r="AN52"/>
  <c r="AO52" s="1"/>
  <c r="AN53"/>
  <c r="AO53" s="1"/>
  <c r="AH45"/>
  <c r="AI45" s="1"/>
  <c r="AH46"/>
  <c r="AI46" s="1"/>
  <c r="AH47"/>
  <c r="AI47" s="1"/>
  <c r="AH48"/>
  <c r="AI48" s="1"/>
  <c r="AH49"/>
  <c r="AI49" s="1"/>
  <c r="AH50"/>
  <c r="AI50" s="1"/>
  <c r="AH51"/>
  <c r="AI51" s="1"/>
  <c r="AH52"/>
  <c r="AI52" s="1"/>
  <c r="AH53"/>
  <c r="AI53" s="1"/>
  <c r="AB45"/>
  <c r="AC45" s="1"/>
  <c r="AB46"/>
  <c r="AC46" s="1"/>
  <c r="AB47"/>
  <c r="AC47" s="1"/>
  <c r="AB48"/>
  <c r="AC48" s="1"/>
  <c r="AB49"/>
  <c r="AC49" s="1"/>
  <c r="AB50"/>
  <c r="AC50" s="1"/>
  <c r="AB51"/>
  <c r="AC51" s="1"/>
  <c r="AB52"/>
  <c r="AC52" s="1"/>
  <c r="AB53"/>
  <c r="AC53" s="1"/>
  <c r="V45"/>
  <c r="W45" s="1"/>
  <c r="V46"/>
  <c r="W46" s="1"/>
  <c r="V47"/>
  <c r="W47" s="1"/>
  <c r="V48"/>
  <c r="W48" s="1"/>
  <c r="V49"/>
  <c r="W49" s="1"/>
  <c r="V50"/>
  <c r="W50" s="1"/>
  <c r="V51"/>
  <c r="W51" s="1"/>
  <c r="V52"/>
  <c r="W52" s="1"/>
  <c r="V53"/>
  <c r="W53" s="1"/>
  <c r="P45"/>
  <c r="Q45" s="1"/>
  <c r="P46"/>
  <c r="Q46" s="1"/>
  <c r="P47"/>
  <c r="Q47" s="1"/>
  <c r="P48"/>
  <c r="Q48" s="1"/>
  <c r="P49"/>
  <c r="Q49" s="1"/>
  <c r="P50"/>
  <c r="Q50" s="1"/>
  <c r="P51"/>
  <c r="Q51" s="1"/>
  <c r="P52"/>
  <c r="Q52" s="1"/>
  <c r="P53"/>
  <c r="Q53" s="1"/>
  <c r="J45"/>
  <c r="K45" s="1"/>
  <c r="J46"/>
  <c r="K46" s="1"/>
  <c r="J47"/>
  <c r="K47" s="1"/>
  <c r="J48"/>
  <c r="K48" s="1"/>
  <c r="J49"/>
  <c r="K49" s="1"/>
  <c r="J50"/>
  <c r="K50" s="1"/>
  <c r="J51"/>
  <c r="K51" s="1"/>
  <c r="J52"/>
  <c r="K52" s="1"/>
  <c r="J53"/>
  <c r="K53" s="1"/>
  <c r="A45"/>
  <c r="B45"/>
  <c r="C45"/>
  <c r="D45"/>
  <c r="E45"/>
  <c r="A46"/>
  <c r="B46"/>
  <c r="C46"/>
  <c r="D46"/>
  <c r="E46"/>
  <c r="A47"/>
  <c r="B47"/>
  <c r="C47"/>
  <c r="D47"/>
  <c r="E47"/>
  <c r="A48"/>
  <c r="B48"/>
  <c r="C48"/>
  <c r="D48"/>
  <c r="E48"/>
  <c r="A49"/>
  <c r="B49"/>
  <c r="C49"/>
  <c r="D49"/>
  <c r="E49"/>
  <c r="A50"/>
  <c r="B50"/>
  <c r="C50"/>
  <c r="D50"/>
  <c r="E50"/>
  <c r="A51"/>
  <c r="B51"/>
  <c r="C51"/>
  <c r="D51"/>
  <c r="E51"/>
  <c r="A52"/>
  <c r="B52"/>
  <c r="C52"/>
  <c r="D52"/>
  <c r="E52"/>
  <c r="A53"/>
  <c r="B53"/>
  <c r="C53"/>
  <c r="D53"/>
  <c r="E53"/>
  <c r="AL24" i="44" l="1"/>
  <c r="AL22"/>
  <c r="AL20"/>
  <c r="AL18"/>
  <c r="AL16"/>
  <c r="AL25"/>
  <c r="AL21"/>
  <c r="AL17"/>
  <c r="AL23"/>
  <c r="AL19"/>
  <c r="AN15"/>
  <c r="AJ24" i="45"/>
  <c r="AJ22"/>
  <c r="AJ20"/>
  <c r="AJ18"/>
  <c r="AJ16"/>
  <c r="AJ25"/>
  <c r="AJ23"/>
  <c r="AJ21"/>
  <c r="AJ19"/>
  <c r="AJ17"/>
  <c r="AL15"/>
  <c r="D54" i="27"/>
  <c r="AN24" i="44" l="1"/>
  <c r="AN22"/>
  <c r="AN20"/>
  <c r="AN18"/>
  <c r="AN16"/>
  <c r="AP15"/>
  <c r="AN23"/>
  <c r="AN19"/>
  <c r="AN25"/>
  <c r="AN21"/>
  <c r="AN17"/>
  <c r="AL25" i="45"/>
  <c r="AL23"/>
  <c r="AL21"/>
  <c r="AL19"/>
  <c r="AL17"/>
  <c r="AL24"/>
  <c r="AL22"/>
  <c r="AL20"/>
  <c r="AL18"/>
  <c r="AL16"/>
  <c r="AN15"/>
  <c r="D54" i="36"/>
  <c r="D54" i="37"/>
  <c r="F54"/>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F54" i="36"/>
  <c r="H54"/>
  <c r="J54"/>
  <c r="L54"/>
  <c r="N54"/>
  <c r="P54"/>
  <c r="R54"/>
  <c r="T54"/>
  <c r="V54"/>
  <c r="X54"/>
  <c r="Z54"/>
  <c r="AB54"/>
  <c r="AD54"/>
  <c r="AF54"/>
  <c r="AH54"/>
  <c r="AJ54"/>
  <c r="AL54"/>
  <c r="AN54"/>
  <c r="AP54"/>
  <c r="AR54"/>
  <c r="AT54"/>
  <c r="AV54"/>
  <c r="AX54"/>
  <c r="E54"/>
  <c r="G54"/>
  <c r="I54"/>
  <c r="K54"/>
  <c r="M54"/>
  <c r="O54"/>
  <c r="Q54"/>
  <c r="S54"/>
  <c r="U54"/>
  <c r="W54"/>
  <c r="Y54"/>
  <c r="AA54"/>
  <c r="AC54"/>
  <c r="AE54"/>
  <c r="AG54"/>
  <c r="AI54"/>
  <c r="AK54"/>
  <c r="AM54"/>
  <c r="AO54"/>
  <c r="AQ54"/>
  <c r="AS54"/>
  <c r="AU54"/>
  <c r="AW54"/>
  <c r="AY54"/>
  <c r="A52" i="17"/>
  <c r="B52"/>
  <c r="C52"/>
  <c r="D52"/>
  <c r="E52"/>
  <c r="I52"/>
  <c r="J52" s="1"/>
  <c r="N52"/>
  <c r="O52" s="1"/>
  <c r="S52"/>
  <c r="T52" s="1"/>
  <c r="X52"/>
  <c r="Y52" s="1"/>
  <c r="AC52"/>
  <c r="AD52" s="1"/>
  <c r="AH52"/>
  <c r="AI52" s="1"/>
  <c r="AM52"/>
  <c r="AN52" s="1"/>
  <c r="AR52"/>
  <c r="AS52" s="1"/>
  <c r="AW52"/>
  <c r="AX52" s="1"/>
  <c r="BB52"/>
  <c r="BC52" s="1"/>
  <c r="A51"/>
  <c r="B51"/>
  <c r="C51"/>
  <c r="D51"/>
  <c r="E51"/>
  <c r="I51"/>
  <c r="J51" s="1"/>
  <c r="N51"/>
  <c r="O51" s="1"/>
  <c r="S51"/>
  <c r="T51" s="1"/>
  <c r="X51"/>
  <c r="Y51" s="1"/>
  <c r="AC51"/>
  <c r="AD51" s="1"/>
  <c r="AH51"/>
  <c r="AI51" s="1"/>
  <c r="AM51"/>
  <c r="AN51" s="1"/>
  <c r="AR51"/>
  <c r="AS51" s="1"/>
  <c r="AW51"/>
  <c r="AX51" s="1"/>
  <c r="BB51"/>
  <c r="BC51" s="1"/>
  <c r="A45"/>
  <c r="B45"/>
  <c r="C45"/>
  <c r="D45"/>
  <c r="E45"/>
  <c r="I45"/>
  <c r="J45" s="1"/>
  <c r="N45"/>
  <c r="O45" s="1"/>
  <c r="S45"/>
  <c r="T45" s="1"/>
  <c r="X45"/>
  <c r="Y45" s="1"/>
  <c r="AC45"/>
  <c r="AD45" s="1"/>
  <c r="AH45"/>
  <c r="AI45" s="1"/>
  <c r="AM45"/>
  <c r="AN45" s="1"/>
  <c r="AR45"/>
  <c r="AS45" s="1"/>
  <c r="AW45"/>
  <c r="AX45" s="1"/>
  <c r="BB45"/>
  <c r="BC45" s="1"/>
  <c r="A46"/>
  <c r="B46"/>
  <c r="C46"/>
  <c r="D46"/>
  <c r="E46"/>
  <c r="I46"/>
  <c r="J46" s="1"/>
  <c r="N46"/>
  <c r="O46" s="1"/>
  <c r="S46"/>
  <c r="T46" s="1"/>
  <c r="X46"/>
  <c r="Y46" s="1"/>
  <c r="AC46"/>
  <c r="AD46" s="1"/>
  <c r="AH46"/>
  <c r="AI46" s="1"/>
  <c r="AM46"/>
  <c r="AN46" s="1"/>
  <c r="AR46"/>
  <c r="AS46" s="1"/>
  <c r="AW46"/>
  <c r="AX46" s="1"/>
  <c r="BB46"/>
  <c r="BC46" s="1"/>
  <c r="A47"/>
  <c r="B47"/>
  <c r="C47"/>
  <c r="D47"/>
  <c r="E47"/>
  <c r="I47"/>
  <c r="J47" s="1"/>
  <c r="N47"/>
  <c r="O47" s="1"/>
  <c r="S47"/>
  <c r="T47" s="1"/>
  <c r="X47"/>
  <c r="Y47" s="1"/>
  <c r="AC47"/>
  <c r="AD47" s="1"/>
  <c r="AH47"/>
  <c r="AI47" s="1"/>
  <c r="AM47"/>
  <c r="AN47" s="1"/>
  <c r="AR47"/>
  <c r="AS47" s="1"/>
  <c r="AW47"/>
  <c r="AX47" s="1"/>
  <c r="BB47"/>
  <c r="BC47" s="1"/>
  <c r="A48"/>
  <c r="B48"/>
  <c r="C48"/>
  <c r="D48"/>
  <c r="E48"/>
  <c r="I48"/>
  <c r="J48" s="1"/>
  <c r="N48"/>
  <c r="O48" s="1"/>
  <c r="S48"/>
  <c r="T48" s="1"/>
  <c r="X48"/>
  <c r="Y48" s="1"/>
  <c r="AC48"/>
  <c r="AD48" s="1"/>
  <c r="AH48"/>
  <c r="AI48" s="1"/>
  <c r="AM48"/>
  <c r="AN48" s="1"/>
  <c r="AR48"/>
  <c r="AS48" s="1"/>
  <c r="AW48"/>
  <c r="AX48" s="1"/>
  <c r="BB48"/>
  <c r="BC48" s="1"/>
  <c r="A49"/>
  <c r="B49"/>
  <c r="C49"/>
  <c r="D49"/>
  <c r="E49"/>
  <c r="I49"/>
  <c r="J49" s="1"/>
  <c r="N49"/>
  <c r="O49" s="1"/>
  <c r="S49"/>
  <c r="T49" s="1"/>
  <c r="X49"/>
  <c r="Y49" s="1"/>
  <c r="AC49"/>
  <c r="AD49" s="1"/>
  <c r="AH49"/>
  <c r="AI49" s="1"/>
  <c r="AM49"/>
  <c r="AN49" s="1"/>
  <c r="AR49"/>
  <c r="AS49" s="1"/>
  <c r="AW49"/>
  <c r="AX49" s="1"/>
  <c r="BB49"/>
  <c r="BC49" s="1"/>
  <c r="A50"/>
  <c r="B50"/>
  <c r="C50"/>
  <c r="D50"/>
  <c r="E50"/>
  <c r="I50"/>
  <c r="J50" s="1"/>
  <c r="N50"/>
  <c r="O50" s="1"/>
  <c r="S50"/>
  <c r="T50" s="1"/>
  <c r="X50"/>
  <c r="Y50" s="1"/>
  <c r="AC50"/>
  <c r="AD50" s="1"/>
  <c r="AH50"/>
  <c r="AI50" s="1"/>
  <c r="AM50"/>
  <c r="AN50" s="1"/>
  <c r="AR50"/>
  <c r="AS50" s="1"/>
  <c r="AW50"/>
  <c r="AX50" s="1"/>
  <c r="BB50"/>
  <c r="BC50" s="1"/>
  <c r="AP24" i="44" l="1"/>
  <c r="AP22"/>
  <c r="AP20"/>
  <c r="AP18"/>
  <c r="AP16"/>
  <c r="AP25"/>
  <c r="AP21"/>
  <c r="AP17"/>
  <c r="AR15"/>
  <c r="AP23"/>
  <c r="AP19"/>
  <c r="AN24" i="45"/>
  <c r="AN22"/>
  <c r="AN20"/>
  <c r="AN18"/>
  <c r="AN16"/>
  <c r="AN25"/>
  <c r="AN23"/>
  <c r="AN21"/>
  <c r="AN19"/>
  <c r="AN17"/>
  <c r="AP15"/>
  <c r="A45" i="6"/>
  <c r="B45"/>
  <c r="C45"/>
  <c r="D45"/>
  <c r="E45"/>
  <c r="A46"/>
  <c r="B46"/>
  <c r="C46"/>
  <c r="D46"/>
  <c r="E46"/>
  <c r="A47"/>
  <c r="B47"/>
  <c r="C47"/>
  <c r="D47"/>
  <c r="E47"/>
  <c r="A48"/>
  <c r="B48"/>
  <c r="C48"/>
  <c r="D48"/>
  <c r="E48"/>
  <c r="A49"/>
  <c r="B49"/>
  <c r="C49"/>
  <c r="D49"/>
  <c r="E49"/>
  <c r="A50"/>
  <c r="B50"/>
  <c r="C50"/>
  <c r="D50"/>
  <c r="E50"/>
  <c r="A51"/>
  <c r="B51"/>
  <c r="C51"/>
  <c r="D51"/>
  <c r="E51"/>
  <c r="A52"/>
  <c r="B52"/>
  <c r="C52"/>
  <c r="D52"/>
  <c r="E52"/>
  <c r="A47" i="9"/>
  <c r="B47"/>
  <c r="C47"/>
  <c r="D47"/>
  <c r="E47"/>
  <c r="A48"/>
  <c r="B48"/>
  <c r="C48"/>
  <c r="D48"/>
  <c r="E48"/>
  <c r="A49"/>
  <c r="B49"/>
  <c r="C49"/>
  <c r="D49"/>
  <c r="E49"/>
  <c r="A50"/>
  <c r="B50"/>
  <c r="C50"/>
  <c r="D50"/>
  <c r="E50"/>
  <c r="A51"/>
  <c r="B51"/>
  <c r="C51"/>
  <c r="D51"/>
  <c r="E51"/>
  <c r="A52"/>
  <c r="B52"/>
  <c r="C52"/>
  <c r="D52"/>
  <c r="E52"/>
  <c r="A53"/>
  <c r="B53"/>
  <c r="C53"/>
  <c r="D53"/>
  <c r="E53"/>
  <c r="A54"/>
  <c r="B54"/>
  <c r="C54"/>
  <c r="D54"/>
  <c r="E54"/>
  <c r="AY52" i="35"/>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M52"/>
  <c r="L52"/>
  <c r="K52"/>
  <c r="J52"/>
  <c r="I52"/>
  <c r="H52"/>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M46"/>
  <c r="L46"/>
  <c r="K46"/>
  <c r="J46"/>
  <c r="I46"/>
  <c r="H46"/>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M40"/>
  <c r="L40"/>
  <c r="K40"/>
  <c r="J40"/>
  <c r="I40"/>
  <c r="H40"/>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M35"/>
  <c r="L35"/>
  <c r="K35"/>
  <c r="J35"/>
  <c r="I35"/>
  <c r="H35"/>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M29"/>
  <c r="L29"/>
  <c r="K29"/>
  <c r="J29"/>
  <c r="I29"/>
  <c r="H29"/>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M23"/>
  <c r="L23"/>
  <c r="K23"/>
  <c r="J23"/>
  <c r="I23"/>
  <c r="H23"/>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M14"/>
  <c r="L14"/>
  <c r="K14"/>
  <c r="J14"/>
  <c r="I14"/>
  <c r="H14"/>
  <c r="AY8"/>
  <c r="AX8"/>
  <c r="AW8"/>
  <c r="AV8"/>
  <c r="AU8"/>
  <c r="AT8"/>
  <c r="AS8"/>
  <c r="AR8"/>
  <c r="AQ8"/>
  <c r="AP8"/>
  <c r="AO8"/>
  <c r="AN8"/>
  <c r="AM8"/>
  <c r="AL8"/>
  <c r="AK8"/>
  <c r="AJ8"/>
  <c r="AI8"/>
  <c r="AH8"/>
  <c r="AG8"/>
  <c r="AF8"/>
  <c r="AE8"/>
  <c r="AD8"/>
  <c r="AC8"/>
  <c r="AB8"/>
  <c r="AA8"/>
  <c r="Z8"/>
  <c r="Y8"/>
  <c r="X8"/>
  <c r="W8"/>
  <c r="V8"/>
  <c r="U8"/>
  <c r="T8"/>
  <c r="S8"/>
  <c r="R8"/>
  <c r="Q8"/>
  <c r="P8"/>
  <c r="O8"/>
  <c r="N8"/>
  <c r="M8"/>
  <c r="L8"/>
  <c r="K8"/>
  <c r="J8"/>
  <c r="I8"/>
  <c r="H8"/>
  <c r="G52"/>
  <c r="F52"/>
  <c r="G46"/>
  <c r="F46"/>
  <c r="G40"/>
  <c r="F40"/>
  <c r="G35"/>
  <c r="F35"/>
  <c r="G29"/>
  <c r="F29"/>
  <c r="G23"/>
  <c r="F23"/>
  <c r="G14"/>
  <c r="F14"/>
  <c r="G8"/>
  <c r="F8"/>
  <c r="E52"/>
  <c r="D52"/>
  <c r="E46"/>
  <c r="D46"/>
  <c r="E40"/>
  <c r="D40"/>
  <c r="E35"/>
  <c r="D35"/>
  <c r="E29"/>
  <c r="D29"/>
  <c r="E23"/>
  <c r="D23"/>
  <c r="E14"/>
  <c r="D14"/>
  <c r="E8"/>
  <c r="D8"/>
  <c r="A45" i="24"/>
  <c r="B45"/>
  <c r="C45"/>
  <c r="D45"/>
  <c r="E45"/>
  <c r="A46"/>
  <c r="B46"/>
  <c r="C46"/>
  <c r="D46"/>
  <c r="E46"/>
  <c r="A47"/>
  <c r="B47"/>
  <c r="C47"/>
  <c r="D47"/>
  <c r="E47"/>
  <c r="A48"/>
  <c r="B48"/>
  <c r="C48"/>
  <c r="D48"/>
  <c r="E48"/>
  <c r="A49"/>
  <c r="B49"/>
  <c r="C49"/>
  <c r="D49"/>
  <c r="E49"/>
  <c r="A50"/>
  <c r="B50"/>
  <c r="C50"/>
  <c r="D50"/>
  <c r="E50"/>
  <c r="A51"/>
  <c r="B51"/>
  <c r="C51"/>
  <c r="D51"/>
  <c r="E51"/>
  <c r="A52"/>
  <c r="B52"/>
  <c r="C52"/>
  <c r="D52"/>
  <c r="E52"/>
  <c r="D67" i="30"/>
  <c r="E67"/>
  <c r="F67"/>
  <c r="G67"/>
  <c r="H67"/>
  <c r="I67"/>
  <c r="O67"/>
  <c r="P67"/>
  <c r="Q67"/>
  <c r="R67"/>
  <c r="S67"/>
  <c r="T67"/>
  <c r="U67"/>
  <c r="AA67"/>
  <c r="AB67"/>
  <c r="AC67"/>
  <c r="AD67"/>
  <c r="AE67"/>
  <c r="AF67"/>
  <c r="AG67"/>
  <c r="AM67"/>
  <c r="AN67"/>
  <c r="AO67"/>
  <c r="AP67"/>
  <c r="AQ67"/>
  <c r="AR67"/>
  <c r="AS67"/>
  <c r="AY67"/>
  <c r="AZ67"/>
  <c r="BA67"/>
  <c r="BB67"/>
  <c r="BC67"/>
  <c r="BD67"/>
  <c r="BE67"/>
  <c r="BK67"/>
  <c r="BL67"/>
  <c r="BM67"/>
  <c r="BN67"/>
  <c r="BO67"/>
  <c r="BP67"/>
  <c r="BQ67"/>
  <c r="BW67"/>
  <c r="BX67"/>
  <c r="BY67"/>
  <c r="BZ67"/>
  <c r="CA67"/>
  <c r="CB67"/>
  <c r="CC67"/>
  <c r="CI67"/>
  <c r="CJ67"/>
  <c r="CK67"/>
  <c r="CL67"/>
  <c r="CM67"/>
  <c r="CN67"/>
  <c r="CO67"/>
  <c r="CU67"/>
  <c r="CV67"/>
  <c r="CW67"/>
  <c r="CX67"/>
  <c r="CY67"/>
  <c r="CZ67"/>
  <c r="DA67"/>
  <c r="DG67"/>
  <c r="DH67"/>
  <c r="DI67"/>
  <c r="DJ67"/>
  <c r="DK67"/>
  <c r="DL67"/>
  <c r="DM67"/>
  <c r="C67"/>
  <c r="A64"/>
  <c r="B64"/>
  <c r="J64"/>
  <c r="V64"/>
  <c r="AH64"/>
  <c r="AT64"/>
  <c r="BF64"/>
  <c r="BR64"/>
  <c r="CD64"/>
  <c r="CP64"/>
  <c r="DB64"/>
  <c r="DN64"/>
  <c r="A65"/>
  <c r="B65"/>
  <c r="J65"/>
  <c r="V65"/>
  <c r="AH65"/>
  <c r="AT65"/>
  <c r="BF65"/>
  <c r="BR65"/>
  <c r="CD65"/>
  <c r="CP65"/>
  <c r="DB65"/>
  <c r="DN65"/>
  <c r="A66"/>
  <c r="B66"/>
  <c r="J66"/>
  <c r="V66"/>
  <c r="AH66"/>
  <c r="AT66"/>
  <c r="BF66"/>
  <c r="BR66"/>
  <c r="CD66"/>
  <c r="CP66"/>
  <c r="DB66"/>
  <c r="DN66"/>
  <c r="A45" i="8"/>
  <c r="B45"/>
  <c r="C45"/>
  <c r="D45"/>
  <c r="E45"/>
  <c r="A46"/>
  <c r="B46"/>
  <c r="C46"/>
  <c r="D46"/>
  <c r="E46"/>
  <c r="A47"/>
  <c r="B47"/>
  <c r="C47"/>
  <c r="D47"/>
  <c r="E47"/>
  <c r="A48"/>
  <c r="B48"/>
  <c r="C48"/>
  <c r="D48"/>
  <c r="E48"/>
  <c r="A49"/>
  <c r="B49"/>
  <c r="C49"/>
  <c r="D49"/>
  <c r="E49"/>
  <c r="A50"/>
  <c r="B50"/>
  <c r="C50"/>
  <c r="D50"/>
  <c r="E50"/>
  <c r="A51"/>
  <c r="B51"/>
  <c r="C51"/>
  <c r="D51"/>
  <c r="E51"/>
  <c r="A52"/>
  <c r="B52"/>
  <c r="C52"/>
  <c r="D52"/>
  <c r="E52"/>
  <c r="A62" i="29"/>
  <c r="B62"/>
  <c r="A63"/>
  <c r="B63"/>
  <c r="A64"/>
  <c r="B64"/>
  <c r="A65"/>
  <c r="B65"/>
  <c r="A66"/>
  <c r="B66"/>
  <c r="B59" i="30"/>
  <c r="B60"/>
  <c r="B61"/>
  <c r="B62"/>
  <c r="B63"/>
  <c r="A60"/>
  <c r="A61"/>
  <c r="A62"/>
  <c r="A63"/>
  <c r="A59"/>
  <c r="A54" i="31"/>
  <c r="B54"/>
  <c r="C54"/>
  <c r="A55"/>
  <c r="B55"/>
  <c r="C55"/>
  <c r="A56"/>
  <c r="B56"/>
  <c r="C56"/>
  <c r="A57"/>
  <c r="B57"/>
  <c r="C57"/>
  <c r="A58"/>
  <c r="B58"/>
  <c r="C58"/>
  <c r="J59" i="30"/>
  <c r="V59"/>
  <c r="AH59"/>
  <c r="AT59"/>
  <c r="BF59"/>
  <c r="BR59"/>
  <c r="CD59"/>
  <c r="CP59"/>
  <c r="DB59"/>
  <c r="DN59"/>
  <c r="J60"/>
  <c r="V60"/>
  <c r="AH60"/>
  <c r="AT60"/>
  <c r="BF60"/>
  <c r="BR60"/>
  <c r="CD60"/>
  <c r="CP60"/>
  <c r="DB60"/>
  <c r="DN60"/>
  <c r="J61"/>
  <c r="V61"/>
  <c r="AH61"/>
  <c r="AT61"/>
  <c r="BF61"/>
  <c r="BR61"/>
  <c r="CD61"/>
  <c r="CP61"/>
  <c r="DB61"/>
  <c r="DN61"/>
  <c r="J62"/>
  <c r="V62"/>
  <c r="AH62"/>
  <c r="AT62"/>
  <c r="BF62"/>
  <c r="BR62"/>
  <c r="CD62"/>
  <c r="CP62"/>
  <c r="DB62"/>
  <c r="DN62"/>
  <c r="J63"/>
  <c r="V63"/>
  <c r="AH63"/>
  <c r="AT63"/>
  <c r="BF63"/>
  <c r="BR63"/>
  <c r="CD63"/>
  <c r="CP63"/>
  <c r="DB63"/>
  <c r="DN63"/>
  <c r="CR4" i="44" l="1"/>
  <c r="CS4" s="1"/>
  <c r="CP4"/>
  <c r="CQ4" s="1"/>
  <c r="CN4"/>
  <c r="CO4" s="1"/>
  <c r="CL4"/>
  <c r="CM4" s="1"/>
  <c r="CJ4"/>
  <c r="CK4" s="1"/>
  <c r="CH4"/>
  <c r="CI4" s="1"/>
  <c r="CF4"/>
  <c r="CG4" s="1"/>
  <c r="CD4"/>
  <c r="CE4" s="1"/>
  <c r="AR24"/>
  <c r="AR22"/>
  <c r="AR20"/>
  <c r="AR18"/>
  <c r="AR16"/>
  <c r="AT15"/>
  <c r="AR23"/>
  <c r="AR19"/>
  <c r="AR25"/>
  <c r="AR21"/>
  <c r="AR17"/>
  <c r="AP25" i="45"/>
  <c r="AP23"/>
  <c r="AP21"/>
  <c r="AP19"/>
  <c r="AP17"/>
  <c r="AP24"/>
  <c r="AP22"/>
  <c r="AP20"/>
  <c r="AP18"/>
  <c r="AP16"/>
  <c r="AR15"/>
  <c r="E54" i="34"/>
  <c r="CP5" i="44"/>
  <c r="CQ5" s="1"/>
  <c r="C54" i="34"/>
  <c r="CJ51" i="6"/>
  <c r="CU51" s="1"/>
  <c r="CI51"/>
  <c r="CT51" s="1"/>
  <c r="CP3" i="44"/>
  <c r="E52" i="34"/>
  <c r="CL5" i="44"/>
  <c r="CM5" s="1"/>
  <c r="C52" i="34"/>
  <c r="CJ49" i="6"/>
  <c r="CU49" s="1"/>
  <c r="CI49"/>
  <c r="CT49" s="1"/>
  <c r="CL3" i="44"/>
  <c r="E50" i="34"/>
  <c r="CH5" i="44"/>
  <c r="CI5" s="1"/>
  <c r="C50" i="34"/>
  <c r="CJ47" i="6"/>
  <c r="CU47" s="1"/>
  <c r="CI47"/>
  <c r="CT47" s="1"/>
  <c r="CH3" i="44"/>
  <c r="E48" i="34"/>
  <c r="CD5" i="44"/>
  <c r="CE5" s="1"/>
  <c r="C48" i="34"/>
  <c r="CJ45" i="6"/>
  <c r="CU45" s="1"/>
  <c r="CI45"/>
  <c r="CT45" s="1"/>
  <c r="CD3" i="44"/>
  <c r="E55" i="34"/>
  <c r="CR5" i="44"/>
  <c r="CS5" s="1"/>
  <c r="C55" i="34"/>
  <c r="CJ52" i="6"/>
  <c r="CU52" s="1"/>
  <c r="CR3" i="44"/>
  <c r="CI52" i="6"/>
  <c r="CT52" s="1"/>
  <c r="E53" i="34"/>
  <c r="CN5" i="44"/>
  <c r="CO5" s="1"/>
  <c r="C53" i="34"/>
  <c r="CJ50" i="6"/>
  <c r="CU50" s="1"/>
  <c r="CN3" i="44"/>
  <c r="CI50" i="6"/>
  <c r="CT50" s="1"/>
  <c r="E51" i="34"/>
  <c r="CJ5" i="44"/>
  <c r="CK5" s="1"/>
  <c r="C51" i="34"/>
  <c r="CJ48" i="6"/>
  <c r="CU48" s="1"/>
  <c r="CJ3" i="44"/>
  <c r="CI48" i="6"/>
  <c r="CT48" s="1"/>
  <c r="E49" i="34"/>
  <c r="CF5" i="44"/>
  <c r="CG5" s="1"/>
  <c r="C49" i="34"/>
  <c r="CJ46" i="6"/>
  <c r="CU46" s="1"/>
  <c r="CF3" i="44"/>
  <c r="CI46" i="6"/>
  <c r="CT46" s="1"/>
  <c r="L55" i="34"/>
  <c r="CR12" i="44"/>
  <c r="L53" i="34"/>
  <c r="CN12" i="44"/>
  <c r="L51" i="34"/>
  <c r="CJ12" i="44"/>
  <c r="L49" i="34"/>
  <c r="CF12" i="44"/>
  <c r="L54" i="34"/>
  <c r="CP12" i="44"/>
  <c r="L52" i="34"/>
  <c r="CL12" i="44"/>
  <c r="L50" i="34"/>
  <c r="CH12" i="44"/>
  <c r="L48" i="34"/>
  <c r="CD12" i="44"/>
  <c r="K54" i="34"/>
  <c r="CP11" i="44"/>
  <c r="K52" i="34"/>
  <c r="CL11" i="44"/>
  <c r="K50" i="34"/>
  <c r="CH11" i="44"/>
  <c r="K48" i="34"/>
  <c r="CD11" i="44"/>
  <c r="K55" i="34"/>
  <c r="CR11" i="44"/>
  <c r="K53" i="34"/>
  <c r="CN11" i="44"/>
  <c r="K51" i="34"/>
  <c r="CJ11" i="44"/>
  <c r="K49" i="34"/>
  <c r="CF11" i="44"/>
  <c r="J55" i="34"/>
  <c r="CR10" i="44"/>
  <c r="J53" i="34"/>
  <c r="CN10" i="44"/>
  <c r="J51" i="34"/>
  <c r="CJ10" i="44"/>
  <c r="J49" i="34"/>
  <c r="CF10" i="44"/>
  <c r="J54" i="34"/>
  <c r="CP10" i="44"/>
  <c r="J52" i="34"/>
  <c r="CL10" i="44"/>
  <c r="J50" i="34"/>
  <c r="CH10" i="44"/>
  <c r="J48" i="34"/>
  <c r="CD10" i="44"/>
  <c r="I54" i="34"/>
  <c r="CP9" i="44"/>
  <c r="I52" i="34"/>
  <c r="CL9" i="44"/>
  <c r="I50" i="34"/>
  <c r="CH9" i="44"/>
  <c r="I48" i="34"/>
  <c r="CD9" i="44"/>
  <c r="I55" i="34"/>
  <c r="CR9" i="44"/>
  <c r="I53" i="34"/>
  <c r="CN9" i="44"/>
  <c r="I51" i="34"/>
  <c r="CJ9" i="44"/>
  <c r="I49" i="34"/>
  <c r="CF9" i="44"/>
  <c r="H55" i="34"/>
  <c r="CR8" i="44"/>
  <c r="H53" i="34"/>
  <c r="CN8" i="44"/>
  <c r="H51" i="34"/>
  <c r="CJ8" i="44"/>
  <c r="H49" i="34"/>
  <c r="CF8" i="44"/>
  <c r="H54" i="34"/>
  <c r="CP8" i="44"/>
  <c r="H52" i="34"/>
  <c r="CL8" i="44"/>
  <c r="H50" i="34"/>
  <c r="CH8" i="44"/>
  <c r="H48" i="34"/>
  <c r="CD8" i="44"/>
  <c r="G55" i="34"/>
  <c r="CR7" i="44"/>
  <c r="G53" i="34"/>
  <c r="CN7" i="44"/>
  <c r="G51" i="34"/>
  <c r="CJ7" i="44"/>
  <c r="G49" i="34"/>
  <c r="CF7" i="44"/>
  <c r="G54" i="34"/>
  <c r="CP7" i="44"/>
  <c r="G52" i="34"/>
  <c r="CL7" i="44"/>
  <c r="G50" i="34"/>
  <c r="CH7" i="44"/>
  <c r="G48" i="34"/>
  <c r="CD7" i="44"/>
  <c r="F55" i="34"/>
  <c r="CR6" i="44"/>
  <c r="CS6" s="1"/>
  <c r="F53" i="34"/>
  <c r="CN6" i="44"/>
  <c r="CO6" s="1"/>
  <c r="F51" i="34"/>
  <c r="CJ6" i="44"/>
  <c r="CK6" s="1"/>
  <c r="F49" i="34"/>
  <c r="CF6" i="44"/>
  <c r="CG6" s="1"/>
  <c r="F54" i="34"/>
  <c r="CP6" i="44"/>
  <c r="CQ6" s="1"/>
  <c r="F52" i="34"/>
  <c r="CL6" i="44"/>
  <c r="CM6" s="1"/>
  <c r="F50" i="34"/>
  <c r="CH6" i="44"/>
  <c r="CI6" s="1"/>
  <c r="F48" i="34"/>
  <c r="CD6" i="44"/>
  <c r="CE6" s="1"/>
  <c r="D54" i="34"/>
  <c r="CH51" i="6"/>
  <c r="D51" i="34"/>
  <c r="CH48" i="6"/>
  <c r="D49" i="34"/>
  <c r="CH46" i="6"/>
  <c r="D55" i="34"/>
  <c r="CH52" i="6"/>
  <c r="D53" i="34"/>
  <c r="CH50" i="6"/>
  <c r="D52" i="34"/>
  <c r="CH49" i="6"/>
  <c r="D50" i="34"/>
  <c r="CH47" i="6"/>
  <c r="D48" i="34"/>
  <c r="CH45" i="6"/>
  <c r="AT1" i="27"/>
  <c r="AT1" i="37"/>
  <c r="AT1" i="36"/>
  <c r="AW1" i="27"/>
  <c r="AW1" i="37"/>
  <c r="AW1" i="36"/>
  <c r="AY1" i="37"/>
  <c r="AY1" i="36"/>
  <c r="AS54" i="35"/>
  <c r="AU54"/>
  <c r="AW54"/>
  <c r="AY54"/>
  <c r="AR1" i="27"/>
  <c r="AR1" i="37"/>
  <c r="AR1" i="36"/>
  <c r="AV1" i="27"/>
  <c r="AV1" i="37"/>
  <c r="AV1" i="36"/>
  <c r="AS1" i="27"/>
  <c r="AS1" i="37"/>
  <c r="AS1" i="36"/>
  <c r="AU1" i="27"/>
  <c r="AU1" i="37"/>
  <c r="AU1" i="36"/>
  <c r="D54" i="35"/>
  <c r="AW1"/>
  <c r="AX1" i="37"/>
  <c r="AX1" i="36"/>
  <c r="H54" i="35"/>
  <c r="J54"/>
  <c r="L54"/>
  <c r="N54"/>
  <c r="P54"/>
  <c r="R54"/>
  <c r="T54"/>
  <c r="V54"/>
  <c r="X54"/>
  <c r="Z54"/>
  <c r="AB54"/>
  <c r="AD54"/>
  <c r="AF54"/>
  <c r="AH54"/>
  <c r="AJ54"/>
  <c r="AL54"/>
  <c r="AN54"/>
  <c r="AP54"/>
  <c r="AR54"/>
  <c r="AT54"/>
  <c r="AV54"/>
  <c r="AX54"/>
  <c r="F54"/>
  <c r="E54"/>
  <c r="G54"/>
  <c r="I54"/>
  <c r="K54"/>
  <c r="M54"/>
  <c r="O54"/>
  <c r="Q54"/>
  <c r="S54"/>
  <c r="U54"/>
  <c r="W54"/>
  <c r="Y54"/>
  <c r="AA54"/>
  <c r="AC54"/>
  <c r="AE54"/>
  <c r="AG54"/>
  <c r="AI54"/>
  <c r="AK54"/>
  <c r="AM54"/>
  <c r="AO54"/>
  <c r="AQ54"/>
  <c r="AY1"/>
  <c r="AY1" i="27"/>
  <c r="AV1" i="35"/>
  <c r="AT1"/>
  <c r="AR1"/>
  <c r="AS1" i="23"/>
  <c r="AU1"/>
  <c r="AW1"/>
  <c r="AY1"/>
  <c r="AW1" i="21"/>
  <c r="AU1"/>
  <c r="AS1"/>
  <c r="AY1"/>
  <c r="AX1" i="35"/>
  <c r="AX1" i="27"/>
  <c r="AU1" i="35"/>
  <c r="AS1"/>
  <c r="AR1" i="23"/>
  <c r="AT1"/>
  <c r="AV1"/>
  <c r="AX1"/>
  <c r="AX1" i="21"/>
  <c r="AV1"/>
  <c r="AT1"/>
  <c r="AR1"/>
  <c r="CM47" i="6" l="1"/>
  <c r="CP47"/>
  <c r="CV47" s="1"/>
  <c r="CM50"/>
  <c r="CP50"/>
  <c r="CV50" s="1"/>
  <c r="CM46"/>
  <c r="CP46"/>
  <c r="CV46" s="1"/>
  <c r="CM51"/>
  <c r="CP51"/>
  <c r="CV51" s="1"/>
  <c r="CM45"/>
  <c r="CP45"/>
  <c r="CV45" s="1"/>
  <c r="CM49"/>
  <c r="CP49"/>
  <c r="CV49" s="1"/>
  <c r="CM52"/>
  <c r="CP52"/>
  <c r="CV52" s="1"/>
  <c r="CM48"/>
  <c r="CP48"/>
  <c r="CV48" s="1"/>
  <c r="AT24" i="44"/>
  <c r="AT22"/>
  <c r="AT20"/>
  <c r="AT18"/>
  <c r="AT16"/>
  <c r="AT25"/>
  <c r="AT21"/>
  <c r="AT17"/>
  <c r="AT23"/>
  <c r="AT19"/>
  <c r="AV15"/>
  <c r="AR24" i="45"/>
  <c r="AR22"/>
  <c r="AR20"/>
  <c r="AR18"/>
  <c r="AR16"/>
  <c r="AR25"/>
  <c r="AR23"/>
  <c r="AR21"/>
  <c r="AR19"/>
  <c r="AR17"/>
  <c r="AT15"/>
  <c r="CG11" i="44"/>
  <c r="CG10"/>
  <c r="CG7"/>
  <c r="CG3"/>
  <c r="CW46" i="6" s="1"/>
  <c r="CG12" i="44"/>
  <c r="CG9"/>
  <c r="CG8"/>
  <c r="CK12"/>
  <c r="CK11"/>
  <c r="CK8"/>
  <c r="CK7"/>
  <c r="CK3"/>
  <c r="CW48" i="6" s="1"/>
  <c r="CK10" i="44"/>
  <c r="CK9"/>
  <c r="CO3"/>
  <c r="CW50" i="6" s="1"/>
  <c r="CO11" i="44"/>
  <c r="CO10"/>
  <c r="CO7"/>
  <c r="CO12"/>
  <c r="CO9"/>
  <c r="CO8"/>
  <c r="CS8"/>
  <c r="CS10"/>
  <c r="CS3"/>
  <c r="CW52" i="6" s="1"/>
  <c r="CS11" i="44"/>
  <c r="CS12"/>
  <c r="CS9"/>
  <c r="CS7"/>
  <c r="CE3"/>
  <c r="CW45" i="6" s="1"/>
  <c r="CE9" i="44"/>
  <c r="CE7"/>
  <c r="CE8"/>
  <c r="CE12"/>
  <c r="CE11"/>
  <c r="CE10"/>
  <c r="CI3"/>
  <c r="CW47" i="6" s="1"/>
  <c r="CI9" i="44"/>
  <c r="CI12"/>
  <c r="CI11"/>
  <c r="CI10"/>
  <c r="CI8"/>
  <c r="CI7"/>
  <c r="CM12"/>
  <c r="CM10"/>
  <c r="CM9"/>
  <c r="CM8"/>
  <c r="CM3"/>
  <c r="CW49" i="6" s="1"/>
  <c r="CM11" i="44"/>
  <c r="CM7"/>
  <c r="CQ12"/>
  <c r="CQ9"/>
  <c r="CQ8"/>
  <c r="CQ7"/>
  <c r="CQ11"/>
  <c r="CQ3"/>
  <c r="CW51" i="6" s="1"/>
  <c r="CQ10" i="44"/>
  <c r="CX48" i="6"/>
  <c r="F60" i="31" l="1"/>
  <c r="CX49" i="6"/>
  <c r="CX46"/>
  <c r="CX45"/>
  <c r="CX50"/>
  <c r="CX52"/>
  <c r="CX51"/>
  <c r="CX47"/>
  <c r="F56" i="31"/>
  <c r="CQ51" i="6"/>
  <c r="CR51" s="1"/>
  <c r="E60" i="31" s="1"/>
  <c r="CQ48" i="6"/>
  <c r="CQ46"/>
  <c r="CQ49"/>
  <c r="CQ50"/>
  <c r="CQ52"/>
  <c r="D62" i="31"/>
  <c r="CQ45" i="6"/>
  <c r="CQ47"/>
  <c r="AV24" i="44"/>
  <c r="AV22"/>
  <c r="AV20"/>
  <c r="AV18"/>
  <c r="AV16"/>
  <c r="AX15"/>
  <c r="AV23"/>
  <c r="AV19"/>
  <c r="AV25"/>
  <c r="AV21"/>
  <c r="AV17"/>
  <c r="F57" i="31"/>
  <c r="F61"/>
  <c r="F58"/>
  <c r="F59"/>
  <c r="F54"/>
  <c r="F55"/>
  <c r="AT25" i="45"/>
  <c r="AT23"/>
  <c r="AT21"/>
  <c r="AT19"/>
  <c r="AT17"/>
  <c r="AT24"/>
  <c r="AT22"/>
  <c r="AT20"/>
  <c r="AT18"/>
  <c r="AT16"/>
  <c r="AV15"/>
  <c r="D60" i="31" l="1"/>
  <c r="CS51" i="6"/>
  <c r="CR46"/>
  <c r="E55" i="31" s="1"/>
  <c r="D55"/>
  <c r="CS46" i="6"/>
  <c r="CR48"/>
  <c r="E57" i="31" s="1"/>
  <c r="CS48" i="6"/>
  <c r="D57" i="31"/>
  <c r="CS47" i="6"/>
  <c r="D56" i="31"/>
  <c r="CR47" i="6"/>
  <c r="E56" i="31" s="1"/>
  <c r="D59"/>
  <c r="CS50" i="6"/>
  <c r="CR50"/>
  <c r="E59" i="31" s="1"/>
  <c r="CS45" i="6"/>
  <c r="D54" i="31"/>
  <c r="CR45" i="6"/>
  <c r="E54" i="31" s="1"/>
  <c r="D58"/>
  <c r="CR49" i="6"/>
  <c r="E58" i="31" s="1"/>
  <c r="CS49" i="6"/>
  <c r="D61" i="31"/>
  <c r="CR52" i="6"/>
  <c r="E61" i="31" s="1"/>
  <c r="CS52" i="6"/>
  <c r="AX24" i="44"/>
  <c r="AX22"/>
  <c r="AX20"/>
  <c r="AX18"/>
  <c r="AX16"/>
  <c r="AX25"/>
  <c r="AX21"/>
  <c r="AX17"/>
  <c r="AZ15"/>
  <c r="AX23"/>
  <c r="AX19"/>
  <c r="AV24" i="45"/>
  <c r="AV22"/>
  <c r="AV20"/>
  <c r="AV18"/>
  <c r="AV16"/>
  <c r="AV25"/>
  <c r="AV23"/>
  <c r="AV21"/>
  <c r="AV19"/>
  <c r="AV17"/>
  <c r="AX15"/>
  <c r="B47" i="34"/>
  <c r="A47"/>
  <c r="B46"/>
  <c r="A46"/>
  <c r="B45"/>
  <c r="A45"/>
  <c r="B44"/>
  <c r="A44"/>
  <c r="B43"/>
  <c r="A43"/>
  <c r="B42"/>
  <c r="A42"/>
  <c r="B41"/>
  <c r="A41"/>
  <c r="B40"/>
  <c r="A40"/>
  <c r="B39"/>
  <c r="A39"/>
  <c r="B38"/>
  <c r="A38"/>
  <c r="B37"/>
  <c r="A37"/>
  <c r="B36"/>
  <c r="A36"/>
  <c r="B35"/>
  <c r="A35"/>
  <c r="B34"/>
  <c r="A34"/>
  <c r="B33"/>
  <c r="A33"/>
  <c r="B32"/>
  <c r="A32"/>
  <c r="B31"/>
  <c r="A31"/>
  <c r="B30"/>
  <c r="A30"/>
  <c r="B29"/>
  <c r="A29"/>
  <c r="B28"/>
  <c r="A28"/>
  <c r="B27"/>
  <c r="A27"/>
  <c r="B26"/>
  <c r="A26"/>
  <c r="B25"/>
  <c r="A25"/>
  <c r="B24"/>
  <c r="A24"/>
  <c r="B23"/>
  <c r="A23"/>
  <c r="B22"/>
  <c r="A22"/>
  <c r="B21"/>
  <c r="A21"/>
  <c r="B20"/>
  <c r="A20"/>
  <c r="B19"/>
  <c r="A19"/>
  <c r="B18"/>
  <c r="A18"/>
  <c r="B17"/>
  <c r="A17"/>
  <c r="B16"/>
  <c r="A16"/>
  <c r="B15"/>
  <c r="A15"/>
  <c r="B14"/>
  <c r="A14"/>
  <c r="B13"/>
  <c r="A13"/>
  <c r="B12"/>
  <c r="A12"/>
  <c r="B11"/>
  <c r="A11"/>
  <c r="B10"/>
  <c r="A10"/>
  <c r="B9"/>
  <c r="A9"/>
  <c r="B8"/>
  <c r="A8"/>
  <c r="AZ24" i="44" l="1"/>
  <c r="AZ22"/>
  <c r="AZ20"/>
  <c r="AZ18"/>
  <c r="AZ16"/>
  <c r="BB15"/>
  <c r="AZ23"/>
  <c r="AZ19"/>
  <c r="AZ25"/>
  <c r="AZ21"/>
  <c r="AZ17"/>
  <c r="AX25" i="45"/>
  <c r="AX23"/>
  <c r="AX21"/>
  <c r="AX19"/>
  <c r="AX17"/>
  <c r="AX24"/>
  <c r="AX22"/>
  <c r="AX20"/>
  <c r="AX18"/>
  <c r="AX16"/>
  <c r="AZ15"/>
  <c r="I9" i="31"/>
  <c r="I44" i="17"/>
  <c r="J44" s="1"/>
  <c r="I43"/>
  <c r="J43" s="1"/>
  <c r="I42"/>
  <c r="J42" s="1"/>
  <c r="I41"/>
  <c r="J41" s="1"/>
  <c r="I40"/>
  <c r="J40" s="1"/>
  <c r="I39"/>
  <c r="J39" s="1"/>
  <c r="I38"/>
  <c r="J38" s="1"/>
  <c r="I37"/>
  <c r="J37" s="1"/>
  <c r="I36"/>
  <c r="J36" s="1"/>
  <c r="I35"/>
  <c r="J35" s="1"/>
  <c r="I34"/>
  <c r="J34" s="1"/>
  <c r="I33"/>
  <c r="J33" s="1"/>
  <c r="I32"/>
  <c r="J32" s="1"/>
  <c r="I31"/>
  <c r="J31" s="1"/>
  <c r="I30"/>
  <c r="J30" s="1"/>
  <c r="I29"/>
  <c r="J29" s="1"/>
  <c r="I28"/>
  <c r="J28" s="1"/>
  <c r="I27"/>
  <c r="J27" s="1"/>
  <c r="I26"/>
  <c r="J26" s="1"/>
  <c r="I25"/>
  <c r="J25" s="1"/>
  <c r="I24"/>
  <c r="J24" s="1"/>
  <c r="I23"/>
  <c r="J23" s="1"/>
  <c r="I22"/>
  <c r="J22" s="1"/>
  <c r="I21"/>
  <c r="J21" s="1"/>
  <c r="I20"/>
  <c r="J20" s="1"/>
  <c r="I19"/>
  <c r="J19" s="1"/>
  <c r="I18"/>
  <c r="J18" s="1"/>
  <c r="I17"/>
  <c r="J17" s="1"/>
  <c r="I16"/>
  <c r="J16" s="1"/>
  <c r="I15"/>
  <c r="J15" s="1"/>
  <c r="I14"/>
  <c r="J14" s="1"/>
  <c r="I13"/>
  <c r="J13" s="1"/>
  <c r="I12"/>
  <c r="J12" s="1"/>
  <c r="I11"/>
  <c r="J11" s="1"/>
  <c r="I10"/>
  <c r="J10" s="1"/>
  <c r="I9"/>
  <c r="J9" s="1"/>
  <c r="I8"/>
  <c r="J8" s="1"/>
  <c r="I7"/>
  <c r="J7" s="1"/>
  <c r="I6"/>
  <c r="J6" s="1"/>
  <c r="I5"/>
  <c r="J5" s="1"/>
  <c r="N44"/>
  <c r="N43"/>
  <c r="N42"/>
  <c r="N41"/>
  <c r="N40"/>
  <c r="N39"/>
  <c r="N38"/>
  <c r="N37"/>
  <c r="N36"/>
  <c r="N35"/>
  <c r="N34"/>
  <c r="N33"/>
  <c r="N32"/>
  <c r="N31"/>
  <c r="N30"/>
  <c r="N29"/>
  <c r="N28"/>
  <c r="N27"/>
  <c r="N26"/>
  <c r="N25"/>
  <c r="N24"/>
  <c r="N23"/>
  <c r="N22"/>
  <c r="N21"/>
  <c r="N20"/>
  <c r="N19"/>
  <c r="N18"/>
  <c r="N17"/>
  <c r="N16"/>
  <c r="N15"/>
  <c r="N14"/>
  <c r="N13"/>
  <c r="N12"/>
  <c r="N11"/>
  <c r="N10"/>
  <c r="N9"/>
  <c r="N8"/>
  <c r="N7"/>
  <c r="N6"/>
  <c r="N5"/>
  <c r="O5" s="1"/>
  <c r="S44"/>
  <c r="S43"/>
  <c r="S42"/>
  <c r="S41"/>
  <c r="S40"/>
  <c r="S39"/>
  <c r="S38"/>
  <c r="S37"/>
  <c r="S36"/>
  <c r="S35"/>
  <c r="S34"/>
  <c r="S33"/>
  <c r="S32"/>
  <c r="S31"/>
  <c r="S30"/>
  <c r="S29"/>
  <c r="S28"/>
  <c r="S27"/>
  <c r="S26"/>
  <c r="S25"/>
  <c r="S24"/>
  <c r="S23"/>
  <c r="S22"/>
  <c r="S21"/>
  <c r="S20"/>
  <c r="S19"/>
  <c r="S18"/>
  <c r="S17"/>
  <c r="S16"/>
  <c r="S15"/>
  <c r="S14"/>
  <c r="S13"/>
  <c r="S12"/>
  <c r="S11"/>
  <c r="S10"/>
  <c r="S9"/>
  <c r="S8"/>
  <c r="S7"/>
  <c r="S6"/>
  <c r="S5"/>
  <c r="T5" s="1"/>
  <c r="X44"/>
  <c r="X43"/>
  <c r="X42"/>
  <c r="X41"/>
  <c r="X40"/>
  <c r="X39"/>
  <c r="X38"/>
  <c r="X37"/>
  <c r="X36"/>
  <c r="X35"/>
  <c r="X34"/>
  <c r="X33"/>
  <c r="X32"/>
  <c r="X31"/>
  <c r="X30"/>
  <c r="X29"/>
  <c r="X28"/>
  <c r="X27"/>
  <c r="X26"/>
  <c r="X25"/>
  <c r="X24"/>
  <c r="X23"/>
  <c r="X22"/>
  <c r="X21"/>
  <c r="X20"/>
  <c r="X19"/>
  <c r="X18"/>
  <c r="X17"/>
  <c r="X16"/>
  <c r="X15"/>
  <c r="X14"/>
  <c r="X13"/>
  <c r="X12"/>
  <c r="X11"/>
  <c r="X10"/>
  <c r="X9"/>
  <c r="X8"/>
  <c r="X7"/>
  <c r="X6"/>
  <c r="X5"/>
  <c r="Y5" s="1"/>
  <c r="AC44"/>
  <c r="AC43"/>
  <c r="AC42"/>
  <c r="AC41"/>
  <c r="AC40"/>
  <c r="AC39"/>
  <c r="AC38"/>
  <c r="AC37"/>
  <c r="AC36"/>
  <c r="AC35"/>
  <c r="AC34"/>
  <c r="AC33"/>
  <c r="AC32"/>
  <c r="AC31"/>
  <c r="AC30"/>
  <c r="AC29"/>
  <c r="AC28"/>
  <c r="AC27"/>
  <c r="AC26"/>
  <c r="AC25"/>
  <c r="AC24"/>
  <c r="AC23"/>
  <c r="AC22"/>
  <c r="AC21"/>
  <c r="AC20"/>
  <c r="AC19"/>
  <c r="AC18"/>
  <c r="AC17"/>
  <c r="AC16"/>
  <c r="AC15"/>
  <c r="AC14"/>
  <c r="AC13"/>
  <c r="AC12"/>
  <c r="AC11"/>
  <c r="AC10"/>
  <c r="AC9"/>
  <c r="AC8"/>
  <c r="AC7"/>
  <c r="AC6"/>
  <c r="AC5"/>
  <c r="AD5" s="1"/>
  <c r="AH44"/>
  <c r="AH43"/>
  <c r="AH42"/>
  <c r="AH41"/>
  <c r="AH40"/>
  <c r="AH39"/>
  <c r="AH38"/>
  <c r="AH37"/>
  <c r="AH36"/>
  <c r="AH35"/>
  <c r="AH34"/>
  <c r="AH33"/>
  <c r="AH32"/>
  <c r="AH31"/>
  <c r="AH30"/>
  <c r="AH29"/>
  <c r="AH28"/>
  <c r="AH27"/>
  <c r="AH26"/>
  <c r="AH25"/>
  <c r="AH24"/>
  <c r="AH23"/>
  <c r="AH22"/>
  <c r="AH21"/>
  <c r="AH20"/>
  <c r="AH19"/>
  <c r="AH18"/>
  <c r="AH17"/>
  <c r="AH16"/>
  <c r="AH15"/>
  <c r="AH14"/>
  <c r="AH13"/>
  <c r="AH12"/>
  <c r="AH11"/>
  <c r="AH10"/>
  <c r="AH9"/>
  <c r="AH8"/>
  <c r="AH7"/>
  <c r="AH6"/>
  <c r="AH5"/>
  <c r="AI5" s="1"/>
  <c r="AM44"/>
  <c r="AN44" s="1"/>
  <c r="AM43"/>
  <c r="AN43" s="1"/>
  <c r="AM42"/>
  <c r="AN42" s="1"/>
  <c r="AM41"/>
  <c r="AN41" s="1"/>
  <c r="AM40"/>
  <c r="AN40" s="1"/>
  <c r="AM39"/>
  <c r="AN39" s="1"/>
  <c r="AM38"/>
  <c r="AN38" s="1"/>
  <c r="AM37"/>
  <c r="AN37" s="1"/>
  <c r="AM36"/>
  <c r="AN36" s="1"/>
  <c r="AM35"/>
  <c r="AN35" s="1"/>
  <c r="AM34"/>
  <c r="AN34" s="1"/>
  <c r="AM33"/>
  <c r="AN33" s="1"/>
  <c r="AM32"/>
  <c r="AN32" s="1"/>
  <c r="AM31"/>
  <c r="AN31" s="1"/>
  <c r="AM30"/>
  <c r="AN30" s="1"/>
  <c r="AM29"/>
  <c r="AN29" s="1"/>
  <c r="AM28"/>
  <c r="AN28" s="1"/>
  <c r="AM27"/>
  <c r="AN27" s="1"/>
  <c r="AM26"/>
  <c r="AN26" s="1"/>
  <c r="AM25"/>
  <c r="AN25" s="1"/>
  <c r="AM24"/>
  <c r="AN24" s="1"/>
  <c r="AM23"/>
  <c r="AN23" s="1"/>
  <c r="AM22"/>
  <c r="AN22" s="1"/>
  <c r="AM21"/>
  <c r="AN21" s="1"/>
  <c r="AM20"/>
  <c r="AN20" s="1"/>
  <c r="AM19"/>
  <c r="AN19" s="1"/>
  <c r="AM18"/>
  <c r="AN18" s="1"/>
  <c r="AM17"/>
  <c r="AN17" s="1"/>
  <c r="AM16"/>
  <c r="AN16" s="1"/>
  <c r="AM15"/>
  <c r="AN15" s="1"/>
  <c r="AM14"/>
  <c r="AN14" s="1"/>
  <c r="AM13"/>
  <c r="AN13" s="1"/>
  <c r="AM12"/>
  <c r="AN12" s="1"/>
  <c r="AM11"/>
  <c r="AN11" s="1"/>
  <c r="AM10"/>
  <c r="AN10" s="1"/>
  <c r="AM9"/>
  <c r="AN9" s="1"/>
  <c r="AM8"/>
  <c r="AN8" s="1"/>
  <c r="AM7"/>
  <c r="AN7" s="1"/>
  <c r="AM6"/>
  <c r="AN6" s="1"/>
  <c r="AM5"/>
  <c r="AN5" s="1"/>
  <c r="AR44"/>
  <c r="AR43"/>
  <c r="AR42"/>
  <c r="AR41"/>
  <c r="AR40"/>
  <c r="AR39"/>
  <c r="AR38"/>
  <c r="AR37"/>
  <c r="AR36"/>
  <c r="AR35"/>
  <c r="AR34"/>
  <c r="AR33"/>
  <c r="AR32"/>
  <c r="AR31"/>
  <c r="AR30"/>
  <c r="AR29"/>
  <c r="AR28"/>
  <c r="AR27"/>
  <c r="AR26"/>
  <c r="AR25"/>
  <c r="AR24"/>
  <c r="AR23"/>
  <c r="AR22"/>
  <c r="AR21"/>
  <c r="AR20"/>
  <c r="AR19"/>
  <c r="AR18"/>
  <c r="AR17"/>
  <c r="AR16"/>
  <c r="AR15"/>
  <c r="AR14"/>
  <c r="AR13"/>
  <c r="AR12"/>
  <c r="AR11"/>
  <c r="AR10"/>
  <c r="AR9"/>
  <c r="AR8"/>
  <c r="AR7"/>
  <c r="AR6"/>
  <c r="AR5"/>
  <c r="AS5" s="1"/>
  <c r="AW44"/>
  <c r="AW43"/>
  <c r="AW42"/>
  <c r="AW41"/>
  <c r="AW40"/>
  <c r="AW39"/>
  <c r="AW38"/>
  <c r="AW37"/>
  <c r="AW36"/>
  <c r="AW35"/>
  <c r="AW34"/>
  <c r="AW33"/>
  <c r="AW32"/>
  <c r="AW31"/>
  <c r="AW30"/>
  <c r="AW29"/>
  <c r="AW28"/>
  <c r="AW27"/>
  <c r="AW26"/>
  <c r="AW25"/>
  <c r="AW24"/>
  <c r="AW23"/>
  <c r="AW22"/>
  <c r="AW21"/>
  <c r="AW20"/>
  <c r="AW19"/>
  <c r="AW18"/>
  <c r="AW17"/>
  <c r="AW16"/>
  <c r="AW15"/>
  <c r="AW14"/>
  <c r="AW13"/>
  <c r="AW12"/>
  <c r="AW11"/>
  <c r="AW10"/>
  <c r="AW9"/>
  <c r="AW8"/>
  <c r="AW7"/>
  <c r="AW6"/>
  <c r="AW5"/>
  <c r="AX5" s="1"/>
  <c r="BB6"/>
  <c r="BB7"/>
  <c r="BB8"/>
  <c r="BB9"/>
  <c r="BB10"/>
  <c r="BB11"/>
  <c r="BB12"/>
  <c r="BB13"/>
  <c r="BB14"/>
  <c r="BB15"/>
  <c r="BB16"/>
  <c r="BB17"/>
  <c r="BB18"/>
  <c r="BB19"/>
  <c r="BB20"/>
  <c r="BB21"/>
  <c r="BB22"/>
  <c r="BB23"/>
  <c r="BB24"/>
  <c r="BB25"/>
  <c r="BB26"/>
  <c r="BB27"/>
  <c r="BB28"/>
  <c r="BB29"/>
  <c r="BB30"/>
  <c r="BB31"/>
  <c r="BB32"/>
  <c r="BB33"/>
  <c r="BB34"/>
  <c r="BB35"/>
  <c r="BB36"/>
  <c r="BB37"/>
  <c r="BB38"/>
  <c r="BB39"/>
  <c r="BB40"/>
  <c r="BB41"/>
  <c r="BB42"/>
  <c r="BB43"/>
  <c r="BB44"/>
  <c r="BB5"/>
  <c r="BC5" s="1"/>
  <c r="E44" i="33"/>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BG2"/>
  <c r="BB24" i="44" l="1"/>
  <c r="BB22"/>
  <c r="BB20"/>
  <c r="BB18"/>
  <c r="BB16"/>
  <c r="BB25"/>
  <c r="BB21"/>
  <c r="BB17"/>
  <c r="BB23"/>
  <c r="BB19"/>
  <c r="BD15"/>
  <c r="AZ24" i="45"/>
  <c r="AZ22"/>
  <c r="AZ20"/>
  <c r="AZ18"/>
  <c r="AZ16"/>
  <c r="AZ25"/>
  <c r="AZ23"/>
  <c r="AZ21"/>
  <c r="AZ19"/>
  <c r="AZ17"/>
  <c r="BB15"/>
  <c r="BC44" i="17"/>
  <c r="BC42"/>
  <c r="BC40"/>
  <c r="BC38"/>
  <c r="BC36"/>
  <c r="BC34"/>
  <c r="BC32"/>
  <c r="BC30"/>
  <c r="BC28"/>
  <c r="BC26"/>
  <c r="BC24"/>
  <c r="BC22"/>
  <c r="BC20"/>
  <c r="BC18"/>
  <c r="BC16"/>
  <c r="BC14"/>
  <c r="BC12"/>
  <c r="BC10"/>
  <c r="BC8"/>
  <c r="BC6"/>
  <c r="BC43"/>
  <c r="BC41"/>
  <c r="BC39"/>
  <c r="BC37"/>
  <c r="BC35"/>
  <c r="BC33"/>
  <c r="BC31"/>
  <c r="BC29"/>
  <c r="BC27"/>
  <c r="BC25"/>
  <c r="BC23"/>
  <c r="BC21"/>
  <c r="BC19"/>
  <c r="BC17"/>
  <c r="BC15"/>
  <c r="BC13"/>
  <c r="BC11"/>
  <c r="BC9"/>
  <c r="BC7"/>
  <c r="AX6"/>
  <c r="AX8"/>
  <c r="AX10"/>
  <c r="AX12"/>
  <c r="AX14"/>
  <c r="AX16"/>
  <c r="AX18"/>
  <c r="AX20"/>
  <c r="AX22"/>
  <c r="AX24"/>
  <c r="AX26"/>
  <c r="AX28"/>
  <c r="AX30"/>
  <c r="AX32"/>
  <c r="AX34"/>
  <c r="AX36"/>
  <c r="AX38"/>
  <c r="AX40"/>
  <c r="AX42"/>
  <c r="AX44"/>
  <c r="AS6"/>
  <c r="AS8"/>
  <c r="AS10"/>
  <c r="AS12"/>
  <c r="AS14"/>
  <c r="AS16"/>
  <c r="AS18"/>
  <c r="AS20"/>
  <c r="AS22"/>
  <c r="AS24"/>
  <c r="AS26"/>
  <c r="AS28"/>
  <c r="AS30"/>
  <c r="AS32"/>
  <c r="AS34"/>
  <c r="AS36"/>
  <c r="AS38"/>
  <c r="AS40"/>
  <c r="AS42"/>
  <c r="AS44"/>
  <c r="AI6"/>
  <c r="AI8"/>
  <c r="AI10"/>
  <c r="AI12"/>
  <c r="AI14"/>
  <c r="AI16"/>
  <c r="AI18"/>
  <c r="AI20"/>
  <c r="AI22"/>
  <c r="AI24"/>
  <c r="AI26"/>
  <c r="AI28"/>
  <c r="AI30"/>
  <c r="AI32"/>
  <c r="AI34"/>
  <c r="AI36"/>
  <c r="AI38"/>
  <c r="AI40"/>
  <c r="AI42"/>
  <c r="AI44"/>
  <c r="AD6"/>
  <c r="AD8"/>
  <c r="AD10"/>
  <c r="AD12"/>
  <c r="AD14"/>
  <c r="AD16"/>
  <c r="AD18"/>
  <c r="AD20"/>
  <c r="AD22"/>
  <c r="AD24"/>
  <c r="AD26"/>
  <c r="AD28"/>
  <c r="AD30"/>
  <c r="AD32"/>
  <c r="AD34"/>
  <c r="AD36"/>
  <c r="AD38"/>
  <c r="AD40"/>
  <c r="AD42"/>
  <c r="AD44"/>
  <c r="Y6"/>
  <c r="Y8"/>
  <c r="Y10"/>
  <c r="Y12"/>
  <c r="Y14"/>
  <c r="Y16"/>
  <c r="Y18"/>
  <c r="Y20"/>
  <c r="Y22"/>
  <c r="Y24"/>
  <c r="Y26"/>
  <c r="Y28"/>
  <c r="Y30"/>
  <c r="Y32"/>
  <c r="Y34"/>
  <c r="Y36"/>
  <c r="Y38"/>
  <c r="Y40"/>
  <c r="Y42"/>
  <c r="Y44"/>
  <c r="T6"/>
  <c r="T8"/>
  <c r="T10"/>
  <c r="T12"/>
  <c r="T14"/>
  <c r="T16"/>
  <c r="T18"/>
  <c r="T20"/>
  <c r="T22"/>
  <c r="T24"/>
  <c r="T26"/>
  <c r="T28"/>
  <c r="T30"/>
  <c r="T32"/>
  <c r="T34"/>
  <c r="T36"/>
  <c r="T38"/>
  <c r="T40"/>
  <c r="T42"/>
  <c r="T44"/>
  <c r="O6"/>
  <c r="O8"/>
  <c r="O10"/>
  <c r="O12"/>
  <c r="O14"/>
  <c r="O16"/>
  <c r="O18"/>
  <c r="O20"/>
  <c r="O22"/>
  <c r="O24"/>
  <c r="O26"/>
  <c r="O28"/>
  <c r="O30"/>
  <c r="O32"/>
  <c r="O34"/>
  <c r="O36"/>
  <c r="O38"/>
  <c r="O40"/>
  <c r="O42"/>
  <c r="O44"/>
  <c r="AX7"/>
  <c r="AX9"/>
  <c r="AX11"/>
  <c r="AX13"/>
  <c r="AX15"/>
  <c r="AX17"/>
  <c r="AX19"/>
  <c r="AX21"/>
  <c r="AX23"/>
  <c r="AX25"/>
  <c r="AX27"/>
  <c r="AX29"/>
  <c r="AX31"/>
  <c r="AX33"/>
  <c r="AX35"/>
  <c r="AX37"/>
  <c r="AX39"/>
  <c r="AX41"/>
  <c r="AX43"/>
  <c r="AS7"/>
  <c r="AS9"/>
  <c r="AS11"/>
  <c r="AS13"/>
  <c r="AS15"/>
  <c r="AS17"/>
  <c r="AS19"/>
  <c r="AS21"/>
  <c r="AS23"/>
  <c r="AS25"/>
  <c r="AS27"/>
  <c r="AS29"/>
  <c r="AS31"/>
  <c r="AS33"/>
  <c r="AS35"/>
  <c r="AS37"/>
  <c r="AS39"/>
  <c r="AS41"/>
  <c r="AS43"/>
  <c r="AI7"/>
  <c r="AI9"/>
  <c r="AI11"/>
  <c r="AI13"/>
  <c r="AI15"/>
  <c r="AI17"/>
  <c r="AI19"/>
  <c r="AI21"/>
  <c r="AI23"/>
  <c r="AI25"/>
  <c r="AI27"/>
  <c r="AI29"/>
  <c r="AI31"/>
  <c r="AI33"/>
  <c r="AI35"/>
  <c r="AI37"/>
  <c r="AI39"/>
  <c r="AI41"/>
  <c r="AI43"/>
  <c r="AD7"/>
  <c r="AD9"/>
  <c r="AD11"/>
  <c r="AD13"/>
  <c r="AD15"/>
  <c r="AD17"/>
  <c r="AD19"/>
  <c r="AD21"/>
  <c r="AD23"/>
  <c r="AD25"/>
  <c r="AD27"/>
  <c r="AD29"/>
  <c r="AD31"/>
  <c r="AD33"/>
  <c r="AD35"/>
  <c r="AD37"/>
  <c r="AD39"/>
  <c r="AD41"/>
  <c r="AD43"/>
  <c r="Y7"/>
  <c r="Y9"/>
  <c r="Y11"/>
  <c r="Y13"/>
  <c r="Y15"/>
  <c r="Y17"/>
  <c r="Y19"/>
  <c r="Y21"/>
  <c r="Y23"/>
  <c r="Y25"/>
  <c r="Y27"/>
  <c r="Y29"/>
  <c r="Y31"/>
  <c r="Y33"/>
  <c r="Y35"/>
  <c r="Y37"/>
  <c r="Y39"/>
  <c r="Y41"/>
  <c r="Y43"/>
  <c r="T7"/>
  <c r="T9"/>
  <c r="T11"/>
  <c r="T13"/>
  <c r="T15"/>
  <c r="T17"/>
  <c r="T19"/>
  <c r="T21"/>
  <c r="T23"/>
  <c r="T25"/>
  <c r="T27"/>
  <c r="T29"/>
  <c r="T31"/>
  <c r="T33"/>
  <c r="T35"/>
  <c r="T37"/>
  <c r="T39"/>
  <c r="T41"/>
  <c r="T43"/>
  <c r="O7"/>
  <c r="O9"/>
  <c r="O11"/>
  <c r="O13"/>
  <c r="O15"/>
  <c r="O17"/>
  <c r="O19"/>
  <c r="O21"/>
  <c r="O23"/>
  <c r="O25"/>
  <c r="O27"/>
  <c r="O29"/>
  <c r="O31"/>
  <c r="O33"/>
  <c r="O35"/>
  <c r="O37"/>
  <c r="O39"/>
  <c r="O41"/>
  <c r="O43"/>
  <c r="BA5" i="33"/>
  <c r="AV5"/>
  <c r="AQ5"/>
  <c r="AL5"/>
  <c r="AG5"/>
  <c r="AB5"/>
  <c r="W5"/>
  <c r="R5"/>
  <c r="M5"/>
  <c r="A37" i="9"/>
  <c r="B37"/>
  <c r="C37"/>
  <c r="D37"/>
  <c r="E37"/>
  <c r="A38"/>
  <c r="B38"/>
  <c r="C38"/>
  <c r="D38"/>
  <c r="E38"/>
  <c r="A39"/>
  <c r="B39"/>
  <c r="C39"/>
  <c r="D39"/>
  <c r="E39"/>
  <c r="A40"/>
  <c r="B40"/>
  <c r="C40"/>
  <c r="D40"/>
  <c r="E40"/>
  <c r="A41"/>
  <c r="B41"/>
  <c r="C41"/>
  <c r="D41"/>
  <c r="E41"/>
  <c r="A42"/>
  <c r="B42"/>
  <c r="C42"/>
  <c r="D42"/>
  <c r="E42"/>
  <c r="A43"/>
  <c r="B43"/>
  <c r="C43"/>
  <c r="D43"/>
  <c r="E43"/>
  <c r="A44"/>
  <c r="B44"/>
  <c r="C44"/>
  <c r="D44"/>
  <c r="E44"/>
  <c r="A45"/>
  <c r="B45"/>
  <c r="C45"/>
  <c r="D45"/>
  <c r="E45"/>
  <c r="A46"/>
  <c r="B46"/>
  <c r="C46"/>
  <c r="D46"/>
  <c r="E46"/>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B7"/>
  <c r="C7"/>
  <c r="D7"/>
  <c r="E7"/>
  <c r="A7"/>
  <c r="A6" i="8"/>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BD24" i="44" l="1"/>
  <c r="BD22"/>
  <c r="BD20"/>
  <c r="BD18"/>
  <c r="BD16"/>
  <c r="BF15"/>
  <c r="BD23"/>
  <c r="BD19"/>
  <c r="BD25"/>
  <c r="BD21"/>
  <c r="BD17"/>
  <c r="BB25" i="45"/>
  <c r="BB23"/>
  <c r="BB21"/>
  <c r="BB19"/>
  <c r="BB17"/>
  <c r="BB24"/>
  <c r="BB22"/>
  <c r="BB20"/>
  <c r="BB18"/>
  <c r="BB16"/>
  <c r="BD15"/>
  <c r="BF24" i="44" l="1"/>
  <c r="BF22"/>
  <c r="BF20"/>
  <c r="BF18"/>
  <c r="BF16"/>
  <c r="BF25"/>
  <c r="BF21"/>
  <c r="BF17"/>
  <c r="BH15"/>
  <c r="BF23"/>
  <c r="BF19"/>
  <c r="BD24" i="45"/>
  <c r="BD22"/>
  <c r="BD20"/>
  <c r="BD18"/>
  <c r="BD16"/>
  <c r="BD25"/>
  <c r="BD23"/>
  <c r="BD21"/>
  <c r="BD19"/>
  <c r="BD17"/>
  <c r="BF15"/>
  <c r="A15" i="31"/>
  <c r="B15"/>
  <c r="C15"/>
  <c r="A16"/>
  <c r="B16"/>
  <c r="C16"/>
  <c r="A17"/>
  <c r="B17"/>
  <c r="C17"/>
  <c r="A18"/>
  <c r="B18"/>
  <c r="C18"/>
  <c r="A19"/>
  <c r="B19"/>
  <c r="C19"/>
  <c r="A20"/>
  <c r="B20"/>
  <c r="C20"/>
  <c r="A21"/>
  <c r="B21"/>
  <c r="C21"/>
  <c r="A22"/>
  <c r="B22"/>
  <c r="C22"/>
  <c r="A23"/>
  <c r="B23"/>
  <c r="C23"/>
  <c r="A24"/>
  <c r="B24"/>
  <c r="C24"/>
  <c r="A25"/>
  <c r="B25"/>
  <c r="C25"/>
  <c r="A26"/>
  <c r="B26"/>
  <c r="C26"/>
  <c r="A27"/>
  <c r="B27"/>
  <c r="C27"/>
  <c r="A28"/>
  <c r="B28"/>
  <c r="C28"/>
  <c r="A29"/>
  <c r="B29"/>
  <c r="C29"/>
  <c r="A30"/>
  <c r="B30"/>
  <c r="C30"/>
  <c r="A31"/>
  <c r="B31"/>
  <c r="C31"/>
  <c r="A32"/>
  <c r="B32"/>
  <c r="C32"/>
  <c r="A33"/>
  <c r="B33"/>
  <c r="C33"/>
  <c r="A34"/>
  <c r="B34"/>
  <c r="C34"/>
  <c r="A35"/>
  <c r="B35"/>
  <c r="C35"/>
  <c r="A36"/>
  <c r="B36"/>
  <c r="C36"/>
  <c r="A37"/>
  <c r="B37"/>
  <c r="C37"/>
  <c r="A38"/>
  <c r="B38"/>
  <c r="C38"/>
  <c r="A39"/>
  <c r="B39"/>
  <c r="C39"/>
  <c r="A40"/>
  <c r="B40"/>
  <c r="C40"/>
  <c r="A41"/>
  <c r="B41"/>
  <c r="C41"/>
  <c r="A42"/>
  <c r="B42"/>
  <c r="C42"/>
  <c r="A43"/>
  <c r="B43"/>
  <c r="C43"/>
  <c r="A44"/>
  <c r="B44"/>
  <c r="C44"/>
  <c r="A45"/>
  <c r="B45"/>
  <c r="C45"/>
  <c r="A46"/>
  <c r="B46"/>
  <c r="C46"/>
  <c r="A47"/>
  <c r="B47"/>
  <c r="C47"/>
  <c r="A48"/>
  <c r="B48"/>
  <c r="C48"/>
  <c r="A49"/>
  <c r="B49"/>
  <c r="C49"/>
  <c r="A50"/>
  <c r="B50"/>
  <c r="C50"/>
  <c r="A51"/>
  <c r="B51"/>
  <c r="C51"/>
  <c r="A52"/>
  <c r="B52"/>
  <c r="C52"/>
  <c r="A53"/>
  <c r="B53"/>
  <c r="C53"/>
  <c r="B14"/>
  <c r="C14"/>
  <c r="A14"/>
  <c r="BH24" i="44" l="1"/>
  <c r="BH22"/>
  <c r="BH20"/>
  <c r="BH18"/>
  <c r="BH16"/>
  <c r="BJ15"/>
  <c r="BH23"/>
  <c r="BH19"/>
  <c r="BH25"/>
  <c r="BH21"/>
  <c r="BH17"/>
  <c r="B12" i="42"/>
  <c r="C12"/>
  <c r="L12"/>
  <c r="H12"/>
  <c r="F12"/>
  <c r="I12"/>
  <c r="G12"/>
  <c r="B11"/>
  <c r="BF25" i="45"/>
  <c r="BF23"/>
  <c r="BF21"/>
  <c r="BF19"/>
  <c r="BF17"/>
  <c r="BF24"/>
  <c r="BF22"/>
  <c r="BF20"/>
  <c r="BF18"/>
  <c r="BF16"/>
  <c r="BH15"/>
  <c r="B5" i="42"/>
  <c r="D3" i="31"/>
  <c r="D2"/>
  <c r="BJ24" i="44" l="1"/>
  <c r="BJ22"/>
  <c r="BJ20"/>
  <c r="BJ18"/>
  <c r="BJ16"/>
  <c r="BJ25"/>
  <c r="BJ21"/>
  <c r="BJ17"/>
  <c r="BJ23"/>
  <c r="BJ19"/>
  <c r="BL15"/>
  <c r="BH24" i="45"/>
  <c r="BH22"/>
  <c r="BH20"/>
  <c r="BH18"/>
  <c r="BH16"/>
  <c r="BH25"/>
  <c r="BH23"/>
  <c r="BH21"/>
  <c r="BH19"/>
  <c r="BH17"/>
  <c r="BJ15"/>
  <c r="M1" i="30"/>
  <c r="DB58"/>
  <c r="DB57"/>
  <c r="DB56"/>
  <c r="DB55"/>
  <c r="DB54"/>
  <c r="DB53"/>
  <c r="DB52"/>
  <c r="DB51"/>
  <c r="DB50"/>
  <c r="DB49"/>
  <c r="DB48"/>
  <c r="DB47"/>
  <c r="DB46"/>
  <c r="DB45"/>
  <c r="DB44"/>
  <c r="DB43"/>
  <c r="DB42"/>
  <c r="DB41"/>
  <c r="DB40"/>
  <c r="DB39"/>
  <c r="DB38"/>
  <c r="DB37"/>
  <c r="DB36"/>
  <c r="DB35"/>
  <c r="DB34"/>
  <c r="DB33"/>
  <c r="DB32"/>
  <c r="DB31"/>
  <c r="DB30"/>
  <c r="DB29"/>
  <c r="DB28"/>
  <c r="DB27"/>
  <c r="DB26"/>
  <c r="DB25"/>
  <c r="DB24"/>
  <c r="DB23"/>
  <c r="DB22"/>
  <c r="DB21"/>
  <c r="DB20"/>
  <c r="DB19"/>
  <c r="DB17"/>
  <c r="CP58"/>
  <c r="CP57"/>
  <c r="CP56"/>
  <c r="CP55"/>
  <c r="CP54"/>
  <c r="CP53"/>
  <c r="CP52"/>
  <c r="CP51"/>
  <c r="CP50"/>
  <c r="CP49"/>
  <c r="CP48"/>
  <c r="CP47"/>
  <c r="CP46"/>
  <c r="CP45"/>
  <c r="CP44"/>
  <c r="CP43"/>
  <c r="CP42"/>
  <c r="CP41"/>
  <c r="CP40"/>
  <c r="CP39"/>
  <c r="CP38"/>
  <c r="CP37"/>
  <c r="CP36"/>
  <c r="CP35"/>
  <c r="CP34"/>
  <c r="CP33"/>
  <c r="CP32"/>
  <c r="CP31"/>
  <c r="CP30"/>
  <c r="CP29"/>
  <c r="CP28"/>
  <c r="CP27"/>
  <c r="CP26"/>
  <c r="CP25"/>
  <c r="CP24"/>
  <c r="CP23"/>
  <c r="CP22"/>
  <c r="CP21"/>
  <c r="CP20"/>
  <c r="CP19"/>
  <c r="CP17"/>
  <c r="CD58"/>
  <c r="CD57"/>
  <c r="CD56"/>
  <c r="CD55"/>
  <c r="CD54"/>
  <c r="CD53"/>
  <c r="CD52"/>
  <c r="CD51"/>
  <c r="CD50"/>
  <c r="CD49"/>
  <c r="CD48"/>
  <c r="CD47"/>
  <c r="CD46"/>
  <c r="CD45"/>
  <c r="CD44"/>
  <c r="CD43"/>
  <c r="CD42"/>
  <c r="CD41"/>
  <c r="CD40"/>
  <c r="CD39"/>
  <c r="CD38"/>
  <c r="CD37"/>
  <c r="CD36"/>
  <c r="CD35"/>
  <c r="CD34"/>
  <c r="CD33"/>
  <c r="CD32"/>
  <c r="CD31"/>
  <c r="CD30"/>
  <c r="CD29"/>
  <c r="CD28"/>
  <c r="CD27"/>
  <c r="CD26"/>
  <c r="CD25"/>
  <c r="CD24"/>
  <c r="CD23"/>
  <c r="CD22"/>
  <c r="CD21"/>
  <c r="CD20"/>
  <c r="CD19"/>
  <c r="CD17"/>
  <c r="BR58"/>
  <c r="BR57"/>
  <c r="BR56"/>
  <c r="BR55"/>
  <c r="BR54"/>
  <c r="BR53"/>
  <c r="BR52"/>
  <c r="BR51"/>
  <c r="BR50"/>
  <c r="BR49"/>
  <c r="BR48"/>
  <c r="BR47"/>
  <c r="BR46"/>
  <c r="BR45"/>
  <c r="BR44"/>
  <c r="BR43"/>
  <c r="BR42"/>
  <c r="BR41"/>
  <c r="BR40"/>
  <c r="BR39"/>
  <c r="BR38"/>
  <c r="BR37"/>
  <c r="BR36"/>
  <c r="BR35"/>
  <c r="BR34"/>
  <c r="BR33"/>
  <c r="BR32"/>
  <c r="BR31"/>
  <c r="BR30"/>
  <c r="BR29"/>
  <c r="BR28"/>
  <c r="BR27"/>
  <c r="BR26"/>
  <c r="BR25"/>
  <c r="BR24"/>
  <c r="BR23"/>
  <c r="BR22"/>
  <c r="BR21"/>
  <c r="BR20"/>
  <c r="BR19"/>
  <c r="BR17"/>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F22"/>
  <c r="BF21"/>
  <c r="BF20"/>
  <c r="BF19"/>
  <c r="BF17"/>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AT23"/>
  <c r="AT22"/>
  <c r="AT21"/>
  <c r="AT20"/>
  <c r="AT19"/>
  <c r="AT17"/>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H23"/>
  <c r="AH22"/>
  <c r="AH21"/>
  <c r="AH20"/>
  <c r="AH19"/>
  <c r="AH17"/>
  <c r="V58"/>
  <c r="V57"/>
  <c r="V56"/>
  <c r="V55"/>
  <c r="V54"/>
  <c r="V53"/>
  <c r="V52"/>
  <c r="V51"/>
  <c r="V50"/>
  <c r="V49"/>
  <c r="V48"/>
  <c r="V47"/>
  <c r="V46"/>
  <c r="V45"/>
  <c r="V44"/>
  <c r="V43"/>
  <c r="V42"/>
  <c r="V41"/>
  <c r="V40"/>
  <c r="V39"/>
  <c r="V38"/>
  <c r="V37"/>
  <c r="V36"/>
  <c r="V35"/>
  <c r="V34"/>
  <c r="V33"/>
  <c r="V32"/>
  <c r="V31"/>
  <c r="V30"/>
  <c r="V29"/>
  <c r="V28"/>
  <c r="V27"/>
  <c r="V26"/>
  <c r="V25"/>
  <c r="V24"/>
  <c r="V23"/>
  <c r="V22"/>
  <c r="V21"/>
  <c r="V20"/>
  <c r="V19"/>
  <c r="V17"/>
  <c r="DN58"/>
  <c r="DN57"/>
  <c r="DN56"/>
  <c r="DN55"/>
  <c r="DN54"/>
  <c r="DN53"/>
  <c r="DN52"/>
  <c r="DN51"/>
  <c r="DN50"/>
  <c r="DN49"/>
  <c r="DN48"/>
  <c r="DN47"/>
  <c r="DN46"/>
  <c r="DN45"/>
  <c r="DN44"/>
  <c r="DN43"/>
  <c r="DN42"/>
  <c r="DN41"/>
  <c r="DN40"/>
  <c r="DN39"/>
  <c r="DN38"/>
  <c r="DN37"/>
  <c r="DN36"/>
  <c r="DN35"/>
  <c r="DN34"/>
  <c r="DN33"/>
  <c r="DN32"/>
  <c r="DN31"/>
  <c r="DN30"/>
  <c r="DN29"/>
  <c r="DN28"/>
  <c r="DN27"/>
  <c r="DN26"/>
  <c r="DN25"/>
  <c r="DN24"/>
  <c r="DN23"/>
  <c r="DN22"/>
  <c r="DN21"/>
  <c r="DN20"/>
  <c r="DN19"/>
  <c r="DN17"/>
  <c r="C1"/>
  <c r="C2"/>
  <c r="L74"/>
  <c r="B74"/>
  <c r="L73"/>
  <c r="B73"/>
  <c r="B70"/>
  <c r="L69"/>
  <c r="J58"/>
  <c r="B58"/>
  <c r="A58"/>
  <c r="J57"/>
  <c r="B57"/>
  <c r="A57"/>
  <c r="J56"/>
  <c r="B56"/>
  <c r="A56"/>
  <c r="J55"/>
  <c r="B55"/>
  <c r="A55"/>
  <c r="J54"/>
  <c r="B54"/>
  <c r="A54"/>
  <c r="J53"/>
  <c r="B53"/>
  <c r="A53"/>
  <c r="J52"/>
  <c r="B52"/>
  <c r="A52"/>
  <c r="J51"/>
  <c r="B51"/>
  <c r="A51"/>
  <c r="J50"/>
  <c r="B50"/>
  <c r="A50"/>
  <c r="J49"/>
  <c r="B49"/>
  <c r="A49"/>
  <c r="J48"/>
  <c r="B48"/>
  <c r="A48"/>
  <c r="J47"/>
  <c r="B47"/>
  <c r="A47"/>
  <c r="J46"/>
  <c r="B46"/>
  <c r="A46"/>
  <c r="J45"/>
  <c r="B45"/>
  <c r="A45"/>
  <c r="J44"/>
  <c r="B44"/>
  <c r="A44"/>
  <c r="J43"/>
  <c r="B43"/>
  <c r="A43"/>
  <c r="J42"/>
  <c r="B42"/>
  <c r="A42"/>
  <c r="J41"/>
  <c r="B41"/>
  <c r="A41"/>
  <c r="J40"/>
  <c r="B40"/>
  <c r="A40"/>
  <c r="J39"/>
  <c r="B39"/>
  <c r="A39"/>
  <c r="J38"/>
  <c r="B38"/>
  <c r="A38"/>
  <c r="J37"/>
  <c r="B37"/>
  <c r="A37"/>
  <c r="J36"/>
  <c r="B36"/>
  <c r="A36"/>
  <c r="J35"/>
  <c r="B35"/>
  <c r="A35"/>
  <c r="J34"/>
  <c r="B34"/>
  <c r="A34"/>
  <c r="J33"/>
  <c r="B33"/>
  <c r="A33"/>
  <c r="J32"/>
  <c r="B32"/>
  <c r="A32"/>
  <c r="J31"/>
  <c r="B31"/>
  <c r="A31"/>
  <c r="J30"/>
  <c r="B30"/>
  <c r="A30"/>
  <c r="J29"/>
  <c r="B29"/>
  <c r="A29"/>
  <c r="J28"/>
  <c r="B28"/>
  <c r="A28"/>
  <c r="J27"/>
  <c r="B27"/>
  <c r="A27"/>
  <c r="J26"/>
  <c r="B26"/>
  <c r="A26"/>
  <c r="J25"/>
  <c r="B25"/>
  <c r="A25"/>
  <c r="J24"/>
  <c r="B24"/>
  <c r="A24"/>
  <c r="J23"/>
  <c r="B23"/>
  <c r="A23"/>
  <c r="J22"/>
  <c r="B22"/>
  <c r="A22"/>
  <c r="J21"/>
  <c r="B21"/>
  <c r="A21"/>
  <c r="J20"/>
  <c r="B20"/>
  <c r="A20"/>
  <c r="J19"/>
  <c r="B19"/>
  <c r="A19"/>
  <c r="J17"/>
  <c r="K19" l="1"/>
  <c r="K21"/>
  <c r="K25"/>
  <c r="K29"/>
  <c r="K33"/>
  <c r="K37"/>
  <c r="K41"/>
  <c r="K45"/>
  <c r="K49"/>
  <c r="K53"/>
  <c r="K57"/>
  <c r="DO22"/>
  <c r="DO26"/>
  <c r="DO30"/>
  <c r="DO34"/>
  <c r="DO38"/>
  <c r="DO42"/>
  <c r="DO46"/>
  <c r="DO50"/>
  <c r="DO54"/>
  <c r="DO58"/>
  <c r="W21"/>
  <c r="W25"/>
  <c r="W29"/>
  <c r="W33"/>
  <c r="W37"/>
  <c r="W41"/>
  <c r="W45"/>
  <c r="W49"/>
  <c r="W53"/>
  <c r="W57"/>
  <c r="AI20"/>
  <c r="AI24"/>
  <c r="AI28"/>
  <c r="AI32"/>
  <c r="AI36"/>
  <c r="AI40"/>
  <c r="AI44"/>
  <c r="AI48"/>
  <c r="AI52"/>
  <c r="AI56"/>
  <c r="AU19"/>
  <c r="AU23"/>
  <c r="AU27"/>
  <c r="AU31"/>
  <c r="AU35"/>
  <c r="AU39"/>
  <c r="AU43"/>
  <c r="AU47"/>
  <c r="AU51"/>
  <c r="AU55"/>
  <c r="DC58"/>
  <c r="K23"/>
  <c r="K27"/>
  <c r="K31"/>
  <c r="K35"/>
  <c r="K39"/>
  <c r="K43"/>
  <c r="K47"/>
  <c r="K51"/>
  <c r="K55"/>
  <c r="DO20"/>
  <c r="DO24"/>
  <c r="DO28"/>
  <c r="DO32"/>
  <c r="DO36"/>
  <c r="BL24" i="44"/>
  <c r="BL22"/>
  <c r="BL20"/>
  <c r="BL18"/>
  <c r="BL16"/>
  <c r="BN15"/>
  <c r="BL23"/>
  <c r="BL19"/>
  <c r="BL25"/>
  <c r="BL21"/>
  <c r="BL17"/>
  <c r="BJ25" i="45"/>
  <c r="BJ23"/>
  <c r="BJ21"/>
  <c r="BJ19"/>
  <c r="BJ17"/>
  <c r="BJ24"/>
  <c r="BJ22"/>
  <c r="BJ20"/>
  <c r="BJ18"/>
  <c r="BJ16"/>
  <c r="BL15"/>
  <c r="CQ63" i="30"/>
  <c r="K64"/>
  <c r="W62"/>
  <c r="BS60"/>
  <c r="DC66"/>
  <c r="BG64"/>
  <c r="BG62"/>
  <c r="CJ7" i="45" s="1"/>
  <c r="CK7" s="1"/>
  <c r="DC60" i="30"/>
  <c r="AI59"/>
  <c r="AU65"/>
  <c r="BS63"/>
  <c r="DO61"/>
  <c r="AU60"/>
  <c r="CE66"/>
  <c r="CE64"/>
  <c r="K63"/>
  <c r="BG61"/>
  <c r="DC59"/>
  <c r="BS66"/>
  <c r="W65"/>
  <c r="BG66"/>
  <c r="AU63"/>
  <c r="CQ61"/>
  <c r="W60"/>
  <c r="K66"/>
  <c r="CE63"/>
  <c r="K62"/>
  <c r="BG60"/>
  <c r="CQ66"/>
  <c r="CQ64"/>
  <c r="W63"/>
  <c r="BS61"/>
  <c r="DO59"/>
  <c r="AI66"/>
  <c r="AI64"/>
  <c r="CE62"/>
  <c r="K61"/>
  <c r="BG59"/>
  <c r="W66"/>
  <c r="DO64"/>
  <c r="DO62"/>
  <c r="AU61"/>
  <c r="CQ59"/>
  <c r="BG65"/>
  <c r="CE61"/>
  <c r="AU66"/>
  <c r="CQ62"/>
  <c r="CJ10" i="45" s="1"/>
  <c r="CK10" s="1"/>
  <c r="BS59" i="30"/>
  <c r="DC63"/>
  <c r="CE60"/>
  <c r="DO65"/>
  <c r="K65"/>
  <c r="BS62"/>
  <c r="DO60"/>
  <c r="AU59"/>
  <c r="DC64"/>
  <c r="DC62"/>
  <c r="AI61"/>
  <c r="CE59"/>
  <c r="CQ65"/>
  <c r="DO63"/>
  <c r="AU62"/>
  <c r="CQ60"/>
  <c r="W59"/>
  <c r="AI65"/>
  <c r="BG63"/>
  <c r="DC61"/>
  <c r="AI60"/>
  <c r="DO66"/>
  <c r="BS65"/>
  <c r="W64"/>
  <c r="DC65"/>
  <c r="AI63"/>
  <c r="K60"/>
  <c r="AU64"/>
  <c r="W61"/>
  <c r="CE65"/>
  <c r="AI62"/>
  <c r="K59"/>
  <c r="BS64"/>
  <c r="K22"/>
  <c r="K26"/>
  <c r="K30"/>
  <c r="K34"/>
  <c r="K38"/>
  <c r="K42"/>
  <c r="K46"/>
  <c r="K50"/>
  <c r="K54"/>
  <c r="K58"/>
  <c r="DO21"/>
  <c r="DO25"/>
  <c r="DO29"/>
  <c r="DO33"/>
  <c r="DO37"/>
  <c r="DO41"/>
  <c r="DO45"/>
  <c r="DO49"/>
  <c r="DO53"/>
  <c r="DO57"/>
  <c r="W20"/>
  <c r="W24"/>
  <c r="W28"/>
  <c r="W32"/>
  <c r="W36"/>
  <c r="W40"/>
  <c r="W44"/>
  <c r="W48"/>
  <c r="W52"/>
  <c r="W56"/>
  <c r="AI19"/>
  <c r="AI23"/>
  <c r="AI27"/>
  <c r="AI31"/>
  <c r="AI35"/>
  <c r="AI39"/>
  <c r="AI43"/>
  <c r="AI47"/>
  <c r="AI51"/>
  <c r="AI55"/>
  <c r="AU22"/>
  <c r="AU26"/>
  <c r="AU30"/>
  <c r="AU34"/>
  <c r="AU38"/>
  <c r="AU42"/>
  <c r="AU46"/>
  <c r="AU50"/>
  <c r="AU54"/>
  <c r="AU58"/>
  <c r="BG21"/>
  <c r="BG25"/>
  <c r="BG29"/>
  <c r="BG33"/>
  <c r="BH33" s="1"/>
  <c r="BJ33" s="1"/>
  <c r="BG37"/>
  <c r="BG41"/>
  <c r="BG45"/>
  <c r="BG49"/>
  <c r="BG53"/>
  <c r="BG57"/>
  <c r="BS20"/>
  <c r="BS24"/>
  <c r="BS28"/>
  <c r="BS32"/>
  <c r="BS36"/>
  <c r="BS40"/>
  <c r="BS44"/>
  <c r="BS48"/>
  <c r="BS52"/>
  <c r="BS56"/>
  <c r="CE19"/>
  <c r="CE23"/>
  <c r="CE27"/>
  <c r="CE31"/>
  <c r="CE35"/>
  <c r="CF35" s="1"/>
  <c r="CH35" s="1"/>
  <c r="CE39"/>
  <c r="CE43"/>
  <c r="CE47"/>
  <c r="CE51"/>
  <c r="CE55"/>
  <c r="CQ22"/>
  <c r="CQ26"/>
  <c r="CQ30"/>
  <c r="CQ34"/>
  <c r="CQ38"/>
  <c r="CQ42"/>
  <c r="CQ46"/>
  <c r="CQ50"/>
  <c r="CQ54"/>
  <c r="CQ58"/>
  <c r="DC21"/>
  <c r="DC25"/>
  <c r="DC29"/>
  <c r="DC33"/>
  <c r="DC37"/>
  <c r="DC41"/>
  <c r="DC45"/>
  <c r="DC49"/>
  <c r="DC53"/>
  <c r="DC57"/>
  <c r="BG22"/>
  <c r="BG26"/>
  <c r="BG30"/>
  <c r="BG34"/>
  <c r="BG38"/>
  <c r="BG42"/>
  <c r="BG46"/>
  <c r="BG50"/>
  <c r="BG54"/>
  <c r="BG58"/>
  <c r="BS21"/>
  <c r="BS25"/>
  <c r="BS29"/>
  <c r="BS33"/>
  <c r="BS37"/>
  <c r="BS41"/>
  <c r="BS45"/>
  <c r="BS49"/>
  <c r="BS53"/>
  <c r="BS57"/>
  <c r="CE20"/>
  <c r="CE24"/>
  <c r="CE28"/>
  <c r="CE32"/>
  <c r="CE36"/>
  <c r="CE40"/>
  <c r="CE44"/>
  <c r="CE48"/>
  <c r="CE52"/>
  <c r="CE56"/>
  <c r="CQ19"/>
  <c r="CR19" s="1"/>
  <c r="CT19" s="1"/>
  <c r="CQ23"/>
  <c r="CQ27"/>
  <c r="CQ31"/>
  <c r="CQ35"/>
  <c r="CQ39"/>
  <c r="CQ43"/>
  <c r="CQ47"/>
  <c r="CQ51"/>
  <c r="CQ55"/>
  <c r="DC22"/>
  <c r="DC26"/>
  <c r="DC30"/>
  <c r="DC34"/>
  <c r="DC38"/>
  <c r="DC42"/>
  <c r="DC46"/>
  <c r="DC50"/>
  <c r="DC54"/>
  <c r="K20"/>
  <c r="K24"/>
  <c r="K28"/>
  <c r="K32"/>
  <c r="K36"/>
  <c r="K40"/>
  <c r="K44"/>
  <c r="K48"/>
  <c r="K52"/>
  <c r="K56"/>
  <c r="DO19"/>
  <c r="DO23"/>
  <c r="DO27"/>
  <c r="DO31"/>
  <c r="DO35"/>
  <c r="DO40"/>
  <c r="DO44"/>
  <c r="DO48"/>
  <c r="DO52"/>
  <c r="DO56"/>
  <c r="W19"/>
  <c r="W23"/>
  <c r="W27"/>
  <c r="W31"/>
  <c r="W35"/>
  <c r="W39"/>
  <c r="W43"/>
  <c r="W47"/>
  <c r="W51"/>
  <c r="W55"/>
  <c r="AI22"/>
  <c r="AI26"/>
  <c r="AI30"/>
  <c r="AI34"/>
  <c r="AI38"/>
  <c r="AI42"/>
  <c r="AI46"/>
  <c r="AI50"/>
  <c r="AI54"/>
  <c r="AI58"/>
  <c r="AU21"/>
  <c r="AU25"/>
  <c r="AU29"/>
  <c r="AU33"/>
  <c r="AU37"/>
  <c r="AU41"/>
  <c r="AU45"/>
  <c r="AU49"/>
  <c r="AU53"/>
  <c r="AU57"/>
  <c r="BG20"/>
  <c r="BG24"/>
  <c r="BG28"/>
  <c r="BG32"/>
  <c r="BG36"/>
  <c r="BG40"/>
  <c r="BG44"/>
  <c r="BG48"/>
  <c r="BG52"/>
  <c r="BG56"/>
  <c r="BS19"/>
  <c r="BS23"/>
  <c r="BS27"/>
  <c r="BS31"/>
  <c r="BS35"/>
  <c r="BS39"/>
  <c r="BS43"/>
  <c r="BS47"/>
  <c r="BS51"/>
  <c r="BS55"/>
  <c r="CE22"/>
  <c r="CE26"/>
  <c r="CE30"/>
  <c r="CE34"/>
  <c r="CE38"/>
  <c r="CE42"/>
  <c r="CE46"/>
  <c r="CE50"/>
  <c r="CE54"/>
  <c r="CE58"/>
  <c r="CQ21"/>
  <c r="CQ25"/>
  <c r="CQ29"/>
  <c r="CQ33"/>
  <c r="CQ37"/>
  <c r="CQ41"/>
  <c r="CQ45"/>
  <c r="CQ49"/>
  <c r="CQ53"/>
  <c r="CQ57"/>
  <c r="DC20"/>
  <c r="DC24"/>
  <c r="DC28"/>
  <c r="DC32"/>
  <c r="DC36"/>
  <c r="DC40"/>
  <c r="DC44"/>
  <c r="DC48"/>
  <c r="DC52"/>
  <c r="DC56"/>
  <c r="DO39"/>
  <c r="DO43"/>
  <c r="DO47"/>
  <c r="DO51"/>
  <c r="DO55"/>
  <c r="W22"/>
  <c r="W26"/>
  <c r="W30"/>
  <c r="W34"/>
  <c r="W38"/>
  <c r="W42"/>
  <c r="W46"/>
  <c r="W50"/>
  <c r="W54"/>
  <c r="W58"/>
  <c r="AI21"/>
  <c r="AI25"/>
  <c r="AI29"/>
  <c r="AI33"/>
  <c r="AI37"/>
  <c r="AI41"/>
  <c r="AI45"/>
  <c r="AJ45" s="1"/>
  <c r="AI49"/>
  <c r="AI53"/>
  <c r="AI57"/>
  <c r="AU20"/>
  <c r="AU24"/>
  <c r="AU28"/>
  <c r="AU32"/>
  <c r="AU36"/>
  <c r="AU40"/>
  <c r="AU44"/>
  <c r="AU48"/>
  <c r="AU52"/>
  <c r="AU56"/>
  <c r="BG19"/>
  <c r="BG23"/>
  <c r="BG27"/>
  <c r="BG31"/>
  <c r="BG35"/>
  <c r="BG39"/>
  <c r="BG43"/>
  <c r="BG47"/>
  <c r="BG51"/>
  <c r="BG55"/>
  <c r="BS22"/>
  <c r="BS26"/>
  <c r="BS30"/>
  <c r="BS34"/>
  <c r="BS38"/>
  <c r="BS42"/>
  <c r="BS46"/>
  <c r="BS50"/>
  <c r="BS54"/>
  <c r="BS58"/>
  <c r="CE21"/>
  <c r="CE25"/>
  <c r="CE29"/>
  <c r="CE33"/>
  <c r="CE37"/>
  <c r="CE41"/>
  <c r="CE45"/>
  <c r="CE49"/>
  <c r="CE53"/>
  <c r="CE57"/>
  <c r="CQ20"/>
  <c r="CQ24"/>
  <c r="CQ28"/>
  <c r="CQ32"/>
  <c r="CQ36"/>
  <c r="CQ40"/>
  <c r="CQ44"/>
  <c r="CQ48"/>
  <c r="CQ52"/>
  <c r="CQ56"/>
  <c r="DC19"/>
  <c r="DC23"/>
  <c r="DC27"/>
  <c r="DC31"/>
  <c r="DC35"/>
  <c r="DC39"/>
  <c r="DC43"/>
  <c r="DC47"/>
  <c r="DC51"/>
  <c r="DC55"/>
  <c r="DN67"/>
  <c r="AH67"/>
  <c r="BF67"/>
  <c r="DB67"/>
  <c r="J67"/>
  <c r="CL12" i="45"/>
  <c r="CM12" s="1"/>
  <c r="CJ12"/>
  <c r="CK12" s="1"/>
  <c r="V67" i="30"/>
  <c r="CJ5" i="45"/>
  <c r="CK5" s="1"/>
  <c r="CL5"/>
  <c r="CM5" s="1"/>
  <c r="AT67" i="30"/>
  <c r="CL7" i="45"/>
  <c r="CM7" s="1"/>
  <c r="BR67" i="30"/>
  <c r="CJ9" i="45"/>
  <c r="CK9" s="1"/>
  <c r="CL9"/>
  <c r="CM9" s="1"/>
  <c r="CP67" i="30"/>
  <c r="CL11" i="45"/>
  <c r="CM11" s="1"/>
  <c r="CJ11"/>
  <c r="CK11" s="1"/>
  <c r="CJ4"/>
  <c r="CK4" s="1"/>
  <c r="CL4"/>
  <c r="CM4" s="1"/>
  <c r="CL6"/>
  <c r="CM6" s="1"/>
  <c r="CJ6"/>
  <c r="CK6" s="1"/>
  <c r="CL8"/>
  <c r="CM8" s="1"/>
  <c r="CJ8"/>
  <c r="CK8" s="1"/>
  <c r="CD67" i="30"/>
  <c r="CL10" i="45"/>
  <c r="CM10" s="1"/>
  <c r="BT31" i="30"/>
  <c r="BV31" s="1"/>
  <c r="BT35"/>
  <c r="BV35" s="1"/>
  <c r="BT47"/>
  <c r="BV47" s="1"/>
  <c r="BT51"/>
  <c r="BV51" s="1"/>
  <c r="CF27"/>
  <c r="CH27" s="1"/>
  <c r="CF43"/>
  <c r="CH43" s="1"/>
  <c r="BH49"/>
  <c r="BJ49" s="1"/>
  <c r="BU35"/>
  <c r="C5" i="29"/>
  <c r="A23"/>
  <c r="B23"/>
  <c r="A24"/>
  <c r="B24"/>
  <c r="A25"/>
  <c r="B25"/>
  <c r="A26"/>
  <c r="B26"/>
  <c r="A27"/>
  <c r="B27"/>
  <c r="A28"/>
  <c r="B28"/>
  <c r="A29"/>
  <c r="B29"/>
  <c r="A30"/>
  <c r="B30"/>
  <c r="A31"/>
  <c r="B31"/>
  <c r="A32"/>
  <c r="B32"/>
  <c r="A33"/>
  <c r="B33"/>
  <c r="A34"/>
  <c r="B34"/>
  <c r="A35"/>
  <c r="B35"/>
  <c r="A36"/>
  <c r="B36"/>
  <c r="A37"/>
  <c r="B37"/>
  <c r="A38"/>
  <c r="B38"/>
  <c r="A39"/>
  <c r="B39"/>
  <c r="A40"/>
  <c r="B40"/>
  <c r="A41"/>
  <c r="B41"/>
  <c r="A42"/>
  <c r="B42"/>
  <c r="A43"/>
  <c r="B43"/>
  <c r="A44"/>
  <c r="B44"/>
  <c r="A45"/>
  <c r="B45"/>
  <c r="A46"/>
  <c r="B46"/>
  <c r="A47"/>
  <c r="B47"/>
  <c r="A48"/>
  <c r="B48"/>
  <c r="A49"/>
  <c r="B49"/>
  <c r="A50"/>
  <c r="B50"/>
  <c r="A51"/>
  <c r="B51"/>
  <c r="A52"/>
  <c r="B52"/>
  <c r="A53"/>
  <c r="B53"/>
  <c r="A54"/>
  <c r="B54"/>
  <c r="A55"/>
  <c r="B55"/>
  <c r="A56"/>
  <c r="B56"/>
  <c r="A57"/>
  <c r="B57"/>
  <c r="A58"/>
  <c r="B58"/>
  <c r="A59"/>
  <c r="B59"/>
  <c r="A60"/>
  <c r="B60"/>
  <c r="A61"/>
  <c r="B61"/>
  <c r="B22"/>
  <c r="A22"/>
  <c r="I70"/>
  <c r="H70"/>
  <c r="G70"/>
  <c r="F70"/>
  <c r="E70"/>
  <c r="D70"/>
  <c r="C70"/>
  <c r="BU31" i="30" l="1"/>
  <c r="BU51"/>
  <c r="BU47"/>
  <c r="BN24" i="44"/>
  <c r="BN22"/>
  <c r="BN20"/>
  <c r="BN18"/>
  <c r="BN16"/>
  <c r="BN25"/>
  <c r="BN21"/>
  <c r="BN17"/>
  <c r="BP15"/>
  <c r="BN23"/>
  <c r="BN19"/>
  <c r="CL3" i="45"/>
  <c r="CM3" s="1"/>
  <c r="BD49" i="8"/>
  <c r="BJ49" s="1"/>
  <c r="CJ3" i="45"/>
  <c r="CK3" s="1"/>
  <c r="BD48" i="8"/>
  <c r="BJ48" s="1"/>
  <c r="BL24" i="45"/>
  <c r="BL22"/>
  <c r="BL20"/>
  <c r="BL18"/>
  <c r="BL16"/>
  <c r="BL25"/>
  <c r="BL23"/>
  <c r="BL21"/>
  <c r="BL19"/>
  <c r="BL17"/>
  <c r="BN15"/>
  <c r="BH57" i="30"/>
  <c r="BJ57" s="1"/>
  <c r="BH25"/>
  <c r="BJ25" s="1"/>
  <c r="BT43"/>
  <c r="BT27"/>
  <c r="BT55"/>
  <c r="BT39"/>
  <c r="BT23"/>
  <c r="BI33"/>
  <c r="CG35"/>
  <c r="BH41"/>
  <c r="BJ41" s="1"/>
  <c r="CG27"/>
  <c r="DP64"/>
  <c r="DR64" s="1"/>
  <c r="CN12" i="45"/>
  <c r="CO12" s="1"/>
  <c r="DP65" i="30"/>
  <c r="DR65" s="1"/>
  <c r="CP12" i="45"/>
  <c r="CQ12" s="1"/>
  <c r="DP66" i="30"/>
  <c r="DR66" s="1"/>
  <c r="CR12" i="45"/>
  <c r="CS12" s="1"/>
  <c r="DD65" i="30"/>
  <c r="DF65" s="1"/>
  <c r="CP11" i="45"/>
  <c r="CQ11" s="1"/>
  <c r="DD66" i="30"/>
  <c r="DF66" s="1"/>
  <c r="CR11" i="45"/>
  <c r="CS11" s="1"/>
  <c r="DD64" i="30"/>
  <c r="DF64" s="1"/>
  <c r="CN11" i="45"/>
  <c r="CO11" s="1"/>
  <c r="CF64" i="30"/>
  <c r="CH64" s="1"/>
  <c r="CN9" i="45"/>
  <c r="CO9" s="1"/>
  <c r="CF65" i="30"/>
  <c r="CH65" s="1"/>
  <c r="CP9" i="45"/>
  <c r="CQ9" s="1"/>
  <c r="CG43" i="30"/>
  <c r="CF66"/>
  <c r="CH66" s="1"/>
  <c r="CR9" i="45"/>
  <c r="CS9" s="1"/>
  <c r="CR65" i="30"/>
  <c r="CT65" s="1"/>
  <c r="CP10" i="45"/>
  <c r="CQ10" s="1"/>
  <c r="CR64" i="30"/>
  <c r="CT64" s="1"/>
  <c r="CN10" i="45"/>
  <c r="CO10" s="1"/>
  <c r="CR66" i="30"/>
  <c r="CT66" s="1"/>
  <c r="CR10" i="45"/>
  <c r="CS10" s="1"/>
  <c r="BT66" i="30"/>
  <c r="BV66" s="1"/>
  <c r="CR8" i="45"/>
  <c r="CS8" s="1"/>
  <c r="BT64" i="30"/>
  <c r="BV64" s="1"/>
  <c r="CN8" i="45"/>
  <c r="CO8" s="1"/>
  <c r="BT65" i="30"/>
  <c r="BV65" s="1"/>
  <c r="CP8" i="45"/>
  <c r="CQ8" s="1"/>
  <c r="BH66" i="30"/>
  <c r="BJ66" s="1"/>
  <c r="CR7" i="45"/>
  <c r="CS7" s="1"/>
  <c r="BH65" i="30"/>
  <c r="BJ65" s="1"/>
  <c r="CP7" i="45"/>
  <c r="CQ7" s="1"/>
  <c r="BI49" i="30"/>
  <c r="BH53"/>
  <c r="BH45"/>
  <c r="BJ45" s="1"/>
  <c r="BH37"/>
  <c r="BH29"/>
  <c r="BJ29" s="1"/>
  <c r="BH21"/>
  <c r="BH64"/>
  <c r="BJ64" s="1"/>
  <c r="CN7" i="45"/>
  <c r="CO7" s="1"/>
  <c r="AV66" i="30"/>
  <c r="AX66" s="1"/>
  <c r="CR6" i="45"/>
  <c r="CS6" s="1"/>
  <c r="AV64" i="30"/>
  <c r="AX64" s="1"/>
  <c r="CN6" i="45"/>
  <c r="CO6" s="1"/>
  <c r="AV65" i="30"/>
  <c r="AX65" s="1"/>
  <c r="CP6" i="45"/>
  <c r="CQ6" s="1"/>
  <c r="AJ64" i="30"/>
  <c r="AL64" s="1"/>
  <c r="CN5" i="45"/>
  <c r="CO5" s="1"/>
  <c r="AJ65" i="30"/>
  <c r="AL65" s="1"/>
  <c r="CP5" i="45"/>
  <c r="CQ5" s="1"/>
  <c r="AJ66" i="30"/>
  <c r="AL66" s="1"/>
  <c r="CR5" i="45"/>
  <c r="CS5" s="1"/>
  <c r="X64" i="30"/>
  <c r="Z64" s="1"/>
  <c r="CN4" i="45"/>
  <c r="CO4" s="1"/>
  <c r="X65" i="30"/>
  <c r="Z65" s="1"/>
  <c r="CP4" i="45"/>
  <c r="CQ4" s="1"/>
  <c r="X66" i="30"/>
  <c r="Z66" s="1"/>
  <c r="CR4" i="45"/>
  <c r="CS4" s="1"/>
  <c r="L66" i="30"/>
  <c r="N66" s="1"/>
  <c r="L65"/>
  <c r="N65" s="1"/>
  <c r="L64"/>
  <c r="N64" s="1"/>
  <c r="BI29"/>
  <c r="AK45"/>
  <c r="AL45"/>
  <c r="DD25"/>
  <c r="DF25" s="1"/>
  <c r="DP33"/>
  <c r="DR33" s="1"/>
  <c r="DD57"/>
  <c r="DF57" s="1"/>
  <c r="DD31"/>
  <c r="DF31" s="1"/>
  <c r="CR44"/>
  <c r="CT44" s="1"/>
  <c r="CR42"/>
  <c r="CT42" s="1"/>
  <c r="CF47"/>
  <c r="CH47" s="1"/>
  <c r="CF39"/>
  <c r="CH39" s="1"/>
  <c r="CF31"/>
  <c r="CH31" s="1"/>
  <c r="CF23"/>
  <c r="CH23" s="1"/>
  <c r="AJ35"/>
  <c r="AL35" s="1"/>
  <c r="L40"/>
  <c r="N40" s="1"/>
  <c r="L34"/>
  <c r="N34" s="1"/>
  <c r="L32"/>
  <c r="N32" s="1"/>
  <c r="L27"/>
  <c r="N27" s="1"/>
  <c r="L24"/>
  <c r="N24" s="1"/>
  <c r="L58"/>
  <c r="N58" s="1"/>
  <c r="L56"/>
  <c r="N56" s="1"/>
  <c r="L54"/>
  <c r="N54" s="1"/>
  <c r="L52"/>
  <c r="N52" s="1"/>
  <c r="L50"/>
  <c r="N50" s="1"/>
  <c r="L48"/>
  <c r="N48" s="1"/>
  <c r="L46"/>
  <c r="N46" s="1"/>
  <c r="L44"/>
  <c r="N44" s="1"/>
  <c r="L42"/>
  <c r="N42" s="1"/>
  <c r="L38"/>
  <c r="N38" s="1"/>
  <c r="L35"/>
  <c r="N35" s="1"/>
  <c r="L30"/>
  <c r="N30" s="1"/>
  <c r="L26"/>
  <c r="N26" s="1"/>
  <c r="L22"/>
  <c r="N22" s="1"/>
  <c r="K67"/>
  <c r="CF50"/>
  <c r="CF54"/>
  <c r="CF58"/>
  <c r="DD56"/>
  <c r="DF56" s="1"/>
  <c r="DD52"/>
  <c r="DF52" s="1"/>
  <c r="DD48"/>
  <c r="DF48" s="1"/>
  <c r="DD44"/>
  <c r="DF44" s="1"/>
  <c r="DD41"/>
  <c r="DF41" s="1"/>
  <c r="DD37"/>
  <c r="DF37" s="1"/>
  <c r="DD33"/>
  <c r="DF33" s="1"/>
  <c r="DD29"/>
  <c r="DF29" s="1"/>
  <c r="DD24"/>
  <c r="DF24" s="1"/>
  <c r="DD20"/>
  <c r="DF20" s="1"/>
  <c r="CR56"/>
  <c r="CT56" s="1"/>
  <c r="CR52"/>
  <c r="CT52" s="1"/>
  <c r="CR48"/>
  <c r="CT48" s="1"/>
  <c r="CR43"/>
  <c r="CT43" s="1"/>
  <c r="CR39"/>
  <c r="CT39" s="1"/>
  <c r="CR35"/>
  <c r="CT35" s="1"/>
  <c r="CR31"/>
  <c r="CT31" s="1"/>
  <c r="CR28"/>
  <c r="CT28" s="1"/>
  <c r="CR24"/>
  <c r="CT24" s="1"/>
  <c r="CR20"/>
  <c r="CT20" s="1"/>
  <c r="CF22"/>
  <c r="CH22" s="1"/>
  <c r="AV57"/>
  <c r="AX57" s="1"/>
  <c r="AV55"/>
  <c r="AX55" s="1"/>
  <c r="AV52"/>
  <c r="AV49"/>
  <c r="AX49" s="1"/>
  <c r="AV47"/>
  <c r="AX47" s="1"/>
  <c r="CF29"/>
  <c r="CF37"/>
  <c r="CF45"/>
  <c r="CF51"/>
  <c r="CF55"/>
  <c r="BT21"/>
  <c r="BT29"/>
  <c r="BT37"/>
  <c r="BT45"/>
  <c r="BT53"/>
  <c r="BH23"/>
  <c r="BJ23" s="1"/>
  <c r="BH31"/>
  <c r="BJ31" s="1"/>
  <c r="BH39"/>
  <c r="BJ39" s="1"/>
  <c r="BH47"/>
  <c r="BJ47" s="1"/>
  <c r="BH55"/>
  <c r="BJ55" s="1"/>
  <c r="DD58"/>
  <c r="DF58" s="1"/>
  <c r="DD54"/>
  <c r="DF54" s="1"/>
  <c r="DD50"/>
  <c r="DF50" s="1"/>
  <c r="DD47"/>
  <c r="DF47" s="1"/>
  <c r="DD43"/>
  <c r="DF43" s="1"/>
  <c r="DD39"/>
  <c r="DF39" s="1"/>
  <c r="DD35"/>
  <c r="DF35" s="1"/>
  <c r="DD30"/>
  <c r="DF30" s="1"/>
  <c r="DD26"/>
  <c r="DF26" s="1"/>
  <c r="DC67"/>
  <c r="CR55"/>
  <c r="CT55" s="1"/>
  <c r="CR50"/>
  <c r="CT50" s="1"/>
  <c r="CR46"/>
  <c r="CT46" s="1"/>
  <c r="CR41"/>
  <c r="CT41" s="1"/>
  <c r="CR37"/>
  <c r="CT37" s="1"/>
  <c r="CR30"/>
  <c r="CT30" s="1"/>
  <c r="CR22"/>
  <c r="CT22" s="1"/>
  <c r="CF21"/>
  <c r="CH21" s="1"/>
  <c r="AJ57"/>
  <c r="AL57" s="1"/>
  <c r="AJ53"/>
  <c r="AL53" s="1"/>
  <c r="AJ49"/>
  <c r="AL49" s="1"/>
  <c r="AJ44"/>
  <c r="AL44" s="1"/>
  <c r="AJ40"/>
  <c r="AL40" s="1"/>
  <c r="AJ36"/>
  <c r="AL36" s="1"/>
  <c r="AJ32"/>
  <c r="AL32" s="1"/>
  <c r="AJ29"/>
  <c r="AL29" s="1"/>
  <c r="AJ25"/>
  <c r="AL25" s="1"/>
  <c r="AJ21"/>
  <c r="AL21" s="1"/>
  <c r="DP55"/>
  <c r="DR55" s="1"/>
  <c r="DP47"/>
  <c r="DR47" s="1"/>
  <c r="DP39"/>
  <c r="DR39" s="1"/>
  <c r="DP31"/>
  <c r="DR31" s="1"/>
  <c r="DP23"/>
  <c r="DR23" s="1"/>
  <c r="AV54"/>
  <c r="AX54" s="1"/>
  <c r="AV45"/>
  <c r="AX45" s="1"/>
  <c r="AV43"/>
  <c r="AX43" s="1"/>
  <c r="AV40"/>
  <c r="AV37"/>
  <c r="AX37" s="1"/>
  <c r="AV35"/>
  <c r="AX35" s="1"/>
  <c r="AV32"/>
  <c r="AV29"/>
  <c r="AX29" s="1"/>
  <c r="AV27"/>
  <c r="AX27" s="1"/>
  <c r="AV24"/>
  <c r="AV21"/>
  <c r="AX21" s="1"/>
  <c r="AJ58"/>
  <c r="AJ54"/>
  <c r="AL54" s="1"/>
  <c r="AJ51"/>
  <c r="AL51" s="1"/>
  <c r="AJ47"/>
  <c r="AL47" s="1"/>
  <c r="AJ43"/>
  <c r="AL43" s="1"/>
  <c r="AJ39"/>
  <c r="AL39" s="1"/>
  <c r="AJ34"/>
  <c r="AL34" s="1"/>
  <c r="AJ30"/>
  <c r="AL30" s="1"/>
  <c r="AJ26"/>
  <c r="AL26" s="1"/>
  <c r="AJ22"/>
  <c r="AL22" s="1"/>
  <c r="X58"/>
  <c r="Z58" s="1"/>
  <c r="X54"/>
  <c r="Z54" s="1"/>
  <c r="X52"/>
  <c r="X46"/>
  <c r="Z46" s="1"/>
  <c r="X44"/>
  <c r="X38"/>
  <c r="Z38" s="1"/>
  <c r="X36"/>
  <c r="X30"/>
  <c r="Z30" s="1"/>
  <c r="X28"/>
  <c r="X22"/>
  <c r="Z22" s="1"/>
  <c r="X20"/>
  <c r="DP56"/>
  <c r="DR56" s="1"/>
  <c r="DP52"/>
  <c r="DR52" s="1"/>
  <c r="DP49"/>
  <c r="DR49" s="1"/>
  <c r="DP45"/>
  <c r="DR45" s="1"/>
  <c r="DP41"/>
  <c r="DR41" s="1"/>
  <c r="DP37"/>
  <c r="DR37" s="1"/>
  <c r="DP32"/>
  <c r="DR32" s="1"/>
  <c r="DP28"/>
  <c r="DR28" s="1"/>
  <c r="DP24"/>
  <c r="DR24" s="1"/>
  <c r="DP20"/>
  <c r="DR20" s="1"/>
  <c r="DD22"/>
  <c r="DF22" s="1"/>
  <c r="CF46"/>
  <c r="CH46" s="1"/>
  <c r="CF42"/>
  <c r="CH42" s="1"/>
  <c r="CF38"/>
  <c r="CH38" s="1"/>
  <c r="CF34"/>
  <c r="CH34" s="1"/>
  <c r="CF30"/>
  <c r="CH30" s="1"/>
  <c r="CF26"/>
  <c r="CH26" s="1"/>
  <c r="BT58"/>
  <c r="BV58" s="1"/>
  <c r="BT54"/>
  <c r="BV54" s="1"/>
  <c r="BT50"/>
  <c r="BV50" s="1"/>
  <c r="BT46"/>
  <c r="BV46" s="1"/>
  <c r="BT42"/>
  <c r="BV42" s="1"/>
  <c r="BT38"/>
  <c r="BV38" s="1"/>
  <c r="BT34"/>
  <c r="BV34" s="1"/>
  <c r="BT30"/>
  <c r="BV30" s="1"/>
  <c r="BT26"/>
  <c r="BV26" s="1"/>
  <c r="BT22"/>
  <c r="BV22" s="1"/>
  <c r="BH56"/>
  <c r="BJ56" s="1"/>
  <c r="BH52"/>
  <c r="BJ52" s="1"/>
  <c r="BH48"/>
  <c r="BJ48" s="1"/>
  <c r="BH44"/>
  <c r="BJ44" s="1"/>
  <c r="BH40"/>
  <c r="BJ40" s="1"/>
  <c r="BH36"/>
  <c r="BJ36" s="1"/>
  <c r="BH32"/>
  <c r="BJ32" s="1"/>
  <c r="BH28"/>
  <c r="BJ28" s="1"/>
  <c r="BH24"/>
  <c r="BJ24" s="1"/>
  <c r="BH20"/>
  <c r="BJ20" s="1"/>
  <c r="AV50"/>
  <c r="AV42"/>
  <c r="AX42" s="1"/>
  <c r="AV34"/>
  <c r="AX34" s="1"/>
  <c r="AV26"/>
  <c r="AX26" s="1"/>
  <c r="X56"/>
  <c r="Z56" s="1"/>
  <c r="X48"/>
  <c r="X40"/>
  <c r="X32"/>
  <c r="X24"/>
  <c r="DP54"/>
  <c r="DR54" s="1"/>
  <c r="DP46"/>
  <c r="DR46" s="1"/>
  <c r="DP38"/>
  <c r="DR38" s="1"/>
  <c r="DP30"/>
  <c r="DR30" s="1"/>
  <c r="DP22"/>
  <c r="DR22" s="1"/>
  <c r="CR29"/>
  <c r="CT29" s="1"/>
  <c r="BS67"/>
  <c r="X55"/>
  <c r="Z55" s="1"/>
  <c r="X47"/>
  <c r="Z47" s="1"/>
  <c r="X39"/>
  <c r="Z39" s="1"/>
  <c r="X31"/>
  <c r="Z31" s="1"/>
  <c r="X23"/>
  <c r="Z23" s="1"/>
  <c r="CR60"/>
  <c r="CT60" s="1"/>
  <c r="CR62"/>
  <c r="CT62" s="1"/>
  <c r="CR59"/>
  <c r="CT59" s="1"/>
  <c r="CE67"/>
  <c r="BT61"/>
  <c r="BV61" s="1"/>
  <c r="BT63"/>
  <c r="BV63" s="1"/>
  <c r="BT59"/>
  <c r="BV59" s="1"/>
  <c r="BT60"/>
  <c r="BV60" s="1"/>
  <c r="AW65"/>
  <c r="AV63"/>
  <c r="AX63" s="1"/>
  <c r="AV61"/>
  <c r="AX61" s="1"/>
  <c r="X59"/>
  <c r="Z59" s="1"/>
  <c r="Y66"/>
  <c r="X62"/>
  <c r="Z62" s="1"/>
  <c r="L59"/>
  <c r="N59" s="1"/>
  <c r="M64"/>
  <c r="L60"/>
  <c r="N60" s="1"/>
  <c r="DD62"/>
  <c r="DF62" s="1"/>
  <c r="DD61"/>
  <c r="DF61" s="1"/>
  <c r="DD60"/>
  <c r="DF60" s="1"/>
  <c r="CF63"/>
  <c r="CH63" s="1"/>
  <c r="CF62"/>
  <c r="CH62" s="1"/>
  <c r="CF59"/>
  <c r="CH59" s="1"/>
  <c r="BH61"/>
  <c r="BJ61" s="1"/>
  <c r="BH62"/>
  <c r="BJ62" s="1"/>
  <c r="BH60"/>
  <c r="BJ60" s="1"/>
  <c r="AJ63"/>
  <c r="AL63" s="1"/>
  <c r="AJ62"/>
  <c r="AL62" s="1"/>
  <c r="AJ59"/>
  <c r="AL59" s="1"/>
  <c r="W67"/>
  <c r="DP59"/>
  <c r="DR59" s="1"/>
  <c r="DP60"/>
  <c r="DR60" s="1"/>
  <c r="DP61"/>
  <c r="DR61" s="1"/>
  <c r="DP63"/>
  <c r="DR63" s="1"/>
  <c r="L36"/>
  <c r="N36" s="1"/>
  <c r="L33"/>
  <c r="N33" s="1"/>
  <c r="L28"/>
  <c r="N28" s="1"/>
  <c r="L25"/>
  <c r="N25" s="1"/>
  <c r="L20"/>
  <c r="N20" s="1"/>
  <c r="L57"/>
  <c r="N57" s="1"/>
  <c r="L55"/>
  <c r="N55" s="1"/>
  <c r="L53"/>
  <c r="N53" s="1"/>
  <c r="L51"/>
  <c r="N51" s="1"/>
  <c r="L49"/>
  <c r="N49" s="1"/>
  <c r="L47"/>
  <c r="N47" s="1"/>
  <c r="L45"/>
  <c r="N45" s="1"/>
  <c r="L43"/>
  <c r="N43" s="1"/>
  <c r="L39"/>
  <c r="N39" s="1"/>
  <c r="L37"/>
  <c r="N37" s="1"/>
  <c r="L31"/>
  <c r="N31" s="1"/>
  <c r="L29"/>
  <c r="N29" s="1"/>
  <c r="L23"/>
  <c r="N23" s="1"/>
  <c r="L21"/>
  <c r="N21" s="1"/>
  <c r="CF52"/>
  <c r="CH52" s="1"/>
  <c r="CF56"/>
  <c r="CH56" s="1"/>
  <c r="BH58"/>
  <c r="BJ58" s="1"/>
  <c r="DD53"/>
  <c r="DF53" s="1"/>
  <c r="DD49"/>
  <c r="DF49" s="1"/>
  <c r="DD45"/>
  <c r="DF45" s="1"/>
  <c r="DD40"/>
  <c r="DF40" s="1"/>
  <c r="DD36"/>
  <c r="DF36" s="1"/>
  <c r="DD32"/>
  <c r="DF32" s="1"/>
  <c r="DD28"/>
  <c r="DF28" s="1"/>
  <c r="DD21"/>
  <c r="DF21" s="1"/>
  <c r="CR58"/>
  <c r="CT58" s="1"/>
  <c r="CR54"/>
  <c r="CT54" s="1"/>
  <c r="CR51"/>
  <c r="CT51" s="1"/>
  <c r="CR47"/>
  <c r="CT47" s="1"/>
  <c r="CR40"/>
  <c r="CT40" s="1"/>
  <c r="CR36"/>
  <c r="CT36" s="1"/>
  <c r="CR32"/>
  <c r="CT32" s="1"/>
  <c r="CR27"/>
  <c r="CT27" s="1"/>
  <c r="CR23"/>
  <c r="CT23" s="1"/>
  <c r="AV56"/>
  <c r="AV53"/>
  <c r="AX53" s="1"/>
  <c r="AV51"/>
  <c r="AX51" s="1"/>
  <c r="AV48"/>
  <c r="CF25"/>
  <c r="CH25" s="1"/>
  <c r="CF33"/>
  <c r="CH33" s="1"/>
  <c r="CF41"/>
  <c r="CH41" s="1"/>
  <c r="CF49"/>
  <c r="CH49" s="1"/>
  <c r="CF53"/>
  <c r="CH53" s="1"/>
  <c r="CF57"/>
  <c r="CH57" s="1"/>
  <c r="BT25"/>
  <c r="BT33"/>
  <c r="BT41"/>
  <c r="BT49"/>
  <c r="BT57"/>
  <c r="BH27"/>
  <c r="BJ27" s="1"/>
  <c r="BH35"/>
  <c r="BJ35" s="1"/>
  <c r="BH43"/>
  <c r="BJ43" s="1"/>
  <c r="BH51"/>
  <c r="BJ51" s="1"/>
  <c r="BG67"/>
  <c r="DD55"/>
  <c r="DF55" s="1"/>
  <c r="DD51"/>
  <c r="DF51" s="1"/>
  <c r="DD46"/>
  <c r="DF46" s="1"/>
  <c r="DD42"/>
  <c r="DF42" s="1"/>
  <c r="DD38"/>
  <c r="DF38" s="1"/>
  <c r="DD34"/>
  <c r="DF34" s="1"/>
  <c r="DD27"/>
  <c r="DF27" s="1"/>
  <c r="DD23"/>
  <c r="DF23" s="1"/>
  <c r="CR57"/>
  <c r="CT57" s="1"/>
  <c r="CR53"/>
  <c r="CT53" s="1"/>
  <c r="CR49"/>
  <c r="CT49" s="1"/>
  <c r="CR45"/>
  <c r="CT45" s="1"/>
  <c r="CR38"/>
  <c r="CT38" s="1"/>
  <c r="CR34"/>
  <c r="CT34" s="1"/>
  <c r="CR26"/>
  <c r="CT26" s="1"/>
  <c r="CQ67"/>
  <c r="CF20"/>
  <c r="CH20" s="1"/>
  <c r="AJ56"/>
  <c r="AL56" s="1"/>
  <c r="AJ52"/>
  <c r="AL52" s="1"/>
  <c r="AJ48"/>
  <c r="AL48" s="1"/>
  <c r="AJ41"/>
  <c r="AL41" s="1"/>
  <c r="AJ37"/>
  <c r="AL37" s="1"/>
  <c r="AJ33"/>
  <c r="AL33" s="1"/>
  <c r="AJ28"/>
  <c r="AL28" s="1"/>
  <c r="AJ24"/>
  <c r="AL24" s="1"/>
  <c r="AJ20"/>
  <c r="AL20" s="1"/>
  <c r="DP51"/>
  <c r="DR51" s="1"/>
  <c r="DP43"/>
  <c r="DR43" s="1"/>
  <c r="DP35"/>
  <c r="DR35" s="1"/>
  <c r="DP27"/>
  <c r="DR27" s="1"/>
  <c r="DO67"/>
  <c r="AV44"/>
  <c r="AV41"/>
  <c r="AX41" s="1"/>
  <c r="AV39"/>
  <c r="AX39" s="1"/>
  <c r="AV36"/>
  <c r="AV33"/>
  <c r="AX33" s="1"/>
  <c r="AV31"/>
  <c r="AX31" s="1"/>
  <c r="AV28"/>
  <c r="AV25"/>
  <c r="AX25" s="1"/>
  <c r="AV23"/>
  <c r="AX23" s="1"/>
  <c r="AV20"/>
  <c r="AJ55"/>
  <c r="AL55" s="1"/>
  <c r="AJ50"/>
  <c r="AL50" s="1"/>
  <c r="AJ46"/>
  <c r="AL46" s="1"/>
  <c r="AJ42"/>
  <c r="AL42" s="1"/>
  <c r="AJ38"/>
  <c r="AL38" s="1"/>
  <c r="AJ31"/>
  <c r="AL31" s="1"/>
  <c r="AJ27"/>
  <c r="AL27" s="1"/>
  <c r="AJ23"/>
  <c r="AL23" s="1"/>
  <c r="AI67"/>
  <c r="X57"/>
  <c r="Z57" s="1"/>
  <c r="X53"/>
  <c r="Z53" s="1"/>
  <c r="X51"/>
  <c r="Z51" s="1"/>
  <c r="X45"/>
  <c r="Z45" s="1"/>
  <c r="X43"/>
  <c r="Z43" s="1"/>
  <c r="X37"/>
  <c r="Z37" s="1"/>
  <c r="X35"/>
  <c r="Z35" s="1"/>
  <c r="X29"/>
  <c r="Z29" s="1"/>
  <c r="X27"/>
  <c r="Z27" s="1"/>
  <c r="X21"/>
  <c r="Z21" s="1"/>
  <c r="DP57"/>
  <c r="DR57" s="1"/>
  <c r="DP53"/>
  <c r="DR53" s="1"/>
  <c r="DP48"/>
  <c r="DR48" s="1"/>
  <c r="DP44"/>
  <c r="DR44" s="1"/>
  <c r="DP40"/>
  <c r="DR40" s="1"/>
  <c r="DP36"/>
  <c r="DR36" s="1"/>
  <c r="DP29"/>
  <c r="DR29" s="1"/>
  <c r="DP25"/>
  <c r="DR25" s="1"/>
  <c r="DP21"/>
  <c r="DR21" s="1"/>
  <c r="L41"/>
  <c r="N41" s="1"/>
  <c r="CF48"/>
  <c r="CH48" s="1"/>
  <c r="CF44"/>
  <c r="CH44" s="1"/>
  <c r="CF40"/>
  <c r="CH40" s="1"/>
  <c r="CF36"/>
  <c r="CH36" s="1"/>
  <c r="CF32"/>
  <c r="CH32" s="1"/>
  <c r="CF28"/>
  <c r="CH28" s="1"/>
  <c r="CF24"/>
  <c r="CH24" s="1"/>
  <c r="BT56"/>
  <c r="BV56" s="1"/>
  <c r="BT52"/>
  <c r="BV52" s="1"/>
  <c r="BT48"/>
  <c r="BV48" s="1"/>
  <c r="BT44"/>
  <c r="BV44" s="1"/>
  <c r="BT40"/>
  <c r="BV40" s="1"/>
  <c r="BT36"/>
  <c r="BV36" s="1"/>
  <c r="BT32"/>
  <c r="BV32" s="1"/>
  <c r="BT28"/>
  <c r="BV28" s="1"/>
  <c r="BT24"/>
  <c r="BV24" s="1"/>
  <c r="BT20"/>
  <c r="BV20" s="1"/>
  <c r="BH54"/>
  <c r="BJ54" s="1"/>
  <c r="BH50"/>
  <c r="BJ50" s="1"/>
  <c r="BH46"/>
  <c r="BJ46" s="1"/>
  <c r="BH42"/>
  <c r="BJ42" s="1"/>
  <c r="BH38"/>
  <c r="BJ38" s="1"/>
  <c r="BH34"/>
  <c r="BJ34" s="1"/>
  <c r="BH30"/>
  <c r="BJ30" s="1"/>
  <c r="BH26"/>
  <c r="BJ26" s="1"/>
  <c r="BH22"/>
  <c r="BJ22" s="1"/>
  <c r="AV58"/>
  <c r="AX58" s="1"/>
  <c r="AV46"/>
  <c r="AX46" s="1"/>
  <c r="AV38"/>
  <c r="AX38" s="1"/>
  <c r="AV30"/>
  <c r="AX30" s="1"/>
  <c r="AV22"/>
  <c r="AX22" s="1"/>
  <c r="X50"/>
  <c r="Z50" s="1"/>
  <c r="X42"/>
  <c r="Z42" s="1"/>
  <c r="X34"/>
  <c r="Z34" s="1"/>
  <c r="X26"/>
  <c r="Z26" s="1"/>
  <c r="DP58"/>
  <c r="DR58" s="1"/>
  <c r="DP50"/>
  <c r="DR50" s="1"/>
  <c r="DP42"/>
  <c r="DR42" s="1"/>
  <c r="DP34"/>
  <c r="DR34" s="1"/>
  <c r="DP26"/>
  <c r="DR26" s="1"/>
  <c r="CR33"/>
  <c r="CT33" s="1"/>
  <c r="CR25"/>
  <c r="CT25" s="1"/>
  <c r="AU67"/>
  <c r="X49"/>
  <c r="Z49" s="1"/>
  <c r="X41"/>
  <c r="Z41" s="1"/>
  <c r="X33"/>
  <c r="Z33" s="1"/>
  <c r="X25"/>
  <c r="Z25" s="1"/>
  <c r="CR63"/>
  <c r="CT63" s="1"/>
  <c r="CR61"/>
  <c r="CT61" s="1"/>
  <c r="BU66"/>
  <c r="BT62"/>
  <c r="BV62" s="1"/>
  <c r="BU65"/>
  <c r="AV62"/>
  <c r="AX62" s="1"/>
  <c r="AV59"/>
  <c r="AX59" s="1"/>
  <c r="AV60"/>
  <c r="AX60" s="1"/>
  <c r="Y64"/>
  <c r="X63"/>
  <c r="Z63" s="1"/>
  <c r="X60"/>
  <c r="Z60" s="1"/>
  <c r="X61"/>
  <c r="Z61" s="1"/>
  <c r="L62"/>
  <c r="N62" s="1"/>
  <c r="L61"/>
  <c r="N61" s="1"/>
  <c r="L63"/>
  <c r="N63" s="1"/>
  <c r="DD59"/>
  <c r="DF59" s="1"/>
  <c r="DD63"/>
  <c r="DF63" s="1"/>
  <c r="CR21"/>
  <c r="CT21" s="1"/>
  <c r="CF60"/>
  <c r="CH60" s="1"/>
  <c r="CF61"/>
  <c r="CH61" s="1"/>
  <c r="BH59"/>
  <c r="BJ59" s="1"/>
  <c r="BH63"/>
  <c r="BJ63" s="1"/>
  <c r="AJ60"/>
  <c r="AL60" s="1"/>
  <c r="AJ61"/>
  <c r="AL61" s="1"/>
  <c r="DP62"/>
  <c r="DR62" s="1"/>
  <c r="AK37"/>
  <c r="DE39"/>
  <c r="Y49"/>
  <c r="AP5" i="33"/>
  <c r="AW45" i="30"/>
  <c r="AW21"/>
  <c r="Y53"/>
  <c r="Y29"/>
  <c r="DE53"/>
  <c r="BI39"/>
  <c r="AK25"/>
  <c r="DQ35"/>
  <c r="DE29"/>
  <c r="CS48"/>
  <c r="CG25"/>
  <c r="DE35"/>
  <c r="CS46"/>
  <c r="DD19"/>
  <c r="CS19"/>
  <c r="CF19"/>
  <c r="CH19" s="1"/>
  <c r="BT19"/>
  <c r="BH19"/>
  <c r="AV19"/>
  <c r="AJ19"/>
  <c r="AL19" s="1"/>
  <c r="X19"/>
  <c r="DP19"/>
  <c r="M40"/>
  <c r="M34"/>
  <c r="M53"/>
  <c r="M47"/>
  <c r="M45"/>
  <c r="M33"/>
  <c r="M48"/>
  <c r="M22"/>
  <c r="L19"/>
  <c r="M37" l="1"/>
  <c r="M55"/>
  <c r="Y38"/>
  <c r="BI27"/>
  <c r="BI23"/>
  <c r="AW29"/>
  <c r="DE23"/>
  <c r="BU64"/>
  <c r="M65"/>
  <c r="M44"/>
  <c r="M21"/>
  <c r="BI31"/>
  <c r="Y21"/>
  <c r="CS22"/>
  <c r="M28"/>
  <c r="DQ23"/>
  <c r="CS40"/>
  <c r="Y37"/>
  <c r="DE58"/>
  <c r="CS58"/>
  <c r="M66"/>
  <c r="BI25"/>
  <c r="Y46"/>
  <c r="AW37"/>
  <c r="AW55"/>
  <c r="DE66"/>
  <c r="BI57"/>
  <c r="AK39"/>
  <c r="DE51"/>
  <c r="DQ66"/>
  <c r="BI64"/>
  <c r="BI41"/>
  <c r="M36"/>
  <c r="DQ47"/>
  <c r="CG64"/>
  <c r="M52"/>
  <c r="M20"/>
  <c r="DQ55"/>
  <c r="AK41"/>
  <c r="CG52"/>
  <c r="DQ41"/>
  <c r="CS56"/>
  <c r="M30"/>
  <c r="M31"/>
  <c r="M51"/>
  <c r="M24"/>
  <c r="Y30"/>
  <c r="AK55"/>
  <c r="AK49"/>
  <c r="BI35"/>
  <c r="DE43"/>
  <c r="CS24"/>
  <c r="CS53"/>
  <c r="DE33"/>
  <c r="CS54"/>
  <c r="DQ64"/>
  <c r="CG41"/>
  <c r="BI55"/>
  <c r="AW51"/>
  <c r="AW25"/>
  <c r="CS65"/>
  <c r="M38"/>
  <c r="M56"/>
  <c r="M43"/>
  <c r="M32"/>
  <c r="Y22"/>
  <c r="Y54"/>
  <c r="BI43"/>
  <c r="DE45"/>
  <c r="Y23"/>
  <c r="Y45"/>
  <c r="AW35"/>
  <c r="AW53"/>
  <c r="AW39"/>
  <c r="CS26"/>
  <c r="BI66"/>
  <c r="Y65"/>
  <c r="BI45"/>
  <c r="AK66"/>
  <c r="M29"/>
  <c r="DQ37"/>
  <c r="DQ39"/>
  <c r="CS32"/>
  <c r="AK47"/>
  <c r="AK57"/>
  <c r="DE21"/>
  <c r="AW49"/>
  <c r="CS34"/>
  <c r="CS55"/>
  <c r="AK64"/>
  <c r="DE64"/>
  <c r="AW64"/>
  <c r="CS66"/>
  <c r="BP24" i="44"/>
  <c r="BP22"/>
  <c r="BP20"/>
  <c r="BP18"/>
  <c r="BP16"/>
  <c r="BR15"/>
  <c r="BP23"/>
  <c r="BP19"/>
  <c r="BP25"/>
  <c r="BP21"/>
  <c r="BP17"/>
  <c r="CH3" i="45"/>
  <c r="CI3" s="1"/>
  <c r="CN3"/>
  <c r="CO3" s="1"/>
  <c r="BD50" i="8"/>
  <c r="BJ50" s="1"/>
  <c r="CP3" i="45"/>
  <c r="CQ3" s="1"/>
  <c r="BD51" i="8"/>
  <c r="BJ51" s="1"/>
  <c r="CR3" i="45"/>
  <c r="CS3" s="1"/>
  <c r="BD52" i="8"/>
  <c r="BJ52" s="1"/>
  <c r="CF3" i="45"/>
  <c r="CG3" s="1"/>
  <c r="CD3"/>
  <c r="CE3" s="1"/>
  <c r="BN25"/>
  <c r="BN23"/>
  <c r="BN21"/>
  <c r="BN19"/>
  <c r="BN17"/>
  <c r="BN24"/>
  <c r="BN22"/>
  <c r="BN20"/>
  <c r="BN18"/>
  <c r="BN16"/>
  <c r="BP15"/>
  <c r="DE37" i="30"/>
  <c r="BV23"/>
  <c r="BU23"/>
  <c r="BV43"/>
  <c r="BU43"/>
  <c r="M25"/>
  <c r="M27"/>
  <c r="AK23"/>
  <c r="DQ31"/>
  <c r="AK33"/>
  <c r="DQ45"/>
  <c r="DQ51"/>
  <c r="CG21"/>
  <c r="BI47"/>
  <c r="Y39"/>
  <c r="AW27"/>
  <c r="AW43"/>
  <c r="AW47"/>
  <c r="AK21"/>
  <c r="CS20"/>
  <c r="DQ25"/>
  <c r="CS30"/>
  <c r="DE55"/>
  <c r="DE49"/>
  <c r="DQ65"/>
  <c r="AK65"/>
  <c r="BI65"/>
  <c r="CG65"/>
  <c r="AW66"/>
  <c r="CS64"/>
  <c r="BV39"/>
  <c r="BU39"/>
  <c r="BV27"/>
  <c r="BU27"/>
  <c r="M26"/>
  <c r="M42"/>
  <c r="M50"/>
  <c r="M58"/>
  <c r="L67"/>
  <c r="M35"/>
  <c r="M46"/>
  <c r="M54"/>
  <c r="M23"/>
  <c r="M39"/>
  <c r="M49"/>
  <c r="M57"/>
  <c r="AW54"/>
  <c r="BI51"/>
  <c r="CG53"/>
  <c r="AK31"/>
  <c r="CS38"/>
  <c r="BI58"/>
  <c r="Y55"/>
  <c r="AK53"/>
  <c r="CS57"/>
  <c r="CS52"/>
  <c r="AK43"/>
  <c r="CS50"/>
  <c r="CS36"/>
  <c r="DE65"/>
  <c r="CG66"/>
  <c r="BV55"/>
  <c r="BU55"/>
  <c r="CH9" i="45"/>
  <c r="CI9" s="1"/>
  <c r="CF4"/>
  <c r="CG4" s="1"/>
  <c r="CH12"/>
  <c r="CI12" s="1"/>
  <c r="CD5"/>
  <c r="CE5" s="1"/>
  <c r="CD9"/>
  <c r="CE9" s="1"/>
  <c r="N48" i="34"/>
  <c r="CF8" i="45"/>
  <c r="CG8" s="1"/>
  <c r="CD8"/>
  <c r="CE8" s="1"/>
  <c r="CF5"/>
  <c r="CG5" s="1"/>
  <c r="CD7"/>
  <c r="CE7" s="1"/>
  <c r="CF9"/>
  <c r="CG9" s="1"/>
  <c r="CF12"/>
  <c r="CG12" s="1"/>
  <c r="CD12"/>
  <c r="CE12" s="1"/>
  <c r="CF7"/>
  <c r="CG7" s="1"/>
  <c r="CF10"/>
  <c r="CG10" s="1"/>
  <c r="DQ21" i="30"/>
  <c r="DQ53"/>
  <c r="DQ27"/>
  <c r="DQ43"/>
  <c r="DQ57"/>
  <c r="AW33"/>
  <c r="AW41"/>
  <c r="AK27"/>
  <c r="Y33"/>
  <c r="DQ29"/>
  <c r="V55" i="34"/>
  <c r="V54"/>
  <c r="DE27" i="30"/>
  <c r="U55" i="34"/>
  <c r="U54"/>
  <c r="S54"/>
  <c r="S55"/>
  <c r="CG57" i="30"/>
  <c r="CG49"/>
  <c r="CG33"/>
  <c r="CG56"/>
  <c r="T55" i="34"/>
  <c r="T54"/>
  <c r="R54"/>
  <c r="R55"/>
  <c r="BJ21" i="30"/>
  <c r="BI21"/>
  <c r="BJ37"/>
  <c r="BI37"/>
  <c r="BJ53"/>
  <c r="BI53"/>
  <c r="Q54" i="34"/>
  <c r="Q55"/>
  <c r="P54"/>
  <c r="P55"/>
  <c r="AW23" i="30"/>
  <c r="AW31"/>
  <c r="O55" i="34"/>
  <c r="O54"/>
  <c r="N55"/>
  <c r="N54"/>
  <c r="BE51" i="8"/>
  <c r="BF51" s="1"/>
  <c r="BH51" s="1"/>
  <c r="M54" i="34"/>
  <c r="M55"/>
  <c r="BE52" i="8"/>
  <c r="BF52" s="1"/>
  <c r="BH52" s="1"/>
  <c r="M50" i="34"/>
  <c r="M51"/>
  <c r="BE48" i="8"/>
  <c r="BF48" s="1"/>
  <c r="BH48" s="1"/>
  <c r="M49" i="34"/>
  <c r="M48"/>
  <c r="M52"/>
  <c r="BE49" i="8"/>
  <c r="BF49" s="1"/>
  <c r="BH49" s="1"/>
  <c r="M53" i="34"/>
  <c r="BE50" i="8"/>
  <c r="BF50" s="1"/>
  <c r="BH50" s="1"/>
  <c r="AW20" i="30"/>
  <c r="AX20"/>
  <c r="AW28"/>
  <c r="AX28"/>
  <c r="AW36"/>
  <c r="AX36"/>
  <c r="AW44"/>
  <c r="AX44"/>
  <c r="BU57"/>
  <c r="BV57"/>
  <c r="BU49"/>
  <c r="BV49"/>
  <c r="BU41"/>
  <c r="BV41"/>
  <c r="BU33"/>
  <c r="BV33"/>
  <c r="BU25"/>
  <c r="BV25"/>
  <c r="AW48"/>
  <c r="AX48"/>
  <c r="AW56"/>
  <c r="AX56"/>
  <c r="Y24"/>
  <c r="Z24"/>
  <c r="Y32"/>
  <c r="Z32"/>
  <c r="Y40"/>
  <c r="Z40"/>
  <c r="Y48"/>
  <c r="Z48"/>
  <c r="AW50"/>
  <c r="AX50"/>
  <c r="AK58"/>
  <c r="AL58"/>
  <c r="AW24"/>
  <c r="AX24"/>
  <c r="AW32"/>
  <c r="AX32"/>
  <c r="AW40"/>
  <c r="AX40"/>
  <c r="BU53"/>
  <c r="BV53"/>
  <c r="BU45"/>
  <c r="BV45"/>
  <c r="BU37"/>
  <c r="BV37"/>
  <c r="BU29"/>
  <c r="BV29"/>
  <c r="BU21"/>
  <c r="BV21"/>
  <c r="CG55"/>
  <c r="CH55"/>
  <c r="CG51"/>
  <c r="CH51"/>
  <c r="CG45"/>
  <c r="CH45"/>
  <c r="CG37"/>
  <c r="CH37"/>
  <c r="CG29"/>
  <c r="CH29"/>
  <c r="AW52"/>
  <c r="AX52"/>
  <c r="CG58"/>
  <c r="CH58"/>
  <c r="CG54"/>
  <c r="CH54"/>
  <c r="CG50"/>
  <c r="CH50"/>
  <c r="BT67"/>
  <c r="BV19"/>
  <c r="Y20"/>
  <c r="Z20"/>
  <c r="Y28"/>
  <c r="Z28"/>
  <c r="Y36"/>
  <c r="Z36"/>
  <c r="Y44"/>
  <c r="Z44"/>
  <c r="Y52"/>
  <c r="Z52"/>
  <c r="V51" i="34"/>
  <c r="S50"/>
  <c r="U52"/>
  <c r="P51"/>
  <c r="Q52"/>
  <c r="T52"/>
  <c r="P53"/>
  <c r="O53"/>
  <c r="V53"/>
  <c r="T53"/>
  <c r="Q53"/>
  <c r="O48"/>
  <c r="O51"/>
  <c r="Q51"/>
  <c r="S51"/>
  <c r="U51"/>
  <c r="N51"/>
  <c r="P52"/>
  <c r="R52"/>
  <c r="R53"/>
  <c r="N52"/>
  <c r="R51"/>
  <c r="V52"/>
  <c r="N53"/>
  <c r="O52"/>
  <c r="S52"/>
  <c r="S53"/>
  <c r="T51"/>
  <c r="T49"/>
  <c r="U53"/>
  <c r="DP67" i="30"/>
  <c r="DR19"/>
  <c r="DD67"/>
  <c r="DF19"/>
  <c r="BH67"/>
  <c r="BJ19"/>
  <c r="AV67"/>
  <c r="AX19"/>
  <c r="X67"/>
  <c r="Z19"/>
  <c r="DE25"/>
  <c r="DQ33"/>
  <c r="DE31"/>
  <c r="DE57"/>
  <c r="CS42"/>
  <c r="CS44"/>
  <c r="CG23"/>
  <c r="CG39"/>
  <c r="CF67"/>
  <c r="CG31"/>
  <c r="CG47"/>
  <c r="AJ67"/>
  <c r="Y31"/>
  <c r="Y47"/>
  <c r="Y27"/>
  <c r="Y35"/>
  <c r="Y43"/>
  <c r="Y51"/>
  <c r="Y25"/>
  <c r="Y41"/>
  <c r="CR67"/>
  <c r="AK35"/>
  <c r="AK61"/>
  <c r="AK60"/>
  <c r="BI63"/>
  <c r="BI59"/>
  <c r="CG61"/>
  <c r="CG60"/>
  <c r="CS21"/>
  <c r="DE63"/>
  <c r="DE59"/>
  <c r="M63"/>
  <c r="M61"/>
  <c r="M62"/>
  <c r="Y61"/>
  <c r="Y60"/>
  <c r="AW60"/>
  <c r="AW59"/>
  <c r="CS61"/>
  <c r="CS63"/>
  <c r="CS25"/>
  <c r="CS33"/>
  <c r="DQ26"/>
  <c r="DQ34"/>
  <c r="DQ42"/>
  <c r="DQ50"/>
  <c r="DQ58"/>
  <c r="Y26"/>
  <c r="Y34"/>
  <c r="Y42"/>
  <c r="Y50"/>
  <c r="AW22"/>
  <c r="AW30"/>
  <c r="AW38"/>
  <c r="AW46"/>
  <c r="AW58"/>
  <c r="BI22"/>
  <c r="BI26"/>
  <c r="BI30"/>
  <c r="BI34"/>
  <c r="BI38"/>
  <c r="BI42"/>
  <c r="BI46"/>
  <c r="BI50"/>
  <c r="BI54"/>
  <c r="BU20"/>
  <c r="BU24"/>
  <c r="BU28"/>
  <c r="BU32"/>
  <c r="BU36"/>
  <c r="BU40"/>
  <c r="BU44"/>
  <c r="BU48"/>
  <c r="BU52"/>
  <c r="BU56"/>
  <c r="CG24"/>
  <c r="CG28"/>
  <c r="CG32"/>
  <c r="CG36"/>
  <c r="CG40"/>
  <c r="CG44"/>
  <c r="CG48"/>
  <c r="M41"/>
  <c r="DQ36"/>
  <c r="DQ40"/>
  <c r="DQ44"/>
  <c r="DQ48"/>
  <c r="Y57"/>
  <c r="AK38"/>
  <c r="AK42"/>
  <c r="AK46"/>
  <c r="AK50"/>
  <c r="AK20"/>
  <c r="AK24"/>
  <c r="AK28"/>
  <c r="AK48"/>
  <c r="AK52"/>
  <c r="AK56"/>
  <c r="CG20"/>
  <c r="CS45"/>
  <c r="CS49"/>
  <c r="DE34"/>
  <c r="DE38"/>
  <c r="DE42"/>
  <c r="DE46"/>
  <c r="CS23"/>
  <c r="CS27"/>
  <c r="CS47"/>
  <c r="CS51"/>
  <c r="DE28"/>
  <c r="DE32"/>
  <c r="DE36"/>
  <c r="DE40"/>
  <c r="DQ63"/>
  <c r="DQ60"/>
  <c r="DQ59"/>
  <c r="AK59"/>
  <c r="AK62"/>
  <c r="AK63"/>
  <c r="BI60"/>
  <c r="BI62"/>
  <c r="BI61"/>
  <c r="CG59"/>
  <c r="CG62"/>
  <c r="CG63"/>
  <c r="DE60"/>
  <c r="DE61"/>
  <c r="DE62"/>
  <c r="M60"/>
  <c r="M59"/>
  <c r="Y62"/>
  <c r="Y59"/>
  <c r="AW61"/>
  <c r="AW63"/>
  <c r="BU60"/>
  <c r="BU59"/>
  <c r="BU63"/>
  <c r="BU61"/>
  <c r="CS59"/>
  <c r="CS60"/>
  <c r="CS29"/>
  <c r="DQ22"/>
  <c r="DQ30"/>
  <c r="DQ38"/>
  <c r="DQ46"/>
  <c r="DQ54"/>
  <c r="Y56"/>
  <c r="AW26"/>
  <c r="AW34"/>
  <c r="AW42"/>
  <c r="BI20"/>
  <c r="BI24"/>
  <c r="BI28"/>
  <c r="BI32"/>
  <c r="BI36"/>
  <c r="BI40"/>
  <c r="BI44"/>
  <c r="BI48"/>
  <c r="BI52"/>
  <c r="BI56"/>
  <c r="BU22"/>
  <c r="BU26"/>
  <c r="BU30"/>
  <c r="BU34"/>
  <c r="BU38"/>
  <c r="BU42"/>
  <c r="BU46"/>
  <c r="BU50"/>
  <c r="BU54"/>
  <c r="BU58"/>
  <c r="CG26"/>
  <c r="CG30"/>
  <c r="CG34"/>
  <c r="CG38"/>
  <c r="CG42"/>
  <c r="CG46"/>
  <c r="DE22"/>
  <c r="DQ20"/>
  <c r="DQ24"/>
  <c r="DQ28"/>
  <c r="DQ32"/>
  <c r="AK51"/>
  <c r="AK54"/>
  <c r="DE47"/>
  <c r="DE50"/>
  <c r="DE54"/>
  <c r="AW57"/>
  <c r="CG22"/>
  <c r="DE41"/>
  <c r="DE44"/>
  <c r="DE48"/>
  <c r="DE52"/>
  <c r="DE56"/>
  <c r="DQ62"/>
  <c r="Y63"/>
  <c r="AW62"/>
  <c r="BU62"/>
  <c r="DQ61"/>
  <c r="CS62"/>
  <c r="DQ49"/>
  <c r="DQ52"/>
  <c r="DQ56"/>
  <c r="Y58"/>
  <c r="AK22"/>
  <c r="AK26"/>
  <c r="AK30"/>
  <c r="AK34"/>
  <c r="AK29"/>
  <c r="AK32"/>
  <c r="AK36"/>
  <c r="AK40"/>
  <c r="AK44"/>
  <c r="CS37"/>
  <c r="CS41"/>
  <c r="DE26"/>
  <c r="DE30"/>
  <c r="CS28"/>
  <c r="CS31"/>
  <c r="CS35"/>
  <c r="CS39"/>
  <c r="CS43"/>
  <c r="DE20"/>
  <c r="DE24"/>
  <c r="AZ5" i="33"/>
  <c r="L5"/>
  <c r="Q5"/>
  <c r="V5"/>
  <c r="AU5"/>
  <c r="AA5"/>
  <c r="AF5"/>
  <c r="AK5"/>
  <c r="DE19" i="30"/>
  <c r="CG19"/>
  <c r="BU19"/>
  <c r="BI19"/>
  <c r="AW19"/>
  <c r="AK19"/>
  <c r="Y19"/>
  <c r="DQ19"/>
  <c r="N19"/>
  <c r="M19"/>
  <c r="V49" i="34" l="1"/>
  <c r="S49"/>
  <c r="Q49"/>
  <c r="G59" i="31"/>
  <c r="G58"/>
  <c r="G57"/>
  <c r="G60"/>
  <c r="G61"/>
  <c r="BR24" i="44"/>
  <c r="BR22"/>
  <c r="BR20"/>
  <c r="BR18"/>
  <c r="BR16"/>
  <c r="BR25"/>
  <c r="BR21"/>
  <c r="BR17"/>
  <c r="BR23"/>
  <c r="BR19"/>
  <c r="BT15"/>
  <c r="V48" i="34"/>
  <c r="R50"/>
  <c r="CH8" i="45"/>
  <c r="CI8" s="1"/>
  <c r="BE45" i="8"/>
  <c r="BF45" s="1"/>
  <c r="BH45" s="1"/>
  <c r="CD4" i="45"/>
  <c r="CE4" s="1"/>
  <c r="CH10"/>
  <c r="CI10" s="1"/>
  <c r="P49" i="34"/>
  <c r="CF6" i="45"/>
  <c r="CG6" s="1"/>
  <c r="BE47" i="8"/>
  <c r="BF47" s="1"/>
  <c r="BH47" s="1"/>
  <c r="CH4" i="45"/>
  <c r="CI4" s="1"/>
  <c r="O50" i="34"/>
  <c r="CH5" i="45"/>
  <c r="CI5" s="1"/>
  <c r="U49" i="34"/>
  <c r="CF11" i="45"/>
  <c r="CG11" s="1"/>
  <c r="U48" i="34"/>
  <c r="CD11" i="45"/>
  <c r="CE11" s="1"/>
  <c r="T48" i="34"/>
  <c r="CD10" i="45"/>
  <c r="CE10" s="1"/>
  <c r="P50" i="34"/>
  <c r="CH6" i="45"/>
  <c r="CI6" s="1"/>
  <c r="U50" i="34"/>
  <c r="CH11" i="45"/>
  <c r="CI11" s="1"/>
  <c r="Q50" i="34"/>
  <c r="CH7" i="45"/>
  <c r="CI7" s="1"/>
  <c r="P48" i="34"/>
  <c r="CD6" i="45"/>
  <c r="CE6" s="1"/>
  <c r="BD45" i="8"/>
  <c r="BJ45" s="1"/>
  <c r="BD46"/>
  <c r="BJ46" s="1"/>
  <c r="BD47"/>
  <c r="BJ47" s="1"/>
  <c r="BK48"/>
  <c r="I57" i="31" s="1"/>
  <c r="BG48" i="8"/>
  <c r="H57" i="31" s="1"/>
  <c r="BI48" i="8"/>
  <c r="BK51"/>
  <c r="I60" i="31" s="1"/>
  <c r="BI51" i="8"/>
  <c r="BG51"/>
  <c r="H60" i="31" s="1"/>
  <c r="BI45" i="8"/>
  <c r="BG47"/>
  <c r="H56" i="31" s="1"/>
  <c r="BK50" i="8"/>
  <c r="I59" i="31" s="1"/>
  <c r="BG50" i="8"/>
  <c r="H59" i="31" s="1"/>
  <c r="BI50" i="8"/>
  <c r="BK49"/>
  <c r="I58" i="31" s="1"/>
  <c r="BI49" i="8"/>
  <c r="BG49"/>
  <c r="H58" i="31" s="1"/>
  <c r="BK52" i="8"/>
  <c r="I61" i="31" s="1"/>
  <c r="BG52" i="8"/>
  <c r="H61" i="31" s="1"/>
  <c r="BI52" i="8"/>
  <c r="BP24" i="45"/>
  <c r="BP22"/>
  <c r="BP20"/>
  <c r="BP18"/>
  <c r="BP16"/>
  <c r="BP25"/>
  <c r="BP23"/>
  <c r="BP21"/>
  <c r="BP19"/>
  <c r="BP17"/>
  <c r="BR15"/>
  <c r="N49" i="34"/>
  <c r="R49"/>
  <c r="S48"/>
  <c r="T50"/>
  <c r="N50"/>
  <c r="BE46" i="8"/>
  <c r="BF46" s="1"/>
  <c r="BH46" s="1"/>
  <c r="R48" i="34"/>
  <c r="BJ67" i="30"/>
  <c r="Q48" i="34"/>
  <c r="V50"/>
  <c r="O49"/>
  <c r="CH67" i="30"/>
  <c r="AX67"/>
  <c r="M67"/>
  <c r="DR67"/>
  <c r="Z67"/>
  <c r="N67"/>
  <c r="DQ67"/>
  <c r="AK67"/>
  <c r="AW67"/>
  <c r="BI67"/>
  <c r="BU67"/>
  <c r="DE67"/>
  <c r="CG67"/>
  <c r="BV67"/>
  <c r="AL67"/>
  <c r="Y67"/>
  <c r="CS67"/>
  <c r="CT67"/>
  <c r="DF67"/>
  <c r="A6" i="24"/>
  <c r="B6"/>
  <c r="C6"/>
  <c r="D6"/>
  <c r="E6"/>
  <c r="A7"/>
  <c r="B7"/>
  <c r="C7"/>
  <c r="D7"/>
  <c r="E7"/>
  <c r="A8"/>
  <c r="B8"/>
  <c r="C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G54" i="31" l="1"/>
  <c r="BT24" i="44"/>
  <c r="BT22"/>
  <c r="BT20"/>
  <c r="BT18"/>
  <c r="BT16"/>
  <c r="BV15"/>
  <c r="BT23"/>
  <c r="BT19"/>
  <c r="BT25"/>
  <c r="BT21"/>
  <c r="BT17"/>
  <c r="G55" i="31"/>
  <c r="G56"/>
  <c r="BG45" i="8"/>
  <c r="H54" i="31" s="1"/>
  <c r="BI47" i="8"/>
  <c r="BK47"/>
  <c r="I56" i="31" s="1"/>
  <c r="BK45" i="8"/>
  <c r="I54" i="31" s="1"/>
  <c r="BK46" i="8"/>
  <c r="I55" i="31" s="1"/>
  <c r="BG46" i="8"/>
  <c r="H55" i="31" s="1"/>
  <c r="BI46" i="8"/>
  <c r="BR25" i="45"/>
  <c r="BR23"/>
  <c r="BR21"/>
  <c r="BR19"/>
  <c r="BR17"/>
  <c r="BR24"/>
  <c r="BR22"/>
  <c r="BR20"/>
  <c r="BR18"/>
  <c r="BR16"/>
  <c r="BT15"/>
  <c r="C8" i="17"/>
  <c r="BZ4" i="44" l="1"/>
  <c r="CA4" s="1"/>
  <c r="BV4"/>
  <c r="BW4" s="1"/>
  <c r="BR4"/>
  <c r="BS4" s="1"/>
  <c r="BN4"/>
  <c r="BO4" s="1"/>
  <c r="BJ4"/>
  <c r="BK4" s="1"/>
  <c r="BF4"/>
  <c r="BG4" s="1"/>
  <c r="BB4"/>
  <c r="BC4" s="1"/>
  <c r="AX4"/>
  <c r="AY4" s="1"/>
  <c r="AT4"/>
  <c r="AU4" s="1"/>
  <c r="AP4"/>
  <c r="AQ4" s="1"/>
  <c r="AL4"/>
  <c r="AM4" s="1"/>
  <c r="AH4"/>
  <c r="AI4" s="1"/>
  <c r="AD4"/>
  <c r="AE4" s="1"/>
  <c r="Z4"/>
  <c r="AA4" s="1"/>
  <c r="V4"/>
  <c r="W4" s="1"/>
  <c r="R4"/>
  <c r="S4" s="1"/>
  <c r="N4"/>
  <c r="O4" s="1"/>
  <c r="J4"/>
  <c r="K4" s="1"/>
  <c r="F4"/>
  <c r="G4" s="1"/>
  <c r="CB4"/>
  <c r="CC4" s="1"/>
  <c r="BX4"/>
  <c r="BY4" s="1"/>
  <c r="BT4"/>
  <c r="BU4" s="1"/>
  <c r="BP4"/>
  <c r="BQ4" s="1"/>
  <c r="BL4"/>
  <c r="BM4" s="1"/>
  <c r="BH4"/>
  <c r="BI4" s="1"/>
  <c r="BD4"/>
  <c r="BE4" s="1"/>
  <c r="AZ4"/>
  <c r="BA4" s="1"/>
  <c r="AV4"/>
  <c r="AW4" s="1"/>
  <c r="AR4"/>
  <c r="AS4" s="1"/>
  <c r="AN4"/>
  <c r="AO4" s="1"/>
  <c r="AJ4"/>
  <c r="AK4" s="1"/>
  <c r="AF4"/>
  <c r="AG4" s="1"/>
  <c r="AB4"/>
  <c r="AC4" s="1"/>
  <c r="X4"/>
  <c r="Y4" s="1"/>
  <c r="T4"/>
  <c r="U4" s="1"/>
  <c r="P4"/>
  <c r="Q4" s="1"/>
  <c r="L4"/>
  <c r="M4" s="1"/>
  <c r="H4"/>
  <c r="I4" s="1"/>
  <c r="D4"/>
  <c r="E4" s="1"/>
  <c r="BV24"/>
  <c r="BV22"/>
  <c r="BV20"/>
  <c r="BV18"/>
  <c r="BV16"/>
  <c r="BV25"/>
  <c r="BV21"/>
  <c r="BV17"/>
  <c r="BX15"/>
  <c r="BV23"/>
  <c r="BV19"/>
  <c r="BT24" i="45"/>
  <c r="BT22"/>
  <c r="BT20"/>
  <c r="BT18"/>
  <c r="BT16"/>
  <c r="BT25"/>
  <c r="BT23"/>
  <c r="BT21"/>
  <c r="BT19"/>
  <c r="BT17"/>
  <c r="BV15"/>
  <c r="E47" i="34"/>
  <c r="CB5" i="44"/>
  <c r="CC5" s="1"/>
  <c r="C46" i="34"/>
  <c r="BZ3" i="44"/>
  <c r="CJ43" i="6"/>
  <c r="CU43" s="1"/>
  <c r="CI43"/>
  <c r="CT43" s="1"/>
  <c r="E44" i="34"/>
  <c r="BV5" i="44"/>
  <c r="BW5" s="1"/>
  <c r="C42" i="34"/>
  <c r="CJ39" i="6"/>
  <c r="CU39" s="1"/>
  <c r="BR3" i="44"/>
  <c r="CI39" i="6"/>
  <c r="CT39" s="1"/>
  <c r="E41" i="34"/>
  <c r="BP5" i="44"/>
  <c r="BQ5" s="1"/>
  <c r="C41" i="34"/>
  <c r="CJ38" i="6"/>
  <c r="CU38" s="1"/>
  <c r="CI38"/>
  <c r="CT38" s="1"/>
  <c r="BP3" i="44"/>
  <c r="E40" i="34"/>
  <c r="BN5" i="44"/>
  <c r="BO5" s="1"/>
  <c r="E39" i="34"/>
  <c r="BL5" i="44"/>
  <c r="BM5" s="1"/>
  <c r="C39" i="34"/>
  <c r="CJ36" i="6"/>
  <c r="CU36" s="1"/>
  <c r="CI36"/>
  <c r="CT36" s="1"/>
  <c r="BL3" i="44"/>
  <c r="E38" i="34"/>
  <c r="BJ5" i="44"/>
  <c r="BK5" s="1"/>
  <c r="K37" i="34"/>
  <c r="BH11" i="44"/>
  <c r="G37" i="34"/>
  <c r="BH7" i="44"/>
  <c r="E37" i="34"/>
  <c r="BH5" i="44"/>
  <c r="BI5" s="1"/>
  <c r="K36" i="34"/>
  <c r="BF11" i="44"/>
  <c r="G36" i="34"/>
  <c r="BF7" i="44"/>
  <c r="C36" i="34"/>
  <c r="CJ33" i="6"/>
  <c r="CU33" s="1"/>
  <c r="CI33"/>
  <c r="CT33" s="1"/>
  <c r="BF3" i="44"/>
  <c r="K35" i="34"/>
  <c r="BD11" i="44"/>
  <c r="G35" i="34"/>
  <c r="BD7" i="44"/>
  <c r="C35" i="34"/>
  <c r="CJ32" i="6"/>
  <c r="CU32" s="1"/>
  <c r="CI32"/>
  <c r="CT32" s="1"/>
  <c r="BD3" i="44"/>
  <c r="I34" i="34"/>
  <c r="BB9" i="44"/>
  <c r="E34" i="34"/>
  <c r="BB5" i="44"/>
  <c r="BC5" s="1"/>
  <c r="K33" i="34"/>
  <c r="AZ11" i="44"/>
  <c r="G33" i="34"/>
  <c r="AZ7" i="44"/>
  <c r="C33" i="34"/>
  <c r="CJ30" i="6"/>
  <c r="CU30" s="1"/>
  <c r="CI30"/>
  <c r="CT30" s="1"/>
  <c r="AZ3" i="44"/>
  <c r="L37" i="34"/>
  <c r="BH12" i="44"/>
  <c r="J37" i="34"/>
  <c r="BH10" i="44"/>
  <c r="H37" i="34"/>
  <c r="BH8" i="44"/>
  <c r="F37" i="34"/>
  <c r="BH6" i="44"/>
  <c r="BI6" s="1"/>
  <c r="L36" i="34"/>
  <c r="BF12" i="44"/>
  <c r="J36" i="34"/>
  <c r="BF10" i="44"/>
  <c r="H36" i="34"/>
  <c r="BF8" i="44"/>
  <c r="F36" i="34"/>
  <c r="BF6" i="44"/>
  <c r="BG6" s="1"/>
  <c r="L35" i="34"/>
  <c r="BD12" i="44"/>
  <c r="J35" i="34"/>
  <c r="BD10" i="44"/>
  <c r="H35" i="34"/>
  <c r="BD8" i="44"/>
  <c r="F35" i="34"/>
  <c r="BD6" i="44"/>
  <c r="BE6" s="1"/>
  <c r="L34" i="34"/>
  <c r="BB12" i="44"/>
  <c r="J34" i="34"/>
  <c r="BB10" i="44"/>
  <c r="H34" i="34"/>
  <c r="BB8" i="44"/>
  <c r="F34" i="34"/>
  <c r="BB6" i="44"/>
  <c r="BC6" s="1"/>
  <c r="L33" i="34"/>
  <c r="AZ12" i="44"/>
  <c r="J33" i="34"/>
  <c r="AZ10" i="44"/>
  <c r="H33" i="34"/>
  <c r="AZ8" i="44"/>
  <c r="F33" i="34"/>
  <c r="AZ6" i="44"/>
  <c r="BA6" s="1"/>
  <c r="L32" i="34"/>
  <c r="AX12" i="44"/>
  <c r="J32" i="34"/>
  <c r="AX10" i="44"/>
  <c r="H32" i="34"/>
  <c r="AX8" i="44"/>
  <c r="F32" i="34"/>
  <c r="AX6" i="44"/>
  <c r="AY6" s="1"/>
  <c r="L31" i="34"/>
  <c r="AV12" i="44"/>
  <c r="J31" i="34"/>
  <c r="AV10" i="44"/>
  <c r="H31" i="34"/>
  <c r="AV8" i="44"/>
  <c r="F31" i="34"/>
  <c r="AV6" i="44"/>
  <c r="AW6" s="1"/>
  <c r="L30" i="34"/>
  <c r="AT12" i="44"/>
  <c r="J30" i="34"/>
  <c r="AT10" i="44"/>
  <c r="H30" i="34"/>
  <c r="AT8" i="44"/>
  <c r="F30" i="34"/>
  <c r="AT6" i="44"/>
  <c r="AU6" s="1"/>
  <c r="L29" i="34"/>
  <c r="AR12" i="44"/>
  <c r="J29" i="34"/>
  <c r="AR10" i="44"/>
  <c r="H29" i="34"/>
  <c r="AR8" i="44"/>
  <c r="F29" i="34"/>
  <c r="AR6" i="44"/>
  <c r="AS6" s="1"/>
  <c r="L28" i="34"/>
  <c r="AP12" i="44"/>
  <c r="J28" i="34"/>
  <c r="AP10" i="44"/>
  <c r="H28" i="34"/>
  <c r="AP8" i="44"/>
  <c r="F28" i="34"/>
  <c r="AP6" i="44"/>
  <c r="AQ6" s="1"/>
  <c r="L27" i="34"/>
  <c r="AN12" i="44"/>
  <c r="J27" i="34"/>
  <c r="AN10" i="44"/>
  <c r="H27" i="34"/>
  <c r="AN8" i="44"/>
  <c r="F27" i="34"/>
  <c r="AN6" i="44"/>
  <c r="AO6" s="1"/>
  <c r="L26" i="34"/>
  <c r="AL12" i="44"/>
  <c r="J26" i="34"/>
  <c r="AL10" i="44"/>
  <c r="H26" i="34"/>
  <c r="AL8" i="44"/>
  <c r="F26" i="34"/>
  <c r="AL6" i="44"/>
  <c r="AM6" s="1"/>
  <c r="L25" i="34"/>
  <c r="AJ12" i="44"/>
  <c r="J25" i="34"/>
  <c r="AJ10" i="44"/>
  <c r="H25" i="34"/>
  <c r="AJ8" i="44"/>
  <c r="F25" i="34"/>
  <c r="AJ6" i="44"/>
  <c r="AK6" s="1"/>
  <c r="L24" i="34"/>
  <c r="AH12" i="44"/>
  <c r="J24" i="34"/>
  <c r="AH10" i="44"/>
  <c r="H24" i="34"/>
  <c r="AH8" i="44"/>
  <c r="F24" i="34"/>
  <c r="AH6" i="44"/>
  <c r="AI6" s="1"/>
  <c r="L23" i="34"/>
  <c r="AF12" i="44"/>
  <c r="J23" i="34"/>
  <c r="AF10" i="44"/>
  <c r="H23" i="34"/>
  <c r="AF8" i="44"/>
  <c r="F23" i="34"/>
  <c r="AF6" i="44"/>
  <c r="AG6" s="1"/>
  <c r="L22" i="34"/>
  <c r="AD12" i="44"/>
  <c r="J22" i="34"/>
  <c r="AD10" i="44"/>
  <c r="H22" i="34"/>
  <c r="AD8" i="44"/>
  <c r="F22" i="34"/>
  <c r="AD6" i="44"/>
  <c r="AE6" s="1"/>
  <c r="L21" i="34"/>
  <c r="AB12" i="44"/>
  <c r="J21" i="34"/>
  <c r="AB10" i="44"/>
  <c r="H21" i="34"/>
  <c r="AB8" i="44"/>
  <c r="F21" i="34"/>
  <c r="AB6" i="44"/>
  <c r="AC6" s="1"/>
  <c r="L20" i="34"/>
  <c r="Z12" i="44"/>
  <c r="J20" i="34"/>
  <c r="Z10" i="44"/>
  <c r="H20" i="34"/>
  <c r="Z8" i="44"/>
  <c r="F20" i="34"/>
  <c r="Z6" i="44"/>
  <c r="AA6" s="1"/>
  <c r="L19" i="34"/>
  <c r="X12" i="44"/>
  <c r="J19" i="34"/>
  <c r="X10" i="44"/>
  <c r="H19" i="34"/>
  <c r="X8" i="44"/>
  <c r="F19" i="34"/>
  <c r="X6" i="44"/>
  <c r="Y6" s="1"/>
  <c r="L18" i="34"/>
  <c r="V12" i="44"/>
  <c r="J18" i="34"/>
  <c r="V10" i="44"/>
  <c r="H18" i="34"/>
  <c r="V8" i="44"/>
  <c r="F18" i="34"/>
  <c r="V6" i="44"/>
  <c r="W6" s="1"/>
  <c r="L17" i="34"/>
  <c r="T12" i="44"/>
  <c r="J17" i="34"/>
  <c r="T10" i="44"/>
  <c r="H17" i="34"/>
  <c r="T8" i="44"/>
  <c r="F17" i="34"/>
  <c r="T6" i="44"/>
  <c r="U6" s="1"/>
  <c r="L16" i="34"/>
  <c r="R12" i="44"/>
  <c r="J16" i="34"/>
  <c r="R10" i="44"/>
  <c r="H16" i="34"/>
  <c r="R8" i="44"/>
  <c r="F16" i="34"/>
  <c r="R6" i="44"/>
  <c r="S6" s="1"/>
  <c r="L15" i="34"/>
  <c r="P12" i="44"/>
  <c r="J15" i="34"/>
  <c r="P10" i="44"/>
  <c r="H15" i="34"/>
  <c r="P8" i="44"/>
  <c r="F15" i="34"/>
  <c r="P6" i="44"/>
  <c r="Q6" s="1"/>
  <c r="L14" i="34"/>
  <c r="N12" i="44"/>
  <c r="J14" i="34"/>
  <c r="N10" i="44"/>
  <c r="H14" i="34"/>
  <c r="N8" i="44"/>
  <c r="F14" i="34"/>
  <c r="N6" i="44"/>
  <c r="O6" s="1"/>
  <c r="L13" i="34"/>
  <c r="L12" i="44"/>
  <c r="J13" i="34"/>
  <c r="L10" i="44"/>
  <c r="H13" i="34"/>
  <c r="L8" i="44"/>
  <c r="F13" i="34"/>
  <c r="L6" i="44"/>
  <c r="M6" s="1"/>
  <c r="L12" i="34"/>
  <c r="J12" i="44"/>
  <c r="J12" i="34"/>
  <c r="J10" i="44"/>
  <c r="H12" i="34"/>
  <c r="J8" i="44"/>
  <c r="F12" i="34"/>
  <c r="J6" i="44"/>
  <c r="K6" s="1"/>
  <c r="C47" i="34"/>
  <c r="CJ44" i="6"/>
  <c r="CU44" s="1"/>
  <c r="CB3" i="44"/>
  <c r="CI44" i="6"/>
  <c r="CT44" s="1"/>
  <c r="E46" i="34"/>
  <c r="BZ5" i="44"/>
  <c r="CA5" s="1"/>
  <c r="E45" i="34"/>
  <c r="BX5" i="44"/>
  <c r="BY5" s="1"/>
  <c r="C45" i="34"/>
  <c r="CJ42" i="6"/>
  <c r="CU42" s="1"/>
  <c r="CI42"/>
  <c r="CT42" s="1"/>
  <c r="BX3" i="44"/>
  <c r="C44" i="34"/>
  <c r="CJ41" i="6"/>
  <c r="CU41" s="1"/>
  <c r="BV3" i="44"/>
  <c r="CI41" i="6"/>
  <c r="CT41" s="1"/>
  <c r="E43" i="34"/>
  <c r="BT5" i="44"/>
  <c r="BU5" s="1"/>
  <c r="C43" i="34"/>
  <c r="CJ40" i="6"/>
  <c r="CU40" s="1"/>
  <c r="CI40"/>
  <c r="CT40" s="1"/>
  <c r="BT3" i="44"/>
  <c r="E42" i="34"/>
  <c r="BR5" i="44"/>
  <c r="BS5" s="1"/>
  <c r="C40" i="34"/>
  <c r="CJ37" i="6"/>
  <c r="CU37" s="1"/>
  <c r="BN3" i="44"/>
  <c r="CI37" i="6"/>
  <c r="CT37" s="1"/>
  <c r="C38" i="34"/>
  <c r="CJ35" i="6"/>
  <c r="CU35" s="1"/>
  <c r="BJ3" i="44"/>
  <c r="CI35" i="6"/>
  <c r="CT35" s="1"/>
  <c r="I37" i="34"/>
  <c r="BH9" i="44"/>
  <c r="C37" i="34"/>
  <c r="CJ34" i="6"/>
  <c r="CU34" s="1"/>
  <c r="CI34"/>
  <c r="CT34" s="1"/>
  <c r="BH3" i="44"/>
  <c r="I36" i="34"/>
  <c r="BF9" i="44"/>
  <c r="E36" i="34"/>
  <c r="BF5" i="44"/>
  <c r="BG5" s="1"/>
  <c r="I35" i="34"/>
  <c r="BD9" i="44"/>
  <c r="E35" i="34"/>
  <c r="BD5" i="44"/>
  <c r="BE5" s="1"/>
  <c r="K34" i="34"/>
  <c r="BB11" i="44"/>
  <c r="G34" i="34"/>
  <c r="BB7" i="44"/>
  <c r="C34" i="34"/>
  <c r="CJ31" i="6"/>
  <c r="CU31" s="1"/>
  <c r="CI31"/>
  <c r="CT31" s="1"/>
  <c r="BB3" i="44"/>
  <c r="I33" i="34"/>
  <c r="AZ9" i="44"/>
  <c r="E33" i="34"/>
  <c r="AZ5" i="44"/>
  <c r="BA5" s="1"/>
  <c r="K32" i="34"/>
  <c r="AX11" i="44"/>
  <c r="I32" i="34"/>
  <c r="AX9" i="44"/>
  <c r="G32" i="34"/>
  <c r="AX7" i="44"/>
  <c r="E32" i="34"/>
  <c r="AX5" i="44"/>
  <c r="AY5" s="1"/>
  <c r="C32" i="34"/>
  <c r="CJ29" i="6"/>
  <c r="CU29" s="1"/>
  <c r="CI29"/>
  <c r="CT29" s="1"/>
  <c r="AX3" i="44"/>
  <c r="K31" i="34"/>
  <c r="AV11" i="44"/>
  <c r="I31" i="34"/>
  <c r="AV9" i="44"/>
  <c r="G31" i="34"/>
  <c r="AV7" i="44"/>
  <c r="E31" i="34"/>
  <c r="AV5" i="44"/>
  <c r="AW5" s="1"/>
  <c r="C31" i="34"/>
  <c r="CJ28" i="6"/>
  <c r="CU28" s="1"/>
  <c r="CI28"/>
  <c r="CT28" s="1"/>
  <c r="AV3" i="44"/>
  <c r="K30" i="34"/>
  <c r="AT11" i="44"/>
  <c r="I30" i="34"/>
  <c r="AT9" i="44"/>
  <c r="G30" i="34"/>
  <c r="AT7" i="44"/>
  <c r="E30" i="34"/>
  <c r="AT5" i="44"/>
  <c r="AU5" s="1"/>
  <c r="C30" i="34"/>
  <c r="CJ27" i="6"/>
  <c r="CU27" s="1"/>
  <c r="CI27"/>
  <c r="CT27" s="1"/>
  <c r="AT3" i="44"/>
  <c r="K29" i="34"/>
  <c r="AR11" i="44"/>
  <c r="I29" i="34"/>
  <c r="AR9" i="44"/>
  <c r="G29" i="34"/>
  <c r="AR7" i="44"/>
  <c r="E29" i="34"/>
  <c r="AR5" i="44"/>
  <c r="AS5" s="1"/>
  <c r="C29" i="34"/>
  <c r="CJ26" i="6"/>
  <c r="CU26" s="1"/>
  <c r="CI26"/>
  <c r="CT26" s="1"/>
  <c r="AR3" i="44"/>
  <c r="K28" i="34"/>
  <c r="AP11" i="44"/>
  <c r="I28" i="34"/>
  <c r="AP9" i="44"/>
  <c r="G28" i="34"/>
  <c r="AP7" i="44"/>
  <c r="E28" i="34"/>
  <c r="AP5" i="44"/>
  <c r="AQ5" s="1"/>
  <c r="C28" i="34"/>
  <c r="CJ25" i="6"/>
  <c r="CU25" s="1"/>
  <c r="CI25"/>
  <c r="CT25" s="1"/>
  <c r="AP3" i="44"/>
  <c r="K27" i="34"/>
  <c r="AN11" i="44"/>
  <c r="I27" i="34"/>
  <c r="AN9" i="44"/>
  <c r="G27" i="34"/>
  <c r="AN7" i="44"/>
  <c r="E27" i="34"/>
  <c r="AN5" i="44"/>
  <c r="AO5" s="1"/>
  <c r="C27" i="34"/>
  <c r="CJ24" i="6"/>
  <c r="CU24" s="1"/>
  <c r="CI24"/>
  <c r="CT24" s="1"/>
  <c r="AN3" i="44"/>
  <c r="K26" i="34"/>
  <c r="AL11" i="44"/>
  <c r="I26" i="34"/>
  <c r="AL9" i="44"/>
  <c r="G26" i="34"/>
  <c r="AL7" i="44"/>
  <c r="E26" i="34"/>
  <c r="AL5" i="44"/>
  <c r="AM5" s="1"/>
  <c r="C26" i="34"/>
  <c r="CJ23" i="6"/>
  <c r="CU23" s="1"/>
  <c r="CI23"/>
  <c r="CT23" s="1"/>
  <c r="AL3" i="44"/>
  <c r="K25" i="34"/>
  <c r="AJ11" i="44"/>
  <c r="I25" i="34"/>
  <c r="AJ9" i="44"/>
  <c r="G25" i="34"/>
  <c r="AJ7" i="44"/>
  <c r="E25" i="34"/>
  <c r="AJ5" i="44"/>
  <c r="AK5" s="1"/>
  <c r="C25" i="34"/>
  <c r="CJ22" i="6"/>
  <c r="CU22" s="1"/>
  <c r="CI22"/>
  <c r="CT22" s="1"/>
  <c r="AJ3" i="44"/>
  <c r="K24" i="34"/>
  <c r="AH11" i="44"/>
  <c r="I24" i="34"/>
  <c r="AH9" i="44"/>
  <c r="G24" i="34"/>
  <c r="AH7" i="44"/>
  <c r="E24" i="34"/>
  <c r="AH5" i="44"/>
  <c r="AI5" s="1"/>
  <c r="C24" i="34"/>
  <c r="CJ21" i="6"/>
  <c r="CU21" s="1"/>
  <c r="CI21"/>
  <c r="CT21" s="1"/>
  <c r="AH3" i="44"/>
  <c r="K23" i="34"/>
  <c r="AF11" i="44"/>
  <c r="I23" i="34"/>
  <c r="AF9" i="44"/>
  <c r="G23" i="34"/>
  <c r="AF7" i="44"/>
  <c r="E23" i="34"/>
  <c r="AF5" i="44"/>
  <c r="AG5" s="1"/>
  <c r="C23" i="34"/>
  <c r="CJ20" i="6"/>
  <c r="CU20" s="1"/>
  <c r="AF3" i="44"/>
  <c r="CI20" i="6"/>
  <c r="CT20" s="1"/>
  <c r="K22" i="34"/>
  <c r="AD11" i="44"/>
  <c r="I22" i="34"/>
  <c r="AD9" i="44"/>
  <c r="G22" i="34"/>
  <c r="AD7" i="44"/>
  <c r="E22" i="34"/>
  <c r="AD5" i="44"/>
  <c r="AE5" s="1"/>
  <c r="C22" i="34"/>
  <c r="CJ19" i="6"/>
  <c r="CU19" s="1"/>
  <c r="CI19"/>
  <c r="CT19" s="1"/>
  <c r="AD3" i="44"/>
  <c r="K21" i="34"/>
  <c r="AB11" i="44"/>
  <c r="I21" i="34"/>
  <c r="AB9" i="44"/>
  <c r="G21" i="34"/>
  <c r="AB7" i="44"/>
  <c r="E21" i="34"/>
  <c r="AB5" i="44"/>
  <c r="AC5" s="1"/>
  <c r="C21" i="34"/>
  <c r="CJ18" i="6"/>
  <c r="CU18" s="1"/>
  <c r="CI18"/>
  <c r="CT18" s="1"/>
  <c r="AB3" i="44"/>
  <c r="K20" i="34"/>
  <c r="Z11" i="44"/>
  <c r="I20" i="34"/>
  <c r="Z9" i="44"/>
  <c r="G20" i="34"/>
  <c r="Z7" i="44"/>
  <c r="E20" i="34"/>
  <c r="Z5" i="44"/>
  <c r="AA5" s="1"/>
  <c r="C20" i="34"/>
  <c r="CJ17" i="6"/>
  <c r="CU17" s="1"/>
  <c r="CI17"/>
  <c r="CT17" s="1"/>
  <c r="Z3" i="44"/>
  <c r="K19" i="34"/>
  <c r="X11" i="44"/>
  <c r="I19" i="34"/>
  <c r="X9" i="44"/>
  <c r="G19" i="34"/>
  <c r="X7" i="44"/>
  <c r="E19" i="34"/>
  <c r="X5" i="44"/>
  <c r="Y5" s="1"/>
  <c r="C19" i="34"/>
  <c r="CJ16" i="6"/>
  <c r="CU16" s="1"/>
  <c r="CI16"/>
  <c r="CT16" s="1"/>
  <c r="X3" i="44"/>
  <c r="K18" i="34"/>
  <c r="V11" i="44"/>
  <c r="I18" i="34"/>
  <c r="V9" i="44"/>
  <c r="G18" i="34"/>
  <c r="V7" i="44"/>
  <c r="E18" i="34"/>
  <c r="V5" i="44"/>
  <c r="W5" s="1"/>
  <c r="C18" i="34"/>
  <c r="CJ15" i="6"/>
  <c r="CU15" s="1"/>
  <c r="CI15"/>
  <c r="CT15" s="1"/>
  <c r="V3" i="44"/>
  <c r="K17" i="34"/>
  <c r="T11" i="44"/>
  <c r="I17" i="34"/>
  <c r="T9" i="44"/>
  <c r="G17" i="34"/>
  <c r="T7" i="44"/>
  <c r="E17" i="34"/>
  <c r="T5" i="44"/>
  <c r="U5" s="1"/>
  <c r="C17" i="34"/>
  <c r="CJ14" i="6"/>
  <c r="CU14" s="1"/>
  <c r="CI14"/>
  <c r="CT14" s="1"/>
  <c r="T3" i="44"/>
  <c r="K16" i="34"/>
  <c r="R11" i="44"/>
  <c r="I16" i="34"/>
  <c r="R9" i="44"/>
  <c r="G16" i="34"/>
  <c r="R7" i="44"/>
  <c r="E16" i="34"/>
  <c r="R5" i="44"/>
  <c r="S5" s="1"/>
  <c r="C16" i="34"/>
  <c r="CJ13" i="6"/>
  <c r="CU13" s="1"/>
  <c r="CI13"/>
  <c r="CT13" s="1"/>
  <c r="R3" i="44"/>
  <c r="K15" i="34"/>
  <c r="P11" i="44"/>
  <c r="I15" i="34"/>
  <c r="P9" i="44"/>
  <c r="G15" i="34"/>
  <c r="P7" i="44"/>
  <c r="E15" i="34"/>
  <c r="P5" i="44"/>
  <c r="Q5" s="1"/>
  <c r="C15" i="34"/>
  <c r="CJ12" i="6"/>
  <c r="CU12" s="1"/>
  <c r="CI12"/>
  <c r="CT12" s="1"/>
  <c r="P3" i="44"/>
  <c r="K14" i="34"/>
  <c r="N11" i="44"/>
  <c r="I14" i="34"/>
  <c r="N9" i="44"/>
  <c r="G14" i="34"/>
  <c r="N7" i="44"/>
  <c r="E14" i="34"/>
  <c r="N5" i="44"/>
  <c r="O5" s="1"/>
  <c r="C14" i="34"/>
  <c r="CJ11" i="6"/>
  <c r="CU11" s="1"/>
  <c r="CI11"/>
  <c r="CT11" s="1"/>
  <c r="N3" i="44"/>
  <c r="K13" i="34"/>
  <c r="L11" i="44"/>
  <c r="I13" i="34"/>
  <c r="L9" i="44"/>
  <c r="G13" i="34"/>
  <c r="L7" i="44"/>
  <c r="E13" i="34"/>
  <c r="L5" i="44"/>
  <c r="M5" s="1"/>
  <c r="C13" i="34"/>
  <c r="CJ10" i="6"/>
  <c r="CU10" s="1"/>
  <c r="CI10"/>
  <c r="CT10" s="1"/>
  <c r="L3" i="44"/>
  <c r="K12" i="34"/>
  <c r="J11" i="44"/>
  <c r="I12" i="34"/>
  <c r="J9" i="44"/>
  <c r="G12" i="34"/>
  <c r="J7" i="44"/>
  <c r="E12" i="34"/>
  <c r="J5" i="44"/>
  <c r="K5" s="1"/>
  <c r="C12" i="34"/>
  <c r="CJ9" i="6"/>
  <c r="CU9" s="1"/>
  <c r="CI9"/>
  <c r="CT9" s="1"/>
  <c r="J3" i="44"/>
  <c r="E11" i="34"/>
  <c r="H5" i="44"/>
  <c r="I5" s="1"/>
  <c r="C11" i="34"/>
  <c r="CJ8" i="6"/>
  <c r="CU8" s="1"/>
  <c r="CI8"/>
  <c r="CT8" s="1"/>
  <c r="H3" i="44"/>
  <c r="CJ7" i="6"/>
  <c r="CU7" s="1"/>
  <c r="CI7"/>
  <c r="CT7" s="1"/>
  <c r="CJ6"/>
  <c r="CU6" s="1"/>
  <c r="CI6"/>
  <c r="CT6" s="1"/>
  <c r="L47" i="34"/>
  <c r="CB12" i="44"/>
  <c r="L45" i="34"/>
  <c r="BX12" i="44"/>
  <c r="L43" i="34"/>
  <c r="BT12" i="44"/>
  <c r="L41" i="34"/>
  <c r="BP12" i="44"/>
  <c r="L39" i="34"/>
  <c r="BL12" i="44"/>
  <c r="L11" i="34"/>
  <c r="H12" i="44"/>
  <c r="L10" i="34"/>
  <c r="F12" i="44"/>
  <c r="L9" i="34"/>
  <c r="D12" i="44"/>
  <c r="L46" i="34"/>
  <c r="BZ12" i="44"/>
  <c r="L44" i="34"/>
  <c r="BV12" i="44"/>
  <c r="L42" i="34"/>
  <c r="BR12" i="44"/>
  <c r="L40" i="34"/>
  <c r="BN12" i="44"/>
  <c r="L38" i="34"/>
  <c r="BJ12" i="44"/>
  <c r="L8" i="34"/>
  <c r="B12" i="44"/>
  <c r="K43" i="34"/>
  <c r="BT11" i="44"/>
  <c r="K41" i="34"/>
  <c r="BP11" i="44"/>
  <c r="K40" i="34"/>
  <c r="BN11" i="44"/>
  <c r="K8" i="34"/>
  <c r="B11" i="44"/>
  <c r="K47" i="34"/>
  <c r="CB11" i="44"/>
  <c r="K46" i="34"/>
  <c r="BZ11" i="44"/>
  <c r="K45" i="34"/>
  <c r="BX11" i="44"/>
  <c r="K44" i="34"/>
  <c r="BV11" i="44"/>
  <c r="K42" i="34"/>
  <c r="BR11" i="44"/>
  <c r="K39" i="34"/>
  <c r="BL11" i="44"/>
  <c r="K38" i="34"/>
  <c r="BJ11" i="44"/>
  <c r="K11" i="34"/>
  <c r="H11" i="44"/>
  <c r="K10" i="34"/>
  <c r="F11" i="44"/>
  <c r="K9" i="34"/>
  <c r="D11" i="44"/>
  <c r="J46" i="34"/>
  <c r="BZ10" i="44"/>
  <c r="J45" i="34"/>
  <c r="BX10" i="44"/>
  <c r="J42" i="34"/>
  <c r="BR10" i="44"/>
  <c r="J39" i="34"/>
  <c r="BL10" i="44"/>
  <c r="J38" i="34"/>
  <c r="BJ10" i="44"/>
  <c r="J11" i="34"/>
  <c r="H10" i="44"/>
  <c r="J10" i="34"/>
  <c r="F10" i="44"/>
  <c r="J9" i="34"/>
  <c r="D10" i="44"/>
  <c r="J47" i="34"/>
  <c r="CB10" i="44"/>
  <c r="J44" i="34"/>
  <c r="BV10" i="44"/>
  <c r="J43" i="34"/>
  <c r="BT10" i="44"/>
  <c r="J41" i="34"/>
  <c r="BP10" i="44"/>
  <c r="J40" i="34"/>
  <c r="BN10" i="44"/>
  <c r="J8" i="34"/>
  <c r="B10" i="44"/>
  <c r="I47" i="34"/>
  <c r="CB9" i="44"/>
  <c r="I46" i="34"/>
  <c r="BZ9" i="44"/>
  <c r="I45" i="34"/>
  <c r="BX9" i="44"/>
  <c r="I44" i="34"/>
  <c r="BV9" i="44"/>
  <c r="I43" i="34"/>
  <c r="BT9" i="44"/>
  <c r="I42" i="34"/>
  <c r="BR9" i="44"/>
  <c r="I41" i="34"/>
  <c r="BP9" i="44"/>
  <c r="I40" i="34"/>
  <c r="BN9" i="44"/>
  <c r="I39" i="34"/>
  <c r="BL9" i="44"/>
  <c r="I38" i="34"/>
  <c r="BJ9" i="44"/>
  <c r="I8" i="34"/>
  <c r="B9" i="44"/>
  <c r="I11" i="34"/>
  <c r="H9" i="44"/>
  <c r="I10" i="34"/>
  <c r="F9" i="44"/>
  <c r="I9" i="34"/>
  <c r="D9" i="44"/>
  <c r="H47" i="34"/>
  <c r="CB8" i="44"/>
  <c r="H45" i="34"/>
  <c r="BX8" i="44"/>
  <c r="H43" i="34"/>
  <c r="BT8" i="44"/>
  <c r="H41" i="34"/>
  <c r="BP8" i="44"/>
  <c r="H38" i="34"/>
  <c r="BJ8" i="44"/>
  <c r="H11" i="34"/>
  <c r="H8" i="44"/>
  <c r="H10" i="34"/>
  <c r="F8" i="44"/>
  <c r="H9" i="34"/>
  <c r="D8" i="44"/>
  <c r="H46" i="34"/>
  <c r="BZ8" i="44"/>
  <c r="H44" i="34"/>
  <c r="BV8" i="44"/>
  <c r="H42" i="34"/>
  <c r="BR8" i="44"/>
  <c r="H40" i="34"/>
  <c r="BN8" i="44"/>
  <c r="H39" i="34"/>
  <c r="BL8" i="44"/>
  <c r="H8" i="34"/>
  <c r="B8" i="44"/>
  <c r="G47" i="34"/>
  <c r="CB7" i="44"/>
  <c r="G46" i="34"/>
  <c r="BZ7" i="44"/>
  <c r="G45" i="34"/>
  <c r="BX7" i="44"/>
  <c r="G44" i="34"/>
  <c r="BV7" i="44"/>
  <c r="G43" i="34"/>
  <c r="BT7" i="44"/>
  <c r="G42" i="34"/>
  <c r="BR7" i="44"/>
  <c r="G41" i="34"/>
  <c r="BP7" i="44"/>
  <c r="G40" i="34"/>
  <c r="BN7" i="44"/>
  <c r="G39" i="34"/>
  <c r="BL7" i="44"/>
  <c r="G38" i="34"/>
  <c r="BJ7" i="44"/>
  <c r="G8" i="34"/>
  <c r="B7" i="44"/>
  <c r="G11" i="34"/>
  <c r="H7" i="44"/>
  <c r="G10" i="34"/>
  <c r="F7" i="44"/>
  <c r="G9" i="34"/>
  <c r="D7" i="44"/>
  <c r="F11" i="34"/>
  <c r="H6" i="44"/>
  <c r="I6" s="1"/>
  <c r="F10" i="34"/>
  <c r="F6" i="44"/>
  <c r="G6" s="1"/>
  <c r="F9" i="34"/>
  <c r="D6" i="44"/>
  <c r="E6" s="1"/>
  <c r="F47" i="34"/>
  <c r="CB6" i="44"/>
  <c r="CC6" s="1"/>
  <c r="F46" i="34"/>
  <c r="BZ6" i="44"/>
  <c r="CA6" s="1"/>
  <c r="F45" i="34"/>
  <c r="BX6" i="44"/>
  <c r="BY6" s="1"/>
  <c r="F44" i="34"/>
  <c r="BV6" i="44"/>
  <c r="BW6" s="1"/>
  <c r="F43" i="34"/>
  <c r="BT6" i="44"/>
  <c r="BU6" s="1"/>
  <c r="F42" i="34"/>
  <c r="BR6" i="44"/>
  <c r="BS6" s="1"/>
  <c r="F41" i="34"/>
  <c r="BP6" i="44"/>
  <c r="BQ6" s="1"/>
  <c r="F40" i="34"/>
  <c r="BN6" i="44"/>
  <c r="BO6" s="1"/>
  <c r="F39" i="34"/>
  <c r="BL6" i="44"/>
  <c r="BM6" s="1"/>
  <c r="F38" i="34"/>
  <c r="BJ6" i="44"/>
  <c r="BK6" s="1"/>
  <c r="F8" i="34"/>
  <c r="B6" i="44"/>
  <c r="C6" s="1"/>
  <c r="E10" i="34"/>
  <c r="F5" i="44"/>
  <c r="G5" s="1"/>
  <c r="E9" i="34"/>
  <c r="D5" i="44"/>
  <c r="E5" s="1"/>
  <c r="C10" i="34"/>
  <c r="F3" i="44"/>
  <c r="C9" i="34"/>
  <c r="D3" i="44"/>
  <c r="D47" i="34"/>
  <c r="CH44" i="6"/>
  <c r="D44" i="34"/>
  <c r="CH41" i="6"/>
  <c r="D43" i="34"/>
  <c r="CH40" i="6"/>
  <c r="D40" i="34"/>
  <c r="CH37" i="6"/>
  <c r="D39" i="34"/>
  <c r="CH36" i="6"/>
  <c r="D37" i="34"/>
  <c r="CH34" i="6"/>
  <c r="D36" i="34"/>
  <c r="CH33" i="6"/>
  <c r="D34" i="34"/>
  <c r="CH31" i="6"/>
  <c r="D33" i="34"/>
  <c r="CH30" i="6"/>
  <c r="D31" i="34"/>
  <c r="CH28" i="6"/>
  <c r="D30" i="34"/>
  <c r="CH27" i="6"/>
  <c r="D29" i="34"/>
  <c r="CH26" i="6"/>
  <c r="D28" i="34"/>
  <c r="CH25" i="6"/>
  <c r="D27" i="34"/>
  <c r="CH24" i="6"/>
  <c r="D26" i="34"/>
  <c r="CH23" i="6"/>
  <c r="D25" i="34"/>
  <c r="CH22" i="6"/>
  <c r="D24" i="34"/>
  <c r="CH21" i="6"/>
  <c r="D23" i="34"/>
  <c r="CH20" i="6"/>
  <c r="D22" i="34"/>
  <c r="CH19" i="6"/>
  <c r="D21" i="34"/>
  <c r="CH18" i="6"/>
  <c r="D20" i="34"/>
  <c r="CH17" i="6"/>
  <c r="D19" i="34"/>
  <c r="CH16" i="6"/>
  <c r="D18" i="34"/>
  <c r="CH15" i="6"/>
  <c r="D17" i="34"/>
  <c r="CH14" i="6"/>
  <c r="D16" i="34"/>
  <c r="CH13" i="6"/>
  <c r="D15" i="34"/>
  <c r="CH12" i="6"/>
  <c r="D14" i="34"/>
  <c r="CH11" i="6"/>
  <c r="D13" i="34"/>
  <c r="CH10" i="6"/>
  <c r="D12" i="34"/>
  <c r="CH9" i="6"/>
  <c r="D11" i="34"/>
  <c r="CH8" i="6"/>
  <c r="D10" i="34"/>
  <c r="CH7" i="6"/>
  <c r="D9" i="34"/>
  <c r="CH6" i="6"/>
  <c r="D46" i="34"/>
  <c r="CH43" i="6"/>
  <c r="D45" i="34"/>
  <c r="CH42" i="6"/>
  <c r="D42" i="34"/>
  <c r="CH39" i="6"/>
  <c r="D41" i="34"/>
  <c r="CH38" i="6"/>
  <c r="D38" i="34"/>
  <c r="CH35" i="6"/>
  <c r="D35" i="34"/>
  <c r="CH32" i="6"/>
  <c r="D32" i="34"/>
  <c r="CH29" i="6"/>
  <c r="E1" i="37"/>
  <c r="E1" i="36"/>
  <c r="G1" i="37"/>
  <c r="G1" i="36"/>
  <c r="I1" i="37"/>
  <c r="I1" i="36"/>
  <c r="K1" i="37"/>
  <c r="K1" i="36"/>
  <c r="M1" i="37"/>
  <c r="M1" i="36"/>
  <c r="O1" i="37"/>
  <c r="O1" i="36"/>
  <c r="R1" i="37"/>
  <c r="R1" i="36"/>
  <c r="T1" i="37"/>
  <c r="T1" i="36"/>
  <c r="V1" i="37"/>
  <c r="V1" i="36"/>
  <c r="X1" i="37"/>
  <c r="X1" i="36"/>
  <c r="Z1" i="37"/>
  <c r="Z1" i="36"/>
  <c r="AB1" i="37"/>
  <c r="AB1" i="36"/>
  <c r="AD1" i="37"/>
  <c r="AD1" i="36"/>
  <c r="AF1" i="37"/>
  <c r="AF1" i="36"/>
  <c r="AH1" i="37"/>
  <c r="AH1" i="36"/>
  <c r="AJ1" i="37"/>
  <c r="AJ1" i="36"/>
  <c r="AL1" i="37"/>
  <c r="AL1" i="36"/>
  <c r="AN1" i="37"/>
  <c r="AN1" i="36"/>
  <c r="AP1" i="37"/>
  <c r="AP1" i="36"/>
  <c r="Q1" i="37"/>
  <c r="Q1" i="36"/>
  <c r="D1" i="37"/>
  <c r="D1" i="36"/>
  <c r="F1" i="37"/>
  <c r="F1" i="36"/>
  <c r="H1" i="37"/>
  <c r="H1" i="36"/>
  <c r="J1" i="37"/>
  <c r="J1" i="36"/>
  <c r="L1" i="37"/>
  <c r="L1" i="36"/>
  <c r="N1" i="37"/>
  <c r="N1" i="36"/>
  <c r="P1" i="37"/>
  <c r="P1" i="36"/>
  <c r="S1" i="37"/>
  <c r="S1" i="36"/>
  <c r="U1" i="37"/>
  <c r="U1" i="36"/>
  <c r="W1" i="37"/>
  <c r="W1" i="36"/>
  <c r="Y1" i="37"/>
  <c r="Y1" i="36"/>
  <c r="AA1" i="37"/>
  <c r="AA1" i="36"/>
  <c r="AC1" i="37"/>
  <c r="AC1" i="36"/>
  <c r="AE1" i="37"/>
  <c r="AE1" i="36"/>
  <c r="AG1" i="37"/>
  <c r="AG1" i="36"/>
  <c r="AI1" i="37"/>
  <c r="AI1" i="36"/>
  <c r="AK1" i="37"/>
  <c r="AK1" i="36"/>
  <c r="AM1" i="37"/>
  <c r="AM1" i="36"/>
  <c r="AO1" i="37"/>
  <c r="AO1" i="36"/>
  <c r="AQ1" i="37"/>
  <c r="AQ1" i="36"/>
  <c r="D1" i="27"/>
  <c r="D1" i="23"/>
  <c r="D1" i="35"/>
  <c r="H1" i="27"/>
  <c r="H1" i="23"/>
  <c r="H1" i="35"/>
  <c r="J1" i="27"/>
  <c r="J1" i="23"/>
  <c r="J1" i="35"/>
  <c r="N1" i="27"/>
  <c r="N1" i="23"/>
  <c r="N1" i="35"/>
  <c r="S1" i="27"/>
  <c r="S1" i="23"/>
  <c r="S1" i="35"/>
  <c r="W1" i="27"/>
  <c r="W1" i="23"/>
  <c r="W1" i="35"/>
  <c r="AA1" i="27"/>
  <c r="AA1" i="23"/>
  <c r="AA1" i="35"/>
  <c r="E1" i="27"/>
  <c r="E1" i="35"/>
  <c r="E1" i="23"/>
  <c r="G1" i="27"/>
  <c r="G1" i="23"/>
  <c r="G1" i="35"/>
  <c r="I1" i="27"/>
  <c r="I1" i="23"/>
  <c r="I1" i="35"/>
  <c r="K1" i="27"/>
  <c r="K1" i="23"/>
  <c r="K1" i="35"/>
  <c r="M1" i="27"/>
  <c r="M1" i="23"/>
  <c r="M1" i="35"/>
  <c r="O1" i="27"/>
  <c r="O1" i="23"/>
  <c r="O1" i="35"/>
  <c r="R1" i="27"/>
  <c r="R1" i="23"/>
  <c r="R1" i="35"/>
  <c r="T1" i="27"/>
  <c r="T1" i="23"/>
  <c r="T1" i="35"/>
  <c r="V1" i="27"/>
  <c r="V1" i="23"/>
  <c r="V1" i="35"/>
  <c r="X1" i="27"/>
  <c r="X1" i="23"/>
  <c r="X1" i="35"/>
  <c r="Z1" i="27"/>
  <c r="Z1" i="23"/>
  <c r="Z1" i="35"/>
  <c r="AB1" i="27"/>
  <c r="AB1" i="23"/>
  <c r="AB1" i="35"/>
  <c r="AD1" i="27"/>
  <c r="AD1" i="23"/>
  <c r="AD1" i="35"/>
  <c r="AF1" i="27"/>
  <c r="AF1" i="23"/>
  <c r="AF1" i="35"/>
  <c r="AH1" i="27"/>
  <c r="AH1" i="23"/>
  <c r="AH1" i="35"/>
  <c r="AJ1" i="27"/>
  <c r="AJ1" i="23"/>
  <c r="AJ1" i="35"/>
  <c r="AL1" i="27"/>
  <c r="AL1" i="23"/>
  <c r="AL1" i="35"/>
  <c r="AN1" i="27"/>
  <c r="AN1" i="23"/>
  <c r="AN1" i="35"/>
  <c r="AP1" i="21"/>
  <c r="AP1" i="27"/>
  <c r="AP1" i="23"/>
  <c r="AP1" i="35"/>
  <c r="Q1" i="27"/>
  <c r="Q1" i="23"/>
  <c r="Q1" i="35"/>
  <c r="F1" i="27"/>
  <c r="F1" i="23"/>
  <c r="F1" i="35"/>
  <c r="L1" i="27"/>
  <c r="L1" i="23"/>
  <c r="L1" i="35"/>
  <c r="P1" i="27"/>
  <c r="P1" i="23"/>
  <c r="P1" i="35"/>
  <c r="U1" i="27"/>
  <c r="U1" i="23"/>
  <c r="U1" i="35"/>
  <c r="Y1" i="27"/>
  <c r="Y1" i="23"/>
  <c r="Y1" i="35"/>
  <c r="AC1" i="27"/>
  <c r="AC1" i="23"/>
  <c r="AC1" i="35"/>
  <c r="AE1" i="27"/>
  <c r="AE1" i="23"/>
  <c r="AE1" i="35"/>
  <c r="AG1" i="27"/>
  <c r="AG1" i="23"/>
  <c r="AG1" i="35"/>
  <c r="AI1" i="27"/>
  <c r="AI1" i="23"/>
  <c r="AI1" i="35"/>
  <c r="AK1" i="27"/>
  <c r="AK1" i="35"/>
  <c r="AK1" i="23"/>
  <c r="AM1" i="27"/>
  <c r="AM1" i="35"/>
  <c r="AM1" i="23"/>
  <c r="AO1" i="27"/>
  <c r="AO1" i="35"/>
  <c r="AO1" i="23"/>
  <c r="AQ1" i="21"/>
  <c r="AQ1" i="27"/>
  <c r="AQ1" i="35"/>
  <c r="AQ1" i="23"/>
  <c r="AN1" i="21"/>
  <c r="AL1"/>
  <c r="AO1"/>
  <c r="AM1"/>
  <c r="AK1"/>
  <c r="AI1"/>
  <c r="AG1"/>
  <c r="AE1"/>
  <c r="AC1"/>
  <c r="AA1"/>
  <c r="Y1"/>
  <c r="W1"/>
  <c r="U1"/>
  <c r="S1"/>
  <c r="Q1"/>
  <c r="O1"/>
  <c r="M1"/>
  <c r="K1"/>
  <c r="I1"/>
  <c r="G1"/>
  <c r="E1"/>
  <c r="D1"/>
  <c r="AJ1"/>
  <c r="AH1"/>
  <c r="AF1"/>
  <c r="AD1"/>
  <c r="AB1"/>
  <c r="Z1"/>
  <c r="X1"/>
  <c r="V1"/>
  <c r="T1"/>
  <c r="R1"/>
  <c r="P1"/>
  <c r="N1"/>
  <c r="L1"/>
  <c r="J1"/>
  <c r="H1"/>
  <c r="F1"/>
  <c r="B4" i="44" l="1"/>
  <c r="C4" s="1"/>
  <c r="D8" i="34"/>
  <c r="B5" i="44"/>
  <c r="C5" s="1"/>
  <c r="E8" i="34"/>
  <c r="CM32" i="6"/>
  <c r="CP32" s="1"/>
  <c r="CM38"/>
  <c r="CP38"/>
  <c r="CM42"/>
  <c r="CP42"/>
  <c r="CV42" s="1"/>
  <c r="CM6"/>
  <c r="CP6" s="1"/>
  <c r="CQ6" s="1"/>
  <c r="CS6" s="1"/>
  <c r="CM8"/>
  <c r="CP8" s="1"/>
  <c r="CM10"/>
  <c r="CP10" s="1"/>
  <c r="CM12"/>
  <c r="CP12" s="1"/>
  <c r="CM14"/>
  <c r="CP14" s="1"/>
  <c r="CM16"/>
  <c r="CP16" s="1"/>
  <c r="CM18"/>
  <c r="CP18" s="1"/>
  <c r="CM20"/>
  <c r="CP20" s="1"/>
  <c r="CM22"/>
  <c r="CP22" s="1"/>
  <c r="CM24"/>
  <c r="CP24" s="1"/>
  <c r="CM26"/>
  <c r="CP26" s="1"/>
  <c r="CM28"/>
  <c r="CP28" s="1"/>
  <c r="CM31"/>
  <c r="CP31" s="1"/>
  <c r="CM34"/>
  <c r="CP34" s="1"/>
  <c r="CM37"/>
  <c r="CP37"/>
  <c r="CM41"/>
  <c r="CP41"/>
  <c r="CV41" s="1"/>
  <c r="CM29"/>
  <c r="CP29" s="1"/>
  <c r="CM35"/>
  <c r="CP35" s="1"/>
  <c r="CM39"/>
  <c r="CP39"/>
  <c r="CM43"/>
  <c r="CP43"/>
  <c r="CV43" s="1"/>
  <c r="CM7"/>
  <c r="CP7" s="1"/>
  <c r="CM9"/>
  <c r="CP9" s="1"/>
  <c r="CM11"/>
  <c r="CP11" s="1"/>
  <c r="CM13"/>
  <c r="CP13" s="1"/>
  <c r="CM15"/>
  <c r="CP15" s="1"/>
  <c r="CM17"/>
  <c r="CP17" s="1"/>
  <c r="CM19"/>
  <c r="CP19" s="1"/>
  <c r="CM21"/>
  <c r="CP21" s="1"/>
  <c r="CM23"/>
  <c r="CP23" s="1"/>
  <c r="CM25"/>
  <c r="CP25" s="1"/>
  <c r="CM27"/>
  <c r="CP27" s="1"/>
  <c r="CM30"/>
  <c r="CP30" s="1"/>
  <c r="CM33"/>
  <c r="CP33" s="1"/>
  <c r="CM36"/>
  <c r="CP36" s="1"/>
  <c r="CM40"/>
  <c r="CP40"/>
  <c r="CV40" s="1"/>
  <c r="CM44"/>
  <c r="CP44"/>
  <c r="CV44" s="1"/>
  <c r="BX24" i="44"/>
  <c r="BX22"/>
  <c r="BX20"/>
  <c r="BX18"/>
  <c r="BX16"/>
  <c r="BZ15"/>
  <c r="BX23"/>
  <c r="BX19"/>
  <c r="BX25"/>
  <c r="BX21"/>
  <c r="BX17"/>
  <c r="BV25" i="45"/>
  <c r="BV23"/>
  <c r="BV21"/>
  <c r="BV19"/>
  <c r="BV17"/>
  <c r="BV24"/>
  <c r="BV22"/>
  <c r="BV20"/>
  <c r="BV18"/>
  <c r="BV16"/>
  <c r="BX15"/>
  <c r="I12" i="44"/>
  <c r="I11"/>
  <c r="I8"/>
  <c r="I3"/>
  <c r="CW8" i="6" s="1"/>
  <c r="I10" i="44"/>
  <c r="I9"/>
  <c r="I7"/>
  <c r="K9"/>
  <c r="K7"/>
  <c r="K3"/>
  <c r="CW9" i="6" s="1"/>
  <c r="K12" i="44"/>
  <c r="K11"/>
  <c r="K10"/>
  <c r="K8"/>
  <c r="M3"/>
  <c r="CW10" i="6" s="1"/>
  <c r="M11" i="44"/>
  <c r="M10"/>
  <c r="M9"/>
  <c r="M12"/>
  <c r="M8"/>
  <c r="M7"/>
  <c r="O12"/>
  <c r="O10"/>
  <c r="O8"/>
  <c r="O7"/>
  <c r="O3"/>
  <c r="CW11" i="6" s="1"/>
  <c r="O11" i="44"/>
  <c r="O9"/>
  <c r="Q3"/>
  <c r="CW12" i="6" s="1"/>
  <c r="Q11" i="44"/>
  <c r="Q9"/>
  <c r="Q8"/>
  <c r="Q12"/>
  <c r="Q10"/>
  <c r="Q7"/>
  <c r="S3"/>
  <c r="CW13" i="6" s="1"/>
  <c r="S11" i="44"/>
  <c r="S7"/>
  <c r="S12"/>
  <c r="S10"/>
  <c r="S9"/>
  <c r="S8"/>
  <c r="U12"/>
  <c r="U10"/>
  <c r="U3"/>
  <c r="CW14" i="6" s="1"/>
  <c r="U11" i="44"/>
  <c r="U9"/>
  <c r="U8"/>
  <c r="U7"/>
  <c r="W3"/>
  <c r="CW15" i="6" s="1"/>
  <c r="W12" i="44"/>
  <c r="W11"/>
  <c r="W10"/>
  <c r="W9"/>
  <c r="W8"/>
  <c r="W7"/>
  <c r="Y12"/>
  <c r="Y8"/>
  <c r="Y3"/>
  <c r="CW16" i="6" s="1"/>
  <c r="Y11" i="44"/>
  <c r="Y10"/>
  <c r="Y9"/>
  <c r="Y7"/>
  <c r="AA11"/>
  <c r="AA9"/>
  <c r="AA7"/>
  <c r="AA3"/>
  <c r="CW17" i="6" s="1"/>
  <c r="AA12" i="44"/>
  <c r="AA10"/>
  <c r="AA8"/>
  <c r="AC3"/>
  <c r="CW18" i="6" s="1"/>
  <c r="AC10" i="44"/>
  <c r="AC9"/>
  <c r="AC12"/>
  <c r="AC11"/>
  <c r="AC8"/>
  <c r="AC7"/>
  <c r="AE12"/>
  <c r="AE10"/>
  <c r="AE8"/>
  <c r="AE7"/>
  <c r="AE3"/>
  <c r="CW19" i="6" s="1"/>
  <c r="AE11" i="44"/>
  <c r="AE9"/>
  <c r="AI3"/>
  <c r="CW21" i="6" s="1"/>
  <c r="AI11" i="44"/>
  <c r="AI7"/>
  <c r="AI12"/>
  <c r="AI10"/>
  <c r="AI9"/>
  <c r="AI8"/>
  <c r="AK9"/>
  <c r="AK12"/>
  <c r="AK10"/>
  <c r="AK3"/>
  <c r="CW22" i="6" s="1"/>
  <c r="AK11" i="44"/>
  <c r="AK8"/>
  <c r="AK7"/>
  <c r="AM3"/>
  <c r="CW23" i="6" s="1"/>
  <c r="AM12" i="44"/>
  <c r="AM10"/>
  <c r="AM9"/>
  <c r="AM8"/>
  <c r="AM7"/>
  <c r="AM11"/>
  <c r="AO12"/>
  <c r="AO11"/>
  <c r="AO8"/>
  <c r="AO3"/>
  <c r="CW24" i="6" s="1"/>
  <c r="AO10" i="44"/>
  <c r="AO9"/>
  <c r="AO7"/>
  <c r="AQ9"/>
  <c r="AQ7"/>
  <c r="AQ3"/>
  <c r="CW25" i="6" s="1"/>
  <c r="AQ12" i="44"/>
  <c r="AQ11"/>
  <c r="AQ10"/>
  <c r="AQ8"/>
  <c r="AS3"/>
  <c r="CW26" i="6" s="1"/>
  <c r="AS11" i="44"/>
  <c r="AS10"/>
  <c r="AS12"/>
  <c r="AS9"/>
  <c r="AS8"/>
  <c r="AS7"/>
  <c r="AU12"/>
  <c r="AU10"/>
  <c r="AU9"/>
  <c r="AU8"/>
  <c r="AU7"/>
  <c r="AU3"/>
  <c r="CW27" i="6" s="1"/>
  <c r="AU11" i="44"/>
  <c r="AW3"/>
  <c r="CW28" i="6" s="1"/>
  <c r="AW11" i="44"/>
  <c r="AW8"/>
  <c r="AW12"/>
  <c r="AW10"/>
  <c r="AW9"/>
  <c r="AW7"/>
  <c r="AY3"/>
  <c r="CW29" i="6" s="1"/>
  <c r="AY9" i="44"/>
  <c r="AY7"/>
  <c r="AY12"/>
  <c r="AY11"/>
  <c r="AY10"/>
  <c r="AY8"/>
  <c r="BC3"/>
  <c r="CW31" i="6" s="1"/>
  <c r="BC12" i="44"/>
  <c r="BC10"/>
  <c r="BC9"/>
  <c r="BC8"/>
  <c r="BC7"/>
  <c r="BC11"/>
  <c r="BI3"/>
  <c r="CW34" i="6" s="1"/>
  <c r="BI11" i="44"/>
  <c r="BI10"/>
  <c r="BI12"/>
  <c r="BI9"/>
  <c r="BI8"/>
  <c r="BI7"/>
  <c r="BU12"/>
  <c r="BU11"/>
  <c r="BU8"/>
  <c r="BU3"/>
  <c r="CW40" i="6" s="1"/>
  <c r="BU10" i="44"/>
  <c r="BU9"/>
  <c r="BU7"/>
  <c r="CX40" i="6"/>
  <c r="BY3" i="44"/>
  <c r="CW42" i="6" s="1"/>
  <c r="BY11" i="44"/>
  <c r="BY10"/>
  <c r="BY12"/>
  <c r="BY9"/>
  <c r="BY8"/>
  <c r="BY7"/>
  <c r="BS3"/>
  <c r="CW39" i="6" s="1"/>
  <c r="BS12" i="44"/>
  <c r="BS10"/>
  <c r="BS9"/>
  <c r="BS8"/>
  <c r="BS7"/>
  <c r="BS11"/>
  <c r="AG3"/>
  <c r="CW20" i="6" s="1"/>
  <c r="AG11" i="44"/>
  <c r="AG9"/>
  <c r="AG8"/>
  <c r="AG12"/>
  <c r="AG10"/>
  <c r="AG7"/>
  <c r="BK12"/>
  <c r="BK10"/>
  <c r="BK9"/>
  <c r="BK8"/>
  <c r="BK7"/>
  <c r="BK3"/>
  <c r="CW35" i="6" s="1"/>
  <c r="BK11" i="44"/>
  <c r="BO3"/>
  <c r="CW37" i="6" s="1"/>
  <c r="BO9" i="44"/>
  <c r="BO7"/>
  <c r="BO12"/>
  <c r="BO11"/>
  <c r="BO10"/>
  <c r="BO8"/>
  <c r="BW9"/>
  <c r="BW7"/>
  <c r="BW3"/>
  <c r="CW41" i="6" s="1"/>
  <c r="BW12" i="44"/>
  <c r="BW11"/>
  <c r="BW10"/>
  <c r="BW8"/>
  <c r="CC3"/>
  <c r="CW44" i="6" s="1"/>
  <c r="CC11" i="44"/>
  <c r="CC8"/>
  <c r="CC12"/>
  <c r="CC10"/>
  <c r="CC9"/>
  <c r="CC7"/>
  <c r="BA12"/>
  <c r="BA11"/>
  <c r="BA10"/>
  <c r="BA3"/>
  <c r="CW30" i="6" s="1"/>
  <c r="BA9" i="44"/>
  <c r="BA8"/>
  <c r="BA7"/>
  <c r="BE12"/>
  <c r="BE11"/>
  <c r="BE8"/>
  <c r="BE3"/>
  <c r="CW32" i="6" s="1"/>
  <c r="BE10" i="44"/>
  <c r="BE9"/>
  <c r="BE7"/>
  <c r="BG9"/>
  <c r="BG7"/>
  <c r="BG3"/>
  <c r="CW33" i="6" s="1"/>
  <c r="BG12" i="44"/>
  <c r="BG11"/>
  <c r="BG10"/>
  <c r="BG8"/>
  <c r="BM3"/>
  <c r="CW36" i="6" s="1"/>
  <c r="BM11" i="44"/>
  <c r="BM8"/>
  <c r="BM12"/>
  <c r="BM10"/>
  <c r="BM9"/>
  <c r="BM7"/>
  <c r="BQ12"/>
  <c r="BQ11"/>
  <c r="BQ10"/>
  <c r="BQ3"/>
  <c r="CW38" i="6" s="1"/>
  <c r="BQ9" i="44"/>
  <c r="BQ8"/>
  <c r="BQ7"/>
  <c r="CA12"/>
  <c r="CA10"/>
  <c r="CA9"/>
  <c r="CA8"/>
  <c r="CA7"/>
  <c r="CA3"/>
  <c r="CW43" i="6" s="1"/>
  <c r="CA11" i="44"/>
  <c r="E12"/>
  <c r="E3"/>
  <c r="CW6" i="6" s="1"/>
  <c r="E8" i="44"/>
  <c r="E10"/>
  <c r="E7"/>
  <c r="E9"/>
  <c r="E11"/>
  <c r="G12"/>
  <c r="G10"/>
  <c r="G8"/>
  <c r="G11"/>
  <c r="G9"/>
  <c r="G7"/>
  <c r="G3"/>
  <c r="CW7" i="6" s="1"/>
  <c r="B5"/>
  <c r="C5"/>
  <c r="D5"/>
  <c r="E5"/>
  <c r="B6"/>
  <c r="C6"/>
  <c r="D6"/>
  <c r="E6"/>
  <c r="B7"/>
  <c r="C7"/>
  <c r="D7"/>
  <c r="E7"/>
  <c r="B8"/>
  <c r="C8"/>
  <c r="D8"/>
  <c r="E8"/>
  <c r="B9"/>
  <c r="C9"/>
  <c r="D9"/>
  <c r="E9"/>
  <c r="B10"/>
  <c r="C10"/>
  <c r="D10"/>
  <c r="E10"/>
  <c r="B11"/>
  <c r="C11"/>
  <c r="D11"/>
  <c r="E11"/>
  <c r="B12"/>
  <c r="C12"/>
  <c r="D12"/>
  <c r="E12"/>
  <c r="B13"/>
  <c r="C13"/>
  <c r="D13"/>
  <c r="E13"/>
  <c r="B14"/>
  <c r="C14"/>
  <c r="D14"/>
  <c r="E14"/>
  <c r="B15"/>
  <c r="C15"/>
  <c r="D15"/>
  <c r="E15"/>
  <c r="B16"/>
  <c r="C16"/>
  <c r="D16"/>
  <c r="E16"/>
  <c r="B17"/>
  <c r="C17"/>
  <c r="D17"/>
  <c r="E17"/>
  <c r="B18"/>
  <c r="C18"/>
  <c r="D18"/>
  <c r="E18"/>
  <c r="B19"/>
  <c r="C19"/>
  <c r="D19"/>
  <c r="E19"/>
  <c r="B20"/>
  <c r="C20"/>
  <c r="D20"/>
  <c r="E20"/>
  <c r="B21"/>
  <c r="C21"/>
  <c r="D21"/>
  <c r="E21"/>
  <c r="B22"/>
  <c r="C22"/>
  <c r="D22"/>
  <c r="E22"/>
  <c r="B23"/>
  <c r="C23"/>
  <c r="D23"/>
  <c r="E23"/>
  <c r="B24"/>
  <c r="C24"/>
  <c r="D24"/>
  <c r="E24"/>
  <c r="B25"/>
  <c r="C25"/>
  <c r="D25"/>
  <c r="E25"/>
  <c r="B26"/>
  <c r="C26"/>
  <c r="D26"/>
  <c r="E26"/>
  <c r="B27"/>
  <c r="C27"/>
  <c r="D27"/>
  <c r="E27"/>
  <c r="B28"/>
  <c r="C28"/>
  <c r="D28"/>
  <c r="E28"/>
  <c r="B29"/>
  <c r="C29"/>
  <c r="D29"/>
  <c r="E29"/>
  <c r="B30"/>
  <c r="C30"/>
  <c r="D30"/>
  <c r="E30"/>
  <c r="B31"/>
  <c r="C31"/>
  <c r="D31"/>
  <c r="E31"/>
  <c r="B32"/>
  <c r="C32"/>
  <c r="D32"/>
  <c r="E32"/>
  <c r="B33"/>
  <c r="C33"/>
  <c r="D33"/>
  <c r="E33"/>
  <c r="B34"/>
  <c r="C34"/>
  <c r="D34"/>
  <c r="E34"/>
  <c r="B35"/>
  <c r="C35"/>
  <c r="D35"/>
  <c r="E35"/>
  <c r="B36"/>
  <c r="C36"/>
  <c r="D36"/>
  <c r="E36"/>
  <c r="B37"/>
  <c r="C37"/>
  <c r="D37"/>
  <c r="E37"/>
  <c r="B38"/>
  <c r="C38"/>
  <c r="D38"/>
  <c r="E38"/>
  <c r="B39"/>
  <c r="C39"/>
  <c r="D39"/>
  <c r="E39"/>
  <c r="B40"/>
  <c r="C40"/>
  <c r="D40"/>
  <c r="E40"/>
  <c r="B41"/>
  <c r="C41"/>
  <c r="D41"/>
  <c r="E41"/>
  <c r="B42"/>
  <c r="C42"/>
  <c r="D42"/>
  <c r="E42"/>
  <c r="B43"/>
  <c r="C43"/>
  <c r="D43"/>
  <c r="E43"/>
  <c r="B44"/>
  <c r="C44"/>
  <c r="D44"/>
  <c r="E44"/>
  <c r="A43"/>
  <c r="A44"/>
  <c r="A6"/>
  <c r="A7"/>
  <c r="A8"/>
  <c r="A9"/>
  <c r="A10"/>
  <c r="A11"/>
  <c r="A12"/>
  <c r="A13"/>
  <c r="A14"/>
  <c r="A15"/>
  <c r="A16"/>
  <c r="A17"/>
  <c r="A18"/>
  <c r="A19"/>
  <c r="A20"/>
  <c r="A21"/>
  <c r="A22"/>
  <c r="A23"/>
  <c r="A24"/>
  <c r="A25"/>
  <c r="A26"/>
  <c r="A27"/>
  <c r="A28"/>
  <c r="A29"/>
  <c r="A30"/>
  <c r="A31"/>
  <c r="A32"/>
  <c r="A33"/>
  <c r="A34"/>
  <c r="A35"/>
  <c r="A36"/>
  <c r="A37"/>
  <c r="A38"/>
  <c r="A39"/>
  <c r="A40"/>
  <c r="A41"/>
  <c r="A42"/>
  <c r="A5"/>
  <c r="E44" i="16"/>
  <c r="D44"/>
  <c r="C44"/>
  <c r="B44"/>
  <c r="A44"/>
  <c r="E43"/>
  <c r="D43"/>
  <c r="C43"/>
  <c r="B43"/>
  <c r="A43"/>
  <c r="E42"/>
  <c r="D42"/>
  <c r="C42"/>
  <c r="B42"/>
  <c r="A42"/>
  <c r="E41"/>
  <c r="D41"/>
  <c r="C41"/>
  <c r="B41"/>
  <c r="A41"/>
  <c r="E40"/>
  <c r="D40"/>
  <c r="C40"/>
  <c r="B40"/>
  <c r="A40"/>
  <c r="E39"/>
  <c r="D39"/>
  <c r="C39"/>
  <c r="B39"/>
  <c r="A39"/>
  <c r="E38"/>
  <c r="D38"/>
  <c r="C38"/>
  <c r="B38"/>
  <c r="A38"/>
  <c r="E37"/>
  <c r="D37"/>
  <c r="C37"/>
  <c r="B37"/>
  <c r="A37"/>
  <c r="E36"/>
  <c r="D36"/>
  <c r="C36"/>
  <c r="B36"/>
  <c r="A36"/>
  <c r="E35"/>
  <c r="D35"/>
  <c r="C35"/>
  <c r="B35"/>
  <c r="A35"/>
  <c r="E34"/>
  <c r="D34"/>
  <c r="C34"/>
  <c r="B34"/>
  <c r="A34"/>
  <c r="E33"/>
  <c r="D33"/>
  <c r="C33"/>
  <c r="B33"/>
  <c r="A33"/>
  <c r="E32"/>
  <c r="D32"/>
  <c r="C32"/>
  <c r="B32"/>
  <c r="A32"/>
  <c r="E31"/>
  <c r="D31"/>
  <c r="C31"/>
  <c r="B31"/>
  <c r="A31"/>
  <c r="E30"/>
  <c r="D30"/>
  <c r="C30"/>
  <c r="B30"/>
  <c r="A30"/>
  <c r="E29"/>
  <c r="D29"/>
  <c r="C29"/>
  <c r="B29"/>
  <c r="A29"/>
  <c r="E28"/>
  <c r="D28"/>
  <c r="C28"/>
  <c r="B28"/>
  <c r="A28"/>
  <c r="E27"/>
  <c r="D27"/>
  <c r="C27"/>
  <c r="B27"/>
  <c r="A27"/>
  <c r="E26"/>
  <c r="D26"/>
  <c r="C26"/>
  <c r="B26"/>
  <c r="A26"/>
  <c r="E25"/>
  <c r="D25"/>
  <c r="C25"/>
  <c r="B25"/>
  <c r="A25"/>
  <c r="E24"/>
  <c r="D24"/>
  <c r="C24"/>
  <c r="B24"/>
  <c r="A24"/>
  <c r="E23"/>
  <c r="D23"/>
  <c r="C23"/>
  <c r="B23"/>
  <c r="A23"/>
  <c r="E22"/>
  <c r="D22"/>
  <c r="C22"/>
  <c r="B22"/>
  <c r="A22"/>
  <c r="E21"/>
  <c r="D21"/>
  <c r="C21"/>
  <c r="B21"/>
  <c r="A21"/>
  <c r="E20"/>
  <c r="D20"/>
  <c r="C20"/>
  <c r="B20"/>
  <c r="A20"/>
  <c r="E19"/>
  <c r="D19"/>
  <c r="C19"/>
  <c r="B19"/>
  <c r="A19"/>
  <c r="E18"/>
  <c r="D18"/>
  <c r="C18"/>
  <c r="B18"/>
  <c r="A18"/>
  <c r="E17"/>
  <c r="D17"/>
  <c r="C17"/>
  <c r="B17"/>
  <c r="A17"/>
  <c r="E16"/>
  <c r="D16"/>
  <c r="C16"/>
  <c r="B16"/>
  <c r="A16"/>
  <c r="E15"/>
  <c r="D15"/>
  <c r="C15"/>
  <c r="B15"/>
  <c r="A15"/>
  <c r="E14"/>
  <c r="D14"/>
  <c r="C14"/>
  <c r="B14"/>
  <c r="A14"/>
  <c r="E13"/>
  <c r="D13"/>
  <c r="C13"/>
  <c r="B13"/>
  <c r="A13"/>
  <c r="E12"/>
  <c r="D12"/>
  <c r="C12"/>
  <c r="B12"/>
  <c r="A12"/>
  <c r="E11"/>
  <c r="D11"/>
  <c r="C11"/>
  <c r="B11"/>
  <c r="A11"/>
  <c r="E10"/>
  <c r="D10"/>
  <c r="C10"/>
  <c r="B10"/>
  <c r="A10"/>
  <c r="E9"/>
  <c r="D9"/>
  <c r="C9"/>
  <c r="B9"/>
  <c r="A9"/>
  <c r="E8"/>
  <c r="D8"/>
  <c r="C8"/>
  <c r="B8"/>
  <c r="A8"/>
  <c r="E7"/>
  <c r="D7"/>
  <c r="C7"/>
  <c r="B7"/>
  <c r="A7"/>
  <c r="E6"/>
  <c r="D6"/>
  <c r="C6"/>
  <c r="B6"/>
  <c r="A6"/>
  <c r="E5"/>
  <c r="D5"/>
  <c r="C5"/>
  <c r="B5"/>
  <c r="A5"/>
  <c r="A6" i="17"/>
  <c r="B6"/>
  <c r="C6"/>
  <c r="D6"/>
  <c r="E6"/>
  <c r="A7"/>
  <c r="B7"/>
  <c r="C7"/>
  <c r="D7"/>
  <c r="E7"/>
  <c r="A8"/>
  <c r="B8"/>
  <c r="D8"/>
  <c r="E8"/>
  <c r="A9"/>
  <c r="B9"/>
  <c r="C9"/>
  <c r="D9"/>
  <c r="E9"/>
  <c r="A10"/>
  <c r="B10"/>
  <c r="C10"/>
  <c r="D10"/>
  <c r="E10"/>
  <c r="A11"/>
  <c r="B11"/>
  <c r="C11"/>
  <c r="D11"/>
  <c r="E11"/>
  <c r="A12"/>
  <c r="B12"/>
  <c r="C12"/>
  <c r="D12"/>
  <c r="E12"/>
  <c r="A13"/>
  <c r="B13"/>
  <c r="C13"/>
  <c r="D13"/>
  <c r="E13"/>
  <c r="A14"/>
  <c r="B14"/>
  <c r="C14"/>
  <c r="D14"/>
  <c r="E14"/>
  <c r="A15"/>
  <c r="B15"/>
  <c r="C15"/>
  <c r="D15"/>
  <c r="E15"/>
  <c r="A16"/>
  <c r="B16"/>
  <c r="C16"/>
  <c r="D16"/>
  <c r="E16"/>
  <c r="A17"/>
  <c r="B17"/>
  <c r="C17"/>
  <c r="D17"/>
  <c r="E17"/>
  <c r="A18"/>
  <c r="B18"/>
  <c r="C18"/>
  <c r="D18"/>
  <c r="E18"/>
  <c r="A19"/>
  <c r="B19"/>
  <c r="C19"/>
  <c r="D19"/>
  <c r="E19"/>
  <c r="A20"/>
  <c r="B20"/>
  <c r="C20"/>
  <c r="D20"/>
  <c r="E20"/>
  <c r="A21"/>
  <c r="B21"/>
  <c r="C21"/>
  <c r="D21"/>
  <c r="E21"/>
  <c r="A22"/>
  <c r="B22"/>
  <c r="C22"/>
  <c r="D22"/>
  <c r="E22"/>
  <c r="A23"/>
  <c r="B23"/>
  <c r="C23"/>
  <c r="D23"/>
  <c r="E23"/>
  <c r="A24"/>
  <c r="B24"/>
  <c r="C24"/>
  <c r="D24"/>
  <c r="E24"/>
  <c r="A25"/>
  <c r="B25"/>
  <c r="C25"/>
  <c r="D25"/>
  <c r="E25"/>
  <c r="A26"/>
  <c r="B26"/>
  <c r="C26"/>
  <c r="D26"/>
  <c r="E26"/>
  <c r="A27"/>
  <c r="B27"/>
  <c r="C27"/>
  <c r="D27"/>
  <c r="E27"/>
  <c r="A28"/>
  <c r="B28"/>
  <c r="C28"/>
  <c r="D28"/>
  <c r="E28"/>
  <c r="A29"/>
  <c r="B29"/>
  <c r="C29"/>
  <c r="D29"/>
  <c r="E29"/>
  <c r="A30"/>
  <c r="B30"/>
  <c r="C30"/>
  <c r="D30"/>
  <c r="E30"/>
  <c r="A31"/>
  <c r="B31"/>
  <c r="C31"/>
  <c r="D31"/>
  <c r="E31"/>
  <c r="A32"/>
  <c r="B32"/>
  <c r="C32"/>
  <c r="D32"/>
  <c r="E32"/>
  <c r="A33"/>
  <c r="B33"/>
  <c r="C33"/>
  <c r="D33"/>
  <c r="E33"/>
  <c r="A34"/>
  <c r="B34"/>
  <c r="C34"/>
  <c r="D34"/>
  <c r="E34"/>
  <c r="A35"/>
  <c r="B35"/>
  <c r="C35"/>
  <c r="D35"/>
  <c r="E35"/>
  <c r="A36"/>
  <c r="B36"/>
  <c r="C36"/>
  <c r="D36"/>
  <c r="E36"/>
  <c r="A37"/>
  <c r="B37"/>
  <c r="C37"/>
  <c r="D37"/>
  <c r="E37"/>
  <c r="A38"/>
  <c r="B38"/>
  <c r="C38"/>
  <c r="D38"/>
  <c r="E38"/>
  <c r="A39"/>
  <c r="B39"/>
  <c r="C39"/>
  <c r="D39"/>
  <c r="E39"/>
  <c r="A40"/>
  <c r="B40"/>
  <c r="C40"/>
  <c r="D40"/>
  <c r="E40"/>
  <c r="A41"/>
  <c r="B41"/>
  <c r="C41"/>
  <c r="D41"/>
  <c r="E41"/>
  <c r="A42"/>
  <c r="B42"/>
  <c r="C42"/>
  <c r="D42"/>
  <c r="E42"/>
  <c r="A43"/>
  <c r="B43"/>
  <c r="C43"/>
  <c r="D43"/>
  <c r="E43"/>
  <c r="A44"/>
  <c r="B44"/>
  <c r="C44"/>
  <c r="D44"/>
  <c r="E44"/>
  <c r="B5"/>
  <c r="C5"/>
  <c r="D5"/>
  <c r="E5"/>
  <c r="A5"/>
  <c r="J6" i="16"/>
  <c r="K6" s="1"/>
  <c r="P6"/>
  <c r="Q6" s="1"/>
  <c r="V6"/>
  <c r="W6" s="1"/>
  <c r="AB6"/>
  <c r="AC6" s="1"/>
  <c r="AH6"/>
  <c r="AI6" s="1"/>
  <c r="AN6"/>
  <c r="AO6" s="1"/>
  <c r="AT6"/>
  <c r="AU6" s="1"/>
  <c r="AZ6"/>
  <c r="BA6" s="1"/>
  <c r="BF6"/>
  <c r="BG6" s="1"/>
  <c r="BL6"/>
  <c r="BM6" s="1"/>
  <c r="J7"/>
  <c r="K7" s="1"/>
  <c r="P7"/>
  <c r="Q7" s="1"/>
  <c r="V7"/>
  <c r="W7" s="1"/>
  <c r="AB7"/>
  <c r="AC7" s="1"/>
  <c r="AH7"/>
  <c r="AI7" s="1"/>
  <c r="AN7"/>
  <c r="AO7" s="1"/>
  <c r="AT7"/>
  <c r="AU7" s="1"/>
  <c r="AZ7"/>
  <c r="BA7" s="1"/>
  <c r="BF7"/>
  <c r="BG7" s="1"/>
  <c r="BL7"/>
  <c r="BM7" s="1"/>
  <c r="J8"/>
  <c r="K8" s="1"/>
  <c r="P8"/>
  <c r="Q8" s="1"/>
  <c r="V8"/>
  <c r="W8" s="1"/>
  <c r="AB8"/>
  <c r="AC8" s="1"/>
  <c r="AH8"/>
  <c r="AI8" s="1"/>
  <c r="AN8"/>
  <c r="AO8" s="1"/>
  <c r="AT8"/>
  <c r="AU8" s="1"/>
  <c r="AZ8"/>
  <c r="BA8" s="1"/>
  <c r="BF8"/>
  <c r="BG8" s="1"/>
  <c r="BL8"/>
  <c r="BM8" s="1"/>
  <c r="J9"/>
  <c r="K9" s="1"/>
  <c r="P9"/>
  <c r="Q9" s="1"/>
  <c r="V9"/>
  <c r="W9" s="1"/>
  <c r="AB9"/>
  <c r="AC9" s="1"/>
  <c r="AH9"/>
  <c r="AI9" s="1"/>
  <c r="AN9"/>
  <c r="AO9" s="1"/>
  <c r="AT9"/>
  <c r="AU9" s="1"/>
  <c r="AZ9"/>
  <c r="BA9" s="1"/>
  <c r="BF9"/>
  <c r="BG9" s="1"/>
  <c r="BL9"/>
  <c r="BM9" s="1"/>
  <c r="J10"/>
  <c r="K10" s="1"/>
  <c r="P10"/>
  <c r="Q10" s="1"/>
  <c r="V10"/>
  <c r="W10" s="1"/>
  <c r="AB10"/>
  <c r="AC10" s="1"/>
  <c r="AH10"/>
  <c r="AI10" s="1"/>
  <c r="AN10"/>
  <c r="AO10" s="1"/>
  <c r="AT10"/>
  <c r="AU10" s="1"/>
  <c r="AZ10"/>
  <c r="BA10" s="1"/>
  <c r="BF10"/>
  <c r="BG10" s="1"/>
  <c r="BL10"/>
  <c r="BM10" s="1"/>
  <c r="J11"/>
  <c r="K11" s="1"/>
  <c r="P11"/>
  <c r="Q11" s="1"/>
  <c r="V11"/>
  <c r="W11" s="1"/>
  <c r="AB11"/>
  <c r="AC11" s="1"/>
  <c r="AH11"/>
  <c r="AI11" s="1"/>
  <c r="AN11"/>
  <c r="AO11" s="1"/>
  <c r="AT11"/>
  <c r="AU11" s="1"/>
  <c r="AZ11"/>
  <c r="BA11" s="1"/>
  <c r="BF11"/>
  <c r="BG11" s="1"/>
  <c r="BL11"/>
  <c r="BM11" s="1"/>
  <c r="J12"/>
  <c r="K12" s="1"/>
  <c r="P12"/>
  <c r="Q12" s="1"/>
  <c r="V12"/>
  <c r="W12" s="1"/>
  <c r="AB12"/>
  <c r="AC12" s="1"/>
  <c r="AH12"/>
  <c r="AI12" s="1"/>
  <c r="AN12"/>
  <c r="AO12" s="1"/>
  <c r="AT12"/>
  <c r="AU12" s="1"/>
  <c r="AZ12"/>
  <c r="BA12" s="1"/>
  <c r="BF12"/>
  <c r="BG12" s="1"/>
  <c r="BL12"/>
  <c r="BM12" s="1"/>
  <c r="J13"/>
  <c r="K13" s="1"/>
  <c r="P13"/>
  <c r="Q13" s="1"/>
  <c r="V13"/>
  <c r="W13" s="1"/>
  <c r="AB13"/>
  <c r="AC13" s="1"/>
  <c r="AH13"/>
  <c r="AI13" s="1"/>
  <c r="AN13"/>
  <c r="AO13" s="1"/>
  <c r="AT13"/>
  <c r="AU13" s="1"/>
  <c r="AZ13"/>
  <c r="BA13" s="1"/>
  <c r="BF13"/>
  <c r="BG13" s="1"/>
  <c r="BL13"/>
  <c r="BM13" s="1"/>
  <c r="J14"/>
  <c r="K14" s="1"/>
  <c r="P14"/>
  <c r="Q14" s="1"/>
  <c r="V14"/>
  <c r="W14" s="1"/>
  <c r="AB14"/>
  <c r="AC14" s="1"/>
  <c r="AH14"/>
  <c r="AI14" s="1"/>
  <c r="AN14"/>
  <c r="AO14" s="1"/>
  <c r="AT14"/>
  <c r="AU14" s="1"/>
  <c r="AZ14"/>
  <c r="BA14" s="1"/>
  <c r="BF14"/>
  <c r="BG14" s="1"/>
  <c r="BL14"/>
  <c r="BM14" s="1"/>
  <c r="J15"/>
  <c r="K15" s="1"/>
  <c r="P15"/>
  <c r="Q15" s="1"/>
  <c r="V15"/>
  <c r="W15" s="1"/>
  <c r="AB15"/>
  <c r="AC15" s="1"/>
  <c r="AH15"/>
  <c r="AI15" s="1"/>
  <c r="AN15"/>
  <c r="AO15" s="1"/>
  <c r="AT15"/>
  <c r="AU15" s="1"/>
  <c r="AZ15"/>
  <c r="BA15" s="1"/>
  <c r="BF15"/>
  <c r="BG15" s="1"/>
  <c r="BL15"/>
  <c r="BM15" s="1"/>
  <c r="J16"/>
  <c r="K16" s="1"/>
  <c r="P16"/>
  <c r="Q16" s="1"/>
  <c r="V16"/>
  <c r="W16" s="1"/>
  <c r="AB16"/>
  <c r="AC16" s="1"/>
  <c r="AH16"/>
  <c r="AI16" s="1"/>
  <c r="AN16"/>
  <c r="AO16" s="1"/>
  <c r="AT16"/>
  <c r="AU16" s="1"/>
  <c r="AZ16"/>
  <c r="BA16" s="1"/>
  <c r="BF16"/>
  <c r="BG16" s="1"/>
  <c r="BL16"/>
  <c r="BM16" s="1"/>
  <c r="J17"/>
  <c r="K17" s="1"/>
  <c r="P17"/>
  <c r="Q17" s="1"/>
  <c r="V17"/>
  <c r="W17" s="1"/>
  <c r="AB17"/>
  <c r="AC17" s="1"/>
  <c r="AH17"/>
  <c r="AI17" s="1"/>
  <c r="AN17"/>
  <c r="AO17" s="1"/>
  <c r="AT17"/>
  <c r="AU17" s="1"/>
  <c r="AZ17"/>
  <c r="BA17" s="1"/>
  <c r="BF17"/>
  <c r="BG17" s="1"/>
  <c r="BL17"/>
  <c r="BM17" s="1"/>
  <c r="J18"/>
  <c r="K18" s="1"/>
  <c r="P18"/>
  <c r="Q18" s="1"/>
  <c r="V18"/>
  <c r="W18" s="1"/>
  <c r="AB18"/>
  <c r="AC18" s="1"/>
  <c r="AH18"/>
  <c r="AI18" s="1"/>
  <c r="AN18"/>
  <c r="AO18" s="1"/>
  <c r="AT18"/>
  <c r="AU18" s="1"/>
  <c r="AZ18"/>
  <c r="BA18" s="1"/>
  <c r="BF18"/>
  <c r="BG18" s="1"/>
  <c r="BL18"/>
  <c r="BM18" s="1"/>
  <c r="J19"/>
  <c r="K19" s="1"/>
  <c r="P19"/>
  <c r="Q19" s="1"/>
  <c r="V19"/>
  <c r="W19" s="1"/>
  <c r="AB19"/>
  <c r="AC19" s="1"/>
  <c r="AH19"/>
  <c r="AI19" s="1"/>
  <c r="AN19"/>
  <c r="AO19" s="1"/>
  <c r="AT19"/>
  <c r="AU19" s="1"/>
  <c r="AZ19"/>
  <c r="BA19" s="1"/>
  <c r="BF19"/>
  <c r="BG19" s="1"/>
  <c r="BL19"/>
  <c r="BM19" s="1"/>
  <c r="J20"/>
  <c r="K20" s="1"/>
  <c r="P20"/>
  <c r="Q20" s="1"/>
  <c r="V20"/>
  <c r="W20" s="1"/>
  <c r="AB20"/>
  <c r="AC20" s="1"/>
  <c r="AH20"/>
  <c r="AI20" s="1"/>
  <c r="AN20"/>
  <c r="AO20" s="1"/>
  <c r="AT20"/>
  <c r="AU20" s="1"/>
  <c r="AZ20"/>
  <c r="BA20" s="1"/>
  <c r="BF20"/>
  <c r="BG20" s="1"/>
  <c r="BL20"/>
  <c r="BM20" s="1"/>
  <c r="J21"/>
  <c r="K21" s="1"/>
  <c r="P21"/>
  <c r="Q21" s="1"/>
  <c r="V21"/>
  <c r="W21" s="1"/>
  <c r="AB21"/>
  <c r="AC21" s="1"/>
  <c r="AH21"/>
  <c r="AI21" s="1"/>
  <c r="AN21"/>
  <c r="AO21" s="1"/>
  <c r="AT21"/>
  <c r="AU21" s="1"/>
  <c r="AZ21"/>
  <c r="BA21" s="1"/>
  <c r="BF21"/>
  <c r="BG21" s="1"/>
  <c r="BL21"/>
  <c r="BM21" s="1"/>
  <c r="J22"/>
  <c r="K22" s="1"/>
  <c r="P22"/>
  <c r="Q22" s="1"/>
  <c r="V22"/>
  <c r="W22" s="1"/>
  <c r="AB22"/>
  <c r="AC22" s="1"/>
  <c r="AH22"/>
  <c r="AI22" s="1"/>
  <c r="AN22"/>
  <c r="AO22" s="1"/>
  <c r="AT22"/>
  <c r="AU22" s="1"/>
  <c r="AZ22"/>
  <c r="BA22" s="1"/>
  <c r="BF22"/>
  <c r="BG22" s="1"/>
  <c r="BL22"/>
  <c r="BM22" s="1"/>
  <c r="J23"/>
  <c r="K23" s="1"/>
  <c r="P23"/>
  <c r="Q23" s="1"/>
  <c r="V23"/>
  <c r="W23" s="1"/>
  <c r="AB23"/>
  <c r="AC23" s="1"/>
  <c r="AH23"/>
  <c r="AI23" s="1"/>
  <c r="AN23"/>
  <c r="AO23" s="1"/>
  <c r="AT23"/>
  <c r="AU23" s="1"/>
  <c r="AZ23"/>
  <c r="BA23" s="1"/>
  <c r="BF23"/>
  <c r="BG23" s="1"/>
  <c r="BL23"/>
  <c r="BM23" s="1"/>
  <c r="J24"/>
  <c r="K24" s="1"/>
  <c r="P24"/>
  <c r="Q24" s="1"/>
  <c r="V24"/>
  <c r="W24" s="1"/>
  <c r="AB24"/>
  <c r="AC24" s="1"/>
  <c r="AH24"/>
  <c r="AI24" s="1"/>
  <c r="AN24"/>
  <c r="AO24" s="1"/>
  <c r="AT24"/>
  <c r="AU24" s="1"/>
  <c r="AZ24"/>
  <c r="BA24" s="1"/>
  <c r="BF24"/>
  <c r="BG24" s="1"/>
  <c r="BL24"/>
  <c r="BM24" s="1"/>
  <c r="J25"/>
  <c r="K25" s="1"/>
  <c r="P25"/>
  <c r="Q25" s="1"/>
  <c r="V25"/>
  <c r="W25" s="1"/>
  <c r="AB25"/>
  <c r="AC25" s="1"/>
  <c r="AH25"/>
  <c r="AI25" s="1"/>
  <c r="AN25"/>
  <c r="AO25" s="1"/>
  <c r="AT25"/>
  <c r="AU25" s="1"/>
  <c r="AZ25"/>
  <c r="BA25" s="1"/>
  <c r="BF25"/>
  <c r="BG25" s="1"/>
  <c r="BL25"/>
  <c r="BM25" s="1"/>
  <c r="J26"/>
  <c r="K26" s="1"/>
  <c r="P26"/>
  <c r="Q26" s="1"/>
  <c r="V26"/>
  <c r="W26" s="1"/>
  <c r="AB26"/>
  <c r="AC26" s="1"/>
  <c r="AH26"/>
  <c r="AI26" s="1"/>
  <c r="AN26"/>
  <c r="AO26" s="1"/>
  <c r="AT26"/>
  <c r="AU26" s="1"/>
  <c r="AZ26"/>
  <c r="BA26" s="1"/>
  <c r="BF26"/>
  <c r="BG26" s="1"/>
  <c r="BL26"/>
  <c r="BM26" s="1"/>
  <c r="J27"/>
  <c r="K27" s="1"/>
  <c r="P27"/>
  <c r="Q27" s="1"/>
  <c r="V27"/>
  <c r="W27" s="1"/>
  <c r="AB27"/>
  <c r="AC27" s="1"/>
  <c r="AH27"/>
  <c r="AI27" s="1"/>
  <c r="AN27"/>
  <c r="AO27" s="1"/>
  <c r="AT27"/>
  <c r="AU27" s="1"/>
  <c r="AZ27"/>
  <c r="BA27" s="1"/>
  <c r="BF27"/>
  <c r="BG27" s="1"/>
  <c r="BL27"/>
  <c r="BM27" s="1"/>
  <c r="J28"/>
  <c r="K28" s="1"/>
  <c r="P28"/>
  <c r="Q28" s="1"/>
  <c r="V28"/>
  <c r="W28" s="1"/>
  <c r="AB28"/>
  <c r="AC28" s="1"/>
  <c r="AH28"/>
  <c r="AI28" s="1"/>
  <c r="AN28"/>
  <c r="AO28" s="1"/>
  <c r="AT28"/>
  <c r="AU28" s="1"/>
  <c r="AZ28"/>
  <c r="BA28" s="1"/>
  <c r="BF28"/>
  <c r="BG28" s="1"/>
  <c r="BL28"/>
  <c r="BM28" s="1"/>
  <c r="J29"/>
  <c r="K29" s="1"/>
  <c r="P29"/>
  <c r="Q29" s="1"/>
  <c r="V29"/>
  <c r="W29" s="1"/>
  <c r="AB29"/>
  <c r="AC29" s="1"/>
  <c r="AH29"/>
  <c r="AI29" s="1"/>
  <c r="AN29"/>
  <c r="AO29" s="1"/>
  <c r="AT29"/>
  <c r="AU29" s="1"/>
  <c r="AZ29"/>
  <c r="BA29" s="1"/>
  <c r="BF29"/>
  <c r="BG29" s="1"/>
  <c r="BL29"/>
  <c r="BM29" s="1"/>
  <c r="J30"/>
  <c r="K30" s="1"/>
  <c r="P30"/>
  <c r="Q30" s="1"/>
  <c r="V30"/>
  <c r="W30" s="1"/>
  <c r="AB30"/>
  <c r="AC30" s="1"/>
  <c r="AH30"/>
  <c r="AI30" s="1"/>
  <c r="AN30"/>
  <c r="AO30" s="1"/>
  <c r="AT30"/>
  <c r="AU30" s="1"/>
  <c r="AZ30"/>
  <c r="BA30" s="1"/>
  <c r="BF30"/>
  <c r="BG30" s="1"/>
  <c r="BL30"/>
  <c r="BM30" s="1"/>
  <c r="J31"/>
  <c r="K31" s="1"/>
  <c r="P31"/>
  <c r="Q31" s="1"/>
  <c r="V31"/>
  <c r="W31" s="1"/>
  <c r="AB31"/>
  <c r="AC31" s="1"/>
  <c r="AH31"/>
  <c r="AI31" s="1"/>
  <c r="AN31"/>
  <c r="AO31" s="1"/>
  <c r="AT31"/>
  <c r="AU31" s="1"/>
  <c r="AZ31"/>
  <c r="BA31" s="1"/>
  <c r="BF31"/>
  <c r="BG31" s="1"/>
  <c r="BL31"/>
  <c r="BM31" s="1"/>
  <c r="J32"/>
  <c r="K32" s="1"/>
  <c r="P32"/>
  <c r="Q32" s="1"/>
  <c r="V32"/>
  <c r="W32" s="1"/>
  <c r="AB32"/>
  <c r="AC32" s="1"/>
  <c r="AH32"/>
  <c r="AI32" s="1"/>
  <c r="AN32"/>
  <c r="AO32" s="1"/>
  <c r="AT32"/>
  <c r="AU32" s="1"/>
  <c r="AZ32"/>
  <c r="BA32" s="1"/>
  <c r="BF32"/>
  <c r="BG32" s="1"/>
  <c r="BL32"/>
  <c r="BM32" s="1"/>
  <c r="J33"/>
  <c r="K33" s="1"/>
  <c r="P33"/>
  <c r="Q33" s="1"/>
  <c r="V33"/>
  <c r="W33" s="1"/>
  <c r="AB33"/>
  <c r="AC33" s="1"/>
  <c r="AH33"/>
  <c r="AI33" s="1"/>
  <c r="AN33"/>
  <c r="AO33" s="1"/>
  <c r="AT33"/>
  <c r="AU33" s="1"/>
  <c r="AZ33"/>
  <c r="BA33" s="1"/>
  <c r="BF33"/>
  <c r="BG33" s="1"/>
  <c r="BL33"/>
  <c r="BM33" s="1"/>
  <c r="J34"/>
  <c r="K34" s="1"/>
  <c r="P34"/>
  <c r="Q34" s="1"/>
  <c r="V34"/>
  <c r="W34" s="1"/>
  <c r="AB34"/>
  <c r="AC34" s="1"/>
  <c r="AH34"/>
  <c r="AI34" s="1"/>
  <c r="AN34"/>
  <c r="AO34" s="1"/>
  <c r="AT34"/>
  <c r="AU34" s="1"/>
  <c r="AZ34"/>
  <c r="BA34" s="1"/>
  <c r="BF34"/>
  <c r="BG34" s="1"/>
  <c r="BL34"/>
  <c r="BM34" s="1"/>
  <c r="J35"/>
  <c r="K35" s="1"/>
  <c r="P35"/>
  <c r="Q35" s="1"/>
  <c r="V35"/>
  <c r="W35" s="1"/>
  <c r="AB35"/>
  <c r="AC35" s="1"/>
  <c r="AH35"/>
  <c r="AI35" s="1"/>
  <c r="AN35"/>
  <c r="AO35" s="1"/>
  <c r="AT35"/>
  <c r="AU35" s="1"/>
  <c r="AZ35"/>
  <c r="BA35" s="1"/>
  <c r="BF35"/>
  <c r="BG35" s="1"/>
  <c r="BL35"/>
  <c r="BM35" s="1"/>
  <c r="J36"/>
  <c r="K36" s="1"/>
  <c r="P36"/>
  <c r="Q36" s="1"/>
  <c r="V36"/>
  <c r="W36" s="1"/>
  <c r="AB36"/>
  <c r="AC36" s="1"/>
  <c r="AH36"/>
  <c r="AI36" s="1"/>
  <c r="AN36"/>
  <c r="AO36" s="1"/>
  <c r="AT36"/>
  <c r="AU36" s="1"/>
  <c r="AZ36"/>
  <c r="BA36" s="1"/>
  <c r="BF36"/>
  <c r="BG36" s="1"/>
  <c r="BL36"/>
  <c r="BM36" s="1"/>
  <c r="J37"/>
  <c r="K37" s="1"/>
  <c r="P37"/>
  <c r="Q37" s="1"/>
  <c r="V37"/>
  <c r="W37" s="1"/>
  <c r="AB37"/>
  <c r="AC37" s="1"/>
  <c r="AH37"/>
  <c r="AI37" s="1"/>
  <c r="AN37"/>
  <c r="AO37" s="1"/>
  <c r="AT37"/>
  <c r="AU37" s="1"/>
  <c r="AZ37"/>
  <c r="BA37" s="1"/>
  <c r="BF37"/>
  <c r="BG37" s="1"/>
  <c r="BL37"/>
  <c r="BM37" s="1"/>
  <c r="J38"/>
  <c r="K38" s="1"/>
  <c r="P38"/>
  <c r="Q38" s="1"/>
  <c r="V38"/>
  <c r="W38" s="1"/>
  <c r="AB38"/>
  <c r="AC38" s="1"/>
  <c r="AH38"/>
  <c r="AI38" s="1"/>
  <c r="AN38"/>
  <c r="AO38" s="1"/>
  <c r="AT38"/>
  <c r="AU38" s="1"/>
  <c r="AZ38"/>
  <c r="BA38" s="1"/>
  <c r="BF38"/>
  <c r="BG38" s="1"/>
  <c r="BL38"/>
  <c r="BM38" s="1"/>
  <c r="J39"/>
  <c r="K39" s="1"/>
  <c r="P39"/>
  <c r="Q39" s="1"/>
  <c r="V39"/>
  <c r="W39" s="1"/>
  <c r="AB39"/>
  <c r="AC39" s="1"/>
  <c r="AH39"/>
  <c r="AI39" s="1"/>
  <c r="AN39"/>
  <c r="AO39" s="1"/>
  <c r="AT39"/>
  <c r="AU39" s="1"/>
  <c r="AZ39"/>
  <c r="BA39" s="1"/>
  <c r="BF39"/>
  <c r="BG39" s="1"/>
  <c r="BL39"/>
  <c r="BM39" s="1"/>
  <c r="J40"/>
  <c r="K40" s="1"/>
  <c r="P40"/>
  <c r="Q40" s="1"/>
  <c r="V40"/>
  <c r="W40" s="1"/>
  <c r="AB40"/>
  <c r="AC40" s="1"/>
  <c r="AH40"/>
  <c r="AI40" s="1"/>
  <c r="AN40"/>
  <c r="AO40" s="1"/>
  <c r="AT40"/>
  <c r="AU40" s="1"/>
  <c r="AZ40"/>
  <c r="BA40" s="1"/>
  <c r="BF40"/>
  <c r="BG40" s="1"/>
  <c r="BL40"/>
  <c r="BM40" s="1"/>
  <c r="J41"/>
  <c r="K41" s="1"/>
  <c r="P41"/>
  <c r="Q41" s="1"/>
  <c r="V41"/>
  <c r="W41" s="1"/>
  <c r="AB41"/>
  <c r="AC41" s="1"/>
  <c r="AH41"/>
  <c r="AI41" s="1"/>
  <c r="AN41"/>
  <c r="AO41" s="1"/>
  <c r="AT41"/>
  <c r="AU41" s="1"/>
  <c r="AZ41"/>
  <c r="BA41" s="1"/>
  <c r="BF41"/>
  <c r="BG41" s="1"/>
  <c r="BL41"/>
  <c r="BM41" s="1"/>
  <c r="J42"/>
  <c r="K42" s="1"/>
  <c r="P42"/>
  <c r="Q42" s="1"/>
  <c r="V42"/>
  <c r="W42" s="1"/>
  <c r="AB42"/>
  <c r="AC42" s="1"/>
  <c r="AH42"/>
  <c r="AI42" s="1"/>
  <c r="AN42"/>
  <c r="AO42" s="1"/>
  <c r="AT42"/>
  <c r="AU42" s="1"/>
  <c r="AZ42"/>
  <c r="BA42" s="1"/>
  <c r="BF42"/>
  <c r="BG42" s="1"/>
  <c r="BL42"/>
  <c r="BM42" s="1"/>
  <c r="J43"/>
  <c r="K43" s="1"/>
  <c r="P43"/>
  <c r="Q43" s="1"/>
  <c r="V43"/>
  <c r="W43" s="1"/>
  <c r="AB43"/>
  <c r="AC43" s="1"/>
  <c r="AH43"/>
  <c r="AI43" s="1"/>
  <c r="AN43"/>
  <c r="AO43" s="1"/>
  <c r="AT43"/>
  <c r="AU43" s="1"/>
  <c r="AZ43"/>
  <c r="BA43" s="1"/>
  <c r="BF43"/>
  <c r="BG43" s="1"/>
  <c r="BL43"/>
  <c r="BM43" s="1"/>
  <c r="J44"/>
  <c r="K44" s="1"/>
  <c r="P44"/>
  <c r="Q44" s="1"/>
  <c r="V44"/>
  <c r="W44" s="1"/>
  <c r="AB44"/>
  <c r="AC44" s="1"/>
  <c r="AH44"/>
  <c r="AI44" s="1"/>
  <c r="AN44"/>
  <c r="AO44" s="1"/>
  <c r="AT44"/>
  <c r="AU44" s="1"/>
  <c r="AZ44"/>
  <c r="BA44" s="1"/>
  <c r="BF44"/>
  <c r="BG44" s="1"/>
  <c r="BL44"/>
  <c r="BM44" s="1"/>
  <c r="P5"/>
  <c r="Q5" s="1"/>
  <c r="B4" i="45" s="1"/>
  <c r="C4" s="1"/>
  <c r="V5" i="16"/>
  <c r="W5" s="1"/>
  <c r="AB5"/>
  <c r="AC5" s="1"/>
  <c r="AH5"/>
  <c r="AI5" s="1"/>
  <c r="AN5"/>
  <c r="AO5" s="1"/>
  <c r="AT5"/>
  <c r="AU5" s="1"/>
  <c r="AZ5"/>
  <c r="BA5" s="1"/>
  <c r="BF5"/>
  <c r="BG5" s="1"/>
  <c r="BL5"/>
  <c r="BM5" s="1"/>
  <c r="J5"/>
  <c r="K5" s="1"/>
  <c r="CX19" i="6" l="1"/>
  <c r="CX18"/>
  <c r="CX12"/>
  <c r="CX11"/>
  <c r="CX10"/>
  <c r="CX28"/>
  <c r="CX23"/>
  <c r="CX15"/>
  <c r="CX36"/>
  <c r="CX41"/>
  <c r="CX42"/>
  <c r="CX34"/>
  <c r="CX31"/>
  <c r="F53" i="31"/>
  <c r="CX25" i="6"/>
  <c r="CQ36"/>
  <c r="D45" i="31" s="1"/>
  <c r="F51"/>
  <c r="CQ31" i="6"/>
  <c r="CR31" s="1"/>
  <c r="E40" i="31" s="1"/>
  <c r="CX37" i="6"/>
  <c r="CX39"/>
  <c r="F52" i="31"/>
  <c r="CX38" i="6"/>
  <c r="CX44"/>
  <c r="CX35"/>
  <c r="CX22"/>
  <c r="CX20"/>
  <c r="CX14"/>
  <c r="CX43"/>
  <c r="CX17"/>
  <c r="CQ23"/>
  <c r="D32" i="31" s="1"/>
  <c r="CX26" i="6"/>
  <c r="CX21"/>
  <c r="CX6"/>
  <c r="CV6" s="1"/>
  <c r="F15" i="31" s="1"/>
  <c r="CR6" i="6"/>
  <c r="E15" i="31" s="1"/>
  <c r="CX33" i="6"/>
  <c r="CX29"/>
  <c r="CQ25"/>
  <c r="CQ29"/>
  <c r="D38" i="31" s="1"/>
  <c r="CX32" i="6"/>
  <c r="CX24"/>
  <c r="CQ33"/>
  <c r="CQ15"/>
  <c r="CS15" s="1"/>
  <c r="CV15" s="1"/>
  <c r="F24" i="31" s="1"/>
  <c r="CQ22" i="6"/>
  <c r="D31" i="31" s="1"/>
  <c r="CQ12" i="6"/>
  <c r="CX27"/>
  <c r="CX13"/>
  <c r="CX30"/>
  <c r="CX9"/>
  <c r="CX16"/>
  <c r="CX8"/>
  <c r="D15" i="31"/>
  <c r="CQ17" i="6"/>
  <c r="CQ7"/>
  <c r="CQ14"/>
  <c r="CQ40"/>
  <c r="CQ27"/>
  <c r="CQ19"/>
  <c r="CQ11"/>
  <c r="CQ39"/>
  <c r="CQ37"/>
  <c r="CQ26"/>
  <c r="CQ18"/>
  <c r="CQ10"/>
  <c r="CQ38"/>
  <c r="CQ44"/>
  <c r="CQ30"/>
  <c r="CQ21"/>
  <c r="CQ13"/>
  <c r="CQ43"/>
  <c r="CQ41"/>
  <c r="CQ28"/>
  <c r="CQ20"/>
  <c r="CQ42"/>
  <c r="CQ9"/>
  <c r="CQ35"/>
  <c r="CQ34"/>
  <c r="CQ24"/>
  <c r="CQ16"/>
  <c r="CQ8"/>
  <c r="CQ32"/>
  <c r="BZ24" i="44"/>
  <c r="BZ22"/>
  <c r="BZ20"/>
  <c r="BZ18"/>
  <c r="BZ16"/>
  <c r="BZ25"/>
  <c r="BZ21"/>
  <c r="BZ17"/>
  <c r="BZ23"/>
  <c r="BZ19"/>
  <c r="CB15"/>
  <c r="F50" i="31"/>
  <c r="F49"/>
  <c r="BX24" i="45"/>
  <c r="BX22"/>
  <c r="BX20"/>
  <c r="BX18"/>
  <c r="BX16"/>
  <c r="BX25"/>
  <c r="BX23"/>
  <c r="BX21"/>
  <c r="BX19"/>
  <c r="BX17"/>
  <c r="BZ15"/>
  <c r="CX7" i="6"/>
  <c r="CB10" i="45"/>
  <c r="CC10" s="1"/>
  <c r="BZ10"/>
  <c r="CA10" s="1"/>
  <c r="BZ8"/>
  <c r="CA8" s="1"/>
  <c r="BZ4"/>
  <c r="CA4" s="1"/>
  <c r="BX10"/>
  <c r="BY10" s="1"/>
  <c r="BX4"/>
  <c r="BY4" s="1"/>
  <c r="BV12"/>
  <c r="BW12" s="1"/>
  <c r="BV8"/>
  <c r="BW8" s="1"/>
  <c r="BT8"/>
  <c r="BU8" s="1"/>
  <c r="BT4"/>
  <c r="BU4" s="1"/>
  <c r="BR10"/>
  <c r="BS10" s="1"/>
  <c r="BP10"/>
  <c r="BQ10" s="1"/>
  <c r="BP4"/>
  <c r="BQ4" s="1"/>
  <c r="BN12"/>
  <c r="BO12" s="1"/>
  <c r="BN8"/>
  <c r="BO8" s="1"/>
  <c r="BN4"/>
  <c r="BO4" s="1"/>
  <c r="BL8"/>
  <c r="BM8" s="1"/>
  <c r="BL6"/>
  <c r="BM6" s="1"/>
  <c r="BJ12"/>
  <c r="BK12" s="1"/>
  <c r="BJ8"/>
  <c r="BK8" s="1"/>
  <c r="BH12"/>
  <c r="BI12" s="1"/>
  <c r="BH10"/>
  <c r="BI10" s="1"/>
  <c r="BH6"/>
  <c r="BI6" s="1"/>
  <c r="BF6"/>
  <c r="BG6" s="1"/>
  <c r="BF4"/>
  <c r="BG4" s="1"/>
  <c r="BD10"/>
  <c r="BE10" s="1"/>
  <c r="BD6"/>
  <c r="BE6" s="1"/>
  <c r="BB10"/>
  <c r="BC10" s="1"/>
  <c r="BB8"/>
  <c r="BC8" s="1"/>
  <c r="AZ6"/>
  <c r="BA6" s="1"/>
  <c r="AZ4"/>
  <c r="BA4" s="1"/>
  <c r="AX12"/>
  <c r="AY12" s="1"/>
  <c r="AV12"/>
  <c r="AW12" s="1"/>
  <c r="AV10"/>
  <c r="AW10" s="1"/>
  <c r="AV6"/>
  <c r="AW6" s="1"/>
  <c r="AT12"/>
  <c r="AU12" s="1"/>
  <c r="AT4"/>
  <c r="AU4" s="1"/>
  <c r="AR10"/>
  <c r="AS10" s="1"/>
  <c r="AP10"/>
  <c r="AQ10" s="1"/>
  <c r="AP4"/>
  <c r="AQ4" s="1"/>
  <c r="AN10"/>
  <c r="AO10" s="1"/>
  <c r="AN4"/>
  <c r="AO4" s="1"/>
  <c r="AL12"/>
  <c r="AM12" s="1"/>
  <c r="AL8"/>
  <c r="AM8" s="1"/>
  <c r="AL4"/>
  <c r="AM4" s="1"/>
  <c r="AJ8"/>
  <c r="AK8" s="1"/>
  <c r="AJ6"/>
  <c r="AK6" s="1"/>
  <c r="AH12"/>
  <c r="AI12" s="1"/>
  <c r="AH8"/>
  <c r="AI8" s="1"/>
  <c r="AF12"/>
  <c r="AG12" s="1"/>
  <c r="AF8"/>
  <c r="AG8" s="1"/>
  <c r="AF4"/>
  <c r="AG4" s="1"/>
  <c r="AD8"/>
  <c r="AE8" s="1"/>
  <c r="AD6"/>
  <c r="AE6" s="1"/>
  <c r="AB12"/>
  <c r="AC12" s="1"/>
  <c r="AB4"/>
  <c r="AC4" s="1"/>
  <c r="Z12"/>
  <c r="AA12" s="1"/>
  <c r="Z10"/>
  <c r="AA10" s="1"/>
  <c r="Z6"/>
  <c r="AA6" s="1"/>
  <c r="X8"/>
  <c r="Y8" s="1"/>
  <c r="X6"/>
  <c r="Y6" s="1"/>
  <c r="V10"/>
  <c r="W10" s="1"/>
  <c r="V4"/>
  <c r="W4" s="1"/>
  <c r="T12"/>
  <c r="U12" s="1"/>
  <c r="T8"/>
  <c r="U8" s="1"/>
  <c r="T4"/>
  <c r="U4" s="1"/>
  <c r="R8"/>
  <c r="S8" s="1"/>
  <c r="P10"/>
  <c r="Q10" s="1"/>
  <c r="P6"/>
  <c r="Q6" s="1"/>
  <c r="N12"/>
  <c r="O12" s="1"/>
  <c r="L12"/>
  <c r="M12" s="1"/>
  <c r="CB11"/>
  <c r="CC11" s="1"/>
  <c r="CB9"/>
  <c r="CC9" s="1"/>
  <c r="CB7"/>
  <c r="CC7" s="1"/>
  <c r="BZ9"/>
  <c r="CA9" s="1"/>
  <c r="BZ7"/>
  <c r="CA7" s="1"/>
  <c r="BX11"/>
  <c r="BY11" s="1"/>
  <c r="BX9"/>
  <c r="BY9" s="1"/>
  <c r="BX7"/>
  <c r="BY7" s="1"/>
  <c r="BV9"/>
  <c r="BW9" s="1"/>
  <c r="BV7"/>
  <c r="BW7" s="1"/>
  <c r="BT11"/>
  <c r="BU11" s="1"/>
  <c r="BT9"/>
  <c r="BU9" s="1"/>
  <c r="BT7"/>
  <c r="BU7" s="1"/>
  <c r="BR9"/>
  <c r="BS9" s="1"/>
  <c r="BR7"/>
  <c r="BS7" s="1"/>
  <c r="BP11"/>
  <c r="BQ11" s="1"/>
  <c r="BP9"/>
  <c r="BQ9" s="1"/>
  <c r="BP7"/>
  <c r="BQ7" s="1"/>
  <c r="BN9"/>
  <c r="BO9" s="1"/>
  <c r="BN7"/>
  <c r="BO7" s="1"/>
  <c r="BL11"/>
  <c r="BM11" s="1"/>
  <c r="BL9"/>
  <c r="BM9" s="1"/>
  <c r="BL7"/>
  <c r="BM7" s="1"/>
  <c r="BJ9"/>
  <c r="BK9" s="1"/>
  <c r="BJ7"/>
  <c r="BK7" s="1"/>
  <c r="BH11"/>
  <c r="BI11" s="1"/>
  <c r="BH9"/>
  <c r="BI9" s="1"/>
  <c r="BH7"/>
  <c r="BI7" s="1"/>
  <c r="BF9"/>
  <c r="BG9" s="1"/>
  <c r="BF7"/>
  <c r="BG7" s="1"/>
  <c r="BD11"/>
  <c r="BE11" s="1"/>
  <c r="BD9"/>
  <c r="BE9" s="1"/>
  <c r="BD7"/>
  <c r="BE7" s="1"/>
  <c r="BB9"/>
  <c r="BC9" s="1"/>
  <c r="BB7"/>
  <c r="BC7" s="1"/>
  <c r="AZ11"/>
  <c r="BA11" s="1"/>
  <c r="AZ9"/>
  <c r="BA9" s="1"/>
  <c r="AZ7"/>
  <c r="BA7" s="1"/>
  <c r="AX9"/>
  <c r="AY9" s="1"/>
  <c r="AX7"/>
  <c r="AY7" s="1"/>
  <c r="AV11"/>
  <c r="AW11" s="1"/>
  <c r="AV9"/>
  <c r="AW9" s="1"/>
  <c r="AV7"/>
  <c r="AW7" s="1"/>
  <c r="AT9"/>
  <c r="AU9" s="1"/>
  <c r="AT7"/>
  <c r="AU7" s="1"/>
  <c r="AR9"/>
  <c r="AS9" s="1"/>
  <c r="AR7"/>
  <c r="AS7" s="1"/>
  <c r="AP9"/>
  <c r="AQ9" s="1"/>
  <c r="AP7"/>
  <c r="AQ7" s="1"/>
  <c r="AN11"/>
  <c r="AO11" s="1"/>
  <c r="AN7"/>
  <c r="AO7" s="1"/>
  <c r="AN5"/>
  <c r="AO5" s="1"/>
  <c r="AL9"/>
  <c r="AM9" s="1"/>
  <c r="AL7"/>
  <c r="AM7" s="1"/>
  <c r="AL5"/>
  <c r="AM5" s="1"/>
  <c r="AJ9"/>
  <c r="AK9" s="1"/>
  <c r="AJ7"/>
  <c r="AK7" s="1"/>
  <c r="AJ5"/>
  <c r="AK5" s="1"/>
  <c r="AH9"/>
  <c r="AI9" s="1"/>
  <c r="AH7"/>
  <c r="AI7" s="1"/>
  <c r="AH5"/>
  <c r="AI5" s="1"/>
  <c r="AF11"/>
  <c r="AG11" s="1"/>
  <c r="AF9"/>
  <c r="AG9" s="1"/>
  <c r="AF7"/>
  <c r="AG7" s="1"/>
  <c r="AF5"/>
  <c r="AG5" s="1"/>
  <c r="AD9"/>
  <c r="AE9" s="1"/>
  <c r="AD7"/>
  <c r="AE7" s="1"/>
  <c r="AD5"/>
  <c r="AE5" s="1"/>
  <c r="AB9"/>
  <c r="AC9" s="1"/>
  <c r="AB7"/>
  <c r="AC7" s="1"/>
  <c r="AB5"/>
  <c r="AC5" s="1"/>
  <c r="Z9"/>
  <c r="AA9" s="1"/>
  <c r="Z7"/>
  <c r="AA7" s="1"/>
  <c r="Z5"/>
  <c r="AA5" s="1"/>
  <c r="X11"/>
  <c r="Y11" s="1"/>
  <c r="X9"/>
  <c r="Y9" s="1"/>
  <c r="X7"/>
  <c r="Y7" s="1"/>
  <c r="X5"/>
  <c r="Y5" s="1"/>
  <c r="V7"/>
  <c r="W7" s="1"/>
  <c r="V5"/>
  <c r="W5" s="1"/>
  <c r="T9"/>
  <c r="U9" s="1"/>
  <c r="T7"/>
  <c r="U7" s="1"/>
  <c r="T5"/>
  <c r="U5" s="1"/>
  <c r="R11"/>
  <c r="S11" s="1"/>
  <c r="R9"/>
  <c r="S9" s="1"/>
  <c r="R7"/>
  <c r="S7" s="1"/>
  <c r="R5"/>
  <c r="S5" s="1"/>
  <c r="P11"/>
  <c r="Q11" s="1"/>
  <c r="P9"/>
  <c r="Q9" s="1"/>
  <c r="P7"/>
  <c r="Q7" s="1"/>
  <c r="P5"/>
  <c r="Q5" s="1"/>
  <c r="N11"/>
  <c r="O11" s="1"/>
  <c r="N9"/>
  <c r="O9" s="1"/>
  <c r="N7"/>
  <c r="O7" s="1"/>
  <c r="N5"/>
  <c r="O5" s="1"/>
  <c r="L9"/>
  <c r="M9" s="1"/>
  <c r="L7"/>
  <c r="M7" s="1"/>
  <c r="L5"/>
  <c r="M5" s="1"/>
  <c r="J9"/>
  <c r="K9" s="1"/>
  <c r="J7"/>
  <c r="K7" s="1"/>
  <c r="J5"/>
  <c r="K5" s="1"/>
  <c r="H11"/>
  <c r="I11" s="1"/>
  <c r="H9"/>
  <c r="I9" s="1"/>
  <c r="H7"/>
  <c r="I7" s="1"/>
  <c r="H5"/>
  <c r="I5" s="1"/>
  <c r="F11"/>
  <c r="G11" s="1"/>
  <c r="F9"/>
  <c r="G9" s="1"/>
  <c r="F7"/>
  <c r="G7" s="1"/>
  <c r="F5"/>
  <c r="G5" s="1"/>
  <c r="D9"/>
  <c r="E9" s="1"/>
  <c r="D7"/>
  <c r="E7" s="1"/>
  <c r="D5"/>
  <c r="E5" s="1"/>
  <c r="CB12"/>
  <c r="CC12" s="1"/>
  <c r="CB8"/>
  <c r="CC8" s="1"/>
  <c r="CB4"/>
  <c r="CC4" s="1"/>
  <c r="BZ12"/>
  <c r="CA12" s="1"/>
  <c r="BX8"/>
  <c r="BY8" s="1"/>
  <c r="BX6"/>
  <c r="BY6" s="1"/>
  <c r="BV10"/>
  <c r="BW10" s="1"/>
  <c r="BT12"/>
  <c r="BU12" s="1"/>
  <c r="BT10"/>
  <c r="BU10" s="1"/>
  <c r="BT6"/>
  <c r="BU6" s="1"/>
  <c r="BR12"/>
  <c r="BS12" s="1"/>
  <c r="BR8"/>
  <c r="BS8" s="1"/>
  <c r="BR6"/>
  <c r="BS6" s="1"/>
  <c r="BN10"/>
  <c r="BO10" s="1"/>
  <c r="BL12"/>
  <c r="BM12" s="1"/>
  <c r="BL10"/>
  <c r="BM10" s="1"/>
  <c r="BL4"/>
  <c r="BM4" s="1"/>
  <c r="BJ10"/>
  <c r="BK10" s="1"/>
  <c r="BJ6"/>
  <c r="BK6" s="1"/>
  <c r="BJ4"/>
  <c r="BK4" s="1"/>
  <c r="BH4"/>
  <c r="BI4" s="1"/>
  <c r="BF10"/>
  <c r="BG10" s="1"/>
  <c r="BF8"/>
  <c r="BG8" s="1"/>
  <c r="BD12"/>
  <c r="BE12" s="1"/>
  <c r="BD8"/>
  <c r="BE8" s="1"/>
  <c r="BB12"/>
  <c r="BC12" s="1"/>
  <c r="BB6"/>
  <c r="BC6" s="1"/>
  <c r="AZ12"/>
  <c r="BA12" s="1"/>
  <c r="AZ10"/>
  <c r="BA10" s="1"/>
  <c r="AZ8"/>
  <c r="BA8" s="1"/>
  <c r="AX10"/>
  <c r="AY10" s="1"/>
  <c r="AX6"/>
  <c r="AY6" s="1"/>
  <c r="AV8"/>
  <c r="AW8" s="1"/>
  <c r="AV4"/>
  <c r="AW4" s="1"/>
  <c r="AT10"/>
  <c r="AU10" s="1"/>
  <c r="AT8"/>
  <c r="AU8" s="1"/>
  <c r="AR12"/>
  <c r="AS12" s="1"/>
  <c r="AR8"/>
  <c r="AS8" s="1"/>
  <c r="AP12"/>
  <c r="AQ12" s="1"/>
  <c r="AP6"/>
  <c r="AQ6" s="1"/>
  <c r="AN12"/>
  <c r="AO12" s="1"/>
  <c r="AN8"/>
  <c r="AO8" s="1"/>
  <c r="AN6"/>
  <c r="AO6" s="1"/>
  <c r="AL10"/>
  <c r="AM10" s="1"/>
  <c r="AL6"/>
  <c r="AM6" s="1"/>
  <c r="AJ12"/>
  <c r="AK12" s="1"/>
  <c r="AJ10"/>
  <c r="AK10" s="1"/>
  <c r="AJ4"/>
  <c r="AK4" s="1"/>
  <c r="AH10"/>
  <c r="AI10" s="1"/>
  <c r="AH4"/>
  <c r="AI4" s="1"/>
  <c r="AF10"/>
  <c r="AG10" s="1"/>
  <c r="AF6"/>
  <c r="AG6" s="1"/>
  <c r="AD12"/>
  <c r="AE12" s="1"/>
  <c r="AD10"/>
  <c r="AE10" s="1"/>
  <c r="AB10"/>
  <c r="AC10" s="1"/>
  <c r="AB8"/>
  <c r="AC8" s="1"/>
  <c r="AB6"/>
  <c r="AC6" s="1"/>
  <c r="Z8"/>
  <c r="AA8" s="1"/>
  <c r="Z4"/>
  <c r="AA4" s="1"/>
  <c r="X12"/>
  <c r="Y12" s="1"/>
  <c r="X10"/>
  <c r="Y10" s="1"/>
  <c r="V12"/>
  <c r="W12" s="1"/>
  <c r="V6"/>
  <c r="W6" s="1"/>
  <c r="T10"/>
  <c r="U10" s="1"/>
  <c r="T6"/>
  <c r="U6" s="1"/>
  <c r="R12"/>
  <c r="S12" s="1"/>
  <c r="R10"/>
  <c r="S10" s="1"/>
  <c r="R6"/>
  <c r="S6" s="1"/>
  <c r="P12"/>
  <c r="Q12" s="1"/>
  <c r="P8"/>
  <c r="Q8" s="1"/>
  <c r="P4"/>
  <c r="Q4" s="1"/>
  <c r="N10"/>
  <c r="O10" s="1"/>
  <c r="N8"/>
  <c r="O8" s="1"/>
  <c r="N6"/>
  <c r="O6" s="1"/>
  <c r="N4"/>
  <c r="O4" s="1"/>
  <c r="L10"/>
  <c r="M10" s="1"/>
  <c r="L8"/>
  <c r="M8" s="1"/>
  <c r="L6"/>
  <c r="M6" s="1"/>
  <c r="J12"/>
  <c r="K12" s="1"/>
  <c r="J10"/>
  <c r="K10" s="1"/>
  <c r="J8"/>
  <c r="K8" s="1"/>
  <c r="J6"/>
  <c r="K6" s="1"/>
  <c r="J4"/>
  <c r="K4" s="1"/>
  <c r="H12"/>
  <c r="I12" s="1"/>
  <c r="H10"/>
  <c r="I10" s="1"/>
  <c r="H8"/>
  <c r="I8" s="1"/>
  <c r="H6"/>
  <c r="I6" s="1"/>
  <c r="F12"/>
  <c r="G12" s="1"/>
  <c r="F10"/>
  <c r="G10" s="1"/>
  <c r="F8"/>
  <c r="G8" s="1"/>
  <c r="F6"/>
  <c r="G6" s="1"/>
  <c r="F4"/>
  <c r="G4" s="1"/>
  <c r="D12"/>
  <c r="E12" s="1"/>
  <c r="D10"/>
  <c r="E10" s="1"/>
  <c r="D8"/>
  <c r="E8" s="1"/>
  <c r="D6"/>
  <c r="E6" s="1"/>
  <c r="D4"/>
  <c r="E4" s="1"/>
  <c r="T46" i="34"/>
  <c r="R44"/>
  <c r="R38"/>
  <c r="N38"/>
  <c r="P35"/>
  <c r="R34"/>
  <c r="P33"/>
  <c r="P32"/>
  <c r="T30"/>
  <c r="T28"/>
  <c r="N27"/>
  <c r="R26"/>
  <c r="R25"/>
  <c r="T20"/>
  <c r="R17"/>
  <c r="R45"/>
  <c r="Q45"/>
  <c r="Q41"/>
  <c r="Q37"/>
  <c r="U22"/>
  <c r="U15"/>
  <c r="F44" i="33"/>
  <c r="F43"/>
  <c r="F42"/>
  <c r="F41"/>
  <c r="AO5"/>
  <c r="AR5" s="1"/>
  <c r="AS5" s="1"/>
  <c r="U5"/>
  <c r="X5" s="1"/>
  <c r="Y5" s="1"/>
  <c r="AY5"/>
  <c r="BB5" s="1"/>
  <c r="BC5" s="1"/>
  <c r="AE5"/>
  <c r="AH5" s="1"/>
  <c r="AI5" s="1"/>
  <c r="K5"/>
  <c r="N5" s="1"/>
  <c r="O5" s="1"/>
  <c r="F5"/>
  <c r="AT5"/>
  <c r="AW5" s="1"/>
  <c r="AX5" s="1"/>
  <c r="AJ5"/>
  <c r="AM5" s="1"/>
  <c r="AN5" s="1"/>
  <c r="Z5"/>
  <c r="AC5" s="1"/>
  <c r="AD5" s="1"/>
  <c r="P5"/>
  <c r="S5" s="1"/>
  <c r="T5" s="1"/>
  <c r="F40"/>
  <c r="F39"/>
  <c r="F38"/>
  <c r="F37"/>
  <c r="F36"/>
  <c r="F35"/>
  <c r="F34"/>
  <c r="F33"/>
  <c r="F32"/>
  <c r="F31"/>
  <c r="F30"/>
  <c r="F29"/>
  <c r="F28"/>
  <c r="F27"/>
  <c r="F26"/>
  <c r="F25"/>
  <c r="F24"/>
  <c r="F23"/>
  <c r="F22"/>
  <c r="F21"/>
  <c r="F20"/>
  <c r="F19"/>
  <c r="F18"/>
  <c r="F17"/>
  <c r="F16"/>
  <c r="F15"/>
  <c r="F14"/>
  <c r="F13"/>
  <c r="F12"/>
  <c r="F11"/>
  <c r="F10"/>
  <c r="F9"/>
  <c r="F8"/>
  <c r="F7"/>
  <c r="F6"/>
  <c r="B3" i="44" l="1"/>
  <c r="C3" s="1"/>
  <c r="CJ5" i="6"/>
  <c r="CU5" s="1"/>
  <c r="C8" i="34"/>
  <c r="CH5" i="6"/>
  <c r="CM5" s="1"/>
  <c r="CP5" s="1"/>
  <c r="CI5"/>
  <c r="CT5" s="1"/>
  <c r="CR23"/>
  <c r="E32" i="31" s="1"/>
  <c r="N21" i="34"/>
  <c r="CS36" i="6"/>
  <c r="CV36" s="1"/>
  <c r="F45" i="31" s="1"/>
  <c r="D40"/>
  <c r="CS31" i="6"/>
  <c r="CV31" s="1"/>
  <c r="F40" i="31" s="1"/>
  <c r="CR36" i="6"/>
  <c r="E45" i="31" s="1"/>
  <c r="CS23" i="6"/>
  <c r="CV23" s="1"/>
  <c r="F32" i="31" s="1"/>
  <c r="CS29" i="6"/>
  <c r="CV29" s="1"/>
  <c r="F38" i="31" s="1"/>
  <c r="CR29" i="6"/>
  <c r="E38" i="31" s="1"/>
  <c r="CS25" i="6"/>
  <c r="CV25" s="1"/>
  <c r="F34" i="31" s="1"/>
  <c r="CR25" i="6"/>
  <c r="E34" i="31" s="1"/>
  <c r="D34"/>
  <c r="CR33" i="6"/>
  <c r="E42" i="31" s="1"/>
  <c r="CS33" i="6"/>
  <c r="CV33" s="1"/>
  <c r="F42" i="31" s="1"/>
  <c r="D42"/>
  <c r="CS14" i="6"/>
  <c r="CV14" s="1"/>
  <c r="F23" i="31" s="1"/>
  <c r="CR14" i="6"/>
  <c r="E23" i="31" s="1"/>
  <c r="CS22" i="6"/>
  <c r="CV22" s="1"/>
  <c r="F31" i="31" s="1"/>
  <c r="CR22" i="6"/>
  <c r="E31" i="31" s="1"/>
  <c r="D16"/>
  <c r="CR7" i="6"/>
  <c r="E16" i="31" s="1"/>
  <c r="D24"/>
  <c r="CR15" i="6"/>
  <c r="E24" i="31" s="1"/>
  <c r="CS7" i="6"/>
  <c r="CV7" s="1"/>
  <c r="F16" i="31" s="1"/>
  <c r="CS17" i="6"/>
  <c r="CV17" s="1"/>
  <c r="F26" i="31" s="1"/>
  <c r="CR17" i="6"/>
  <c r="E26" i="31" s="1"/>
  <c r="D26"/>
  <c r="D23"/>
  <c r="D21"/>
  <c r="CR12" i="6"/>
  <c r="E21" i="31" s="1"/>
  <c r="CS12" i="6"/>
  <c r="CV12" s="1"/>
  <c r="F21" i="31" s="1"/>
  <c r="CS8" i="6"/>
  <c r="CV8" s="1"/>
  <c r="F17" i="31" s="1"/>
  <c r="D17"/>
  <c r="CR8" i="6"/>
  <c r="E17" i="31" s="1"/>
  <c r="D44"/>
  <c r="CR35" i="6"/>
  <c r="E44" i="31" s="1"/>
  <c r="CS35" i="6"/>
  <c r="CV35" s="1"/>
  <c r="F44" i="31" s="1"/>
  <c r="CR20" i="6"/>
  <c r="E29" i="31" s="1"/>
  <c r="CS20" i="6"/>
  <c r="CV20" s="1"/>
  <c r="F29" i="31" s="1"/>
  <c r="D29"/>
  <c r="D22"/>
  <c r="CR13" i="6"/>
  <c r="E22" i="31" s="1"/>
  <c r="CS13" i="6"/>
  <c r="CV13" s="1"/>
  <c r="F22" i="31" s="1"/>
  <c r="D27"/>
  <c r="CS18" i="6"/>
  <c r="CV18" s="1"/>
  <c r="F27" i="31" s="1"/>
  <c r="CR18" i="6"/>
  <c r="E27" i="31" s="1"/>
  <c r="CS11" i="6"/>
  <c r="CV11" s="1"/>
  <c r="F20" i="31" s="1"/>
  <c r="D20"/>
  <c r="CR11" i="6"/>
  <c r="E20" i="31" s="1"/>
  <c r="D25"/>
  <c r="CR16" i="6"/>
  <c r="E25" i="31" s="1"/>
  <c r="CS16" i="6"/>
  <c r="CV16" s="1"/>
  <c r="F25" i="31" s="1"/>
  <c r="CR9" i="6"/>
  <c r="E18" i="31" s="1"/>
  <c r="CS9" i="6"/>
  <c r="CV9" s="1"/>
  <c r="F18" i="31" s="1"/>
  <c r="D18"/>
  <c r="D37"/>
  <c r="CR28" i="6"/>
  <c r="E37" i="31" s="1"/>
  <c r="CS28" i="6"/>
  <c r="CV28" s="1"/>
  <c r="F37" i="31" s="1"/>
  <c r="D30"/>
  <c r="CR21" i="6"/>
  <c r="E30" i="31" s="1"/>
  <c r="CS21" i="6"/>
  <c r="CV21" s="1"/>
  <c r="F30" i="31" s="1"/>
  <c r="D35"/>
  <c r="CS26" i="6"/>
  <c r="CV26" s="1"/>
  <c r="F35" i="31" s="1"/>
  <c r="CR26" i="6"/>
  <c r="E35" i="31" s="1"/>
  <c r="CS19" i="6"/>
  <c r="CV19" s="1"/>
  <c r="F28" i="31" s="1"/>
  <c r="D28"/>
  <c r="CR19" i="6"/>
  <c r="E28" i="31" s="1"/>
  <c r="CS24" i="6"/>
  <c r="CV24" s="1"/>
  <c r="F33" i="31" s="1"/>
  <c r="D33"/>
  <c r="CR24" i="6"/>
  <c r="E33" i="31" s="1"/>
  <c r="CS41" i="6"/>
  <c r="D50" i="31"/>
  <c r="CR41" i="6"/>
  <c r="E50" i="31" s="1"/>
  <c r="CS30" i="6"/>
  <c r="CV30" s="1"/>
  <c r="F39" i="31" s="1"/>
  <c r="D39"/>
  <c r="CR30" i="6"/>
  <c r="E39" i="31" s="1"/>
  <c r="CS38" i="6"/>
  <c r="CV38" s="1"/>
  <c r="F47" i="31" s="1"/>
  <c r="D47"/>
  <c r="CR38" i="6"/>
  <c r="E47" i="31" s="1"/>
  <c r="CR37" i="6"/>
  <c r="E46" i="31" s="1"/>
  <c r="CS37" i="6"/>
  <c r="CV37" s="1"/>
  <c r="F46" i="31" s="1"/>
  <c r="D46"/>
  <c r="CS27" i="6"/>
  <c r="CV27" s="1"/>
  <c r="F36" i="31" s="1"/>
  <c r="D36"/>
  <c r="CR27" i="6"/>
  <c r="E36" i="31" s="1"/>
  <c r="CR32" i="6"/>
  <c r="E41" i="31" s="1"/>
  <c r="CS32" i="6"/>
  <c r="CV32" s="1"/>
  <c r="F41" i="31" s="1"/>
  <c r="D41"/>
  <c r="D43"/>
  <c r="CS34" i="6"/>
  <c r="CV34" s="1"/>
  <c r="F43" i="31" s="1"/>
  <c r="CR34" i="6"/>
  <c r="E43" i="31" s="1"/>
  <c r="D51"/>
  <c r="CS42" i="6"/>
  <c r="CR42"/>
  <c r="E51" i="31" s="1"/>
  <c r="D52"/>
  <c r="CR43" i="6"/>
  <c r="E52" i="31" s="1"/>
  <c r="CS43" i="6"/>
  <c r="CS44"/>
  <c r="D53" i="31"/>
  <c r="CR44" i="6"/>
  <c r="E53" i="31" s="1"/>
  <c r="D19"/>
  <c r="CS10" i="6"/>
  <c r="CV10" s="1"/>
  <c r="F19" i="31" s="1"/>
  <c r="CR10" i="6"/>
  <c r="E19" i="31" s="1"/>
  <c r="D48"/>
  <c r="CR39" i="6"/>
  <c r="E48" i="31" s="1"/>
  <c r="CS39" i="6"/>
  <c r="CV39" s="1"/>
  <c r="F48" i="31" s="1"/>
  <c r="D49"/>
  <c r="CR40" i="6"/>
  <c r="E49" i="31" s="1"/>
  <c r="CS40" i="6"/>
  <c r="Q38" i="34"/>
  <c r="T47"/>
  <c r="Q31"/>
  <c r="Q39"/>
  <c r="Q43"/>
  <c r="Q47"/>
  <c r="V14"/>
  <c r="R19"/>
  <c r="V24"/>
  <c r="N28"/>
  <c r="V32"/>
  <c r="N36"/>
  <c r="T39"/>
  <c r="Q24"/>
  <c r="Q42"/>
  <c r="Q46"/>
  <c r="N18"/>
  <c r="N23"/>
  <c r="N46"/>
  <c r="Q20"/>
  <c r="Q35"/>
  <c r="Q40"/>
  <c r="Q44"/>
  <c r="T42"/>
  <c r="R16"/>
  <c r="R36"/>
  <c r="V40"/>
  <c r="N47"/>
  <c r="CB24" i="44"/>
  <c r="CB22"/>
  <c r="CB20"/>
  <c r="CB18"/>
  <c r="CB16"/>
  <c r="CD15"/>
  <c r="CB23"/>
  <c r="CB19"/>
  <c r="CB25"/>
  <c r="CB21"/>
  <c r="CB17"/>
  <c r="T36" i="34"/>
  <c r="R40"/>
  <c r="T29"/>
  <c r="T37"/>
  <c r="T41"/>
  <c r="Q14"/>
  <c r="Q18"/>
  <c r="Q29"/>
  <c r="Q33"/>
  <c r="P18"/>
  <c r="P22"/>
  <c r="P31"/>
  <c r="P39"/>
  <c r="O27"/>
  <c r="P14"/>
  <c r="R15"/>
  <c r="V16"/>
  <c r="T17"/>
  <c r="N26"/>
  <c r="V11"/>
  <c r="R18"/>
  <c r="V8" i="45"/>
  <c r="W8" s="1"/>
  <c r="N32" i="34"/>
  <c r="AX4" i="45"/>
  <c r="AY4" s="1"/>
  <c r="N35" i="34"/>
  <c r="BD4" i="45"/>
  <c r="BE4" s="1"/>
  <c r="R37" i="34"/>
  <c r="BH8" i="45"/>
  <c r="BI8" s="1"/>
  <c r="BP8"/>
  <c r="BQ8" s="1"/>
  <c r="P44" i="34"/>
  <c r="BV6" i="45"/>
  <c r="BW6" s="1"/>
  <c r="BX12"/>
  <c r="BY12" s="1"/>
  <c r="V9"/>
  <c r="W9" s="1"/>
  <c r="S27" i="34"/>
  <c r="AN9" i="45"/>
  <c r="AO9" s="1"/>
  <c r="O28" i="34"/>
  <c r="AP5" i="45"/>
  <c r="AQ5" s="1"/>
  <c r="O29" i="34"/>
  <c r="AR5" i="45"/>
  <c r="AS5" s="1"/>
  <c r="O30" i="34"/>
  <c r="AT5" i="45"/>
  <c r="AU5" s="1"/>
  <c r="O31" i="34"/>
  <c r="AV5" i="45"/>
  <c r="AW5" s="1"/>
  <c r="O32" i="34"/>
  <c r="AX5" i="45"/>
  <c r="AY5" s="1"/>
  <c r="O33" i="34"/>
  <c r="AZ5" i="45"/>
  <c r="BA5" s="1"/>
  <c r="O34" i="34"/>
  <c r="BB5" i="45"/>
  <c r="BC5" s="1"/>
  <c r="O35" i="34"/>
  <c r="BD5" i="45"/>
  <c r="BE5" s="1"/>
  <c r="O36" i="34"/>
  <c r="BF5" i="45"/>
  <c r="BG5" s="1"/>
  <c r="O37" i="34"/>
  <c r="BH5" i="45"/>
  <c r="BI5" s="1"/>
  <c r="O38" i="34"/>
  <c r="BJ5" i="45"/>
  <c r="BK5" s="1"/>
  <c r="O39" i="34"/>
  <c r="BL5" i="45"/>
  <c r="BM5" s="1"/>
  <c r="O40" i="34"/>
  <c r="BN5" i="45"/>
  <c r="BO5" s="1"/>
  <c r="O41" i="34"/>
  <c r="BP5" i="45"/>
  <c r="BQ5" s="1"/>
  <c r="O42" i="34"/>
  <c r="BR5" i="45"/>
  <c r="BS5" s="1"/>
  <c r="O43" i="34"/>
  <c r="BT5" i="45"/>
  <c r="BU5" s="1"/>
  <c r="O44" i="34"/>
  <c r="BV5" i="45"/>
  <c r="BW5" s="1"/>
  <c r="O45" i="34"/>
  <c r="BX5" i="45"/>
  <c r="BY5" s="1"/>
  <c r="O46" i="34"/>
  <c r="BZ5" i="45"/>
  <c r="CA5" s="1"/>
  <c r="O47" i="34"/>
  <c r="CB5" i="45"/>
  <c r="CC5" s="1"/>
  <c r="N16" i="34"/>
  <c r="R4" i="45"/>
  <c r="S4" s="1"/>
  <c r="AP8"/>
  <c r="AQ8" s="1"/>
  <c r="P29" i="34"/>
  <c r="AR6" i="45"/>
  <c r="AS6" s="1"/>
  <c r="R32" i="34"/>
  <c r="AX8" i="45"/>
  <c r="AY8" s="1"/>
  <c r="N34" i="34"/>
  <c r="BB4" i="45"/>
  <c r="BC4" s="1"/>
  <c r="N42" i="34"/>
  <c r="BR4" i="45"/>
  <c r="BS4" s="1"/>
  <c r="N44" i="34"/>
  <c r="BV4" i="45"/>
  <c r="BW4" s="1"/>
  <c r="P47" i="34"/>
  <c r="CB6" i="45"/>
  <c r="CC6" s="1"/>
  <c r="N11" i="34"/>
  <c r="H4" i="45"/>
  <c r="I4" s="1"/>
  <c r="N13" i="34"/>
  <c r="L4" i="45"/>
  <c r="M4" s="1"/>
  <c r="N22" i="34"/>
  <c r="AD4" i="45"/>
  <c r="AE4" s="1"/>
  <c r="P24" i="34"/>
  <c r="AH6" i="45"/>
  <c r="AI6" s="1"/>
  <c r="N29" i="34"/>
  <c r="AR4" i="45"/>
  <c r="AS4" s="1"/>
  <c r="P40" i="34"/>
  <c r="BN6" i="45"/>
  <c r="BO6" s="1"/>
  <c r="P41" i="34"/>
  <c r="BP6" i="45"/>
  <c r="BQ6" s="1"/>
  <c r="BP12"/>
  <c r="BQ12" s="1"/>
  <c r="P46" i="34"/>
  <c r="BZ6" i="45"/>
  <c r="CA6" s="1"/>
  <c r="D11"/>
  <c r="E11" s="1"/>
  <c r="J11"/>
  <c r="K11" s="1"/>
  <c r="L11"/>
  <c r="M11" s="1"/>
  <c r="T11"/>
  <c r="U11" s="1"/>
  <c r="V11"/>
  <c r="W11" s="1"/>
  <c r="Z11"/>
  <c r="AA11" s="1"/>
  <c r="AB11"/>
  <c r="AC11" s="1"/>
  <c r="AD11"/>
  <c r="AE11" s="1"/>
  <c r="AH11"/>
  <c r="AI11" s="1"/>
  <c r="AJ11"/>
  <c r="AK11" s="1"/>
  <c r="AL11"/>
  <c r="AM11" s="1"/>
  <c r="AP11"/>
  <c r="AQ11" s="1"/>
  <c r="AR11"/>
  <c r="AS11" s="1"/>
  <c r="AT11"/>
  <c r="AU11" s="1"/>
  <c r="AX11"/>
  <c r="AY11" s="1"/>
  <c r="BB11"/>
  <c r="BC11" s="1"/>
  <c r="BF11"/>
  <c r="BG11" s="1"/>
  <c r="BJ11"/>
  <c r="BK11" s="1"/>
  <c r="BN11"/>
  <c r="BO11" s="1"/>
  <c r="BR11"/>
  <c r="BS11" s="1"/>
  <c r="BV11"/>
  <c r="BW11" s="1"/>
  <c r="BZ11"/>
  <c r="CA11" s="1"/>
  <c r="X4"/>
  <c r="Y4" s="1"/>
  <c r="AT6"/>
  <c r="AU6" s="1"/>
  <c r="BF12"/>
  <c r="BG12" s="1"/>
  <c r="N3"/>
  <c r="O3" s="1"/>
  <c r="BD11" i="8"/>
  <c r="R3" i="45"/>
  <c r="S3" s="1"/>
  <c r="BD13" i="8"/>
  <c r="V3" i="45"/>
  <c r="W3" s="1"/>
  <c r="BD15" i="8"/>
  <c r="Z3" i="45"/>
  <c r="AA3" s="1"/>
  <c r="BD17" i="8"/>
  <c r="AD3" i="45"/>
  <c r="AE3" s="1"/>
  <c r="BD19" i="8"/>
  <c r="AH3" i="45"/>
  <c r="AI3" s="1"/>
  <c r="BD21" i="8"/>
  <c r="AL3" i="45"/>
  <c r="AM3" s="1"/>
  <c r="BD23" i="8"/>
  <c r="AP3" i="45"/>
  <c r="AQ3" s="1"/>
  <c r="BD25" i="8"/>
  <c r="AT3" i="45"/>
  <c r="AU3" s="1"/>
  <c r="BD27" i="8"/>
  <c r="AX3" i="45"/>
  <c r="AY3" s="1"/>
  <c r="BD29" i="8"/>
  <c r="BB3" i="45"/>
  <c r="BC3" s="1"/>
  <c r="BD31" i="8"/>
  <c r="BF3" i="45"/>
  <c r="BG3" s="1"/>
  <c r="BD33" i="8"/>
  <c r="BJ3" i="45"/>
  <c r="BK3" s="1"/>
  <c r="BD35" i="8"/>
  <c r="BN3" i="45"/>
  <c r="BO3" s="1"/>
  <c r="BD37" i="8"/>
  <c r="BP3" i="45"/>
  <c r="BQ3" s="1"/>
  <c r="BD38" i="8"/>
  <c r="BR3" i="45"/>
  <c r="BS3" s="1"/>
  <c r="BD39" i="8"/>
  <c r="BV3" i="45"/>
  <c r="BW3" s="1"/>
  <c r="BD41" i="8"/>
  <c r="BJ41" s="1"/>
  <c r="BX3" i="45"/>
  <c r="BY3" s="1"/>
  <c r="BD42" i="8"/>
  <c r="BJ42" s="1"/>
  <c r="BZ3" i="45"/>
  <c r="CA3" s="1"/>
  <c r="BD43" i="8"/>
  <c r="BJ43" s="1"/>
  <c r="BD9"/>
  <c r="J3" i="45"/>
  <c r="K3" s="1"/>
  <c r="L3"/>
  <c r="M3" s="1"/>
  <c r="BD10" i="8"/>
  <c r="P3" i="45"/>
  <c r="Q3" s="1"/>
  <c r="BD12" i="8"/>
  <c r="T3" i="45"/>
  <c r="U3" s="1"/>
  <c r="BD14" i="8"/>
  <c r="X3" i="45"/>
  <c r="Y3" s="1"/>
  <c r="BD16" i="8"/>
  <c r="AB3" i="45"/>
  <c r="AC3" s="1"/>
  <c r="BD18" i="8"/>
  <c r="AF3" i="45"/>
  <c r="AG3" s="1"/>
  <c r="BD20" i="8"/>
  <c r="AJ3" i="45"/>
  <c r="AK3" s="1"/>
  <c r="BD22" i="8"/>
  <c r="AN3" i="45"/>
  <c r="AO3" s="1"/>
  <c r="BD24" i="8"/>
  <c r="AR3" i="45"/>
  <c r="AS3" s="1"/>
  <c r="BD26" i="8"/>
  <c r="AV3" i="45"/>
  <c r="AW3" s="1"/>
  <c r="BD28" i="8"/>
  <c r="AZ3" i="45"/>
  <c r="BA3" s="1"/>
  <c r="BD30" i="8"/>
  <c r="BD3" i="45"/>
  <c r="BE3" s="1"/>
  <c r="BD32" i="8"/>
  <c r="BH3" i="45"/>
  <c r="BI3" s="1"/>
  <c r="BD34" i="8"/>
  <c r="BL3" i="45"/>
  <c r="BM3" s="1"/>
  <c r="BD36" i="8"/>
  <c r="BT3" i="45"/>
  <c r="BU3" s="1"/>
  <c r="BD40" i="8"/>
  <c r="BJ40" s="1"/>
  <c r="CB3" i="45"/>
  <c r="CC3" s="1"/>
  <c r="BD44" i="8"/>
  <c r="BJ44" s="1"/>
  <c r="BD8"/>
  <c r="H3" i="45"/>
  <c r="I3" s="1"/>
  <c r="F3"/>
  <c r="G3" s="1"/>
  <c r="BD7" i="8"/>
  <c r="D3" i="45"/>
  <c r="E3" s="1"/>
  <c r="BD6" i="8"/>
  <c r="B3" i="45"/>
  <c r="C3" s="1"/>
  <c r="V9" i="34"/>
  <c r="T21"/>
  <c r="V38"/>
  <c r="T45"/>
  <c r="Q12"/>
  <c r="U14"/>
  <c r="Q16"/>
  <c r="U19"/>
  <c r="Q22"/>
  <c r="U23"/>
  <c r="Q26"/>
  <c r="Q27"/>
  <c r="Q28"/>
  <c r="Q30"/>
  <c r="Q32"/>
  <c r="Q34"/>
  <c r="Q36"/>
  <c r="V43"/>
  <c r="T44"/>
  <c r="R20"/>
  <c r="V22"/>
  <c r="S18"/>
  <c r="S26"/>
  <c r="P19"/>
  <c r="R22"/>
  <c r="R24"/>
  <c r="T27"/>
  <c r="R28"/>
  <c r="V30"/>
  <c r="T33"/>
  <c r="T35"/>
  <c r="P37"/>
  <c r="V45"/>
  <c r="T9"/>
  <c r="P10"/>
  <c r="R11"/>
  <c r="T12"/>
  <c r="R13"/>
  <c r="V15"/>
  <c r="P17"/>
  <c r="P27"/>
  <c r="R30"/>
  <c r="P38"/>
  <c r="N10"/>
  <c r="BZ25" i="45"/>
  <c r="BZ23"/>
  <c r="BZ21"/>
  <c r="BZ19"/>
  <c r="BZ17"/>
  <c r="BZ24"/>
  <c r="BZ22"/>
  <c r="BZ20"/>
  <c r="BZ18"/>
  <c r="BZ16"/>
  <c r="CB15"/>
  <c r="C9" i="44"/>
  <c r="V18" i="34"/>
  <c r="T23"/>
  <c r="P34"/>
  <c r="V42"/>
  <c r="R47"/>
  <c r="S19"/>
  <c r="S28"/>
  <c r="S29"/>
  <c r="S30"/>
  <c r="S31"/>
  <c r="S32"/>
  <c r="S33"/>
  <c r="S34"/>
  <c r="S35"/>
  <c r="S36"/>
  <c r="S37"/>
  <c r="S38"/>
  <c r="S39"/>
  <c r="S40"/>
  <c r="S41"/>
  <c r="S42"/>
  <c r="S43"/>
  <c r="S44"/>
  <c r="S45"/>
  <c r="S46"/>
  <c r="S47"/>
  <c r="P15"/>
  <c r="P20"/>
  <c r="R23"/>
  <c r="P25"/>
  <c r="V26"/>
  <c r="N30"/>
  <c r="T31"/>
  <c r="N33"/>
  <c r="T34"/>
  <c r="P36"/>
  <c r="V37"/>
  <c r="R39"/>
  <c r="N41"/>
  <c r="N43"/>
  <c r="V44"/>
  <c r="R46"/>
  <c r="V29"/>
  <c r="N31"/>
  <c r="S10"/>
  <c r="N9"/>
  <c r="R10"/>
  <c r="U12"/>
  <c r="U18"/>
  <c r="U20"/>
  <c r="U26"/>
  <c r="U27"/>
  <c r="U28"/>
  <c r="U29"/>
  <c r="U30"/>
  <c r="U31"/>
  <c r="U32"/>
  <c r="U33"/>
  <c r="U34"/>
  <c r="U35"/>
  <c r="U36"/>
  <c r="U37"/>
  <c r="U38"/>
  <c r="U39"/>
  <c r="U40"/>
  <c r="U41"/>
  <c r="U42"/>
  <c r="U43"/>
  <c r="U44"/>
  <c r="U45"/>
  <c r="U46"/>
  <c r="U47"/>
  <c r="R43"/>
  <c r="N45"/>
  <c r="P9"/>
  <c r="T19"/>
  <c r="V31"/>
  <c r="V34"/>
  <c r="V36"/>
  <c r="T38"/>
  <c r="U16"/>
  <c r="U24"/>
  <c r="P12"/>
  <c r="T15"/>
  <c r="N19"/>
  <c r="V23"/>
  <c r="P30"/>
  <c r="N40"/>
  <c r="V47"/>
  <c r="S11"/>
  <c r="S14"/>
  <c r="S15"/>
  <c r="S22"/>
  <c r="S23"/>
  <c r="P42"/>
  <c r="V46"/>
  <c r="P13"/>
  <c r="V13"/>
  <c r="N17"/>
  <c r="V17"/>
  <c r="T18"/>
  <c r="N20"/>
  <c r="V20"/>
  <c r="P21"/>
  <c r="V21"/>
  <c r="P23"/>
  <c r="N24"/>
  <c r="T25"/>
  <c r="R27"/>
  <c r="V27"/>
  <c r="V28"/>
  <c r="R33"/>
  <c r="R41"/>
  <c r="T43"/>
  <c r="P45"/>
  <c r="Q10"/>
  <c r="U10"/>
  <c r="U11"/>
  <c r="V41"/>
  <c r="R9"/>
  <c r="V10"/>
  <c r="P11"/>
  <c r="T11"/>
  <c r="N12"/>
  <c r="R12"/>
  <c r="V12"/>
  <c r="T13"/>
  <c r="N14"/>
  <c r="R14"/>
  <c r="N15"/>
  <c r="P16"/>
  <c r="T16"/>
  <c r="V19"/>
  <c r="R21"/>
  <c r="T22"/>
  <c r="T24"/>
  <c r="N25"/>
  <c r="V25"/>
  <c r="P26"/>
  <c r="T26"/>
  <c r="P28"/>
  <c r="R29"/>
  <c r="R31"/>
  <c r="T32"/>
  <c r="V33"/>
  <c r="R35"/>
  <c r="V35"/>
  <c r="N37"/>
  <c r="N39"/>
  <c r="V39"/>
  <c r="T40"/>
  <c r="R42"/>
  <c r="P43"/>
  <c r="U9"/>
  <c r="U13"/>
  <c r="U17"/>
  <c r="U21"/>
  <c r="U25"/>
  <c r="T10"/>
  <c r="T14"/>
  <c r="S9"/>
  <c r="S12"/>
  <c r="S13"/>
  <c r="S16"/>
  <c r="S17"/>
  <c r="S20"/>
  <c r="S21"/>
  <c r="S24"/>
  <c r="S25"/>
  <c r="Q9"/>
  <c r="Q11"/>
  <c r="Q13"/>
  <c r="Q15"/>
  <c r="Q17"/>
  <c r="Q19"/>
  <c r="Q21"/>
  <c r="Q23"/>
  <c r="Q25"/>
  <c r="O9"/>
  <c r="O10"/>
  <c r="O11"/>
  <c r="O12"/>
  <c r="O13"/>
  <c r="O14"/>
  <c r="O15"/>
  <c r="O16"/>
  <c r="O17"/>
  <c r="O18"/>
  <c r="O19"/>
  <c r="O20"/>
  <c r="O21"/>
  <c r="O22"/>
  <c r="O23"/>
  <c r="O24"/>
  <c r="O25"/>
  <c r="O26"/>
  <c r="B8" i="45"/>
  <c r="C8" s="1"/>
  <c r="B12"/>
  <c r="C12" s="1"/>
  <c r="O8" i="34"/>
  <c r="B7" i="45"/>
  <c r="C7" s="1"/>
  <c r="B9"/>
  <c r="C9" s="1"/>
  <c r="B11"/>
  <c r="C11" s="1"/>
  <c r="B6"/>
  <c r="C6" s="1"/>
  <c r="B10"/>
  <c r="C10" s="1"/>
  <c r="M12" i="34"/>
  <c r="BE9" i="8"/>
  <c r="BF9" s="1"/>
  <c r="BH9" s="1"/>
  <c r="M41" i="34"/>
  <c r="BE38" i="8"/>
  <c r="BF38" s="1"/>
  <c r="BH38" s="1"/>
  <c r="M9" i="34"/>
  <c r="BE6" i="8"/>
  <c r="BF6" s="1"/>
  <c r="BH6" s="1"/>
  <c r="M10" i="34"/>
  <c r="BE7" i="8"/>
  <c r="BF7" s="1"/>
  <c r="BH7" s="1"/>
  <c r="M13" i="34"/>
  <c r="BE10" i="8"/>
  <c r="BF10" s="1"/>
  <c r="BH10" s="1"/>
  <c r="M14" i="34"/>
  <c r="BE11" i="8"/>
  <c r="BF11" s="1"/>
  <c r="BH11" s="1"/>
  <c r="M15" i="34"/>
  <c r="BE12" i="8"/>
  <c r="BF12" s="1"/>
  <c r="BH12" s="1"/>
  <c r="M16" i="34"/>
  <c r="BE13" i="8"/>
  <c r="BF13" s="1"/>
  <c r="BH13" s="1"/>
  <c r="M17" i="34"/>
  <c r="BE14" i="8"/>
  <c r="BF14" s="1"/>
  <c r="BH14" s="1"/>
  <c r="M18" i="34"/>
  <c r="BE15" i="8"/>
  <c r="BF15" s="1"/>
  <c r="BH15" s="1"/>
  <c r="M19" i="34"/>
  <c r="BE16" i="8"/>
  <c r="BF16" s="1"/>
  <c r="BH16" s="1"/>
  <c r="M20" i="34"/>
  <c r="BE17" i="8"/>
  <c r="BF17" s="1"/>
  <c r="BH17" s="1"/>
  <c r="M21" i="34"/>
  <c r="BE18" i="8"/>
  <c r="BF18" s="1"/>
  <c r="BH18" s="1"/>
  <c r="M22" i="34"/>
  <c r="BE19" i="8"/>
  <c r="BF19" s="1"/>
  <c r="BH19" s="1"/>
  <c r="M23" i="34"/>
  <c r="BE20" i="8"/>
  <c r="BF20" s="1"/>
  <c r="BH20" s="1"/>
  <c r="M24" i="34"/>
  <c r="BE21" i="8"/>
  <c r="BF21" s="1"/>
  <c r="BH21" s="1"/>
  <c r="M25" i="34"/>
  <c r="BE22" i="8"/>
  <c r="BF22" s="1"/>
  <c r="BH22" s="1"/>
  <c r="M26" i="34"/>
  <c r="BE23" i="8"/>
  <c r="BF23" s="1"/>
  <c r="BH23" s="1"/>
  <c r="M27" i="34"/>
  <c r="BE24" i="8"/>
  <c r="BF24" s="1"/>
  <c r="BH24" s="1"/>
  <c r="M28" i="34"/>
  <c r="BE25" i="8"/>
  <c r="BF25" s="1"/>
  <c r="BH25" s="1"/>
  <c r="M29" i="34"/>
  <c r="BE26" i="8"/>
  <c r="BF26" s="1"/>
  <c r="BH26" s="1"/>
  <c r="M30" i="34"/>
  <c r="BE27" i="8"/>
  <c r="BF27" s="1"/>
  <c r="BH27" s="1"/>
  <c r="M31" i="34"/>
  <c r="BE28" i="8"/>
  <c r="BF28" s="1"/>
  <c r="BH28" s="1"/>
  <c r="M32" i="34"/>
  <c r="BE29" i="8"/>
  <c r="BF29" s="1"/>
  <c r="BH29" s="1"/>
  <c r="M33" i="34"/>
  <c r="BE30" i="8"/>
  <c r="BF30" s="1"/>
  <c r="BH30" s="1"/>
  <c r="M34" i="34"/>
  <c r="BE31" i="8"/>
  <c r="BF31" s="1"/>
  <c r="BH31" s="1"/>
  <c r="M35" i="34"/>
  <c r="BE32" i="8"/>
  <c r="BF32" s="1"/>
  <c r="BH32" s="1"/>
  <c r="M36" i="34"/>
  <c r="BE33" i="8"/>
  <c r="BF33" s="1"/>
  <c r="BH33" s="1"/>
  <c r="M37" i="34"/>
  <c r="BE34" i="8"/>
  <c r="BF34" s="1"/>
  <c r="BH34" s="1"/>
  <c r="M38" i="34"/>
  <c r="BE35" i="8"/>
  <c r="BF35" s="1"/>
  <c r="BH35" s="1"/>
  <c r="M39" i="34"/>
  <c r="BE36" i="8"/>
  <c r="BF36" s="1"/>
  <c r="BH36" s="1"/>
  <c r="M40" i="34"/>
  <c r="BE37" i="8"/>
  <c r="BF37" s="1"/>
  <c r="BH37" s="1"/>
  <c r="M42" i="34"/>
  <c r="BE39" i="8"/>
  <c r="BF39" s="1"/>
  <c r="BH39" s="1"/>
  <c r="M43" i="34"/>
  <c r="BE40" i="8"/>
  <c r="BF40" s="1"/>
  <c r="BH40" s="1"/>
  <c r="M8" i="34"/>
  <c r="M44"/>
  <c r="BE41" i="8"/>
  <c r="BF41" s="1"/>
  <c r="BH41" s="1"/>
  <c r="M46" i="34"/>
  <c r="BE43" i="8"/>
  <c r="BF43" s="1"/>
  <c r="BH43" s="1"/>
  <c r="M47" i="34"/>
  <c r="BE44" i="8"/>
  <c r="BF44" s="1"/>
  <c r="BH44" s="1"/>
  <c r="M11" i="34"/>
  <c r="BE8" i="8"/>
  <c r="BF8" s="1"/>
  <c r="BH8" s="1"/>
  <c r="M45" i="34"/>
  <c r="BE42" i="8"/>
  <c r="BF42" s="1"/>
  <c r="BH42" s="1"/>
  <c r="N8" i="34"/>
  <c r="J12" i="42"/>
  <c r="BJ38" i="8" l="1"/>
  <c r="C8" i="44"/>
  <c r="BJ36" i="8"/>
  <c r="BJ39"/>
  <c r="BJ37"/>
  <c r="C7" i="44"/>
  <c r="CX5" i="6" s="1"/>
  <c r="C10" i="44"/>
  <c r="C12"/>
  <c r="C11"/>
  <c r="CW5" i="6"/>
  <c r="BJ35" i="8"/>
  <c r="BJ31"/>
  <c r="BJ34"/>
  <c r="BJ30"/>
  <c r="BJ32"/>
  <c r="BJ33"/>
  <c r="BJ29"/>
  <c r="CQ5" i="6"/>
  <c r="G51" i="31"/>
  <c r="G17"/>
  <c r="G53"/>
  <c r="G52"/>
  <c r="G50"/>
  <c r="CD24" i="44"/>
  <c r="CD22"/>
  <c r="CD20"/>
  <c r="CD18"/>
  <c r="CD16"/>
  <c r="CD25"/>
  <c r="CD21"/>
  <c r="CD17"/>
  <c r="CF15"/>
  <c r="CD23"/>
  <c r="CD19"/>
  <c r="G49" i="31"/>
  <c r="G48"/>
  <c r="G46"/>
  <c r="G45"/>
  <c r="G44"/>
  <c r="G43"/>
  <c r="G42"/>
  <c r="G41"/>
  <c r="G40"/>
  <c r="G39"/>
  <c r="G38"/>
  <c r="G37"/>
  <c r="G36"/>
  <c r="G35"/>
  <c r="G34"/>
  <c r="G33"/>
  <c r="G32"/>
  <c r="G31"/>
  <c r="G30"/>
  <c r="G29"/>
  <c r="G28"/>
  <c r="G27"/>
  <c r="G26"/>
  <c r="G25"/>
  <c r="G24"/>
  <c r="G23"/>
  <c r="G22"/>
  <c r="G21"/>
  <c r="G20"/>
  <c r="G19"/>
  <c r="G16"/>
  <c r="G15"/>
  <c r="G47"/>
  <c r="G18"/>
  <c r="S8" i="34"/>
  <c r="R8"/>
  <c r="P8"/>
  <c r="B5" i="45"/>
  <c r="C5" s="1"/>
  <c r="T8" i="34"/>
  <c r="U8"/>
  <c r="Q8"/>
  <c r="BD5" i="8"/>
  <c r="BJ5" s="1"/>
  <c r="BE5"/>
  <c r="BF5" s="1"/>
  <c r="BH5" s="1"/>
  <c r="BJ6"/>
  <c r="BJ28"/>
  <c r="BJ26"/>
  <c r="BJ24"/>
  <c r="BJ22"/>
  <c r="BJ20"/>
  <c r="BJ18"/>
  <c r="BJ16"/>
  <c r="BJ14"/>
  <c r="BJ12"/>
  <c r="BJ10"/>
  <c r="BJ27"/>
  <c r="BJ25"/>
  <c r="BJ23"/>
  <c r="BJ21"/>
  <c r="BJ19"/>
  <c r="BJ17"/>
  <c r="BJ15"/>
  <c r="BJ13"/>
  <c r="BJ11"/>
  <c r="BG40"/>
  <c r="H49" i="31" s="1"/>
  <c r="BI40" i="8"/>
  <c r="BK40" s="1"/>
  <c r="I49" i="31" s="1"/>
  <c r="BG36" i="8"/>
  <c r="H45" i="31" s="1"/>
  <c r="BI36" i="8"/>
  <c r="BI35"/>
  <c r="BG35"/>
  <c r="H44" i="31" s="1"/>
  <c r="BG26" i="8"/>
  <c r="H35" i="31" s="1"/>
  <c r="BI26" i="8"/>
  <c r="BG24"/>
  <c r="H33" i="31" s="1"/>
  <c r="BI24" i="8"/>
  <c r="BG22"/>
  <c r="H31" i="31" s="1"/>
  <c r="BI22" i="8"/>
  <c r="BK42"/>
  <c r="I51" i="31" s="1"/>
  <c r="BG42" i="8"/>
  <c r="H51" i="31" s="1"/>
  <c r="BI42" i="8"/>
  <c r="BK44"/>
  <c r="I53" i="31" s="1"/>
  <c r="BG44" i="8"/>
  <c r="H53" i="31" s="1"/>
  <c r="BI44" i="8"/>
  <c r="BK43"/>
  <c r="I52" i="31" s="1"/>
  <c r="BI43" i="8"/>
  <c r="BG43"/>
  <c r="H52" i="31" s="1"/>
  <c r="BK41" i="8"/>
  <c r="I50" i="31" s="1"/>
  <c r="BI41" i="8"/>
  <c r="BG41"/>
  <c r="H50" i="31" s="1"/>
  <c r="BG34" i="8"/>
  <c r="H43" i="31" s="1"/>
  <c r="BI34" i="8"/>
  <c r="BI33"/>
  <c r="BG33"/>
  <c r="H42" i="31" s="1"/>
  <c r="BG32" i="8"/>
  <c r="H41" i="31" s="1"/>
  <c r="BI32" i="8"/>
  <c r="BI31"/>
  <c r="BG31"/>
  <c r="H40" i="31" s="1"/>
  <c r="BG30" i="8"/>
  <c r="H39" i="31" s="1"/>
  <c r="BI30" i="8"/>
  <c r="BI29"/>
  <c r="BG29"/>
  <c r="H38" i="31" s="1"/>
  <c r="BG28" i="8"/>
  <c r="H37" i="31" s="1"/>
  <c r="BI28" i="8"/>
  <c r="BI27"/>
  <c r="BG27"/>
  <c r="H36" i="31" s="1"/>
  <c r="BG18" i="8"/>
  <c r="H27" i="31" s="1"/>
  <c r="BI18" i="8"/>
  <c r="BI17"/>
  <c r="BG17"/>
  <c r="H26" i="31" s="1"/>
  <c r="BG16" i="8"/>
  <c r="H25" i="31" s="1"/>
  <c r="BI16" i="8"/>
  <c r="BJ9"/>
  <c r="BI39"/>
  <c r="BG39"/>
  <c r="H48" i="31" s="1"/>
  <c r="BI37" i="8"/>
  <c r="BG37"/>
  <c r="H46" i="31" s="1"/>
  <c r="BI25" i="8"/>
  <c r="BG25"/>
  <c r="H34" i="31" s="1"/>
  <c r="BI23" i="8"/>
  <c r="BG23"/>
  <c r="H32" i="31" s="1"/>
  <c r="BI21" i="8"/>
  <c r="BG21"/>
  <c r="H30" i="31" s="1"/>
  <c r="BG20" i="8"/>
  <c r="H29" i="31" s="1"/>
  <c r="BI20" i="8"/>
  <c r="BI19"/>
  <c r="BG19"/>
  <c r="H28" i="31" s="1"/>
  <c r="BI15" i="8"/>
  <c r="BG15"/>
  <c r="H24" i="31" s="1"/>
  <c r="BG14" i="8"/>
  <c r="H23" i="31" s="1"/>
  <c r="BI14" i="8"/>
  <c r="BI13"/>
  <c r="BG13"/>
  <c r="H22" i="31" s="1"/>
  <c r="BG12" i="8"/>
  <c r="H21" i="31" s="1"/>
  <c r="BI12" i="8"/>
  <c r="BI11"/>
  <c r="BG11"/>
  <c r="H20" i="31" s="1"/>
  <c r="BG10" i="8"/>
  <c r="H19" i="31" s="1"/>
  <c r="BI10" i="8"/>
  <c r="BG38"/>
  <c r="H47" i="31" s="1"/>
  <c r="BI38" i="8"/>
  <c r="BK38" s="1"/>
  <c r="I47" i="31" s="1"/>
  <c r="BI9" i="8"/>
  <c r="BG9"/>
  <c r="H18" i="31" s="1"/>
  <c r="BJ8" i="8"/>
  <c r="BI8"/>
  <c r="BG8"/>
  <c r="H17" i="31" s="1"/>
  <c r="BG7" i="8"/>
  <c r="H16" i="31" s="1"/>
  <c r="BI7" i="8"/>
  <c r="BJ7"/>
  <c r="BG6"/>
  <c r="H15" i="31" s="1"/>
  <c r="BI6" i="8"/>
  <c r="V8" i="34"/>
  <c r="CB24" i="45"/>
  <c r="CB22"/>
  <c r="CB20"/>
  <c r="CB18"/>
  <c r="CB16"/>
  <c r="CB25"/>
  <c r="CB23"/>
  <c r="CB21"/>
  <c r="CB19"/>
  <c r="CB17"/>
  <c r="CD15"/>
  <c r="K12" i="42"/>
  <c r="M12"/>
  <c r="BK36" i="8" l="1"/>
  <c r="I45" i="31" s="1"/>
  <c r="BK17" i="8"/>
  <c r="I26" i="31" s="1"/>
  <c r="BK34" i="8"/>
  <c r="I43" i="31" s="1"/>
  <c r="BK10" i="8"/>
  <c r="I19" i="31" s="1"/>
  <c r="BK39" i="8"/>
  <c r="I48" i="31" s="1"/>
  <c r="BK21" i="8"/>
  <c r="I30" i="31" s="1"/>
  <c r="BK37" i="8"/>
  <c r="I46" i="31" s="1"/>
  <c r="BK18" i="8"/>
  <c r="I27" i="31" s="1"/>
  <c r="BK32" i="8"/>
  <c r="I41" i="31" s="1"/>
  <c r="BK29" i="8"/>
  <c r="I38" i="31" s="1"/>
  <c r="BK31" i="8"/>
  <c r="I40" i="31" s="1"/>
  <c r="BK33" i="8"/>
  <c r="I42" i="31" s="1"/>
  <c r="BK14" i="8"/>
  <c r="I23" i="31" s="1"/>
  <c r="BK35" i="8"/>
  <c r="I44" i="31" s="1"/>
  <c r="BK25" i="8"/>
  <c r="I34" i="31" s="1"/>
  <c r="BK22" i="8"/>
  <c r="I31" i="31" s="1"/>
  <c r="BK30" i="8"/>
  <c r="I39" i="31" s="1"/>
  <c r="BG5" i="8"/>
  <c r="H14" i="31" s="1"/>
  <c r="C14" i="42" s="1"/>
  <c r="BK6" i="8"/>
  <c r="I15" i="31" s="1"/>
  <c r="BK26" i="8"/>
  <c r="I35" i="31" s="1"/>
  <c r="BK19" i="8"/>
  <c r="I28" i="31" s="1"/>
  <c r="BK13" i="8"/>
  <c r="I22" i="31" s="1"/>
  <c r="CS5" i="6"/>
  <c r="CR5"/>
  <c r="E14" i="31" s="1"/>
  <c r="C13" i="42" s="1"/>
  <c r="D14" i="31"/>
  <c r="B13" i="42" s="1"/>
  <c r="CF24" i="44"/>
  <c r="CF22"/>
  <c r="CF20"/>
  <c r="CF18"/>
  <c r="CF16"/>
  <c r="CH15"/>
  <c r="CF23"/>
  <c r="CF25"/>
  <c r="CF19"/>
  <c r="CF21"/>
  <c r="CF17"/>
  <c r="BI5" i="8"/>
  <c r="BK5" s="1"/>
  <c r="BK23"/>
  <c r="I32" i="31" s="1"/>
  <c r="BK27" i="8"/>
  <c r="I36" i="31" s="1"/>
  <c r="BK12" i="8"/>
  <c r="I21" i="31" s="1"/>
  <c r="BK28" i="8"/>
  <c r="I37" i="31" s="1"/>
  <c r="BK11" i="8"/>
  <c r="I20" i="31" s="1"/>
  <c r="BK15" i="8"/>
  <c r="I24" i="31" s="1"/>
  <c r="BK20" i="8"/>
  <c r="I29" i="31" s="1"/>
  <c r="BK16" i="8"/>
  <c r="I25" i="31" s="1"/>
  <c r="BK24" i="8"/>
  <c r="I33" i="31" s="1"/>
  <c r="BK8" i="8"/>
  <c r="I17" i="31" s="1"/>
  <c r="BK9" i="8"/>
  <c r="I18" i="31" s="1"/>
  <c r="BK7" i="8"/>
  <c r="I16" i="31" s="1"/>
  <c r="CD25" i="45"/>
  <c r="CD23"/>
  <c r="CD21"/>
  <c r="CD19"/>
  <c r="CD17"/>
  <c r="CD24"/>
  <c r="CD22"/>
  <c r="CD20"/>
  <c r="CD18"/>
  <c r="CD16"/>
  <c r="CF15"/>
  <c r="G14" i="31"/>
  <c r="B14" i="42" s="1"/>
  <c r="P62" i="31"/>
  <c r="CV5" i="6" l="1"/>
  <c r="F14" i="31" s="1"/>
  <c r="D13" i="42" s="1"/>
  <c r="CH24" i="44"/>
  <c r="CH22"/>
  <c r="CH20"/>
  <c r="CH18"/>
  <c r="CH16"/>
  <c r="CH25"/>
  <c r="CH21"/>
  <c r="CH17"/>
  <c r="CH23"/>
  <c r="CH19"/>
  <c r="CJ15"/>
  <c r="CF24" i="45"/>
  <c r="CF22"/>
  <c r="CF20"/>
  <c r="CF18"/>
  <c r="CF16"/>
  <c r="CF25"/>
  <c r="CF23"/>
  <c r="CF21"/>
  <c r="CF19"/>
  <c r="CF17"/>
  <c r="CH15"/>
  <c r="G62" i="31"/>
  <c r="CJ24" i="44" l="1"/>
  <c r="CJ22"/>
  <c r="CJ20"/>
  <c r="CJ18"/>
  <c r="CJ16"/>
  <c r="CL15"/>
  <c r="CJ21"/>
  <c r="CJ25"/>
  <c r="CJ23"/>
  <c r="CJ19"/>
  <c r="CJ17"/>
  <c r="CH25" i="45"/>
  <c r="CH23"/>
  <c r="CH21"/>
  <c r="CH19"/>
  <c r="CH17"/>
  <c r="CH24"/>
  <c r="CH22"/>
  <c r="CH20"/>
  <c r="CH18"/>
  <c r="CH16"/>
  <c r="CJ15"/>
  <c r="I14" i="31"/>
  <c r="D14" i="42" s="1"/>
  <c r="CL24" i="44" l="1"/>
  <c r="CL22"/>
  <c r="CL20"/>
  <c r="CL18"/>
  <c r="CL16"/>
  <c r="CL25"/>
  <c r="CL23"/>
  <c r="CL21"/>
  <c r="CL19"/>
  <c r="CL17"/>
  <c r="CN15"/>
  <c r="CJ24" i="45"/>
  <c r="CJ22"/>
  <c r="CJ20"/>
  <c r="CJ18"/>
  <c r="CJ16"/>
  <c r="CJ25"/>
  <c r="CJ23"/>
  <c r="CJ21"/>
  <c r="CJ19"/>
  <c r="CJ17"/>
  <c r="CL15"/>
  <c r="CN24" i="44" l="1"/>
  <c r="CN22"/>
  <c r="CN20"/>
  <c r="CN18"/>
  <c r="CN16"/>
  <c r="CP15"/>
  <c r="CN23"/>
  <c r="CN19"/>
  <c r="CN25"/>
  <c r="CN21"/>
  <c r="CN17"/>
  <c r="CL25" i="45"/>
  <c r="CL23"/>
  <c r="CL21"/>
  <c r="CL19"/>
  <c r="CL17"/>
  <c r="CL24"/>
  <c r="CL22"/>
  <c r="CL20"/>
  <c r="CL18"/>
  <c r="CL16"/>
  <c r="CN15"/>
  <c r="CP24" i="44" l="1"/>
  <c r="CP22"/>
  <c r="CP20"/>
  <c r="CP18"/>
  <c r="CP16"/>
  <c r="CP25"/>
  <c r="CP21"/>
  <c r="CP17"/>
  <c r="CP23"/>
  <c r="CP19"/>
  <c r="CR15"/>
  <c r="CN24" i="45"/>
  <c r="CN22"/>
  <c r="CN20"/>
  <c r="CN18"/>
  <c r="CN16"/>
  <c r="CN25"/>
  <c r="CN23"/>
  <c r="CN21"/>
  <c r="CN19"/>
  <c r="CN17"/>
  <c r="CP15"/>
  <c r="CR24" i="44" l="1"/>
  <c r="CR22"/>
  <c r="CR20"/>
  <c r="CR18"/>
  <c r="CR16"/>
  <c r="CR19"/>
  <c r="CR25"/>
  <c r="CR23"/>
  <c r="CR21"/>
  <c r="CR17"/>
  <c r="CP25" i="45"/>
  <c r="CP23"/>
  <c r="CP21"/>
  <c r="CP19"/>
  <c r="CP17"/>
  <c r="CP24"/>
  <c r="CP22"/>
  <c r="CP20"/>
  <c r="CP18"/>
  <c r="CP16"/>
  <c r="CR15"/>
  <c r="CR24" l="1"/>
  <c r="CR22"/>
  <c r="CR20"/>
  <c r="CR18"/>
  <c r="CR16"/>
  <c r="CR25"/>
  <c r="CR23"/>
  <c r="CR21"/>
  <c r="CR19"/>
  <c r="CR17"/>
</calcChain>
</file>

<file path=xl/comments1.xml><?xml version="1.0" encoding="utf-8"?>
<comments xmlns="http://schemas.openxmlformats.org/spreadsheetml/2006/main">
  <authors>
    <author>vans</author>
  </authors>
  <commentList>
    <comment ref="F5" authorId="0">
      <text>
        <r>
          <rPr>
            <b/>
            <sz val="8"/>
            <color indexed="81"/>
            <rFont val="Tahoma"/>
            <family val="2"/>
          </rPr>
          <t>shoeliyat:
Isikan Kode KD… contoh 3.1 cukup diketik 31</t>
        </r>
        <r>
          <rPr>
            <sz val="8"/>
            <color indexed="81"/>
            <rFont val="Tahoma"/>
            <family val="2"/>
          </rPr>
          <t xml:space="preserve">
</t>
        </r>
      </text>
    </comment>
    <comment ref="N5" authorId="0">
      <text>
        <r>
          <rPr>
            <b/>
            <sz val="8"/>
            <color indexed="81"/>
            <rFont val="Tahoma"/>
            <family val="2"/>
          </rPr>
          <t>shoeliyat:
Isikan Kode KD… contoh 3.1 cukup diketik 31</t>
        </r>
        <r>
          <rPr>
            <sz val="8"/>
            <color indexed="81"/>
            <rFont val="Tahoma"/>
            <family val="2"/>
          </rPr>
          <t xml:space="preserve">
</t>
        </r>
      </text>
    </comment>
  </commentList>
</comments>
</file>

<file path=xl/comments2.xml><?xml version="1.0" encoding="utf-8"?>
<comments xmlns="http://schemas.openxmlformats.org/spreadsheetml/2006/main">
  <authors>
    <author>vans</author>
  </authors>
  <commentList>
    <comment ref="F2" authorId="0">
      <text>
        <r>
          <rPr>
            <b/>
            <sz val="8"/>
            <color indexed="81"/>
            <rFont val="Tahoma"/>
            <family val="2"/>
          </rPr>
          <t>shoeliyat:
Isikan Kode KD… contoh 3.1 cukup diketik 31</t>
        </r>
        <r>
          <rPr>
            <sz val="8"/>
            <color indexed="81"/>
            <rFont val="Tahoma"/>
            <family val="2"/>
          </rPr>
          <t xml:space="preserve">
</t>
        </r>
      </text>
    </comment>
    <comment ref="N2" authorId="0">
      <text>
        <r>
          <rPr>
            <b/>
            <sz val="8"/>
            <color indexed="81"/>
            <rFont val="Tahoma"/>
            <family val="2"/>
          </rPr>
          <t>shoeliyat:
Isikan Kode KD… contoh 3.1 cukup diketik 31</t>
        </r>
        <r>
          <rPr>
            <sz val="8"/>
            <color indexed="81"/>
            <rFont val="Tahoma"/>
            <family val="2"/>
          </rPr>
          <t xml:space="preserve">
</t>
        </r>
      </text>
    </comment>
    <comment ref="V2" authorId="0">
      <text>
        <r>
          <rPr>
            <b/>
            <sz val="8"/>
            <color indexed="81"/>
            <rFont val="Tahoma"/>
            <family val="2"/>
          </rPr>
          <t>shoeliyat:
Isikan Kode KD… contoh 3.1 cukup diketik 31</t>
        </r>
        <r>
          <rPr>
            <sz val="8"/>
            <color indexed="81"/>
            <rFont val="Tahoma"/>
            <family val="2"/>
          </rPr>
          <t xml:space="preserve">
</t>
        </r>
      </text>
    </comment>
    <comment ref="AD2" authorId="0">
      <text>
        <r>
          <rPr>
            <b/>
            <sz val="8"/>
            <color indexed="81"/>
            <rFont val="Tahoma"/>
            <family val="2"/>
          </rPr>
          <t>shoeliyat:
Isikan Kode KD… contoh 3.1 cukup diketik 31</t>
        </r>
        <r>
          <rPr>
            <sz val="8"/>
            <color indexed="81"/>
            <rFont val="Tahoma"/>
            <family val="2"/>
          </rPr>
          <t xml:space="preserve">
</t>
        </r>
      </text>
    </comment>
    <comment ref="AL2" authorId="0">
      <text>
        <r>
          <rPr>
            <b/>
            <sz val="8"/>
            <color indexed="81"/>
            <rFont val="Tahoma"/>
            <family val="2"/>
          </rPr>
          <t>shoeliyat:
Isikan Kode KD… contoh 3.1 cukup diketik 31</t>
        </r>
        <r>
          <rPr>
            <sz val="8"/>
            <color indexed="81"/>
            <rFont val="Tahoma"/>
            <family val="2"/>
          </rPr>
          <t xml:space="preserve">
</t>
        </r>
      </text>
    </comment>
    <comment ref="AT2" authorId="0">
      <text>
        <r>
          <rPr>
            <b/>
            <sz val="8"/>
            <color indexed="81"/>
            <rFont val="Tahoma"/>
            <family val="2"/>
          </rPr>
          <t>shoeliyat:
Isikan Kode KD… contoh 3.1 cukup diketik 31</t>
        </r>
        <r>
          <rPr>
            <sz val="8"/>
            <color indexed="81"/>
            <rFont val="Tahoma"/>
            <family val="2"/>
          </rPr>
          <t xml:space="preserve">
</t>
        </r>
      </text>
    </comment>
    <comment ref="BB2" authorId="0">
      <text>
        <r>
          <rPr>
            <b/>
            <sz val="8"/>
            <color indexed="81"/>
            <rFont val="Tahoma"/>
            <family val="2"/>
          </rPr>
          <t>shoeliyat:
Isikan Kode KD… contoh 3.1 cukup diketik 31</t>
        </r>
        <r>
          <rPr>
            <sz val="8"/>
            <color indexed="81"/>
            <rFont val="Tahoma"/>
            <family val="2"/>
          </rPr>
          <t xml:space="preserve">
</t>
        </r>
      </text>
    </comment>
    <comment ref="BJ2" authorId="0">
      <text>
        <r>
          <rPr>
            <b/>
            <sz val="8"/>
            <color indexed="81"/>
            <rFont val="Tahoma"/>
            <family val="2"/>
          </rPr>
          <t>shoeliyat:
Isikan Kode KD… contoh 3.1 cukup diketik 31</t>
        </r>
        <r>
          <rPr>
            <sz val="8"/>
            <color indexed="81"/>
            <rFont val="Tahoma"/>
            <family val="2"/>
          </rPr>
          <t xml:space="preserve">
</t>
        </r>
      </text>
    </comment>
    <comment ref="BR2" authorId="0">
      <text>
        <r>
          <rPr>
            <b/>
            <sz val="8"/>
            <color indexed="81"/>
            <rFont val="Tahoma"/>
            <family val="2"/>
          </rPr>
          <t>shoeliyat:
Isikan Kode KD… contoh 3.1 cukup diketik 31</t>
        </r>
        <r>
          <rPr>
            <sz val="8"/>
            <color indexed="81"/>
            <rFont val="Tahoma"/>
            <family val="2"/>
          </rPr>
          <t xml:space="preserve">
</t>
        </r>
      </text>
    </comment>
    <comment ref="BZ2" authorId="0">
      <text>
        <r>
          <rPr>
            <b/>
            <sz val="8"/>
            <color indexed="81"/>
            <rFont val="Tahoma"/>
            <family val="2"/>
          </rPr>
          <t>shoeliyat:
Isikan Kode KD… contoh 3.1 cukup diketik 31</t>
        </r>
        <r>
          <rPr>
            <sz val="8"/>
            <color indexed="81"/>
            <rFont val="Tahoma"/>
            <family val="2"/>
          </rPr>
          <t xml:space="preserve">
</t>
        </r>
      </text>
    </comment>
  </commentList>
</comments>
</file>

<file path=xl/comments3.xml><?xml version="1.0" encoding="utf-8"?>
<comments xmlns="http://schemas.openxmlformats.org/spreadsheetml/2006/main">
  <authors>
    <author>SHOELIYHAT</author>
  </authors>
  <commentList>
    <comment ref="F2" authorId="0">
      <text>
        <r>
          <rPr>
            <b/>
            <sz val="9"/>
            <color indexed="81"/>
            <rFont val="Tahoma"/>
            <family val="2"/>
          </rPr>
          <t>SHOELIYHAT:
Isikan no KD mis 3.1 hanya diketik 31 saja... Ngiiihhh....</t>
        </r>
        <r>
          <rPr>
            <sz val="9"/>
            <color indexed="81"/>
            <rFont val="Tahoma"/>
            <family val="2"/>
          </rPr>
          <t xml:space="preserve">
</t>
        </r>
      </text>
    </comment>
    <comment ref="K2" authorId="0">
      <text>
        <r>
          <rPr>
            <b/>
            <sz val="9"/>
            <color indexed="81"/>
            <rFont val="Tahoma"/>
            <family val="2"/>
          </rPr>
          <t>SHOELIYHAT:
Isikan no KD mis 3.1 hanya diketik 31 saja... Ngiiihhh....</t>
        </r>
        <r>
          <rPr>
            <sz val="9"/>
            <color indexed="81"/>
            <rFont val="Tahoma"/>
            <family val="2"/>
          </rPr>
          <t xml:space="preserve">
</t>
        </r>
      </text>
    </comment>
    <comment ref="P2" authorId="0">
      <text>
        <r>
          <rPr>
            <b/>
            <sz val="9"/>
            <color indexed="81"/>
            <rFont val="Tahoma"/>
            <family val="2"/>
          </rPr>
          <t>SHOELIYHAT:
Isikan no KD mis 3.1 hanya diketik 31 saja... Ngiiihhh....</t>
        </r>
        <r>
          <rPr>
            <sz val="9"/>
            <color indexed="81"/>
            <rFont val="Tahoma"/>
            <family val="2"/>
          </rPr>
          <t xml:space="preserve">
</t>
        </r>
      </text>
    </comment>
    <comment ref="U2" authorId="0">
      <text>
        <r>
          <rPr>
            <b/>
            <sz val="9"/>
            <color indexed="81"/>
            <rFont val="Tahoma"/>
            <family val="2"/>
          </rPr>
          <t>SHOELIYHAT:
Isikan no KD mis 3.1 hanya diketik 31 saja... Ngiiihhh....</t>
        </r>
        <r>
          <rPr>
            <sz val="9"/>
            <color indexed="81"/>
            <rFont val="Tahoma"/>
            <family val="2"/>
          </rPr>
          <t xml:space="preserve">
</t>
        </r>
      </text>
    </comment>
    <comment ref="Z2" authorId="0">
      <text>
        <r>
          <rPr>
            <b/>
            <sz val="9"/>
            <color indexed="81"/>
            <rFont val="Tahoma"/>
            <family val="2"/>
          </rPr>
          <t>SHOELIYHAT:
Isikan no KD mis 3.1 hanya diketik 31 saja... Ngiiihhh....</t>
        </r>
        <r>
          <rPr>
            <sz val="9"/>
            <color indexed="81"/>
            <rFont val="Tahoma"/>
            <family val="2"/>
          </rPr>
          <t xml:space="preserve">
</t>
        </r>
      </text>
    </comment>
    <comment ref="AE2" authorId="0">
      <text>
        <r>
          <rPr>
            <b/>
            <sz val="9"/>
            <color indexed="81"/>
            <rFont val="Tahoma"/>
            <family val="2"/>
          </rPr>
          <t>SHOELIYHAT:
Isikan no KD mis 3.1 hanya diketik 31 saja... Ngiiihhh....</t>
        </r>
        <r>
          <rPr>
            <sz val="9"/>
            <color indexed="81"/>
            <rFont val="Tahoma"/>
            <family val="2"/>
          </rPr>
          <t xml:space="preserve">
</t>
        </r>
      </text>
    </comment>
    <comment ref="AJ2" authorId="0">
      <text>
        <r>
          <rPr>
            <b/>
            <sz val="9"/>
            <color indexed="81"/>
            <rFont val="Tahoma"/>
            <family val="2"/>
          </rPr>
          <t>SHOELIYHAT:
Isikan no KD mis 3.1 hanya diketik 31 saja... Ngiiihhh....</t>
        </r>
        <r>
          <rPr>
            <sz val="9"/>
            <color indexed="81"/>
            <rFont val="Tahoma"/>
            <family val="2"/>
          </rPr>
          <t xml:space="preserve">
</t>
        </r>
      </text>
    </comment>
    <comment ref="AO2" authorId="0">
      <text>
        <r>
          <rPr>
            <b/>
            <sz val="9"/>
            <color indexed="81"/>
            <rFont val="Tahoma"/>
            <family val="2"/>
          </rPr>
          <t>SHOELIYHAT:
Isikan no KD mis 3.1 hanya diketik 31 saja... Ngiiihhh....</t>
        </r>
        <r>
          <rPr>
            <sz val="9"/>
            <color indexed="81"/>
            <rFont val="Tahoma"/>
            <family val="2"/>
          </rPr>
          <t xml:space="preserve">
</t>
        </r>
      </text>
    </comment>
    <comment ref="AT2" authorId="0">
      <text>
        <r>
          <rPr>
            <b/>
            <sz val="9"/>
            <color indexed="81"/>
            <rFont val="Tahoma"/>
            <family val="2"/>
          </rPr>
          <t>SHOELIYHAT:
Isikan no KD mis 3.1 hanya diketik 31 saja... Ngiiihhh....</t>
        </r>
        <r>
          <rPr>
            <sz val="9"/>
            <color indexed="81"/>
            <rFont val="Tahoma"/>
            <family val="2"/>
          </rPr>
          <t xml:space="preserve">
</t>
        </r>
      </text>
    </comment>
    <comment ref="AY2" authorId="0">
      <text>
        <r>
          <rPr>
            <b/>
            <sz val="9"/>
            <color indexed="81"/>
            <rFont val="Tahoma"/>
            <family val="2"/>
          </rPr>
          <t>SHOELIYHAT:
Isikan no KD mis 3.1 hanya diketik 31 saja... Ngiiihhh....</t>
        </r>
        <r>
          <rPr>
            <sz val="9"/>
            <color indexed="81"/>
            <rFont val="Tahoma"/>
            <family val="2"/>
          </rPr>
          <t xml:space="preserve">
</t>
        </r>
      </text>
    </comment>
  </commentList>
</comments>
</file>

<file path=xl/comments4.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O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U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A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List>
</comments>
</file>

<file path=xl/comments5.xml><?xml version="1.0" encoding="utf-8"?>
<comments xmlns="http://schemas.openxmlformats.org/spreadsheetml/2006/main">
  <authors>
    <author>CURRICULLUM</author>
  </authors>
  <commentList>
    <comment ref="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G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I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M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N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O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S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T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U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Y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Z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A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E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F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G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K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L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M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P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Q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R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S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AV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W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X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AY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B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C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D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E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 ref="BH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I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J3" authorId="0">
      <text>
        <r>
          <rPr>
            <b/>
            <sz val="9"/>
            <color indexed="81"/>
            <rFont val="Tahoma"/>
            <family val="2"/>
          </rPr>
          <t>SULIYAT:
Isikan berupa angka</t>
        </r>
        <r>
          <rPr>
            <sz val="9"/>
            <color indexed="81"/>
            <rFont val="Tahoma"/>
            <family val="2"/>
          </rPr>
          <t xml:space="preserve">
4. Tanpa Kesalahan
3. Ada sedikit kesalahan
2. Ada banyak kesalahan
1. Tidak melakukan</t>
        </r>
      </text>
    </comment>
    <comment ref="BK3" authorId="0">
      <text>
        <r>
          <rPr>
            <b/>
            <sz val="9"/>
            <color indexed="81"/>
            <rFont val="Tahoma"/>
            <family val="2"/>
          </rPr>
          <t>SULIYAT:
Isikan berupa angka</t>
        </r>
        <r>
          <rPr>
            <sz val="9"/>
            <color indexed="81"/>
            <rFont val="Tahoma"/>
            <family val="2"/>
          </rPr>
          <t xml:space="preserve">
4. Jujur
3. Ada sedikit ketidakjujuran
2. Ada banyak ketidakjujuran
1. Tidak jujur semuanya</t>
        </r>
      </text>
    </comment>
  </commentList>
</comments>
</file>

<file path=xl/comments6.xml><?xml version="1.0" encoding="utf-8"?>
<comments xmlns="http://schemas.openxmlformats.org/spreadsheetml/2006/main">
  <authors>
    <author>vans</author>
  </authors>
  <commentList>
    <comment ref="F5" authorId="0">
      <text>
        <r>
          <rPr>
            <b/>
            <sz val="8"/>
            <color indexed="81"/>
            <rFont val="Tahoma"/>
            <family val="2"/>
          </rPr>
          <t>SULIYAT: 
ISIKAN KEJADIAN/ PERILAKU SISWA</t>
        </r>
        <r>
          <rPr>
            <sz val="8"/>
            <color indexed="81"/>
            <rFont val="Tahoma"/>
            <family val="2"/>
          </rPr>
          <t xml:space="preserve">
</t>
        </r>
      </text>
    </comment>
    <comment ref="G5" authorId="0">
      <text>
        <r>
          <rPr>
            <b/>
            <sz val="8"/>
            <color indexed="81"/>
            <rFont val="Tahoma"/>
            <family val="2"/>
          </rPr>
          <t>SULIYAT: 
ISIKAN KEJADIAN/ PERILAKU SISWA</t>
        </r>
        <r>
          <rPr>
            <sz val="8"/>
            <color indexed="81"/>
            <rFont val="Tahoma"/>
            <family val="2"/>
          </rPr>
          <t xml:space="preserve">
</t>
        </r>
      </text>
    </comment>
    <comment ref="F6" authorId="0">
      <text>
        <r>
          <rPr>
            <b/>
            <sz val="8"/>
            <color indexed="81"/>
            <rFont val="Tahoma"/>
            <family val="2"/>
          </rPr>
          <t>SULIYAT: 
ISIKAN KEJADIAN/ PERILAKU SISWA</t>
        </r>
        <r>
          <rPr>
            <sz val="8"/>
            <color indexed="81"/>
            <rFont val="Tahoma"/>
            <family val="2"/>
          </rPr>
          <t xml:space="preserve">
</t>
        </r>
      </text>
    </comment>
    <comment ref="G6" authorId="0">
      <text>
        <r>
          <rPr>
            <b/>
            <sz val="8"/>
            <color indexed="81"/>
            <rFont val="Tahoma"/>
            <family val="2"/>
          </rPr>
          <t>SULIYAT: 
ISIKAN KEJADIAN/ PERILAKU SISWA</t>
        </r>
        <r>
          <rPr>
            <sz val="8"/>
            <color indexed="81"/>
            <rFont val="Tahoma"/>
            <family val="2"/>
          </rPr>
          <t xml:space="preserve">
</t>
        </r>
      </text>
    </comment>
    <comment ref="F7" authorId="0">
      <text>
        <r>
          <rPr>
            <b/>
            <sz val="8"/>
            <color indexed="81"/>
            <rFont val="Tahoma"/>
            <family val="2"/>
          </rPr>
          <t>SULIYAT: 
ISIKAN KEJADIAN/ PERILAKU SISWA</t>
        </r>
        <r>
          <rPr>
            <sz val="8"/>
            <color indexed="81"/>
            <rFont val="Tahoma"/>
            <family val="2"/>
          </rPr>
          <t xml:space="preserve">
</t>
        </r>
      </text>
    </comment>
    <comment ref="G7" authorId="0">
      <text>
        <r>
          <rPr>
            <b/>
            <sz val="8"/>
            <color indexed="81"/>
            <rFont val="Tahoma"/>
            <family val="2"/>
          </rPr>
          <t>SULIYAT: 
ISIKAN KEJADIAN/ PERILAKU SISWA</t>
        </r>
        <r>
          <rPr>
            <sz val="8"/>
            <color indexed="81"/>
            <rFont val="Tahoma"/>
            <family val="2"/>
          </rPr>
          <t xml:space="preserve">
</t>
        </r>
      </text>
    </comment>
    <comment ref="F8" authorId="0">
      <text>
        <r>
          <rPr>
            <b/>
            <sz val="8"/>
            <color indexed="81"/>
            <rFont val="Tahoma"/>
            <family val="2"/>
          </rPr>
          <t>SULIYAT: 
ISIKAN KEJADIAN/ PERILAKU SISWA</t>
        </r>
        <r>
          <rPr>
            <sz val="8"/>
            <color indexed="81"/>
            <rFont val="Tahoma"/>
            <family val="2"/>
          </rPr>
          <t xml:space="preserve">
</t>
        </r>
      </text>
    </comment>
    <comment ref="G8" authorId="0">
      <text>
        <r>
          <rPr>
            <b/>
            <sz val="8"/>
            <color indexed="81"/>
            <rFont val="Tahoma"/>
            <family val="2"/>
          </rPr>
          <t>SULIYAT: 
ISIKAN KEJADIAN/ PERILAKU SISWA</t>
        </r>
        <r>
          <rPr>
            <sz val="8"/>
            <color indexed="81"/>
            <rFont val="Tahoma"/>
            <family val="2"/>
          </rPr>
          <t xml:space="preserve">
</t>
        </r>
      </text>
    </comment>
    <comment ref="F9" authorId="0">
      <text>
        <r>
          <rPr>
            <b/>
            <sz val="8"/>
            <color indexed="81"/>
            <rFont val="Tahoma"/>
            <family val="2"/>
          </rPr>
          <t>SULIYAT: 
ISIKAN KEJADIAN/ PERILAKU SISWA</t>
        </r>
        <r>
          <rPr>
            <sz val="8"/>
            <color indexed="81"/>
            <rFont val="Tahoma"/>
            <family val="2"/>
          </rPr>
          <t xml:space="preserve">
</t>
        </r>
      </text>
    </comment>
    <comment ref="G9" authorId="0">
      <text>
        <r>
          <rPr>
            <b/>
            <sz val="8"/>
            <color indexed="81"/>
            <rFont val="Tahoma"/>
            <family val="2"/>
          </rPr>
          <t>SULIYAT: 
ISIKAN KEJADIAN/ PERILAKU SISWA</t>
        </r>
        <r>
          <rPr>
            <sz val="8"/>
            <color indexed="81"/>
            <rFont val="Tahoma"/>
            <family val="2"/>
          </rPr>
          <t xml:space="preserve">
</t>
        </r>
      </text>
    </comment>
    <comment ref="F10" authorId="0">
      <text>
        <r>
          <rPr>
            <b/>
            <sz val="8"/>
            <color indexed="81"/>
            <rFont val="Tahoma"/>
            <family val="2"/>
          </rPr>
          <t>SULIYAT: 
ISIKAN KEJADIAN/ PERILAKU SISWA</t>
        </r>
        <r>
          <rPr>
            <sz val="8"/>
            <color indexed="81"/>
            <rFont val="Tahoma"/>
            <family val="2"/>
          </rPr>
          <t xml:space="preserve">
</t>
        </r>
      </text>
    </comment>
    <comment ref="G10" authorId="0">
      <text>
        <r>
          <rPr>
            <b/>
            <sz val="8"/>
            <color indexed="81"/>
            <rFont val="Tahoma"/>
            <family val="2"/>
          </rPr>
          <t>SULIYAT: 
ISIKAN KEJADIAN/ PERILAKU SISWA</t>
        </r>
        <r>
          <rPr>
            <sz val="8"/>
            <color indexed="81"/>
            <rFont val="Tahoma"/>
            <family val="2"/>
          </rPr>
          <t xml:space="preserve">
</t>
        </r>
      </text>
    </comment>
    <comment ref="F11" authorId="0">
      <text>
        <r>
          <rPr>
            <b/>
            <sz val="8"/>
            <color indexed="81"/>
            <rFont val="Tahoma"/>
            <family val="2"/>
          </rPr>
          <t>SULIYAT: 
ISIKAN KEJADIAN/ PERILAKU SISWA</t>
        </r>
        <r>
          <rPr>
            <sz val="8"/>
            <color indexed="81"/>
            <rFont val="Tahoma"/>
            <family val="2"/>
          </rPr>
          <t xml:space="preserve">
</t>
        </r>
      </text>
    </comment>
    <comment ref="G11" authorId="0">
      <text>
        <r>
          <rPr>
            <b/>
            <sz val="8"/>
            <color indexed="81"/>
            <rFont val="Tahoma"/>
            <family val="2"/>
          </rPr>
          <t>SULIYAT: 
ISIKAN KEJADIAN/ PERILAKU SISWA</t>
        </r>
        <r>
          <rPr>
            <sz val="8"/>
            <color indexed="81"/>
            <rFont val="Tahoma"/>
            <family val="2"/>
          </rPr>
          <t xml:space="preserve">
</t>
        </r>
      </text>
    </comment>
    <comment ref="F12" authorId="0">
      <text>
        <r>
          <rPr>
            <b/>
            <sz val="8"/>
            <color indexed="81"/>
            <rFont val="Tahoma"/>
            <family val="2"/>
          </rPr>
          <t>SULIYAT: 
ISIKAN KEJADIAN/ PERILAKU SISWA</t>
        </r>
        <r>
          <rPr>
            <sz val="8"/>
            <color indexed="81"/>
            <rFont val="Tahoma"/>
            <family val="2"/>
          </rPr>
          <t xml:space="preserve">
</t>
        </r>
      </text>
    </comment>
    <comment ref="G12" authorId="0">
      <text>
        <r>
          <rPr>
            <b/>
            <sz val="8"/>
            <color indexed="81"/>
            <rFont val="Tahoma"/>
            <family val="2"/>
          </rPr>
          <t>SULIYAT: 
ISIKAN KEJADIAN/ PERILAKU SISWA</t>
        </r>
        <r>
          <rPr>
            <sz val="8"/>
            <color indexed="81"/>
            <rFont val="Tahoma"/>
            <family val="2"/>
          </rPr>
          <t xml:space="preserve">
</t>
        </r>
      </text>
    </comment>
    <comment ref="F13" authorId="0">
      <text>
        <r>
          <rPr>
            <b/>
            <sz val="8"/>
            <color indexed="81"/>
            <rFont val="Tahoma"/>
            <family val="2"/>
          </rPr>
          <t>SULIYAT: 
ISIKAN KEJADIAN/ PERILAKU SISWA</t>
        </r>
        <r>
          <rPr>
            <sz val="8"/>
            <color indexed="81"/>
            <rFont val="Tahoma"/>
            <family val="2"/>
          </rPr>
          <t xml:space="preserve">
</t>
        </r>
      </text>
    </comment>
    <comment ref="G13" authorId="0">
      <text>
        <r>
          <rPr>
            <b/>
            <sz val="8"/>
            <color indexed="81"/>
            <rFont val="Tahoma"/>
            <family val="2"/>
          </rPr>
          <t>SULIYAT: 
ISIKAN KEJADIAN/ PERILAKU SISWA</t>
        </r>
        <r>
          <rPr>
            <sz val="8"/>
            <color indexed="81"/>
            <rFont val="Tahoma"/>
            <family val="2"/>
          </rPr>
          <t xml:space="preserve">
</t>
        </r>
      </text>
    </comment>
    <comment ref="F14" authorId="0">
      <text>
        <r>
          <rPr>
            <b/>
            <sz val="8"/>
            <color indexed="81"/>
            <rFont val="Tahoma"/>
            <family val="2"/>
          </rPr>
          <t>SULIYAT: 
ISIKAN KEJADIAN/ PERILAKU SISWA</t>
        </r>
        <r>
          <rPr>
            <sz val="8"/>
            <color indexed="81"/>
            <rFont val="Tahoma"/>
            <family val="2"/>
          </rPr>
          <t xml:space="preserve">
</t>
        </r>
      </text>
    </comment>
    <comment ref="G14" authorId="0">
      <text>
        <r>
          <rPr>
            <b/>
            <sz val="8"/>
            <color indexed="81"/>
            <rFont val="Tahoma"/>
            <family val="2"/>
          </rPr>
          <t>SULIYAT: 
ISIKAN KEJADIAN/ PERILAKU SISWA</t>
        </r>
        <r>
          <rPr>
            <sz val="8"/>
            <color indexed="81"/>
            <rFont val="Tahoma"/>
            <family val="2"/>
          </rPr>
          <t xml:space="preserve">
</t>
        </r>
      </text>
    </comment>
    <comment ref="F15" authorId="0">
      <text>
        <r>
          <rPr>
            <b/>
            <sz val="8"/>
            <color indexed="81"/>
            <rFont val="Tahoma"/>
            <family val="2"/>
          </rPr>
          <t>SULIYAT: 
ISIKAN KEJADIAN/ PERILAKU SISWA</t>
        </r>
        <r>
          <rPr>
            <sz val="8"/>
            <color indexed="81"/>
            <rFont val="Tahoma"/>
            <family val="2"/>
          </rPr>
          <t xml:space="preserve">
</t>
        </r>
      </text>
    </comment>
    <comment ref="G15" authorId="0">
      <text>
        <r>
          <rPr>
            <b/>
            <sz val="8"/>
            <color indexed="81"/>
            <rFont val="Tahoma"/>
            <family val="2"/>
          </rPr>
          <t>SULIYAT: 
ISIKAN KEJADIAN/ PERILAKU SISWA</t>
        </r>
        <r>
          <rPr>
            <sz val="8"/>
            <color indexed="81"/>
            <rFont val="Tahoma"/>
            <family val="2"/>
          </rPr>
          <t xml:space="preserve">
</t>
        </r>
      </text>
    </comment>
    <comment ref="F16" authorId="0">
      <text>
        <r>
          <rPr>
            <b/>
            <sz val="8"/>
            <color indexed="81"/>
            <rFont val="Tahoma"/>
            <family val="2"/>
          </rPr>
          <t>SULIYAT: 
ISIKAN KEJADIAN/ PERILAKU SISWA</t>
        </r>
        <r>
          <rPr>
            <sz val="8"/>
            <color indexed="81"/>
            <rFont val="Tahoma"/>
            <family val="2"/>
          </rPr>
          <t xml:space="preserve">
</t>
        </r>
      </text>
    </comment>
    <comment ref="G16" authorId="0">
      <text>
        <r>
          <rPr>
            <b/>
            <sz val="8"/>
            <color indexed="81"/>
            <rFont val="Tahoma"/>
            <family val="2"/>
          </rPr>
          <t>SULIYAT: 
ISIKAN KEJADIAN/ PERILAKU SISWA</t>
        </r>
        <r>
          <rPr>
            <sz val="8"/>
            <color indexed="81"/>
            <rFont val="Tahoma"/>
            <family val="2"/>
          </rPr>
          <t xml:space="preserve">
</t>
        </r>
      </text>
    </comment>
    <comment ref="F17" authorId="0">
      <text>
        <r>
          <rPr>
            <b/>
            <sz val="8"/>
            <color indexed="81"/>
            <rFont val="Tahoma"/>
            <family val="2"/>
          </rPr>
          <t>SULIYAT: 
ISIKAN KEJADIAN/ PERILAKU SISWA</t>
        </r>
        <r>
          <rPr>
            <sz val="8"/>
            <color indexed="81"/>
            <rFont val="Tahoma"/>
            <family val="2"/>
          </rPr>
          <t xml:space="preserve">
</t>
        </r>
      </text>
    </comment>
    <comment ref="G17" authorId="0">
      <text>
        <r>
          <rPr>
            <b/>
            <sz val="8"/>
            <color indexed="81"/>
            <rFont val="Tahoma"/>
            <family val="2"/>
          </rPr>
          <t>SULIYAT: 
ISIKAN KEJADIAN/ PERILAKU SISWA</t>
        </r>
        <r>
          <rPr>
            <sz val="8"/>
            <color indexed="81"/>
            <rFont val="Tahoma"/>
            <family val="2"/>
          </rPr>
          <t xml:space="preserve">
</t>
        </r>
      </text>
    </comment>
    <comment ref="F18" authorId="0">
      <text>
        <r>
          <rPr>
            <b/>
            <sz val="8"/>
            <color indexed="81"/>
            <rFont val="Tahoma"/>
            <family val="2"/>
          </rPr>
          <t>SULIYAT: 
ISIKAN KEJADIAN/ PERILAKU SISWA</t>
        </r>
        <r>
          <rPr>
            <sz val="8"/>
            <color indexed="81"/>
            <rFont val="Tahoma"/>
            <family val="2"/>
          </rPr>
          <t xml:space="preserve">
</t>
        </r>
      </text>
    </comment>
    <comment ref="G18" authorId="0">
      <text>
        <r>
          <rPr>
            <b/>
            <sz val="8"/>
            <color indexed="81"/>
            <rFont val="Tahoma"/>
            <family val="2"/>
          </rPr>
          <t>SULIYAT: 
ISIKAN KEJADIAN/ PERILAKU SISWA</t>
        </r>
        <r>
          <rPr>
            <sz val="8"/>
            <color indexed="81"/>
            <rFont val="Tahoma"/>
            <family val="2"/>
          </rPr>
          <t xml:space="preserve">
</t>
        </r>
      </text>
    </comment>
    <comment ref="F19" authorId="0">
      <text>
        <r>
          <rPr>
            <b/>
            <sz val="8"/>
            <color indexed="81"/>
            <rFont val="Tahoma"/>
            <family val="2"/>
          </rPr>
          <t>SULIYAT: 
ISIKAN KEJADIAN/ PERILAKU SISWA</t>
        </r>
        <r>
          <rPr>
            <sz val="8"/>
            <color indexed="81"/>
            <rFont val="Tahoma"/>
            <family val="2"/>
          </rPr>
          <t xml:space="preserve">
</t>
        </r>
      </text>
    </comment>
    <comment ref="G19" authorId="0">
      <text>
        <r>
          <rPr>
            <b/>
            <sz val="8"/>
            <color indexed="81"/>
            <rFont val="Tahoma"/>
            <family val="2"/>
          </rPr>
          <t>SULIYAT: 
ISIKAN KEJADIAN/ PERILAKU SISWA</t>
        </r>
        <r>
          <rPr>
            <sz val="8"/>
            <color indexed="81"/>
            <rFont val="Tahoma"/>
            <family val="2"/>
          </rPr>
          <t xml:space="preserve">
</t>
        </r>
      </text>
    </comment>
    <comment ref="F20" authorId="0">
      <text>
        <r>
          <rPr>
            <b/>
            <sz val="8"/>
            <color indexed="81"/>
            <rFont val="Tahoma"/>
            <family val="2"/>
          </rPr>
          <t>SULIYAT: 
ISIKAN KEJADIAN/ PERILAKU SISWA</t>
        </r>
        <r>
          <rPr>
            <sz val="8"/>
            <color indexed="81"/>
            <rFont val="Tahoma"/>
            <family val="2"/>
          </rPr>
          <t xml:space="preserve">
</t>
        </r>
      </text>
    </comment>
    <comment ref="G20" authorId="0">
      <text>
        <r>
          <rPr>
            <b/>
            <sz val="8"/>
            <color indexed="81"/>
            <rFont val="Tahoma"/>
            <family val="2"/>
          </rPr>
          <t>SULIYAT: 
ISIKAN KEJADIAN/ PERILAKU SISWA</t>
        </r>
        <r>
          <rPr>
            <sz val="8"/>
            <color indexed="81"/>
            <rFont val="Tahoma"/>
            <family val="2"/>
          </rPr>
          <t xml:space="preserve">
</t>
        </r>
      </text>
    </comment>
    <comment ref="F21" authorId="0">
      <text>
        <r>
          <rPr>
            <b/>
            <sz val="8"/>
            <color indexed="81"/>
            <rFont val="Tahoma"/>
            <family val="2"/>
          </rPr>
          <t>SULIYAT: 
ISIKAN KEJADIAN/ PERILAKU SISWA</t>
        </r>
        <r>
          <rPr>
            <sz val="8"/>
            <color indexed="81"/>
            <rFont val="Tahoma"/>
            <family val="2"/>
          </rPr>
          <t xml:space="preserve">
</t>
        </r>
      </text>
    </comment>
    <comment ref="G21" authorId="0">
      <text>
        <r>
          <rPr>
            <b/>
            <sz val="8"/>
            <color indexed="81"/>
            <rFont val="Tahoma"/>
            <family val="2"/>
          </rPr>
          <t>SULIYAT: 
ISIKAN KEJADIAN/ PERILAKU SISWA</t>
        </r>
        <r>
          <rPr>
            <sz val="8"/>
            <color indexed="81"/>
            <rFont val="Tahoma"/>
            <family val="2"/>
          </rPr>
          <t xml:space="preserve">
</t>
        </r>
      </text>
    </comment>
    <comment ref="F22" authorId="0">
      <text>
        <r>
          <rPr>
            <b/>
            <sz val="8"/>
            <color indexed="81"/>
            <rFont val="Tahoma"/>
            <family val="2"/>
          </rPr>
          <t>SULIYAT: 
ISIKAN KEJADIAN/ PERILAKU SISWA</t>
        </r>
        <r>
          <rPr>
            <sz val="8"/>
            <color indexed="81"/>
            <rFont val="Tahoma"/>
            <family val="2"/>
          </rPr>
          <t xml:space="preserve">
</t>
        </r>
      </text>
    </comment>
    <comment ref="G22" authorId="0">
      <text>
        <r>
          <rPr>
            <b/>
            <sz val="8"/>
            <color indexed="81"/>
            <rFont val="Tahoma"/>
            <family val="2"/>
          </rPr>
          <t>SULIYAT: 
ISIKAN KEJADIAN/ PERILAKU SISWA</t>
        </r>
        <r>
          <rPr>
            <sz val="8"/>
            <color indexed="81"/>
            <rFont val="Tahoma"/>
            <family val="2"/>
          </rPr>
          <t xml:space="preserve">
</t>
        </r>
      </text>
    </comment>
    <comment ref="F23" authorId="0">
      <text>
        <r>
          <rPr>
            <b/>
            <sz val="8"/>
            <color indexed="81"/>
            <rFont val="Tahoma"/>
            <family val="2"/>
          </rPr>
          <t>SULIYAT: 
ISIKAN KEJADIAN/ PERILAKU SISWA</t>
        </r>
        <r>
          <rPr>
            <sz val="8"/>
            <color indexed="81"/>
            <rFont val="Tahoma"/>
            <family val="2"/>
          </rPr>
          <t xml:space="preserve">
</t>
        </r>
      </text>
    </comment>
    <comment ref="G23" authorId="0">
      <text>
        <r>
          <rPr>
            <b/>
            <sz val="8"/>
            <color indexed="81"/>
            <rFont val="Tahoma"/>
            <family val="2"/>
          </rPr>
          <t>SULIYAT: 
ISIKAN KEJADIAN/ PERILAKU SISWA</t>
        </r>
        <r>
          <rPr>
            <sz val="8"/>
            <color indexed="81"/>
            <rFont val="Tahoma"/>
            <family val="2"/>
          </rPr>
          <t xml:space="preserve">
</t>
        </r>
      </text>
    </comment>
    <comment ref="F24" authorId="0">
      <text>
        <r>
          <rPr>
            <b/>
            <sz val="8"/>
            <color indexed="81"/>
            <rFont val="Tahoma"/>
            <family val="2"/>
          </rPr>
          <t>SULIYAT: 
ISIKAN KEJADIAN/ PERILAKU SISWA</t>
        </r>
        <r>
          <rPr>
            <sz val="8"/>
            <color indexed="81"/>
            <rFont val="Tahoma"/>
            <family val="2"/>
          </rPr>
          <t xml:space="preserve">
</t>
        </r>
      </text>
    </comment>
    <comment ref="G24" authorId="0">
      <text>
        <r>
          <rPr>
            <b/>
            <sz val="8"/>
            <color indexed="81"/>
            <rFont val="Tahoma"/>
            <family val="2"/>
          </rPr>
          <t>SULIYAT: 
ISIKAN KEJADIAN/ PERILAKU SISWA</t>
        </r>
        <r>
          <rPr>
            <sz val="8"/>
            <color indexed="81"/>
            <rFont val="Tahoma"/>
            <family val="2"/>
          </rPr>
          <t xml:space="preserve">
</t>
        </r>
      </text>
    </comment>
    <comment ref="F25" authorId="0">
      <text>
        <r>
          <rPr>
            <b/>
            <sz val="8"/>
            <color indexed="81"/>
            <rFont val="Tahoma"/>
            <family val="2"/>
          </rPr>
          <t>SULIYAT: 
ISIKAN KEJADIAN/ PERILAKU SISWA</t>
        </r>
        <r>
          <rPr>
            <sz val="8"/>
            <color indexed="81"/>
            <rFont val="Tahoma"/>
            <family val="2"/>
          </rPr>
          <t xml:space="preserve">
</t>
        </r>
      </text>
    </comment>
    <comment ref="G25" authorId="0">
      <text>
        <r>
          <rPr>
            <b/>
            <sz val="8"/>
            <color indexed="81"/>
            <rFont val="Tahoma"/>
            <family val="2"/>
          </rPr>
          <t>SULIYAT: 
ISIKAN KEJADIAN/ PERILAKU SISWA</t>
        </r>
        <r>
          <rPr>
            <sz val="8"/>
            <color indexed="81"/>
            <rFont val="Tahoma"/>
            <family val="2"/>
          </rPr>
          <t xml:space="preserve">
</t>
        </r>
      </text>
    </comment>
    <comment ref="F26" authorId="0">
      <text>
        <r>
          <rPr>
            <b/>
            <sz val="8"/>
            <color indexed="81"/>
            <rFont val="Tahoma"/>
            <family val="2"/>
          </rPr>
          <t>SULIYAT: 
ISIKAN KEJADIAN/ PERILAKU SISWA</t>
        </r>
        <r>
          <rPr>
            <sz val="8"/>
            <color indexed="81"/>
            <rFont val="Tahoma"/>
            <family val="2"/>
          </rPr>
          <t xml:space="preserve">
</t>
        </r>
      </text>
    </comment>
    <comment ref="G26" authorId="0">
      <text>
        <r>
          <rPr>
            <b/>
            <sz val="8"/>
            <color indexed="81"/>
            <rFont val="Tahoma"/>
            <family val="2"/>
          </rPr>
          <t>SULIYAT: 
ISIKAN KEJADIAN/ PERILAKU SISWA</t>
        </r>
        <r>
          <rPr>
            <sz val="8"/>
            <color indexed="81"/>
            <rFont val="Tahoma"/>
            <family val="2"/>
          </rPr>
          <t xml:space="preserve">
</t>
        </r>
      </text>
    </comment>
    <comment ref="F27" authorId="0">
      <text>
        <r>
          <rPr>
            <b/>
            <sz val="8"/>
            <color indexed="81"/>
            <rFont val="Tahoma"/>
            <family val="2"/>
          </rPr>
          <t>SULIYAT: 
ISIKAN KEJADIAN/ PERILAKU SISWA</t>
        </r>
        <r>
          <rPr>
            <sz val="8"/>
            <color indexed="81"/>
            <rFont val="Tahoma"/>
            <family val="2"/>
          </rPr>
          <t xml:space="preserve">
</t>
        </r>
      </text>
    </comment>
    <comment ref="G27" authorId="0">
      <text>
        <r>
          <rPr>
            <b/>
            <sz val="8"/>
            <color indexed="81"/>
            <rFont val="Tahoma"/>
            <family val="2"/>
          </rPr>
          <t>SULIYAT: 
ISIKAN KEJADIAN/ PERILAKU SISWA</t>
        </r>
        <r>
          <rPr>
            <sz val="8"/>
            <color indexed="81"/>
            <rFont val="Tahoma"/>
            <family val="2"/>
          </rPr>
          <t xml:space="preserve">
</t>
        </r>
      </text>
    </comment>
    <comment ref="F28" authorId="0">
      <text>
        <r>
          <rPr>
            <b/>
            <sz val="8"/>
            <color indexed="81"/>
            <rFont val="Tahoma"/>
            <family val="2"/>
          </rPr>
          <t>SULIYAT: 
ISIKAN KEJADIAN/ PERILAKU SISWA</t>
        </r>
        <r>
          <rPr>
            <sz val="8"/>
            <color indexed="81"/>
            <rFont val="Tahoma"/>
            <family val="2"/>
          </rPr>
          <t xml:space="preserve">
</t>
        </r>
      </text>
    </comment>
    <comment ref="G28" authorId="0">
      <text>
        <r>
          <rPr>
            <b/>
            <sz val="8"/>
            <color indexed="81"/>
            <rFont val="Tahoma"/>
            <family val="2"/>
          </rPr>
          <t>SULIYAT: 
ISIKAN KEJADIAN/ PERILAKU SISWA</t>
        </r>
        <r>
          <rPr>
            <sz val="8"/>
            <color indexed="81"/>
            <rFont val="Tahoma"/>
            <family val="2"/>
          </rPr>
          <t xml:space="preserve">
</t>
        </r>
      </text>
    </comment>
    <comment ref="F29" authorId="0">
      <text>
        <r>
          <rPr>
            <b/>
            <sz val="8"/>
            <color indexed="81"/>
            <rFont val="Tahoma"/>
            <family val="2"/>
          </rPr>
          <t>SULIYAT: 
ISIKAN KEJADIAN/ PERILAKU SISWA</t>
        </r>
        <r>
          <rPr>
            <sz val="8"/>
            <color indexed="81"/>
            <rFont val="Tahoma"/>
            <family val="2"/>
          </rPr>
          <t xml:space="preserve">
</t>
        </r>
      </text>
    </comment>
    <comment ref="G29" authorId="0">
      <text>
        <r>
          <rPr>
            <b/>
            <sz val="8"/>
            <color indexed="81"/>
            <rFont val="Tahoma"/>
            <family val="2"/>
          </rPr>
          <t>SULIYAT: 
ISIKAN KEJADIAN/ PERILAKU SISWA</t>
        </r>
        <r>
          <rPr>
            <sz val="8"/>
            <color indexed="81"/>
            <rFont val="Tahoma"/>
            <family val="2"/>
          </rPr>
          <t xml:space="preserve">
</t>
        </r>
      </text>
    </comment>
    <comment ref="F30" authorId="0">
      <text>
        <r>
          <rPr>
            <b/>
            <sz val="8"/>
            <color indexed="81"/>
            <rFont val="Tahoma"/>
            <family val="2"/>
          </rPr>
          <t>SULIYAT: 
ISIKAN KEJADIAN/ PERILAKU SISWA</t>
        </r>
        <r>
          <rPr>
            <sz val="8"/>
            <color indexed="81"/>
            <rFont val="Tahoma"/>
            <family val="2"/>
          </rPr>
          <t xml:space="preserve">
</t>
        </r>
      </text>
    </comment>
    <comment ref="G30" authorId="0">
      <text>
        <r>
          <rPr>
            <b/>
            <sz val="8"/>
            <color indexed="81"/>
            <rFont val="Tahoma"/>
            <family val="2"/>
          </rPr>
          <t>SULIYAT: 
ISIKAN KEJADIAN/ PERILAKU SISWA</t>
        </r>
        <r>
          <rPr>
            <sz val="8"/>
            <color indexed="81"/>
            <rFont val="Tahoma"/>
            <family val="2"/>
          </rPr>
          <t xml:space="preserve">
</t>
        </r>
      </text>
    </comment>
    <comment ref="F31" authorId="0">
      <text>
        <r>
          <rPr>
            <b/>
            <sz val="8"/>
            <color indexed="81"/>
            <rFont val="Tahoma"/>
            <family val="2"/>
          </rPr>
          <t>SULIYAT: 
ISIKAN KEJADIAN/ PERILAKU SISWA</t>
        </r>
        <r>
          <rPr>
            <sz val="8"/>
            <color indexed="81"/>
            <rFont val="Tahoma"/>
            <family val="2"/>
          </rPr>
          <t xml:space="preserve">
</t>
        </r>
      </text>
    </comment>
    <comment ref="G31" authorId="0">
      <text>
        <r>
          <rPr>
            <b/>
            <sz val="8"/>
            <color indexed="81"/>
            <rFont val="Tahoma"/>
            <family val="2"/>
          </rPr>
          <t>SULIYAT: 
ISIKAN KEJADIAN/ PERILAKU SISWA</t>
        </r>
        <r>
          <rPr>
            <sz val="8"/>
            <color indexed="81"/>
            <rFont val="Tahoma"/>
            <family val="2"/>
          </rPr>
          <t xml:space="preserve">
</t>
        </r>
      </text>
    </comment>
    <comment ref="F32" authorId="0">
      <text>
        <r>
          <rPr>
            <b/>
            <sz val="8"/>
            <color indexed="81"/>
            <rFont val="Tahoma"/>
            <family val="2"/>
          </rPr>
          <t>SULIYAT: 
ISIKAN KEJADIAN/ PERILAKU SISWA</t>
        </r>
        <r>
          <rPr>
            <sz val="8"/>
            <color indexed="81"/>
            <rFont val="Tahoma"/>
            <family val="2"/>
          </rPr>
          <t xml:space="preserve">
</t>
        </r>
      </text>
    </comment>
    <comment ref="G32" authorId="0">
      <text>
        <r>
          <rPr>
            <b/>
            <sz val="8"/>
            <color indexed="81"/>
            <rFont val="Tahoma"/>
            <family val="2"/>
          </rPr>
          <t>SULIYAT: 
ISIKAN KEJADIAN/ PERILAKU SISWA</t>
        </r>
        <r>
          <rPr>
            <sz val="8"/>
            <color indexed="81"/>
            <rFont val="Tahoma"/>
            <family val="2"/>
          </rPr>
          <t xml:space="preserve">
</t>
        </r>
      </text>
    </comment>
    <comment ref="F33" authorId="0">
      <text>
        <r>
          <rPr>
            <b/>
            <sz val="8"/>
            <color indexed="81"/>
            <rFont val="Tahoma"/>
            <family val="2"/>
          </rPr>
          <t>SULIYAT: 
ISIKAN KEJADIAN/ PERILAKU SISWA</t>
        </r>
        <r>
          <rPr>
            <sz val="8"/>
            <color indexed="81"/>
            <rFont val="Tahoma"/>
            <family val="2"/>
          </rPr>
          <t xml:space="preserve">
</t>
        </r>
      </text>
    </comment>
    <comment ref="G33" authorId="0">
      <text>
        <r>
          <rPr>
            <b/>
            <sz val="8"/>
            <color indexed="81"/>
            <rFont val="Tahoma"/>
            <family val="2"/>
          </rPr>
          <t>SULIYAT: 
ISIKAN KEJADIAN/ PERILAKU SISWA</t>
        </r>
        <r>
          <rPr>
            <sz val="8"/>
            <color indexed="81"/>
            <rFont val="Tahoma"/>
            <family val="2"/>
          </rPr>
          <t xml:space="preserve">
</t>
        </r>
      </text>
    </comment>
    <comment ref="F34" authorId="0">
      <text>
        <r>
          <rPr>
            <b/>
            <sz val="8"/>
            <color indexed="81"/>
            <rFont val="Tahoma"/>
            <family val="2"/>
          </rPr>
          <t>SULIYAT: 
ISIKAN KEJADIAN/ PERILAKU SISWA</t>
        </r>
        <r>
          <rPr>
            <sz val="8"/>
            <color indexed="81"/>
            <rFont val="Tahoma"/>
            <family val="2"/>
          </rPr>
          <t xml:space="preserve">
</t>
        </r>
      </text>
    </comment>
    <comment ref="G34" authorId="0">
      <text>
        <r>
          <rPr>
            <b/>
            <sz val="8"/>
            <color indexed="81"/>
            <rFont val="Tahoma"/>
            <family val="2"/>
          </rPr>
          <t>SULIYAT: 
ISIKAN KEJADIAN/ PERILAKU SISWA</t>
        </r>
        <r>
          <rPr>
            <sz val="8"/>
            <color indexed="81"/>
            <rFont val="Tahoma"/>
            <family val="2"/>
          </rPr>
          <t xml:space="preserve">
</t>
        </r>
      </text>
    </comment>
    <comment ref="F35" authorId="0">
      <text>
        <r>
          <rPr>
            <b/>
            <sz val="8"/>
            <color indexed="81"/>
            <rFont val="Tahoma"/>
            <family val="2"/>
          </rPr>
          <t>SULIYAT: 
ISIKAN KEJADIAN/ PERILAKU SISWA</t>
        </r>
        <r>
          <rPr>
            <sz val="8"/>
            <color indexed="81"/>
            <rFont val="Tahoma"/>
            <family val="2"/>
          </rPr>
          <t xml:space="preserve">
</t>
        </r>
      </text>
    </comment>
    <comment ref="G35" authorId="0">
      <text>
        <r>
          <rPr>
            <b/>
            <sz val="8"/>
            <color indexed="81"/>
            <rFont val="Tahoma"/>
            <family val="2"/>
          </rPr>
          <t>SULIYAT: 
ISIKAN KEJADIAN/ PERILAKU SISWA</t>
        </r>
        <r>
          <rPr>
            <sz val="8"/>
            <color indexed="81"/>
            <rFont val="Tahoma"/>
            <family val="2"/>
          </rPr>
          <t xml:space="preserve">
</t>
        </r>
      </text>
    </comment>
    <comment ref="F36" authorId="0">
      <text>
        <r>
          <rPr>
            <b/>
            <sz val="8"/>
            <color indexed="81"/>
            <rFont val="Tahoma"/>
            <family val="2"/>
          </rPr>
          <t>SULIYAT: 
ISIKAN KEJADIAN/ PERILAKU SISWA</t>
        </r>
        <r>
          <rPr>
            <sz val="8"/>
            <color indexed="81"/>
            <rFont val="Tahoma"/>
            <family val="2"/>
          </rPr>
          <t xml:space="preserve">
</t>
        </r>
      </text>
    </comment>
    <comment ref="G36" authorId="0">
      <text>
        <r>
          <rPr>
            <b/>
            <sz val="8"/>
            <color indexed="81"/>
            <rFont val="Tahoma"/>
            <family val="2"/>
          </rPr>
          <t>SULIYAT: 
ISIKAN KEJADIAN/ PERILAKU SISWA</t>
        </r>
        <r>
          <rPr>
            <sz val="8"/>
            <color indexed="81"/>
            <rFont val="Tahoma"/>
            <family val="2"/>
          </rPr>
          <t xml:space="preserve">
</t>
        </r>
      </text>
    </comment>
    <comment ref="F37" authorId="0">
      <text>
        <r>
          <rPr>
            <b/>
            <sz val="8"/>
            <color indexed="81"/>
            <rFont val="Tahoma"/>
            <family val="2"/>
          </rPr>
          <t>SULIYAT: 
ISIKAN KEJADIAN/ PERILAKU SISWA</t>
        </r>
        <r>
          <rPr>
            <sz val="8"/>
            <color indexed="81"/>
            <rFont val="Tahoma"/>
            <family val="2"/>
          </rPr>
          <t xml:space="preserve">
</t>
        </r>
      </text>
    </comment>
    <comment ref="G37" authorId="0">
      <text>
        <r>
          <rPr>
            <b/>
            <sz val="8"/>
            <color indexed="81"/>
            <rFont val="Tahoma"/>
            <family val="2"/>
          </rPr>
          <t>SULIYAT: 
ISIKAN KEJADIAN/ PERILAKU SISWA</t>
        </r>
        <r>
          <rPr>
            <sz val="8"/>
            <color indexed="81"/>
            <rFont val="Tahoma"/>
            <family val="2"/>
          </rPr>
          <t xml:space="preserve">
</t>
        </r>
      </text>
    </comment>
    <comment ref="F38" authorId="0">
      <text>
        <r>
          <rPr>
            <b/>
            <sz val="8"/>
            <color indexed="81"/>
            <rFont val="Tahoma"/>
            <family val="2"/>
          </rPr>
          <t>SULIYAT: 
ISIKAN KEJADIAN/ PERILAKU SISWA</t>
        </r>
        <r>
          <rPr>
            <sz val="8"/>
            <color indexed="81"/>
            <rFont val="Tahoma"/>
            <family val="2"/>
          </rPr>
          <t xml:space="preserve">
</t>
        </r>
      </text>
    </comment>
    <comment ref="G38" authorId="0">
      <text>
        <r>
          <rPr>
            <b/>
            <sz val="8"/>
            <color indexed="81"/>
            <rFont val="Tahoma"/>
            <family val="2"/>
          </rPr>
          <t>SULIYAT: 
ISIKAN KEJADIAN/ PERILAKU SISWA</t>
        </r>
        <r>
          <rPr>
            <sz val="8"/>
            <color indexed="81"/>
            <rFont val="Tahoma"/>
            <family val="2"/>
          </rPr>
          <t xml:space="preserve">
</t>
        </r>
      </text>
    </comment>
    <comment ref="F39" authorId="0">
      <text>
        <r>
          <rPr>
            <b/>
            <sz val="8"/>
            <color indexed="81"/>
            <rFont val="Tahoma"/>
            <family val="2"/>
          </rPr>
          <t>SULIYAT: 
ISIKAN KEJADIAN/ PERILAKU SISWA</t>
        </r>
        <r>
          <rPr>
            <sz val="8"/>
            <color indexed="81"/>
            <rFont val="Tahoma"/>
            <family val="2"/>
          </rPr>
          <t xml:space="preserve">
</t>
        </r>
      </text>
    </comment>
    <comment ref="G39" authorId="0">
      <text>
        <r>
          <rPr>
            <b/>
            <sz val="8"/>
            <color indexed="81"/>
            <rFont val="Tahoma"/>
            <family val="2"/>
          </rPr>
          <t>SULIYAT: 
ISIKAN KEJADIAN/ PERILAKU SISWA</t>
        </r>
        <r>
          <rPr>
            <sz val="8"/>
            <color indexed="81"/>
            <rFont val="Tahoma"/>
            <family val="2"/>
          </rPr>
          <t xml:space="preserve">
</t>
        </r>
      </text>
    </comment>
    <comment ref="F40" authorId="0">
      <text>
        <r>
          <rPr>
            <b/>
            <sz val="8"/>
            <color indexed="81"/>
            <rFont val="Tahoma"/>
            <family val="2"/>
          </rPr>
          <t>SULIYAT: 
ISIKAN KEJADIAN/ PERILAKU SISWA</t>
        </r>
        <r>
          <rPr>
            <sz val="8"/>
            <color indexed="81"/>
            <rFont val="Tahoma"/>
            <family val="2"/>
          </rPr>
          <t xml:space="preserve">
</t>
        </r>
      </text>
    </comment>
    <comment ref="G40" authorId="0">
      <text>
        <r>
          <rPr>
            <b/>
            <sz val="8"/>
            <color indexed="81"/>
            <rFont val="Tahoma"/>
            <family val="2"/>
          </rPr>
          <t>SULIYAT: 
ISIKAN KEJADIAN/ PERILAKU SISWA</t>
        </r>
        <r>
          <rPr>
            <sz val="8"/>
            <color indexed="81"/>
            <rFont val="Tahoma"/>
            <family val="2"/>
          </rPr>
          <t xml:space="preserve">
</t>
        </r>
      </text>
    </comment>
    <comment ref="F41" authorId="0">
      <text>
        <r>
          <rPr>
            <b/>
            <sz val="8"/>
            <color indexed="81"/>
            <rFont val="Tahoma"/>
            <family val="2"/>
          </rPr>
          <t>SULIYAT: 
ISIKAN KEJADIAN/ PERILAKU SISWA</t>
        </r>
        <r>
          <rPr>
            <sz val="8"/>
            <color indexed="81"/>
            <rFont val="Tahoma"/>
            <family val="2"/>
          </rPr>
          <t xml:space="preserve">
</t>
        </r>
      </text>
    </comment>
    <comment ref="G41" authorId="0">
      <text>
        <r>
          <rPr>
            <b/>
            <sz val="8"/>
            <color indexed="81"/>
            <rFont val="Tahoma"/>
            <family val="2"/>
          </rPr>
          <t>SULIYAT: 
ISIKAN KEJADIAN/ PERILAKU SISWA</t>
        </r>
        <r>
          <rPr>
            <sz val="8"/>
            <color indexed="81"/>
            <rFont val="Tahoma"/>
            <family val="2"/>
          </rPr>
          <t xml:space="preserve">
</t>
        </r>
      </text>
    </comment>
    <comment ref="F42" authorId="0">
      <text>
        <r>
          <rPr>
            <b/>
            <sz val="8"/>
            <color indexed="81"/>
            <rFont val="Tahoma"/>
            <family val="2"/>
          </rPr>
          <t>SULIYAT: 
ISIKAN KEJADIAN/ PERILAKU SISWA</t>
        </r>
        <r>
          <rPr>
            <sz val="8"/>
            <color indexed="81"/>
            <rFont val="Tahoma"/>
            <family val="2"/>
          </rPr>
          <t xml:space="preserve">
</t>
        </r>
      </text>
    </comment>
    <comment ref="G42" authorId="0">
      <text>
        <r>
          <rPr>
            <b/>
            <sz val="8"/>
            <color indexed="81"/>
            <rFont val="Tahoma"/>
            <family val="2"/>
          </rPr>
          <t>SULIYAT: 
ISIKAN KEJADIAN/ PERILAKU SISWA</t>
        </r>
        <r>
          <rPr>
            <sz val="8"/>
            <color indexed="81"/>
            <rFont val="Tahoma"/>
            <family val="2"/>
          </rPr>
          <t xml:space="preserve">
</t>
        </r>
      </text>
    </comment>
    <comment ref="F43" authorId="0">
      <text>
        <r>
          <rPr>
            <b/>
            <sz val="8"/>
            <color indexed="81"/>
            <rFont val="Tahoma"/>
            <family val="2"/>
          </rPr>
          <t>SULIYAT: 
ISIKAN KEJADIAN/ PERILAKU SISWA</t>
        </r>
        <r>
          <rPr>
            <sz val="8"/>
            <color indexed="81"/>
            <rFont val="Tahoma"/>
            <family val="2"/>
          </rPr>
          <t xml:space="preserve">
</t>
        </r>
      </text>
    </comment>
    <comment ref="G43" authorId="0">
      <text>
        <r>
          <rPr>
            <b/>
            <sz val="8"/>
            <color indexed="81"/>
            <rFont val="Tahoma"/>
            <family val="2"/>
          </rPr>
          <t>SULIYAT: 
ISIKAN KEJADIAN/ PERILAKU SISWA</t>
        </r>
        <r>
          <rPr>
            <sz val="8"/>
            <color indexed="81"/>
            <rFont val="Tahoma"/>
            <family val="2"/>
          </rPr>
          <t xml:space="preserve">
</t>
        </r>
      </text>
    </comment>
    <comment ref="F44" authorId="0">
      <text>
        <r>
          <rPr>
            <b/>
            <sz val="8"/>
            <color indexed="81"/>
            <rFont val="Tahoma"/>
            <family val="2"/>
          </rPr>
          <t>SULIYAT: 
ISIKAN KEJADIAN/ PERILAKU SISWA</t>
        </r>
        <r>
          <rPr>
            <sz val="8"/>
            <color indexed="81"/>
            <rFont val="Tahoma"/>
            <family val="2"/>
          </rPr>
          <t xml:space="preserve">
</t>
        </r>
      </text>
    </comment>
    <comment ref="G44" authorId="0">
      <text>
        <r>
          <rPr>
            <b/>
            <sz val="8"/>
            <color indexed="81"/>
            <rFont val="Tahoma"/>
            <family val="2"/>
          </rPr>
          <t>SULIYAT: 
ISIKAN KEJADIAN/ PERILAKU SISWA</t>
        </r>
        <r>
          <rPr>
            <sz val="8"/>
            <color indexed="81"/>
            <rFont val="Tahoma"/>
            <family val="2"/>
          </rPr>
          <t xml:space="preserve">
</t>
        </r>
      </text>
    </comment>
    <comment ref="F45" authorId="0">
      <text>
        <r>
          <rPr>
            <b/>
            <sz val="8"/>
            <color indexed="81"/>
            <rFont val="Tahoma"/>
            <family val="2"/>
          </rPr>
          <t>SULIYAT: 
ISIKAN KEJADIAN/ PERILAKU SISWA</t>
        </r>
        <r>
          <rPr>
            <sz val="8"/>
            <color indexed="81"/>
            <rFont val="Tahoma"/>
            <family val="2"/>
          </rPr>
          <t xml:space="preserve">
</t>
        </r>
      </text>
    </comment>
    <comment ref="G45" authorId="0">
      <text>
        <r>
          <rPr>
            <b/>
            <sz val="8"/>
            <color indexed="81"/>
            <rFont val="Tahoma"/>
            <family val="2"/>
          </rPr>
          <t>SULIYAT: 
ISIKAN KEJADIAN/ PERILAKU SISWA</t>
        </r>
        <r>
          <rPr>
            <sz val="8"/>
            <color indexed="81"/>
            <rFont val="Tahoma"/>
            <family val="2"/>
          </rPr>
          <t xml:space="preserve">
</t>
        </r>
      </text>
    </comment>
    <comment ref="F46" authorId="0">
      <text>
        <r>
          <rPr>
            <b/>
            <sz val="8"/>
            <color indexed="81"/>
            <rFont val="Tahoma"/>
            <family val="2"/>
          </rPr>
          <t>SULIYAT: 
ISIKAN KEJADIAN/ PERILAKU SISWA</t>
        </r>
        <r>
          <rPr>
            <sz val="8"/>
            <color indexed="81"/>
            <rFont val="Tahoma"/>
            <family val="2"/>
          </rPr>
          <t xml:space="preserve">
</t>
        </r>
      </text>
    </comment>
    <comment ref="G46" authorId="0">
      <text>
        <r>
          <rPr>
            <b/>
            <sz val="8"/>
            <color indexed="81"/>
            <rFont val="Tahoma"/>
            <family val="2"/>
          </rPr>
          <t>SULIYAT: 
ISIKAN KEJADIAN/ PERILAKU SISWA</t>
        </r>
        <r>
          <rPr>
            <sz val="8"/>
            <color indexed="81"/>
            <rFont val="Tahoma"/>
            <family val="2"/>
          </rPr>
          <t xml:space="preserve">
</t>
        </r>
      </text>
    </comment>
    <comment ref="F47" authorId="0">
      <text>
        <r>
          <rPr>
            <b/>
            <sz val="8"/>
            <color indexed="81"/>
            <rFont val="Tahoma"/>
            <family val="2"/>
          </rPr>
          <t>SULIYAT: 
ISIKAN KEJADIAN/ PERILAKU SISWA</t>
        </r>
        <r>
          <rPr>
            <sz val="8"/>
            <color indexed="81"/>
            <rFont val="Tahoma"/>
            <family val="2"/>
          </rPr>
          <t xml:space="preserve">
</t>
        </r>
      </text>
    </comment>
    <comment ref="G47" authorId="0">
      <text>
        <r>
          <rPr>
            <b/>
            <sz val="8"/>
            <color indexed="81"/>
            <rFont val="Tahoma"/>
            <family val="2"/>
          </rPr>
          <t>SULIYAT: 
ISIKAN KEJADIAN/ PERILAKU SISWA</t>
        </r>
        <r>
          <rPr>
            <sz val="8"/>
            <color indexed="81"/>
            <rFont val="Tahoma"/>
            <family val="2"/>
          </rPr>
          <t xml:space="preserve">
</t>
        </r>
      </text>
    </comment>
    <comment ref="F48" authorId="0">
      <text>
        <r>
          <rPr>
            <b/>
            <sz val="8"/>
            <color indexed="81"/>
            <rFont val="Tahoma"/>
            <family val="2"/>
          </rPr>
          <t>SULIYAT: 
ISIKAN KEJADIAN/ PERILAKU SISWA</t>
        </r>
        <r>
          <rPr>
            <sz val="8"/>
            <color indexed="81"/>
            <rFont val="Tahoma"/>
            <family val="2"/>
          </rPr>
          <t xml:space="preserve">
</t>
        </r>
      </text>
    </comment>
    <comment ref="G48" authorId="0">
      <text>
        <r>
          <rPr>
            <b/>
            <sz val="8"/>
            <color indexed="81"/>
            <rFont val="Tahoma"/>
            <family val="2"/>
          </rPr>
          <t>SULIYAT: 
ISIKAN KEJADIAN/ PERILAKU SISWA</t>
        </r>
        <r>
          <rPr>
            <sz val="8"/>
            <color indexed="81"/>
            <rFont val="Tahoma"/>
            <family val="2"/>
          </rPr>
          <t xml:space="preserve">
</t>
        </r>
      </text>
    </comment>
    <comment ref="F49" authorId="0">
      <text>
        <r>
          <rPr>
            <b/>
            <sz val="8"/>
            <color indexed="81"/>
            <rFont val="Tahoma"/>
            <family val="2"/>
          </rPr>
          <t>SULIYAT: 
ISIKAN KEJADIAN/ PERILAKU SISWA</t>
        </r>
        <r>
          <rPr>
            <sz val="8"/>
            <color indexed="81"/>
            <rFont val="Tahoma"/>
            <family val="2"/>
          </rPr>
          <t xml:space="preserve">
</t>
        </r>
      </text>
    </comment>
    <comment ref="G49" authorId="0">
      <text>
        <r>
          <rPr>
            <b/>
            <sz val="8"/>
            <color indexed="81"/>
            <rFont val="Tahoma"/>
            <family val="2"/>
          </rPr>
          <t>SULIYAT: 
ISIKAN KEJADIAN/ PERILAKU SISWA</t>
        </r>
        <r>
          <rPr>
            <sz val="8"/>
            <color indexed="81"/>
            <rFont val="Tahoma"/>
            <family val="2"/>
          </rPr>
          <t xml:space="preserve">
</t>
        </r>
      </text>
    </comment>
    <comment ref="F50" authorId="0">
      <text>
        <r>
          <rPr>
            <b/>
            <sz val="8"/>
            <color indexed="81"/>
            <rFont val="Tahoma"/>
            <family val="2"/>
          </rPr>
          <t>SULIYAT: 
ISIKAN KEJADIAN/ PERILAKU SISWA</t>
        </r>
        <r>
          <rPr>
            <sz val="8"/>
            <color indexed="81"/>
            <rFont val="Tahoma"/>
            <family val="2"/>
          </rPr>
          <t xml:space="preserve">
</t>
        </r>
      </text>
    </comment>
    <comment ref="G50" authorId="0">
      <text>
        <r>
          <rPr>
            <b/>
            <sz val="8"/>
            <color indexed="81"/>
            <rFont val="Tahoma"/>
            <family val="2"/>
          </rPr>
          <t>SULIYAT: 
ISIKAN KEJADIAN/ PERILAKU SISWA</t>
        </r>
        <r>
          <rPr>
            <sz val="8"/>
            <color indexed="81"/>
            <rFont val="Tahoma"/>
            <family val="2"/>
          </rPr>
          <t xml:space="preserve">
</t>
        </r>
      </text>
    </comment>
    <comment ref="F51" authorId="0">
      <text>
        <r>
          <rPr>
            <b/>
            <sz val="8"/>
            <color indexed="81"/>
            <rFont val="Tahoma"/>
            <family val="2"/>
          </rPr>
          <t>SULIYAT: 
ISIKAN KEJADIAN/ PERILAKU SISWA</t>
        </r>
        <r>
          <rPr>
            <sz val="8"/>
            <color indexed="81"/>
            <rFont val="Tahoma"/>
            <family val="2"/>
          </rPr>
          <t xml:space="preserve">
</t>
        </r>
      </text>
    </comment>
    <comment ref="G51" authorId="0">
      <text>
        <r>
          <rPr>
            <b/>
            <sz val="8"/>
            <color indexed="81"/>
            <rFont val="Tahoma"/>
            <family val="2"/>
          </rPr>
          <t>SULIYAT: 
ISIKAN KEJADIAN/ PERILAKU SISWA</t>
        </r>
        <r>
          <rPr>
            <sz val="8"/>
            <color indexed="81"/>
            <rFont val="Tahoma"/>
            <family val="2"/>
          </rPr>
          <t xml:space="preserve">
</t>
        </r>
      </text>
    </comment>
    <comment ref="F52" authorId="0">
      <text>
        <r>
          <rPr>
            <b/>
            <sz val="8"/>
            <color indexed="81"/>
            <rFont val="Tahoma"/>
            <family val="2"/>
          </rPr>
          <t>SULIYAT: 
ISIKAN KEJADIAN/ PERILAKU SISWA</t>
        </r>
        <r>
          <rPr>
            <sz val="8"/>
            <color indexed="81"/>
            <rFont val="Tahoma"/>
            <family val="2"/>
          </rPr>
          <t xml:space="preserve">
</t>
        </r>
      </text>
    </comment>
    <comment ref="G52" authorId="0">
      <text>
        <r>
          <rPr>
            <b/>
            <sz val="8"/>
            <color indexed="81"/>
            <rFont val="Tahoma"/>
            <family val="2"/>
          </rPr>
          <t>SULIYAT: 
ISIKAN KEJADIAN/ PERILAKU SISWA</t>
        </r>
        <r>
          <rPr>
            <sz val="8"/>
            <color indexed="81"/>
            <rFont val="Tahoma"/>
            <family val="2"/>
          </rPr>
          <t xml:space="preserve">
</t>
        </r>
      </text>
    </comment>
  </commentList>
</comments>
</file>

<file path=xl/comments7.xml><?xml version="1.0" encoding="utf-8"?>
<comments xmlns="http://schemas.openxmlformats.org/spreadsheetml/2006/main">
  <authors>
    <author>Purnawanto</author>
    <author>CURRICULLUM</author>
  </authors>
  <commentList>
    <comment ref="C6" authorId="0">
      <text>
        <r>
          <rPr>
            <b/>
            <sz val="9"/>
            <color indexed="81"/>
            <rFont val="Tahoma"/>
            <family val="2"/>
          </rPr>
          <t>Suliyat:</t>
        </r>
        <r>
          <rPr>
            <sz val="9"/>
            <color indexed="81"/>
            <rFont val="Tahoma"/>
            <family val="2"/>
          </rPr>
          <t xml:space="preserve">
Isilah dengan Kriteria Penialain Portofolio Mapel Anda.</t>
        </r>
      </text>
    </comment>
    <comment ref="L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O6" authorId="0">
      <text>
        <r>
          <rPr>
            <b/>
            <sz val="9"/>
            <color indexed="81"/>
            <rFont val="Tahoma"/>
            <family val="2"/>
          </rPr>
          <t>Suliyat:</t>
        </r>
        <r>
          <rPr>
            <sz val="9"/>
            <color indexed="81"/>
            <rFont val="Tahoma"/>
            <family val="2"/>
          </rPr>
          <t xml:space="preserve">
Isilah dengan Kriteria Penialain Portofolio Mapel Anda.</t>
        </r>
      </text>
    </comment>
    <comment ref="X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A6" authorId="0">
      <text>
        <r>
          <rPr>
            <b/>
            <sz val="9"/>
            <color indexed="81"/>
            <rFont val="Tahoma"/>
            <family val="2"/>
          </rPr>
          <t>Suliyat:</t>
        </r>
        <r>
          <rPr>
            <sz val="9"/>
            <color indexed="81"/>
            <rFont val="Tahoma"/>
            <family val="2"/>
          </rPr>
          <t xml:space="preserve">
Isilah dengan Kriteria Penialain Portofolio Mapel Anda.</t>
        </r>
      </text>
    </comment>
    <comment ref="AJ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M6" authorId="0">
      <text>
        <r>
          <rPr>
            <b/>
            <sz val="9"/>
            <color indexed="81"/>
            <rFont val="Tahoma"/>
            <family val="2"/>
          </rPr>
          <t>Suliyat:</t>
        </r>
        <r>
          <rPr>
            <sz val="9"/>
            <color indexed="81"/>
            <rFont val="Tahoma"/>
            <family val="2"/>
          </rPr>
          <t xml:space="preserve">
Isilah dengan Kriteria Penialain Portofolio Mapel Anda.</t>
        </r>
      </text>
    </comment>
    <comment ref="AV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AY6" authorId="0">
      <text>
        <r>
          <rPr>
            <b/>
            <sz val="9"/>
            <color indexed="81"/>
            <rFont val="Tahoma"/>
            <family val="2"/>
          </rPr>
          <t>Suliyat:</t>
        </r>
        <r>
          <rPr>
            <sz val="9"/>
            <color indexed="81"/>
            <rFont val="Tahoma"/>
            <family val="2"/>
          </rPr>
          <t xml:space="preserve">
Isilah dengan Kriteria Penialain Portofolio Mapel Anda.</t>
        </r>
      </text>
    </comment>
    <comment ref="BH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K6" authorId="0">
      <text>
        <r>
          <rPr>
            <b/>
            <sz val="9"/>
            <color indexed="81"/>
            <rFont val="Tahoma"/>
            <family val="2"/>
          </rPr>
          <t>Suliyat:</t>
        </r>
        <r>
          <rPr>
            <sz val="9"/>
            <color indexed="81"/>
            <rFont val="Tahoma"/>
            <family val="2"/>
          </rPr>
          <t xml:space="preserve">
Isilah dengan Kriteria Penialain Portofolio Mapel Anda.</t>
        </r>
      </text>
    </comment>
    <comment ref="BT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BW6" authorId="0">
      <text>
        <r>
          <rPr>
            <b/>
            <sz val="9"/>
            <color indexed="81"/>
            <rFont val="Tahoma"/>
            <family val="2"/>
          </rPr>
          <t>Suliyat:</t>
        </r>
        <r>
          <rPr>
            <sz val="9"/>
            <color indexed="81"/>
            <rFont val="Tahoma"/>
            <family val="2"/>
          </rPr>
          <t xml:space="preserve">
Isilah dengan Kriteria Penialain Portofolio Mapel Anda.</t>
        </r>
      </text>
    </comment>
    <comment ref="CF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I6" authorId="0">
      <text>
        <r>
          <rPr>
            <b/>
            <sz val="9"/>
            <color indexed="81"/>
            <rFont val="Tahoma"/>
            <family val="2"/>
          </rPr>
          <t>Suliyat:</t>
        </r>
        <r>
          <rPr>
            <sz val="9"/>
            <color indexed="81"/>
            <rFont val="Tahoma"/>
            <family val="2"/>
          </rPr>
          <t xml:space="preserve">
Isilah dengan Kriteria Penialain Portofolio Mapel Anda.</t>
        </r>
      </text>
    </comment>
    <comment ref="CR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U6" authorId="0">
      <text>
        <r>
          <rPr>
            <b/>
            <sz val="9"/>
            <color indexed="81"/>
            <rFont val="Tahoma"/>
            <family val="2"/>
          </rPr>
          <t>Suliyat:</t>
        </r>
        <r>
          <rPr>
            <sz val="9"/>
            <color indexed="81"/>
            <rFont val="Tahoma"/>
            <family val="2"/>
          </rPr>
          <t xml:space="preserve">
Isilah dengan Kriteria Penialain Portofolio Mapel Anda.</t>
        </r>
      </text>
    </comment>
    <comment ref="DD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DG6" authorId="0">
      <text>
        <r>
          <rPr>
            <b/>
            <sz val="9"/>
            <color indexed="81"/>
            <rFont val="Tahoma"/>
            <family val="2"/>
          </rPr>
          <t>Suliyat:</t>
        </r>
        <r>
          <rPr>
            <sz val="9"/>
            <color indexed="81"/>
            <rFont val="Tahoma"/>
            <family val="2"/>
          </rPr>
          <t xml:space="preserve">
Isilah dengan Kriteria Penialain Portofolio Mapel Anda.</t>
        </r>
      </text>
    </comment>
    <comment ref="DP6" authorId="0">
      <text>
        <r>
          <rPr>
            <b/>
            <sz val="9"/>
            <color indexed="81"/>
            <rFont val="Tahoma"/>
            <family val="2"/>
          </rPr>
          <t>Suliyat:</t>
        </r>
        <r>
          <rPr>
            <sz val="9"/>
            <color indexed="81"/>
            <rFont val="Tahoma"/>
            <family val="2"/>
          </rPr>
          <t xml:space="preserve">
Isilah dengan rubrik penilaian Portofolio Mapel Anda. Misal 4 = ...; 3 = ...; 2 = ... dan 1 = ...</t>
        </r>
      </text>
    </comment>
    <comment ref="C17" authorId="1">
      <text>
        <r>
          <rPr>
            <b/>
            <sz val="9"/>
            <color indexed="81"/>
            <rFont val="Tahoma"/>
            <family val="2"/>
          </rPr>
          <t>SULIYAT:
ISIKAN DENGAN SKOR 
MAKSIMUMNYA, JIKA TIDAK ADA SKORNYA, DIKOSONGI SAJA</t>
        </r>
        <r>
          <rPr>
            <sz val="9"/>
            <color indexed="81"/>
            <rFont val="Tahoma"/>
            <family val="2"/>
          </rPr>
          <t xml:space="preserve">
</t>
        </r>
      </text>
    </comment>
    <comment ref="D17" authorId="1">
      <text>
        <r>
          <rPr>
            <b/>
            <sz val="9"/>
            <color indexed="81"/>
            <rFont val="Tahoma"/>
            <family val="2"/>
          </rPr>
          <t>SULIYAT:
ISIKAN DENGAN SKOR 
MAKSIMUMNYA, JIKA TIDAK ADA SKORNYA, DIKOSONGI SAJA</t>
        </r>
        <r>
          <rPr>
            <sz val="9"/>
            <color indexed="81"/>
            <rFont val="Tahoma"/>
            <family val="2"/>
          </rPr>
          <t xml:space="preserve">
</t>
        </r>
      </text>
    </comment>
    <comment ref="E17" authorId="1">
      <text>
        <r>
          <rPr>
            <b/>
            <sz val="9"/>
            <color indexed="81"/>
            <rFont val="Tahoma"/>
            <family val="2"/>
          </rPr>
          <t>SULIYAT:
ISIKAN DENGAN SKOR 
MAKSIMUMNYA, JIKA TIDAK ADA SKORNYA, DIKOSONGI SAJA</t>
        </r>
        <r>
          <rPr>
            <sz val="9"/>
            <color indexed="81"/>
            <rFont val="Tahoma"/>
            <family val="2"/>
          </rPr>
          <t xml:space="preserve">
</t>
        </r>
      </text>
    </comment>
    <comment ref="F17" authorId="1">
      <text>
        <r>
          <rPr>
            <b/>
            <sz val="9"/>
            <color indexed="81"/>
            <rFont val="Tahoma"/>
            <family val="2"/>
          </rPr>
          <t>SULIYAT:
ISIKAN DENGAN SKOR 
MAKSIMUMNYA, JIKA TIDAK ADA SKORNYA, DIKOSONGI SAJA</t>
        </r>
        <r>
          <rPr>
            <sz val="9"/>
            <color indexed="81"/>
            <rFont val="Tahoma"/>
            <family val="2"/>
          </rPr>
          <t xml:space="preserve">
</t>
        </r>
      </text>
    </comment>
    <comment ref="G17" authorId="1">
      <text>
        <r>
          <rPr>
            <b/>
            <sz val="9"/>
            <color indexed="81"/>
            <rFont val="Tahoma"/>
            <family val="2"/>
          </rPr>
          <t>SULIYAT:
ISIKAN DENGAN SKOR 
MAKSIMUMNYA, JIKA TIDAK ADA SKORNYA, DIKOSONGI SAJA</t>
        </r>
        <r>
          <rPr>
            <sz val="9"/>
            <color indexed="81"/>
            <rFont val="Tahoma"/>
            <family val="2"/>
          </rPr>
          <t xml:space="preserve">
</t>
        </r>
      </text>
    </comment>
    <comment ref="H17" authorId="1">
      <text>
        <r>
          <rPr>
            <b/>
            <sz val="9"/>
            <color indexed="81"/>
            <rFont val="Tahoma"/>
            <family val="2"/>
          </rPr>
          <t>SULIYAT:
ISIKAN DENGAN SKOR 
MAKSIMUMNYA, JIKA TIDAK ADA SKORNYA, DIKOSONGI SAJA</t>
        </r>
        <r>
          <rPr>
            <sz val="9"/>
            <color indexed="81"/>
            <rFont val="Tahoma"/>
            <family val="2"/>
          </rPr>
          <t xml:space="preserve">
</t>
        </r>
      </text>
    </comment>
    <comment ref="I17" authorId="1">
      <text>
        <r>
          <rPr>
            <b/>
            <sz val="9"/>
            <color indexed="81"/>
            <rFont val="Tahoma"/>
            <family val="2"/>
          </rPr>
          <t>SULIYAT:
ISIKAN DENGAN SKOR 
MAKSIMUMNYA, JIKA TIDAK ADA SKORNYA, DIKOSONGI SAJA</t>
        </r>
        <r>
          <rPr>
            <sz val="9"/>
            <color indexed="81"/>
            <rFont val="Tahoma"/>
            <family val="2"/>
          </rPr>
          <t xml:space="preserve">
</t>
        </r>
      </text>
    </comment>
    <comment ref="O17" authorId="1">
      <text>
        <r>
          <rPr>
            <b/>
            <sz val="9"/>
            <color indexed="81"/>
            <rFont val="Tahoma"/>
            <family val="2"/>
          </rPr>
          <t>SULIYAT:
ISIKAN DENGAN SKOR 
MAKSIMUMNYA, JIKA TIDAK ADA SKORNYA, DIKOSONGI SAJA</t>
        </r>
        <r>
          <rPr>
            <sz val="9"/>
            <color indexed="81"/>
            <rFont val="Tahoma"/>
            <family val="2"/>
          </rPr>
          <t xml:space="preserve">
</t>
        </r>
      </text>
    </comment>
    <comment ref="P17" authorId="1">
      <text>
        <r>
          <rPr>
            <b/>
            <sz val="9"/>
            <color indexed="81"/>
            <rFont val="Tahoma"/>
            <family val="2"/>
          </rPr>
          <t>SULIYAT:
ISIKAN DENGAN SKOR 
MAKSIMUMNYA, JIKA TIDAK ADA SKORNYA, DIKOSONGI SAJA</t>
        </r>
        <r>
          <rPr>
            <sz val="9"/>
            <color indexed="81"/>
            <rFont val="Tahoma"/>
            <family val="2"/>
          </rPr>
          <t xml:space="preserve">
</t>
        </r>
      </text>
    </comment>
    <comment ref="Q17" authorId="1">
      <text>
        <r>
          <rPr>
            <b/>
            <sz val="9"/>
            <color indexed="81"/>
            <rFont val="Tahoma"/>
            <family val="2"/>
          </rPr>
          <t>SULIYAT:
ISIKAN DENGAN SKOR 
MAKSIMUMNYA, JIKA TIDAK ADA SKORNYA, DIKOSONGI SAJA</t>
        </r>
        <r>
          <rPr>
            <sz val="9"/>
            <color indexed="81"/>
            <rFont val="Tahoma"/>
            <family val="2"/>
          </rPr>
          <t xml:space="preserve">
</t>
        </r>
      </text>
    </comment>
    <comment ref="R17" authorId="1">
      <text>
        <r>
          <rPr>
            <b/>
            <sz val="9"/>
            <color indexed="81"/>
            <rFont val="Tahoma"/>
            <family val="2"/>
          </rPr>
          <t>SULIYAT:
ISIKAN DENGAN SKOR 
MAKSIMUMNYA, JIKA TIDAK ADA SKORNYA, DIKOSONGI SAJA</t>
        </r>
        <r>
          <rPr>
            <sz val="9"/>
            <color indexed="81"/>
            <rFont val="Tahoma"/>
            <family val="2"/>
          </rPr>
          <t xml:space="preserve">
</t>
        </r>
      </text>
    </comment>
    <comment ref="S17" authorId="1">
      <text>
        <r>
          <rPr>
            <b/>
            <sz val="9"/>
            <color indexed="81"/>
            <rFont val="Tahoma"/>
            <family val="2"/>
          </rPr>
          <t>SULIYAT:
ISIKAN DENGAN SKOR 
MAKSIMUMNYA, JIKA TIDAK ADA SKORNYA, DIKOSONGI SAJA</t>
        </r>
        <r>
          <rPr>
            <sz val="9"/>
            <color indexed="81"/>
            <rFont val="Tahoma"/>
            <family val="2"/>
          </rPr>
          <t xml:space="preserve">
</t>
        </r>
      </text>
    </comment>
    <comment ref="T17" authorId="1">
      <text>
        <r>
          <rPr>
            <b/>
            <sz val="9"/>
            <color indexed="81"/>
            <rFont val="Tahoma"/>
            <family val="2"/>
          </rPr>
          <t>SULIYAT:
ISIKAN DENGAN SKOR 
MAKSIMUMNYA, JIKA TIDAK ADA SKORNYA, DIKOSONGI SAJA</t>
        </r>
        <r>
          <rPr>
            <sz val="9"/>
            <color indexed="81"/>
            <rFont val="Tahoma"/>
            <family val="2"/>
          </rPr>
          <t xml:space="preserve">
</t>
        </r>
      </text>
    </comment>
    <comment ref="U17" authorId="1">
      <text>
        <r>
          <rPr>
            <b/>
            <sz val="9"/>
            <color indexed="81"/>
            <rFont val="Tahoma"/>
            <family val="2"/>
          </rPr>
          <t>SULIYAT:
ISIKAN DENGAN SKOR 
MAKSIMUMNYA, JIKA TIDAK ADA SKORNYA, DIKOSONGI SAJA</t>
        </r>
        <r>
          <rPr>
            <sz val="9"/>
            <color indexed="81"/>
            <rFont val="Tahoma"/>
            <family val="2"/>
          </rPr>
          <t xml:space="preserve">
</t>
        </r>
      </text>
    </comment>
    <comment ref="AA17" authorId="1">
      <text>
        <r>
          <rPr>
            <b/>
            <sz val="9"/>
            <color indexed="81"/>
            <rFont val="Tahoma"/>
            <family val="2"/>
          </rPr>
          <t>SULIYAT:
ISIKAN DENGAN SKOR 
MAKSIMUMNYA, JIKA TIDAK ADA SKORNYA, DIKOSONGI SAJA</t>
        </r>
        <r>
          <rPr>
            <sz val="9"/>
            <color indexed="81"/>
            <rFont val="Tahoma"/>
            <family val="2"/>
          </rPr>
          <t xml:space="preserve">
</t>
        </r>
      </text>
    </comment>
    <comment ref="AB17" authorId="1">
      <text>
        <r>
          <rPr>
            <b/>
            <sz val="9"/>
            <color indexed="81"/>
            <rFont val="Tahoma"/>
            <family val="2"/>
          </rPr>
          <t>SULIYAT:
ISIKAN DENGAN SKOR 
MAKSIMUMNYA, JIKA TIDAK ADA SKORNYA, DIKOSONGI SAJA</t>
        </r>
        <r>
          <rPr>
            <sz val="9"/>
            <color indexed="81"/>
            <rFont val="Tahoma"/>
            <family val="2"/>
          </rPr>
          <t xml:space="preserve">
</t>
        </r>
      </text>
    </comment>
    <comment ref="AC17" authorId="1">
      <text>
        <r>
          <rPr>
            <b/>
            <sz val="9"/>
            <color indexed="81"/>
            <rFont val="Tahoma"/>
            <family val="2"/>
          </rPr>
          <t>SULIYAT:
ISIKAN DENGAN SKOR 
MAKSIMUMNYA, JIKA TIDAK ADA SKORNYA, DIKOSONGI SAJA</t>
        </r>
        <r>
          <rPr>
            <sz val="9"/>
            <color indexed="81"/>
            <rFont val="Tahoma"/>
            <family val="2"/>
          </rPr>
          <t xml:space="preserve">
</t>
        </r>
      </text>
    </comment>
    <comment ref="AD17" authorId="1">
      <text>
        <r>
          <rPr>
            <b/>
            <sz val="9"/>
            <color indexed="81"/>
            <rFont val="Tahoma"/>
            <family val="2"/>
          </rPr>
          <t>SULIYAT:
ISIKAN DENGAN SKOR 
MAKSIMUMNYA, JIKA TIDAK ADA SKORNYA, DIKOSONGI SAJA</t>
        </r>
        <r>
          <rPr>
            <sz val="9"/>
            <color indexed="81"/>
            <rFont val="Tahoma"/>
            <family val="2"/>
          </rPr>
          <t xml:space="preserve">
</t>
        </r>
      </text>
    </comment>
    <comment ref="AE17" authorId="1">
      <text>
        <r>
          <rPr>
            <b/>
            <sz val="9"/>
            <color indexed="81"/>
            <rFont val="Tahoma"/>
            <family val="2"/>
          </rPr>
          <t>SULIYAT:
ISIKAN DENGAN SKOR 
MAKSIMUMNYA, JIKA TIDAK ADA SKORNYA, DIKOSONGI SAJA</t>
        </r>
        <r>
          <rPr>
            <sz val="9"/>
            <color indexed="81"/>
            <rFont val="Tahoma"/>
            <family val="2"/>
          </rPr>
          <t xml:space="preserve">
</t>
        </r>
      </text>
    </comment>
    <comment ref="AF17" authorId="1">
      <text>
        <r>
          <rPr>
            <b/>
            <sz val="9"/>
            <color indexed="81"/>
            <rFont val="Tahoma"/>
            <family val="2"/>
          </rPr>
          <t>SULIYAT:
ISIKAN DENGAN SKOR 
MAKSIMUMNYA, JIKA TIDAK ADA SKORNYA, DIKOSONGI SAJA</t>
        </r>
        <r>
          <rPr>
            <sz val="9"/>
            <color indexed="81"/>
            <rFont val="Tahoma"/>
            <family val="2"/>
          </rPr>
          <t xml:space="preserve">
</t>
        </r>
      </text>
    </comment>
    <comment ref="AG17" authorId="1">
      <text>
        <r>
          <rPr>
            <b/>
            <sz val="9"/>
            <color indexed="81"/>
            <rFont val="Tahoma"/>
            <family val="2"/>
          </rPr>
          <t>SULIYAT:
ISIKAN DENGAN SKOR 
MAKSIMUMNYA, JIKA TIDAK ADA SKORNYA, DIKOSONGI SAJA</t>
        </r>
        <r>
          <rPr>
            <sz val="9"/>
            <color indexed="81"/>
            <rFont val="Tahoma"/>
            <family val="2"/>
          </rPr>
          <t xml:space="preserve">
</t>
        </r>
      </text>
    </comment>
    <comment ref="AM17" authorId="1">
      <text>
        <r>
          <rPr>
            <b/>
            <sz val="9"/>
            <color indexed="81"/>
            <rFont val="Tahoma"/>
            <family val="2"/>
          </rPr>
          <t>SULIYAT:
ISIKAN DENGAN SKOR 
MAKSIMUMNYA, JIKA TIDAK ADA SKORNYA, DIKOSONGI SAJA</t>
        </r>
        <r>
          <rPr>
            <sz val="9"/>
            <color indexed="81"/>
            <rFont val="Tahoma"/>
            <family val="2"/>
          </rPr>
          <t xml:space="preserve">
</t>
        </r>
      </text>
    </comment>
    <comment ref="AN17" authorId="1">
      <text>
        <r>
          <rPr>
            <b/>
            <sz val="9"/>
            <color indexed="81"/>
            <rFont val="Tahoma"/>
            <family val="2"/>
          </rPr>
          <t>SULIYAT:
ISIKAN DENGAN SKOR 
MAKSIMUMNYA, JIKA TIDAK ADA SKORNYA, DIKOSONGI SAJA</t>
        </r>
        <r>
          <rPr>
            <sz val="9"/>
            <color indexed="81"/>
            <rFont val="Tahoma"/>
            <family val="2"/>
          </rPr>
          <t xml:space="preserve">
</t>
        </r>
      </text>
    </comment>
    <comment ref="AO17" authorId="1">
      <text>
        <r>
          <rPr>
            <b/>
            <sz val="9"/>
            <color indexed="81"/>
            <rFont val="Tahoma"/>
            <family val="2"/>
          </rPr>
          <t>SULIYAT:
ISIKAN DENGAN SKOR 
MAKSIMUMNYA, JIKA TIDAK ADA SKORNYA, DIKOSONGI SAJA</t>
        </r>
        <r>
          <rPr>
            <sz val="9"/>
            <color indexed="81"/>
            <rFont val="Tahoma"/>
            <family val="2"/>
          </rPr>
          <t xml:space="preserve">
</t>
        </r>
      </text>
    </comment>
    <comment ref="AP17" authorId="1">
      <text>
        <r>
          <rPr>
            <b/>
            <sz val="9"/>
            <color indexed="81"/>
            <rFont val="Tahoma"/>
            <family val="2"/>
          </rPr>
          <t>SULIYAT:
ISIKAN DENGAN SKOR 
MAKSIMUMNYA, JIKA TIDAK ADA SKORNYA, DIKOSONGI SAJA</t>
        </r>
        <r>
          <rPr>
            <sz val="9"/>
            <color indexed="81"/>
            <rFont val="Tahoma"/>
            <family val="2"/>
          </rPr>
          <t xml:space="preserve">
</t>
        </r>
      </text>
    </comment>
    <comment ref="AQ17" authorId="1">
      <text>
        <r>
          <rPr>
            <b/>
            <sz val="9"/>
            <color indexed="81"/>
            <rFont val="Tahoma"/>
            <family val="2"/>
          </rPr>
          <t>SULIYAT:
ISIKAN DENGAN SKOR 
MAKSIMUMNYA, JIKA TIDAK ADA SKORNYA, DIKOSONGI SAJA</t>
        </r>
        <r>
          <rPr>
            <sz val="9"/>
            <color indexed="81"/>
            <rFont val="Tahoma"/>
            <family val="2"/>
          </rPr>
          <t xml:space="preserve">
</t>
        </r>
      </text>
    </comment>
    <comment ref="AR17" authorId="1">
      <text>
        <r>
          <rPr>
            <b/>
            <sz val="9"/>
            <color indexed="81"/>
            <rFont val="Tahoma"/>
            <family val="2"/>
          </rPr>
          <t>SULIYAT:
ISIKAN DENGAN SKOR 
MAKSIMUMNYA, JIKA TIDAK ADA SKORNYA, DIKOSONGI SAJA</t>
        </r>
        <r>
          <rPr>
            <sz val="9"/>
            <color indexed="81"/>
            <rFont val="Tahoma"/>
            <family val="2"/>
          </rPr>
          <t xml:space="preserve">
</t>
        </r>
      </text>
    </comment>
    <comment ref="AS17" authorId="1">
      <text>
        <r>
          <rPr>
            <b/>
            <sz val="9"/>
            <color indexed="81"/>
            <rFont val="Tahoma"/>
            <family val="2"/>
          </rPr>
          <t>SULIYAT:
ISIKAN DENGAN SKOR 
MAKSIMUMNYA, JIKA TIDAK ADA SKORNYA, DIKOSONGI SAJA</t>
        </r>
        <r>
          <rPr>
            <sz val="9"/>
            <color indexed="81"/>
            <rFont val="Tahoma"/>
            <family val="2"/>
          </rPr>
          <t xml:space="preserve">
</t>
        </r>
      </text>
    </comment>
    <comment ref="AY17" authorId="1">
      <text>
        <r>
          <rPr>
            <b/>
            <sz val="9"/>
            <color indexed="81"/>
            <rFont val="Tahoma"/>
            <family val="2"/>
          </rPr>
          <t>SULIYAT:
ISIKAN DENGAN SKOR 
MAKSIMUMNYA, JIKA TIDAK ADA SKORNYA, DIKOSONGI SAJA</t>
        </r>
        <r>
          <rPr>
            <sz val="9"/>
            <color indexed="81"/>
            <rFont val="Tahoma"/>
            <family val="2"/>
          </rPr>
          <t xml:space="preserve">
</t>
        </r>
      </text>
    </comment>
    <comment ref="AZ17" authorId="1">
      <text>
        <r>
          <rPr>
            <b/>
            <sz val="9"/>
            <color indexed="81"/>
            <rFont val="Tahoma"/>
            <family val="2"/>
          </rPr>
          <t>SULIYAT:
ISIKAN DENGAN SKOR 
MAKSIMUMNYA, JIKA TIDAK ADA SKORNYA, DIKOSONGI SAJA</t>
        </r>
        <r>
          <rPr>
            <sz val="9"/>
            <color indexed="81"/>
            <rFont val="Tahoma"/>
            <family val="2"/>
          </rPr>
          <t xml:space="preserve">
</t>
        </r>
      </text>
    </comment>
    <comment ref="BA17" authorId="1">
      <text>
        <r>
          <rPr>
            <b/>
            <sz val="9"/>
            <color indexed="81"/>
            <rFont val="Tahoma"/>
            <family val="2"/>
          </rPr>
          <t>SULIYAT:
ISIKAN DENGAN SKOR 
MAKSIMUMNYA, JIKA TIDAK ADA SKORNYA, DIKOSONGI SAJA</t>
        </r>
        <r>
          <rPr>
            <sz val="9"/>
            <color indexed="81"/>
            <rFont val="Tahoma"/>
            <family val="2"/>
          </rPr>
          <t xml:space="preserve">
</t>
        </r>
      </text>
    </comment>
    <comment ref="BB17" authorId="1">
      <text>
        <r>
          <rPr>
            <b/>
            <sz val="9"/>
            <color indexed="81"/>
            <rFont val="Tahoma"/>
            <family val="2"/>
          </rPr>
          <t>SULIYAT:
ISIKAN DENGAN SKOR 
MAKSIMUMNYA, JIKA TIDAK ADA SKORNYA, DIKOSONGI SAJA</t>
        </r>
        <r>
          <rPr>
            <sz val="9"/>
            <color indexed="81"/>
            <rFont val="Tahoma"/>
            <family val="2"/>
          </rPr>
          <t xml:space="preserve">
</t>
        </r>
      </text>
    </comment>
    <comment ref="BC17" authorId="1">
      <text>
        <r>
          <rPr>
            <b/>
            <sz val="9"/>
            <color indexed="81"/>
            <rFont val="Tahoma"/>
            <family val="2"/>
          </rPr>
          <t>SULIYAT:
ISIKAN DENGAN SKOR 
MAKSIMUMNYA, JIKA TIDAK ADA SKORNYA, DIKOSONGI SAJA</t>
        </r>
        <r>
          <rPr>
            <sz val="9"/>
            <color indexed="81"/>
            <rFont val="Tahoma"/>
            <family val="2"/>
          </rPr>
          <t xml:space="preserve">
</t>
        </r>
      </text>
    </comment>
    <comment ref="BD17" authorId="1">
      <text>
        <r>
          <rPr>
            <b/>
            <sz val="9"/>
            <color indexed="81"/>
            <rFont val="Tahoma"/>
            <family val="2"/>
          </rPr>
          <t>SULIYAT:
ISIKAN DENGAN SKOR 
MAKSIMUMNYA, JIKA TIDAK ADA SKORNYA, DIKOSONGI SAJA</t>
        </r>
        <r>
          <rPr>
            <sz val="9"/>
            <color indexed="81"/>
            <rFont val="Tahoma"/>
            <family val="2"/>
          </rPr>
          <t xml:space="preserve">
</t>
        </r>
      </text>
    </comment>
    <comment ref="BE17" authorId="1">
      <text>
        <r>
          <rPr>
            <b/>
            <sz val="9"/>
            <color indexed="81"/>
            <rFont val="Tahoma"/>
            <family val="2"/>
          </rPr>
          <t>SULIYAT:
ISIKAN DENGAN SKOR 
MAKSIMUMNYA, JIKA TIDAK ADA SKORNYA, DIKOSONGI SAJA</t>
        </r>
        <r>
          <rPr>
            <sz val="9"/>
            <color indexed="81"/>
            <rFont val="Tahoma"/>
            <family val="2"/>
          </rPr>
          <t xml:space="preserve">
</t>
        </r>
      </text>
    </comment>
    <comment ref="BK17" authorId="1">
      <text>
        <r>
          <rPr>
            <b/>
            <sz val="9"/>
            <color indexed="81"/>
            <rFont val="Tahoma"/>
            <family val="2"/>
          </rPr>
          <t>SULIYAT:
ISIKAN DENGAN SKOR 
MAKSIMUMNYA, JIKA TIDAK ADA SKORNYA, DIKOSONGI SAJA</t>
        </r>
        <r>
          <rPr>
            <sz val="9"/>
            <color indexed="81"/>
            <rFont val="Tahoma"/>
            <family val="2"/>
          </rPr>
          <t xml:space="preserve">
</t>
        </r>
      </text>
    </comment>
    <comment ref="BL17" authorId="1">
      <text>
        <r>
          <rPr>
            <b/>
            <sz val="9"/>
            <color indexed="81"/>
            <rFont val="Tahoma"/>
            <family val="2"/>
          </rPr>
          <t>SULIYAT:
ISIKAN DENGAN SKOR 
MAKSIMUMNYA, JIKA TIDAK ADA SKORNYA, DIKOSONGI SAJA</t>
        </r>
        <r>
          <rPr>
            <sz val="9"/>
            <color indexed="81"/>
            <rFont val="Tahoma"/>
            <family val="2"/>
          </rPr>
          <t xml:space="preserve">
</t>
        </r>
      </text>
    </comment>
    <comment ref="BM17" authorId="1">
      <text>
        <r>
          <rPr>
            <b/>
            <sz val="9"/>
            <color indexed="81"/>
            <rFont val="Tahoma"/>
            <family val="2"/>
          </rPr>
          <t>SULIYAT:
ISIKAN DENGAN SKOR 
MAKSIMUMNYA, JIKA TIDAK ADA SKORNYA, DIKOSONGI SAJA</t>
        </r>
        <r>
          <rPr>
            <sz val="9"/>
            <color indexed="81"/>
            <rFont val="Tahoma"/>
            <family val="2"/>
          </rPr>
          <t xml:space="preserve">
</t>
        </r>
      </text>
    </comment>
    <comment ref="BN17" authorId="1">
      <text>
        <r>
          <rPr>
            <b/>
            <sz val="9"/>
            <color indexed="81"/>
            <rFont val="Tahoma"/>
            <family val="2"/>
          </rPr>
          <t>SULIYAT:
ISIKAN DENGAN SKOR 
MAKSIMUMNYA, JIKA TIDAK ADA SKORNYA, DIKOSONGI SAJA</t>
        </r>
        <r>
          <rPr>
            <sz val="9"/>
            <color indexed="81"/>
            <rFont val="Tahoma"/>
            <family val="2"/>
          </rPr>
          <t xml:space="preserve">
</t>
        </r>
      </text>
    </comment>
    <comment ref="BO17" authorId="1">
      <text>
        <r>
          <rPr>
            <b/>
            <sz val="9"/>
            <color indexed="81"/>
            <rFont val="Tahoma"/>
            <family val="2"/>
          </rPr>
          <t>SULIYAT:
ISIKAN DENGAN SKOR 
MAKSIMUMNYA, JIKA TIDAK ADA SKORNYA, DIKOSONGI SAJA</t>
        </r>
        <r>
          <rPr>
            <sz val="9"/>
            <color indexed="81"/>
            <rFont val="Tahoma"/>
            <family val="2"/>
          </rPr>
          <t xml:space="preserve">
</t>
        </r>
      </text>
    </comment>
    <comment ref="BP17" authorId="1">
      <text>
        <r>
          <rPr>
            <b/>
            <sz val="9"/>
            <color indexed="81"/>
            <rFont val="Tahoma"/>
            <family val="2"/>
          </rPr>
          <t>SULIYAT:
ISIKAN DENGAN SKOR 
MAKSIMUMNYA, JIKA TIDAK ADA SKORNYA, DIKOSONGI SAJA</t>
        </r>
        <r>
          <rPr>
            <sz val="9"/>
            <color indexed="81"/>
            <rFont val="Tahoma"/>
            <family val="2"/>
          </rPr>
          <t xml:space="preserve">
</t>
        </r>
      </text>
    </comment>
    <comment ref="BQ17" authorId="1">
      <text>
        <r>
          <rPr>
            <b/>
            <sz val="9"/>
            <color indexed="81"/>
            <rFont val="Tahoma"/>
            <family val="2"/>
          </rPr>
          <t>SULIYAT:
ISIKAN DENGAN SKOR 
MAKSIMUMNYA, JIKA TIDAK ADA SKORNYA, DIKOSONGI SAJA</t>
        </r>
        <r>
          <rPr>
            <sz val="9"/>
            <color indexed="81"/>
            <rFont val="Tahoma"/>
            <family val="2"/>
          </rPr>
          <t xml:space="preserve">
</t>
        </r>
      </text>
    </comment>
    <comment ref="BW17" authorId="1">
      <text>
        <r>
          <rPr>
            <b/>
            <sz val="9"/>
            <color indexed="81"/>
            <rFont val="Tahoma"/>
            <family val="2"/>
          </rPr>
          <t>SULIYAT:
ISIKAN DENGAN SKOR 
MAKSIMUMNYA, JIKA TIDAK ADA SKORNYA, DIKOSONGI SAJA</t>
        </r>
        <r>
          <rPr>
            <sz val="9"/>
            <color indexed="81"/>
            <rFont val="Tahoma"/>
            <family val="2"/>
          </rPr>
          <t xml:space="preserve">
</t>
        </r>
      </text>
    </comment>
    <comment ref="BX17" authorId="1">
      <text>
        <r>
          <rPr>
            <b/>
            <sz val="9"/>
            <color indexed="81"/>
            <rFont val="Tahoma"/>
            <family val="2"/>
          </rPr>
          <t>SULIYAT:
ISIKAN DENGAN SKOR 
MAKSIMUMNYA, JIKA TIDAK ADA SKORNYA, DIKOSONGI SAJA</t>
        </r>
        <r>
          <rPr>
            <sz val="9"/>
            <color indexed="81"/>
            <rFont val="Tahoma"/>
            <family val="2"/>
          </rPr>
          <t xml:space="preserve">
</t>
        </r>
      </text>
    </comment>
    <comment ref="BY17" authorId="1">
      <text>
        <r>
          <rPr>
            <b/>
            <sz val="9"/>
            <color indexed="81"/>
            <rFont val="Tahoma"/>
            <family val="2"/>
          </rPr>
          <t>SULIYAT:
ISIKAN DENGAN SKOR 
MAKSIMUMNYA, JIKA TIDAK ADA SKORNYA, DIKOSONGI SAJA</t>
        </r>
        <r>
          <rPr>
            <sz val="9"/>
            <color indexed="81"/>
            <rFont val="Tahoma"/>
            <family val="2"/>
          </rPr>
          <t xml:space="preserve">
</t>
        </r>
      </text>
    </comment>
    <comment ref="BZ17" authorId="1">
      <text>
        <r>
          <rPr>
            <b/>
            <sz val="9"/>
            <color indexed="81"/>
            <rFont val="Tahoma"/>
            <family val="2"/>
          </rPr>
          <t>SULIYAT:
ISIKAN DENGAN SKOR 
MAKSIMUMNYA, JIKA TIDAK ADA SKORNYA, DIKOSONGI SAJA</t>
        </r>
        <r>
          <rPr>
            <sz val="9"/>
            <color indexed="81"/>
            <rFont val="Tahoma"/>
            <family val="2"/>
          </rPr>
          <t xml:space="preserve">
</t>
        </r>
      </text>
    </comment>
    <comment ref="CA17" authorId="1">
      <text>
        <r>
          <rPr>
            <b/>
            <sz val="9"/>
            <color indexed="81"/>
            <rFont val="Tahoma"/>
            <family val="2"/>
          </rPr>
          <t>SULIYAT:
ISIKAN DENGAN SKOR 
MAKSIMUMNYA, JIKA TIDAK ADA SKORNYA, DIKOSONGI SAJA</t>
        </r>
        <r>
          <rPr>
            <sz val="9"/>
            <color indexed="81"/>
            <rFont val="Tahoma"/>
            <family val="2"/>
          </rPr>
          <t xml:space="preserve">
</t>
        </r>
      </text>
    </comment>
    <comment ref="CB17" authorId="1">
      <text>
        <r>
          <rPr>
            <b/>
            <sz val="9"/>
            <color indexed="81"/>
            <rFont val="Tahoma"/>
            <family val="2"/>
          </rPr>
          <t>SULIYAT:
ISIKAN DENGAN SKOR 
MAKSIMUMNYA, JIKA TIDAK ADA SKORNYA, DIKOSONGI SAJA</t>
        </r>
        <r>
          <rPr>
            <sz val="9"/>
            <color indexed="81"/>
            <rFont val="Tahoma"/>
            <family val="2"/>
          </rPr>
          <t xml:space="preserve">
</t>
        </r>
      </text>
    </comment>
    <comment ref="CC17" authorId="1">
      <text>
        <r>
          <rPr>
            <b/>
            <sz val="9"/>
            <color indexed="81"/>
            <rFont val="Tahoma"/>
            <family val="2"/>
          </rPr>
          <t>SULIYAT:
ISIKAN DENGAN SKOR 
MAKSIMUMNYA, JIKA TIDAK ADA SKORNYA, DIKOSONGI SAJA</t>
        </r>
        <r>
          <rPr>
            <sz val="9"/>
            <color indexed="81"/>
            <rFont val="Tahoma"/>
            <family val="2"/>
          </rPr>
          <t xml:space="preserve">
</t>
        </r>
      </text>
    </comment>
    <comment ref="CI17" authorId="1">
      <text>
        <r>
          <rPr>
            <b/>
            <sz val="9"/>
            <color indexed="81"/>
            <rFont val="Tahoma"/>
            <family val="2"/>
          </rPr>
          <t>SULIYAT:
ISIKAN DENGAN SKOR 
MAKSIMUMNYA, JIKA TIDAK ADA SKORNYA, DIKOSONGI SAJA</t>
        </r>
        <r>
          <rPr>
            <sz val="9"/>
            <color indexed="81"/>
            <rFont val="Tahoma"/>
            <family val="2"/>
          </rPr>
          <t xml:space="preserve">
</t>
        </r>
      </text>
    </comment>
    <comment ref="CJ17" authorId="1">
      <text>
        <r>
          <rPr>
            <b/>
            <sz val="9"/>
            <color indexed="81"/>
            <rFont val="Tahoma"/>
            <family val="2"/>
          </rPr>
          <t>SULIYAT:
ISIKAN DENGAN SKOR 
MAKSIMUMNYA, JIKA TIDAK ADA SKORNYA, DIKOSONGI SAJA</t>
        </r>
        <r>
          <rPr>
            <sz val="9"/>
            <color indexed="81"/>
            <rFont val="Tahoma"/>
            <family val="2"/>
          </rPr>
          <t xml:space="preserve">
</t>
        </r>
      </text>
    </comment>
    <comment ref="CK17" authorId="1">
      <text>
        <r>
          <rPr>
            <b/>
            <sz val="9"/>
            <color indexed="81"/>
            <rFont val="Tahoma"/>
            <family val="2"/>
          </rPr>
          <t>SULIYAT:
ISIKAN DENGAN SKOR 
MAKSIMUMNYA, JIKA TIDAK ADA SKORNYA, DIKOSONGI SAJA</t>
        </r>
        <r>
          <rPr>
            <sz val="9"/>
            <color indexed="81"/>
            <rFont val="Tahoma"/>
            <family val="2"/>
          </rPr>
          <t xml:space="preserve">
</t>
        </r>
      </text>
    </comment>
    <comment ref="CL17" authorId="1">
      <text>
        <r>
          <rPr>
            <b/>
            <sz val="9"/>
            <color indexed="81"/>
            <rFont val="Tahoma"/>
            <family val="2"/>
          </rPr>
          <t>SULIYAT:
ISIKAN DENGAN SKOR 
MAKSIMUMNYA, JIKA TIDAK ADA SKORNYA, DIKOSONGI SAJA</t>
        </r>
        <r>
          <rPr>
            <sz val="9"/>
            <color indexed="81"/>
            <rFont val="Tahoma"/>
            <family val="2"/>
          </rPr>
          <t xml:space="preserve">
</t>
        </r>
      </text>
    </comment>
    <comment ref="CM17" authorId="1">
      <text>
        <r>
          <rPr>
            <b/>
            <sz val="9"/>
            <color indexed="81"/>
            <rFont val="Tahoma"/>
            <family val="2"/>
          </rPr>
          <t>SULIYAT:
ISIKAN DENGAN SKOR 
MAKSIMUMNYA, JIKA TIDAK ADA SKORNYA, DIKOSONGI SAJA</t>
        </r>
        <r>
          <rPr>
            <sz val="9"/>
            <color indexed="81"/>
            <rFont val="Tahoma"/>
            <family val="2"/>
          </rPr>
          <t xml:space="preserve">
</t>
        </r>
      </text>
    </comment>
    <comment ref="CN17" authorId="1">
      <text>
        <r>
          <rPr>
            <b/>
            <sz val="9"/>
            <color indexed="81"/>
            <rFont val="Tahoma"/>
            <family val="2"/>
          </rPr>
          <t>SULIYAT:
ISIKAN DENGAN SKOR 
MAKSIMUMNYA, JIKA TIDAK ADA SKORNYA, DIKOSONGI SAJA</t>
        </r>
        <r>
          <rPr>
            <sz val="9"/>
            <color indexed="81"/>
            <rFont val="Tahoma"/>
            <family val="2"/>
          </rPr>
          <t xml:space="preserve">
</t>
        </r>
      </text>
    </comment>
    <comment ref="CO17" authorId="1">
      <text>
        <r>
          <rPr>
            <b/>
            <sz val="9"/>
            <color indexed="81"/>
            <rFont val="Tahoma"/>
            <family val="2"/>
          </rPr>
          <t>SULIYAT:
ISIKAN DENGAN SKOR 
MAKSIMUMNYA, JIKA TIDAK ADA SKORNYA, DIKOSONGI SAJA</t>
        </r>
        <r>
          <rPr>
            <sz val="9"/>
            <color indexed="81"/>
            <rFont val="Tahoma"/>
            <family val="2"/>
          </rPr>
          <t xml:space="preserve">
</t>
        </r>
      </text>
    </comment>
    <comment ref="CU17" authorId="1">
      <text>
        <r>
          <rPr>
            <b/>
            <sz val="9"/>
            <color indexed="81"/>
            <rFont val="Tahoma"/>
            <family val="2"/>
          </rPr>
          <t>SULIYAT:
ISIKAN DENGAN SKOR 
MAKSIMUMNYA, JIKA TIDAK ADA SKORNYA, DIKOSONGI SAJA</t>
        </r>
        <r>
          <rPr>
            <sz val="9"/>
            <color indexed="81"/>
            <rFont val="Tahoma"/>
            <family val="2"/>
          </rPr>
          <t xml:space="preserve">
</t>
        </r>
      </text>
    </comment>
    <comment ref="CV17" authorId="1">
      <text>
        <r>
          <rPr>
            <b/>
            <sz val="9"/>
            <color indexed="81"/>
            <rFont val="Tahoma"/>
            <family val="2"/>
          </rPr>
          <t>SULIYAT:
ISIKAN DENGAN SKOR 
MAKSIMUMNYA, JIKA TIDAK ADA SKORNYA, DIKOSONGI SAJA</t>
        </r>
        <r>
          <rPr>
            <sz val="9"/>
            <color indexed="81"/>
            <rFont val="Tahoma"/>
            <family val="2"/>
          </rPr>
          <t xml:space="preserve">
</t>
        </r>
      </text>
    </comment>
    <comment ref="CW17" authorId="1">
      <text>
        <r>
          <rPr>
            <b/>
            <sz val="9"/>
            <color indexed="81"/>
            <rFont val="Tahoma"/>
            <family val="2"/>
          </rPr>
          <t>SULIYAT:
ISIKAN DENGAN SKOR 
MAKSIMUMNYA, JIKA TIDAK ADA SKORNYA, DIKOSONGI SAJA</t>
        </r>
        <r>
          <rPr>
            <sz val="9"/>
            <color indexed="81"/>
            <rFont val="Tahoma"/>
            <family val="2"/>
          </rPr>
          <t xml:space="preserve">
</t>
        </r>
      </text>
    </comment>
    <comment ref="CX17" authorId="1">
      <text>
        <r>
          <rPr>
            <b/>
            <sz val="9"/>
            <color indexed="81"/>
            <rFont val="Tahoma"/>
            <family val="2"/>
          </rPr>
          <t>SULIYAT:
ISIKAN DENGAN SKOR 
MAKSIMUMNYA, JIKA TIDAK ADA SKORNYA, DIKOSONGI SAJA</t>
        </r>
        <r>
          <rPr>
            <sz val="9"/>
            <color indexed="81"/>
            <rFont val="Tahoma"/>
            <family val="2"/>
          </rPr>
          <t xml:space="preserve">
</t>
        </r>
      </text>
    </comment>
    <comment ref="CY17" authorId="1">
      <text>
        <r>
          <rPr>
            <b/>
            <sz val="9"/>
            <color indexed="81"/>
            <rFont val="Tahoma"/>
            <family val="2"/>
          </rPr>
          <t>SULIYAT:
ISIKAN DENGAN SKOR 
MAKSIMUMNYA, JIKA TIDAK ADA SKORNYA, DIKOSONGI SAJA</t>
        </r>
        <r>
          <rPr>
            <sz val="9"/>
            <color indexed="81"/>
            <rFont val="Tahoma"/>
            <family val="2"/>
          </rPr>
          <t xml:space="preserve">
</t>
        </r>
      </text>
    </comment>
    <comment ref="CZ17" authorId="1">
      <text>
        <r>
          <rPr>
            <b/>
            <sz val="9"/>
            <color indexed="81"/>
            <rFont val="Tahoma"/>
            <family val="2"/>
          </rPr>
          <t>SULIYAT:
ISIKAN DENGAN SKOR 
MAKSIMUMNYA, JIKA TIDAK ADA SKORNYA, DIKOSONGI SAJA</t>
        </r>
        <r>
          <rPr>
            <sz val="9"/>
            <color indexed="81"/>
            <rFont val="Tahoma"/>
            <family val="2"/>
          </rPr>
          <t xml:space="preserve">
</t>
        </r>
      </text>
    </comment>
    <comment ref="DA17" authorId="1">
      <text>
        <r>
          <rPr>
            <b/>
            <sz val="9"/>
            <color indexed="81"/>
            <rFont val="Tahoma"/>
            <family val="2"/>
          </rPr>
          <t>SULIYAT:
ISIKAN DENGAN SKOR 
MAKSIMUMNYA, JIKA TIDAK ADA SKORNYA, DIKOSONGI SAJA</t>
        </r>
        <r>
          <rPr>
            <sz val="9"/>
            <color indexed="81"/>
            <rFont val="Tahoma"/>
            <family val="2"/>
          </rPr>
          <t xml:space="preserve">
</t>
        </r>
      </text>
    </comment>
    <comment ref="DG17" authorId="1">
      <text>
        <r>
          <rPr>
            <b/>
            <sz val="9"/>
            <color indexed="81"/>
            <rFont val="Tahoma"/>
            <family val="2"/>
          </rPr>
          <t>SULIYAT:
ISIKAN DENGAN SKOR 
MAKSIMUMNYA, JIKA TIDAK ADA SKORNYA, DIKOSONGI SAJA</t>
        </r>
        <r>
          <rPr>
            <sz val="9"/>
            <color indexed="81"/>
            <rFont val="Tahoma"/>
            <family val="2"/>
          </rPr>
          <t xml:space="preserve">
</t>
        </r>
      </text>
    </comment>
    <comment ref="DH17" authorId="1">
      <text>
        <r>
          <rPr>
            <b/>
            <sz val="9"/>
            <color indexed="81"/>
            <rFont val="Tahoma"/>
            <family val="2"/>
          </rPr>
          <t>SULIYAT:
ISIKAN DENGAN SKOR 
MAKSIMUMNYA, JIKA TIDAK ADA SKORNYA, DIKOSONGI SAJA</t>
        </r>
        <r>
          <rPr>
            <sz val="9"/>
            <color indexed="81"/>
            <rFont val="Tahoma"/>
            <family val="2"/>
          </rPr>
          <t xml:space="preserve">
</t>
        </r>
      </text>
    </comment>
    <comment ref="DI17" authorId="1">
      <text>
        <r>
          <rPr>
            <b/>
            <sz val="9"/>
            <color indexed="81"/>
            <rFont val="Tahoma"/>
            <family val="2"/>
          </rPr>
          <t>SULIYAT:
ISIKAN DENGAN SKOR 
MAKSIMUMNYA, JIKA TIDAK ADA SKORNYA, DIKOSONGI SAJA</t>
        </r>
        <r>
          <rPr>
            <sz val="9"/>
            <color indexed="81"/>
            <rFont val="Tahoma"/>
            <family val="2"/>
          </rPr>
          <t xml:space="preserve">
</t>
        </r>
      </text>
    </comment>
    <comment ref="DJ17" authorId="1">
      <text>
        <r>
          <rPr>
            <b/>
            <sz val="9"/>
            <color indexed="81"/>
            <rFont val="Tahoma"/>
            <family val="2"/>
          </rPr>
          <t>SULIYAT:
ISIKAN DENGAN SKOR 
MAKSIMUMNYA, JIKA TIDAK ADA SKORNYA, DIKOSONGI SAJA</t>
        </r>
        <r>
          <rPr>
            <sz val="9"/>
            <color indexed="81"/>
            <rFont val="Tahoma"/>
            <family val="2"/>
          </rPr>
          <t xml:space="preserve">
</t>
        </r>
      </text>
    </comment>
    <comment ref="DK17" authorId="1">
      <text>
        <r>
          <rPr>
            <b/>
            <sz val="9"/>
            <color indexed="81"/>
            <rFont val="Tahoma"/>
            <family val="2"/>
          </rPr>
          <t>SULIYAT:
ISIKAN DENGAN SKOR 
MAKSIMUMNYA, JIKA TIDAK ADA SKORNYA, DIKOSONGI SAJA</t>
        </r>
        <r>
          <rPr>
            <sz val="9"/>
            <color indexed="81"/>
            <rFont val="Tahoma"/>
            <family val="2"/>
          </rPr>
          <t xml:space="preserve">
</t>
        </r>
      </text>
    </comment>
    <comment ref="DL17" authorId="1">
      <text>
        <r>
          <rPr>
            <b/>
            <sz val="9"/>
            <color indexed="81"/>
            <rFont val="Tahoma"/>
            <family val="2"/>
          </rPr>
          <t>SULIYAT:
ISIKAN DENGAN SKOR 
MAKSIMUMNYA, JIKA TIDAK ADA SKORNYA, DIKOSONGI SAJA</t>
        </r>
        <r>
          <rPr>
            <sz val="9"/>
            <color indexed="81"/>
            <rFont val="Tahoma"/>
            <family val="2"/>
          </rPr>
          <t xml:space="preserve">
</t>
        </r>
      </text>
    </comment>
    <comment ref="DM17"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comments8.xml><?xml version="1.0" encoding="utf-8"?>
<comments xmlns="http://schemas.openxmlformats.org/spreadsheetml/2006/main">
  <authors>
    <author>Purnawanto</author>
    <author>CURRICULLUM</author>
  </authors>
  <commentList>
    <comment ref="C9" authorId="0">
      <text>
        <r>
          <rPr>
            <b/>
            <sz val="9"/>
            <color indexed="81"/>
            <rFont val="Tahoma"/>
            <family val="2"/>
          </rPr>
          <t>Suliyat:</t>
        </r>
        <r>
          <rPr>
            <sz val="9"/>
            <color indexed="81"/>
            <rFont val="Tahoma"/>
            <family val="2"/>
          </rPr>
          <t xml:space="preserve">
Isilah dengan Kriteria Penialain Portofolio Mapel Anda.</t>
        </r>
      </text>
    </comment>
    <comment ref="C20" authorId="1">
      <text>
        <r>
          <rPr>
            <b/>
            <sz val="9"/>
            <color indexed="81"/>
            <rFont val="Tahoma"/>
            <family val="2"/>
          </rPr>
          <t>SULIYAT:
ISIKAN DENGAN SKOR 
MAKSIMUMNYA, JIKA TIDAK ADA SKORNYA, DIKOSONGI SAJA</t>
        </r>
        <r>
          <rPr>
            <sz val="9"/>
            <color indexed="81"/>
            <rFont val="Tahoma"/>
            <family val="2"/>
          </rPr>
          <t xml:space="preserve">
</t>
        </r>
      </text>
    </comment>
    <comment ref="D20" authorId="1">
      <text>
        <r>
          <rPr>
            <b/>
            <sz val="9"/>
            <color indexed="81"/>
            <rFont val="Tahoma"/>
            <family val="2"/>
          </rPr>
          <t>SULIYAT:
ISIKAN DENGAN SKOR 
MAKSIMUMNYA, JIKA TIDAK ADA SKORNYA, DIKOSONGI SAJA</t>
        </r>
        <r>
          <rPr>
            <sz val="9"/>
            <color indexed="81"/>
            <rFont val="Tahoma"/>
            <family val="2"/>
          </rPr>
          <t xml:space="preserve">
</t>
        </r>
      </text>
    </comment>
    <comment ref="E20" authorId="1">
      <text>
        <r>
          <rPr>
            <b/>
            <sz val="9"/>
            <color indexed="81"/>
            <rFont val="Tahoma"/>
            <family val="2"/>
          </rPr>
          <t>SULIYAT:
ISIKAN DENGAN SKOR 
MAKSIMUMNYA, JIKA TIDAK ADA SKORNYA, DIKOSONGI SAJA</t>
        </r>
        <r>
          <rPr>
            <sz val="9"/>
            <color indexed="81"/>
            <rFont val="Tahoma"/>
            <family val="2"/>
          </rPr>
          <t xml:space="preserve">
</t>
        </r>
      </text>
    </comment>
    <comment ref="F20" authorId="1">
      <text>
        <r>
          <rPr>
            <b/>
            <sz val="9"/>
            <color indexed="81"/>
            <rFont val="Tahoma"/>
            <family val="2"/>
          </rPr>
          <t>SULIYAT:
ISIKAN DENGAN SKOR 
MAKSIMUMNYA, JIKA TIDAK ADA SKORNYA, DIKOSONGI SAJA</t>
        </r>
        <r>
          <rPr>
            <sz val="9"/>
            <color indexed="81"/>
            <rFont val="Tahoma"/>
            <family val="2"/>
          </rPr>
          <t xml:space="preserve">
</t>
        </r>
      </text>
    </comment>
    <comment ref="G20" authorId="1">
      <text>
        <r>
          <rPr>
            <b/>
            <sz val="9"/>
            <color indexed="81"/>
            <rFont val="Tahoma"/>
            <family val="2"/>
          </rPr>
          <t>SULIYAT:
ISIKAN DENGAN SKOR 
MAKSIMUMNYA, JIKA TIDAK ADA SKORNYA, DIKOSONGI SAJA</t>
        </r>
        <r>
          <rPr>
            <sz val="9"/>
            <color indexed="81"/>
            <rFont val="Tahoma"/>
            <family val="2"/>
          </rPr>
          <t xml:space="preserve">
</t>
        </r>
      </text>
    </comment>
    <comment ref="H20" authorId="1">
      <text>
        <r>
          <rPr>
            <b/>
            <sz val="9"/>
            <color indexed="81"/>
            <rFont val="Tahoma"/>
            <family val="2"/>
          </rPr>
          <t>SULIYAT:
ISIKAN DENGAN SKOR 
MAKSIMUMNYA, JIKA TIDAK ADA SKORNYA, DIKOSONGI SAJA</t>
        </r>
        <r>
          <rPr>
            <sz val="9"/>
            <color indexed="81"/>
            <rFont val="Tahoma"/>
            <family val="2"/>
          </rPr>
          <t xml:space="preserve">
</t>
        </r>
      </text>
    </comment>
    <comment ref="I20" authorId="1">
      <text>
        <r>
          <rPr>
            <b/>
            <sz val="9"/>
            <color indexed="81"/>
            <rFont val="Tahoma"/>
            <family val="2"/>
          </rPr>
          <t>SULIYAT:
ISIKAN DENGAN SKOR 
MAKSIMUMNYA, JIKA TIDAK ADA SKORNYA, DIKOSONGI SAJA</t>
        </r>
        <r>
          <rPr>
            <sz val="9"/>
            <color indexed="81"/>
            <rFont val="Tahoma"/>
            <family val="2"/>
          </rPr>
          <t xml:space="preserve">
</t>
        </r>
      </text>
    </comment>
  </commentList>
</comments>
</file>

<file path=xl/sharedStrings.xml><?xml version="1.0" encoding="utf-8"?>
<sst xmlns="http://schemas.openxmlformats.org/spreadsheetml/2006/main" count="2332" uniqueCount="546">
  <si>
    <t>N A M A   S I S W A</t>
  </si>
  <si>
    <t>L/P</t>
  </si>
  <si>
    <t>UTS</t>
  </si>
  <si>
    <t>Tes lisan</t>
  </si>
  <si>
    <t>Tugas</t>
  </si>
  <si>
    <t>UH (Tes tulis)</t>
  </si>
  <si>
    <t>Tanggung jawab</t>
  </si>
  <si>
    <t>Skor akhir</t>
  </si>
  <si>
    <t>Jujur</t>
  </si>
  <si>
    <t>Disiplin</t>
  </si>
  <si>
    <t>Toleransi</t>
  </si>
  <si>
    <t>Gotong royong</t>
  </si>
  <si>
    <t>Santun</t>
  </si>
  <si>
    <t>Percaya Diri</t>
  </si>
  <si>
    <t>Sikap</t>
  </si>
  <si>
    <t>Nomor Urut</t>
  </si>
  <si>
    <t>Nomor Induk</t>
  </si>
  <si>
    <t>KELAS</t>
  </si>
  <si>
    <t>KD 1</t>
  </si>
  <si>
    <t>JUDUL KD</t>
  </si>
  <si>
    <t>KD 2</t>
  </si>
  <si>
    <t>KD 3</t>
  </si>
  <si>
    <t>KD 4</t>
  </si>
  <si>
    <t>KD 5</t>
  </si>
  <si>
    <t>KD 6</t>
  </si>
  <si>
    <t>KD 7</t>
  </si>
  <si>
    <t>KD 8</t>
  </si>
  <si>
    <t>Rata-rata Skor akhir</t>
  </si>
  <si>
    <t>NILAI AKHIR (ANGKA)</t>
  </si>
  <si>
    <t>NILAI AKHIR (INDEKS)</t>
  </si>
  <si>
    <t>NILAI AKHIR (HURUF)</t>
  </si>
  <si>
    <t>PRAKTIK</t>
  </si>
  <si>
    <t>PORTOFOLIO</t>
  </si>
  <si>
    <t>PROJEK</t>
  </si>
  <si>
    <t>Kode</t>
  </si>
  <si>
    <t>Pengetahuan</t>
  </si>
  <si>
    <t>DESKRIPSI KETERAMPILAN</t>
  </si>
  <si>
    <t>JUDUL PRAKTEK</t>
  </si>
  <si>
    <t>PROSES PERCOBAAN</t>
  </si>
  <si>
    <t>PENYAJIAN DATA</t>
  </si>
  <si>
    <t>PENJELASAN</t>
  </si>
  <si>
    <t>KEJUJURAN</t>
  </si>
  <si>
    <t>SKOR</t>
  </si>
  <si>
    <t>NILAI AKHIR</t>
  </si>
  <si>
    <t>KD 9</t>
  </si>
  <si>
    <t>KD 10</t>
  </si>
  <si>
    <t>TAHAP PERSIAPAN</t>
  </si>
  <si>
    <t>TAHAP PELAKSANAAN</t>
  </si>
  <si>
    <t>TAHAP PELAPORAN</t>
  </si>
  <si>
    <t>JUDUL PROYEK</t>
  </si>
  <si>
    <t>REMEDIAL 1</t>
  </si>
  <si>
    <t>REMEDIAL 2</t>
  </si>
  <si>
    <t>FORMULIR PENILAIAN ANTAR TEMAN</t>
  </si>
  <si>
    <t>4 = Selalu</t>
  </si>
  <si>
    <t>3 = Sering</t>
  </si>
  <si>
    <t>2 = Jarang</t>
  </si>
  <si>
    <t>1 = Tidak Pernah</t>
  </si>
  <si>
    <t>Berilah tanda cek pada kolom pilihan berikut dengan</t>
  </si>
  <si>
    <t>No</t>
  </si>
  <si>
    <t>Aspek yang Diamati</t>
  </si>
  <si>
    <t>Skor</t>
  </si>
  <si>
    <t>Tidak nyontek dalam mengerjakan ujian/ulangan</t>
  </si>
  <si>
    <t>Tidak melakukan plagiat (mengambil /menyalin karya orang lain tanpa menyebutkan sumber) dalam mengerjakan setiap tugas</t>
  </si>
  <si>
    <t>Mengemukakan perasaan terhadap sesuatu apa adanya</t>
  </si>
  <si>
    <t>Melaporkan data atau informasi apa adanya</t>
  </si>
  <si>
    <t>Mengakui kesalahan atau kekurangan yang dimiliki</t>
  </si>
  <si>
    <t>Masuk kelas tepat waktu</t>
  </si>
  <si>
    <t>Mengumpulkan tugas tepat waktu</t>
  </si>
  <si>
    <t>Memakai seragam sesuai tata tertib</t>
  </si>
  <si>
    <t>Mengerjakan tugas yang diberikan</t>
  </si>
  <si>
    <t>Tertib dalam mengikuti pembelajaran</t>
  </si>
  <si>
    <t>Mengikuti praktikum sesuai dengan langkah yang ditetapkan</t>
  </si>
  <si>
    <t>Membawa buku tulis sesuai mata pelajaran</t>
  </si>
  <si>
    <t>Membawa buku teks mata pelajaran</t>
  </si>
  <si>
    <t>Melaksanakan tugas individu dengan baik</t>
  </si>
  <si>
    <t>Menerima resiko dari tindakan yang dilakukan</t>
  </si>
  <si>
    <t>Tidak menuduh orang lain tanpa bukti yang akurat</t>
  </si>
  <si>
    <t>Mengembalikan barang yang dipinjam</t>
  </si>
  <si>
    <t>Meminta maaf atas kesalahan yang dilakukan</t>
  </si>
  <si>
    <t>Menghormati pendapat teman</t>
  </si>
  <si>
    <t>Menghormati teman yang berbeda suku, agama, ras, budaya, dan gender</t>
  </si>
  <si>
    <t>Menerima kesepakatan meskipun berbeda dengan pendapatnya</t>
  </si>
  <si>
    <t>Menerima kekurangan orang lain</t>
  </si>
  <si>
    <t>Memaafkan kesalahan orang lain</t>
  </si>
  <si>
    <t>Aktif dalam kerja kelompok</t>
  </si>
  <si>
    <t>Suka menolong teman/orang lain</t>
  </si>
  <si>
    <t>Kesediaan melakukan tugas sesuai kesepakatan</t>
  </si>
  <si>
    <t>Rela berkorban untuk orang lain</t>
  </si>
  <si>
    <t>Menghormati orang yang lebih tua</t>
  </si>
  <si>
    <t>Mengucapkan terima kasih setelah menerima bantuan orang lain</t>
  </si>
  <si>
    <t>Menggunakan bahasa santun saat menyampaikan pendapat</t>
  </si>
  <si>
    <t>Menggunakan bahasa santun saat mengkritik pendapat teman</t>
  </si>
  <si>
    <t>Bersikap 3S (salam, senyum, sapa) saat bertemu orang lain</t>
  </si>
  <si>
    <t>Berani presentasi di depan kelas</t>
  </si>
  <si>
    <t>Berani berpendapat, bertanya, dan menjawab pertanyaan</t>
  </si>
  <si>
    <t>Berpendapat atau melakukan kegiatan tanpa ragu-ragu</t>
  </si>
  <si>
    <t>Mampu membuat keputusan dengan cepat</t>
  </si>
  <si>
    <t>Tidak mudah putus asa/pantang menyerah</t>
  </si>
  <si>
    <t>JUMLAH</t>
  </si>
  <si>
    <t xml:space="preserve">FORMULIR PENILAIAN DIRI </t>
  </si>
  <si>
    <t>TP</t>
  </si>
  <si>
    <t>KD</t>
  </si>
  <si>
    <t>SR</t>
  </si>
  <si>
    <t>SL</t>
  </si>
  <si>
    <t>Keterangan</t>
  </si>
  <si>
    <t>KETERANGAN:</t>
  </si>
  <si>
    <t>= Selalu, apabila selalu melakukan sesuai pernyataan</t>
  </si>
  <si>
    <t xml:space="preserve">SR </t>
  </si>
  <si>
    <t>= Sering, apabila sering melakukan sesuai pernyataan dan kadang- kadang tidak melakukan</t>
  </si>
  <si>
    <t xml:space="preserve">KD </t>
  </si>
  <si>
    <t>= Kadang-kadang, apabila kadang-kadang melakukan dan sering tidak melakukan</t>
  </si>
  <si>
    <t xml:space="preserve">TP </t>
  </si>
  <si>
    <t>= Tidak Pernah, apabila tidak pernah melakukan</t>
  </si>
  <si>
    <t>REKAP PENILAIAN ANTARTEMAN</t>
  </si>
  <si>
    <t>Aspek Pengamatan</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</si>
  <si>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</si>
  <si>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</si>
  <si>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</si>
  <si>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</si>
  <si>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</si>
  <si>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</si>
  <si>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</si>
  <si>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</si>
  <si>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</si>
  <si>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</si>
  <si>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</si>
  <si>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</si>
  <si>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</si>
  <si>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</si>
  <si>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</si>
  <si>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</si>
  <si>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</si>
  <si>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</si>
  <si>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</si>
  <si>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</si>
  <si>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</si>
  <si>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</si>
  <si>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</si>
  <si>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</si>
  <si>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</si>
  <si>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</si>
  <si>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</si>
  <si>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</si>
  <si>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</si>
  <si>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</si>
  <si>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</si>
  <si>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</si>
  <si>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</si>
  <si>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</si>
  <si>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B.1</t>
  </si>
  <si>
    <t>Tidak nyontek dalam mengerjakan ujian</t>
  </si>
  <si>
    <t>B.2</t>
  </si>
  <si>
    <t>Tidak melakukan plagiat dalam mengerjakan setiap tugas</t>
  </si>
  <si>
    <t>B.3</t>
  </si>
  <si>
    <t>Mengemukakan perasaan thd sesuatu apa adanya</t>
  </si>
  <si>
    <t>B.4</t>
  </si>
  <si>
    <t>B.5</t>
  </si>
  <si>
    <t>C.1</t>
  </si>
  <si>
    <t>Masuk Kelas tepat waktu</t>
  </si>
  <si>
    <t>C.2</t>
  </si>
  <si>
    <t>C.3</t>
  </si>
  <si>
    <t>C.4</t>
  </si>
  <si>
    <t>C.5</t>
  </si>
  <si>
    <t>C.6</t>
  </si>
  <si>
    <t>Mengikuti praktikum sesuai dengan langkah yg ditetapkan</t>
  </si>
  <si>
    <t>C.7</t>
  </si>
  <si>
    <t>Membawa buku tulis sesuai mapel</t>
  </si>
  <si>
    <t>C.8</t>
  </si>
  <si>
    <t>Membawa buku teks mapel</t>
  </si>
  <si>
    <t>Tanggung Jawab</t>
  </si>
  <si>
    <t>D.1</t>
  </si>
  <si>
    <t>D.2</t>
  </si>
  <si>
    <t>D.3</t>
  </si>
  <si>
    <t>Tidak menuduh orang lain tanpa buktu yang akurat</t>
  </si>
  <si>
    <t>D.4</t>
  </si>
  <si>
    <t>D.5</t>
  </si>
  <si>
    <t>E.1</t>
  </si>
  <si>
    <t>Menghargai pendapat teman</t>
  </si>
  <si>
    <t>E.2</t>
  </si>
  <si>
    <t>Menghargai teman yang berbeda SARA</t>
  </si>
  <si>
    <t>E.3</t>
  </si>
  <si>
    <t>Menerima kesepakatan meskipun berbeda dg pendapatnya</t>
  </si>
  <si>
    <t>E.4</t>
  </si>
  <si>
    <t>E.5</t>
  </si>
  <si>
    <t>Gotong Royong</t>
  </si>
  <si>
    <t>F.1</t>
  </si>
  <si>
    <t>F.2</t>
  </si>
  <si>
    <t>Suka menolong teman lain</t>
  </si>
  <si>
    <t>F.3</t>
  </si>
  <si>
    <t>F.4</t>
  </si>
  <si>
    <t>Rela berkorban untuk teman lain</t>
  </si>
  <si>
    <t>G.1</t>
  </si>
  <si>
    <t>G.2</t>
  </si>
  <si>
    <t>G.3</t>
  </si>
  <si>
    <t>G.4</t>
  </si>
  <si>
    <t>Menggunakan bahasa santun saat menkritik pendapat teman</t>
  </si>
  <si>
    <t>G.5</t>
  </si>
  <si>
    <t>Bersikap 3S (Salam - Senyum - Sapa) kepada orang lain</t>
  </si>
  <si>
    <t>H.1</t>
  </si>
  <si>
    <t>H.2</t>
  </si>
  <si>
    <t>H.3</t>
  </si>
  <si>
    <t>Berpendapat atau bertindak tanpa ragu-ragu</t>
  </si>
  <si>
    <t>H.4</t>
  </si>
  <si>
    <t>Mampu membuat keputusan dengan tepat</t>
  </si>
  <si>
    <t>H.5</t>
  </si>
  <si>
    <t>Tidak mudah putus asa</t>
  </si>
  <si>
    <t>REKAP PENILAIAN DIRI SENDIRI</t>
  </si>
  <si>
    <t>Spiritual</t>
  </si>
  <si>
    <t>A.1</t>
  </si>
  <si>
    <t>Berdoa sebelum dan sesudah melakukan sesuatu</t>
  </si>
  <si>
    <t>A.2</t>
  </si>
  <si>
    <t>Mengucapkan rasa syukur setelah berhasil mengerjakan sesuatu</t>
  </si>
  <si>
    <t>A.3</t>
  </si>
  <si>
    <t>Memberi salam sebelum dan sesudah menyampaikan pendapat</t>
  </si>
  <si>
    <t>A.4</t>
  </si>
  <si>
    <t>Menjalankan ibadah tepat waktu</t>
  </si>
  <si>
    <t>A.5</t>
  </si>
  <si>
    <t>Menambah rasa keimanan setelah mempelajari Iptek</t>
  </si>
  <si>
    <t>JURNAL</t>
  </si>
  <si>
    <t>PENILAIAN DIRI</t>
  </si>
  <si>
    <t>P. ANTAR TEMAN</t>
  </si>
  <si>
    <t>DESKRIPSI</t>
  </si>
  <si>
    <t>35</t>
  </si>
  <si>
    <t>36</t>
  </si>
  <si>
    <t>37</t>
  </si>
  <si>
    <t>38</t>
  </si>
  <si>
    <t>39</t>
  </si>
  <si>
    <t>40</t>
  </si>
  <si>
    <t>41</t>
  </si>
  <si>
    <t>42</t>
  </si>
  <si>
    <t>43</t>
  </si>
  <si>
    <t>44</t>
  </si>
  <si>
    <t>45</t>
  </si>
  <si>
    <t>46</t>
  </si>
  <si>
    <t>47</t>
  </si>
  <si>
    <t>48</t>
  </si>
  <si>
    <t>PERCAYA DIRI</t>
  </si>
  <si>
    <t>OBSERVASI 2</t>
  </si>
  <si>
    <t>OBSERVASI</t>
  </si>
  <si>
    <t>Nama</t>
  </si>
  <si>
    <t>:</t>
  </si>
  <si>
    <t>NIP</t>
  </si>
  <si>
    <t>Mata Pelajaran</t>
  </si>
  <si>
    <t>Kelas</t>
  </si>
  <si>
    <t>Ketrampilan</t>
  </si>
  <si>
    <t>Mata Pelajaran :</t>
  </si>
  <si>
    <t>Semester  :</t>
  </si>
  <si>
    <t>KKM  :</t>
  </si>
  <si>
    <t>Kelas :</t>
  </si>
  <si>
    <t>Tahun Pelajaran :</t>
  </si>
  <si>
    <t>Wali Kelas :</t>
  </si>
  <si>
    <t>Aspek :</t>
  </si>
  <si>
    <t>Ketrampilan/Portofolio   1</t>
  </si>
  <si>
    <t>Kriteria/Aspek yang dinilai</t>
  </si>
  <si>
    <t>Keterangan/Rubrik Penilaian:</t>
  </si>
  <si>
    <t>1 =</t>
  </si>
  <si>
    <t>2 =</t>
  </si>
  <si>
    <t>3 =</t>
  </si>
  <si>
    <t>4 =</t>
  </si>
  <si>
    <t>5 =</t>
  </si>
  <si>
    <t>6 =</t>
  </si>
  <si>
    <t>7 =</t>
  </si>
  <si>
    <t xml:space="preserve">No. </t>
  </si>
  <si>
    <t>Kriteria/Aspek yang dinilai:</t>
  </si>
  <si>
    <t>Aspek 1</t>
  </si>
  <si>
    <t>Aspek 2</t>
  </si>
  <si>
    <t>Aspek 3</t>
  </si>
  <si>
    <t>Aspek 4</t>
  </si>
  <si>
    <t>Aspek 5</t>
  </si>
  <si>
    <t>Aspek 6</t>
  </si>
  <si>
    <t>Aspek 7</t>
  </si>
  <si>
    <t>Jumlah</t>
  </si>
  <si>
    <t>0-100</t>
  </si>
  <si>
    <t>0-4</t>
  </si>
  <si>
    <t>Konversi</t>
  </si>
  <si>
    <t>Skor Maks Kriteria =</t>
  </si>
  <si>
    <t>Nilai Rata-rata</t>
  </si>
  <si>
    <t>Mengetahui:</t>
  </si>
  <si>
    <t>Guru Mata Pelajaran</t>
  </si>
  <si>
    <t>KD1</t>
  </si>
  <si>
    <t>KD2</t>
  </si>
  <si>
    <t>KD3</t>
  </si>
  <si>
    <t>KD4</t>
  </si>
  <si>
    <t>KD5</t>
  </si>
  <si>
    <t>KD6</t>
  </si>
  <si>
    <t>KD7</t>
  </si>
  <si>
    <t>KD8</t>
  </si>
  <si>
    <t>KD9</t>
  </si>
  <si>
    <t>KD10</t>
  </si>
  <si>
    <t>DESKRIPSI NILAI AKHIR</t>
  </si>
  <si>
    <t>DAFTAR   NILAI   SISWA</t>
  </si>
  <si>
    <t>Semester :</t>
  </si>
  <si>
    <t>Huruf</t>
  </si>
  <si>
    <t>Deskripsi</t>
  </si>
  <si>
    <t>induk</t>
  </si>
  <si>
    <t>Semester</t>
  </si>
  <si>
    <t>NO</t>
  </si>
  <si>
    <t>NAMA SISWA</t>
  </si>
  <si>
    <t>NILAI</t>
  </si>
  <si>
    <t>TENGAH SEMESTER</t>
  </si>
  <si>
    <t>KD-1</t>
  </si>
  <si>
    <t>KD-2</t>
  </si>
  <si>
    <t>KD-3</t>
  </si>
  <si>
    <t>KD-4</t>
  </si>
  <si>
    <t>KD-5</t>
  </si>
  <si>
    <t>KD-6</t>
  </si>
  <si>
    <t>KD-7</t>
  </si>
  <si>
    <t>KD-8</t>
  </si>
  <si>
    <t>KD-9</t>
  </si>
  <si>
    <t>KD-10</t>
  </si>
  <si>
    <t>NILAI PENGETAHUAN</t>
  </si>
  <si>
    <t>NILAI KETRAMPILAN</t>
  </si>
  <si>
    <t>NILAI HURUF</t>
  </si>
  <si>
    <t>KKM</t>
  </si>
  <si>
    <t>KETUNTASAN</t>
  </si>
  <si>
    <t>Tahun Pelajaran</t>
  </si>
  <si>
    <t>REKAP OBSERVASI</t>
  </si>
  <si>
    <t>OBSERVASI 1</t>
  </si>
  <si>
    <t>SIKAP</t>
  </si>
  <si>
    <t>MAPEL  :</t>
  </si>
  <si>
    <t>NAMA :</t>
  </si>
  <si>
    <t>KELAS    :</t>
  </si>
  <si>
    <t>DAFTAR SETORAN NILAI UNTUK RAPORT UTS</t>
  </si>
  <si>
    <t>Nama Guru :</t>
  </si>
  <si>
    <t>KETRAMPILAN</t>
  </si>
  <si>
    <t>PENGETAHUAN</t>
  </si>
  <si>
    <t>NAMA</t>
  </si>
  <si>
    <t>NO ABSEN</t>
  </si>
  <si>
    <t>2.67</t>
  </si>
  <si>
    <t>KOMPETENSI PENGETAHUAN (DIISI OLEH SEMUA GURU MAPEL) SECARA SINGKAT DAN MEWAKILI INDIKATOR KD</t>
  </si>
  <si>
    <t>KOMPETENSI KETRAMPILAN (DIISI OLEH SEMUA GURU MAPEL) SECARA SINGKAT DAN MEWAKILI INDIKATOR KD</t>
  </si>
  <si>
    <t>SISWA 1</t>
  </si>
  <si>
    <t>NILAI TERENDAH</t>
  </si>
  <si>
    <t>NILAI TERTINGGI</t>
  </si>
  <si>
    <t>DESKRIPSI JADI</t>
  </si>
  <si>
    <t>DESKRIPSI  NILAI TERTINGGI</t>
  </si>
  <si>
    <t>DESKRIPSI NILAI TERNDAH</t>
  </si>
  <si>
    <t>IF('Input Nilai Pengetahuan'!L</t>
  </si>
  <si>
    <t>IF('Input Nilai Pengetahuan'!S</t>
  </si>
  <si>
    <t>IF('Input Nilai Pengetahuan'!Z</t>
  </si>
  <si>
    <t>IF('Input Nilai Pengetahuan'!AG</t>
  </si>
  <si>
    <t>IF('Input Nilai Pengetahuan'!AN</t>
  </si>
  <si>
    <t>IF('Input Nilai Pengetahuan'!AU</t>
  </si>
  <si>
    <t>IF('Input Nilai Pengetahuan'!BI</t>
  </si>
  <si>
    <t>IF('Input Nilai Pengetahuan'!BP</t>
  </si>
  <si>
    <t>IF('Input Nilai Pengetahuan'!BW</t>
  </si>
  <si>
    <t>"";"";'Input Nilai Pengetahuan'!L</t>
  </si>
  <si>
    <t>"";"";'Input Nilai Pengetahuan'!S</t>
  </si>
  <si>
    <t>"";"";'Input Nilai Pengetahuan'!Z</t>
  </si>
  <si>
    <t>"";"";'Input Nilai Pengetahuan'!AG</t>
  </si>
  <si>
    <t>"";"";'Input Nilai Pengetahuan'!AN</t>
  </si>
  <si>
    <t>"";"";'Input Nilai Pengetahuan'!AU</t>
  </si>
  <si>
    <t>"";"";'Input Nilai Pengetahuan'!BB</t>
  </si>
  <si>
    <t>"";"";'Input Nilai Pengetahuan'!BI</t>
  </si>
  <si>
    <t>"";"";'Input Nilai Pengetahuan'!BP</t>
  </si>
  <si>
    <t>"";"";'Input Nilai Pengetahuan'!BW</t>
  </si>
  <si>
    <t>SISWA 2</t>
  </si>
  <si>
    <t>SISWA 3</t>
  </si>
  <si>
    <t>SISWA 4</t>
  </si>
  <si>
    <t>SISWA 5</t>
  </si>
  <si>
    <t>SISWA 6</t>
  </si>
  <si>
    <t>SISWA 7</t>
  </si>
  <si>
    <t>SISWA 8</t>
  </si>
  <si>
    <t>SISWA 9</t>
  </si>
  <si>
    <t>SISWA 10</t>
  </si>
  <si>
    <t>SISWA 11</t>
  </si>
  <si>
    <t>SISWA 12</t>
  </si>
  <si>
    <t>SISWA 13</t>
  </si>
  <si>
    <t>SISWA 14</t>
  </si>
  <si>
    <t>SISWA 15</t>
  </si>
  <si>
    <t>SISWA 16</t>
  </si>
  <si>
    <t>SISWA 17</t>
  </si>
  <si>
    <t>SISWA 18</t>
  </si>
  <si>
    <t>SISWA 19</t>
  </si>
  <si>
    <t>SISWA 20</t>
  </si>
  <si>
    <t>SISWA 21</t>
  </si>
  <si>
    <t>SISWA 22</t>
  </si>
  <si>
    <t>SISWA 23</t>
  </si>
  <si>
    <t>SISWA 24</t>
  </si>
  <si>
    <t>SISWA 25</t>
  </si>
  <si>
    <t>SISWA 26</t>
  </si>
  <si>
    <t>SISWA 27</t>
  </si>
  <si>
    <t>SISWA 28</t>
  </si>
  <si>
    <t>SISWA 29</t>
  </si>
  <si>
    <t>SISWA 30</t>
  </si>
  <si>
    <t>SISWA 31</t>
  </si>
  <si>
    <t>SISWA 32</t>
  </si>
  <si>
    <t>SISWA 33</t>
  </si>
  <si>
    <t>SISWA 34</t>
  </si>
  <si>
    <t>SISWA 35</t>
  </si>
  <si>
    <t>SISWA 36</t>
  </si>
  <si>
    <t>SISWA 37</t>
  </si>
  <si>
    <t>SISWA 38</t>
  </si>
  <si>
    <t>SISWA 39</t>
  </si>
  <si>
    <t>SISWA 40</t>
  </si>
  <si>
    <t>SISWA 41</t>
  </si>
  <si>
    <t>SISWA 42</t>
  </si>
  <si>
    <t>SISWA 43</t>
  </si>
  <si>
    <t>SISWA 44</t>
  </si>
  <si>
    <t>SISWA 45</t>
  </si>
  <si>
    <t>SISWA 46</t>
  </si>
  <si>
    <t>SISWA 47</t>
  </si>
  <si>
    <t>SISWA 48</t>
  </si>
  <si>
    <t>IF('Input Nilai Pengetahuan'!BB</t>
  </si>
  <si>
    <t>KETUNTASAN NILAI TERTINGGI</t>
  </si>
  <si>
    <t>KETUNTASAN NILAI TERENDAH</t>
  </si>
  <si>
    <t>KATEGORI</t>
  </si>
  <si>
    <t>Skor Tertinggi</t>
  </si>
  <si>
    <t>KRITERIA</t>
  </si>
  <si>
    <t>IF('Input Nilai Ketrampilan'!I</t>
  </si>
  <si>
    <t>IF('Input Nilai Ketrampilan'!M</t>
  </si>
  <si>
    <t>IF('Input Nilai Ketrampilan'!Q</t>
  </si>
  <si>
    <t>IF('Input Nilai Ketrampilan'!U</t>
  </si>
  <si>
    <t>IF('Input Nilai Ketrampilan'!Y</t>
  </si>
  <si>
    <t>IF('Input Nilai Ketrampilan'!AC</t>
  </si>
  <si>
    <t>IF('Input Nilai Ketrampilan'!AG</t>
  </si>
  <si>
    <t>IF('Input Nilai Ketrampilan'!AK</t>
  </si>
  <si>
    <t>IF('Input Nilai Ketrampilan'!AO</t>
  </si>
  <si>
    <t>IF('Input Nilai Ketrampilan'!AS</t>
  </si>
  <si>
    <t>"";"";'Input Nilai Ketrampilan'!I</t>
  </si>
  <si>
    <t>"";"";'Input Nilai Ketrampilan'!M</t>
  </si>
  <si>
    <t>"";"";'Input Nilai Ketrampilan'!Q</t>
  </si>
  <si>
    <t>"";"";'Input Nilai Ketrampilan'!U</t>
  </si>
  <si>
    <t>"";"";'Input Nilai Ketrampilan'!Y</t>
  </si>
  <si>
    <t>"";"";'Input Nilai Ketrampilan'!AC</t>
  </si>
  <si>
    <t>"";"";'Input Nilai Ketrampilan'!AG</t>
  </si>
  <si>
    <t>"";"";'Input Nilai Ketrampilan'!AK</t>
  </si>
  <si>
    <t>"";"";'Input Nilai Ketrampilan'!AO</t>
  </si>
  <si>
    <t>"";"";'Input Nilai Ketrampilan'!AS</t>
  </si>
  <si>
    <t>IF('Input Nilai Ketrampilan'!I5="";"";'Input Nilai Ketrampilan'!I5)</t>
  </si>
  <si>
    <t>Percaya diri</t>
  </si>
  <si>
    <t>KOMPETENSI SOSIAL ( DIISI SAMA OLEH GURU PKN HASIL MUSYAWARAH DENGAN BK)</t>
  </si>
  <si>
    <t>KOMPETENSI SPIRITUAL ( DIISI SAMA OLEH GURU Akidah Akhlak dengan merangkum kompetensi dasar dari QH, SKI dan FIKIH)</t>
  </si>
  <si>
    <t>Sikap Sosial</t>
  </si>
  <si>
    <t>Sikap spiritual</t>
  </si>
  <si>
    <t>Deskrisipsi Spiritual</t>
  </si>
  <si>
    <t>SPIRITUAL</t>
  </si>
  <si>
    <t>SOSIAL</t>
  </si>
  <si>
    <t>INSTRUMEN PENILAIAN PORTOFOLIO</t>
  </si>
  <si>
    <t>Portofolio</t>
  </si>
  <si>
    <t>KEMENTERIAN AGAMA RI</t>
  </si>
  <si>
    <t>PETUNJUK :</t>
  </si>
  <si>
    <t>PEMBOBOTAN</t>
  </si>
  <si>
    <t>1)Isikan identitas guru, mapel, kelas, tahun pelajaran dan KKM  2)Klik Isian Kompetensi Dasar sesuai mapel untuk mengisi kmpetensi yang harus dikuasai oleh siswa 3) Untuk mengisi nilai pengetahuan, ketrampilan atau sikap tinggal pilih saja 4) Untuk melihat nilai yang disetorkan sudah benar atau belum bisa diklik lihat atau setor 5) untuk mencetak blangko daftar nilai bisa diklik salah satu formnya</t>
  </si>
  <si>
    <t>HPH</t>
  </si>
  <si>
    <t>HPTS</t>
  </si>
  <si>
    <t>HPAS</t>
  </si>
  <si>
    <t>HPA (ANGKA) PEMBULATAN</t>
  </si>
  <si>
    <t>HPA (HURUF)</t>
  </si>
  <si>
    <t>HPA (ANGKA)</t>
  </si>
  <si>
    <t>PH 1</t>
  </si>
  <si>
    <t>PH 2</t>
  </si>
  <si>
    <t>PH 3</t>
  </si>
  <si>
    <t>PH 4</t>
  </si>
  <si>
    <t>PH 5</t>
  </si>
  <si>
    <t>PH 6</t>
  </si>
  <si>
    <t>PH 7</t>
  </si>
  <si>
    <t>PH 8</t>
  </si>
  <si>
    <t>PH 9</t>
  </si>
  <si>
    <t>PH 10</t>
  </si>
  <si>
    <t>HASIL PH</t>
  </si>
  <si>
    <t>KINERJA</t>
  </si>
  <si>
    <t>PTS</t>
  </si>
  <si>
    <t>NILAI PTS</t>
  </si>
  <si>
    <t>PAS</t>
  </si>
  <si>
    <t xml:space="preserve">APLIKASI DAFTAR NILAI K13 UNTUK GURU PERMEN 53 TAHUN 2015 EDISI 2016 </t>
  </si>
  <si>
    <t>CATATAN PERILAKU</t>
  </si>
  <si>
    <t>BUTIR SIKAP</t>
  </si>
  <si>
    <t>KETERANGAN</t>
  </si>
  <si>
    <t>JURNAL PERKEMBANGAN SIKAP</t>
  </si>
  <si>
    <t>TGL</t>
  </si>
  <si>
    <t>Kriteria Ketuntasan Minimal</t>
  </si>
  <si>
    <t xml:space="preserve">created by : SULIYAT, M.Si </t>
  </si>
  <si>
    <t>KLIK UNTUK LIHAT PROFIL</t>
  </si>
  <si>
    <t>My Profil</t>
  </si>
  <si>
    <t>: SULIYAT, Msi</t>
  </si>
  <si>
    <t>INSTANSI KERJA</t>
  </si>
  <si>
    <t>: MTsN TUREN</t>
  </si>
  <si>
    <t>KAB/PROV</t>
  </si>
  <si>
    <t>: MALANG/JAWA TIMUR</t>
  </si>
  <si>
    <t>Email</t>
  </si>
  <si>
    <t>: suliyats@yahoo.com</t>
  </si>
  <si>
    <t>Greetings and thanks to my teacher</t>
  </si>
  <si>
    <t>SDN Turen 1</t>
  </si>
  <si>
    <t>SMPN 1Turen (espensa)</t>
  </si>
  <si>
    <t>SMAM5 Malang</t>
  </si>
  <si>
    <t>IKIP Malang</t>
  </si>
  <si>
    <t>ITB</t>
  </si>
  <si>
    <t>0000</t>
  </si>
  <si>
    <t>L</t>
  </si>
  <si>
    <t>P</t>
  </si>
  <si>
    <t>Rofiah</t>
  </si>
  <si>
    <t>Insiyah</t>
  </si>
  <si>
    <t>Fitriadi</t>
  </si>
  <si>
    <t>Nur Aini</t>
  </si>
  <si>
    <t>Komariyah</t>
  </si>
  <si>
    <t>Homsiyah</t>
  </si>
  <si>
    <t>Nurhayati</t>
  </si>
  <si>
    <t>Achmad Buka</t>
  </si>
  <si>
    <t>Fatimatuz Zahroh</t>
  </si>
  <si>
    <t>Khusnun Nisa</t>
  </si>
  <si>
    <t>Ningsih Rahmawati</t>
  </si>
  <si>
    <t>Latifah</t>
  </si>
  <si>
    <t>Bunami</t>
  </si>
  <si>
    <t>BHS INGGRIS</t>
  </si>
  <si>
    <t>VII</t>
  </si>
  <si>
    <t>√</t>
  </si>
  <si>
    <t>MADRASAH TSANAWIYAH BAHRUS SHOLIHIN</t>
  </si>
  <si>
    <t>2017-2018</t>
  </si>
  <si>
    <t>Abd. Muis</t>
  </si>
  <si>
    <t>Saiful Jamil</t>
  </si>
  <si>
    <t>Maya</t>
  </si>
  <si>
    <t>Ma`ruf</t>
  </si>
  <si>
    <t>Nia Ramadani</t>
  </si>
  <si>
    <t>Romliadi</t>
  </si>
  <si>
    <t>Tammimah</t>
  </si>
  <si>
    <t>`017</t>
  </si>
  <si>
    <t>`008</t>
  </si>
  <si>
    <t>`014</t>
  </si>
  <si>
    <t>`009</t>
  </si>
  <si>
    <t>`003</t>
  </si>
  <si>
    <t>`006</t>
  </si>
  <si>
    <t>`002</t>
  </si>
  <si>
    <t>`010</t>
  </si>
  <si>
    <t>`011</t>
  </si>
  <si>
    <t>`005</t>
  </si>
  <si>
    <t>`013</t>
  </si>
  <si>
    <t>`018</t>
  </si>
  <si>
    <t>`016</t>
  </si>
  <si>
    <t>`020</t>
  </si>
  <si>
    <t>`012</t>
  </si>
  <si>
    <t>`007</t>
  </si>
  <si>
    <t>`004</t>
  </si>
  <si>
    <t>`001</t>
  </si>
  <si>
    <t>`015</t>
  </si>
  <si>
    <t>`019</t>
  </si>
  <si>
    <t>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t>
  </si>
  <si>
    <t>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t>
  </si>
  <si>
    <t>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t>
  </si>
  <si>
    <t>JL KH. MOH. SARIM KRASAAN BANDUNG KONANG</t>
  </si>
  <si>
    <t>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t>
  </si>
  <si>
    <t>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t>
  </si>
  <si>
    <t>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t>
  </si>
  <si>
    <t>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t>
  </si>
  <si>
    <t>Menyusunteks interaksi transaksional lisan dan tulis sangat pendek dan sederhana yang melibatkan tindakan memberi dan meminta informasi terkait jati diri, pendek dan sederhana, dengan memperhatikan fungsi sosial, struktur teks, dan unsur kebahasaan yang benar dansesuaikonteks</t>
  </si>
  <si>
    <t>FATHOR ROHMAN, S. Pd</t>
  </si>
</sst>
</file>

<file path=xl/styles.xml><?xml version="1.0" encoding="utf-8"?>
<styleSheet xmlns="http://schemas.openxmlformats.org/spreadsheetml/2006/main">
  <numFmts count="1">
    <numFmt numFmtId="164" formatCode="0.0"/>
  </numFmts>
  <fonts count="100">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b/>
      <sz val="11"/>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theme="1"/>
      <name val="Calibri"/>
      <family val="2"/>
    </font>
    <font>
      <sz val="12"/>
      <color theme="1"/>
      <name val="Times New Roman"/>
      <family val="1"/>
    </font>
    <font>
      <sz val="9"/>
      <color indexed="81"/>
      <name val="Tahoma"/>
      <family val="2"/>
    </font>
    <font>
      <b/>
      <sz val="9"/>
      <color indexed="81"/>
      <name val="Tahoma"/>
      <family val="2"/>
    </font>
    <font>
      <b/>
      <sz val="18"/>
      <color theme="1"/>
      <name val="Times New Roman"/>
      <family val="1"/>
    </font>
    <font>
      <b/>
      <sz val="12"/>
      <color theme="1"/>
      <name val="Times New Roman"/>
      <family val="1"/>
    </font>
    <font>
      <b/>
      <sz val="12"/>
      <name val="Times New Roman"/>
      <family val="1"/>
    </font>
    <font>
      <sz val="12"/>
      <color rgb="FF000000"/>
      <name val="Times New Roman"/>
      <family val="1"/>
    </font>
    <font>
      <b/>
      <sz val="12"/>
      <color rgb="FF000000"/>
      <name val="Times New Roman"/>
      <family val="1"/>
    </font>
    <font>
      <sz val="10"/>
      <color theme="1"/>
      <name val="Times New Roman"/>
      <family val="1"/>
    </font>
    <font>
      <sz val="18"/>
      <color theme="1"/>
      <name val="Times New Roman"/>
      <family val="1"/>
    </font>
    <font>
      <b/>
      <sz val="10"/>
      <color theme="1"/>
      <name val="Times New Roman"/>
      <family val="1"/>
    </font>
    <font>
      <b/>
      <u/>
      <sz val="10"/>
      <color theme="1"/>
      <name val="Times New Roman"/>
      <family val="1"/>
    </font>
    <font>
      <b/>
      <u val="double"/>
      <sz val="20"/>
      <color theme="1"/>
      <name val="Times New Roman"/>
      <family val="1"/>
    </font>
    <font>
      <b/>
      <sz val="20"/>
      <color theme="1"/>
      <name val="Times New Roman"/>
      <family val="1"/>
    </font>
    <font>
      <sz val="11"/>
      <color theme="1"/>
      <name val="Times New Roman"/>
      <family val="1"/>
    </font>
    <font>
      <b/>
      <sz val="11"/>
      <color theme="1"/>
      <name val="Times New Roman"/>
      <family val="1"/>
    </font>
    <font>
      <b/>
      <sz val="11"/>
      <color theme="0"/>
      <name val="Times New Roman"/>
      <family val="1"/>
    </font>
    <font>
      <b/>
      <sz val="8"/>
      <color theme="1"/>
      <name val="Times New Roman"/>
      <family val="1"/>
    </font>
    <font>
      <sz val="8"/>
      <color indexed="81"/>
      <name val="Tahoma"/>
      <family val="2"/>
    </font>
    <font>
      <b/>
      <sz val="8"/>
      <color indexed="81"/>
      <name val="Tahoma"/>
      <family val="2"/>
    </font>
    <font>
      <b/>
      <i/>
      <sz val="14"/>
      <color theme="0"/>
      <name val="Arial Narrow"/>
      <family val="2"/>
    </font>
    <font>
      <b/>
      <i/>
      <sz val="14"/>
      <color theme="0"/>
      <name val="Calibri"/>
      <family val="2"/>
      <scheme val="minor"/>
    </font>
    <font>
      <b/>
      <sz val="22"/>
      <color theme="1"/>
      <name val="Calibri"/>
      <family val="2"/>
      <scheme val="minor"/>
    </font>
    <font>
      <sz val="11"/>
      <color theme="1"/>
      <name val="Arial Narrow"/>
      <family val="2"/>
    </font>
    <font>
      <sz val="10.5"/>
      <color theme="1"/>
      <name val="Arial Narrow"/>
      <family val="2"/>
    </font>
    <font>
      <b/>
      <sz val="10.5"/>
      <color theme="1"/>
      <name val="Arial Narrow"/>
      <family val="2"/>
    </font>
    <font>
      <b/>
      <sz val="10"/>
      <color theme="1"/>
      <name val="Arial Narrow"/>
      <family val="2"/>
    </font>
    <font>
      <b/>
      <sz val="20"/>
      <color theme="1"/>
      <name val="Calibri"/>
      <family val="2"/>
      <scheme val="minor"/>
    </font>
    <font>
      <b/>
      <sz val="18"/>
      <color theme="1"/>
      <name val="Calibri"/>
      <family val="2"/>
      <scheme val="minor"/>
    </font>
    <font>
      <b/>
      <sz val="10"/>
      <color theme="1"/>
      <name val="Calibri"/>
      <family val="2"/>
      <scheme val="minor"/>
    </font>
    <font>
      <sz val="7"/>
      <color theme="1"/>
      <name val="Arial"/>
      <family val="2"/>
    </font>
    <font>
      <b/>
      <i/>
      <sz val="11"/>
      <color theme="0"/>
      <name val="Calibri"/>
      <family val="2"/>
      <scheme val="minor"/>
    </font>
    <font>
      <b/>
      <sz val="16"/>
      <color theme="1"/>
      <name val="Calibri"/>
      <family val="2"/>
      <scheme val="minor"/>
    </font>
    <font>
      <b/>
      <sz val="8"/>
      <color theme="1"/>
      <name val="Calibri"/>
      <family val="2"/>
      <scheme val="minor"/>
    </font>
    <font>
      <b/>
      <sz val="14"/>
      <color theme="1"/>
      <name val="Calibri"/>
      <family val="2"/>
      <scheme val="minor"/>
    </font>
    <font>
      <b/>
      <i/>
      <sz val="11"/>
      <color theme="1"/>
      <name val="Calibri"/>
      <family val="2"/>
      <scheme val="minor"/>
    </font>
    <font>
      <b/>
      <i/>
      <sz val="11"/>
      <name val="Calibri"/>
      <family val="2"/>
      <scheme val="minor"/>
    </font>
    <font>
      <b/>
      <sz val="11"/>
      <color theme="1"/>
      <name val="Arial"/>
      <family val="2"/>
    </font>
    <font>
      <b/>
      <sz val="11"/>
      <name val="Arial"/>
      <family val="2"/>
    </font>
    <font>
      <b/>
      <sz val="8"/>
      <name val="Arial"/>
      <family val="2"/>
    </font>
    <font>
      <b/>
      <sz val="8"/>
      <color theme="1"/>
      <name val="Arial"/>
      <family val="2"/>
    </font>
    <font>
      <sz val="8"/>
      <name val="Arial"/>
      <family val="2"/>
    </font>
    <font>
      <sz val="8"/>
      <color theme="1"/>
      <name val="Arial"/>
      <family val="2"/>
    </font>
    <font>
      <sz val="10"/>
      <color theme="1"/>
      <name val="Arial"/>
      <family val="2"/>
    </font>
    <font>
      <sz val="10"/>
      <name val="Arial"/>
      <family val="2"/>
    </font>
    <font>
      <sz val="11"/>
      <name val="Calibri"/>
      <family val="2"/>
      <charset val="1"/>
      <scheme val="minor"/>
    </font>
    <font>
      <b/>
      <i/>
      <sz val="14"/>
      <color theme="1" tint="0.34998626667073579"/>
      <name val="Arial Narrow"/>
      <family val="2"/>
    </font>
    <font>
      <sz val="14"/>
      <name val="Calibri"/>
      <family val="2"/>
      <scheme val="minor"/>
    </font>
    <font>
      <b/>
      <sz val="8.25"/>
      <color indexed="8"/>
      <name val="Tahoma"/>
      <family val="2"/>
    </font>
    <font>
      <b/>
      <sz val="8"/>
      <name val="Calibri"/>
      <family val="2"/>
      <scheme val="minor"/>
    </font>
    <font>
      <sz val="18"/>
      <color theme="1"/>
      <name val="Calibri"/>
      <family val="2"/>
      <scheme val="minor"/>
    </font>
    <font>
      <b/>
      <sz val="14"/>
      <color theme="0"/>
      <name val="Calibri"/>
      <family val="2"/>
      <scheme val="minor"/>
    </font>
    <font>
      <u/>
      <sz val="8.8000000000000007"/>
      <color theme="10"/>
      <name val="Calibri"/>
      <family val="2"/>
    </font>
    <font>
      <sz val="22"/>
      <color theme="1"/>
      <name val="Calibri"/>
      <family val="2"/>
      <scheme val="minor"/>
    </font>
    <font>
      <sz val="24"/>
      <color theme="1"/>
      <name val="Calibri"/>
      <family val="2"/>
      <scheme val="minor"/>
    </font>
    <font>
      <sz val="11"/>
      <name val="Calibri"/>
      <family val="2"/>
      <scheme val="minor"/>
    </font>
    <font>
      <b/>
      <sz val="48"/>
      <color rgb="FFFF0000"/>
      <name val="Arial Black"/>
      <family val="2"/>
    </font>
    <font>
      <b/>
      <sz val="11"/>
      <color theme="0"/>
      <name val="Calibri"/>
      <family val="2"/>
      <scheme val="minor"/>
    </font>
    <font>
      <sz val="11"/>
      <color theme="0"/>
      <name val="Calibri"/>
      <family val="2"/>
      <scheme val="minor"/>
    </font>
    <font>
      <b/>
      <sz val="10"/>
      <color theme="0"/>
      <name val="Calibri"/>
      <family val="2"/>
      <scheme val="minor"/>
    </font>
    <font>
      <b/>
      <sz val="10"/>
      <color theme="1"/>
      <name val="Arial"/>
      <family val="2"/>
    </font>
    <font>
      <b/>
      <sz val="14"/>
      <color theme="0"/>
      <name val="Calibri"/>
      <family val="2"/>
    </font>
    <font>
      <sz val="10"/>
      <color theme="0"/>
      <name val="Calibri"/>
      <family val="2"/>
      <scheme val="minor"/>
    </font>
    <font>
      <b/>
      <sz val="20"/>
      <color theme="0"/>
      <name val="Calibri"/>
      <family val="2"/>
      <scheme val="minor"/>
    </font>
    <font>
      <b/>
      <sz val="26"/>
      <color theme="1"/>
      <name val="Calibri"/>
      <family val="2"/>
      <scheme val="minor"/>
    </font>
    <font>
      <b/>
      <sz val="16"/>
      <color rgb="FFC00000"/>
      <name val="Calibri"/>
      <family val="2"/>
      <scheme val="minor"/>
    </font>
    <font>
      <sz val="8"/>
      <color theme="1"/>
      <name val="Calibri"/>
      <family val="2"/>
      <scheme val="minor"/>
    </font>
    <font>
      <sz val="14"/>
      <color theme="1"/>
      <name val="Calibri"/>
      <family val="2"/>
      <scheme val="minor"/>
    </font>
    <font>
      <b/>
      <sz val="20"/>
      <color theme="0"/>
      <name val="Arial Black"/>
      <family val="2"/>
    </font>
    <font>
      <b/>
      <i/>
      <sz val="48"/>
      <color theme="0"/>
      <name val="Calibri"/>
      <family val="2"/>
      <scheme val="minor"/>
    </font>
    <font>
      <b/>
      <i/>
      <sz val="12"/>
      <color theme="9" tint="-0.499984740745262"/>
      <name val="Calibri"/>
      <family val="2"/>
      <scheme val="minor"/>
    </font>
    <font>
      <b/>
      <sz val="12"/>
      <color theme="9" tint="-0.499984740745262"/>
      <name val="Calibri"/>
      <family val="2"/>
      <scheme val="minor"/>
    </font>
    <font>
      <b/>
      <i/>
      <sz val="14"/>
      <color theme="9" tint="-0.499984740745262"/>
      <name val="Arial Narrow"/>
      <family val="2"/>
    </font>
    <font>
      <b/>
      <sz val="14"/>
      <color theme="9" tint="-0.499984740745262"/>
      <name val="Calibri"/>
      <family val="2"/>
      <scheme val="minor"/>
    </font>
    <font>
      <b/>
      <i/>
      <sz val="11"/>
      <color theme="9" tint="-0.499984740745262"/>
      <name val="Calibri"/>
      <family val="2"/>
      <scheme val="minor"/>
    </font>
    <font>
      <b/>
      <sz val="11"/>
      <color theme="4" tint="-0.499984740745262"/>
      <name val="Calibri"/>
      <family val="2"/>
      <scheme val="minor"/>
    </font>
    <font>
      <sz val="11"/>
      <color theme="4" tint="-0.499984740745262"/>
      <name val="Calibri"/>
      <family val="2"/>
      <scheme val="minor"/>
    </font>
    <font>
      <b/>
      <sz val="9"/>
      <name val="Calibri"/>
      <family val="2"/>
      <scheme val="minor"/>
    </font>
    <font>
      <b/>
      <sz val="72"/>
      <color theme="0"/>
      <name val="Algerian"/>
      <family val="5"/>
    </font>
    <font>
      <b/>
      <sz val="20"/>
      <name val="Calibri"/>
      <family val="2"/>
      <scheme val="minor"/>
    </font>
    <font>
      <b/>
      <sz val="28"/>
      <color theme="0"/>
      <name val="Arial Black"/>
      <family val="2"/>
    </font>
    <font>
      <b/>
      <sz val="12"/>
      <color theme="2" tint="-9.9978637043366805E-2"/>
      <name val="Arial Black"/>
      <family val="2"/>
    </font>
    <font>
      <b/>
      <sz val="36"/>
      <color theme="0"/>
      <name val="Algerian"/>
      <family val="5"/>
    </font>
    <font>
      <b/>
      <sz val="12"/>
      <color theme="0"/>
      <name val="Algerian"/>
      <family val="5"/>
    </font>
    <font>
      <b/>
      <sz val="24"/>
      <color rgb="FF002060"/>
      <name val="Arial Black"/>
      <family val="2"/>
    </font>
    <font>
      <sz val="14"/>
      <color theme="1"/>
      <name val="Calibri"/>
      <family val="2"/>
      <charset val="1"/>
      <scheme val="minor"/>
    </font>
    <font>
      <u/>
      <sz val="20"/>
      <color theme="0"/>
      <name val="Calibri"/>
      <family val="2"/>
    </font>
    <font>
      <b/>
      <i/>
      <sz val="18"/>
      <color theme="0"/>
      <name val="Calibri"/>
      <family val="2"/>
      <scheme val="minor"/>
    </font>
    <font>
      <sz val="8"/>
      <name val="Tahoma"/>
      <family val="2"/>
    </font>
    <font>
      <sz val="12"/>
      <color rgb="FF000000"/>
      <name val="Calibri"/>
      <family val="2"/>
    </font>
    <font>
      <sz val="10"/>
      <name val="Tahoma"/>
      <family val="2"/>
    </font>
  </fonts>
  <fills count="41">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rgb="FFFF0000"/>
        <bgColor indexed="64"/>
      </patternFill>
    </fill>
    <fill>
      <patternFill patternType="solid">
        <fgColor rgb="FFFFFF00"/>
        <bgColor indexed="64"/>
      </patternFill>
    </fill>
    <fill>
      <patternFill patternType="solid">
        <fgColor rgb="FF808080"/>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rgb="FF0000FF"/>
        <bgColor indexed="64"/>
      </patternFill>
    </fill>
    <fill>
      <patternFill patternType="solid">
        <fgColor rgb="FF00B0F0"/>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solid">
        <fgColor rgb="FF00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7030A0"/>
        <bgColor indexed="64"/>
      </patternFill>
    </fill>
    <fill>
      <patternFill patternType="solid">
        <fgColor rgb="FF002060"/>
        <bgColor indexed="64"/>
      </patternFill>
    </fill>
    <fill>
      <patternFill patternType="solid">
        <fgColor theme="1"/>
        <bgColor indexed="64"/>
      </patternFill>
    </fill>
    <fill>
      <patternFill patternType="solid">
        <fgColor theme="9" tint="-0.499984740745262"/>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00B050"/>
        <bgColor indexed="64"/>
      </patternFill>
    </fill>
    <fill>
      <patternFill patternType="solid">
        <fgColor theme="2" tint="-0.89999084444715716"/>
        <bgColor indexed="64"/>
      </patternFill>
    </fill>
    <fill>
      <patternFill patternType="solid">
        <fgColor rgb="FF0070C0"/>
        <bgColor indexed="64"/>
      </patternFill>
    </fill>
    <fill>
      <patternFill patternType="solid">
        <fgColor theme="5" tint="-0.499984740745262"/>
        <bgColor indexed="64"/>
      </patternFill>
    </fill>
    <fill>
      <patternFill patternType="solid">
        <fgColor theme="1"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theme="0"/>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indexed="64"/>
      </right>
      <top/>
      <bottom/>
      <diagonal/>
    </border>
    <border>
      <left style="thin">
        <color theme="0"/>
      </left>
      <right style="thin">
        <color theme="0"/>
      </right>
      <top/>
      <bottom/>
      <diagonal/>
    </border>
    <border>
      <left/>
      <right style="medium">
        <color indexed="64"/>
      </right>
      <top/>
      <bottom/>
      <diagonal/>
    </border>
    <border>
      <left style="thin">
        <color auto="1"/>
      </left>
      <right style="double">
        <color auto="1"/>
      </right>
      <top style="thin">
        <color auto="1"/>
      </top>
      <bottom style="thin">
        <color auto="1"/>
      </bottom>
      <diagonal/>
    </border>
  </borders>
  <cellStyleXfs count="12">
    <xf numFmtId="0" fontId="0"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61" fillId="0" borderId="0" applyNumberFormat="0" applyFill="0" applyBorder="0" applyAlignment="0" applyProtection="0">
      <alignment vertical="top"/>
      <protection locked="0"/>
    </xf>
    <xf numFmtId="0" fontId="1" fillId="0" borderId="0"/>
  </cellStyleXfs>
  <cellXfs count="715">
    <xf numFmtId="0" fontId="0" fillId="0" borderId="0" xfId="0"/>
    <xf numFmtId="0" fontId="5" fillId="0" borderId="1" xfId="0" applyFont="1" applyBorder="1" applyAlignment="1" applyProtection="1">
      <alignment horizontal="center" vertical="center"/>
    </xf>
    <xf numFmtId="0" fontId="12" fillId="0" borderId="0" xfId="0" applyFont="1" applyAlignment="1" applyProtection="1">
      <alignment horizontal="centerContinuous" vertical="center"/>
      <protection hidden="1"/>
    </xf>
    <xf numFmtId="0" fontId="13" fillId="0" borderId="0" xfId="0" applyFont="1" applyAlignment="1" applyProtection="1">
      <alignment horizontal="centerContinuous" vertic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vertical="center"/>
      <protection hidden="1"/>
    </xf>
    <xf numFmtId="0" fontId="9" fillId="0" borderId="0" xfId="0" applyFont="1" applyAlignment="1" applyProtection="1">
      <alignment horizontal="right" vertical="center"/>
      <protection hidden="1"/>
    </xf>
    <xf numFmtId="0" fontId="9" fillId="0" borderId="0" xfId="0" applyFont="1" applyAlignment="1" applyProtection="1">
      <alignment horizontal="centerContinuous" vertical="center"/>
      <protection hidden="1"/>
    </xf>
    <xf numFmtId="0" fontId="14" fillId="5" borderId="1" xfId="0" applyFont="1" applyFill="1" applyBorder="1" applyAlignment="1" applyProtection="1">
      <alignment horizontal="center" vertical="center"/>
      <protection hidden="1"/>
    </xf>
    <xf numFmtId="0" fontId="15" fillId="9" borderId="1" xfId="0" applyFont="1" applyFill="1" applyBorder="1" applyAlignment="1" applyProtection="1">
      <alignment horizontal="center" vertical="center"/>
      <protection hidden="1"/>
    </xf>
    <xf numFmtId="0" fontId="15" fillId="9" borderId="1" xfId="0" applyFont="1" applyFill="1" applyBorder="1" applyAlignment="1" applyProtection="1">
      <alignment vertical="center"/>
      <protection hidden="1"/>
    </xf>
    <xf numFmtId="0" fontId="15" fillId="3" borderId="1" xfId="0" applyFont="1" applyFill="1" applyBorder="1" applyAlignment="1" applyProtection="1">
      <alignment horizontal="center" vertical="center"/>
      <protection hidden="1"/>
    </xf>
    <xf numFmtId="0" fontId="15" fillId="3" borderId="1" xfId="0" applyFont="1" applyFill="1" applyBorder="1" applyAlignment="1" applyProtection="1">
      <alignment horizontal="left" vertical="center" indent="1"/>
      <protection hidden="1"/>
    </xf>
    <xf numFmtId="0" fontId="15" fillId="3" borderId="1" xfId="0" applyFont="1" applyFill="1" applyBorder="1" applyAlignment="1" applyProtection="1">
      <alignment horizontal="left" vertical="center" wrapText="1" indent="1"/>
      <protection hidden="1"/>
    </xf>
    <xf numFmtId="0" fontId="15" fillId="9" borderId="1" xfId="0" applyFont="1" applyFill="1" applyBorder="1" applyAlignment="1" applyProtection="1">
      <alignment horizontal="left" vertical="center" indent="1"/>
      <protection hidden="1"/>
    </xf>
    <xf numFmtId="0" fontId="15" fillId="10" borderId="1" xfId="0" applyFont="1" applyFill="1" applyBorder="1" applyAlignment="1" applyProtection="1">
      <alignment horizontal="center" vertical="center"/>
      <protection hidden="1"/>
    </xf>
    <xf numFmtId="0" fontId="15" fillId="10" borderId="1" xfId="0" applyFont="1" applyFill="1" applyBorder="1" applyAlignment="1" applyProtection="1">
      <alignment horizontal="left" vertical="center" indent="1"/>
      <protection hidden="1"/>
    </xf>
    <xf numFmtId="0" fontId="16" fillId="0" borderId="1" xfId="0" applyFont="1" applyBorder="1" applyAlignment="1" applyProtection="1">
      <alignment horizontal="center" vertical="center"/>
      <protection hidden="1"/>
    </xf>
    <xf numFmtId="0" fontId="17" fillId="0" borderId="0" xfId="0" applyFont="1" applyAlignment="1" applyProtection="1">
      <alignment vertical="center"/>
      <protection hidden="1"/>
    </xf>
    <xf numFmtId="0" fontId="12" fillId="0" borderId="0" xfId="0" applyFont="1" applyAlignment="1" applyProtection="1">
      <alignment horizontal="centerContinuous"/>
      <protection hidden="1"/>
    </xf>
    <xf numFmtId="0" fontId="18" fillId="0" borderId="0" xfId="0" applyFont="1" applyAlignment="1" applyProtection="1">
      <alignment horizontal="centerContinuous" vertical="center"/>
      <protection hidden="1"/>
    </xf>
    <xf numFmtId="0" fontId="17" fillId="0" borderId="0" xfId="0" applyFont="1" applyAlignment="1" applyProtection="1">
      <alignment horizontal="center" vertical="center"/>
      <protection hidden="1"/>
    </xf>
    <xf numFmtId="0" fontId="17" fillId="0" borderId="0" xfId="0" applyFont="1" applyBorder="1" applyAlignment="1" applyProtection="1">
      <alignment horizontal="center" vertical="center" wrapText="1"/>
      <protection hidden="1"/>
    </xf>
    <xf numFmtId="0" fontId="17" fillId="0" borderId="0" xfId="0" applyFont="1" applyBorder="1" applyAlignment="1" applyProtection="1">
      <alignment vertical="center" wrapText="1"/>
      <protection hidden="1"/>
    </xf>
    <xf numFmtId="0" fontId="20" fillId="0" borderId="0" xfId="0" applyFont="1" applyAlignment="1" applyProtection="1">
      <alignment vertical="center"/>
      <protection hidden="1"/>
    </xf>
    <xf numFmtId="0" fontId="17" fillId="0" borderId="0" xfId="0" applyFont="1" applyAlignment="1" applyProtection="1">
      <alignment horizontal="center"/>
      <protection hidden="1"/>
    </xf>
    <xf numFmtId="0" fontId="17" fillId="0" borderId="0" xfId="0" quotePrefix="1" applyFont="1" applyAlignment="1" applyProtection="1">
      <alignment horizontal="left"/>
      <protection hidden="1"/>
    </xf>
    <xf numFmtId="0" fontId="17" fillId="0" borderId="0" xfId="0" quotePrefix="1" applyFont="1" applyAlignment="1" applyProtection="1">
      <alignment vertical="center"/>
      <protection hidden="1"/>
    </xf>
    <xf numFmtId="0" fontId="21" fillId="0" borderId="0" xfId="9" applyFont="1" applyFill="1" applyBorder="1" applyAlignment="1" applyProtection="1">
      <alignment horizontal="centerContinuous" vertical="top"/>
      <protection hidden="1"/>
    </xf>
    <xf numFmtId="0" fontId="22" fillId="0" borderId="0" xfId="9" applyFont="1" applyFill="1" applyBorder="1" applyAlignment="1" applyProtection="1">
      <alignment horizontal="centerContinuous" vertical="center"/>
      <protection hidden="1"/>
    </xf>
    <xf numFmtId="0" fontId="23" fillId="0" borderId="14" xfId="9" applyFont="1" applyFill="1" applyBorder="1" applyAlignment="1" applyProtection="1">
      <alignment horizontal="center" vertical="center"/>
      <protection hidden="1"/>
    </xf>
    <xf numFmtId="0" fontId="23" fillId="0" borderId="14" xfId="9" applyFont="1" applyFill="1" applyBorder="1" applyAlignment="1" applyProtection="1">
      <alignment horizontal="center" vertical="center" readingOrder="1"/>
      <protection hidden="1"/>
    </xf>
    <xf numFmtId="0" fontId="23" fillId="0" borderId="1" xfId="9" applyNumberFormat="1" applyFont="1" applyBorder="1" applyAlignment="1" applyProtection="1">
      <alignment horizontal="center" vertical="center"/>
      <protection hidden="1"/>
    </xf>
    <xf numFmtId="0" fontId="23" fillId="0" borderId="1" xfId="9" applyNumberFormat="1" applyFont="1" applyBorder="1" applyAlignment="1" applyProtection="1">
      <alignment horizontal="left" vertical="center"/>
      <protection hidden="1"/>
    </xf>
    <xf numFmtId="0" fontId="23" fillId="0" borderId="1" xfId="9" applyFont="1" applyBorder="1" applyAlignment="1" applyProtection="1">
      <alignment horizontal="center" vertical="center"/>
      <protection locked="0"/>
    </xf>
    <xf numFmtId="0" fontId="23" fillId="7" borderId="1" xfId="9" applyNumberFormat="1" applyFont="1" applyFill="1" applyBorder="1" applyAlignment="1" applyProtection="1">
      <alignment horizontal="center" vertical="center"/>
      <protection hidden="1"/>
    </xf>
    <xf numFmtId="0" fontId="23" fillId="7" borderId="1" xfId="9" applyNumberFormat="1" applyFont="1" applyFill="1" applyBorder="1" applyAlignment="1" applyProtection="1">
      <alignment horizontal="left" vertical="center"/>
      <protection hidden="1"/>
    </xf>
    <xf numFmtId="0" fontId="23" fillId="7" borderId="1" xfId="9" applyFont="1" applyFill="1" applyBorder="1" applyAlignment="1" applyProtection="1">
      <alignment horizontal="center" vertical="center"/>
      <protection hidden="1"/>
    </xf>
    <xf numFmtId="0" fontId="23" fillId="0" borderId="4" xfId="9" applyNumberFormat="1" applyFont="1" applyBorder="1" applyAlignment="1" applyProtection="1">
      <alignment horizontal="center" vertical="center"/>
      <protection hidden="1"/>
    </xf>
    <xf numFmtId="0" fontId="23" fillId="0" borderId="4" xfId="9" applyNumberFormat="1" applyFont="1" applyBorder="1" applyAlignment="1" applyProtection="1">
      <alignment horizontal="left" vertical="center"/>
      <protection hidden="1"/>
    </xf>
    <xf numFmtId="0" fontId="23" fillId="0" borderId="4" xfId="9" applyFont="1" applyBorder="1" applyAlignment="1" applyProtection="1">
      <alignment horizontal="center" vertical="center"/>
      <protection locked="0"/>
    </xf>
    <xf numFmtId="0" fontId="0" fillId="0" borderId="0" xfId="0" applyAlignment="1" applyProtection="1">
      <alignment horizontal="center"/>
    </xf>
    <xf numFmtId="0" fontId="0" fillId="0" borderId="0" xfId="0" applyProtection="1"/>
    <xf numFmtId="0" fontId="6" fillId="0" borderId="0" xfId="0" applyFont="1" applyFill="1" applyBorder="1" applyAlignment="1" applyProtection="1"/>
    <xf numFmtId="0" fontId="0" fillId="0" borderId="0" xfId="0" applyBorder="1" applyAlignment="1" applyProtection="1">
      <alignment horizontal="left"/>
    </xf>
    <xf numFmtId="0" fontId="0" fillId="0" borderId="0" xfId="0" applyFont="1" applyAlignment="1" applyProtection="1">
      <alignment horizontal="right"/>
    </xf>
    <xf numFmtId="2" fontId="5" fillId="8" borderId="1" xfId="0" applyNumberFormat="1" applyFont="1" applyFill="1" applyBorder="1" applyAlignment="1" applyProtection="1">
      <alignment horizontal="center"/>
    </xf>
    <xf numFmtId="0" fontId="0" fillId="0" borderId="0" xfId="0" applyBorder="1" applyAlignment="1" applyProtection="1">
      <alignment horizontal="center"/>
    </xf>
    <xf numFmtId="0" fontId="0" fillId="0" borderId="0" xfId="0" applyAlignment="1" applyProtection="1">
      <alignment horizontal="right"/>
    </xf>
    <xf numFmtId="0" fontId="5" fillId="0" borderId="0" xfId="0" applyFont="1" applyFill="1" applyAlignment="1" applyProtection="1">
      <alignment horizontal="left"/>
    </xf>
    <xf numFmtId="0" fontId="0" fillId="0" borderId="0" xfId="0" applyFill="1" applyAlignment="1" applyProtection="1">
      <alignment horizontal="center"/>
    </xf>
    <xf numFmtId="0" fontId="5" fillId="0" borderId="0" xfId="0" applyFont="1" applyFill="1" applyAlignment="1" applyProtection="1">
      <alignment horizontal="center"/>
    </xf>
    <xf numFmtId="0" fontId="0" fillId="0" borderId="0" xfId="0" applyAlignment="1" applyProtection="1">
      <alignment horizontal="right" vertical="center"/>
    </xf>
    <xf numFmtId="0" fontId="0" fillId="0" borderId="0" xfId="0" applyFill="1" applyBorder="1" applyAlignment="1" applyProtection="1">
      <alignment horizontal="center"/>
    </xf>
    <xf numFmtId="0" fontId="5" fillId="0" borderId="0" xfId="0" applyFont="1" applyFill="1" applyBorder="1" applyAlignment="1" applyProtection="1">
      <alignment horizontal="center"/>
    </xf>
    <xf numFmtId="0" fontId="0" fillId="0" borderId="0" xfId="0" applyAlignment="1" applyProtection="1">
      <alignment horizontal="left"/>
    </xf>
    <xf numFmtId="0" fontId="5" fillId="0" borderId="2" xfId="0" applyFont="1" applyBorder="1" applyAlignment="1" applyProtection="1">
      <alignment horizontal="right" vertical="center"/>
    </xf>
    <xf numFmtId="0" fontId="5" fillId="0" borderId="0" xfId="0" applyFont="1" applyProtection="1"/>
    <xf numFmtId="0" fontId="5" fillId="0" borderId="1" xfId="0" applyFont="1" applyFill="1" applyBorder="1" applyAlignment="1" applyProtection="1">
      <alignment horizontal="center" wrapText="1"/>
      <protection locked="0"/>
    </xf>
    <xf numFmtId="0" fontId="5" fillId="20" borderId="4" xfId="0" applyFont="1" applyFill="1" applyBorder="1" applyAlignment="1" applyProtection="1">
      <alignment horizontal="center" wrapText="1"/>
    </xf>
    <xf numFmtId="0" fontId="6" fillId="20" borderId="4" xfId="0" applyFont="1" applyFill="1" applyBorder="1" applyAlignment="1" applyProtection="1">
      <alignment horizontal="center" vertical="center"/>
    </xf>
    <xf numFmtId="0" fontId="5" fillId="20" borderId="1" xfId="0" applyFont="1" applyFill="1" applyBorder="1" applyAlignment="1" applyProtection="1">
      <alignment horizontal="center" textRotation="90" wrapText="1"/>
    </xf>
    <xf numFmtId="0" fontId="5" fillId="20" borderId="4" xfId="0" applyFont="1" applyFill="1" applyBorder="1" applyAlignment="1" applyProtection="1">
      <alignment horizontal="center" textRotation="90" wrapText="1"/>
    </xf>
    <xf numFmtId="0" fontId="5" fillId="20" borderId="1" xfId="0" quotePrefix="1" applyFont="1" applyFill="1" applyBorder="1" applyAlignment="1" applyProtection="1">
      <alignment horizontal="center" textRotation="90" wrapText="1"/>
    </xf>
    <xf numFmtId="0" fontId="33" fillId="0" borderId="1" xfId="0" applyFont="1" applyBorder="1" applyAlignment="1" applyProtection="1">
      <alignment horizontal="center"/>
    </xf>
    <xf numFmtId="1" fontId="33" fillId="0" borderId="1" xfId="0" applyNumberFormat="1" applyFont="1" applyFill="1" applyBorder="1" applyAlignment="1" applyProtection="1">
      <alignment horizontal="center" vertical="center"/>
      <protection locked="0"/>
    </xf>
    <xf numFmtId="1" fontId="33" fillId="0" borderId="1" xfId="0" quotePrefix="1" applyNumberFormat="1" applyFont="1" applyFill="1" applyBorder="1" applyAlignment="1" applyProtection="1">
      <alignment horizontal="center" vertical="center"/>
      <protection locked="0"/>
    </xf>
    <xf numFmtId="0" fontId="34" fillId="20" borderId="4" xfId="0" applyFont="1" applyFill="1" applyBorder="1" applyAlignment="1" applyProtection="1">
      <alignment horizontal="center" wrapText="1"/>
    </xf>
    <xf numFmtId="2" fontId="34" fillId="20" borderId="1" xfId="0" applyNumberFormat="1" applyFont="1" applyFill="1" applyBorder="1" applyAlignment="1" applyProtection="1">
      <alignment horizontal="center" vertical="center"/>
    </xf>
    <xf numFmtId="1" fontId="34" fillId="20" borderId="1" xfId="0" applyNumberFormat="1" applyFont="1" applyFill="1" applyBorder="1" applyAlignment="1" applyProtection="1">
      <alignment horizontal="center"/>
    </xf>
    <xf numFmtId="0" fontId="33" fillId="20" borderId="1" xfId="0" applyFont="1" applyFill="1" applyBorder="1" applyAlignment="1" applyProtection="1">
      <alignment horizontal="center"/>
    </xf>
    <xf numFmtId="0" fontId="33" fillId="0" borderId="0" xfId="0" applyFont="1" applyProtection="1"/>
    <xf numFmtId="0" fontId="0" fillId="0" borderId="1" xfId="0" applyBorder="1" applyAlignment="1" applyProtection="1">
      <alignment horizontal="center"/>
    </xf>
    <xf numFmtId="2" fontId="35" fillId="8" borderId="1" xfId="0" applyNumberFormat="1" applyFont="1" applyFill="1" applyBorder="1" applyAlignment="1" applyProtection="1">
      <alignment horizontal="center" vertical="center"/>
    </xf>
    <xf numFmtId="164" fontId="0" fillId="20" borderId="1" xfId="0" applyNumberFormat="1" applyFill="1" applyBorder="1" applyAlignment="1" applyProtection="1">
      <alignment horizontal="center"/>
    </xf>
    <xf numFmtId="0" fontId="5" fillId="0" borderId="0" xfId="0" applyFont="1" applyAlignment="1" applyProtection="1">
      <alignment horizontal="center"/>
    </xf>
    <xf numFmtId="0" fontId="33" fillId="0" borderId="1" xfId="0" applyFont="1" applyBorder="1" applyAlignment="1" applyProtection="1">
      <alignment horizontal="left" vertical="center"/>
    </xf>
    <xf numFmtId="0" fontId="5" fillId="18" borderId="8" xfId="0" applyFont="1" applyFill="1" applyBorder="1" applyAlignment="1" applyProtection="1"/>
    <xf numFmtId="0" fontId="33" fillId="20" borderId="0" xfId="0" applyFont="1" applyFill="1" applyBorder="1" applyAlignment="1" applyProtection="1">
      <alignment vertical="center" wrapText="1"/>
      <protection locked="0"/>
    </xf>
    <xf numFmtId="0" fontId="33" fillId="20" borderId="16" xfId="0" applyFont="1" applyFill="1" applyBorder="1" applyAlignment="1" applyProtection="1">
      <alignment vertical="center" wrapText="1"/>
      <protection locked="0"/>
    </xf>
    <xf numFmtId="0" fontId="33" fillId="21" borderId="0" xfId="0" applyFont="1" applyFill="1" applyBorder="1" applyAlignment="1" applyProtection="1">
      <alignment vertical="center" wrapText="1"/>
      <protection locked="0"/>
    </xf>
    <xf numFmtId="0" fontId="33" fillId="21" borderId="16" xfId="0" applyFont="1" applyFill="1" applyBorder="1" applyAlignment="1" applyProtection="1">
      <alignment vertical="center" wrapText="1"/>
      <protection locked="0"/>
    </xf>
    <xf numFmtId="0" fontId="33" fillId="21" borderId="13" xfId="0" applyFont="1" applyFill="1" applyBorder="1" applyAlignment="1" applyProtection="1">
      <alignment vertical="center" wrapText="1"/>
      <protection locked="0"/>
    </xf>
    <xf numFmtId="0" fontId="33" fillId="21" borderId="9" xfId="0" applyFont="1" applyFill="1" applyBorder="1" applyAlignment="1" applyProtection="1">
      <alignment vertical="center" wrapText="1"/>
      <protection locked="0"/>
    </xf>
    <xf numFmtId="0" fontId="41" fillId="0" borderId="0" xfId="0" applyFont="1" applyAlignment="1" applyProtection="1">
      <alignment vertical="center"/>
      <protection locked="0"/>
    </xf>
    <xf numFmtId="0" fontId="0" fillId="0" borderId="0" xfId="0" applyProtection="1">
      <protection locked="0"/>
    </xf>
    <xf numFmtId="0" fontId="44" fillId="0" borderId="0" xfId="0" applyFont="1" applyProtection="1">
      <protection locked="0"/>
    </xf>
    <xf numFmtId="0" fontId="45" fillId="0" borderId="0" xfId="0" applyFont="1" applyProtection="1">
      <protection locked="0"/>
    </xf>
    <xf numFmtId="0" fontId="51" fillId="0" borderId="1" xfId="0" applyFont="1" applyBorder="1" applyAlignment="1" applyProtection="1">
      <alignment horizontal="center" vertical="center"/>
      <protection locked="0"/>
    </xf>
    <xf numFmtId="0" fontId="54" fillId="0" borderId="0" xfId="0" applyFont="1" applyProtection="1">
      <protection locked="0"/>
    </xf>
    <xf numFmtId="0" fontId="0" fillId="0" borderId="1" xfId="0" applyBorder="1" applyProtection="1"/>
    <xf numFmtId="0" fontId="0" fillId="0" borderId="1" xfId="0" applyBorder="1" applyProtection="1">
      <protection locked="0"/>
    </xf>
    <xf numFmtId="0" fontId="42" fillId="0" borderId="0" xfId="0" applyFont="1" applyBorder="1" applyAlignment="1" applyProtection="1">
      <alignment vertical="center"/>
      <protection locked="0"/>
    </xf>
    <xf numFmtId="0" fontId="4" fillId="4" borderId="1" xfId="0" applyFont="1" applyFill="1" applyBorder="1" applyAlignment="1" applyProtection="1">
      <alignment horizontal="center" vertical="center" wrapText="1"/>
      <protection locked="0"/>
    </xf>
    <xf numFmtId="2" fontId="4" fillId="6" borderId="1" xfId="0" applyNumberFormat="1" applyFont="1" applyFill="1" applyBorder="1" applyAlignment="1" applyProtection="1">
      <alignment horizontal="center" vertical="center"/>
      <protection locked="0"/>
    </xf>
    <xf numFmtId="0" fontId="0" fillId="0" borderId="0" xfId="0" applyFont="1" applyFill="1" applyAlignment="1" applyProtection="1">
      <alignment vertical="center"/>
      <protection locked="0"/>
    </xf>
    <xf numFmtId="0" fontId="4" fillId="0" borderId="1" xfId="0" applyFont="1" applyFill="1" applyBorder="1" applyAlignment="1" applyProtection="1">
      <alignment vertical="center" textRotation="90" wrapText="1"/>
      <protection locked="0"/>
    </xf>
    <xf numFmtId="0" fontId="4" fillId="0" borderId="1" xfId="0" applyFont="1" applyFill="1" applyBorder="1" applyAlignment="1" applyProtection="1">
      <alignment vertical="center" textRotation="90"/>
      <protection locked="0"/>
    </xf>
    <xf numFmtId="0" fontId="0" fillId="0" borderId="0" xfId="0" applyFont="1" applyFill="1" applyAlignment="1" applyProtection="1">
      <alignment vertical="center" textRotation="90"/>
      <protection locked="0"/>
    </xf>
    <xf numFmtId="0" fontId="4" fillId="5" borderId="1" xfId="0" applyFont="1" applyFill="1" applyBorder="1" applyAlignment="1" applyProtection="1">
      <alignment horizontal="center" vertical="center"/>
      <protection locked="0"/>
    </xf>
    <xf numFmtId="1" fontId="4" fillId="5" borderId="1" xfId="0" applyNumberFormat="1" applyFont="1" applyFill="1" applyBorder="1" applyAlignment="1" applyProtection="1">
      <alignment horizontal="center" vertical="center"/>
      <protection locked="0"/>
    </xf>
    <xf numFmtId="0" fontId="0" fillId="0" borderId="1" xfId="0" applyFont="1" applyFill="1" applyBorder="1" applyAlignment="1" applyProtection="1">
      <alignment vertical="center"/>
      <protection locked="0"/>
    </xf>
    <xf numFmtId="2" fontId="0" fillId="0" borderId="0" xfId="0" applyNumberFormat="1" applyFont="1" applyFill="1" applyAlignment="1" applyProtection="1">
      <alignment horizontal="center" vertical="center"/>
      <protection locked="0"/>
    </xf>
    <xf numFmtId="0" fontId="0" fillId="0" borderId="0" xfId="0" applyFont="1" applyFill="1" applyAlignment="1" applyProtection="1">
      <alignment horizontal="center" vertical="center"/>
      <protection locked="0"/>
    </xf>
    <xf numFmtId="2" fontId="4" fillId="6" borderId="1" xfId="0" applyNumberFormat="1" applyFont="1" applyFill="1" applyBorder="1" applyAlignment="1" applyProtection="1">
      <alignment horizontal="center" vertical="center"/>
    </xf>
    <xf numFmtId="0" fontId="0" fillId="0" borderId="1" xfId="0" applyFont="1" applyFill="1" applyBorder="1" applyAlignment="1" applyProtection="1">
      <alignment vertical="center"/>
    </xf>
    <xf numFmtId="2" fontId="0" fillId="0" borderId="1" xfId="0" applyNumberFormat="1" applyFont="1" applyFill="1" applyBorder="1" applyAlignment="1" applyProtection="1">
      <alignment horizontal="center" vertical="center"/>
    </xf>
    <xf numFmtId="0" fontId="0" fillId="0" borderId="1" xfId="0" applyFont="1" applyFill="1" applyBorder="1" applyAlignment="1" applyProtection="1">
      <alignment horizontal="center" vertical="center"/>
    </xf>
    <xf numFmtId="2" fontId="0" fillId="0" borderId="1" xfId="0" applyNumberFormat="1" applyFont="1" applyFill="1" applyBorder="1" applyAlignment="1" applyProtection="1">
      <alignment horizontal="left" vertical="center"/>
    </xf>
    <xf numFmtId="2" fontId="0" fillId="0" borderId="1" xfId="0" applyNumberFormat="1" applyFont="1" applyFill="1" applyBorder="1" applyAlignment="1" applyProtection="1">
      <alignment vertical="center"/>
    </xf>
    <xf numFmtId="0" fontId="50" fillId="8" borderId="1" xfId="0" applyFont="1" applyFill="1" applyBorder="1" applyAlignment="1" applyProtection="1">
      <alignment horizontal="center" vertical="center"/>
      <protection locked="0"/>
    </xf>
    <xf numFmtId="0" fontId="51" fillId="13"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textRotation="90" wrapText="1"/>
      <protection locked="0"/>
    </xf>
    <xf numFmtId="0" fontId="4" fillId="0" borderId="1" xfId="0" applyFont="1" applyFill="1" applyBorder="1" applyAlignment="1" applyProtection="1">
      <alignment horizontal="center" vertical="center" textRotation="90"/>
      <protection locked="0"/>
    </xf>
    <xf numFmtId="0" fontId="4" fillId="13" borderId="1" xfId="0" applyFont="1" applyFill="1" applyBorder="1" applyAlignment="1" applyProtection="1">
      <alignment horizontal="center" vertical="center"/>
      <protection locked="0"/>
    </xf>
    <xf numFmtId="2" fontId="4" fillId="6" borderId="1" xfId="0" applyNumberFormat="1" applyFont="1" applyFill="1" applyBorder="1" applyAlignment="1" applyProtection="1">
      <alignment horizontal="center" vertical="center" textRotation="90"/>
      <protection locked="0"/>
    </xf>
    <xf numFmtId="0" fontId="0" fillId="0" borderId="1" xfId="0" applyFont="1" applyFill="1" applyBorder="1" applyAlignment="1" applyProtection="1">
      <alignment horizontal="left" vertical="center"/>
    </xf>
    <xf numFmtId="0" fontId="4" fillId="0" borderId="4" xfId="0" applyFont="1" applyFill="1" applyBorder="1" applyAlignment="1" applyProtection="1">
      <alignment vertical="center" textRotation="90" wrapText="1"/>
      <protection locked="0"/>
    </xf>
    <xf numFmtId="0" fontId="0" fillId="3" borderId="1" xfId="0" applyFont="1" applyFill="1" applyBorder="1" applyAlignment="1" applyProtection="1">
      <alignment horizontal="center" vertical="center"/>
    </xf>
    <xf numFmtId="0" fontId="0" fillId="0" borderId="1" xfId="0" applyBorder="1"/>
    <xf numFmtId="0" fontId="0" fillId="0" borderId="4" xfId="0" applyBorder="1"/>
    <xf numFmtId="0" fontId="52" fillId="0" borderId="1" xfId="0" applyFont="1" applyBorder="1" applyAlignment="1" applyProtection="1">
      <alignment horizontal="center" vertical="center"/>
    </xf>
    <xf numFmtId="0" fontId="53" fillId="0" borderId="4" xfId="0" applyNumberFormat="1" applyFont="1" applyFill="1" applyBorder="1" applyAlignment="1" applyProtection="1">
      <alignment horizontal="left" vertical="top"/>
    </xf>
    <xf numFmtId="2" fontId="0" fillId="0" borderId="1" xfId="0" applyNumberFormat="1" applyFill="1" applyBorder="1" applyAlignment="1" applyProtection="1">
      <alignment horizontal="right" vertical="center"/>
    </xf>
    <xf numFmtId="164" fontId="0" fillId="0" borderId="1" xfId="0" applyNumberFormat="1" applyFill="1" applyBorder="1" applyAlignment="1" applyProtection="1">
      <alignment horizontal="center"/>
    </xf>
    <xf numFmtId="0" fontId="0" fillId="0" borderId="0" xfId="0" applyFill="1" applyProtection="1">
      <protection locked="0"/>
    </xf>
    <xf numFmtId="0" fontId="26" fillId="0" borderId="1" xfId="9" applyFont="1" applyFill="1" applyBorder="1" applyAlignment="1" applyProtection="1">
      <alignment horizontal="center" textRotation="45" readingOrder="1"/>
      <protection hidden="1"/>
    </xf>
    <xf numFmtId="0" fontId="23" fillId="0" borderId="1" xfId="9" applyFont="1" applyBorder="1" applyAlignment="1" applyProtection="1">
      <alignment vertical="center"/>
      <protection hidden="1"/>
    </xf>
    <xf numFmtId="0" fontId="23" fillId="0" borderId="1" xfId="9" applyFont="1" applyBorder="1" applyAlignment="1" applyProtection="1">
      <alignment horizontal="center" vertical="center"/>
      <protection hidden="1"/>
    </xf>
    <xf numFmtId="0" fontId="0" fillId="0" borderId="1" xfId="0" applyFont="1" applyFill="1" applyBorder="1" applyAlignment="1" applyProtection="1">
      <alignment horizontal="center" vertical="center"/>
      <protection locked="0"/>
    </xf>
    <xf numFmtId="0" fontId="23" fillId="0" borderId="0" xfId="9" applyFont="1" applyBorder="1" applyAlignment="1" applyProtection="1">
      <alignment horizontal="center" vertical="center"/>
      <protection locked="0"/>
    </xf>
    <xf numFmtId="0" fontId="0" fillId="13" borderId="1" xfId="0" applyFont="1" applyFill="1" applyBorder="1" applyAlignment="1" applyProtection="1">
      <alignment horizontal="left" vertical="center"/>
    </xf>
    <xf numFmtId="0" fontId="0" fillId="0" borderId="0" xfId="0" applyAlignment="1" applyProtection="1">
      <alignment horizontal="center"/>
      <protection locked="0"/>
    </xf>
    <xf numFmtId="0" fontId="0" fillId="0" borderId="0" xfId="0" applyFont="1" applyAlignment="1" applyProtection="1">
      <alignment horizontal="right"/>
      <protection locked="0"/>
    </xf>
    <xf numFmtId="0" fontId="5" fillId="0" borderId="0" xfId="0" applyFont="1" applyFill="1" applyBorder="1" applyAlignment="1" applyProtection="1">
      <alignment horizontal="left"/>
      <protection locked="0"/>
    </xf>
    <xf numFmtId="0" fontId="0" fillId="0" borderId="0" xfId="0" applyBorder="1" applyAlignment="1" applyProtection="1">
      <alignment horizontal="center"/>
      <protection locked="0"/>
    </xf>
    <xf numFmtId="0" fontId="5" fillId="0" borderId="0" xfId="0" applyFont="1" applyFill="1" applyAlignment="1" applyProtection="1">
      <alignment horizontal="left"/>
      <protection locked="0"/>
    </xf>
    <xf numFmtId="0" fontId="0" fillId="0" borderId="0" xfId="0" applyFill="1" applyAlignment="1" applyProtection="1">
      <alignment horizontal="center"/>
      <protection locked="0"/>
    </xf>
    <xf numFmtId="0" fontId="5" fillId="0" borderId="0" xfId="0" applyFont="1" applyFill="1" applyAlignment="1" applyProtection="1">
      <alignment horizontal="center"/>
      <protection locked="0"/>
    </xf>
    <xf numFmtId="0" fontId="5" fillId="18" borderId="15" xfId="0" applyFont="1" applyFill="1" applyBorder="1" applyAlignment="1" applyProtection="1">
      <protection locked="0"/>
    </xf>
    <xf numFmtId="0" fontId="5" fillId="18" borderId="8" xfId="0" applyFont="1" applyFill="1" applyBorder="1" applyAlignment="1" applyProtection="1">
      <protection locked="0"/>
    </xf>
    <xf numFmtId="0" fontId="0" fillId="0" borderId="0" xfId="0" applyAlignment="1" applyProtection="1">
      <alignment horizontal="right" vertical="center"/>
      <protection locked="0"/>
    </xf>
    <xf numFmtId="0" fontId="0" fillId="19" borderId="0" xfId="0" applyFill="1" applyBorder="1" applyAlignment="1" applyProtection="1">
      <alignment horizontal="right" vertical="center"/>
      <protection locked="0"/>
    </xf>
    <xf numFmtId="0" fontId="0" fillId="19" borderId="13" xfId="0" applyFill="1" applyBorder="1" applyAlignment="1" applyProtection="1">
      <alignment horizontal="right" vertical="center"/>
      <protection locked="0"/>
    </xf>
    <xf numFmtId="0" fontId="0" fillId="0" borderId="0" xfId="0"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5" fillId="0" borderId="2" xfId="0" applyFont="1" applyBorder="1" applyAlignment="1" applyProtection="1">
      <alignment horizontal="right" vertical="center"/>
      <protection locked="0"/>
    </xf>
    <xf numFmtId="0" fontId="5" fillId="20" borderId="4" xfId="0" applyFont="1" applyFill="1" applyBorder="1" applyAlignment="1" applyProtection="1">
      <alignment horizontal="center" wrapText="1"/>
      <protection locked="0"/>
    </xf>
    <xf numFmtId="0" fontId="5" fillId="0" borderId="1" xfId="0" applyFont="1" applyBorder="1" applyAlignment="1" applyProtection="1">
      <alignment horizontal="center" vertical="center"/>
      <protection locked="0"/>
    </xf>
    <xf numFmtId="0" fontId="5" fillId="20" borderId="1" xfId="0" applyFont="1" applyFill="1" applyBorder="1" applyAlignment="1" applyProtection="1">
      <alignment horizontal="center" textRotation="90" wrapText="1"/>
      <protection locked="0"/>
    </xf>
    <xf numFmtId="0" fontId="5" fillId="20" borderId="4" xfId="0" applyFont="1" applyFill="1" applyBorder="1" applyAlignment="1" applyProtection="1">
      <alignment horizontal="center" textRotation="90" wrapText="1"/>
      <protection locked="0"/>
    </xf>
    <xf numFmtId="0" fontId="5" fillId="20" borderId="1" xfId="0" quotePrefix="1" applyFont="1" applyFill="1" applyBorder="1" applyAlignment="1" applyProtection="1">
      <alignment horizontal="center" textRotation="90" wrapText="1"/>
      <protection locked="0"/>
    </xf>
    <xf numFmtId="0" fontId="0" fillId="0" borderId="1" xfId="0" applyBorder="1" applyAlignment="1" applyProtection="1">
      <alignment horizontal="center"/>
      <protection locked="0"/>
    </xf>
    <xf numFmtId="0" fontId="0" fillId="0" borderId="0" xfId="0" applyAlignment="1" applyProtection="1">
      <alignment horizontal="left"/>
      <protection locked="0"/>
    </xf>
    <xf numFmtId="0" fontId="5" fillId="0" borderId="0" xfId="0" applyFont="1" applyAlignment="1" applyProtection="1">
      <alignment horizontal="center"/>
      <protection locked="0"/>
    </xf>
    <xf numFmtId="0" fontId="5" fillId="0" borderId="0" xfId="0" applyFont="1" applyBorder="1" applyAlignment="1" applyProtection="1">
      <alignment horizontal="center"/>
      <protection locked="0"/>
    </xf>
    <xf numFmtId="0" fontId="4" fillId="5" borderId="10" xfId="0" applyFont="1" applyFill="1" applyBorder="1" applyAlignment="1" applyProtection="1">
      <alignment horizontal="center" vertical="center"/>
      <protection locked="0"/>
    </xf>
    <xf numFmtId="0" fontId="21" fillId="0" borderId="0" xfId="9" applyFont="1" applyFill="1" applyBorder="1" applyAlignment="1" applyProtection="1">
      <alignment horizontal="centerContinuous" vertical="top"/>
      <protection locked="0"/>
    </xf>
    <xf numFmtId="0" fontId="22" fillId="0" borderId="0" xfId="9" applyFont="1" applyFill="1" applyBorder="1" applyAlignment="1" applyProtection="1">
      <alignment horizontal="centerContinuous" vertical="center"/>
      <protection locked="0"/>
    </xf>
    <xf numFmtId="0" fontId="19" fillId="0" borderId="13" xfId="9" applyFont="1" applyFill="1" applyBorder="1" applyAlignment="1" applyProtection="1">
      <alignment horizontal="center" textRotation="45" readingOrder="1"/>
      <protection locked="0"/>
    </xf>
    <xf numFmtId="0" fontId="23" fillId="0" borderId="0" xfId="9" applyFont="1" applyAlignment="1" applyProtection="1">
      <alignment vertical="center"/>
      <protection locked="0"/>
    </xf>
    <xf numFmtId="0" fontId="23" fillId="0" borderId="14" xfId="9" applyFont="1" applyFill="1" applyBorder="1" applyAlignment="1" applyProtection="1">
      <alignment horizontal="center" vertical="center"/>
      <protection locked="0"/>
    </xf>
    <xf numFmtId="0" fontId="23" fillId="0" borderId="14" xfId="9" applyFont="1" applyFill="1" applyBorder="1" applyAlignment="1" applyProtection="1">
      <alignment horizontal="center" vertical="center" readingOrder="1"/>
      <protection locked="0"/>
    </xf>
    <xf numFmtId="0" fontId="23" fillId="0" borderId="0" xfId="9" applyFont="1" applyFill="1" applyBorder="1" applyAlignment="1" applyProtection="1">
      <alignment horizontal="center" vertical="center" readingOrder="1"/>
      <protection locked="0"/>
    </xf>
    <xf numFmtId="0" fontId="23" fillId="0" borderId="1" xfId="9" applyNumberFormat="1" applyFont="1" applyBorder="1" applyAlignment="1" applyProtection="1">
      <alignment horizontal="center" vertical="center"/>
      <protection locked="0"/>
    </xf>
    <xf numFmtId="0" fontId="23" fillId="0" borderId="1" xfId="9" applyNumberFormat="1" applyFont="1" applyBorder="1" applyAlignment="1" applyProtection="1">
      <alignment horizontal="left" vertical="center"/>
      <protection locked="0"/>
    </xf>
    <xf numFmtId="0" fontId="23" fillId="7" borderId="1" xfId="9" applyNumberFormat="1" applyFont="1" applyFill="1" applyBorder="1" applyAlignment="1" applyProtection="1">
      <alignment horizontal="center" vertical="center"/>
      <protection locked="0"/>
    </xf>
    <xf numFmtId="0" fontId="23" fillId="7" borderId="1" xfId="9" applyNumberFormat="1" applyFont="1" applyFill="1" applyBorder="1" applyAlignment="1" applyProtection="1">
      <alignment horizontal="left" vertical="center"/>
      <protection locked="0"/>
    </xf>
    <xf numFmtId="0" fontId="23" fillId="7" borderId="0" xfId="9" applyFont="1" applyFill="1" applyBorder="1" applyAlignment="1" applyProtection="1">
      <alignment horizontal="center" vertical="center"/>
      <protection locked="0"/>
    </xf>
    <xf numFmtId="0" fontId="23" fillId="0" borderId="0" xfId="9" applyFont="1" applyAlignment="1" applyProtection="1">
      <alignment horizontal="center" vertical="center"/>
      <protection locked="0"/>
    </xf>
    <xf numFmtId="0" fontId="19" fillId="0" borderId="13" xfId="9" applyFont="1" applyFill="1" applyBorder="1" applyAlignment="1" applyProtection="1">
      <alignment horizontal="center" textRotation="45" readingOrder="1"/>
    </xf>
    <xf numFmtId="0" fontId="23" fillId="7" borderId="1" xfId="9" applyFont="1" applyFill="1" applyBorder="1" applyAlignment="1" applyProtection="1">
      <alignment horizontal="center" vertical="center"/>
    </xf>
    <xf numFmtId="0" fontId="23" fillId="0" borderId="0" xfId="9" applyFont="1" applyAlignment="1" applyProtection="1">
      <alignment horizontal="center" vertical="center"/>
    </xf>
    <xf numFmtId="0" fontId="23" fillId="0" borderId="4" xfId="9" applyNumberFormat="1" applyFont="1" applyBorder="1" applyAlignment="1" applyProtection="1">
      <alignment horizontal="center" vertical="center"/>
      <protection locked="0"/>
    </xf>
    <xf numFmtId="0" fontId="23" fillId="0" borderId="4" xfId="9" applyNumberFormat="1" applyFont="1" applyBorder="1" applyAlignment="1" applyProtection="1">
      <alignment horizontal="left" vertical="center"/>
      <protection locked="0"/>
    </xf>
    <xf numFmtId="0" fontId="23" fillId="0" borderId="1" xfId="9" applyFont="1" applyBorder="1" applyAlignment="1" applyProtection="1">
      <alignment vertical="center"/>
      <protection locked="0"/>
    </xf>
    <xf numFmtId="0" fontId="26" fillId="0" borderId="1" xfId="9" applyFont="1" applyFill="1" applyBorder="1" applyAlignment="1" applyProtection="1">
      <alignment horizontal="center" textRotation="45" readingOrder="1"/>
    </xf>
    <xf numFmtId="0" fontId="23" fillId="0" borderId="1" xfId="9" applyFont="1" applyBorder="1" applyAlignment="1" applyProtection="1">
      <alignment horizontal="center" vertical="center"/>
    </xf>
    <xf numFmtId="0" fontId="0" fillId="2" borderId="1" xfId="0" applyFill="1" applyBorder="1" applyAlignment="1">
      <alignment horizontal="center" vertical="center"/>
    </xf>
    <xf numFmtId="0" fontId="23" fillId="0" borderId="2" xfId="9" applyFont="1" applyFill="1" applyBorder="1" applyAlignment="1" applyProtection="1">
      <alignment horizontal="center" vertical="center" readingOrder="1"/>
      <protection locked="0"/>
    </xf>
    <xf numFmtId="0" fontId="43" fillId="0" borderId="0" xfId="0" applyFont="1" applyBorder="1" applyAlignment="1" applyProtection="1">
      <alignment vertical="center"/>
      <protection locked="0"/>
    </xf>
    <xf numFmtId="0" fontId="41" fillId="0" borderId="0" xfId="0" applyFont="1" applyBorder="1" applyAlignment="1" applyProtection="1">
      <alignment vertical="center"/>
    </xf>
    <xf numFmtId="0" fontId="43" fillId="0" borderId="0" xfId="0" applyFont="1" applyAlignment="1" applyProtection="1">
      <alignment vertical="center"/>
      <protection locked="0"/>
    </xf>
    <xf numFmtId="0" fontId="49" fillId="0" borderId="1" xfId="0" applyFont="1" applyBorder="1" applyAlignment="1" applyProtection="1">
      <alignment horizontal="center" vertical="center"/>
      <protection locked="0"/>
    </xf>
    <xf numFmtId="16" fontId="43" fillId="0" borderId="0" xfId="0" applyNumberFormat="1" applyFont="1" applyAlignment="1" applyProtection="1">
      <alignment vertical="center"/>
    </xf>
    <xf numFmtId="0" fontId="41" fillId="0" borderId="0" xfId="0" applyFont="1" applyAlignment="1" applyProtection="1">
      <alignment vertical="center"/>
    </xf>
    <xf numFmtId="0" fontId="0" fillId="0" borderId="0" xfId="0" applyFill="1" applyAlignment="1" applyProtection="1">
      <alignment vertical="center"/>
      <protection locked="0"/>
    </xf>
    <xf numFmtId="0" fontId="4" fillId="0" borderId="4"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20" borderId="4"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0" xfId="0" applyFont="1" applyBorder="1" applyAlignment="1" applyProtection="1">
      <alignment horizontal="left"/>
      <protection locked="0"/>
    </xf>
    <xf numFmtId="0" fontId="0" fillId="0" borderId="0" xfId="0" applyAlignment="1" applyProtection="1">
      <alignment horizontal="right"/>
      <protection locked="0"/>
    </xf>
    <xf numFmtId="0" fontId="5" fillId="0" borderId="0" xfId="0" applyFont="1" applyAlignment="1" applyProtection="1">
      <alignment horizontal="left"/>
      <protection locked="0"/>
    </xf>
    <xf numFmtId="0" fontId="31" fillId="0" borderId="0" xfId="0" applyFont="1" applyFill="1" applyAlignment="1" applyProtection="1">
      <alignment vertical="center"/>
    </xf>
    <xf numFmtId="0" fontId="43" fillId="0" borderId="0" xfId="0" applyFont="1" applyFill="1" applyAlignment="1" applyProtection="1">
      <alignment vertical="center"/>
    </xf>
    <xf numFmtId="0" fontId="59" fillId="0" borderId="0" xfId="0" applyFont="1" applyFill="1" applyBorder="1" applyAlignment="1" applyProtection="1">
      <alignment vertical="center"/>
      <protection locked="0"/>
    </xf>
    <xf numFmtId="0" fontId="0" fillId="0"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164" fontId="0" fillId="3" borderId="1" xfId="0" applyNumberFormat="1" applyFont="1" applyFill="1" applyBorder="1" applyAlignment="1" applyProtection="1">
      <alignment horizontal="center" vertical="center"/>
      <protection locked="0"/>
    </xf>
    <xf numFmtId="1" fontId="0" fillId="0" borderId="1" xfId="0" applyNumberFormat="1" applyFont="1" applyFill="1" applyBorder="1" applyAlignment="1" applyProtection="1">
      <alignment horizontal="center" vertical="center"/>
      <protection locked="0"/>
    </xf>
    <xf numFmtId="0" fontId="0" fillId="0" borderId="1" xfId="0" quotePrefix="1" applyFill="1" applyBorder="1" applyAlignment="1" applyProtection="1">
      <alignment horizontal="center" vertical="center"/>
      <protection locked="0"/>
    </xf>
    <xf numFmtId="0" fontId="0" fillId="0" borderId="0" xfId="0" applyBorder="1"/>
    <xf numFmtId="0" fontId="23" fillId="0" borderId="0" xfId="9" applyNumberFormat="1" applyFont="1" applyBorder="1" applyAlignment="1" applyProtection="1">
      <alignment horizontal="left" vertical="center"/>
      <protection locked="0"/>
    </xf>
    <xf numFmtId="0" fontId="0" fillId="0" borderId="1" xfId="0" applyBorder="1" applyAlignment="1" applyProtection="1">
      <alignment horizontal="left" vertical="center" wrapText="1"/>
    </xf>
    <xf numFmtId="0" fontId="0" fillId="0" borderId="1" xfId="0" applyBorder="1" applyAlignment="1" applyProtection="1">
      <alignment horizontal="right" vertical="center" wrapText="1"/>
    </xf>
    <xf numFmtId="0" fontId="5" fillId="0" borderId="0" xfId="0" applyFont="1" applyAlignment="1" applyProtection="1">
      <alignment horizontal="left"/>
    </xf>
    <xf numFmtId="0" fontId="6" fillId="0" borderId="1" xfId="0" applyFont="1" applyBorder="1" applyAlignment="1" applyProtection="1">
      <alignment horizontal="center" vertical="center" wrapText="1"/>
      <protection locked="0"/>
    </xf>
    <xf numFmtId="0" fontId="23" fillId="0" borderId="10" xfId="9" applyNumberFormat="1" applyFont="1" applyBorder="1" applyAlignment="1" applyProtection="1">
      <alignment horizontal="left" vertical="center"/>
      <protection locked="0"/>
    </xf>
    <xf numFmtId="0" fontId="17" fillId="0" borderId="0" xfId="0" applyFont="1" applyFill="1" applyBorder="1" applyAlignment="1" applyProtection="1">
      <alignment vertical="center" wrapText="1"/>
      <protection hidden="1"/>
    </xf>
    <xf numFmtId="0" fontId="19"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protection hidden="1"/>
    </xf>
    <xf numFmtId="0" fontId="17" fillId="0" borderId="1" xfId="0" applyFont="1" applyFill="1" applyBorder="1" applyAlignment="1" applyProtection="1">
      <alignment horizontal="center" vertical="center" wrapText="1"/>
      <protection hidden="1"/>
    </xf>
    <xf numFmtId="0" fontId="17" fillId="0" borderId="2" xfId="0" applyFont="1" applyFill="1" applyBorder="1" applyAlignment="1" applyProtection="1">
      <alignment horizontal="center" vertical="center" wrapText="1"/>
      <protection hidden="1"/>
    </xf>
    <xf numFmtId="0" fontId="23" fillId="26" borderId="1" xfId="9" applyNumberFormat="1" applyFont="1" applyFill="1" applyBorder="1" applyAlignment="1" applyProtection="1">
      <alignment horizontal="center" vertical="center"/>
      <protection locked="0"/>
    </xf>
    <xf numFmtId="0" fontId="23" fillId="26" borderId="1" xfId="9" applyNumberFormat="1" applyFont="1" applyFill="1" applyBorder="1" applyAlignment="1" applyProtection="1">
      <alignment horizontal="left" vertical="center"/>
      <protection locked="0"/>
    </xf>
    <xf numFmtId="0" fontId="19" fillId="26" borderId="1" xfId="0" applyFont="1" applyFill="1" applyBorder="1" applyAlignment="1" applyProtection="1">
      <alignment horizontal="center" vertical="center" wrapText="1"/>
      <protection hidden="1"/>
    </xf>
    <xf numFmtId="0" fontId="23" fillId="26" borderId="10" xfId="9" applyNumberFormat="1" applyFont="1" applyFill="1" applyBorder="1" applyAlignment="1" applyProtection="1">
      <alignment horizontal="left" vertical="center"/>
      <protection locked="0"/>
    </xf>
    <xf numFmtId="0" fontId="17" fillId="26" borderId="1" xfId="0" applyFont="1" applyFill="1" applyBorder="1" applyAlignment="1" applyProtection="1">
      <alignment horizontal="center" vertical="center" wrapText="1"/>
      <protection hidden="1"/>
    </xf>
    <xf numFmtId="0" fontId="17" fillId="26" borderId="2" xfId="0" applyFont="1" applyFill="1" applyBorder="1" applyAlignment="1" applyProtection="1">
      <alignment horizontal="center" vertical="center" wrapText="1"/>
      <protection hidden="1"/>
    </xf>
    <xf numFmtId="1" fontId="54" fillId="8" borderId="1" xfId="0" applyNumberFormat="1" applyFont="1" applyFill="1" applyBorder="1" applyAlignment="1" applyProtection="1">
      <alignment horizontal="center" vertical="center"/>
    </xf>
    <xf numFmtId="1" fontId="0" fillId="13" borderId="1" xfId="0" applyNumberFormat="1" applyFill="1" applyBorder="1" applyAlignment="1" applyProtection="1">
      <alignment horizontal="center" vertical="center"/>
    </xf>
    <xf numFmtId="1" fontId="57" fillId="23" borderId="1" xfId="0" applyNumberFormat="1" applyFont="1" applyFill="1" applyBorder="1" applyAlignment="1" applyProtection="1">
      <alignment horizontal="center" vertical="center"/>
    </xf>
    <xf numFmtId="0" fontId="0" fillId="2" borderId="1" xfId="0" applyFont="1" applyFill="1" applyBorder="1" applyAlignment="1" applyProtection="1">
      <alignment horizontal="center" vertical="center"/>
      <protection locked="0"/>
    </xf>
    <xf numFmtId="0" fontId="0" fillId="0" borderId="1" xfId="0" applyNumberFormat="1" applyFont="1" applyFill="1" applyBorder="1" applyAlignment="1" applyProtection="1">
      <alignment horizontal="center" vertical="center"/>
    </xf>
    <xf numFmtId="0" fontId="0" fillId="0" borderId="0" xfId="0" applyFill="1" applyAlignment="1" applyProtection="1">
      <alignment horizontal="center" vertical="center"/>
      <protection locked="0"/>
    </xf>
    <xf numFmtId="2" fontId="4" fillId="6" borderId="4" xfId="0" applyNumberFormat="1" applyFont="1" applyFill="1" applyBorder="1" applyAlignment="1" applyProtection="1">
      <alignment horizontal="center" vertical="center" textRotation="90" wrapText="1"/>
      <protection locked="0"/>
    </xf>
    <xf numFmtId="1" fontId="0" fillId="0" borderId="1" xfId="0" applyNumberFormat="1" applyFont="1" applyFill="1" applyBorder="1" applyAlignment="1" applyProtection="1">
      <alignment horizontal="center" vertical="center"/>
    </xf>
    <xf numFmtId="1" fontId="31" fillId="0" borderId="0" xfId="0" applyNumberFormat="1" applyFont="1" applyFill="1" applyAlignment="1" applyProtection="1">
      <alignment vertical="center"/>
    </xf>
    <xf numFmtId="1" fontId="0" fillId="0" borderId="1" xfId="0" applyNumberFormat="1" applyFill="1" applyBorder="1" applyAlignment="1" applyProtection="1">
      <alignment horizontal="center" vertical="center" wrapText="1"/>
    </xf>
    <xf numFmtId="1" fontId="39" fillId="0" borderId="1" xfId="0" applyNumberFormat="1" applyFont="1" applyFill="1" applyBorder="1" applyAlignment="1" applyProtection="1">
      <alignment horizontal="left" vertical="center" wrapText="1"/>
    </xf>
    <xf numFmtId="0" fontId="5" fillId="0" borderId="0" xfId="0" applyFont="1" applyBorder="1" applyAlignment="1" applyProtection="1">
      <alignment horizontal="left"/>
      <protection locked="0"/>
    </xf>
    <xf numFmtId="0" fontId="0" fillId="0" borderId="0" xfId="0" applyAlignment="1" applyProtection="1">
      <alignment horizontal="right"/>
    </xf>
    <xf numFmtId="1" fontId="39"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wrapText="1"/>
    </xf>
    <xf numFmtId="1" fontId="38" fillId="0" borderId="1" xfId="0" applyNumberFormat="1" applyFont="1" applyFill="1" applyBorder="1" applyAlignment="1" applyProtection="1">
      <alignment horizontal="center" wrapText="1"/>
    </xf>
    <xf numFmtId="1" fontId="69" fillId="0" borderId="1" xfId="0" applyNumberFormat="1" applyFont="1" applyFill="1" applyBorder="1" applyAlignment="1" applyProtection="1">
      <alignment horizontal="center" vertical="center" wrapText="1"/>
    </xf>
    <xf numFmtId="0" fontId="6" fillId="0" borderId="0" xfId="0" applyFont="1" applyFill="1" applyBorder="1" applyAlignment="1" applyProtection="1">
      <protection locked="0"/>
    </xf>
    <xf numFmtId="0" fontId="5" fillId="0" borderId="0" xfId="0" applyFont="1" applyBorder="1" applyAlignment="1" applyProtection="1">
      <protection locked="0"/>
    </xf>
    <xf numFmtId="0" fontId="7" fillId="0" borderId="0" xfId="0" applyFont="1" applyBorder="1" applyAlignment="1" applyProtection="1">
      <alignment horizontal="right"/>
      <protection locked="0"/>
    </xf>
    <xf numFmtId="0" fontId="7" fillId="0" borderId="0" xfId="0" applyFont="1" applyBorder="1" applyAlignment="1" applyProtection="1">
      <alignment horizontal="left"/>
      <protection locked="0"/>
    </xf>
    <xf numFmtId="0" fontId="7" fillId="0" borderId="0" xfId="0" applyFont="1" applyAlignment="1" applyProtection="1">
      <alignment horizontal="right"/>
      <protection locked="0"/>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22" borderId="11" xfId="0" quotePrefix="1" applyFont="1" applyFill="1" applyBorder="1" applyAlignment="1" applyProtection="1">
      <alignment horizontal="center" vertical="center"/>
      <protection locked="0"/>
    </xf>
    <xf numFmtId="0" fontId="5" fillId="19" borderId="10" xfId="0" applyFont="1" applyFill="1" applyBorder="1" applyAlignment="1" applyProtection="1">
      <alignment vertical="center"/>
      <protection locked="0"/>
    </xf>
    <xf numFmtId="0" fontId="5" fillId="19" borderId="12" xfId="0" applyFont="1" applyFill="1" applyBorder="1" applyAlignment="1" applyProtection="1">
      <alignment vertical="center"/>
      <protection locked="0"/>
    </xf>
    <xf numFmtId="0" fontId="5" fillId="19" borderId="11" xfId="0" applyFont="1" applyFill="1" applyBorder="1" applyAlignment="1" applyProtection="1">
      <alignment vertical="center"/>
      <protection locked="0"/>
    </xf>
    <xf numFmtId="0" fontId="5" fillId="0" borderId="0" xfId="0" applyFont="1" applyProtection="1">
      <protection locked="0"/>
    </xf>
    <xf numFmtId="0" fontId="38" fillId="20" borderId="1" xfId="0" quotePrefix="1" applyFont="1" applyFill="1" applyBorder="1" applyAlignment="1" applyProtection="1">
      <alignment horizontal="center" vertical="center"/>
      <protection locked="0"/>
    </xf>
    <xf numFmtId="0" fontId="38" fillId="20" borderId="1" xfId="0" applyFont="1" applyFill="1" applyBorder="1" applyAlignment="1" applyProtection="1">
      <alignment horizontal="center" vertical="center"/>
      <protection locked="0"/>
    </xf>
    <xf numFmtId="0" fontId="38" fillId="22" borderId="1" xfId="0" quotePrefix="1" applyFont="1" applyFill="1" applyBorder="1" applyAlignment="1" applyProtection="1">
      <alignment horizontal="center" vertical="center"/>
      <protection locked="0"/>
    </xf>
    <xf numFmtId="0" fontId="38" fillId="22" borderId="1" xfId="0" applyFont="1" applyFill="1" applyBorder="1" applyAlignment="1" applyProtection="1">
      <alignment horizontal="center" vertical="center"/>
      <protection locked="0"/>
    </xf>
    <xf numFmtId="0" fontId="38" fillId="22" borderId="4" xfId="0" applyFont="1" applyFill="1" applyBorder="1" applyAlignment="1" applyProtection="1">
      <alignment horizontal="center" vertical="center"/>
      <protection locked="0"/>
    </xf>
    <xf numFmtId="0" fontId="38" fillId="19" borderId="1" xfId="0" applyFont="1" applyFill="1" applyBorder="1" applyAlignment="1" applyProtection="1">
      <alignment horizontal="center" vertical="center"/>
      <protection locked="0"/>
    </xf>
    <xf numFmtId="164" fontId="0" fillId="0" borderId="1" xfId="0" applyNumberFormat="1" applyFill="1" applyBorder="1" applyAlignment="1" applyProtection="1">
      <alignment horizontal="center"/>
      <protection locked="0"/>
    </xf>
    <xf numFmtId="1" fontId="0" fillId="0" borderId="1" xfId="0" applyNumberFormat="1" applyFill="1" applyBorder="1" applyAlignment="1" applyProtection="1">
      <alignment horizontal="center"/>
      <protection locked="0"/>
    </xf>
    <xf numFmtId="0" fontId="5" fillId="0" borderId="0" xfId="0" applyFont="1" applyBorder="1" applyAlignment="1" applyProtection="1"/>
    <xf numFmtId="0" fontId="7" fillId="0" borderId="0" xfId="0" applyFont="1" applyBorder="1" applyAlignment="1" applyProtection="1">
      <alignment horizontal="left"/>
    </xf>
    <xf numFmtId="0" fontId="7" fillId="0" borderId="0" xfId="0" applyFont="1" applyAlignment="1" applyProtection="1">
      <alignment horizontal="left"/>
    </xf>
    <xf numFmtId="1" fontId="41" fillId="6" borderId="1" xfId="0" applyNumberFormat="1" applyFont="1" applyFill="1" applyBorder="1" applyAlignment="1" applyProtection="1">
      <alignment horizontal="center" vertical="center"/>
    </xf>
    <xf numFmtId="0" fontId="41" fillId="6" borderId="1" xfId="0" applyFont="1" applyFill="1" applyBorder="1" applyAlignment="1" applyProtection="1">
      <alignment horizontal="center" vertical="center"/>
    </xf>
    <xf numFmtId="1" fontId="41" fillId="0" borderId="1" xfId="0" applyNumberFormat="1" applyFont="1" applyBorder="1" applyAlignment="1" applyProtection="1">
      <alignment horizontal="center" vertical="center"/>
    </xf>
    <xf numFmtId="0" fontId="41" fillId="0" borderId="1" xfId="0" applyFont="1" applyBorder="1" applyAlignment="1" applyProtection="1">
      <alignment horizontal="center" vertical="center"/>
    </xf>
    <xf numFmtId="1" fontId="41" fillId="16" borderId="1" xfId="0" applyNumberFormat="1" applyFont="1" applyFill="1" applyBorder="1" applyAlignment="1" applyProtection="1">
      <alignment horizontal="center" vertical="center"/>
    </xf>
    <xf numFmtId="0" fontId="0" fillId="15" borderId="0" xfId="0" applyFill="1" applyAlignment="1" applyProtection="1">
      <alignment horizontal="center" vertical="center"/>
      <protection locked="0"/>
    </xf>
    <xf numFmtId="0" fontId="43" fillId="8" borderId="27" xfId="0" applyFont="1" applyFill="1" applyBorder="1" applyAlignment="1" applyProtection="1">
      <alignment horizontal="center" vertical="center"/>
    </xf>
    <xf numFmtId="0" fontId="0" fillId="0" borderId="0" xfId="0" applyFill="1" applyProtection="1"/>
    <xf numFmtId="0" fontId="0" fillId="0" borderId="16" xfId="0" applyBorder="1" applyAlignment="1" applyProtection="1"/>
    <xf numFmtId="0" fontId="0" fillId="0" borderId="0" xfId="0" applyAlignment="1" applyProtection="1">
      <alignment horizontal="center" vertical="center"/>
    </xf>
    <xf numFmtId="0" fontId="68" fillId="29" borderId="29" xfId="0" applyFont="1" applyFill="1" applyBorder="1" applyAlignment="1" applyProtection="1">
      <alignment horizontal="center" vertical="center" wrapText="1"/>
      <protection locked="0"/>
    </xf>
    <xf numFmtId="0" fontId="71" fillId="29" borderId="30" xfId="0" applyFont="1" applyFill="1" applyBorder="1" applyAlignment="1" applyProtection="1">
      <alignment horizontal="center" vertical="center" wrapText="1"/>
      <protection locked="0"/>
    </xf>
    <xf numFmtId="0" fontId="71" fillId="29" borderId="0" xfId="0" applyFont="1" applyFill="1" applyBorder="1" applyAlignment="1" applyProtection="1">
      <alignment horizontal="center" vertical="center" wrapText="1"/>
      <protection locked="0"/>
    </xf>
    <xf numFmtId="0" fontId="71" fillId="29" borderId="28"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protection locked="0"/>
    </xf>
    <xf numFmtId="0" fontId="0" fillId="22" borderId="1" xfId="0" applyFill="1" applyBorder="1" applyAlignment="1" applyProtection="1">
      <alignment horizontal="center" vertical="center"/>
      <protection locked="0"/>
    </xf>
    <xf numFmtId="0" fontId="0" fillId="15" borderId="1" xfId="0" applyFill="1" applyBorder="1" applyAlignment="1" applyProtection="1">
      <alignment horizontal="center"/>
      <protection locked="0"/>
    </xf>
    <xf numFmtId="0" fontId="0" fillId="24" borderId="1" xfId="0" applyFill="1" applyBorder="1" applyAlignment="1" applyProtection="1">
      <alignment horizontal="center"/>
      <protection locked="0"/>
    </xf>
    <xf numFmtId="0" fontId="0" fillId="24" borderId="1" xfId="0" applyFill="1" applyBorder="1" applyProtection="1">
      <protection locked="0"/>
    </xf>
    <xf numFmtId="0" fontId="0" fillId="3" borderId="1" xfId="0" applyFill="1" applyBorder="1" applyAlignment="1" applyProtection="1">
      <alignment horizontal="center"/>
      <protection locked="0"/>
    </xf>
    <xf numFmtId="0" fontId="0" fillId="3" borderId="1" xfId="0" applyFill="1" applyBorder="1" applyProtection="1">
      <protection locked="0"/>
    </xf>
    <xf numFmtId="0" fontId="0" fillId="22" borderId="1" xfId="0" applyFill="1" applyBorder="1" applyAlignment="1" applyProtection="1">
      <alignment horizontal="center"/>
    </xf>
    <xf numFmtId="0" fontId="31" fillId="22" borderId="1" xfId="0" applyFont="1" applyFill="1" applyBorder="1" applyAlignment="1" applyProtection="1">
      <alignment horizontal="center" vertical="center"/>
    </xf>
    <xf numFmtId="0" fontId="0" fillId="15" borderId="1" xfId="0" applyFill="1" applyBorder="1" applyAlignment="1" applyProtection="1">
      <alignment horizontal="center"/>
    </xf>
    <xf numFmtId="0" fontId="63" fillId="15" borderId="1" xfId="0" applyFont="1" applyFill="1" applyBorder="1" applyAlignment="1" applyProtection="1">
      <alignment horizontal="center" vertical="center"/>
    </xf>
    <xf numFmtId="0" fontId="0" fillId="24" borderId="1" xfId="0" applyFill="1" applyBorder="1" applyAlignment="1" applyProtection="1">
      <alignment horizontal="center"/>
    </xf>
    <xf numFmtId="0" fontId="63" fillId="24" borderId="1" xfId="0" applyFont="1" applyFill="1" applyBorder="1" applyAlignment="1" applyProtection="1">
      <alignment horizontal="center" vertical="center"/>
    </xf>
    <xf numFmtId="0" fontId="0" fillId="3" borderId="1" xfId="0" applyFill="1" applyBorder="1" applyAlignment="1" applyProtection="1">
      <alignment horizontal="center"/>
    </xf>
    <xf numFmtId="0" fontId="0" fillId="3" borderId="1" xfId="0" applyFill="1" applyBorder="1" applyAlignment="1" applyProtection="1">
      <alignment horizontal="center" vertical="center"/>
    </xf>
    <xf numFmtId="2" fontId="4" fillId="8" borderId="1" xfId="0" applyNumberFormat="1" applyFont="1" applyFill="1" applyBorder="1" applyAlignment="1" applyProtection="1">
      <alignment horizontal="center" vertical="center"/>
    </xf>
    <xf numFmtId="0" fontId="5" fillId="18" borderId="5" xfId="0" applyFont="1" applyFill="1" applyBorder="1" applyAlignment="1" applyProtection="1"/>
    <xf numFmtId="0" fontId="0" fillId="19" borderId="7" xfId="0" applyFill="1" applyBorder="1" applyAlignment="1" applyProtection="1">
      <alignment horizontal="right" vertical="center"/>
    </xf>
    <xf numFmtId="0" fontId="0" fillId="19" borderId="6" xfId="0" applyFill="1" applyBorder="1" applyAlignment="1" applyProtection="1">
      <alignment horizontal="right" vertical="center"/>
    </xf>
    <xf numFmtId="0" fontId="33" fillId="20" borderId="9" xfId="0" applyFont="1" applyFill="1" applyBorder="1" applyAlignment="1" applyProtection="1">
      <alignment vertical="center" wrapText="1"/>
      <protection locked="0"/>
    </xf>
    <xf numFmtId="0" fontId="0" fillId="0" borderId="1" xfId="0" applyFill="1" applyBorder="1" applyAlignment="1" applyProtection="1">
      <alignment shrinkToFit="1"/>
      <protection locked="0"/>
    </xf>
    <xf numFmtId="0" fontId="8" fillId="0" borderId="1" xfId="0" applyFont="1" applyFill="1" applyBorder="1" applyAlignment="1" applyProtection="1">
      <protection locked="0"/>
    </xf>
    <xf numFmtId="0" fontId="0" fillId="0" borderId="1" xfId="0" applyFill="1" applyBorder="1" applyAlignment="1" applyProtection="1">
      <protection locked="0"/>
    </xf>
    <xf numFmtId="0" fontId="3" fillId="0" borderId="1" xfId="2" applyFont="1" applyFill="1" applyBorder="1" applyAlignment="1" applyProtection="1">
      <alignment vertical="center" shrinkToFit="1"/>
      <protection locked="0"/>
    </xf>
    <xf numFmtId="0" fontId="3" fillId="0" borderId="1" xfId="7" applyFont="1" applyFill="1" applyBorder="1" applyAlignment="1" applyProtection="1">
      <alignment vertical="center" shrinkToFit="1"/>
      <protection locked="0"/>
    </xf>
    <xf numFmtId="0" fontId="2" fillId="2" borderId="1" xfId="7" applyFont="1" applyFill="1" applyBorder="1" applyAlignment="1" applyProtection="1">
      <alignment vertical="center" shrinkToFit="1"/>
      <protection locked="0"/>
    </xf>
    <xf numFmtId="0" fontId="8" fillId="2" borderId="1" xfId="0" applyFont="1" applyFill="1" applyBorder="1" applyAlignment="1" applyProtection="1">
      <protection locked="0"/>
    </xf>
    <xf numFmtId="0" fontId="0" fillId="2" borderId="1" xfId="0" applyFill="1" applyBorder="1" applyAlignment="1" applyProtection="1">
      <alignment shrinkToFit="1"/>
      <protection locked="0"/>
    </xf>
    <xf numFmtId="0" fontId="0" fillId="2" borderId="1" xfId="0" applyFill="1" applyBorder="1" applyAlignment="1" applyProtection="1">
      <protection locked="0"/>
    </xf>
    <xf numFmtId="0" fontId="4" fillId="8" borderId="4"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4" xfId="0" applyFont="1" applyFill="1" applyBorder="1" applyAlignment="1" applyProtection="1">
      <alignment horizontal="center" vertical="center" textRotation="90" wrapText="1"/>
      <protection locked="0"/>
    </xf>
    <xf numFmtId="0" fontId="4" fillId="8" borderId="1" xfId="0" applyFont="1" applyFill="1" applyBorder="1" applyAlignment="1" applyProtection="1">
      <alignment vertical="center" textRotation="90" wrapText="1"/>
      <protection locked="0"/>
    </xf>
    <xf numFmtId="0" fontId="0" fillId="8" borderId="1" xfId="0" applyFill="1" applyBorder="1" applyProtection="1"/>
    <xf numFmtId="0" fontId="0" fillId="3" borderId="1" xfId="0" applyFont="1" applyFill="1" applyBorder="1" applyAlignment="1" applyProtection="1">
      <alignment vertical="center"/>
    </xf>
    <xf numFmtId="0" fontId="0" fillId="4" borderId="1" xfId="0" applyFont="1" applyFill="1" applyBorder="1" applyAlignment="1" applyProtection="1">
      <alignment vertical="center"/>
    </xf>
    <xf numFmtId="2" fontId="0" fillId="13" borderId="1" xfId="0" applyNumberFormat="1" applyFont="1" applyFill="1" applyBorder="1" applyAlignment="1" applyProtection="1">
      <alignment vertical="center" shrinkToFit="1"/>
    </xf>
    <xf numFmtId="1" fontId="5" fillId="24" borderId="1" xfId="0" applyNumberFormat="1" applyFont="1" applyFill="1" applyBorder="1" applyAlignment="1" applyProtection="1">
      <alignment horizontal="center" vertical="center"/>
    </xf>
    <xf numFmtId="2" fontId="0" fillId="8" borderId="1" xfId="0" applyNumberFormat="1" applyFont="1" applyFill="1" applyBorder="1" applyAlignment="1" applyProtection="1">
      <alignment horizontal="center" vertical="center"/>
    </xf>
    <xf numFmtId="0" fontId="0" fillId="24" borderId="1" xfId="0" applyFill="1" applyBorder="1" applyProtection="1"/>
    <xf numFmtId="0" fontId="0" fillId="3" borderId="1" xfId="0" applyFill="1" applyBorder="1" applyProtection="1"/>
    <xf numFmtId="0" fontId="76" fillId="0" borderId="0" xfId="0" applyFont="1" applyFill="1" applyProtection="1">
      <protection locked="0"/>
    </xf>
    <xf numFmtId="0" fontId="0" fillId="13" borderId="1" xfId="0" applyFont="1" applyFill="1" applyBorder="1" applyAlignment="1" applyProtection="1">
      <alignment vertical="center"/>
    </xf>
    <xf numFmtId="0" fontId="4" fillId="30" borderId="1" xfId="0" applyFont="1" applyFill="1" applyBorder="1" applyAlignment="1" applyProtection="1">
      <alignment horizontal="center" vertical="center"/>
      <protection locked="0"/>
    </xf>
    <xf numFmtId="0" fontId="67" fillId="30" borderId="1" xfId="0" applyFont="1" applyFill="1" applyBorder="1" applyAlignment="1" applyProtection="1">
      <alignment vertical="center"/>
    </xf>
    <xf numFmtId="0" fontId="0" fillId="8" borderId="1" xfId="0" applyFont="1" applyFill="1" applyBorder="1" applyAlignment="1" applyProtection="1">
      <alignment vertical="center"/>
    </xf>
    <xf numFmtId="1" fontId="5" fillId="31" borderId="1" xfId="0" applyNumberFormat="1" applyFont="1" applyFill="1" applyBorder="1" applyAlignment="1" applyProtection="1">
      <alignment horizontal="center" vertical="center"/>
    </xf>
    <xf numFmtId="0" fontId="0" fillId="0" borderId="1" xfId="0" applyFill="1" applyBorder="1" applyProtection="1">
      <protection locked="0"/>
    </xf>
    <xf numFmtId="0" fontId="0" fillId="0" borderId="1" xfId="0" applyFill="1" applyBorder="1" applyProtection="1"/>
    <xf numFmtId="0" fontId="65" fillId="5" borderId="26" xfId="0" applyFont="1" applyFill="1" applyBorder="1" applyAlignment="1" applyProtection="1">
      <alignment vertical="center" textRotation="255"/>
    </xf>
    <xf numFmtId="0" fontId="0" fillId="5" borderId="0" xfId="0" applyFill="1" applyBorder="1" applyProtection="1">
      <protection locked="0"/>
    </xf>
    <xf numFmtId="0" fontId="0" fillId="5" borderId="31" xfId="0" applyFill="1" applyBorder="1" applyProtection="1">
      <protection locked="0"/>
    </xf>
    <xf numFmtId="0" fontId="65" fillId="5" borderId="20" xfId="0" applyFont="1" applyFill="1" applyBorder="1" applyAlignment="1" applyProtection="1">
      <alignment vertical="center" textRotation="255"/>
    </xf>
    <xf numFmtId="0" fontId="0" fillId="5" borderId="21" xfId="0" applyFill="1" applyBorder="1" applyProtection="1">
      <protection locked="0"/>
    </xf>
    <xf numFmtId="0" fontId="0" fillId="5" borderId="22" xfId="0" applyFill="1" applyBorder="1" applyProtection="1">
      <protection locked="0"/>
    </xf>
    <xf numFmtId="0" fontId="0" fillId="0" borderId="10" xfId="0" applyFont="1" applyFill="1" applyBorder="1" applyAlignment="1" applyProtection="1">
      <alignment horizontal="center" vertical="center"/>
    </xf>
    <xf numFmtId="0" fontId="5" fillId="0" borderId="1" xfId="0" applyFont="1" applyFill="1" applyBorder="1" applyAlignment="1" applyProtection="1">
      <alignment horizontal="center" vertical="center"/>
      <protection locked="0"/>
    </xf>
    <xf numFmtId="0" fontId="0" fillId="36" borderId="17" xfId="0" applyFill="1" applyBorder="1" applyProtection="1">
      <protection locked="0"/>
    </xf>
    <xf numFmtId="0" fontId="0" fillId="36" borderId="18" xfId="0" applyFill="1" applyBorder="1" applyProtection="1">
      <protection locked="0"/>
    </xf>
    <xf numFmtId="0" fontId="73" fillId="36" borderId="18" xfId="0" applyFont="1" applyFill="1" applyBorder="1" applyAlignment="1" applyProtection="1">
      <protection locked="0"/>
    </xf>
    <xf numFmtId="0" fontId="0" fillId="36" borderId="26" xfId="0" applyFill="1" applyBorder="1" applyProtection="1">
      <protection locked="0"/>
    </xf>
    <xf numFmtId="0" fontId="0" fillId="36" borderId="0" xfId="0" applyFill="1" applyBorder="1" applyProtection="1">
      <protection locked="0"/>
    </xf>
    <xf numFmtId="0" fontId="72" fillId="36" borderId="0" xfId="0" applyFont="1" applyFill="1" applyBorder="1" applyAlignment="1" applyProtection="1">
      <alignment vertical="center"/>
      <protection locked="0"/>
    </xf>
    <xf numFmtId="0" fontId="0" fillId="36" borderId="20" xfId="0" applyFill="1" applyBorder="1" applyProtection="1"/>
    <xf numFmtId="0" fontId="0" fillId="36" borderId="21" xfId="0" applyFill="1" applyBorder="1" applyProtection="1"/>
    <xf numFmtId="0" fontId="60" fillId="36" borderId="21" xfId="0" applyFont="1" applyFill="1" applyBorder="1" applyAlignment="1" applyProtection="1">
      <alignment vertical="center"/>
      <protection locked="0"/>
    </xf>
    <xf numFmtId="0" fontId="0" fillId="36" borderId="22" xfId="0" applyFill="1" applyBorder="1" applyProtection="1"/>
    <xf numFmtId="0" fontId="79" fillId="10" borderId="17" xfId="0" applyFont="1" applyFill="1" applyBorder="1" applyAlignment="1" applyProtection="1">
      <alignment horizontal="right"/>
      <protection locked="0"/>
    </xf>
    <xf numFmtId="0" fontId="80" fillId="10" borderId="18" xfId="0" applyFont="1" applyFill="1" applyBorder="1" applyProtection="1">
      <protection locked="0"/>
    </xf>
    <xf numFmtId="0" fontId="81" fillId="10" borderId="18" xfId="0" applyFont="1" applyFill="1" applyBorder="1" applyProtection="1">
      <protection locked="0"/>
    </xf>
    <xf numFmtId="0" fontId="81" fillId="10" borderId="19" xfId="0" applyFont="1" applyFill="1" applyBorder="1" applyProtection="1">
      <protection locked="0"/>
    </xf>
    <xf numFmtId="0" fontId="79" fillId="10" borderId="26" xfId="0" applyFont="1" applyFill="1" applyBorder="1" applyAlignment="1" applyProtection="1">
      <alignment horizontal="right"/>
      <protection locked="0"/>
    </xf>
    <xf numFmtId="0" fontId="80" fillId="10" borderId="0" xfId="0" applyFont="1" applyFill="1" applyBorder="1" applyProtection="1">
      <protection locked="0"/>
    </xf>
    <xf numFmtId="1" fontId="81" fillId="10" borderId="0" xfId="0" quotePrefix="1" applyNumberFormat="1" applyFont="1" applyFill="1" applyBorder="1" applyProtection="1">
      <protection locked="0"/>
    </xf>
    <xf numFmtId="1" fontId="81" fillId="10" borderId="31" xfId="0" quotePrefix="1" applyNumberFormat="1" applyFont="1" applyFill="1" applyBorder="1" applyProtection="1">
      <protection locked="0"/>
    </xf>
    <xf numFmtId="0" fontId="83" fillId="10" borderId="26" xfId="0" applyFont="1" applyFill="1" applyBorder="1" applyAlignment="1" applyProtection="1">
      <alignment horizontal="right"/>
      <protection locked="0"/>
    </xf>
    <xf numFmtId="0" fontId="79" fillId="10" borderId="20" xfId="0" applyFont="1" applyFill="1" applyBorder="1" applyAlignment="1" applyProtection="1">
      <alignment horizontal="right"/>
      <protection locked="0"/>
    </xf>
    <xf numFmtId="0" fontId="80" fillId="10" borderId="21" xfId="0" applyFont="1" applyFill="1" applyBorder="1" applyProtection="1">
      <protection locked="0"/>
    </xf>
    <xf numFmtId="0" fontId="83" fillId="10" borderId="21" xfId="0" applyFont="1" applyFill="1" applyBorder="1" applyProtection="1">
      <protection locked="0"/>
    </xf>
    <xf numFmtId="0" fontId="83" fillId="10" borderId="22" xfId="0" applyFont="1" applyFill="1" applyBorder="1" applyProtection="1">
      <protection locked="0"/>
    </xf>
    <xf numFmtId="0" fontId="87" fillId="27" borderId="21" xfId="0" applyFont="1" applyFill="1" applyBorder="1" applyAlignment="1" applyProtection="1">
      <alignment vertical="center"/>
    </xf>
    <xf numFmtId="0" fontId="92" fillId="27" borderId="0" xfId="0" applyFont="1" applyFill="1" applyAlignment="1" applyProtection="1">
      <alignment horizontal="center" vertical="center"/>
    </xf>
    <xf numFmtId="0" fontId="1" fillId="27" borderId="0" xfId="11" applyFill="1"/>
    <xf numFmtId="0" fontId="93" fillId="27" borderId="0" xfId="11" applyFont="1" applyFill="1" applyAlignment="1">
      <alignment vertical="center"/>
    </xf>
    <xf numFmtId="0" fontId="1" fillId="0" borderId="0" xfId="11"/>
    <xf numFmtId="0" fontId="1" fillId="13" borderId="17" xfId="11" applyFill="1" applyBorder="1"/>
    <xf numFmtId="0" fontId="1" fillId="13" borderId="19" xfId="11" applyFill="1" applyBorder="1"/>
    <xf numFmtId="0" fontId="1" fillId="13" borderId="26" xfId="11" applyFill="1" applyBorder="1"/>
    <xf numFmtId="0" fontId="1" fillId="13" borderId="31" xfId="11" applyFill="1" applyBorder="1"/>
    <xf numFmtId="0" fontId="1" fillId="13" borderId="20" xfId="11" applyFill="1" applyBorder="1"/>
    <xf numFmtId="0" fontId="1" fillId="13" borderId="22" xfId="11" applyFill="1" applyBorder="1"/>
    <xf numFmtId="0" fontId="95" fillId="27" borderId="0" xfId="10" applyFont="1" applyFill="1" applyAlignment="1" applyProtection="1">
      <alignment horizontal="center" vertical="center"/>
    </xf>
    <xf numFmtId="0" fontId="0" fillId="38" borderId="26" xfId="0" applyFill="1" applyBorder="1" applyProtection="1"/>
    <xf numFmtId="0" fontId="0" fillId="38" borderId="0" xfId="0" applyFill="1" applyBorder="1" applyProtection="1"/>
    <xf numFmtId="0" fontId="65" fillId="38" borderId="31" xfId="0" applyFont="1" applyFill="1" applyBorder="1" applyAlignment="1" applyProtection="1">
      <alignment vertical="center" textRotation="255"/>
    </xf>
    <xf numFmtId="0" fontId="0" fillId="38" borderId="20" xfId="0" applyFill="1" applyBorder="1" applyProtection="1"/>
    <xf numFmtId="0" fontId="0" fillId="38" borderId="21" xfId="0" applyFill="1" applyBorder="1" applyProtection="1"/>
    <xf numFmtId="0" fontId="65" fillId="38" borderId="22" xfId="0" applyFont="1" applyFill="1" applyBorder="1" applyAlignment="1" applyProtection="1">
      <alignment vertical="center" textRotation="255"/>
    </xf>
    <xf numFmtId="0" fontId="0" fillId="5" borderId="26" xfId="0" applyFill="1" applyBorder="1" applyProtection="1"/>
    <xf numFmtId="0" fontId="0" fillId="5" borderId="0" xfId="0" applyFill="1" applyBorder="1" applyProtection="1"/>
    <xf numFmtId="0" fontId="0" fillId="5" borderId="31" xfId="0" applyFill="1" applyBorder="1" applyProtection="1"/>
    <xf numFmtId="0" fontId="76" fillId="5" borderId="26" xfId="0" applyFont="1" applyFill="1" applyBorder="1" applyProtection="1"/>
    <xf numFmtId="0" fontId="65" fillId="5" borderId="31" xfId="0" applyFont="1" applyFill="1" applyBorder="1" applyAlignment="1" applyProtection="1">
      <alignment vertical="center" textRotation="255"/>
    </xf>
    <xf numFmtId="0" fontId="0" fillId="5" borderId="20" xfId="0" applyFill="1" applyBorder="1" applyProtection="1"/>
    <xf numFmtId="0" fontId="0" fillId="5" borderId="21" xfId="0" applyFill="1" applyBorder="1" applyProtection="1"/>
    <xf numFmtId="0" fontId="65" fillId="5" borderId="22" xfId="0" applyFont="1" applyFill="1" applyBorder="1" applyAlignment="1" applyProtection="1">
      <alignment vertical="center" textRotation="255"/>
    </xf>
    <xf numFmtId="0" fontId="0" fillId="38" borderId="17" xfId="0" applyFill="1" applyBorder="1" applyProtection="1"/>
    <xf numFmtId="0" fontId="0" fillId="38" borderId="18" xfId="0" applyFill="1" applyBorder="1" applyProtection="1"/>
    <xf numFmtId="0" fontId="65" fillId="38" borderId="19" xfId="0" applyFont="1" applyFill="1" applyBorder="1" applyAlignment="1" applyProtection="1">
      <alignment vertical="center" textRotation="255"/>
    </xf>
    <xf numFmtId="0" fontId="0" fillId="39" borderId="17" xfId="0" applyFill="1" applyBorder="1" applyProtection="1"/>
    <xf numFmtId="0" fontId="0" fillId="39" borderId="18" xfId="0" applyFill="1" applyBorder="1" applyProtection="1"/>
    <xf numFmtId="0" fontId="65" fillId="39" borderId="19" xfId="0" applyFont="1" applyFill="1" applyBorder="1" applyAlignment="1" applyProtection="1">
      <alignment vertical="center" textRotation="255"/>
    </xf>
    <xf numFmtId="0" fontId="0" fillId="39" borderId="26" xfId="0" applyFill="1" applyBorder="1" applyProtection="1"/>
    <xf numFmtId="0" fontId="0" fillId="39" borderId="0" xfId="0" applyFill="1" applyBorder="1" applyProtection="1"/>
    <xf numFmtId="0" fontId="65" fillId="39" borderId="31" xfId="0" applyFont="1" applyFill="1" applyBorder="1" applyAlignment="1" applyProtection="1">
      <alignment vertical="center" textRotation="255"/>
    </xf>
    <xf numFmtId="0" fontId="0" fillId="39" borderId="20" xfId="0" applyFill="1" applyBorder="1" applyProtection="1"/>
    <xf numFmtId="0" fontId="0" fillId="39" borderId="21" xfId="0" applyFill="1" applyBorder="1" applyProtection="1"/>
    <xf numFmtId="0" fontId="65" fillId="39" borderId="22" xfId="0" applyFont="1" applyFill="1" applyBorder="1" applyAlignment="1" applyProtection="1">
      <alignment vertical="center" textRotation="255"/>
    </xf>
    <xf numFmtId="0" fontId="0" fillId="40" borderId="0" xfId="0" applyFill="1" applyProtection="1"/>
    <xf numFmtId="0" fontId="60" fillId="40" borderId="0" xfId="0" applyFont="1" applyFill="1" applyAlignment="1" applyProtection="1">
      <alignment horizontal="center" vertical="center"/>
      <protection locked="0"/>
    </xf>
    <xf numFmtId="0" fontId="74" fillId="40" borderId="0" xfId="0" applyFont="1" applyFill="1" applyAlignment="1" applyProtection="1">
      <alignment horizontal="center" vertical="center"/>
      <protection locked="0"/>
    </xf>
    <xf numFmtId="0" fontId="56" fillId="40" borderId="0" xfId="0" applyFont="1" applyFill="1" applyAlignment="1" applyProtection="1">
      <alignment horizontal="center" vertical="center"/>
      <protection locked="0"/>
    </xf>
    <xf numFmtId="0" fontId="0" fillId="40" borderId="0" xfId="0" applyFill="1" applyProtection="1">
      <protection locked="0"/>
    </xf>
    <xf numFmtId="0" fontId="29" fillId="40" borderId="0" xfId="0" applyFont="1" applyFill="1" applyProtection="1">
      <protection locked="0"/>
    </xf>
    <xf numFmtId="1" fontId="29" fillId="40" borderId="0" xfId="0" quotePrefix="1" applyNumberFormat="1" applyFont="1" applyFill="1" applyProtection="1">
      <protection locked="0"/>
    </xf>
    <xf numFmtId="0" fontId="60" fillId="40" borderId="0" xfId="0" applyFont="1" applyFill="1" applyAlignment="1" applyProtection="1">
      <alignment horizontal="left" vertical="center"/>
      <protection locked="0"/>
    </xf>
    <xf numFmtId="1" fontId="29" fillId="40" borderId="0" xfId="0" applyNumberFormat="1" applyFont="1" applyFill="1" applyAlignment="1" applyProtection="1">
      <alignment horizontal="left" vertical="center"/>
      <protection locked="0"/>
    </xf>
    <xf numFmtId="0" fontId="40" fillId="40" borderId="0" xfId="0" applyFont="1" applyFill="1" applyAlignment="1" applyProtection="1">
      <alignment horizontal="left" vertical="center"/>
      <protection locked="0"/>
    </xf>
    <xf numFmtId="0" fontId="40" fillId="40" borderId="0" xfId="0" applyFont="1" applyFill="1" applyProtection="1">
      <protection locked="0"/>
    </xf>
    <xf numFmtId="0" fontId="30" fillId="40" borderId="0" xfId="0" applyFont="1" applyFill="1" applyBorder="1" applyAlignment="1" applyProtection="1">
      <protection locked="0"/>
    </xf>
    <xf numFmtId="2" fontId="55" fillId="40" borderId="0" xfId="0" applyNumberFormat="1" applyFont="1" applyFill="1" applyBorder="1" applyAlignment="1" applyProtection="1">
      <alignment horizontal="center"/>
      <protection locked="0"/>
    </xf>
    <xf numFmtId="0" fontId="70" fillId="40" borderId="0" xfId="10" applyFont="1" applyFill="1" applyAlignment="1" applyProtection="1">
      <alignment horizontal="center" vertical="center"/>
    </xf>
    <xf numFmtId="0" fontId="32" fillId="0" borderId="1" xfId="0" applyFont="1" applyBorder="1" applyProtection="1">
      <protection locked="0"/>
    </xf>
    <xf numFmtId="0" fontId="32" fillId="0" borderId="32" xfId="0" applyFont="1" applyBorder="1" applyProtection="1">
      <protection locked="0"/>
    </xf>
    <xf numFmtId="0" fontId="97" fillId="2" borderId="1" xfId="0" applyFont="1" applyFill="1" applyBorder="1" applyAlignment="1" applyProtection="1">
      <alignment horizontal="left" vertical="center"/>
      <protection locked="0"/>
    </xf>
    <xf numFmtId="3" fontId="97" fillId="0" borderId="1" xfId="0" applyNumberFormat="1" applyFont="1" applyBorder="1" applyAlignment="1" applyProtection="1">
      <alignment horizontal="center" vertical="center"/>
      <protection locked="0"/>
    </xf>
    <xf numFmtId="0" fontId="0" fillId="24" borderId="1" xfId="0" applyFill="1" applyBorder="1" applyAlignment="1" applyProtection="1">
      <alignment wrapText="1"/>
      <protection locked="0"/>
    </xf>
    <xf numFmtId="0" fontId="98" fillId="3" borderId="1" xfId="0" applyFont="1" applyFill="1" applyBorder="1" applyAlignment="1" applyProtection="1">
      <alignment horizontal="center" vertical="center"/>
      <protection hidden="1"/>
    </xf>
    <xf numFmtId="0" fontId="99" fillId="0" borderId="1" xfId="0" applyFont="1" applyBorder="1" applyAlignment="1" applyProtection="1">
      <alignment horizontal="left"/>
      <protection locked="0"/>
    </xf>
    <xf numFmtId="0" fontId="99" fillId="2" borderId="1" xfId="0" applyFont="1" applyFill="1" applyBorder="1" applyAlignment="1" applyProtection="1">
      <alignment horizontal="left"/>
      <protection locked="0"/>
    </xf>
    <xf numFmtId="0" fontId="99" fillId="2" borderId="1" xfId="0" applyFont="1" applyFill="1" applyBorder="1" applyAlignment="1" applyProtection="1">
      <alignment horizontal="left" vertical="center"/>
      <protection locked="0"/>
    </xf>
    <xf numFmtId="0" fontId="99" fillId="0" borderId="1" xfId="0" applyFont="1" applyBorder="1" applyProtection="1">
      <protection locked="0"/>
    </xf>
    <xf numFmtId="0" fontId="99" fillId="0" borderId="1" xfId="0" applyFont="1" applyBorder="1" applyAlignment="1" applyProtection="1">
      <alignment horizontal="center" vertical="center"/>
      <protection locked="0"/>
    </xf>
    <xf numFmtId="0" fontId="0" fillId="3" borderId="1" xfId="0" applyFill="1" applyBorder="1" applyAlignment="1" applyProtection="1">
      <alignment wrapText="1"/>
      <protection locked="0"/>
    </xf>
    <xf numFmtId="0" fontId="6" fillId="8" borderId="17" xfId="0" applyFont="1" applyFill="1" applyBorder="1" applyAlignment="1" applyProtection="1">
      <alignment horizontal="left" vertical="center" wrapText="1"/>
    </xf>
    <xf numFmtId="0" fontId="6" fillId="8" borderId="18" xfId="0" applyFont="1" applyFill="1" applyBorder="1" applyAlignment="1" applyProtection="1">
      <alignment horizontal="left" vertical="center" wrapText="1"/>
    </xf>
    <xf numFmtId="0" fontId="6" fillId="8" borderId="19" xfId="0" applyFont="1" applyFill="1" applyBorder="1" applyAlignment="1" applyProtection="1">
      <alignment horizontal="left" vertical="center" wrapText="1"/>
    </xf>
    <xf numFmtId="0" fontId="6" fillId="8" borderId="26" xfId="0" applyFont="1" applyFill="1" applyBorder="1" applyAlignment="1" applyProtection="1">
      <alignment horizontal="left" vertical="center" wrapText="1"/>
    </xf>
    <xf numFmtId="0" fontId="6" fillId="8" borderId="0" xfId="0" applyFont="1" applyFill="1" applyBorder="1" applyAlignment="1" applyProtection="1">
      <alignment horizontal="left" vertical="center" wrapText="1"/>
    </xf>
    <xf numFmtId="0" fontId="6" fillId="8" borderId="31" xfId="0" applyFont="1" applyFill="1" applyBorder="1" applyAlignment="1" applyProtection="1">
      <alignment horizontal="left" vertical="center" wrapText="1"/>
    </xf>
    <xf numFmtId="0" fontId="78" fillId="30" borderId="26" xfId="0" applyFont="1" applyFill="1" applyBorder="1" applyAlignment="1" applyProtection="1">
      <alignment horizontal="center" vertical="center"/>
      <protection locked="0"/>
    </xf>
    <xf numFmtId="0" fontId="78" fillId="30" borderId="0" xfId="0" applyFont="1" applyFill="1" applyBorder="1" applyAlignment="1" applyProtection="1">
      <alignment horizontal="center" vertical="center"/>
      <protection locked="0"/>
    </xf>
    <xf numFmtId="0" fontId="78" fillId="30" borderId="31" xfId="0" applyFont="1" applyFill="1" applyBorder="1" applyAlignment="1" applyProtection="1">
      <alignment horizontal="center" vertical="center"/>
      <protection locked="0"/>
    </xf>
    <xf numFmtId="0" fontId="78" fillId="30" borderId="20" xfId="0" applyFont="1" applyFill="1" applyBorder="1" applyAlignment="1" applyProtection="1">
      <alignment horizontal="center" vertical="center"/>
      <protection locked="0"/>
    </xf>
    <xf numFmtId="0" fontId="78" fillId="30" borderId="21" xfId="0" applyFont="1" applyFill="1" applyBorder="1" applyAlignment="1" applyProtection="1">
      <alignment horizontal="center" vertical="center"/>
      <protection locked="0"/>
    </xf>
    <xf numFmtId="0" fontId="78" fillId="30" borderId="22" xfId="0" applyFont="1" applyFill="1" applyBorder="1" applyAlignment="1" applyProtection="1">
      <alignment horizontal="center" vertical="center"/>
      <protection locked="0"/>
    </xf>
    <xf numFmtId="0" fontId="89" fillId="36" borderId="18" xfId="0" applyFont="1" applyFill="1" applyBorder="1" applyAlignment="1" applyProtection="1">
      <alignment horizontal="center"/>
      <protection locked="0"/>
    </xf>
    <xf numFmtId="0" fontId="89" fillId="36" borderId="19" xfId="0" applyFont="1" applyFill="1" applyBorder="1" applyAlignment="1" applyProtection="1">
      <alignment horizontal="center"/>
      <protection locked="0"/>
    </xf>
    <xf numFmtId="0" fontId="77" fillId="27" borderId="17" xfId="0" applyFont="1" applyFill="1" applyBorder="1" applyAlignment="1" applyProtection="1">
      <alignment horizontal="center" vertical="center" wrapText="1"/>
      <protection locked="0"/>
    </xf>
    <xf numFmtId="0" fontId="77" fillId="27" borderId="18" xfId="0" applyFont="1" applyFill="1" applyBorder="1" applyAlignment="1" applyProtection="1">
      <alignment horizontal="center" vertical="center" wrapText="1"/>
      <protection locked="0"/>
    </xf>
    <xf numFmtId="0" fontId="77" fillId="27" borderId="19" xfId="0" applyFont="1" applyFill="1" applyBorder="1" applyAlignment="1" applyProtection="1">
      <alignment horizontal="center" vertical="center" wrapText="1"/>
      <protection locked="0"/>
    </xf>
    <xf numFmtId="0" fontId="77" fillId="27" borderId="26" xfId="0" applyFont="1" applyFill="1" applyBorder="1" applyAlignment="1" applyProtection="1">
      <alignment horizontal="center" vertical="center" wrapText="1"/>
      <protection locked="0"/>
    </xf>
    <xf numFmtId="0" fontId="77" fillId="27" borderId="0" xfId="0" applyFont="1" applyFill="1" applyBorder="1" applyAlignment="1" applyProtection="1">
      <alignment horizontal="center" vertical="center" wrapText="1"/>
      <protection locked="0"/>
    </xf>
    <xf numFmtId="0" fontId="77" fillId="27" borderId="31" xfId="0" applyFont="1" applyFill="1" applyBorder="1" applyAlignment="1" applyProtection="1">
      <alignment horizontal="center" vertical="center" wrapText="1"/>
      <protection locked="0"/>
    </xf>
    <xf numFmtId="0" fontId="60" fillId="5" borderId="0" xfId="0" applyFont="1" applyFill="1" applyBorder="1" applyAlignment="1" applyProtection="1">
      <alignment horizontal="center"/>
    </xf>
    <xf numFmtId="0" fontId="90" fillId="36" borderId="23" xfId="0" applyFont="1" applyFill="1" applyBorder="1" applyAlignment="1" applyProtection="1">
      <alignment horizontal="center" vertical="center"/>
    </xf>
    <xf numFmtId="0" fontId="90" fillId="36" borderId="24" xfId="0" applyFont="1" applyFill="1" applyBorder="1" applyAlignment="1" applyProtection="1">
      <alignment horizontal="center" vertical="center"/>
    </xf>
    <xf numFmtId="0" fontId="90" fillId="36" borderId="25" xfId="0" applyFont="1" applyFill="1" applyBorder="1" applyAlignment="1" applyProtection="1">
      <alignment horizontal="center" vertical="center"/>
    </xf>
    <xf numFmtId="0" fontId="84" fillId="8" borderId="17" xfId="0" applyFont="1" applyFill="1" applyBorder="1" applyAlignment="1" applyProtection="1">
      <alignment horizontal="center" vertical="center"/>
    </xf>
    <xf numFmtId="0" fontId="85" fillId="8" borderId="18" xfId="0" applyFont="1" applyFill="1" applyBorder="1"/>
    <xf numFmtId="0" fontId="85" fillId="8" borderId="19" xfId="0" applyFont="1" applyFill="1" applyBorder="1"/>
    <xf numFmtId="0" fontId="91" fillId="40" borderId="26" xfId="0" applyFont="1" applyFill="1" applyBorder="1" applyAlignment="1" applyProtection="1">
      <alignment horizontal="center" vertical="center"/>
    </xf>
    <xf numFmtId="0" fontId="91" fillId="40" borderId="0" xfId="0" applyFont="1" applyFill="1" applyBorder="1" applyAlignment="1" applyProtection="1">
      <alignment horizontal="center" vertical="center"/>
    </xf>
    <xf numFmtId="0" fontId="91" fillId="40" borderId="20" xfId="0" applyFont="1" applyFill="1" applyBorder="1" applyAlignment="1" applyProtection="1">
      <alignment horizontal="center" vertical="center"/>
    </xf>
    <xf numFmtId="0" fontId="91" fillId="40" borderId="21" xfId="0" applyFont="1" applyFill="1" applyBorder="1" applyAlignment="1" applyProtection="1">
      <alignment horizontal="center" vertical="center"/>
    </xf>
    <xf numFmtId="0" fontId="70" fillId="37" borderId="23" xfId="10" applyFont="1" applyFill="1" applyBorder="1" applyAlignment="1" applyProtection="1">
      <alignment horizontal="center" vertical="center"/>
    </xf>
    <xf numFmtId="0" fontId="70" fillId="37" borderId="24" xfId="10" applyFont="1" applyFill="1" applyBorder="1" applyAlignment="1" applyProtection="1">
      <alignment horizontal="center" vertical="center"/>
    </xf>
    <xf numFmtId="0" fontId="70" fillId="37" borderId="25" xfId="10" applyFont="1" applyFill="1" applyBorder="1" applyAlignment="1" applyProtection="1">
      <alignment horizontal="center" vertical="center"/>
    </xf>
    <xf numFmtId="0" fontId="56" fillId="33" borderId="20" xfId="0" applyFont="1" applyFill="1" applyBorder="1" applyAlignment="1" applyProtection="1">
      <alignment horizontal="center" vertical="center"/>
      <protection locked="0"/>
    </xf>
    <xf numFmtId="0" fontId="56" fillId="33" borderId="21" xfId="0" applyFont="1" applyFill="1" applyBorder="1" applyAlignment="1" applyProtection="1">
      <alignment horizontal="center" vertical="center"/>
      <protection locked="0"/>
    </xf>
    <xf numFmtId="0" fontId="56" fillId="33" borderId="22" xfId="0" applyFont="1" applyFill="1" applyBorder="1" applyAlignment="1" applyProtection="1">
      <alignment horizontal="center" vertical="center"/>
      <protection locked="0"/>
    </xf>
    <xf numFmtId="1" fontId="81" fillId="10" borderId="0" xfId="0" applyNumberFormat="1" applyFont="1" applyFill="1" applyBorder="1" applyAlignment="1" applyProtection="1">
      <alignment horizontal="left" vertical="center"/>
      <protection locked="0"/>
    </xf>
    <xf numFmtId="1" fontId="81" fillId="10" borderId="31" xfId="0" applyNumberFormat="1" applyFont="1" applyFill="1" applyBorder="1" applyAlignment="1" applyProtection="1">
      <alignment horizontal="left" vertical="center"/>
      <protection locked="0"/>
    </xf>
    <xf numFmtId="0" fontId="83" fillId="10" borderId="0" xfId="0" applyFont="1" applyFill="1" applyBorder="1" applyAlignment="1" applyProtection="1">
      <alignment horizontal="left" vertical="center"/>
      <protection locked="0"/>
    </xf>
    <xf numFmtId="0" fontId="83" fillId="10" borderId="31" xfId="0" applyFont="1" applyFill="1" applyBorder="1" applyAlignment="1" applyProtection="1">
      <alignment horizontal="left" vertical="center"/>
      <protection locked="0"/>
    </xf>
    <xf numFmtId="0" fontId="82" fillId="10" borderId="0" xfId="0" applyFont="1" applyFill="1" applyBorder="1" applyAlignment="1" applyProtection="1">
      <alignment horizontal="left" vertical="center"/>
      <protection locked="0"/>
    </xf>
    <xf numFmtId="0" fontId="82" fillId="10" borderId="31" xfId="0" applyFont="1" applyFill="1" applyBorder="1" applyAlignment="1" applyProtection="1">
      <alignment horizontal="left" vertical="center"/>
      <protection locked="0"/>
    </xf>
    <xf numFmtId="0" fontId="96" fillId="40" borderId="17" xfId="0" applyFont="1" applyFill="1" applyBorder="1" applyAlignment="1" applyProtection="1">
      <alignment horizontal="center"/>
    </xf>
    <xf numFmtId="0" fontId="96" fillId="40" borderId="18" xfId="0" applyFont="1" applyFill="1" applyBorder="1" applyAlignment="1" applyProtection="1">
      <alignment horizontal="center"/>
    </xf>
    <xf numFmtId="0" fontId="96" fillId="40" borderId="19" xfId="0" applyFont="1" applyFill="1" applyBorder="1" applyAlignment="1" applyProtection="1">
      <alignment horizontal="center"/>
    </xf>
    <xf numFmtId="0" fontId="1" fillId="13" borderId="26" xfId="11" applyFill="1" applyBorder="1" applyAlignment="1">
      <alignment horizontal="center"/>
    </xf>
    <xf numFmtId="0" fontId="1" fillId="13" borderId="31" xfId="11" applyFill="1" applyBorder="1" applyAlignment="1">
      <alignment horizontal="center"/>
    </xf>
    <xf numFmtId="0" fontId="93" fillId="8" borderId="0" xfId="11" applyFont="1" applyFill="1" applyAlignment="1">
      <alignment horizontal="center" vertical="center"/>
    </xf>
    <xf numFmtId="0" fontId="94" fillId="13" borderId="26" xfId="11" applyFont="1" applyFill="1" applyBorder="1" applyAlignment="1">
      <alignment horizontal="center"/>
    </xf>
    <xf numFmtId="0" fontId="94" fillId="13" borderId="31" xfId="11" applyFont="1" applyFill="1" applyBorder="1" applyAlignment="1">
      <alignment horizontal="center"/>
    </xf>
    <xf numFmtId="0" fontId="0" fillId="8" borderId="13" xfId="0" applyFill="1" applyBorder="1" applyAlignment="1" applyProtection="1">
      <alignment horizontal="center"/>
    </xf>
    <xf numFmtId="0" fontId="0" fillId="15" borderId="13" xfId="0" applyFill="1" applyBorder="1" applyAlignment="1" applyProtection="1">
      <alignment horizontal="center"/>
    </xf>
    <xf numFmtId="0" fontId="0" fillId="24" borderId="13" xfId="0" applyFill="1" applyBorder="1" applyAlignment="1" applyProtection="1">
      <alignment horizontal="center"/>
    </xf>
    <xf numFmtId="0" fontId="5" fillId="3" borderId="13" xfId="0" applyFont="1" applyFill="1" applyBorder="1" applyAlignment="1" applyProtection="1">
      <alignment horizontal="center"/>
    </xf>
    <xf numFmtId="0" fontId="0" fillId="0" borderId="10" xfId="0" applyBorder="1" applyAlignment="1" applyProtection="1">
      <alignment horizontal="center" vertical="top" wrapText="1"/>
    </xf>
    <xf numFmtId="0" fontId="0" fillId="0" borderId="12" xfId="0" applyBorder="1" applyAlignment="1" applyProtection="1">
      <alignment horizontal="center" vertical="top" wrapText="1"/>
    </xf>
    <xf numFmtId="0" fontId="0" fillId="0" borderId="11" xfId="0" applyBorder="1" applyAlignment="1" applyProtection="1">
      <alignment horizontal="center" vertical="top" wrapText="1"/>
    </xf>
    <xf numFmtId="0" fontId="6" fillId="8" borderId="2" xfId="0" applyFont="1" applyFill="1" applyBorder="1" applyAlignment="1" applyProtection="1">
      <alignment horizontal="center" vertical="center"/>
      <protection locked="0"/>
    </xf>
    <xf numFmtId="0" fontId="6" fillId="8" borderId="4" xfId="0" applyFont="1" applyFill="1" applyBorder="1" applyAlignment="1" applyProtection="1">
      <alignment horizontal="center" vertical="center"/>
      <protection locked="0"/>
    </xf>
    <xf numFmtId="0" fontId="62" fillId="15" borderId="0" xfId="0" applyFont="1" applyFill="1" applyAlignment="1" applyProtection="1">
      <alignment horizontal="center" vertical="center"/>
      <protection locked="0"/>
    </xf>
    <xf numFmtId="0" fontId="73" fillId="8" borderId="0" xfId="0" applyFont="1" applyFill="1" applyAlignment="1" applyProtection="1">
      <alignment horizontal="center" vertical="center"/>
    </xf>
    <xf numFmtId="0" fontId="41" fillId="16" borderId="10" xfId="0" applyFont="1" applyFill="1" applyBorder="1" applyAlignment="1" applyProtection="1">
      <alignment horizontal="center" vertical="center"/>
      <protection locked="0"/>
    </xf>
    <xf numFmtId="0" fontId="41" fillId="16" borderId="12" xfId="0" applyFont="1" applyFill="1" applyBorder="1" applyAlignment="1" applyProtection="1">
      <alignment horizontal="center" vertical="center"/>
      <protection locked="0"/>
    </xf>
    <xf numFmtId="0" fontId="36" fillId="7" borderId="5" xfId="0" applyFont="1" applyFill="1" applyBorder="1" applyAlignment="1" applyProtection="1">
      <alignment horizontal="center" vertical="center"/>
      <protection locked="0"/>
    </xf>
    <xf numFmtId="0" fontId="36" fillId="7" borderId="15" xfId="0" applyFont="1" applyFill="1" applyBorder="1" applyAlignment="1" applyProtection="1">
      <alignment horizontal="center" vertical="center"/>
      <protection locked="0"/>
    </xf>
    <xf numFmtId="0" fontId="36" fillId="7" borderId="6" xfId="0" applyFont="1" applyFill="1" applyBorder="1" applyAlignment="1" applyProtection="1">
      <alignment horizontal="center" vertical="center"/>
      <protection locked="0"/>
    </xf>
    <xf numFmtId="0" fontId="36" fillId="7" borderId="13" xfId="0" applyFont="1" applyFill="1" applyBorder="1" applyAlignment="1" applyProtection="1">
      <alignment horizontal="center" vertical="center"/>
      <protection locked="0"/>
    </xf>
    <xf numFmtId="0" fontId="42" fillId="16" borderId="10" xfId="0" applyFont="1" applyFill="1" applyBorder="1" applyAlignment="1" applyProtection="1">
      <alignment horizontal="center" vertical="center" wrapText="1"/>
    </xf>
    <xf numFmtId="0" fontId="42" fillId="16" borderId="12" xfId="0" applyFont="1" applyFill="1" applyBorder="1" applyAlignment="1" applyProtection="1">
      <alignment wrapText="1"/>
    </xf>
    <xf numFmtId="0" fontId="42" fillId="16" borderId="11" xfId="0" applyFont="1" applyFill="1" applyBorder="1" applyAlignment="1" applyProtection="1">
      <alignment wrapText="1"/>
    </xf>
    <xf numFmtId="0" fontId="38" fillId="19" borderId="6" xfId="0" applyFont="1" applyFill="1" applyBorder="1" applyAlignment="1" applyProtection="1">
      <alignment horizontal="center" vertical="center"/>
      <protection locked="0"/>
    </xf>
    <xf numFmtId="0" fontId="38" fillId="19" borderId="11" xfId="0" applyFont="1" applyFill="1" applyBorder="1" applyAlignment="1" applyProtection="1">
      <alignment horizontal="center" vertical="center"/>
      <protection locked="0"/>
    </xf>
    <xf numFmtId="0" fontId="42" fillId="8" borderId="10" xfId="0" applyFont="1" applyFill="1" applyBorder="1" applyAlignment="1" applyProtection="1">
      <alignment horizontal="center" vertical="center" wrapText="1"/>
    </xf>
    <xf numFmtId="0" fontId="42" fillId="8" borderId="11" xfId="0" applyFont="1" applyFill="1" applyBorder="1" applyAlignment="1" applyProtection="1">
      <alignment horizontal="center" vertical="center" wrapText="1"/>
    </xf>
    <xf numFmtId="0" fontId="0" fillId="25" borderId="0" xfId="0" applyFill="1" applyAlignment="1" applyProtection="1">
      <alignment horizontal="center" vertical="center"/>
      <protection locked="0"/>
    </xf>
    <xf numFmtId="0" fontId="67" fillId="28" borderId="10" xfId="0" applyFont="1" applyFill="1" applyBorder="1" applyAlignment="1" applyProtection="1">
      <alignment horizontal="center" vertical="top" wrapText="1"/>
    </xf>
    <xf numFmtId="0" fontId="67" fillId="28" borderId="12" xfId="0" applyFont="1" applyFill="1" applyBorder="1" applyAlignment="1" applyProtection="1">
      <alignment horizontal="center" vertical="top" wrapText="1"/>
    </xf>
    <xf numFmtId="0" fontId="67" fillId="28" borderId="11" xfId="0" applyFont="1" applyFill="1" applyBorder="1" applyAlignment="1" applyProtection="1">
      <alignment horizontal="center" vertical="top" wrapText="1"/>
    </xf>
    <xf numFmtId="0" fontId="72" fillId="27" borderId="15" xfId="0" applyFont="1" applyFill="1" applyBorder="1" applyAlignment="1" applyProtection="1">
      <alignment horizontal="center" vertical="center"/>
      <protection locked="0"/>
    </xf>
    <xf numFmtId="0" fontId="72" fillId="27" borderId="8" xfId="0" applyFont="1" applyFill="1" applyBorder="1" applyAlignment="1" applyProtection="1">
      <alignment horizontal="center" vertical="center"/>
      <protection locked="0"/>
    </xf>
    <xf numFmtId="0" fontId="72" fillId="27" borderId="0" xfId="0" applyFont="1" applyFill="1" applyBorder="1" applyAlignment="1" applyProtection="1">
      <alignment horizontal="center" vertical="center"/>
      <protection locked="0"/>
    </xf>
    <xf numFmtId="0" fontId="72" fillId="27" borderId="16" xfId="0" applyFont="1" applyFill="1" applyBorder="1" applyAlignment="1" applyProtection="1">
      <alignment horizontal="center" vertical="center"/>
      <protection locked="0"/>
    </xf>
    <xf numFmtId="0" fontId="4" fillId="0" borderId="5" xfId="0" applyFont="1" applyFill="1" applyBorder="1" applyAlignment="1" applyProtection="1">
      <alignment horizontal="center" vertical="center" textRotation="90"/>
      <protection locked="0"/>
    </xf>
    <xf numFmtId="0" fontId="4" fillId="0" borderId="7" xfId="0" applyFont="1" applyFill="1" applyBorder="1" applyAlignment="1" applyProtection="1">
      <alignment horizontal="center" vertical="center" textRotation="90"/>
      <protection locked="0"/>
    </xf>
    <xf numFmtId="0" fontId="4" fillId="0" borderId="6" xfId="0" applyFont="1" applyFill="1" applyBorder="1" applyAlignment="1" applyProtection="1">
      <alignment horizontal="center" vertical="center" textRotation="90"/>
      <protection locked="0"/>
    </xf>
    <xf numFmtId="0" fontId="4" fillId="0" borderId="1" xfId="0" applyFont="1" applyFill="1" applyBorder="1" applyAlignment="1" applyProtection="1">
      <alignment horizontal="center" vertical="center" shrinkToFit="1"/>
      <protection locked="0"/>
    </xf>
    <xf numFmtId="0" fontId="4" fillId="0" borderId="1" xfId="0" applyFont="1" applyFill="1" applyBorder="1" applyAlignment="1" applyProtection="1">
      <alignment horizontal="center" vertical="center" wrapText="1"/>
      <protection locked="0"/>
    </xf>
    <xf numFmtId="0" fontId="4" fillId="0" borderId="2" xfId="0" applyFont="1" applyFill="1" applyBorder="1" applyAlignment="1" applyProtection="1">
      <alignment horizontal="center" vertical="center" textRotation="90" wrapText="1"/>
      <protection locked="0"/>
    </xf>
    <xf numFmtId="0" fontId="4" fillId="0" borderId="3" xfId="0" applyFont="1" applyFill="1" applyBorder="1" applyAlignment="1" applyProtection="1">
      <alignment horizontal="center" vertical="center" textRotation="90" wrapText="1"/>
      <protection locked="0"/>
    </xf>
    <xf numFmtId="0" fontId="4" fillId="0" borderId="4" xfId="0" applyFont="1" applyFill="1" applyBorder="1" applyAlignment="1" applyProtection="1">
      <alignment horizontal="center" vertical="center" textRotation="90" wrapText="1"/>
      <protection locked="0"/>
    </xf>
    <xf numFmtId="0" fontId="48" fillId="0" borderId="10" xfId="0" applyFont="1" applyBorder="1" applyAlignment="1" applyProtection="1">
      <alignment horizontal="center" vertical="center"/>
      <protection locked="0"/>
    </xf>
    <xf numFmtId="0" fontId="48" fillId="0" borderId="12" xfId="0" applyFont="1" applyBorder="1" applyAlignment="1" applyProtection="1">
      <alignment horizontal="center" vertical="center"/>
      <protection locked="0"/>
    </xf>
    <xf numFmtId="0" fontId="49" fillId="0" borderId="10" xfId="0" applyFont="1" applyBorder="1" applyAlignment="1" applyProtection="1">
      <alignment horizontal="center" vertical="center"/>
      <protection locked="0"/>
    </xf>
    <xf numFmtId="0" fontId="49" fillId="0" borderId="12" xfId="0" applyFont="1" applyBorder="1" applyAlignment="1" applyProtection="1">
      <alignment horizontal="center" vertical="center"/>
      <protection locked="0"/>
    </xf>
    <xf numFmtId="0" fontId="49" fillId="0" borderId="11" xfId="0" applyFont="1" applyBorder="1" applyAlignment="1" applyProtection="1">
      <alignment horizontal="center" vertical="center"/>
      <protection locked="0"/>
    </xf>
    <xf numFmtId="0" fontId="46" fillId="0" borderId="1" xfId="0" applyFont="1" applyBorder="1" applyAlignment="1" applyProtection="1">
      <alignment horizontal="center" vertical="center"/>
      <protection locked="0"/>
    </xf>
    <xf numFmtId="0" fontId="47" fillId="0" borderId="1" xfId="0" applyFont="1" applyBorder="1" applyAlignment="1" applyProtection="1">
      <alignment horizontal="center" vertical="center"/>
      <protection locked="0"/>
    </xf>
    <xf numFmtId="0" fontId="48" fillId="0" borderId="1" xfId="0" applyFont="1" applyBorder="1" applyAlignment="1" applyProtection="1">
      <alignment horizontal="center" vertical="center"/>
      <protection locked="0"/>
    </xf>
    <xf numFmtId="0" fontId="5" fillId="0" borderId="5" xfId="0" applyFont="1" applyBorder="1" applyAlignment="1" applyProtection="1">
      <alignment horizontal="center"/>
      <protection locked="0"/>
    </xf>
    <xf numFmtId="0" fontId="5" fillId="0" borderId="15"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6" fillId="0" borderId="7" xfId="0" applyFont="1" applyBorder="1" applyAlignment="1" applyProtection="1">
      <alignment horizontal="center"/>
    </xf>
    <xf numFmtId="0" fontId="6" fillId="0" borderId="0" xfId="0" applyFont="1" applyBorder="1" applyAlignment="1" applyProtection="1">
      <alignment horizontal="center"/>
    </xf>
    <xf numFmtId="0" fontId="6" fillId="0" borderId="16" xfId="0" applyFont="1" applyBorder="1" applyAlignment="1" applyProtection="1">
      <alignment horizontal="center"/>
    </xf>
    <xf numFmtId="0" fontId="36" fillId="0" borderId="6" xfId="0" applyFont="1" applyBorder="1" applyAlignment="1" applyProtection="1">
      <alignment horizontal="center"/>
    </xf>
    <xf numFmtId="0" fontId="36" fillId="0" borderId="13" xfId="0" applyFont="1" applyBorder="1" applyAlignment="1" applyProtection="1">
      <alignment horizontal="center"/>
    </xf>
    <xf numFmtId="0" fontId="36" fillId="0" borderId="9" xfId="0" applyFont="1" applyBorder="1" applyAlignment="1" applyProtection="1">
      <alignment horizontal="center"/>
    </xf>
    <xf numFmtId="0" fontId="37" fillId="0" borderId="5" xfId="0" applyFont="1" applyFill="1" applyBorder="1" applyAlignment="1" applyProtection="1">
      <alignment horizontal="center" vertical="center"/>
      <protection locked="0"/>
    </xf>
    <xf numFmtId="0" fontId="37" fillId="0" borderId="15" xfId="0" applyFont="1" applyFill="1" applyBorder="1" applyAlignment="1" applyProtection="1">
      <alignment horizontal="center" vertical="center"/>
      <protection locked="0"/>
    </xf>
    <xf numFmtId="0" fontId="37" fillId="0" borderId="8" xfId="0" applyFont="1" applyFill="1" applyBorder="1" applyAlignment="1" applyProtection="1">
      <alignment horizontal="center" vertical="center"/>
      <protection locked="0"/>
    </xf>
    <xf numFmtId="0" fontId="37" fillId="0" borderId="7"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16" xfId="0" applyFont="1" applyFill="1" applyBorder="1" applyAlignment="1" applyProtection="1">
      <alignment horizontal="center" vertical="center"/>
      <protection locked="0"/>
    </xf>
    <xf numFmtId="0" fontId="37" fillId="0" borderId="6" xfId="0" applyFont="1" applyFill="1" applyBorder="1" applyAlignment="1" applyProtection="1">
      <alignment horizontal="center" vertical="center"/>
      <protection locked="0"/>
    </xf>
    <xf numFmtId="0" fontId="37" fillId="0" borderId="13" xfId="0" applyFont="1" applyFill="1" applyBorder="1" applyAlignment="1" applyProtection="1">
      <alignment horizontal="center" vertical="center"/>
      <protection locked="0"/>
    </xf>
    <xf numFmtId="0" fontId="37" fillId="0" borderId="9" xfId="0" applyFont="1" applyFill="1" applyBorder="1" applyAlignment="1" applyProtection="1">
      <alignment horizontal="center" vertical="center"/>
      <protection locked="0"/>
    </xf>
    <xf numFmtId="1" fontId="5" fillId="0" borderId="0" xfId="0" applyNumberFormat="1" applyFont="1" applyBorder="1" applyAlignment="1" applyProtection="1">
      <alignment horizontal="left"/>
    </xf>
    <xf numFmtId="0" fontId="7" fillId="0" borderId="0" xfId="0" applyFont="1" applyAlignment="1" applyProtection="1">
      <alignment horizontal="left"/>
      <protection locked="0"/>
    </xf>
    <xf numFmtId="0" fontId="0" fillId="0" borderId="0" xfId="0" applyBorder="1" applyAlignment="1" applyProtection="1">
      <alignment horizontal="left"/>
      <protection locked="0"/>
    </xf>
    <xf numFmtId="0" fontId="5" fillId="0" borderId="1" xfId="0" applyFont="1" applyBorder="1" applyAlignment="1" applyProtection="1">
      <alignment horizontal="center" vertical="center"/>
      <protection locked="0"/>
    </xf>
    <xf numFmtId="0" fontId="5" fillId="20" borderId="10" xfId="0" applyFont="1" applyFill="1" applyBorder="1" applyAlignment="1" applyProtection="1">
      <alignment horizontal="center" vertical="center"/>
      <protection locked="0"/>
    </xf>
    <xf numFmtId="0" fontId="5" fillId="20" borderId="12" xfId="0" applyFont="1" applyFill="1" applyBorder="1" applyAlignment="1" applyProtection="1">
      <alignment horizontal="center" vertical="center"/>
      <protection locked="0"/>
    </xf>
    <xf numFmtId="0" fontId="5" fillId="20" borderId="11" xfId="0" applyFont="1" applyFill="1" applyBorder="1" applyAlignment="1" applyProtection="1">
      <alignment horizontal="center" vertical="center"/>
      <protection locked="0"/>
    </xf>
    <xf numFmtId="0" fontId="5" fillId="22" borderId="10" xfId="0" quotePrefix="1" applyFont="1" applyFill="1" applyBorder="1" applyAlignment="1" applyProtection="1">
      <alignment horizontal="center" vertical="center"/>
      <protection locked="0"/>
    </xf>
    <xf numFmtId="0" fontId="5" fillId="22" borderId="12" xfId="0" quotePrefix="1" applyFont="1" applyFill="1" applyBorder="1" applyAlignment="1" applyProtection="1">
      <alignment horizontal="center" vertical="center"/>
      <protection locked="0"/>
    </xf>
    <xf numFmtId="0" fontId="5" fillId="22" borderId="11" xfId="0" quotePrefix="1"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protection locked="0"/>
    </xf>
    <xf numFmtId="0" fontId="4" fillId="0" borderId="3" xfId="0" applyFont="1" applyFill="1" applyBorder="1" applyAlignment="1" applyProtection="1">
      <alignment horizontal="center" vertical="center"/>
      <protection locked="0"/>
    </xf>
    <xf numFmtId="0" fontId="5" fillId="22" borderId="10" xfId="0" applyFont="1" applyFill="1" applyBorder="1" applyAlignment="1" applyProtection="1">
      <alignment horizontal="center" vertical="center"/>
      <protection locked="0"/>
    </xf>
    <xf numFmtId="0" fontId="5" fillId="22" borderId="11" xfId="0" applyFont="1" applyFill="1" applyBorder="1" applyAlignment="1" applyProtection="1">
      <alignment horizontal="center" vertical="center"/>
      <protection locked="0"/>
    </xf>
    <xf numFmtId="0" fontId="64" fillId="0" borderId="1" xfId="0" applyFont="1" applyFill="1" applyBorder="1" applyAlignment="1" applyProtection="1">
      <alignment horizontal="center" vertical="center" wrapText="1"/>
    </xf>
    <xf numFmtId="0" fontId="4" fillId="0" borderId="1" xfId="0" applyFont="1" applyFill="1" applyBorder="1" applyAlignment="1" applyProtection="1">
      <alignment horizontal="center" vertical="center" wrapText="1"/>
    </xf>
    <xf numFmtId="0" fontId="66" fillId="27" borderId="2" xfId="0" applyFont="1" applyFill="1" applyBorder="1" applyAlignment="1" applyProtection="1">
      <alignment horizontal="center" vertical="center" wrapText="1"/>
      <protection locked="0"/>
    </xf>
    <xf numFmtId="0" fontId="66" fillId="27" borderId="3" xfId="0" applyFont="1" applyFill="1" applyBorder="1" applyAlignment="1" applyProtection="1">
      <alignment horizontal="center" vertical="center" wrapText="1"/>
      <protection locked="0"/>
    </xf>
    <xf numFmtId="0" fontId="66" fillId="27" borderId="4" xfId="0" applyFont="1" applyFill="1" applyBorder="1" applyAlignment="1" applyProtection="1">
      <alignment horizontal="center" vertical="center" wrapText="1"/>
      <protection locked="0"/>
    </xf>
    <xf numFmtId="2" fontId="4" fillId="6" borderId="2" xfId="0" applyNumberFormat="1" applyFont="1" applyFill="1" applyBorder="1" applyAlignment="1" applyProtection="1">
      <alignment horizontal="center" vertical="center" textRotation="90"/>
      <protection locked="0"/>
    </xf>
    <xf numFmtId="2" fontId="4" fillId="6" borderId="3" xfId="0" applyNumberFormat="1" applyFont="1" applyFill="1" applyBorder="1" applyAlignment="1" applyProtection="1">
      <alignment horizontal="center" vertical="center" textRotation="90"/>
      <protection locked="0"/>
    </xf>
    <xf numFmtId="2" fontId="4" fillId="6" borderId="4" xfId="0" applyNumberFormat="1" applyFont="1" applyFill="1" applyBorder="1" applyAlignment="1" applyProtection="1">
      <alignment horizontal="center" vertical="center" textRotation="90"/>
      <protection locked="0"/>
    </xf>
    <xf numFmtId="0" fontId="4" fillId="6" borderId="2" xfId="0" applyFont="1" applyFill="1" applyBorder="1" applyAlignment="1" applyProtection="1">
      <alignment horizontal="center" vertical="center" textRotation="90"/>
      <protection locked="0"/>
    </xf>
    <xf numFmtId="0" fontId="4" fillId="6" borderId="3" xfId="0" applyFont="1" applyFill="1" applyBorder="1" applyAlignment="1" applyProtection="1">
      <alignment horizontal="center" vertical="center" textRotation="90"/>
      <protection locked="0"/>
    </xf>
    <xf numFmtId="0" fontId="4" fillId="6" borderId="4" xfId="0" applyFont="1" applyFill="1" applyBorder="1" applyAlignment="1" applyProtection="1">
      <alignment horizontal="center" vertical="center" textRotation="90"/>
      <protection locked="0"/>
    </xf>
    <xf numFmtId="2" fontId="60" fillId="7" borderId="1" xfId="0" applyNumberFormat="1" applyFont="1" applyFill="1" applyBorder="1" applyAlignment="1" applyProtection="1">
      <alignment horizontal="center" vertical="center"/>
    </xf>
    <xf numFmtId="2" fontId="4" fillId="16" borderId="10" xfId="0" applyNumberFormat="1" applyFont="1" applyFill="1" applyBorder="1" applyAlignment="1" applyProtection="1">
      <alignment horizontal="center" vertical="center"/>
      <protection locked="0"/>
    </xf>
    <xf numFmtId="2" fontId="4" fillId="16" borderId="11" xfId="0" applyNumberFormat="1" applyFont="1" applyFill="1" applyBorder="1" applyAlignment="1" applyProtection="1">
      <alignment horizontal="center" vertical="center"/>
      <protection locked="0"/>
    </xf>
    <xf numFmtId="0" fontId="66" fillId="30" borderId="5" xfId="0" applyFont="1" applyFill="1" applyBorder="1" applyAlignment="1" applyProtection="1">
      <alignment horizontal="center" vertical="center"/>
      <protection locked="0"/>
    </xf>
    <xf numFmtId="0" fontId="66" fillId="30" borderId="15" xfId="0" applyFont="1" applyFill="1" applyBorder="1" applyAlignment="1" applyProtection="1">
      <alignment horizontal="center" vertical="center"/>
      <protection locked="0"/>
    </xf>
    <xf numFmtId="0" fontId="66" fillId="30" borderId="8" xfId="0" applyFont="1" applyFill="1" applyBorder="1" applyAlignment="1" applyProtection="1">
      <alignment horizontal="center" vertical="center"/>
      <protection locked="0"/>
    </xf>
    <xf numFmtId="0" fontId="4" fillId="6" borderId="2" xfId="0" applyFont="1" applyFill="1" applyBorder="1" applyAlignment="1" applyProtection="1">
      <alignment horizontal="left" vertical="center" textRotation="90" wrapText="1"/>
      <protection locked="0"/>
    </xf>
    <xf numFmtId="0" fontId="4" fillId="6" borderId="3" xfId="0" applyFont="1" applyFill="1" applyBorder="1" applyAlignment="1" applyProtection="1">
      <alignment horizontal="left" vertical="center" textRotation="90" wrapText="1"/>
      <protection locked="0"/>
    </xf>
    <xf numFmtId="0" fontId="4" fillId="6" borderId="4" xfId="0" applyFont="1" applyFill="1" applyBorder="1" applyAlignment="1" applyProtection="1">
      <alignment horizontal="left" vertical="center" textRotation="90" wrapText="1"/>
      <protection locked="0"/>
    </xf>
    <xf numFmtId="0" fontId="4" fillId="6" borderId="2" xfId="0" applyFont="1" applyFill="1" applyBorder="1" applyAlignment="1" applyProtection="1">
      <alignment horizontal="center" vertical="center" textRotation="90" wrapText="1"/>
      <protection locked="0"/>
    </xf>
    <xf numFmtId="0" fontId="4" fillId="6" borderId="3" xfId="0" applyFont="1" applyFill="1" applyBorder="1" applyAlignment="1" applyProtection="1">
      <alignment horizontal="center" vertical="center" textRotation="90" wrapText="1"/>
      <protection locked="0"/>
    </xf>
    <xf numFmtId="0" fontId="4" fillId="6" borderId="4" xfId="0" applyFont="1" applyFill="1" applyBorder="1" applyAlignment="1" applyProtection="1">
      <alignment horizontal="center" vertical="center" textRotation="90" wrapText="1"/>
      <protection locked="0"/>
    </xf>
    <xf numFmtId="0" fontId="4" fillId="17" borderId="5" xfId="0" applyFont="1" applyFill="1" applyBorder="1" applyAlignment="1" applyProtection="1">
      <alignment horizontal="center" vertical="center" textRotation="90"/>
      <protection locked="0"/>
    </xf>
    <xf numFmtId="0" fontId="4" fillId="17" borderId="7" xfId="0" applyFont="1" applyFill="1" applyBorder="1" applyAlignment="1" applyProtection="1">
      <alignment horizontal="center" vertical="center" textRotation="90"/>
      <protection locked="0"/>
    </xf>
    <xf numFmtId="0" fontId="4" fillId="17" borderId="6" xfId="0" applyFont="1" applyFill="1" applyBorder="1" applyAlignment="1" applyProtection="1">
      <alignment horizontal="center" vertical="center" textRotation="90"/>
      <protection locked="0"/>
    </xf>
    <xf numFmtId="0" fontId="4" fillId="17" borderId="2" xfId="0" applyFont="1" applyFill="1" applyBorder="1" applyAlignment="1" applyProtection="1">
      <alignment horizontal="center" vertical="center" textRotation="90" wrapText="1"/>
      <protection locked="0"/>
    </xf>
    <xf numFmtId="0" fontId="4" fillId="17" borderId="3" xfId="0" applyFont="1" applyFill="1" applyBorder="1" applyAlignment="1" applyProtection="1">
      <alignment horizontal="center" vertical="center" textRotation="90" wrapText="1"/>
      <protection locked="0"/>
    </xf>
    <xf numFmtId="0" fontId="4" fillId="17" borderId="4" xfId="0" applyFont="1" applyFill="1" applyBorder="1" applyAlignment="1" applyProtection="1">
      <alignment horizontal="center" vertical="center" textRotation="90" wrapText="1"/>
      <protection locked="0"/>
    </xf>
    <xf numFmtId="0" fontId="4" fillId="16" borderId="1" xfId="0" applyFont="1" applyFill="1" applyBorder="1" applyAlignment="1" applyProtection="1">
      <alignment horizontal="center" vertical="center" wrapText="1"/>
    </xf>
    <xf numFmtId="0" fontId="4" fillId="13" borderId="1"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shrinkToFit="1"/>
      <protection locked="0"/>
    </xf>
    <xf numFmtId="0" fontId="4" fillId="17" borderId="1" xfId="0" applyFont="1" applyFill="1" applyBorder="1" applyAlignment="1" applyProtection="1">
      <alignment horizontal="center" vertical="center" wrapText="1"/>
      <protection locked="0"/>
    </xf>
    <xf numFmtId="0" fontId="64" fillId="31" borderId="1" xfId="0" applyFont="1" applyFill="1" applyBorder="1" applyAlignment="1" applyProtection="1">
      <alignment horizontal="center" vertical="center" wrapText="1"/>
    </xf>
    <xf numFmtId="0" fontId="4" fillId="32" borderId="1" xfId="0" applyFont="1" applyFill="1" applyBorder="1" applyAlignment="1" applyProtection="1">
      <alignment horizontal="center" vertical="center" wrapText="1"/>
    </xf>
    <xf numFmtId="0" fontId="4" fillId="33" borderId="1" xfId="0" applyFont="1" applyFill="1" applyBorder="1" applyAlignment="1" applyProtection="1">
      <alignment horizontal="center" vertical="center" wrapText="1"/>
    </xf>
    <xf numFmtId="0" fontId="4" fillId="31"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66" fillId="30"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xf>
    <xf numFmtId="0" fontId="4" fillId="4" borderId="2" xfId="0" applyFont="1" applyFill="1" applyBorder="1" applyAlignment="1" applyProtection="1">
      <alignment horizontal="center" vertical="center" wrapText="1"/>
      <protection locked="0"/>
    </xf>
    <xf numFmtId="0" fontId="4" fillId="4" borderId="4" xfId="0" applyFont="1" applyFill="1" applyBorder="1" applyAlignment="1" applyProtection="1">
      <alignment horizontal="center" vertical="center" wrapText="1"/>
      <protection locked="0"/>
    </xf>
    <xf numFmtId="0" fontId="4" fillId="17" borderId="1" xfId="0" applyFont="1" applyFill="1" applyBorder="1" applyAlignment="1" applyProtection="1">
      <alignment horizontal="center" vertical="center" wrapText="1"/>
    </xf>
    <xf numFmtId="0" fontId="4" fillId="35" borderId="1" xfId="0" applyFont="1" applyFill="1" applyBorder="1" applyAlignment="1" applyProtection="1">
      <alignment horizontal="center" vertical="center" wrapText="1"/>
    </xf>
    <xf numFmtId="0" fontId="66" fillId="7" borderId="2" xfId="0" applyFont="1" applyFill="1" applyBorder="1" applyAlignment="1" applyProtection="1">
      <alignment horizontal="center" vertical="center" wrapText="1"/>
      <protection locked="0"/>
    </xf>
    <xf numFmtId="0" fontId="66" fillId="7" borderId="3" xfId="0" applyFont="1" applyFill="1" applyBorder="1" applyAlignment="1" applyProtection="1">
      <alignment horizontal="center" vertical="center" wrapText="1"/>
      <protection locked="0"/>
    </xf>
    <xf numFmtId="0" fontId="66" fillId="7" borderId="4" xfId="0" applyFont="1" applyFill="1" applyBorder="1" applyAlignment="1" applyProtection="1">
      <alignment horizontal="center" vertical="center" wrapText="1"/>
      <protection locked="0"/>
    </xf>
    <xf numFmtId="0" fontId="4" fillId="34" borderId="1" xfId="0" applyFont="1" applyFill="1" applyBorder="1" applyAlignment="1" applyProtection="1">
      <alignment horizontal="center" vertical="center" wrapText="1"/>
    </xf>
    <xf numFmtId="0" fontId="0" fillId="0" borderId="1" xfId="0" applyBorder="1" applyAlignment="1" applyProtection="1">
      <alignment horizontal="center"/>
    </xf>
    <xf numFmtId="0" fontId="0" fillId="16" borderId="1" xfId="0" applyFill="1" applyBorder="1" applyAlignment="1" applyProtection="1">
      <alignment horizontal="center"/>
    </xf>
    <xf numFmtId="0" fontId="4" fillId="3" borderId="1" xfId="0" applyFont="1" applyFill="1" applyBorder="1" applyAlignment="1" applyProtection="1">
      <alignment horizontal="center" vertical="center" wrapText="1"/>
      <protection locked="0"/>
    </xf>
    <xf numFmtId="0" fontId="4" fillId="13" borderId="2" xfId="0" applyFont="1" applyFill="1" applyBorder="1" applyAlignment="1" applyProtection="1">
      <alignment horizontal="center" vertical="center" textRotation="90"/>
      <protection locked="0"/>
    </xf>
    <xf numFmtId="0" fontId="4" fillId="13" borderId="3" xfId="0" applyFont="1" applyFill="1" applyBorder="1" applyAlignment="1" applyProtection="1">
      <alignment horizontal="center" vertical="center" textRotation="90"/>
      <protection locked="0"/>
    </xf>
    <xf numFmtId="0" fontId="4" fillId="13"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wrapText="1"/>
      <protection locked="0"/>
    </xf>
    <xf numFmtId="0" fontId="4" fillId="3" borderId="3" xfId="0" applyFont="1" applyFill="1" applyBorder="1" applyAlignment="1" applyProtection="1">
      <alignment horizontal="center" vertical="center" wrapText="1"/>
      <protection locked="0"/>
    </xf>
    <xf numFmtId="0" fontId="4" fillId="3" borderId="4" xfId="0" applyFont="1" applyFill="1" applyBorder="1" applyAlignment="1" applyProtection="1">
      <alignment horizontal="center" vertical="center" wrapText="1"/>
      <protection locked="0"/>
    </xf>
    <xf numFmtId="0" fontId="86" fillId="3" borderId="1" xfId="0" applyFont="1" applyFill="1" applyBorder="1" applyAlignment="1" applyProtection="1">
      <alignment horizontal="center" vertical="center" wrapText="1"/>
      <protection locked="0"/>
    </xf>
    <xf numFmtId="0" fontId="31" fillId="0" borderId="23" xfId="0" applyFont="1" applyFill="1" applyBorder="1" applyAlignment="1" applyProtection="1">
      <alignment horizontal="center" vertical="center"/>
      <protection locked="0"/>
    </xf>
    <xf numFmtId="0" fontId="31" fillId="0" borderId="24" xfId="0" applyFont="1" applyFill="1" applyBorder="1" applyAlignment="1" applyProtection="1">
      <alignment horizontal="center" vertical="center"/>
      <protection locked="0"/>
    </xf>
    <xf numFmtId="0" fontId="31" fillId="0" borderId="25"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58" fillId="0" borderId="1" xfId="0" applyFont="1" applyFill="1" applyBorder="1" applyAlignment="1" applyProtection="1">
      <alignment horizontal="center" vertical="center" wrapText="1"/>
    </xf>
    <xf numFmtId="2" fontId="4" fillId="24" borderId="2" xfId="0" applyNumberFormat="1" applyFont="1" applyFill="1" applyBorder="1" applyAlignment="1" applyProtection="1">
      <alignment horizontal="center" vertical="center" textRotation="90"/>
      <protection locked="0"/>
    </xf>
    <xf numFmtId="2" fontId="4" fillId="24" borderId="3" xfId="0" applyNumberFormat="1" applyFont="1" applyFill="1" applyBorder="1" applyAlignment="1" applyProtection="1">
      <alignment horizontal="center" vertical="center" textRotation="90"/>
      <protection locked="0"/>
    </xf>
    <xf numFmtId="2" fontId="4" fillId="24" borderId="4" xfId="0" applyNumberFormat="1" applyFont="1" applyFill="1" applyBorder="1" applyAlignment="1" applyProtection="1">
      <alignment horizontal="center" vertical="center" textRotation="90"/>
      <protection locked="0"/>
    </xf>
    <xf numFmtId="0" fontId="4" fillId="8" borderId="2" xfId="0" applyFont="1" applyFill="1" applyBorder="1" applyAlignment="1" applyProtection="1">
      <alignment horizontal="center" vertical="center" textRotation="90"/>
      <protection locked="0"/>
    </xf>
    <xf numFmtId="0" fontId="4" fillId="8" borderId="3" xfId="0" applyFont="1" applyFill="1" applyBorder="1" applyAlignment="1" applyProtection="1">
      <alignment horizontal="center" vertical="center" textRotation="90"/>
      <protection locked="0"/>
    </xf>
    <xf numFmtId="0" fontId="4" fillId="8" borderId="4" xfId="0" applyFont="1" applyFill="1" applyBorder="1" applyAlignment="1" applyProtection="1">
      <alignment horizontal="center" vertical="center" textRotation="90"/>
      <protection locked="0"/>
    </xf>
    <xf numFmtId="0" fontId="4" fillId="3" borderId="2" xfId="0" applyFont="1" applyFill="1" applyBorder="1" applyAlignment="1" applyProtection="1">
      <alignment horizontal="center" vertical="center" textRotation="90" wrapText="1"/>
      <protection locked="0"/>
    </xf>
    <xf numFmtId="0" fontId="4" fillId="3" borderId="3" xfId="0" applyFont="1" applyFill="1" applyBorder="1" applyAlignment="1" applyProtection="1">
      <alignment horizontal="center" vertical="center" textRotation="90" wrapText="1"/>
      <protection locked="0"/>
    </xf>
    <xf numFmtId="0" fontId="4" fillId="3" borderId="4" xfId="0" applyFont="1" applyFill="1" applyBorder="1" applyAlignment="1" applyProtection="1">
      <alignment horizontal="center" vertical="center" textRotation="90" wrapText="1"/>
      <protection locked="0"/>
    </xf>
    <xf numFmtId="0" fontId="14" fillId="5" borderId="1" xfId="0" applyFont="1" applyFill="1" applyBorder="1" applyAlignment="1" applyProtection="1">
      <alignment horizontal="center" vertical="center"/>
      <protection hidden="1"/>
    </xf>
    <xf numFmtId="0" fontId="25" fillId="12" borderId="1" xfId="9" applyNumberFormat="1" applyFont="1" applyFill="1" applyBorder="1" applyAlignment="1" applyProtection="1">
      <alignment horizontal="center" vertical="center" textRotation="90" wrapText="1"/>
      <protection locked="0"/>
    </xf>
    <xf numFmtId="0" fontId="24" fillId="11" borderId="1" xfId="9" applyNumberFormat="1" applyFont="1" applyFill="1" applyBorder="1" applyAlignment="1" applyProtection="1">
      <alignment horizontal="center" vertical="center" textRotation="90" wrapText="1"/>
      <protection locked="0"/>
    </xf>
    <xf numFmtId="0" fontId="25" fillId="12" borderId="4" xfId="9" applyNumberFormat="1" applyFont="1" applyFill="1" applyBorder="1" applyAlignment="1" applyProtection="1">
      <alignment horizontal="center" vertical="center" textRotation="90" wrapText="1"/>
      <protection locked="0"/>
    </xf>
    <xf numFmtId="0" fontId="4" fillId="14" borderId="1" xfId="0" applyFont="1" applyFill="1" applyBorder="1" applyAlignment="1" applyProtection="1">
      <alignment horizontal="center" vertical="center" wrapText="1"/>
      <protection locked="0"/>
    </xf>
    <xf numFmtId="0" fontId="4" fillId="14" borderId="5" xfId="0" applyFont="1" applyFill="1" applyBorder="1" applyAlignment="1" applyProtection="1">
      <alignment horizontal="center" vertical="center" wrapText="1"/>
      <protection locked="0"/>
    </xf>
    <xf numFmtId="0" fontId="4" fillId="14" borderId="15" xfId="0" applyFont="1" applyFill="1" applyBorder="1" applyAlignment="1" applyProtection="1">
      <alignment horizontal="center" vertical="center" wrapText="1"/>
      <protection locked="0"/>
    </xf>
    <xf numFmtId="0" fontId="4" fillId="14" borderId="8" xfId="0" applyFont="1" applyFill="1" applyBorder="1" applyAlignment="1" applyProtection="1">
      <alignment horizontal="center" vertical="center" wrapText="1"/>
      <protection locked="0"/>
    </xf>
    <xf numFmtId="0" fontId="4" fillId="14" borderId="7" xfId="0" applyFont="1" applyFill="1" applyBorder="1" applyAlignment="1" applyProtection="1">
      <alignment horizontal="center" vertical="center" wrapText="1"/>
      <protection locked="0"/>
    </xf>
    <xf numFmtId="0" fontId="4" fillId="14" borderId="0" xfId="0" applyFont="1" applyFill="1" applyBorder="1" applyAlignment="1" applyProtection="1">
      <alignment horizontal="center" vertical="center" wrapText="1"/>
      <protection locked="0"/>
    </xf>
    <xf numFmtId="0" fontId="4" fillId="14" borderId="16" xfId="0" applyFont="1" applyFill="1" applyBorder="1" applyAlignment="1" applyProtection="1">
      <alignment horizontal="center" vertical="center" wrapText="1"/>
      <protection locked="0"/>
    </xf>
    <xf numFmtId="0" fontId="59" fillId="0" borderId="26" xfId="0" applyFont="1" applyFill="1" applyBorder="1" applyAlignment="1" applyProtection="1">
      <alignment horizontal="center" vertical="center"/>
      <protection locked="0"/>
    </xf>
    <xf numFmtId="0" fontId="59" fillId="0" borderId="0" xfId="0" applyFont="1" applyFill="1" applyBorder="1" applyAlignment="1" applyProtection="1">
      <alignment horizontal="center" vertical="center"/>
      <protection locked="0"/>
    </xf>
    <xf numFmtId="0" fontId="75" fillId="0" borderId="0" xfId="0" applyFont="1" applyFill="1" applyBorder="1" applyAlignment="1" applyProtection="1">
      <alignment horizontal="center" vertical="top" wrapText="1"/>
    </xf>
    <xf numFmtId="0" fontId="75" fillId="0" borderId="16" xfId="0" applyFont="1" applyFill="1" applyBorder="1" applyAlignment="1" applyProtection="1">
      <alignment horizontal="center" vertical="top" wrapText="1"/>
    </xf>
    <xf numFmtId="0" fontId="0" fillId="0" borderId="5" xfId="0" applyFont="1" applyFill="1" applyBorder="1" applyAlignment="1" applyProtection="1">
      <alignment horizontal="center" vertical="center" wrapText="1"/>
    </xf>
    <xf numFmtId="0" fontId="0" fillId="0" borderId="15" xfId="0" applyFont="1" applyFill="1" applyBorder="1" applyAlignment="1" applyProtection="1">
      <alignment horizontal="center" vertical="center" wrapText="1"/>
    </xf>
    <xf numFmtId="0" fontId="0" fillId="0" borderId="8" xfId="0" applyFont="1" applyFill="1" applyBorder="1" applyAlignment="1" applyProtection="1">
      <alignment horizontal="center" vertical="center" wrapText="1"/>
    </xf>
    <xf numFmtId="0" fontId="0" fillId="0" borderId="6" xfId="0" applyFont="1" applyFill="1" applyBorder="1" applyAlignment="1" applyProtection="1">
      <alignment horizontal="center" vertical="center" wrapText="1"/>
    </xf>
    <xf numFmtId="0" fontId="0" fillId="0" borderId="13" xfId="0" applyFont="1" applyFill="1" applyBorder="1" applyAlignment="1" applyProtection="1">
      <alignment horizontal="center" vertical="center" wrapText="1"/>
    </xf>
    <xf numFmtId="0" fontId="0" fillId="0" borderId="9" xfId="0" applyFont="1" applyFill="1" applyBorder="1" applyAlignment="1" applyProtection="1">
      <alignment horizontal="center" vertical="center" wrapText="1"/>
    </xf>
    <xf numFmtId="0" fontId="4" fillId="14" borderId="4" xfId="0" applyFont="1" applyFill="1" applyBorder="1" applyAlignment="1" applyProtection="1">
      <alignment horizontal="center" vertical="center" wrapText="1"/>
      <protection locked="0"/>
    </xf>
    <xf numFmtId="0" fontId="4" fillId="13" borderId="3" xfId="0" applyFont="1" applyFill="1" applyBorder="1" applyAlignment="1" applyProtection="1">
      <alignment horizontal="center" vertical="center" textRotation="90" wrapText="1"/>
      <protection locked="0"/>
    </xf>
    <xf numFmtId="0" fontId="4" fillId="13" borderId="4" xfId="0" applyFont="1" applyFill="1" applyBorder="1" applyAlignment="1" applyProtection="1">
      <alignment horizontal="center" vertical="center" textRotation="90" wrapText="1"/>
      <protection locked="0"/>
    </xf>
    <xf numFmtId="0" fontId="25" fillId="12" borderId="1" xfId="9" applyNumberFormat="1" applyFont="1" applyFill="1" applyBorder="1" applyAlignment="1" applyProtection="1">
      <alignment horizontal="center" vertical="center" textRotation="90" wrapText="1"/>
      <protection hidden="1"/>
    </xf>
    <xf numFmtId="0" fontId="24" fillId="11" borderId="1" xfId="9" applyNumberFormat="1" applyFont="1" applyFill="1" applyBorder="1" applyAlignment="1" applyProtection="1">
      <alignment horizontal="center" vertical="center" textRotation="90" wrapText="1"/>
      <protection hidden="1"/>
    </xf>
    <xf numFmtId="0" fontId="25" fillId="12" borderId="4" xfId="9" applyNumberFormat="1" applyFont="1" applyFill="1" applyBorder="1" applyAlignment="1" applyProtection="1">
      <alignment horizontal="center" vertical="center" textRotation="90" wrapText="1"/>
      <protection hidden="1"/>
    </xf>
    <xf numFmtId="0" fontId="88" fillId="0" borderId="1" xfId="0" applyFont="1" applyFill="1" applyBorder="1" applyAlignment="1" applyProtection="1">
      <alignment horizontal="center" vertical="center" wrapText="1"/>
      <protection locked="0"/>
    </xf>
    <xf numFmtId="0" fontId="4" fillId="0" borderId="5" xfId="0" applyFont="1" applyFill="1" applyBorder="1" applyAlignment="1" applyProtection="1">
      <alignment horizontal="center" vertical="center" textRotation="90" wrapText="1"/>
      <protection locked="0"/>
    </xf>
    <xf numFmtId="0" fontId="4" fillId="0" borderId="7" xfId="0" applyFont="1" applyFill="1" applyBorder="1" applyAlignment="1" applyProtection="1">
      <alignment horizontal="center" vertical="center" textRotation="90" wrapText="1"/>
      <protection locked="0"/>
    </xf>
    <xf numFmtId="0" fontId="4" fillId="0" borderId="6" xfId="0" applyFont="1" applyFill="1" applyBorder="1" applyAlignment="1" applyProtection="1">
      <alignment horizontal="center" vertical="center" textRotation="90" wrapText="1"/>
      <protection locked="0"/>
    </xf>
    <xf numFmtId="0" fontId="0" fillId="0" borderId="0" xfId="0" applyFill="1" applyBorder="1" applyAlignment="1" applyProtection="1">
      <alignment horizontal="right"/>
      <protection locked="0"/>
    </xf>
    <xf numFmtId="0" fontId="5" fillId="0" borderId="15" xfId="0" applyFont="1" applyFill="1" applyBorder="1" applyAlignment="1" applyProtection="1">
      <alignment horizontal="left" vertical="center"/>
      <protection locked="0"/>
    </xf>
    <xf numFmtId="0" fontId="5" fillId="18" borderId="10" xfId="0" applyFont="1" applyFill="1" applyBorder="1" applyAlignment="1" applyProtection="1">
      <alignment horizontal="center"/>
      <protection locked="0"/>
    </xf>
    <xf numFmtId="0" fontId="5" fillId="18" borderId="12" xfId="0" applyFont="1" applyFill="1" applyBorder="1" applyAlignment="1" applyProtection="1">
      <alignment horizontal="center"/>
      <protection locked="0"/>
    </xf>
    <xf numFmtId="0" fontId="5" fillId="18" borderId="11" xfId="0" applyFont="1" applyFill="1" applyBorder="1" applyAlignment="1" applyProtection="1">
      <alignment horizontal="center"/>
      <protection locked="0"/>
    </xf>
    <xf numFmtId="0" fontId="5" fillId="19" borderId="10" xfId="0" applyFont="1" applyFill="1" applyBorder="1" applyAlignment="1" applyProtection="1">
      <alignment horizontal="left" vertical="center"/>
      <protection locked="0"/>
    </xf>
    <xf numFmtId="0" fontId="5" fillId="19" borderId="12" xfId="0" applyFont="1" applyFill="1" applyBorder="1" applyAlignment="1" applyProtection="1">
      <alignment horizontal="left" vertical="center"/>
      <protection locked="0"/>
    </xf>
    <xf numFmtId="0" fontId="5" fillId="19" borderId="11" xfId="0" applyFont="1" applyFill="1" applyBorder="1" applyAlignment="1" applyProtection="1">
      <alignment horizontal="left" vertical="center"/>
      <protection locked="0"/>
    </xf>
    <xf numFmtId="0" fontId="5" fillId="20" borderId="10" xfId="0" applyFont="1" applyFill="1" applyBorder="1" applyAlignment="1" applyProtection="1">
      <alignment horizontal="left" vertical="center"/>
      <protection locked="0"/>
    </xf>
    <xf numFmtId="0" fontId="5" fillId="20" borderId="12" xfId="0" applyFont="1" applyFill="1" applyBorder="1" applyAlignment="1" applyProtection="1">
      <alignment horizontal="left" vertical="center"/>
      <protection locked="0"/>
    </xf>
    <xf numFmtId="0" fontId="5" fillId="20" borderId="11" xfId="0" applyFont="1" applyFill="1" applyBorder="1" applyAlignment="1" applyProtection="1">
      <alignment horizontal="left" vertical="center"/>
      <protection locked="0"/>
    </xf>
    <xf numFmtId="0" fontId="0" fillId="8" borderId="23" xfId="0" applyFill="1" applyBorder="1" applyAlignment="1" applyProtection="1">
      <alignment horizontal="center"/>
    </xf>
    <xf numFmtId="0" fontId="0" fillId="8" borderId="24" xfId="0" applyFill="1" applyBorder="1" applyAlignment="1" applyProtection="1">
      <alignment horizontal="center"/>
    </xf>
    <xf numFmtId="0" fontId="0" fillId="8" borderId="25" xfId="0" applyFill="1" applyBorder="1" applyAlignment="1" applyProtection="1">
      <alignment horizontal="center"/>
    </xf>
    <xf numFmtId="0" fontId="34" fillId="0" borderId="4" xfId="0" applyFont="1" applyFill="1" applyBorder="1" applyAlignment="1" applyProtection="1">
      <alignment horizontal="center" textRotation="90" wrapText="1"/>
      <protection locked="0"/>
    </xf>
    <xf numFmtId="0" fontId="34" fillId="0" borderId="1" xfId="0" applyFont="1" applyFill="1" applyBorder="1" applyAlignment="1" applyProtection="1">
      <alignment horizontal="center" textRotation="90" wrapText="1"/>
      <protection locked="0"/>
    </xf>
    <xf numFmtId="0" fontId="34" fillId="0" borderId="3" xfId="0" applyFont="1" applyFill="1" applyBorder="1" applyAlignment="1" applyProtection="1">
      <alignment horizontal="center" textRotation="90" wrapText="1"/>
      <protection locked="0"/>
    </xf>
    <xf numFmtId="0" fontId="34" fillId="0" borderId="1" xfId="0" quotePrefix="1" applyFont="1" applyFill="1" applyBorder="1" applyAlignment="1" applyProtection="1">
      <alignment horizontal="center" textRotation="90" wrapText="1"/>
      <protection locked="0"/>
    </xf>
    <xf numFmtId="0" fontId="34" fillId="20" borderId="3" xfId="0" applyFont="1" applyFill="1" applyBorder="1" applyAlignment="1" applyProtection="1">
      <alignment horizontal="center" textRotation="90" wrapText="1"/>
      <protection locked="0"/>
    </xf>
    <xf numFmtId="0" fontId="34" fillId="20" borderId="4" xfId="0" applyFont="1" applyFill="1" applyBorder="1" applyAlignment="1" applyProtection="1">
      <alignment horizontal="center" textRotation="90" wrapText="1"/>
      <protection locked="0"/>
    </xf>
    <xf numFmtId="0" fontId="5" fillId="20" borderId="3" xfId="0" quotePrefix="1"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wrapText="1"/>
      <protection locked="0"/>
    </xf>
    <xf numFmtId="0" fontId="5" fillId="20" borderId="4" xfId="0" applyFont="1" applyFill="1" applyBorder="1" applyAlignment="1" applyProtection="1">
      <alignment horizontal="center" vertical="center"/>
      <protection locked="0"/>
    </xf>
    <xf numFmtId="0" fontId="6" fillId="20" borderId="3" xfId="0" applyFont="1" applyFill="1" applyBorder="1" applyAlignment="1" applyProtection="1">
      <alignment horizontal="center" vertical="center"/>
      <protection locked="0"/>
    </xf>
    <xf numFmtId="0" fontId="6" fillId="20" borderId="4" xfId="0"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5" fillId="8" borderId="0" xfId="0" applyFont="1" applyFill="1" applyAlignment="1" applyProtection="1">
      <alignment horizontal="left" vertical="center"/>
      <protection locked="0"/>
    </xf>
    <xf numFmtId="0" fontId="5" fillId="0" borderId="0" xfId="0" applyFont="1" applyBorder="1" applyAlignment="1" applyProtection="1">
      <alignment horizontal="left" vertical="center"/>
    </xf>
    <xf numFmtId="0" fontId="32" fillId="0" borderId="0" xfId="0" applyFont="1" applyAlignment="1" applyProtection="1">
      <alignment horizontal="right"/>
      <protection locked="0"/>
    </xf>
    <xf numFmtId="0" fontId="5" fillId="0" borderId="0" xfId="0" applyFont="1" applyBorder="1" applyAlignment="1" applyProtection="1">
      <alignment horizontal="left"/>
    </xf>
    <xf numFmtId="0" fontId="0" fillId="0" borderId="0" xfId="0" applyAlignment="1" applyProtection="1">
      <alignment horizontal="right"/>
      <protection locked="0"/>
    </xf>
    <xf numFmtId="0" fontId="0" fillId="0" borderId="16" xfId="0" applyBorder="1" applyAlignment="1" applyProtection="1">
      <alignment horizontal="right"/>
      <protection locked="0"/>
    </xf>
    <xf numFmtId="16" fontId="5" fillId="0" borderId="0" xfId="0" applyNumberFormat="1" applyFont="1" applyBorder="1" applyAlignment="1" applyProtection="1">
      <alignment horizontal="left" vertical="center"/>
    </xf>
    <xf numFmtId="0" fontId="5" fillId="0" borderId="0" xfId="0" applyFont="1" applyAlignment="1" applyProtection="1">
      <alignment horizontal="left"/>
    </xf>
    <xf numFmtId="0" fontId="5" fillId="0" borderId="0" xfId="0" applyFont="1" applyBorder="1" applyAlignment="1" applyProtection="1">
      <alignment horizontal="left"/>
      <protection locked="0"/>
    </xf>
    <xf numFmtId="0" fontId="32" fillId="0" borderId="0" xfId="0" applyFont="1" applyAlignment="1" applyProtection="1">
      <alignment horizontal="right"/>
    </xf>
    <xf numFmtId="0" fontId="31" fillId="0" borderId="17" xfId="0" applyFont="1" applyFill="1" applyBorder="1" applyAlignment="1" applyProtection="1">
      <alignment horizontal="center" vertical="center"/>
    </xf>
    <xf numFmtId="0" fontId="31" fillId="0" borderId="18" xfId="0" applyFont="1" applyFill="1" applyBorder="1" applyAlignment="1" applyProtection="1">
      <alignment horizontal="center" vertical="center"/>
    </xf>
    <xf numFmtId="0" fontId="31" fillId="0" borderId="19" xfId="0" applyFont="1" applyFill="1" applyBorder="1" applyAlignment="1" applyProtection="1">
      <alignment horizontal="center" vertical="center"/>
    </xf>
    <xf numFmtId="0" fontId="31" fillId="0" borderId="20" xfId="0" applyFont="1" applyFill="1" applyBorder="1" applyAlignment="1" applyProtection="1">
      <alignment horizontal="center" vertical="center"/>
    </xf>
    <xf numFmtId="0" fontId="31" fillId="0" borderId="21" xfId="0" applyFont="1" applyFill="1" applyBorder="1" applyAlignment="1" applyProtection="1">
      <alignment horizontal="center" vertical="center"/>
    </xf>
    <xf numFmtId="0" fontId="31" fillId="0" borderId="22" xfId="0" applyFont="1" applyFill="1" applyBorder="1" applyAlignment="1" applyProtection="1">
      <alignment horizontal="center" vertical="center"/>
    </xf>
    <xf numFmtId="0" fontId="5" fillId="19" borderId="1" xfId="0" applyFont="1" applyFill="1" applyBorder="1" applyAlignment="1" applyProtection="1">
      <alignment horizontal="left" vertical="center"/>
      <protection locked="0"/>
    </xf>
    <xf numFmtId="0" fontId="5" fillId="20" borderId="1" xfId="0" applyFont="1" applyFill="1" applyBorder="1" applyAlignment="1" applyProtection="1">
      <alignment horizontal="left" vertical="center"/>
      <protection locked="0"/>
    </xf>
    <xf numFmtId="0" fontId="5" fillId="18" borderId="1" xfId="0" applyFont="1" applyFill="1" applyBorder="1" applyAlignment="1" applyProtection="1">
      <alignment horizontal="center"/>
    </xf>
    <xf numFmtId="0" fontId="5" fillId="0" borderId="0" xfId="0" applyFont="1" applyFill="1" applyAlignment="1" applyProtection="1">
      <alignment horizontal="left" vertical="center"/>
    </xf>
    <xf numFmtId="0" fontId="5" fillId="0" borderId="2" xfId="0" applyFont="1" applyBorder="1" applyAlignment="1" applyProtection="1">
      <alignment horizontal="center" vertical="center"/>
    </xf>
    <xf numFmtId="0" fontId="5" fillId="0" borderId="3" xfId="0" applyFont="1" applyBorder="1" applyAlignment="1" applyProtection="1">
      <alignment horizontal="center" vertical="center"/>
    </xf>
    <xf numFmtId="0" fontId="5" fillId="0" borderId="4" xfId="0" applyFont="1" applyBorder="1" applyAlignment="1" applyProtection="1">
      <alignment horizontal="center" vertical="center"/>
    </xf>
    <xf numFmtId="0" fontId="34" fillId="0" borderId="1" xfId="0" applyFont="1" applyFill="1" applyBorder="1" applyAlignment="1" applyProtection="1">
      <alignment horizontal="center" textRotation="90" wrapText="1"/>
    </xf>
    <xf numFmtId="0" fontId="34" fillId="0" borderId="2" xfId="0" applyFont="1" applyFill="1" applyBorder="1" applyAlignment="1" applyProtection="1">
      <alignment horizontal="center" textRotation="90" wrapText="1"/>
    </xf>
    <xf numFmtId="0" fontId="34" fillId="0" borderId="4" xfId="0" applyFont="1" applyFill="1" applyBorder="1" applyAlignment="1" applyProtection="1">
      <alignment horizontal="center" textRotation="90" wrapText="1"/>
    </xf>
    <xf numFmtId="0" fontId="34" fillId="0" borderId="1" xfId="0" quotePrefix="1" applyFont="1" applyFill="1" applyBorder="1" applyAlignment="1" applyProtection="1">
      <alignment horizontal="center" textRotation="90" wrapText="1"/>
    </xf>
    <xf numFmtId="0" fontId="6" fillId="20" borderId="2" xfId="0" applyFont="1" applyFill="1" applyBorder="1" applyAlignment="1" applyProtection="1">
      <alignment horizontal="center" vertical="center"/>
    </xf>
    <xf numFmtId="0" fontId="6" fillId="20" borderId="4" xfId="0" applyFont="1" applyFill="1" applyBorder="1" applyAlignment="1" applyProtection="1">
      <alignment horizontal="center" vertical="center"/>
    </xf>
    <xf numFmtId="0" fontId="34" fillId="20" borderId="2" xfId="0" applyFont="1" applyFill="1" applyBorder="1" applyAlignment="1" applyProtection="1">
      <alignment horizontal="center" textRotation="90" wrapText="1"/>
    </xf>
    <xf numFmtId="0" fontId="34" fillId="20" borderId="4" xfId="0" applyFont="1" applyFill="1" applyBorder="1" applyAlignment="1" applyProtection="1">
      <alignment horizontal="center" textRotation="90" wrapText="1"/>
    </xf>
    <xf numFmtId="0" fontId="5" fillId="20" borderId="2" xfId="0" quotePrefix="1" applyFont="1" applyFill="1" applyBorder="1" applyAlignment="1" applyProtection="1">
      <alignment horizontal="center" vertical="center" wrapText="1"/>
    </xf>
    <xf numFmtId="0" fontId="5" fillId="20" borderId="4" xfId="0" applyFont="1" applyFill="1" applyBorder="1" applyAlignment="1" applyProtection="1">
      <alignment horizontal="center" vertical="center" wrapText="1"/>
    </xf>
  </cellXfs>
  <cellStyles count="12">
    <cellStyle name="Hyperlink" xfId="10" builtinId="8"/>
    <cellStyle name="Normal" xfId="0" builtinId="0"/>
    <cellStyle name="Normal 10" xfId="3"/>
    <cellStyle name="Normal 11" xfId="4"/>
    <cellStyle name="Normal 12" xfId="1"/>
    <cellStyle name="Normal 13" xfId="7"/>
    <cellStyle name="Normal 14" xfId="5"/>
    <cellStyle name="Normal 2" xfId="9"/>
    <cellStyle name="Normal 2 2" xfId="8"/>
    <cellStyle name="Normal 3" xfId="11"/>
    <cellStyle name="Normal 8" xfId="6"/>
    <cellStyle name="Normal 9" xfId="2"/>
  </cellStyles>
  <dxfs count="73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theme="9" tint="0.39994506668294322"/>
        </patternFill>
      </fill>
    </dxf>
    <dxf>
      <font>
        <color theme="0"/>
      </font>
      <fill>
        <patternFill>
          <bgColor rgb="FFFF00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s>
</file>

<file path=xl/ctrlProps/ctrlProp1.xml><?xml version="1.0" encoding="utf-8"?>
<formControlPr xmlns="http://schemas.microsoft.com/office/spreadsheetml/2009/9/main" objectType="Spin" dx="16" fmlaLink="$B$1" max="48" min="1" page="10"/>
</file>

<file path=xl/drawings/_rels/drawing1.xml.rels><?xml version="1.0" encoding="UTF-8" standalone="yes"?>
<Relationships xmlns="http://schemas.openxmlformats.org/package/2006/relationships"><Relationship Id="rId8" Type="http://schemas.openxmlformats.org/officeDocument/2006/relationships/hyperlink" Target="#LIHAT!A1"/><Relationship Id="rId13" Type="http://schemas.openxmlformats.org/officeDocument/2006/relationships/hyperlink" Target="#'form penilaian diri'!A1"/><Relationship Id="rId3" Type="http://schemas.openxmlformats.org/officeDocument/2006/relationships/hyperlink" Target="#'DATA SISWA'!A1"/><Relationship Id="rId7" Type="http://schemas.openxmlformats.org/officeDocument/2006/relationships/hyperlink" Target="#'Form NilKet'!A1"/><Relationship Id="rId12" Type="http://schemas.openxmlformats.org/officeDocument/2006/relationships/image" Target="../media/image1.png"/><Relationship Id="rId2" Type="http://schemas.openxmlformats.org/officeDocument/2006/relationships/hyperlink" Target="#'Input Nilai Ketrampilan'!A1"/><Relationship Id="rId1" Type="http://schemas.openxmlformats.org/officeDocument/2006/relationships/hyperlink" Target="#'Input Nilai Sikap'!A1"/><Relationship Id="rId6" Type="http://schemas.openxmlformats.org/officeDocument/2006/relationships/hyperlink" Target="#'Form Nilai Pengetahuan'!A1"/><Relationship Id="rId11" Type="http://schemas.openxmlformats.org/officeDocument/2006/relationships/hyperlink" Target="#UTSangka!A1"/><Relationship Id="rId5" Type="http://schemas.openxmlformats.org/officeDocument/2006/relationships/hyperlink" Target="#NILAI_JADI!A1"/><Relationship Id="rId15" Type="http://schemas.openxmlformats.org/officeDocument/2006/relationships/hyperlink" Target="#jurnal!A1"/><Relationship Id="rId10" Type="http://schemas.openxmlformats.org/officeDocument/2006/relationships/hyperlink" Target="#'FORM PORTOFOLIO'!A1"/><Relationship Id="rId4" Type="http://schemas.openxmlformats.org/officeDocument/2006/relationships/hyperlink" Target="#'Input Nilai Pengetahuan'!A1"/><Relationship Id="rId9" Type="http://schemas.openxmlformats.org/officeDocument/2006/relationships/hyperlink" Target="#KDOKE!A1"/><Relationship Id="rId14" Type="http://schemas.openxmlformats.org/officeDocument/2006/relationships/hyperlink" Target="#'form penilaian teman'!A1"/></Relationships>
</file>

<file path=xl/drawings/_rels/drawing2.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menu!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1" Type="http://schemas.openxmlformats.org/officeDocument/2006/relationships/hyperlink" Target="#menu!A1"/></Relationships>
</file>

<file path=xl/drawings/_rels/drawing6.xml.rels><?xml version="1.0" encoding="UTF-8" standalone="yes"?>
<Relationships xmlns="http://schemas.openxmlformats.org/package/2006/relationships"><Relationship Id="rId1" Type="http://schemas.openxmlformats.org/officeDocument/2006/relationships/hyperlink" Target="#menu!A1"/></Relationships>
</file>

<file path=xl/drawings/_rels/drawing7.xml.rels><?xml version="1.0" encoding="UTF-8" standalone="yes"?>
<Relationships xmlns="http://schemas.openxmlformats.org/package/2006/relationships"><Relationship Id="rId1" Type="http://schemas.openxmlformats.org/officeDocument/2006/relationships/hyperlink" Target="#menu!A1"/></Relationships>
</file>

<file path=xl/drawings/_rels/drawing8.xml.rels><?xml version="1.0" encoding="UTF-8" standalone="yes"?>
<Relationships xmlns="http://schemas.openxmlformats.org/package/2006/relationships"><Relationship Id="rId1" Type="http://schemas.openxmlformats.org/officeDocument/2006/relationships/hyperlink" Target="#menu!A1"/></Relationships>
</file>

<file path=xl/drawings/_rels/drawing9.xml.rels><?xml version="1.0" encoding="UTF-8" standalone="yes"?>
<Relationships xmlns="http://schemas.openxmlformats.org/package/2006/relationships"><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1" Type="http://schemas.openxmlformats.org/officeDocument/2006/relationships/hyperlink" Target="#menu!A1"/></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1" Type="http://schemas.openxmlformats.org/officeDocument/2006/relationships/hyperlink" Target="#menu!A1"/></Relationships>
</file>

<file path=xl/drawings/_rels/drawing13.xml.rels><?xml version="1.0" encoding="UTF-8" standalone="yes"?>
<Relationships xmlns="http://schemas.openxmlformats.org/package/2006/relationships"><Relationship Id="rId2" Type="http://schemas.openxmlformats.org/officeDocument/2006/relationships/hyperlink" Target="#'Input Nilai Ketrampilan'!A1"/><Relationship Id="rId1" Type="http://schemas.openxmlformats.org/officeDocument/2006/relationships/hyperlink" Target="#menu!A1"/></Relationships>
</file>

<file path=xl/drawings/_rels/drawing14.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hyperlink" Target="#'Input Nilai Ketrampilan'!A1"/></Relationships>
</file>

<file path=xl/drawings/_rels/drawing15.xml.rels><?xml version="1.0" encoding="UTF-8" standalone="yes"?>
<Relationships xmlns="http://schemas.openxmlformats.org/package/2006/relationships"><Relationship Id="rId1" Type="http://schemas.openxmlformats.org/officeDocument/2006/relationships/hyperlink" Target="#menu!A1"/></Relationships>
</file>

<file path=xl/drawings/_rels/drawing16.xml.rels><?xml version="1.0" encoding="UTF-8" standalone="yes"?>
<Relationships xmlns="http://schemas.openxmlformats.org/package/2006/relationships"><Relationship Id="rId1" Type="http://schemas.openxmlformats.org/officeDocument/2006/relationships/hyperlink" Target="#menu!A1"/></Relationships>
</file>

<file path=xl/drawings/_rels/drawing17.xml.rels><?xml version="1.0" encoding="UTF-8" standalone="yes"?>
<Relationships xmlns="http://schemas.openxmlformats.org/package/2006/relationships"><Relationship Id="rId8" Type="http://schemas.openxmlformats.org/officeDocument/2006/relationships/hyperlink" Target="#'Input Nilai Sikap'!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teman'!A1"/><Relationship Id="rId5" Type="http://schemas.openxmlformats.org/officeDocument/2006/relationships/image" Target="../media/image4.png"/><Relationship Id="rId4" Type="http://schemas.openxmlformats.org/officeDocument/2006/relationships/hyperlink" Target="#Sikap!D5"/><Relationship Id="rId9" Type="http://schemas.openxmlformats.org/officeDocument/2006/relationships/hyperlink" Target="#menu!A1"/></Relationships>
</file>

<file path=xl/drawings/_rels/drawing18.xml.rels><?xml version="1.0" encoding="UTF-8" standalone="yes"?>
<Relationships xmlns="http://schemas.openxmlformats.org/package/2006/relationships"><Relationship Id="rId1" Type="http://schemas.openxmlformats.org/officeDocument/2006/relationships/hyperlink" Target="#menu!A1"/></Relationships>
</file>

<file path=xl/drawings/_rels/drawing19.xml.rels><?xml version="1.0" encoding="UTF-8" standalone="yes"?>
<Relationships xmlns="http://schemas.openxmlformats.org/package/2006/relationships"><Relationship Id="rId1" Type="http://schemas.openxmlformats.org/officeDocument/2006/relationships/hyperlink" Target="#menu!A1"/></Relationships>
</file>

<file path=xl/drawings/_rels/drawing20.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hyperlink" Target="#'rekap observasi'!A1"/><Relationship Id="rId12"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observasi2!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image" Target="../media/image6.png"/></Relationships>
</file>

<file path=xl/drawings/_rels/drawing22.xml.rels><?xml version="1.0" encoding="UTF-8" standalone="yes"?>
<Relationships xmlns="http://schemas.openxmlformats.org/package/2006/relationships"><Relationship Id="rId8" Type="http://schemas.openxmlformats.org/officeDocument/2006/relationships/hyperlink" Target="#'Input Nilai Sikap'!A1"/><Relationship Id="rId13" Type="http://schemas.openxmlformats.org/officeDocument/2006/relationships/image" Target="../media/image5.png"/><Relationship Id="rId3" Type="http://schemas.openxmlformats.org/officeDocument/2006/relationships/hyperlink" Target="#'Menu Utama'!C3"/><Relationship Id="rId7" Type="http://schemas.openxmlformats.org/officeDocument/2006/relationships/hyperlink" Target="#observasi2!A1"/><Relationship Id="rId12" Type="http://schemas.openxmlformats.org/officeDocument/2006/relationships/hyperlink" Target="#'form penilaian diri'!A1"/><Relationship Id="rId2" Type="http://schemas.openxmlformats.org/officeDocument/2006/relationships/image" Target="../media/image3.png"/><Relationship Id="rId16" Type="http://schemas.openxmlformats.org/officeDocument/2006/relationships/hyperlink" Target="#menu!A1"/><Relationship Id="rId1" Type="http://schemas.openxmlformats.org/officeDocument/2006/relationships/hyperlink" Target="#'Menu Utama'!C3"/><Relationship Id="rId6" Type="http://schemas.openxmlformats.org/officeDocument/2006/relationships/hyperlink" Target="#observasi1!A1"/><Relationship Id="rId11" Type="http://schemas.openxmlformats.org/officeDocument/2006/relationships/hyperlink" Target="#Sikap!D5"/><Relationship Id="rId5" Type="http://schemas.openxmlformats.org/officeDocument/2006/relationships/image" Target="../media/image4.png"/><Relationship Id="rId15" Type="http://schemas.openxmlformats.org/officeDocument/2006/relationships/image" Target="../media/image6.png"/><Relationship Id="rId10" Type="http://schemas.openxmlformats.org/officeDocument/2006/relationships/hyperlink" Target="#'Menu Utama'!C3"/><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menu!A1"/></Relationships>
</file>

<file path=xl/drawings/_rels/drawing23.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 Utama'!C3"/><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0" Type="http://schemas.openxmlformats.org/officeDocument/2006/relationships/hyperlink" Target="#menu!A1"/><Relationship Id="rId4" Type="http://schemas.openxmlformats.org/officeDocument/2006/relationships/hyperlink" Target="#Sikap!D5"/><Relationship Id="rId9" Type="http://schemas.openxmlformats.org/officeDocument/2006/relationships/image" Target="../media/image6.png"/></Relationships>
</file>

<file path=xl/drawings/_rels/drawing24.xml.rels><?xml version="1.0" encoding="UTF-8" standalone="yes"?>
<Relationships xmlns="http://schemas.openxmlformats.org/package/2006/relationships"><Relationship Id="rId8" Type="http://schemas.openxmlformats.org/officeDocument/2006/relationships/hyperlink" Target="#'Menu Utama'!C3"/><Relationship Id="rId13" Type="http://schemas.openxmlformats.org/officeDocument/2006/relationships/image" Target="../media/image6.png"/><Relationship Id="rId3" Type="http://schemas.openxmlformats.org/officeDocument/2006/relationships/hyperlink" Target="#'Menu Utama'!C3"/><Relationship Id="rId7" Type="http://schemas.openxmlformats.org/officeDocument/2006/relationships/image" Target="../media/image5.png"/><Relationship Id="rId12" Type="http://schemas.openxmlformats.org/officeDocument/2006/relationships/hyperlink" Target="#menu!A1"/><Relationship Id="rId2" Type="http://schemas.openxmlformats.org/officeDocument/2006/relationships/image" Target="../media/image3.png"/><Relationship Id="rId1" Type="http://schemas.openxmlformats.org/officeDocument/2006/relationships/hyperlink" Target="#'Menu Utama'!C3"/><Relationship Id="rId6" Type="http://schemas.openxmlformats.org/officeDocument/2006/relationships/hyperlink" Target="#'form penilaian diri'!A1"/><Relationship Id="rId11" Type="http://schemas.openxmlformats.org/officeDocument/2006/relationships/hyperlink" Target="#'form penilaian diri'!A1"/><Relationship Id="rId5" Type="http://schemas.openxmlformats.org/officeDocument/2006/relationships/image" Target="../media/image4.png"/><Relationship Id="rId15" Type="http://schemas.openxmlformats.org/officeDocument/2006/relationships/hyperlink" Target="#menu!A1"/><Relationship Id="rId10" Type="http://schemas.openxmlformats.org/officeDocument/2006/relationships/hyperlink" Target="#Sikap!D5"/><Relationship Id="rId4" Type="http://schemas.openxmlformats.org/officeDocument/2006/relationships/hyperlink" Target="#Sikap!D5"/><Relationship Id="rId9" Type="http://schemas.openxmlformats.org/officeDocument/2006/relationships/hyperlink" Target="#'Menu Utama'!C3"/><Relationship Id="rId14" Type="http://schemas.openxmlformats.org/officeDocument/2006/relationships/hyperlink" Target="#'Input Nilai Sikap'!A1"/></Relationships>
</file>

<file path=xl/drawings/_rels/drawing25.xml.rels><?xml version="1.0" encoding="UTF-8" standalone="yes"?>
<Relationships xmlns="http://schemas.openxmlformats.org/package/2006/relationships"><Relationship Id="rId1" Type="http://schemas.openxmlformats.org/officeDocument/2006/relationships/hyperlink" Target="#menu!A1"/></Relationships>
</file>

<file path=xl/drawings/_rels/drawing26.xml.rels><?xml version="1.0" encoding="UTF-8" standalone="yes"?>
<Relationships xmlns="http://schemas.openxmlformats.org/package/2006/relationships"><Relationship Id="rId8" Type="http://schemas.openxmlformats.org/officeDocument/2006/relationships/hyperlink" Target="#menu!A1"/><Relationship Id="rId3" Type="http://schemas.openxmlformats.org/officeDocument/2006/relationships/hyperlink" Target="#menu!A1"/><Relationship Id="rId7" Type="http://schemas.openxmlformats.org/officeDocument/2006/relationships/hyperlink" Target="#menu!A1"/><Relationship Id="rId12" Type="http://schemas.openxmlformats.org/officeDocument/2006/relationships/hyperlink" Target="#menu!A1"/><Relationship Id="rId2" Type="http://schemas.openxmlformats.org/officeDocument/2006/relationships/hyperlink" Target="#'Input Nilai Ketrampilan'!A1"/><Relationship Id="rId1" Type="http://schemas.openxmlformats.org/officeDocument/2006/relationships/hyperlink" Target="#menu!A1"/><Relationship Id="rId6" Type="http://schemas.openxmlformats.org/officeDocument/2006/relationships/hyperlink" Target="#menu!A1"/><Relationship Id="rId11" Type="http://schemas.openxmlformats.org/officeDocument/2006/relationships/hyperlink" Target="#menu!A1"/><Relationship Id="rId5" Type="http://schemas.openxmlformats.org/officeDocument/2006/relationships/hyperlink" Target="#menu!A1"/><Relationship Id="rId10" Type="http://schemas.openxmlformats.org/officeDocument/2006/relationships/hyperlink" Target="#menu!A1"/><Relationship Id="rId4" Type="http://schemas.openxmlformats.org/officeDocument/2006/relationships/hyperlink" Target="#menu!A1"/><Relationship Id="rId9" Type="http://schemas.openxmlformats.org/officeDocument/2006/relationships/hyperlink" Target="#menu!A1"/></Relationships>
</file>

<file path=xl/drawings/_rels/drawing27.xml.rels><?xml version="1.0" encoding="UTF-8" standalone="yes"?>
<Relationships xmlns="http://schemas.openxmlformats.org/package/2006/relationships"><Relationship Id="rId1"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261936</xdr:colOff>
      <xdr:row>13</xdr:row>
      <xdr:rowOff>260237</xdr:rowOff>
    </xdr:from>
    <xdr:to>
      <xdr:col>13</xdr:col>
      <xdr:colOff>71437</xdr:colOff>
      <xdr:row>15</xdr:row>
      <xdr:rowOff>168362</xdr:rowOff>
    </xdr:to>
    <xdr:sp macro="" textlink="">
      <xdr:nvSpPr>
        <xdr:cNvPr id="2" name="Rounded Rectangle 1">
          <a:hlinkClick xmlns:r="http://schemas.openxmlformats.org/officeDocument/2006/relationships" r:id="rId1"/>
        </xdr:cNvPr>
        <xdr:cNvSpPr/>
      </xdr:nvSpPr>
      <xdr:spPr>
        <a:xfrm>
          <a:off x="4774405" y="3105831"/>
          <a:ext cx="4036220" cy="432000"/>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600" b="1" baseline="0">
              <a:solidFill>
                <a:schemeClr val="bg2">
                  <a:lumMod val="10000"/>
                </a:schemeClr>
              </a:solidFill>
            </a:rPr>
            <a:t>INPUT NILAI SIKAP SPIRITUAL DAN SOSIAL</a:t>
          </a:r>
          <a:endParaRPr lang="en-US" sz="1100" b="1" baseline="0">
            <a:solidFill>
              <a:schemeClr val="bg2">
                <a:lumMod val="10000"/>
              </a:schemeClr>
            </a:solidFill>
          </a:endParaRPr>
        </a:p>
      </xdr:txBody>
    </xdr:sp>
    <xdr:clientData/>
  </xdr:twoCellAnchor>
  <xdr:twoCellAnchor>
    <xdr:from>
      <xdr:col>10</xdr:col>
      <xdr:colOff>35718</xdr:colOff>
      <xdr:row>11</xdr:row>
      <xdr:rowOff>252414</xdr:rowOff>
    </xdr:from>
    <xdr:to>
      <xdr:col>13</xdr:col>
      <xdr:colOff>38101</xdr:colOff>
      <xdr:row>13</xdr:row>
      <xdr:rowOff>160539</xdr:rowOff>
    </xdr:to>
    <xdr:sp macro="" textlink="">
      <xdr:nvSpPr>
        <xdr:cNvPr id="9" name="Rounded Rectangle 8">
          <a:hlinkClick xmlns:r="http://schemas.openxmlformats.org/officeDocument/2006/relationships" r:id="rId2"/>
        </xdr:cNvPr>
        <xdr:cNvSpPr/>
      </xdr:nvSpPr>
      <xdr:spPr>
        <a:xfrm>
          <a:off x="6917531" y="2574133"/>
          <a:ext cx="1859758" cy="432000"/>
        </a:xfrm>
        <a:prstGeom prst="roundRect">
          <a:avLst/>
        </a:prstGeom>
      </xdr:spPr>
      <xdr:style>
        <a:lnRef idx="0">
          <a:schemeClr val="accent4"/>
        </a:lnRef>
        <a:fillRef idx="3">
          <a:schemeClr val="accent4"/>
        </a:fillRef>
        <a:effectRef idx="3">
          <a:schemeClr val="accent4"/>
        </a:effectRef>
        <a:fontRef idx="minor">
          <a:schemeClr val="lt1"/>
        </a:fontRef>
      </xdr:style>
      <xdr:txBody>
        <a:bodyPr rtlCol="0" anchor="ctr"/>
        <a:lstStyle/>
        <a:p>
          <a:pPr algn="ctr"/>
          <a:r>
            <a:rPr lang="en-US" sz="1100" b="1"/>
            <a:t>INPUT  NILAI KETRAMPILAN</a:t>
          </a:r>
        </a:p>
      </xdr:txBody>
    </xdr:sp>
    <xdr:clientData/>
  </xdr:twoCellAnchor>
  <xdr:twoCellAnchor>
    <xdr:from>
      <xdr:col>6</xdr:col>
      <xdr:colOff>233361</xdr:colOff>
      <xdr:row>5</xdr:row>
      <xdr:rowOff>170597</xdr:rowOff>
    </xdr:from>
    <xdr:to>
      <xdr:col>9</xdr:col>
      <xdr:colOff>440532</xdr:colOff>
      <xdr:row>9</xdr:row>
      <xdr:rowOff>95250</xdr:rowOff>
    </xdr:to>
    <xdr:sp macro="" textlink="">
      <xdr:nvSpPr>
        <xdr:cNvPr id="10" name="Rounded Rectangle 9">
          <a:hlinkClick xmlns:r="http://schemas.openxmlformats.org/officeDocument/2006/relationships" r:id="rId3"/>
        </xdr:cNvPr>
        <xdr:cNvSpPr/>
      </xdr:nvSpPr>
      <xdr:spPr>
        <a:xfrm>
          <a:off x="4710111" y="1742222"/>
          <a:ext cx="1969296" cy="972403"/>
        </a:xfrm>
        <a:prstGeom prst="roundRect">
          <a:avLst/>
        </a:prstGeom>
      </xdr:spPr>
      <xdr:style>
        <a:lnRef idx="3">
          <a:schemeClr val="lt1"/>
        </a:lnRef>
        <a:fillRef idx="1">
          <a:schemeClr val="dk1"/>
        </a:fillRef>
        <a:effectRef idx="1">
          <a:schemeClr val="dk1"/>
        </a:effectRef>
        <a:fontRef idx="minor">
          <a:schemeClr val="lt1"/>
        </a:fontRef>
      </xdr:style>
      <xdr:txBody>
        <a:bodyPr rtlCol="0" anchor="ctr"/>
        <a:lstStyle/>
        <a:p>
          <a:pPr algn="ctr"/>
          <a:r>
            <a:rPr lang="en-US" sz="2000"/>
            <a:t>INPUT</a:t>
          </a:r>
        </a:p>
        <a:p>
          <a:pPr algn="ctr"/>
          <a:r>
            <a:rPr lang="en-US" sz="2000"/>
            <a:t>DATA</a:t>
          </a:r>
          <a:r>
            <a:rPr lang="en-US" sz="2000" baseline="0"/>
            <a:t> SISWA</a:t>
          </a:r>
        </a:p>
      </xdr:txBody>
    </xdr:sp>
    <xdr:clientData/>
  </xdr:twoCellAnchor>
  <xdr:twoCellAnchor>
    <xdr:from>
      <xdr:col>6</xdr:col>
      <xdr:colOff>260318</xdr:colOff>
      <xdr:row>12</xdr:row>
      <xdr:rowOff>4084</xdr:rowOff>
    </xdr:from>
    <xdr:to>
      <xdr:col>9</xdr:col>
      <xdr:colOff>362018</xdr:colOff>
      <xdr:row>13</xdr:row>
      <xdr:rowOff>174146</xdr:rowOff>
    </xdr:to>
    <xdr:sp macro="" textlink="">
      <xdr:nvSpPr>
        <xdr:cNvPr id="12" name="Rounded Rectangle 11">
          <a:hlinkClick xmlns:r="http://schemas.openxmlformats.org/officeDocument/2006/relationships" r:id="rId4"/>
        </xdr:cNvPr>
        <xdr:cNvSpPr/>
      </xdr:nvSpPr>
      <xdr:spPr>
        <a:xfrm>
          <a:off x="4880654" y="3216994"/>
          <a:ext cx="1878752" cy="42595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b="1"/>
            <a:t>INPUT  NILAI PENGETAHUAN</a:t>
          </a:r>
        </a:p>
      </xdr:txBody>
    </xdr:sp>
    <xdr:clientData/>
  </xdr:twoCellAnchor>
  <xdr:twoCellAnchor>
    <xdr:from>
      <xdr:col>10</xdr:col>
      <xdr:colOff>620144</xdr:colOff>
      <xdr:row>18</xdr:row>
      <xdr:rowOff>54429</xdr:rowOff>
    </xdr:from>
    <xdr:to>
      <xdr:col>13</xdr:col>
      <xdr:colOff>0</xdr:colOff>
      <xdr:row>21</xdr:row>
      <xdr:rowOff>122465</xdr:rowOff>
    </xdr:to>
    <xdr:sp macro="" textlink="">
      <xdr:nvSpPr>
        <xdr:cNvPr id="17" name="Rounded Rectangle 16">
          <a:hlinkClick xmlns:r="http://schemas.openxmlformats.org/officeDocument/2006/relationships" r:id="rId5"/>
        </xdr:cNvPr>
        <xdr:cNvSpPr/>
      </xdr:nvSpPr>
      <xdr:spPr>
        <a:xfrm>
          <a:off x="7532573" y="4163786"/>
          <a:ext cx="1230427" cy="76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chemeClr val="tx1">
                  <a:lumMod val="95000"/>
                  <a:lumOff val="5000"/>
                </a:schemeClr>
              </a:solidFill>
            </a:rPr>
            <a:t>SETOR UNTUK </a:t>
          </a:r>
          <a:r>
            <a:rPr lang="en-US" sz="1100" b="1" baseline="0">
              <a:solidFill>
                <a:schemeClr val="tx1">
                  <a:lumMod val="95000"/>
                  <a:lumOff val="5000"/>
                </a:schemeClr>
              </a:solidFill>
            </a:rPr>
            <a:t>RAPORT SEMESTER</a:t>
          </a:r>
          <a:endParaRPr lang="id-ID" sz="1100" b="1">
            <a:solidFill>
              <a:schemeClr val="tx1">
                <a:lumMod val="95000"/>
                <a:lumOff val="5000"/>
              </a:schemeClr>
            </a:solidFill>
          </a:endParaRPr>
        </a:p>
      </xdr:txBody>
    </xdr:sp>
    <xdr:clientData/>
  </xdr:twoCellAnchor>
  <xdr:twoCellAnchor>
    <xdr:from>
      <xdr:col>16</xdr:col>
      <xdr:colOff>432028</xdr:colOff>
      <xdr:row>10</xdr:row>
      <xdr:rowOff>214312</xdr:rowOff>
    </xdr:from>
    <xdr:to>
      <xdr:col>17</xdr:col>
      <xdr:colOff>1488282</xdr:colOff>
      <xdr:row>13</xdr:row>
      <xdr:rowOff>130969</xdr:rowOff>
    </xdr:to>
    <xdr:sp macro="" textlink="">
      <xdr:nvSpPr>
        <xdr:cNvPr id="23" name="Rounded Rectangle 22">
          <a:hlinkClick xmlns:r="http://schemas.openxmlformats.org/officeDocument/2006/relationships" r:id="rId6"/>
        </xdr:cNvPr>
        <xdr:cNvSpPr/>
      </xdr:nvSpPr>
      <xdr:spPr>
        <a:xfrm>
          <a:off x="10742841" y="3095625"/>
          <a:ext cx="1663472" cy="702469"/>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a:t>FORM PENILAIAN PENGETAHUAN  </a:t>
          </a:r>
          <a:endParaRPr lang="en-US" sz="1400"/>
        </a:p>
      </xdr:txBody>
    </xdr:sp>
    <xdr:clientData/>
  </xdr:twoCellAnchor>
  <xdr:twoCellAnchor>
    <xdr:from>
      <xdr:col>17</xdr:col>
      <xdr:colOff>1726407</xdr:colOff>
      <xdr:row>10</xdr:row>
      <xdr:rowOff>187439</xdr:rowOff>
    </xdr:from>
    <xdr:to>
      <xdr:col>17</xdr:col>
      <xdr:colOff>3417094</xdr:colOff>
      <xdr:row>13</xdr:row>
      <xdr:rowOff>130969</xdr:rowOff>
    </xdr:to>
    <xdr:sp macro="" textlink="">
      <xdr:nvSpPr>
        <xdr:cNvPr id="24" name="Rounded Rectangle 23">
          <a:hlinkClick xmlns:r="http://schemas.openxmlformats.org/officeDocument/2006/relationships" r:id="rId7"/>
        </xdr:cNvPr>
        <xdr:cNvSpPr/>
      </xdr:nvSpPr>
      <xdr:spPr>
        <a:xfrm>
          <a:off x="12644438" y="3068752"/>
          <a:ext cx="1690687" cy="729342"/>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400"/>
            <a:t>FORM PENILAIAN KETRAMPILAN  </a:t>
          </a:r>
          <a:endParaRPr lang="en-US" sz="1400"/>
        </a:p>
      </xdr:txBody>
    </xdr:sp>
    <xdr:clientData/>
  </xdr:twoCellAnchor>
  <xdr:twoCellAnchor>
    <xdr:from>
      <xdr:col>7</xdr:col>
      <xdr:colOff>18709</xdr:colOff>
      <xdr:row>18</xdr:row>
      <xdr:rowOff>27215</xdr:rowOff>
    </xdr:from>
    <xdr:to>
      <xdr:col>8</xdr:col>
      <xdr:colOff>313634</xdr:colOff>
      <xdr:row>21</xdr:row>
      <xdr:rowOff>95253</xdr:rowOff>
    </xdr:to>
    <xdr:sp macro="" textlink="">
      <xdr:nvSpPr>
        <xdr:cNvPr id="26" name="Rounded Rectangle 25">
          <a:hlinkClick xmlns:r="http://schemas.openxmlformats.org/officeDocument/2006/relationships" r:id="rId8"/>
        </xdr:cNvPr>
        <xdr:cNvSpPr/>
      </xdr:nvSpPr>
      <xdr:spPr>
        <a:xfrm>
          <a:off x="4808423" y="4136572"/>
          <a:ext cx="1192997" cy="762002"/>
        </a:xfrm>
        <a:prstGeom prst="roundRect">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1"/>
            <a:t>LIHAT</a:t>
          </a:r>
          <a:r>
            <a:rPr lang="id-ID" sz="1400" b="1" baseline="0"/>
            <a:t> NILAI </a:t>
          </a:r>
          <a:r>
            <a:rPr lang="en-US" sz="1400" b="1" baseline="0"/>
            <a:t>TIAP SISWA</a:t>
          </a:r>
          <a:endParaRPr lang="id-ID" sz="1400" b="1"/>
        </a:p>
      </xdr:txBody>
    </xdr:sp>
    <xdr:clientData/>
  </xdr:twoCellAnchor>
  <xdr:twoCellAnchor>
    <xdr:from>
      <xdr:col>10</xdr:col>
      <xdr:colOff>212610</xdr:colOff>
      <xdr:row>5</xdr:row>
      <xdr:rowOff>186255</xdr:rowOff>
    </xdr:from>
    <xdr:to>
      <xdr:col>12</xdr:col>
      <xdr:colOff>593610</xdr:colOff>
      <xdr:row>9</xdr:row>
      <xdr:rowOff>97049</xdr:rowOff>
    </xdr:to>
    <xdr:sp macro="" textlink="">
      <xdr:nvSpPr>
        <xdr:cNvPr id="18" name="Round Diagonal Corner Rectangle 17">
          <a:hlinkClick xmlns:r="http://schemas.openxmlformats.org/officeDocument/2006/relationships" r:id="rId9"/>
        </xdr:cNvPr>
        <xdr:cNvSpPr/>
      </xdr:nvSpPr>
      <xdr:spPr>
        <a:xfrm>
          <a:off x="7221304" y="1607897"/>
          <a:ext cx="1617828" cy="934376"/>
        </a:xfrm>
        <a:prstGeom prst="round2DiagRect">
          <a:avLst/>
        </a:prstGeom>
        <a:solidFill>
          <a:schemeClr val="tx2"/>
        </a:solidFill>
        <a:effectLst>
          <a:outerShdw blurRad="50800" dist="50800" dir="5400000" sx="106000" sy="106000" algn="ctr" rotWithShape="0">
            <a:schemeClr val="tx1"/>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400" b="1"/>
            <a:t>ISIAN</a:t>
          </a:r>
          <a:r>
            <a:rPr lang="en-US" sz="1400" b="1" baseline="0"/>
            <a:t> KOMPETENSI DASAR SESUAI MAPEL</a:t>
          </a:r>
          <a:endParaRPr lang="en-US" sz="1400" b="1"/>
        </a:p>
      </xdr:txBody>
    </xdr:sp>
    <xdr:clientData/>
  </xdr:twoCellAnchor>
  <xdr:twoCellAnchor>
    <xdr:from>
      <xdr:col>16</xdr:col>
      <xdr:colOff>428625</xdr:colOff>
      <xdr:row>13</xdr:row>
      <xdr:rowOff>220778</xdr:rowOff>
    </xdr:from>
    <xdr:to>
      <xdr:col>17</xdr:col>
      <xdr:colOff>1512095</xdr:colOff>
      <xdr:row>16</xdr:row>
      <xdr:rowOff>142875</xdr:rowOff>
    </xdr:to>
    <xdr:sp macro="" textlink="">
      <xdr:nvSpPr>
        <xdr:cNvPr id="15" name="Rounded Rectangle 14">
          <a:hlinkClick xmlns:r="http://schemas.openxmlformats.org/officeDocument/2006/relationships" r:id="rId10"/>
        </xdr:cNvPr>
        <xdr:cNvSpPr/>
      </xdr:nvSpPr>
      <xdr:spPr>
        <a:xfrm>
          <a:off x="10739438" y="3887903"/>
          <a:ext cx="1690688" cy="707910"/>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PENILAIAN </a:t>
          </a:r>
          <a:r>
            <a:rPr lang="en-US" sz="1400"/>
            <a:t>PORTOFOLIO</a:t>
          </a:r>
          <a:r>
            <a:rPr lang="id-ID" sz="1400"/>
            <a:t>  </a:t>
          </a:r>
          <a:endParaRPr lang="en-US" sz="1400"/>
        </a:p>
      </xdr:txBody>
    </xdr:sp>
    <xdr:clientData/>
  </xdr:twoCellAnchor>
  <xdr:oneCellAnchor>
    <xdr:from>
      <xdr:col>6</xdr:col>
      <xdr:colOff>231585</xdr:colOff>
      <xdr:row>3</xdr:row>
      <xdr:rowOff>80168</xdr:rowOff>
    </xdr:from>
    <xdr:ext cx="4112024" cy="342786"/>
    <xdr:sp macro="" textlink="">
      <xdr:nvSpPr>
        <xdr:cNvPr id="25" name="Rectangle 24"/>
        <xdr:cNvSpPr/>
      </xdr:nvSpPr>
      <xdr:spPr>
        <a:xfrm>
          <a:off x="4851921" y="1117967"/>
          <a:ext cx="4112024" cy="342786"/>
        </a:xfrm>
        <a:prstGeom prst="rect">
          <a:avLst/>
        </a:prstGeom>
        <a:solidFill>
          <a:schemeClr val="bg2">
            <a:lumMod val="25000"/>
          </a:schemeClr>
        </a:solidFill>
        <a:ln w="28575">
          <a:solidFill>
            <a:schemeClr val="accent6">
              <a:lumMod val="20000"/>
              <a:lumOff val="80000"/>
            </a:schemeClr>
          </a:solidFill>
        </a:ln>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16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ISIAN NAMA SISWA DAN KOMPETENSI DASAR</a:t>
          </a:r>
        </a:p>
      </xdr:txBody>
    </xdr:sp>
    <xdr:clientData/>
  </xdr:oneCellAnchor>
  <xdr:oneCellAnchor>
    <xdr:from>
      <xdr:col>6</xdr:col>
      <xdr:colOff>227464</xdr:colOff>
      <xdr:row>10</xdr:row>
      <xdr:rowOff>75550</xdr:rowOff>
    </xdr:from>
    <xdr:ext cx="4032802" cy="311496"/>
    <xdr:sp macro="" textlink="">
      <xdr:nvSpPr>
        <xdr:cNvPr id="27" name="Rectangle 26"/>
        <xdr:cNvSpPr/>
      </xdr:nvSpPr>
      <xdr:spPr>
        <a:xfrm>
          <a:off x="4847800" y="2776669"/>
          <a:ext cx="4032802" cy="311496"/>
        </a:xfrm>
        <a:prstGeom prst="rect">
          <a:avLst/>
        </a:prstGeom>
        <a:ln w="28575">
          <a:solidFill>
            <a:schemeClr val="tx1"/>
          </a:solidFill>
        </a:ln>
      </xdr:spPr>
      <xdr:style>
        <a:lnRef idx="2">
          <a:schemeClr val="accent6"/>
        </a:lnRef>
        <a:fillRef idx="1002">
          <a:schemeClr val="dk2"/>
        </a:fillRef>
        <a:effectRef idx="0">
          <a:schemeClr val="accent6"/>
        </a:effectRef>
        <a:fontRef idx="minor">
          <a:schemeClr val="dk1"/>
        </a:fontRef>
      </xdr:style>
      <xdr:txBody>
        <a:bodyPr wrap="square" lIns="91440" tIns="45720" rIns="91440" bIns="45720">
          <a:spAutoFit/>
        </a:bodyPr>
        <a:lstStyle/>
        <a:p>
          <a:pPr algn="ctr"/>
          <a:r>
            <a:rPr lang="en-US" sz="1400" b="1" cap="none" spc="0">
              <a:ln>
                <a:noFill/>
              </a:ln>
              <a:solidFill>
                <a:srgbClr val="FF0000"/>
              </a:solidFill>
              <a:effectLst/>
            </a:rPr>
            <a:t>ISIAN NILAI</a:t>
          </a:r>
        </a:p>
      </xdr:txBody>
    </xdr:sp>
    <xdr:clientData/>
  </xdr:oneCellAnchor>
  <xdr:twoCellAnchor>
    <xdr:from>
      <xdr:col>8</xdr:col>
      <xdr:colOff>477267</xdr:colOff>
      <xdr:row>18</xdr:row>
      <xdr:rowOff>54429</xdr:rowOff>
    </xdr:from>
    <xdr:to>
      <xdr:col>10</xdr:col>
      <xdr:colOff>462642</xdr:colOff>
      <xdr:row>21</xdr:row>
      <xdr:rowOff>108857</xdr:rowOff>
    </xdr:to>
    <xdr:sp macro="" textlink="">
      <xdr:nvSpPr>
        <xdr:cNvPr id="28" name="Rounded Rectangle 27">
          <a:hlinkClick xmlns:r="http://schemas.openxmlformats.org/officeDocument/2006/relationships" r:id="rId11"/>
        </xdr:cNvPr>
        <xdr:cNvSpPr/>
      </xdr:nvSpPr>
      <xdr:spPr>
        <a:xfrm>
          <a:off x="6165053" y="4163786"/>
          <a:ext cx="1210018" cy="748392"/>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solidFill>
                <a:srgbClr val="FFFF00"/>
              </a:solidFill>
            </a:rPr>
            <a:t>SETOR </a:t>
          </a:r>
          <a:r>
            <a:rPr lang="en-US" sz="1200" b="1" baseline="0">
              <a:solidFill>
                <a:srgbClr val="FFFF00"/>
              </a:solidFill>
            </a:rPr>
            <a:t>UNTUK RAPORT UTS</a:t>
          </a:r>
          <a:endParaRPr lang="id-ID" sz="1200" b="1">
            <a:solidFill>
              <a:srgbClr val="FFFF00"/>
            </a:solidFill>
          </a:endParaRPr>
        </a:p>
      </xdr:txBody>
    </xdr:sp>
    <xdr:clientData/>
  </xdr:twoCellAnchor>
  <xdr:oneCellAnchor>
    <xdr:from>
      <xdr:col>6</xdr:col>
      <xdr:colOff>258537</xdr:colOff>
      <xdr:row>16</xdr:row>
      <xdr:rowOff>102762</xdr:rowOff>
    </xdr:from>
    <xdr:ext cx="3973286" cy="342786"/>
    <xdr:sp macro="" textlink="">
      <xdr:nvSpPr>
        <xdr:cNvPr id="29" name="Rectangle 28"/>
        <xdr:cNvSpPr/>
      </xdr:nvSpPr>
      <xdr:spPr>
        <a:xfrm>
          <a:off x="4776108" y="3695048"/>
          <a:ext cx="3973286" cy="34278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spAutoFit/>
        </a:bodyPr>
        <a:lstStyle/>
        <a:p>
          <a:pPr algn="ctr"/>
          <a:r>
            <a:rPr lang="en-US" sz="1600" b="1" cap="none" spc="0">
              <a:ln>
                <a:noFill/>
              </a:ln>
              <a:solidFill>
                <a:schemeClr val="bg1"/>
              </a:solidFill>
              <a:effectLst/>
            </a:rPr>
            <a:t>SETORAN,</a:t>
          </a:r>
          <a:r>
            <a:rPr lang="en-US" sz="1600" b="1" cap="none" spc="0" baseline="0">
              <a:ln>
                <a:noFill/>
              </a:ln>
              <a:solidFill>
                <a:schemeClr val="bg1"/>
              </a:solidFill>
              <a:effectLst/>
            </a:rPr>
            <a:t> </a:t>
          </a:r>
          <a:r>
            <a:rPr lang="en-US" sz="1600" b="1" cap="none" spc="0">
              <a:ln>
                <a:noFill/>
              </a:ln>
              <a:solidFill>
                <a:schemeClr val="bg1"/>
              </a:solidFill>
              <a:effectLst/>
            </a:rPr>
            <a:t>CHECKING NILAI UTS DAN UAS</a:t>
          </a:r>
        </a:p>
      </xdr:txBody>
    </xdr:sp>
    <xdr:clientData/>
  </xdr:oneCellAnchor>
  <xdr:twoCellAnchor editAs="oneCell">
    <xdr:from>
      <xdr:col>1</xdr:col>
      <xdr:colOff>120196</xdr:colOff>
      <xdr:row>0</xdr:row>
      <xdr:rowOff>2268</xdr:rowOff>
    </xdr:from>
    <xdr:to>
      <xdr:col>1</xdr:col>
      <xdr:colOff>1154339</xdr:colOff>
      <xdr:row>2</xdr:row>
      <xdr:rowOff>83911</xdr:rowOff>
    </xdr:to>
    <xdr:pic>
      <xdr:nvPicPr>
        <xdr:cNvPr id="31" name="Picture 30" descr="logo_kementerian_agama.png"/>
        <xdr:cNvPicPr>
          <a:picLocks noChangeAspect="1"/>
        </xdr:cNvPicPr>
      </xdr:nvPicPr>
      <xdr:blipFill>
        <a:blip xmlns:r="http://schemas.openxmlformats.org/officeDocument/2006/relationships" r:embed="rId12" cstate="print"/>
        <a:stretch>
          <a:fillRect/>
        </a:stretch>
      </xdr:blipFill>
      <xdr:spPr>
        <a:xfrm>
          <a:off x="326571" y="2268"/>
          <a:ext cx="1034143" cy="1031875"/>
        </a:xfrm>
        <a:prstGeom prst="rect">
          <a:avLst/>
        </a:prstGeom>
        <a:effectLst>
          <a:glow rad="228600">
            <a:schemeClr val="accent3">
              <a:satMod val="175000"/>
              <a:alpha val="40000"/>
            </a:schemeClr>
          </a:glow>
        </a:effectLst>
      </xdr:spPr>
    </xdr:pic>
    <xdr:clientData/>
  </xdr:twoCellAnchor>
  <xdr:oneCellAnchor>
    <xdr:from>
      <xdr:col>14</xdr:col>
      <xdr:colOff>130968</xdr:colOff>
      <xdr:row>10</xdr:row>
      <xdr:rowOff>238126</xdr:rowOff>
    </xdr:from>
    <xdr:ext cx="1333501" cy="2547936"/>
    <xdr:sp macro="" textlink="">
      <xdr:nvSpPr>
        <xdr:cNvPr id="19" name="Rectangle 18"/>
        <xdr:cNvSpPr/>
      </xdr:nvSpPr>
      <xdr:spPr>
        <a:xfrm>
          <a:off x="9227343" y="3119439"/>
          <a:ext cx="1333501" cy="2547936"/>
        </a:xfrm>
        <a:prstGeom prst="rect">
          <a:avLst/>
        </a:prstGeom>
        <a:ln/>
      </xdr:spPr>
      <xdr:style>
        <a:lnRef idx="3">
          <a:schemeClr val="lt1"/>
        </a:lnRef>
        <a:fillRef idx="1">
          <a:schemeClr val="accent4"/>
        </a:fillRef>
        <a:effectRef idx="1">
          <a:schemeClr val="accent4"/>
        </a:effectRef>
        <a:fontRef idx="minor">
          <a:schemeClr val="lt1"/>
        </a:fontRef>
      </xdr:style>
      <xdr:txBody>
        <a:bodyPr wrap="square" lIns="91440" tIns="45720" rIns="91440" bIns="45720" anchor="ctr">
          <a:noAutofit/>
        </a:bodyPr>
        <a:lstStyle/>
        <a:p>
          <a:pPr algn="ctr"/>
          <a:r>
            <a:rPr lang="en-US" sz="2000" b="1" cap="none" spc="0">
              <a:ln>
                <a:noFill/>
              </a:ln>
              <a:solidFill>
                <a:schemeClr val="bg1"/>
              </a:solidFill>
              <a:effectLst/>
            </a:rPr>
            <a:t>CONTOH</a:t>
          </a:r>
          <a:r>
            <a:rPr lang="en-US" sz="2000" b="1" cap="none" spc="0" baseline="0">
              <a:ln>
                <a:noFill/>
              </a:ln>
              <a:solidFill>
                <a:schemeClr val="bg1"/>
              </a:solidFill>
              <a:effectLst/>
            </a:rPr>
            <a:t> FORM UNTUK CETAK</a:t>
          </a:r>
          <a:endParaRPr lang="en-US" sz="2000" b="1" cap="none" spc="0">
            <a:ln>
              <a:noFill/>
            </a:ln>
            <a:solidFill>
              <a:schemeClr val="bg1"/>
            </a:solidFill>
            <a:effectLst/>
          </a:endParaRPr>
        </a:p>
      </xdr:txBody>
    </xdr:sp>
    <xdr:clientData/>
  </xdr:oneCellAnchor>
  <xdr:twoCellAnchor>
    <xdr:from>
      <xdr:col>17</xdr:col>
      <xdr:colOff>1738313</xdr:colOff>
      <xdr:row>13</xdr:row>
      <xdr:rowOff>241942</xdr:rowOff>
    </xdr:from>
    <xdr:to>
      <xdr:col>17</xdr:col>
      <xdr:colOff>3422601</xdr:colOff>
      <xdr:row>16</xdr:row>
      <xdr:rowOff>154780</xdr:rowOff>
    </xdr:to>
    <xdr:sp macro="" textlink="">
      <xdr:nvSpPr>
        <xdr:cNvPr id="21" name="Rounded Rectangle 20">
          <a:hlinkClick xmlns:r="http://schemas.openxmlformats.org/officeDocument/2006/relationships" r:id="rId13"/>
        </xdr:cNvPr>
        <xdr:cNvSpPr/>
      </xdr:nvSpPr>
      <xdr:spPr>
        <a:xfrm>
          <a:off x="12656344" y="3909067"/>
          <a:ext cx="1684288" cy="698651"/>
        </a:xfrm>
        <a:prstGeom prst="roundRect">
          <a:avLst/>
        </a:prstGeom>
      </xdr:spPr>
      <xdr:style>
        <a:lnRef idx="0">
          <a:schemeClr val="dk1"/>
        </a:lnRef>
        <a:fillRef idx="3">
          <a:schemeClr val="dk1"/>
        </a:fillRef>
        <a:effectRef idx="3">
          <a:schemeClr val="dk1"/>
        </a:effectRef>
        <a:fontRef idx="minor">
          <a:schemeClr val="lt1"/>
        </a:fontRef>
      </xdr:style>
      <xdr:txBody>
        <a:bodyPr rtlCol="0" anchor="ctr"/>
        <a:lstStyle/>
        <a:p>
          <a:pPr algn="ctr"/>
          <a:r>
            <a:rPr lang="id-ID" sz="1400"/>
            <a:t>FORM PENILAIAN DIRI  </a:t>
          </a:r>
          <a:endParaRPr lang="en-US" sz="1400"/>
        </a:p>
      </xdr:txBody>
    </xdr:sp>
    <xdr:clientData/>
  </xdr:twoCellAnchor>
  <xdr:twoCellAnchor>
    <xdr:from>
      <xdr:col>16</xdr:col>
      <xdr:colOff>447146</xdr:colOff>
      <xdr:row>17</xdr:row>
      <xdr:rowOff>9110</xdr:rowOff>
    </xdr:from>
    <xdr:to>
      <xdr:col>17</xdr:col>
      <xdr:colOff>1547814</xdr:colOff>
      <xdr:row>20</xdr:row>
      <xdr:rowOff>130968</xdr:rowOff>
    </xdr:to>
    <xdr:sp macro="" textlink="">
      <xdr:nvSpPr>
        <xdr:cNvPr id="22" name="Rounded Rectangle 21">
          <a:hlinkClick xmlns:r="http://schemas.openxmlformats.org/officeDocument/2006/relationships" r:id="rId14"/>
        </xdr:cNvPr>
        <xdr:cNvSpPr/>
      </xdr:nvSpPr>
      <xdr:spPr>
        <a:xfrm>
          <a:off x="10757959" y="4723985"/>
          <a:ext cx="1707886" cy="860046"/>
        </a:xfrm>
        <a:prstGeom prst="roundRect">
          <a:avLst/>
        </a:prstGeom>
      </xdr:spPr>
      <xdr:style>
        <a:lnRef idx="1">
          <a:schemeClr val="dk1"/>
        </a:lnRef>
        <a:fillRef idx="2">
          <a:schemeClr val="dk1"/>
        </a:fillRef>
        <a:effectRef idx="1">
          <a:schemeClr val="dk1"/>
        </a:effectRef>
        <a:fontRef idx="minor">
          <a:schemeClr val="dk1"/>
        </a:fontRef>
      </xdr:style>
      <xdr:txBody>
        <a:bodyPr rtlCol="0" anchor="ctr"/>
        <a:lstStyle/>
        <a:p>
          <a:pPr algn="ctr"/>
          <a:r>
            <a:rPr lang="id-ID" sz="1400"/>
            <a:t>FORM PENILAIAN  ANTAR TEMAN  </a:t>
          </a:r>
          <a:endParaRPr lang="en-US" sz="1400"/>
        </a:p>
      </xdr:txBody>
    </xdr:sp>
    <xdr:clientData/>
  </xdr:twoCellAnchor>
  <xdr:twoCellAnchor>
    <xdr:from>
      <xdr:col>17</xdr:col>
      <xdr:colOff>1709209</xdr:colOff>
      <xdr:row>17</xdr:row>
      <xdr:rowOff>9110</xdr:rowOff>
    </xdr:from>
    <xdr:to>
      <xdr:col>17</xdr:col>
      <xdr:colOff>3417095</xdr:colOff>
      <xdr:row>20</xdr:row>
      <xdr:rowOff>130968</xdr:rowOff>
    </xdr:to>
    <xdr:sp macro="" textlink="">
      <xdr:nvSpPr>
        <xdr:cNvPr id="30" name="Rounded Rectangle 29">
          <a:hlinkClick xmlns:r="http://schemas.openxmlformats.org/officeDocument/2006/relationships" r:id="rId15"/>
        </xdr:cNvPr>
        <xdr:cNvSpPr/>
      </xdr:nvSpPr>
      <xdr:spPr>
        <a:xfrm>
          <a:off x="12627240" y="4723985"/>
          <a:ext cx="1707886" cy="860046"/>
        </a:xfrm>
        <a:prstGeom prst="roundRect">
          <a:avLst/>
        </a:prstGeom>
        <a:solidFill>
          <a:srgbClr val="7030A0"/>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400"/>
            <a:t>FORM JURNAL PERKEMBANGAN SISWA  </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117963</xdr:colOff>
      <xdr:row>0</xdr:row>
      <xdr:rowOff>110907</xdr:rowOff>
    </xdr:from>
    <xdr:to>
      <xdr:col>1</xdr:col>
      <xdr:colOff>1076325</xdr:colOff>
      <xdr:row>16</xdr:row>
      <xdr:rowOff>384119</xdr:rowOff>
    </xdr:to>
    <xdr:pic>
      <xdr:nvPicPr>
        <xdr:cNvPr id="2" name="Picture 1" descr="5-s-potrait.png"/>
        <xdr:cNvPicPr>
          <a:picLocks noChangeAspect="1"/>
        </xdr:cNvPicPr>
      </xdr:nvPicPr>
      <xdr:blipFill>
        <a:blip xmlns:r="http://schemas.openxmlformats.org/officeDocument/2006/relationships" r:embed="rId1" cstate="print"/>
        <a:stretch>
          <a:fillRect/>
        </a:stretch>
      </xdr:blipFill>
      <xdr:spPr>
        <a:xfrm>
          <a:off x="117963" y="110907"/>
          <a:ext cx="3215787" cy="3664112"/>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1276350</xdr:colOff>
      <xdr:row>16</xdr:row>
      <xdr:rowOff>9525</xdr:rowOff>
    </xdr:from>
    <xdr:to>
      <xdr:col>3</xdr:col>
      <xdr:colOff>2057400</xdr:colOff>
      <xdr:row>16</xdr:row>
      <xdr:rowOff>428625</xdr:rowOff>
    </xdr:to>
    <xdr:sp macro="" textlink="">
      <xdr:nvSpPr>
        <xdr:cNvPr id="3" name="Rounded Rectangle 2">
          <a:hlinkClick xmlns:r="http://schemas.openxmlformats.org/officeDocument/2006/relationships" r:id="rId2"/>
        </xdr:cNvPr>
        <xdr:cNvSpPr/>
      </xdr:nvSpPr>
      <xdr:spPr>
        <a:xfrm>
          <a:off x="3533775" y="3400425"/>
          <a:ext cx="3248025" cy="41910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d-ID" sz="2000" b="1"/>
            <a:t>BACK TO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7010400</xdr:colOff>
      <xdr:row>3</xdr:row>
      <xdr:rowOff>9525</xdr:rowOff>
    </xdr:from>
    <xdr:to>
      <xdr:col>3</xdr:col>
      <xdr:colOff>49212</xdr:colOff>
      <xdr:row>5</xdr:row>
      <xdr:rowOff>160338</xdr:rowOff>
    </xdr:to>
    <xdr:sp macro="" textlink="">
      <xdr:nvSpPr>
        <xdr:cNvPr id="2" name="Rounded Rectangle 1">
          <a:hlinkClick xmlns:r="http://schemas.openxmlformats.org/officeDocument/2006/relationships" r:id="rId1"/>
        </xdr:cNvPr>
        <xdr:cNvSpPr/>
      </xdr:nvSpPr>
      <xdr:spPr>
        <a:xfrm>
          <a:off x="7620000" y="115252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1</xdr:col>
      <xdr:colOff>7210425</xdr:colOff>
      <xdr:row>24</xdr:row>
      <xdr:rowOff>161925</xdr:rowOff>
    </xdr:from>
    <xdr:to>
      <xdr:col>3</xdr:col>
      <xdr:colOff>249237</xdr:colOff>
      <xdr:row>27</xdr:row>
      <xdr:rowOff>122238</xdr:rowOff>
    </xdr:to>
    <xdr:sp macro="" textlink="">
      <xdr:nvSpPr>
        <xdr:cNvPr id="3" name="Rounded Rectangle 2">
          <a:hlinkClick xmlns:r="http://schemas.openxmlformats.org/officeDocument/2006/relationships" r:id="rId2"/>
        </xdr:cNvPr>
        <xdr:cNvSpPr/>
      </xdr:nvSpPr>
      <xdr:spPr>
        <a:xfrm>
          <a:off x="7820025" y="6467475"/>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190499</xdr:colOff>
      <xdr:row>7</xdr:row>
      <xdr:rowOff>190499</xdr:rowOff>
    </xdr:from>
    <xdr:to>
      <xdr:col>15</xdr:col>
      <xdr:colOff>250031</xdr:colOff>
      <xdr:row>10</xdr:row>
      <xdr:rowOff>535780</xdr:rowOff>
    </xdr:to>
    <xdr:sp macro="" textlink="">
      <xdr:nvSpPr>
        <xdr:cNvPr id="2" name="Rounded Rectangle 1">
          <a:hlinkClick xmlns:r="http://schemas.openxmlformats.org/officeDocument/2006/relationships" r:id="rId1"/>
        </xdr:cNvPr>
        <xdr:cNvSpPr/>
      </xdr:nvSpPr>
      <xdr:spPr>
        <a:xfrm>
          <a:off x="11037093" y="1904999"/>
          <a:ext cx="666751" cy="916781"/>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000" b="1"/>
            <a:t>MENU</a:t>
          </a:r>
          <a:r>
            <a:rPr lang="id-ID" sz="1000" b="1" baseline="0"/>
            <a:t> UTAMA</a:t>
          </a:r>
          <a:endParaRPr lang="id-ID" sz="10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182563</xdr:colOff>
      <xdr:row>0</xdr:row>
      <xdr:rowOff>111125</xdr:rowOff>
    </xdr:from>
    <xdr:to>
      <xdr:col>2</xdr:col>
      <xdr:colOff>1897063</xdr:colOff>
      <xdr:row>2</xdr:row>
      <xdr:rowOff>149225</xdr:rowOff>
    </xdr:to>
    <xdr:sp macro="" textlink="">
      <xdr:nvSpPr>
        <xdr:cNvPr id="3" name="Rounded Rectangle 2">
          <a:hlinkClick xmlns:r="http://schemas.openxmlformats.org/officeDocument/2006/relationships" r:id="rId1"/>
        </xdr:cNvPr>
        <xdr:cNvSpPr/>
      </xdr:nvSpPr>
      <xdr:spPr>
        <a:xfrm>
          <a:off x="984251" y="1111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142875</xdr:colOff>
      <xdr:row>1</xdr:row>
      <xdr:rowOff>57150</xdr:rowOff>
    </xdr:from>
    <xdr:to>
      <xdr:col>1</xdr:col>
      <xdr:colOff>1857375</xdr:colOff>
      <xdr:row>2</xdr:row>
      <xdr:rowOff>238125</xdr:rowOff>
    </xdr:to>
    <xdr:sp macro="" textlink="">
      <xdr:nvSpPr>
        <xdr:cNvPr id="3" name="Rounded Rectangle 2">
          <a:hlinkClick xmlns:r="http://schemas.openxmlformats.org/officeDocument/2006/relationships" r:id="rId1"/>
        </xdr:cNvPr>
        <xdr:cNvSpPr/>
      </xdr:nvSpPr>
      <xdr:spPr>
        <a:xfrm>
          <a:off x="428625"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16</xdr:col>
      <xdr:colOff>39461</xdr:colOff>
      <xdr:row>0</xdr:row>
      <xdr:rowOff>63955</xdr:rowOff>
    </xdr:from>
    <xdr:to>
      <xdr:col>21</xdr:col>
      <xdr:colOff>155122</xdr:colOff>
      <xdr:row>3</xdr:row>
      <xdr:rowOff>171450</xdr:rowOff>
    </xdr:to>
    <xdr:sp macro="[0]!raportcopyuts" textlink="">
      <xdr:nvSpPr>
        <xdr:cNvPr id="4" name="Oval 3"/>
        <xdr:cNvSpPr/>
      </xdr:nvSpPr>
      <xdr:spPr>
        <a:xfrm>
          <a:off x="8564336" y="63955"/>
          <a:ext cx="2115911" cy="87902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KLIK</a:t>
          </a:r>
          <a:r>
            <a:rPr lang="id-ID" sz="1100" b="1"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 UNTUK MENGCOPY NILAI UTS</a:t>
          </a:r>
          <a:endParaRPr lang="id-ID" sz="11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66675</xdr:colOff>
      <xdr:row>0</xdr:row>
      <xdr:rowOff>47625</xdr:rowOff>
    </xdr:from>
    <xdr:to>
      <xdr:col>2</xdr:col>
      <xdr:colOff>257625</xdr:colOff>
      <xdr:row>2</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47625"/>
          <a:ext cx="972000" cy="3885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57151</xdr:colOff>
      <xdr:row>5</xdr:row>
      <xdr:rowOff>104774</xdr:rowOff>
    </xdr:from>
    <xdr:to>
      <xdr:col>2</xdr:col>
      <xdr:colOff>2114551</xdr:colOff>
      <xdr:row>10</xdr:row>
      <xdr:rowOff>76199</xdr:rowOff>
    </xdr:to>
    <xdr:sp macro="[0]!raportcopy" textlink="">
      <xdr:nvSpPr>
        <xdr:cNvPr id="3" name="Rounded Rectangle 2"/>
        <xdr:cNvSpPr/>
      </xdr:nvSpPr>
      <xdr:spPr>
        <a:xfrm>
          <a:off x="57151" y="819149"/>
          <a:ext cx="2838450" cy="847725"/>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rtlCol="0" anchor="ctr"/>
        <a:lstStyle/>
        <a:p>
          <a:pPr algn="ctr"/>
          <a:r>
            <a:rPr lang="id-ID" sz="2000"/>
            <a:t>KLIK UNTUK MENGCOPY NILAI RAPORT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301625</xdr:colOff>
      <xdr:row>3</xdr:row>
      <xdr:rowOff>190501</xdr:rowOff>
    </xdr:from>
    <xdr:to>
      <xdr:col>2</xdr:col>
      <xdr:colOff>1770062</xdr:colOff>
      <xdr:row>4</xdr:row>
      <xdr:rowOff>150814</xdr:rowOff>
    </xdr:to>
    <xdr:sp macro="" textlink="">
      <xdr:nvSpPr>
        <xdr:cNvPr id="2" name="Rounded Rectangle 1">
          <a:hlinkClick xmlns:r="http://schemas.openxmlformats.org/officeDocument/2006/relationships" r:id="rId1"/>
        </xdr:cNvPr>
        <xdr:cNvSpPr/>
      </xdr:nvSpPr>
      <xdr:spPr>
        <a:xfrm>
          <a:off x="1101725" y="190501"/>
          <a:ext cx="1468437" cy="2270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301625</xdr:colOff>
      <xdr:row>0</xdr:row>
      <xdr:rowOff>190501</xdr:rowOff>
    </xdr:from>
    <xdr:to>
      <xdr:col>2</xdr:col>
      <xdr:colOff>1770062</xdr:colOff>
      <xdr:row>1</xdr:row>
      <xdr:rowOff>150814</xdr:rowOff>
    </xdr:to>
    <xdr:sp macro="" textlink="">
      <xdr:nvSpPr>
        <xdr:cNvPr id="2" name="Rounded Rectangle 1">
          <a:hlinkClick xmlns:r="http://schemas.openxmlformats.org/officeDocument/2006/relationships" r:id="rId1"/>
        </xdr:cNvPr>
        <xdr:cNvSpPr/>
      </xdr:nvSpPr>
      <xdr:spPr>
        <a:xfrm>
          <a:off x="1103313" y="190501"/>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1</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365124</xdr:colOff>
      <xdr:row>3</xdr:row>
      <xdr:rowOff>127000</xdr:rowOff>
    </xdr:from>
    <xdr:to>
      <xdr:col>2</xdr:col>
      <xdr:colOff>1833561</xdr:colOff>
      <xdr:row>4</xdr:row>
      <xdr:rowOff>166688</xdr:rowOff>
    </xdr:to>
    <xdr:sp macro="" textlink="">
      <xdr:nvSpPr>
        <xdr:cNvPr id="2" name="Rounded Rectangle 1">
          <a:hlinkClick xmlns:r="http://schemas.openxmlformats.org/officeDocument/2006/relationships" r:id="rId1"/>
        </xdr:cNvPr>
        <xdr:cNvSpPr/>
      </xdr:nvSpPr>
      <xdr:spPr>
        <a:xfrm>
          <a:off x="1165224" y="127000"/>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365124</xdr:colOff>
      <xdr:row>0</xdr:row>
      <xdr:rowOff>127000</xdr:rowOff>
    </xdr:from>
    <xdr:to>
      <xdr:col>2</xdr:col>
      <xdr:colOff>1833561</xdr:colOff>
      <xdr:row>0</xdr:row>
      <xdr:rowOff>658813</xdr:rowOff>
    </xdr:to>
    <xdr:sp macro="" textlink="">
      <xdr:nvSpPr>
        <xdr:cNvPr id="2" name="Rounded Rectangle 1">
          <a:hlinkClick xmlns:r="http://schemas.openxmlformats.org/officeDocument/2006/relationships" r:id="rId1"/>
        </xdr:cNvPr>
        <xdr:cNvSpPr/>
      </xdr:nvSpPr>
      <xdr:spPr>
        <a:xfrm>
          <a:off x="1166812" y="127000"/>
          <a:ext cx="1468437" cy="531813"/>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371475</xdr:colOff>
      <xdr:row>0</xdr:row>
      <xdr:rowOff>104775</xdr:rowOff>
    </xdr:from>
    <xdr:to>
      <xdr:col>2</xdr:col>
      <xdr:colOff>1839912</xdr:colOff>
      <xdr:row>1</xdr:row>
      <xdr:rowOff>144463</xdr:rowOff>
    </xdr:to>
    <xdr:sp macro="" textlink="">
      <xdr:nvSpPr>
        <xdr:cNvPr id="2" name="Rounded Rectangle 1">
          <a:hlinkClick xmlns:r="http://schemas.openxmlformats.org/officeDocument/2006/relationships" r:id="rId1"/>
        </xdr:cNvPr>
        <xdr:cNvSpPr/>
      </xdr:nvSpPr>
      <xdr:spPr>
        <a:xfrm>
          <a:off x="1171575" y="104775"/>
          <a:ext cx="1468437" cy="230188"/>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twoCellAnchor>
    <xdr:from>
      <xdr:col>2</xdr:col>
      <xdr:colOff>400050</xdr:colOff>
      <xdr:row>2</xdr:row>
      <xdr:rowOff>771525</xdr:rowOff>
    </xdr:from>
    <xdr:to>
      <xdr:col>2</xdr:col>
      <xdr:colOff>1647825</xdr:colOff>
      <xdr:row>2</xdr:row>
      <xdr:rowOff>1162050</xdr:rowOff>
    </xdr:to>
    <xdr:sp macro="" textlink="">
      <xdr:nvSpPr>
        <xdr:cNvPr id="3" name="Rounded Rectangle 2">
          <a:hlinkClick xmlns:r="http://schemas.openxmlformats.org/officeDocument/2006/relationships" r:id="rId2"/>
        </xdr:cNvPr>
        <xdr:cNvSpPr/>
      </xdr:nvSpPr>
      <xdr:spPr>
        <a:xfrm>
          <a:off x="1200150" y="115252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485775</xdr:colOff>
      <xdr:row>2</xdr:row>
      <xdr:rowOff>723900</xdr:rowOff>
    </xdr:from>
    <xdr:to>
      <xdr:col>2</xdr:col>
      <xdr:colOff>1733550</xdr:colOff>
      <xdr:row>2</xdr:row>
      <xdr:rowOff>1114425</xdr:rowOff>
    </xdr:to>
    <xdr:sp macro="" textlink="">
      <xdr:nvSpPr>
        <xdr:cNvPr id="2" name="Rounded Rectangle 1">
          <a:hlinkClick xmlns:r="http://schemas.openxmlformats.org/officeDocument/2006/relationships" r:id="rId1"/>
        </xdr:cNvPr>
        <xdr:cNvSpPr/>
      </xdr:nvSpPr>
      <xdr:spPr>
        <a:xfrm>
          <a:off x="1285875" y="1104900"/>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2</xdr:col>
      <xdr:colOff>447675</xdr:colOff>
      <xdr:row>0</xdr:row>
      <xdr:rowOff>114300</xdr:rowOff>
    </xdr:from>
    <xdr:to>
      <xdr:col>2</xdr:col>
      <xdr:colOff>1916112</xdr:colOff>
      <xdr:row>2</xdr:row>
      <xdr:rowOff>76200</xdr:rowOff>
    </xdr:to>
    <xdr:sp macro="" textlink="">
      <xdr:nvSpPr>
        <xdr:cNvPr id="3" name="Rounded Rectangle 2">
          <a:hlinkClick xmlns:r="http://schemas.openxmlformats.org/officeDocument/2006/relationships" r:id="rId2"/>
        </xdr:cNvPr>
        <xdr:cNvSpPr/>
      </xdr:nvSpPr>
      <xdr:spPr>
        <a:xfrm>
          <a:off x="1247775" y="114300"/>
          <a:ext cx="1468437" cy="342900"/>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600"/>
            <a:t>MENU UTAMA</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76200</xdr:colOff>
      <xdr:row>0</xdr:row>
      <xdr:rowOff>276224</xdr:rowOff>
    </xdr:from>
    <xdr:to>
      <xdr:col>2</xdr:col>
      <xdr:colOff>304799</xdr:colOff>
      <xdr:row>6</xdr:row>
      <xdr:rowOff>106349</xdr:rowOff>
    </xdr:to>
    <xdr:sp macro="" textlink="">
      <xdr:nvSpPr>
        <xdr:cNvPr id="2" name="TextBox 1"/>
        <xdr:cNvSpPr txBox="1"/>
      </xdr:nvSpPr>
      <xdr:spPr>
        <a:xfrm>
          <a:off x="76200" y="276224"/>
          <a:ext cx="5200649" cy="11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Yang Dinilai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6</xdr:col>
      <xdr:colOff>95250</xdr:colOff>
      <xdr:row>1</xdr:row>
      <xdr:rowOff>38100</xdr:rowOff>
    </xdr:from>
    <xdr:to>
      <xdr:col>8</xdr:col>
      <xdr:colOff>590550</xdr:colOff>
      <xdr:row>3</xdr:row>
      <xdr:rowOff>57150</xdr:rowOff>
    </xdr:to>
    <xdr:sp macro="" textlink="">
      <xdr:nvSpPr>
        <xdr:cNvPr id="4" name="Rounded Rectangle 3">
          <a:hlinkClick xmlns:r="http://schemas.openxmlformats.org/officeDocument/2006/relationships" r:id="rId1"/>
        </xdr:cNvPr>
        <xdr:cNvSpPr/>
      </xdr:nvSpPr>
      <xdr:spPr>
        <a:xfrm>
          <a:off x="6477000" y="3238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134937</xdr:colOff>
      <xdr:row>1</xdr:row>
      <xdr:rowOff>71438</xdr:rowOff>
    </xdr:from>
    <xdr:to>
      <xdr:col>6</xdr:col>
      <xdr:colOff>166687</xdr:colOff>
      <xdr:row>6</xdr:row>
      <xdr:rowOff>127001</xdr:rowOff>
    </xdr:to>
    <xdr:sp macro="" textlink="">
      <xdr:nvSpPr>
        <xdr:cNvPr id="2" name="TextBox 1"/>
        <xdr:cNvSpPr txBox="1"/>
      </xdr:nvSpPr>
      <xdr:spPr>
        <a:xfrm>
          <a:off x="134937" y="365126"/>
          <a:ext cx="5230813" cy="1111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aseline="0">
              <a:latin typeface="Times New Roman" pitchFamily="18" charset="0"/>
              <a:cs typeface="Times New Roman" pitchFamily="18" charset="0"/>
            </a:rPr>
            <a:t>Nama Siswa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Kelas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Mata Pelajaran		: ................................................................................</a:t>
          </a:r>
        </a:p>
        <a:p>
          <a:endParaRPr lang="en-US" sz="900" baseline="0">
            <a:latin typeface="Times New Roman" pitchFamily="18" charset="0"/>
            <a:cs typeface="Times New Roman" pitchFamily="18" charset="0"/>
          </a:endParaRPr>
        </a:p>
        <a:p>
          <a:r>
            <a:rPr lang="en-US" sz="1100" baseline="0">
              <a:latin typeface="Times New Roman" pitchFamily="18" charset="0"/>
              <a:cs typeface="Times New Roman" pitchFamily="18" charset="0"/>
            </a:rPr>
            <a:t>Tanggal Penilaian	: ................................................................................</a:t>
          </a:r>
          <a:endParaRPr lang="id-ID" sz="1100">
            <a:latin typeface="Times New Roman" pitchFamily="18" charset="0"/>
            <a:cs typeface="Times New Roman" pitchFamily="18" charset="0"/>
          </a:endParaRPr>
        </a:p>
      </xdr:txBody>
    </xdr:sp>
    <xdr:clientData/>
  </xdr:twoCellAnchor>
  <xdr:twoCellAnchor>
    <xdr:from>
      <xdr:col>7</xdr:col>
      <xdr:colOff>95250</xdr:colOff>
      <xdr:row>3</xdr:row>
      <xdr:rowOff>47625</xdr:rowOff>
    </xdr:from>
    <xdr:to>
      <xdr:col>9</xdr:col>
      <xdr:colOff>590550</xdr:colOff>
      <xdr:row>5</xdr:row>
      <xdr:rowOff>85725</xdr:rowOff>
    </xdr:to>
    <xdr:sp macro="" textlink="">
      <xdr:nvSpPr>
        <xdr:cNvPr id="5" name="Rounded Rectangle 4">
          <a:hlinkClick xmlns:r="http://schemas.openxmlformats.org/officeDocument/2006/relationships" r:id="rId1"/>
        </xdr:cNvPr>
        <xdr:cNvSpPr/>
      </xdr:nvSpPr>
      <xdr:spPr>
        <a:xfrm>
          <a:off x="6858000" y="8286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2257426</xdr:colOff>
      <xdr:row>0</xdr:row>
      <xdr:rowOff>476250</xdr:rowOff>
    </xdr:from>
    <xdr:to>
      <xdr:col>2</xdr:col>
      <xdr:colOff>3398889</xdr:colOff>
      <xdr:row>0</xdr:row>
      <xdr:rowOff>836250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cstate="print"/>
        <a:stretch>
          <a:fillRect/>
        </a:stretch>
      </xdr:blipFill>
      <xdr:spPr>
        <a:xfrm>
          <a:off x="3057526" y="476250"/>
          <a:ext cx="1141463" cy="360000"/>
        </a:xfrm>
        <a:prstGeom prst="rect">
          <a:avLst/>
        </a:prstGeom>
      </xdr:spPr>
    </xdr:pic>
    <xdr:clientData/>
  </xdr:twoCellAnchor>
  <xdr:twoCellAnchor>
    <xdr:from>
      <xdr:col>2</xdr:col>
      <xdr:colOff>647700</xdr:colOff>
      <xdr:row>0</xdr:row>
      <xdr:rowOff>847726</xdr:rowOff>
    </xdr:from>
    <xdr:to>
      <xdr:col>2</xdr:col>
      <xdr:colOff>2076450</xdr:colOff>
      <xdr:row>0</xdr:row>
      <xdr:rowOff>1209676</xdr:rowOff>
    </xdr:to>
    <xdr:sp macro="" textlink="">
      <xdr:nvSpPr>
        <xdr:cNvPr id="8" name="Rounded Rectangle 7">
          <a:hlinkClick xmlns:r="http://schemas.openxmlformats.org/officeDocument/2006/relationships" r:id="rId8"/>
        </xdr:cNvPr>
        <xdr:cNvSpPr/>
      </xdr:nvSpPr>
      <xdr:spPr>
        <a:xfrm>
          <a:off x="1447800" y="847726"/>
          <a:ext cx="1428750" cy="3619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600" b="1"/>
            <a:t>REKAP</a:t>
          </a:r>
          <a:r>
            <a:rPr lang="en-US" sz="1600" b="1" baseline="0"/>
            <a:t> SIKAP</a:t>
          </a:r>
          <a:endParaRPr lang="en-US" sz="1600" b="1"/>
        </a:p>
      </xdr:txBody>
    </xdr:sp>
    <xdr:clientData/>
  </xdr:twoCellAnchor>
  <xdr:twoCellAnchor>
    <xdr:from>
      <xdr:col>0</xdr:col>
      <xdr:colOff>85725</xdr:colOff>
      <xdr:row>0</xdr:row>
      <xdr:rowOff>371475</xdr:rowOff>
    </xdr:from>
    <xdr:to>
      <xdr:col>2</xdr:col>
      <xdr:colOff>1000125</xdr:colOff>
      <xdr:row>0</xdr:row>
      <xdr:rowOff>790575</xdr:rowOff>
    </xdr:to>
    <xdr:sp macro="" textlink="">
      <xdr:nvSpPr>
        <xdr:cNvPr id="9" name="Rounded Rectangle 8">
          <a:hlinkClick xmlns:r="http://schemas.openxmlformats.org/officeDocument/2006/relationships" r:id="rId9"/>
        </xdr:cNvPr>
        <xdr:cNvSpPr/>
      </xdr:nvSpPr>
      <xdr:spPr>
        <a:xfrm>
          <a:off x="85725" y="3714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161925</xdr:colOff>
      <xdr:row>4</xdr:row>
      <xdr:rowOff>114300</xdr:rowOff>
    </xdr:from>
    <xdr:to>
      <xdr:col>2</xdr:col>
      <xdr:colOff>2038350</xdr:colOff>
      <xdr:row>6</xdr:row>
      <xdr:rowOff>219075</xdr:rowOff>
    </xdr:to>
    <xdr:sp macro="" textlink="">
      <xdr:nvSpPr>
        <xdr:cNvPr id="3" name="Rounded Rectangle 2">
          <a:hlinkClick xmlns:r="http://schemas.openxmlformats.org/officeDocument/2006/relationships" r:id="rId1"/>
        </xdr:cNvPr>
        <xdr:cNvSpPr/>
      </xdr:nvSpPr>
      <xdr:spPr>
        <a:xfrm>
          <a:off x="962025" y="1123950"/>
          <a:ext cx="1876425"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111125</xdr:colOff>
      <xdr:row>2</xdr:row>
      <xdr:rowOff>17463</xdr:rowOff>
    </xdr:from>
    <xdr:to>
      <xdr:col>2</xdr:col>
      <xdr:colOff>1987550</xdr:colOff>
      <xdr:row>4</xdr:row>
      <xdr:rowOff>261937</xdr:rowOff>
    </xdr:to>
    <xdr:sp macro="" textlink="">
      <xdr:nvSpPr>
        <xdr:cNvPr id="3" name="Rounded Rectangle 2">
          <a:hlinkClick xmlns:r="http://schemas.openxmlformats.org/officeDocument/2006/relationships" r:id="rId1"/>
        </xdr:cNvPr>
        <xdr:cNvSpPr/>
      </xdr:nvSpPr>
      <xdr:spPr>
        <a:xfrm>
          <a:off x="912813" y="612776"/>
          <a:ext cx="1876425" cy="625474"/>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n-US" sz="1600"/>
            <a:t>MENU UTAMA</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6" name="Rounded Rectangle 5">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1123950</xdr:colOff>
      <xdr:row>0</xdr:row>
      <xdr:rowOff>790575</xdr:rowOff>
    </xdr:from>
    <xdr:to>
      <xdr:col>2</xdr:col>
      <xdr:colOff>2381250</xdr:colOff>
      <xdr:row>0</xdr:row>
      <xdr:rowOff>1143000</xdr:rowOff>
    </xdr:to>
    <xdr:sp macro="" textlink="">
      <xdr:nvSpPr>
        <xdr:cNvPr id="8" name="Rounded Rectangle 7">
          <a:hlinkClick xmlns:r="http://schemas.openxmlformats.org/officeDocument/2006/relationships" r:id="rId7"/>
        </xdr:cNvPr>
        <xdr:cNvSpPr/>
      </xdr:nvSpPr>
      <xdr:spPr>
        <a:xfrm>
          <a:off x="1924050" y="790575"/>
          <a:ext cx="12573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a:t>
          </a:r>
          <a:r>
            <a:rPr lang="en-US" sz="1100" baseline="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0</xdr:colOff>
      <xdr:row>0</xdr:row>
      <xdr:rowOff>781050</xdr:rowOff>
    </xdr:from>
    <xdr:to>
      <xdr:col>2</xdr:col>
      <xdr:colOff>914400</xdr:colOff>
      <xdr:row>0</xdr:row>
      <xdr:rowOff>1200150</xdr:rowOff>
    </xdr:to>
    <xdr:sp macro="" textlink="">
      <xdr:nvSpPr>
        <xdr:cNvPr id="14" name="Rounded Rectangle 13">
          <a:hlinkClick xmlns:r="http://schemas.openxmlformats.org/officeDocument/2006/relationships" r:id="rId15"/>
        </xdr:cNvPr>
        <xdr:cNvSpPr/>
      </xdr:nvSpPr>
      <xdr:spPr>
        <a:xfrm>
          <a:off x="0" y="78105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1114424</xdr:colOff>
      <xdr:row>0</xdr:row>
      <xdr:rowOff>361950</xdr:rowOff>
    </xdr:from>
    <xdr:to>
      <xdr:col>2</xdr:col>
      <xdr:colOff>2362199</xdr:colOff>
      <xdr:row>0</xdr:row>
      <xdr:rowOff>752475</xdr:rowOff>
    </xdr:to>
    <xdr:sp macro="" textlink="">
      <xdr:nvSpPr>
        <xdr:cNvPr id="6" name="Rounded Rectangle 5">
          <a:hlinkClick xmlns:r="http://schemas.openxmlformats.org/officeDocument/2006/relationships" r:id="rId6"/>
        </xdr:cNvPr>
        <xdr:cNvSpPr/>
      </xdr:nvSpPr>
      <xdr:spPr>
        <a:xfrm>
          <a:off x="1914524" y="361950"/>
          <a:ext cx="1247775" cy="3905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a:t>
          </a:r>
          <a:r>
            <a:rPr lang="id-ID" sz="1100"/>
            <a:t>2</a:t>
          </a:r>
          <a:endParaRPr lang="en-US" sz="1100"/>
        </a:p>
      </xdr:txBody>
    </xdr:sp>
    <xdr:clientData/>
  </xdr:twoCellAnchor>
  <xdr:twoCellAnchor>
    <xdr:from>
      <xdr:col>0</xdr:col>
      <xdr:colOff>76200</xdr:colOff>
      <xdr:row>0</xdr:row>
      <xdr:rowOff>790575</xdr:rowOff>
    </xdr:from>
    <xdr:to>
      <xdr:col>2</xdr:col>
      <xdr:colOff>2362200</xdr:colOff>
      <xdr:row>0</xdr:row>
      <xdr:rowOff>1143000</xdr:rowOff>
    </xdr:to>
    <xdr:sp macro="" textlink="">
      <xdr:nvSpPr>
        <xdr:cNvPr id="8" name="Rounded Rectangle 7">
          <a:hlinkClick xmlns:r="http://schemas.openxmlformats.org/officeDocument/2006/relationships" r:id="rId7"/>
        </xdr:cNvPr>
        <xdr:cNvSpPr/>
      </xdr:nvSpPr>
      <xdr:spPr>
        <a:xfrm>
          <a:off x="76200" y="790575"/>
          <a:ext cx="3086100" cy="352425"/>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a:t>
          </a:r>
          <a:r>
            <a:rPr lang="id-ID" sz="1100"/>
            <a:t> OBSERVASI</a:t>
          </a:r>
          <a:endParaRPr lang="en-US" sz="1100"/>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9" name="Picture 8"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0" name="Picture 9"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1" name="Picture 10"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2" name="Picture 11" descr="Cetak Formulir.png">
          <a:hlinkClick xmlns:r="http://schemas.openxmlformats.org/officeDocument/2006/relationships" r:id="rId11"/>
        </xdr:cNvPr>
        <xdr:cNvPicPr>
          <a:picLocks noChangeAspect="1"/>
        </xdr:cNvPicPr>
      </xdr:nvPicPr>
      <xdr:blipFill>
        <a:blip xmlns:r="http://schemas.openxmlformats.org/officeDocument/2006/relationships" r:embed="rId12"/>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3" name="Picture 12" descr="Button Menu Utama-2.png">
          <a:hlinkClick xmlns:r="http://schemas.openxmlformats.org/officeDocument/2006/relationships" r:id="rId13"/>
        </xdr:cNvPr>
        <xdr:cNvPicPr>
          <a:picLocks noChangeAspect="1"/>
        </xdr:cNvPicPr>
      </xdr:nvPicPr>
      <xdr:blipFill>
        <a:blip xmlns:r="http://schemas.openxmlformats.org/officeDocument/2006/relationships" r:embed="rId14" cstate="print"/>
        <a:stretch>
          <a:fillRect/>
        </a:stretch>
      </xdr:blipFill>
      <xdr:spPr>
        <a:xfrm>
          <a:off x="304800" y="590550"/>
          <a:ext cx="1166400" cy="1950"/>
        </a:xfrm>
        <a:prstGeom prst="rect">
          <a:avLst/>
        </a:prstGeom>
      </xdr:spPr>
    </xdr:pic>
    <xdr:clientData/>
  </xdr:twoCellAnchor>
  <xdr:twoCellAnchor>
    <xdr:from>
      <xdr:col>0</xdr:col>
      <xdr:colOff>95250</xdr:colOff>
      <xdr:row>0</xdr:row>
      <xdr:rowOff>342900</xdr:rowOff>
    </xdr:from>
    <xdr:to>
      <xdr:col>2</xdr:col>
      <xdr:colOff>1009650</xdr:colOff>
      <xdr:row>0</xdr:row>
      <xdr:rowOff>762000</xdr:rowOff>
    </xdr:to>
    <xdr:sp macro="" textlink="">
      <xdr:nvSpPr>
        <xdr:cNvPr id="14" name="Rounded Rectangle 13">
          <a:hlinkClick xmlns:r="http://schemas.openxmlformats.org/officeDocument/2006/relationships" r:id="rId15"/>
        </xdr:cNvPr>
        <xdr:cNvSpPr/>
      </xdr:nvSpPr>
      <xdr:spPr>
        <a:xfrm>
          <a:off x="9525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xdr:from>
      <xdr:col>2</xdr:col>
      <xdr:colOff>1114425</xdr:colOff>
      <xdr:row>0</xdr:row>
      <xdr:rowOff>361950</xdr:rowOff>
    </xdr:from>
    <xdr:to>
      <xdr:col>2</xdr:col>
      <xdr:colOff>2314575</xdr:colOff>
      <xdr:row>0</xdr:row>
      <xdr:rowOff>657225</xdr:rowOff>
    </xdr:to>
    <xdr:sp macro="" textlink="">
      <xdr:nvSpPr>
        <xdr:cNvPr id="8" name="Rounded Rectangle 7">
          <a:hlinkClick xmlns:r="http://schemas.openxmlformats.org/officeDocument/2006/relationships" r:id="rId6"/>
        </xdr:cNvPr>
        <xdr:cNvSpPr/>
      </xdr:nvSpPr>
      <xdr:spPr>
        <a:xfrm>
          <a:off x="1914525" y="36195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1</a:t>
          </a:r>
        </a:p>
      </xdr:txBody>
    </xdr:sp>
    <xdr:clientData/>
  </xdr:twoCellAnchor>
  <xdr:twoCellAnchor>
    <xdr:from>
      <xdr:col>2</xdr:col>
      <xdr:colOff>1085850</xdr:colOff>
      <xdr:row>0</xdr:row>
      <xdr:rowOff>762000</xdr:rowOff>
    </xdr:from>
    <xdr:to>
      <xdr:col>2</xdr:col>
      <xdr:colOff>2286000</xdr:colOff>
      <xdr:row>0</xdr:row>
      <xdr:rowOff>1057275</xdr:rowOff>
    </xdr:to>
    <xdr:sp macro="" textlink="">
      <xdr:nvSpPr>
        <xdr:cNvPr id="9" name="Rounded Rectangle 8">
          <a:hlinkClick xmlns:r="http://schemas.openxmlformats.org/officeDocument/2006/relationships" r:id="rId7"/>
        </xdr:cNvPr>
        <xdr:cNvSpPr/>
      </xdr:nvSpPr>
      <xdr:spPr>
        <a:xfrm>
          <a:off x="1885950" y="762000"/>
          <a:ext cx="12001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1100"/>
            <a:t>OBSERVASI 2</a:t>
          </a:r>
        </a:p>
      </xdr:txBody>
    </xdr:sp>
    <xdr:clientData/>
  </xdr:twoCellAnchor>
  <xdr:twoCellAnchor>
    <xdr:from>
      <xdr:col>0</xdr:col>
      <xdr:colOff>161924</xdr:colOff>
      <xdr:row>0</xdr:row>
      <xdr:rowOff>904875</xdr:rowOff>
    </xdr:from>
    <xdr:to>
      <xdr:col>2</xdr:col>
      <xdr:colOff>952499</xdr:colOff>
      <xdr:row>0</xdr:row>
      <xdr:rowOff>1362075</xdr:rowOff>
    </xdr:to>
    <xdr:sp macro="" textlink="">
      <xdr:nvSpPr>
        <xdr:cNvPr id="10" name="Rounded Rectangle 9">
          <a:hlinkClick xmlns:r="http://schemas.openxmlformats.org/officeDocument/2006/relationships" r:id="rId8"/>
        </xdr:cNvPr>
        <xdr:cNvSpPr/>
      </xdr:nvSpPr>
      <xdr:spPr>
        <a:xfrm>
          <a:off x="161924" y="904875"/>
          <a:ext cx="1590675" cy="45720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100"/>
            <a:t>REKAP SIKAP</a:t>
          </a:r>
        </a:p>
      </xdr:txBody>
    </xdr:sp>
    <xdr:clientData/>
  </xdr:twoCellAnchor>
  <xdr:twoCellAnchor editAs="oneCell">
    <xdr:from>
      <xdr:col>2</xdr:col>
      <xdr:colOff>161925</xdr:colOff>
      <xdr:row>0</xdr:row>
      <xdr:rowOff>0</xdr:rowOff>
    </xdr:from>
    <xdr:to>
      <xdr:col>2</xdr:col>
      <xdr:colOff>161925</xdr:colOff>
      <xdr:row>0</xdr:row>
      <xdr:rowOff>190500</xdr:rowOff>
    </xdr:to>
    <xdr:pic>
      <xdr:nvPicPr>
        <xdr:cNvPr id="18" name="Picture 17"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9" name="Picture 18" descr="Button Menu Utama.png">
          <a:hlinkClick xmlns:r="http://schemas.openxmlformats.org/officeDocument/2006/relationships" r:id="rId10"/>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20" name="Picture 19" descr="Button Daftar Nilai Sikap.png">
          <a:hlinkClick xmlns:r="http://schemas.openxmlformats.org/officeDocument/2006/relationships" r:id="rId11"/>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1" name="Picture 20" descr="Cetak Formulir.png">
          <a:hlinkClick xmlns:r="http://schemas.openxmlformats.org/officeDocument/2006/relationships" r:id="rId12"/>
        </xdr:cNvPr>
        <xdr:cNvPicPr>
          <a:picLocks noChangeAspect="1"/>
        </xdr:cNvPicPr>
      </xdr:nvPicPr>
      <xdr:blipFill>
        <a:blip xmlns:r="http://schemas.openxmlformats.org/officeDocument/2006/relationships" r:embed="rId13"/>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2" name="Picture 21" descr="Button Menu Utama-2.png">
          <a:hlinkClick xmlns:r="http://schemas.openxmlformats.org/officeDocument/2006/relationships" r:id="rId14"/>
        </xdr:cNvPr>
        <xdr:cNvPicPr>
          <a:picLocks noChangeAspect="1"/>
        </xdr:cNvPicPr>
      </xdr:nvPicPr>
      <xdr:blipFill>
        <a:blip xmlns:r="http://schemas.openxmlformats.org/officeDocument/2006/relationships" r:embed="rId15" cstate="print"/>
        <a:stretch>
          <a:fillRect/>
        </a:stretch>
      </xdr:blipFill>
      <xdr:spPr>
        <a:xfrm>
          <a:off x="304800" y="590550"/>
          <a:ext cx="1166400" cy="1950"/>
        </a:xfrm>
        <a:prstGeom prst="rect">
          <a:avLst/>
        </a:prstGeom>
      </xdr:spPr>
    </xdr:pic>
    <xdr:clientData/>
  </xdr:twoCellAnchor>
  <xdr:twoCellAnchor>
    <xdr:from>
      <xdr:col>0</xdr:col>
      <xdr:colOff>114300</xdr:colOff>
      <xdr:row>0</xdr:row>
      <xdr:rowOff>342900</xdr:rowOff>
    </xdr:from>
    <xdr:to>
      <xdr:col>2</xdr:col>
      <xdr:colOff>1028700</xdr:colOff>
      <xdr:row>0</xdr:row>
      <xdr:rowOff>762000</xdr:rowOff>
    </xdr:to>
    <xdr:sp macro="" textlink="">
      <xdr:nvSpPr>
        <xdr:cNvPr id="14" name="Rounded Rectangle 13">
          <a:hlinkClick xmlns:r="http://schemas.openxmlformats.org/officeDocument/2006/relationships" r:id="rId16"/>
        </xdr:cNvPr>
        <xdr:cNvSpPr/>
      </xdr:nvSpPr>
      <xdr:spPr>
        <a:xfrm>
          <a:off x="114300" y="3429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3.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190500</xdr:rowOff>
    </xdr:to>
    <xdr:pic>
      <xdr:nvPicPr>
        <xdr:cNvPr id="17" name="Picture 16"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8" name="Picture 17"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9" name="Picture 18"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20" name="Picture 19"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21" name="Picture 20" descr="Button Menu Utama-2.png">
          <a:hlinkClick xmlns:r="http://schemas.openxmlformats.org/officeDocument/2006/relationships" r:id="rId8"/>
        </xdr:cNvPr>
        <xdr:cNvPicPr>
          <a:picLocks noChangeAspect="1"/>
        </xdr:cNvPicPr>
      </xdr:nvPicPr>
      <xdr:blipFill>
        <a:blip xmlns:r="http://schemas.openxmlformats.org/officeDocument/2006/relationships" r:embed="rId9" cstate="print"/>
        <a:stretch>
          <a:fillRect/>
        </a:stretch>
      </xdr:blipFill>
      <xdr:spPr>
        <a:xfrm>
          <a:off x="304800" y="590550"/>
          <a:ext cx="1166400" cy="360000"/>
        </a:xfrm>
        <a:prstGeom prst="rect">
          <a:avLst/>
        </a:prstGeom>
      </xdr:spPr>
    </xdr:pic>
    <xdr:clientData/>
  </xdr:twoCellAnchor>
  <xdr:twoCellAnchor editAs="oneCell">
    <xdr:from>
      <xdr:col>0</xdr:col>
      <xdr:colOff>161925</xdr:colOff>
      <xdr:row>0</xdr:row>
      <xdr:rowOff>504825</xdr:rowOff>
    </xdr:from>
    <xdr:to>
      <xdr:col>2</xdr:col>
      <xdr:colOff>528225</xdr:colOff>
      <xdr:row>0</xdr:row>
      <xdr:rowOff>864825</xdr:rowOff>
    </xdr:to>
    <xdr:pic>
      <xdr:nvPicPr>
        <xdr:cNvPr id="22" name="Picture 21" descr="Button Menu Utama-2.png">
          <a:hlinkClick xmlns:r="http://schemas.openxmlformats.org/officeDocument/2006/relationships" r:id="rId10"/>
        </xdr:cNvPr>
        <xdr:cNvPicPr>
          <a:picLocks noChangeAspect="1"/>
        </xdr:cNvPicPr>
      </xdr:nvPicPr>
      <xdr:blipFill>
        <a:blip xmlns:r="http://schemas.openxmlformats.org/officeDocument/2006/relationships" r:embed="rId9"/>
        <a:stretch>
          <a:fillRect/>
        </a:stretch>
      </xdr:blipFill>
      <xdr:spPr>
        <a:xfrm>
          <a:off x="161925" y="504825"/>
          <a:ext cx="1166400" cy="360000"/>
        </a:xfrm>
        <a:prstGeom prst="rect">
          <a:avLst/>
        </a:prstGeom>
      </xdr:spPr>
    </xdr:pic>
    <xdr:clientData/>
  </xdr:twoCellAnchor>
  <xdr:twoCellAnchor editAs="oneCell">
    <xdr:from>
      <xdr:col>2</xdr:col>
      <xdr:colOff>657225</xdr:colOff>
      <xdr:row>0</xdr:row>
      <xdr:rowOff>523875</xdr:rowOff>
    </xdr:from>
    <xdr:to>
      <xdr:col>2</xdr:col>
      <xdr:colOff>1895475</xdr:colOff>
      <xdr:row>0</xdr:row>
      <xdr:rowOff>914400</xdr:rowOff>
    </xdr:to>
    <xdr:pic>
      <xdr:nvPicPr>
        <xdr:cNvPr id="23" name="Picture 22"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1457325" y="523875"/>
          <a:ext cx="1238250" cy="39052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2</xdr:col>
      <xdr:colOff>161925</xdr:colOff>
      <xdr:row>0</xdr:row>
      <xdr:rowOff>0</xdr:rowOff>
    </xdr:from>
    <xdr:to>
      <xdr:col>2</xdr:col>
      <xdr:colOff>161925</xdr:colOff>
      <xdr:row>0</xdr:row>
      <xdr:rowOff>333375</xdr:rowOff>
    </xdr:to>
    <xdr:pic>
      <xdr:nvPicPr>
        <xdr:cNvPr id="2" name="Picture 1" descr="Button Menu Utama.png">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962025" y="0"/>
          <a:ext cx="0" cy="333375"/>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1188675</xdr:rowOff>
    </xdr:to>
    <xdr:pic>
      <xdr:nvPicPr>
        <xdr:cNvPr id="3" name="Picture 2" descr="Button Menu Utama.png">
          <a:hlinkClick xmlns:r="http://schemas.openxmlformats.org/officeDocument/2006/relationships" r:id="rId3"/>
        </xdr:cNvPr>
        <xdr:cNvPicPr>
          <a:picLocks noChangeAspect="1"/>
        </xdr:cNvPicPr>
      </xdr:nvPicPr>
      <xdr:blipFill>
        <a:blip xmlns:r="http://schemas.openxmlformats.org/officeDocument/2006/relationships" r:embed="rId2"/>
        <a:stretch>
          <a:fillRect/>
        </a:stretch>
      </xdr:blipFill>
      <xdr:spPr>
        <a:xfrm>
          <a:off x="923926" y="828675"/>
          <a:ext cx="0" cy="36000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1188675</xdr:rowOff>
    </xdr:to>
    <xdr:pic>
      <xdr:nvPicPr>
        <xdr:cNvPr id="4" name="Picture 3" descr="Button Daftar Nilai Sikap.png">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2143125" y="828675"/>
          <a:ext cx="0" cy="36000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971550</xdr:rowOff>
    </xdr:to>
    <xdr:pic>
      <xdr:nvPicPr>
        <xdr:cNvPr id="6" name="Picture 5" descr="Cetak Formulir.png">
          <a:hlinkClick xmlns:r="http://schemas.openxmlformats.org/officeDocument/2006/relationships" r:id="rId6"/>
        </xdr:cNvPr>
        <xdr:cNvPicPr>
          <a:picLocks noChangeAspect="1"/>
        </xdr:cNvPicPr>
      </xdr:nvPicPr>
      <xdr:blipFill>
        <a:blip xmlns:r="http://schemas.openxmlformats.org/officeDocument/2006/relationships" r:embed="rId7"/>
        <a:stretch>
          <a:fillRect/>
        </a:stretch>
      </xdr:blipFill>
      <xdr:spPr>
        <a:xfrm>
          <a:off x="3057525" y="581025"/>
          <a:ext cx="1238250" cy="390525"/>
        </a:xfrm>
        <a:prstGeom prst="rect">
          <a:avLst/>
        </a:prstGeom>
      </xdr:spPr>
    </xdr:pic>
    <xdr:clientData/>
  </xdr:twoCellAnchor>
  <xdr:twoCellAnchor editAs="oneCell">
    <xdr:from>
      <xdr:col>2</xdr:col>
      <xdr:colOff>161925</xdr:colOff>
      <xdr:row>0</xdr:row>
      <xdr:rowOff>0</xdr:rowOff>
    </xdr:from>
    <xdr:to>
      <xdr:col>2</xdr:col>
      <xdr:colOff>161925</xdr:colOff>
      <xdr:row>0</xdr:row>
      <xdr:rowOff>190500</xdr:rowOff>
    </xdr:to>
    <xdr:pic>
      <xdr:nvPicPr>
        <xdr:cNvPr id="13" name="Picture 12" descr="Button Menu Utama.png">
          <a:hlinkClick xmlns:r="http://schemas.openxmlformats.org/officeDocument/2006/relationships" r:id="rId8"/>
        </xdr:cNvPr>
        <xdr:cNvPicPr>
          <a:picLocks noChangeAspect="1"/>
        </xdr:cNvPicPr>
      </xdr:nvPicPr>
      <xdr:blipFill>
        <a:blip xmlns:r="http://schemas.openxmlformats.org/officeDocument/2006/relationships" r:embed="rId2"/>
        <a:stretch>
          <a:fillRect/>
        </a:stretch>
      </xdr:blipFill>
      <xdr:spPr>
        <a:xfrm>
          <a:off x="962025" y="0"/>
          <a:ext cx="0" cy="190500"/>
        </a:xfrm>
        <a:prstGeom prst="rect">
          <a:avLst/>
        </a:prstGeom>
      </xdr:spPr>
    </xdr:pic>
    <xdr:clientData/>
  </xdr:twoCellAnchor>
  <xdr:twoCellAnchor editAs="oneCell">
    <xdr:from>
      <xdr:col>2</xdr:col>
      <xdr:colOff>123826</xdr:colOff>
      <xdr:row>0</xdr:row>
      <xdr:rowOff>828675</xdr:rowOff>
    </xdr:from>
    <xdr:to>
      <xdr:col>2</xdr:col>
      <xdr:colOff>123826</xdr:colOff>
      <xdr:row>0</xdr:row>
      <xdr:rowOff>830625</xdr:rowOff>
    </xdr:to>
    <xdr:pic>
      <xdr:nvPicPr>
        <xdr:cNvPr id="14" name="Picture 13" descr="Button Menu Utama.png">
          <a:hlinkClick xmlns:r="http://schemas.openxmlformats.org/officeDocument/2006/relationships" r:id="rId9"/>
        </xdr:cNvPr>
        <xdr:cNvPicPr>
          <a:picLocks noChangeAspect="1"/>
        </xdr:cNvPicPr>
      </xdr:nvPicPr>
      <xdr:blipFill>
        <a:blip xmlns:r="http://schemas.openxmlformats.org/officeDocument/2006/relationships" r:embed="rId2"/>
        <a:stretch>
          <a:fillRect/>
        </a:stretch>
      </xdr:blipFill>
      <xdr:spPr>
        <a:xfrm>
          <a:off x="923926" y="828675"/>
          <a:ext cx="0" cy="1950"/>
        </a:xfrm>
        <a:prstGeom prst="rect">
          <a:avLst/>
        </a:prstGeom>
      </xdr:spPr>
    </xdr:pic>
    <xdr:clientData/>
  </xdr:twoCellAnchor>
  <xdr:twoCellAnchor editAs="oneCell">
    <xdr:from>
      <xdr:col>2</xdr:col>
      <xdr:colOff>1343025</xdr:colOff>
      <xdr:row>0</xdr:row>
      <xdr:rowOff>828675</xdr:rowOff>
    </xdr:from>
    <xdr:to>
      <xdr:col>2</xdr:col>
      <xdr:colOff>1343025</xdr:colOff>
      <xdr:row>0</xdr:row>
      <xdr:rowOff>830625</xdr:rowOff>
    </xdr:to>
    <xdr:pic>
      <xdr:nvPicPr>
        <xdr:cNvPr id="15" name="Picture 14" descr="Button Daftar Nilai Sikap.png">
          <a:hlinkClick xmlns:r="http://schemas.openxmlformats.org/officeDocument/2006/relationships" r:id="rId10"/>
        </xdr:cNvPr>
        <xdr:cNvPicPr>
          <a:picLocks noChangeAspect="1"/>
        </xdr:cNvPicPr>
      </xdr:nvPicPr>
      <xdr:blipFill>
        <a:blip xmlns:r="http://schemas.openxmlformats.org/officeDocument/2006/relationships" r:embed="rId5"/>
        <a:stretch>
          <a:fillRect/>
        </a:stretch>
      </xdr:blipFill>
      <xdr:spPr>
        <a:xfrm>
          <a:off x="2143125" y="828675"/>
          <a:ext cx="0" cy="1950"/>
        </a:xfrm>
        <a:prstGeom prst="rect">
          <a:avLst/>
        </a:prstGeom>
      </xdr:spPr>
    </xdr:pic>
    <xdr:clientData/>
  </xdr:twoCellAnchor>
  <xdr:twoCellAnchor editAs="oneCell">
    <xdr:from>
      <xdr:col>2</xdr:col>
      <xdr:colOff>2257425</xdr:colOff>
      <xdr:row>0</xdr:row>
      <xdr:rowOff>581025</xdr:rowOff>
    </xdr:from>
    <xdr:to>
      <xdr:col>2</xdr:col>
      <xdr:colOff>3495675</xdr:colOff>
      <xdr:row>0</xdr:row>
      <xdr:rowOff>581025</xdr:rowOff>
    </xdr:to>
    <xdr:pic>
      <xdr:nvPicPr>
        <xdr:cNvPr id="16" name="Picture 15" descr="Cetak Formulir.png">
          <a:hlinkClick xmlns:r="http://schemas.openxmlformats.org/officeDocument/2006/relationships" r:id="rId11"/>
        </xdr:cNvPr>
        <xdr:cNvPicPr>
          <a:picLocks noChangeAspect="1"/>
        </xdr:cNvPicPr>
      </xdr:nvPicPr>
      <xdr:blipFill>
        <a:blip xmlns:r="http://schemas.openxmlformats.org/officeDocument/2006/relationships" r:embed="rId7"/>
        <a:stretch>
          <a:fillRect/>
        </a:stretch>
      </xdr:blipFill>
      <xdr:spPr>
        <a:xfrm>
          <a:off x="3057525" y="581025"/>
          <a:ext cx="1238250" cy="0"/>
        </a:xfrm>
        <a:prstGeom prst="rect">
          <a:avLst/>
        </a:prstGeom>
      </xdr:spPr>
    </xdr:pic>
    <xdr:clientData/>
  </xdr:twoCellAnchor>
  <xdr:twoCellAnchor editAs="oneCell">
    <xdr:from>
      <xdr:col>0</xdr:col>
      <xdr:colOff>304800</xdr:colOff>
      <xdr:row>0</xdr:row>
      <xdr:rowOff>590550</xdr:rowOff>
    </xdr:from>
    <xdr:to>
      <xdr:col>2</xdr:col>
      <xdr:colOff>671100</xdr:colOff>
      <xdr:row>0</xdr:row>
      <xdr:rowOff>592500</xdr:rowOff>
    </xdr:to>
    <xdr:pic>
      <xdr:nvPicPr>
        <xdr:cNvPr id="17" name="Picture 16" descr="Button Menu Utama-2.png">
          <a:hlinkClick xmlns:r="http://schemas.openxmlformats.org/officeDocument/2006/relationships" r:id="rId12"/>
        </xdr:cNvPr>
        <xdr:cNvPicPr>
          <a:picLocks noChangeAspect="1"/>
        </xdr:cNvPicPr>
      </xdr:nvPicPr>
      <xdr:blipFill>
        <a:blip xmlns:r="http://schemas.openxmlformats.org/officeDocument/2006/relationships" r:embed="rId13" cstate="print"/>
        <a:stretch>
          <a:fillRect/>
        </a:stretch>
      </xdr:blipFill>
      <xdr:spPr>
        <a:xfrm>
          <a:off x="304800" y="590550"/>
          <a:ext cx="1166400" cy="1950"/>
        </a:xfrm>
        <a:prstGeom prst="rect">
          <a:avLst/>
        </a:prstGeom>
      </xdr:spPr>
    </xdr:pic>
    <xdr:clientData/>
  </xdr:twoCellAnchor>
  <xdr:twoCellAnchor>
    <xdr:from>
      <xdr:col>2</xdr:col>
      <xdr:colOff>752475</xdr:colOff>
      <xdr:row>0</xdr:row>
      <xdr:rowOff>1076326</xdr:rowOff>
    </xdr:from>
    <xdr:to>
      <xdr:col>2</xdr:col>
      <xdr:colOff>2238375</xdr:colOff>
      <xdr:row>0</xdr:row>
      <xdr:rowOff>1476376</xdr:rowOff>
    </xdr:to>
    <xdr:sp macro="" textlink="">
      <xdr:nvSpPr>
        <xdr:cNvPr id="12" name="Rounded Rectangle 11">
          <a:hlinkClick xmlns:r="http://schemas.openxmlformats.org/officeDocument/2006/relationships" r:id="rId14"/>
        </xdr:cNvPr>
        <xdr:cNvSpPr/>
      </xdr:nvSpPr>
      <xdr:spPr>
        <a:xfrm>
          <a:off x="1552575" y="1076326"/>
          <a:ext cx="1485900" cy="400050"/>
        </a:xfrm>
        <a:prstGeom prst="round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en-US" sz="1800" b="1"/>
            <a:t>REKAP</a:t>
          </a:r>
          <a:r>
            <a:rPr lang="en-US" sz="1800" b="1" baseline="0"/>
            <a:t> SIKAP</a:t>
          </a:r>
          <a:endParaRPr lang="en-US" sz="1800" b="1"/>
        </a:p>
      </xdr:txBody>
    </xdr:sp>
    <xdr:clientData/>
  </xdr:twoCellAnchor>
  <xdr:twoCellAnchor>
    <xdr:from>
      <xdr:col>2</xdr:col>
      <xdr:colOff>47625</xdr:colOff>
      <xdr:row>0</xdr:row>
      <xdr:rowOff>485775</xdr:rowOff>
    </xdr:from>
    <xdr:to>
      <xdr:col>2</xdr:col>
      <xdr:colOff>1762125</xdr:colOff>
      <xdr:row>0</xdr:row>
      <xdr:rowOff>904875</xdr:rowOff>
    </xdr:to>
    <xdr:sp macro="" textlink="">
      <xdr:nvSpPr>
        <xdr:cNvPr id="18" name="Rounded Rectangle 17">
          <a:hlinkClick xmlns:r="http://schemas.openxmlformats.org/officeDocument/2006/relationships" r:id="rId15"/>
        </xdr:cNvPr>
        <xdr:cNvSpPr/>
      </xdr:nvSpPr>
      <xdr:spPr>
        <a:xfrm>
          <a:off x="847725" y="48577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2</xdr:col>
      <xdr:colOff>238125</xdr:colOff>
      <xdr:row>0</xdr:row>
      <xdr:rowOff>85725</xdr:rowOff>
    </xdr:from>
    <xdr:to>
      <xdr:col>2</xdr:col>
      <xdr:colOff>1952625</xdr:colOff>
      <xdr:row>2</xdr:row>
      <xdr:rowOff>123825</xdr:rowOff>
    </xdr:to>
    <xdr:sp macro="" textlink="">
      <xdr:nvSpPr>
        <xdr:cNvPr id="4" name="Rounded Rectangle 3">
          <a:hlinkClick xmlns:r="http://schemas.openxmlformats.org/officeDocument/2006/relationships" r:id="rId1"/>
        </xdr:cNvPr>
        <xdr:cNvSpPr/>
      </xdr:nvSpPr>
      <xdr:spPr>
        <a:xfrm>
          <a:off x="1038225" y="857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95250</xdr:colOff>
      <xdr:row>0</xdr:row>
      <xdr:rowOff>66676</xdr:rowOff>
    </xdr:from>
    <xdr:to>
      <xdr:col>1</xdr:col>
      <xdr:colOff>552449</xdr:colOff>
      <xdr:row>2</xdr:row>
      <xdr:rowOff>104776</xdr:rowOff>
    </xdr:to>
    <xdr:sp macro="" textlink="">
      <xdr:nvSpPr>
        <xdr:cNvPr id="2" name="Flowchart: Alternate Process 1">
          <a:hlinkClick xmlns:r="http://schemas.openxmlformats.org/officeDocument/2006/relationships" r:id="rId1" tooltip="Klik &quot;Menu&quot; untuk kembali ke Menu. Created by Purnawanto"/>
        </xdr:cNvPr>
        <xdr:cNvSpPr/>
      </xdr:nvSpPr>
      <xdr:spPr>
        <a:xfrm>
          <a:off x="95250" y="66676"/>
          <a:ext cx="761999" cy="457200"/>
        </a:xfrm>
        <a:prstGeom prst="flowChartAlternateProcess">
          <a:avLst/>
        </a:prstGeom>
        <a:solidFill>
          <a:srgbClr val="FFFF00"/>
        </a:solidFill>
        <a:ln>
          <a:solidFill>
            <a:srgbClr val="0000CC"/>
          </a:solidFill>
        </a:ln>
        <a:effectLst>
          <a:glow rad="2286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400">
              <a:solidFill>
                <a:srgbClr val="C00000"/>
              </a:solidFill>
              <a:effectLst>
                <a:glow rad="228600">
                  <a:schemeClr val="accent3">
                    <a:satMod val="175000"/>
                    <a:alpha val="40000"/>
                  </a:schemeClr>
                </a:glow>
              </a:effectLst>
              <a:latin typeface="Arial Rounded MT Bold" pitchFamily="34" charset="0"/>
            </a:rPr>
            <a:t>Home</a:t>
          </a:r>
        </a:p>
      </xdr:txBody>
    </xdr:sp>
    <xdr:clientData/>
  </xdr:twoCellAnchor>
  <xdr:twoCellAnchor>
    <xdr:from>
      <xdr:col>0</xdr:col>
      <xdr:colOff>156127</xdr:colOff>
      <xdr:row>3</xdr:row>
      <xdr:rowOff>65433</xdr:rowOff>
    </xdr:from>
    <xdr:to>
      <xdr:col>1</xdr:col>
      <xdr:colOff>1470577</xdr:colOff>
      <xdr:row>13</xdr:row>
      <xdr:rowOff>0</xdr:rowOff>
    </xdr:to>
    <xdr:sp macro="" textlink="">
      <xdr:nvSpPr>
        <xdr:cNvPr id="3" name="Rectangle 2"/>
        <xdr:cNvSpPr/>
      </xdr:nvSpPr>
      <xdr:spPr>
        <a:xfrm>
          <a:off x="156127"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xdr:col>
      <xdr:colOff>600075</xdr:colOff>
      <xdr:row>0</xdr:row>
      <xdr:rowOff>104775</xdr:rowOff>
    </xdr:from>
    <xdr:to>
      <xdr:col>2</xdr:col>
      <xdr:colOff>19050</xdr:colOff>
      <xdr:row>2</xdr:row>
      <xdr:rowOff>76200</xdr:rowOff>
    </xdr:to>
    <xdr:sp macro="" textlink="">
      <xdr:nvSpPr>
        <xdr:cNvPr id="4" name="Rounded Rectangle 3">
          <a:hlinkClick xmlns:r="http://schemas.openxmlformats.org/officeDocument/2006/relationships" r:id="rId2"/>
        </xdr:cNvPr>
        <xdr:cNvSpPr/>
      </xdr:nvSpPr>
      <xdr:spPr>
        <a:xfrm>
          <a:off x="904875" y="104775"/>
          <a:ext cx="1247775" cy="390525"/>
        </a:xfrm>
        <a:prstGeom prst="round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100"/>
            <a:t>REKAP NILAI KETRAMPILAN</a:t>
          </a:r>
        </a:p>
      </xdr:txBody>
    </xdr:sp>
    <xdr:clientData/>
  </xdr:twoCellAnchor>
  <xdr:twoCellAnchor>
    <xdr:from>
      <xdr:col>10</xdr:col>
      <xdr:colOff>247650</xdr:colOff>
      <xdr:row>9</xdr:row>
      <xdr:rowOff>123825</xdr:rowOff>
    </xdr:from>
    <xdr:to>
      <xdr:col>13</xdr:col>
      <xdr:colOff>514350</xdr:colOff>
      <xdr:row>11</xdr:row>
      <xdr:rowOff>161925</xdr:rowOff>
    </xdr:to>
    <xdr:sp macro="" textlink="">
      <xdr:nvSpPr>
        <xdr:cNvPr id="5" name="Rounded Rectangle 4">
          <a:hlinkClick xmlns:r="http://schemas.openxmlformats.org/officeDocument/2006/relationships" r:id="rId3"/>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110</xdr:col>
      <xdr:colOff>0</xdr:colOff>
      <xdr:row>10</xdr:row>
      <xdr:rowOff>0</xdr:rowOff>
    </xdr:from>
    <xdr:to>
      <xdr:col>114</xdr:col>
      <xdr:colOff>304800</xdr:colOff>
      <xdr:row>12</xdr:row>
      <xdr:rowOff>38100</xdr:rowOff>
    </xdr:to>
    <xdr:sp macro="" textlink="">
      <xdr:nvSpPr>
        <xdr:cNvPr id="13" name="Rounded Rectangle 12">
          <a:hlinkClick xmlns:r="http://schemas.openxmlformats.org/officeDocument/2006/relationships" r:id="rId4"/>
        </xdr:cNvPr>
        <xdr:cNvSpPr/>
      </xdr:nvSpPr>
      <xdr:spPr>
        <a:xfrm>
          <a:off x="50482500" y="1943100"/>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22</xdr:col>
      <xdr:colOff>247650</xdr:colOff>
      <xdr:row>9</xdr:row>
      <xdr:rowOff>123825</xdr:rowOff>
    </xdr:from>
    <xdr:to>
      <xdr:col>25</xdr:col>
      <xdr:colOff>514350</xdr:colOff>
      <xdr:row>11</xdr:row>
      <xdr:rowOff>161925</xdr:rowOff>
    </xdr:to>
    <xdr:sp macro="" textlink="">
      <xdr:nvSpPr>
        <xdr:cNvPr id="14" name="Rounded Rectangle 13">
          <a:hlinkClick xmlns:r="http://schemas.openxmlformats.org/officeDocument/2006/relationships" r:id="rId5"/>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34</xdr:col>
      <xdr:colOff>247650</xdr:colOff>
      <xdr:row>9</xdr:row>
      <xdr:rowOff>123825</xdr:rowOff>
    </xdr:from>
    <xdr:to>
      <xdr:col>37</xdr:col>
      <xdr:colOff>514350</xdr:colOff>
      <xdr:row>11</xdr:row>
      <xdr:rowOff>161925</xdr:rowOff>
    </xdr:to>
    <xdr:sp macro="" textlink="">
      <xdr:nvSpPr>
        <xdr:cNvPr id="15" name="Rounded Rectangle 14">
          <a:hlinkClick xmlns:r="http://schemas.openxmlformats.org/officeDocument/2006/relationships" r:id="rId6"/>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46</xdr:col>
      <xdr:colOff>247650</xdr:colOff>
      <xdr:row>9</xdr:row>
      <xdr:rowOff>123825</xdr:rowOff>
    </xdr:from>
    <xdr:to>
      <xdr:col>49</xdr:col>
      <xdr:colOff>514350</xdr:colOff>
      <xdr:row>11</xdr:row>
      <xdr:rowOff>161925</xdr:rowOff>
    </xdr:to>
    <xdr:sp macro="" textlink="">
      <xdr:nvSpPr>
        <xdr:cNvPr id="16" name="Rounded Rectangle 15">
          <a:hlinkClick xmlns:r="http://schemas.openxmlformats.org/officeDocument/2006/relationships" r:id="rId7"/>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58</xdr:col>
      <xdr:colOff>247650</xdr:colOff>
      <xdr:row>9</xdr:row>
      <xdr:rowOff>123825</xdr:rowOff>
    </xdr:from>
    <xdr:to>
      <xdr:col>61</xdr:col>
      <xdr:colOff>514350</xdr:colOff>
      <xdr:row>11</xdr:row>
      <xdr:rowOff>161925</xdr:rowOff>
    </xdr:to>
    <xdr:sp macro="" textlink="">
      <xdr:nvSpPr>
        <xdr:cNvPr id="17" name="Rounded Rectangle 16">
          <a:hlinkClick xmlns:r="http://schemas.openxmlformats.org/officeDocument/2006/relationships" r:id="rId8"/>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70</xdr:col>
      <xdr:colOff>247650</xdr:colOff>
      <xdr:row>9</xdr:row>
      <xdr:rowOff>123825</xdr:rowOff>
    </xdr:from>
    <xdr:to>
      <xdr:col>73</xdr:col>
      <xdr:colOff>514350</xdr:colOff>
      <xdr:row>11</xdr:row>
      <xdr:rowOff>161925</xdr:rowOff>
    </xdr:to>
    <xdr:sp macro="" textlink="">
      <xdr:nvSpPr>
        <xdr:cNvPr id="18" name="Rounded Rectangle 17">
          <a:hlinkClick xmlns:r="http://schemas.openxmlformats.org/officeDocument/2006/relationships" r:id="rId9"/>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82</xdr:col>
      <xdr:colOff>247650</xdr:colOff>
      <xdr:row>9</xdr:row>
      <xdr:rowOff>123825</xdr:rowOff>
    </xdr:from>
    <xdr:to>
      <xdr:col>85</xdr:col>
      <xdr:colOff>514350</xdr:colOff>
      <xdr:row>11</xdr:row>
      <xdr:rowOff>161925</xdr:rowOff>
    </xdr:to>
    <xdr:sp macro="" textlink="">
      <xdr:nvSpPr>
        <xdr:cNvPr id="19" name="Rounded Rectangle 18">
          <a:hlinkClick xmlns:r="http://schemas.openxmlformats.org/officeDocument/2006/relationships" r:id="rId10"/>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94</xdr:col>
      <xdr:colOff>247650</xdr:colOff>
      <xdr:row>9</xdr:row>
      <xdr:rowOff>123825</xdr:rowOff>
    </xdr:from>
    <xdr:to>
      <xdr:col>97</xdr:col>
      <xdr:colOff>514350</xdr:colOff>
      <xdr:row>11</xdr:row>
      <xdr:rowOff>161925</xdr:rowOff>
    </xdr:to>
    <xdr:sp macro="" textlink="">
      <xdr:nvSpPr>
        <xdr:cNvPr id="20" name="Rounded Rectangle 19">
          <a:hlinkClick xmlns:r="http://schemas.openxmlformats.org/officeDocument/2006/relationships" r:id="rId11"/>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twoCellAnchor>
    <xdr:from>
      <xdr:col>118</xdr:col>
      <xdr:colOff>247650</xdr:colOff>
      <xdr:row>9</xdr:row>
      <xdr:rowOff>123825</xdr:rowOff>
    </xdr:from>
    <xdr:to>
      <xdr:col>121</xdr:col>
      <xdr:colOff>514350</xdr:colOff>
      <xdr:row>11</xdr:row>
      <xdr:rowOff>161925</xdr:rowOff>
    </xdr:to>
    <xdr:sp macro="" textlink="">
      <xdr:nvSpPr>
        <xdr:cNvPr id="22" name="Rounded Rectangle 21">
          <a:hlinkClick xmlns:r="http://schemas.openxmlformats.org/officeDocument/2006/relationships" r:id="rId12"/>
        </xdr:cNvPr>
        <xdr:cNvSpPr/>
      </xdr:nvSpPr>
      <xdr:spPr>
        <a:xfrm>
          <a:off x="5200650" y="1876425"/>
          <a:ext cx="1714500"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70402</xdr:colOff>
      <xdr:row>6</xdr:row>
      <xdr:rowOff>65433</xdr:rowOff>
    </xdr:from>
    <xdr:to>
      <xdr:col>1</xdr:col>
      <xdr:colOff>1384852</xdr:colOff>
      <xdr:row>16</xdr:row>
      <xdr:rowOff>0</xdr:rowOff>
    </xdr:to>
    <xdr:sp macro="" textlink="">
      <xdr:nvSpPr>
        <xdr:cNvPr id="3" name="Rectangle 2"/>
        <xdr:cNvSpPr/>
      </xdr:nvSpPr>
      <xdr:spPr>
        <a:xfrm>
          <a:off x="70402" y="1265583"/>
          <a:ext cx="1619250" cy="1839567"/>
        </a:xfrm>
        <a:prstGeom prst="rect">
          <a:avLst/>
        </a:prstGeom>
        <a:solidFill>
          <a:schemeClr val="tx2"/>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100" b="1"/>
            <a:t>PETUNJUK:</a:t>
          </a:r>
        </a:p>
        <a:p>
          <a:pPr algn="l"/>
          <a:r>
            <a:rPr lang="id-ID" sz="1100"/>
            <a:t>1.</a:t>
          </a:r>
          <a:r>
            <a:rPr lang="id-ID" sz="1100" baseline="0"/>
            <a:t> Isilah aspek yang akan </a:t>
          </a:r>
        </a:p>
        <a:p>
          <a:pPr algn="l"/>
          <a:r>
            <a:rPr lang="id-ID" sz="1100" baseline="0"/>
            <a:t>    dinilai untuk  penilaian </a:t>
          </a:r>
        </a:p>
        <a:p>
          <a:pPr algn="l"/>
          <a:r>
            <a:rPr lang="id-ID" sz="1100" baseline="0"/>
            <a:t>    portofolio</a:t>
          </a:r>
        </a:p>
        <a:p>
          <a:pPr algn="l"/>
          <a:r>
            <a:rPr lang="id-ID" sz="1100" baseline="0"/>
            <a:t>2. Isilah keterangan  </a:t>
          </a:r>
        </a:p>
        <a:p>
          <a:pPr algn="l"/>
          <a:r>
            <a:rPr lang="id-ID" sz="1100" baseline="0"/>
            <a:t>    penilaian untuk </a:t>
          </a:r>
        </a:p>
        <a:p>
          <a:pPr algn="l"/>
          <a:r>
            <a:rPr lang="id-ID" sz="1100" baseline="0"/>
            <a:t>    masing2 skor 1, 2, 3 </a:t>
          </a:r>
        </a:p>
        <a:p>
          <a:pPr algn="l"/>
          <a:r>
            <a:rPr lang="id-ID" sz="1100" baseline="0"/>
            <a:t>    dan 4.</a:t>
          </a:r>
        </a:p>
        <a:p>
          <a:pPr algn="l"/>
          <a:r>
            <a:rPr lang="id-ID" sz="1100" baseline="0"/>
            <a:t>3. Isi nilai Portofolio</a:t>
          </a:r>
        </a:p>
        <a:p>
          <a:pPr algn="l"/>
          <a:r>
            <a:rPr lang="id-ID" sz="1100" baseline="0"/>
            <a:t>    setiap siswa.</a:t>
          </a:r>
          <a:endParaRPr lang="id-ID" sz="1100"/>
        </a:p>
      </xdr:txBody>
    </xdr:sp>
    <xdr:clientData/>
  </xdr:twoCellAnchor>
  <xdr:twoCellAnchor>
    <xdr:from>
      <xdr:col>12</xdr:col>
      <xdr:colOff>133350</xdr:colOff>
      <xdr:row>4</xdr:row>
      <xdr:rowOff>47625</xdr:rowOff>
    </xdr:from>
    <xdr:to>
      <xdr:col>14</xdr:col>
      <xdr:colOff>590550</xdr:colOff>
      <xdr:row>6</xdr:row>
      <xdr:rowOff>66675</xdr:rowOff>
    </xdr:to>
    <xdr:sp macro="" textlink="">
      <xdr:nvSpPr>
        <xdr:cNvPr id="4" name="Rounded Rectangle 3">
          <a:hlinkClick xmlns:r="http://schemas.openxmlformats.org/officeDocument/2006/relationships" r:id="rId1"/>
        </xdr:cNvPr>
        <xdr:cNvSpPr/>
      </xdr:nvSpPr>
      <xdr:spPr>
        <a:xfrm>
          <a:off x="7639050" y="847725"/>
          <a:ext cx="1590675" cy="4191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d-ID" sz="1400" b="1"/>
            <a:t>MENU</a:t>
          </a:r>
          <a:r>
            <a:rPr lang="id-ID" sz="1400" b="1" baseline="0"/>
            <a:t> UTAMA</a:t>
          </a:r>
          <a:endParaRPr lang="id-ID" sz="1400" b="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Aplikasi%20Raport%20Kur%202013%20V.05.14%20Free%20Passwo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ULIYAT%20FILE/PERANGKAT%202014/RAPORT%20PALING%20BARU/Documents%20and%20Settings/Administrator.MLG-4D0D7C9B122/Application%20Data/Microsoft/Excel/Daftar%20Nilai%20Kur%202013%20SMP%20for%20All_Revisi%20April%20201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ome"/>
      <sheetName val="Data Identitas"/>
      <sheetName val="Data Raport"/>
      <sheetName val="P.Ag"/>
      <sheetName val="PPKn"/>
      <sheetName val="B.Ind"/>
      <sheetName val="MM"/>
      <sheetName val="IPA"/>
      <sheetName val="IPS"/>
      <sheetName val="BIng"/>
      <sheetName val="SBd"/>
      <sheetName val="Pjk"/>
      <sheetName val="Prk"/>
      <sheetName val="DKN"/>
      <sheetName val="Deskripsi Sikap"/>
      <sheetName val="hal depan"/>
      <sheetName val="Raport Ganjil"/>
      <sheetName val="Raport Genap"/>
      <sheetName val="Coper dan Petunjuk"/>
      <sheetName val="Ket Pindah &amp; Prestasi"/>
      <sheetName val="Sheet1"/>
    </sheetNames>
    <sheetDataSet>
      <sheetData sheetId="0" refreshError="1"/>
      <sheetData sheetId="1" refreshError="1"/>
      <sheetData sheetId="2">
        <row r="3">
          <cell r="C3" t="str">
            <v>Dinas Pendidikan Kota Medan</v>
          </cell>
        </row>
        <row r="5">
          <cell r="C5" t="str">
            <v>SMP Negeri 1 Tebing Tinggi</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Home"/>
      <sheetName val="Menu"/>
      <sheetName val="Input"/>
      <sheetName val="Data "/>
      <sheetName val="Pengetahuan"/>
      <sheetName val="Ketrampilan"/>
      <sheetName val="Sikap"/>
      <sheetName val="Rekap"/>
      <sheetName val="Obs"/>
      <sheetName val="Obs 1"/>
      <sheetName val="Obs2"/>
      <sheetName val="AT-1"/>
      <sheetName val="AT-2"/>
      <sheetName val="N Diri-1"/>
      <sheetName val="N Diri-2"/>
      <sheetName val="Jurnal"/>
      <sheetName val="UK-1"/>
      <sheetName val="UK-2"/>
      <sheetName val="UK-3"/>
      <sheetName val="PrJ-1"/>
      <sheetName val="PrJ-2"/>
      <sheetName val="PrJ-3"/>
      <sheetName val="Pf-1"/>
      <sheetName val="Sheet3"/>
      <sheetName val="Pf-2"/>
      <sheetName val="Kumulasi"/>
      <sheetName val="Sheet1"/>
      <sheetName val="Sheet13"/>
    </sheetNames>
    <sheetDataSet>
      <sheetData sheetId="0"/>
      <sheetData sheetId="1"/>
      <sheetData sheetId="2"/>
      <sheetData sheetId="3">
        <row r="12">
          <cell r="D12" t="str">
            <v>0341-787422</v>
          </cell>
        </row>
        <row r="13">
          <cell r="D13" t="str">
            <v>2014 / 2015</v>
          </cell>
        </row>
        <row r="18">
          <cell r="D18" t="str">
            <v>FM-KUR-03-07</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5.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6.xml"/><Relationship Id="rId1" Type="http://schemas.openxmlformats.org/officeDocument/2006/relationships/printerSettings" Target="../printerSettings/printerSettings19.bin"/><Relationship Id="rId4"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7.xml"/><Relationship Id="rId1" Type="http://schemas.openxmlformats.org/officeDocument/2006/relationships/printerSettings" Target="../printerSettings/printerSettings20.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sheetPr codeName="Sheet1"/>
  <dimension ref="A1:R63"/>
  <sheetViews>
    <sheetView showGridLines="0" showRowColHeaders="0" tabSelected="1" topLeftCell="A3" zoomScale="60" zoomScaleNormal="60" workbookViewId="0"/>
  </sheetViews>
  <sheetFormatPr defaultColWidth="0" defaultRowHeight="15" zeroHeight="1"/>
  <cols>
    <col min="1" max="1" width="1.140625" style="125" customWidth="1"/>
    <col min="2" max="2" width="17.85546875" style="125" customWidth="1"/>
    <col min="3" max="3" width="1.7109375" style="125" bestFit="1" customWidth="1"/>
    <col min="4" max="4" width="9" style="125" customWidth="1"/>
    <col min="5" max="5" width="34" style="125" customWidth="1"/>
    <col min="6" max="6" width="3.5703125" style="125" customWidth="1"/>
    <col min="7" max="7" width="4" style="125" customWidth="1"/>
    <col min="8" max="8" width="13.42578125" style="125" customWidth="1"/>
    <col min="9" max="10" width="9.140625" style="125" customWidth="1"/>
    <col min="11" max="11" width="14.140625" style="125" customWidth="1"/>
    <col min="12" max="12" width="4.5703125" style="125" customWidth="1"/>
    <col min="13" max="13" width="9.140625" style="125" customWidth="1"/>
    <col min="14" max="14" width="3.7109375" style="125" customWidth="1"/>
    <col min="15" max="17" width="9.140625" style="125" customWidth="1"/>
    <col min="18" max="18" width="52.42578125" style="125" customWidth="1"/>
    <col min="19" max="16384" width="9.140625" style="125" hidden="1"/>
  </cols>
  <sheetData>
    <row r="1" spans="1:18" ht="43.5" customHeight="1" thickBot="1">
      <c r="B1" s="331"/>
      <c r="C1" s="332"/>
      <c r="D1" s="333"/>
      <c r="E1" s="430" t="s">
        <v>440</v>
      </c>
      <c r="F1" s="430"/>
      <c r="G1" s="430"/>
      <c r="H1" s="430"/>
      <c r="I1" s="430"/>
      <c r="J1" s="430"/>
      <c r="K1" s="430"/>
      <c r="L1" s="430"/>
      <c r="M1" s="430"/>
      <c r="N1" s="431"/>
      <c r="O1" s="445">
        <v>2016</v>
      </c>
      <c r="P1" s="446"/>
      <c r="Q1" s="446"/>
      <c r="R1" s="355" t="s">
        <v>472</v>
      </c>
    </row>
    <row r="2" spans="1:18" ht="32.25" customHeight="1" thickBot="1">
      <c r="B2" s="334"/>
      <c r="C2" s="335"/>
      <c r="D2" s="336"/>
      <c r="E2" s="439" t="s">
        <v>465</v>
      </c>
      <c r="F2" s="440"/>
      <c r="G2" s="440"/>
      <c r="H2" s="440"/>
      <c r="I2" s="440"/>
      <c r="J2" s="440"/>
      <c r="K2" s="440"/>
      <c r="L2" s="440"/>
      <c r="M2" s="440"/>
      <c r="N2" s="441"/>
      <c r="O2" s="445"/>
      <c r="P2" s="446"/>
      <c r="Q2" s="446"/>
      <c r="R2" s="365" t="s">
        <v>473</v>
      </c>
    </row>
    <row r="3" spans="1:18" ht="7.5" customHeight="1" thickBot="1">
      <c r="B3" s="337"/>
      <c r="C3" s="338"/>
      <c r="D3" s="339"/>
      <c r="E3" s="339"/>
      <c r="F3" s="339"/>
      <c r="G3" s="339"/>
      <c r="H3" s="338"/>
      <c r="I3" s="338"/>
      <c r="J3" s="338"/>
      <c r="K3" s="338"/>
      <c r="L3" s="338"/>
      <c r="M3" s="338"/>
      <c r="N3" s="340"/>
      <c r="O3" s="447"/>
      <c r="P3" s="448"/>
      <c r="Q3" s="448"/>
      <c r="R3" s="354"/>
    </row>
    <row r="4" spans="1:18" ht="20.25" customHeight="1" thickBot="1">
      <c r="B4" s="432" t="s">
        <v>507</v>
      </c>
      <c r="C4" s="433"/>
      <c r="D4" s="433"/>
      <c r="E4" s="434"/>
      <c r="F4" s="392"/>
      <c r="G4" s="372"/>
      <c r="H4" s="373"/>
      <c r="I4" s="373"/>
      <c r="J4" s="373"/>
      <c r="K4" s="373"/>
      <c r="L4" s="373"/>
      <c r="M4" s="373"/>
      <c r="N4" s="374"/>
      <c r="O4" s="442" t="s">
        <v>441</v>
      </c>
      <c r="P4" s="443"/>
      <c r="Q4" s="443"/>
      <c r="R4" s="444"/>
    </row>
    <row r="5" spans="1:18" ht="20.25" customHeight="1">
      <c r="A5" s="315"/>
      <c r="B5" s="435"/>
      <c r="C5" s="436"/>
      <c r="D5" s="436"/>
      <c r="E5" s="437"/>
      <c r="F5" s="393"/>
      <c r="G5" s="375"/>
      <c r="H5" s="438"/>
      <c r="I5" s="438"/>
      <c r="J5" s="438"/>
      <c r="K5" s="438"/>
      <c r="L5" s="438"/>
      <c r="M5" s="438"/>
      <c r="N5" s="376"/>
      <c r="O5" s="418" t="s">
        <v>443</v>
      </c>
      <c r="P5" s="419"/>
      <c r="Q5" s="419"/>
      <c r="R5" s="420"/>
    </row>
    <row r="6" spans="1:18" ht="20.25" customHeight="1">
      <c r="A6" s="315"/>
      <c r="B6" s="435"/>
      <c r="C6" s="436"/>
      <c r="D6" s="436"/>
      <c r="E6" s="437"/>
      <c r="F6" s="393"/>
      <c r="G6" s="375"/>
      <c r="H6" s="373"/>
      <c r="I6" s="373"/>
      <c r="J6" s="373"/>
      <c r="K6" s="373"/>
      <c r="L6" s="373"/>
      <c r="M6" s="373"/>
      <c r="N6" s="376"/>
      <c r="O6" s="421"/>
      <c r="P6" s="422"/>
      <c r="Q6" s="422"/>
      <c r="R6" s="423"/>
    </row>
    <row r="7" spans="1:18" ht="20.25" customHeight="1">
      <c r="B7" s="435"/>
      <c r="C7" s="436"/>
      <c r="D7" s="436"/>
      <c r="E7" s="437"/>
      <c r="F7" s="394"/>
      <c r="G7" s="372"/>
      <c r="H7" s="373"/>
      <c r="I7" s="373"/>
      <c r="J7" s="373"/>
      <c r="K7" s="373"/>
      <c r="L7" s="373"/>
      <c r="M7" s="373"/>
      <c r="N7" s="376"/>
      <c r="O7" s="421"/>
      <c r="P7" s="422"/>
      <c r="Q7" s="422"/>
      <c r="R7" s="423"/>
    </row>
    <row r="8" spans="1:18" ht="20.25" customHeight="1">
      <c r="B8" s="435"/>
      <c r="C8" s="436"/>
      <c r="D8" s="436"/>
      <c r="E8" s="437"/>
      <c r="F8" s="394"/>
      <c r="G8" s="372"/>
      <c r="H8" s="373"/>
      <c r="I8" s="373"/>
      <c r="J8" s="373"/>
      <c r="K8" s="373"/>
      <c r="L8" s="373"/>
      <c r="M8" s="373"/>
      <c r="N8" s="376"/>
      <c r="O8" s="421"/>
      <c r="P8" s="422"/>
      <c r="Q8" s="422"/>
      <c r="R8" s="423"/>
    </row>
    <row r="9" spans="1:18" ht="20.25" customHeight="1" thickBot="1">
      <c r="B9" s="452" t="s">
        <v>539</v>
      </c>
      <c r="C9" s="453"/>
      <c r="D9" s="453"/>
      <c r="E9" s="454"/>
      <c r="F9" s="395"/>
      <c r="G9" s="372"/>
      <c r="H9" s="373"/>
      <c r="I9" s="373"/>
      <c r="J9" s="373"/>
      <c r="K9" s="373"/>
      <c r="L9" s="373"/>
      <c r="M9" s="373"/>
      <c r="N9" s="376"/>
      <c r="O9" s="421"/>
      <c r="P9" s="422"/>
      <c r="Q9" s="422"/>
      <c r="R9" s="423"/>
    </row>
    <row r="10" spans="1:18" ht="20.25" customHeight="1" thickBot="1">
      <c r="B10" s="396"/>
      <c r="C10" s="396"/>
      <c r="D10" s="396"/>
      <c r="E10" s="396"/>
      <c r="F10" s="396"/>
      <c r="G10" s="377"/>
      <c r="H10" s="378"/>
      <c r="I10" s="378"/>
      <c r="J10" s="378"/>
      <c r="K10" s="378"/>
      <c r="L10" s="378"/>
      <c r="M10" s="378"/>
      <c r="N10" s="379"/>
      <c r="O10" s="421"/>
      <c r="P10" s="422"/>
      <c r="Q10" s="422"/>
      <c r="R10" s="423"/>
    </row>
    <row r="11" spans="1:18" ht="20.25" customHeight="1">
      <c r="B11" s="341" t="s">
        <v>239</v>
      </c>
      <c r="C11" s="342" t="s">
        <v>240</v>
      </c>
      <c r="D11" s="343" t="s">
        <v>545</v>
      </c>
      <c r="E11" s="344"/>
      <c r="F11" s="397"/>
      <c r="G11" s="380"/>
      <c r="H11" s="381"/>
      <c r="I11" s="381"/>
      <c r="J11" s="381"/>
      <c r="K11" s="381"/>
      <c r="L11" s="381"/>
      <c r="M11" s="381"/>
      <c r="N11" s="382"/>
      <c r="O11" s="323"/>
      <c r="P11" s="324"/>
      <c r="Q11" s="324"/>
      <c r="R11" s="325"/>
    </row>
    <row r="12" spans="1:18" ht="20.25" customHeight="1">
      <c r="B12" s="345" t="s">
        <v>241</v>
      </c>
      <c r="C12" s="346" t="s">
        <v>240</v>
      </c>
      <c r="D12" s="347" t="s">
        <v>488</v>
      </c>
      <c r="E12" s="348"/>
      <c r="F12" s="398"/>
      <c r="G12" s="366"/>
      <c r="H12" s="367"/>
      <c r="I12" s="367"/>
      <c r="J12" s="367"/>
      <c r="K12" s="367"/>
      <c r="L12" s="367"/>
      <c r="M12" s="367"/>
      <c r="N12" s="368"/>
      <c r="O12" s="323"/>
      <c r="P12" s="324"/>
      <c r="Q12" s="324"/>
      <c r="R12" s="325"/>
    </row>
    <row r="13" spans="1:18" ht="20.25" customHeight="1">
      <c r="B13" s="345" t="s">
        <v>242</v>
      </c>
      <c r="C13" s="346" t="s">
        <v>240</v>
      </c>
      <c r="D13" s="459" t="s">
        <v>504</v>
      </c>
      <c r="E13" s="460"/>
      <c r="F13" s="399"/>
      <c r="G13" s="366"/>
      <c r="H13" s="367"/>
      <c r="I13" s="367"/>
      <c r="J13" s="367"/>
      <c r="K13" s="367"/>
      <c r="L13" s="367"/>
      <c r="M13" s="367"/>
      <c r="N13" s="368"/>
      <c r="O13" s="323"/>
      <c r="P13" s="324"/>
      <c r="Q13" s="324"/>
      <c r="R13" s="325"/>
    </row>
    <row r="14" spans="1:18" ht="20.25" customHeight="1">
      <c r="B14" s="345" t="s">
        <v>243</v>
      </c>
      <c r="C14" s="346" t="s">
        <v>240</v>
      </c>
      <c r="D14" s="455" t="s">
        <v>505</v>
      </c>
      <c r="E14" s="456"/>
      <c r="F14" s="400"/>
      <c r="G14" s="366"/>
      <c r="H14" s="367"/>
      <c r="I14" s="367"/>
      <c r="J14" s="367"/>
      <c r="K14" s="367"/>
      <c r="L14" s="367"/>
      <c r="M14" s="367"/>
      <c r="N14" s="368"/>
      <c r="O14" s="323"/>
      <c r="P14" s="324"/>
      <c r="Q14" s="324"/>
      <c r="R14" s="325"/>
    </row>
    <row r="15" spans="1:18" ht="20.25" customHeight="1">
      <c r="B15" s="349" t="s">
        <v>295</v>
      </c>
      <c r="C15" s="346" t="s">
        <v>240</v>
      </c>
      <c r="D15" s="457">
        <v>1</v>
      </c>
      <c r="E15" s="458"/>
      <c r="F15" s="401"/>
      <c r="G15" s="366"/>
      <c r="H15" s="367"/>
      <c r="I15" s="367"/>
      <c r="J15" s="367"/>
      <c r="K15" s="367"/>
      <c r="L15" s="367"/>
      <c r="M15" s="367"/>
      <c r="N15" s="368"/>
      <c r="O15" s="323"/>
      <c r="P15" s="324"/>
      <c r="Q15" s="324"/>
      <c r="R15" s="325"/>
    </row>
    <row r="16" spans="1:18" ht="20.25" customHeight="1" thickBot="1">
      <c r="B16" s="350" t="s">
        <v>315</v>
      </c>
      <c r="C16" s="351" t="s">
        <v>240</v>
      </c>
      <c r="D16" s="352" t="s">
        <v>508</v>
      </c>
      <c r="E16" s="353"/>
      <c r="F16" s="402"/>
      <c r="G16" s="369"/>
      <c r="H16" s="370"/>
      <c r="I16" s="370"/>
      <c r="J16" s="370"/>
      <c r="K16" s="370"/>
      <c r="L16" s="370"/>
      <c r="M16" s="370"/>
      <c r="N16" s="371"/>
      <c r="O16" s="323"/>
      <c r="P16" s="324"/>
      <c r="Q16" s="324"/>
      <c r="R16" s="325"/>
    </row>
    <row r="17" spans="2:18" ht="20.25" customHeight="1">
      <c r="B17" s="461" t="s">
        <v>471</v>
      </c>
      <c r="C17" s="462"/>
      <c r="D17" s="462"/>
      <c r="E17" s="463"/>
      <c r="F17" s="403"/>
      <c r="G17" s="383"/>
      <c r="H17" s="384"/>
      <c r="I17" s="384"/>
      <c r="J17" s="384"/>
      <c r="K17" s="384"/>
      <c r="L17" s="384"/>
      <c r="M17" s="384"/>
      <c r="N17" s="385"/>
      <c r="O17" s="323"/>
      <c r="P17" s="324"/>
      <c r="Q17" s="324"/>
      <c r="R17" s="325"/>
    </row>
    <row r="18" spans="2:18" ht="20.25" customHeight="1">
      <c r="B18" s="424">
        <v>70</v>
      </c>
      <c r="C18" s="425"/>
      <c r="D18" s="425"/>
      <c r="E18" s="426"/>
      <c r="F18" s="404"/>
      <c r="G18" s="386"/>
      <c r="H18" s="387"/>
      <c r="I18" s="387"/>
      <c r="J18" s="387"/>
      <c r="K18" s="387"/>
      <c r="L18" s="387"/>
      <c r="M18" s="387"/>
      <c r="N18" s="388"/>
      <c r="O18" s="323"/>
      <c r="P18" s="324"/>
      <c r="Q18" s="324"/>
      <c r="R18" s="325"/>
    </row>
    <row r="19" spans="2:18" ht="20.25" customHeight="1">
      <c r="B19" s="424"/>
      <c r="C19" s="425"/>
      <c r="D19" s="425"/>
      <c r="E19" s="426"/>
      <c r="F19" s="404"/>
      <c r="G19" s="386"/>
      <c r="H19" s="387"/>
      <c r="I19" s="387"/>
      <c r="J19" s="387"/>
      <c r="K19" s="387"/>
      <c r="L19" s="387"/>
      <c r="M19" s="387"/>
      <c r="N19" s="388"/>
      <c r="O19" s="323"/>
      <c r="P19" s="324"/>
      <c r="Q19" s="324"/>
      <c r="R19" s="325"/>
    </row>
    <row r="20" spans="2:18" ht="17.25" customHeight="1">
      <c r="B20" s="424"/>
      <c r="C20" s="425"/>
      <c r="D20" s="425"/>
      <c r="E20" s="426"/>
      <c r="F20" s="404"/>
      <c r="G20" s="386"/>
      <c r="H20" s="387"/>
      <c r="I20" s="387"/>
      <c r="J20" s="387"/>
      <c r="K20" s="387"/>
      <c r="L20" s="387"/>
      <c r="M20" s="387"/>
      <c r="N20" s="388"/>
      <c r="O20" s="323"/>
      <c r="P20" s="324"/>
      <c r="Q20" s="324"/>
      <c r="R20" s="325"/>
    </row>
    <row r="21" spans="2:18" ht="17.25" customHeight="1" thickBot="1">
      <c r="B21" s="427"/>
      <c r="C21" s="428"/>
      <c r="D21" s="428"/>
      <c r="E21" s="429"/>
      <c r="F21" s="396"/>
      <c r="G21" s="386"/>
      <c r="H21" s="387"/>
      <c r="I21" s="387"/>
      <c r="J21" s="387"/>
      <c r="K21" s="387"/>
      <c r="L21" s="387"/>
      <c r="M21" s="387"/>
      <c r="N21" s="388"/>
      <c r="O21" s="323"/>
      <c r="P21" s="324"/>
      <c r="Q21" s="324"/>
      <c r="R21" s="325"/>
    </row>
    <row r="22" spans="2:18" ht="17.25" customHeight="1" thickBot="1">
      <c r="B22" s="449"/>
      <c r="C22" s="450"/>
      <c r="D22" s="450"/>
      <c r="E22" s="451"/>
      <c r="F22" s="405"/>
      <c r="G22" s="389"/>
      <c r="H22" s="390"/>
      <c r="I22" s="390"/>
      <c r="J22" s="390"/>
      <c r="K22" s="390"/>
      <c r="L22" s="390"/>
      <c r="M22" s="390"/>
      <c r="N22" s="391"/>
      <c r="O22" s="326"/>
      <c r="P22" s="327"/>
      <c r="Q22" s="327"/>
      <c r="R22" s="328"/>
    </row>
    <row r="23" spans="2:18" hidden="1">
      <c r="B23" s="267"/>
      <c r="C23" s="267"/>
      <c r="D23" s="267"/>
      <c r="E23" s="267"/>
      <c r="F23" s="267"/>
      <c r="G23" s="267"/>
      <c r="H23" s="267"/>
      <c r="I23" s="267"/>
      <c r="J23" s="267"/>
      <c r="K23" s="267"/>
      <c r="L23" s="267"/>
      <c r="M23" s="267"/>
      <c r="N23" s="267"/>
    </row>
    <row r="24" spans="2:18" hidden="1"/>
    <row r="25" spans="2:18" hidden="1"/>
    <row r="26" spans="2:18" hidden="1"/>
    <row r="27" spans="2:18" hidden="1"/>
    <row r="28" spans="2:18" hidden="1"/>
    <row r="29" spans="2:18" hidden="1"/>
    <row r="30" spans="2:18" hidden="1"/>
    <row r="31" spans="2:18" hidden="1"/>
    <row r="32" spans="2:18" hidden="1"/>
    <row r="33" hidden="1"/>
    <row r="34" hidden="1"/>
    <row r="35" hidden="1"/>
    <row r="36" hidden="1"/>
    <row r="37" hidden="1"/>
    <row r="38" hidden="1"/>
    <row r="39" hidden="1"/>
    <row r="40" hidden="1"/>
    <row r="41" hidden="1"/>
    <row r="42" hidden="1"/>
    <row r="43" hidden="1"/>
    <row r="44" hidden="1"/>
    <row r="45" hidden="1"/>
    <row r="46" hidden="1"/>
    <row r="47" hidden="1"/>
    <row r="48" hidden="1"/>
    <row r="49" hidden="1"/>
    <row r="50" hidden="1"/>
    <row r="51" hidden="1"/>
    <row r="52" hidden="1"/>
    <row r="53" hidden="1"/>
    <row r="54" hidden="1"/>
    <row r="55" hidden="1"/>
    <row r="56" hidden="1"/>
    <row r="57" hidden="1"/>
    <row r="58" hidden="1"/>
    <row r="59" hidden="1"/>
    <row r="60" hidden="1"/>
    <row r="61" hidden="1"/>
    <row r="62" hidden="1"/>
    <row r="63" hidden="1"/>
  </sheetData>
  <sheetProtection password="D05F" sheet="1" objects="1" scenarios="1" formatCells="0" formatColumns="0" formatRows="0" insertColumns="0" insertRows="0" insertHyperlinks="0" deleteColumns="0" deleteRows="0"/>
  <mergeCells count="14">
    <mergeCell ref="B22:E22"/>
    <mergeCell ref="B9:E9"/>
    <mergeCell ref="D14:E14"/>
    <mergeCell ref="D15:E15"/>
    <mergeCell ref="D13:E13"/>
    <mergeCell ref="B17:E17"/>
    <mergeCell ref="O5:R10"/>
    <mergeCell ref="B18:E21"/>
    <mergeCell ref="E1:N1"/>
    <mergeCell ref="B4:E8"/>
    <mergeCell ref="H5:M5"/>
    <mergeCell ref="E2:N2"/>
    <mergeCell ref="O4:R4"/>
    <mergeCell ref="O1:Q3"/>
  </mergeCells>
  <hyperlinks>
    <hyperlink ref="R2" location="profil!A1" display="KLIK UNTUK LIHAT PROFIL"/>
  </hyperlinks>
  <pageMargins left="0.7" right="0.7" top="0.75" bottom="0.75" header="0.3" footer="0.3"/>
  <pageSetup paperSize="513" orientation="portrait" r:id="rId1"/>
  <drawing r:id="rId2"/>
</worksheet>
</file>

<file path=xl/worksheets/sheet2.xml><?xml version="1.0" encoding="utf-8"?>
<worksheet xmlns="http://schemas.openxmlformats.org/spreadsheetml/2006/main" xmlns:r="http://schemas.openxmlformats.org/officeDocument/2006/relationships">
  <sheetPr codeName="Sheet29"/>
  <dimension ref="A1:F17"/>
  <sheetViews>
    <sheetView zoomScale="120" zoomScaleNormal="120" workbookViewId="0"/>
  </sheetViews>
  <sheetFormatPr defaultColWidth="0" defaultRowHeight="15" customHeight="1" zeroHeight="1"/>
  <cols>
    <col min="1" max="1" width="33.85546875" style="358" customWidth="1"/>
    <col min="2" max="2" width="19.28515625" style="358" customWidth="1"/>
    <col min="3" max="3" width="17.7109375" style="358" customWidth="1"/>
    <col min="4" max="4" width="31.140625" style="358" customWidth="1"/>
    <col min="5" max="5" width="1" style="358" customWidth="1"/>
    <col min="6" max="6" width="0" style="358" hidden="1" customWidth="1"/>
    <col min="7" max="16384" width="9.140625" style="358" hidden="1"/>
  </cols>
  <sheetData>
    <row r="1" spans="1:5" ht="36.75" customHeight="1">
      <c r="A1" s="356"/>
      <c r="B1" s="357"/>
      <c r="C1" s="466" t="s">
        <v>474</v>
      </c>
      <c r="D1" s="466"/>
      <c r="E1" s="357"/>
    </row>
    <row r="2" spans="1:5">
      <c r="A2" s="356"/>
      <c r="B2" s="356"/>
      <c r="C2" s="466"/>
      <c r="D2" s="466"/>
      <c r="E2" s="356"/>
    </row>
    <row r="3" spans="1:5">
      <c r="A3" s="356"/>
      <c r="B3" s="356"/>
      <c r="C3" s="466"/>
      <c r="D3" s="466"/>
      <c r="E3" s="356"/>
    </row>
    <row r="4" spans="1:5" ht="15.75" thickBot="1">
      <c r="A4" s="356"/>
      <c r="B4" s="356"/>
      <c r="C4" s="356"/>
      <c r="D4" s="356"/>
      <c r="E4" s="356"/>
    </row>
    <row r="5" spans="1:5">
      <c r="A5" s="356"/>
      <c r="B5" s="356"/>
      <c r="C5" s="359"/>
      <c r="D5" s="360"/>
      <c r="E5" s="356"/>
    </row>
    <row r="6" spans="1:5">
      <c r="A6" s="356"/>
      <c r="B6" s="356"/>
      <c r="C6" s="361" t="s">
        <v>326</v>
      </c>
      <c r="D6" s="362" t="s">
        <v>475</v>
      </c>
      <c r="E6" s="356"/>
    </row>
    <row r="7" spans="1:5">
      <c r="A7" s="356"/>
      <c r="B7" s="356"/>
      <c r="C7" s="361" t="s">
        <v>476</v>
      </c>
      <c r="D7" s="362" t="s">
        <v>477</v>
      </c>
      <c r="E7" s="356"/>
    </row>
    <row r="8" spans="1:5">
      <c r="A8" s="356"/>
      <c r="B8" s="356"/>
      <c r="C8" s="361" t="s">
        <v>478</v>
      </c>
      <c r="D8" s="362" t="s">
        <v>479</v>
      </c>
      <c r="E8" s="356"/>
    </row>
    <row r="9" spans="1:5">
      <c r="A9" s="356"/>
      <c r="B9" s="356"/>
      <c r="C9" s="361" t="s">
        <v>480</v>
      </c>
      <c r="D9" s="362" t="s">
        <v>481</v>
      </c>
      <c r="E9" s="356"/>
    </row>
    <row r="10" spans="1:5" ht="18.75">
      <c r="A10" s="356"/>
      <c r="B10" s="356"/>
      <c r="C10" s="467" t="s">
        <v>482</v>
      </c>
      <c r="D10" s="468"/>
      <c r="E10" s="356"/>
    </row>
    <row r="11" spans="1:5">
      <c r="A11" s="356"/>
      <c r="B11" s="356"/>
      <c r="C11" s="464" t="s">
        <v>483</v>
      </c>
      <c r="D11" s="465"/>
      <c r="E11" s="356"/>
    </row>
    <row r="12" spans="1:5">
      <c r="A12" s="356"/>
      <c r="B12" s="356"/>
      <c r="C12" s="464" t="s">
        <v>484</v>
      </c>
      <c r="D12" s="465"/>
      <c r="E12" s="356"/>
    </row>
    <row r="13" spans="1:5">
      <c r="A13" s="356"/>
      <c r="B13" s="356"/>
      <c r="C13" s="464" t="s">
        <v>485</v>
      </c>
      <c r="D13" s="465"/>
      <c r="E13" s="356"/>
    </row>
    <row r="14" spans="1:5">
      <c r="A14" s="356"/>
      <c r="B14" s="356"/>
      <c r="C14" s="464" t="s">
        <v>486</v>
      </c>
      <c r="D14" s="465"/>
      <c r="E14" s="356"/>
    </row>
    <row r="15" spans="1:5">
      <c r="A15" s="356"/>
      <c r="B15" s="356"/>
      <c r="C15" s="464" t="s">
        <v>487</v>
      </c>
      <c r="D15" s="465"/>
      <c r="E15" s="356"/>
    </row>
    <row r="16" spans="1:5" ht="15.75" thickBot="1">
      <c r="A16" s="356"/>
      <c r="B16" s="356"/>
      <c r="C16" s="363"/>
      <c r="D16" s="364"/>
      <c r="E16" s="356"/>
    </row>
    <row r="17" spans="1:5" ht="36" customHeight="1">
      <c r="A17" s="356"/>
      <c r="B17" s="356"/>
      <c r="C17" s="356"/>
      <c r="D17" s="356"/>
      <c r="E17" s="356"/>
    </row>
  </sheetData>
  <sheetProtection password="D05F" sheet="1" objects="1" scenarios="1"/>
  <mergeCells count="7">
    <mergeCell ref="C15:D15"/>
    <mergeCell ref="C1:D3"/>
    <mergeCell ref="C10:D10"/>
    <mergeCell ref="C11:D11"/>
    <mergeCell ref="C12:D12"/>
    <mergeCell ref="C13:D13"/>
    <mergeCell ref="C14:D14"/>
  </mergeCells>
  <pageMargins left="0.7" right="0.7" top="0.75" bottom="0.75" header="0.3" footer="0.3"/>
  <pageSetup paperSize="9" orientation="portrait" horizontalDpi="4294967292" verticalDpi="0" r:id="rId1"/>
  <drawing r:id="rId2"/>
</worksheet>
</file>

<file path=xl/worksheets/sheet3.xml><?xml version="1.0" encoding="utf-8"?>
<worksheet xmlns="http://schemas.openxmlformats.org/spreadsheetml/2006/main" xmlns:r="http://schemas.openxmlformats.org/officeDocument/2006/relationships">
  <sheetPr codeName="Sheet2"/>
  <dimension ref="A1:B43"/>
  <sheetViews>
    <sheetView zoomScale="80" zoomScaleNormal="80" workbookViewId="0">
      <selection activeCell="B7" sqref="B7"/>
    </sheetView>
  </sheetViews>
  <sheetFormatPr defaultRowHeight="15"/>
  <cols>
    <col min="1" max="1" width="9.140625" style="85"/>
    <col min="2" max="2" width="117.28515625" style="85" customWidth="1"/>
    <col min="3" max="16384" width="9.140625" style="85"/>
  </cols>
  <sheetData>
    <row r="1" spans="1:2">
      <c r="A1" s="469" t="s">
        <v>432</v>
      </c>
      <c r="B1" s="469"/>
    </row>
    <row r="2" spans="1:2" ht="28.5">
      <c r="A2" s="281" t="s">
        <v>101</v>
      </c>
      <c r="B2" s="282" t="s">
        <v>221</v>
      </c>
    </row>
    <row r="3" spans="1:2" ht="66.75" customHeight="1">
      <c r="A3" s="275"/>
    </row>
    <row r="5" spans="1:2">
      <c r="A5" s="470" t="s">
        <v>431</v>
      </c>
      <c r="B5" s="470"/>
    </row>
    <row r="6" spans="1:2" ht="31.5">
      <c r="A6" s="283" t="s">
        <v>101</v>
      </c>
      <c r="B6" s="284" t="s">
        <v>221</v>
      </c>
    </row>
    <row r="7" spans="1:2" ht="53.25" customHeight="1">
      <c r="A7" s="276"/>
    </row>
    <row r="9" spans="1:2">
      <c r="A9" s="471" t="s">
        <v>329</v>
      </c>
      <c r="B9" s="471"/>
    </row>
    <row r="10" spans="1:2" ht="31.5">
      <c r="A10" s="285" t="s">
        <v>101</v>
      </c>
      <c r="B10" s="286" t="s">
        <v>221</v>
      </c>
    </row>
    <row r="11" spans="1:2">
      <c r="A11" s="277">
        <v>31</v>
      </c>
      <c r="B11" s="278" t="s">
        <v>541</v>
      </c>
    </row>
    <row r="12" spans="1:2" ht="45">
      <c r="A12" s="277">
        <v>32</v>
      </c>
      <c r="B12" s="410" t="s">
        <v>537</v>
      </c>
    </row>
    <row r="13" spans="1:2">
      <c r="A13" s="277">
        <v>33</v>
      </c>
      <c r="B13" s="278" t="s">
        <v>538</v>
      </c>
    </row>
    <row r="14" spans="1:2">
      <c r="A14" s="277">
        <v>34</v>
      </c>
      <c r="B14" s="278" t="s">
        <v>540</v>
      </c>
    </row>
    <row r="15" spans="1:2">
      <c r="A15" s="277">
        <v>35</v>
      </c>
      <c r="B15" s="278"/>
    </row>
    <row r="16" spans="1:2">
      <c r="A16" s="277">
        <v>36</v>
      </c>
      <c r="B16" s="278"/>
    </row>
    <row r="17" spans="1:2">
      <c r="A17" s="277">
        <v>37</v>
      </c>
      <c r="B17" s="410"/>
    </row>
    <row r="18" spans="1:2">
      <c r="A18" s="277">
        <v>38</v>
      </c>
      <c r="B18" s="410"/>
    </row>
    <row r="19" spans="1:2">
      <c r="A19" s="277">
        <v>39</v>
      </c>
      <c r="B19" s="410"/>
    </row>
    <row r="20" spans="1:2">
      <c r="A20" s="277">
        <v>310</v>
      </c>
      <c r="B20" s="278"/>
    </row>
    <row r="21" spans="1:2">
      <c r="A21" s="285"/>
      <c r="B21" s="313"/>
    </row>
    <row r="22" spans="1:2">
      <c r="A22" s="285"/>
      <c r="B22" s="313"/>
    </row>
    <row r="23" spans="1:2">
      <c r="A23" s="285"/>
      <c r="B23" s="313"/>
    </row>
    <row r="24" spans="1:2">
      <c r="A24" s="285"/>
      <c r="B24" s="313"/>
    </row>
    <row r="25" spans="1:2">
      <c r="A25" s="285"/>
      <c r="B25" s="313"/>
    </row>
    <row r="27" spans="1:2">
      <c r="A27" s="472" t="s">
        <v>330</v>
      </c>
      <c r="B27" s="472"/>
    </row>
    <row r="28" spans="1:2">
      <c r="A28" s="287" t="s">
        <v>101</v>
      </c>
      <c r="B28" s="288" t="s">
        <v>221</v>
      </c>
    </row>
    <row r="29" spans="1:2">
      <c r="A29" s="279">
        <v>41</v>
      </c>
      <c r="B29" s="280" t="s">
        <v>536</v>
      </c>
    </row>
    <row r="30" spans="1:2">
      <c r="A30" s="279">
        <v>42</v>
      </c>
      <c r="B30" s="280" t="s">
        <v>544</v>
      </c>
    </row>
    <row r="31" spans="1:2">
      <c r="A31" s="279">
        <v>43</v>
      </c>
      <c r="B31" s="280" t="s">
        <v>543</v>
      </c>
    </row>
    <row r="32" spans="1:2">
      <c r="A32" s="279">
        <v>44</v>
      </c>
      <c r="B32" s="280" t="s">
        <v>542</v>
      </c>
    </row>
    <row r="33" spans="1:2">
      <c r="A33" s="279">
        <v>45</v>
      </c>
      <c r="B33" s="280"/>
    </row>
    <row r="34" spans="1:2">
      <c r="A34" s="279">
        <v>46</v>
      </c>
      <c r="B34" s="417"/>
    </row>
    <row r="35" spans="1:2">
      <c r="A35" s="279">
        <v>47</v>
      </c>
      <c r="B35" s="417"/>
    </row>
    <row r="36" spans="1:2">
      <c r="A36" s="279">
        <v>48</v>
      </c>
      <c r="B36" s="280"/>
    </row>
    <row r="37" spans="1:2">
      <c r="A37" s="279">
        <v>49</v>
      </c>
      <c r="B37" s="280"/>
    </row>
    <row r="38" spans="1:2">
      <c r="A38" s="279">
        <v>50</v>
      </c>
      <c r="B38" s="280"/>
    </row>
    <row r="39" spans="1:2">
      <c r="A39" s="287"/>
      <c r="B39" s="314"/>
    </row>
    <row r="40" spans="1:2">
      <c r="A40" s="287"/>
      <c r="B40" s="314"/>
    </row>
    <row r="41" spans="1:2">
      <c r="A41" s="287"/>
      <c r="B41" s="314"/>
    </row>
    <row r="42" spans="1:2">
      <c r="A42" s="287"/>
      <c r="B42" s="314"/>
    </row>
    <row r="43" spans="1:2">
      <c r="A43" s="287"/>
      <c r="B43" s="314"/>
    </row>
  </sheetData>
  <sheetProtection password="CD5A" sheet="1" objects="1" scenarios="1"/>
  <mergeCells count="4">
    <mergeCell ref="A1:B1"/>
    <mergeCell ref="A5:B5"/>
    <mergeCell ref="A9:B9"/>
    <mergeCell ref="A27:B27"/>
  </mergeCells>
  <pageMargins left="0.7" right="0.7" top="0.75" bottom="0.75" header="0.3" footer="0.3"/>
  <pageSetup paperSize="512"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sheetPr codeName="Sheet5"/>
  <dimension ref="A1:N14"/>
  <sheetViews>
    <sheetView zoomScale="80" zoomScaleNormal="80" workbookViewId="0">
      <selection sqref="A1:A3"/>
    </sheetView>
  </sheetViews>
  <sheetFormatPr defaultRowHeight="15"/>
  <cols>
    <col min="1" max="1" width="10.85546875" style="85" customWidth="1"/>
    <col min="2" max="2" width="8.140625" style="85" customWidth="1"/>
    <col min="3" max="3" width="8.7109375" style="85" customWidth="1"/>
    <col min="4" max="4" width="10" style="85" customWidth="1"/>
    <col min="5" max="5" width="15" style="85" customWidth="1"/>
    <col min="6" max="12" width="7.42578125" style="85" customWidth="1"/>
    <col min="13" max="13" width="11.140625" style="85" customWidth="1"/>
    <col min="14" max="14" width="10.140625" style="85" customWidth="1"/>
    <col min="15" max="16384" width="9.140625" style="85"/>
  </cols>
  <sheetData>
    <row r="1" spans="1:14" ht="15" customHeight="1">
      <c r="A1" s="493" t="s">
        <v>327</v>
      </c>
      <c r="B1" s="478">
        <v>4</v>
      </c>
      <c r="C1" s="478"/>
      <c r="D1" s="478"/>
      <c r="E1" s="478"/>
      <c r="F1" s="478"/>
      <c r="G1" s="478"/>
      <c r="H1" s="478"/>
      <c r="I1" s="478"/>
      <c r="J1" s="478"/>
      <c r="K1" s="478"/>
      <c r="L1" s="478"/>
      <c r="M1" s="478"/>
      <c r="N1" s="478"/>
    </row>
    <row r="2" spans="1:14" ht="15" customHeight="1">
      <c r="A2" s="493"/>
      <c r="B2" s="478"/>
      <c r="C2" s="478"/>
      <c r="D2" s="478"/>
      <c r="E2" s="478"/>
      <c r="F2" s="478"/>
      <c r="G2" s="478"/>
      <c r="H2" s="478"/>
      <c r="I2" s="478"/>
      <c r="J2" s="478"/>
      <c r="K2" s="478"/>
      <c r="L2" s="478"/>
      <c r="M2" s="478"/>
      <c r="N2" s="478"/>
    </row>
    <row r="3" spans="1:14" ht="15" customHeight="1">
      <c r="A3" s="493"/>
      <c r="B3" s="478"/>
      <c r="C3" s="478"/>
      <c r="D3" s="478"/>
      <c r="E3" s="478"/>
      <c r="F3" s="478"/>
      <c r="G3" s="478"/>
      <c r="H3" s="478"/>
      <c r="I3" s="478"/>
      <c r="J3" s="478"/>
      <c r="K3" s="478"/>
      <c r="L3" s="478"/>
      <c r="M3" s="478"/>
      <c r="N3" s="478"/>
    </row>
    <row r="5" spans="1:14" ht="45" customHeight="1">
      <c r="A5" s="265" t="s">
        <v>326</v>
      </c>
      <c r="B5" s="479" t="str">
        <f>VLOOKUP(B1,nilai_jadi,3,FALSE)</f>
        <v>Fatimatuz Zahroh</v>
      </c>
      <c r="C5" s="479"/>
      <c r="D5" s="479"/>
      <c r="E5" s="479"/>
      <c r="F5" s="479"/>
      <c r="G5" s="479"/>
      <c r="H5" s="479"/>
      <c r="I5" s="479"/>
      <c r="J5" s="479"/>
      <c r="K5" s="479"/>
      <c r="L5" s="479"/>
      <c r="M5" s="479"/>
      <c r="N5" s="479"/>
    </row>
    <row r="7" spans="1:14" ht="4.5" customHeight="1"/>
    <row r="8" spans="1:14" ht="2.25" customHeight="1"/>
    <row r="9" spans="1:14" ht="15" customHeight="1">
      <c r="B9" s="482" t="s">
        <v>436</v>
      </c>
      <c r="C9" s="483"/>
      <c r="D9" s="483"/>
      <c r="E9" s="483"/>
      <c r="F9" s="497" t="s">
        <v>437</v>
      </c>
      <c r="G9" s="497"/>
      <c r="H9" s="497"/>
      <c r="I9" s="497"/>
      <c r="J9" s="497"/>
      <c r="K9" s="497"/>
      <c r="L9" s="497"/>
      <c r="M9" s="497"/>
      <c r="N9" s="498"/>
    </row>
    <row r="10" spans="1:14" ht="6" customHeight="1">
      <c r="B10" s="484"/>
      <c r="C10" s="485"/>
      <c r="D10" s="485"/>
      <c r="E10" s="485"/>
      <c r="F10" s="499"/>
      <c r="G10" s="499"/>
      <c r="H10" s="499"/>
      <c r="I10" s="499"/>
      <c r="J10" s="499"/>
      <c r="K10" s="499"/>
      <c r="L10" s="499"/>
      <c r="M10" s="499"/>
      <c r="N10" s="500"/>
    </row>
    <row r="11" spans="1:14" ht="40.5" customHeight="1">
      <c r="A11" s="476" t="s">
        <v>318</v>
      </c>
      <c r="B11" s="264">
        <f>VLOOKUP(B1,nilai_jadi,12,FALSE)</f>
        <v>3</v>
      </c>
      <c r="C11" s="480" t="s">
        <v>435</v>
      </c>
      <c r="D11" s="481"/>
      <c r="E11" s="481"/>
      <c r="F11" s="271" t="s">
        <v>8</v>
      </c>
      <c r="G11" s="271" t="s">
        <v>9</v>
      </c>
      <c r="H11" s="271" t="s">
        <v>6</v>
      </c>
      <c r="I11" s="271" t="s">
        <v>10</v>
      </c>
      <c r="J11" s="272" t="s">
        <v>184</v>
      </c>
      <c r="K11" s="273" t="s">
        <v>12</v>
      </c>
      <c r="L11" s="270" t="s">
        <v>430</v>
      </c>
      <c r="M11" s="489" t="s">
        <v>221</v>
      </c>
      <c r="N11" s="490"/>
    </row>
    <row r="12" spans="1:14" ht="86.25" customHeight="1">
      <c r="A12" s="477"/>
      <c r="B12" s="264">
        <f>VLOOKUP(B1,nilai_jadi,10,FALSE)</f>
        <v>3</v>
      </c>
      <c r="C12" s="486" t="str">
        <f>VLOOKUP(B1,nilai_jadi,11,FALSE)</f>
        <v/>
      </c>
      <c r="D12" s="487"/>
      <c r="E12" s="488"/>
      <c r="F12" s="266">
        <f>VLOOKUP(B1,nilai_jadi,12,FALSE)</f>
        <v>3</v>
      </c>
      <c r="G12" s="266">
        <f>VLOOKUP(B1,nilai_jadi,13,FALSE)</f>
        <v>3</v>
      </c>
      <c r="H12" s="266">
        <f>VLOOKUP(B1,nilai_jadi,14,FALSE)</f>
        <v>3</v>
      </c>
      <c r="I12" s="266">
        <f>VLOOKUP(B1,nilai_jadi,15,FALSE)</f>
        <v>3</v>
      </c>
      <c r="J12" s="266">
        <f>VLOOKUP(B1,nilai_jadi,16,FALSE)</f>
        <v>3</v>
      </c>
      <c r="K12" s="266">
        <f>VLOOKUP(B1,nilai_jadi,17,FALSE)</f>
        <v>3</v>
      </c>
      <c r="L12" s="266">
        <f>VLOOKUP(B1,nilai_jadi,18,FALSE)</f>
        <v>3</v>
      </c>
      <c r="M12" s="491" t="str">
        <f>VLOOKUP(B1,nilai_jadi,19,FALSE)</f>
        <v/>
      </c>
      <c r="N12" s="492"/>
    </row>
    <row r="13" spans="1:14" ht="54.95" customHeight="1">
      <c r="A13" s="274" t="s">
        <v>325</v>
      </c>
      <c r="B13" s="260">
        <f>VLOOKUP(B1,nilai_jadi,4,FALSE)</f>
        <v>83</v>
      </c>
      <c r="C13" s="261" t="str">
        <f>VLOOKUP(B1,nilai_jadi,5,FALSE)</f>
        <v>B</v>
      </c>
      <c r="D13" s="494" t="str">
        <f>VLOOKUP(B1,nilai_jadi,6,FALSE)</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E13" s="495"/>
      <c r="F13" s="495"/>
      <c r="G13" s="495"/>
      <c r="H13" s="495"/>
      <c r="I13" s="495"/>
      <c r="J13" s="495"/>
      <c r="K13" s="495"/>
      <c r="L13" s="495"/>
      <c r="M13" s="495"/>
      <c r="N13" s="496"/>
    </row>
    <row r="14" spans="1:14" ht="54.95" customHeight="1">
      <c r="A14" s="207" t="s">
        <v>324</v>
      </c>
      <c r="B14" s="262">
        <f>VLOOKUP(B1,nilai_jadi,7,FALSE)</f>
        <v>78</v>
      </c>
      <c r="C14" s="263" t="str">
        <f>VLOOKUP(B1,nilai_jadi,8,FALSE)</f>
        <v>B</v>
      </c>
      <c r="D14" s="473" t="str">
        <f>VLOOKUP(B1,nilai_jadi,9,FALSE)</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E14" s="474"/>
      <c r="F14" s="474"/>
      <c r="G14" s="474"/>
      <c r="H14" s="474"/>
      <c r="I14" s="474"/>
      <c r="J14" s="474"/>
      <c r="K14" s="474"/>
      <c r="L14" s="474"/>
      <c r="M14" s="474"/>
      <c r="N14" s="475"/>
    </row>
  </sheetData>
  <sheetProtection password="F9D4" sheet="1" objects="1" scenarios="1" formatCells="0" formatColumns="0" formatRows="0" insertColumns="0" insertRows="0" insertHyperlinks="0" deleteColumns="0" deleteRows="0"/>
  <mergeCells count="12">
    <mergeCell ref="D14:N14"/>
    <mergeCell ref="A11:A12"/>
    <mergeCell ref="B1:N3"/>
    <mergeCell ref="B5:N5"/>
    <mergeCell ref="C11:E11"/>
    <mergeCell ref="B9:E10"/>
    <mergeCell ref="C12:E12"/>
    <mergeCell ref="M11:N11"/>
    <mergeCell ref="M12:N12"/>
    <mergeCell ref="A1:A3"/>
    <mergeCell ref="D13:N13"/>
    <mergeCell ref="F9:N10"/>
  </mergeCells>
  <pageMargins left="0.70866141732283472" right="0.70866141732283472" top="0.74803149606299213" bottom="0.74803149606299213" header="0.31496062992125984" footer="0.31496062992125984"/>
  <pageSetup paperSize="513" scale="85" orientation="landscape" r:id="rId1"/>
  <drawing r:id="rId2"/>
  <legacyDrawing r:id="rId3"/>
</worksheet>
</file>

<file path=xl/worksheets/sheet5.xml><?xml version="1.0" encoding="utf-8"?>
<worksheet xmlns="http://schemas.openxmlformats.org/spreadsheetml/2006/main" xmlns:r="http://schemas.openxmlformats.org/officeDocument/2006/relationships">
  <sheetPr codeName="Sheet3"/>
  <dimension ref="A1:E52"/>
  <sheetViews>
    <sheetView view="pageBreakPreview" zoomScale="70" zoomScaleSheetLayoutView="70"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4" width="11.140625" style="95" customWidth="1"/>
    <col min="5" max="5" width="10.28515625" style="95" customWidth="1"/>
    <col min="6" max="16384" width="9.140625" style="95"/>
  </cols>
  <sheetData>
    <row r="1" spans="1:5" ht="15" customHeight="1">
      <c r="A1" s="501" t="s">
        <v>15</v>
      </c>
      <c r="B1" s="501" t="s">
        <v>16</v>
      </c>
      <c r="C1" s="504" t="s">
        <v>0</v>
      </c>
      <c r="D1" s="505" t="s">
        <v>1</v>
      </c>
      <c r="E1" s="506" t="s">
        <v>17</v>
      </c>
    </row>
    <row r="2" spans="1:5" ht="15" customHeight="1">
      <c r="A2" s="502"/>
      <c r="B2" s="502"/>
      <c r="C2" s="504"/>
      <c r="D2" s="505"/>
      <c r="E2" s="507"/>
    </row>
    <row r="3" spans="1:5" s="98" customFormat="1" ht="80.25" customHeight="1">
      <c r="A3" s="503"/>
      <c r="B3" s="503"/>
      <c r="C3" s="504"/>
      <c r="D3" s="505"/>
      <c r="E3" s="508"/>
    </row>
    <row r="4" spans="1:5">
      <c r="A4" s="99">
        <v>1</v>
      </c>
      <c r="B4" s="99">
        <v>2</v>
      </c>
      <c r="C4" s="99">
        <v>3</v>
      </c>
      <c r="D4" s="99">
        <v>4</v>
      </c>
      <c r="E4" s="99">
        <v>5</v>
      </c>
    </row>
    <row r="5" spans="1:5" ht="17.25" customHeight="1">
      <c r="A5" s="107">
        <v>1</v>
      </c>
      <c r="B5" s="416" t="s">
        <v>516</v>
      </c>
      <c r="C5" s="412" t="s">
        <v>509</v>
      </c>
      <c r="D5" s="409" t="s">
        <v>489</v>
      </c>
      <c r="E5" s="224" t="str">
        <f>menu!$D$14&amp;menu!$E$14</f>
        <v>VII</v>
      </c>
    </row>
    <row r="6" spans="1:5" ht="18" customHeight="1">
      <c r="A6" s="129">
        <v>2</v>
      </c>
      <c r="B6" s="416" t="s">
        <v>517</v>
      </c>
      <c r="C6" s="413" t="s">
        <v>498</v>
      </c>
      <c r="D6" s="409" t="s">
        <v>489</v>
      </c>
      <c r="E6" s="224" t="str">
        <f>menu!$D$14&amp;menu!$E$14</f>
        <v>VII</v>
      </c>
    </row>
    <row r="7" spans="1:5">
      <c r="A7" s="129">
        <v>3</v>
      </c>
      <c r="B7" s="416" t="s">
        <v>518</v>
      </c>
      <c r="C7" s="412" t="s">
        <v>503</v>
      </c>
      <c r="D7" s="409" t="s">
        <v>490</v>
      </c>
      <c r="E7" s="224" t="str">
        <f>menu!$D$14&amp;menu!$E$14</f>
        <v>VII</v>
      </c>
    </row>
    <row r="8" spans="1:5">
      <c r="A8" s="129">
        <v>4</v>
      </c>
      <c r="B8" s="416" t="s">
        <v>519</v>
      </c>
      <c r="C8" s="412" t="s">
        <v>499</v>
      </c>
      <c r="D8" s="409" t="s">
        <v>490</v>
      </c>
      <c r="E8" s="224" t="str">
        <f>menu!$D$14&amp;menu!$E$14</f>
        <v>VII</v>
      </c>
    </row>
    <row r="9" spans="1:5">
      <c r="A9" s="129">
        <v>5</v>
      </c>
      <c r="B9" s="416" t="s">
        <v>520</v>
      </c>
      <c r="C9" s="414" t="s">
        <v>493</v>
      </c>
      <c r="D9" s="409" t="s">
        <v>489</v>
      </c>
      <c r="E9" s="224" t="str">
        <f>menu!$D$14&amp;menu!$E$14</f>
        <v>VII</v>
      </c>
    </row>
    <row r="10" spans="1:5">
      <c r="A10" s="129">
        <v>6</v>
      </c>
      <c r="B10" s="416" t="s">
        <v>521</v>
      </c>
      <c r="C10" s="414" t="s">
        <v>496</v>
      </c>
      <c r="D10" s="409" t="s">
        <v>490</v>
      </c>
      <c r="E10" s="224" t="str">
        <f>menu!$D$14&amp;menu!$E$14</f>
        <v>VII</v>
      </c>
    </row>
    <row r="11" spans="1:5">
      <c r="A11" s="129">
        <v>7</v>
      </c>
      <c r="B11" s="416" t="s">
        <v>522</v>
      </c>
      <c r="C11" s="414" t="s">
        <v>492</v>
      </c>
      <c r="D11" s="409" t="s">
        <v>490</v>
      </c>
      <c r="E11" s="224" t="str">
        <f>menu!$D$14&amp;menu!$E$14</f>
        <v>VII</v>
      </c>
    </row>
    <row r="12" spans="1:5">
      <c r="A12" s="197">
        <v>8</v>
      </c>
      <c r="B12" s="416" t="s">
        <v>523</v>
      </c>
      <c r="C12" s="412" t="s">
        <v>510</v>
      </c>
      <c r="D12" s="409" t="s">
        <v>489</v>
      </c>
      <c r="E12" s="224" t="str">
        <f>menu!$D$14&amp;menu!$E$14</f>
        <v>VII</v>
      </c>
    </row>
    <row r="13" spans="1:5">
      <c r="A13" s="129">
        <v>9</v>
      </c>
      <c r="B13" s="416" t="s">
        <v>524</v>
      </c>
      <c r="C13" s="412" t="s">
        <v>500</v>
      </c>
      <c r="D13" s="409" t="s">
        <v>490</v>
      </c>
      <c r="E13" s="224" t="str">
        <f>menu!$D$14&amp;menu!$E$14</f>
        <v>VII</v>
      </c>
    </row>
    <row r="14" spans="1:5">
      <c r="A14" s="129">
        <v>10</v>
      </c>
      <c r="B14" s="416" t="s">
        <v>525</v>
      </c>
      <c r="C14" s="414" t="s">
        <v>495</v>
      </c>
      <c r="D14" s="409" t="s">
        <v>490</v>
      </c>
      <c r="E14" s="224" t="str">
        <f>menu!$D$14&amp;menu!$E$14</f>
        <v>VII</v>
      </c>
    </row>
    <row r="15" spans="1:5">
      <c r="A15" s="129">
        <v>11</v>
      </c>
      <c r="B15" s="416" t="s">
        <v>526</v>
      </c>
      <c r="C15" s="412" t="s">
        <v>502</v>
      </c>
      <c r="D15" s="409" t="s">
        <v>490</v>
      </c>
      <c r="E15" s="224" t="str">
        <f>menu!$D$14&amp;menu!$E$14</f>
        <v>VII</v>
      </c>
    </row>
    <row r="16" spans="1:5">
      <c r="A16" s="129">
        <v>12</v>
      </c>
      <c r="B16" s="416" t="s">
        <v>527</v>
      </c>
      <c r="C16" s="412" t="s">
        <v>511</v>
      </c>
      <c r="D16" s="409" t="s">
        <v>490</v>
      </c>
      <c r="E16" s="224" t="str">
        <f>menu!$D$14&amp;menu!$E$14</f>
        <v>VII</v>
      </c>
    </row>
    <row r="17" spans="1:5">
      <c r="A17" s="129">
        <v>13</v>
      </c>
      <c r="B17" s="416" t="s">
        <v>528</v>
      </c>
      <c r="C17" s="412" t="s">
        <v>512</v>
      </c>
      <c r="D17" s="409" t="s">
        <v>489</v>
      </c>
      <c r="E17" s="224" t="str">
        <f>menu!$D$14&amp;menu!$E$14</f>
        <v>VII</v>
      </c>
    </row>
    <row r="18" spans="1:5">
      <c r="A18" s="129">
        <v>14</v>
      </c>
      <c r="B18" s="416" t="s">
        <v>529</v>
      </c>
      <c r="C18" s="415" t="s">
        <v>513</v>
      </c>
      <c r="D18" s="409" t="s">
        <v>490</v>
      </c>
      <c r="E18" s="224" t="str">
        <f>menu!$D$14&amp;menu!$E$14</f>
        <v>VII</v>
      </c>
    </row>
    <row r="19" spans="1:5">
      <c r="A19" s="129">
        <v>15</v>
      </c>
      <c r="B19" s="416" t="s">
        <v>530</v>
      </c>
      <c r="C19" s="415" t="s">
        <v>501</v>
      </c>
      <c r="D19" s="409" t="s">
        <v>490</v>
      </c>
      <c r="E19" s="224" t="str">
        <f>menu!$D$14&amp;menu!$E$14</f>
        <v>VII</v>
      </c>
    </row>
    <row r="20" spans="1:5">
      <c r="A20" s="129">
        <v>16</v>
      </c>
      <c r="B20" s="416" t="s">
        <v>531</v>
      </c>
      <c r="C20" s="412" t="s">
        <v>497</v>
      </c>
      <c r="D20" s="409" t="s">
        <v>490</v>
      </c>
      <c r="E20" s="224" t="str">
        <f>menu!$D$14&amp;menu!$E$14</f>
        <v>VII</v>
      </c>
    </row>
    <row r="21" spans="1:5">
      <c r="A21" s="129">
        <v>17</v>
      </c>
      <c r="B21" s="416" t="s">
        <v>532</v>
      </c>
      <c r="C21" s="414" t="s">
        <v>494</v>
      </c>
      <c r="D21" s="409" t="s">
        <v>490</v>
      </c>
      <c r="E21" s="224" t="str">
        <f>menu!$D$14&amp;menu!$E$14</f>
        <v>VII</v>
      </c>
    </row>
    <row r="22" spans="1:5">
      <c r="A22" s="129">
        <v>18</v>
      </c>
      <c r="B22" s="416" t="s">
        <v>533</v>
      </c>
      <c r="C22" s="414" t="s">
        <v>491</v>
      </c>
      <c r="D22" s="409" t="s">
        <v>490</v>
      </c>
      <c r="E22" s="224" t="str">
        <f>menu!$D$14&amp;menu!$E$14</f>
        <v>VII</v>
      </c>
    </row>
    <row r="23" spans="1:5">
      <c r="A23" s="129">
        <v>19</v>
      </c>
      <c r="B23" s="416" t="s">
        <v>534</v>
      </c>
      <c r="C23" s="412" t="s">
        <v>514</v>
      </c>
      <c r="D23" s="409" t="s">
        <v>489</v>
      </c>
      <c r="E23" s="224" t="str">
        <f>menu!$D$14&amp;menu!$E$14</f>
        <v>VII</v>
      </c>
    </row>
    <row r="24" spans="1:5">
      <c r="A24" s="129">
        <v>20</v>
      </c>
      <c r="B24" s="416" t="s">
        <v>535</v>
      </c>
      <c r="C24" s="412" t="s">
        <v>515</v>
      </c>
      <c r="D24" s="409" t="s">
        <v>490</v>
      </c>
      <c r="E24" s="224" t="str">
        <f>menu!$D$14&amp;menu!$E$14</f>
        <v>VII</v>
      </c>
    </row>
    <row r="25" spans="1:5">
      <c r="A25" s="129"/>
      <c r="B25" s="129"/>
      <c r="C25" s="408"/>
      <c r="D25" s="409"/>
      <c r="E25" s="224" t="str">
        <f>menu!$D$14&amp;menu!$E$14</f>
        <v>VII</v>
      </c>
    </row>
    <row r="26" spans="1:5">
      <c r="A26" s="129"/>
      <c r="B26" s="129"/>
      <c r="C26" s="408"/>
      <c r="D26" s="409"/>
      <c r="E26" s="224" t="str">
        <f>menu!$D$14&amp;menu!$E$14</f>
        <v>VII</v>
      </c>
    </row>
    <row r="27" spans="1:5">
      <c r="A27" s="129"/>
      <c r="B27" s="129"/>
      <c r="C27" s="408"/>
      <c r="D27" s="409"/>
      <c r="E27" s="224" t="str">
        <f>menu!$D$14&amp;menu!$E$14</f>
        <v>VII</v>
      </c>
    </row>
    <row r="28" spans="1:5">
      <c r="A28" s="129"/>
      <c r="B28" s="129"/>
      <c r="C28" s="408"/>
      <c r="D28" s="409"/>
      <c r="E28" s="224" t="str">
        <f>menu!$D$14&amp;menu!$E$14</f>
        <v>VII</v>
      </c>
    </row>
    <row r="29" spans="1:5">
      <c r="A29" s="129"/>
      <c r="B29" s="129"/>
      <c r="C29" s="408"/>
      <c r="D29" s="409"/>
      <c r="E29" s="224" t="str">
        <f>menu!$D$14&amp;menu!$E$14</f>
        <v>VII</v>
      </c>
    </row>
    <row r="30" spans="1:5">
      <c r="A30" s="129"/>
      <c r="B30" s="129"/>
      <c r="C30" s="408"/>
      <c r="D30" s="409"/>
      <c r="E30" s="224" t="str">
        <f>menu!$D$14&amp;menu!$E$14</f>
        <v>VII</v>
      </c>
    </row>
    <row r="31" spans="1:5">
      <c r="A31" s="129"/>
      <c r="B31" s="129"/>
      <c r="C31" s="408"/>
      <c r="D31" s="409"/>
      <c r="E31" s="224" t="str">
        <f>menu!$D$14&amp;menu!$E$14</f>
        <v>VII</v>
      </c>
    </row>
    <row r="32" spans="1:5">
      <c r="A32" s="129"/>
      <c r="B32" s="129"/>
      <c r="C32" s="408"/>
      <c r="D32" s="409"/>
      <c r="E32" s="224" t="str">
        <f>menu!$D$14&amp;menu!$E$14</f>
        <v>VII</v>
      </c>
    </row>
    <row r="33" spans="1:5">
      <c r="A33" s="129"/>
      <c r="B33" s="129"/>
      <c r="C33" s="408"/>
      <c r="D33" s="409"/>
      <c r="E33" s="224" t="str">
        <f>menu!$D$14&amp;menu!$E$14</f>
        <v>VII</v>
      </c>
    </row>
    <row r="34" spans="1:5">
      <c r="A34" s="129"/>
      <c r="B34" s="129"/>
      <c r="C34" s="408"/>
      <c r="D34" s="409"/>
      <c r="E34" s="224" t="str">
        <f>menu!$D$14&amp;menu!$E$14</f>
        <v>VII</v>
      </c>
    </row>
    <row r="35" spans="1:5">
      <c r="A35" s="129"/>
      <c r="B35" s="129"/>
      <c r="C35" s="408"/>
      <c r="D35" s="409"/>
      <c r="E35" s="224" t="str">
        <f>menu!$D$14&amp;menu!$E$14</f>
        <v>VII</v>
      </c>
    </row>
    <row r="36" spans="1:5">
      <c r="A36" s="129"/>
      <c r="B36" s="129"/>
      <c r="C36" s="408"/>
      <c r="D36" s="409"/>
      <c r="E36" s="224" t="str">
        <f>menu!$D$14&amp;menu!$E$14</f>
        <v>VII</v>
      </c>
    </row>
    <row r="37" spans="1:5">
      <c r="A37" s="129"/>
      <c r="B37" s="129"/>
      <c r="C37" s="408"/>
      <c r="D37" s="409"/>
      <c r="E37" s="224" t="str">
        <f>menu!$D$14&amp;menu!$E$14</f>
        <v>VII</v>
      </c>
    </row>
    <row r="38" spans="1:5">
      <c r="A38" s="129"/>
      <c r="B38" s="129"/>
      <c r="C38" s="408"/>
      <c r="D38" s="409"/>
      <c r="E38" s="224" t="str">
        <f>menu!$D$14&amp;menu!$E$14</f>
        <v>VII</v>
      </c>
    </row>
    <row r="39" spans="1:5">
      <c r="A39" s="129"/>
      <c r="B39" s="129"/>
      <c r="C39" s="408"/>
      <c r="D39" s="409"/>
      <c r="E39" s="224" t="str">
        <f>menu!$D$14&amp;menu!$E$14</f>
        <v>VII</v>
      </c>
    </row>
    <row r="40" spans="1:5">
      <c r="A40" s="129"/>
      <c r="B40" s="129"/>
      <c r="C40" s="294"/>
      <c r="D40" s="296"/>
      <c r="E40" s="224" t="str">
        <f>menu!$D$14&amp;menu!$E$14</f>
        <v>VII</v>
      </c>
    </row>
    <row r="41" spans="1:5">
      <c r="A41" s="129"/>
      <c r="B41" s="129"/>
      <c r="C41" s="297"/>
      <c r="D41" s="295"/>
      <c r="E41" s="224" t="str">
        <f>menu!$D$14&amp;menu!$E$14</f>
        <v>VII</v>
      </c>
    </row>
    <row r="42" spans="1:5">
      <c r="A42" s="129"/>
      <c r="B42" s="129"/>
      <c r="C42" s="294"/>
      <c r="D42" s="296"/>
      <c r="E42" s="224" t="str">
        <f>menu!$D$14&amp;menu!$E$14</f>
        <v>VII</v>
      </c>
    </row>
    <row r="43" spans="1:5">
      <c r="A43" s="129"/>
      <c r="B43" s="129"/>
      <c r="C43" s="294"/>
      <c r="D43" s="296"/>
      <c r="E43" s="224" t="str">
        <f>menu!$D$14&amp;menu!$E$14</f>
        <v>VII</v>
      </c>
    </row>
    <row r="44" spans="1:5">
      <c r="A44" s="129"/>
      <c r="B44" s="129"/>
      <c r="C44" s="298"/>
      <c r="D44" s="295"/>
      <c r="E44" s="224" t="str">
        <f>menu!$D$14&amp;menu!$E$14</f>
        <v>VII</v>
      </c>
    </row>
    <row r="45" spans="1:5">
      <c r="A45" s="129"/>
      <c r="B45" s="129"/>
      <c r="C45" s="298"/>
      <c r="D45" s="295"/>
      <c r="E45" s="224" t="str">
        <f>menu!$D$14&amp;menu!$E$14</f>
        <v>VII</v>
      </c>
    </row>
    <row r="46" spans="1:5">
      <c r="A46" s="223"/>
      <c r="B46" s="223"/>
      <c r="C46" s="299"/>
      <c r="D46" s="300"/>
      <c r="E46" s="224" t="str">
        <f>menu!$D$14&amp;menu!$E$14</f>
        <v>VII</v>
      </c>
    </row>
    <row r="47" spans="1:5">
      <c r="A47" s="223"/>
      <c r="B47" s="223"/>
      <c r="C47" s="301"/>
      <c r="D47" s="302"/>
      <c r="E47" s="224" t="str">
        <f>menu!$D$14&amp;menu!$E$14</f>
        <v>VII</v>
      </c>
    </row>
    <row r="48" spans="1:5">
      <c r="A48" s="223"/>
      <c r="B48" s="223"/>
      <c r="C48" s="299"/>
      <c r="D48" s="300"/>
      <c r="E48" s="224" t="str">
        <f>menu!$D$14&amp;menu!$E$14</f>
        <v>VII</v>
      </c>
    </row>
    <row r="49" spans="1:5">
      <c r="A49" s="223"/>
      <c r="B49" s="223"/>
      <c r="C49" s="301"/>
      <c r="D49" s="302"/>
      <c r="E49" s="224" t="str">
        <f>menu!$D$14&amp;menu!$E$14</f>
        <v>VII</v>
      </c>
    </row>
    <row r="50" spans="1:5">
      <c r="A50" s="223"/>
      <c r="B50" s="223"/>
      <c r="C50" s="301"/>
      <c r="D50" s="302"/>
      <c r="E50" s="224" t="str">
        <f>menu!$D$14&amp;menu!$E$14</f>
        <v>VII</v>
      </c>
    </row>
    <row r="51" spans="1:5">
      <c r="A51" s="223"/>
      <c r="B51" s="223"/>
      <c r="C51" s="299"/>
      <c r="D51" s="300"/>
      <c r="E51" s="224" t="str">
        <f>menu!$D$14&amp;menu!$E$14</f>
        <v>VII</v>
      </c>
    </row>
    <row r="52" spans="1:5">
      <c r="A52" s="223"/>
      <c r="B52" s="223"/>
      <c r="C52" s="301"/>
      <c r="D52" s="302"/>
      <c r="E52" s="224" t="str">
        <f>menu!$D$14&amp;menu!$E$14</f>
        <v>VII</v>
      </c>
    </row>
  </sheetData>
  <sheetProtection password="F9D4" sheet="1" objects="1" scenarios="1"/>
  <autoFilter ref="A4:E44"/>
  <mergeCells count="5">
    <mergeCell ref="A1:A3"/>
    <mergeCell ref="B1:B3"/>
    <mergeCell ref="C1:C3"/>
    <mergeCell ref="D1:D3"/>
    <mergeCell ref="E1:E3"/>
  </mergeCells>
  <pageMargins left="0.7" right="0.7" top="0.75" bottom="0.75" header="0.3" footer="0.3"/>
  <pageSetup paperSize="9" orientation="portrait" horizontalDpi="120" verticalDpi="72" r:id="rId1"/>
  <drawing r:id="rId2"/>
</worksheet>
</file>

<file path=xl/worksheets/sheet6.xml><?xml version="1.0" encoding="utf-8"?>
<worksheet xmlns="http://schemas.openxmlformats.org/spreadsheetml/2006/main" xmlns:r="http://schemas.openxmlformats.org/officeDocument/2006/relationships">
  <sheetPr codeName="Sheet15"/>
  <dimension ref="A1:W55"/>
  <sheetViews>
    <sheetView zoomScale="70" zoomScaleNormal="70" workbookViewId="0">
      <pane xSplit="2" ySplit="7" topLeftCell="C8" activePane="bottomRight" state="frozen"/>
      <selection pane="topRight" activeCell="C1" sqref="C1"/>
      <selection pane="bottomLeft" activeCell="A8" sqref="A8"/>
      <selection pane="bottomRight"/>
    </sheetView>
  </sheetViews>
  <sheetFormatPr defaultRowHeight="15"/>
  <cols>
    <col min="1" max="1" width="4.28515625" style="85" customWidth="1"/>
    <col min="2" max="2" width="41" style="89" customWidth="1"/>
    <col min="3" max="12" width="5.85546875" style="89" customWidth="1"/>
    <col min="13" max="22" width="6" style="85" customWidth="1"/>
    <col min="23" max="23" width="5.5703125" style="85" customWidth="1"/>
    <col min="24" max="16384" width="9.140625" style="85"/>
  </cols>
  <sheetData>
    <row r="1" spans="1:23" ht="21">
      <c r="A1" s="84"/>
      <c r="B1" s="84"/>
      <c r="C1" s="84" t="s">
        <v>322</v>
      </c>
      <c r="D1" s="84"/>
      <c r="E1" s="84"/>
      <c r="F1" s="84"/>
      <c r="G1" s="84"/>
      <c r="H1" s="84"/>
      <c r="I1" s="84"/>
      <c r="J1" s="84"/>
      <c r="K1" s="84"/>
      <c r="L1" s="84"/>
      <c r="M1" s="92"/>
      <c r="N1" s="92"/>
      <c r="O1" s="92"/>
      <c r="P1" s="92"/>
      <c r="Q1" s="92"/>
      <c r="R1" s="92"/>
      <c r="S1" s="92"/>
      <c r="T1" s="92"/>
      <c r="U1" s="92"/>
      <c r="V1" s="180"/>
      <c r="W1" s="180"/>
    </row>
    <row r="2" spans="1:23" ht="18.75">
      <c r="A2" s="182"/>
      <c r="B2" s="182"/>
      <c r="C2" s="182" t="s">
        <v>321</v>
      </c>
      <c r="D2" s="182"/>
      <c r="E2" s="182"/>
      <c r="F2" s="184" t="str">
        <f>menu!D14&amp;menu!E14</f>
        <v>VII</v>
      </c>
      <c r="G2" s="182"/>
      <c r="H2" s="182"/>
      <c r="I2" s="182"/>
      <c r="J2" s="182"/>
      <c r="K2" s="182"/>
      <c r="L2" s="182"/>
      <c r="M2" s="182"/>
      <c r="N2" s="182"/>
      <c r="O2" s="182"/>
      <c r="P2" s="182"/>
      <c r="Q2" s="182"/>
      <c r="R2" s="182"/>
      <c r="S2" s="182"/>
      <c r="T2" s="182"/>
      <c r="U2" s="182"/>
      <c r="V2" s="182"/>
      <c r="W2" s="182"/>
    </row>
    <row r="3" spans="1:23" ht="21">
      <c r="A3" s="84"/>
      <c r="B3" s="84"/>
      <c r="C3" s="84" t="s">
        <v>320</v>
      </c>
      <c r="D3" s="84"/>
      <c r="E3" s="84"/>
      <c r="F3" s="185" t="str">
        <f>menu!D11</f>
        <v>FATHOR ROHMAN, S. Pd</v>
      </c>
      <c r="G3" s="84"/>
      <c r="H3" s="84"/>
      <c r="I3" s="84"/>
      <c r="J3" s="84"/>
      <c r="K3" s="84"/>
      <c r="L3" s="84"/>
      <c r="M3" s="180" t="s">
        <v>319</v>
      </c>
      <c r="N3" s="92"/>
      <c r="O3" s="92"/>
      <c r="P3" s="181" t="str">
        <f>menu!D13</f>
        <v>BHS INGGRIS</v>
      </c>
      <c r="Q3" s="92"/>
      <c r="R3" s="92"/>
      <c r="S3" s="92"/>
      <c r="T3" s="92"/>
      <c r="U3" s="92"/>
      <c r="V3" s="180"/>
      <c r="W3" s="180"/>
    </row>
    <row r="4" spans="1:23">
      <c r="A4" s="86"/>
      <c r="B4" s="87"/>
      <c r="C4" s="87"/>
      <c r="D4" s="87"/>
      <c r="E4" s="87"/>
      <c r="F4" s="87"/>
      <c r="G4" s="87"/>
      <c r="H4" s="87"/>
      <c r="I4" s="87"/>
      <c r="J4" s="87"/>
      <c r="K4" s="87"/>
      <c r="L4" s="87"/>
    </row>
    <row r="5" spans="1:23">
      <c r="A5" s="514" t="s">
        <v>296</v>
      </c>
      <c r="B5" s="515" t="s">
        <v>297</v>
      </c>
      <c r="C5" s="516" t="s">
        <v>310</v>
      </c>
      <c r="D5" s="516"/>
      <c r="E5" s="516"/>
      <c r="F5" s="516"/>
      <c r="G5" s="516"/>
      <c r="H5" s="516"/>
      <c r="I5" s="516"/>
      <c r="J5" s="516"/>
      <c r="K5" s="516"/>
      <c r="L5" s="516"/>
      <c r="M5" s="511" t="s">
        <v>311</v>
      </c>
      <c r="N5" s="512"/>
      <c r="O5" s="512"/>
      <c r="P5" s="512"/>
      <c r="Q5" s="512"/>
      <c r="R5" s="512"/>
      <c r="S5" s="512"/>
      <c r="T5" s="512"/>
      <c r="U5" s="512"/>
      <c r="V5" s="513"/>
      <c r="W5" s="183" t="s">
        <v>298</v>
      </c>
    </row>
    <row r="6" spans="1:23">
      <c r="A6" s="514"/>
      <c r="B6" s="515"/>
      <c r="C6" s="509" t="s">
        <v>299</v>
      </c>
      <c r="D6" s="510"/>
      <c r="E6" s="510"/>
      <c r="F6" s="510"/>
      <c r="G6" s="510"/>
      <c r="H6" s="510"/>
      <c r="I6" s="510"/>
      <c r="J6" s="510"/>
      <c r="K6" s="510"/>
      <c r="L6" s="510"/>
      <c r="M6" s="511" t="s">
        <v>299</v>
      </c>
      <c r="N6" s="512"/>
      <c r="O6" s="512"/>
      <c r="P6" s="512"/>
      <c r="Q6" s="512"/>
      <c r="R6" s="512"/>
      <c r="S6" s="512"/>
      <c r="T6" s="512"/>
      <c r="U6" s="512"/>
      <c r="V6" s="513"/>
      <c r="W6" s="183"/>
    </row>
    <row r="7" spans="1:23">
      <c r="A7" s="514"/>
      <c r="B7" s="515"/>
      <c r="C7" s="110" t="s">
        <v>279</v>
      </c>
      <c r="D7" s="110" t="s">
        <v>280</v>
      </c>
      <c r="E7" s="110" t="s">
        <v>281</v>
      </c>
      <c r="F7" s="110" t="s">
        <v>282</v>
      </c>
      <c r="G7" s="110" t="s">
        <v>283</v>
      </c>
      <c r="H7" s="110" t="s">
        <v>284</v>
      </c>
      <c r="I7" s="110" t="s">
        <v>285</v>
      </c>
      <c r="J7" s="110" t="s">
        <v>286</v>
      </c>
      <c r="K7" s="110" t="s">
        <v>287</v>
      </c>
      <c r="L7" s="110" t="s">
        <v>288</v>
      </c>
      <c r="M7" s="111" t="s">
        <v>300</v>
      </c>
      <c r="N7" s="111" t="s">
        <v>301</v>
      </c>
      <c r="O7" s="111" t="s">
        <v>302</v>
      </c>
      <c r="P7" s="111" t="s">
        <v>303</v>
      </c>
      <c r="Q7" s="111" t="s">
        <v>304</v>
      </c>
      <c r="R7" s="111" t="s">
        <v>305</v>
      </c>
      <c r="S7" s="111" t="s">
        <v>306</v>
      </c>
      <c r="T7" s="111" t="s">
        <v>307</v>
      </c>
      <c r="U7" s="111" t="s">
        <v>308</v>
      </c>
      <c r="V7" s="111" t="s">
        <v>309</v>
      </c>
      <c r="W7" s="88" t="s">
        <v>2</v>
      </c>
    </row>
    <row r="8" spans="1:23">
      <c r="A8" s="121">
        <f>'DATA SISWA'!A5</f>
        <v>1</v>
      </c>
      <c r="B8" s="122" t="str">
        <f>'DATA SISWA'!C5</f>
        <v>Abd. Muis</v>
      </c>
      <c r="C8" s="220">
        <f>IF('Input Nilai Pengetahuan'!M5="","",'Input Nilai Pengetahuan'!M5)</f>
        <v>75</v>
      </c>
      <c r="D8" s="220">
        <f>IF('Input Nilai Pengetahuan'!U5="","",'Input Nilai Pengetahuan'!U5)</f>
        <v>85</v>
      </c>
      <c r="E8" s="220">
        <f>IF('Input Nilai Pengetahuan'!AC5="","",'Input Nilai Pengetahuan'!AC5)</f>
        <v>78</v>
      </c>
      <c r="F8" s="220">
        <f>IF('Input Nilai Pengetahuan'!AK5="","",'Input Nilai Pengetahuan'!AK5)</f>
        <v>80</v>
      </c>
      <c r="G8" s="220" t="str">
        <f>IF('Input Nilai Pengetahuan'!AS5="","",'Input Nilai Pengetahuan'!AS5)</f>
        <v/>
      </c>
      <c r="H8" s="220" t="str">
        <f>IF('Input Nilai Pengetahuan'!BA5="","",'Input Nilai Pengetahuan'!BA5)</f>
        <v/>
      </c>
      <c r="I8" s="220" t="str">
        <f>IF('Input Nilai Pengetahuan'!BI5="","",'Input Nilai Pengetahuan'!BI5)</f>
        <v/>
      </c>
      <c r="J8" s="220" t="str">
        <f>IF('Input Nilai Pengetahuan'!BQ5="","",'Input Nilai Pengetahuan'!BQ5)</f>
        <v/>
      </c>
      <c r="K8" s="220" t="str">
        <f>IF('Input Nilai Pengetahuan'!BY5="","",'Input Nilai Pengetahuan'!BY5)</f>
        <v/>
      </c>
      <c r="L8" s="220" t="str">
        <f>IF('Input Nilai Pengetahuan'!CG5="","",'Input Nilai Pengetahuan'!CG5)</f>
        <v/>
      </c>
      <c r="M8" s="221">
        <f>IF('Input Nilai Ketrampilan'!J5="","",('Input Nilai Ketrampilan'!J5))</f>
        <v>78</v>
      </c>
      <c r="N8" s="221">
        <f>IF('Input Nilai Ketrampilan'!O5="","",'Input Nilai Ketrampilan'!O5)</f>
        <v>78</v>
      </c>
      <c r="O8" s="221">
        <f>IF('Input Nilai Ketrampilan'!T5="","",'Input Nilai Ketrampilan'!T5)</f>
        <v>78</v>
      </c>
      <c r="P8" s="221">
        <f>IF('Input Nilai Ketrampilan'!Y5="","",'Input Nilai Ketrampilan'!Y5)</f>
        <v>78</v>
      </c>
      <c r="Q8" s="221" t="str">
        <f>IF('Input Nilai Ketrampilan'!AD5="","",'Input Nilai Ketrampilan'!AD5)</f>
        <v/>
      </c>
      <c r="R8" s="221" t="str">
        <f>IF('Input Nilai Ketrampilan'!AI5="","",'Input Nilai Ketrampilan'!AI5)</f>
        <v/>
      </c>
      <c r="S8" s="221" t="str">
        <f>IF('Input Nilai Ketrampilan'!AN5="","",'Input Nilai Ketrampilan'!AN5)</f>
        <v/>
      </c>
      <c r="T8" s="221" t="str">
        <f>IF('Input Nilai Ketrampilan'!AS5="","",'Input Nilai Ketrampilan'!AS5)</f>
        <v/>
      </c>
      <c r="U8" s="221" t="str">
        <f>IF('Input Nilai Ketrampilan'!AX5="","",'Input Nilai Ketrampilan'!AX5)</f>
        <v/>
      </c>
      <c r="V8" s="221" t="str">
        <f>IF('Input Nilai Ketrampilan'!BC5="","",'Input Nilai Ketrampilan'!BC5)</f>
        <v/>
      </c>
      <c r="W8" s="222">
        <f>IF('Input Nilai Pengetahuan'!CK5="","",'Input Nilai Pengetahuan'!CK5)</f>
        <v>70</v>
      </c>
    </row>
    <row r="9" spans="1:23">
      <c r="A9" s="121">
        <f>'DATA SISWA'!A6</f>
        <v>2</v>
      </c>
      <c r="B9" s="122" t="str">
        <f>'DATA SISWA'!C6</f>
        <v>Achmad Buka</v>
      </c>
      <c r="C9" s="220">
        <f>IF('Input Nilai Pengetahuan'!M6="","",'Input Nilai Pengetahuan'!M6)</f>
        <v>100</v>
      </c>
      <c r="D9" s="220">
        <f>IF('Input Nilai Pengetahuan'!U6="","",'Input Nilai Pengetahuan'!U6)</f>
        <v>70</v>
      </c>
      <c r="E9" s="220">
        <f>IF('Input Nilai Pengetahuan'!AC6="","",'Input Nilai Pengetahuan'!AC6)</f>
        <v>90</v>
      </c>
      <c r="F9" s="220">
        <f>IF('Input Nilai Pengetahuan'!AK6="","",'Input Nilai Pengetahuan'!AK6)</f>
        <v>80</v>
      </c>
      <c r="G9" s="220" t="str">
        <f>IF('Input Nilai Pengetahuan'!AS6="","",'Input Nilai Pengetahuan'!AS6)</f>
        <v/>
      </c>
      <c r="H9" s="220" t="str">
        <f>IF('Input Nilai Pengetahuan'!BA6="","",'Input Nilai Pengetahuan'!BA6)</f>
        <v/>
      </c>
      <c r="I9" s="220" t="str">
        <f>IF('Input Nilai Pengetahuan'!BI6="","",'Input Nilai Pengetahuan'!BI6)</f>
        <v/>
      </c>
      <c r="J9" s="220" t="str">
        <f>IF('Input Nilai Pengetahuan'!BQ6="","",'Input Nilai Pengetahuan'!BQ6)</f>
        <v/>
      </c>
      <c r="K9" s="220" t="str">
        <f>IF('Input Nilai Pengetahuan'!BY6="","",'Input Nilai Pengetahuan'!BY6)</f>
        <v/>
      </c>
      <c r="L9" s="220" t="str">
        <f>IF('Input Nilai Pengetahuan'!CG6="","",'Input Nilai Pengetahuan'!CG6)</f>
        <v/>
      </c>
      <c r="M9" s="221">
        <f>IF('Input Nilai Ketrampilan'!J6="","",('Input Nilai Ketrampilan'!J6))</f>
        <v>78</v>
      </c>
      <c r="N9" s="221">
        <f>IF('Input Nilai Ketrampilan'!O6="","",'Input Nilai Ketrampilan'!O6)</f>
        <v>80</v>
      </c>
      <c r="O9" s="221">
        <f>IF('Input Nilai Ketrampilan'!T6="","",'Input Nilai Ketrampilan'!T6)</f>
        <v>89</v>
      </c>
      <c r="P9" s="221">
        <f>IF('Input Nilai Ketrampilan'!Y6="","",'Input Nilai Ketrampilan'!Y6)</f>
        <v>80</v>
      </c>
      <c r="Q9" s="221" t="str">
        <f>IF('Input Nilai Ketrampilan'!AD6="","",'Input Nilai Ketrampilan'!AD6)</f>
        <v/>
      </c>
      <c r="R9" s="221" t="str">
        <f>IF('Input Nilai Ketrampilan'!AI6="","",'Input Nilai Ketrampilan'!AI6)</f>
        <v/>
      </c>
      <c r="S9" s="221" t="str">
        <f>IF('Input Nilai Ketrampilan'!AN6="","",'Input Nilai Ketrampilan'!AN6)</f>
        <v/>
      </c>
      <c r="T9" s="221" t="str">
        <f>IF('Input Nilai Ketrampilan'!AS6="","",'Input Nilai Ketrampilan'!AS6)</f>
        <v/>
      </c>
      <c r="U9" s="221" t="str">
        <f>IF('Input Nilai Ketrampilan'!AX6="","",'Input Nilai Ketrampilan'!AX6)</f>
        <v/>
      </c>
      <c r="V9" s="221" t="str">
        <f>IF('Input Nilai Ketrampilan'!BC6="","",'Input Nilai Ketrampilan'!BC6)</f>
        <v/>
      </c>
      <c r="W9" s="222">
        <f>IF('Input Nilai Pengetahuan'!CK6="","",'Input Nilai Pengetahuan'!CK6)</f>
        <v>74</v>
      </c>
    </row>
    <row r="10" spans="1:23">
      <c r="A10" s="121">
        <f>'DATA SISWA'!A7</f>
        <v>3</v>
      </c>
      <c r="B10" s="122" t="str">
        <f>'DATA SISWA'!C7</f>
        <v>Bunami</v>
      </c>
      <c r="C10" s="220">
        <f>IF('Input Nilai Pengetahuan'!M7="","",'Input Nilai Pengetahuan'!M7)</f>
        <v>89</v>
      </c>
      <c r="D10" s="220">
        <f>IF('Input Nilai Pengetahuan'!U7="","",'Input Nilai Pengetahuan'!U7)</f>
        <v>75</v>
      </c>
      <c r="E10" s="220">
        <f>IF('Input Nilai Pengetahuan'!AC7="","",'Input Nilai Pengetahuan'!AC7)</f>
        <v>90</v>
      </c>
      <c r="F10" s="220">
        <f>IF('Input Nilai Pengetahuan'!AK7="","",'Input Nilai Pengetahuan'!AK7)</f>
        <v>76</v>
      </c>
      <c r="G10" s="220" t="str">
        <f>IF('Input Nilai Pengetahuan'!AS7="","",'Input Nilai Pengetahuan'!AS7)</f>
        <v/>
      </c>
      <c r="H10" s="220" t="str">
        <f>IF('Input Nilai Pengetahuan'!BA7="","",'Input Nilai Pengetahuan'!BA7)</f>
        <v/>
      </c>
      <c r="I10" s="220" t="str">
        <f>IF('Input Nilai Pengetahuan'!BI7="","",'Input Nilai Pengetahuan'!BI7)</f>
        <v/>
      </c>
      <c r="J10" s="220" t="str">
        <f>IF('Input Nilai Pengetahuan'!BQ7="","",'Input Nilai Pengetahuan'!BQ7)</f>
        <v/>
      </c>
      <c r="K10" s="220" t="str">
        <f>IF('Input Nilai Pengetahuan'!BY7="","",'Input Nilai Pengetahuan'!BY7)</f>
        <v/>
      </c>
      <c r="L10" s="220" t="str">
        <f>IF('Input Nilai Pengetahuan'!CG7="","",'Input Nilai Pengetahuan'!CG7)</f>
        <v/>
      </c>
      <c r="M10" s="221">
        <f>IF('Input Nilai Ketrampilan'!J7="","",('Input Nilai Ketrampilan'!J7))</f>
        <v>79</v>
      </c>
      <c r="N10" s="221">
        <f>IF('Input Nilai Ketrampilan'!O7="","",'Input Nilai Ketrampilan'!O7)</f>
        <v>79</v>
      </c>
      <c r="O10" s="221">
        <f>IF('Input Nilai Ketrampilan'!T7="","",'Input Nilai Ketrampilan'!T7)</f>
        <v>79</v>
      </c>
      <c r="P10" s="221">
        <f>IF('Input Nilai Ketrampilan'!Y7="","",'Input Nilai Ketrampilan'!Y7)</f>
        <v>79</v>
      </c>
      <c r="Q10" s="221" t="str">
        <f>IF('Input Nilai Ketrampilan'!AD7="","",'Input Nilai Ketrampilan'!AD7)</f>
        <v/>
      </c>
      <c r="R10" s="221" t="str">
        <f>IF('Input Nilai Ketrampilan'!AI7="","",'Input Nilai Ketrampilan'!AI7)</f>
        <v/>
      </c>
      <c r="S10" s="221" t="str">
        <f>IF('Input Nilai Ketrampilan'!AN7="","",'Input Nilai Ketrampilan'!AN7)</f>
        <v/>
      </c>
      <c r="T10" s="221" t="str">
        <f>IF('Input Nilai Ketrampilan'!AS7="","",'Input Nilai Ketrampilan'!AS7)</f>
        <v/>
      </c>
      <c r="U10" s="221" t="str">
        <f>IF('Input Nilai Ketrampilan'!AX7="","",'Input Nilai Ketrampilan'!AX7)</f>
        <v/>
      </c>
      <c r="V10" s="221" t="str">
        <f>IF('Input Nilai Ketrampilan'!BC7="","",'Input Nilai Ketrampilan'!BC7)</f>
        <v/>
      </c>
      <c r="W10" s="222">
        <f>IF('Input Nilai Pengetahuan'!CK7="","",'Input Nilai Pengetahuan'!CK7)</f>
        <v>75</v>
      </c>
    </row>
    <row r="11" spans="1:23">
      <c r="A11" s="121">
        <f>'DATA SISWA'!A8</f>
        <v>4</v>
      </c>
      <c r="B11" s="122" t="str">
        <f>'DATA SISWA'!C8</f>
        <v>Fatimatuz Zahroh</v>
      </c>
      <c r="C11" s="220">
        <f>IF('Input Nilai Pengetahuan'!M8="","",'Input Nilai Pengetahuan'!M8)</f>
        <v>90</v>
      </c>
      <c r="D11" s="220">
        <f>IF('Input Nilai Pengetahuan'!U8="","",'Input Nilai Pengetahuan'!U8)</f>
        <v>80</v>
      </c>
      <c r="E11" s="220">
        <f>IF('Input Nilai Pengetahuan'!AC8="","",'Input Nilai Pengetahuan'!AC8)</f>
        <v>90</v>
      </c>
      <c r="F11" s="220">
        <f>IF('Input Nilai Pengetahuan'!AK8="","",'Input Nilai Pengetahuan'!AK8)</f>
        <v>90</v>
      </c>
      <c r="G11" s="220" t="str">
        <f>IF('Input Nilai Pengetahuan'!AS8="","",'Input Nilai Pengetahuan'!AS8)</f>
        <v/>
      </c>
      <c r="H11" s="220" t="str">
        <f>IF('Input Nilai Pengetahuan'!BA8="","",'Input Nilai Pengetahuan'!BA8)</f>
        <v/>
      </c>
      <c r="I11" s="220" t="str">
        <f>IF('Input Nilai Pengetahuan'!BI8="","",'Input Nilai Pengetahuan'!BI8)</f>
        <v/>
      </c>
      <c r="J11" s="220" t="str">
        <f>IF('Input Nilai Pengetahuan'!BQ8="","",'Input Nilai Pengetahuan'!BQ8)</f>
        <v/>
      </c>
      <c r="K11" s="220" t="str">
        <f>IF('Input Nilai Pengetahuan'!BY8="","",'Input Nilai Pengetahuan'!BY8)</f>
        <v/>
      </c>
      <c r="L11" s="220" t="str">
        <f>IF('Input Nilai Pengetahuan'!CG8="","",'Input Nilai Pengetahuan'!CG8)</f>
        <v/>
      </c>
      <c r="M11" s="221">
        <f>IF('Input Nilai Ketrampilan'!J8="","",('Input Nilai Ketrampilan'!J8))</f>
        <v>78</v>
      </c>
      <c r="N11" s="221">
        <f>IF('Input Nilai Ketrampilan'!O8="","",'Input Nilai Ketrampilan'!O8)</f>
        <v>78</v>
      </c>
      <c r="O11" s="221">
        <f>IF('Input Nilai Ketrampilan'!T8="","",'Input Nilai Ketrampilan'!T8)</f>
        <v>78</v>
      </c>
      <c r="P11" s="221">
        <f>IF('Input Nilai Ketrampilan'!Y8="","",'Input Nilai Ketrampilan'!Y8)</f>
        <v>78</v>
      </c>
      <c r="Q11" s="221" t="str">
        <f>IF('Input Nilai Ketrampilan'!AD8="","",'Input Nilai Ketrampilan'!AD8)</f>
        <v/>
      </c>
      <c r="R11" s="221" t="str">
        <f>IF('Input Nilai Ketrampilan'!AI8="","",'Input Nilai Ketrampilan'!AI8)</f>
        <v/>
      </c>
      <c r="S11" s="221" t="str">
        <f>IF('Input Nilai Ketrampilan'!AN8="","",'Input Nilai Ketrampilan'!AN8)</f>
        <v/>
      </c>
      <c r="T11" s="221" t="str">
        <f>IF('Input Nilai Ketrampilan'!AS8="","",'Input Nilai Ketrampilan'!AS8)</f>
        <v/>
      </c>
      <c r="U11" s="221" t="str">
        <f>IF('Input Nilai Ketrampilan'!AX8="","",'Input Nilai Ketrampilan'!AX8)</f>
        <v/>
      </c>
      <c r="V11" s="221" t="str">
        <f>IF('Input Nilai Ketrampilan'!BC8="","",'Input Nilai Ketrampilan'!BC8)</f>
        <v/>
      </c>
      <c r="W11" s="222">
        <f>IF('Input Nilai Pengetahuan'!CK8="","",'Input Nilai Pengetahuan'!CK8)</f>
        <v>75</v>
      </c>
    </row>
    <row r="12" spans="1:23">
      <c r="A12" s="121">
        <f>'DATA SISWA'!A9</f>
        <v>5</v>
      </c>
      <c r="B12" s="122" t="str">
        <f>'DATA SISWA'!C9</f>
        <v>Fitriadi</v>
      </c>
      <c r="C12" s="220">
        <f>IF('Input Nilai Pengetahuan'!M9="","",'Input Nilai Pengetahuan'!M9)</f>
        <v>95</v>
      </c>
      <c r="D12" s="220">
        <f>IF('Input Nilai Pengetahuan'!U9="","",'Input Nilai Pengetahuan'!U9)</f>
        <v>90</v>
      </c>
      <c r="E12" s="220">
        <f>IF('Input Nilai Pengetahuan'!AC9="","",'Input Nilai Pengetahuan'!AC9)</f>
        <v>80</v>
      </c>
      <c r="F12" s="220">
        <f>IF('Input Nilai Pengetahuan'!AK9="","",'Input Nilai Pengetahuan'!AK9)</f>
        <v>90</v>
      </c>
      <c r="G12" s="220" t="str">
        <f>IF('Input Nilai Pengetahuan'!AS9="","",'Input Nilai Pengetahuan'!AS9)</f>
        <v/>
      </c>
      <c r="H12" s="220" t="str">
        <f>IF('Input Nilai Pengetahuan'!BA9="","",'Input Nilai Pengetahuan'!BA9)</f>
        <v/>
      </c>
      <c r="I12" s="220" t="str">
        <f>IF('Input Nilai Pengetahuan'!BI9="","",'Input Nilai Pengetahuan'!BI9)</f>
        <v/>
      </c>
      <c r="J12" s="220" t="str">
        <f>IF('Input Nilai Pengetahuan'!BQ9="","",'Input Nilai Pengetahuan'!BQ9)</f>
        <v/>
      </c>
      <c r="K12" s="220" t="str">
        <f>IF('Input Nilai Pengetahuan'!BY9="","",'Input Nilai Pengetahuan'!BY9)</f>
        <v/>
      </c>
      <c r="L12" s="220" t="str">
        <f>IF('Input Nilai Pengetahuan'!CG9="","",'Input Nilai Pengetahuan'!CG9)</f>
        <v/>
      </c>
      <c r="M12" s="221">
        <f>IF('Input Nilai Ketrampilan'!J9="","",('Input Nilai Ketrampilan'!J9))</f>
        <v>79</v>
      </c>
      <c r="N12" s="221">
        <f>IF('Input Nilai Ketrampilan'!O9="","",'Input Nilai Ketrampilan'!O9)</f>
        <v>79</v>
      </c>
      <c r="O12" s="221">
        <f>IF('Input Nilai Ketrampilan'!T9="","",'Input Nilai Ketrampilan'!T9)</f>
        <v>79</v>
      </c>
      <c r="P12" s="221">
        <f>IF('Input Nilai Ketrampilan'!Y9="","",'Input Nilai Ketrampilan'!Y9)</f>
        <v>79</v>
      </c>
      <c r="Q12" s="221" t="str">
        <f>IF('Input Nilai Ketrampilan'!AD9="","",'Input Nilai Ketrampilan'!AD9)</f>
        <v/>
      </c>
      <c r="R12" s="221" t="str">
        <f>IF('Input Nilai Ketrampilan'!AI9="","",'Input Nilai Ketrampilan'!AI9)</f>
        <v/>
      </c>
      <c r="S12" s="221" t="str">
        <f>IF('Input Nilai Ketrampilan'!AN9="","",'Input Nilai Ketrampilan'!AN9)</f>
        <v/>
      </c>
      <c r="T12" s="221" t="str">
        <f>IF('Input Nilai Ketrampilan'!AS9="","",'Input Nilai Ketrampilan'!AS9)</f>
        <v/>
      </c>
      <c r="U12" s="221" t="str">
        <f>IF('Input Nilai Ketrampilan'!AX9="","",'Input Nilai Ketrampilan'!AX9)</f>
        <v/>
      </c>
      <c r="V12" s="221" t="str">
        <f>IF('Input Nilai Ketrampilan'!BC9="","",'Input Nilai Ketrampilan'!BC9)</f>
        <v/>
      </c>
      <c r="W12" s="222">
        <f>IF('Input Nilai Pengetahuan'!CK9="","",'Input Nilai Pengetahuan'!CK9)</f>
        <v>76</v>
      </c>
    </row>
    <row r="13" spans="1:23">
      <c r="A13" s="121">
        <f>'DATA SISWA'!A10</f>
        <v>6</v>
      </c>
      <c r="B13" s="122" t="str">
        <f>'DATA SISWA'!C10</f>
        <v>Homsiyah</v>
      </c>
      <c r="C13" s="220">
        <f>IF('Input Nilai Pengetahuan'!M10="","",'Input Nilai Pengetahuan'!M10)</f>
        <v>90</v>
      </c>
      <c r="D13" s="220">
        <f>IF('Input Nilai Pengetahuan'!U10="","",'Input Nilai Pengetahuan'!U10)</f>
        <v>100</v>
      </c>
      <c r="E13" s="220">
        <f>IF('Input Nilai Pengetahuan'!AC10="","",'Input Nilai Pengetahuan'!AC10)</f>
        <v>90</v>
      </c>
      <c r="F13" s="220">
        <f>IF('Input Nilai Pengetahuan'!AK10="","",'Input Nilai Pengetahuan'!AK10)</f>
        <v>97</v>
      </c>
      <c r="G13" s="220" t="str">
        <f>IF('Input Nilai Pengetahuan'!AS10="","",'Input Nilai Pengetahuan'!AS10)</f>
        <v/>
      </c>
      <c r="H13" s="220" t="str">
        <f>IF('Input Nilai Pengetahuan'!BA10="","",'Input Nilai Pengetahuan'!BA10)</f>
        <v/>
      </c>
      <c r="I13" s="220" t="str">
        <f>IF('Input Nilai Pengetahuan'!BI10="","",'Input Nilai Pengetahuan'!BI10)</f>
        <v/>
      </c>
      <c r="J13" s="220" t="str">
        <f>IF('Input Nilai Pengetahuan'!BQ10="","",'Input Nilai Pengetahuan'!BQ10)</f>
        <v/>
      </c>
      <c r="K13" s="220" t="str">
        <f>IF('Input Nilai Pengetahuan'!BY10="","",'Input Nilai Pengetahuan'!BY10)</f>
        <v/>
      </c>
      <c r="L13" s="220" t="str">
        <f>IF('Input Nilai Pengetahuan'!CG10="","",'Input Nilai Pengetahuan'!CG10)</f>
        <v/>
      </c>
      <c r="M13" s="221">
        <f>IF('Input Nilai Ketrampilan'!J10="","",('Input Nilai Ketrampilan'!J10))</f>
        <v>80</v>
      </c>
      <c r="N13" s="221">
        <f>IF('Input Nilai Ketrampilan'!O10="","",'Input Nilai Ketrampilan'!O10)</f>
        <v>80</v>
      </c>
      <c r="O13" s="221">
        <f>IF('Input Nilai Ketrampilan'!T10="","",'Input Nilai Ketrampilan'!T10)</f>
        <v>80</v>
      </c>
      <c r="P13" s="221">
        <f>IF('Input Nilai Ketrampilan'!Y10="","",'Input Nilai Ketrampilan'!Y10)</f>
        <v>80</v>
      </c>
      <c r="Q13" s="221" t="str">
        <f>IF('Input Nilai Ketrampilan'!AD10="","",'Input Nilai Ketrampilan'!AD10)</f>
        <v/>
      </c>
      <c r="R13" s="221" t="str">
        <f>IF('Input Nilai Ketrampilan'!AI10="","",'Input Nilai Ketrampilan'!AI10)</f>
        <v/>
      </c>
      <c r="S13" s="221" t="str">
        <f>IF('Input Nilai Ketrampilan'!AN10="","",'Input Nilai Ketrampilan'!AN10)</f>
        <v/>
      </c>
      <c r="T13" s="221" t="str">
        <f>IF('Input Nilai Ketrampilan'!AS10="","",'Input Nilai Ketrampilan'!AS10)</f>
        <v/>
      </c>
      <c r="U13" s="221" t="str">
        <f>IF('Input Nilai Ketrampilan'!AX10="","",'Input Nilai Ketrampilan'!AX10)</f>
        <v/>
      </c>
      <c r="V13" s="221" t="str">
        <f>IF('Input Nilai Ketrampilan'!BC10="","",'Input Nilai Ketrampilan'!BC10)</f>
        <v/>
      </c>
      <c r="W13" s="222">
        <f>IF('Input Nilai Pengetahuan'!CK10="","",'Input Nilai Pengetahuan'!CK10)</f>
        <v>70</v>
      </c>
    </row>
    <row r="14" spans="1:23">
      <c r="A14" s="121">
        <f>'DATA SISWA'!A11</f>
        <v>7</v>
      </c>
      <c r="B14" s="122" t="str">
        <f>'DATA SISWA'!C11</f>
        <v>Insiyah</v>
      </c>
      <c r="C14" s="220">
        <f>IF('Input Nilai Pengetahuan'!M11="","",'Input Nilai Pengetahuan'!M11)</f>
        <v>95</v>
      </c>
      <c r="D14" s="220">
        <f>IF('Input Nilai Pengetahuan'!U11="","",'Input Nilai Pengetahuan'!U11)</f>
        <v>90</v>
      </c>
      <c r="E14" s="220">
        <f>IF('Input Nilai Pengetahuan'!AC11="","",'Input Nilai Pengetahuan'!AC11)</f>
        <v>90</v>
      </c>
      <c r="F14" s="220">
        <f>IF('Input Nilai Pengetahuan'!AK11="","",'Input Nilai Pengetahuan'!AK11)</f>
        <v>95</v>
      </c>
      <c r="G14" s="220" t="str">
        <f>IF('Input Nilai Pengetahuan'!AS11="","",'Input Nilai Pengetahuan'!AS11)</f>
        <v/>
      </c>
      <c r="H14" s="220" t="str">
        <f>IF('Input Nilai Pengetahuan'!BA11="","",'Input Nilai Pengetahuan'!BA11)</f>
        <v/>
      </c>
      <c r="I14" s="220" t="str">
        <f>IF('Input Nilai Pengetahuan'!BI11="","",'Input Nilai Pengetahuan'!BI11)</f>
        <v/>
      </c>
      <c r="J14" s="220" t="str">
        <f>IF('Input Nilai Pengetahuan'!BQ11="","",'Input Nilai Pengetahuan'!BQ11)</f>
        <v/>
      </c>
      <c r="K14" s="220" t="str">
        <f>IF('Input Nilai Pengetahuan'!BY11="","",'Input Nilai Pengetahuan'!BY11)</f>
        <v/>
      </c>
      <c r="L14" s="220" t="str">
        <f>IF('Input Nilai Pengetahuan'!CG11="","",'Input Nilai Pengetahuan'!CG11)</f>
        <v/>
      </c>
      <c r="M14" s="221">
        <f>IF('Input Nilai Ketrampilan'!J11="","",('Input Nilai Ketrampilan'!J11))</f>
        <v>80</v>
      </c>
      <c r="N14" s="221">
        <f>IF('Input Nilai Ketrampilan'!O11="","",'Input Nilai Ketrampilan'!O11)</f>
        <v>80</v>
      </c>
      <c r="O14" s="221">
        <f>IF('Input Nilai Ketrampilan'!T11="","",'Input Nilai Ketrampilan'!T11)</f>
        <v>80</v>
      </c>
      <c r="P14" s="221">
        <f>IF('Input Nilai Ketrampilan'!Y11="","",'Input Nilai Ketrampilan'!Y11)</f>
        <v>80</v>
      </c>
      <c r="Q14" s="221" t="str">
        <f>IF('Input Nilai Ketrampilan'!AD11="","",'Input Nilai Ketrampilan'!AD11)</f>
        <v/>
      </c>
      <c r="R14" s="221" t="str">
        <f>IF('Input Nilai Ketrampilan'!AI11="","",'Input Nilai Ketrampilan'!AI11)</f>
        <v/>
      </c>
      <c r="S14" s="221" t="str">
        <f>IF('Input Nilai Ketrampilan'!AN11="","",'Input Nilai Ketrampilan'!AN11)</f>
        <v/>
      </c>
      <c r="T14" s="221" t="str">
        <f>IF('Input Nilai Ketrampilan'!AS11="","",'Input Nilai Ketrampilan'!AS11)</f>
        <v/>
      </c>
      <c r="U14" s="221" t="str">
        <f>IF('Input Nilai Ketrampilan'!AX11="","",'Input Nilai Ketrampilan'!AX11)</f>
        <v/>
      </c>
      <c r="V14" s="221" t="str">
        <f>IF('Input Nilai Ketrampilan'!BC11="","",'Input Nilai Ketrampilan'!BC11)</f>
        <v/>
      </c>
      <c r="W14" s="222">
        <f>IF('Input Nilai Pengetahuan'!CK11="","",'Input Nilai Pengetahuan'!CK11)</f>
        <v>73</v>
      </c>
    </row>
    <row r="15" spans="1:23">
      <c r="A15" s="121">
        <f>'DATA SISWA'!A12</f>
        <v>8</v>
      </c>
      <c r="B15" s="122" t="str">
        <f>'DATA SISWA'!C12</f>
        <v>Saiful Jamil</v>
      </c>
      <c r="C15" s="220">
        <f>IF('Input Nilai Pengetahuan'!M12="","",'Input Nilai Pengetahuan'!M12)</f>
        <v>80</v>
      </c>
      <c r="D15" s="220">
        <f>IF('Input Nilai Pengetahuan'!U12="","",'Input Nilai Pengetahuan'!U12)</f>
        <v>85</v>
      </c>
      <c r="E15" s="220">
        <f>IF('Input Nilai Pengetahuan'!AC12="","",'Input Nilai Pengetahuan'!AC12)</f>
        <v>75</v>
      </c>
      <c r="F15" s="220">
        <f>IF('Input Nilai Pengetahuan'!AK12="","",'Input Nilai Pengetahuan'!AK12)</f>
        <v>78</v>
      </c>
      <c r="G15" s="220" t="str">
        <f>IF('Input Nilai Pengetahuan'!AS12="","",'Input Nilai Pengetahuan'!AS12)</f>
        <v/>
      </c>
      <c r="H15" s="220" t="str">
        <f>IF('Input Nilai Pengetahuan'!BA12="","",'Input Nilai Pengetahuan'!BA12)</f>
        <v/>
      </c>
      <c r="I15" s="220" t="str">
        <f>IF('Input Nilai Pengetahuan'!BI12="","",'Input Nilai Pengetahuan'!BI12)</f>
        <v/>
      </c>
      <c r="J15" s="220" t="str">
        <f>IF('Input Nilai Pengetahuan'!BQ12="","",'Input Nilai Pengetahuan'!BQ12)</f>
        <v/>
      </c>
      <c r="K15" s="220" t="str">
        <f>IF('Input Nilai Pengetahuan'!BY12="","",'Input Nilai Pengetahuan'!BY12)</f>
        <v/>
      </c>
      <c r="L15" s="220" t="str">
        <f>IF('Input Nilai Pengetahuan'!CG12="","",'Input Nilai Pengetahuan'!CG12)</f>
        <v/>
      </c>
      <c r="M15" s="221">
        <f>IF('Input Nilai Ketrampilan'!J12="","",('Input Nilai Ketrampilan'!J12))</f>
        <v>79</v>
      </c>
      <c r="N15" s="221">
        <f>IF('Input Nilai Ketrampilan'!O12="","",'Input Nilai Ketrampilan'!O12)</f>
        <v>79</v>
      </c>
      <c r="O15" s="221">
        <f>IF('Input Nilai Ketrampilan'!T12="","",'Input Nilai Ketrampilan'!T12)</f>
        <v>79</v>
      </c>
      <c r="P15" s="221">
        <f>IF('Input Nilai Ketrampilan'!Y12="","",'Input Nilai Ketrampilan'!Y12)</f>
        <v>79</v>
      </c>
      <c r="Q15" s="221" t="str">
        <f>IF('Input Nilai Ketrampilan'!AD12="","",'Input Nilai Ketrampilan'!AD12)</f>
        <v/>
      </c>
      <c r="R15" s="221" t="str">
        <f>IF('Input Nilai Ketrampilan'!AI12="","",'Input Nilai Ketrampilan'!AI12)</f>
        <v/>
      </c>
      <c r="S15" s="221" t="str">
        <f>IF('Input Nilai Ketrampilan'!AN12="","",'Input Nilai Ketrampilan'!AN12)</f>
        <v/>
      </c>
      <c r="T15" s="221" t="str">
        <f>IF('Input Nilai Ketrampilan'!AS12="","",'Input Nilai Ketrampilan'!AS12)</f>
        <v/>
      </c>
      <c r="U15" s="221" t="str">
        <f>IF('Input Nilai Ketrampilan'!AX12="","",'Input Nilai Ketrampilan'!AX12)</f>
        <v/>
      </c>
      <c r="V15" s="221" t="str">
        <f>IF('Input Nilai Ketrampilan'!BC12="","",'Input Nilai Ketrampilan'!BC12)</f>
        <v/>
      </c>
      <c r="W15" s="222">
        <f>IF('Input Nilai Pengetahuan'!CK12="","",'Input Nilai Pengetahuan'!CK12)</f>
        <v>70</v>
      </c>
    </row>
    <row r="16" spans="1:23">
      <c r="A16" s="121">
        <f>'DATA SISWA'!A13</f>
        <v>9</v>
      </c>
      <c r="B16" s="122" t="str">
        <f>'DATA SISWA'!C13</f>
        <v>Khusnun Nisa</v>
      </c>
      <c r="C16" s="220">
        <f>IF('Input Nilai Pengetahuan'!M13="","",'Input Nilai Pengetahuan'!M13)</f>
        <v>85</v>
      </c>
      <c r="D16" s="220">
        <f>IF('Input Nilai Pengetahuan'!U13="","",'Input Nilai Pengetahuan'!U13)</f>
        <v>90</v>
      </c>
      <c r="E16" s="220">
        <f>IF('Input Nilai Pengetahuan'!AC13="","",'Input Nilai Pengetahuan'!AC13)</f>
        <v>90</v>
      </c>
      <c r="F16" s="220">
        <f>IF('Input Nilai Pengetahuan'!AK13="","",'Input Nilai Pengetahuan'!AK13)</f>
        <v>96</v>
      </c>
      <c r="G16" s="220" t="str">
        <f>IF('Input Nilai Pengetahuan'!AS13="","",'Input Nilai Pengetahuan'!AS13)</f>
        <v/>
      </c>
      <c r="H16" s="220" t="str">
        <f>IF('Input Nilai Pengetahuan'!BA13="","",'Input Nilai Pengetahuan'!BA13)</f>
        <v/>
      </c>
      <c r="I16" s="220" t="str">
        <f>IF('Input Nilai Pengetahuan'!BI13="","",'Input Nilai Pengetahuan'!BI13)</f>
        <v/>
      </c>
      <c r="J16" s="220" t="str">
        <f>IF('Input Nilai Pengetahuan'!BQ13="","",'Input Nilai Pengetahuan'!BQ13)</f>
        <v/>
      </c>
      <c r="K16" s="220" t="str">
        <f>IF('Input Nilai Pengetahuan'!BY13="","",'Input Nilai Pengetahuan'!BY13)</f>
        <v/>
      </c>
      <c r="L16" s="220" t="str">
        <f>IF('Input Nilai Pengetahuan'!CG13="","",'Input Nilai Pengetahuan'!CG13)</f>
        <v/>
      </c>
      <c r="M16" s="221">
        <f>IF('Input Nilai Ketrampilan'!J13="","",('Input Nilai Ketrampilan'!J13))</f>
        <v>78</v>
      </c>
      <c r="N16" s="221">
        <f>IF('Input Nilai Ketrampilan'!O13="","",'Input Nilai Ketrampilan'!O13)</f>
        <v>78</v>
      </c>
      <c r="O16" s="221">
        <f>IF('Input Nilai Ketrampilan'!T13="","",'Input Nilai Ketrampilan'!T13)</f>
        <v>78</v>
      </c>
      <c r="P16" s="221">
        <f>IF('Input Nilai Ketrampilan'!Y13="","",'Input Nilai Ketrampilan'!Y13)</f>
        <v>78</v>
      </c>
      <c r="Q16" s="221" t="str">
        <f>IF('Input Nilai Ketrampilan'!AD13="","",'Input Nilai Ketrampilan'!AD13)</f>
        <v/>
      </c>
      <c r="R16" s="221" t="str">
        <f>IF('Input Nilai Ketrampilan'!AI13="","",'Input Nilai Ketrampilan'!AI13)</f>
        <v/>
      </c>
      <c r="S16" s="221" t="str">
        <f>IF('Input Nilai Ketrampilan'!AN13="","",'Input Nilai Ketrampilan'!AN13)</f>
        <v/>
      </c>
      <c r="T16" s="221" t="str">
        <f>IF('Input Nilai Ketrampilan'!AS13="","",'Input Nilai Ketrampilan'!AS13)</f>
        <v/>
      </c>
      <c r="U16" s="221" t="str">
        <f>IF('Input Nilai Ketrampilan'!AX13="","",'Input Nilai Ketrampilan'!AX13)</f>
        <v/>
      </c>
      <c r="V16" s="221" t="str">
        <f>IF('Input Nilai Ketrampilan'!BC13="","",'Input Nilai Ketrampilan'!BC13)</f>
        <v/>
      </c>
      <c r="W16" s="222">
        <f>IF('Input Nilai Pengetahuan'!CK13="","",'Input Nilai Pengetahuan'!CK13)</f>
        <v>78</v>
      </c>
    </row>
    <row r="17" spans="1:23">
      <c r="A17" s="121">
        <f>'DATA SISWA'!A14</f>
        <v>10</v>
      </c>
      <c r="B17" s="122" t="str">
        <f>'DATA SISWA'!C14</f>
        <v>Komariyah</v>
      </c>
      <c r="C17" s="220">
        <f>IF('Input Nilai Pengetahuan'!M14="","",'Input Nilai Pengetahuan'!M14)</f>
        <v>85</v>
      </c>
      <c r="D17" s="220">
        <f>IF('Input Nilai Pengetahuan'!U14="","",'Input Nilai Pengetahuan'!U14)</f>
        <v>96</v>
      </c>
      <c r="E17" s="220">
        <f>IF('Input Nilai Pengetahuan'!AC14="","",'Input Nilai Pengetahuan'!AC14)</f>
        <v>85</v>
      </c>
      <c r="F17" s="220">
        <f>IF('Input Nilai Pengetahuan'!AK14="","",'Input Nilai Pengetahuan'!AK14)</f>
        <v>95</v>
      </c>
      <c r="G17" s="220" t="str">
        <f>IF('Input Nilai Pengetahuan'!AS14="","",'Input Nilai Pengetahuan'!AS14)</f>
        <v/>
      </c>
      <c r="H17" s="220" t="str">
        <f>IF('Input Nilai Pengetahuan'!BA14="","",'Input Nilai Pengetahuan'!BA14)</f>
        <v/>
      </c>
      <c r="I17" s="220" t="str">
        <f>IF('Input Nilai Pengetahuan'!BI14="","",'Input Nilai Pengetahuan'!BI14)</f>
        <v/>
      </c>
      <c r="J17" s="220" t="str">
        <f>IF('Input Nilai Pengetahuan'!BQ14="","",'Input Nilai Pengetahuan'!BQ14)</f>
        <v/>
      </c>
      <c r="K17" s="220" t="str">
        <f>IF('Input Nilai Pengetahuan'!BY14="","",'Input Nilai Pengetahuan'!BY14)</f>
        <v/>
      </c>
      <c r="L17" s="220" t="str">
        <f>IF('Input Nilai Pengetahuan'!CG14="","",'Input Nilai Pengetahuan'!CG14)</f>
        <v/>
      </c>
      <c r="M17" s="221">
        <f>IF('Input Nilai Ketrampilan'!J14="","",('Input Nilai Ketrampilan'!J14))</f>
        <v>79</v>
      </c>
      <c r="N17" s="221">
        <f>IF('Input Nilai Ketrampilan'!O14="","",'Input Nilai Ketrampilan'!O14)</f>
        <v>79</v>
      </c>
      <c r="O17" s="221">
        <f>IF('Input Nilai Ketrampilan'!T14="","",'Input Nilai Ketrampilan'!T14)</f>
        <v>79</v>
      </c>
      <c r="P17" s="221">
        <f>IF('Input Nilai Ketrampilan'!Y14="","",'Input Nilai Ketrampilan'!Y14)</f>
        <v>79</v>
      </c>
      <c r="Q17" s="221" t="str">
        <f>IF('Input Nilai Ketrampilan'!AD14="","",'Input Nilai Ketrampilan'!AD14)</f>
        <v/>
      </c>
      <c r="R17" s="221" t="str">
        <f>IF('Input Nilai Ketrampilan'!AI14="","",'Input Nilai Ketrampilan'!AI14)</f>
        <v/>
      </c>
      <c r="S17" s="221" t="str">
        <f>IF('Input Nilai Ketrampilan'!AN14="","",'Input Nilai Ketrampilan'!AN14)</f>
        <v/>
      </c>
      <c r="T17" s="221" t="str">
        <f>IF('Input Nilai Ketrampilan'!AS14="","",'Input Nilai Ketrampilan'!AS14)</f>
        <v/>
      </c>
      <c r="U17" s="221" t="str">
        <f>IF('Input Nilai Ketrampilan'!AX14="","",'Input Nilai Ketrampilan'!AX14)</f>
        <v/>
      </c>
      <c r="V17" s="221" t="str">
        <f>IF('Input Nilai Ketrampilan'!BC14="","",'Input Nilai Ketrampilan'!BC14)</f>
        <v/>
      </c>
      <c r="W17" s="222">
        <f>IF('Input Nilai Pengetahuan'!CK14="","",'Input Nilai Pengetahuan'!CK14)</f>
        <v>80</v>
      </c>
    </row>
    <row r="18" spans="1:23">
      <c r="A18" s="121">
        <f>'DATA SISWA'!A15</f>
        <v>11</v>
      </c>
      <c r="B18" s="122" t="str">
        <f>'DATA SISWA'!C15</f>
        <v>Latifah</v>
      </c>
      <c r="C18" s="220">
        <f>IF('Input Nilai Pengetahuan'!M15="","",'Input Nilai Pengetahuan'!M15)</f>
        <v>89</v>
      </c>
      <c r="D18" s="220">
        <f>IF('Input Nilai Pengetahuan'!U15="","",'Input Nilai Pengetahuan'!U15)</f>
        <v>90</v>
      </c>
      <c r="E18" s="220">
        <f>IF('Input Nilai Pengetahuan'!AC15="","",'Input Nilai Pengetahuan'!AC15)</f>
        <v>85</v>
      </c>
      <c r="F18" s="220">
        <f>IF('Input Nilai Pengetahuan'!AK15="","",'Input Nilai Pengetahuan'!AK15)</f>
        <v>87</v>
      </c>
      <c r="G18" s="220" t="str">
        <f>IF('Input Nilai Pengetahuan'!AS15="","",'Input Nilai Pengetahuan'!AS15)</f>
        <v/>
      </c>
      <c r="H18" s="220" t="str">
        <f>IF('Input Nilai Pengetahuan'!BA15="","",'Input Nilai Pengetahuan'!BA15)</f>
        <v/>
      </c>
      <c r="I18" s="220" t="str">
        <f>IF('Input Nilai Pengetahuan'!BI15="","",'Input Nilai Pengetahuan'!BI15)</f>
        <v/>
      </c>
      <c r="J18" s="220" t="str">
        <f>IF('Input Nilai Pengetahuan'!BQ15="","",'Input Nilai Pengetahuan'!BQ15)</f>
        <v/>
      </c>
      <c r="K18" s="220" t="str">
        <f>IF('Input Nilai Pengetahuan'!BY15="","",'Input Nilai Pengetahuan'!BY15)</f>
        <v/>
      </c>
      <c r="L18" s="220" t="str">
        <f>IF('Input Nilai Pengetahuan'!CG15="","",'Input Nilai Pengetahuan'!CG15)</f>
        <v/>
      </c>
      <c r="M18" s="221">
        <f>IF('Input Nilai Ketrampilan'!J15="","",('Input Nilai Ketrampilan'!J15))</f>
        <v>80</v>
      </c>
      <c r="N18" s="221">
        <f>IF('Input Nilai Ketrampilan'!O15="","",'Input Nilai Ketrampilan'!O15)</f>
        <v>80</v>
      </c>
      <c r="O18" s="221">
        <f>IF('Input Nilai Ketrampilan'!T15="","",'Input Nilai Ketrampilan'!T15)</f>
        <v>80</v>
      </c>
      <c r="P18" s="221">
        <f>IF('Input Nilai Ketrampilan'!Y15="","",'Input Nilai Ketrampilan'!Y15)</f>
        <v>80</v>
      </c>
      <c r="Q18" s="221" t="str">
        <f>IF('Input Nilai Ketrampilan'!AD15="","",'Input Nilai Ketrampilan'!AD15)</f>
        <v/>
      </c>
      <c r="R18" s="221" t="str">
        <f>IF('Input Nilai Ketrampilan'!AI15="","",'Input Nilai Ketrampilan'!AI15)</f>
        <v/>
      </c>
      <c r="S18" s="221" t="str">
        <f>IF('Input Nilai Ketrampilan'!AN15="","",'Input Nilai Ketrampilan'!AN15)</f>
        <v/>
      </c>
      <c r="T18" s="221" t="str">
        <f>IF('Input Nilai Ketrampilan'!AS15="","",'Input Nilai Ketrampilan'!AS15)</f>
        <v/>
      </c>
      <c r="U18" s="221" t="str">
        <f>IF('Input Nilai Ketrampilan'!AX15="","",'Input Nilai Ketrampilan'!AX15)</f>
        <v/>
      </c>
      <c r="V18" s="221" t="str">
        <f>IF('Input Nilai Ketrampilan'!BC15="","",'Input Nilai Ketrampilan'!BC15)</f>
        <v/>
      </c>
      <c r="W18" s="222">
        <f>IF('Input Nilai Pengetahuan'!CK15="","",'Input Nilai Pengetahuan'!CK15)</f>
        <v>80</v>
      </c>
    </row>
    <row r="19" spans="1:23">
      <c r="A19" s="121">
        <f>'DATA SISWA'!A16</f>
        <v>12</v>
      </c>
      <c r="B19" s="122" t="str">
        <f>'DATA SISWA'!C16</f>
        <v>Maya</v>
      </c>
      <c r="C19" s="220">
        <f>IF('Input Nilai Pengetahuan'!M16="","",'Input Nilai Pengetahuan'!M16)</f>
        <v>70</v>
      </c>
      <c r="D19" s="220">
        <f>IF('Input Nilai Pengetahuan'!U16="","",'Input Nilai Pengetahuan'!U16)</f>
        <v>78</v>
      </c>
      <c r="E19" s="220">
        <f>IF('Input Nilai Pengetahuan'!AC16="","",'Input Nilai Pengetahuan'!AC16)</f>
        <v>75</v>
      </c>
      <c r="F19" s="220" t="str">
        <f>IF('Input Nilai Pengetahuan'!AK16="","",'Input Nilai Pengetahuan'!AK16)</f>
        <v/>
      </c>
      <c r="G19" s="220" t="str">
        <f>IF('Input Nilai Pengetahuan'!AS16="","",'Input Nilai Pengetahuan'!AS16)</f>
        <v/>
      </c>
      <c r="H19" s="220" t="str">
        <f>IF('Input Nilai Pengetahuan'!BA16="","",'Input Nilai Pengetahuan'!BA16)</f>
        <v/>
      </c>
      <c r="I19" s="220" t="str">
        <f>IF('Input Nilai Pengetahuan'!BI16="","",'Input Nilai Pengetahuan'!BI16)</f>
        <v/>
      </c>
      <c r="J19" s="220" t="str">
        <f>IF('Input Nilai Pengetahuan'!BQ16="","",'Input Nilai Pengetahuan'!BQ16)</f>
        <v/>
      </c>
      <c r="K19" s="220" t="str">
        <f>IF('Input Nilai Pengetahuan'!BY16="","",'Input Nilai Pengetahuan'!BY16)</f>
        <v/>
      </c>
      <c r="L19" s="220" t="str">
        <f>IF('Input Nilai Pengetahuan'!CG16="","",'Input Nilai Pengetahuan'!CG16)</f>
        <v/>
      </c>
      <c r="M19" s="221">
        <f>IF('Input Nilai Ketrampilan'!J16="","",('Input Nilai Ketrampilan'!J16))</f>
        <v>80</v>
      </c>
      <c r="N19" s="221">
        <f>IF('Input Nilai Ketrampilan'!O16="","",'Input Nilai Ketrampilan'!O16)</f>
        <v>80</v>
      </c>
      <c r="O19" s="221">
        <f>IF('Input Nilai Ketrampilan'!T16="","",'Input Nilai Ketrampilan'!T16)</f>
        <v>80</v>
      </c>
      <c r="P19" s="221">
        <f>IF('Input Nilai Ketrampilan'!Y16="","",'Input Nilai Ketrampilan'!Y16)</f>
        <v>80</v>
      </c>
      <c r="Q19" s="221" t="str">
        <f>IF('Input Nilai Ketrampilan'!AD16="","",'Input Nilai Ketrampilan'!AD16)</f>
        <v/>
      </c>
      <c r="R19" s="221" t="str">
        <f>IF('Input Nilai Ketrampilan'!AI16="","",'Input Nilai Ketrampilan'!AI16)</f>
        <v/>
      </c>
      <c r="S19" s="221" t="str">
        <f>IF('Input Nilai Ketrampilan'!AN16="","",'Input Nilai Ketrampilan'!AN16)</f>
        <v/>
      </c>
      <c r="T19" s="221" t="str">
        <f>IF('Input Nilai Ketrampilan'!AS16="","",'Input Nilai Ketrampilan'!AS16)</f>
        <v/>
      </c>
      <c r="U19" s="221" t="str">
        <f>IF('Input Nilai Ketrampilan'!AX16="","",'Input Nilai Ketrampilan'!AX16)</f>
        <v/>
      </c>
      <c r="V19" s="221" t="str">
        <f>IF('Input Nilai Ketrampilan'!BC16="","",'Input Nilai Ketrampilan'!BC16)</f>
        <v/>
      </c>
      <c r="W19" s="222">
        <f>IF('Input Nilai Pengetahuan'!CK16="","",'Input Nilai Pengetahuan'!CK16)</f>
        <v>70</v>
      </c>
    </row>
    <row r="20" spans="1:23">
      <c r="A20" s="121">
        <f>'DATA SISWA'!A17</f>
        <v>13</v>
      </c>
      <c r="B20" s="122" t="str">
        <f>'DATA SISWA'!C17</f>
        <v>Ma`ruf</v>
      </c>
      <c r="C20" s="220">
        <f>IF('Input Nilai Pengetahuan'!M17="","",'Input Nilai Pengetahuan'!M17)</f>
        <v>70</v>
      </c>
      <c r="D20" s="220">
        <f>IF('Input Nilai Pengetahuan'!U17="","",'Input Nilai Pengetahuan'!U17)</f>
        <v>75</v>
      </c>
      <c r="E20" s="220">
        <f>IF('Input Nilai Pengetahuan'!AC17="","",'Input Nilai Pengetahuan'!AC17)</f>
        <v>80</v>
      </c>
      <c r="F20" s="220">
        <f>IF('Input Nilai Pengetahuan'!AK17="","",'Input Nilai Pengetahuan'!AK17)</f>
        <v>70</v>
      </c>
      <c r="G20" s="220" t="str">
        <f>IF('Input Nilai Pengetahuan'!AS17="","",'Input Nilai Pengetahuan'!AS17)</f>
        <v/>
      </c>
      <c r="H20" s="220" t="str">
        <f>IF('Input Nilai Pengetahuan'!BA17="","",'Input Nilai Pengetahuan'!BA17)</f>
        <v/>
      </c>
      <c r="I20" s="220" t="str">
        <f>IF('Input Nilai Pengetahuan'!BI17="","",'Input Nilai Pengetahuan'!BI17)</f>
        <v/>
      </c>
      <c r="J20" s="220" t="str">
        <f>IF('Input Nilai Pengetahuan'!BQ17="","",'Input Nilai Pengetahuan'!BQ17)</f>
        <v/>
      </c>
      <c r="K20" s="220" t="str">
        <f>IF('Input Nilai Pengetahuan'!BY17="","",'Input Nilai Pengetahuan'!BY17)</f>
        <v/>
      </c>
      <c r="L20" s="220" t="str">
        <f>IF('Input Nilai Pengetahuan'!CG17="","",'Input Nilai Pengetahuan'!CG17)</f>
        <v/>
      </c>
      <c r="M20" s="221">
        <f>IF('Input Nilai Ketrampilan'!J17="","",('Input Nilai Ketrampilan'!J17))</f>
        <v>79</v>
      </c>
      <c r="N20" s="221">
        <f>IF('Input Nilai Ketrampilan'!O17="","",'Input Nilai Ketrampilan'!O17)</f>
        <v>79</v>
      </c>
      <c r="O20" s="221">
        <f>IF('Input Nilai Ketrampilan'!T17="","",'Input Nilai Ketrampilan'!T17)</f>
        <v>79</v>
      </c>
      <c r="P20" s="221">
        <f>IF('Input Nilai Ketrampilan'!Y17="","",'Input Nilai Ketrampilan'!Y17)</f>
        <v>79</v>
      </c>
      <c r="Q20" s="221" t="str">
        <f>IF('Input Nilai Ketrampilan'!AD17="","",'Input Nilai Ketrampilan'!AD17)</f>
        <v/>
      </c>
      <c r="R20" s="221" t="str">
        <f>IF('Input Nilai Ketrampilan'!AI17="","",'Input Nilai Ketrampilan'!AI17)</f>
        <v/>
      </c>
      <c r="S20" s="221" t="str">
        <f>IF('Input Nilai Ketrampilan'!AN17="","",'Input Nilai Ketrampilan'!AN17)</f>
        <v/>
      </c>
      <c r="T20" s="221" t="str">
        <f>IF('Input Nilai Ketrampilan'!AS17="","",'Input Nilai Ketrampilan'!AS17)</f>
        <v/>
      </c>
      <c r="U20" s="221" t="str">
        <f>IF('Input Nilai Ketrampilan'!AX17="","",'Input Nilai Ketrampilan'!AX17)</f>
        <v/>
      </c>
      <c r="V20" s="221" t="str">
        <f>IF('Input Nilai Ketrampilan'!BC17="","",'Input Nilai Ketrampilan'!BC17)</f>
        <v/>
      </c>
      <c r="W20" s="222">
        <f>IF('Input Nilai Pengetahuan'!CK17="","",'Input Nilai Pengetahuan'!CK17)</f>
        <v>70</v>
      </c>
    </row>
    <row r="21" spans="1:23">
      <c r="A21" s="121">
        <f>'DATA SISWA'!A18</f>
        <v>14</v>
      </c>
      <c r="B21" s="122" t="str">
        <f>'DATA SISWA'!C18</f>
        <v>Nia Ramadani</v>
      </c>
      <c r="C21" s="220">
        <f>IF('Input Nilai Pengetahuan'!M18="","",'Input Nilai Pengetahuan'!M18)</f>
        <v>75</v>
      </c>
      <c r="D21" s="220">
        <f>IF('Input Nilai Pengetahuan'!U18="","",'Input Nilai Pengetahuan'!U18)</f>
        <v>70</v>
      </c>
      <c r="E21" s="220">
        <f>IF('Input Nilai Pengetahuan'!AC18="","",'Input Nilai Pengetahuan'!AC18)</f>
        <v>70</v>
      </c>
      <c r="F21" s="220">
        <f>IF('Input Nilai Pengetahuan'!AK18="","",'Input Nilai Pengetahuan'!AK18)</f>
        <v>76</v>
      </c>
      <c r="G21" s="220" t="str">
        <f>IF('Input Nilai Pengetahuan'!AS18="","",'Input Nilai Pengetahuan'!AS18)</f>
        <v/>
      </c>
      <c r="H21" s="220" t="str">
        <f>IF('Input Nilai Pengetahuan'!BA18="","",'Input Nilai Pengetahuan'!BA18)</f>
        <v/>
      </c>
      <c r="I21" s="220" t="str">
        <f>IF('Input Nilai Pengetahuan'!BI18="","",'Input Nilai Pengetahuan'!BI18)</f>
        <v/>
      </c>
      <c r="J21" s="220" t="str">
        <f>IF('Input Nilai Pengetahuan'!BQ18="","",'Input Nilai Pengetahuan'!BQ18)</f>
        <v/>
      </c>
      <c r="K21" s="220" t="str">
        <f>IF('Input Nilai Pengetahuan'!BY18="","",'Input Nilai Pengetahuan'!BY18)</f>
        <v/>
      </c>
      <c r="L21" s="220" t="str">
        <f>IF('Input Nilai Pengetahuan'!CG18="","",'Input Nilai Pengetahuan'!CG18)</f>
        <v/>
      </c>
      <c r="M21" s="221">
        <f>IF('Input Nilai Ketrampilan'!J18="","",('Input Nilai Ketrampilan'!J18))</f>
        <v>78</v>
      </c>
      <c r="N21" s="221">
        <f>IF('Input Nilai Ketrampilan'!O18="","",'Input Nilai Ketrampilan'!O18)</f>
        <v>78</v>
      </c>
      <c r="O21" s="221">
        <f>IF('Input Nilai Ketrampilan'!T18="","",'Input Nilai Ketrampilan'!T18)</f>
        <v>78</v>
      </c>
      <c r="P21" s="221">
        <f>IF('Input Nilai Ketrampilan'!Y18="","",'Input Nilai Ketrampilan'!Y18)</f>
        <v>78</v>
      </c>
      <c r="Q21" s="221" t="str">
        <f>IF('Input Nilai Ketrampilan'!AD18="","",'Input Nilai Ketrampilan'!AD18)</f>
        <v/>
      </c>
      <c r="R21" s="221" t="str">
        <f>IF('Input Nilai Ketrampilan'!AI18="","",'Input Nilai Ketrampilan'!AI18)</f>
        <v/>
      </c>
      <c r="S21" s="221" t="str">
        <f>IF('Input Nilai Ketrampilan'!AN18="","",'Input Nilai Ketrampilan'!AN18)</f>
        <v/>
      </c>
      <c r="T21" s="221" t="str">
        <f>IF('Input Nilai Ketrampilan'!AS18="","",'Input Nilai Ketrampilan'!AS18)</f>
        <v/>
      </c>
      <c r="U21" s="221" t="str">
        <f>IF('Input Nilai Ketrampilan'!AX18="","",'Input Nilai Ketrampilan'!AX18)</f>
        <v/>
      </c>
      <c r="V21" s="221" t="str">
        <f>IF('Input Nilai Ketrampilan'!BC18="","",'Input Nilai Ketrampilan'!BC18)</f>
        <v/>
      </c>
      <c r="W21" s="222">
        <f>IF('Input Nilai Pengetahuan'!CK18="","",'Input Nilai Pengetahuan'!CK18)</f>
        <v>70</v>
      </c>
    </row>
    <row r="22" spans="1:23">
      <c r="A22" s="121">
        <f>'DATA SISWA'!A19</f>
        <v>15</v>
      </c>
      <c r="B22" s="122" t="str">
        <f>'DATA SISWA'!C19</f>
        <v>Ningsih Rahmawati</v>
      </c>
      <c r="C22" s="220">
        <f>IF('Input Nilai Pengetahuan'!M19="","",'Input Nilai Pengetahuan'!M19)</f>
        <v>95</v>
      </c>
      <c r="D22" s="220">
        <f>IF('Input Nilai Pengetahuan'!U19="","",'Input Nilai Pengetahuan'!U19)</f>
        <v>90</v>
      </c>
      <c r="E22" s="220">
        <f>IF('Input Nilai Pengetahuan'!AC19="","",'Input Nilai Pengetahuan'!AC19)</f>
        <v>85</v>
      </c>
      <c r="F22" s="220">
        <f>IF('Input Nilai Pengetahuan'!AK19="","",'Input Nilai Pengetahuan'!AK19)</f>
        <v>90</v>
      </c>
      <c r="G22" s="220" t="str">
        <f>IF('Input Nilai Pengetahuan'!AS19="","",'Input Nilai Pengetahuan'!AS19)</f>
        <v/>
      </c>
      <c r="H22" s="220" t="str">
        <f>IF('Input Nilai Pengetahuan'!BA19="","",'Input Nilai Pengetahuan'!BA19)</f>
        <v/>
      </c>
      <c r="I22" s="220" t="str">
        <f>IF('Input Nilai Pengetahuan'!BI19="","",'Input Nilai Pengetahuan'!BI19)</f>
        <v/>
      </c>
      <c r="J22" s="220" t="str">
        <f>IF('Input Nilai Pengetahuan'!BQ19="","",'Input Nilai Pengetahuan'!BQ19)</f>
        <v/>
      </c>
      <c r="K22" s="220" t="str">
        <f>IF('Input Nilai Pengetahuan'!BY19="","",'Input Nilai Pengetahuan'!BY19)</f>
        <v/>
      </c>
      <c r="L22" s="220" t="str">
        <f>IF('Input Nilai Pengetahuan'!CG19="","",'Input Nilai Pengetahuan'!CG19)</f>
        <v/>
      </c>
      <c r="M22" s="221">
        <f>IF('Input Nilai Ketrampilan'!J19="","",('Input Nilai Ketrampilan'!J19))</f>
        <v>79</v>
      </c>
      <c r="N22" s="221">
        <f>IF('Input Nilai Ketrampilan'!O19="","",'Input Nilai Ketrampilan'!O19)</f>
        <v>79</v>
      </c>
      <c r="O22" s="221">
        <f>IF('Input Nilai Ketrampilan'!T19="","",'Input Nilai Ketrampilan'!T19)</f>
        <v>79</v>
      </c>
      <c r="P22" s="221">
        <f>IF('Input Nilai Ketrampilan'!Y19="","",'Input Nilai Ketrampilan'!Y19)</f>
        <v>79</v>
      </c>
      <c r="Q22" s="221" t="str">
        <f>IF('Input Nilai Ketrampilan'!AD19="","",'Input Nilai Ketrampilan'!AD19)</f>
        <v/>
      </c>
      <c r="R22" s="221" t="str">
        <f>IF('Input Nilai Ketrampilan'!AI19="","",'Input Nilai Ketrampilan'!AI19)</f>
        <v/>
      </c>
      <c r="S22" s="221" t="str">
        <f>IF('Input Nilai Ketrampilan'!AN19="","",'Input Nilai Ketrampilan'!AN19)</f>
        <v/>
      </c>
      <c r="T22" s="221" t="str">
        <f>IF('Input Nilai Ketrampilan'!AS19="","",'Input Nilai Ketrampilan'!AS19)</f>
        <v/>
      </c>
      <c r="U22" s="221" t="str">
        <f>IF('Input Nilai Ketrampilan'!AX19="","",'Input Nilai Ketrampilan'!AX19)</f>
        <v/>
      </c>
      <c r="V22" s="221" t="str">
        <f>IF('Input Nilai Ketrampilan'!BC19="","",'Input Nilai Ketrampilan'!BC19)</f>
        <v/>
      </c>
      <c r="W22" s="222">
        <f>IF('Input Nilai Pengetahuan'!CK19="","",'Input Nilai Pengetahuan'!CK19)</f>
        <v>73</v>
      </c>
    </row>
    <row r="23" spans="1:23">
      <c r="A23" s="121">
        <f>'DATA SISWA'!A20</f>
        <v>16</v>
      </c>
      <c r="B23" s="122" t="str">
        <f>'DATA SISWA'!C20</f>
        <v>Nurhayati</v>
      </c>
      <c r="C23" s="220">
        <f>IF('Input Nilai Pengetahuan'!M20="","",'Input Nilai Pengetahuan'!M20)</f>
        <v>90</v>
      </c>
      <c r="D23" s="220">
        <f>IF('Input Nilai Pengetahuan'!U20="","",'Input Nilai Pengetahuan'!U20)</f>
        <v>89</v>
      </c>
      <c r="E23" s="220">
        <f>IF('Input Nilai Pengetahuan'!AC20="","",'Input Nilai Pengetahuan'!AC20)</f>
        <v>80</v>
      </c>
      <c r="F23" s="220">
        <f>IF('Input Nilai Pengetahuan'!AK20="","",'Input Nilai Pengetahuan'!AK20)</f>
        <v>100</v>
      </c>
      <c r="G23" s="220" t="str">
        <f>IF('Input Nilai Pengetahuan'!AS20="","",'Input Nilai Pengetahuan'!AS20)</f>
        <v/>
      </c>
      <c r="H23" s="220" t="str">
        <f>IF('Input Nilai Pengetahuan'!BA20="","",'Input Nilai Pengetahuan'!BA20)</f>
        <v/>
      </c>
      <c r="I23" s="220" t="str">
        <f>IF('Input Nilai Pengetahuan'!BI20="","",'Input Nilai Pengetahuan'!BI20)</f>
        <v/>
      </c>
      <c r="J23" s="220" t="str">
        <f>IF('Input Nilai Pengetahuan'!BQ20="","",'Input Nilai Pengetahuan'!BQ20)</f>
        <v/>
      </c>
      <c r="K23" s="220" t="str">
        <f>IF('Input Nilai Pengetahuan'!BY20="","",'Input Nilai Pengetahuan'!BY20)</f>
        <v/>
      </c>
      <c r="L23" s="220" t="str">
        <f>IF('Input Nilai Pengetahuan'!CG20="","",'Input Nilai Pengetahuan'!CG20)</f>
        <v/>
      </c>
      <c r="M23" s="221">
        <f>IF('Input Nilai Ketrampilan'!J20="","",('Input Nilai Ketrampilan'!J20))</f>
        <v>80</v>
      </c>
      <c r="N23" s="221">
        <f>IF('Input Nilai Ketrampilan'!O20="","",'Input Nilai Ketrampilan'!O20)</f>
        <v>80</v>
      </c>
      <c r="O23" s="221">
        <f>IF('Input Nilai Ketrampilan'!T20="","",'Input Nilai Ketrampilan'!T20)</f>
        <v>80</v>
      </c>
      <c r="P23" s="221">
        <f>IF('Input Nilai Ketrampilan'!Y20="","",'Input Nilai Ketrampilan'!Y20)</f>
        <v>80</v>
      </c>
      <c r="Q23" s="221" t="str">
        <f>IF('Input Nilai Ketrampilan'!AD20="","",'Input Nilai Ketrampilan'!AD20)</f>
        <v/>
      </c>
      <c r="R23" s="221" t="str">
        <f>IF('Input Nilai Ketrampilan'!AI20="","",'Input Nilai Ketrampilan'!AI20)</f>
        <v/>
      </c>
      <c r="S23" s="221" t="str">
        <f>IF('Input Nilai Ketrampilan'!AN20="","",'Input Nilai Ketrampilan'!AN20)</f>
        <v/>
      </c>
      <c r="T23" s="221" t="str">
        <f>IF('Input Nilai Ketrampilan'!AS20="","",'Input Nilai Ketrampilan'!AS20)</f>
        <v/>
      </c>
      <c r="U23" s="221" t="str">
        <f>IF('Input Nilai Ketrampilan'!AX20="","",'Input Nilai Ketrampilan'!AX20)</f>
        <v/>
      </c>
      <c r="V23" s="221" t="str">
        <f>IF('Input Nilai Ketrampilan'!BC20="","",'Input Nilai Ketrampilan'!BC20)</f>
        <v/>
      </c>
      <c r="W23" s="222">
        <f>IF('Input Nilai Pengetahuan'!CK20="","",'Input Nilai Pengetahuan'!CK20)</f>
        <v>73</v>
      </c>
    </row>
    <row r="24" spans="1:23">
      <c r="A24" s="121">
        <f>'DATA SISWA'!A21</f>
        <v>17</v>
      </c>
      <c r="B24" s="122" t="str">
        <f>'DATA SISWA'!C21</f>
        <v>Nur Aini</v>
      </c>
      <c r="C24" s="220">
        <f>IF('Input Nilai Pengetahuan'!M21="","",'Input Nilai Pengetahuan'!M21)</f>
        <v>90</v>
      </c>
      <c r="D24" s="220">
        <f>IF('Input Nilai Pengetahuan'!U21="","",'Input Nilai Pengetahuan'!U21)</f>
        <v>85</v>
      </c>
      <c r="E24" s="220">
        <f>IF('Input Nilai Pengetahuan'!AC21="","",'Input Nilai Pengetahuan'!AC21)</f>
        <v>85</v>
      </c>
      <c r="F24" s="220">
        <f>IF('Input Nilai Pengetahuan'!AK21="","",'Input Nilai Pengetahuan'!AK21)</f>
        <v>90</v>
      </c>
      <c r="G24" s="220" t="str">
        <f>IF('Input Nilai Pengetahuan'!AS21="","",'Input Nilai Pengetahuan'!AS21)</f>
        <v/>
      </c>
      <c r="H24" s="220" t="str">
        <f>IF('Input Nilai Pengetahuan'!BA21="","",'Input Nilai Pengetahuan'!BA21)</f>
        <v/>
      </c>
      <c r="I24" s="220" t="str">
        <f>IF('Input Nilai Pengetahuan'!BI21="","",'Input Nilai Pengetahuan'!BI21)</f>
        <v/>
      </c>
      <c r="J24" s="220" t="str">
        <f>IF('Input Nilai Pengetahuan'!BQ21="","",'Input Nilai Pengetahuan'!BQ21)</f>
        <v/>
      </c>
      <c r="K24" s="220" t="str">
        <f>IF('Input Nilai Pengetahuan'!BY21="","",'Input Nilai Pengetahuan'!BY21)</f>
        <v/>
      </c>
      <c r="L24" s="220" t="str">
        <f>IF('Input Nilai Pengetahuan'!CG21="","",'Input Nilai Pengetahuan'!CG21)</f>
        <v/>
      </c>
      <c r="M24" s="221">
        <f>IF('Input Nilai Ketrampilan'!J21="","",('Input Nilai Ketrampilan'!J21))</f>
        <v>80</v>
      </c>
      <c r="N24" s="221">
        <f>IF('Input Nilai Ketrampilan'!O21="","",'Input Nilai Ketrampilan'!O21)</f>
        <v>80</v>
      </c>
      <c r="O24" s="221">
        <f>IF('Input Nilai Ketrampilan'!T21="","",'Input Nilai Ketrampilan'!T21)</f>
        <v>80</v>
      </c>
      <c r="P24" s="221">
        <f>IF('Input Nilai Ketrampilan'!Y21="","",'Input Nilai Ketrampilan'!Y21)</f>
        <v>80</v>
      </c>
      <c r="Q24" s="221" t="str">
        <f>IF('Input Nilai Ketrampilan'!AD21="","",'Input Nilai Ketrampilan'!AD21)</f>
        <v/>
      </c>
      <c r="R24" s="221" t="str">
        <f>IF('Input Nilai Ketrampilan'!AI21="","",'Input Nilai Ketrampilan'!AI21)</f>
        <v/>
      </c>
      <c r="S24" s="221" t="str">
        <f>IF('Input Nilai Ketrampilan'!AN21="","",'Input Nilai Ketrampilan'!AN21)</f>
        <v/>
      </c>
      <c r="T24" s="221" t="str">
        <f>IF('Input Nilai Ketrampilan'!AS21="","",'Input Nilai Ketrampilan'!AS21)</f>
        <v/>
      </c>
      <c r="U24" s="221" t="str">
        <f>IF('Input Nilai Ketrampilan'!AX21="","",'Input Nilai Ketrampilan'!AX21)</f>
        <v/>
      </c>
      <c r="V24" s="221" t="str">
        <f>IF('Input Nilai Ketrampilan'!BC21="","",'Input Nilai Ketrampilan'!BC21)</f>
        <v/>
      </c>
      <c r="W24" s="222">
        <f>IF('Input Nilai Pengetahuan'!CK21="","",'Input Nilai Pengetahuan'!CK21)</f>
        <v>75</v>
      </c>
    </row>
    <row r="25" spans="1:23">
      <c r="A25" s="121">
        <f>'DATA SISWA'!A22</f>
        <v>18</v>
      </c>
      <c r="B25" s="122" t="str">
        <f>'DATA SISWA'!C22</f>
        <v>Rofiah</v>
      </c>
      <c r="C25" s="220">
        <f>IF('Input Nilai Pengetahuan'!M22="","",'Input Nilai Pengetahuan'!M22)</f>
        <v>90</v>
      </c>
      <c r="D25" s="220">
        <f>IF('Input Nilai Pengetahuan'!U22="","",'Input Nilai Pengetahuan'!U22)</f>
        <v>85</v>
      </c>
      <c r="E25" s="220">
        <f>IF('Input Nilai Pengetahuan'!AC22="","",'Input Nilai Pengetahuan'!AC22)</f>
        <v>80</v>
      </c>
      <c r="F25" s="220">
        <f>IF('Input Nilai Pengetahuan'!AK22="","",'Input Nilai Pengetahuan'!AK22)</f>
        <v>95</v>
      </c>
      <c r="G25" s="220" t="str">
        <f>IF('Input Nilai Pengetahuan'!AS22="","",'Input Nilai Pengetahuan'!AS22)</f>
        <v/>
      </c>
      <c r="H25" s="220" t="str">
        <f>IF('Input Nilai Pengetahuan'!BA22="","",'Input Nilai Pengetahuan'!BA22)</f>
        <v/>
      </c>
      <c r="I25" s="220" t="str">
        <f>IF('Input Nilai Pengetahuan'!BI22="","",'Input Nilai Pengetahuan'!BI22)</f>
        <v/>
      </c>
      <c r="J25" s="220" t="str">
        <f>IF('Input Nilai Pengetahuan'!BQ22="","",'Input Nilai Pengetahuan'!BQ22)</f>
        <v/>
      </c>
      <c r="K25" s="220" t="str">
        <f>IF('Input Nilai Pengetahuan'!BY22="","",'Input Nilai Pengetahuan'!BY22)</f>
        <v/>
      </c>
      <c r="L25" s="220" t="str">
        <f>IF('Input Nilai Pengetahuan'!CG22="","",'Input Nilai Pengetahuan'!CG22)</f>
        <v/>
      </c>
      <c r="M25" s="221">
        <f>IF('Input Nilai Ketrampilan'!J22="","",('Input Nilai Ketrampilan'!J22))</f>
        <v>79</v>
      </c>
      <c r="N25" s="221">
        <f>IF('Input Nilai Ketrampilan'!O22="","",'Input Nilai Ketrampilan'!O22)</f>
        <v>79</v>
      </c>
      <c r="O25" s="221">
        <f>IF('Input Nilai Ketrampilan'!T22="","",'Input Nilai Ketrampilan'!T22)</f>
        <v>79</v>
      </c>
      <c r="P25" s="221">
        <f>IF('Input Nilai Ketrampilan'!Y22="","",'Input Nilai Ketrampilan'!Y22)</f>
        <v>79</v>
      </c>
      <c r="Q25" s="221" t="str">
        <f>IF('Input Nilai Ketrampilan'!AD22="","",'Input Nilai Ketrampilan'!AD22)</f>
        <v/>
      </c>
      <c r="R25" s="221" t="str">
        <f>IF('Input Nilai Ketrampilan'!AI22="","",'Input Nilai Ketrampilan'!AI22)</f>
        <v/>
      </c>
      <c r="S25" s="221" t="str">
        <f>IF('Input Nilai Ketrampilan'!AN22="","",'Input Nilai Ketrampilan'!AN22)</f>
        <v/>
      </c>
      <c r="T25" s="221" t="str">
        <f>IF('Input Nilai Ketrampilan'!AS22="","",'Input Nilai Ketrampilan'!AS22)</f>
        <v/>
      </c>
      <c r="U25" s="221" t="str">
        <f>IF('Input Nilai Ketrampilan'!AX22="","",'Input Nilai Ketrampilan'!AX22)</f>
        <v/>
      </c>
      <c r="V25" s="221" t="str">
        <f>IF('Input Nilai Ketrampilan'!BC22="","",'Input Nilai Ketrampilan'!BC22)</f>
        <v/>
      </c>
      <c r="W25" s="222">
        <f>IF('Input Nilai Pengetahuan'!CK22="","",'Input Nilai Pengetahuan'!CK22)</f>
        <v>79</v>
      </c>
    </row>
    <row r="26" spans="1:23">
      <c r="A26" s="121">
        <f>'DATA SISWA'!A23</f>
        <v>19</v>
      </c>
      <c r="B26" s="122" t="str">
        <f>'DATA SISWA'!C23</f>
        <v>Romliadi</v>
      </c>
      <c r="C26" s="220">
        <f>IF('Input Nilai Pengetahuan'!M23="","",'Input Nilai Pengetahuan'!M23)</f>
        <v>75</v>
      </c>
      <c r="D26" s="220">
        <f>IF('Input Nilai Pengetahuan'!U23="","",'Input Nilai Pengetahuan'!U23)</f>
        <v>70</v>
      </c>
      <c r="E26" s="220">
        <f>IF('Input Nilai Pengetahuan'!AC23="","",'Input Nilai Pengetahuan'!AC23)</f>
        <v>76</v>
      </c>
      <c r="F26" s="220">
        <f>IF('Input Nilai Pengetahuan'!AK23="","",'Input Nilai Pengetahuan'!AK23)</f>
        <v>76</v>
      </c>
      <c r="G26" s="220" t="str">
        <f>IF('Input Nilai Pengetahuan'!AS23="","",'Input Nilai Pengetahuan'!AS23)</f>
        <v/>
      </c>
      <c r="H26" s="220" t="str">
        <f>IF('Input Nilai Pengetahuan'!BA23="","",'Input Nilai Pengetahuan'!BA23)</f>
        <v/>
      </c>
      <c r="I26" s="220" t="str">
        <f>IF('Input Nilai Pengetahuan'!BI23="","",'Input Nilai Pengetahuan'!BI23)</f>
        <v/>
      </c>
      <c r="J26" s="220" t="str">
        <f>IF('Input Nilai Pengetahuan'!BQ23="","",'Input Nilai Pengetahuan'!BQ23)</f>
        <v/>
      </c>
      <c r="K26" s="220" t="str">
        <f>IF('Input Nilai Pengetahuan'!BY23="","",'Input Nilai Pengetahuan'!BY23)</f>
        <v/>
      </c>
      <c r="L26" s="220" t="str">
        <f>IF('Input Nilai Pengetahuan'!CG23="","",'Input Nilai Pengetahuan'!CG23)</f>
        <v/>
      </c>
      <c r="M26" s="221">
        <f>IF('Input Nilai Ketrampilan'!J23="","",('Input Nilai Ketrampilan'!J23))</f>
        <v>78</v>
      </c>
      <c r="N26" s="221">
        <f>IF('Input Nilai Ketrampilan'!O23="","",'Input Nilai Ketrampilan'!O23)</f>
        <v>78</v>
      </c>
      <c r="O26" s="221">
        <f>IF('Input Nilai Ketrampilan'!T23="","",'Input Nilai Ketrampilan'!T23)</f>
        <v>78</v>
      </c>
      <c r="P26" s="221">
        <f>IF('Input Nilai Ketrampilan'!Y23="","",'Input Nilai Ketrampilan'!Y23)</f>
        <v>78</v>
      </c>
      <c r="Q26" s="221" t="str">
        <f>IF('Input Nilai Ketrampilan'!AD23="","",'Input Nilai Ketrampilan'!AD23)</f>
        <v/>
      </c>
      <c r="R26" s="221" t="str">
        <f>IF('Input Nilai Ketrampilan'!AI23="","",'Input Nilai Ketrampilan'!AI23)</f>
        <v/>
      </c>
      <c r="S26" s="221" t="str">
        <f>IF('Input Nilai Ketrampilan'!AN23="","",'Input Nilai Ketrampilan'!AN23)</f>
        <v/>
      </c>
      <c r="T26" s="221" t="str">
        <f>IF('Input Nilai Ketrampilan'!AS23="","",'Input Nilai Ketrampilan'!AS23)</f>
        <v/>
      </c>
      <c r="U26" s="221" t="str">
        <f>IF('Input Nilai Ketrampilan'!AX23="","",'Input Nilai Ketrampilan'!AX23)</f>
        <v/>
      </c>
      <c r="V26" s="221" t="str">
        <f>IF('Input Nilai Ketrampilan'!BC23="","",'Input Nilai Ketrampilan'!BC23)</f>
        <v/>
      </c>
      <c r="W26" s="222">
        <f>IF('Input Nilai Pengetahuan'!CK23="","",'Input Nilai Pengetahuan'!CK23)</f>
        <v>70</v>
      </c>
    </row>
    <row r="27" spans="1:23">
      <c r="A27" s="121">
        <f>'DATA SISWA'!A24</f>
        <v>20</v>
      </c>
      <c r="B27" s="122" t="str">
        <f>'DATA SISWA'!C24</f>
        <v>Tammimah</v>
      </c>
      <c r="C27" s="220">
        <f>IF('Input Nilai Pengetahuan'!M24="","",'Input Nilai Pengetahuan'!M24)</f>
        <v>70</v>
      </c>
      <c r="D27" s="220">
        <f>IF('Input Nilai Pengetahuan'!U24="","",'Input Nilai Pengetahuan'!U24)</f>
        <v>75</v>
      </c>
      <c r="E27" s="220">
        <f>IF('Input Nilai Pengetahuan'!AC24="","",'Input Nilai Pengetahuan'!AC24)</f>
        <v>70</v>
      </c>
      <c r="F27" s="220">
        <f>IF('Input Nilai Pengetahuan'!AK24="","",'Input Nilai Pengetahuan'!AK24)</f>
        <v>75</v>
      </c>
      <c r="G27" s="220" t="str">
        <f>IF('Input Nilai Pengetahuan'!AS24="","",'Input Nilai Pengetahuan'!AS24)</f>
        <v/>
      </c>
      <c r="H27" s="220" t="str">
        <f>IF('Input Nilai Pengetahuan'!BA24="","",'Input Nilai Pengetahuan'!BA24)</f>
        <v/>
      </c>
      <c r="I27" s="220" t="str">
        <f>IF('Input Nilai Pengetahuan'!BI24="","",'Input Nilai Pengetahuan'!BI24)</f>
        <v/>
      </c>
      <c r="J27" s="220" t="str">
        <f>IF('Input Nilai Pengetahuan'!BQ24="","",'Input Nilai Pengetahuan'!BQ24)</f>
        <v/>
      </c>
      <c r="K27" s="220" t="str">
        <f>IF('Input Nilai Pengetahuan'!BY24="","",'Input Nilai Pengetahuan'!BY24)</f>
        <v/>
      </c>
      <c r="L27" s="220" t="str">
        <f>IF('Input Nilai Pengetahuan'!CG24="","",'Input Nilai Pengetahuan'!CG24)</f>
        <v/>
      </c>
      <c r="M27" s="221">
        <f>IF('Input Nilai Ketrampilan'!J24="","",('Input Nilai Ketrampilan'!J24))</f>
        <v>79</v>
      </c>
      <c r="N27" s="221">
        <f>IF('Input Nilai Ketrampilan'!O24="","",'Input Nilai Ketrampilan'!O24)</f>
        <v>79</v>
      </c>
      <c r="O27" s="221">
        <f>IF('Input Nilai Ketrampilan'!T24="","",'Input Nilai Ketrampilan'!T24)</f>
        <v>79</v>
      </c>
      <c r="P27" s="221">
        <f>IF('Input Nilai Ketrampilan'!Y24="","",'Input Nilai Ketrampilan'!Y24)</f>
        <v>79</v>
      </c>
      <c r="Q27" s="221" t="str">
        <f>IF('Input Nilai Ketrampilan'!AD24="","",'Input Nilai Ketrampilan'!AD24)</f>
        <v/>
      </c>
      <c r="R27" s="221" t="str">
        <f>IF('Input Nilai Ketrampilan'!AI24="","",'Input Nilai Ketrampilan'!AI24)</f>
        <v/>
      </c>
      <c r="S27" s="221" t="str">
        <f>IF('Input Nilai Ketrampilan'!AN24="","",'Input Nilai Ketrampilan'!AN24)</f>
        <v/>
      </c>
      <c r="T27" s="221" t="str">
        <f>IF('Input Nilai Ketrampilan'!AS24="","",'Input Nilai Ketrampilan'!AS24)</f>
        <v/>
      </c>
      <c r="U27" s="221" t="str">
        <f>IF('Input Nilai Ketrampilan'!AX24="","",'Input Nilai Ketrampilan'!AX24)</f>
        <v/>
      </c>
      <c r="V27" s="221" t="str">
        <f>IF('Input Nilai Ketrampilan'!BC24="","",'Input Nilai Ketrampilan'!BC24)</f>
        <v/>
      </c>
      <c r="W27" s="222">
        <f>IF('Input Nilai Pengetahuan'!CK24="","",'Input Nilai Pengetahuan'!CK24)</f>
        <v>72</v>
      </c>
    </row>
    <row r="28" spans="1:23">
      <c r="A28" s="121">
        <f>'DATA SISWA'!A25</f>
        <v>0</v>
      </c>
      <c r="B28" s="122">
        <f>'DATA SISWA'!C25</f>
        <v>0</v>
      </c>
      <c r="C28" s="220" t="str">
        <f>IF('Input Nilai Pengetahuan'!M25="","",'Input Nilai Pengetahuan'!M25)</f>
        <v/>
      </c>
      <c r="D28" s="220" t="str">
        <f>IF('Input Nilai Pengetahuan'!U25="","",'Input Nilai Pengetahuan'!U25)</f>
        <v/>
      </c>
      <c r="E28" s="220" t="str">
        <f>IF('Input Nilai Pengetahuan'!AC25="","",'Input Nilai Pengetahuan'!AC25)</f>
        <v/>
      </c>
      <c r="F28" s="220" t="str">
        <f>IF('Input Nilai Pengetahuan'!AK25="","",'Input Nilai Pengetahuan'!AK25)</f>
        <v/>
      </c>
      <c r="G28" s="220" t="str">
        <f>IF('Input Nilai Pengetahuan'!AS25="","",'Input Nilai Pengetahuan'!AS25)</f>
        <v/>
      </c>
      <c r="H28" s="220" t="str">
        <f>IF('Input Nilai Pengetahuan'!BA25="","",'Input Nilai Pengetahuan'!BA25)</f>
        <v/>
      </c>
      <c r="I28" s="220" t="str">
        <f>IF('Input Nilai Pengetahuan'!BI25="","",'Input Nilai Pengetahuan'!BI25)</f>
        <v/>
      </c>
      <c r="J28" s="220" t="str">
        <f>IF('Input Nilai Pengetahuan'!BQ25="","",'Input Nilai Pengetahuan'!BQ25)</f>
        <v/>
      </c>
      <c r="K28" s="220" t="str">
        <f>IF('Input Nilai Pengetahuan'!BY25="","",'Input Nilai Pengetahuan'!BY25)</f>
        <v/>
      </c>
      <c r="L28" s="220" t="str">
        <f>IF('Input Nilai Pengetahuan'!CG25="","",'Input Nilai Pengetahuan'!CG25)</f>
        <v/>
      </c>
      <c r="M28" s="221" t="str">
        <f>IF('Input Nilai Ketrampilan'!J25="","",('Input Nilai Ketrampilan'!J25))</f>
        <v/>
      </c>
      <c r="N28" s="221" t="str">
        <f>IF('Input Nilai Ketrampilan'!O25="","",'Input Nilai Ketrampilan'!O25)</f>
        <v/>
      </c>
      <c r="O28" s="221" t="str">
        <f>IF('Input Nilai Ketrampilan'!T25="","",'Input Nilai Ketrampilan'!T25)</f>
        <v/>
      </c>
      <c r="P28" s="221" t="str">
        <f>IF('Input Nilai Ketrampilan'!Y25="","",'Input Nilai Ketrampilan'!Y25)</f>
        <v/>
      </c>
      <c r="Q28" s="221" t="str">
        <f>IF('Input Nilai Ketrampilan'!AD25="","",'Input Nilai Ketrampilan'!AD25)</f>
        <v/>
      </c>
      <c r="R28" s="221" t="str">
        <f>IF('Input Nilai Ketrampilan'!AI25="","",'Input Nilai Ketrampilan'!AI25)</f>
        <v/>
      </c>
      <c r="S28" s="221" t="str">
        <f>IF('Input Nilai Ketrampilan'!AN25="","",'Input Nilai Ketrampilan'!AN25)</f>
        <v/>
      </c>
      <c r="T28" s="221" t="str">
        <f>IF('Input Nilai Ketrampilan'!AS25="","",'Input Nilai Ketrampilan'!AS25)</f>
        <v/>
      </c>
      <c r="U28" s="221" t="str">
        <f>IF('Input Nilai Ketrampilan'!AX25="","",'Input Nilai Ketrampilan'!AX25)</f>
        <v/>
      </c>
      <c r="V28" s="221" t="str">
        <f>IF('Input Nilai Ketrampilan'!BC25="","",'Input Nilai Ketrampilan'!BC25)</f>
        <v/>
      </c>
      <c r="W28" s="222" t="str">
        <f>IF('Input Nilai Pengetahuan'!CK25="","",'Input Nilai Pengetahuan'!CK25)</f>
        <v/>
      </c>
    </row>
    <row r="29" spans="1:23">
      <c r="A29" s="121">
        <f>'DATA SISWA'!A26</f>
        <v>0</v>
      </c>
      <c r="B29" s="122">
        <f>'DATA SISWA'!C26</f>
        <v>0</v>
      </c>
      <c r="C29" s="220" t="str">
        <f>IF('Input Nilai Pengetahuan'!M26="","",'Input Nilai Pengetahuan'!M26)</f>
        <v/>
      </c>
      <c r="D29" s="220" t="str">
        <f>IF('Input Nilai Pengetahuan'!U26="","",'Input Nilai Pengetahuan'!U26)</f>
        <v/>
      </c>
      <c r="E29" s="220" t="str">
        <f>IF('Input Nilai Pengetahuan'!AC26="","",'Input Nilai Pengetahuan'!AC26)</f>
        <v/>
      </c>
      <c r="F29" s="220" t="str">
        <f>IF('Input Nilai Pengetahuan'!AK26="","",'Input Nilai Pengetahuan'!AK26)</f>
        <v/>
      </c>
      <c r="G29" s="220" t="str">
        <f>IF('Input Nilai Pengetahuan'!AS26="","",'Input Nilai Pengetahuan'!AS26)</f>
        <v/>
      </c>
      <c r="H29" s="220" t="str">
        <f>IF('Input Nilai Pengetahuan'!BA26="","",'Input Nilai Pengetahuan'!BA26)</f>
        <v/>
      </c>
      <c r="I29" s="220" t="str">
        <f>IF('Input Nilai Pengetahuan'!BI26="","",'Input Nilai Pengetahuan'!BI26)</f>
        <v/>
      </c>
      <c r="J29" s="220" t="str">
        <f>IF('Input Nilai Pengetahuan'!BQ26="","",'Input Nilai Pengetahuan'!BQ26)</f>
        <v/>
      </c>
      <c r="K29" s="220" t="str">
        <f>IF('Input Nilai Pengetahuan'!BY26="","",'Input Nilai Pengetahuan'!BY26)</f>
        <v/>
      </c>
      <c r="L29" s="220" t="str">
        <f>IF('Input Nilai Pengetahuan'!CG26="","",'Input Nilai Pengetahuan'!CG26)</f>
        <v/>
      </c>
      <c r="M29" s="221" t="str">
        <f>IF('Input Nilai Ketrampilan'!J26="","",('Input Nilai Ketrampilan'!J26))</f>
        <v/>
      </c>
      <c r="N29" s="221" t="str">
        <f>IF('Input Nilai Ketrampilan'!O26="","",'Input Nilai Ketrampilan'!O26)</f>
        <v/>
      </c>
      <c r="O29" s="221" t="str">
        <f>IF('Input Nilai Ketrampilan'!T26="","",'Input Nilai Ketrampilan'!T26)</f>
        <v/>
      </c>
      <c r="P29" s="221" t="str">
        <f>IF('Input Nilai Ketrampilan'!Y26="","",'Input Nilai Ketrampilan'!Y26)</f>
        <v/>
      </c>
      <c r="Q29" s="221" t="str">
        <f>IF('Input Nilai Ketrampilan'!AD26="","",'Input Nilai Ketrampilan'!AD26)</f>
        <v/>
      </c>
      <c r="R29" s="221" t="str">
        <f>IF('Input Nilai Ketrampilan'!AI26="","",'Input Nilai Ketrampilan'!AI26)</f>
        <v/>
      </c>
      <c r="S29" s="221" t="str">
        <f>IF('Input Nilai Ketrampilan'!AN26="","",'Input Nilai Ketrampilan'!AN26)</f>
        <v/>
      </c>
      <c r="T29" s="221" t="str">
        <f>IF('Input Nilai Ketrampilan'!AS26="","",'Input Nilai Ketrampilan'!AS26)</f>
        <v/>
      </c>
      <c r="U29" s="221" t="str">
        <f>IF('Input Nilai Ketrampilan'!AX26="","",'Input Nilai Ketrampilan'!AX26)</f>
        <v/>
      </c>
      <c r="V29" s="221" t="str">
        <f>IF('Input Nilai Ketrampilan'!BC26="","",'Input Nilai Ketrampilan'!BC26)</f>
        <v/>
      </c>
      <c r="W29" s="222" t="str">
        <f>IF('Input Nilai Pengetahuan'!CK26="","",'Input Nilai Pengetahuan'!CK26)</f>
        <v/>
      </c>
    </row>
    <row r="30" spans="1:23">
      <c r="A30" s="121">
        <f>'DATA SISWA'!A27</f>
        <v>0</v>
      </c>
      <c r="B30" s="122">
        <f>'DATA SISWA'!C27</f>
        <v>0</v>
      </c>
      <c r="C30" s="220" t="str">
        <f>IF('Input Nilai Pengetahuan'!M27="","",'Input Nilai Pengetahuan'!M27)</f>
        <v/>
      </c>
      <c r="D30" s="220" t="str">
        <f>IF('Input Nilai Pengetahuan'!U27="","",'Input Nilai Pengetahuan'!U27)</f>
        <v/>
      </c>
      <c r="E30" s="220" t="str">
        <f>IF('Input Nilai Pengetahuan'!AC27="","",'Input Nilai Pengetahuan'!AC27)</f>
        <v/>
      </c>
      <c r="F30" s="220" t="str">
        <f>IF('Input Nilai Pengetahuan'!AK27="","",'Input Nilai Pengetahuan'!AK27)</f>
        <v/>
      </c>
      <c r="G30" s="220" t="str">
        <f>IF('Input Nilai Pengetahuan'!AS27="","",'Input Nilai Pengetahuan'!AS27)</f>
        <v/>
      </c>
      <c r="H30" s="220" t="str">
        <f>IF('Input Nilai Pengetahuan'!BA27="","",'Input Nilai Pengetahuan'!BA27)</f>
        <v/>
      </c>
      <c r="I30" s="220" t="str">
        <f>IF('Input Nilai Pengetahuan'!BI27="","",'Input Nilai Pengetahuan'!BI27)</f>
        <v/>
      </c>
      <c r="J30" s="220" t="str">
        <f>IF('Input Nilai Pengetahuan'!BQ27="","",'Input Nilai Pengetahuan'!BQ27)</f>
        <v/>
      </c>
      <c r="K30" s="220" t="str">
        <f>IF('Input Nilai Pengetahuan'!BY27="","",'Input Nilai Pengetahuan'!BY27)</f>
        <v/>
      </c>
      <c r="L30" s="220" t="str">
        <f>IF('Input Nilai Pengetahuan'!CG27="","",'Input Nilai Pengetahuan'!CG27)</f>
        <v/>
      </c>
      <c r="M30" s="221" t="str">
        <f>IF('Input Nilai Ketrampilan'!J27="","",('Input Nilai Ketrampilan'!J27))</f>
        <v/>
      </c>
      <c r="N30" s="221" t="str">
        <f>IF('Input Nilai Ketrampilan'!O27="","",'Input Nilai Ketrampilan'!O27)</f>
        <v/>
      </c>
      <c r="O30" s="221" t="str">
        <f>IF('Input Nilai Ketrampilan'!T27="","",'Input Nilai Ketrampilan'!T27)</f>
        <v/>
      </c>
      <c r="P30" s="221" t="str">
        <f>IF('Input Nilai Ketrampilan'!Y27="","",'Input Nilai Ketrampilan'!Y27)</f>
        <v/>
      </c>
      <c r="Q30" s="221" t="str">
        <f>IF('Input Nilai Ketrampilan'!AD27="","",'Input Nilai Ketrampilan'!AD27)</f>
        <v/>
      </c>
      <c r="R30" s="221" t="str">
        <f>IF('Input Nilai Ketrampilan'!AI27="","",'Input Nilai Ketrampilan'!AI27)</f>
        <v/>
      </c>
      <c r="S30" s="221" t="str">
        <f>IF('Input Nilai Ketrampilan'!AN27="","",'Input Nilai Ketrampilan'!AN27)</f>
        <v/>
      </c>
      <c r="T30" s="221" t="str">
        <f>IF('Input Nilai Ketrampilan'!AS27="","",'Input Nilai Ketrampilan'!AS27)</f>
        <v/>
      </c>
      <c r="U30" s="221" t="str">
        <f>IF('Input Nilai Ketrampilan'!AX27="","",'Input Nilai Ketrampilan'!AX27)</f>
        <v/>
      </c>
      <c r="V30" s="221" t="str">
        <f>IF('Input Nilai Ketrampilan'!BC27="","",'Input Nilai Ketrampilan'!BC27)</f>
        <v/>
      </c>
      <c r="W30" s="222" t="str">
        <f>IF('Input Nilai Pengetahuan'!CK27="","",'Input Nilai Pengetahuan'!CK27)</f>
        <v/>
      </c>
    </row>
    <row r="31" spans="1:23">
      <c r="A31" s="121">
        <f>'DATA SISWA'!A28</f>
        <v>0</v>
      </c>
      <c r="B31" s="122">
        <f>'DATA SISWA'!C28</f>
        <v>0</v>
      </c>
      <c r="C31" s="220" t="str">
        <f>IF('Input Nilai Pengetahuan'!M28="","",'Input Nilai Pengetahuan'!M28)</f>
        <v/>
      </c>
      <c r="D31" s="220" t="str">
        <f>IF('Input Nilai Pengetahuan'!U28="","",'Input Nilai Pengetahuan'!U28)</f>
        <v/>
      </c>
      <c r="E31" s="220" t="str">
        <f>IF('Input Nilai Pengetahuan'!AC28="","",'Input Nilai Pengetahuan'!AC28)</f>
        <v/>
      </c>
      <c r="F31" s="220" t="str">
        <f>IF('Input Nilai Pengetahuan'!AK28="","",'Input Nilai Pengetahuan'!AK28)</f>
        <v/>
      </c>
      <c r="G31" s="220" t="str">
        <f>IF('Input Nilai Pengetahuan'!AS28="","",'Input Nilai Pengetahuan'!AS28)</f>
        <v/>
      </c>
      <c r="H31" s="220" t="str">
        <f>IF('Input Nilai Pengetahuan'!BA28="","",'Input Nilai Pengetahuan'!BA28)</f>
        <v/>
      </c>
      <c r="I31" s="220" t="str">
        <f>IF('Input Nilai Pengetahuan'!BI28="","",'Input Nilai Pengetahuan'!BI28)</f>
        <v/>
      </c>
      <c r="J31" s="220" t="str">
        <f>IF('Input Nilai Pengetahuan'!BQ28="","",'Input Nilai Pengetahuan'!BQ28)</f>
        <v/>
      </c>
      <c r="K31" s="220" t="str">
        <f>IF('Input Nilai Pengetahuan'!BY28="","",'Input Nilai Pengetahuan'!BY28)</f>
        <v/>
      </c>
      <c r="L31" s="220" t="str">
        <f>IF('Input Nilai Pengetahuan'!CG28="","",'Input Nilai Pengetahuan'!CG28)</f>
        <v/>
      </c>
      <c r="M31" s="221" t="str">
        <f>IF('Input Nilai Ketrampilan'!J28="","",('Input Nilai Ketrampilan'!J28))</f>
        <v/>
      </c>
      <c r="N31" s="221" t="str">
        <f>IF('Input Nilai Ketrampilan'!O28="","",'Input Nilai Ketrampilan'!O28)</f>
        <v/>
      </c>
      <c r="O31" s="221" t="str">
        <f>IF('Input Nilai Ketrampilan'!T28="","",'Input Nilai Ketrampilan'!T28)</f>
        <v/>
      </c>
      <c r="P31" s="221" t="str">
        <f>IF('Input Nilai Ketrampilan'!Y28="","",'Input Nilai Ketrampilan'!Y28)</f>
        <v/>
      </c>
      <c r="Q31" s="221" t="str">
        <f>IF('Input Nilai Ketrampilan'!AD28="","",'Input Nilai Ketrampilan'!AD28)</f>
        <v/>
      </c>
      <c r="R31" s="221" t="str">
        <f>IF('Input Nilai Ketrampilan'!AI28="","",'Input Nilai Ketrampilan'!AI28)</f>
        <v/>
      </c>
      <c r="S31" s="221" t="str">
        <f>IF('Input Nilai Ketrampilan'!AN28="","",'Input Nilai Ketrampilan'!AN28)</f>
        <v/>
      </c>
      <c r="T31" s="221" t="str">
        <f>IF('Input Nilai Ketrampilan'!AS28="","",'Input Nilai Ketrampilan'!AS28)</f>
        <v/>
      </c>
      <c r="U31" s="221" t="str">
        <f>IF('Input Nilai Ketrampilan'!AX28="","",'Input Nilai Ketrampilan'!AX28)</f>
        <v/>
      </c>
      <c r="V31" s="221" t="str">
        <f>IF('Input Nilai Ketrampilan'!BC28="","",'Input Nilai Ketrampilan'!BC28)</f>
        <v/>
      </c>
      <c r="W31" s="222" t="str">
        <f>IF('Input Nilai Pengetahuan'!CK28="","",'Input Nilai Pengetahuan'!CK28)</f>
        <v/>
      </c>
    </row>
    <row r="32" spans="1:23">
      <c r="A32" s="121">
        <f>'DATA SISWA'!A29</f>
        <v>0</v>
      </c>
      <c r="B32" s="122">
        <f>'DATA SISWA'!C29</f>
        <v>0</v>
      </c>
      <c r="C32" s="220" t="str">
        <f>IF('Input Nilai Pengetahuan'!M29="","",'Input Nilai Pengetahuan'!M29)</f>
        <v/>
      </c>
      <c r="D32" s="220" t="str">
        <f>IF('Input Nilai Pengetahuan'!U29="","",'Input Nilai Pengetahuan'!U29)</f>
        <v/>
      </c>
      <c r="E32" s="220" t="str">
        <f>IF('Input Nilai Pengetahuan'!AC29="","",'Input Nilai Pengetahuan'!AC29)</f>
        <v/>
      </c>
      <c r="F32" s="220" t="str">
        <f>IF('Input Nilai Pengetahuan'!AK29="","",'Input Nilai Pengetahuan'!AK29)</f>
        <v/>
      </c>
      <c r="G32" s="220" t="str">
        <f>IF('Input Nilai Pengetahuan'!AS29="","",'Input Nilai Pengetahuan'!AS29)</f>
        <v/>
      </c>
      <c r="H32" s="220" t="str">
        <f>IF('Input Nilai Pengetahuan'!BA29="","",'Input Nilai Pengetahuan'!BA29)</f>
        <v/>
      </c>
      <c r="I32" s="220" t="str">
        <f>IF('Input Nilai Pengetahuan'!BI29="","",'Input Nilai Pengetahuan'!BI29)</f>
        <v/>
      </c>
      <c r="J32" s="220" t="str">
        <f>IF('Input Nilai Pengetahuan'!BQ29="","",'Input Nilai Pengetahuan'!BQ29)</f>
        <v/>
      </c>
      <c r="K32" s="220" t="str">
        <f>IF('Input Nilai Pengetahuan'!BY29="","",'Input Nilai Pengetahuan'!BY29)</f>
        <v/>
      </c>
      <c r="L32" s="220" t="str">
        <f>IF('Input Nilai Pengetahuan'!CG29="","",'Input Nilai Pengetahuan'!CG29)</f>
        <v/>
      </c>
      <c r="M32" s="221" t="str">
        <f>IF('Input Nilai Ketrampilan'!J29="","",('Input Nilai Ketrampilan'!J29))</f>
        <v/>
      </c>
      <c r="N32" s="221" t="str">
        <f>IF('Input Nilai Ketrampilan'!O29="","",'Input Nilai Ketrampilan'!O29)</f>
        <v/>
      </c>
      <c r="O32" s="221" t="str">
        <f>IF('Input Nilai Ketrampilan'!T29="","",'Input Nilai Ketrampilan'!T29)</f>
        <v/>
      </c>
      <c r="P32" s="221" t="str">
        <f>IF('Input Nilai Ketrampilan'!Y29="","",'Input Nilai Ketrampilan'!Y29)</f>
        <v/>
      </c>
      <c r="Q32" s="221" t="str">
        <f>IF('Input Nilai Ketrampilan'!AD29="","",'Input Nilai Ketrampilan'!AD29)</f>
        <v/>
      </c>
      <c r="R32" s="221" t="str">
        <f>IF('Input Nilai Ketrampilan'!AI29="","",'Input Nilai Ketrampilan'!AI29)</f>
        <v/>
      </c>
      <c r="S32" s="221" t="str">
        <f>IF('Input Nilai Ketrampilan'!AN29="","",'Input Nilai Ketrampilan'!AN29)</f>
        <v/>
      </c>
      <c r="T32" s="221" t="str">
        <f>IF('Input Nilai Ketrampilan'!AS29="","",'Input Nilai Ketrampilan'!AS29)</f>
        <v/>
      </c>
      <c r="U32" s="221" t="str">
        <f>IF('Input Nilai Ketrampilan'!AX29="","",'Input Nilai Ketrampilan'!AX29)</f>
        <v/>
      </c>
      <c r="V32" s="221" t="str">
        <f>IF('Input Nilai Ketrampilan'!BC29="","",'Input Nilai Ketrampilan'!BC29)</f>
        <v/>
      </c>
      <c r="W32" s="222" t="str">
        <f>IF('Input Nilai Pengetahuan'!CK29="","",'Input Nilai Pengetahuan'!CK29)</f>
        <v/>
      </c>
    </row>
    <row r="33" spans="1:23">
      <c r="A33" s="121">
        <f>'DATA SISWA'!A30</f>
        <v>0</v>
      </c>
      <c r="B33" s="122">
        <f>'DATA SISWA'!C30</f>
        <v>0</v>
      </c>
      <c r="C33" s="220" t="str">
        <f>IF('Input Nilai Pengetahuan'!M30="","",'Input Nilai Pengetahuan'!M30)</f>
        <v/>
      </c>
      <c r="D33" s="220" t="str">
        <f>IF('Input Nilai Pengetahuan'!U30="","",'Input Nilai Pengetahuan'!U30)</f>
        <v/>
      </c>
      <c r="E33" s="220" t="str">
        <f>IF('Input Nilai Pengetahuan'!AC30="","",'Input Nilai Pengetahuan'!AC30)</f>
        <v/>
      </c>
      <c r="F33" s="220" t="str">
        <f>IF('Input Nilai Pengetahuan'!AK30="","",'Input Nilai Pengetahuan'!AK30)</f>
        <v/>
      </c>
      <c r="G33" s="220" t="str">
        <f>IF('Input Nilai Pengetahuan'!AS30="","",'Input Nilai Pengetahuan'!AS30)</f>
        <v/>
      </c>
      <c r="H33" s="220" t="str">
        <f>IF('Input Nilai Pengetahuan'!BA30="","",'Input Nilai Pengetahuan'!BA30)</f>
        <v/>
      </c>
      <c r="I33" s="220" t="str">
        <f>IF('Input Nilai Pengetahuan'!BI30="","",'Input Nilai Pengetahuan'!BI30)</f>
        <v/>
      </c>
      <c r="J33" s="220" t="str">
        <f>IF('Input Nilai Pengetahuan'!BQ30="","",'Input Nilai Pengetahuan'!BQ30)</f>
        <v/>
      </c>
      <c r="K33" s="220" t="str">
        <f>IF('Input Nilai Pengetahuan'!BY30="","",'Input Nilai Pengetahuan'!BY30)</f>
        <v/>
      </c>
      <c r="L33" s="220" t="str">
        <f>IF('Input Nilai Pengetahuan'!CG30="","",'Input Nilai Pengetahuan'!CG30)</f>
        <v/>
      </c>
      <c r="M33" s="221" t="str">
        <f>IF('Input Nilai Ketrampilan'!J30="","",('Input Nilai Ketrampilan'!J30))</f>
        <v/>
      </c>
      <c r="N33" s="221" t="str">
        <f>IF('Input Nilai Ketrampilan'!O30="","",'Input Nilai Ketrampilan'!O30)</f>
        <v/>
      </c>
      <c r="O33" s="221" t="str">
        <f>IF('Input Nilai Ketrampilan'!T30="","",'Input Nilai Ketrampilan'!T30)</f>
        <v/>
      </c>
      <c r="P33" s="221" t="str">
        <f>IF('Input Nilai Ketrampilan'!Y30="","",'Input Nilai Ketrampilan'!Y30)</f>
        <v/>
      </c>
      <c r="Q33" s="221" t="str">
        <f>IF('Input Nilai Ketrampilan'!AD30="","",'Input Nilai Ketrampilan'!AD30)</f>
        <v/>
      </c>
      <c r="R33" s="221" t="str">
        <f>IF('Input Nilai Ketrampilan'!AI30="","",'Input Nilai Ketrampilan'!AI30)</f>
        <v/>
      </c>
      <c r="S33" s="221" t="str">
        <f>IF('Input Nilai Ketrampilan'!AN30="","",'Input Nilai Ketrampilan'!AN30)</f>
        <v/>
      </c>
      <c r="T33" s="221" t="str">
        <f>IF('Input Nilai Ketrampilan'!AS30="","",'Input Nilai Ketrampilan'!AS30)</f>
        <v/>
      </c>
      <c r="U33" s="221" t="str">
        <f>IF('Input Nilai Ketrampilan'!AX30="","",'Input Nilai Ketrampilan'!AX30)</f>
        <v/>
      </c>
      <c r="V33" s="221" t="str">
        <f>IF('Input Nilai Ketrampilan'!BC30="","",'Input Nilai Ketrampilan'!BC30)</f>
        <v/>
      </c>
      <c r="W33" s="222" t="str">
        <f>IF('Input Nilai Pengetahuan'!CK30="","",'Input Nilai Pengetahuan'!CK30)</f>
        <v/>
      </c>
    </row>
    <row r="34" spans="1:23">
      <c r="A34" s="121">
        <f>'DATA SISWA'!A31</f>
        <v>0</v>
      </c>
      <c r="B34" s="122">
        <f>'DATA SISWA'!C31</f>
        <v>0</v>
      </c>
      <c r="C34" s="220" t="str">
        <f>IF('Input Nilai Pengetahuan'!M31="","",'Input Nilai Pengetahuan'!M31)</f>
        <v/>
      </c>
      <c r="D34" s="220" t="str">
        <f>IF('Input Nilai Pengetahuan'!U31="","",'Input Nilai Pengetahuan'!U31)</f>
        <v/>
      </c>
      <c r="E34" s="220" t="str">
        <f>IF('Input Nilai Pengetahuan'!AC31="","",'Input Nilai Pengetahuan'!AC31)</f>
        <v/>
      </c>
      <c r="F34" s="220" t="str">
        <f>IF('Input Nilai Pengetahuan'!AK31="","",'Input Nilai Pengetahuan'!AK31)</f>
        <v/>
      </c>
      <c r="G34" s="220" t="str">
        <f>IF('Input Nilai Pengetahuan'!AS31="","",'Input Nilai Pengetahuan'!AS31)</f>
        <v/>
      </c>
      <c r="H34" s="220" t="str">
        <f>IF('Input Nilai Pengetahuan'!BA31="","",'Input Nilai Pengetahuan'!BA31)</f>
        <v/>
      </c>
      <c r="I34" s="220" t="str">
        <f>IF('Input Nilai Pengetahuan'!BI31="","",'Input Nilai Pengetahuan'!BI31)</f>
        <v/>
      </c>
      <c r="J34" s="220" t="str">
        <f>IF('Input Nilai Pengetahuan'!BQ31="","",'Input Nilai Pengetahuan'!BQ31)</f>
        <v/>
      </c>
      <c r="K34" s="220" t="str">
        <f>IF('Input Nilai Pengetahuan'!BY31="","",'Input Nilai Pengetahuan'!BY31)</f>
        <v/>
      </c>
      <c r="L34" s="220" t="str">
        <f>IF('Input Nilai Pengetahuan'!CG31="","",'Input Nilai Pengetahuan'!CG31)</f>
        <v/>
      </c>
      <c r="M34" s="221" t="str">
        <f>IF('Input Nilai Ketrampilan'!J31="","",('Input Nilai Ketrampilan'!J31))</f>
        <v/>
      </c>
      <c r="N34" s="221" t="str">
        <f>IF('Input Nilai Ketrampilan'!O31="","",'Input Nilai Ketrampilan'!O31)</f>
        <v/>
      </c>
      <c r="O34" s="221" t="str">
        <f>IF('Input Nilai Ketrampilan'!T31="","",'Input Nilai Ketrampilan'!T31)</f>
        <v/>
      </c>
      <c r="P34" s="221" t="str">
        <f>IF('Input Nilai Ketrampilan'!Y31="","",'Input Nilai Ketrampilan'!Y31)</f>
        <v/>
      </c>
      <c r="Q34" s="221" t="str">
        <f>IF('Input Nilai Ketrampilan'!AD31="","",'Input Nilai Ketrampilan'!AD31)</f>
        <v/>
      </c>
      <c r="R34" s="221" t="str">
        <f>IF('Input Nilai Ketrampilan'!AI31="","",'Input Nilai Ketrampilan'!AI31)</f>
        <v/>
      </c>
      <c r="S34" s="221" t="str">
        <f>IF('Input Nilai Ketrampilan'!AN31="","",'Input Nilai Ketrampilan'!AN31)</f>
        <v/>
      </c>
      <c r="T34" s="221" t="str">
        <f>IF('Input Nilai Ketrampilan'!AS31="","",'Input Nilai Ketrampilan'!AS31)</f>
        <v/>
      </c>
      <c r="U34" s="221" t="str">
        <f>IF('Input Nilai Ketrampilan'!AX31="","",'Input Nilai Ketrampilan'!AX31)</f>
        <v/>
      </c>
      <c r="V34" s="221" t="str">
        <f>IF('Input Nilai Ketrampilan'!BC31="","",'Input Nilai Ketrampilan'!BC31)</f>
        <v/>
      </c>
      <c r="W34" s="222" t="str">
        <f>IF('Input Nilai Pengetahuan'!CK31="","",'Input Nilai Pengetahuan'!CK31)</f>
        <v/>
      </c>
    </row>
    <row r="35" spans="1:23">
      <c r="A35" s="121">
        <f>'DATA SISWA'!A32</f>
        <v>0</v>
      </c>
      <c r="B35" s="122">
        <f>'DATA SISWA'!C32</f>
        <v>0</v>
      </c>
      <c r="C35" s="220" t="str">
        <f>IF('Input Nilai Pengetahuan'!M32="","",'Input Nilai Pengetahuan'!M32)</f>
        <v/>
      </c>
      <c r="D35" s="220" t="str">
        <f>IF('Input Nilai Pengetahuan'!U32="","",'Input Nilai Pengetahuan'!U32)</f>
        <v/>
      </c>
      <c r="E35" s="220" t="str">
        <f>IF('Input Nilai Pengetahuan'!AC32="","",'Input Nilai Pengetahuan'!AC32)</f>
        <v/>
      </c>
      <c r="F35" s="220" t="str">
        <f>IF('Input Nilai Pengetahuan'!AK32="","",'Input Nilai Pengetahuan'!AK32)</f>
        <v/>
      </c>
      <c r="G35" s="220" t="str">
        <f>IF('Input Nilai Pengetahuan'!AS32="","",'Input Nilai Pengetahuan'!AS32)</f>
        <v/>
      </c>
      <c r="H35" s="220" t="str">
        <f>IF('Input Nilai Pengetahuan'!BA32="","",'Input Nilai Pengetahuan'!BA32)</f>
        <v/>
      </c>
      <c r="I35" s="220" t="str">
        <f>IF('Input Nilai Pengetahuan'!BI32="","",'Input Nilai Pengetahuan'!BI32)</f>
        <v/>
      </c>
      <c r="J35" s="220" t="str">
        <f>IF('Input Nilai Pengetahuan'!BQ32="","",'Input Nilai Pengetahuan'!BQ32)</f>
        <v/>
      </c>
      <c r="K35" s="220" t="str">
        <f>IF('Input Nilai Pengetahuan'!BY32="","",'Input Nilai Pengetahuan'!BY32)</f>
        <v/>
      </c>
      <c r="L35" s="220" t="str">
        <f>IF('Input Nilai Pengetahuan'!CG32="","",'Input Nilai Pengetahuan'!CG32)</f>
        <v/>
      </c>
      <c r="M35" s="221" t="str">
        <f>IF('Input Nilai Ketrampilan'!J32="","",('Input Nilai Ketrampilan'!J32))</f>
        <v/>
      </c>
      <c r="N35" s="221" t="str">
        <f>IF('Input Nilai Ketrampilan'!O32="","",'Input Nilai Ketrampilan'!O32)</f>
        <v/>
      </c>
      <c r="O35" s="221" t="str">
        <f>IF('Input Nilai Ketrampilan'!T32="","",'Input Nilai Ketrampilan'!T32)</f>
        <v/>
      </c>
      <c r="P35" s="221" t="str">
        <f>IF('Input Nilai Ketrampilan'!Y32="","",'Input Nilai Ketrampilan'!Y32)</f>
        <v/>
      </c>
      <c r="Q35" s="221" t="str">
        <f>IF('Input Nilai Ketrampilan'!AD32="","",'Input Nilai Ketrampilan'!AD32)</f>
        <v/>
      </c>
      <c r="R35" s="221" t="str">
        <f>IF('Input Nilai Ketrampilan'!AI32="","",'Input Nilai Ketrampilan'!AI32)</f>
        <v/>
      </c>
      <c r="S35" s="221" t="str">
        <f>IF('Input Nilai Ketrampilan'!AN32="","",'Input Nilai Ketrampilan'!AN32)</f>
        <v/>
      </c>
      <c r="T35" s="221" t="str">
        <f>IF('Input Nilai Ketrampilan'!AS32="","",'Input Nilai Ketrampilan'!AS32)</f>
        <v/>
      </c>
      <c r="U35" s="221" t="str">
        <f>IF('Input Nilai Ketrampilan'!AX32="","",'Input Nilai Ketrampilan'!AX32)</f>
        <v/>
      </c>
      <c r="V35" s="221" t="str">
        <f>IF('Input Nilai Ketrampilan'!BC32="","",'Input Nilai Ketrampilan'!BC32)</f>
        <v/>
      </c>
      <c r="W35" s="222" t="str">
        <f>IF('Input Nilai Pengetahuan'!CK32="","",'Input Nilai Pengetahuan'!CK32)</f>
        <v/>
      </c>
    </row>
    <row r="36" spans="1:23">
      <c r="A36" s="121">
        <f>'DATA SISWA'!A33</f>
        <v>0</v>
      </c>
      <c r="B36" s="122">
        <f>'DATA SISWA'!C33</f>
        <v>0</v>
      </c>
      <c r="C36" s="220" t="str">
        <f>IF('Input Nilai Pengetahuan'!M33="","",'Input Nilai Pengetahuan'!M33)</f>
        <v/>
      </c>
      <c r="D36" s="220" t="str">
        <f>IF('Input Nilai Pengetahuan'!U33="","",'Input Nilai Pengetahuan'!U33)</f>
        <v/>
      </c>
      <c r="E36" s="220" t="str">
        <f>IF('Input Nilai Pengetahuan'!AC33="","",'Input Nilai Pengetahuan'!AC33)</f>
        <v/>
      </c>
      <c r="F36" s="220" t="str">
        <f>IF('Input Nilai Pengetahuan'!AK33="","",'Input Nilai Pengetahuan'!AK33)</f>
        <v/>
      </c>
      <c r="G36" s="220" t="str">
        <f>IF('Input Nilai Pengetahuan'!AS33="","",'Input Nilai Pengetahuan'!AS33)</f>
        <v/>
      </c>
      <c r="H36" s="220" t="str">
        <f>IF('Input Nilai Pengetahuan'!BA33="","",'Input Nilai Pengetahuan'!BA33)</f>
        <v/>
      </c>
      <c r="I36" s="220" t="str">
        <f>IF('Input Nilai Pengetahuan'!BI33="","",'Input Nilai Pengetahuan'!BI33)</f>
        <v/>
      </c>
      <c r="J36" s="220" t="str">
        <f>IF('Input Nilai Pengetahuan'!BQ33="","",'Input Nilai Pengetahuan'!BQ33)</f>
        <v/>
      </c>
      <c r="K36" s="220" t="str">
        <f>IF('Input Nilai Pengetahuan'!BY33="","",'Input Nilai Pengetahuan'!BY33)</f>
        <v/>
      </c>
      <c r="L36" s="220" t="str">
        <f>IF('Input Nilai Pengetahuan'!CG33="","",'Input Nilai Pengetahuan'!CG33)</f>
        <v/>
      </c>
      <c r="M36" s="221" t="str">
        <f>IF('Input Nilai Ketrampilan'!J33="","",('Input Nilai Ketrampilan'!J33))</f>
        <v/>
      </c>
      <c r="N36" s="221" t="str">
        <f>IF('Input Nilai Ketrampilan'!O33="","",'Input Nilai Ketrampilan'!O33)</f>
        <v/>
      </c>
      <c r="O36" s="221" t="str">
        <f>IF('Input Nilai Ketrampilan'!T33="","",'Input Nilai Ketrampilan'!T33)</f>
        <v/>
      </c>
      <c r="P36" s="221" t="str">
        <f>IF('Input Nilai Ketrampilan'!Y33="","",'Input Nilai Ketrampilan'!Y33)</f>
        <v/>
      </c>
      <c r="Q36" s="221" t="str">
        <f>IF('Input Nilai Ketrampilan'!AD33="","",'Input Nilai Ketrampilan'!AD33)</f>
        <v/>
      </c>
      <c r="R36" s="221" t="str">
        <f>IF('Input Nilai Ketrampilan'!AI33="","",'Input Nilai Ketrampilan'!AI33)</f>
        <v/>
      </c>
      <c r="S36" s="221" t="str">
        <f>IF('Input Nilai Ketrampilan'!AN33="","",'Input Nilai Ketrampilan'!AN33)</f>
        <v/>
      </c>
      <c r="T36" s="221" t="str">
        <f>IF('Input Nilai Ketrampilan'!AS33="","",'Input Nilai Ketrampilan'!AS33)</f>
        <v/>
      </c>
      <c r="U36" s="221" t="str">
        <f>IF('Input Nilai Ketrampilan'!AX33="","",'Input Nilai Ketrampilan'!AX33)</f>
        <v/>
      </c>
      <c r="V36" s="221" t="str">
        <f>IF('Input Nilai Ketrampilan'!BC33="","",'Input Nilai Ketrampilan'!BC33)</f>
        <v/>
      </c>
      <c r="W36" s="222" t="str">
        <f>IF('Input Nilai Pengetahuan'!CK33="","",'Input Nilai Pengetahuan'!CK33)</f>
        <v/>
      </c>
    </row>
    <row r="37" spans="1:23">
      <c r="A37" s="121">
        <f>'DATA SISWA'!A34</f>
        <v>0</v>
      </c>
      <c r="B37" s="122">
        <f>'DATA SISWA'!C34</f>
        <v>0</v>
      </c>
      <c r="C37" s="220" t="str">
        <f>IF('Input Nilai Pengetahuan'!M34="","",'Input Nilai Pengetahuan'!M34)</f>
        <v/>
      </c>
      <c r="D37" s="220" t="str">
        <f>IF('Input Nilai Pengetahuan'!U34="","",'Input Nilai Pengetahuan'!U34)</f>
        <v/>
      </c>
      <c r="E37" s="220" t="str">
        <f>IF('Input Nilai Pengetahuan'!AC34="","",'Input Nilai Pengetahuan'!AC34)</f>
        <v/>
      </c>
      <c r="F37" s="220" t="str">
        <f>IF('Input Nilai Pengetahuan'!AK34="","",'Input Nilai Pengetahuan'!AK34)</f>
        <v/>
      </c>
      <c r="G37" s="220" t="str">
        <f>IF('Input Nilai Pengetahuan'!AS34="","",'Input Nilai Pengetahuan'!AS34)</f>
        <v/>
      </c>
      <c r="H37" s="220" t="str">
        <f>IF('Input Nilai Pengetahuan'!BA34="","",'Input Nilai Pengetahuan'!BA34)</f>
        <v/>
      </c>
      <c r="I37" s="220" t="str">
        <f>IF('Input Nilai Pengetahuan'!BI34="","",'Input Nilai Pengetahuan'!BI34)</f>
        <v/>
      </c>
      <c r="J37" s="220" t="str">
        <f>IF('Input Nilai Pengetahuan'!BQ34="","",'Input Nilai Pengetahuan'!BQ34)</f>
        <v/>
      </c>
      <c r="K37" s="220" t="str">
        <f>IF('Input Nilai Pengetahuan'!BY34="","",'Input Nilai Pengetahuan'!BY34)</f>
        <v/>
      </c>
      <c r="L37" s="220" t="str">
        <f>IF('Input Nilai Pengetahuan'!CG34="","",'Input Nilai Pengetahuan'!CG34)</f>
        <v/>
      </c>
      <c r="M37" s="221" t="str">
        <f>IF('Input Nilai Ketrampilan'!J34="","",('Input Nilai Ketrampilan'!J34))</f>
        <v/>
      </c>
      <c r="N37" s="221" t="str">
        <f>IF('Input Nilai Ketrampilan'!O34="","",'Input Nilai Ketrampilan'!O34)</f>
        <v/>
      </c>
      <c r="O37" s="221" t="str">
        <f>IF('Input Nilai Ketrampilan'!T34="","",'Input Nilai Ketrampilan'!T34)</f>
        <v/>
      </c>
      <c r="P37" s="221" t="str">
        <f>IF('Input Nilai Ketrampilan'!Y34="","",'Input Nilai Ketrampilan'!Y34)</f>
        <v/>
      </c>
      <c r="Q37" s="221" t="str">
        <f>IF('Input Nilai Ketrampilan'!AD34="","",'Input Nilai Ketrampilan'!AD34)</f>
        <v/>
      </c>
      <c r="R37" s="221" t="str">
        <f>IF('Input Nilai Ketrampilan'!AI34="","",'Input Nilai Ketrampilan'!AI34)</f>
        <v/>
      </c>
      <c r="S37" s="221" t="str">
        <f>IF('Input Nilai Ketrampilan'!AN34="","",'Input Nilai Ketrampilan'!AN34)</f>
        <v/>
      </c>
      <c r="T37" s="221" t="str">
        <f>IF('Input Nilai Ketrampilan'!AS34="","",'Input Nilai Ketrampilan'!AS34)</f>
        <v/>
      </c>
      <c r="U37" s="221" t="str">
        <f>IF('Input Nilai Ketrampilan'!AX34="","",'Input Nilai Ketrampilan'!AX34)</f>
        <v/>
      </c>
      <c r="V37" s="221" t="str">
        <f>IF('Input Nilai Ketrampilan'!BC34="","",'Input Nilai Ketrampilan'!BC34)</f>
        <v/>
      </c>
      <c r="W37" s="222" t="str">
        <f>IF('Input Nilai Pengetahuan'!CK34="","",'Input Nilai Pengetahuan'!CK34)</f>
        <v/>
      </c>
    </row>
    <row r="38" spans="1:23">
      <c r="A38" s="121">
        <f>'DATA SISWA'!A35</f>
        <v>0</v>
      </c>
      <c r="B38" s="122">
        <f>'DATA SISWA'!C35</f>
        <v>0</v>
      </c>
      <c r="C38" s="220" t="str">
        <f>IF('Input Nilai Pengetahuan'!M35="","",'Input Nilai Pengetahuan'!M35)</f>
        <v/>
      </c>
      <c r="D38" s="220" t="str">
        <f>IF('Input Nilai Pengetahuan'!U35="","",'Input Nilai Pengetahuan'!U35)</f>
        <v/>
      </c>
      <c r="E38" s="220" t="str">
        <f>IF('Input Nilai Pengetahuan'!AC35="","",'Input Nilai Pengetahuan'!AC35)</f>
        <v/>
      </c>
      <c r="F38" s="220" t="str">
        <f>IF('Input Nilai Pengetahuan'!AK35="","",'Input Nilai Pengetahuan'!AK35)</f>
        <v/>
      </c>
      <c r="G38" s="220" t="str">
        <f>IF('Input Nilai Pengetahuan'!AS35="","",'Input Nilai Pengetahuan'!AS35)</f>
        <v/>
      </c>
      <c r="H38" s="220" t="str">
        <f>IF('Input Nilai Pengetahuan'!BA35="","",'Input Nilai Pengetahuan'!BA35)</f>
        <v/>
      </c>
      <c r="I38" s="220" t="str">
        <f>IF('Input Nilai Pengetahuan'!BI35="","",'Input Nilai Pengetahuan'!BI35)</f>
        <v/>
      </c>
      <c r="J38" s="220" t="str">
        <f>IF('Input Nilai Pengetahuan'!BQ35="","",'Input Nilai Pengetahuan'!BQ35)</f>
        <v/>
      </c>
      <c r="K38" s="220" t="str">
        <f>IF('Input Nilai Pengetahuan'!BY35="","",'Input Nilai Pengetahuan'!BY35)</f>
        <v/>
      </c>
      <c r="L38" s="220" t="str">
        <f>IF('Input Nilai Pengetahuan'!CG35="","",'Input Nilai Pengetahuan'!CG35)</f>
        <v/>
      </c>
      <c r="M38" s="221" t="str">
        <f>IF('Input Nilai Ketrampilan'!J35="","",('Input Nilai Ketrampilan'!J35))</f>
        <v/>
      </c>
      <c r="N38" s="221" t="str">
        <f>IF('Input Nilai Ketrampilan'!O35="","",'Input Nilai Ketrampilan'!O35)</f>
        <v/>
      </c>
      <c r="O38" s="221" t="str">
        <f>IF('Input Nilai Ketrampilan'!T35="","",'Input Nilai Ketrampilan'!T35)</f>
        <v/>
      </c>
      <c r="P38" s="221" t="str">
        <f>IF('Input Nilai Ketrampilan'!Y35="","",'Input Nilai Ketrampilan'!Y35)</f>
        <v/>
      </c>
      <c r="Q38" s="221" t="str">
        <f>IF('Input Nilai Ketrampilan'!AD35="","",'Input Nilai Ketrampilan'!AD35)</f>
        <v/>
      </c>
      <c r="R38" s="221" t="str">
        <f>IF('Input Nilai Ketrampilan'!AI35="","",'Input Nilai Ketrampilan'!AI35)</f>
        <v/>
      </c>
      <c r="S38" s="221" t="str">
        <f>IF('Input Nilai Ketrampilan'!AN35="","",'Input Nilai Ketrampilan'!AN35)</f>
        <v/>
      </c>
      <c r="T38" s="221" t="str">
        <f>IF('Input Nilai Ketrampilan'!AS35="","",'Input Nilai Ketrampilan'!AS35)</f>
        <v/>
      </c>
      <c r="U38" s="221" t="str">
        <f>IF('Input Nilai Ketrampilan'!AX35="","",'Input Nilai Ketrampilan'!AX35)</f>
        <v/>
      </c>
      <c r="V38" s="221" t="str">
        <f>IF('Input Nilai Ketrampilan'!BC35="","",'Input Nilai Ketrampilan'!BC35)</f>
        <v/>
      </c>
      <c r="W38" s="222" t="str">
        <f>IF('Input Nilai Pengetahuan'!CK35="","",'Input Nilai Pengetahuan'!CK35)</f>
        <v/>
      </c>
    </row>
    <row r="39" spans="1:23">
      <c r="A39" s="121">
        <f>'DATA SISWA'!A36</f>
        <v>0</v>
      </c>
      <c r="B39" s="122">
        <f>'DATA SISWA'!C36</f>
        <v>0</v>
      </c>
      <c r="C39" s="220" t="str">
        <f>IF('Input Nilai Pengetahuan'!M36="","",'Input Nilai Pengetahuan'!M36)</f>
        <v/>
      </c>
      <c r="D39" s="220" t="str">
        <f>IF('Input Nilai Pengetahuan'!U36="","",'Input Nilai Pengetahuan'!U36)</f>
        <v/>
      </c>
      <c r="E39" s="220" t="str">
        <f>IF('Input Nilai Pengetahuan'!AC36="","",'Input Nilai Pengetahuan'!AC36)</f>
        <v/>
      </c>
      <c r="F39" s="220" t="str">
        <f>IF('Input Nilai Pengetahuan'!AK36="","",'Input Nilai Pengetahuan'!AK36)</f>
        <v/>
      </c>
      <c r="G39" s="220" t="str">
        <f>IF('Input Nilai Pengetahuan'!AS36="","",'Input Nilai Pengetahuan'!AS36)</f>
        <v/>
      </c>
      <c r="H39" s="220" t="str">
        <f>IF('Input Nilai Pengetahuan'!BA36="","",'Input Nilai Pengetahuan'!BA36)</f>
        <v/>
      </c>
      <c r="I39" s="220" t="str">
        <f>IF('Input Nilai Pengetahuan'!BI36="","",'Input Nilai Pengetahuan'!BI36)</f>
        <v/>
      </c>
      <c r="J39" s="220" t="str">
        <f>IF('Input Nilai Pengetahuan'!BQ36="","",'Input Nilai Pengetahuan'!BQ36)</f>
        <v/>
      </c>
      <c r="K39" s="220" t="str">
        <f>IF('Input Nilai Pengetahuan'!BY36="","",'Input Nilai Pengetahuan'!BY36)</f>
        <v/>
      </c>
      <c r="L39" s="220" t="str">
        <f>IF('Input Nilai Pengetahuan'!CG36="","",'Input Nilai Pengetahuan'!CG36)</f>
        <v/>
      </c>
      <c r="M39" s="221" t="str">
        <f>IF('Input Nilai Ketrampilan'!J36="","",('Input Nilai Ketrampilan'!J36))</f>
        <v/>
      </c>
      <c r="N39" s="221" t="str">
        <f>IF('Input Nilai Ketrampilan'!O36="","",'Input Nilai Ketrampilan'!O36)</f>
        <v/>
      </c>
      <c r="O39" s="221" t="str">
        <f>IF('Input Nilai Ketrampilan'!T36="","",'Input Nilai Ketrampilan'!T36)</f>
        <v/>
      </c>
      <c r="P39" s="221" t="str">
        <f>IF('Input Nilai Ketrampilan'!Y36="","",'Input Nilai Ketrampilan'!Y36)</f>
        <v/>
      </c>
      <c r="Q39" s="221" t="str">
        <f>IF('Input Nilai Ketrampilan'!AD36="","",'Input Nilai Ketrampilan'!AD36)</f>
        <v/>
      </c>
      <c r="R39" s="221" t="str">
        <f>IF('Input Nilai Ketrampilan'!AI36="","",'Input Nilai Ketrampilan'!AI36)</f>
        <v/>
      </c>
      <c r="S39" s="221" t="str">
        <f>IF('Input Nilai Ketrampilan'!AN36="","",'Input Nilai Ketrampilan'!AN36)</f>
        <v/>
      </c>
      <c r="T39" s="221" t="str">
        <f>IF('Input Nilai Ketrampilan'!AS36="","",'Input Nilai Ketrampilan'!AS36)</f>
        <v/>
      </c>
      <c r="U39" s="221" t="str">
        <f>IF('Input Nilai Ketrampilan'!AX36="","",'Input Nilai Ketrampilan'!AX36)</f>
        <v/>
      </c>
      <c r="V39" s="221" t="str">
        <f>IF('Input Nilai Ketrampilan'!BC36="","",'Input Nilai Ketrampilan'!BC36)</f>
        <v/>
      </c>
      <c r="W39" s="222" t="str">
        <f>IF('Input Nilai Pengetahuan'!CK36="","",'Input Nilai Pengetahuan'!CK36)</f>
        <v/>
      </c>
    </row>
    <row r="40" spans="1:23">
      <c r="A40" s="121">
        <f>'DATA SISWA'!A37</f>
        <v>0</v>
      </c>
      <c r="B40" s="122">
        <f>'DATA SISWA'!C37</f>
        <v>0</v>
      </c>
      <c r="C40" s="220" t="str">
        <f>IF('Input Nilai Pengetahuan'!M37="","",'Input Nilai Pengetahuan'!M37)</f>
        <v/>
      </c>
      <c r="D40" s="220" t="str">
        <f>IF('Input Nilai Pengetahuan'!U37="","",'Input Nilai Pengetahuan'!U37)</f>
        <v/>
      </c>
      <c r="E40" s="220" t="str">
        <f>IF('Input Nilai Pengetahuan'!AC37="","",'Input Nilai Pengetahuan'!AC37)</f>
        <v/>
      </c>
      <c r="F40" s="220" t="str">
        <f>IF('Input Nilai Pengetahuan'!AK37="","",'Input Nilai Pengetahuan'!AK37)</f>
        <v/>
      </c>
      <c r="G40" s="220" t="str">
        <f>IF('Input Nilai Pengetahuan'!AS37="","",'Input Nilai Pengetahuan'!AS37)</f>
        <v/>
      </c>
      <c r="H40" s="220" t="str">
        <f>IF('Input Nilai Pengetahuan'!BA37="","",'Input Nilai Pengetahuan'!BA37)</f>
        <v/>
      </c>
      <c r="I40" s="220" t="str">
        <f>IF('Input Nilai Pengetahuan'!BI37="","",'Input Nilai Pengetahuan'!BI37)</f>
        <v/>
      </c>
      <c r="J40" s="220" t="str">
        <f>IF('Input Nilai Pengetahuan'!BQ37="","",'Input Nilai Pengetahuan'!BQ37)</f>
        <v/>
      </c>
      <c r="K40" s="220" t="str">
        <f>IF('Input Nilai Pengetahuan'!BY37="","",'Input Nilai Pengetahuan'!BY37)</f>
        <v/>
      </c>
      <c r="L40" s="220" t="str">
        <f>IF('Input Nilai Pengetahuan'!CG37="","",'Input Nilai Pengetahuan'!CG37)</f>
        <v/>
      </c>
      <c r="M40" s="221" t="str">
        <f>IF('Input Nilai Ketrampilan'!J37="","",('Input Nilai Ketrampilan'!J37))</f>
        <v/>
      </c>
      <c r="N40" s="221" t="str">
        <f>IF('Input Nilai Ketrampilan'!O37="","",'Input Nilai Ketrampilan'!O37)</f>
        <v/>
      </c>
      <c r="O40" s="221" t="str">
        <f>IF('Input Nilai Ketrampilan'!T37="","",'Input Nilai Ketrampilan'!T37)</f>
        <v/>
      </c>
      <c r="P40" s="221" t="str">
        <f>IF('Input Nilai Ketrampilan'!Y37="","",'Input Nilai Ketrampilan'!Y37)</f>
        <v/>
      </c>
      <c r="Q40" s="221" t="str">
        <f>IF('Input Nilai Ketrampilan'!AD37="","",'Input Nilai Ketrampilan'!AD37)</f>
        <v/>
      </c>
      <c r="R40" s="221" t="str">
        <f>IF('Input Nilai Ketrampilan'!AI37="","",'Input Nilai Ketrampilan'!AI37)</f>
        <v/>
      </c>
      <c r="S40" s="221" t="str">
        <f>IF('Input Nilai Ketrampilan'!AN37="","",'Input Nilai Ketrampilan'!AN37)</f>
        <v/>
      </c>
      <c r="T40" s="221" t="str">
        <f>IF('Input Nilai Ketrampilan'!AS37="","",'Input Nilai Ketrampilan'!AS37)</f>
        <v/>
      </c>
      <c r="U40" s="221" t="str">
        <f>IF('Input Nilai Ketrampilan'!AX37="","",'Input Nilai Ketrampilan'!AX37)</f>
        <v/>
      </c>
      <c r="V40" s="221" t="str">
        <f>IF('Input Nilai Ketrampilan'!BC37="","",'Input Nilai Ketrampilan'!BC37)</f>
        <v/>
      </c>
      <c r="W40" s="222" t="str">
        <f>IF('Input Nilai Pengetahuan'!CK37="","",'Input Nilai Pengetahuan'!CK37)</f>
        <v/>
      </c>
    </row>
    <row r="41" spans="1:23">
      <c r="A41" s="121">
        <f>'DATA SISWA'!A38</f>
        <v>0</v>
      </c>
      <c r="B41" s="122">
        <f>'DATA SISWA'!C38</f>
        <v>0</v>
      </c>
      <c r="C41" s="220" t="str">
        <f>IF('Input Nilai Pengetahuan'!M38="","",'Input Nilai Pengetahuan'!M38)</f>
        <v/>
      </c>
      <c r="D41" s="220" t="str">
        <f>IF('Input Nilai Pengetahuan'!U38="","",'Input Nilai Pengetahuan'!U38)</f>
        <v/>
      </c>
      <c r="E41" s="220" t="str">
        <f>IF('Input Nilai Pengetahuan'!AC38="","",'Input Nilai Pengetahuan'!AC38)</f>
        <v/>
      </c>
      <c r="F41" s="220" t="str">
        <f>IF('Input Nilai Pengetahuan'!AK38="","",'Input Nilai Pengetahuan'!AK38)</f>
        <v/>
      </c>
      <c r="G41" s="220" t="str">
        <f>IF('Input Nilai Pengetahuan'!AS38="","",'Input Nilai Pengetahuan'!AS38)</f>
        <v/>
      </c>
      <c r="H41" s="220" t="str">
        <f>IF('Input Nilai Pengetahuan'!BA38="","",'Input Nilai Pengetahuan'!BA38)</f>
        <v/>
      </c>
      <c r="I41" s="220" t="str">
        <f>IF('Input Nilai Pengetahuan'!BI38="","",'Input Nilai Pengetahuan'!BI38)</f>
        <v/>
      </c>
      <c r="J41" s="220" t="str">
        <f>IF('Input Nilai Pengetahuan'!BQ38="","",'Input Nilai Pengetahuan'!BQ38)</f>
        <v/>
      </c>
      <c r="K41" s="220" t="str">
        <f>IF('Input Nilai Pengetahuan'!BY38="","",'Input Nilai Pengetahuan'!BY38)</f>
        <v/>
      </c>
      <c r="L41" s="220" t="str">
        <f>IF('Input Nilai Pengetahuan'!CG38="","",'Input Nilai Pengetahuan'!CG38)</f>
        <v/>
      </c>
      <c r="M41" s="221" t="str">
        <f>IF('Input Nilai Ketrampilan'!J38="","",('Input Nilai Ketrampilan'!J38))</f>
        <v/>
      </c>
      <c r="N41" s="221" t="str">
        <f>IF('Input Nilai Ketrampilan'!O38="","",'Input Nilai Ketrampilan'!O38)</f>
        <v/>
      </c>
      <c r="O41" s="221" t="str">
        <f>IF('Input Nilai Ketrampilan'!T38="","",'Input Nilai Ketrampilan'!T38)</f>
        <v/>
      </c>
      <c r="P41" s="221" t="str">
        <f>IF('Input Nilai Ketrampilan'!Y38="","",'Input Nilai Ketrampilan'!Y38)</f>
        <v/>
      </c>
      <c r="Q41" s="221" t="str">
        <f>IF('Input Nilai Ketrampilan'!AD38="","",'Input Nilai Ketrampilan'!AD38)</f>
        <v/>
      </c>
      <c r="R41" s="221" t="str">
        <f>IF('Input Nilai Ketrampilan'!AI38="","",'Input Nilai Ketrampilan'!AI38)</f>
        <v/>
      </c>
      <c r="S41" s="221" t="str">
        <f>IF('Input Nilai Ketrampilan'!AN38="","",'Input Nilai Ketrampilan'!AN38)</f>
        <v/>
      </c>
      <c r="T41" s="221" t="str">
        <f>IF('Input Nilai Ketrampilan'!AS38="","",'Input Nilai Ketrampilan'!AS38)</f>
        <v/>
      </c>
      <c r="U41" s="221" t="str">
        <f>IF('Input Nilai Ketrampilan'!AX38="","",'Input Nilai Ketrampilan'!AX38)</f>
        <v/>
      </c>
      <c r="V41" s="221" t="str">
        <f>IF('Input Nilai Ketrampilan'!BC38="","",'Input Nilai Ketrampilan'!BC38)</f>
        <v/>
      </c>
      <c r="W41" s="222" t="str">
        <f>IF('Input Nilai Pengetahuan'!CK38="","",'Input Nilai Pengetahuan'!CK38)</f>
        <v/>
      </c>
    </row>
    <row r="42" spans="1:23">
      <c r="A42" s="121">
        <f>'DATA SISWA'!A39</f>
        <v>0</v>
      </c>
      <c r="B42" s="122">
        <f>'DATA SISWA'!C39</f>
        <v>0</v>
      </c>
      <c r="C42" s="220" t="str">
        <f>IF('Input Nilai Pengetahuan'!M39="","",'Input Nilai Pengetahuan'!M39)</f>
        <v/>
      </c>
      <c r="D42" s="220" t="str">
        <f>IF('Input Nilai Pengetahuan'!U39="","",'Input Nilai Pengetahuan'!U39)</f>
        <v/>
      </c>
      <c r="E42" s="220" t="str">
        <f>IF('Input Nilai Pengetahuan'!AC39="","",'Input Nilai Pengetahuan'!AC39)</f>
        <v/>
      </c>
      <c r="F42" s="220" t="str">
        <f>IF('Input Nilai Pengetahuan'!AK39="","",'Input Nilai Pengetahuan'!AK39)</f>
        <v/>
      </c>
      <c r="G42" s="220" t="str">
        <f>IF('Input Nilai Pengetahuan'!AS39="","",'Input Nilai Pengetahuan'!AS39)</f>
        <v/>
      </c>
      <c r="H42" s="220" t="str">
        <f>IF('Input Nilai Pengetahuan'!BA39="","",'Input Nilai Pengetahuan'!BA39)</f>
        <v/>
      </c>
      <c r="I42" s="220" t="str">
        <f>IF('Input Nilai Pengetahuan'!BI39="","",'Input Nilai Pengetahuan'!BI39)</f>
        <v/>
      </c>
      <c r="J42" s="220" t="str">
        <f>IF('Input Nilai Pengetahuan'!BQ39="","",'Input Nilai Pengetahuan'!BQ39)</f>
        <v/>
      </c>
      <c r="K42" s="220" t="str">
        <f>IF('Input Nilai Pengetahuan'!BY39="","",'Input Nilai Pengetahuan'!BY39)</f>
        <v/>
      </c>
      <c r="L42" s="220" t="str">
        <f>IF('Input Nilai Pengetahuan'!CG39="","",'Input Nilai Pengetahuan'!CG39)</f>
        <v/>
      </c>
      <c r="M42" s="221" t="str">
        <f>IF('Input Nilai Ketrampilan'!J39="","",('Input Nilai Ketrampilan'!J39))</f>
        <v/>
      </c>
      <c r="N42" s="221" t="str">
        <f>IF('Input Nilai Ketrampilan'!O39="","",'Input Nilai Ketrampilan'!O39)</f>
        <v/>
      </c>
      <c r="O42" s="221" t="str">
        <f>IF('Input Nilai Ketrampilan'!T39="","",'Input Nilai Ketrampilan'!T39)</f>
        <v/>
      </c>
      <c r="P42" s="221" t="str">
        <f>IF('Input Nilai Ketrampilan'!Y39="","",'Input Nilai Ketrampilan'!Y39)</f>
        <v/>
      </c>
      <c r="Q42" s="221" t="str">
        <f>IF('Input Nilai Ketrampilan'!AD39="","",'Input Nilai Ketrampilan'!AD39)</f>
        <v/>
      </c>
      <c r="R42" s="221" t="str">
        <f>IF('Input Nilai Ketrampilan'!AI39="","",'Input Nilai Ketrampilan'!AI39)</f>
        <v/>
      </c>
      <c r="S42" s="221" t="str">
        <f>IF('Input Nilai Ketrampilan'!AN39="","",'Input Nilai Ketrampilan'!AN39)</f>
        <v/>
      </c>
      <c r="T42" s="221" t="str">
        <f>IF('Input Nilai Ketrampilan'!AS39="","",'Input Nilai Ketrampilan'!AS39)</f>
        <v/>
      </c>
      <c r="U42" s="221" t="str">
        <f>IF('Input Nilai Ketrampilan'!AX39="","",'Input Nilai Ketrampilan'!AX39)</f>
        <v/>
      </c>
      <c r="V42" s="221" t="str">
        <f>IF('Input Nilai Ketrampilan'!BC39="","",'Input Nilai Ketrampilan'!BC39)</f>
        <v/>
      </c>
      <c r="W42" s="222" t="str">
        <f>IF('Input Nilai Pengetahuan'!CK39="","",'Input Nilai Pengetahuan'!CK39)</f>
        <v/>
      </c>
    </row>
    <row r="43" spans="1:23">
      <c r="A43" s="121">
        <f>'DATA SISWA'!A40</f>
        <v>0</v>
      </c>
      <c r="B43" s="122">
        <f>'DATA SISWA'!C40</f>
        <v>0</v>
      </c>
      <c r="C43" s="220" t="str">
        <f>IF('Input Nilai Pengetahuan'!M40="","",'Input Nilai Pengetahuan'!M40)</f>
        <v/>
      </c>
      <c r="D43" s="220" t="str">
        <f>IF('Input Nilai Pengetahuan'!U40="","",'Input Nilai Pengetahuan'!U40)</f>
        <v/>
      </c>
      <c r="E43" s="220" t="str">
        <f>IF('Input Nilai Pengetahuan'!AC40="","",'Input Nilai Pengetahuan'!AC40)</f>
        <v/>
      </c>
      <c r="F43" s="220" t="str">
        <f>IF('Input Nilai Pengetahuan'!AK40="","",'Input Nilai Pengetahuan'!AK40)</f>
        <v/>
      </c>
      <c r="G43" s="220" t="str">
        <f>IF('Input Nilai Pengetahuan'!AS40="","",'Input Nilai Pengetahuan'!AS40)</f>
        <v/>
      </c>
      <c r="H43" s="220" t="str">
        <f>IF('Input Nilai Pengetahuan'!BA40="","",'Input Nilai Pengetahuan'!BA40)</f>
        <v/>
      </c>
      <c r="I43" s="220" t="str">
        <f>IF('Input Nilai Pengetahuan'!BI40="","",'Input Nilai Pengetahuan'!BI40)</f>
        <v/>
      </c>
      <c r="J43" s="220" t="str">
        <f>IF('Input Nilai Pengetahuan'!BQ40="","",'Input Nilai Pengetahuan'!BQ40)</f>
        <v/>
      </c>
      <c r="K43" s="220" t="str">
        <f>IF('Input Nilai Pengetahuan'!BY40="","",'Input Nilai Pengetahuan'!BY40)</f>
        <v/>
      </c>
      <c r="L43" s="220" t="str">
        <f>IF('Input Nilai Pengetahuan'!CG40="","",'Input Nilai Pengetahuan'!CG40)</f>
        <v/>
      </c>
      <c r="M43" s="221" t="str">
        <f>IF('Input Nilai Ketrampilan'!J40="","",('Input Nilai Ketrampilan'!J40))</f>
        <v/>
      </c>
      <c r="N43" s="221" t="str">
        <f>IF('Input Nilai Ketrampilan'!O40="","",'Input Nilai Ketrampilan'!O40)</f>
        <v/>
      </c>
      <c r="O43" s="221" t="str">
        <f>IF('Input Nilai Ketrampilan'!T40="","",'Input Nilai Ketrampilan'!T40)</f>
        <v/>
      </c>
      <c r="P43" s="221" t="str">
        <f>IF('Input Nilai Ketrampilan'!Y40="","",'Input Nilai Ketrampilan'!Y40)</f>
        <v/>
      </c>
      <c r="Q43" s="221" t="str">
        <f>IF('Input Nilai Ketrampilan'!AD40="","",'Input Nilai Ketrampilan'!AD40)</f>
        <v/>
      </c>
      <c r="R43" s="221" t="str">
        <f>IF('Input Nilai Ketrampilan'!AI40="","",'Input Nilai Ketrampilan'!AI40)</f>
        <v/>
      </c>
      <c r="S43" s="221" t="str">
        <f>IF('Input Nilai Ketrampilan'!AN40="","",'Input Nilai Ketrampilan'!AN40)</f>
        <v/>
      </c>
      <c r="T43" s="221" t="str">
        <f>IF('Input Nilai Ketrampilan'!AS40="","",'Input Nilai Ketrampilan'!AS40)</f>
        <v/>
      </c>
      <c r="U43" s="221" t="str">
        <f>IF('Input Nilai Ketrampilan'!AX40="","",'Input Nilai Ketrampilan'!AX40)</f>
        <v/>
      </c>
      <c r="V43" s="221" t="str">
        <f>IF('Input Nilai Ketrampilan'!BC40="","",'Input Nilai Ketrampilan'!BC40)</f>
        <v/>
      </c>
      <c r="W43" s="222" t="str">
        <f>IF('Input Nilai Pengetahuan'!CK40="","",'Input Nilai Pengetahuan'!CK40)</f>
        <v/>
      </c>
    </row>
    <row r="44" spans="1:23">
      <c r="A44" s="121">
        <f>'DATA SISWA'!A41</f>
        <v>0</v>
      </c>
      <c r="B44" s="122">
        <f>'DATA SISWA'!C41</f>
        <v>0</v>
      </c>
      <c r="C44" s="220" t="str">
        <f>IF('Input Nilai Pengetahuan'!M41="","",'Input Nilai Pengetahuan'!M41)</f>
        <v/>
      </c>
      <c r="D44" s="220" t="str">
        <f>IF('Input Nilai Pengetahuan'!U41="","",'Input Nilai Pengetahuan'!U41)</f>
        <v/>
      </c>
      <c r="E44" s="220" t="str">
        <f>IF('Input Nilai Pengetahuan'!AC41="","",'Input Nilai Pengetahuan'!AC41)</f>
        <v/>
      </c>
      <c r="F44" s="220" t="str">
        <f>IF('Input Nilai Pengetahuan'!AK41="","",'Input Nilai Pengetahuan'!AK41)</f>
        <v/>
      </c>
      <c r="G44" s="220" t="str">
        <f>IF('Input Nilai Pengetahuan'!AS41="","",'Input Nilai Pengetahuan'!AS41)</f>
        <v/>
      </c>
      <c r="H44" s="220" t="str">
        <f>IF('Input Nilai Pengetahuan'!BA41="","",'Input Nilai Pengetahuan'!BA41)</f>
        <v/>
      </c>
      <c r="I44" s="220" t="str">
        <f>IF('Input Nilai Pengetahuan'!BI41="","",'Input Nilai Pengetahuan'!BI41)</f>
        <v/>
      </c>
      <c r="J44" s="220" t="str">
        <f>IF('Input Nilai Pengetahuan'!BQ41="","",'Input Nilai Pengetahuan'!BQ41)</f>
        <v/>
      </c>
      <c r="K44" s="220" t="str">
        <f>IF('Input Nilai Pengetahuan'!BY41="","",'Input Nilai Pengetahuan'!BY41)</f>
        <v/>
      </c>
      <c r="L44" s="220" t="str">
        <f>IF('Input Nilai Pengetahuan'!CG41="","",'Input Nilai Pengetahuan'!CG41)</f>
        <v/>
      </c>
      <c r="M44" s="221" t="str">
        <f>IF('Input Nilai Ketrampilan'!J41="","",('Input Nilai Ketrampilan'!J41))</f>
        <v/>
      </c>
      <c r="N44" s="221" t="str">
        <f>IF('Input Nilai Ketrampilan'!O41="","",'Input Nilai Ketrampilan'!O41)</f>
        <v/>
      </c>
      <c r="O44" s="221" t="str">
        <f>IF('Input Nilai Ketrampilan'!T41="","",'Input Nilai Ketrampilan'!T41)</f>
        <v/>
      </c>
      <c r="P44" s="221" t="str">
        <f>IF('Input Nilai Ketrampilan'!Y41="","",'Input Nilai Ketrampilan'!Y41)</f>
        <v/>
      </c>
      <c r="Q44" s="221" t="str">
        <f>IF('Input Nilai Ketrampilan'!AD41="","",'Input Nilai Ketrampilan'!AD41)</f>
        <v/>
      </c>
      <c r="R44" s="221" t="str">
        <f>IF('Input Nilai Ketrampilan'!AI41="","",'Input Nilai Ketrampilan'!AI41)</f>
        <v/>
      </c>
      <c r="S44" s="221" t="str">
        <f>IF('Input Nilai Ketrampilan'!AN41="","",'Input Nilai Ketrampilan'!AN41)</f>
        <v/>
      </c>
      <c r="T44" s="221" t="str">
        <f>IF('Input Nilai Ketrampilan'!AS41="","",'Input Nilai Ketrampilan'!AS41)</f>
        <v/>
      </c>
      <c r="U44" s="221" t="str">
        <f>IF('Input Nilai Ketrampilan'!AX41="","",'Input Nilai Ketrampilan'!AX41)</f>
        <v/>
      </c>
      <c r="V44" s="221" t="str">
        <f>IF('Input Nilai Ketrampilan'!BC41="","",'Input Nilai Ketrampilan'!BC41)</f>
        <v/>
      </c>
      <c r="W44" s="222" t="str">
        <f>IF('Input Nilai Pengetahuan'!CK41="","",'Input Nilai Pengetahuan'!CK41)</f>
        <v/>
      </c>
    </row>
    <row r="45" spans="1:23">
      <c r="A45" s="121">
        <f>'DATA SISWA'!A42</f>
        <v>0</v>
      </c>
      <c r="B45" s="122">
        <f>'DATA SISWA'!C42</f>
        <v>0</v>
      </c>
      <c r="C45" s="220" t="str">
        <f>IF('Input Nilai Pengetahuan'!M42="","",'Input Nilai Pengetahuan'!M42)</f>
        <v/>
      </c>
      <c r="D45" s="220" t="str">
        <f>IF('Input Nilai Pengetahuan'!U42="","",'Input Nilai Pengetahuan'!U42)</f>
        <v/>
      </c>
      <c r="E45" s="220" t="str">
        <f>IF('Input Nilai Pengetahuan'!AC42="","",'Input Nilai Pengetahuan'!AC42)</f>
        <v/>
      </c>
      <c r="F45" s="220" t="str">
        <f>IF('Input Nilai Pengetahuan'!AK42="","",'Input Nilai Pengetahuan'!AK42)</f>
        <v/>
      </c>
      <c r="G45" s="220" t="str">
        <f>IF('Input Nilai Pengetahuan'!AS42="","",'Input Nilai Pengetahuan'!AS42)</f>
        <v/>
      </c>
      <c r="H45" s="220" t="str">
        <f>IF('Input Nilai Pengetahuan'!BA42="","",'Input Nilai Pengetahuan'!BA42)</f>
        <v/>
      </c>
      <c r="I45" s="220" t="str">
        <f>IF('Input Nilai Pengetahuan'!BI42="","",'Input Nilai Pengetahuan'!BI42)</f>
        <v/>
      </c>
      <c r="J45" s="220" t="str">
        <f>IF('Input Nilai Pengetahuan'!BQ42="","",'Input Nilai Pengetahuan'!BQ42)</f>
        <v/>
      </c>
      <c r="K45" s="220" t="str">
        <f>IF('Input Nilai Pengetahuan'!BY42="","",'Input Nilai Pengetahuan'!BY42)</f>
        <v/>
      </c>
      <c r="L45" s="220" t="str">
        <f>IF('Input Nilai Pengetahuan'!CG42="","",'Input Nilai Pengetahuan'!CG42)</f>
        <v/>
      </c>
      <c r="M45" s="221" t="str">
        <f>IF('Input Nilai Ketrampilan'!J42="","",('Input Nilai Ketrampilan'!J42))</f>
        <v/>
      </c>
      <c r="N45" s="221" t="str">
        <f>IF('Input Nilai Ketrampilan'!O42="","",'Input Nilai Ketrampilan'!O42)</f>
        <v/>
      </c>
      <c r="O45" s="221" t="str">
        <f>IF('Input Nilai Ketrampilan'!T42="","",'Input Nilai Ketrampilan'!T42)</f>
        <v/>
      </c>
      <c r="P45" s="221" t="str">
        <f>IF('Input Nilai Ketrampilan'!Y42="","",'Input Nilai Ketrampilan'!Y42)</f>
        <v/>
      </c>
      <c r="Q45" s="221" t="str">
        <f>IF('Input Nilai Ketrampilan'!AD42="","",'Input Nilai Ketrampilan'!AD42)</f>
        <v/>
      </c>
      <c r="R45" s="221" t="str">
        <f>IF('Input Nilai Ketrampilan'!AI42="","",'Input Nilai Ketrampilan'!AI42)</f>
        <v/>
      </c>
      <c r="S45" s="221" t="str">
        <f>IF('Input Nilai Ketrampilan'!AN42="","",'Input Nilai Ketrampilan'!AN42)</f>
        <v/>
      </c>
      <c r="T45" s="221" t="str">
        <f>IF('Input Nilai Ketrampilan'!AS42="","",'Input Nilai Ketrampilan'!AS42)</f>
        <v/>
      </c>
      <c r="U45" s="221" t="str">
        <f>IF('Input Nilai Ketrampilan'!AX42="","",'Input Nilai Ketrampilan'!AX42)</f>
        <v/>
      </c>
      <c r="V45" s="221" t="str">
        <f>IF('Input Nilai Ketrampilan'!BC42="","",'Input Nilai Ketrampilan'!BC42)</f>
        <v/>
      </c>
      <c r="W45" s="222" t="str">
        <f>IF('Input Nilai Pengetahuan'!CK42="","",'Input Nilai Pengetahuan'!CK42)</f>
        <v/>
      </c>
    </row>
    <row r="46" spans="1:23">
      <c r="A46" s="121">
        <f>'DATA SISWA'!A43</f>
        <v>0</v>
      </c>
      <c r="B46" s="122">
        <f>'DATA SISWA'!C43</f>
        <v>0</v>
      </c>
      <c r="C46" s="220" t="str">
        <f>IF('Input Nilai Pengetahuan'!M43="","",'Input Nilai Pengetahuan'!M43)</f>
        <v/>
      </c>
      <c r="D46" s="220" t="str">
        <f>IF('Input Nilai Pengetahuan'!U43="","",'Input Nilai Pengetahuan'!U43)</f>
        <v/>
      </c>
      <c r="E46" s="220" t="str">
        <f>IF('Input Nilai Pengetahuan'!AC43="","",'Input Nilai Pengetahuan'!AC43)</f>
        <v/>
      </c>
      <c r="F46" s="220" t="str">
        <f>IF('Input Nilai Pengetahuan'!AK43="","",'Input Nilai Pengetahuan'!AK43)</f>
        <v/>
      </c>
      <c r="G46" s="220" t="str">
        <f>IF('Input Nilai Pengetahuan'!AS43="","",'Input Nilai Pengetahuan'!AS43)</f>
        <v/>
      </c>
      <c r="H46" s="220" t="str">
        <f>IF('Input Nilai Pengetahuan'!BA43="","",'Input Nilai Pengetahuan'!BA43)</f>
        <v/>
      </c>
      <c r="I46" s="220" t="str">
        <f>IF('Input Nilai Pengetahuan'!BI43="","",'Input Nilai Pengetahuan'!BI43)</f>
        <v/>
      </c>
      <c r="J46" s="220" t="str">
        <f>IF('Input Nilai Pengetahuan'!BQ43="","",'Input Nilai Pengetahuan'!BQ43)</f>
        <v/>
      </c>
      <c r="K46" s="220" t="str">
        <f>IF('Input Nilai Pengetahuan'!BY43="","",'Input Nilai Pengetahuan'!BY43)</f>
        <v/>
      </c>
      <c r="L46" s="220" t="str">
        <f>IF('Input Nilai Pengetahuan'!CG43="","",'Input Nilai Pengetahuan'!CG43)</f>
        <v/>
      </c>
      <c r="M46" s="221" t="str">
        <f>IF('Input Nilai Ketrampilan'!J43="","",('Input Nilai Ketrampilan'!J43))</f>
        <v/>
      </c>
      <c r="N46" s="221" t="str">
        <f>IF('Input Nilai Ketrampilan'!O43="","",'Input Nilai Ketrampilan'!O43)</f>
        <v/>
      </c>
      <c r="O46" s="221" t="str">
        <f>IF('Input Nilai Ketrampilan'!T43="","",'Input Nilai Ketrampilan'!T43)</f>
        <v/>
      </c>
      <c r="P46" s="221" t="str">
        <f>IF('Input Nilai Ketrampilan'!Y43="","",'Input Nilai Ketrampilan'!Y43)</f>
        <v/>
      </c>
      <c r="Q46" s="221" t="str">
        <f>IF('Input Nilai Ketrampilan'!AD43="","",'Input Nilai Ketrampilan'!AD43)</f>
        <v/>
      </c>
      <c r="R46" s="221" t="str">
        <f>IF('Input Nilai Ketrampilan'!AI43="","",'Input Nilai Ketrampilan'!AI43)</f>
        <v/>
      </c>
      <c r="S46" s="221" t="str">
        <f>IF('Input Nilai Ketrampilan'!AN43="","",'Input Nilai Ketrampilan'!AN43)</f>
        <v/>
      </c>
      <c r="T46" s="221" t="str">
        <f>IF('Input Nilai Ketrampilan'!AS43="","",'Input Nilai Ketrampilan'!AS43)</f>
        <v/>
      </c>
      <c r="U46" s="221" t="str">
        <f>IF('Input Nilai Ketrampilan'!AX43="","",'Input Nilai Ketrampilan'!AX43)</f>
        <v/>
      </c>
      <c r="V46" s="221" t="str">
        <f>IF('Input Nilai Ketrampilan'!BC43="","",'Input Nilai Ketrampilan'!BC43)</f>
        <v/>
      </c>
      <c r="W46" s="222" t="str">
        <f>IF('Input Nilai Pengetahuan'!CK43="","",'Input Nilai Pengetahuan'!CK43)</f>
        <v/>
      </c>
    </row>
    <row r="47" spans="1:23">
      <c r="A47" s="121">
        <f>'DATA SISWA'!A44</f>
        <v>0</v>
      </c>
      <c r="B47" s="122">
        <f>'DATA SISWA'!C44</f>
        <v>0</v>
      </c>
      <c r="C47" s="220" t="str">
        <f>IF('Input Nilai Pengetahuan'!M44="","",'Input Nilai Pengetahuan'!M44)</f>
        <v/>
      </c>
      <c r="D47" s="220" t="str">
        <f>IF('Input Nilai Pengetahuan'!U44="","",'Input Nilai Pengetahuan'!U44)</f>
        <v/>
      </c>
      <c r="E47" s="220" t="str">
        <f>IF('Input Nilai Pengetahuan'!AC44="","",'Input Nilai Pengetahuan'!AC44)</f>
        <v/>
      </c>
      <c r="F47" s="220" t="str">
        <f>IF('Input Nilai Pengetahuan'!AK44="","",'Input Nilai Pengetahuan'!AK44)</f>
        <v/>
      </c>
      <c r="G47" s="220" t="str">
        <f>IF('Input Nilai Pengetahuan'!AS44="","",'Input Nilai Pengetahuan'!AS44)</f>
        <v/>
      </c>
      <c r="H47" s="220" t="str">
        <f>IF('Input Nilai Pengetahuan'!BA44="","",'Input Nilai Pengetahuan'!BA44)</f>
        <v/>
      </c>
      <c r="I47" s="220" t="str">
        <f>IF('Input Nilai Pengetahuan'!BI44="","",'Input Nilai Pengetahuan'!BI44)</f>
        <v/>
      </c>
      <c r="J47" s="220" t="str">
        <f>IF('Input Nilai Pengetahuan'!BQ44="","",'Input Nilai Pengetahuan'!BQ44)</f>
        <v/>
      </c>
      <c r="K47" s="220" t="str">
        <f>IF('Input Nilai Pengetahuan'!BY44="","",'Input Nilai Pengetahuan'!BY44)</f>
        <v/>
      </c>
      <c r="L47" s="220" t="str">
        <f>IF('Input Nilai Pengetahuan'!CG44="","",'Input Nilai Pengetahuan'!CG44)</f>
        <v/>
      </c>
      <c r="M47" s="221" t="str">
        <f>IF('Input Nilai Ketrampilan'!J44="","",('Input Nilai Ketrampilan'!J44))</f>
        <v/>
      </c>
      <c r="N47" s="221" t="str">
        <f>IF('Input Nilai Ketrampilan'!O44="","",'Input Nilai Ketrampilan'!O44)</f>
        <v/>
      </c>
      <c r="O47" s="221" t="str">
        <f>IF('Input Nilai Ketrampilan'!T44="","",'Input Nilai Ketrampilan'!T44)</f>
        <v/>
      </c>
      <c r="P47" s="221" t="str">
        <f>IF('Input Nilai Ketrampilan'!Y44="","",'Input Nilai Ketrampilan'!Y44)</f>
        <v/>
      </c>
      <c r="Q47" s="221" t="str">
        <f>IF('Input Nilai Ketrampilan'!AD44="","",'Input Nilai Ketrampilan'!AD44)</f>
        <v/>
      </c>
      <c r="R47" s="221" t="str">
        <f>IF('Input Nilai Ketrampilan'!AI44="","",'Input Nilai Ketrampilan'!AI44)</f>
        <v/>
      </c>
      <c r="S47" s="221" t="str">
        <f>IF('Input Nilai Ketrampilan'!AN44="","",'Input Nilai Ketrampilan'!AN44)</f>
        <v/>
      </c>
      <c r="T47" s="221" t="str">
        <f>IF('Input Nilai Ketrampilan'!AS44="","",'Input Nilai Ketrampilan'!AS44)</f>
        <v/>
      </c>
      <c r="U47" s="221" t="str">
        <f>IF('Input Nilai Ketrampilan'!AX44="","",'Input Nilai Ketrampilan'!AX44)</f>
        <v/>
      </c>
      <c r="V47" s="221" t="str">
        <f>IF('Input Nilai Ketrampilan'!BC44="","",'Input Nilai Ketrampilan'!BC44)</f>
        <v/>
      </c>
      <c r="W47" s="222" t="str">
        <f>IF('Input Nilai Pengetahuan'!CK44="","",'Input Nilai Pengetahuan'!CK44)</f>
        <v/>
      </c>
    </row>
    <row r="48" spans="1:23">
      <c r="A48" s="121">
        <f>'DATA SISWA'!A45</f>
        <v>0</v>
      </c>
      <c r="B48" s="122">
        <f>'DATA SISWA'!C45</f>
        <v>0</v>
      </c>
      <c r="C48" s="220" t="str">
        <f>IF('Input Nilai Pengetahuan'!M45="","",'Input Nilai Pengetahuan'!M45)</f>
        <v/>
      </c>
      <c r="D48" s="220" t="str">
        <f>IF('Input Nilai Pengetahuan'!U45="","",'Input Nilai Pengetahuan'!U45)</f>
        <v/>
      </c>
      <c r="E48" s="220" t="str">
        <f>IF('Input Nilai Pengetahuan'!AC45="","",'Input Nilai Pengetahuan'!AC45)</f>
        <v/>
      </c>
      <c r="F48" s="220" t="str">
        <f>IF('Input Nilai Pengetahuan'!AK45="","",'Input Nilai Pengetahuan'!AK45)</f>
        <v/>
      </c>
      <c r="G48" s="220" t="str">
        <f>IF('Input Nilai Pengetahuan'!AS45="","",'Input Nilai Pengetahuan'!AS45)</f>
        <v/>
      </c>
      <c r="H48" s="220" t="str">
        <f>IF('Input Nilai Pengetahuan'!BA45="","",'Input Nilai Pengetahuan'!BA45)</f>
        <v/>
      </c>
      <c r="I48" s="220" t="str">
        <f>IF('Input Nilai Pengetahuan'!BI45="","",'Input Nilai Pengetahuan'!BI45)</f>
        <v/>
      </c>
      <c r="J48" s="220" t="str">
        <f>IF('Input Nilai Pengetahuan'!BQ45="","",'Input Nilai Pengetahuan'!BQ45)</f>
        <v/>
      </c>
      <c r="K48" s="220" t="str">
        <f>IF('Input Nilai Pengetahuan'!BY45="","",'Input Nilai Pengetahuan'!BY45)</f>
        <v/>
      </c>
      <c r="L48" s="220" t="str">
        <f>IF('Input Nilai Pengetahuan'!CG45="","",'Input Nilai Pengetahuan'!CG45)</f>
        <v/>
      </c>
      <c r="M48" s="221" t="str">
        <f>IF('Input Nilai Ketrampilan'!J45="","",('Input Nilai Ketrampilan'!J45))</f>
        <v/>
      </c>
      <c r="N48" s="221" t="str">
        <f>IF('Input Nilai Ketrampilan'!O45="","",'Input Nilai Ketrampilan'!O45)</f>
        <v/>
      </c>
      <c r="O48" s="221" t="str">
        <f>IF('Input Nilai Ketrampilan'!T45="","",'Input Nilai Ketrampilan'!T45)</f>
        <v/>
      </c>
      <c r="P48" s="221" t="str">
        <f>IF('Input Nilai Ketrampilan'!Y45="","",'Input Nilai Ketrampilan'!Y45)</f>
        <v/>
      </c>
      <c r="Q48" s="221" t="str">
        <f>IF('Input Nilai Ketrampilan'!AD45="","",'Input Nilai Ketrampilan'!AD45)</f>
        <v/>
      </c>
      <c r="R48" s="221" t="str">
        <f>IF('Input Nilai Ketrampilan'!AI45="","",'Input Nilai Ketrampilan'!AI45)</f>
        <v/>
      </c>
      <c r="S48" s="221" t="str">
        <f>IF('Input Nilai Ketrampilan'!AN45="","",'Input Nilai Ketrampilan'!AN45)</f>
        <v/>
      </c>
      <c r="T48" s="221" t="str">
        <f>IF('Input Nilai Ketrampilan'!AS45="","",'Input Nilai Ketrampilan'!AS45)</f>
        <v/>
      </c>
      <c r="U48" s="221" t="str">
        <f>IF('Input Nilai Ketrampilan'!AX45="","",'Input Nilai Ketrampilan'!AX45)</f>
        <v/>
      </c>
      <c r="V48" s="221" t="str">
        <f>IF('Input Nilai Ketrampilan'!BC45="","",'Input Nilai Ketrampilan'!BC45)</f>
        <v/>
      </c>
      <c r="W48" s="222" t="str">
        <f>IF('Input Nilai Pengetahuan'!CK45="","",'Input Nilai Pengetahuan'!CK45)</f>
        <v/>
      </c>
    </row>
    <row r="49" spans="1:23">
      <c r="A49" s="121">
        <f>'DATA SISWA'!A46</f>
        <v>0</v>
      </c>
      <c r="B49" s="122">
        <f>'DATA SISWA'!C46</f>
        <v>0</v>
      </c>
      <c r="C49" s="220" t="str">
        <f>IF('Input Nilai Pengetahuan'!M46="","",'Input Nilai Pengetahuan'!M46)</f>
        <v/>
      </c>
      <c r="D49" s="220" t="str">
        <f>IF('Input Nilai Pengetahuan'!U46="","",'Input Nilai Pengetahuan'!U46)</f>
        <v/>
      </c>
      <c r="E49" s="220" t="str">
        <f>IF('Input Nilai Pengetahuan'!AC46="","",'Input Nilai Pengetahuan'!AC46)</f>
        <v/>
      </c>
      <c r="F49" s="220" t="str">
        <f>IF('Input Nilai Pengetahuan'!AK46="","",'Input Nilai Pengetahuan'!AK46)</f>
        <v/>
      </c>
      <c r="G49" s="220" t="str">
        <f>IF('Input Nilai Pengetahuan'!AS46="","",'Input Nilai Pengetahuan'!AS46)</f>
        <v/>
      </c>
      <c r="H49" s="220" t="str">
        <f>IF('Input Nilai Pengetahuan'!BA46="","",'Input Nilai Pengetahuan'!BA46)</f>
        <v/>
      </c>
      <c r="I49" s="220" t="str">
        <f>IF('Input Nilai Pengetahuan'!BI46="","",'Input Nilai Pengetahuan'!BI46)</f>
        <v/>
      </c>
      <c r="J49" s="220" t="str">
        <f>IF('Input Nilai Pengetahuan'!BQ46="","",'Input Nilai Pengetahuan'!BQ46)</f>
        <v/>
      </c>
      <c r="K49" s="220" t="str">
        <f>IF('Input Nilai Pengetahuan'!BY46="","",'Input Nilai Pengetahuan'!BY46)</f>
        <v/>
      </c>
      <c r="L49" s="220" t="str">
        <f>IF('Input Nilai Pengetahuan'!CG46="","",'Input Nilai Pengetahuan'!CG46)</f>
        <v/>
      </c>
      <c r="M49" s="221" t="str">
        <f>IF('Input Nilai Ketrampilan'!J46="","",('Input Nilai Ketrampilan'!J46))</f>
        <v/>
      </c>
      <c r="N49" s="221" t="str">
        <f>IF('Input Nilai Ketrampilan'!O46="","",'Input Nilai Ketrampilan'!O46)</f>
        <v/>
      </c>
      <c r="O49" s="221" t="str">
        <f>IF('Input Nilai Ketrampilan'!T46="","",'Input Nilai Ketrampilan'!T46)</f>
        <v/>
      </c>
      <c r="P49" s="221" t="str">
        <f>IF('Input Nilai Ketrampilan'!Y46="","",'Input Nilai Ketrampilan'!Y46)</f>
        <v/>
      </c>
      <c r="Q49" s="221" t="str">
        <f>IF('Input Nilai Ketrampilan'!AD46="","",'Input Nilai Ketrampilan'!AD46)</f>
        <v/>
      </c>
      <c r="R49" s="221" t="str">
        <f>IF('Input Nilai Ketrampilan'!AI46="","",'Input Nilai Ketrampilan'!AI46)</f>
        <v/>
      </c>
      <c r="S49" s="221" t="str">
        <f>IF('Input Nilai Ketrampilan'!AN46="","",'Input Nilai Ketrampilan'!AN46)</f>
        <v/>
      </c>
      <c r="T49" s="221" t="str">
        <f>IF('Input Nilai Ketrampilan'!AS46="","",'Input Nilai Ketrampilan'!AS46)</f>
        <v/>
      </c>
      <c r="U49" s="221" t="str">
        <f>IF('Input Nilai Ketrampilan'!AX46="","",'Input Nilai Ketrampilan'!AX46)</f>
        <v/>
      </c>
      <c r="V49" s="221" t="str">
        <f>IF('Input Nilai Ketrampilan'!BC46="","",'Input Nilai Ketrampilan'!BC46)</f>
        <v/>
      </c>
      <c r="W49" s="222" t="str">
        <f>IF('Input Nilai Pengetahuan'!CK46="","",'Input Nilai Pengetahuan'!CK46)</f>
        <v/>
      </c>
    </row>
    <row r="50" spans="1:23">
      <c r="A50" s="121">
        <f>'DATA SISWA'!A47</f>
        <v>0</v>
      </c>
      <c r="B50" s="122">
        <f>'DATA SISWA'!C47</f>
        <v>0</v>
      </c>
      <c r="C50" s="220" t="str">
        <f>IF('Input Nilai Pengetahuan'!M47="","",'Input Nilai Pengetahuan'!M47)</f>
        <v/>
      </c>
      <c r="D50" s="220" t="str">
        <f>IF('Input Nilai Pengetahuan'!U47="","",'Input Nilai Pengetahuan'!U47)</f>
        <v/>
      </c>
      <c r="E50" s="220" t="str">
        <f>IF('Input Nilai Pengetahuan'!AC47="","",'Input Nilai Pengetahuan'!AC47)</f>
        <v/>
      </c>
      <c r="F50" s="220" t="str">
        <f>IF('Input Nilai Pengetahuan'!AK47="","",'Input Nilai Pengetahuan'!AK47)</f>
        <v/>
      </c>
      <c r="G50" s="220" t="str">
        <f>IF('Input Nilai Pengetahuan'!AS47="","",'Input Nilai Pengetahuan'!AS47)</f>
        <v/>
      </c>
      <c r="H50" s="220" t="str">
        <f>IF('Input Nilai Pengetahuan'!BA47="","",'Input Nilai Pengetahuan'!BA47)</f>
        <v/>
      </c>
      <c r="I50" s="220" t="str">
        <f>IF('Input Nilai Pengetahuan'!BI47="","",'Input Nilai Pengetahuan'!BI47)</f>
        <v/>
      </c>
      <c r="J50" s="220" t="str">
        <f>IF('Input Nilai Pengetahuan'!BQ47="","",'Input Nilai Pengetahuan'!BQ47)</f>
        <v/>
      </c>
      <c r="K50" s="220" t="str">
        <f>IF('Input Nilai Pengetahuan'!BY47="","",'Input Nilai Pengetahuan'!BY47)</f>
        <v/>
      </c>
      <c r="L50" s="220" t="str">
        <f>IF('Input Nilai Pengetahuan'!CG47="","",'Input Nilai Pengetahuan'!CG47)</f>
        <v/>
      </c>
      <c r="M50" s="221" t="str">
        <f>IF('Input Nilai Ketrampilan'!J47="","",('Input Nilai Ketrampilan'!J47))</f>
        <v/>
      </c>
      <c r="N50" s="221" t="str">
        <f>IF('Input Nilai Ketrampilan'!O47="","",'Input Nilai Ketrampilan'!O47)</f>
        <v/>
      </c>
      <c r="O50" s="221" t="str">
        <f>IF('Input Nilai Ketrampilan'!T47="","",'Input Nilai Ketrampilan'!T47)</f>
        <v/>
      </c>
      <c r="P50" s="221" t="str">
        <f>IF('Input Nilai Ketrampilan'!Y47="","",'Input Nilai Ketrampilan'!Y47)</f>
        <v/>
      </c>
      <c r="Q50" s="221" t="str">
        <f>IF('Input Nilai Ketrampilan'!AD47="","",'Input Nilai Ketrampilan'!AD47)</f>
        <v/>
      </c>
      <c r="R50" s="221" t="str">
        <f>IF('Input Nilai Ketrampilan'!AI47="","",'Input Nilai Ketrampilan'!AI47)</f>
        <v/>
      </c>
      <c r="S50" s="221" t="str">
        <f>IF('Input Nilai Ketrampilan'!AN47="","",'Input Nilai Ketrampilan'!AN47)</f>
        <v/>
      </c>
      <c r="T50" s="221" t="str">
        <f>IF('Input Nilai Ketrampilan'!AS47="","",'Input Nilai Ketrampilan'!AS47)</f>
        <v/>
      </c>
      <c r="U50" s="221" t="str">
        <f>IF('Input Nilai Ketrampilan'!AX47="","",'Input Nilai Ketrampilan'!AX47)</f>
        <v/>
      </c>
      <c r="V50" s="221" t="str">
        <f>IF('Input Nilai Ketrampilan'!BC47="","",'Input Nilai Ketrampilan'!BC47)</f>
        <v/>
      </c>
      <c r="W50" s="222" t="str">
        <f>IF('Input Nilai Pengetahuan'!CK47="","",'Input Nilai Pengetahuan'!CK47)</f>
        <v/>
      </c>
    </row>
    <row r="51" spans="1:23">
      <c r="A51" s="121">
        <f>'DATA SISWA'!A48</f>
        <v>0</v>
      </c>
      <c r="B51" s="122">
        <f>'DATA SISWA'!C48</f>
        <v>0</v>
      </c>
      <c r="C51" s="220" t="str">
        <f>IF('Input Nilai Pengetahuan'!M48="","",'Input Nilai Pengetahuan'!M48)</f>
        <v/>
      </c>
      <c r="D51" s="220" t="str">
        <f>IF('Input Nilai Pengetahuan'!U48="","",'Input Nilai Pengetahuan'!U48)</f>
        <v/>
      </c>
      <c r="E51" s="220" t="str">
        <f>IF('Input Nilai Pengetahuan'!AC48="","",'Input Nilai Pengetahuan'!AC48)</f>
        <v/>
      </c>
      <c r="F51" s="220" t="str">
        <f>IF('Input Nilai Pengetahuan'!AK48="","",'Input Nilai Pengetahuan'!AK48)</f>
        <v/>
      </c>
      <c r="G51" s="220" t="str">
        <f>IF('Input Nilai Pengetahuan'!AS48="","",'Input Nilai Pengetahuan'!AS48)</f>
        <v/>
      </c>
      <c r="H51" s="220" t="str">
        <f>IF('Input Nilai Pengetahuan'!BA48="","",'Input Nilai Pengetahuan'!BA48)</f>
        <v/>
      </c>
      <c r="I51" s="220" t="str">
        <f>IF('Input Nilai Pengetahuan'!BI48="","",'Input Nilai Pengetahuan'!BI48)</f>
        <v/>
      </c>
      <c r="J51" s="220" t="str">
        <f>IF('Input Nilai Pengetahuan'!BQ48="","",'Input Nilai Pengetahuan'!BQ48)</f>
        <v/>
      </c>
      <c r="K51" s="220" t="str">
        <f>IF('Input Nilai Pengetahuan'!BY48="","",'Input Nilai Pengetahuan'!BY48)</f>
        <v/>
      </c>
      <c r="L51" s="220" t="str">
        <f>IF('Input Nilai Pengetahuan'!CG48="","",'Input Nilai Pengetahuan'!CG48)</f>
        <v/>
      </c>
      <c r="M51" s="221" t="str">
        <f>IF('Input Nilai Ketrampilan'!J48="","",('Input Nilai Ketrampilan'!J48))</f>
        <v/>
      </c>
      <c r="N51" s="221" t="str">
        <f>IF('Input Nilai Ketrampilan'!O48="","",'Input Nilai Ketrampilan'!O48)</f>
        <v/>
      </c>
      <c r="O51" s="221" t="str">
        <f>IF('Input Nilai Ketrampilan'!T48="","",'Input Nilai Ketrampilan'!T48)</f>
        <v/>
      </c>
      <c r="P51" s="221" t="str">
        <f>IF('Input Nilai Ketrampilan'!Y48="","",'Input Nilai Ketrampilan'!Y48)</f>
        <v/>
      </c>
      <c r="Q51" s="221" t="str">
        <f>IF('Input Nilai Ketrampilan'!AD48="","",'Input Nilai Ketrampilan'!AD48)</f>
        <v/>
      </c>
      <c r="R51" s="221" t="str">
        <f>IF('Input Nilai Ketrampilan'!AI48="","",'Input Nilai Ketrampilan'!AI48)</f>
        <v/>
      </c>
      <c r="S51" s="221" t="str">
        <f>IF('Input Nilai Ketrampilan'!AN48="","",'Input Nilai Ketrampilan'!AN48)</f>
        <v/>
      </c>
      <c r="T51" s="221" t="str">
        <f>IF('Input Nilai Ketrampilan'!AS48="","",'Input Nilai Ketrampilan'!AS48)</f>
        <v/>
      </c>
      <c r="U51" s="221" t="str">
        <f>IF('Input Nilai Ketrampilan'!AX48="","",'Input Nilai Ketrampilan'!AX48)</f>
        <v/>
      </c>
      <c r="V51" s="221" t="str">
        <f>IF('Input Nilai Ketrampilan'!BC48="","",'Input Nilai Ketrampilan'!BC48)</f>
        <v/>
      </c>
      <c r="W51" s="222" t="str">
        <f>IF('Input Nilai Pengetahuan'!CK48="","",'Input Nilai Pengetahuan'!CK48)</f>
        <v/>
      </c>
    </row>
    <row r="52" spans="1:23">
      <c r="A52" s="121">
        <f>'DATA SISWA'!A49</f>
        <v>0</v>
      </c>
      <c r="B52" s="122">
        <f>'DATA SISWA'!C49</f>
        <v>0</v>
      </c>
      <c r="C52" s="220" t="str">
        <f>IF('Input Nilai Pengetahuan'!M49="","",'Input Nilai Pengetahuan'!M49)</f>
        <v/>
      </c>
      <c r="D52" s="220" t="str">
        <f>IF('Input Nilai Pengetahuan'!U49="","",'Input Nilai Pengetahuan'!U49)</f>
        <v/>
      </c>
      <c r="E52" s="220" t="str">
        <f>IF('Input Nilai Pengetahuan'!AC49="","",'Input Nilai Pengetahuan'!AC49)</f>
        <v/>
      </c>
      <c r="F52" s="220" t="str">
        <f>IF('Input Nilai Pengetahuan'!AK49="","",'Input Nilai Pengetahuan'!AK49)</f>
        <v/>
      </c>
      <c r="G52" s="220" t="str">
        <f>IF('Input Nilai Pengetahuan'!AS49="","",'Input Nilai Pengetahuan'!AS49)</f>
        <v/>
      </c>
      <c r="H52" s="220" t="str">
        <f>IF('Input Nilai Pengetahuan'!BA49="","",'Input Nilai Pengetahuan'!BA49)</f>
        <v/>
      </c>
      <c r="I52" s="220" t="str">
        <f>IF('Input Nilai Pengetahuan'!BI49="","",'Input Nilai Pengetahuan'!BI49)</f>
        <v/>
      </c>
      <c r="J52" s="220" t="str">
        <f>IF('Input Nilai Pengetahuan'!BQ49="","",'Input Nilai Pengetahuan'!BQ49)</f>
        <v/>
      </c>
      <c r="K52" s="220" t="str">
        <f>IF('Input Nilai Pengetahuan'!BY49="","",'Input Nilai Pengetahuan'!BY49)</f>
        <v/>
      </c>
      <c r="L52" s="220" t="str">
        <f>IF('Input Nilai Pengetahuan'!CG49="","",'Input Nilai Pengetahuan'!CG49)</f>
        <v/>
      </c>
      <c r="M52" s="221" t="str">
        <f>IF('Input Nilai Ketrampilan'!J49="","",('Input Nilai Ketrampilan'!J49))</f>
        <v/>
      </c>
      <c r="N52" s="221" t="str">
        <f>IF('Input Nilai Ketrampilan'!O49="","",'Input Nilai Ketrampilan'!O49)</f>
        <v/>
      </c>
      <c r="O52" s="221" t="str">
        <f>IF('Input Nilai Ketrampilan'!T49="","",'Input Nilai Ketrampilan'!T49)</f>
        <v/>
      </c>
      <c r="P52" s="221" t="str">
        <f>IF('Input Nilai Ketrampilan'!Y49="","",'Input Nilai Ketrampilan'!Y49)</f>
        <v/>
      </c>
      <c r="Q52" s="221" t="str">
        <f>IF('Input Nilai Ketrampilan'!AD49="","",'Input Nilai Ketrampilan'!AD49)</f>
        <v/>
      </c>
      <c r="R52" s="221" t="str">
        <f>IF('Input Nilai Ketrampilan'!AI49="","",'Input Nilai Ketrampilan'!AI49)</f>
        <v/>
      </c>
      <c r="S52" s="221" t="str">
        <f>IF('Input Nilai Ketrampilan'!AN49="","",'Input Nilai Ketrampilan'!AN49)</f>
        <v/>
      </c>
      <c r="T52" s="221" t="str">
        <f>IF('Input Nilai Ketrampilan'!AS49="","",'Input Nilai Ketrampilan'!AS49)</f>
        <v/>
      </c>
      <c r="U52" s="221" t="str">
        <f>IF('Input Nilai Ketrampilan'!AX49="","",'Input Nilai Ketrampilan'!AX49)</f>
        <v/>
      </c>
      <c r="V52" s="221" t="str">
        <f>IF('Input Nilai Ketrampilan'!BC49="","",'Input Nilai Ketrampilan'!BC49)</f>
        <v/>
      </c>
      <c r="W52" s="222" t="str">
        <f>IF('Input Nilai Pengetahuan'!CK49="","",'Input Nilai Pengetahuan'!CK49)</f>
        <v/>
      </c>
    </row>
    <row r="53" spans="1:23">
      <c r="A53" s="121">
        <f>'DATA SISWA'!A50</f>
        <v>0</v>
      </c>
      <c r="B53" s="122">
        <f>'DATA SISWA'!C50</f>
        <v>0</v>
      </c>
      <c r="C53" s="220" t="str">
        <f>IF('Input Nilai Pengetahuan'!M50="","",'Input Nilai Pengetahuan'!M50)</f>
        <v/>
      </c>
      <c r="D53" s="220" t="str">
        <f>IF('Input Nilai Pengetahuan'!U50="","",'Input Nilai Pengetahuan'!U50)</f>
        <v/>
      </c>
      <c r="E53" s="220" t="str">
        <f>IF('Input Nilai Pengetahuan'!AC50="","",'Input Nilai Pengetahuan'!AC50)</f>
        <v/>
      </c>
      <c r="F53" s="220" t="str">
        <f>IF('Input Nilai Pengetahuan'!AK50="","",'Input Nilai Pengetahuan'!AK50)</f>
        <v/>
      </c>
      <c r="G53" s="220" t="str">
        <f>IF('Input Nilai Pengetahuan'!AS50="","",'Input Nilai Pengetahuan'!AS50)</f>
        <v/>
      </c>
      <c r="H53" s="220" t="str">
        <f>IF('Input Nilai Pengetahuan'!BA50="","",'Input Nilai Pengetahuan'!BA50)</f>
        <v/>
      </c>
      <c r="I53" s="220" t="str">
        <f>IF('Input Nilai Pengetahuan'!BI50="","",'Input Nilai Pengetahuan'!BI50)</f>
        <v/>
      </c>
      <c r="J53" s="220" t="str">
        <f>IF('Input Nilai Pengetahuan'!BQ50="","",'Input Nilai Pengetahuan'!BQ50)</f>
        <v/>
      </c>
      <c r="K53" s="220" t="str">
        <f>IF('Input Nilai Pengetahuan'!BY50="","",'Input Nilai Pengetahuan'!BY50)</f>
        <v/>
      </c>
      <c r="L53" s="220" t="str">
        <f>IF('Input Nilai Pengetahuan'!CG50="","",'Input Nilai Pengetahuan'!CG50)</f>
        <v/>
      </c>
      <c r="M53" s="221" t="str">
        <f>IF('Input Nilai Ketrampilan'!J50="","",('Input Nilai Ketrampilan'!J50))</f>
        <v/>
      </c>
      <c r="N53" s="221" t="str">
        <f>IF('Input Nilai Ketrampilan'!O50="","",'Input Nilai Ketrampilan'!O50)</f>
        <v/>
      </c>
      <c r="O53" s="221" t="str">
        <f>IF('Input Nilai Ketrampilan'!T50="","",'Input Nilai Ketrampilan'!T50)</f>
        <v/>
      </c>
      <c r="P53" s="221" t="str">
        <f>IF('Input Nilai Ketrampilan'!Y50="","",'Input Nilai Ketrampilan'!Y50)</f>
        <v/>
      </c>
      <c r="Q53" s="221" t="str">
        <f>IF('Input Nilai Ketrampilan'!AD50="","",'Input Nilai Ketrampilan'!AD50)</f>
        <v/>
      </c>
      <c r="R53" s="221" t="str">
        <f>IF('Input Nilai Ketrampilan'!AI50="","",'Input Nilai Ketrampilan'!AI50)</f>
        <v/>
      </c>
      <c r="S53" s="221" t="str">
        <f>IF('Input Nilai Ketrampilan'!AN50="","",'Input Nilai Ketrampilan'!AN50)</f>
        <v/>
      </c>
      <c r="T53" s="221" t="str">
        <f>IF('Input Nilai Ketrampilan'!AS50="","",'Input Nilai Ketrampilan'!AS50)</f>
        <v/>
      </c>
      <c r="U53" s="221" t="str">
        <f>IF('Input Nilai Ketrampilan'!AX50="","",'Input Nilai Ketrampilan'!AX50)</f>
        <v/>
      </c>
      <c r="V53" s="221" t="str">
        <f>IF('Input Nilai Ketrampilan'!BC50="","",'Input Nilai Ketrampilan'!BC50)</f>
        <v/>
      </c>
      <c r="W53" s="222" t="str">
        <f>IF('Input Nilai Pengetahuan'!CK50="","",'Input Nilai Pengetahuan'!CK50)</f>
        <v/>
      </c>
    </row>
    <row r="54" spans="1:23">
      <c r="A54" s="121">
        <f>'DATA SISWA'!A51</f>
        <v>0</v>
      </c>
      <c r="B54" s="122">
        <f>'DATA SISWA'!C51</f>
        <v>0</v>
      </c>
      <c r="C54" s="220" t="str">
        <f>IF('Input Nilai Pengetahuan'!M51="","",'Input Nilai Pengetahuan'!M51)</f>
        <v/>
      </c>
      <c r="D54" s="220" t="str">
        <f>IF('Input Nilai Pengetahuan'!U51="","",'Input Nilai Pengetahuan'!U51)</f>
        <v/>
      </c>
      <c r="E54" s="220" t="str">
        <f>IF('Input Nilai Pengetahuan'!AC51="","",'Input Nilai Pengetahuan'!AC51)</f>
        <v/>
      </c>
      <c r="F54" s="220" t="str">
        <f>IF('Input Nilai Pengetahuan'!AK51="","",'Input Nilai Pengetahuan'!AK51)</f>
        <v/>
      </c>
      <c r="G54" s="220" t="str">
        <f>IF('Input Nilai Pengetahuan'!AS51="","",'Input Nilai Pengetahuan'!AS51)</f>
        <v/>
      </c>
      <c r="H54" s="220" t="str">
        <f>IF('Input Nilai Pengetahuan'!BA51="","",'Input Nilai Pengetahuan'!BA51)</f>
        <v/>
      </c>
      <c r="I54" s="220" t="str">
        <f>IF('Input Nilai Pengetahuan'!BI51="","",'Input Nilai Pengetahuan'!BI51)</f>
        <v/>
      </c>
      <c r="J54" s="220" t="str">
        <f>IF('Input Nilai Pengetahuan'!BQ51="","",'Input Nilai Pengetahuan'!BQ51)</f>
        <v/>
      </c>
      <c r="K54" s="220" t="str">
        <f>IF('Input Nilai Pengetahuan'!BY51="","",'Input Nilai Pengetahuan'!BY51)</f>
        <v/>
      </c>
      <c r="L54" s="220" t="str">
        <f>IF('Input Nilai Pengetahuan'!CG51="","",'Input Nilai Pengetahuan'!CG51)</f>
        <v/>
      </c>
      <c r="M54" s="221" t="str">
        <f>IF('Input Nilai Ketrampilan'!J51="","",('Input Nilai Ketrampilan'!J51))</f>
        <v/>
      </c>
      <c r="N54" s="221" t="str">
        <f>IF('Input Nilai Ketrampilan'!O51="","",'Input Nilai Ketrampilan'!O51)</f>
        <v/>
      </c>
      <c r="O54" s="221" t="str">
        <f>IF('Input Nilai Ketrampilan'!T51="","",'Input Nilai Ketrampilan'!T51)</f>
        <v/>
      </c>
      <c r="P54" s="221" t="str">
        <f>IF('Input Nilai Ketrampilan'!Y51="","",'Input Nilai Ketrampilan'!Y51)</f>
        <v/>
      </c>
      <c r="Q54" s="221" t="str">
        <f>IF('Input Nilai Ketrampilan'!AD51="","",'Input Nilai Ketrampilan'!AD51)</f>
        <v/>
      </c>
      <c r="R54" s="221" t="str">
        <f>IF('Input Nilai Ketrampilan'!AI51="","",'Input Nilai Ketrampilan'!AI51)</f>
        <v/>
      </c>
      <c r="S54" s="221" t="str">
        <f>IF('Input Nilai Ketrampilan'!AN51="","",'Input Nilai Ketrampilan'!AN51)</f>
        <v/>
      </c>
      <c r="T54" s="221" t="str">
        <f>IF('Input Nilai Ketrampilan'!AS51="","",'Input Nilai Ketrampilan'!AS51)</f>
        <v/>
      </c>
      <c r="U54" s="221" t="str">
        <f>IF('Input Nilai Ketrampilan'!AX51="","",'Input Nilai Ketrampilan'!AX51)</f>
        <v/>
      </c>
      <c r="V54" s="221" t="str">
        <f>IF('Input Nilai Ketrampilan'!BC51="","",'Input Nilai Ketrampilan'!BC51)</f>
        <v/>
      </c>
      <c r="W54" s="222" t="str">
        <f>IF('Input Nilai Pengetahuan'!CK51="","",'Input Nilai Pengetahuan'!CK51)</f>
        <v/>
      </c>
    </row>
    <row r="55" spans="1:23">
      <c r="A55" s="121">
        <f>'DATA SISWA'!A52</f>
        <v>0</v>
      </c>
      <c r="B55" s="122">
        <f>'DATA SISWA'!C52</f>
        <v>0</v>
      </c>
      <c r="C55" s="220" t="str">
        <f>IF('Input Nilai Pengetahuan'!M52="","",'Input Nilai Pengetahuan'!M52)</f>
        <v/>
      </c>
      <c r="D55" s="220" t="str">
        <f>IF('Input Nilai Pengetahuan'!U52="","",'Input Nilai Pengetahuan'!U52)</f>
        <v/>
      </c>
      <c r="E55" s="220" t="str">
        <f>IF('Input Nilai Pengetahuan'!AC52="","",'Input Nilai Pengetahuan'!AC52)</f>
        <v/>
      </c>
      <c r="F55" s="220" t="str">
        <f>IF('Input Nilai Pengetahuan'!AK52="","",'Input Nilai Pengetahuan'!AK52)</f>
        <v/>
      </c>
      <c r="G55" s="220" t="str">
        <f>IF('Input Nilai Pengetahuan'!AS52="","",'Input Nilai Pengetahuan'!AS52)</f>
        <v/>
      </c>
      <c r="H55" s="220" t="str">
        <f>IF('Input Nilai Pengetahuan'!BA52="","",'Input Nilai Pengetahuan'!BA52)</f>
        <v/>
      </c>
      <c r="I55" s="220" t="str">
        <f>IF('Input Nilai Pengetahuan'!BI52="","",'Input Nilai Pengetahuan'!BI52)</f>
        <v/>
      </c>
      <c r="J55" s="220" t="str">
        <f>IF('Input Nilai Pengetahuan'!BQ52="","",'Input Nilai Pengetahuan'!BQ52)</f>
        <v/>
      </c>
      <c r="K55" s="220" t="str">
        <f>IF('Input Nilai Pengetahuan'!BY52="","",'Input Nilai Pengetahuan'!BY52)</f>
        <v/>
      </c>
      <c r="L55" s="220" t="str">
        <f>IF('Input Nilai Pengetahuan'!CG52="","",'Input Nilai Pengetahuan'!CG52)</f>
        <v/>
      </c>
      <c r="M55" s="221" t="str">
        <f>IF('Input Nilai Ketrampilan'!J52="","",('Input Nilai Ketrampilan'!J52))</f>
        <v/>
      </c>
      <c r="N55" s="221" t="str">
        <f>IF('Input Nilai Ketrampilan'!O52="","",'Input Nilai Ketrampilan'!O52)</f>
        <v/>
      </c>
      <c r="O55" s="221" t="str">
        <f>IF('Input Nilai Ketrampilan'!T52="","",'Input Nilai Ketrampilan'!T52)</f>
        <v/>
      </c>
      <c r="P55" s="221" t="str">
        <f>IF('Input Nilai Ketrampilan'!Y52="","",'Input Nilai Ketrampilan'!Y52)</f>
        <v/>
      </c>
      <c r="Q55" s="221" t="str">
        <f>IF('Input Nilai Ketrampilan'!AD52="","",'Input Nilai Ketrampilan'!AD52)</f>
        <v/>
      </c>
      <c r="R55" s="221" t="str">
        <f>IF('Input Nilai Ketrampilan'!AI52="","",'Input Nilai Ketrampilan'!AI52)</f>
        <v/>
      </c>
      <c r="S55" s="221" t="str">
        <f>IF('Input Nilai Ketrampilan'!AN52="","",'Input Nilai Ketrampilan'!AN52)</f>
        <v/>
      </c>
      <c r="T55" s="221" t="str">
        <f>IF('Input Nilai Ketrampilan'!AS52="","",'Input Nilai Ketrampilan'!AS52)</f>
        <v/>
      </c>
      <c r="U55" s="221" t="str">
        <f>IF('Input Nilai Ketrampilan'!AX52="","",'Input Nilai Ketrampilan'!AX52)</f>
        <v/>
      </c>
      <c r="V55" s="221" t="str">
        <f>IF('Input Nilai Ketrampilan'!BC52="","",'Input Nilai Ketrampilan'!BC52)</f>
        <v/>
      </c>
      <c r="W55" s="222" t="str">
        <f>IF('Input Nilai Pengetahuan'!CK52="","",'Input Nilai Pengetahuan'!CK52)</f>
        <v/>
      </c>
    </row>
  </sheetData>
  <sheetProtection password="D05F" sheet="1" objects="1" scenarios="1" formatCells="0" formatColumns="0" formatRows="0" insertColumns="0" insertRows="0" insertHyperlinks="0" deleteColumns="0" deleteRows="0"/>
  <mergeCells count="6">
    <mergeCell ref="C6:L6"/>
    <mergeCell ref="M6:V6"/>
    <mergeCell ref="A5:A7"/>
    <mergeCell ref="B5:B7"/>
    <mergeCell ref="C5:L5"/>
    <mergeCell ref="M5:V5"/>
  </mergeCells>
  <dataValidations count="2">
    <dataValidation type="whole" operator="lessThan" allowBlank="1" showInputMessage="1" showErrorMessage="1" sqref="M8:W55">
      <formula1>100</formula1>
    </dataValidation>
    <dataValidation operator="lessThan" allowBlank="1" showInputMessage="1" showErrorMessage="1" sqref="C8:L55"/>
  </dataValidations>
  <pageMargins left="0.7" right="0.7" top="0.75" bottom="0.75" header="0.3" footer="0.3"/>
  <pageSetup orientation="portrait" horizontalDpi="0" verticalDpi="0" r:id="rId1"/>
  <drawing r:id="rId2"/>
</worksheet>
</file>

<file path=xl/worksheets/sheet7.xml><?xml version="1.0" encoding="utf-8"?>
<worksheet xmlns="http://schemas.openxmlformats.org/spreadsheetml/2006/main" xmlns:r="http://schemas.openxmlformats.org/officeDocument/2006/relationships">
  <sheetPr codeName="Sheet4"/>
  <dimension ref="A1:V69"/>
  <sheetViews>
    <sheetView zoomScale="70" zoomScaleNormal="70" workbookViewId="0">
      <pane xSplit="3" ySplit="13" topLeftCell="D14" activePane="bottomRight" state="frozen"/>
      <selection pane="topRight" activeCell="C1" sqref="C1"/>
      <selection pane="bottomLeft" activeCell="A14" sqref="A14"/>
      <selection pane="bottomRight" activeCell="D14" sqref="D14:S61"/>
    </sheetView>
  </sheetViews>
  <sheetFormatPr defaultColWidth="0" defaultRowHeight="15" customHeight="1" zeroHeight="1"/>
  <cols>
    <col min="1" max="1" width="4.5703125" style="132" bestFit="1" customWidth="1"/>
    <col min="2" max="2" width="7.140625" style="132" customWidth="1"/>
    <col min="3" max="3" width="36.42578125" style="132" bestFit="1" customWidth="1"/>
    <col min="4" max="4" width="7.42578125" style="132" customWidth="1"/>
    <col min="5" max="5" width="5.42578125" style="132" bestFit="1" customWidth="1"/>
    <col min="6" max="6" width="44.5703125" style="132" customWidth="1"/>
    <col min="7" max="7" width="7.85546875" style="132" customWidth="1"/>
    <col min="8" max="8" width="5.28515625" style="132" customWidth="1"/>
    <col min="9" max="9" width="44.5703125" style="132" customWidth="1"/>
    <col min="10" max="10" width="7.140625" style="132" customWidth="1"/>
    <col min="11" max="11" width="9.28515625" style="132" customWidth="1"/>
    <col min="12" max="17" width="7" style="132" customWidth="1"/>
    <col min="18" max="18" width="10" style="132" customWidth="1"/>
    <col min="19" max="19" width="11.5703125" style="132" customWidth="1"/>
    <col min="20" max="20" width="9.140625" style="85" customWidth="1"/>
    <col min="21" max="22" width="0" style="85" hidden="1" customWidth="1"/>
    <col min="23" max="16384" width="9.140625" style="85" hidden="1"/>
  </cols>
  <sheetData>
    <row r="1" spans="1:19">
      <c r="D1" s="517"/>
      <c r="E1" s="518"/>
      <c r="F1" s="518"/>
      <c r="G1" s="518"/>
      <c r="H1" s="518"/>
      <c r="I1" s="518"/>
      <c r="J1" s="518"/>
      <c r="K1" s="518"/>
      <c r="L1" s="518"/>
      <c r="M1" s="518"/>
      <c r="N1" s="518"/>
      <c r="O1" s="518"/>
      <c r="P1" s="518"/>
      <c r="Q1" s="518"/>
      <c r="R1" s="518"/>
      <c r="S1" s="519"/>
    </row>
    <row r="2" spans="1:19" ht="15.75">
      <c r="D2" s="520" t="str">
        <f>UPPER('[1]Data Raport'!C3:F3)</f>
        <v/>
      </c>
      <c r="E2" s="521"/>
      <c r="F2" s="521"/>
      <c r="G2" s="521"/>
      <c r="H2" s="521"/>
      <c r="I2" s="521"/>
      <c r="J2" s="521"/>
      <c r="K2" s="521"/>
      <c r="L2" s="521"/>
      <c r="M2" s="521"/>
      <c r="N2" s="521"/>
      <c r="O2" s="521"/>
      <c r="P2" s="521"/>
      <c r="Q2" s="521"/>
      <c r="R2" s="521"/>
      <c r="S2" s="522"/>
    </row>
    <row r="3" spans="1:19" ht="9" customHeight="1">
      <c r="D3" s="523" t="str">
        <f>UPPER('[1]Data Raport'!C5:F5)</f>
        <v/>
      </c>
      <c r="E3" s="524"/>
      <c r="F3" s="524"/>
      <c r="G3" s="524"/>
      <c r="H3" s="524"/>
      <c r="I3" s="524"/>
      <c r="J3" s="524"/>
      <c r="K3" s="524"/>
      <c r="L3" s="524"/>
      <c r="M3" s="524"/>
      <c r="N3" s="524"/>
      <c r="O3" s="524"/>
      <c r="P3" s="524"/>
      <c r="Q3" s="524"/>
      <c r="R3" s="524"/>
      <c r="S3" s="525"/>
    </row>
    <row r="4" spans="1:19" ht="8.25" customHeight="1">
      <c r="D4" s="526" t="s">
        <v>290</v>
      </c>
      <c r="E4" s="527"/>
      <c r="F4" s="527"/>
      <c r="G4" s="527"/>
      <c r="H4" s="527"/>
      <c r="I4" s="527"/>
      <c r="J4" s="527"/>
      <c r="K4" s="527"/>
      <c r="L4" s="527"/>
      <c r="M4" s="527"/>
      <c r="N4" s="527"/>
      <c r="O4" s="527"/>
      <c r="P4" s="527"/>
      <c r="Q4" s="527"/>
      <c r="R4" s="527"/>
      <c r="S4" s="528"/>
    </row>
    <row r="5" spans="1:19" ht="8.25" customHeight="1">
      <c r="D5" s="529"/>
      <c r="E5" s="530"/>
      <c r="F5" s="530"/>
      <c r="G5" s="530"/>
      <c r="H5" s="530"/>
      <c r="I5" s="530"/>
      <c r="J5" s="530"/>
      <c r="K5" s="530"/>
      <c r="L5" s="530"/>
      <c r="M5" s="530"/>
      <c r="N5" s="530"/>
      <c r="O5" s="530"/>
      <c r="P5" s="530"/>
      <c r="Q5" s="530"/>
      <c r="R5" s="530"/>
      <c r="S5" s="531"/>
    </row>
    <row r="6" spans="1:19" ht="8.25" customHeight="1">
      <c r="D6" s="532"/>
      <c r="E6" s="533"/>
      <c r="F6" s="533"/>
      <c r="G6" s="533"/>
      <c r="H6" s="533"/>
      <c r="I6" s="533"/>
      <c r="J6" s="533"/>
      <c r="K6" s="533"/>
      <c r="L6" s="533"/>
      <c r="M6" s="533"/>
      <c r="N6" s="533"/>
      <c r="O6" s="533"/>
      <c r="P6" s="533"/>
      <c r="Q6" s="533"/>
      <c r="R6" s="533"/>
      <c r="S6" s="534"/>
    </row>
    <row r="7" spans="1:19" ht="15.75">
      <c r="G7" s="237"/>
      <c r="H7" s="237"/>
      <c r="I7" s="237"/>
      <c r="J7" s="237"/>
      <c r="K7" s="237"/>
      <c r="L7" s="237"/>
      <c r="M7" s="237"/>
      <c r="N7" s="237"/>
      <c r="O7" s="237"/>
      <c r="P7" s="237"/>
      <c r="Q7" s="237"/>
      <c r="R7" s="237"/>
      <c r="S7" s="237"/>
    </row>
    <row r="8" spans="1:19">
      <c r="C8" s="133" t="s">
        <v>245</v>
      </c>
      <c r="D8" s="257" t="str">
        <f>menu!D13</f>
        <v>BHS INGGRIS</v>
      </c>
      <c r="E8" s="238"/>
      <c r="F8" s="231"/>
      <c r="H8" s="239" t="s">
        <v>291</v>
      </c>
      <c r="I8" s="258" t="str">
        <f>menu!D15&amp;"/"&amp;menu!E15</f>
        <v>1/</v>
      </c>
      <c r="J8" s="240"/>
      <c r="K8" s="240"/>
      <c r="L8" s="240"/>
      <c r="M8" s="240"/>
      <c r="N8" s="240"/>
      <c r="O8" s="240"/>
      <c r="P8" s="239"/>
      <c r="Q8" s="193"/>
      <c r="R8" s="193"/>
      <c r="S8" s="193"/>
    </row>
    <row r="9" spans="1:19">
      <c r="C9" s="133" t="s">
        <v>248</v>
      </c>
      <c r="D9" s="535" t="str">
        <f>menu!D14&amp;menu!E14</f>
        <v>VII</v>
      </c>
      <c r="E9" s="535"/>
      <c r="F9" s="231"/>
      <c r="H9" s="241" t="s">
        <v>249</v>
      </c>
      <c r="I9" s="259" t="str">
        <f>menu!D16</f>
        <v>2017-2018</v>
      </c>
      <c r="J9" s="242"/>
      <c r="K9" s="242"/>
      <c r="L9" s="242"/>
      <c r="M9" s="242"/>
      <c r="N9" s="242"/>
      <c r="O9" s="242"/>
      <c r="P9" s="536"/>
      <c r="Q9" s="536"/>
      <c r="R9" s="242"/>
      <c r="S9" s="193"/>
    </row>
    <row r="10" spans="1:19">
      <c r="C10" s="133"/>
      <c r="D10" s="231"/>
      <c r="E10" s="231"/>
      <c r="F10" s="231"/>
      <c r="G10" s="135"/>
      <c r="H10" s="135"/>
      <c r="I10" s="135"/>
      <c r="J10" s="135"/>
      <c r="K10" s="135"/>
      <c r="L10" s="135"/>
      <c r="M10" s="135"/>
      <c r="N10" s="135"/>
      <c r="O10" s="135"/>
      <c r="P10" s="537"/>
      <c r="Q10" s="537"/>
      <c r="R10" s="243"/>
      <c r="S10" s="193"/>
    </row>
    <row r="11" spans="1:19">
      <c r="D11" s="153"/>
      <c r="E11" s="153"/>
      <c r="F11" s="153"/>
    </row>
    <row r="12" spans="1:19" s="248" customFormat="1">
      <c r="A12" s="538" t="s">
        <v>262</v>
      </c>
      <c r="B12" s="545" t="s">
        <v>294</v>
      </c>
      <c r="C12" s="538" t="s">
        <v>239</v>
      </c>
      <c r="D12" s="539" t="s">
        <v>35</v>
      </c>
      <c r="E12" s="540"/>
      <c r="F12" s="541"/>
      <c r="G12" s="542" t="s">
        <v>244</v>
      </c>
      <c r="H12" s="543"/>
      <c r="I12" s="544"/>
      <c r="J12" s="547" t="s">
        <v>434</v>
      </c>
      <c r="K12" s="548"/>
      <c r="L12" s="244"/>
      <c r="M12" s="244"/>
      <c r="N12" s="244"/>
      <c r="O12" s="244"/>
      <c r="P12" s="245" t="s">
        <v>433</v>
      </c>
      <c r="Q12" s="246"/>
      <c r="R12" s="246"/>
      <c r="S12" s="247"/>
    </row>
    <row r="13" spans="1:19">
      <c r="A13" s="538"/>
      <c r="B13" s="546"/>
      <c r="C13" s="538"/>
      <c r="D13" s="249" t="s">
        <v>272</v>
      </c>
      <c r="E13" s="250" t="s">
        <v>292</v>
      </c>
      <c r="F13" s="250" t="s">
        <v>293</v>
      </c>
      <c r="G13" s="251" t="s">
        <v>272</v>
      </c>
      <c r="H13" s="252" t="s">
        <v>292</v>
      </c>
      <c r="I13" s="252" t="s">
        <v>293</v>
      </c>
      <c r="J13" s="253" t="s">
        <v>298</v>
      </c>
      <c r="K13" s="253" t="s">
        <v>221</v>
      </c>
      <c r="L13" s="91" t="s">
        <v>8</v>
      </c>
      <c r="M13" s="91" t="s">
        <v>9</v>
      </c>
      <c r="N13" s="91" t="s">
        <v>6</v>
      </c>
      <c r="O13" s="91" t="s">
        <v>10</v>
      </c>
      <c r="P13" s="91" t="s">
        <v>184</v>
      </c>
      <c r="Q13" s="91" t="s">
        <v>12</v>
      </c>
      <c r="R13" s="254" t="s">
        <v>430</v>
      </c>
      <c r="S13" s="254" t="s">
        <v>221</v>
      </c>
    </row>
    <row r="14" spans="1:19" s="141" customFormat="1" ht="23.25" customHeight="1">
      <c r="A14" s="205">
        <f>'DATA SISWA'!A5</f>
        <v>1</v>
      </c>
      <c r="B14" s="205" t="str">
        <f>'DATA SISWA'!B5</f>
        <v>`017</v>
      </c>
      <c r="C14" s="204" t="str">
        <f>'DATA SISWA'!C5</f>
        <v>Abd. Muis</v>
      </c>
      <c r="D14" s="229">
        <f>IF('Input Nilai Pengetahuan'!CQ5="","",'Input Nilai Pengetahuan'!CQ5)</f>
        <v>77</v>
      </c>
      <c r="E14" s="229" t="str">
        <f>IF('Input Nilai Pengetahuan'!CR5="","",'Input Nilai Pengetahuan'!CR5)</f>
        <v>B</v>
      </c>
      <c r="F14" s="230" t="str">
        <f>IF('Input Nilai Pengetahuan'!CV5="","",'Input Nilai Pengetahuan'!CV5)</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14" s="229">
        <f>IF('Input Nilai Ketrampilan'!BF5="","",'Input Nilai Ketrampilan'!BF5)</f>
        <v>78</v>
      </c>
      <c r="H14" s="229" t="str">
        <f>IF('Input Nilai Ketrampilan'!BG5="","",'Input Nilai Ketrampilan'!BG5)</f>
        <v>B</v>
      </c>
      <c r="I14" s="230" t="str">
        <f>IF('Input Nilai Ketrampilan'!BK5="","",'Input Nilai Ketrampilan'!BK5)</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14" s="236">
        <f>IF('Input Nilai Sikap'!H7="","",'Input Nilai Sikap'!H7)</f>
        <v>3</v>
      </c>
      <c r="K14" s="233" t="str">
        <f>IF('Input Nilai Sikap'!I7="","",'Input Nilai Sikap'!I7)</f>
        <v/>
      </c>
      <c r="L14" s="234">
        <f>IF('Input Nilai Sikap'!M7="","",'Input Nilai Sikap'!M7)</f>
        <v>3</v>
      </c>
      <c r="M14" s="234">
        <f>IF('Input Nilai Sikap'!Q7="","",'Input Nilai Sikap'!Q7)</f>
        <v>2</v>
      </c>
      <c r="N14" s="234">
        <f>IF('Input Nilai Sikap'!U7="","",'Input Nilai Sikap'!U7)</f>
        <v>3</v>
      </c>
      <c r="O14" s="234">
        <f>IF('Input Nilai Sikap'!Y7="","",'Input Nilai Sikap'!Y7)</f>
        <v>3</v>
      </c>
      <c r="P14" s="235">
        <f>IF('Input Nilai Sikap'!AC7="","",'Input Nilai Sikap'!AC7)</f>
        <v>3</v>
      </c>
      <c r="Q14" s="235">
        <f>IF('Input Nilai Sikap'!AG7="","",'Input Nilai Sikap'!AG7)</f>
        <v>3</v>
      </c>
      <c r="R14" s="235">
        <f>IF('Input Nilai Sikap'!AK7="","",'Input Nilai Sikap'!AK7)</f>
        <v>3</v>
      </c>
      <c r="S14" s="233" t="str">
        <f>IF('Input Nilai Sikap'!AL7="","",'Input Nilai Sikap'!AL7)</f>
        <v/>
      </c>
    </row>
    <row r="15" spans="1:19" s="141" customFormat="1" ht="23.25" customHeight="1">
      <c r="A15" s="205">
        <f>'DATA SISWA'!A6</f>
        <v>2</v>
      </c>
      <c r="B15" s="205" t="str">
        <f>'DATA SISWA'!B6</f>
        <v>`008</v>
      </c>
      <c r="C15" s="204" t="str">
        <f>'DATA SISWA'!C6</f>
        <v>Achmad Buka</v>
      </c>
      <c r="D15" s="229">
        <f>IF('Input Nilai Pengetahuan'!CQ6="","",'Input Nilai Pengetahuan'!CQ6)</f>
        <v>81</v>
      </c>
      <c r="E15" s="229" t="str">
        <f>IF('Input Nilai Pengetahuan'!CR6="","",'Input Nilai Pengetahuan'!CR6)</f>
        <v>B</v>
      </c>
      <c r="F15" s="230" t="str">
        <f>IF('Input Nilai Pengetahuan'!CV6="","",'Input Nilai Pengetahuan'!CV6)</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15" s="229">
        <f>IF('Input Nilai Ketrampilan'!BF6="","",'Input Nilai Ketrampilan'!BF6)</f>
        <v>82</v>
      </c>
      <c r="H15" s="229" t="str">
        <f>IF('Input Nilai Ketrampilan'!BG6="","",'Input Nilai Ketrampilan'!BG6)</f>
        <v>B</v>
      </c>
      <c r="I15" s="230" t="str">
        <f>IF('Input Nilai Ketrampilan'!BK6="","",'Input Nilai Ketrampilan'!BK6)</f>
        <v>Terampil 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J15" s="236">
        <f>IF('Input Nilai Sikap'!H8="","",'Input Nilai Sikap'!H8)</f>
        <v>3</v>
      </c>
      <c r="K15" s="233" t="str">
        <f>IF('Input Nilai Sikap'!I8="","",'Input Nilai Sikap'!I8)</f>
        <v/>
      </c>
      <c r="L15" s="234">
        <f>IF('Input Nilai Sikap'!M8="","",'Input Nilai Sikap'!M8)</f>
        <v>3</v>
      </c>
      <c r="M15" s="234">
        <f>IF('Input Nilai Sikap'!Q8="","",'Input Nilai Sikap'!Q8)</f>
        <v>3</v>
      </c>
      <c r="N15" s="234">
        <f>IF('Input Nilai Sikap'!U8="","",'Input Nilai Sikap'!U8)</f>
        <v>3</v>
      </c>
      <c r="O15" s="234">
        <f>IF('Input Nilai Sikap'!Y8="","",'Input Nilai Sikap'!Y8)</f>
        <v>3</v>
      </c>
      <c r="P15" s="235">
        <f>IF('Input Nilai Sikap'!AC8="","",'Input Nilai Sikap'!AC8)</f>
        <v>3</v>
      </c>
      <c r="Q15" s="235">
        <f>IF('Input Nilai Sikap'!AG8="","",'Input Nilai Sikap'!AG8)</f>
        <v>3</v>
      </c>
      <c r="R15" s="235">
        <f>IF('Input Nilai Sikap'!AK8="","",'Input Nilai Sikap'!AK8)</f>
        <v>3</v>
      </c>
      <c r="S15" s="233" t="str">
        <f>IF('Input Nilai Sikap'!AL8="","",'Input Nilai Sikap'!AL8)</f>
        <v/>
      </c>
    </row>
    <row r="16" spans="1:19" s="141" customFormat="1" ht="23.25" customHeight="1">
      <c r="A16" s="205">
        <f>'DATA SISWA'!A7</f>
        <v>3</v>
      </c>
      <c r="B16" s="205" t="str">
        <f>'DATA SISWA'!B7</f>
        <v>`014</v>
      </c>
      <c r="C16" s="204" t="str">
        <f>'DATA SISWA'!C7</f>
        <v>Bunami</v>
      </c>
      <c r="D16" s="229">
        <f>IF('Input Nilai Pengetahuan'!CQ7="","",'Input Nilai Pengetahuan'!CQ7)</f>
        <v>80</v>
      </c>
      <c r="E16" s="229" t="str">
        <f>IF('Input Nilai Pengetahuan'!CR7="","",'Input Nilai Pengetahuan'!CR7)</f>
        <v>B</v>
      </c>
      <c r="F16" s="230" t="str">
        <f>IF('Input Nilai Pengetahuan'!CV7="","",'Input Nilai Pengetahuan'!CV7)</f>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G16" s="229">
        <f>IF('Input Nilai Ketrampilan'!BF7="","",'Input Nilai Ketrampilan'!BF7)</f>
        <v>79</v>
      </c>
      <c r="H16" s="229" t="str">
        <f>IF('Input Nilai Ketrampilan'!BG7="","",'Input Nilai Ketrampilan'!BG7)</f>
        <v>B</v>
      </c>
      <c r="I16" s="230" t="str">
        <f>IF('Input Nilai Ketrampilan'!BK7="","",'Input Nilai Ketrampilan'!BK7)</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16" s="236">
        <f>IF('Input Nilai Sikap'!H9="","",'Input Nilai Sikap'!H9)</f>
        <v>3</v>
      </c>
      <c r="K16" s="233" t="str">
        <f>IF('Input Nilai Sikap'!I9="","",'Input Nilai Sikap'!I9)</f>
        <v/>
      </c>
      <c r="L16" s="234">
        <f>IF('Input Nilai Sikap'!M9="","",'Input Nilai Sikap'!M9)</f>
        <v>3</v>
      </c>
      <c r="M16" s="234">
        <f>IF('Input Nilai Sikap'!Q9="","",'Input Nilai Sikap'!Q9)</f>
        <v>3</v>
      </c>
      <c r="N16" s="234">
        <f>IF('Input Nilai Sikap'!U9="","",'Input Nilai Sikap'!U9)</f>
        <v>3</v>
      </c>
      <c r="O16" s="234">
        <f>IF('Input Nilai Sikap'!Y9="","",'Input Nilai Sikap'!Y9)</f>
        <v>3</v>
      </c>
      <c r="P16" s="235">
        <f>IF('Input Nilai Sikap'!AC9="","",'Input Nilai Sikap'!AC9)</f>
        <v>3</v>
      </c>
      <c r="Q16" s="235">
        <f>IF('Input Nilai Sikap'!AG9="","",'Input Nilai Sikap'!AG9)</f>
        <v>3</v>
      </c>
      <c r="R16" s="235">
        <f>IF('Input Nilai Sikap'!AK9="","",'Input Nilai Sikap'!AK9)</f>
        <v>3</v>
      </c>
      <c r="S16" s="233" t="str">
        <f>IF('Input Nilai Sikap'!AL9="","",'Input Nilai Sikap'!AL9)</f>
        <v/>
      </c>
    </row>
    <row r="17" spans="1:19" s="141" customFormat="1" ht="23.25" customHeight="1">
      <c r="A17" s="205">
        <f>'DATA SISWA'!A8</f>
        <v>4</v>
      </c>
      <c r="B17" s="205" t="str">
        <f>'DATA SISWA'!B8</f>
        <v>`009</v>
      </c>
      <c r="C17" s="204" t="str">
        <f>'DATA SISWA'!C8</f>
        <v>Fatimatuz Zahroh</v>
      </c>
      <c r="D17" s="229">
        <f>IF('Input Nilai Pengetahuan'!CQ8="","",'Input Nilai Pengetahuan'!CQ8)</f>
        <v>83</v>
      </c>
      <c r="E17" s="229" t="str">
        <f>IF('Input Nilai Pengetahuan'!CR8="","",'Input Nilai Pengetahuan'!CR8)</f>
        <v>B</v>
      </c>
      <c r="F17" s="230" t="str">
        <f>IF('Input Nilai Pengetahuan'!CV8="","",'Input Nilai Pengetahuan'!CV8)</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17" s="229">
        <f>IF('Input Nilai Ketrampilan'!BF8="","",'Input Nilai Ketrampilan'!BF8)</f>
        <v>78</v>
      </c>
      <c r="H17" s="229" t="str">
        <f>IF('Input Nilai Ketrampilan'!BG8="","",'Input Nilai Ketrampilan'!BG8)</f>
        <v>B</v>
      </c>
      <c r="I17" s="230" t="str">
        <f>IF('Input Nilai Ketrampilan'!BK8="","",'Input Nilai Ketrampilan'!BK8)</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17" s="236">
        <f>IF('Input Nilai Sikap'!H10="","",'Input Nilai Sikap'!H10)</f>
        <v>3</v>
      </c>
      <c r="K17" s="233" t="str">
        <f>IF('Input Nilai Sikap'!I10="","",'Input Nilai Sikap'!I10)</f>
        <v/>
      </c>
      <c r="L17" s="234">
        <f>IF('Input Nilai Sikap'!M10="","",'Input Nilai Sikap'!M10)</f>
        <v>3</v>
      </c>
      <c r="M17" s="234">
        <f>IF('Input Nilai Sikap'!Q10="","",'Input Nilai Sikap'!Q10)</f>
        <v>3</v>
      </c>
      <c r="N17" s="234">
        <f>IF('Input Nilai Sikap'!U10="","",'Input Nilai Sikap'!U10)</f>
        <v>3</v>
      </c>
      <c r="O17" s="234">
        <f>IF('Input Nilai Sikap'!Y10="","",'Input Nilai Sikap'!Y10)</f>
        <v>3</v>
      </c>
      <c r="P17" s="235">
        <f>IF('Input Nilai Sikap'!AC10="","",'Input Nilai Sikap'!AC10)</f>
        <v>3</v>
      </c>
      <c r="Q17" s="235">
        <f>IF('Input Nilai Sikap'!AG10="","",'Input Nilai Sikap'!AG10)</f>
        <v>3</v>
      </c>
      <c r="R17" s="235">
        <f>IF('Input Nilai Sikap'!AK10="","",'Input Nilai Sikap'!AK10)</f>
        <v>3</v>
      </c>
      <c r="S17" s="233" t="str">
        <f>IF('Input Nilai Sikap'!AL10="","",'Input Nilai Sikap'!AL10)</f>
        <v/>
      </c>
    </row>
    <row r="18" spans="1:19" s="141" customFormat="1" ht="23.25" customHeight="1">
      <c r="A18" s="205">
        <f>'DATA SISWA'!A9</f>
        <v>5</v>
      </c>
      <c r="B18" s="205" t="str">
        <f>'DATA SISWA'!B9</f>
        <v>`003</v>
      </c>
      <c r="C18" s="204" t="str">
        <f>'DATA SISWA'!C9</f>
        <v>Fitriadi</v>
      </c>
      <c r="D18" s="229">
        <f>IF('Input Nilai Pengetahuan'!CQ9="","",'Input Nilai Pengetahuan'!CQ9)</f>
        <v>84</v>
      </c>
      <c r="E18" s="229" t="str">
        <f>IF('Input Nilai Pengetahuan'!CR9="","",'Input Nilai Pengetahuan'!CR9)</f>
        <v>B</v>
      </c>
      <c r="F18" s="230" t="str">
        <f>IF('Input Nilai Pengetahuan'!CV9="","",'Input Nilai Pengetahuan'!CV9)</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18" s="229">
        <f>IF('Input Nilai Ketrampilan'!BF9="","",'Input Nilai Ketrampilan'!BF9)</f>
        <v>79</v>
      </c>
      <c r="H18" s="229" t="str">
        <f>IF('Input Nilai Ketrampilan'!BG9="","",'Input Nilai Ketrampilan'!BG9)</f>
        <v>B</v>
      </c>
      <c r="I18" s="230" t="str">
        <f>IF('Input Nilai Ketrampilan'!BK9="","",'Input Nilai Ketrampilan'!BK9)</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18" s="236">
        <f>IF('Input Nilai Sikap'!H11="","",'Input Nilai Sikap'!H11)</f>
        <v>3</v>
      </c>
      <c r="K18" s="233" t="str">
        <f>IF('Input Nilai Sikap'!I11="","",'Input Nilai Sikap'!I11)</f>
        <v/>
      </c>
      <c r="L18" s="234">
        <f>IF('Input Nilai Sikap'!M11="","",'Input Nilai Sikap'!M11)</f>
        <v>3</v>
      </c>
      <c r="M18" s="234">
        <f>IF('Input Nilai Sikap'!Q11="","",'Input Nilai Sikap'!Q11)</f>
        <v>3</v>
      </c>
      <c r="N18" s="234">
        <f>IF('Input Nilai Sikap'!U11="","",'Input Nilai Sikap'!U11)</f>
        <v>3</v>
      </c>
      <c r="O18" s="234">
        <f>IF('Input Nilai Sikap'!Y11="","",'Input Nilai Sikap'!Y11)</f>
        <v>3</v>
      </c>
      <c r="P18" s="235">
        <f>IF('Input Nilai Sikap'!AC11="","",'Input Nilai Sikap'!AC11)</f>
        <v>3</v>
      </c>
      <c r="Q18" s="235">
        <f>IF('Input Nilai Sikap'!AG11="","",'Input Nilai Sikap'!AG11)</f>
        <v>3</v>
      </c>
      <c r="R18" s="235">
        <f>IF('Input Nilai Sikap'!AK11="","",'Input Nilai Sikap'!AK11)</f>
        <v>3</v>
      </c>
      <c r="S18" s="233" t="str">
        <f>IF('Input Nilai Sikap'!AL11="","",'Input Nilai Sikap'!AL11)</f>
        <v/>
      </c>
    </row>
    <row r="19" spans="1:19" s="141" customFormat="1" ht="23.25" customHeight="1">
      <c r="A19" s="205">
        <f>'DATA SISWA'!A10</f>
        <v>6</v>
      </c>
      <c r="B19" s="205" t="str">
        <f>'DATA SISWA'!B10</f>
        <v>`006</v>
      </c>
      <c r="C19" s="204" t="str">
        <f>'DATA SISWA'!C10</f>
        <v>Homsiyah</v>
      </c>
      <c r="D19" s="229">
        <f>IF('Input Nilai Pengetahuan'!CQ10="","",'Input Nilai Pengetahuan'!CQ10)</f>
        <v>86</v>
      </c>
      <c r="E19" s="229" t="str">
        <f>IF('Input Nilai Pengetahuan'!CR10="","",'Input Nilai Pengetahuan'!CR10)</f>
        <v>A</v>
      </c>
      <c r="F19" s="230" t="str">
        <f>IF('Input Nilai Pengetahuan'!CV10="","",'Input Nilai Pengetahuan'!CV10)</f>
        <v>Penguasaan materi sudah sangat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19" s="229">
        <f>IF('Input Nilai Ketrampilan'!BF10="","",'Input Nilai Ketrampilan'!BF10)</f>
        <v>80</v>
      </c>
      <c r="H19" s="229" t="str">
        <f>IF('Input Nilai Ketrampilan'!BG10="","",'Input Nilai Ketrampilan'!BG10)</f>
        <v>B</v>
      </c>
      <c r="I19" s="230" t="str">
        <f>IF('Input Nilai Ketrampilan'!BK10="","",'Input Nilai Ketrampilan'!BK10)</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19" s="236">
        <f>IF('Input Nilai Sikap'!H12="","",'Input Nilai Sikap'!H12)</f>
        <v>3</v>
      </c>
      <c r="K19" s="233" t="str">
        <f>IF('Input Nilai Sikap'!I12="","",'Input Nilai Sikap'!I12)</f>
        <v/>
      </c>
      <c r="L19" s="234">
        <f>IF('Input Nilai Sikap'!M12="","",'Input Nilai Sikap'!M12)</f>
        <v>3</v>
      </c>
      <c r="M19" s="234">
        <f>IF('Input Nilai Sikap'!Q12="","",'Input Nilai Sikap'!Q12)</f>
        <v>3</v>
      </c>
      <c r="N19" s="234">
        <f>IF('Input Nilai Sikap'!U12="","",'Input Nilai Sikap'!U12)</f>
        <v>3</v>
      </c>
      <c r="O19" s="234">
        <f>IF('Input Nilai Sikap'!Y12="","",'Input Nilai Sikap'!Y12)</f>
        <v>3</v>
      </c>
      <c r="P19" s="235">
        <f>IF('Input Nilai Sikap'!AC12="","",'Input Nilai Sikap'!AC12)</f>
        <v>3</v>
      </c>
      <c r="Q19" s="235">
        <f>IF('Input Nilai Sikap'!AG12="","",'Input Nilai Sikap'!AG12)</f>
        <v>3</v>
      </c>
      <c r="R19" s="235">
        <f>IF('Input Nilai Sikap'!AK12="","",'Input Nilai Sikap'!AK12)</f>
        <v>3</v>
      </c>
      <c r="S19" s="233" t="str">
        <f>IF('Input Nilai Sikap'!AL12="","",'Input Nilai Sikap'!AL12)</f>
        <v/>
      </c>
    </row>
    <row r="20" spans="1:19" s="141" customFormat="1" ht="23.25" customHeight="1">
      <c r="A20" s="205">
        <f>'DATA SISWA'!A11</f>
        <v>7</v>
      </c>
      <c r="B20" s="205" t="str">
        <f>'DATA SISWA'!B11</f>
        <v>`002</v>
      </c>
      <c r="C20" s="204" t="str">
        <f>'DATA SISWA'!C11</f>
        <v>Insiyah</v>
      </c>
      <c r="D20" s="229">
        <f>IF('Input Nilai Pengetahuan'!CQ11="","",'Input Nilai Pengetahuan'!CQ11)</f>
        <v>86</v>
      </c>
      <c r="E20" s="229" t="str">
        <f>IF('Input Nilai Pengetahuan'!CR11="","",'Input Nilai Pengetahuan'!CR11)</f>
        <v>A</v>
      </c>
      <c r="F20" s="230" t="str">
        <f>IF('Input Nilai Pengetahuan'!CV11="","",'Input Nilai Pengetahuan'!CV11)</f>
        <v>Penguasaan materi sudah sangat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20" s="229">
        <f>IF('Input Nilai Ketrampilan'!BF11="","",'Input Nilai Ketrampilan'!BF11)</f>
        <v>80</v>
      </c>
      <c r="H20" s="229" t="str">
        <f>IF('Input Nilai Ketrampilan'!BG11="","",'Input Nilai Ketrampilan'!BG11)</f>
        <v>B</v>
      </c>
      <c r="I20" s="230" t="str">
        <f>IF('Input Nilai Ketrampilan'!BK11="","",'Input Nilai Ketrampilan'!BK11)</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0" s="236">
        <f>IF('Input Nilai Sikap'!H13="","",'Input Nilai Sikap'!H13)</f>
        <v>3</v>
      </c>
      <c r="K20" s="233" t="str">
        <f>IF('Input Nilai Sikap'!I13="","",'Input Nilai Sikap'!I13)</f>
        <v/>
      </c>
      <c r="L20" s="234">
        <f>IF('Input Nilai Sikap'!M13="","",'Input Nilai Sikap'!M13)</f>
        <v>3</v>
      </c>
      <c r="M20" s="234">
        <f>IF('Input Nilai Sikap'!Q13="","",'Input Nilai Sikap'!Q13)</f>
        <v>3</v>
      </c>
      <c r="N20" s="234">
        <f>IF('Input Nilai Sikap'!U13="","",'Input Nilai Sikap'!U13)</f>
        <v>3</v>
      </c>
      <c r="O20" s="234">
        <f>IF('Input Nilai Sikap'!Y13="","",'Input Nilai Sikap'!Y13)</f>
        <v>3</v>
      </c>
      <c r="P20" s="235">
        <f>IF('Input Nilai Sikap'!AC13="","",'Input Nilai Sikap'!AC13)</f>
        <v>3</v>
      </c>
      <c r="Q20" s="235">
        <f>IF('Input Nilai Sikap'!AG13="","",'Input Nilai Sikap'!AG13)</f>
        <v>3</v>
      </c>
      <c r="R20" s="235">
        <f>IF('Input Nilai Sikap'!AK13="","",'Input Nilai Sikap'!AK13)</f>
        <v>3</v>
      </c>
      <c r="S20" s="233" t="str">
        <f>IF('Input Nilai Sikap'!AL13="","",'Input Nilai Sikap'!AL13)</f>
        <v/>
      </c>
    </row>
    <row r="21" spans="1:19" s="141" customFormat="1" ht="23.25" customHeight="1">
      <c r="A21" s="205">
        <f>'DATA SISWA'!A12</f>
        <v>8</v>
      </c>
      <c r="B21" s="205" t="str">
        <f>'DATA SISWA'!B12</f>
        <v>`010</v>
      </c>
      <c r="C21" s="204" t="str">
        <f>'DATA SISWA'!C12</f>
        <v>Saiful Jamil</v>
      </c>
      <c r="D21" s="229">
        <f>IF('Input Nilai Pengetahuan'!CQ12="","",'Input Nilai Pengetahuan'!CQ12)</f>
        <v>77</v>
      </c>
      <c r="E21" s="229" t="str">
        <f>IF('Input Nilai Pengetahuan'!CR12="","",'Input Nilai Pengetahuan'!CR12)</f>
        <v>B</v>
      </c>
      <c r="F21" s="230" t="str">
        <f>IF('Input Nilai Pengetahuan'!CV12="","",'Input Nilai Pengetahuan'!CV12)</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21" s="229">
        <f>IF('Input Nilai Ketrampilan'!BF12="","",'Input Nilai Ketrampilan'!BF12)</f>
        <v>79</v>
      </c>
      <c r="H21" s="229" t="str">
        <f>IF('Input Nilai Ketrampilan'!BG12="","",'Input Nilai Ketrampilan'!BG12)</f>
        <v>B</v>
      </c>
      <c r="I21" s="230" t="str">
        <f>IF('Input Nilai Ketrampilan'!BK12="","",'Input Nilai Ketrampilan'!BK12)</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1" s="236">
        <f>IF('Input Nilai Sikap'!H14="","",'Input Nilai Sikap'!H14)</f>
        <v>3</v>
      </c>
      <c r="K21" s="233" t="str">
        <f>IF('Input Nilai Sikap'!I14="","",'Input Nilai Sikap'!I14)</f>
        <v/>
      </c>
      <c r="L21" s="234">
        <f>IF('Input Nilai Sikap'!M14="","",'Input Nilai Sikap'!M14)</f>
        <v>3</v>
      </c>
      <c r="M21" s="234">
        <f>IF('Input Nilai Sikap'!Q14="","",'Input Nilai Sikap'!Q14)</f>
        <v>3</v>
      </c>
      <c r="N21" s="234">
        <f>IF('Input Nilai Sikap'!U14="","",'Input Nilai Sikap'!U14)</f>
        <v>3</v>
      </c>
      <c r="O21" s="234">
        <f>IF('Input Nilai Sikap'!Y14="","",'Input Nilai Sikap'!Y14)</f>
        <v>3</v>
      </c>
      <c r="P21" s="235">
        <f>IF('Input Nilai Sikap'!AC14="","",'Input Nilai Sikap'!AC14)</f>
        <v>3</v>
      </c>
      <c r="Q21" s="235">
        <f>IF('Input Nilai Sikap'!AG14="","",'Input Nilai Sikap'!AG14)</f>
        <v>3</v>
      </c>
      <c r="R21" s="235">
        <f>IF('Input Nilai Sikap'!AK14="","",'Input Nilai Sikap'!AK14)</f>
        <v>3</v>
      </c>
      <c r="S21" s="233" t="str">
        <f>IF('Input Nilai Sikap'!AL14="","",'Input Nilai Sikap'!AL14)</f>
        <v/>
      </c>
    </row>
    <row r="22" spans="1:19" s="141" customFormat="1" ht="23.25" customHeight="1">
      <c r="A22" s="205">
        <f>'DATA SISWA'!A13</f>
        <v>9</v>
      </c>
      <c r="B22" s="205" t="str">
        <f>'DATA SISWA'!B13</f>
        <v>`011</v>
      </c>
      <c r="C22" s="204" t="str">
        <f>'DATA SISWA'!C13</f>
        <v>Khusnun Nisa</v>
      </c>
      <c r="D22" s="229">
        <f>IF('Input Nilai Pengetahuan'!CQ13="","",'Input Nilai Pengetahuan'!CQ13)</f>
        <v>86</v>
      </c>
      <c r="E22" s="229" t="str">
        <f>IF('Input Nilai Pengetahuan'!CR13="","",'Input Nilai Pengetahuan'!CR13)</f>
        <v>A</v>
      </c>
      <c r="F22" s="230" t="str">
        <f>IF('Input Nilai Pengetahuan'!CV13="","",'Input Nilai Pengetahuan'!CV13)</f>
        <v>Penguasaan materi sudah sangat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G22" s="229">
        <f>IF('Input Nilai Ketrampilan'!BF13="","",'Input Nilai Ketrampilan'!BF13)</f>
        <v>78</v>
      </c>
      <c r="H22" s="229" t="str">
        <f>IF('Input Nilai Ketrampilan'!BG13="","",'Input Nilai Ketrampilan'!BG13)</f>
        <v>B</v>
      </c>
      <c r="I22" s="230" t="str">
        <f>IF('Input Nilai Ketrampilan'!BK13="","",'Input Nilai Ketrampilan'!BK13)</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2" s="236">
        <f>IF('Input Nilai Sikap'!H15="","",'Input Nilai Sikap'!H15)</f>
        <v>3</v>
      </c>
      <c r="K22" s="233" t="str">
        <f>IF('Input Nilai Sikap'!I15="","",'Input Nilai Sikap'!I15)</f>
        <v/>
      </c>
      <c r="L22" s="234">
        <f>IF('Input Nilai Sikap'!M15="","",'Input Nilai Sikap'!M15)</f>
        <v>3</v>
      </c>
      <c r="M22" s="234">
        <f>IF('Input Nilai Sikap'!Q15="","",'Input Nilai Sikap'!Q15)</f>
        <v>3</v>
      </c>
      <c r="N22" s="234">
        <f>IF('Input Nilai Sikap'!U15="","",'Input Nilai Sikap'!U15)</f>
        <v>3</v>
      </c>
      <c r="O22" s="234">
        <f>IF('Input Nilai Sikap'!Y15="","",'Input Nilai Sikap'!Y15)</f>
        <v>3</v>
      </c>
      <c r="P22" s="235">
        <f>IF('Input Nilai Sikap'!AC15="","",'Input Nilai Sikap'!AC15)</f>
        <v>3</v>
      </c>
      <c r="Q22" s="235">
        <f>IF('Input Nilai Sikap'!AG15="","",'Input Nilai Sikap'!AG15)</f>
        <v>3</v>
      </c>
      <c r="R22" s="235">
        <f>IF('Input Nilai Sikap'!AK15="","",'Input Nilai Sikap'!AK15)</f>
        <v>3</v>
      </c>
      <c r="S22" s="233" t="str">
        <f>IF('Input Nilai Sikap'!AL15="","",'Input Nilai Sikap'!AL15)</f>
        <v/>
      </c>
    </row>
    <row r="23" spans="1:19" s="141" customFormat="1" ht="23.25" customHeight="1">
      <c r="A23" s="205">
        <f>'DATA SISWA'!A14</f>
        <v>10</v>
      </c>
      <c r="B23" s="205" t="str">
        <f>'DATA SISWA'!B14</f>
        <v>`005</v>
      </c>
      <c r="C23" s="204" t="str">
        <f>'DATA SISWA'!C14</f>
        <v>Komariyah</v>
      </c>
      <c r="D23" s="229">
        <f>IF('Input Nilai Pengetahuan'!CQ14="","",'Input Nilai Pengetahuan'!CQ14)</f>
        <v>86</v>
      </c>
      <c r="E23" s="229" t="str">
        <f>IF('Input Nilai Pengetahuan'!CR14="","",'Input Nilai Pengetahuan'!CR14)</f>
        <v>A</v>
      </c>
      <c r="F23" s="230" t="str">
        <f>IF('Input Nilai Pengetahuan'!CV14="","",'Input Nilai Pengetahuan'!CV14)</f>
        <v>Penguasaan materi sudah sangat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23" s="229">
        <f>IF('Input Nilai Ketrampilan'!BF14="","",'Input Nilai Ketrampilan'!BF14)</f>
        <v>79</v>
      </c>
      <c r="H23" s="229" t="str">
        <f>IF('Input Nilai Ketrampilan'!BG14="","",'Input Nilai Ketrampilan'!BG14)</f>
        <v>B</v>
      </c>
      <c r="I23" s="230" t="str">
        <f>IF('Input Nilai Ketrampilan'!BK14="","",'Input Nilai Ketrampilan'!BK14)</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3" s="236">
        <f>IF('Input Nilai Sikap'!H16="","",'Input Nilai Sikap'!H16)</f>
        <v>3</v>
      </c>
      <c r="K23" s="233" t="str">
        <f>IF('Input Nilai Sikap'!I16="","",'Input Nilai Sikap'!I16)</f>
        <v/>
      </c>
      <c r="L23" s="234">
        <f>IF('Input Nilai Sikap'!M16="","",'Input Nilai Sikap'!M16)</f>
        <v>3</v>
      </c>
      <c r="M23" s="234">
        <f>IF('Input Nilai Sikap'!Q16="","",'Input Nilai Sikap'!Q16)</f>
        <v>3</v>
      </c>
      <c r="N23" s="234">
        <f>IF('Input Nilai Sikap'!U16="","",'Input Nilai Sikap'!U16)</f>
        <v>3</v>
      </c>
      <c r="O23" s="234">
        <f>IF('Input Nilai Sikap'!Y16="","",'Input Nilai Sikap'!Y16)</f>
        <v>3</v>
      </c>
      <c r="P23" s="235">
        <f>IF('Input Nilai Sikap'!AC16="","",'Input Nilai Sikap'!AC16)</f>
        <v>3</v>
      </c>
      <c r="Q23" s="235">
        <f>IF('Input Nilai Sikap'!AG16="","",'Input Nilai Sikap'!AG16)</f>
        <v>3</v>
      </c>
      <c r="R23" s="235">
        <f>IF('Input Nilai Sikap'!AK16="","",'Input Nilai Sikap'!AK16)</f>
        <v>3</v>
      </c>
      <c r="S23" s="233" t="str">
        <f>IF('Input Nilai Sikap'!AL16="","",'Input Nilai Sikap'!AL16)</f>
        <v/>
      </c>
    </row>
    <row r="24" spans="1:19" s="141" customFormat="1" ht="23.25" customHeight="1">
      <c r="A24" s="205">
        <f>'DATA SISWA'!A15</f>
        <v>11</v>
      </c>
      <c r="B24" s="205" t="str">
        <f>'DATA SISWA'!B15</f>
        <v>`013</v>
      </c>
      <c r="C24" s="204" t="str">
        <f>'DATA SISWA'!C15</f>
        <v>Latifah</v>
      </c>
      <c r="D24" s="229">
        <f>IF('Input Nilai Pengetahuan'!CQ15="","",'Input Nilai Pengetahuan'!CQ15)</f>
        <v>85</v>
      </c>
      <c r="E24" s="229" t="str">
        <f>IF('Input Nilai Pengetahuan'!CR15="","",'Input Nilai Pengetahuan'!CR15)</f>
        <v>B</v>
      </c>
      <c r="F24" s="230" t="str">
        <f>IF('Input Nilai Pengetahuan'!CV15="","",'Input Nilai Pengetahuan'!CV15)</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24" s="229">
        <f>IF('Input Nilai Ketrampilan'!BF15="","",'Input Nilai Ketrampilan'!BF15)</f>
        <v>80</v>
      </c>
      <c r="H24" s="229" t="str">
        <f>IF('Input Nilai Ketrampilan'!BG15="","",'Input Nilai Ketrampilan'!BG15)</f>
        <v>B</v>
      </c>
      <c r="I24" s="230" t="str">
        <f>IF('Input Nilai Ketrampilan'!BK15="","",'Input Nilai Ketrampilan'!BK15)</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4" s="236">
        <f>IF('Input Nilai Sikap'!H17="","",'Input Nilai Sikap'!H17)</f>
        <v>3</v>
      </c>
      <c r="K24" s="233" t="str">
        <f>IF('Input Nilai Sikap'!I17="","",'Input Nilai Sikap'!I17)</f>
        <v/>
      </c>
      <c r="L24" s="234">
        <f>IF('Input Nilai Sikap'!M17="","",'Input Nilai Sikap'!M17)</f>
        <v>3</v>
      </c>
      <c r="M24" s="234">
        <f>IF('Input Nilai Sikap'!Q17="","",'Input Nilai Sikap'!Q17)</f>
        <v>3</v>
      </c>
      <c r="N24" s="234">
        <f>IF('Input Nilai Sikap'!U17="","",'Input Nilai Sikap'!U17)</f>
        <v>3</v>
      </c>
      <c r="O24" s="234">
        <f>IF('Input Nilai Sikap'!Y17="","",'Input Nilai Sikap'!Y17)</f>
        <v>3</v>
      </c>
      <c r="P24" s="235">
        <f>IF('Input Nilai Sikap'!AC17="","",'Input Nilai Sikap'!AC17)</f>
        <v>3</v>
      </c>
      <c r="Q24" s="235">
        <f>IF('Input Nilai Sikap'!AG17="","",'Input Nilai Sikap'!AG17)</f>
        <v>3</v>
      </c>
      <c r="R24" s="235">
        <f>IF('Input Nilai Sikap'!AK17="","",'Input Nilai Sikap'!AK17)</f>
        <v>3</v>
      </c>
      <c r="S24" s="233" t="str">
        <f>IF('Input Nilai Sikap'!AL17="","",'Input Nilai Sikap'!AL17)</f>
        <v/>
      </c>
    </row>
    <row r="25" spans="1:19" s="141" customFormat="1" ht="23.25" customHeight="1">
      <c r="A25" s="205">
        <f>'DATA SISWA'!A16</f>
        <v>12</v>
      </c>
      <c r="B25" s="205" t="str">
        <f>'DATA SISWA'!B16</f>
        <v>`018</v>
      </c>
      <c r="C25" s="204" t="str">
        <f>'DATA SISWA'!C16</f>
        <v>Maya</v>
      </c>
      <c r="D25" s="229">
        <f>IF('Input Nilai Pengetahuan'!CQ16="","",'Input Nilai Pengetahuan'!CQ16)</f>
        <v>74</v>
      </c>
      <c r="E25" s="229" t="str">
        <f>IF('Input Nilai Pengetahuan'!CR16="","",'Input Nilai Pengetahuan'!CR16)</f>
        <v>B</v>
      </c>
      <c r="F25" s="230" t="str">
        <f>IF('Input Nilai Pengetahuan'!CV16="","",'Input Nilai Pengetahuan'!CV16)</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25" s="229">
        <f>IF('Input Nilai Ketrampilan'!BF16="","",'Input Nilai Ketrampilan'!BF16)</f>
        <v>80</v>
      </c>
      <c r="H25" s="229" t="str">
        <f>IF('Input Nilai Ketrampilan'!BG16="","",'Input Nilai Ketrampilan'!BG16)</f>
        <v>B</v>
      </c>
      <c r="I25" s="230" t="str">
        <f>IF('Input Nilai Ketrampilan'!BK16="","",'Input Nilai Ketrampilan'!BK16)</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5" s="236">
        <f>IF('Input Nilai Sikap'!H18="","",'Input Nilai Sikap'!H18)</f>
        <v>3</v>
      </c>
      <c r="K25" s="233" t="str">
        <f>IF('Input Nilai Sikap'!I18="","",'Input Nilai Sikap'!I18)</f>
        <v/>
      </c>
      <c r="L25" s="234">
        <f>IF('Input Nilai Sikap'!M18="","",'Input Nilai Sikap'!M18)</f>
        <v>3</v>
      </c>
      <c r="M25" s="234">
        <f>IF('Input Nilai Sikap'!Q18="","",'Input Nilai Sikap'!Q18)</f>
        <v>2</v>
      </c>
      <c r="N25" s="234">
        <f>IF('Input Nilai Sikap'!U18="","",'Input Nilai Sikap'!U18)</f>
        <v>3</v>
      </c>
      <c r="O25" s="234">
        <f>IF('Input Nilai Sikap'!Y18="","",'Input Nilai Sikap'!Y18)</f>
        <v>3</v>
      </c>
      <c r="P25" s="235">
        <f>IF('Input Nilai Sikap'!AC18="","",'Input Nilai Sikap'!AC18)</f>
        <v>3</v>
      </c>
      <c r="Q25" s="235">
        <f>IF('Input Nilai Sikap'!AG18="","",'Input Nilai Sikap'!AG18)</f>
        <v>3</v>
      </c>
      <c r="R25" s="235">
        <f>IF('Input Nilai Sikap'!AK18="","",'Input Nilai Sikap'!AK18)</f>
        <v>3</v>
      </c>
      <c r="S25" s="233" t="str">
        <f>IF('Input Nilai Sikap'!AL18="","",'Input Nilai Sikap'!AL18)</f>
        <v/>
      </c>
    </row>
    <row r="26" spans="1:19" s="141" customFormat="1" ht="23.25" customHeight="1">
      <c r="A26" s="205">
        <f>'DATA SISWA'!A17</f>
        <v>13</v>
      </c>
      <c r="B26" s="205" t="str">
        <f>'DATA SISWA'!B17</f>
        <v>`016</v>
      </c>
      <c r="C26" s="204" t="str">
        <f>'DATA SISWA'!C17</f>
        <v>Ma`ruf</v>
      </c>
      <c r="D26" s="229">
        <f>IF('Input Nilai Pengetahuan'!CQ17="","",'Input Nilai Pengetahuan'!CQ17)</f>
        <v>73</v>
      </c>
      <c r="E26" s="229" t="str">
        <f>IF('Input Nilai Pengetahuan'!CR17="","",'Input Nilai Pengetahuan'!CR17)</f>
        <v>B</v>
      </c>
      <c r="F26" s="230" t="str">
        <f>IF('Input Nilai Pengetahuan'!CV17="","",'Input Nilai Pengetahuan'!CV17)</f>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G26" s="229">
        <f>IF('Input Nilai Ketrampilan'!BF17="","",'Input Nilai Ketrampilan'!BF17)</f>
        <v>79</v>
      </c>
      <c r="H26" s="229" t="str">
        <f>IF('Input Nilai Ketrampilan'!BG17="","",'Input Nilai Ketrampilan'!BG17)</f>
        <v>B</v>
      </c>
      <c r="I26" s="230" t="str">
        <f>IF('Input Nilai Ketrampilan'!BK17="","",'Input Nilai Ketrampilan'!BK17)</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6" s="236">
        <f>IF('Input Nilai Sikap'!H19="","",'Input Nilai Sikap'!H19)</f>
        <v>3</v>
      </c>
      <c r="K26" s="233" t="str">
        <f>IF('Input Nilai Sikap'!I19="","",'Input Nilai Sikap'!I19)</f>
        <v/>
      </c>
      <c r="L26" s="234">
        <f>IF('Input Nilai Sikap'!M19="","",'Input Nilai Sikap'!M19)</f>
        <v>3</v>
      </c>
      <c r="M26" s="234">
        <f>IF('Input Nilai Sikap'!Q19="","",'Input Nilai Sikap'!Q19)</f>
        <v>2</v>
      </c>
      <c r="N26" s="234">
        <f>IF('Input Nilai Sikap'!U19="","",'Input Nilai Sikap'!U19)</f>
        <v>3</v>
      </c>
      <c r="O26" s="234">
        <f>IF('Input Nilai Sikap'!Y19="","",'Input Nilai Sikap'!Y19)</f>
        <v>3</v>
      </c>
      <c r="P26" s="235">
        <f>IF('Input Nilai Sikap'!AC19="","",'Input Nilai Sikap'!AC19)</f>
        <v>3</v>
      </c>
      <c r="Q26" s="235">
        <f>IF('Input Nilai Sikap'!AG19="","",'Input Nilai Sikap'!AG19)</f>
        <v>3</v>
      </c>
      <c r="R26" s="235">
        <f>IF('Input Nilai Sikap'!AK19="","",'Input Nilai Sikap'!AK19)</f>
        <v>3</v>
      </c>
      <c r="S26" s="233" t="str">
        <f>IF('Input Nilai Sikap'!AL19="","",'Input Nilai Sikap'!AL19)</f>
        <v/>
      </c>
    </row>
    <row r="27" spans="1:19" s="141" customFormat="1" ht="23.25" customHeight="1">
      <c r="A27" s="205">
        <f>'DATA SISWA'!A18</f>
        <v>14</v>
      </c>
      <c r="B27" s="205" t="str">
        <f>'DATA SISWA'!B18</f>
        <v>`020</v>
      </c>
      <c r="C27" s="204" t="str">
        <f>'DATA SISWA'!C18</f>
        <v>Nia Ramadani</v>
      </c>
      <c r="D27" s="229">
        <f>IF('Input Nilai Pengetahuan'!CQ18="","",'Input Nilai Pengetahuan'!CQ18)</f>
        <v>73</v>
      </c>
      <c r="E27" s="229" t="str">
        <f>IF('Input Nilai Pengetahuan'!CR18="","",'Input Nilai Pengetahuan'!CR18)</f>
        <v>B</v>
      </c>
      <c r="F27" s="230" t="str">
        <f>IF('Input Nilai Pengetahuan'!CV18="","",'Input Nilai Pengetahuan'!CV18)</f>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G27" s="229">
        <f>IF('Input Nilai Ketrampilan'!BF18="","",'Input Nilai Ketrampilan'!BF18)</f>
        <v>78</v>
      </c>
      <c r="H27" s="229" t="str">
        <f>IF('Input Nilai Ketrampilan'!BG18="","",'Input Nilai Ketrampilan'!BG18)</f>
        <v>B</v>
      </c>
      <c r="I27" s="230" t="str">
        <f>IF('Input Nilai Ketrampilan'!BK18="","",'Input Nilai Ketrampilan'!BK18)</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7" s="236">
        <f>IF('Input Nilai Sikap'!H20="","",'Input Nilai Sikap'!H20)</f>
        <v>3</v>
      </c>
      <c r="K27" s="233" t="str">
        <f>IF('Input Nilai Sikap'!I20="","",'Input Nilai Sikap'!I20)</f>
        <v/>
      </c>
      <c r="L27" s="234">
        <f>IF('Input Nilai Sikap'!M20="","",'Input Nilai Sikap'!M20)</f>
        <v>3</v>
      </c>
      <c r="M27" s="234">
        <f>IF('Input Nilai Sikap'!Q20="","",'Input Nilai Sikap'!Q20)</f>
        <v>2</v>
      </c>
      <c r="N27" s="234">
        <f>IF('Input Nilai Sikap'!U20="","",'Input Nilai Sikap'!U20)</f>
        <v>3</v>
      </c>
      <c r="O27" s="234">
        <f>IF('Input Nilai Sikap'!Y20="","",'Input Nilai Sikap'!Y20)</f>
        <v>3</v>
      </c>
      <c r="P27" s="235">
        <f>IF('Input Nilai Sikap'!AC20="","",'Input Nilai Sikap'!AC20)</f>
        <v>3</v>
      </c>
      <c r="Q27" s="235">
        <f>IF('Input Nilai Sikap'!AG20="","",'Input Nilai Sikap'!AG20)</f>
        <v>3</v>
      </c>
      <c r="R27" s="235">
        <f>IF('Input Nilai Sikap'!AK20="","",'Input Nilai Sikap'!AK20)</f>
        <v>3</v>
      </c>
      <c r="S27" s="233" t="str">
        <f>IF('Input Nilai Sikap'!AL20="","",'Input Nilai Sikap'!AL20)</f>
        <v/>
      </c>
    </row>
    <row r="28" spans="1:19" s="141" customFormat="1" ht="23.25" customHeight="1">
      <c r="A28" s="205">
        <f>'DATA SISWA'!A19</f>
        <v>15</v>
      </c>
      <c r="B28" s="205" t="str">
        <f>'DATA SISWA'!B19</f>
        <v>`012</v>
      </c>
      <c r="C28" s="204" t="str">
        <f>'DATA SISWA'!C19</f>
        <v>Ningsih Rahmawati</v>
      </c>
      <c r="D28" s="229">
        <f>IF('Input Nilai Pengetahuan'!CQ19="","",'Input Nilai Pengetahuan'!CQ19)</f>
        <v>84</v>
      </c>
      <c r="E28" s="229" t="str">
        <f>IF('Input Nilai Pengetahuan'!CR19="","",'Input Nilai Pengetahuan'!CR19)</f>
        <v>B</v>
      </c>
      <c r="F28" s="230" t="str">
        <f>IF('Input Nilai Pengetahuan'!CV19="","",'Input Nilai Pengetahuan'!CV19)</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28" s="229">
        <f>IF('Input Nilai Ketrampilan'!BF19="","",'Input Nilai Ketrampilan'!BF19)</f>
        <v>79</v>
      </c>
      <c r="H28" s="229" t="str">
        <f>IF('Input Nilai Ketrampilan'!BG19="","",'Input Nilai Ketrampilan'!BG19)</f>
        <v>B</v>
      </c>
      <c r="I28" s="230" t="str">
        <f>IF('Input Nilai Ketrampilan'!BK19="","",'Input Nilai Ketrampilan'!BK19)</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8" s="236">
        <f>IF('Input Nilai Sikap'!H21="","",'Input Nilai Sikap'!H21)</f>
        <v>3</v>
      </c>
      <c r="K28" s="233" t="str">
        <f>IF('Input Nilai Sikap'!I21="","",'Input Nilai Sikap'!I21)</f>
        <v/>
      </c>
      <c r="L28" s="234">
        <f>IF('Input Nilai Sikap'!M21="","",'Input Nilai Sikap'!M21)</f>
        <v>3</v>
      </c>
      <c r="M28" s="234">
        <f>IF('Input Nilai Sikap'!Q21="","",'Input Nilai Sikap'!Q21)</f>
        <v>3</v>
      </c>
      <c r="N28" s="234">
        <f>IF('Input Nilai Sikap'!U21="","",'Input Nilai Sikap'!U21)</f>
        <v>3</v>
      </c>
      <c r="O28" s="234">
        <f>IF('Input Nilai Sikap'!Y21="","",'Input Nilai Sikap'!Y21)</f>
        <v>3</v>
      </c>
      <c r="P28" s="235">
        <f>IF('Input Nilai Sikap'!AC21="","",'Input Nilai Sikap'!AC21)</f>
        <v>3</v>
      </c>
      <c r="Q28" s="235">
        <f>IF('Input Nilai Sikap'!AG21="","",'Input Nilai Sikap'!AG21)</f>
        <v>3</v>
      </c>
      <c r="R28" s="235">
        <f>IF('Input Nilai Sikap'!AK21="","",'Input Nilai Sikap'!AK21)</f>
        <v>3</v>
      </c>
      <c r="S28" s="233" t="str">
        <f>IF('Input Nilai Sikap'!AL21="","",'Input Nilai Sikap'!AL21)</f>
        <v/>
      </c>
    </row>
    <row r="29" spans="1:19" s="141" customFormat="1" ht="23.25" customHeight="1">
      <c r="A29" s="205">
        <f>'DATA SISWA'!A20</f>
        <v>16</v>
      </c>
      <c r="B29" s="205" t="str">
        <f>'DATA SISWA'!B20</f>
        <v>`007</v>
      </c>
      <c r="C29" s="204" t="str">
        <f>'DATA SISWA'!C20</f>
        <v>Nurhayati</v>
      </c>
      <c r="D29" s="229">
        <f>IF('Input Nilai Pengetahuan'!CQ20="","",'Input Nilai Pengetahuan'!CQ20)</f>
        <v>84</v>
      </c>
      <c r="E29" s="229" t="str">
        <f>IF('Input Nilai Pengetahuan'!CR20="","",'Input Nilai Pengetahuan'!CR20)</f>
        <v>B</v>
      </c>
      <c r="F29" s="230" t="str">
        <f>IF('Input Nilai Pengetahuan'!CV20="","",'Input Nilai Pengetahuan'!CV20)</f>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G29" s="229">
        <f>IF('Input Nilai Ketrampilan'!BF20="","",'Input Nilai Ketrampilan'!BF20)</f>
        <v>80</v>
      </c>
      <c r="H29" s="229" t="str">
        <f>IF('Input Nilai Ketrampilan'!BG20="","",'Input Nilai Ketrampilan'!BG20)</f>
        <v>B</v>
      </c>
      <c r="I29" s="230" t="str">
        <f>IF('Input Nilai Ketrampilan'!BK20="","",'Input Nilai Ketrampilan'!BK20)</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29" s="236">
        <f>IF('Input Nilai Sikap'!H22="","",'Input Nilai Sikap'!H22)</f>
        <v>3</v>
      </c>
      <c r="K29" s="233" t="str">
        <f>IF('Input Nilai Sikap'!I22="","",'Input Nilai Sikap'!I22)</f>
        <v/>
      </c>
      <c r="L29" s="234">
        <f>IF('Input Nilai Sikap'!M22="","",'Input Nilai Sikap'!M22)</f>
        <v>3</v>
      </c>
      <c r="M29" s="234">
        <f>IF('Input Nilai Sikap'!Q22="","",'Input Nilai Sikap'!Q22)</f>
        <v>3</v>
      </c>
      <c r="N29" s="234">
        <f>IF('Input Nilai Sikap'!U22="","",'Input Nilai Sikap'!U22)</f>
        <v>3</v>
      </c>
      <c r="O29" s="234">
        <f>IF('Input Nilai Sikap'!Y22="","",'Input Nilai Sikap'!Y22)</f>
        <v>3</v>
      </c>
      <c r="P29" s="235">
        <f>IF('Input Nilai Sikap'!AC22="","",'Input Nilai Sikap'!AC22)</f>
        <v>3</v>
      </c>
      <c r="Q29" s="235">
        <f>IF('Input Nilai Sikap'!AG22="","",'Input Nilai Sikap'!AG22)</f>
        <v>3</v>
      </c>
      <c r="R29" s="235">
        <f>IF('Input Nilai Sikap'!AK22="","",'Input Nilai Sikap'!AK22)</f>
        <v>3</v>
      </c>
      <c r="S29" s="233" t="str">
        <f>IF('Input Nilai Sikap'!AL22="","",'Input Nilai Sikap'!AL22)</f>
        <v/>
      </c>
    </row>
    <row r="30" spans="1:19" s="141" customFormat="1" ht="23.25" customHeight="1">
      <c r="A30" s="205">
        <f>'DATA SISWA'!A21</f>
        <v>17</v>
      </c>
      <c r="B30" s="205" t="str">
        <f>'DATA SISWA'!B21</f>
        <v>`004</v>
      </c>
      <c r="C30" s="204" t="str">
        <f>'DATA SISWA'!C21</f>
        <v>Nur Aini</v>
      </c>
      <c r="D30" s="229">
        <f>IF('Input Nilai Pengetahuan'!CQ21="","",'Input Nilai Pengetahuan'!CQ21)</f>
        <v>83</v>
      </c>
      <c r="E30" s="229" t="str">
        <f>IF('Input Nilai Pengetahuan'!CR21="","",'Input Nilai Pengetahuan'!CR21)</f>
        <v>B</v>
      </c>
      <c r="F30" s="230" t="str">
        <f>IF('Input Nilai Pengetahuan'!CV21="","",'Input Nilai Pengetahuan'!CV21)</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30" s="229">
        <f>IF('Input Nilai Ketrampilan'!BF21="","",'Input Nilai Ketrampilan'!BF21)</f>
        <v>80</v>
      </c>
      <c r="H30" s="229" t="str">
        <f>IF('Input Nilai Ketrampilan'!BG21="","",'Input Nilai Ketrampilan'!BG21)</f>
        <v>B</v>
      </c>
      <c r="I30" s="230" t="str">
        <f>IF('Input Nilai Ketrampilan'!BK21="","",'Input Nilai Ketrampilan'!BK21)</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30" s="236">
        <f>IF('Input Nilai Sikap'!H23="","",'Input Nilai Sikap'!H23)</f>
        <v>3</v>
      </c>
      <c r="K30" s="233" t="str">
        <f>IF('Input Nilai Sikap'!I23="","",'Input Nilai Sikap'!I23)</f>
        <v/>
      </c>
      <c r="L30" s="234">
        <f>IF('Input Nilai Sikap'!M23="","",'Input Nilai Sikap'!M23)</f>
        <v>3</v>
      </c>
      <c r="M30" s="234">
        <f>IF('Input Nilai Sikap'!Q23="","",'Input Nilai Sikap'!Q23)</f>
        <v>3</v>
      </c>
      <c r="N30" s="234">
        <f>IF('Input Nilai Sikap'!U23="","",'Input Nilai Sikap'!U23)</f>
        <v>3</v>
      </c>
      <c r="O30" s="234">
        <f>IF('Input Nilai Sikap'!Y23="","",'Input Nilai Sikap'!Y23)</f>
        <v>3</v>
      </c>
      <c r="P30" s="235">
        <f>IF('Input Nilai Sikap'!AC23="","",'Input Nilai Sikap'!AC23)</f>
        <v>3</v>
      </c>
      <c r="Q30" s="235">
        <f>IF('Input Nilai Sikap'!AG23="","",'Input Nilai Sikap'!AG23)</f>
        <v>3</v>
      </c>
      <c r="R30" s="235">
        <f>IF('Input Nilai Sikap'!AK23="","",'Input Nilai Sikap'!AK23)</f>
        <v>3</v>
      </c>
      <c r="S30" s="233" t="str">
        <f>IF('Input Nilai Sikap'!AL23="","",'Input Nilai Sikap'!AL23)</f>
        <v/>
      </c>
    </row>
    <row r="31" spans="1:19" s="141" customFormat="1" ht="23.25" customHeight="1">
      <c r="A31" s="205">
        <f>'DATA SISWA'!A22</f>
        <v>18</v>
      </c>
      <c r="B31" s="205" t="str">
        <f>'DATA SISWA'!B22</f>
        <v>`001</v>
      </c>
      <c r="C31" s="204" t="str">
        <f>'DATA SISWA'!C22</f>
        <v>Rofiah</v>
      </c>
      <c r="D31" s="229">
        <f>IF('Input Nilai Pengetahuan'!CQ22="","",'Input Nilai Pengetahuan'!CQ22)</f>
        <v>84</v>
      </c>
      <c r="E31" s="229" t="str">
        <f>IF('Input Nilai Pengetahuan'!CR22="","",'Input Nilai Pengetahuan'!CR22)</f>
        <v>B</v>
      </c>
      <c r="F31" s="230" t="str">
        <f>IF('Input Nilai Pengetahuan'!CV22="","",'Input Nilai Pengetahuan'!CV22)</f>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G31" s="229">
        <f>IF('Input Nilai Ketrampilan'!BF22="","",'Input Nilai Ketrampilan'!BF22)</f>
        <v>79</v>
      </c>
      <c r="H31" s="229" t="str">
        <f>IF('Input Nilai Ketrampilan'!BG22="","",'Input Nilai Ketrampilan'!BG22)</f>
        <v>B</v>
      </c>
      <c r="I31" s="230" t="str">
        <f>IF('Input Nilai Ketrampilan'!BK22="","",'Input Nilai Ketrampilan'!BK22)</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31" s="236">
        <f>IF('Input Nilai Sikap'!H24="","",'Input Nilai Sikap'!H24)</f>
        <v>3</v>
      </c>
      <c r="K31" s="233" t="str">
        <f>IF('Input Nilai Sikap'!I24="","",'Input Nilai Sikap'!I24)</f>
        <v/>
      </c>
      <c r="L31" s="234">
        <f>IF('Input Nilai Sikap'!M24="","",'Input Nilai Sikap'!M24)</f>
        <v>3</v>
      </c>
      <c r="M31" s="234">
        <f>IF('Input Nilai Sikap'!Q24="","",'Input Nilai Sikap'!Q24)</f>
        <v>3</v>
      </c>
      <c r="N31" s="234">
        <f>IF('Input Nilai Sikap'!U24="","",'Input Nilai Sikap'!U24)</f>
        <v>3</v>
      </c>
      <c r="O31" s="234">
        <f>IF('Input Nilai Sikap'!Y24="","",'Input Nilai Sikap'!Y24)</f>
        <v>3</v>
      </c>
      <c r="P31" s="235">
        <f>IF('Input Nilai Sikap'!AC24="","",'Input Nilai Sikap'!AC24)</f>
        <v>3</v>
      </c>
      <c r="Q31" s="235">
        <f>IF('Input Nilai Sikap'!AG24="","",'Input Nilai Sikap'!AG24)</f>
        <v>3</v>
      </c>
      <c r="R31" s="235">
        <f>IF('Input Nilai Sikap'!AK24="","",'Input Nilai Sikap'!AK24)</f>
        <v>3</v>
      </c>
      <c r="S31" s="233" t="str">
        <f>IF('Input Nilai Sikap'!AL24="","",'Input Nilai Sikap'!AL24)</f>
        <v/>
      </c>
    </row>
    <row r="32" spans="1:19" s="141" customFormat="1" ht="23.25" customHeight="1">
      <c r="A32" s="205">
        <f>'DATA SISWA'!A23</f>
        <v>19</v>
      </c>
      <c r="B32" s="205" t="str">
        <f>'DATA SISWA'!B23</f>
        <v>`015</v>
      </c>
      <c r="C32" s="204" t="str">
        <f>'DATA SISWA'!C23</f>
        <v>Romliadi</v>
      </c>
      <c r="D32" s="229">
        <f>IF('Input Nilai Pengetahuan'!CQ23="","",'Input Nilai Pengetahuan'!CQ23)</f>
        <v>74</v>
      </c>
      <c r="E32" s="229" t="str">
        <f>IF('Input Nilai Pengetahuan'!CR23="","",'Input Nilai Pengetahuan'!CR23)</f>
        <v>B</v>
      </c>
      <c r="F32" s="230" t="str">
        <f>IF('Input Nilai Pengetahuan'!CV23="","",'Input Nilai Pengetahuan'!CV23)</f>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G32" s="229">
        <f>IF('Input Nilai Ketrampilan'!BF23="","",'Input Nilai Ketrampilan'!BF23)</f>
        <v>78</v>
      </c>
      <c r="H32" s="229" t="str">
        <f>IF('Input Nilai Ketrampilan'!BG23="","",'Input Nilai Ketrampilan'!BG23)</f>
        <v>B</v>
      </c>
      <c r="I32" s="230" t="str">
        <f>IF('Input Nilai Ketrampilan'!BK23="","",'Input Nilai Ketrampilan'!BK23)</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32" s="236">
        <f>IF('Input Nilai Sikap'!H25="","",'Input Nilai Sikap'!H25)</f>
        <v>3</v>
      </c>
      <c r="K32" s="233" t="str">
        <f>IF('Input Nilai Sikap'!I25="","",'Input Nilai Sikap'!I25)</f>
        <v/>
      </c>
      <c r="L32" s="234">
        <f>IF('Input Nilai Sikap'!M25="","",'Input Nilai Sikap'!M25)</f>
        <v>3</v>
      </c>
      <c r="M32" s="234">
        <f>IF('Input Nilai Sikap'!Q25="","",'Input Nilai Sikap'!Q25)</f>
        <v>3</v>
      </c>
      <c r="N32" s="234">
        <f>IF('Input Nilai Sikap'!U25="","",'Input Nilai Sikap'!U25)</f>
        <v>3</v>
      </c>
      <c r="O32" s="234">
        <f>IF('Input Nilai Sikap'!Y25="","",'Input Nilai Sikap'!Y25)</f>
        <v>3</v>
      </c>
      <c r="P32" s="235">
        <f>IF('Input Nilai Sikap'!AC25="","",'Input Nilai Sikap'!AC25)</f>
        <v>3</v>
      </c>
      <c r="Q32" s="235">
        <f>IF('Input Nilai Sikap'!AG25="","",'Input Nilai Sikap'!AG25)</f>
        <v>3</v>
      </c>
      <c r="R32" s="235">
        <f>IF('Input Nilai Sikap'!AK25="","",'Input Nilai Sikap'!AK25)</f>
        <v>3</v>
      </c>
      <c r="S32" s="233" t="str">
        <f>IF('Input Nilai Sikap'!AL25="","",'Input Nilai Sikap'!AL25)</f>
        <v/>
      </c>
    </row>
    <row r="33" spans="1:19" s="141" customFormat="1" ht="23.25" customHeight="1">
      <c r="A33" s="205">
        <f>'DATA SISWA'!A24</f>
        <v>20</v>
      </c>
      <c r="B33" s="205" t="str">
        <f>'DATA SISWA'!B24</f>
        <v>`019</v>
      </c>
      <c r="C33" s="204" t="str">
        <f>'DATA SISWA'!C24</f>
        <v>Tammimah</v>
      </c>
      <c r="D33" s="229">
        <f>IF('Input Nilai Pengetahuan'!CQ24="","",'Input Nilai Pengetahuan'!CQ24)</f>
        <v>73</v>
      </c>
      <c r="E33" s="229" t="str">
        <f>IF('Input Nilai Pengetahuan'!CR24="","",'Input Nilai Pengetahuan'!CR24)</f>
        <v>B</v>
      </c>
      <c r="F33" s="230" t="str">
        <f>IF('Input Nilai Pengetahuan'!CV24="","",'Input Nilai Pengetahuan'!CV24)</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G33" s="229">
        <f>IF('Input Nilai Ketrampilan'!BF24="","",'Input Nilai Ketrampilan'!BF24)</f>
        <v>79</v>
      </c>
      <c r="H33" s="229" t="str">
        <f>IF('Input Nilai Ketrampilan'!BG24="","",'Input Nilai Ketrampilan'!BG24)</f>
        <v>B</v>
      </c>
      <c r="I33" s="230" t="str">
        <f>IF('Input Nilai Ketrampilan'!BK24="","",'Input Nilai Ketrampilan'!BK24)</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33" s="236" t="str">
        <f>IF('Input Nilai Sikap'!H26="","",'Input Nilai Sikap'!H26)</f>
        <v/>
      </c>
      <c r="K33" s="233" t="str">
        <f>IF('Input Nilai Sikap'!I26="","",'Input Nilai Sikap'!I26)</f>
        <v/>
      </c>
      <c r="L33" s="234" t="str">
        <f>IF('Input Nilai Sikap'!M26="","",'Input Nilai Sikap'!M26)</f>
        <v/>
      </c>
      <c r="M33" s="234" t="str">
        <f>IF('Input Nilai Sikap'!Q26="","",'Input Nilai Sikap'!Q26)</f>
        <v/>
      </c>
      <c r="N33" s="234" t="str">
        <f>IF('Input Nilai Sikap'!U26="","",'Input Nilai Sikap'!U26)</f>
        <v/>
      </c>
      <c r="O33" s="234" t="str">
        <f>IF('Input Nilai Sikap'!Y26="","",'Input Nilai Sikap'!Y26)</f>
        <v/>
      </c>
      <c r="P33" s="235" t="str">
        <f>IF('Input Nilai Sikap'!AC26="","",'Input Nilai Sikap'!AC26)</f>
        <v/>
      </c>
      <c r="Q33" s="235" t="str">
        <f>IF('Input Nilai Sikap'!AG26="","",'Input Nilai Sikap'!AG26)</f>
        <v/>
      </c>
      <c r="R33" s="235" t="str">
        <f>IF('Input Nilai Sikap'!AK26="","",'Input Nilai Sikap'!AK26)</f>
        <v/>
      </c>
      <c r="S33" s="233" t="str">
        <f>IF('Input Nilai Sikap'!AL26="","",'Input Nilai Sikap'!AL26)</f>
        <v/>
      </c>
    </row>
    <row r="34" spans="1:19" s="141" customFormat="1" ht="23.25" customHeight="1">
      <c r="A34" s="205">
        <f>'DATA SISWA'!A25</f>
        <v>0</v>
      </c>
      <c r="B34" s="205">
        <f>'DATA SISWA'!B25</f>
        <v>0</v>
      </c>
      <c r="C34" s="204">
        <f>'DATA SISWA'!C25</f>
        <v>0</v>
      </c>
      <c r="D34" s="229" t="str">
        <f>IF('Input Nilai Pengetahuan'!CQ25="","",'Input Nilai Pengetahuan'!CQ25)</f>
        <v/>
      </c>
      <c r="E34" s="229" t="str">
        <f>IF('Input Nilai Pengetahuan'!CR25="","",'Input Nilai Pengetahuan'!CR25)</f>
        <v/>
      </c>
      <c r="F34" s="230" t="str">
        <f>IF('Input Nilai Pengetahuan'!CV25="","",'Input Nilai Pengetahuan'!CV25)</f>
        <v/>
      </c>
      <c r="G34" s="229" t="str">
        <f>IF('Input Nilai Ketrampilan'!BF25="","",'Input Nilai Ketrampilan'!BF25)</f>
        <v/>
      </c>
      <c r="H34" s="229" t="str">
        <f>IF('Input Nilai Ketrampilan'!BG25="","",'Input Nilai Ketrampilan'!BG25)</f>
        <v/>
      </c>
      <c r="I34" s="230" t="str">
        <f>IF('Input Nilai Ketrampilan'!BK25="","",'Input Nilai Ketrampilan'!BK25)</f>
        <v/>
      </c>
      <c r="J34" s="236" t="str">
        <f>IF('Input Nilai Sikap'!H27="","",'Input Nilai Sikap'!H27)</f>
        <v/>
      </c>
      <c r="K34" s="233" t="str">
        <f>IF('Input Nilai Sikap'!I27="","",'Input Nilai Sikap'!I27)</f>
        <v/>
      </c>
      <c r="L34" s="234" t="str">
        <f>IF('Input Nilai Sikap'!M27="","",'Input Nilai Sikap'!M27)</f>
        <v/>
      </c>
      <c r="M34" s="234" t="str">
        <f>IF('Input Nilai Sikap'!Q27="","",'Input Nilai Sikap'!Q27)</f>
        <v/>
      </c>
      <c r="N34" s="234" t="str">
        <f>IF('Input Nilai Sikap'!U27="","",'Input Nilai Sikap'!U27)</f>
        <v/>
      </c>
      <c r="O34" s="234" t="str">
        <f>IF('Input Nilai Sikap'!Y27="","",'Input Nilai Sikap'!Y27)</f>
        <v/>
      </c>
      <c r="P34" s="235" t="str">
        <f>IF('Input Nilai Sikap'!AC27="","",'Input Nilai Sikap'!AC27)</f>
        <v/>
      </c>
      <c r="Q34" s="235" t="str">
        <f>IF('Input Nilai Sikap'!AG27="","",'Input Nilai Sikap'!AG27)</f>
        <v/>
      </c>
      <c r="R34" s="235" t="str">
        <f>IF('Input Nilai Sikap'!AK27="","",'Input Nilai Sikap'!AK27)</f>
        <v/>
      </c>
      <c r="S34" s="233" t="str">
        <f>IF('Input Nilai Sikap'!AL27="","",'Input Nilai Sikap'!AL27)</f>
        <v/>
      </c>
    </row>
    <row r="35" spans="1:19" s="141" customFormat="1" ht="23.25" customHeight="1">
      <c r="A35" s="205">
        <f>'DATA SISWA'!A26</f>
        <v>0</v>
      </c>
      <c r="B35" s="205">
        <f>'DATA SISWA'!B26</f>
        <v>0</v>
      </c>
      <c r="C35" s="204">
        <f>'DATA SISWA'!C26</f>
        <v>0</v>
      </c>
      <c r="D35" s="229" t="str">
        <f>IF('Input Nilai Pengetahuan'!CQ26="","",'Input Nilai Pengetahuan'!CQ26)</f>
        <v/>
      </c>
      <c r="E35" s="229" t="str">
        <f>IF('Input Nilai Pengetahuan'!CR26="","",'Input Nilai Pengetahuan'!CR26)</f>
        <v/>
      </c>
      <c r="F35" s="230" t="str">
        <f>IF('Input Nilai Pengetahuan'!CV26="","",'Input Nilai Pengetahuan'!CV26)</f>
        <v/>
      </c>
      <c r="G35" s="229" t="str">
        <f>IF('Input Nilai Ketrampilan'!BF26="","",'Input Nilai Ketrampilan'!BF26)</f>
        <v/>
      </c>
      <c r="H35" s="229" t="str">
        <f>IF('Input Nilai Ketrampilan'!BG26="","",'Input Nilai Ketrampilan'!BG26)</f>
        <v/>
      </c>
      <c r="I35" s="230" t="str">
        <f>IF('Input Nilai Ketrampilan'!BK26="","",'Input Nilai Ketrampilan'!BK26)</f>
        <v/>
      </c>
      <c r="J35" s="236" t="str">
        <f>IF('Input Nilai Sikap'!H28="","",'Input Nilai Sikap'!H28)</f>
        <v/>
      </c>
      <c r="K35" s="233" t="str">
        <f>IF('Input Nilai Sikap'!I28="","",'Input Nilai Sikap'!I28)</f>
        <v/>
      </c>
      <c r="L35" s="234" t="str">
        <f>IF('Input Nilai Sikap'!M28="","",'Input Nilai Sikap'!M28)</f>
        <v/>
      </c>
      <c r="M35" s="234" t="str">
        <f>IF('Input Nilai Sikap'!Q28="","",'Input Nilai Sikap'!Q28)</f>
        <v/>
      </c>
      <c r="N35" s="234" t="str">
        <f>IF('Input Nilai Sikap'!U28="","",'Input Nilai Sikap'!U28)</f>
        <v/>
      </c>
      <c r="O35" s="234" t="str">
        <f>IF('Input Nilai Sikap'!Y28="","",'Input Nilai Sikap'!Y28)</f>
        <v/>
      </c>
      <c r="P35" s="235" t="str">
        <f>IF('Input Nilai Sikap'!AC28="","",'Input Nilai Sikap'!AC28)</f>
        <v/>
      </c>
      <c r="Q35" s="235" t="str">
        <f>IF('Input Nilai Sikap'!AG28="","",'Input Nilai Sikap'!AG28)</f>
        <v/>
      </c>
      <c r="R35" s="235" t="str">
        <f>IF('Input Nilai Sikap'!AK28="","",'Input Nilai Sikap'!AK28)</f>
        <v/>
      </c>
      <c r="S35" s="233" t="str">
        <f>IF('Input Nilai Sikap'!AL28="","",'Input Nilai Sikap'!AL28)</f>
        <v/>
      </c>
    </row>
    <row r="36" spans="1:19" s="141" customFormat="1" ht="23.25" customHeight="1">
      <c r="A36" s="205">
        <f>'DATA SISWA'!A27</f>
        <v>0</v>
      </c>
      <c r="B36" s="205">
        <f>'DATA SISWA'!B27</f>
        <v>0</v>
      </c>
      <c r="C36" s="204">
        <f>'DATA SISWA'!C27</f>
        <v>0</v>
      </c>
      <c r="D36" s="229" t="str">
        <f>IF('Input Nilai Pengetahuan'!CQ27="","",'Input Nilai Pengetahuan'!CQ27)</f>
        <v/>
      </c>
      <c r="E36" s="229" t="str">
        <f>IF('Input Nilai Pengetahuan'!CR27="","",'Input Nilai Pengetahuan'!CR27)</f>
        <v/>
      </c>
      <c r="F36" s="230" t="str">
        <f>IF('Input Nilai Pengetahuan'!CV27="","",'Input Nilai Pengetahuan'!CV27)</f>
        <v/>
      </c>
      <c r="G36" s="229" t="str">
        <f>IF('Input Nilai Ketrampilan'!BF27="","",'Input Nilai Ketrampilan'!BF27)</f>
        <v/>
      </c>
      <c r="H36" s="229" t="str">
        <f>IF('Input Nilai Ketrampilan'!BG27="","",'Input Nilai Ketrampilan'!BG27)</f>
        <v/>
      </c>
      <c r="I36" s="230" t="str">
        <f>IF('Input Nilai Ketrampilan'!BK27="","",'Input Nilai Ketrampilan'!BK27)</f>
        <v/>
      </c>
      <c r="J36" s="236" t="str">
        <f>IF('Input Nilai Sikap'!H29="","",'Input Nilai Sikap'!H29)</f>
        <v/>
      </c>
      <c r="K36" s="233" t="str">
        <f>IF('Input Nilai Sikap'!I29="","",'Input Nilai Sikap'!I29)</f>
        <v/>
      </c>
      <c r="L36" s="234" t="str">
        <f>IF('Input Nilai Sikap'!M29="","",'Input Nilai Sikap'!M29)</f>
        <v/>
      </c>
      <c r="M36" s="234" t="str">
        <f>IF('Input Nilai Sikap'!Q29="","",'Input Nilai Sikap'!Q29)</f>
        <v/>
      </c>
      <c r="N36" s="234" t="str">
        <f>IF('Input Nilai Sikap'!U29="","",'Input Nilai Sikap'!U29)</f>
        <v/>
      </c>
      <c r="O36" s="234" t="str">
        <f>IF('Input Nilai Sikap'!Y29="","",'Input Nilai Sikap'!Y29)</f>
        <v/>
      </c>
      <c r="P36" s="235" t="str">
        <f>IF('Input Nilai Sikap'!AC29="","",'Input Nilai Sikap'!AC29)</f>
        <v/>
      </c>
      <c r="Q36" s="235" t="str">
        <f>IF('Input Nilai Sikap'!AG29="","",'Input Nilai Sikap'!AG29)</f>
        <v/>
      </c>
      <c r="R36" s="235" t="str">
        <f>IF('Input Nilai Sikap'!AK29="","",'Input Nilai Sikap'!AK29)</f>
        <v/>
      </c>
      <c r="S36" s="233" t="str">
        <f>IF('Input Nilai Sikap'!AL29="","",'Input Nilai Sikap'!AL29)</f>
        <v/>
      </c>
    </row>
    <row r="37" spans="1:19" s="141" customFormat="1" ht="23.25" customHeight="1">
      <c r="A37" s="205">
        <f>'DATA SISWA'!A28</f>
        <v>0</v>
      </c>
      <c r="B37" s="205">
        <f>'DATA SISWA'!B28</f>
        <v>0</v>
      </c>
      <c r="C37" s="204">
        <f>'DATA SISWA'!C28</f>
        <v>0</v>
      </c>
      <c r="D37" s="229" t="str">
        <f>IF('Input Nilai Pengetahuan'!CQ28="","",'Input Nilai Pengetahuan'!CQ28)</f>
        <v/>
      </c>
      <c r="E37" s="229" t="str">
        <f>IF('Input Nilai Pengetahuan'!CR28="","",'Input Nilai Pengetahuan'!CR28)</f>
        <v/>
      </c>
      <c r="F37" s="230" t="str">
        <f>IF('Input Nilai Pengetahuan'!CV28="","",'Input Nilai Pengetahuan'!CV28)</f>
        <v/>
      </c>
      <c r="G37" s="229" t="str">
        <f>IF('Input Nilai Ketrampilan'!BF28="","",'Input Nilai Ketrampilan'!BF28)</f>
        <v/>
      </c>
      <c r="H37" s="229" t="str">
        <f>IF('Input Nilai Ketrampilan'!BG28="","",'Input Nilai Ketrampilan'!BG28)</f>
        <v/>
      </c>
      <c r="I37" s="230" t="str">
        <f>IF('Input Nilai Ketrampilan'!BK28="","",'Input Nilai Ketrampilan'!BK28)</f>
        <v/>
      </c>
      <c r="J37" s="236" t="str">
        <f>IF('Input Nilai Sikap'!H30="","",'Input Nilai Sikap'!H30)</f>
        <v/>
      </c>
      <c r="K37" s="233" t="str">
        <f>IF('Input Nilai Sikap'!I30="","",'Input Nilai Sikap'!I30)</f>
        <v/>
      </c>
      <c r="L37" s="234" t="str">
        <f>IF('Input Nilai Sikap'!M30="","",'Input Nilai Sikap'!M30)</f>
        <v/>
      </c>
      <c r="M37" s="234" t="str">
        <f>IF('Input Nilai Sikap'!Q30="","",'Input Nilai Sikap'!Q30)</f>
        <v/>
      </c>
      <c r="N37" s="234" t="str">
        <f>IF('Input Nilai Sikap'!U30="","",'Input Nilai Sikap'!U30)</f>
        <v/>
      </c>
      <c r="O37" s="234" t="str">
        <f>IF('Input Nilai Sikap'!Y30="","",'Input Nilai Sikap'!Y30)</f>
        <v/>
      </c>
      <c r="P37" s="235" t="str">
        <f>IF('Input Nilai Sikap'!AC30="","",'Input Nilai Sikap'!AC30)</f>
        <v/>
      </c>
      <c r="Q37" s="235" t="str">
        <f>IF('Input Nilai Sikap'!AG30="","",'Input Nilai Sikap'!AG30)</f>
        <v/>
      </c>
      <c r="R37" s="235" t="str">
        <f>IF('Input Nilai Sikap'!AK30="","",'Input Nilai Sikap'!AK30)</f>
        <v/>
      </c>
      <c r="S37" s="233" t="str">
        <f>IF('Input Nilai Sikap'!AL30="","",'Input Nilai Sikap'!AL30)</f>
        <v/>
      </c>
    </row>
    <row r="38" spans="1:19" s="141" customFormat="1" ht="23.25" customHeight="1">
      <c r="A38" s="205">
        <f>'DATA SISWA'!A29</f>
        <v>0</v>
      </c>
      <c r="B38" s="205">
        <f>'DATA SISWA'!B29</f>
        <v>0</v>
      </c>
      <c r="C38" s="204">
        <f>'DATA SISWA'!C29</f>
        <v>0</v>
      </c>
      <c r="D38" s="229" t="str">
        <f>IF('Input Nilai Pengetahuan'!CQ29="","",'Input Nilai Pengetahuan'!CQ29)</f>
        <v/>
      </c>
      <c r="E38" s="229" t="str">
        <f>IF('Input Nilai Pengetahuan'!CR29="","",'Input Nilai Pengetahuan'!CR29)</f>
        <v/>
      </c>
      <c r="F38" s="230" t="str">
        <f>IF('Input Nilai Pengetahuan'!CV29="","",'Input Nilai Pengetahuan'!CV29)</f>
        <v/>
      </c>
      <c r="G38" s="229" t="str">
        <f>IF('Input Nilai Ketrampilan'!BF29="","",'Input Nilai Ketrampilan'!BF29)</f>
        <v/>
      </c>
      <c r="H38" s="229" t="str">
        <f>IF('Input Nilai Ketrampilan'!BG29="","",'Input Nilai Ketrampilan'!BG29)</f>
        <v/>
      </c>
      <c r="I38" s="230" t="str">
        <f>IF('Input Nilai Ketrampilan'!BK29="","",'Input Nilai Ketrampilan'!BK29)</f>
        <v/>
      </c>
      <c r="J38" s="236" t="str">
        <f>IF('Input Nilai Sikap'!H31="","",'Input Nilai Sikap'!H31)</f>
        <v/>
      </c>
      <c r="K38" s="233" t="str">
        <f>IF('Input Nilai Sikap'!I31="","",'Input Nilai Sikap'!I31)</f>
        <v/>
      </c>
      <c r="L38" s="234" t="str">
        <f>IF('Input Nilai Sikap'!M31="","",'Input Nilai Sikap'!M31)</f>
        <v/>
      </c>
      <c r="M38" s="234" t="str">
        <f>IF('Input Nilai Sikap'!Q31="","",'Input Nilai Sikap'!Q31)</f>
        <v/>
      </c>
      <c r="N38" s="234" t="str">
        <f>IF('Input Nilai Sikap'!U31="","",'Input Nilai Sikap'!U31)</f>
        <v/>
      </c>
      <c r="O38" s="234" t="str">
        <f>IF('Input Nilai Sikap'!Y31="","",'Input Nilai Sikap'!Y31)</f>
        <v/>
      </c>
      <c r="P38" s="235" t="str">
        <f>IF('Input Nilai Sikap'!AC31="","",'Input Nilai Sikap'!AC31)</f>
        <v/>
      </c>
      <c r="Q38" s="235" t="str">
        <f>IF('Input Nilai Sikap'!AG31="","",'Input Nilai Sikap'!AG31)</f>
        <v/>
      </c>
      <c r="R38" s="235" t="str">
        <f>IF('Input Nilai Sikap'!AK31="","",'Input Nilai Sikap'!AK31)</f>
        <v/>
      </c>
      <c r="S38" s="233" t="str">
        <f>IF('Input Nilai Sikap'!AL31="","",'Input Nilai Sikap'!AL31)</f>
        <v/>
      </c>
    </row>
    <row r="39" spans="1:19" s="141" customFormat="1" ht="23.25" customHeight="1">
      <c r="A39" s="205">
        <f>'DATA SISWA'!A30</f>
        <v>0</v>
      </c>
      <c r="B39" s="205">
        <f>'DATA SISWA'!B30</f>
        <v>0</v>
      </c>
      <c r="C39" s="204">
        <f>'DATA SISWA'!C30</f>
        <v>0</v>
      </c>
      <c r="D39" s="229" t="str">
        <f>IF('Input Nilai Pengetahuan'!CQ30="","",'Input Nilai Pengetahuan'!CQ30)</f>
        <v/>
      </c>
      <c r="E39" s="229" t="str">
        <f>IF('Input Nilai Pengetahuan'!CR30="","",'Input Nilai Pengetahuan'!CR30)</f>
        <v/>
      </c>
      <c r="F39" s="230" t="str">
        <f>IF('Input Nilai Pengetahuan'!CV30="","",'Input Nilai Pengetahuan'!CV30)</f>
        <v/>
      </c>
      <c r="G39" s="229" t="str">
        <f>IF('Input Nilai Ketrampilan'!BF30="","",'Input Nilai Ketrampilan'!BF30)</f>
        <v/>
      </c>
      <c r="H39" s="229" t="str">
        <f>IF('Input Nilai Ketrampilan'!BG30="","",'Input Nilai Ketrampilan'!BG30)</f>
        <v/>
      </c>
      <c r="I39" s="230" t="str">
        <f>IF('Input Nilai Ketrampilan'!BK30="","",'Input Nilai Ketrampilan'!BK30)</f>
        <v/>
      </c>
      <c r="J39" s="236" t="str">
        <f>IF('Input Nilai Sikap'!H32="","",'Input Nilai Sikap'!H32)</f>
        <v/>
      </c>
      <c r="K39" s="233" t="str">
        <f>IF('Input Nilai Sikap'!I32="","",'Input Nilai Sikap'!I32)</f>
        <v/>
      </c>
      <c r="L39" s="234" t="str">
        <f>IF('Input Nilai Sikap'!M32="","",'Input Nilai Sikap'!M32)</f>
        <v/>
      </c>
      <c r="M39" s="234" t="str">
        <f>IF('Input Nilai Sikap'!Q32="","",'Input Nilai Sikap'!Q32)</f>
        <v/>
      </c>
      <c r="N39" s="234" t="str">
        <f>IF('Input Nilai Sikap'!U32="","",'Input Nilai Sikap'!U32)</f>
        <v/>
      </c>
      <c r="O39" s="234" t="str">
        <f>IF('Input Nilai Sikap'!Y32="","",'Input Nilai Sikap'!Y32)</f>
        <v/>
      </c>
      <c r="P39" s="235" t="str">
        <f>IF('Input Nilai Sikap'!AC32="","",'Input Nilai Sikap'!AC32)</f>
        <v/>
      </c>
      <c r="Q39" s="235" t="str">
        <f>IF('Input Nilai Sikap'!AG32="","",'Input Nilai Sikap'!AG32)</f>
        <v/>
      </c>
      <c r="R39" s="235" t="str">
        <f>IF('Input Nilai Sikap'!AK32="","",'Input Nilai Sikap'!AK32)</f>
        <v/>
      </c>
      <c r="S39" s="233" t="str">
        <f>IF('Input Nilai Sikap'!AL32="","",'Input Nilai Sikap'!AL32)</f>
        <v/>
      </c>
    </row>
    <row r="40" spans="1:19" s="141" customFormat="1" ht="23.25" customHeight="1">
      <c r="A40" s="205">
        <f>'DATA SISWA'!A31</f>
        <v>0</v>
      </c>
      <c r="B40" s="205">
        <f>'DATA SISWA'!B31</f>
        <v>0</v>
      </c>
      <c r="C40" s="204">
        <f>'DATA SISWA'!C31</f>
        <v>0</v>
      </c>
      <c r="D40" s="229" t="str">
        <f>IF('Input Nilai Pengetahuan'!CQ31="","",'Input Nilai Pengetahuan'!CQ31)</f>
        <v/>
      </c>
      <c r="E40" s="229" t="str">
        <f>IF('Input Nilai Pengetahuan'!CR31="","",'Input Nilai Pengetahuan'!CR31)</f>
        <v/>
      </c>
      <c r="F40" s="230" t="str">
        <f>IF('Input Nilai Pengetahuan'!CV31="","",'Input Nilai Pengetahuan'!CV31)</f>
        <v/>
      </c>
      <c r="G40" s="229" t="str">
        <f>IF('Input Nilai Ketrampilan'!BF31="","",'Input Nilai Ketrampilan'!BF31)</f>
        <v/>
      </c>
      <c r="H40" s="229" t="str">
        <f>IF('Input Nilai Ketrampilan'!BG31="","",'Input Nilai Ketrampilan'!BG31)</f>
        <v/>
      </c>
      <c r="I40" s="230" t="str">
        <f>IF('Input Nilai Ketrampilan'!BK31="","",'Input Nilai Ketrampilan'!BK31)</f>
        <v/>
      </c>
      <c r="J40" s="236" t="str">
        <f>IF('Input Nilai Sikap'!H33="","",'Input Nilai Sikap'!H33)</f>
        <v/>
      </c>
      <c r="K40" s="233" t="str">
        <f>IF('Input Nilai Sikap'!I33="","",'Input Nilai Sikap'!I33)</f>
        <v/>
      </c>
      <c r="L40" s="234" t="str">
        <f>IF('Input Nilai Sikap'!M33="","",'Input Nilai Sikap'!M33)</f>
        <v/>
      </c>
      <c r="M40" s="234" t="str">
        <f>IF('Input Nilai Sikap'!Q33="","",'Input Nilai Sikap'!Q33)</f>
        <v/>
      </c>
      <c r="N40" s="234" t="str">
        <f>IF('Input Nilai Sikap'!U33="","",'Input Nilai Sikap'!U33)</f>
        <v/>
      </c>
      <c r="O40" s="234" t="str">
        <f>IF('Input Nilai Sikap'!Y33="","",'Input Nilai Sikap'!Y33)</f>
        <v/>
      </c>
      <c r="P40" s="235" t="str">
        <f>IF('Input Nilai Sikap'!AC33="","",'Input Nilai Sikap'!AC33)</f>
        <v/>
      </c>
      <c r="Q40" s="235" t="str">
        <f>IF('Input Nilai Sikap'!AG33="","",'Input Nilai Sikap'!AG33)</f>
        <v/>
      </c>
      <c r="R40" s="235" t="str">
        <f>IF('Input Nilai Sikap'!AK33="","",'Input Nilai Sikap'!AK33)</f>
        <v/>
      </c>
      <c r="S40" s="233" t="str">
        <f>IF('Input Nilai Sikap'!AL33="","",'Input Nilai Sikap'!AL33)</f>
        <v/>
      </c>
    </row>
    <row r="41" spans="1:19" s="141" customFormat="1" ht="23.25" customHeight="1">
      <c r="A41" s="205">
        <f>'DATA SISWA'!A32</f>
        <v>0</v>
      </c>
      <c r="B41" s="205">
        <f>'DATA SISWA'!B32</f>
        <v>0</v>
      </c>
      <c r="C41" s="204">
        <f>'DATA SISWA'!C32</f>
        <v>0</v>
      </c>
      <c r="D41" s="229" t="str">
        <f>IF('Input Nilai Pengetahuan'!CQ32="","",'Input Nilai Pengetahuan'!CQ32)</f>
        <v/>
      </c>
      <c r="E41" s="229" t="str">
        <f>IF('Input Nilai Pengetahuan'!CR32="","",'Input Nilai Pengetahuan'!CR32)</f>
        <v/>
      </c>
      <c r="F41" s="230" t="str">
        <f>IF('Input Nilai Pengetahuan'!CV32="","",'Input Nilai Pengetahuan'!CV32)</f>
        <v/>
      </c>
      <c r="G41" s="229" t="str">
        <f>IF('Input Nilai Ketrampilan'!BF32="","",'Input Nilai Ketrampilan'!BF32)</f>
        <v/>
      </c>
      <c r="H41" s="229" t="str">
        <f>IF('Input Nilai Ketrampilan'!BG32="","",'Input Nilai Ketrampilan'!BG32)</f>
        <v/>
      </c>
      <c r="I41" s="230" t="str">
        <f>IF('Input Nilai Ketrampilan'!BK32="","",'Input Nilai Ketrampilan'!BK32)</f>
        <v/>
      </c>
      <c r="J41" s="236" t="str">
        <f>IF('Input Nilai Sikap'!H34="","",'Input Nilai Sikap'!H34)</f>
        <v/>
      </c>
      <c r="K41" s="233" t="str">
        <f>IF('Input Nilai Sikap'!I34="","",'Input Nilai Sikap'!I34)</f>
        <v/>
      </c>
      <c r="L41" s="234" t="str">
        <f>IF('Input Nilai Sikap'!M34="","",'Input Nilai Sikap'!M34)</f>
        <v/>
      </c>
      <c r="M41" s="234" t="str">
        <f>IF('Input Nilai Sikap'!Q34="","",'Input Nilai Sikap'!Q34)</f>
        <v/>
      </c>
      <c r="N41" s="234" t="str">
        <f>IF('Input Nilai Sikap'!U34="","",'Input Nilai Sikap'!U34)</f>
        <v/>
      </c>
      <c r="O41" s="234" t="str">
        <f>IF('Input Nilai Sikap'!Y34="","",'Input Nilai Sikap'!Y34)</f>
        <v/>
      </c>
      <c r="P41" s="235" t="str">
        <f>IF('Input Nilai Sikap'!AC34="","",'Input Nilai Sikap'!AC34)</f>
        <v/>
      </c>
      <c r="Q41" s="235" t="str">
        <f>IF('Input Nilai Sikap'!AG34="","",'Input Nilai Sikap'!AG34)</f>
        <v/>
      </c>
      <c r="R41" s="235" t="str">
        <f>IF('Input Nilai Sikap'!AK34="","",'Input Nilai Sikap'!AK34)</f>
        <v/>
      </c>
      <c r="S41" s="233" t="str">
        <f>IF('Input Nilai Sikap'!AL34="","",'Input Nilai Sikap'!AL34)</f>
        <v/>
      </c>
    </row>
    <row r="42" spans="1:19" s="141" customFormat="1" ht="23.25" customHeight="1">
      <c r="A42" s="205">
        <f>'DATA SISWA'!A33</f>
        <v>0</v>
      </c>
      <c r="B42" s="205">
        <f>'DATA SISWA'!B33</f>
        <v>0</v>
      </c>
      <c r="C42" s="204">
        <f>'DATA SISWA'!C33</f>
        <v>0</v>
      </c>
      <c r="D42" s="229" t="str">
        <f>IF('Input Nilai Pengetahuan'!CQ33="","",'Input Nilai Pengetahuan'!CQ33)</f>
        <v/>
      </c>
      <c r="E42" s="229" t="str">
        <f>IF('Input Nilai Pengetahuan'!CR33="","",'Input Nilai Pengetahuan'!CR33)</f>
        <v/>
      </c>
      <c r="F42" s="230" t="str">
        <f>IF('Input Nilai Pengetahuan'!CV33="","",'Input Nilai Pengetahuan'!CV33)</f>
        <v/>
      </c>
      <c r="G42" s="229" t="str">
        <f>IF('Input Nilai Ketrampilan'!BF33="","",'Input Nilai Ketrampilan'!BF33)</f>
        <v/>
      </c>
      <c r="H42" s="229" t="str">
        <f>IF('Input Nilai Ketrampilan'!BG33="","",'Input Nilai Ketrampilan'!BG33)</f>
        <v/>
      </c>
      <c r="I42" s="230" t="str">
        <f>IF('Input Nilai Ketrampilan'!BK33="","",'Input Nilai Ketrampilan'!BK33)</f>
        <v/>
      </c>
      <c r="J42" s="236" t="str">
        <f>IF('Input Nilai Sikap'!H35="","",'Input Nilai Sikap'!H35)</f>
        <v/>
      </c>
      <c r="K42" s="233" t="str">
        <f>IF('Input Nilai Sikap'!I35="","",'Input Nilai Sikap'!I35)</f>
        <v/>
      </c>
      <c r="L42" s="234" t="str">
        <f>IF('Input Nilai Sikap'!M35="","",'Input Nilai Sikap'!M35)</f>
        <v/>
      </c>
      <c r="M42" s="234" t="str">
        <f>IF('Input Nilai Sikap'!Q35="","",'Input Nilai Sikap'!Q35)</f>
        <v/>
      </c>
      <c r="N42" s="234" t="str">
        <f>IF('Input Nilai Sikap'!U35="","",'Input Nilai Sikap'!U35)</f>
        <v/>
      </c>
      <c r="O42" s="234" t="str">
        <f>IF('Input Nilai Sikap'!Y35="","",'Input Nilai Sikap'!Y35)</f>
        <v/>
      </c>
      <c r="P42" s="235" t="str">
        <f>IF('Input Nilai Sikap'!AC35="","",'Input Nilai Sikap'!AC35)</f>
        <v/>
      </c>
      <c r="Q42" s="235" t="str">
        <f>IF('Input Nilai Sikap'!AG35="","",'Input Nilai Sikap'!AG35)</f>
        <v/>
      </c>
      <c r="R42" s="235" t="str">
        <f>IF('Input Nilai Sikap'!AK35="","",'Input Nilai Sikap'!AK35)</f>
        <v/>
      </c>
      <c r="S42" s="233" t="str">
        <f>IF('Input Nilai Sikap'!AL35="","",'Input Nilai Sikap'!AL35)</f>
        <v/>
      </c>
    </row>
    <row r="43" spans="1:19" s="141" customFormat="1" ht="23.25" customHeight="1">
      <c r="A43" s="205">
        <f>'DATA SISWA'!A34</f>
        <v>0</v>
      </c>
      <c r="B43" s="205">
        <f>'DATA SISWA'!B34</f>
        <v>0</v>
      </c>
      <c r="C43" s="204">
        <f>'DATA SISWA'!C34</f>
        <v>0</v>
      </c>
      <c r="D43" s="229" t="str">
        <f>IF('Input Nilai Pengetahuan'!CQ34="","",'Input Nilai Pengetahuan'!CQ34)</f>
        <v/>
      </c>
      <c r="E43" s="229" t="str">
        <f>IF('Input Nilai Pengetahuan'!CR34="","",'Input Nilai Pengetahuan'!CR34)</f>
        <v/>
      </c>
      <c r="F43" s="230" t="str">
        <f>IF('Input Nilai Pengetahuan'!CV34="","",'Input Nilai Pengetahuan'!CV34)</f>
        <v/>
      </c>
      <c r="G43" s="229" t="str">
        <f>IF('Input Nilai Ketrampilan'!BF34="","",'Input Nilai Ketrampilan'!BF34)</f>
        <v/>
      </c>
      <c r="H43" s="229" t="str">
        <f>IF('Input Nilai Ketrampilan'!BG34="","",'Input Nilai Ketrampilan'!BG34)</f>
        <v/>
      </c>
      <c r="I43" s="230" t="str">
        <f>IF('Input Nilai Ketrampilan'!BK34="","",'Input Nilai Ketrampilan'!BK34)</f>
        <v/>
      </c>
      <c r="J43" s="236" t="str">
        <f>IF('Input Nilai Sikap'!H36="","",'Input Nilai Sikap'!H36)</f>
        <v/>
      </c>
      <c r="K43" s="233" t="str">
        <f>IF('Input Nilai Sikap'!I36="","",'Input Nilai Sikap'!I36)</f>
        <v/>
      </c>
      <c r="L43" s="234" t="str">
        <f>IF('Input Nilai Sikap'!M36="","",'Input Nilai Sikap'!M36)</f>
        <v/>
      </c>
      <c r="M43" s="234" t="str">
        <f>IF('Input Nilai Sikap'!Q36="","",'Input Nilai Sikap'!Q36)</f>
        <v/>
      </c>
      <c r="N43" s="234" t="str">
        <f>IF('Input Nilai Sikap'!U36="","",'Input Nilai Sikap'!U36)</f>
        <v/>
      </c>
      <c r="O43" s="234" t="str">
        <f>IF('Input Nilai Sikap'!Y36="","",'Input Nilai Sikap'!Y36)</f>
        <v/>
      </c>
      <c r="P43" s="235" t="str">
        <f>IF('Input Nilai Sikap'!AC36="","",'Input Nilai Sikap'!AC36)</f>
        <v/>
      </c>
      <c r="Q43" s="235" t="str">
        <f>IF('Input Nilai Sikap'!AG36="","",'Input Nilai Sikap'!AG36)</f>
        <v/>
      </c>
      <c r="R43" s="235" t="str">
        <f>IF('Input Nilai Sikap'!AK36="","",'Input Nilai Sikap'!AK36)</f>
        <v/>
      </c>
      <c r="S43" s="233" t="str">
        <f>IF('Input Nilai Sikap'!AL36="","",'Input Nilai Sikap'!AL36)</f>
        <v/>
      </c>
    </row>
    <row r="44" spans="1:19" s="141" customFormat="1" ht="23.25" customHeight="1">
      <c r="A44" s="205">
        <f>'DATA SISWA'!A35</f>
        <v>0</v>
      </c>
      <c r="B44" s="205">
        <f>'DATA SISWA'!B35</f>
        <v>0</v>
      </c>
      <c r="C44" s="204">
        <f>'DATA SISWA'!C35</f>
        <v>0</v>
      </c>
      <c r="D44" s="229" t="str">
        <f>IF('Input Nilai Pengetahuan'!CQ35="","",'Input Nilai Pengetahuan'!CQ35)</f>
        <v/>
      </c>
      <c r="E44" s="229" t="str">
        <f>IF('Input Nilai Pengetahuan'!CR35="","",'Input Nilai Pengetahuan'!CR35)</f>
        <v/>
      </c>
      <c r="F44" s="230" t="str">
        <f>IF('Input Nilai Pengetahuan'!CV35="","",'Input Nilai Pengetahuan'!CV35)</f>
        <v/>
      </c>
      <c r="G44" s="229" t="str">
        <f>IF('Input Nilai Ketrampilan'!BF35="","",'Input Nilai Ketrampilan'!BF35)</f>
        <v/>
      </c>
      <c r="H44" s="229" t="str">
        <f>IF('Input Nilai Ketrampilan'!BG35="","",'Input Nilai Ketrampilan'!BG35)</f>
        <v/>
      </c>
      <c r="I44" s="230" t="str">
        <f>IF('Input Nilai Ketrampilan'!BK35="","",'Input Nilai Ketrampilan'!BK35)</f>
        <v/>
      </c>
      <c r="J44" s="236" t="str">
        <f>IF('Input Nilai Sikap'!H37="","",'Input Nilai Sikap'!H37)</f>
        <v/>
      </c>
      <c r="K44" s="233" t="str">
        <f>IF('Input Nilai Sikap'!I37="","",'Input Nilai Sikap'!I37)</f>
        <v/>
      </c>
      <c r="L44" s="234" t="str">
        <f>IF('Input Nilai Sikap'!M37="","",'Input Nilai Sikap'!M37)</f>
        <v/>
      </c>
      <c r="M44" s="234" t="str">
        <f>IF('Input Nilai Sikap'!Q37="","",'Input Nilai Sikap'!Q37)</f>
        <v/>
      </c>
      <c r="N44" s="234" t="str">
        <f>IF('Input Nilai Sikap'!U37="","",'Input Nilai Sikap'!U37)</f>
        <v/>
      </c>
      <c r="O44" s="234" t="str">
        <f>IF('Input Nilai Sikap'!Y37="","",'Input Nilai Sikap'!Y37)</f>
        <v/>
      </c>
      <c r="P44" s="235" t="str">
        <f>IF('Input Nilai Sikap'!AC37="","",'Input Nilai Sikap'!AC37)</f>
        <v/>
      </c>
      <c r="Q44" s="235" t="str">
        <f>IF('Input Nilai Sikap'!AG37="","",'Input Nilai Sikap'!AG37)</f>
        <v/>
      </c>
      <c r="R44" s="235" t="str">
        <f>IF('Input Nilai Sikap'!AK37="","",'Input Nilai Sikap'!AK37)</f>
        <v/>
      </c>
      <c r="S44" s="233" t="str">
        <f>IF('Input Nilai Sikap'!AL37="","",'Input Nilai Sikap'!AL37)</f>
        <v/>
      </c>
    </row>
    <row r="45" spans="1:19" s="141" customFormat="1" ht="23.25" customHeight="1">
      <c r="A45" s="205">
        <f>'DATA SISWA'!A36</f>
        <v>0</v>
      </c>
      <c r="B45" s="205">
        <f>'DATA SISWA'!B36</f>
        <v>0</v>
      </c>
      <c r="C45" s="204">
        <f>'DATA SISWA'!C36</f>
        <v>0</v>
      </c>
      <c r="D45" s="229" t="str">
        <f>IF('Input Nilai Pengetahuan'!CQ36="","",'Input Nilai Pengetahuan'!CQ36)</f>
        <v/>
      </c>
      <c r="E45" s="229" t="str">
        <f>IF('Input Nilai Pengetahuan'!CR36="","",'Input Nilai Pengetahuan'!CR36)</f>
        <v/>
      </c>
      <c r="F45" s="230" t="str">
        <f>IF('Input Nilai Pengetahuan'!CV36="","",'Input Nilai Pengetahuan'!CV36)</f>
        <v/>
      </c>
      <c r="G45" s="229" t="str">
        <f>IF('Input Nilai Ketrampilan'!BF36="","",'Input Nilai Ketrampilan'!BF36)</f>
        <v/>
      </c>
      <c r="H45" s="229" t="str">
        <f>IF('Input Nilai Ketrampilan'!BG36="","",'Input Nilai Ketrampilan'!BG36)</f>
        <v/>
      </c>
      <c r="I45" s="230" t="str">
        <f>IF('Input Nilai Ketrampilan'!BK36="","",'Input Nilai Ketrampilan'!BK36)</f>
        <v/>
      </c>
      <c r="J45" s="236" t="str">
        <f>IF('Input Nilai Sikap'!H38="","",'Input Nilai Sikap'!H38)</f>
        <v/>
      </c>
      <c r="K45" s="233" t="str">
        <f>IF('Input Nilai Sikap'!I38="","",'Input Nilai Sikap'!I38)</f>
        <v/>
      </c>
      <c r="L45" s="234" t="str">
        <f>IF('Input Nilai Sikap'!M38="","",'Input Nilai Sikap'!M38)</f>
        <v/>
      </c>
      <c r="M45" s="234" t="str">
        <f>IF('Input Nilai Sikap'!Q38="","",'Input Nilai Sikap'!Q38)</f>
        <v/>
      </c>
      <c r="N45" s="234" t="str">
        <f>IF('Input Nilai Sikap'!U38="","",'Input Nilai Sikap'!U38)</f>
        <v/>
      </c>
      <c r="O45" s="234" t="str">
        <f>IF('Input Nilai Sikap'!Y38="","",'Input Nilai Sikap'!Y38)</f>
        <v/>
      </c>
      <c r="P45" s="235" t="str">
        <f>IF('Input Nilai Sikap'!AC38="","",'Input Nilai Sikap'!AC38)</f>
        <v/>
      </c>
      <c r="Q45" s="235" t="str">
        <f>IF('Input Nilai Sikap'!AG38="","",'Input Nilai Sikap'!AG38)</f>
        <v/>
      </c>
      <c r="R45" s="235" t="str">
        <f>IF('Input Nilai Sikap'!AK38="","",'Input Nilai Sikap'!AK38)</f>
        <v/>
      </c>
      <c r="S45" s="233" t="str">
        <f>IF('Input Nilai Sikap'!AL38="","",'Input Nilai Sikap'!AL38)</f>
        <v/>
      </c>
    </row>
    <row r="46" spans="1:19" s="141" customFormat="1" ht="23.25" customHeight="1">
      <c r="A46" s="205">
        <f>'DATA SISWA'!A37</f>
        <v>0</v>
      </c>
      <c r="B46" s="205">
        <f>'DATA SISWA'!B37</f>
        <v>0</v>
      </c>
      <c r="C46" s="204">
        <f>'DATA SISWA'!C37</f>
        <v>0</v>
      </c>
      <c r="D46" s="229" t="str">
        <f>IF('Input Nilai Pengetahuan'!CQ37="","",'Input Nilai Pengetahuan'!CQ37)</f>
        <v/>
      </c>
      <c r="E46" s="229" t="str">
        <f>IF('Input Nilai Pengetahuan'!CR37="","",'Input Nilai Pengetahuan'!CR37)</f>
        <v/>
      </c>
      <c r="F46" s="230" t="str">
        <f>IF('Input Nilai Pengetahuan'!CV37="","",'Input Nilai Pengetahuan'!CV37)</f>
        <v/>
      </c>
      <c r="G46" s="229" t="str">
        <f>IF('Input Nilai Ketrampilan'!BF37="","",'Input Nilai Ketrampilan'!BF37)</f>
        <v/>
      </c>
      <c r="H46" s="229" t="str">
        <f>IF('Input Nilai Ketrampilan'!BG37="","",'Input Nilai Ketrampilan'!BG37)</f>
        <v/>
      </c>
      <c r="I46" s="230" t="str">
        <f>IF('Input Nilai Ketrampilan'!BK37="","",'Input Nilai Ketrampilan'!BK37)</f>
        <v/>
      </c>
      <c r="J46" s="236" t="str">
        <f>IF('Input Nilai Sikap'!H39="","",'Input Nilai Sikap'!H39)</f>
        <v/>
      </c>
      <c r="K46" s="233" t="str">
        <f>IF('Input Nilai Sikap'!I39="","",'Input Nilai Sikap'!I39)</f>
        <v/>
      </c>
      <c r="L46" s="234" t="str">
        <f>IF('Input Nilai Sikap'!M39="","",'Input Nilai Sikap'!M39)</f>
        <v/>
      </c>
      <c r="M46" s="234" t="str">
        <f>IF('Input Nilai Sikap'!Q39="","",'Input Nilai Sikap'!Q39)</f>
        <v/>
      </c>
      <c r="N46" s="234" t="str">
        <f>IF('Input Nilai Sikap'!U39="","",'Input Nilai Sikap'!U39)</f>
        <v/>
      </c>
      <c r="O46" s="234" t="str">
        <f>IF('Input Nilai Sikap'!Y39="","",'Input Nilai Sikap'!Y39)</f>
        <v/>
      </c>
      <c r="P46" s="235" t="str">
        <f>IF('Input Nilai Sikap'!AC39="","",'Input Nilai Sikap'!AC39)</f>
        <v/>
      </c>
      <c r="Q46" s="235" t="str">
        <f>IF('Input Nilai Sikap'!AG39="","",'Input Nilai Sikap'!AG39)</f>
        <v/>
      </c>
      <c r="R46" s="235" t="str">
        <f>IF('Input Nilai Sikap'!AK39="","",'Input Nilai Sikap'!AK39)</f>
        <v/>
      </c>
      <c r="S46" s="233" t="str">
        <f>IF('Input Nilai Sikap'!AL39="","",'Input Nilai Sikap'!AL39)</f>
        <v/>
      </c>
    </row>
    <row r="47" spans="1:19" s="141" customFormat="1" ht="23.25" customHeight="1">
      <c r="A47" s="205">
        <f>'DATA SISWA'!A38</f>
        <v>0</v>
      </c>
      <c r="B47" s="205">
        <f>'DATA SISWA'!B38</f>
        <v>0</v>
      </c>
      <c r="C47" s="204">
        <f>'DATA SISWA'!C38</f>
        <v>0</v>
      </c>
      <c r="D47" s="229" t="str">
        <f>IF('Input Nilai Pengetahuan'!CQ38="","",'Input Nilai Pengetahuan'!CQ38)</f>
        <v/>
      </c>
      <c r="E47" s="229" t="str">
        <f>IF('Input Nilai Pengetahuan'!CR38="","",'Input Nilai Pengetahuan'!CR38)</f>
        <v/>
      </c>
      <c r="F47" s="230" t="str">
        <f>IF('Input Nilai Pengetahuan'!CV38="","",'Input Nilai Pengetahuan'!CV38)</f>
        <v/>
      </c>
      <c r="G47" s="229" t="str">
        <f>IF('Input Nilai Ketrampilan'!BF38="","",'Input Nilai Ketrampilan'!BF38)</f>
        <v/>
      </c>
      <c r="H47" s="229" t="str">
        <f>IF('Input Nilai Ketrampilan'!BG38="","",'Input Nilai Ketrampilan'!BG38)</f>
        <v/>
      </c>
      <c r="I47" s="230" t="str">
        <f>IF('Input Nilai Ketrampilan'!BK38="","",'Input Nilai Ketrampilan'!BK38)</f>
        <v/>
      </c>
      <c r="J47" s="236" t="str">
        <f>IF('Input Nilai Sikap'!H40="","",'Input Nilai Sikap'!H40)</f>
        <v/>
      </c>
      <c r="K47" s="233" t="str">
        <f>IF('Input Nilai Sikap'!I40="","",'Input Nilai Sikap'!I40)</f>
        <v/>
      </c>
      <c r="L47" s="234" t="str">
        <f>IF('Input Nilai Sikap'!M40="","",'Input Nilai Sikap'!M40)</f>
        <v/>
      </c>
      <c r="M47" s="234" t="str">
        <f>IF('Input Nilai Sikap'!Q40="","",'Input Nilai Sikap'!Q40)</f>
        <v/>
      </c>
      <c r="N47" s="234" t="str">
        <f>IF('Input Nilai Sikap'!U40="","",'Input Nilai Sikap'!U40)</f>
        <v/>
      </c>
      <c r="O47" s="234" t="str">
        <f>IF('Input Nilai Sikap'!Y40="","",'Input Nilai Sikap'!Y40)</f>
        <v/>
      </c>
      <c r="P47" s="235" t="str">
        <f>IF('Input Nilai Sikap'!AC40="","",'Input Nilai Sikap'!AC40)</f>
        <v/>
      </c>
      <c r="Q47" s="235" t="str">
        <f>IF('Input Nilai Sikap'!AG40="","",'Input Nilai Sikap'!AG40)</f>
        <v/>
      </c>
      <c r="R47" s="235" t="str">
        <f>IF('Input Nilai Sikap'!AK40="","",'Input Nilai Sikap'!AK40)</f>
        <v/>
      </c>
      <c r="S47" s="233" t="str">
        <f>IF('Input Nilai Sikap'!AL40="","",'Input Nilai Sikap'!AL40)</f>
        <v/>
      </c>
    </row>
    <row r="48" spans="1:19" s="141" customFormat="1" ht="23.25" customHeight="1">
      <c r="A48" s="205">
        <f>'DATA SISWA'!A39</f>
        <v>0</v>
      </c>
      <c r="B48" s="205">
        <f>'DATA SISWA'!B39</f>
        <v>0</v>
      </c>
      <c r="C48" s="204">
        <f>'DATA SISWA'!C39</f>
        <v>0</v>
      </c>
      <c r="D48" s="229" t="str">
        <f>IF('Input Nilai Pengetahuan'!CQ39="","",'Input Nilai Pengetahuan'!CQ39)</f>
        <v/>
      </c>
      <c r="E48" s="229" t="str">
        <f>IF('Input Nilai Pengetahuan'!CR39="","",'Input Nilai Pengetahuan'!CR39)</f>
        <v/>
      </c>
      <c r="F48" s="230" t="str">
        <f>IF('Input Nilai Pengetahuan'!CV39="","",'Input Nilai Pengetahuan'!CV39)</f>
        <v/>
      </c>
      <c r="G48" s="229" t="str">
        <f>IF('Input Nilai Ketrampilan'!BF39="","",'Input Nilai Ketrampilan'!BF39)</f>
        <v/>
      </c>
      <c r="H48" s="229" t="str">
        <f>IF('Input Nilai Ketrampilan'!BG39="","",'Input Nilai Ketrampilan'!BG39)</f>
        <v/>
      </c>
      <c r="I48" s="230" t="str">
        <f>IF('Input Nilai Ketrampilan'!BK39="","",'Input Nilai Ketrampilan'!BK39)</f>
        <v/>
      </c>
      <c r="J48" s="236" t="str">
        <f>IF('Input Nilai Sikap'!H41="","",'Input Nilai Sikap'!H41)</f>
        <v/>
      </c>
      <c r="K48" s="233" t="str">
        <f>IF('Input Nilai Sikap'!I41="","",'Input Nilai Sikap'!I41)</f>
        <v/>
      </c>
      <c r="L48" s="234" t="str">
        <f>IF('Input Nilai Sikap'!M41="","",'Input Nilai Sikap'!M41)</f>
        <v/>
      </c>
      <c r="M48" s="234" t="str">
        <f>IF('Input Nilai Sikap'!Q41="","",'Input Nilai Sikap'!Q41)</f>
        <v/>
      </c>
      <c r="N48" s="234" t="str">
        <f>IF('Input Nilai Sikap'!U41="","",'Input Nilai Sikap'!U41)</f>
        <v/>
      </c>
      <c r="O48" s="234" t="str">
        <f>IF('Input Nilai Sikap'!Y41="","",'Input Nilai Sikap'!Y41)</f>
        <v/>
      </c>
      <c r="P48" s="235" t="str">
        <f>IF('Input Nilai Sikap'!AC41="","",'Input Nilai Sikap'!AC41)</f>
        <v/>
      </c>
      <c r="Q48" s="235" t="str">
        <f>IF('Input Nilai Sikap'!AG41="","",'Input Nilai Sikap'!AG41)</f>
        <v/>
      </c>
      <c r="R48" s="235" t="str">
        <f>IF('Input Nilai Sikap'!AK41="","",'Input Nilai Sikap'!AK41)</f>
        <v/>
      </c>
      <c r="S48" s="233" t="str">
        <f>IF('Input Nilai Sikap'!AL41="","",'Input Nilai Sikap'!AL41)</f>
        <v/>
      </c>
    </row>
    <row r="49" spans="1:19" s="141" customFormat="1" ht="23.25" customHeight="1">
      <c r="A49" s="205">
        <f>'DATA SISWA'!A40</f>
        <v>0</v>
      </c>
      <c r="B49" s="205">
        <f>'DATA SISWA'!B40</f>
        <v>0</v>
      </c>
      <c r="C49" s="204">
        <f>'DATA SISWA'!C40</f>
        <v>0</v>
      </c>
      <c r="D49" s="229" t="str">
        <f>IF('Input Nilai Pengetahuan'!CQ40="","",'Input Nilai Pengetahuan'!CQ40)</f>
        <v/>
      </c>
      <c r="E49" s="229" t="str">
        <f>IF('Input Nilai Pengetahuan'!CR40="","",'Input Nilai Pengetahuan'!CR40)</f>
        <v/>
      </c>
      <c r="F49" s="230" t="str">
        <f>IF('Input Nilai Pengetahuan'!CV40="","",'Input Nilai Pengetahuan'!CV40)</f>
        <v/>
      </c>
      <c r="G49" s="229" t="str">
        <f>IF('Input Nilai Ketrampilan'!BF40="","",'Input Nilai Ketrampilan'!BF40)</f>
        <v/>
      </c>
      <c r="H49" s="229" t="str">
        <f>IF('Input Nilai Ketrampilan'!BG40="","",'Input Nilai Ketrampilan'!BG40)</f>
        <v/>
      </c>
      <c r="I49" s="230" t="str">
        <f>IF('Input Nilai Ketrampilan'!BK40="","",'Input Nilai Ketrampilan'!BK40)</f>
        <v/>
      </c>
      <c r="J49" s="236" t="str">
        <f>IF('Input Nilai Sikap'!H42="","",'Input Nilai Sikap'!H42)</f>
        <v/>
      </c>
      <c r="K49" s="233" t="str">
        <f>IF('Input Nilai Sikap'!I42="","",'Input Nilai Sikap'!I42)</f>
        <v/>
      </c>
      <c r="L49" s="234" t="str">
        <f>IF('Input Nilai Sikap'!M42="","",'Input Nilai Sikap'!M42)</f>
        <v/>
      </c>
      <c r="M49" s="234" t="str">
        <f>IF('Input Nilai Sikap'!Q42="","",'Input Nilai Sikap'!Q42)</f>
        <v/>
      </c>
      <c r="N49" s="234" t="str">
        <f>IF('Input Nilai Sikap'!U42="","",'Input Nilai Sikap'!U42)</f>
        <v/>
      </c>
      <c r="O49" s="234" t="str">
        <f>IF('Input Nilai Sikap'!Y42="","",'Input Nilai Sikap'!Y42)</f>
        <v/>
      </c>
      <c r="P49" s="235" t="str">
        <f>IF('Input Nilai Sikap'!AC42="","",'Input Nilai Sikap'!AC42)</f>
        <v/>
      </c>
      <c r="Q49" s="235" t="str">
        <f>IF('Input Nilai Sikap'!AG42="","",'Input Nilai Sikap'!AG42)</f>
        <v/>
      </c>
      <c r="R49" s="235" t="str">
        <f>IF('Input Nilai Sikap'!AK42="","",'Input Nilai Sikap'!AK42)</f>
        <v/>
      </c>
      <c r="S49" s="233" t="str">
        <f>IF('Input Nilai Sikap'!AL42="","",'Input Nilai Sikap'!AL42)</f>
        <v/>
      </c>
    </row>
    <row r="50" spans="1:19" s="141" customFormat="1" ht="23.25" customHeight="1">
      <c r="A50" s="205">
        <f>'DATA SISWA'!A41</f>
        <v>0</v>
      </c>
      <c r="B50" s="205">
        <f>'DATA SISWA'!B41</f>
        <v>0</v>
      </c>
      <c r="C50" s="204">
        <f>'DATA SISWA'!C41</f>
        <v>0</v>
      </c>
      <c r="D50" s="229" t="str">
        <f>IF('Input Nilai Pengetahuan'!CQ41="","",'Input Nilai Pengetahuan'!CQ41)</f>
        <v/>
      </c>
      <c r="E50" s="229" t="str">
        <f>IF('Input Nilai Pengetahuan'!CR41="","",'Input Nilai Pengetahuan'!CR41)</f>
        <v/>
      </c>
      <c r="F50" s="230" t="str">
        <f>IF('Input Nilai Pengetahuan'!CV41="","",'Input Nilai Pengetahuan'!CV41)</f>
        <v/>
      </c>
      <c r="G50" s="229" t="str">
        <f>IF('Input Nilai Ketrampilan'!BF41="","",'Input Nilai Ketrampilan'!BF41)</f>
        <v/>
      </c>
      <c r="H50" s="229" t="str">
        <f>IF('Input Nilai Ketrampilan'!BG41="","",'Input Nilai Ketrampilan'!BG41)</f>
        <v/>
      </c>
      <c r="I50" s="230" t="str">
        <f>IF('Input Nilai Ketrampilan'!BK41="","",'Input Nilai Ketrampilan'!BK41)</f>
        <v/>
      </c>
      <c r="J50" s="236" t="str">
        <f>IF('Input Nilai Sikap'!H43="","",'Input Nilai Sikap'!H43)</f>
        <v/>
      </c>
      <c r="K50" s="233" t="str">
        <f>IF('Input Nilai Sikap'!I43="","",'Input Nilai Sikap'!I43)</f>
        <v/>
      </c>
      <c r="L50" s="234" t="str">
        <f>IF('Input Nilai Sikap'!M43="","",'Input Nilai Sikap'!M43)</f>
        <v/>
      </c>
      <c r="M50" s="234" t="str">
        <f>IF('Input Nilai Sikap'!Q43="","",'Input Nilai Sikap'!Q43)</f>
        <v/>
      </c>
      <c r="N50" s="234" t="str">
        <f>IF('Input Nilai Sikap'!U43="","",'Input Nilai Sikap'!U43)</f>
        <v/>
      </c>
      <c r="O50" s="234" t="str">
        <f>IF('Input Nilai Sikap'!Y43="","",'Input Nilai Sikap'!Y43)</f>
        <v/>
      </c>
      <c r="P50" s="235" t="str">
        <f>IF('Input Nilai Sikap'!AC43="","",'Input Nilai Sikap'!AC43)</f>
        <v/>
      </c>
      <c r="Q50" s="235" t="str">
        <f>IF('Input Nilai Sikap'!AG43="","",'Input Nilai Sikap'!AG43)</f>
        <v/>
      </c>
      <c r="R50" s="235" t="str">
        <f>IF('Input Nilai Sikap'!AK43="","",'Input Nilai Sikap'!AK43)</f>
        <v/>
      </c>
      <c r="S50" s="233" t="str">
        <f>IF('Input Nilai Sikap'!AL43="","",'Input Nilai Sikap'!AL43)</f>
        <v/>
      </c>
    </row>
    <row r="51" spans="1:19" s="141" customFormat="1" ht="23.25" customHeight="1">
      <c r="A51" s="205">
        <f>'DATA SISWA'!A42</f>
        <v>0</v>
      </c>
      <c r="B51" s="205">
        <f>'DATA SISWA'!B42</f>
        <v>0</v>
      </c>
      <c r="C51" s="204">
        <f>'DATA SISWA'!C42</f>
        <v>0</v>
      </c>
      <c r="D51" s="229" t="str">
        <f>IF('Input Nilai Pengetahuan'!CQ42="","",'Input Nilai Pengetahuan'!CQ42)</f>
        <v/>
      </c>
      <c r="E51" s="229" t="str">
        <f>IF('Input Nilai Pengetahuan'!CR42="","",'Input Nilai Pengetahuan'!CR42)</f>
        <v/>
      </c>
      <c r="F51" s="230" t="str">
        <f>IF('Input Nilai Pengetahuan'!CV42="","",'Input Nilai Pengetahuan'!CV42)</f>
        <v/>
      </c>
      <c r="G51" s="229" t="str">
        <f>IF('Input Nilai Ketrampilan'!BF42="","",'Input Nilai Ketrampilan'!BF42)</f>
        <v/>
      </c>
      <c r="H51" s="229" t="str">
        <f>IF('Input Nilai Ketrampilan'!BG42="","",'Input Nilai Ketrampilan'!BG42)</f>
        <v/>
      </c>
      <c r="I51" s="230" t="str">
        <f>IF('Input Nilai Ketrampilan'!BK42="","",'Input Nilai Ketrampilan'!BK42)</f>
        <v/>
      </c>
      <c r="J51" s="236" t="str">
        <f>IF('Input Nilai Sikap'!H44="","",'Input Nilai Sikap'!H44)</f>
        <v/>
      </c>
      <c r="K51" s="233" t="str">
        <f>IF('Input Nilai Sikap'!I44="","",'Input Nilai Sikap'!I44)</f>
        <v/>
      </c>
      <c r="L51" s="234" t="str">
        <f>IF('Input Nilai Sikap'!M44="","",'Input Nilai Sikap'!M44)</f>
        <v/>
      </c>
      <c r="M51" s="234" t="str">
        <f>IF('Input Nilai Sikap'!Q44="","",'Input Nilai Sikap'!Q44)</f>
        <v/>
      </c>
      <c r="N51" s="234" t="str">
        <f>IF('Input Nilai Sikap'!U44="","",'Input Nilai Sikap'!U44)</f>
        <v/>
      </c>
      <c r="O51" s="234" t="str">
        <f>IF('Input Nilai Sikap'!Y44="","",'Input Nilai Sikap'!Y44)</f>
        <v/>
      </c>
      <c r="P51" s="235" t="str">
        <f>IF('Input Nilai Sikap'!AC44="","",'Input Nilai Sikap'!AC44)</f>
        <v/>
      </c>
      <c r="Q51" s="235" t="str">
        <f>IF('Input Nilai Sikap'!AG44="","",'Input Nilai Sikap'!AG44)</f>
        <v/>
      </c>
      <c r="R51" s="235" t="str">
        <f>IF('Input Nilai Sikap'!AK44="","",'Input Nilai Sikap'!AK44)</f>
        <v/>
      </c>
      <c r="S51" s="233" t="str">
        <f>IF('Input Nilai Sikap'!AL44="","",'Input Nilai Sikap'!AL44)</f>
        <v/>
      </c>
    </row>
    <row r="52" spans="1:19" s="141" customFormat="1" ht="23.25" customHeight="1">
      <c r="A52" s="205">
        <f>'DATA SISWA'!A43</f>
        <v>0</v>
      </c>
      <c r="B52" s="205">
        <f>'DATA SISWA'!B43</f>
        <v>0</v>
      </c>
      <c r="C52" s="204">
        <f>'DATA SISWA'!C43</f>
        <v>0</v>
      </c>
      <c r="D52" s="229" t="str">
        <f>IF('Input Nilai Pengetahuan'!CQ43="","",'Input Nilai Pengetahuan'!CQ43)</f>
        <v/>
      </c>
      <c r="E52" s="229" t="str">
        <f>IF('Input Nilai Pengetahuan'!CR43="","",'Input Nilai Pengetahuan'!CR43)</f>
        <v/>
      </c>
      <c r="F52" s="230" t="str">
        <f>IF('Input Nilai Pengetahuan'!CV43="","",'Input Nilai Pengetahuan'!CV43)</f>
        <v/>
      </c>
      <c r="G52" s="229" t="str">
        <f>IF('Input Nilai Ketrampilan'!BF43="","",'Input Nilai Ketrampilan'!BF43)</f>
        <v/>
      </c>
      <c r="H52" s="229" t="str">
        <f>IF('Input Nilai Ketrampilan'!BG43="","",'Input Nilai Ketrampilan'!BG43)</f>
        <v/>
      </c>
      <c r="I52" s="230" t="str">
        <f>IF('Input Nilai Ketrampilan'!BK43="","",'Input Nilai Ketrampilan'!BK43)</f>
        <v/>
      </c>
      <c r="J52" s="236" t="str">
        <f>IF('Input Nilai Sikap'!H45="","",'Input Nilai Sikap'!H45)</f>
        <v/>
      </c>
      <c r="K52" s="233" t="str">
        <f>IF('Input Nilai Sikap'!I45="","",'Input Nilai Sikap'!I45)</f>
        <v/>
      </c>
      <c r="L52" s="234" t="str">
        <f>IF('Input Nilai Sikap'!M45="","",'Input Nilai Sikap'!M45)</f>
        <v/>
      </c>
      <c r="M52" s="234" t="str">
        <f>IF('Input Nilai Sikap'!Q45="","",'Input Nilai Sikap'!Q45)</f>
        <v/>
      </c>
      <c r="N52" s="234" t="str">
        <f>IF('Input Nilai Sikap'!U45="","",'Input Nilai Sikap'!U45)</f>
        <v/>
      </c>
      <c r="O52" s="234" t="str">
        <f>IF('Input Nilai Sikap'!Y45="","",'Input Nilai Sikap'!Y45)</f>
        <v/>
      </c>
      <c r="P52" s="235" t="str">
        <f>IF('Input Nilai Sikap'!AC45="","",'Input Nilai Sikap'!AC45)</f>
        <v/>
      </c>
      <c r="Q52" s="235" t="str">
        <f>IF('Input Nilai Sikap'!AG45="","",'Input Nilai Sikap'!AG45)</f>
        <v/>
      </c>
      <c r="R52" s="235" t="str">
        <f>IF('Input Nilai Sikap'!AK45="","",'Input Nilai Sikap'!AK45)</f>
        <v/>
      </c>
      <c r="S52" s="233" t="str">
        <f>IF('Input Nilai Sikap'!AL45="","",'Input Nilai Sikap'!AL45)</f>
        <v/>
      </c>
    </row>
    <row r="53" spans="1:19" s="141" customFormat="1" ht="23.25" customHeight="1">
      <c r="A53" s="205">
        <f>'DATA SISWA'!A44</f>
        <v>0</v>
      </c>
      <c r="B53" s="205">
        <f>'DATA SISWA'!B44</f>
        <v>0</v>
      </c>
      <c r="C53" s="204">
        <f>'DATA SISWA'!C44</f>
        <v>0</v>
      </c>
      <c r="D53" s="229" t="str">
        <f>IF('Input Nilai Pengetahuan'!CQ44="","",'Input Nilai Pengetahuan'!CQ44)</f>
        <v/>
      </c>
      <c r="E53" s="229" t="str">
        <f>IF('Input Nilai Pengetahuan'!CR44="","",'Input Nilai Pengetahuan'!CR44)</f>
        <v/>
      </c>
      <c r="F53" s="230" t="str">
        <f>IF('Input Nilai Pengetahuan'!CV44="","",'Input Nilai Pengetahuan'!CV44)</f>
        <v/>
      </c>
      <c r="G53" s="229" t="str">
        <f>IF('Input Nilai Ketrampilan'!BF44="","",'Input Nilai Ketrampilan'!BF44)</f>
        <v/>
      </c>
      <c r="H53" s="229" t="str">
        <f>IF('Input Nilai Ketrampilan'!BG44="","",'Input Nilai Ketrampilan'!BG44)</f>
        <v/>
      </c>
      <c r="I53" s="230" t="str">
        <f>IF('Input Nilai Ketrampilan'!BK44="","",'Input Nilai Ketrampilan'!BK44)</f>
        <v/>
      </c>
      <c r="J53" s="236" t="str">
        <f>IF('Input Nilai Sikap'!H46="","",'Input Nilai Sikap'!H46)</f>
        <v/>
      </c>
      <c r="K53" s="233" t="str">
        <f>IF('Input Nilai Sikap'!I46="","",'Input Nilai Sikap'!I46)</f>
        <v/>
      </c>
      <c r="L53" s="234" t="str">
        <f>IF('Input Nilai Sikap'!M46="","",'Input Nilai Sikap'!M46)</f>
        <v/>
      </c>
      <c r="M53" s="234" t="str">
        <f>IF('Input Nilai Sikap'!Q46="","",'Input Nilai Sikap'!Q46)</f>
        <v/>
      </c>
      <c r="N53" s="234" t="str">
        <f>IF('Input Nilai Sikap'!U46="","",'Input Nilai Sikap'!U46)</f>
        <v/>
      </c>
      <c r="O53" s="234" t="str">
        <f>IF('Input Nilai Sikap'!Y46="","",'Input Nilai Sikap'!Y46)</f>
        <v/>
      </c>
      <c r="P53" s="235" t="str">
        <f>IF('Input Nilai Sikap'!AC46="","",'Input Nilai Sikap'!AC46)</f>
        <v/>
      </c>
      <c r="Q53" s="235" t="str">
        <f>IF('Input Nilai Sikap'!AG46="","",'Input Nilai Sikap'!AG46)</f>
        <v/>
      </c>
      <c r="R53" s="235" t="str">
        <f>IF('Input Nilai Sikap'!AK46="","",'Input Nilai Sikap'!AK46)</f>
        <v/>
      </c>
      <c r="S53" s="233" t="str">
        <f>IF('Input Nilai Sikap'!AL46="","",'Input Nilai Sikap'!AL46)</f>
        <v/>
      </c>
    </row>
    <row r="54" spans="1:19" s="141" customFormat="1" ht="23.25" customHeight="1">
      <c r="A54" s="205">
        <f>'DATA SISWA'!A45</f>
        <v>0</v>
      </c>
      <c r="B54" s="205">
        <f>'DATA SISWA'!B45</f>
        <v>0</v>
      </c>
      <c r="C54" s="204">
        <f>'DATA SISWA'!C45</f>
        <v>0</v>
      </c>
      <c r="D54" s="229" t="str">
        <f>IF('Input Nilai Pengetahuan'!CQ45="","",'Input Nilai Pengetahuan'!CQ45)</f>
        <v/>
      </c>
      <c r="E54" s="229" t="str">
        <f>IF('Input Nilai Pengetahuan'!CR45="","",'Input Nilai Pengetahuan'!CR45)</f>
        <v/>
      </c>
      <c r="F54" s="230" t="str">
        <f>IF('Input Nilai Pengetahuan'!CV45="","",'Input Nilai Pengetahuan'!CV45)</f>
        <v/>
      </c>
      <c r="G54" s="229" t="str">
        <f>IF('Input Nilai Ketrampilan'!BF45="","",'Input Nilai Ketrampilan'!BF45)</f>
        <v/>
      </c>
      <c r="H54" s="229" t="str">
        <f>IF('Input Nilai Ketrampilan'!BG45="","",'Input Nilai Ketrampilan'!BG45)</f>
        <v/>
      </c>
      <c r="I54" s="230" t="str">
        <f>IF('Input Nilai Ketrampilan'!BK45="","",'Input Nilai Ketrampilan'!BK45)</f>
        <v/>
      </c>
      <c r="J54" s="236" t="str">
        <f>IF('Input Nilai Sikap'!H47="","",'Input Nilai Sikap'!H47)</f>
        <v/>
      </c>
      <c r="K54" s="233" t="str">
        <f>IF('Input Nilai Sikap'!I47="","",'Input Nilai Sikap'!I47)</f>
        <v/>
      </c>
      <c r="L54" s="234" t="str">
        <f>IF('Input Nilai Sikap'!M47="","",'Input Nilai Sikap'!M47)</f>
        <v/>
      </c>
      <c r="M54" s="234" t="str">
        <f>IF('Input Nilai Sikap'!Q47="","",'Input Nilai Sikap'!Q47)</f>
        <v/>
      </c>
      <c r="N54" s="234" t="str">
        <f>IF('Input Nilai Sikap'!U47="","",'Input Nilai Sikap'!U47)</f>
        <v/>
      </c>
      <c r="O54" s="234" t="str">
        <f>IF('Input Nilai Sikap'!Y47="","",'Input Nilai Sikap'!Y47)</f>
        <v/>
      </c>
      <c r="P54" s="235" t="str">
        <f>IF('Input Nilai Sikap'!AC47="","",'Input Nilai Sikap'!AC47)</f>
        <v/>
      </c>
      <c r="Q54" s="235" t="str">
        <f>IF('Input Nilai Sikap'!AG47="","",'Input Nilai Sikap'!AG47)</f>
        <v/>
      </c>
      <c r="R54" s="235" t="str">
        <f>IF('Input Nilai Sikap'!AK47="","",'Input Nilai Sikap'!AK47)</f>
        <v/>
      </c>
      <c r="S54" s="233" t="str">
        <f>IF('Input Nilai Sikap'!AL47="","",'Input Nilai Sikap'!AL47)</f>
        <v/>
      </c>
    </row>
    <row r="55" spans="1:19" s="141" customFormat="1" ht="23.25" customHeight="1">
      <c r="A55" s="205">
        <f>'DATA SISWA'!A46</f>
        <v>0</v>
      </c>
      <c r="B55" s="205">
        <f>'DATA SISWA'!B46</f>
        <v>0</v>
      </c>
      <c r="C55" s="204">
        <f>'DATA SISWA'!C46</f>
        <v>0</v>
      </c>
      <c r="D55" s="229" t="str">
        <f>IF('Input Nilai Pengetahuan'!CQ46="","",'Input Nilai Pengetahuan'!CQ46)</f>
        <v/>
      </c>
      <c r="E55" s="229" t="str">
        <f>IF('Input Nilai Pengetahuan'!CR46="","",'Input Nilai Pengetahuan'!CR46)</f>
        <v/>
      </c>
      <c r="F55" s="230" t="str">
        <f>IF('Input Nilai Pengetahuan'!CV46="","",'Input Nilai Pengetahuan'!CV46)</f>
        <v/>
      </c>
      <c r="G55" s="229" t="str">
        <f>IF('Input Nilai Ketrampilan'!BF46="","",'Input Nilai Ketrampilan'!BF46)</f>
        <v/>
      </c>
      <c r="H55" s="229" t="str">
        <f>IF('Input Nilai Ketrampilan'!BG46="","",'Input Nilai Ketrampilan'!BG46)</f>
        <v/>
      </c>
      <c r="I55" s="230" t="str">
        <f>IF('Input Nilai Ketrampilan'!BK46="","",'Input Nilai Ketrampilan'!BK46)</f>
        <v/>
      </c>
      <c r="J55" s="236" t="str">
        <f>IF('Input Nilai Sikap'!H48="","",'Input Nilai Sikap'!H48)</f>
        <v/>
      </c>
      <c r="K55" s="233" t="str">
        <f>IF('Input Nilai Sikap'!I48="","",'Input Nilai Sikap'!I48)</f>
        <v/>
      </c>
      <c r="L55" s="234" t="str">
        <f>IF('Input Nilai Sikap'!M48="","",'Input Nilai Sikap'!M48)</f>
        <v/>
      </c>
      <c r="M55" s="234" t="str">
        <f>IF('Input Nilai Sikap'!Q48="","",'Input Nilai Sikap'!Q48)</f>
        <v/>
      </c>
      <c r="N55" s="234" t="str">
        <f>IF('Input Nilai Sikap'!U48="","",'Input Nilai Sikap'!U48)</f>
        <v/>
      </c>
      <c r="O55" s="234" t="str">
        <f>IF('Input Nilai Sikap'!Y48="","",'Input Nilai Sikap'!Y48)</f>
        <v/>
      </c>
      <c r="P55" s="235" t="str">
        <f>IF('Input Nilai Sikap'!AC48="","",'Input Nilai Sikap'!AC48)</f>
        <v/>
      </c>
      <c r="Q55" s="235" t="str">
        <f>IF('Input Nilai Sikap'!AG48="","",'Input Nilai Sikap'!AG48)</f>
        <v/>
      </c>
      <c r="R55" s="235" t="str">
        <f>IF('Input Nilai Sikap'!AK48="","",'Input Nilai Sikap'!AK48)</f>
        <v/>
      </c>
      <c r="S55" s="233" t="str">
        <f>IF('Input Nilai Sikap'!AL48="","",'Input Nilai Sikap'!AL48)</f>
        <v/>
      </c>
    </row>
    <row r="56" spans="1:19" s="141" customFormat="1" ht="23.25" customHeight="1">
      <c r="A56" s="205">
        <f>'DATA SISWA'!A47</f>
        <v>0</v>
      </c>
      <c r="B56" s="205">
        <f>'DATA SISWA'!B47</f>
        <v>0</v>
      </c>
      <c r="C56" s="204">
        <f>'DATA SISWA'!C47</f>
        <v>0</v>
      </c>
      <c r="D56" s="229" t="str">
        <f>IF('Input Nilai Pengetahuan'!CQ47="","",'Input Nilai Pengetahuan'!CQ47)</f>
        <v/>
      </c>
      <c r="E56" s="229" t="str">
        <f>IF('Input Nilai Pengetahuan'!CR47="","",'Input Nilai Pengetahuan'!CR47)</f>
        <v/>
      </c>
      <c r="F56" s="230" t="str">
        <f>IF('Input Nilai Pengetahuan'!CV47="","",'Input Nilai Pengetahuan'!CV47)</f>
        <v/>
      </c>
      <c r="G56" s="229" t="str">
        <f>IF('Input Nilai Ketrampilan'!BF47="","",'Input Nilai Ketrampilan'!BF47)</f>
        <v/>
      </c>
      <c r="H56" s="229" t="str">
        <f>IF('Input Nilai Ketrampilan'!BG47="","",'Input Nilai Ketrampilan'!BG47)</f>
        <v/>
      </c>
      <c r="I56" s="230" t="str">
        <f>IF('Input Nilai Ketrampilan'!BK47="","",'Input Nilai Ketrampilan'!BK47)</f>
        <v/>
      </c>
      <c r="J56" s="236" t="str">
        <f>IF('Input Nilai Sikap'!H49="","",'Input Nilai Sikap'!H49)</f>
        <v/>
      </c>
      <c r="K56" s="233" t="str">
        <f>IF('Input Nilai Sikap'!I49="","",'Input Nilai Sikap'!I49)</f>
        <v/>
      </c>
      <c r="L56" s="234" t="str">
        <f>IF('Input Nilai Sikap'!M49="","",'Input Nilai Sikap'!M49)</f>
        <v/>
      </c>
      <c r="M56" s="234" t="str">
        <f>IF('Input Nilai Sikap'!Q49="","",'Input Nilai Sikap'!Q49)</f>
        <v/>
      </c>
      <c r="N56" s="234" t="str">
        <f>IF('Input Nilai Sikap'!U49="","",'Input Nilai Sikap'!U49)</f>
        <v/>
      </c>
      <c r="O56" s="234" t="str">
        <f>IF('Input Nilai Sikap'!Y49="","",'Input Nilai Sikap'!Y49)</f>
        <v/>
      </c>
      <c r="P56" s="235" t="str">
        <f>IF('Input Nilai Sikap'!AC49="","",'Input Nilai Sikap'!AC49)</f>
        <v/>
      </c>
      <c r="Q56" s="235" t="str">
        <f>IF('Input Nilai Sikap'!AG49="","",'Input Nilai Sikap'!AG49)</f>
        <v/>
      </c>
      <c r="R56" s="235" t="str">
        <f>IF('Input Nilai Sikap'!AK49="","",'Input Nilai Sikap'!AK49)</f>
        <v/>
      </c>
      <c r="S56" s="233" t="str">
        <f>IF('Input Nilai Sikap'!AL49="","",'Input Nilai Sikap'!AL49)</f>
        <v/>
      </c>
    </row>
    <row r="57" spans="1:19" s="141" customFormat="1" ht="23.25" customHeight="1">
      <c r="A57" s="205">
        <f>'DATA SISWA'!A48</f>
        <v>0</v>
      </c>
      <c r="B57" s="205">
        <f>'DATA SISWA'!B48</f>
        <v>0</v>
      </c>
      <c r="C57" s="204">
        <f>'DATA SISWA'!C48</f>
        <v>0</v>
      </c>
      <c r="D57" s="229" t="str">
        <f>IF('Input Nilai Pengetahuan'!CQ48="","",'Input Nilai Pengetahuan'!CQ48)</f>
        <v/>
      </c>
      <c r="E57" s="229" t="str">
        <f>IF('Input Nilai Pengetahuan'!CR48="","",'Input Nilai Pengetahuan'!CR48)</f>
        <v/>
      </c>
      <c r="F57" s="230" t="str">
        <f>IF('Input Nilai Pengetahuan'!CV48="","",'Input Nilai Pengetahuan'!CV48)</f>
        <v/>
      </c>
      <c r="G57" s="229" t="str">
        <f>IF('Input Nilai Ketrampilan'!BF48="","",'Input Nilai Ketrampilan'!BF48)</f>
        <v/>
      </c>
      <c r="H57" s="229" t="str">
        <f>IF('Input Nilai Ketrampilan'!BG48="","",'Input Nilai Ketrampilan'!BG48)</f>
        <v/>
      </c>
      <c r="I57" s="230" t="str">
        <f>IF('Input Nilai Ketrampilan'!BK48="","",'Input Nilai Ketrampilan'!BK48)</f>
        <v/>
      </c>
      <c r="J57" s="236" t="str">
        <f>IF('Input Nilai Sikap'!H50="","",'Input Nilai Sikap'!H50)</f>
        <v/>
      </c>
      <c r="K57" s="233" t="str">
        <f>IF('Input Nilai Sikap'!I50="","",'Input Nilai Sikap'!I50)</f>
        <v/>
      </c>
      <c r="L57" s="234" t="str">
        <f>IF('Input Nilai Sikap'!M50="","",'Input Nilai Sikap'!M50)</f>
        <v/>
      </c>
      <c r="M57" s="234" t="str">
        <f>IF('Input Nilai Sikap'!Q50="","",'Input Nilai Sikap'!Q50)</f>
        <v/>
      </c>
      <c r="N57" s="234" t="str">
        <f>IF('Input Nilai Sikap'!U50="","",'Input Nilai Sikap'!U50)</f>
        <v/>
      </c>
      <c r="O57" s="234" t="str">
        <f>IF('Input Nilai Sikap'!Y50="","",'Input Nilai Sikap'!Y50)</f>
        <v/>
      </c>
      <c r="P57" s="235" t="str">
        <f>IF('Input Nilai Sikap'!AC50="","",'Input Nilai Sikap'!AC50)</f>
        <v/>
      </c>
      <c r="Q57" s="235" t="str">
        <f>IF('Input Nilai Sikap'!AG50="","",'Input Nilai Sikap'!AG50)</f>
        <v/>
      </c>
      <c r="R57" s="235" t="str">
        <f>IF('Input Nilai Sikap'!AK50="","",'Input Nilai Sikap'!AK50)</f>
        <v/>
      </c>
      <c r="S57" s="233" t="str">
        <f>IF('Input Nilai Sikap'!AL50="","",'Input Nilai Sikap'!AL50)</f>
        <v/>
      </c>
    </row>
    <row r="58" spans="1:19" s="141" customFormat="1" ht="23.25" customHeight="1">
      <c r="A58" s="205">
        <f>'DATA SISWA'!A49</f>
        <v>0</v>
      </c>
      <c r="B58" s="205">
        <f>'DATA SISWA'!B49</f>
        <v>0</v>
      </c>
      <c r="C58" s="204">
        <f>'DATA SISWA'!C49</f>
        <v>0</v>
      </c>
      <c r="D58" s="229" t="str">
        <f>IF('Input Nilai Pengetahuan'!CQ49="","",'Input Nilai Pengetahuan'!CQ49)</f>
        <v/>
      </c>
      <c r="E58" s="229" t="str">
        <f>IF('Input Nilai Pengetahuan'!CR49="","",'Input Nilai Pengetahuan'!CR49)</f>
        <v/>
      </c>
      <c r="F58" s="230" t="str">
        <f>IF('Input Nilai Pengetahuan'!CV49="","",'Input Nilai Pengetahuan'!CV49)</f>
        <v/>
      </c>
      <c r="G58" s="229" t="str">
        <f>IF('Input Nilai Ketrampilan'!BF49="","",'Input Nilai Ketrampilan'!BF49)</f>
        <v/>
      </c>
      <c r="H58" s="229" t="str">
        <f>IF('Input Nilai Ketrampilan'!BG49="","",'Input Nilai Ketrampilan'!BG49)</f>
        <v/>
      </c>
      <c r="I58" s="230" t="str">
        <f>IF('Input Nilai Ketrampilan'!BK49="","",'Input Nilai Ketrampilan'!BK49)</f>
        <v/>
      </c>
      <c r="J58" s="236" t="str">
        <f>IF('Input Nilai Sikap'!H51="","",'Input Nilai Sikap'!H51)</f>
        <v/>
      </c>
      <c r="K58" s="233" t="str">
        <f>IF('Input Nilai Sikap'!I51="","",'Input Nilai Sikap'!I51)</f>
        <v/>
      </c>
      <c r="L58" s="234" t="str">
        <f>IF('Input Nilai Sikap'!M51="","",'Input Nilai Sikap'!M51)</f>
        <v/>
      </c>
      <c r="M58" s="234" t="str">
        <f>IF('Input Nilai Sikap'!Q51="","",'Input Nilai Sikap'!Q51)</f>
        <v/>
      </c>
      <c r="N58" s="234" t="str">
        <f>IF('Input Nilai Sikap'!U51="","",'Input Nilai Sikap'!U51)</f>
        <v/>
      </c>
      <c r="O58" s="234" t="str">
        <f>IF('Input Nilai Sikap'!Y51="","",'Input Nilai Sikap'!Y51)</f>
        <v/>
      </c>
      <c r="P58" s="235" t="str">
        <f>IF('Input Nilai Sikap'!AC51="","",'Input Nilai Sikap'!AC51)</f>
        <v/>
      </c>
      <c r="Q58" s="235" t="str">
        <f>IF('Input Nilai Sikap'!AG51="","",'Input Nilai Sikap'!AG51)</f>
        <v/>
      </c>
      <c r="R58" s="235" t="str">
        <f>IF('Input Nilai Sikap'!AK51="","",'Input Nilai Sikap'!AK51)</f>
        <v/>
      </c>
      <c r="S58" s="233" t="str">
        <f>IF('Input Nilai Sikap'!AL51="","",'Input Nilai Sikap'!AL51)</f>
        <v/>
      </c>
    </row>
    <row r="59" spans="1:19" s="141" customFormat="1" ht="23.25" customHeight="1">
      <c r="A59" s="205">
        <f>'DATA SISWA'!A50</f>
        <v>0</v>
      </c>
      <c r="B59" s="205">
        <f>'DATA SISWA'!B50</f>
        <v>0</v>
      </c>
      <c r="C59" s="204">
        <f>'DATA SISWA'!C50</f>
        <v>0</v>
      </c>
      <c r="D59" s="229" t="str">
        <f>IF('Input Nilai Pengetahuan'!CQ50="","",'Input Nilai Pengetahuan'!CQ50)</f>
        <v/>
      </c>
      <c r="E59" s="229" t="str">
        <f>IF('Input Nilai Pengetahuan'!CR50="","",'Input Nilai Pengetahuan'!CR50)</f>
        <v/>
      </c>
      <c r="F59" s="230" t="str">
        <f>IF('Input Nilai Pengetahuan'!CV50="","",'Input Nilai Pengetahuan'!CV50)</f>
        <v/>
      </c>
      <c r="G59" s="229" t="str">
        <f>IF('Input Nilai Ketrampilan'!BF50="","",'Input Nilai Ketrampilan'!BF50)</f>
        <v/>
      </c>
      <c r="H59" s="229" t="str">
        <f>IF('Input Nilai Ketrampilan'!BG50="","",'Input Nilai Ketrampilan'!BG50)</f>
        <v/>
      </c>
      <c r="I59" s="230" t="str">
        <f>IF('Input Nilai Ketrampilan'!BK50="","",'Input Nilai Ketrampilan'!BK50)</f>
        <v/>
      </c>
      <c r="J59" s="236" t="str">
        <f>IF('Input Nilai Sikap'!H52="","",'Input Nilai Sikap'!H52)</f>
        <v/>
      </c>
      <c r="K59" s="233" t="str">
        <f>IF('Input Nilai Sikap'!I52="","",'Input Nilai Sikap'!I52)</f>
        <v/>
      </c>
      <c r="L59" s="234" t="str">
        <f>IF('Input Nilai Sikap'!M52="","",'Input Nilai Sikap'!M52)</f>
        <v/>
      </c>
      <c r="M59" s="234" t="str">
        <f>IF('Input Nilai Sikap'!Q52="","",'Input Nilai Sikap'!Q52)</f>
        <v/>
      </c>
      <c r="N59" s="234" t="str">
        <f>IF('Input Nilai Sikap'!U52="","",'Input Nilai Sikap'!U52)</f>
        <v/>
      </c>
      <c r="O59" s="234" t="str">
        <f>IF('Input Nilai Sikap'!Y52="","",'Input Nilai Sikap'!Y52)</f>
        <v/>
      </c>
      <c r="P59" s="235" t="str">
        <f>IF('Input Nilai Sikap'!AC52="","",'Input Nilai Sikap'!AC52)</f>
        <v/>
      </c>
      <c r="Q59" s="235" t="str">
        <f>IF('Input Nilai Sikap'!AG52="","",'Input Nilai Sikap'!AG52)</f>
        <v/>
      </c>
      <c r="R59" s="235" t="str">
        <f>IF('Input Nilai Sikap'!AK52="","",'Input Nilai Sikap'!AK52)</f>
        <v/>
      </c>
      <c r="S59" s="233" t="str">
        <f>IF('Input Nilai Sikap'!AL52="","",'Input Nilai Sikap'!AL52)</f>
        <v/>
      </c>
    </row>
    <row r="60" spans="1:19" s="141" customFormat="1" ht="23.25" customHeight="1">
      <c r="A60" s="205">
        <f>'DATA SISWA'!A51</f>
        <v>0</v>
      </c>
      <c r="B60" s="205">
        <f>'DATA SISWA'!B51</f>
        <v>0</v>
      </c>
      <c r="C60" s="204">
        <f>'DATA SISWA'!C51</f>
        <v>0</v>
      </c>
      <c r="D60" s="229" t="str">
        <f>IF('Input Nilai Pengetahuan'!CQ51="","",'Input Nilai Pengetahuan'!CQ51)</f>
        <v/>
      </c>
      <c r="E60" s="229" t="str">
        <f>IF('Input Nilai Pengetahuan'!CR51="","",'Input Nilai Pengetahuan'!CR51)</f>
        <v/>
      </c>
      <c r="F60" s="230" t="str">
        <f>IF('Input Nilai Pengetahuan'!CV51="","",'Input Nilai Pengetahuan'!CV51)</f>
        <v/>
      </c>
      <c r="G60" s="229" t="str">
        <f>IF('Input Nilai Ketrampilan'!BF51="","",'Input Nilai Ketrampilan'!BF51)</f>
        <v/>
      </c>
      <c r="H60" s="229" t="str">
        <f>IF('Input Nilai Ketrampilan'!BG51="","",'Input Nilai Ketrampilan'!BG51)</f>
        <v/>
      </c>
      <c r="I60" s="230" t="str">
        <f>IF('Input Nilai Ketrampilan'!BK51="","",'Input Nilai Ketrampilan'!BK51)</f>
        <v/>
      </c>
      <c r="J60" s="236" t="str">
        <f>IF('Input Nilai Sikap'!H53="","",'Input Nilai Sikap'!H53)</f>
        <v/>
      </c>
      <c r="K60" s="233" t="str">
        <f>IF('Input Nilai Sikap'!I53="","",'Input Nilai Sikap'!I53)</f>
        <v/>
      </c>
      <c r="L60" s="234" t="str">
        <f>IF('Input Nilai Sikap'!M53="","",'Input Nilai Sikap'!M53)</f>
        <v/>
      </c>
      <c r="M60" s="234" t="str">
        <f>IF('Input Nilai Sikap'!Q53="","",'Input Nilai Sikap'!Q53)</f>
        <v/>
      </c>
      <c r="N60" s="234" t="str">
        <f>IF('Input Nilai Sikap'!U53="","",'Input Nilai Sikap'!U53)</f>
        <v/>
      </c>
      <c r="O60" s="234" t="str">
        <f>IF('Input Nilai Sikap'!Y53="","",'Input Nilai Sikap'!Y53)</f>
        <v/>
      </c>
      <c r="P60" s="235" t="str">
        <f>IF('Input Nilai Sikap'!AC53="","",'Input Nilai Sikap'!AC53)</f>
        <v/>
      </c>
      <c r="Q60" s="235" t="str">
        <f>IF('Input Nilai Sikap'!AG53="","",'Input Nilai Sikap'!AG53)</f>
        <v/>
      </c>
      <c r="R60" s="235" t="str">
        <f>IF('Input Nilai Sikap'!AK53="","",'Input Nilai Sikap'!AK53)</f>
        <v/>
      </c>
      <c r="S60" s="233" t="str">
        <f>IF('Input Nilai Sikap'!AL53="","",'Input Nilai Sikap'!AL53)</f>
        <v/>
      </c>
    </row>
    <row r="61" spans="1:19" s="141" customFormat="1" ht="23.25" customHeight="1">
      <c r="A61" s="205">
        <f>'DATA SISWA'!A52</f>
        <v>0</v>
      </c>
      <c r="B61" s="205">
        <f>'DATA SISWA'!B52</f>
        <v>0</v>
      </c>
      <c r="C61" s="204">
        <f>'DATA SISWA'!C52</f>
        <v>0</v>
      </c>
      <c r="D61" s="229" t="str">
        <f>IF('Input Nilai Pengetahuan'!CQ52="","",'Input Nilai Pengetahuan'!CQ52)</f>
        <v/>
      </c>
      <c r="E61" s="229" t="str">
        <f>IF('Input Nilai Pengetahuan'!CR52="","",'Input Nilai Pengetahuan'!CR52)</f>
        <v/>
      </c>
      <c r="F61" s="230" t="str">
        <f>IF('Input Nilai Pengetahuan'!CV52="","",'Input Nilai Pengetahuan'!CV52)</f>
        <v/>
      </c>
      <c r="G61" s="229" t="str">
        <f>IF('Input Nilai Ketrampilan'!BF52="","",'Input Nilai Ketrampilan'!BF52)</f>
        <v/>
      </c>
      <c r="H61" s="229" t="str">
        <f>IF('Input Nilai Ketrampilan'!BG52="","",'Input Nilai Ketrampilan'!BG52)</f>
        <v/>
      </c>
      <c r="I61" s="230" t="str">
        <f>IF('Input Nilai Ketrampilan'!BK52="","",'Input Nilai Ketrampilan'!BK52)</f>
        <v/>
      </c>
      <c r="J61" s="236" t="str">
        <f>IF('Input Nilai Sikap'!H54="","",'Input Nilai Sikap'!H54)</f>
        <v/>
      </c>
      <c r="K61" s="233" t="str">
        <f>IF('Input Nilai Sikap'!I54="","",'Input Nilai Sikap'!I54)</f>
        <v/>
      </c>
      <c r="L61" s="234" t="str">
        <f>IF('Input Nilai Sikap'!M54="","",'Input Nilai Sikap'!M54)</f>
        <v/>
      </c>
      <c r="M61" s="234" t="str">
        <f>IF('Input Nilai Sikap'!Q54="","",'Input Nilai Sikap'!Q54)</f>
        <v/>
      </c>
      <c r="N61" s="234" t="str">
        <f>IF('Input Nilai Sikap'!U54="","",'Input Nilai Sikap'!U54)</f>
        <v/>
      </c>
      <c r="O61" s="234" t="str">
        <f>IF('Input Nilai Sikap'!Y54="","",'Input Nilai Sikap'!Y54)</f>
        <v/>
      </c>
      <c r="P61" s="235" t="str">
        <f>IF('Input Nilai Sikap'!AC54="","",'Input Nilai Sikap'!AC54)</f>
        <v/>
      </c>
      <c r="Q61" s="235" t="str">
        <f>IF('Input Nilai Sikap'!AG54="","",'Input Nilai Sikap'!AG54)</f>
        <v/>
      </c>
      <c r="R61" s="235" t="str">
        <f>IF('Input Nilai Sikap'!AK54="","",'Input Nilai Sikap'!AK54)</f>
        <v/>
      </c>
      <c r="S61" s="233" t="str">
        <f>IF('Input Nilai Sikap'!AL54="","",'Input Nilai Sikap'!AL54)</f>
        <v/>
      </c>
    </row>
    <row r="62" spans="1:19">
      <c r="A62" s="152"/>
      <c r="B62" s="152"/>
      <c r="C62" s="152" t="s">
        <v>276</v>
      </c>
      <c r="D62" s="123" t="str">
        <f>IF('Input Nilai Pengetahuan'!CP50="","",'Input Nilai Pengetahuan'!CP50)</f>
        <v/>
      </c>
      <c r="E62" s="255"/>
      <c r="F62" s="255"/>
      <c r="G62" s="124">
        <f>IFERROR(AVERAGE(G14:G53),"")</f>
        <v>79.2</v>
      </c>
      <c r="H62" s="255"/>
      <c r="I62" s="255"/>
      <c r="J62" s="255"/>
      <c r="K62" s="255"/>
      <c r="L62" s="255"/>
      <c r="M62" s="255"/>
      <c r="N62" s="255"/>
      <c r="O62" s="255"/>
      <c r="P62" s="124">
        <f>IFERROR(AVERAGE(P14:P53),"")</f>
        <v>3</v>
      </c>
      <c r="Q62" s="255"/>
      <c r="R62" s="255"/>
      <c r="S62" s="256"/>
    </row>
    <row r="63" spans="1:19">
      <c r="A63" s="85"/>
      <c r="B63" s="85"/>
    </row>
    <row r="64" spans="1:19"/>
    <row r="65" ht="15" customHeight="1"/>
    <row r="66" ht="15" customHeight="1"/>
    <row r="67" ht="15" customHeight="1"/>
    <row r="68" ht="15" customHeight="1"/>
    <row r="69" ht="15" customHeight="1"/>
  </sheetData>
  <sheetProtection password="D05F" sheet="1" objects="1" scenarios="1" formatCells="0" formatColumns="0" formatRows="0" insertColumns="0" insertRows="0" insertHyperlinks="0" deleteColumns="0" deleteRows="0"/>
  <mergeCells count="13">
    <mergeCell ref="P10:Q10"/>
    <mergeCell ref="A12:A13"/>
    <mergeCell ref="C12:C13"/>
    <mergeCell ref="D12:F12"/>
    <mergeCell ref="G12:I12"/>
    <mergeCell ref="B12:B13"/>
    <mergeCell ref="J12:K12"/>
    <mergeCell ref="D1:S1"/>
    <mergeCell ref="D2:S2"/>
    <mergeCell ref="D3:S3"/>
    <mergeCell ref="D4:S6"/>
    <mergeCell ref="D9:E9"/>
    <mergeCell ref="P9:Q9"/>
  </mergeCells>
  <pageMargins left="0.70866141732283472" right="0.70866141732283472" top="0.47244094488188981" bottom="0.74803149606299213" header="0.31496062992125984" footer="0.31496062992125984"/>
  <pageSetup paperSize="513" scale="85" orientation="landscape" horizontalDpi="4294967293" verticalDpi="0" r:id="rId1"/>
  <drawing r:id="rId2"/>
</worksheet>
</file>

<file path=xl/worksheets/sheet8.xml><?xml version="1.0" encoding="utf-8"?>
<worksheet xmlns="http://schemas.openxmlformats.org/spreadsheetml/2006/main" xmlns:r="http://schemas.openxmlformats.org/officeDocument/2006/relationships">
  <sheetPr codeName="Sheet16"/>
  <dimension ref="A1:U55"/>
  <sheetViews>
    <sheetView zoomScale="120" zoomScaleNormal="120" workbookViewId="0">
      <pane xSplit="5" ySplit="7" topLeftCell="F11" activePane="bottomRight" state="frozen"/>
      <selection pane="topRight" activeCell="F1" sqref="F1"/>
      <selection pane="bottomLeft" activeCell="A6" sqref="A6"/>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42578125" style="95" customWidth="1"/>
    <col min="22" max="16384" width="9.140625" style="95"/>
  </cols>
  <sheetData>
    <row r="1" spans="1:21" ht="28.5">
      <c r="A1" s="194" t="str">
        <f>"DAFTAR NILAI"&amp;" "&amp;menu!D14</f>
        <v>DAFTAR NILAI VII</v>
      </c>
    </row>
    <row r="2" spans="1:21" ht="21" customHeight="1">
      <c r="A2" s="228" t="str">
        <f>menu!D13</f>
        <v>BHS INGGRIS</v>
      </c>
    </row>
    <row r="4" spans="1:21" ht="21" customHeight="1">
      <c r="A4" s="501" t="s">
        <v>15</v>
      </c>
      <c r="B4" s="501" t="s">
        <v>16</v>
      </c>
      <c r="C4" s="504" t="s">
        <v>0</v>
      </c>
      <c r="D4" s="505" t="s">
        <v>1</v>
      </c>
      <c r="E4" s="506" t="s">
        <v>17</v>
      </c>
      <c r="F4" s="549"/>
      <c r="G4" s="549"/>
      <c r="H4" s="549"/>
      <c r="I4" s="549"/>
      <c r="J4" s="549"/>
      <c r="K4" s="549"/>
      <c r="L4" s="549"/>
      <c r="M4" s="505" t="s">
        <v>450</v>
      </c>
      <c r="N4" s="550"/>
      <c r="O4" s="550"/>
      <c r="P4" s="550"/>
      <c r="Q4" s="550"/>
      <c r="R4" s="550"/>
      <c r="S4" s="550"/>
      <c r="T4" s="550"/>
      <c r="U4" s="505" t="s">
        <v>451</v>
      </c>
    </row>
    <row r="5" spans="1:21" ht="18.75" customHeight="1">
      <c r="A5" s="502"/>
      <c r="B5" s="502"/>
      <c r="C5" s="504"/>
      <c r="D5" s="505"/>
      <c r="E5" s="507"/>
      <c r="F5" s="550"/>
      <c r="G5" s="550"/>
      <c r="H5" s="550"/>
      <c r="I5" s="550"/>
      <c r="J5" s="550"/>
      <c r="K5" s="550"/>
      <c r="L5" s="550"/>
      <c r="M5" s="505"/>
      <c r="N5" s="550"/>
      <c r="O5" s="550"/>
      <c r="P5" s="550"/>
      <c r="Q5" s="550"/>
      <c r="R5" s="550"/>
      <c r="S5" s="550"/>
      <c r="T5" s="550"/>
      <c r="U5" s="505"/>
    </row>
    <row r="6" spans="1:21" s="98" customFormat="1" ht="81" customHeight="1">
      <c r="A6" s="503"/>
      <c r="B6" s="503"/>
      <c r="C6" s="504"/>
      <c r="D6" s="505"/>
      <c r="E6" s="508"/>
      <c r="F6" s="96" t="s">
        <v>5</v>
      </c>
      <c r="G6" s="96" t="s">
        <v>3</v>
      </c>
      <c r="H6" s="97" t="s">
        <v>4</v>
      </c>
      <c r="I6" s="96" t="s">
        <v>32</v>
      </c>
      <c r="J6" s="96" t="s">
        <v>460</v>
      </c>
      <c r="K6" s="96" t="s">
        <v>50</v>
      </c>
      <c r="L6" s="96" t="s">
        <v>51</v>
      </c>
      <c r="M6" s="505"/>
      <c r="N6" s="96" t="s">
        <v>5</v>
      </c>
      <c r="O6" s="96" t="s">
        <v>3</v>
      </c>
      <c r="P6" s="97" t="s">
        <v>4</v>
      </c>
      <c r="Q6" s="96" t="s">
        <v>32</v>
      </c>
      <c r="R6" s="96" t="s">
        <v>460</v>
      </c>
      <c r="S6" s="96" t="s">
        <v>50</v>
      </c>
      <c r="T6" s="96" t="s">
        <v>51</v>
      </c>
      <c r="U6" s="505"/>
    </row>
    <row r="7" spans="1:21" ht="18.75" customHeight="1">
      <c r="A7" s="304">
        <v>1</v>
      </c>
      <c r="B7" s="304">
        <v>2</v>
      </c>
      <c r="C7" s="304">
        <v>3</v>
      </c>
      <c r="D7" s="304">
        <v>4</v>
      </c>
      <c r="E7" s="304">
        <v>5</v>
      </c>
      <c r="F7" s="304">
        <v>6</v>
      </c>
      <c r="G7" s="304">
        <v>7</v>
      </c>
      <c r="H7" s="304">
        <v>8</v>
      </c>
      <c r="I7" s="304">
        <v>10</v>
      </c>
      <c r="J7" s="304">
        <v>11</v>
      </c>
      <c r="K7" s="304">
        <v>12</v>
      </c>
      <c r="L7" s="304">
        <v>13</v>
      </c>
      <c r="M7" s="304">
        <v>14</v>
      </c>
      <c r="N7" s="304">
        <v>15</v>
      </c>
      <c r="O7" s="304">
        <v>16</v>
      </c>
      <c r="P7" s="304">
        <v>17</v>
      </c>
      <c r="Q7" s="304">
        <v>19</v>
      </c>
      <c r="R7" s="304">
        <v>20</v>
      </c>
      <c r="S7" s="304">
        <v>21</v>
      </c>
      <c r="T7" s="304">
        <v>22</v>
      </c>
      <c r="U7" s="304">
        <v>23</v>
      </c>
    </row>
    <row r="8" spans="1:21">
      <c r="A8" s="105">
        <f>'DATA SISWA'!A5</f>
        <v>1</v>
      </c>
      <c r="B8" s="105" t="str">
        <f>'DATA SISWA'!B5</f>
        <v>`017</v>
      </c>
      <c r="C8" s="105" t="str">
        <f>'DATA SISWA'!C5</f>
        <v>Abd. Muis</v>
      </c>
      <c r="D8" s="105" t="str">
        <f>'DATA SISWA'!D5</f>
        <v>L</v>
      </c>
      <c r="E8" s="105" t="str">
        <f>'DATA SISWA'!E5</f>
        <v>VII</v>
      </c>
      <c r="F8" s="101"/>
      <c r="G8" s="101"/>
      <c r="H8" s="101"/>
      <c r="I8" s="321"/>
      <c r="J8" s="322"/>
      <c r="K8" s="101"/>
      <c r="L8" s="101"/>
      <c r="M8" s="105"/>
      <c r="N8" s="101"/>
      <c r="O8" s="101"/>
      <c r="P8" s="101"/>
      <c r="Q8" s="321"/>
      <c r="R8" s="322"/>
      <c r="S8" s="101"/>
      <c r="T8" s="101"/>
      <c r="U8" s="105"/>
    </row>
    <row r="9" spans="1:21">
      <c r="A9" s="105">
        <f>'DATA SISWA'!A6</f>
        <v>2</v>
      </c>
      <c r="B9" s="105" t="str">
        <f>'DATA SISWA'!B6</f>
        <v>`008</v>
      </c>
      <c r="C9" s="105" t="str">
        <f>'DATA SISWA'!C6</f>
        <v>Achmad Buka</v>
      </c>
      <c r="D9" s="105" t="str">
        <f>'DATA SISWA'!D6</f>
        <v>L</v>
      </c>
      <c r="E9" s="105" t="str">
        <f>'DATA SISWA'!E6</f>
        <v>VII</v>
      </c>
      <c r="F9" s="101"/>
      <c r="G9" s="101"/>
      <c r="H9" s="101"/>
      <c r="I9" s="321"/>
      <c r="J9" s="322"/>
      <c r="K9" s="101"/>
      <c r="L9" s="101"/>
      <c r="M9" s="105"/>
      <c r="N9" s="101"/>
      <c r="O9" s="101"/>
      <c r="P9" s="101"/>
      <c r="Q9" s="321"/>
      <c r="R9" s="322"/>
      <c r="S9" s="101"/>
      <c r="T9" s="101"/>
      <c r="U9" s="105"/>
    </row>
    <row r="10" spans="1:21">
      <c r="A10" s="105">
        <f>'DATA SISWA'!A7</f>
        <v>3</v>
      </c>
      <c r="B10" s="105" t="str">
        <f>'DATA SISWA'!B7</f>
        <v>`014</v>
      </c>
      <c r="C10" s="105" t="str">
        <f>'DATA SISWA'!C7</f>
        <v>Bunami</v>
      </c>
      <c r="D10" s="105" t="str">
        <f>'DATA SISWA'!D7</f>
        <v>P</v>
      </c>
      <c r="E10" s="105" t="str">
        <f>'DATA SISWA'!E7</f>
        <v>VII</v>
      </c>
      <c r="F10" s="101"/>
      <c r="G10" s="101"/>
      <c r="H10" s="101"/>
      <c r="I10" s="321"/>
      <c r="J10" s="322"/>
      <c r="K10" s="101"/>
      <c r="L10" s="101"/>
      <c r="M10" s="105"/>
      <c r="N10" s="101"/>
      <c r="O10" s="101"/>
      <c r="P10" s="101"/>
      <c r="Q10" s="321"/>
      <c r="R10" s="322"/>
      <c r="S10" s="101"/>
      <c r="T10" s="101"/>
      <c r="U10" s="105"/>
    </row>
    <row r="11" spans="1:21">
      <c r="A11" s="105">
        <f>'DATA SISWA'!A8</f>
        <v>4</v>
      </c>
      <c r="B11" s="105" t="str">
        <f>'DATA SISWA'!B8</f>
        <v>`009</v>
      </c>
      <c r="C11" s="105" t="str">
        <f>'DATA SISWA'!C8</f>
        <v>Fatimatuz Zahroh</v>
      </c>
      <c r="D11" s="105" t="str">
        <f>'DATA SISWA'!D8</f>
        <v>P</v>
      </c>
      <c r="E11" s="105" t="str">
        <f>'DATA SISWA'!E8</f>
        <v>VII</v>
      </c>
      <c r="F11" s="101"/>
      <c r="G11" s="101"/>
      <c r="H11" s="101"/>
      <c r="I11" s="321"/>
      <c r="J11" s="322"/>
      <c r="K11" s="101"/>
      <c r="L11" s="101"/>
      <c r="M11" s="105"/>
      <c r="N11" s="101"/>
      <c r="O11" s="101"/>
      <c r="P11" s="101"/>
      <c r="Q11" s="321"/>
      <c r="R11" s="322"/>
      <c r="S11" s="101"/>
      <c r="T11" s="101"/>
      <c r="U11" s="105"/>
    </row>
    <row r="12" spans="1:21">
      <c r="A12" s="105">
        <f>'DATA SISWA'!A9</f>
        <v>5</v>
      </c>
      <c r="B12" s="105" t="str">
        <f>'DATA SISWA'!B9</f>
        <v>`003</v>
      </c>
      <c r="C12" s="105" t="str">
        <f>'DATA SISWA'!C9</f>
        <v>Fitriadi</v>
      </c>
      <c r="D12" s="105" t="str">
        <f>'DATA SISWA'!D9</f>
        <v>L</v>
      </c>
      <c r="E12" s="105" t="str">
        <f>'DATA SISWA'!E9</f>
        <v>VII</v>
      </c>
      <c r="F12" s="101"/>
      <c r="G12" s="101"/>
      <c r="H12" s="101"/>
      <c r="I12" s="321"/>
      <c r="J12" s="322"/>
      <c r="K12" s="101"/>
      <c r="L12" s="101"/>
      <c r="M12" s="105"/>
      <c r="N12" s="101"/>
      <c r="O12" s="101"/>
      <c r="P12" s="101"/>
      <c r="Q12" s="321"/>
      <c r="R12" s="322"/>
      <c r="S12" s="101"/>
      <c r="T12" s="101"/>
      <c r="U12" s="105"/>
    </row>
    <row r="13" spans="1:21">
      <c r="A13" s="105">
        <f>'DATA SISWA'!A10</f>
        <v>6</v>
      </c>
      <c r="B13" s="105" t="str">
        <f>'DATA SISWA'!B10</f>
        <v>`006</v>
      </c>
      <c r="C13" s="105" t="str">
        <f>'DATA SISWA'!C10</f>
        <v>Homsiyah</v>
      </c>
      <c r="D13" s="105" t="str">
        <f>'DATA SISWA'!D10</f>
        <v>P</v>
      </c>
      <c r="E13" s="105" t="str">
        <f>'DATA SISWA'!E10</f>
        <v>VII</v>
      </c>
      <c r="F13" s="101"/>
      <c r="G13" s="101"/>
      <c r="H13" s="101"/>
      <c r="I13" s="321"/>
      <c r="J13" s="322"/>
      <c r="K13" s="101"/>
      <c r="L13" s="101"/>
      <c r="M13" s="105"/>
      <c r="N13" s="101"/>
      <c r="O13" s="101"/>
      <c r="P13" s="101"/>
      <c r="Q13" s="321"/>
      <c r="R13" s="322"/>
      <c r="S13" s="101"/>
      <c r="T13" s="101"/>
      <c r="U13" s="105"/>
    </row>
    <row r="14" spans="1:21">
      <c r="A14" s="105">
        <f>'DATA SISWA'!A11</f>
        <v>7</v>
      </c>
      <c r="B14" s="105" t="str">
        <f>'DATA SISWA'!B11</f>
        <v>`002</v>
      </c>
      <c r="C14" s="105" t="str">
        <f>'DATA SISWA'!C11</f>
        <v>Insiyah</v>
      </c>
      <c r="D14" s="105" t="str">
        <f>'DATA SISWA'!D11</f>
        <v>P</v>
      </c>
      <c r="E14" s="105" t="str">
        <f>'DATA SISWA'!E11</f>
        <v>VII</v>
      </c>
      <c r="F14" s="101"/>
      <c r="G14" s="101"/>
      <c r="H14" s="101"/>
      <c r="I14" s="321"/>
      <c r="J14" s="322"/>
      <c r="K14" s="101"/>
      <c r="L14" s="101"/>
      <c r="M14" s="105"/>
      <c r="N14" s="101"/>
      <c r="O14" s="101"/>
      <c r="P14" s="101"/>
      <c r="Q14" s="321"/>
      <c r="R14" s="322"/>
      <c r="S14" s="101"/>
      <c r="T14" s="101"/>
      <c r="U14" s="105"/>
    </row>
    <row r="15" spans="1:21">
      <c r="A15" s="105">
        <f>'DATA SISWA'!A12</f>
        <v>8</v>
      </c>
      <c r="B15" s="105" t="str">
        <f>'DATA SISWA'!B12</f>
        <v>`010</v>
      </c>
      <c r="C15" s="105" t="str">
        <f>'DATA SISWA'!C12</f>
        <v>Saiful Jamil</v>
      </c>
      <c r="D15" s="105" t="str">
        <f>'DATA SISWA'!D12</f>
        <v>L</v>
      </c>
      <c r="E15" s="105" t="str">
        <f>'DATA SISWA'!E12</f>
        <v>VII</v>
      </c>
      <c r="F15" s="101"/>
      <c r="G15" s="101"/>
      <c r="H15" s="101"/>
      <c r="I15" s="321"/>
      <c r="J15" s="322"/>
      <c r="K15" s="101"/>
      <c r="L15" s="101"/>
      <c r="M15" s="105"/>
      <c r="N15" s="101"/>
      <c r="O15" s="101"/>
      <c r="P15" s="101"/>
      <c r="Q15" s="321"/>
      <c r="R15" s="322"/>
      <c r="S15" s="101"/>
      <c r="T15" s="101"/>
      <c r="U15" s="105"/>
    </row>
    <row r="16" spans="1:21">
      <c r="A16" s="105">
        <f>'DATA SISWA'!A13</f>
        <v>9</v>
      </c>
      <c r="B16" s="105" t="str">
        <f>'DATA SISWA'!B13</f>
        <v>`011</v>
      </c>
      <c r="C16" s="105" t="str">
        <f>'DATA SISWA'!C13</f>
        <v>Khusnun Nisa</v>
      </c>
      <c r="D16" s="105" t="str">
        <f>'DATA SISWA'!D13</f>
        <v>P</v>
      </c>
      <c r="E16" s="105" t="str">
        <f>'DATA SISWA'!E13</f>
        <v>VII</v>
      </c>
      <c r="F16" s="101"/>
      <c r="G16" s="101"/>
      <c r="H16" s="101"/>
      <c r="I16" s="321"/>
      <c r="J16" s="322"/>
      <c r="K16" s="101"/>
      <c r="L16" s="101"/>
      <c r="M16" s="105"/>
      <c r="N16" s="101"/>
      <c r="O16" s="101"/>
      <c r="P16" s="101"/>
      <c r="Q16" s="321"/>
      <c r="R16" s="322"/>
      <c r="S16" s="101"/>
      <c r="T16" s="101"/>
      <c r="U16" s="105"/>
    </row>
    <row r="17" spans="1:21">
      <c r="A17" s="105">
        <f>'DATA SISWA'!A14</f>
        <v>10</v>
      </c>
      <c r="B17" s="105" t="str">
        <f>'DATA SISWA'!B14</f>
        <v>`005</v>
      </c>
      <c r="C17" s="105" t="str">
        <f>'DATA SISWA'!C14</f>
        <v>Komariyah</v>
      </c>
      <c r="D17" s="105" t="str">
        <f>'DATA SISWA'!D14</f>
        <v>P</v>
      </c>
      <c r="E17" s="105" t="str">
        <f>'DATA SISWA'!E14</f>
        <v>VII</v>
      </c>
      <c r="F17" s="101"/>
      <c r="G17" s="101"/>
      <c r="H17" s="101"/>
      <c r="I17" s="321"/>
      <c r="J17" s="322"/>
      <c r="K17" s="101"/>
      <c r="L17" s="101"/>
      <c r="M17" s="105"/>
      <c r="N17" s="101"/>
      <c r="O17" s="101"/>
      <c r="P17" s="101"/>
      <c r="Q17" s="321"/>
      <c r="R17" s="322"/>
      <c r="S17" s="101"/>
      <c r="T17" s="101"/>
      <c r="U17" s="105"/>
    </row>
    <row r="18" spans="1:21">
      <c r="A18" s="105">
        <f>'DATA SISWA'!A15</f>
        <v>11</v>
      </c>
      <c r="B18" s="105" t="str">
        <f>'DATA SISWA'!B15</f>
        <v>`013</v>
      </c>
      <c r="C18" s="105" t="str">
        <f>'DATA SISWA'!C15</f>
        <v>Latifah</v>
      </c>
      <c r="D18" s="105" t="str">
        <f>'DATA SISWA'!D15</f>
        <v>P</v>
      </c>
      <c r="E18" s="105" t="str">
        <f>'DATA SISWA'!E15</f>
        <v>VII</v>
      </c>
      <c r="F18" s="101"/>
      <c r="G18" s="101"/>
      <c r="H18" s="101"/>
      <c r="I18" s="321"/>
      <c r="J18" s="322"/>
      <c r="K18" s="101"/>
      <c r="L18" s="101"/>
      <c r="M18" s="105"/>
      <c r="N18" s="101"/>
      <c r="O18" s="101"/>
      <c r="P18" s="101"/>
      <c r="Q18" s="321"/>
      <c r="R18" s="322"/>
      <c r="S18" s="101"/>
      <c r="T18" s="101"/>
      <c r="U18" s="105"/>
    </row>
    <row r="19" spans="1:21">
      <c r="A19" s="105">
        <f>'DATA SISWA'!A16</f>
        <v>12</v>
      </c>
      <c r="B19" s="105" t="str">
        <f>'DATA SISWA'!B16</f>
        <v>`018</v>
      </c>
      <c r="C19" s="105" t="str">
        <f>'DATA SISWA'!C16</f>
        <v>Maya</v>
      </c>
      <c r="D19" s="105" t="str">
        <f>'DATA SISWA'!D16</f>
        <v>P</v>
      </c>
      <c r="E19" s="105" t="str">
        <f>'DATA SISWA'!E16</f>
        <v>VII</v>
      </c>
      <c r="F19" s="101"/>
      <c r="G19" s="101"/>
      <c r="H19" s="101"/>
      <c r="I19" s="321"/>
      <c r="J19" s="322"/>
      <c r="K19" s="101"/>
      <c r="L19" s="101"/>
      <c r="M19" s="105"/>
      <c r="N19" s="101"/>
      <c r="O19" s="101"/>
      <c r="P19" s="101"/>
      <c r="Q19" s="321"/>
      <c r="R19" s="322"/>
      <c r="S19" s="101"/>
      <c r="T19" s="101"/>
      <c r="U19" s="105"/>
    </row>
    <row r="20" spans="1:21">
      <c r="A20" s="105">
        <f>'DATA SISWA'!A17</f>
        <v>13</v>
      </c>
      <c r="B20" s="105" t="str">
        <f>'DATA SISWA'!B17</f>
        <v>`016</v>
      </c>
      <c r="C20" s="105" t="str">
        <f>'DATA SISWA'!C17</f>
        <v>Ma`ruf</v>
      </c>
      <c r="D20" s="105" t="str">
        <f>'DATA SISWA'!D17</f>
        <v>L</v>
      </c>
      <c r="E20" s="105" t="str">
        <f>'DATA SISWA'!E17</f>
        <v>VII</v>
      </c>
      <c r="F20" s="101"/>
      <c r="G20" s="101"/>
      <c r="H20" s="101"/>
      <c r="I20" s="321"/>
      <c r="J20" s="322"/>
      <c r="K20" s="101"/>
      <c r="L20" s="101"/>
      <c r="M20" s="105"/>
      <c r="N20" s="101"/>
      <c r="O20" s="101"/>
      <c r="P20" s="101"/>
      <c r="Q20" s="321"/>
      <c r="R20" s="322"/>
      <c r="S20" s="101"/>
      <c r="T20" s="101"/>
      <c r="U20" s="105"/>
    </row>
    <row r="21" spans="1:21">
      <c r="A21" s="105">
        <f>'DATA SISWA'!A18</f>
        <v>14</v>
      </c>
      <c r="B21" s="105" t="str">
        <f>'DATA SISWA'!B18</f>
        <v>`020</v>
      </c>
      <c r="C21" s="105" t="str">
        <f>'DATA SISWA'!C18</f>
        <v>Nia Ramadani</v>
      </c>
      <c r="D21" s="105" t="str">
        <f>'DATA SISWA'!D18</f>
        <v>P</v>
      </c>
      <c r="E21" s="105" t="str">
        <f>'DATA SISWA'!E18</f>
        <v>VII</v>
      </c>
      <c r="F21" s="101"/>
      <c r="G21" s="101"/>
      <c r="H21" s="101"/>
      <c r="I21" s="321"/>
      <c r="J21" s="322"/>
      <c r="K21" s="101"/>
      <c r="L21" s="101"/>
      <c r="M21" s="105"/>
      <c r="N21" s="101"/>
      <c r="O21" s="101"/>
      <c r="P21" s="101"/>
      <c r="Q21" s="321"/>
      <c r="R21" s="322"/>
      <c r="S21" s="101"/>
      <c r="T21" s="101"/>
      <c r="U21" s="105"/>
    </row>
    <row r="22" spans="1:21">
      <c r="A22" s="105">
        <f>'DATA SISWA'!A19</f>
        <v>15</v>
      </c>
      <c r="B22" s="105" t="str">
        <f>'DATA SISWA'!B19</f>
        <v>`012</v>
      </c>
      <c r="C22" s="105" t="str">
        <f>'DATA SISWA'!C19</f>
        <v>Ningsih Rahmawati</v>
      </c>
      <c r="D22" s="105" t="str">
        <f>'DATA SISWA'!D19</f>
        <v>P</v>
      </c>
      <c r="E22" s="105" t="str">
        <f>'DATA SISWA'!E19</f>
        <v>VII</v>
      </c>
      <c r="F22" s="101"/>
      <c r="G22" s="101"/>
      <c r="H22" s="101"/>
      <c r="I22" s="321"/>
      <c r="J22" s="322"/>
      <c r="K22" s="101"/>
      <c r="L22" s="101"/>
      <c r="M22" s="105"/>
      <c r="N22" s="101"/>
      <c r="O22" s="101"/>
      <c r="P22" s="101"/>
      <c r="Q22" s="321"/>
      <c r="R22" s="322"/>
      <c r="S22" s="101"/>
      <c r="T22" s="101"/>
      <c r="U22" s="105"/>
    </row>
    <row r="23" spans="1:21">
      <c r="A23" s="105">
        <f>'DATA SISWA'!A20</f>
        <v>16</v>
      </c>
      <c r="B23" s="105" t="str">
        <f>'DATA SISWA'!B20</f>
        <v>`007</v>
      </c>
      <c r="C23" s="105" t="str">
        <f>'DATA SISWA'!C20</f>
        <v>Nurhayati</v>
      </c>
      <c r="D23" s="105" t="str">
        <f>'DATA SISWA'!D20</f>
        <v>P</v>
      </c>
      <c r="E23" s="105" t="str">
        <f>'DATA SISWA'!E20</f>
        <v>VII</v>
      </c>
      <c r="F23" s="101"/>
      <c r="G23" s="101"/>
      <c r="H23" s="101"/>
      <c r="I23" s="321"/>
      <c r="J23" s="322"/>
      <c r="K23" s="101"/>
      <c r="L23" s="101"/>
      <c r="M23" s="105"/>
      <c r="N23" s="101"/>
      <c r="O23" s="101"/>
      <c r="P23" s="101"/>
      <c r="Q23" s="321"/>
      <c r="R23" s="322"/>
      <c r="S23" s="101"/>
      <c r="T23" s="101"/>
      <c r="U23" s="105"/>
    </row>
    <row r="24" spans="1:21">
      <c r="A24" s="105">
        <f>'DATA SISWA'!A21</f>
        <v>17</v>
      </c>
      <c r="B24" s="105" t="str">
        <f>'DATA SISWA'!B21</f>
        <v>`004</v>
      </c>
      <c r="C24" s="105" t="str">
        <f>'DATA SISWA'!C21</f>
        <v>Nur Aini</v>
      </c>
      <c r="D24" s="105" t="str">
        <f>'DATA SISWA'!D21</f>
        <v>P</v>
      </c>
      <c r="E24" s="105" t="str">
        <f>'DATA SISWA'!E21</f>
        <v>VII</v>
      </c>
      <c r="F24" s="101"/>
      <c r="G24" s="101"/>
      <c r="H24" s="101"/>
      <c r="I24" s="321"/>
      <c r="J24" s="322"/>
      <c r="K24" s="101"/>
      <c r="L24" s="101"/>
      <c r="M24" s="105"/>
      <c r="N24" s="101"/>
      <c r="O24" s="101"/>
      <c r="P24" s="101"/>
      <c r="Q24" s="321"/>
      <c r="R24" s="322"/>
      <c r="S24" s="101"/>
      <c r="T24" s="101"/>
      <c r="U24" s="105"/>
    </row>
    <row r="25" spans="1:21">
      <c r="A25" s="105">
        <f>'DATA SISWA'!A22</f>
        <v>18</v>
      </c>
      <c r="B25" s="105" t="str">
        <f>'DATA SISWA'!B22</f>
        <v>`001</v>
      </c>
      <c r="C25" s="105" t="str">
        <f>'DATA SISWA'!C22</f>
        <v>Rofiah</v>
      </c>
      <c r="D25" s="105" t="str">
        <f>'DATA SISWA'!D22</f>
        <v>P</v>
      </c>
      <c r="E25" s="105" t="str">
        <f>'DATA SISWA'!E22</f>
        <v>VII</v>
      </c>
      <c r="F25" s="101"/>
      <c r="G25" s="101"/>
      <c r="H25" s="101"/>
      <c r="I25" s="321"/>
      <c r="J25" s="322"/>
      <c r="K25" s="101"/>
      <c r="L25" s="101"/>
      <c r="M25" s="105"/>
      <c r="N25" s="101"/>
      <c r="O25" s="101"/>
      <c r="P25" s="101"/>
      <c r="Q25" s="321"/>
      <c r="R25" s="322"/>
      <c r="S25" s="101"/>
      <c r="T25" s="101"/>
      <c r="U25" s="105"/>
    </row>
    <row r="26" spans="1:21">
      <c r="A26" s="105">
        <f>'DATA SISWA'!A23</f>
        <v>19</v>
      </c>
      <c r="B26" s="105" t="str">
        <f>'DATA SISWA'!B23</f>
        <v>`015</v>
      </c>
      <c r="C26" s="105" t="str">
        <f>'DATA SISWA'!C23</f>
        <v>Romliadi</v>
      </c>
      <c r="D26" s="105" t="str">
        <f>'DATA SISWA'!D23</f>
        <v>L</v>
      </c>
      <c r="E26" s="105" t="str">
        <f>'DATA SISWA'!E23</f>
        <v>VII</v>
      </c>
      <c r="F26" s="101"/>
      <c r="G26" s="101"/>
      <c r="H26" s="101"/>
      <c r="I26" s="321"/>
      <c r="J26" s="322"/>
      <c r="K26" s="101"/>
      <c r="L26" s="101"/>
      <c r="M26" s="105"/>
      <c r="N26" s="101"/>
      <c r="O26" s="101"/>
      <c r="P26" s="101"/>
      <c r="Q26" s="321"/>
      <c r="R26" s="322"/>
      <c r="S26" s="101"/>
      <c r="T26" s="101"/>
      <c r="U26" s="105"/>
    </row>
    <row r="27" spans="1:21">
      <c r="A27" s="105">
        <f>'DATA SISWA'!A24</f>
        <v>20</v>
      </c>
      <c r="B27" s="105" t="str">
        <f>'DATA SISWA'!B24</f>
        <v>`019</v>
      </c>
      <c r="C27" s="105" t="str">
        <f>'DATA SISWA'!C24</f>
        <v>Tammimah</v>
      </c>
      <c r="D27" s="105" t="str">
        <f>'DATA SISWA'!D24</f>
        <v>P</v>
      </c>
      <c r="E27" s="105" t="str">
        <f>'DATA SISWA'!E24</f>
        <v>VII</v>
      </c>
      <c r="F27" s="101"/>
      <c r="G27" s="101"/>
      <c r="H27" s="101"/>
      <c r="I27" s="321"/>
      <c r="J27" s="322"/>
      <c r="K27" s="101"/>
      <c r="L27" s="101"/>
      <c r="M27" s="105"/>
      <c r="N27" s="101"/>
      <c r="O27" s="101"/>
      <c r="P27" s="101"/>
      <c r="Q27" s="321"/>
      <c r="R27" s="322"/>
      <c r="S27" s="101"/>
      <c r="T27" s="101"/>
      <c r="U27" s="105"/>
    </row>
    <row r="28" spans="1:21">
      <c r="A28" s="105">
        <f>'DATA SISWA'!A25</f>
        <v>0</v>
      </c>
      <c r="B28" s="105">
        <f>'DATA SISWA'!B25</f>
        <v>0</v>
      </c>
      <c r="C28" s="105">
        <f>'DATA SISWA'!C25</f>
        <v>0</v>
      </c>
      <c r="D28" s="105">
        <f>'DATA SISWA'!D25</f>
        <v>0</v>
      </c>
      <c r="E28" s="105" t="str">
        <f>'DATA SISWA'!E25</f>
        <v>VII</v>
      </c>
      <c r="F28" s="101"/>
      <c r="G28" s="101"/>
      <c r="H28" s="101"/>
      <c r="I28" s="321"/>
      <c r="J28" s="322"/>
      <c r="K28" s="101"/>
      <c r="L28" s="101"/>
      <c r="M28" s="105"/>
      <c r="N28" s="101"/>
      <c r="O28" s="101"/>
      <c r="P28" s="101"/>
      <c r="Q28" s="321"/>
      <c r="R28" s="322"/>
      <c r="S28" s="101"/>
      <c r="T28" s="101"/>
      <c r="U28" s="105"/>
    </row>
    <row r="29" spans="1:21">
      <c r="A29" s="105">
        <f>'DATA SISWA'!A26</f>
        <v>0</v>
      </c>
      <c r="B29" s="105">
        <f>'DATA SISWA'!B26</f>
        <v>0</v>
      </c>
      <c r="C29" s="105">
        <f>'DATA SISWA'!C26</f>
        <v>0</v>
      </c>
      <c r="D29" s="105">
        <f>'DATA SISWA'!D26</f>
        <v>0</v>
      </c>
      <c r="E29" s="105" t="str">
        <f>'DATA SISWA'!E26</f>
        <v>VII</v>
      </c>
      <c r="F29" s="101"/>
      <c r="G29" s="101"/>
      <c r="H29" s="101"/>
      <c r="I29" s="321"/>
      <c r="J29" s="322"/>
      <c r="K29" s="101"/>
      <c r="L29" s="101"/>
      <c r="M29" s="105"/>
      <c r="N29" s="101"/>
      <c r="O29" s="101"/>
      <c r="P29" s="101"/>
      <c r="Q29" s="321"/>
      <c r="R29" s="322"/>
      <c r="S29" s="101"/>
      <c r="T29" s="101"/>
      <c r="U29" s="105"/>
    </row>
    <row r="30" spans="1:21">
      <c r="A30" s="105">
        <f>'DATA SISWA'!A27</f>
        <v>0</v>
      </c>
      <c r="B30" s="105">
        <f>'DATA SISWA'!B27</f>
        <v>0</v>
      </c>
      <c r="C30" s="105">
        <f>'DATA SISWA'!C27</f>
        <v>0</v>
      </c>
      <c r="D30" s="105">
        <f>'DATA SISWA'!D27</f>
        <v>0</v>
      </c>
      <c r="E30" s="105" t="str">
        <f>'DATA SISWA'!E27</f>
        <v>VII</v>
      </c>
      <c r="F30" s="101"/>
      <c r="G30" s="101"/>
      <c r="H30" s="101"/>
      <c r="I30" s="321"/>
      <c r="J30" s="322"/>
      <c r="K30" s="101"/>
      <c r="L30" s="101"/>
      <c r="M30" s="105"/>
      <c r="N30" s="101"/>
      <c r="O30" s="101"/>
      <c r="P30" s="101"/>
      <c r="Q30" s="321"/>
      <c r="R30" s="322"/>
      <c r="S30" s="101"/>
      <c r="T30" s="101"/>
      <c r="U30" s="105"/>
    </row>
    <row r="31" spans="1:21">
      <c r="A31" s="105">
        <f>'DATA SISWA'!A28</f>
        <v>0</v>
      </c>
      <c r="B31" s="105">
        <f>'DATA SISWA'!B28</f>
        <v>0</v>
      </c>
      <c r="C31" s="105">
        <f>'DATA SISWA'!C28</f>
        <v>0</v>
      </c>
      <c r="D31" s="105">
        <f>'DATA SISWA'!D28</f>
        <v>0</v>
      </c>
      <c r="E31" s="105" t="str">
        <f>'DATA SISWA'!E28</f>
        <v>VII</v>
      </c>
      <c r="F31" s="101"/>
      <c r="G31" s="101"/>
      <c r="H31" s="101"/>
      <c r="I31" s="321"/>
      <c r="J31" s="322"/>
      <c r="K31" s="101"/>
      <c r="L31" s="101"/>
      <c r="M31" s="105"/>
      <c r="N31" s="101"/>
      <c r="O31" s="101"/>
      <c r="P31" s="101"/>
      <c r="Q31" s="321"/>
      <c r="R31" s="322"/>
      <c r="S31" s="101"/>
      <c r="T31" s="101"/>
      <c r="U31" s="105"/>
    </row>
    <row r="32" spans="1:21">
      <c r="A32" s="105">
        <f>'DATA SISWA'!A29</f>
        <v>0</v>
      </c>
      <c r="B32" s="105">
        <f>'DATA SISWA'!B29</f>
        <v>0</v>
      </c>
      <c r="C32" s="105">
        <f>'DATA SISWA'!C29</f>
        <v>0</v>
      </c>
      <c r="D32" s="105">
        <f>'DATA SISWA'!D29</f>
        <v>0</v>
      </c>
      <c r="E32" s="105" t="str">
        <f>'DATA SISWA'!E29</f>
        <v>VII</v>
      </c>
      <c r="F32" s="101"/>
      <c r="G32" s="101"/>
      <c r="H32" s="101"/>
      <c r="I32" s="321"/>
      <c r="J32" s="322"/>
      <c r="K32" s="101"/>
      <c r="L32" s="101"/>
      <c r="M32" s="105"/>
      <c r="N32" s="101"/>
      <c r="O32" s="101"/>
      <c r="P32" s="101"/>
      <c r="Q32" s="321"/>
      <c r="R32" s="322"/>
      <c r="S32" s="101"/>
      <c r="T32" s="101"/>
      <c r="U32" s="105"/>
    </row>
    <row r="33" spans="1:21">
      <c r="A33" s="105">
        <f>'DATA SISWA'!A30</f>
        <v>0</v>
      </c>
      <c r="B33" s="105">
        <f>'DATA SISWA'!B30</f>
        <v>0</v>
      </c>
      <c r="C33" s="105">
        <f>'DATA SISWA'!C30</f>
        <v>0</v>
      </c>
      <c r="D33" s="105">
        <f>'DATA SISWA'!D30</f>
        <v>0</v>
      </c>
      <c r="E33" s="105" t="str">
        <f>'DATA SISWA'!E30</f>
        <v>VII</v>
      </c>
      <c r="F33" s="101"/>
      <c r="G33" s="101"/>
      <c r="H33" s="101"/>
      <c r="I33" s="321"/>
      <c r="J33" s="322"/>
      <c r="K33" s="101"/>
      <c r="L33" s="101"/>
      <c r="M33" s="105"/>
      <c r="N33" s="101"/>
      <c r="O33" s="101"/>
      <c r="P33" s="101"/>
      <c r="Q33" s="321"/>
      <c r="R33" s="322"/>
      <c r="S33" s="101"/>
      <c r="T33" s="101"/>
      <c r="U33" s="105"/>
    </row>
    <row r="34" spans="1:21">
      <c r="A34" s="105">
        <f>'DATA SISWA'!A31</f>
        <v>0</v>
      </c>
      <c r="B34" s="105">
        <f>'DATA SISWA'!B31</f>
        <v>0</v>
      </c>
      <c r="C34" s="105">
        <f>'DATA SISWA'!C31</f>
        <v>0</v>
      </c>
      <c r="D34" s="105">
        <f>'DATA SISWA'!D31</f>
        <v>0</v>
      </c>
      <c r="E34" s="105" t="str">
        <f>'DATA SISWA'!E31</f>
        <v>VII</v>
      </c>
      <c r="F34" s="101"/>
      <c r="G34" s="101"/>
      <c r="H34" s="101"/>
      <c r="I34" s="321"/>
      <c r="J34" s="322"/>
      <c r="K34" s="101"/>
      <c r="L34" s="101"/>
      <c r="M34" s="105"/>
      <c r="N34" s="101"/>
      <c r="O34" s="101"/>
      <c r="P34" s="101"/>
      <c r="Q34" s="321"/>
      <c r="R34" s="322"/>
      <c r="S34" s="101"/>
      <c r="T34" s="101"/>
      <c r="U34" s="105"/>
    </row>
    <row r="35" spans="1:21">
      <c r="A35" s="105">
        <f>'DATA SISWA'!A32</f>
        <v>0</v>
      </c>
      <c r="B35" s="105">
        <f>'DATA SISWA'!B32</f>
        <v>0</v>
      </c>
      <c r="C35" s="105">
        <f>'DATA SISWA'!C32</f>
        <v>0</v>
      </c>
      <c r="D35" s="105">
        <f>'DATA SISWA'!D32</f>
        <v>0</v>
      </c>
      <c r="E35" s="105" t="str">
        <f>'DATA SISWA'!E32</f>
        <v>VII</v>
      </c>
      <c r="F35" s="101"/>
      <c r="G35" s="101"/>
      <c r="H35" s="101"/>
      <c r="I35" s="321"/>
      <c r="J35" s="322"/>
      <c r="K35" s="101"/>
      <c r="L35" s="101"/>
      <c r="M35" s="105"/>
      <c r="N35" s="101"/>
      <c r="O35" s="101"/>
      <c r="P35" s="101"/>
      <c r="Q35" s="321"/>
      <c r="R35" s="322"/>
      <c r="S35" s="101"/>
      <c r="T35" s="101"/>
      <c r="U35" s="105"/>
    </row>
    <row r="36" spans="1:21">
      <c r="A36" s="105">
        <f>'DATA SISWA'!A33</f>
        <v>0</v>
      </c>
      <c r="B36" s="105">
        <f>'DATA SISWA'!B33</f>
        <v>0</v>
      </c>
      <c r="C36" s="105">
        <f>'DATA SISWA'!C33</f>
        <v>0</v>
      </c>
      <c r="D36" s="105">
        <f>'DATA SISWA'!D33</f>
        <v>0</v>
      </c>
      <c r="E36" s="105" t="str">
        <f>'DATA SISWA'!E33</f>
        <v>VII</v>
      </c>
      <c r="F36" s="101"/>
      <c r="G36" s="101"/>
      <c r="H36" s="101"/>
      <c r="I36" s="321"/>
      <c r="J36" s="322"/>
      <c r="K36" s="101"/>
      <c r="L36" s="101"/>
      <c r="M36" s="105"/>
      <c r="N36" s="101"/>
      <c r="O36" s="101"/>
      <c r="P36" s="101"/>
      <c r="Q36" s="321"/>
      <c r="R36" s="322"/>
      <c r="S36" s="101"/>
      <c r="T36" s="101"/>
      <c r="U36" s="105"/>
    </row>
    <row r="37" spans="1:21">
      <c r="A37" s="105">
        <f>'DATA SISWA'!A34</f>
        <v>0</v>
      </c>
      <c r="B37" s="105">
        <f>'DATA SISWA'!B34</f>
        <v>0</v>
      </c>
      <c r="C37" s="105">
        <f>'DATA SISWA'!C34</f>
        <v>0</v>
      </c>
      <c r="D37" s="105">
        <f>'DATA SISWA'!D34</f>
        <v>0</v>
      </c>
      <c r="E37" s="105" t="str">
        <f>'DATA SISWA'!E34</f>
        <v>VII</v>
      </c>
      <c r="F37" s="101"/>
      <c r="G37" s="101"/>
      <c r="H37" s="101"/>
      <c r="I37" s="321"/>
      <c r="J37" s="322"/>
      <c r="K37" s="101"/>
      <c r="L37" s="101"/>
      <c r="M37" s="105"/>
      <c r="N37" s="101"/>
      <c r="O37" s="101"/>
      <c r="P37" s="101"/>
      <c r="Q37" s="321"/>
      <c r="R37" s="322"/>
      <c r="S37" s="101"/>
      <c r="T37" s="101"/>
      <c r="U37" s="105"/>
    </row>
    <row r="38" spans="1:21">
      <c r="A38" s="105">
        <f>'DATA SISWA'!A35</f>
        <v>0</v>
      </c>
      <c r="B38" s="105">
        <f>'DATA SISWA'!B35</f>
        <v>0</v>
      </c>
      <c r="C38" s="105">
        <f>'DATA SISWA'!C35</f>
        <v>0</v>
      </c>
      <c r="D38" s="105">
        <f>'DATA SISWA'!D35</f>
        <v>0</v>
      </c>
      <c r="E38" s="105" t="str">
        <f>'DATA SISWA'!E35</f>
        <v>VII</v>
      </c>
      <c r="F38" s="101"/>
      <c r="G38" s="101"/>
      <c r="H38" s="101"/>
      <c r="I38" s="321"/>
      <c r="J38" s="322"/>
      <c r="K38" s="101"/>
      <c r="L38" s="101"/>
      <c r="M38" s="105"/>
      <c r="N38" s="101"/>
      <c r="O38" s="101"/>
      <c r="P38" s="101"/>
      <c r="Q38" s="321"/>
      <c r="R38" s="322"/>
      <c r="S38" s="101"/>
      <c r="T38" s="101"/>
      <c r="U38" s="105"/>
    </row>
    <row r="39" spans="1:21">
      <c r="A39" s="105">
        <f>'DATA SISWA'!A36</f>
        <v>0</v>
      </c>
      <c r="B39" s="105">
        <f>'DATA SISWA'!B36</f>
        <v>0</v>
      </c>
      <c r="C39" s="105">
        <f>'DATA SISWA'!C36</f>
        <v>0</v>
      </c>
      <c r="D39" s="105">
        <f>'DATA SISWA'!D36</f>
        <v>0</v>
      </c>
      <c r="E39" s="105" t="str">
        <f>'DATA SISWA'!E36</f>
        <v>VII</v>
      </c>
      <c r="F39" s="101"/>
      <c r="G39" s="101"/>
      <c r="H39" s="101"/>
      <c r="I39" s="321"/>
      <c r="J39" s="322"/>
      <c r="K39" s="101"/>
      <c r="L39" s="101"/>
      <c r="M39" s="105"/>
      <c r="N39" s="101"/>
      <c r="O39" s="101"/>
      <c r="P39" s="101"/>
      <c r="Q39" s="321"/>
      <c r="R39" s="322"/>
      <c r="S39" s="101"/>
      <c r="T39" s="101"/>
      <c r="U39" s="105"/>
    </row>
    <row r="40" spans="1:21">
      <c r="A40" s="105">
        <f>'DATA SISWA'!A37</f>
        <v>0</v>
      </c>
      <c r="B40" s="105">
        <f>'DATA SISWA'!B37</f>
        <v>0</v>
      </c>
      <c r="C40" s="105">
        <f>'DATA SISWA'!C37</f>
        <v>0</v>
      </c>
      <c r="D40" s="105">
        <f>'DATA SISWA'!D37</f>
        <v>0</v>
      </c>
      <c r="E40" s="105" t="str">
        <f>'DATA SISWA'!E37</f>
        <v>VII</v>
      </c>
      <c r="F40" s="101"/>
      <c r="G40" s="101"/>
      <c r="H40" s="101"/>
      <c r="I40" s="321"/>
      <c r="J40" s="322"/>
      <c r="K40" s="101"/>
      <c r="L40" s="101"/>
      <c r="M40" s="105"/>
      <c r="N40" s="101"/>
      <c r="O40" s="101"/>
      <c r="P40" s="101"/>
      <c r="Q40" s="321"/>
      <c r="R40" s="322"/>
      <c r="S40" s="101"/>
      <c r="T40" s="101"/>
      <c r="U40" s="105"/>
    </row>
    <row r="41" spans="1:21">
      <c r="A41" s="105">
        <f>'DATA SISWA'!A38</f>
        <v>0</v>
      </c>
      <c r="B41" s="105">
        <f>'DATA SISWA'!B38</f>
        <v>0</v>
      </c>
      <c r="C41" s="105">
        <f>'DATA SISWA'!C38</f>
        <v>0</v>
      </c>
      <c r="D41" s="105">
        <f>'DATA SISWA'!D38</f>
        <v>0</v>
      </c>
      <c r="E41" s="105" t="str">
        <f>'DATA SISWA'!E38</f>
        <v>VII</v>
      </c>
      <c r="F41" s="101"/>
      <c r="G41" s="101"/>
      <c r="H41" s="101"/>
      <c r="I41" s="321"/>
      <c r="J41" s="322"/>
      <c r="K41" s="101"/>
      <c r="L41" s="101"/>
      <c r="M41" s="105"/>
      <c r="N41" s="101"/>
      <c r="O41" s="101"/>
      <c r="P41" s="101"/>
      <c r="Q41" s="321"/>
      <c r="R41" s="322"/>
      <c r="S41" s="101"/>
      <c r="T41" s="101"/>
      <c r="U41" s="105"/>
    </row>
    <row r="42" spans="1:21">
      <c r="A42" s="105">
        <f>'DATA SISWA'!A39</f>
        <v>0</v>
      </c>
      <c r="B42" s="105">
        <f>'DATA SISWA'!B39</f>
        <v>0</v>
      </c>
      <c r="C42" s="105">
        <f>'DATA SISWA'!C39</f>
        <v>0</v>
      </c>
      <c r="D42" s="105">
        <f>'DATA SISWA'!D39</f>
        <v>0</v>
      </c>
      <c r="E42" s="105" t="str">
        <f>'DATA SISWA'!E39</f>
        <v>VII</v>
      </c>
      <c r="F42" s="101"/>
      <c r="G42" s="101"/>
      <c r="H42" s="101"/>
      <c r="I42" s="321"/>
      <c r="J42" s="322"/>
      <c r="K42" s="101"/>
      <c r="L42" s="101"/>
      <c r="M42" s="105"/>
      <c r="N42" s="101"/>
      <c r="O42" s="101"/>
      <c r="P42" s="101"/>
      <c r="Q42" s="321"/>
      <c r="R42" s="322"/>
      <c r="S42" s="101"/>
      <c r="T42" s="101"/>
      <c r="U42" s="105"/>
    </row>
    <row r="43" spans="1:21">
      <c r="A43" s="105">
        <f>'DATA SISWA'!A40</f>
        <v>0</v>
      </c>
      <c r="B43" s="105">
        <f>'DATA SISWA'!B40</f>
        <v>0</v>
      </c>
      <c r="C43" s="105">
        <f>'DATA SISWA'!C40</f>
        <v>0</v>
      </c>
      <c r="D43" s="105">
        <f>'DATA SISWA'!D40</f>
        <v>0</v>
      </c>
      <c r="E43" s="105" t="str">
        <f>'DATA SISWA'!E40</f>
        <v>VII</v>
      </c>
      <c r="F43" s="101"/>
      <c r="G43" s="101"/>
      <c r="H43" s="101"/>
      <c r="I43" s="321"/>
      <c r="J43" s="322"/>
      <c r="K43" s="101"/>
      <c r="L43" s="101"/>
      <c r="M43" s="105"/>
      <c r="N43" s="101"/>
      <c r="O43" s="101"/>
      <c r="P43" s="101"/>
      <c r="Q43" s="321"/>
      <c r="R43" s="322"/>
      <c r="S43" s="101"/>
      <c r="T43" s="101"/>
      <c r="U43" s="105"/>
    </row>
    <row r="44" spans="1:21">
      <c r="A44" s="105">
        <f>'DATA SISWA'!A41</f>
        <v>0</v>
      </c>
      <c r="B44" s="105">
        <f>'DATA SISWA'!B41</f>
        <v>0</v>
      </c>
      <c r="C44" s="105">
        <f>'DATA SISWA'!C41</f>
        <v>0</v>
      </c>
      <c r="D44" s="105">
        <f>'DATA SISWA'!D41</f>
        <v>0</v>
      </c>
      <c r="E44" s="105" t="str">
        <f>'DATA SISWA'!E41</f>
        <v>VII</v>
      </c>
      <c r="F44" s="101"/>
      <c r="G44" s="101"/>
      <c r="H44" s="101"/>
      <c r="I44" s="321"/>
      <c r="J44" s="322"/>
      <c r="K44" s="101"/>
      <c r="L44" s="101"/>
      <c r="M44" s="105"/>
      <c r="N44" s="101"/>
      <c r="O44" s="101"/>
      <c r="P44" s="101"/>
      <c r="Q44" s="321"/>
      <c r="R44" s="322"/>
      <c r="S44" s="101"/>
      <c r="T44" s="101"/>
      <c r="U44" s="105"/>
    </row>
    <row r="45" spans="1:21">
      <c r="A45" s="105">
        <f>'DATA SISWA'!A42</f>
        <v>0</v>
      </c>
      <c r="B45" s="105">
        <f>'DATA SISWA'!B42</f>
        <v>0</v>
      </c>
      <c r="C45" s="105">
        <f>'DATA SISWA'!C42</f>
        <v>0</v>
      </c>
      <c r="D45" s="105">
        <f>'DATA SISWA'!D42</f>
        <v>0</v>
      </c>
      <c r="E45" s="105" t="str">
        <f>'DATA SISWA'!E42</f>
        <v>VII</v>
      </c>
      <c r="F45" s="101"/>
      <c r="G45" s="101"/>
      <c r="H45" s="101"/>
      <c r="I45" s="321"/>
      <c r="J45" s="322"/>
      <c r="K45" s="101"/>
      <c r="L45" s="101"/>
      <c r="M45" s="105"/>
      <c r="N45" s="101"/>
      <c r="O45" s="101"/>
      <c r="P45" s="101"/>
      <c r="Q45" s="321"/>
      <c r="R45" s="322"/>
      <c r="S45" s="101"/>
      <c r="T45" s="101"/>
      <c r="U45" s="105"/>
    </row>
    <row r="46" spans="1:21">
      <c r="A46" s="105">
        <f>'DATA SISWA'!A43</f>
        <v>0</v>
      </c>
      <c r="B46" s="105">
        <f>'DATA SISWA'!B43</f>
        <v>0</v>
      </c>
      <c r="C46" s="105">
        <f>'DATA SISWA'!C43</f>
        <v>0</v>
      </c>
      <c r="D46" s="105">
        <f>'DATA SISWA'!D43</f>
        <v>0</v>
      </c>
      <c r="E46" s="105" t="str">
        <f>'DATA SISWA'!E43</f>
        <v>VII</v>
      </c>
      <c r="F46" s="101"/>
      <c r="G46" s="101"/>
      <c r="H46" s="101"/>
      <c r="I46" s="321"/>
      <c r="J46" s="322"/>
      <c r="K46" s="101"/>
      <c r="L46" s="101"/>
      <c r="M46" s="105"/>
      <c r="N46" s="101"/>
      <c r="O46" s="101"/>
      <c r="P46" s="101"/>
      <c r="Q46" s="321"/>
      <c r="R46" s="322"/>
      <c r="S46" s="101"/>
      <c r="T46" s="101"/>
      <c r="U46" s="105"/>
    </row>
    <row r="47" spans="1:21">
      <c r="A47" s="105">
        <f>'DATA SISWA'!A44</f>
        <v>0</v>
      </c>
      <c r="B47" s="105">
        <f>'DATA SISWA'!B44</f>
        <v>0</v>
      </c>
      <c r="C47" s="105">
        <f>'DATA SISWA'!C44</f>
        <v>0</v>
      </c>
      <c r="D47" s="105">
        <f>'DATA SISWA'!D44</f>
        <v>0</v>
      </c>
      <c r="E47" s="105" t="str">
        <f>'DATA SISWA'!E44</f>
        <v>VII</v>
      </c>
      <c r="F47" s="101"/>
      <c r="G47" s="101"/>
      <c r="H47" s="101"/>
      <c r="I47" s="321"/>
      <c r="J47" s="322"/>
      <c r="K47" s="101"/>
      <c r="L47" s="101"/>
      <c r="M47" s="105"/>
      <c r="N47" s="101"/>
      <c r="O47" s="101"/>
      <c r="P47" s="101"/>
      <c r="Q47" s="321"/>
      <c r="R47" s="322"/>
      <c r="S47" s="101"/>
      <c r="T47" s="101"/>
      <c r="U47" s="105"/>
    </row>
    <row r="48" spans="1:21">
      <c r="A48" s="105">
        <f>'DATA SISWA'!A45</f>
        <v>0</v>
      </c>
      <c r="B48" s="105">
        <f>'DATA SISWA'!B45</f>
        <v>0</v>
      </c>
      <c r="C48" s="105">
        <f>'DATA SISWA'!C45</f>
        <v>0</v>
      </c>
      <c r="D48" s="105">
        <f>'DATA SISWA'!D45</f>
        <v>0</v>
      </c>
      <c r="E48" s="105" t="str">
        <f>'DATA SISWA'!E45</f>
        <v>VII</v>
      </c>
      <c r="F48" s="101"/>
      <c r="G48" s="101"/>
      <c r="H48" s="101"/>
      <c r="I48" s="321"/>
      <c r="J48" s="322"/>
      <c r="K48" s="101"/>
      <c r="L48" s="101"/>
      <c r="M48" s="105"/>
      <c r="N48" s="101"/>
      <c r="O48" s="101"/>
      <c r="P48" s="101"/>
      <c r="Q48" s="321"/>
      <c r="R48" s="322"/>
      <c r="S48" s="101"/>
      <c r="T48" s="101"/>
      <c r="U48" s="105"/>
    </row>
    <row r="49" spans="1:21">
      <c r="A49" s="105">
        <f>'DATA SISWA'!A46</f>
        <v>0</v>
      </c>
      <c r="B49" s="105">
        <f>'DATA SISWA'!B46</f>
        <v>0</v>
      </c>
      <c r="C49" s="105">
        <f>'DATA SISWA'!C46</f>
        <v>0</v>
      </c>
      <c r="D49" s="105">
        <f>'DATA SISWA'!D46</f>
        <v>0</v>
      </c>
      <c r="E49" s="105" t="str">
        <f>'DATA SISWA'!E46</f>
        <v>VII</v>
      </c>
      <c r="F49" s="101"/>
      <c r="G49" s="101"/>
      <c r="H49" s="101"/>
      <c r="I49" s="321"/>
      <c r="J49" s="322"/>
      <c r="K49" s="101"/>
      <c r="L49" s="101"/>
      <c r="M49" s="105"/>
      <c r="N49" s="101"/>
      <c r="O49" s="101"/>
      <c r="P49" s="101"/>
      <c r="Q49" s="321"/>
      <c r="R49" s="322"/>
      <c r="S49" s="101"/>
      <c r="T49" s="101"/>
      <c r="U49" s="105"/>
    </row>
    <row r="50" spans="1:21">
      <c r="A50" s="105">
        <f>'DATA SISWA'!A47</f>
        <v>0</v>
      </c>
      <c r="B50" s="105">
        <f>'DATA SISWA'!B47</f>
        <v>0</v>
      </c>
      <c r="C50" s="105">
        <f>'DATA SISWA'!C47</f>
        <v>0</v>
      </c>
      <c r="D50" s="105">
        <f>'DATA SISWA'!D47</f>
        <v>0</v>
      </c>
      <c r="E50" s="105" t="str">
        <f>'DATA SISWA'!E47</f>
        <v>VII</v>
      </c>
      <c r="F50" s="101"/>
      <c r="G50" s="101"/>
      <c r="H50" s="101"/>
      <c r="I50" s="321"/>
      <c r="J50" s="322"/>
      <c r="K50" s="101"/>
      <c r="L50" s="101"/>
      <c r="M50" s="105"/>
      <c r="N50" s="101"/>
      <c r="O50" s="101"/>
      <c r="P50" s="101"/>
      <c r="Q50" s="321"/>
      <c r="R50" s="322"/>
      <c r="S50" s="101"/>
      <c r="T50" s="101"/>
      <c r="U50" s="105"/>
    </row>
    <row r="51" spans="1:21">
      <c r="A51" s="105">
        <f>'DATA SISWA'!A48</f>
        <v>0</v>
      </c>
      <c r="B51" s="105">
        <f>'DATA SISWA'!B48</f>
        <v>0</v>
      </c>
      <c r="C51" s="105">
        <f>'DATA SISWA'!C48</f>
        <v>0</v>
      </c>
      <c r="D51" s="105">
        <f>'DATA SISWA'!D48</f>
        <v>0</v>
      </c>
      <c r="E51" s="105" t="str">
        <f>'DATA SISWA'!E48</f>
        <v>VII</v>
      </c>
      <c r="F51" s="101"/>
      <c r="G51" s="101"/>
      <c r="H51" s="101"/>
      <c r="I51" s="321"/>
      <c r="J51" s="322"/>
      <c r="K51" s="101"/>
      <c r="L51" s="101"/>
      <c r="M51" s="105"/>
      <c r="N51" s="101"/>
      <c r="O51" s="101"/>
      <c r="P51" s="101"/>
      <c r="Q51" s="321"/>
      <c r="R51" s="322"/>
      <c r="S51" s="101"/>
      <c r="T51" s="101"/>
      <c r="U51" s="105"/>
    </row>
    <row r="52" spans="1:21">
      <c r="A52" s="105">
        <f>'DATA SISWA'!A49</f>
        <v>0</v>
      </c>
      <c r="B52" s="105">
        <f>'DATA SISWA'!B49</f>
        <v>0</v>
      </c>
      <c r="C52" s="105">
        <f>'DATA SISWA'!C49</f>
        <v>0</v>
      </c>
      <c r="D52" s="105">
        <f>'DATA SISWA'!D49</f>
        <v>0</v>
      </c>
      <c r="E52" s="105" t="str">
        <f>'DATA SISWA'!E49</f>
        <v>VII</v>
      </c>
      <c r="F52" s="101"/>
      <c r="G52" s="101"/>
      <c r="H52" s="101"/>
      <c r="I52" s="321"/>
      <c r="J52" s="322"/>
      <c r="K52" s="101"/>
      <c r="L52" s="101"/>
      <c r="M52" s="105"/>
      <c r="N52" s="101"/>
      <c r="O52" s="101"/>
      <c r="P52" s="101"/>
      <c r="Q52" s="321"/>
      <c r="R52" s="322"/>
      <c r="S52" s="101"/>
      <c r="T52" s="101"/>
      <c r="U52" s="105"/>
    </row>
    <row r="53" spans="1:21">
      <c r="A53" s="105">
        <f>'DATA SISWA'!A50</f>
        <v>0</v>
      </c>
      <c r="B53" s="105">
        <f>'DATA SISWA'!B50</f>
        <v>0</v>
      </c>
      <c r="C53" s="105">
        <f>'DATA SISWA'!C50</f>
        <v>0</v>
      </c>
      <c r="D53" s="105">
        <f>'DATA SISWA'!D50</f>
        <v>0</v>
      </c>
      <c r="E53" s="105" t="str">
        <f>'DATA SISWA'!E50</f>
        <v>VII</v>
      </c>
      <c r="F53" s="101"/>
      <c r="G53" s="101"/>
      <c r="H53" s="101"/>
      <c r="I53" s="321"/>
      <c r="J53" s="322"/>
      <c r="K53" s="101"/>
      <c r="L53" s="101"/>
      <c r="M53" s="105"/>
      <c r="N53" s="101"/>
      <c r="O53" s="101"/>
      <c r="P53" s="101"/>
      <c r="Q53" s="321"/>
      <c r="R53" s="322"/>
      <c r="S53" s="101"/>
      <c r="T53" s="101"/>
      <c r="U53" s="105"/>
    </row>
    <row r="54" spans="1:21">
      <c r="A54" s="105">
        <f>'DATA SISWA'!A51</f>
        <v>0</v>
      </c>
      <c r="B54" s="105">
        <f>'DATA SISWA'!B51</f>
        <v>0</v>
      </c>
      <c r="C54" s="105">
        <f>'DATA SISWA'!C51</f>
        <v>0</v>
      </c>
      <c r="D54" s="105">
        <f>'DATA SISWA'!D51</f>
        <v>0</v>
      </c>
      <c r="E54" s="105" t="str">
        <f>'DATA SISWA'!E51</f>
        <v>VII</v>
      </c>
      <c r="F54" s="101"/>
      <c r="G54" s="101"/>
      <c r="H54" s="101"/>
      <c r="I54" s="321"/>
      <c r="J54" s="322"/>
      <c r="K54" s="101"/>
      <c r="L54" s="101"/>
      <c r="M54" s="105"/>
      <c r="N54" s="101"/>
      <c r="O54" s="101"/>
      <c r="P54" s="101"/>
      <c r="Q54" s="321"/>
      <c r="R54" s="322"/>
      <c r="S54" s="101"/>
      <c r="T54" s="101"/>
      <c r="U54" s="105"/>
    </row>
    <row r="55" spans="1:21">
      <c r="A55" s="105">
        <f>'DATA SISWA'!A52</f>
        <v>0</v>
      </c>
      <c r="B55" s="105">
        <f>'DATA SISWA'!B52</f>
        <v>0</v>
      </c>
      <c r="C55" s="105">
        <f>'DATA SISWA'!C52</f>
        <v>0</v>
      </c>
      <c r="D55" s="105">
        <f>'DATA SISWA'!D52</f>
        <v>0</v>
      </c>
      <c r="E55" s="105" t="str">
        <f>'DATA SISWA'!E52</f>
        <v>VII</v>
      </c>
      <c r="F55" s="101"/>
      <c r="G55" s="101"/>
      <c r="H55" s="101"/>
      <c r="I55" s="321"/>
      <c r="J55" s="322"/>
      <c r="K55" s="101"/>
      <c r="L55" s="101"/>
      <c r="M55" s="105"/>
      <c r="N55" s="101"/>
      <c r="O55" s="101"/>
      <c r="P55" s="101"/>
      <c r="Q55" s="321"/>
      <c r="R55" s="322"/>
      <c r="S55" s="101"/>
      <c r="T55" s="101"/>
      <c r="U55" s="105"/>
    </row>
  </sheetData>
  <sheetProtection formatCells="0" formatColumns="0" formatRows="0" insertColumns="0" insertRows="0" insertHyperlinks="0" deleteColumns="0" deleteRows="0" sort="0"/>
  <mergeCells count="11">
    <mergeCell ref="F4:L4"/>
    <mergeCell ref="M4:M6"/>
    <mergeCell ref="N4:T4"/>
    <mergeCell ref="U4:U6"/>
    <mergeCell ref="F5:L5"/>
    <mergeCell ref="N5:T5"/>
    <mergeCell ref="A4:A6"/>
    <mergeCell ref="B4:B6"/>
    <mergeCell ref="C4:C6"/>
    <mergeCell ref="D4:D6"/>
    <mergeCell ref="E4:E6"/>
  </mergeCells>
  <dataValidations count="1">
    <dataValidation type="whole" allowBlank="1" showInputMessage="1" showErrorMessage="1" sqref="S8:T55 K8:L55 F8:H55 N8:P55">
      <formula1>0</formula1>
      <formula2>100</formula2>
    </dataValidation>
  </dataValidations>
  <pageMargins left="0.86" right="0.34" top="0.27" bottom="0.33" header="0.23" footer="0.25"/>
  <pageSetup paperSize="256" orientation="landscape" horizontalDpi="300" verticalDpi="300" r:id="rId1"/>
  <drawing r:id="rId2"/>
  <legacyDrawing r:id="rId3"/>
</worksheet>
</file>

<file path=xl/worksheets/sheet9.xml><?xml version="1.0" encoding="utf-8"?>
<worksheet xmlns="http://schemas.openxmlformats.org/spreadsheetml/2006/main" xmlns:r="http://schemas.openxmlformats.org/officeDocument/2006/relationships">
  <sheetPr codeName="Sheet6"/>
  <dimension ref="A1:CX53"/>
  <sheetViews>
    <sheetView zoomScale="70" zoomScaleNormal="70" workbookViewId="0">
      <pane xSplit="5" ySplit="4" topLeftCell="CG5" activePane="bottomRight" state="frozen"/>
      <selection pane="topRight" activeCell="F1" sqref="F1"/>
      <selection pane="bottomLeft" activeCell="A6" sqref="A6"/>
      <selection pane="bottomRight" activeCell="CQ13" sqref="CQ13"/>
    </sheetView>
  </sheetViews>
  <sheetFormatPr defaultRowHeight="15"/>
  <cols>
    <col min="1" max="1" width="4.85546875" style="95" customWidth="1"/>
    <col min="2" max="2" width="7.140625" style="95" customWidth="1"/>
    <col min="3" max="3" width="32.5703125" style="95" customWidth="1"/>
    <col min="4" max="5" width="5.28515625" style="95" customWidth="1"/>
    <col min="6" max="52" width="5.7109375" style="95" customWidth="1"/>
    <col min="53" max="53" width="6.7109375" style="95" customWidth="1"/>
    <col min="54" max="60" width="5.7109375" style="95" customWidth="1"/>
    <col min="61" max="61" width="6.7109375" style="95" customWidth="1"/>
    <col min="62" max="68" width="5.7109375" style="95" customWidth="1"/>
    <col min="69" max="69" width="6.7109375" style="95" customWidth="1"/>
    <col min="70" max="76" width="5.7109375" style="95" customWidth="1"/>
    <col min="77" max="77" width="6.7109375" style="95" customWidth="1"/>
    <col min="78" max="84" width="5.7109375" style="95" customWidth="1"/>
    <col min="85" max="90" width="6.7109375" style="95" customWidth="1"/>
    <col min="91" max="93" width="6" style="95" customWidth="1"/>
    <col min="94" max="94" width="6.140625" style="102" customWidth="1"/>
    <col min="95" max="95" width="6" style="102" customWidth="1"/>
    <col min="96" max="96" width="6.7109375" style="102" customWidth="1"/>
    <col min="97" max="97" width="12.85546875" style="102" customWidth="1"/>
    <col min="98" max="98" width="9.140625" style="102"/>
    <col min="99" max="99" width="9.5703125" style="102" customWidth="1"/>
    <col min="100" max="100" width="89.28515625" style="103" customWidth="1"/>
    <col min="101" max="101" width="8.7109375" style="103" customWidth="1"/>
    <col min="102" max="102" width="8.7109375" style="95" customWidth="1"/>
    <col min="103" max="16384" width="9.140625" style="95"/>
  </cols>
  <sheetData>
    <row r="1" spans="1:102" ht="63.75" customHeight="1">
      <c r="A1" s="572" t="s">
        <v>15</v>
      </c>
      <c r="B1" s="572" t="s">
        <v>16</v>
      </c>
      <c r="C1" s="580" t="s">
        <v>0</v>
      </c>
      <c r="D1" s="581" t="s">
        <v>1</v>
      </c>
      <c r="E1" s="575" t="s">
        <v>17</v>
      </c>
      <c r="F1" s="582" t="str">
        <f>IF(KDOKE!B11="","",KDOKE!B11)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G1" s="582"/>
      <c r="H1" s="582"/>
      <c r="I1" s="582"/>
      <c r="J1" s="582"/>
      <c r="K1" s="582"/>
      <c r="L1" s="582"/>
      <c r="M1" s="579" t="s">
        <v>450</v>
      </c>
      <c r="N1" s="583" t="str">
        <f>IF(KDOKE!B12="","",KDOKE!B12)</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O1" s="583"/>
      <c r="P1" s="583"/>
      <c r="Q1" s="583"/>
      <c r="R1" s="583"/>
      <c r="S1" s="583"/>
      <c r="T1" s="583"/>
      <c r="U1" s="579" t="s">
        <v>451</v>
      </c>
      <c r="V1" s="584" t="str">
        <f>IF(KDOKE!B13="","",KDOKE!B13)</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W1" s="584"/>
      <c r="X1" s="584"/>
      <c r="Y1" s="584"/>
      <c r="Z1" s="584"/>
      <c r="AA1" s="584"/>
      <c r="AB1" s="584"/>
      <c r="AC1" s="579" t="s">
        <v>452</v>
      </c>
      <c r="AD1" s="598" t="str">
        <f>IF(KDOKE!B14="","",KDOKE!B14)</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E1" s="598"/>
      <c r="AF1" s="598"/>
      <c r="AG1" s="598"/>
      <c r="AH1" s="598"/>
      <c r="AI1" s="598"/>
      <c r="AJ1" s="598"/>
      <c r="AK1" s="579" t="s">
        <v>453</v>
      </c>
      <c r="AL1" s="585" t="str">
        <f>IF(KDOKE!B15="","",KDOKE!B15)</f>
        <v/>
      </c>
      <c r="AM1" s="585"/>
      <c r="AN1" s="585"/>
      <c r="AO1" s="585"/>
      <c r="AP1" s="585"/>
      <c r="AQ1" s="585"/>
      <c r="AR1" s="585"/>
      <c r="AS1" s="579" t="s">
        <v>454</v>
      </c>
      <c r="AT1" s="594" t="str">
        <f>IF(KDOKE!B16="","",KDOKE!B16)</f>
        <v/>
      </c>
      <c r="AU1" s="594"/>
      <c r="AV1" s="594"/>
      <c r="AW1" s="594"/>
      <c r="AX1" s="594"/>
      <c r="AY1" s="594"/>
      <c r="AZ1" s="594"/>
      <c r="BA1" s="579" t="s">
        <v>455</v>
      </c>
      <c r="BB1" s="578" t="str">
        <f>IF(KDOKE!B17="","",KDOKE!B17)</f>
        <v/>
      </c>
      <c r="BC1" s="578"/>
      <c r="BD1" s="578"/>
      <c r="BE1" s="578"/>
      <c r="BF1" s="578"/>
      <c r="BG1" s="578"/>
      <c r="BH1" s="578"/>
      <c r="BI1" s="579" t="s">
        <v>456</v>
      </c>
      <c r="BJ1" s="590" t="str">
        <f>IF(KDOKE!B18="","",KDOKE!B18)</f>
        <v/>
      </c>
      <c r="BK1" s="590"/>
      <c r="BL1" s="590"/>
      <c r="BM1" s="590"/>
      <c r="BN1" s="590"/>
      <c r="BO1" s="590"/>
      <c r="BP1" s="590"/>
      <c r="BQ1" s="579" t="s">
        <v>457</v>
      </c>
      <c r="BR1" s="593" t="str">
        <f>IF(KDOKE!B19="","",KDOKE!B19)</f>
        <v/>
      </c>
      <c r="BS1" s="593"/>
      <c r="BT1" s="593"/>
      <c r="BU1" s="593"/>
      <c r="BV1" s="593"/>
      <c r="BW1" s="593"/>
      <c r="BX1" s="593"/>
      <c r="BY1" s="579" t="s">
        <v>458</v>
      </c>
      <c r="BZ1" s="594" t="str">
        <f>IF(KDOKE!B20="","",KDOKE!B20)</f>
        <v/>
      </c>
      <c r="CA1" s="594"/>
      <c r="CB1" s="594"/>
      <c r="CC1" s="594"/>
      <c r="CD1" s="594"/>
      <c r="CE1" s="594"/>
      <c r="CF1" s="594"/>
      <c r="CG1" s="579" t="s">
        <v>459</v>
      </c>
      <c r="CH1" s="589" t="s">
        <v>27</v>
      </c>
      <c r="CI1" s="551" t="s">
        <v>333</v>
      </c>
      <c r="CJ1" s="595" t="s">
        <v>332</v>
      </c>
      <c r="CK1" s="93" t="s">
        <v>462</v>
      </c>
      <c r="CL1" s="586" t="s">
        <v>464</v>
      </c>
      <c r="CM1" s="563" t="s">
        <v>442</v>
      </c>
      <c r="CN1" s="564"/>
      <c r="CO1" s="565"/>
      <c r="CP1" s="554" t="s">
        <v>449</v>
      </c>
      <c r="CQ1" s="554" t="s">
        <v>447</v>
      </c>
      <c r="CR1" s="554" t="s">
        <v>448</v>
      </c>
      <c r="CS1" s="554" t="s">
        <v>406</v>
      </c>
      <c r="CT1" s="561" t="s">
        <v>313</v>
      </c>
      <c r="CU1" s="562"/>
      <c r="CV1" s="557" t="s">
        <v>334</v>
      </c>
      <c r="CW1" s="569" t="s">
        <v>335</v>
      </c>
      <c r="CX1" s="566" t="s">
        <v>336</v>
      </c>
    </row>
    <row r="2" spans="1:102" ht="18.75" customHeight="1">
      <c r="A2" s="573"/>
      <c r="B2" s="573"/>
      <c r="C2" s="580"/>
      <c r="D2" s="581"/>
      <c r="E2" s="576"/>
      <c r="F2" s="585">
        <f>IF(KDOKE!A11="","",KDOKE!A11)</f>
        <v>31</v>
      </c>
      <c r="G2" s="585"/>
      <c r="H2" s="585"/>
      <c r="I2" s="585"/>
      <c r="J2" s="585"/>
      <c r="K2" s="585"/>
      <c r="L2" s="585"/>
      <c r="M2" s="579"/>
      <c r="N2" s="583">
        <f>IF(KDOKE!A12="","",KDOKE!A12)</f>
        <v>32</v>
      </c>
      <c r="O2" s="583"/>
      <c r="P2" s="583"/>
      <c r="Q2" s="583"/>
      <c r="R2" s="583"/>
      <c r="S2" s="583"/>
      <c r="T2" s="583"/>
      <c r="U2" s="579"/>
      <c r="V2" s="584">
        <f>IF(KDOKE!A13="","",KDOKE!A13)</f>
        <v>33</v>
      </c>
      <c r="W2" s="584"/>
      <c r="X2" s="584"/>
      <c r="Y2" s="584"/>
      <c r="Z2" s="584"/>
      <c r="AA2" s="584"/>
      <c r="AB2" s="584"/>
      <c r="AC2" s="579"/>
      <c r="AD2" s="598">
        <f>IF(KDOKE!A14="","",KDOKE!A14)</f>
        <v>34</v>
      </c>
      <c r="AE2" s="598"/>
      <c r="AF2" s="598"/>
      <c r="AG2" s="598"/>
      <c r="AH2" s="598"/>
      <c r="AI2" s="598"/>
      <c r="AJ2" s="598"/>
      <c r="AK2" s="579"/>
      <c r="AL2" s="585">
        <f>IF(KDOKE!A15="","",KDOKE!A15)</f>
        <v>35</v>
      </c>
      <c r="AM2" s="585"/>
      <c r="AN2" s="585"/>
      <c r="AO2" s="585"/>
      <c r="AP2" s="585"/>
      <c r="AQ2" s="585"/>
      <c r="AR2" s="585"/>
      <c r="AS2" s="579"/>
      <c r="AT2" s="594">
        <f>IF(KDOKE!A16="","",KDOKE!A16)</f>
        <v>36</v>
      </c>
      <c r="AU2" s="594"/>
      <c r="AV2" s="594"/>
      <c r="AW2" s="594"/>
      <c r="AX2" s="594"/>
      <c r="AY2" s="594"/>
      <c r="AZ2" s="594"/>
      <c r="BA2" s="579"/>
      <c r="BB2" s="578">
        <f>IF(KDOKE!A17="","",KDOKE!A17)</f>
        <v>37</v>
      </c>
      <c r="BC2" s="578"/>
      <c r="BD2" s="578"/>
      <c r="BE2" s="578"/>
      <c r="BF2" s="578"/>
      <c r="BG2" s="578"/>
      <c r="BH2" s="578"/>
      <c r="BI2" s="579"/>
      <c r="BJ2" s="590">
        <f>IF(KDOKE!A18="","",KDOKE!A18)</f>
        <v>38</v>
      </c>
      <c r="BK2" s="590"/>
      <c r="BL2" s="590"/>
      <c r="BM2" s="590"/>
      <c r="BN2" s="590"/>
      <c r="BO2" s="590"/>
      <c r="BP2" s="590"/>
      <c r="BQ2" s="579"/>
      <c r="BR2" s="593">
        <f>IF(KDOKE!A19="","",KDOKE!A19)</f>
        <v>39</v>
      </c>
      <c r="BS2" s="593"/>
      <c r="BT2" s="593"/>
      <c r="BU2" s="593"/>
      <c r="BV2" s="593"/>
      <c r="BW2" s="593"/>
      <c r="BX2" s="593"/>
      <c r="BY2" s="579"/>
      <c r="BZ2" s="594">
        <f>IF(KDOKE!A20="","",KDOKE!A20)</f>
        <v>310</v>
      </c>
      <c r="CA2" s="594"/>
      <c r="CB2" s="594"/>
      <c r="CC2" s="594"/>
      <c r="CD2" s="594"/>
      <c r="CE2" s="594"/>
      <c r="CF2" s="594"/>
      <c r="CG2" s="579"/>
      <c r="CH2" s="589"/>
      <c r="CI2" s="552"/>
      <c r="CJ2" s="596"/>
      <c r="CK2" s="591" t="s">
        <v>463</v>
      </c>
      <c r="CL2" s="587"/>
      <c r="CM2" s="304" t="s">
        <v>444</v>
      </c>
      <c r="CN2" s="304" t="s">
        <v>445</v>
      </c>
      <c r="CO2" s="304" t="s">
        <v>446</v>
      </c>
      <c r="CP2" s="555"/>
      <c r="CQ2" s="555"/>
      <c r="CR2" s="555"/>
      <c r="CS2" s="555"/>
      <c r="CT2" s="560">
        <f>menu!B18</f>
        <v>70</v>
      </c>
      <c r="CU2" s="560"/>
      <c r="CV2" s="558"/>
      <c r="CW2" s="570"/>
      <c r="CX2" s="567"/>
    </row>
    <row r="3" spans="1:102" s="98" customFormat="1" ht="81" customHeight="1">
      <c r="A3" s="574"/>
      <c r="B3" s="574"/>
      <c r="C3" s="580"/>
      <c r="D3" s="581"/>
      <c r="E3" s="577"/>
      <c r="F3" s="96" t="s">
        <v>5</v>
      </c>
      <c r="G3" s="96" t="s">
        <v>3</v>
      </c>
      <c r="H3" s="97" t="s">
        <v>4</v>
      </c>
      <c r="I3" s="96" t="s">
        <v>32</v>
      </c>
      <c r="J3" s="306" t="s">
        <v>460</v>
      </c>
      <c r="K3" s="96" t="s">
        <v>50</v>
      </c>
      <c r="L3" s="96" t="s">
        <v>51</v>
      </c>
      <c r="M3" s="579"/>
      <c r="N3" s="96" t="s">
        <v>5</v>
      </c>
      <c r="O3" s="96" t="s">
        <v>3</v>
      </c>
      <c r="P3" s="97" t="s">
        <v>4</v>
      </c>
      <c r="Q3" s="96" t="s">
        <v>32</v>
      </c>
      <c r="R3" s="306" t="s">
        <v>460</v>
      </c>
      <c r="S3" s="96" t="s">
        <v>50</v>
      </c>
      <c r="T3" s="96" t="s">
        <v>51</v>
      </c>
      <c r="U3" s="579"/>
      <c r="V3" s="96" t="s">
        <v>5</v>
      </c>
      <c r="W3" s="96" t="s">
        <v>3</v>
      </c>
      <c r="X3" s="97" t="s">
        <v>4</v>
      </c>
      <c r="Y3" s="96" t="s">
        <v>32</v>
      </c>
      <c r="Z3" s="306" t="s">
        <v>460</v>
      </c>
      <c r="AA3" s="96" t="s">
        <v>50</v>
      </c>
      <c r="AB3" s="96" t="s">
        <v>51</v>
      </c>
      <c r="AC3" s="579"/>
      <c r="AD3" s="96" t="s">
        <v>5</v>
      </c>
      <c r="AE3" s="96" t="s">
        <v>3</v>
      </c>
      <c r="AF3" s="97" t="s">
        <v>4</v>
      </c>
      <c r="AG3" s="96" t="s">
        <v>32</v>
      </c>
      <c r="AH3" s="306" t="s">
        <v>460</v>
      </c>
      <c r="AI3" s="96" t="s">
        <v>50</v>
      </c>
      <c r="AJ3" s="96" t="s">
        <v>51</v>
      </c>
      <c r="AK3" s="579"/>
      <c r="AL3" s="96" t="s">
        <v>5</v>
      </c>
      <c r="AM3" s="96" t="s">
        <v>3</v>
      </c>
      <c r="AN3" s="97" t="s">
        <v>4</v>
      </c>
      <c r="AO3" s="96" t="s">
        <v>32</v>
      </c>
      <c r="AP3" s="306" t="s">
        <v>460</v>
      </c>
      <c r="AQ3" s="96" t="s">
        <v>50</v>
      </c>
      <c r="AR3" s="96" t="s">
        <v>51</v>
      </c>
      <c r="AS3" s="579"/>
      <c r="AT3" s="96" t="s">
        <v>5</v>
      </c>
      <c r="AU3" s="96" t="s">
        <v>3</v>
      </c>
      <c r="AV3" s="97" t="s">
        <v>4</v>
      </c>
      <c r="AW3" s="96" t="s">
        <v>32</v>
      </c>
      <c r="AX3" s="306" t="s">
        <v>460</v>
      </c>
      <c r="AY3" s="96" t="s">
        <v>50</v>
      </c>
      <c r="AZ3" s="96" t="s">
        <v>51</v>
      </c>
      <c r="BA3" s="579"/>
      <c r="BB3" s="96" t="s">
        <v>5</v>
      </c>
      <c r="BC3" s="96" t="s">
        <v>3</v>
      </c>
      <c r="BD3" s="97" t="s">
        <v>4</v>
      </c>
      <c r="BE3" s="96" t="s">
        <v>32</v>
      </c>
      <c r="BF3" s="306" t="s">
        <v>460</v>
      </c>
      <c r="BG3" s="96" t="s">
        <v>50</v>
      </c>
      <c r="BH3" s="96" t="s">
        <v>51</v>
      </c>
      <c r="BI3" s="579"/>
      <c r="BJ3" s="96" t="s">
        <v>5</v>
      </c>
      <c r="BK3" s="96" t="s">
        <v>3</v>
      </c>
      <c r="BL3" s="97" t="s">
        <v>4</v>
      </c>
      <c r="BM3" s="96" t="s">
        <v>32</v>
      </c>
      <c r="BN3" s="306" t="s">
        <v>460</v>
      </c>
      <c r="BO3" s="96" t="s">
        <v>50</v>
      </c>
      <c r="BP3" s="96" t="s">
        <v>51</v>
      </c>
      <c r="BQ3" s="579"/>
      <c r="BR3" s="96" t="s">
        <v>5</v>
      </c>
      <c r="BS3" s="96" t="s">
        <v>3</v>
      </c>
      <c r="BT3" s="97" t="s">
        <v>4</v>
      </c>
      <c r="BU3" s="96" t="s">
        <v>32</v>
      </c>
      <c r="BV3" s="306" t="s">
        <v>460</v>
      </c>
      <c r="BW3" s="96" t="s">
        <v>50</v>
      </c>
      <c r="BX3" s="96" t="s">
        <v>51</v>
      </c>
      <c r="BY3" s="579"/>
      <c r="BZ3" s="96" t="s">
        <v>5</v>
      </c>
      <c r="CA3" s="96" t="s">
        <v>3</v>
      </c>
      <c r="CB3" s="97" t="s">
        <v>4</v>
      </c>
      <c r="CC3" s="96" t="s">
        <v>32</v>
      </c>
      <c r="CD3" s="306" t="s">
        <v>460</v>
      </c>
      <c r="CE3" s="96" t="s">
        <v>50</v>
      </c>
      <c r="CF3" s="96" t="s">
        <v>51</v>
      </c>
      <c r="CG3" s="579"/>
      <c r="CH3" s="589"/>
      <c r="CI3" s="553"/>
      <c r="CJ3" s="597"/>
      <c r="CK3" s="592"/>
      <c r="CL3" s="588"/>
      <c r="CM3" s="303">
        <v>3</v>
      </c>
      <c r="CN3" s="303">
        <v>1.5</v>
      </c>
      <c r="CO3" s="303">
        <v>0.5</v>
      </c>
      <c r="CP3" s="556"/>
      <c r="CQ3" s="556"/>
      <c r="CR3" s="556"/>
      <c r="CS3" s="556"/>
      <c r="CT3" s="226" t="s">
        <v>404</v>
      </c>
      <c r="CU3" s="226" t="s">
        <v>405</v>
      </c>
      <c r="CV3" s="559"/>
      <c r="CW3" s="571"/>
      <c r="CX3" s="568"/>
    </row>
    <row r="4" spans="1:102" ht="18.75" customHeight="1">
      <c r="A4" s="99">
        <v>1</v>
      </c>
      <c r="B4" s="99">
        <v>2</v>
      </c>
      <c r="C4" s="99">
        <v>3</v>
      </c>
      <c r="D4" s="99">
        <v>4</v>
      </c>
      <c r="E4" s="99">
        <v>5</v>
      </c>
      <c r="F4" s="99">
        <v>6</v>
      </c>
      <c r="G4" s="99">
        <v>7</v>
      </c>
      <c r="H4" s="99">
        <v>8</v>
      </c>
      <c r="I4" s="99">
        <v>10</v>
      </c>
      <c r="J4" s="99">
        <v>11</v>
      </c>
      <c r="K4" s="99">
        <v>12</v>
      </c>
      <c r="L4" s="99">
        <v>13</v>
      </c>
      <c r="M4" s="114">
        <v>14</v>
      </c>
      <c r="N4" s="99">
        <v>15</v>
      </c>
      <c r="O4" s="99">
        <v>16</v>
      </c>
      <c r="P4" s="99">
        <v>17</v>
      </c>
      <c r="Q4" s="99">
        <v>19</v>
      </c>
      <c r="R4" s="99">
        <v>20</v>
      </c>
      <c r="S4" s="99">
        <v>21</v>
      </c>
      <c r="T4" s="99">
        <v>22</v>
      </c>
      <c r="U4" s="114">
        <v>23</v>
      </c>
      <c r="V4" s="99">
        <v>24</v>
      </c>
      <c r="W4" s="99">
        <v>25</v>
      </c>
      <c r="X4" s="99">
        <v>26</v>
      </c>
      <c r="Y4" s="99">
        <v>28</v>
      </c>
      <c r="Z4" s="99">
        <v>29</v>
      </c>
      <c r="AA4" s="99">
        <v>30</v>
      </c>
      <c r="AB4" s="99">
        <v>31</v>
      </c>
      <c r="AC4" s="114">
        <v>32</v>
      </c>
      <c r="AD4" s="99">
        <v>33</v>
      </c>
      <c r="AE4" s="99">
        <v>34</v>
      </c>
      <c r="AF4" s="99">
        <v>35</v>
      </c>
      <c r="AG4" s="99">
        <v>37</v>
      </c>
      <c r="AH4" s="99">
        <v>38</v>
      </c>
      <c r="AI4" s="99">
        <v>39</v>
      </c>
      <c r="AJ4" s="99">
        <v>40</v>
      </c>
      <c r="AK4" s="114">
        <v>41</v>
      </c>
      <c r="AL4" s="99">
        <v>42</v>
      </c>
      <c r="AM4" s="99">
        <v>43</v>
      </c>
      <c r="AN4" s="99">
        <v>44</v>
      </c>
      <c r="AO4" s="99">
        <v>46</v>
      </c>
      <c r="AP4" s="99">
        <v>47</v>
      </c>
      <c r="AQ4" s="99">
        <v>48</v>
      </c>
      <c r="AR4" s="99">
        <v>49</v>
      </c>
      <c r="AS4" s="114">
        <v>50</v>
      </c>
      <c r="AT4" s="99">
        <v>51</v>
      </c>
      <c r="AU4" s="99">
        <v>52</v>
      </c>
      <c r="AV4" s="99">
        <v>53</v>
      </c>
      <c r="AW4" s="99">
        <v>55</v>
      </c>
      <c r="AX4" s="99">
        <v>56</v>
      </c>
      <c r="AY4" s="99">
        <v>57</v>
      </c>
      <c r="AZ4" s="99">
        <v>58</v>
      </c>
      <c r="BA4" s="114">
        <v>59</v>
      </c>
      <c r="BB4" s="99">
        <v>60</v>
      </c>
      <c r="BC4" s="99">
        <v>61</v>
      </c>
      <c r="BD4" s="99">
        <v>62</v>
      </c>
      <c r="BE4" s="99">
        <v>64</v>
      </c>
      <c r="BF4" s="99">
        <v>65</v>
      </c>
      <c r="BG4" s="99">
        <v>66</v>
      </c>
      <c r="BH4" s="99">
        <v>67</v>
      </c>
      <c r="BI4" s="114">
        <v>68</v>
      </c>
      <c r="BJ4" s="99">
        <v>69</v>
      </c>
      <c r="BK4" s="99">
        <v>70</v>
      </c>
      <c r="BL4" s="99">
        <v>71</v>
      </c>
      <c r="BM4" s="99">
        <v>73</v>
      </c>
      <c r="BN4" s="99">
        <v>74</v>
      </c>
      <c r="BO4" s="99">
        <v>75</v>
      </c>
      <c r="BP4" s="99">
        <v>76</v>
      </c>
      <c r="BQ4" s="114">
        <v>77</v>
      </c>
      <c r="BR4" s="99">
        <v>78</v>
      </c>
      <c r="BS4" s="99">
        <v>79</v>
      </c>
      <c r="BT4" s="99">
        <v>80</v>
      </c>
      <c r="BU4" s="99">
        <v>82</v>
      </c>
      <c r="BV4" s="99">
        <v>83</v>
      </c>
      <c r="BW4" s="99">
        <v>84</v>
      </c>
      <c r="BX4" s="99">
        <v>85</v>
      </c>
      <c r="BY4" s="114">
        <v>86</v>
      </c>
      <c r="BZ4" s="99">
        <v>87</v>
      </c>
      <c r="CA4" s="99">
        <v>88</v>
      </c>
      <c r="CB4" s="99">
        <v>89</v>
      </c>
      <c r="CC4" s="99">
        <v>91</v>
      </c>
      <c r="CD4" s="99">
        <v>92</v>
      </c>
      <c r="CE4" s="99">
        <v>93</v>
      </c>
      <c r="CF4" s="99">
        <v>94</v>
      </c>
      <c r="CG4" s="114">
        <v>95</v>
      </c>
      <c r="CH4" s="317">
        <v>96</v>
      </c>
      <c r="CI4" s="99">
        <v>97</v>
      </c>
      <c r="CJ4" s="99">
        <v>98</v>
      </c>
      <c r="CK4" s="99">
        <v>99</v>
      </c>
      <c r="CL4" s="99">
        <v>100</v>
      </c>
      <c r="CM4" s="99">
        <v>101</v>
      </c>
      <c r="CN4" s="99">
        <v>102</v>
      </c>
      <c r="CO4" s="99">
        <v>103</v>
      </c>
      <c r="CP4" s="99">
        <v>104</v>
      </c>
      <c r="CQ4" s="99">
        <v>105</v>
      </c>
      <c r="CR4" s="99">
        <v>106</v>
      </c>
      <c r="CS4" s="99">
        <v>107</v>
      </c>
      <c r="CT4" s="99">
        <v>108</v>
      </c>
      <c r="CU4" s="99">
        <v>109</v>
      </c>
      <c r="CV4" s="99">
        <v>110</v>
      </c>
      <c r="CW4" s="99">
        <v>111</v>
      </c>
      <c r="CX4" s="99">
        <v>112</v>
      </c>
    </row>
    <row r="5" spans="1:102" ht="16.5">
      <c r="A5" s="105">
        <f>'DATA SISWA'!A5</f>
        <v>1</v>
      </c>
      <c r="B5" s="105" t="str">
        <f>'DATA SISWA'!B5</f>
        <v>`017</v>
      </c>
      <c r="C5" s="105" t="str">
        <f>'DATA SISWA'!C5</f>
        <v>Abd. Muis</v>
      </c>
      <c r="D5" s="105" t="str">
        <f>'DATA SISWA'!D5</f>
        <v>L</v>
      </c>
      <c r="E5" s="105" t="str">
        <f>'DATA SISWA'!E5</f>
        <v>VII</v>
      </c>
      <c r="F5" s="406">
        <v>75</v>
      </c>
      <c r="G5" s="101"/>
      <c r="H5" s="406"/>
      <c r="I5" s="406"/>
      <c r="J5" s="307">
        <f>IF(AND(F5="",G5="",H5="",I5=""),"",AVERAGE(F5:I5))</f>
        <v>75</v>
      </c>
      <c r="K5" s="101"/>
      <c r="L5" s="101"/>
      <c r="M5" s="316">
        <f>IF(AND(F5="",G5="",H5="",I5=""),"",IF(AND(K5="",L5=""),J5,IF(OR(L5="",K5="",L5&lt;=$CT$2),MAX(J5:L5),$CT$2)))</f>
        <v>75</v>
      </c>
      <c r="N5" s="406"/>
      <c r="O5" s="101"/>
      <c r="P5" s="406">
        <v>85</v>
      </c>
      <c r="Q5" s="406"/>
      <c r="R5" s="307">
        <f>IF(AND(N5="",O5="",P5="",Q5=""),"",AVERAGE(N5:Q5))</f>
        <v>85</v>
      </c>
      <c r="S5" s="101"/>
      <c r="T5" s="101"/>
      <c r="U5" s="316">
        <f>IF(AND(N5="",O5="",P5="",Q5=""),"",IF(AND(S5="",T5=""),R5,IF(OR(T5="",S5="",T5&lt;=$CT$2),MAX(R5:T5),$CT$2)))</f>
        <v>85</v>
      </c>
      <c r="V5" s="101">
        <v>78</v>
      </c>
      <c r="W5" s="101"/>
      <c r="X5" s="101"/>
      <c r="Y5" s="91"/>
      <c r="Z5" s="307">
        <f>IF(AND(V5="",W5="",X5="",Y5=""),"",AVERAGE(V5:Y5))</f>
        <v>78</v>
      </c>
      <c r="AA5" s="101"/>
      <c r="AB5" s="101"/>
      <c r="AC5" s="316">
        <f>IF(AND(V5="",W5="",X5="",Y5=""),"",IF(AND(AA5="",AB5=""),Z5,IF(OR(AB5="",AA5="",AB5&lt;=$CT$2),MAX(Z5:AB5),$CT$2)))</f>
        <v>78</v>
      </c>
      <c r="AD5" s="101">
        <v>80</v>
      </c>
      <c r="AE5" s="101"/>
      <c r="AF5" s="101"/>
      <c r="AG5" s="91"/>
      <c r="AH5" s="307">
        <f>IF(AND(AD5="",AE5="",AF5="",AG5=""),"",AVERAGE(AD5:AG5))</f>
        <v>80</v>
      </c>
      <c r="AI5" s="101"/>
      <c r="AJ5" s="101"/>
      <c r="AK5" s="316">
        <f>IF(AND(AD5="",AE5="",AF5="",AG5=""),"",IF(AND(AI5="",AJ5=""),AH5,IF(OR(AJ5="",AI5="",AJ5&lt;=$CT$2),MAX(AH5:AJ5),$CT$2)))</f>
        <v>80</v>
      </c>
      <c r="AL5" s="101"/>
      <c r="AM5" s="101"/>
      <c r="AN5" s="101"/>
      <c r="AO5" s="91"/>
      <c r="AP5" s="307" t="str">
        <f>IF(AND(AL5="",AM5="",AN5="",AO5=""),"",AVERAGE(AL5:AO5))</f>
        <v/>
      </c>
      <c r="AQ5" s="101"/>
      <c r="AR5" s="101"/>
      <c r="AS5" s="316" t="str">
        <f>IF(AND(AL5="",AM5="",AN5="",AO5=""),"",IF(AND(AQ5="",AR5=""),AP5,IF(OR(AR5="",AQ5="",AR5&lt;=$CT$2),MAX(AP5:AR5),$CT$2)))</f>
        <v/>
      </c>
      <c r="AT5" s="101"/>
      <c r="AU5" s="101"/>
      <c r="AV5" s="101"/>
      <c r="AW5" s="91"/>
      <c r="AX5" s="307" t="str">
        <f>IF(AND(AT5="",AU5="",AV5="",AW5=""),"",AVERAGE(AT5:AW5))</f>
        <v/>
      </c>
      <c r="AY5" s="101"/>
      <c r="AZ5" s="101"/>
      <c r="BA5" s="316" t="str">
        <f>IF(AND(AT5="",AU5="",AV5="",AW5=""),"",IF(AND(AY5="",AZ5=""),AX5,IF(OR(AZ5="",AY5="",AZ5&lt;=$CT$2),MAX(AX5:AZ5),$CT$2)))</f>
        <v/>
      </c>
      <c r="BB5" s="101"/>
      <c r="BC5" s="101"/>
      <c r="BD5" s="101"/>
      <c r="BE5" s="91"/>
      <c r="BF5" s="307" t="str">
        <f>IF(AND(BB5="",BC5="",BD5="",BE5=""),"",AVERAGE(BB5:BE5))</f>
        <v/>
      </c>
      <c r="BG5" s="101"/>
      <c r="BH5" s="101"/>
      <c r="BI5" s="316" t="str">
        <f>IF(AND(BB5="",BC5="",BD5="",BE5=""),"",IF(AND(BG5="",BH5=""),BF5,IF(OR(BH5="",BG5="",BH5&lt;=$CT$2),MAX(BF5:BH5),$CT$2)))</f>
        <v/>
      </c>
      <c r="BJ5" s="101"/>
      <c r="BK5" s="101"/>
      <c r="BL5" s="101"/>
      <c r="BM5" s="91"/>
      <c r="BN5" s="307" t="str">
        <f>IF(AND(BJ5="",BK5="",BL5="",BM5=""),"",AVERAGE(BJ5:BM5))</f>
        <v/>
      </c>
      <c r="BO5" s="101"/>
      <c r="BP5" s="101"/>
      <c r="BQ5" s="316" t="str">
        <f>IF(AND(BJ5="",BK5="",BL5="",BM5=""),"",IF(AND(BO5="",BP5=""),BN5,IF(OR(BP5="",BO5="",BP5&lt;=$CT$2),MAX(BN5:BP5),$CT$2)))</f>
        <v/>
      </c>
      <c r="BR5" s="101"/>
      <c r="BS5" s="101"/>
      <c r="BT5" s="101"/>
      <c r="BU5" s="91"/>
      <c r="BV5" s="307" t="str">
        <f>IF(AND(BR5="",BS5="",BT5="",BU5=""),"",AVERAGE(BR5:BU5))</f>
        <v/>
      </c>
      <c r="BW5" s="101"/>
      <c r="BX5" s="101"/>
      <c r="BY5" s="316" t="str">
        <f>IF(AND(BR5="",BS5="",BT5="",BU5=""),"",IF(AND(BW5="",BX5=""),BV5,IF(OR(BX5="",BW5="",BX5&lt;=$CT$2),MAX(BV5:BX5),$CT$2)))</f>
        <v/>
      </c>
      <c r="BZ5" s="101"/>
      <c r="CA5" s="101"/>
      <c r="CB5" s="101"/>
      <c r="CC5" s="91"/>
      <c r="CD5" s="307" t="str">
        <f>IF(AND(BZ5="",CA5="",CB5="",CC5=""),"",AVERAGE(BZ5:CC5))</f>
        <v/>
      </c>
      <c r="CE5" s="101"/>
      <c r="CF5" s="101"/>
      <c r="CG5" s="316" t="str">
        <f>IF(AND(BZ5="",CA5="",CB5="",CC5=""),"",IF(AND(CE5="",CF5=""),CD5,IF(OR(CF5="",CE5="",CF5&lt;=$CT$2),MAX(CD5:CF5),$CT$2)))</f>
        <v/>
      </c>
      <c r="CH5" s="318">
        <f t="shared" ref="CH5:CH52" si="0">IF(AND(M5="",U5=""),"",AVERAGE(M5,U5,AC5,AK5,AS5,BA5,BI5,BQ5,BY5,CG5))</f>
        <v>79.5</v>
      </c>
      <c r="CI5" s="105">
        <f t="shared" ref="CI5:CI52" si="1">MAX(M5,U5,AC5,AK5,AS5,BA5,BI5,BQ5,BY5,CG5)</f>
        <v>85</v>
      </c>
      <c r="CJ5" s="105">
        <f t="shared" ref="CJ5:CJ52" si="2">MIN(M5,U5,AC5,AK5,AS5,BA5,BI5,BQ5,BY5,CG5)</f>
        <v>75</v>
      </c>
      <c r="CK5" s="407">
        <v>70</v>
      </c>
      <c r="CL5" s="101">
        <v>75</v>
      </c>
      <c r="CM5" s="319">
        <f>IF(CH5="","",CH5*$CM$3)</f>
        <v>238.5</v>
      </c>
      <c r="CN5" s="319">
        <f>IF(CK5="","",CK5*$CN$3)</f>
        <v>105</v>
      </c>
      <c r="CO5" s="319">
        <f>IF(CL5="","",CL5*$CO$3)</f>
        <v>37.5</v>
      </c>
      <c r="CP5" s="227">
        <f>IF(OR(CH5="",CK5="",CL5=""),"",(SUM(CM5:CO5)/SUM($CM$3:$CO$3)))</f>
        <v>76.2</v>
      </c>
      <c r="CQ5" s="320">
        <f>IF(CP5="","",ROUNDUP(CP5,0))</f>
        <v>77</v>
      </c>
      <c r="CR5" s="106" t="str">
        <f>IF(CQ5="","",IF(CQ5&gt;85,"A",IF(CQ5&gt;70,"B",IF(CQ5&gt;55,"C","D"))))</f>
        <v>B</v>
      </c>
      <c r="CS5" s="106" t="str">
        <f>IF(CQ5="","",IF(CQ5&gt;85,"sangat baik",IF(CQ5&gt;70,"baik",IF(CQ5&gt;55,"cukup","kurang"))))</f>
        <v>baik</v>
      </c>
      <c r="CT5" s="106" t="str">
        <f>IF(CI5="","",IF(CI5&gt;=$CT$2,"TUNTAS","TIDAK"))</f>
        <v>TUNTAS</v>
      </c>
      <c r="CU5" s="106" t="str">
        <f>IF(CJ5="","",IF(CJ5&gt;=$CT$2,"TUNTAS","TIDAK"))</f>
        <v>TUNTAS</v>
      </c>
      <c r="CV5" s="116" t="str">
        <f>IF(CP5="","",IF(AND(CT5="TUNTAS",CU5="TUNTAS"),"Penguasaan materi sudah "&amp;CS5&amp;" "&amp;"dalam "&amp;CW5,IF(AND(CT5="TUNTAS",CU5="TIDAK"),"Penguasaan semua materi "&amp;CS5&amp;", "&amp;" sudah menguasai "&amp;CW5&amp;", "&amp;"dan perlu ditingkatkan dalam "&amp;CX5,"Perlu perbaikan pada semua materi")))</f>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5" s="108" t="str">
        <f>IF(CI5="","",VLOOKUP(CI5,DATAPENG!$B$3:$C$12,2,FALSE))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5" s="108" t="str">
        <f>IF(CJ5="","",VLOOKUP(CJ5,DATAPENG!$B$3:$C$12,2,FALSE))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6" spans="1:102" ht="16.5">
      <c r="A6" s="105">
        <f>'DATA SISWA'!A6</f>
        <v>2</v>
      </c>
      <c r="B6" s="105" t="str">
        <f>'DATA SISWA'!B6</f>
        <v>`008</v>
      </c>
      <c r="C6" s="105" t="str">
        <f>'DATA SISWA'!C6</f>
        <v>Achmad Buka</v>
      </c>
      <c r="D6" s="105" t="str">
        <f>'DATA SISWA'!D6</f>
        <v>L</v>
      </c>
      <c r="E6" s="105" t="str">
        <f>'DATA SISWA'!E6</f>
        <v>VII</v>
      </c>
      <c r="F6" s="406">
        <v>100</v>
      </c>
      <c r="G6" s="101"/>
      <c r="H6" s="406"/>
      <c r="I6" s="406"/>
      <c r="J6" s="307">
        <f t="shared" ref="J6:J8" si="3">IF(AND(F6="",G6="",H6="",I6=""),"",AVERAGE(F6:I6))</f>
        <v>100</v>
      </c>
      <c r="K6" s="101"/>
      <c r="L6" s="101"/>
      <c r="M6" s="316">
        <f t="shared" ref="M6:M8" si="4">IF(AND(F6="",G6="",H6="",I6=""),"",IF(AND(K6="",L6=""),J6,IF(OR(L6="",K6="",L6&lt;=$CT$2),MAX(J6:L6),$CT$2)))</f>
        <v>100</v>
      </c>
      <c r="N6" s="406"/>
      <c r="O6" s="101"/>
      <c r="P6" s="406">
        <v>70</v>
      </c>
      <c r="Q6" s="406"/>
      <c r="R6" s="307">
        <f t="shared" ref="R6:R8" si="5">IF(AND(N6="",O6="",P6="",Q6=""),"",AVERAGE(N6:Q6))</f>
        <v>70</v>
      </c>
      <c r="S6" s="101"/>
      <c r="T6" s="101"/>
      <c r="U6" s="316">
        <f t="shared" ref="U6:U8" si="6">IF(AND(N6="",O6="",P6="",Q6=""),"",IF(AND(S6="",T6=""),R6,IF(OR(T6="",S6="",T6&lt;=$CT$2),MAX(R6:T6),$CT$2)))</f>
        <v>70</v>
      </c>
      <c r="V6" s="101">
        <v>90</v>
      </c>
      <c r="W6" s="101"/>
      <c r="X6" s="101"/>
      <c r="Y6" s="91"/>
      <c r="Z6" s="307">
        <f t="shared" ref="Z6:Z8" si="7">IF(AND(V6="",W6="",X6="",Y6=""),"",AVERAGE(V6:Y6))</f>
        <v>90</v>
      </c>
      <c r="AA6" s="101"/>
      <c r="AB6" s="101"/>
      <c r="AC6" s="316">
        <f t="shared" ref="AC6:AC8" si="8">IF(AND(V6="",W6="",X6="",Y6=""),"",IF(AND(AA6="",AB6=""),Z6,IF(OR(AB6="",AA6="",AB6&lt;=$CT$2),MAX(Z6:AB6),$CT$2)))</f>
        <v>90</v>
      </c>
      <c r="AD6" s="101">
        <v>80</v>
      </c>
      <c r="AE6" s="101"/>
      <c r="AF6" s="101"/>
      <c r="AG6" s="91"/>
      <c r="AH6" s="307">
        <f t="shared" ref="AH6:AH8" si="9">IF(AND(AD6="",AE6="",AF6="",AG6=""),"",AVERAGE(AD6:AG6))</f>
        <v>80</v>
      </c>
      <c r="AI6" s="101"/>
      <c r="AJ6" s="101"/>
      <c r="AK6" s="316">
        <f t="shared" ref="AK6:AK8" si="10">IF(AND(AD6="",AE6="",AF6="",AG6=""),"",IF(AND(AI6="",AJ6=""),AH6,IF(OR(AJ6="",AI6="",AJ6&lt;=$CT$2),MAX(AH6:AJ6),$CT$2)))</f>
        <v>80</v>
      </c>
      <c r="AL6" s="101"/>
      <c r="AM6" s="101"/>
      <c r="AN6" s="101"/>
      <c r="AO6" s="91"/>
      <c r="AP6" s="307" t="str">
        <f t="shared" ref="AP6:AP8" si="11">IF(AND(AL6="",AM6="",AN6="",AO6=""),"",AVERAGE(AL6:AO6))</f>
        <v/>
      </c>
      <c r="AQ6" s="101"/>
      <c r="AR6" s="101"/>
      <c r="AS6" s="316" t="str">
        <f t="shared" ref="AS6:AS8" si="12">IF(AND(AL6="",AM6="",AN6="",AO6=""),"",IF(AND(AQ6="",AR6=""),AP6,IF(OR(AR6="",AQ6="",AR6&lt;=$CT$2),MAX(AP6:AR6),$CT$2)))</f>
        <v/>
      </c>
      <c r="AT6" s="101"/>
      <c r="AU6" s="101"/>
      <c r="AV6" s="101"/>
      <c r="AW6" s="91"/>
      <c r="AX6" s="307" t="str">
        <f t="shared" ref="AX6:AX8" si="13">IF(AND(AT6="",AU6="",AV6="",AW6=""),"",AVERAGE(AT6:AW6))</f>
        <v/>
      </c>
      <c r="AY6" s="101"/>
      <c r="AZ6" s="101"/>
      <c r="BA6" s="316" t="str">
        <f t="shared" ref="BA6:BA8" si="14">IF(AND(AT6="",AU6="",AV6="",AW6=""),"",IF(AND(AY6="",AZ6=""),AX6,IF(OR(AZ6="",AY6="",AZ6&lt;=$CT$2),MAX(AX6:AZ6),$CT$2)))</f>
        <v/>
      </c>
      <c r="BB6" s="101"/>
      <c r="BC6" s="101"/>
      <c r="BD6" s="101"/>
      <c r="BE6" s="91"/>
      <c r="BF6" s="307" t="str">
        <f t="shared" ref="BF6:BF8" si="15">IF(AND(BB6="",BC6="",BD6="",BE6=""),"",AVERAGE(BB6:BE6))</f>
        <v/>
      </c>
      <c r="BG6" s="101"/>
      <c r="BH6" s="101"/>
      <c r="BI6" s="316" t="str">
        <f t="shared" ref="BI6:BI8" si="16">IF(AND(BB6="",BC6="",BD6="",BE6=""),"",IF(AND(BG6="",BH6=""),BF6,IF(OR(BH6="",BG6="",BH6&lt;=$CT$2),MAX(BF6:BH6),$CT$2)))</f>
        <v/>
      </c>
      <c r="BJ6" s="101"/>
      <c r="BK6" s="101"/>
      <c r="BL6" s="101"/>
      <c r="BM6" s="91"/>
      <c r="BN6" s="307" t="str">
        <f t="shared" ref="BN6:BN8" si="17">IF(AND(BJ6="",BK6="",BL6="",BM6=""),"",AVERAGE(BJ6:BM6))</f>
        <v/>
      </c>
      <c r="BO6" s="101"/>
      <c r="BP6" s="101"/>
      <c r="BQ6" s="316" t="str">
        <f t="shared" ref="BQ6:BQ8" si="18">IF(AND(BJ6="",BK6="",BL6="",BM6=""),"",IF(AND(BO6="",BP6=""),BN6,IF(OR(BP6="",BO6="",BP6&lt;=$CT$2),MAX(BN6:BP6),$CT$2)))</f>
        <v/>
      </c>
      <c r="BR6" s="101"/>
      <c r="BS6" s="101"/>
      <c r="BT6" s="101"/>
      <c r="BU6" s="91"/>
      <c r="BV6" s="307" t="str">
        <f t="shared" ref="BV6:BV8" si="19">IF(AND(BR6="",BS6="",BT6="",BU6=""),"",AVERAGE(BR6:BU6))</f>
        <v/>
      </c>
      <c r="BW6" s="101"/>
      <c r="BX6" s="101"/>
      <c r="BY6" s="316" t="str">
        <f t="shared" ref="BY6:BY8" si="20">IF(AND(BR6="",BS6="",BT6="",BU6=""),"",IF(AND(BW6="",BX6=""),BV6,IF(OR(BX6="",BW6="",BX6&lt;=$CT$2),MAX(BV6:BX6),$CT$2)))</f>
        <v/>
      </c>
      <c r="BZ6" s="101"/>
      <c r="CA6" s="101"/>
      <c r="CB6" s="101"/>
      <c r="CC6" s="91"/>
      <c r="CD6" s="307" t="str">
        <f t="shared" ref="CD6:CD8" si="21">IF(AND(BZ6="",CA6="",CB6="",CC6=""),"",AVERAGE(BZ6:CC6))</f>
        <v/>
      </c>
      <c r="CE6" s="101"/>
      <c r="CF6" s="101"/>
      <c r="CG6" s="316" t="str">
        <f t="shared" ref="CG6:CG8" si="22">IF(AND(BZ6="",CA6="",CB6="",CC6=""),"",IF(AND(CE6="",CF6=""),CD6,IF(OR(CF6="",CE6="",CF6&lt;=$CT$2),MAX(CD6:CF6),$CT$2)))</f>
        <v/>
      </c>
      <c r="CH6" s="318">
        <f t="shared" si="0"/>
        <v>85</v>
      </c>
      <c r="CI6" s="105">
        <f t="shared" si="1"/>
        <v>100</v>
      </c>
      <c r="CJ6" s="105">
        <f t="shared" si="2"/>
        <v>70</v>
      </c>
      <c r="CK6" s="407">
        <v>74</v>
      </c>
      <c r="CL6" s="101">
        <v>77</v>
      </c>
      <c r="CM6" s="319">
        <f t="shared" ref="CM6:CM52" si="23">IF(CH6="","",CH6*$CM$3)</f>
        <v>255</v>
      </c>
      <c r="CN6" s="319">
        <f t="shared" ref="CN6:CN52" si="24">IF(CK6="","",CK6*$CN$3)</f>
        <v>111</v>
      </c>
      <c r="CO6" s="319">
        <f t="shared" ref="CO6:CO52" si="25">IF(CL6="","",CL6*$CO$3)</f>
        <v>38.5</v>
      </c>
      <c r="CP6" s="227">
        <f t="shared" ref="CP6:CP52" si="26">IF(OR(CH6="",CK6="",CL6=""),"",(SUM(CM6:CO6)/SUM($CM$3:$CO$3)))</f>
        <v>80.900000000000006</v>
      </c>
      <c r="CQ6" s="320">
        <f t="shared" ref="CQ6:CQ52" si="27">IF(CP6="","",ROUNDUP(CP6,0))</f>
        <v>81</v>
      </c>
      <c r="CR6" s="106" t="str">
        <f t="shared" ref="CR6:CR52" si="28">IF(CQ6="","",IF(CQ6&gt;85,"A",IF(CQ6&gt;70,"B",IF(CQ6&gt;55,"C","D"))))</f>
        <v>B</v>
      </c>
      <c r="CS6" s="106" t="str">
        <f t="shared" ref="CS6:CS52" si="29">IF(CQ6="","",IF(CQ6&gt;85,"sangat baik",IF(CQ6&gt;70,"baik",IF(CQ6&gt;55,"cukup","kurang"))))</f>
        <v>baik</v>
      </c>
      <c r="CT6" s="106" t="str">
        <f t="shared" ref="CT6:CT52" si="30">IF(CI6="","",IF(CI6&gt;=$CT$2,"TUNTAS","TIDAK"))</f>
        <v>TUNTAS</v>
      </c>
      <c r="CU6" s="106" t="str">
        <f t="shared" ref="CU6:CU52" si="31">IF(CJ6="","",IF(CJ6&gt;=$CT$2,"TUNTAS","TIDAK"))</f>
        <v>TUNTAS</v>
      </c>
      <c r="CV6" s="116" t="str">
        <f t="shared" ref="CV6:CV52" si="32">IF(CP6="","",IF(AND(CT6="TUNTAS",CU6="TUNTAS"),"Penguasaan materi sudah "&amp;CS6&amp;" "&amp;"dalam "&amp;CW6,IF(AND(CT6="TUNTAS",CU6="TIDAK"),"Penguasaan semua materi "&amp;CS6&amp;", "&amp;" sudah menguasai "&amp;CW6&amp;", "&amp;"dan perlu ditingkatkan dalam "&amp;CX6,"Perlu perbaikan pada semua materi")))</f>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6" s="109" t="str">
        <f>IF(CI6="","",VLOOKUP(CI6,DATAPENG!$D$3:$E$12,2,FALSE))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6" s="109" t="str">
        <f>IF(CJ6="","",VLOOKUP(CJ6,DATAPENG!$D$3:$E$12,2,FALSE))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7" spans="1:102" ht="16.5">
      <c r="A7" s="105">
        <f>'DATA SISWA'!A7</f>
        <v>3</v>
      </c>
      <c r="B7" s="105" t="str">
        <f>'DATA SISWA'!B7</f>
        <v>`014</v>
      </c>
      <c r="C7" s="105" t="str">
        <f>'DATA SISWA'!C7</f>
        <v>Bunami</v>
      </c>
      <c r="D7" s="105" t="str">
        <f>'DATA SISWA'!D7</f>
        <v>P</v>
      </c>
      <c r="E7" s="105" t="str">
        <f>'DATA SISWA'!E7</f>
        <v>VII</v>
      </c>
      <c r="F7" s="406">
        <v>89</v>
      </c>
      <c r="G7" s="101"/>
      <c r="H7" s="406"/>
      <c r="I7" s="406"/>
      <c r="J7" s="307">
        <f t="shared" si="3"/>
        <v>89</v>
      </c>
      <c r="K7" s="101"/>
      <c r="L7" s="101"/>
      <c r="M7" s="316">
        <f t="shared" si="4"/>
        <v>89</v>
      </c>
      <c r="N7" s="406"/>
      <c r="O7" s="101"/>
      <c r="P7" s="406">
        <v>75</v>
      </c>
      <c r="Q7" s="406"/>
      <c r="R7" s="307">
        <f t="shared" si="5"/>
        <v>75</v>
      </c>
      <c r="S7" s="101"/>
      <c r="T7" s="101"/>
      <c r="U7" s="316">
        <f t="shared" si="6"/>
        <v>75</v>
      </c>
      <c r="V7" s="101">
        <v>90</v>
      </c>
      <c r="W7" s="101"/>
      <c r="X7" s="101"/>
      <c r="Y7" s="91"/>
      <c r="Z7" s="307">
        <f t="shared" si="7"/>
        <v>90</v>
      </c>
      <c r="AA7" s="101"/>
      <c r="AB7" s="101"/>
      <c r="AC7" s="316">
        <f t="shared" si="8"/>
        <v>90</v>
      </c>
      <c r="AD7" s="101">
        <v>76</v>
      </c>
      <c r="AE7" s="101"/>
      <c r="AF7" s="101"/>
      <c r="AG7" s="91"/>
      <c r="AH7" s="307">
        <f t="shared" si="9"/>
        <v>76</v>
      </c>
      <c r="AI7" s="101"/>
      <c r="AJ7" s="101"/>
      <c r="AK7" s="316">
        <f t="shared" si="10"/>
        <v>76</v>
      </c>
      <c r="AL7" s="101"/>
      <c r="AM7" s="101"/>
      <c r="AN7" s="101"/>
      <c r="AO7" s="91"/>
      <c r="AP7" s="307" t="str">
        <f t="shared" si="11"/>
        <v/>
      </c>
      <c r="AQ7" s="101"/>
      <c r="AR7" s="101"/>
      <c r="AS7" s="316" t="str">
        <f t="shared" si="12"/>
        <v/>
      </c>
      <c r="AT7" s="101"/>
      <c r="AU7" s="101"/>
      <c r="AV7" s="101"/>
      <c r="AW7" s="91"/>
      <c r="AX7" s="307" t="str">
        <f t="shared" si="13"/>
        <v/>
      </c>
      <c r="AY7" s="101"/>
      <c r="AZ7" s="101"/>
      <c r="BA7" s="316" t="str">
        <f t="shared" si="14"/>
        <v/>
      </c>
      <c r="BB7" s="101"/>
      <c r="BC7" s="101"/>
      <c r="BD7" s="101"/>
      <c r="BE7" s="91"/>
      <c r="BF7" s="307" t="str">
        <f t="shared" si="15"/>
        <v/>
      </c>
      <c r="BG7" s="101"/>
      <c r="BH7" s="101"/>
      <c r="BI7" s="316" t="str">
        <f t="shared" si="16"/>
        <v/>
      </c>
      <c r="BJ7" s="101"/>
      <c r="BK7" s="101"/>
      <c r="BL7" s="101"/>
      <c r="BM7" s="91"/>
      <c r="BN7" s="307" t="str">
        <f t="shared" si="17"/>
        <v/>
      </c>
      <c r="BO7" s="101"/>
      <c r="BP7" s="101"/>
      <c r="BQ7" s="316" t="str">
        <f t="shared" si="18"/>
        <v/>
      </c>
      <c r="BR7" s="101"/>
      <c r="BS7" s="101"/>
      <c r="BT7" s="101"/>
      <c r="BU7" s="91"/>
      <c r="BV7" s="307" t="str">
        <f t="shared" si="19"/>
        <v/>
      </c>
      <c r="BW7" s="101"/>
      <c r="BX7" s="101"/>
      <c r="BY7" s="316" t="str">
        <f t="shared" si="20"/>
        <v/>
      </c>
      <c r="BZ7" s="101"/>
      <c r="CA7" s="101"/>
      <c r="CB7" s="101"/>
      <c r="CC7" s="91"/>
      <c r="CD7" s="307" t="str">
        <f t="shared" si="21"/>
        <v/>
      </c>
      <c r="CE7" s="101"/>
      <c r="CF7" s="101"/>
      <c r="CG7" s="316" t="str">
        <f t="shared" si="22"/>
        <v/>
      </c>
      <c r="CH7" s="318">
        <f t="shared" si="0"/>
        <v>82.5</v>
      </c>
      <c r="CI7" s="105">
        <f t="shared" si="1"/>
        <v>90</v>
      </c>
      <c r="CJ7" s="105">
        <f t="shared" si="2"/>
        <v>75</v>
      </c>
      <c r="CK7" s="407">
        <v>75</v>
      </c>
      <c r="CL7" s="101">
        <v>78</v>
      </c>
      <c r="CM7" s="319">
        <f t="shared" si="23"/>
        <v>247.5</v>
      </c>
      <c r="CN7" s="319">
        <f t="shared" si="24"/>
        <v>112.5</v>
      </c>
      <c r="CO7" s="319">
        <f t="shared" si="25"/>
        <v>39</v>
      </c>
      <c r="CP7" s="227">
        <f t="shared" si="26"/>
        <v>79.8</v>
      </c>
      <c r="CQ7" s="320">
        <f t="shared" si="27"/>
        <v>80</v>
      </c>
      <c r="CR7" s="106" t="str">
        <f t="shared" si="28"/>
        <v>B</v>
      </c>
      <c r="CS7" s="106" t="str">
        <f t="shared" si="29"/>
        <v>baik</v>
      </c>
      <c r="CT7" s="106" t="str">
        <f t="shared" si="30"/>
        <v>TUNTAS</v>
      </c>
      <c r="CU7" s="106" t="str">
        <f t="shared" si="31"/>
        <v>TUNTAS</v>
      </c>
      <c r="CV7" s="116" t="str">
        <f t="shared" si="32"/>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W7" s="109" t="str">
        <f>IF(CI7="","",VLOOKUP(CI7,DATAPENG!$F$3:$G$12,2,FALSE))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X7" s="109" t="str">
        <f>IF(CJ7="","",VLOOKUP(CJ7,DATAPENG!$F$3:$G$12,2,FALSE))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8" spans="1:102" ht="16.5">
      <c r="A8" s="105">
        <f>'DATA SISWA'!A8</f>
        <v>4</v>
      </c>
      <c r="B8" s="105" t="str">
        <f>'DATA SISWA'!B8</f>
        <v>`009</v>
      </c>
      <c r="C8" s="105" t="str">
        <f>'DATA SISWA'!C8</f>
        <v>Fatimatuz Zahroh</v>
      </c>
      <c r="D8" s="105" t="str">
        <f>'DATA SISWA'!D8</f>
        <v>P</v>
      </c>
      <c r="E8" s="105" t="str">
        <f>'DATA SISWA'!E8</f>
        <v>VII</v>
      </c>
      <c r="F8" s="406">
        <v>90</v>
      </c>
      <c r="G8" s="101"/>
      <c r="H8" s="406"/>
      <c r="I8" s="406"/>
      <c r="J8" s="307">
        <f t="shared" si="3"/>
        <v>90</v>
      </c>
      <c r="K8" s="101"/>
      <c r="L8" s="101"/>
      <c r="M8" s="316">
        <f t="shared" si="4"/>
        <v>90</v>
      </c>
      <c r="N8" s="406"/>
      <c r="O8" s="101"/>
      <c r="P8" s="406">
        <v>80</v>
      </c>
      <c r="Q8" s="406"/>
      <c r="R8" s="307">
        <f t="shared" si="5"/>
        <v>80</v>
      </c>
      <c r="S8" s="101"/>
      <c r="T8" s="101"/>
      <c r="U8" s="316">
        <f t="shared" si="6"/>
        <v>80</v>
      </c>
      <c r="V8" s="101">
        <v>90</v>
      </c>
      <c r="W8" s="101"/>
      <c r="X8" s="101"/>
      <c r="Y8" s="91"/>
      <c r="Z8" s="307">
        <f t="shared" si="7"/>
        <v>90</v>
      </c>
      <c r="AA8" s="101"/>
      <c r="AB8" s="101"/>
      <c r="AC8" s="316">
        <f t="shared" si="8"/>
        <v>90</v>
      </c>
      <c r="AD8" s="101">
        <v>90</v>
      </c>
      <c r="AE8" s="101"/>
      <c r="AF8" s="101"/>
      <c r="AG8" s="91"/>
      <c r="AH8" s="307">
        <f t="shared" si="9"/>
        <v>90</v>
      </c>
      <c r="AI8" s="101"/>
      <c r="AJ8" s="101"/>
      <c r="AK8" s="316">
        <f t="shared" si="10"/>
        <v>90</v>
      </c>
      <c r="AL8" s="101"/>
      <c r="AM8" s="101"/>
      <c r="AN8" s="101"/>
      <c r="AO8" s="91"/>
      <c r="AP8" s="307" t="str">
        <f t="shared" si="11"/>
        <v/>
      </c>
      <c r="AQ8" s="101"/>
      <c r="AR8" s="101"/>
      <c r="AS8" s="316" t="str">
        <f t="shared" si="12"/>
        <v/>
      </c>
      <c r="AT8" s="101"/>
      <c r="AU8" s="101"/>
      <c r="AV8" s="101"/>
      <c r="AW8" s="91"/>
      <c r="AX8" s="307" t="str">
        <f t="shared" si="13"/>
        <v/>
      </c>
      <c r="AY8" s="101"/>
      <c r="AZ8" s="101"/>
      <c r="BA8" s="316" t="str">
        <f t="shared" si="14"/>
        <v/>
      </c>
      <c r="BB8" s="101"/>
      <c r="BC8" s="101"/>
      <c r="BD8" s="101"/>
      <c r="BE8" s="91"/>
      <c r="BF8" s="307" t="str">
        <f t="shared" si="15"/>
        <v/>
      </c>
      <c r="BG8" s="101"/>
      <c r="BH8" s="101"/>
      <c r="BI8" s="316" t="str">
        <f t="shared" si="16"/>
        <v/>
      </c>
      <c r="BJ8" s="101"/>
      <c r="BK8" s="101"/>
      <c r="BL8" s="101"/>
      <c r="BM8" s="91"/>
      <c r="BN8" s="307" t="str">
        <f t="shared" si="17"/>
        <v/>
      </c>
      <c r="BO8" s="101"/>
      <c r="BP8" s="101"/>
      <c r="BQ8" s="316" t="str">
        <f t="shared" si="18"/>
        <v/>
      </c>
      <c r="BR8" s="101"/>
      <c r="BS8" s="101"/>
      <c r="BT8" s="101"/>
      <c r="BU8" s="91"/>
      <c r="BV8" s="307" t="str">
        <f t="shared" si="19"/>
        <v/>
      </c>
      <c r="BW8" s="101"/>
      <c r="BX8" s="101"/>
      <c r="BY8" s="316" t="str">
        <f t="shared" si="20"/>
        <v/>
      </c>
      <c r="BZ8" s="101"/>
      <c r="CA8" s="101"/>
      <c r="CB8" s="101"/>
      <c r="CC8" s="91"/>
      <c r="CD8" s="307" t="str">
        <f t="shared" si="21"/>
        <v/>
      </c>
      <c r="CE8" s="101"/>
      <c r="CF8" s="101"/>
      <c r="CG8" s="316" t="str">
        <f t="shared" si="22"/>
        <v/>
      </c>
      <c r="CH8" s="318">
        <f t="shared" si="0"/>
        <v>87.5</v>
      </c>
      <c r="CI8" s="105">
        <f t="shared" si="1"/>
        <v>90</v>
      </c>
      <c r="CJ8" s="105">
        <f t="shared" si="2"/>
        <v>80</v>
      </c>
      <c r="CK8" s="407">
        <v>75</v>
      </c>
      <c r="CL8" s="101">
        <v>78</v>
      </c>
      <c r="CM8" s="319">
        <f t="shared" si="23"/>
        <v>262.5</v>
      </c>
      <c r="CN8" s="319">
        <f t="shared" si="24"/>
        <v>112.5</v>
      </c>
      <c r="CO8" s="319">
        <f t="shared" si="25"/>
        <v>39</v>
      </c>
      <c r="CP8" s="227">
        <f t="shared" si="26"/>
        <v>82.8</v>
      </c>
      <c r="CQ8" s="320">
        <f t="shared" si="27"/>
        <v>83</v>
      </c>
      <c r="CR8" s="106" t="str">
        <f t="shared" si="28"/>
        <v>B</v>
      </c>
      <c r="CS8" s="106" t="str">
        <f t="shared" si="29"/>
        <v>baik</v>
      </c>
      <c r="CT8" s="106" t="str">
        <f t="shared" si="30"/>
        <v>TUNTAS</v>
      </c>
      <c r="CU8" s="106" t="str">
        <f t="shared" si="31"/>
        <v>TUNTAS</v>
      </c>
      <c r="CV8" s="116" t="str">
        <f t="shared" si="32"/>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8" s="109" t="str">
        <f>IF(CI8="","",VLOOKUP(CI8,DATAPENG!$H$3:$I$12,2,FALSE))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8" s="109" t="str">
        <f>IF(CJ8="","",VLOOKUP(CJ8,DATAPENG!$H$3:$I$12,2,FALSE))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9" spans="1:102" ht="16.5">
      <c r="A9" s="105">
        <f>'DATA SISWA'!A9</f>
        <v>5</v>
      </c>
      <c r="B9" s="105" t="str">
        <f>'DATA SISWA'!B9</f>
        <v>`003</v>
      </c>
      <c r="C9" s="105" t="str">
        <f>'DATA SISWA'!C9</f>
        <v>Fitriadi</v>
      </c>
      <c r="D9" s="105" t="str">
        <f>'DATA SISWA'!D9</f>
        <v>L</v>
      </c>
      <c r="E9" s="105" t="str">
        <f>'DATA SISWA'!E9</f>
        <v>VII</v>
      </c>
      <c r="F9" s="406">
        <v>95</v>
      </c>
      <c r="G9" s="101"/>
      <c r="H9" s="406"/>
      <c r="I9" s="406"/>
      <c r="J9" s="307">
        <f>IF(AND(F9="",G9="",H9="",I9=""),"",AVERAGE(F9:I9))</f>
        <v>95</v>
      </c>
      <c r="K9" s="101"/>
      <c r="L9" s="101"/>
      <c r="M9" s="316">
        <f>IF(AND(F9="",G9="",H9="",I9=""),"",IF(AND(K9="",L9=""),J9,IF(OR(L9="",K9="",L9&lt;=$CT$2),MAX(J9:L9),$CT$2)))</f>
        <v>95</v>
      </c>
      <c r="N9" s="406"/>
      <c r="O9" s="101"/>
      <c r="P9" s="406">
        <v>90</v>
      </c>
      <c r="Q9" s="406"/>
      <c r="R9" s="307">
        <f>IF(AND(N9="",O9="",P9="",Q9=""),"",AVERAGE(N9:Q9))</f>
        <v>90</v>
      </c>
      <c r="S9" s="101"/>
      <c r="T9" s="101"/>
      <c r="U9" s="316">
        <f>IF(AND(N9="",O9="",P9="",Q9=""),"",IF(AND(S9="",T9=""),R9,IF(OR(T9="",S9="",T9&lt;=$CT$2),MAX(R9:T9),$CT$2)))</f>
        <v>90</v>
      </c>
      <c r="V9" s="101">
        <v>80</v>
      </c>
      <c r="W9" s="101"/>
      <c r="X9" s="101"/>
      <c r="Y9" s="91"/>
      <c r="Z9" s="307">
        <f>IF(AND(V9="",W9="",X9="",Y9=""),"",AVERAGE(V9:Y9))</f>
        <v>80</v>
      </c>
      <c r="AA9" s="101"/>
      <c r="AB9" s="101"/>
      <c r="AC9" s="316">
        <f>IF(AND(V9="",W9="",X9="",Y9=""),"",IF(AND(AA9="",AB9=""),Z9,IF(OR(AB9="",AA9="",AB9&lt;=$CT$2),MAX(Z9:AB9),$CT$2)))</f>
        <v>80</v>
      </c>
      <c r="AD9" s="101">
        <v>90</v>
      </c>
      <c r="AE9" s="101"/>
      <c r="AF9" s="101"/>
      <c r="AG9" s="91"/>
      <c r="AH9" s="307">
        <f>IF(AND(AD9="",AE9="",AF9="",AG9=""),"",AVERAGE(AD9:AG9))</f>
        <v>90</v>
      </c>
      <c r="AI9" s="101"/>
      <c r="AJ9" s="101"/>
      <c r="AK9" s="316">
        <f>IF(AND(AD9="",AE9="",AF9="",AG9=""),"",IF(AND(AI9="",AJ9=""),AH9,IF(OR(AJ9="",AI9="",AJ9&lt;=$CT$2),MAX(AH9:AJ9),$CT$2)))</f>
        <v>90</v>
      </c>
      <c r="AL9" s="101"/>
      <c r="AM9" s="101"/>
      <c r="AN9" s="101"/>
      <c r="AO9" s="91"/>
      <c r="AP9" s="307" t="str">
        <f>IF(AND(AL9="",AM9="",AN9="",AO9=""),"",AVERAGE(AL9:AO9))</f>
        <v/>
      </c>
      <c r="AQ9" s="101"/>
      <c r="AR9" s="101"/>
      <c r="AS9" s="316" t="str">
        <f>IF(AND(AL9="",AM9="",AN9="",AO9=""),"",IF(AND(AQ9="",AR9=""),AP9,IF(OR(AR9="",AQ9="",AR9&lt;=$CT$2),MAX(AP9:AR9),$CT$2)))</f>
        <v/>
      </c>
      <c r="AT9" s="101"/>
      <c r="AU9" s="101"/>
      <c r="AV9" s="101"/>
      <c r="AW9" s="91"/>
      <c r="AX9" s="307" t="str">
        <f>IF(AND(AT9="",AU9="",AV9="",AW9=""),"",AVERAGE(AT9:AW9))</f>
        <v/>
      </c>
      <c r="AY9" s="101"/>
      <c r="AZ9" s="101"/>
      <c r="BA9" s="316" t="str">
        <f>IF(AND(AT9="",AU9="",AV9="",AW9=""),"",IF(AND(AY9="",AZ9=""),AX9,IF(OR(AZ9="",AY9="",AZ9&lt;=$CT$2),MAX(AX9:AZ9),$CT$2)))</f>
        <v/>
      </c>
      <c r="BB9" s="101"/>
      <c r="BC9" s="101"/>
      <c r="BD9" s="101"/>
      <c r="BE9" s="91"/>
      <c r="BF9" s="307" t="str">
        <f>IF(AND(BB9="",BC9="",BD9="",BE9=""),"",AVERAGE(BB9:BE9))</f>
        <v/>
      </c>
      <c r="BG9" s="101"/>
      <c r="BH9" s="101"/>
      <c r="BI9" s="316" t="str">
        <f>IF(AND(BB9="",BC9="",BD9="",BE9=""),"",IF(AND(BG9="",BH9=""),BF9,IF(OR(BH9="",BG9="",BH9&lt;=$CT$2),MAX(BF9:BH9),$CT$2)))</f>
        <v/>
      </c>
      <c r="BJ9" s="101"/>
      <c r="BK9" s="101"/>
      <c r="BL9" s="101"/>
      <c r="BM9" s="91"/>
      <c r="BN9" s="307" t="str">
        <f>IF(AND(BJ9="",BK9="",BL9="",BM9=""),"",AVERAGE(BJ9:BM9))</f>
        <v/>
      </c>
      <c r="BO9" s="101"/>
      <c r="BP9" s="101"/>
      <c r="BQ9" s="316" t="str">
        <f>IF(AND(BJ9="",BK9="",BL9="",BM9=""),"",IF(AND(BO9="",BP9=""),BN9,IF(OR(BP9="",BO9="",BP9&lt;=$CT$2),MAX(BN9:BP9),$CT$2)))</f>
        <v/>
      </c>
      <c r="BR9" s="101"/>
      <c r="BS9" s="101"/>
      <c r="BT9" s="101"/>
      <c r="BU9" s="91"/>
      <c r="BV9" s="307" t="str">
        <f>IF(AND(BR9="",BS9="",BT9="",BU9=""),"",AVERAGE(BR9:BU9))</f>
        <v/>
      </c>
      <c r="BW9" s="101"/>
      <c r="BX9" s="101"/>
      <c r="BY9" s="316" t="str">
        <f>IF(AND(BR9="",BS9="",BT9="",BU9=""),"",IF(AND(BW9="",BX9=""),BV9,IF(OR(BX9="",BW9="",BX9&lt;=$CT$2),MAX(BV9:BX9),$CT$2)))</f>
        <v/>
      </c>
      <c r="BZ9" s="101"/>
      <c r="CA9" s="101"/>
      <c r="CB9" s="101"/>
      <c r="CC9" s="91"/>
      <c r="CD9" s="307" t="str">
        <f>IF(AND(BZ9="",CA9="",CB9="",CC9=""),"",AVERAGE(BZ9:CC9))</f>
        <v/>
      </c>
      <c r="CE9" s="101"/>
      <c r="CF9" s="101"/>
      <c r="CG9" s="316" t="str">
        <f>IF(AND(BZ9="",CA9="",CB9="",CC9=""),"",IF(AND(CE9="",CF9=""),CD9,IF(OR(CF9="",CE9="",CF9&lt;=$CT$2),MAX(CD9:CF9),$CT$2)))</f>
        <v/>
      </c>
      <c r="CH9" s="318">
        <f t="shared" si="0"/>
        <v>88.75</v>
      </c>
      <c r="CI9" s="105">
        <f t="shared" si="1"/>
        <v>95</v>
      </c>
      <c r="CJ9" s="105">
        <f t="shared" si="2"/>
        <v>80</v>
      </c>
      <c r="CK9" s="407">
        <v>76</v>
      </c>
      <c r="CL9" s="101">
        <v>77</v>
      </c>
      <c r="CM9" s="319">
        <f t="shared" si="23"/>
        <v>266.25</v>
      </c>
      <c r="CN9" s="319">
        <f t="shared" si="24"/>
        <v>114</v>
      </c>
      <c r="CO9" s="319">
        <f t="shared" si="25"/>
        <v>38.5</v>
      </c>
      <c r="CP9" s="227">
        <f t="shared" si="26"/>
        <v>83.75</v>
      </c>
      <c r="CQ9" s="320">
        <f t="shared" si="27"/>
        <v>84</v>
      </c>
      <c r="CR9" s="106" t="str">
        <f t="shared" si="28"/>
        <v>B</v>
      </c>
      <c r="CS9" s="106" t="str">
        <f t="shared" si="29"/>
        <v>baik</v>
      </c>
      <c r="CT9" s="106" t="str">
        <f t="shared" si="30"/>
        <v>TUNTAS</v>
      </c>
      <c r="CU9" s="106" t="str">
        <f t="shared" si="31"/>
        <v>TUNTAS</v>
      </c>
      <c r="CV9" s="116" t="str">
        <f t="shared" si="32"/>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9" s="109" t="str">
        <f>IF(CI9="","",VLOOKUP(CI9,DATAPENG!$J$3:$K$12,2,FALSE))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9" s="109" t="str">
        <f>IF(CJ9="","",VLOOKUP(CJ9,DATAPENG!$J$3:$K$12,2,FALSE))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10" spans="1:102" ht="16.5">
      <c r="A10" s="105">
        <f>'DATA SISWA'!A10</f>
        <v>6</v>
      </c>
      <c r="B10" s="105" t="str">
        <f>'DATA SISWA'!B10</f>
        <v>`006</v>
      </c>
      <c r="C10" s="105" t="str">
        <f>'DATA SISWA'!C10</f>
        <v>Homsiyah</v>
      </c>
      <c r="D10" s="105" t="str">
        <f>'DATA SISWA'!D10</f>
        <v>P</v>
      </c>
      <c r="E10" s="105" t="str">
        <f>'DATA SISWA'!E10</f>
        <v>VII</v>
      </c>
      <c r="F10" s="406">
        <v>90</v>
      </c>
      <c r="G10" s="101"/>
      <c r="H10" s="406"/>
      <c r="I10" s="406"/>
      <c r="J10" s="307">
        <f t="shared" ref="J10:J12" si="33">IF(AND(F10="",G10="",H10="",I10=""),"",AVERAGE(F10:I10))</f>
        <v>90</v>
      </c>
      <c r="K10" s="101"/>
      <c r="L10" s="101"/>
      <c r="M10" s="316">
        <f t="shared" ref="M10:M12" si="34">IF(AND(F10="",G10="",H10="",I10=""),"",IF(AND(K10="",L10=""),J10,IF(OR(L10="",K10="",L10&lt;=$CT$2),MAX(J10:L10),$CT$2)))</f>
        <v>90</v>
      </c>
      <c r="N10" s="406"/>
      <c r="O10" s="101"/>
      <c r="P10" s="406">
        <v>100</v>
      </c>
      <c r="Q10" s="406"/>
      <c r="R10" s="307">
        <f t="shared" ref="R10:R12" si="35">IF(AND(N10="",O10="",P10="",Q10=""),"",AVERAGE(N10:Q10))</f>
        <v>100</v>
      </c>
      <c r="S10" s="101"/>
      <c r="T10" s="101"/>
      <c r="U10" s="316">
        <f t="shared" ref="U10:U12" si="36">IF(AND(N10="",O10="",P10="",Q10=""),"",IF(AND(S10="",T10=""),R10,IF(OR(T10="",S10="",T10&lt;=$CT$2),MAX(R10:T10),$CT$2)))</f>
        <v>100</v>
      </c>
      <c r="V10" s="101">
        <v>90</v>
      </c>
      <c r="W10" s="101"/>
      <c r="X10" s="101"/>
      <c r="Y10" s="91"/>
      <c r="Z10" s="307">
        <f t="shared" ref="Z10:Z12" si="37">IF(AND(V10="",W10="",X10="",Y10=""),"",AVERAGE(V10:Y10))</f>
        <v>90</v>
      </c>
      <c r="AA10" s="101"/>
      <c r="AB10" s="101"/>
      <c r="AC10" s="316">
        <f t="shared" ref="AC10:AC12" si="38">IF(AND(V10="",W10="",X10="",Y10=""),"",IF(AND(AA10="",AB10=""),Z10,IF(OR(AB10="",AA10="",AB10&lt;=$CT$2),MAX(Z10:AB10),$CT$2)))</f>
        <v>90</v>
      </c>
      <c r="AD10" s="101">
        <v>97</v>
      </c>
      <c r="AE10" s="101"/>
      <c r="AF10" s="101"/>
      <c r="AG10" s="91"/>
      <c r="AH10" s="307">
        <f t="shared" ref="AH10:AH12" si="39">IF(AND(AD10="",AE10="",AF10="",AG10=""),"",AVERAGE(AD10:AG10))</f>
        <v>97</v>
      </c>
      <c r="AI10" s="101"/>
      <c r="AJ10" s="101"/>
      <c r="AK10" s="316">
        <f t="shared" ref="AK10:AK12" si="40">IF(AND(AD10="",AE10="",AF10="",AG10=""),"",IF(AND(AI10="",AJ10=""),AH10,IF(OR(AJ10="",AI10="",AJ10&lt;=$CT$2),MAX(AH10:AJ10),$CT$2)))</f>
        <v>97</v>
      </c>
      <c r="AL10" s="101"/>
      <c r="AM10" s="101"/>
      <c r="AN10" s="101"/>
      <c r="AO10" s="91"/>
      <c r="AP10" s="307" t="str">
        <f t="shared" ref="AP10:AP12" si="41">IF(AND(AL10="",AM10="",AN10="",AO10=""),"",AVERAGE(AL10:AO10))</f>
        <v/>
      </c>
      <c r="AQ10" s="101"/>
      <c r="AR10" s="101"/>
      <c r="AS10" s="316" t="str">
        <f t="shared" ref="AS10:AS12" si="42">IF(AND(AL10="",AM10="",AN10="",AO10=""),"",IF(AND(AQ10="",AR10=""),AP10,IF(OR(AR10="",AQ10="",AR10&lt;=$CT$2),MAX(AP10:AR10),$CT$2)))</f>
        <v/>
      </c>
      <c r="AT10" s="101"/>
      <c r="AU10" s="101"/>
      <c r="AV10" s="101"/>
      <c r="AW10" s="91"/>
      <c r="AX10" s="307" t="str">
        <f t="shared" ref="AX10:AX12" si="43">IF(AND(AT10="",AU10="",AV10="",AW10=""),"",AVERAGE(AT10:AW10))</f>
        <v/>
      </c>
      <c r="AY10" s="101"/>
      <c r="AZ10" s="101"/>
      <c r="BA10" s="316" t="str">
        <f t="shared" ref="BA10:BA12" si="44">IF(AND(AT10="",AU10="",AV10="",AW10=""),"",IF(AND(AY10="",AZ10=""),AX10,IF(OR(AZ10="",AY10="",AZ10&lt;=$CT$2),MAX(AX10:AZ10),$CT$2)))</f>
        <v/>
      </c>
      <c r="BB10" s="101"/>
      <c r="BC10" s="101"/>
      <c r="BD10" s="101"/>
      <c r="BE10" s="91"/>
      <c r="BF10" s="307" t="str">
        <f t="shared" ref="BF10:BF12" si="45">IF(AND(BB10="",BC10="",BD10="",BE10=""),"",AVERAGE(BB10:BE10))</f>
        <v/>
      </c>
      <c r="BG10" s="101"/>
      <c r="BH10" s="101"/>
      <c r="BI10" s="316" t="str">
        <f t="shared" ref="BI10:BI12" si="46">IF(AND(BB10="",BC10="",BD10="",BE10=""),"",IF(AND(BG10="",BH10=""),BF10,IF(OR(BH10="",BG10="",BH10&lt;=$CT$2),MAX(BF10:BH10),$CT$2)))</f>
        <v/>
      </c>
      <c r="BJ10" s="101"/>
      <c r="BK10" s="101"/>
      <c r="BL10" s="101"/>
      <c r="BM10" s="91"/>
      <c r="BN10" s="307" t="str">
        <f t="shared" ref="BN10:BN12" si="47">IF(AND(BJ10="",BK10="",BL10="",BM10=""),"",AVERAGE(BJ10:BM10))</f>
        <v/>
      </c>
      <c r="BO10" s="101"/>
      <c r="BP10" s="101"/>
      <c r="BQ10" s="316" t="str">
        <f t="shared" ref="BQ10:BQ12" si="48">IF(AND(BJ10="",BK10="",BL10="",BM10=""),"",IF(AND(BO10="",BP10=""),BN10,IF(OR(BP10="",BO10="",BP10&lt;=$CT$2),MAX(BN10:BP10),$CT$2)))</f>
        <v/>
      </c>
      <c r="BR10" s="101"/>
      <c r="BS10" s="101"/>
      <c r="BT10" s="101"/>
      <c r="BU10" s="91"/>
      <c r="BV10" s="307" t="str">
        <f t="shared" ref="BV10:BV12" si="49">IF(AND(BR10="",BS10="",BT10="",BU10=""),"",AVERAGE(BR10:BU10))</f>
        <v/>
      </c>
      <c r="BW10" s="101"/>
      <c r="BX10" s="101"/>
      <c r="BY10" s="316" t="str">
        <f t="shared" ref="BY10:BY12" si="50">IF(AND(BR10="",BS10="",BT10="",BU10=""),"",IF(AND(BW10="",BX10=""),BV10,IF(OR(BX10="",BW10="",BX10&lt;=$CT$2),MAX(BV10:BX10),$CT$2)))</f>
        <v/>
      </c>
      <c r="BZ10" s="101"/>
      <c r="CA10" s="101"/>
      <c r="CB10" s="101"/>
      <c r="CC10" s="91"/>
      <c r="CD10" s="307" t="str">
        <f t="shared" ref="CD10:CD12" si="51">IF(AND(BZ10="",CA10="",CB10="",CC10=""),"",AVERAGE(BZ10:CC10))</f>
        <v/>
      </c>
      <c r="CE10" s="101"/>
      <c r="CF10" s="101"/>
      <c r="CG10" s="316" t="str">
        <f t="shared" ref="CG10:CG12" si="52">IF(AND(BZ10="",CA10="",CB10="",CC10=""),"",IF(AND(CE10="",CF10=""),CD10,IF(OR(CF10="",CE10="",CF10&lt;=$CT$2),MAX(CD10:CF10),$CT$2)))</f>
        <v/>
      </c>
      <c r="CH10" s="318">
        <f t="shared" si="0"/>
        <v>94.25</v>
      </c>
      <c r="CI10" s="105">
        <f t="shared" si="1"/>
        <v>100</v>
      </c>
      <c r="CJ10" s="105">
        <f t="shared" si="2"/>
        <v>90</v>
      </c>
      <c r="CK10" s="407">
        <v>70</v>
      </c>
      <c r="CL10" s="101">
        <v>79</v>
      </c>
      <c r="CM10" s="319">
        <f t="shared" si="23"/>
        <v>282.75</v>
      </c>
      <c r="CN10" s="319">
        <f t="shared" si="24"/>
        <v>105</v>
      </c>
      <c r="CO10" s="319">
        <f t="shared" si="25"/>
        <v>39.5</v>
      </c>
      <c r="CP10" s="227">
        <f t="shared" si="26"/>
        <v>85.45</v>
      </c>
      <c r="CQ10" s="320">
        <f t="shared" si="27"/>
        <v>86</v>
      </c>
      <c r="CR10" s="106" t="str">
        <f t="shared" si="28"/>
        <v>A</v>
      </c>
      <c r="CS10" s="106" t="str">
        <f t="shared" si="29"/>
        <v>sangat baik</v>
      </c>
      <c r="CT10" s="106" t="str">
        <f t="shared" si="30"/>
        <v>TUNTAS</v>
      </c>
      <c r="CU10" s="106" t="str">
        <f t="shared" si="31"/>
        <v>TUNTAS</v>
      </c>
      <c r="CV10" s="116" t="str">
        <f t="shared" si="32"/>
        <v>Penguasaan materi sudah sangat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10" s="109" t="str">
        <f>IF(CI10="","",VLOOKUP(CI10,DATAPENG!$L$3:$M$12,2,FALSE))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10" s="109" t="str">
        <f>IF(CJ10="","",VLOOKUP(CJ10,DATAPENG!$L$3:$M$12,2,FALSE))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11" spans="1:102" ht="16.5">
      <c r="A11" s="105">
        <f>'DATA SISWA'!A11</f>
        <v>7</v>
      </c>
      <c r="B11" s="105" t="str">
        <f>'DATA SISWA'!B11</f>
        <v>`002</v>
      </c>
      <c r="C11" s="105" t="str">
        <f>'DATA SISWA'!C11</f>
        <v>Insiyah</v>
      </c>
      <c r="D11" s="105" t="str">
        <f>'DATA SISWA'!D11</f>
        <v>P</v>
      </c>
      <c r="E11" s="105" t="str">
        <f>'DATA SISWA'!E11</f>
        <v>VII</v>
      </c>
      <c r="F11" s="406">
        <v>95</v>
      </c>
      <c r="G11" s="101"/>
      <c r="H11" s="406"/>
      <c r="I11" s="406"/>
      <c r="J11" s="307">
        <f t="shared" si="33"/>
        <v>95</v>
      </c>
      <c r="K11" s="101"/>
      <c r="L11" s="101"/>
      <c r="M11" s="316">
        <f t="shared" si="34"/>
        <v>95</v>
      </c>
      <c r="N11" s="406"/>
      <c r="O11" s="101"/>
      <c r="P11" s="406">
        <v>90</v>
      </c>
      <c r="Q11" s="406"/>
      <c r="R11" s="307">
        <f t="shared" si="35"/>
        <v>90</v>
      </c>
      <c r="S11" s="101"/>
      <c r="T11" s="101"/>
      <c r="U11" s="316">
        <f t="shared" si="36"/>
        <v>90</v>
      </c>
      <c r="V11" s="101">
        <v>90</v>
      </c>
      <c r="W11" s="101"/>
      <c r="X11" s="101"/>
      <c r="Y11" s="91"/>
      <c r="Z11" s="307">
        <f t="shared" si="37"/>
        <v>90</v>
      </c>
      <c r="AA11" s="101"/>
      <c r="AB11" s="101"/>
      <c r="AC11" s="316">
        <f t="shared" si="38"/>
        <v>90</v>
      </c>
      <c r="AD11" s="101">
        <v>95</v>
      </c>
      <c r="AE11" s="101"/>
      <c r="AF11" s="101"/>
      <c r="AG11" s="91"/>
      <c r="AH11" s="307">
        <f t="shared" si="39"/>
        <v>95</v>
      </c>
      <c r="AI11" s="101"/>
      <c r="AJ11" s="101"/>
      <c r="AK11" s="316">
        <f t="shared" si="40"/>
        <v>95</v>
      </c>
      <c r="AL11" s="101"/>
      <c r="AM11" s="101"/>
      <c r="AN11" s="101"/>
      <c r="AO11" s="91"/>
      <c r="AP11" s="307" t="str">
        <f t="shared" si="41"/>
        <v/>
      </c>
      <c r="AQ11" s="101"/>
      <c r="AR11" s="101"/>
      <c r="AS11" s="316" t="str">
        <f t="shared" si="42"/>
        <v/>
      </c>
      <c r="AT11" s="101"/>
      <c r="AU11" s="101"/>
      <c r="AV11" s="101"/>
      <c r="AW11" s="91"/>
      <c r="AX11" s="307" t="str">
        <f t="shared" si="43"/>
        <v/>
      </c>
      <c r="AY11" s="101"/>
      <c r="AZ11" s="101"/>
      <c r="BA11" s="316" t="str">
        <f t="shared" si="44"/>
        <v/>
      </c>
      <c r="BB11" s="101"/>
      <c r="BC11" s="101"/>
      <c r="BD11" s="101"/>
      <c r="BE11" s="91"/>
      <c r="BF11" s="307" t="str">
        <f t="shared" si="45"/>
        <v/>
      </c>
      <c r="BG11" s="101"/>
      <c r="BH11" s="101"/>
      <c r="BI11" s="316" t="str">
        <f t="shared" si="46"/>
        <v/>
      </c>
      <c r="BJ11" s="101"/>
      <c r="BK11" s="101"/>
      <c r="BL11" s="101"/>
      <c r="BM11" s="91"/>
      <c r="BN11" s="307" t="str">
        <f t="shared" si="47"/>
        <v/>
      </c>
      <c r="BO11" s="101"/>
      <c r="BP11" s="101"/>
      <c r="BQ11" s="316" t="str">
        <f t="shared" si="48"/>
        <v/>
      </c>
      <c r="BR11" s="101"/>
      <c r="BS11" s="101"/>
      <c r="BT11" s="101"/>
      <c r="BU11" s="91"/>
      <c r="BV11" s="307" t="str">
        <f t="shared" si="49"/>
        <v/>
      </c>
      <c r="BW11" s="101"/>
      <c r="BX11" s="101"/>
      <c r="BY11" s="316" t="str">
        <f t="shared" si="50"/>
        <v/>
      </c>
      <c r="BZ11" s="101"/>
      <c r="CA11" s="101"/>
      <c r="CB11" s="101"/>
      <c r="CC11" s="91"/>
      <c r="CD11" s="307" t="str">
        <f t="shared" si="51"/>
        <v/>
      </c>
      <c r="CE11" s="101"/>
      <c r="CF11" s="101"/>
      <c r="CG11" s="316" t="str">
        <f t="shared" si="52"/>
        <v/>
      </c>
      <c r="CH11" s="318">
        <f t="shared" si="0"/>
        <v>92.5</v>
      </c>
      <c r="CI11" s="105">
        <f t="shared" si="1"/>
        <v>95</v>
      </c>
      <c r="CJ11" s="105">
        <f t="shared" si="2"/>
        <v>90</v>
      </c>
      <c r="CK11" s="407">
        <v>73</v>
      </c>
      <c r="CL11" s="101">
        <v>80</v>
      </c>
      <c r="CM11" s="319">
        <f t="shared" si="23"/>
        <v>277.5</v>
      </c>
      <c r="CN11" s="319">
        <f t="shared" si="24"/>
        <v>109.5</v>
      </c>
      <c r="CO11" s="319">
        <f t="shared" si="25"/>
        <v>40</v>
      </c>
      <c r="CP11" s="227">
        <f t="shared" si="26"/>
        <v>85.4</v>
      </c>
      <c r="CQ11" s="320">
        <f t="shared" si="27"/>
        <v>86</v>
      </c>
      <c r="CR11" s="106" t="str">
        <f t="shared" si="28"/>
        <v>A</v>
      </c>
      <c r="CS11" s="106" t="str">
        <f t="shared" si="29"/>
        <v>sangat baik</v>
      </c>
      <c r="CT11" s="106" t="str">
        <f t="shared" si="30"/>
        <v>TUNTAS</v>
      </c>
      <c r="CU11" s="106" t="str">
        <f t="shared" si="31"/>
        <v>TUNTAS</v>
      </c>
      <c r="CV11" s="116" t="str">
        <f t="shared" si="32"/>
        <v>Penguasaan materi sudah sangat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11" s="109" t="str">
        <f>IF(CI11="","",VLOOKUP(CI11,DATAPENG!$N$3:$O$12,2,FALSE))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11" s="109" t="str">
        <f>IF(CJ11="","",VLOOKUP(CJ11,DATAPENG!$N$3:$O$12,2,FALSE))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12" spans="1:102" ht="16.5">
      <c r="A12" s="105">
        <f>'DATA SISWA'!A12</f>
        <v>8</v>
      </c>
      <c r="B12" s="105" t="str">
        <f>'DATA SISWA'!B12</f>
        <v>`010</v>
      </c>
      <c r="C12" s="105" t="str">
        <f>'DATA SISWA'!C12</f>
        <v>Saiful Jamil</v>
      </c>
      <c r="D12" s="105" t="str">
        <f>'DATA SISWA'!D12</f>
        <v>L</v>
      </c>
      <c r="E12" s="105" t="str">
        <f>'DATA SISWA'!E12</f>
        <v>VII</v>
      </c>
      <c r="F12" s="406">
        <v>80</v>
      </c>
      <c r="G12" s="101"/>
      <c r="H12" s="406"/>
      <c r="I12" s="406"/>
      <c r="J12" s="307">
        <f t="shared" si="33"/>
        <v>80</v>
      </c>
      <c r="K12" s="101"/>
      <c r="L12" s="101"/>
      <c r="M12" s="316">
        <f t="shared" si="34"/>
        <v>80</v>
      </c>
      <c r="N12" s="406"/>
      <c r="O12" s="101"/>
      <c r="P12" s="406">
        <v>85</v>
      </c>
      <c r="Q12" s="406"/>
      <c r="R12" s="307">
        <f t="shared" si="35"/>
        <v>85</v>
      </c>
      <c r="S12" s="101"/>
      <c r="T12" s="101"/>
      <c r="U12" s="316">
        <f t="shared" si="36"/>
        <v>85</v>
      </c>
      <c r="V12" s="101">
        <v>75</v>
      </c>
      <c r="W12" s="101"/>
      <c r="X12" s="101"/>
      <c r="Y12" s="91"/>
      <c r="Z12" s="307">
        <f t="shared" si="37"/>
        <v>75</v>
      </c>
      <c r="AA12" s="101"/>
      <c r="AB12" s="101"/>
      <c r="AC12" s="316">
        <f t="shared" si="38"/>
        <v>75</v>
      </c>
      <c r="AD12" s="101">
        <v>78</v>
      </c>
      <c r="AE12" s="101"/>
      <c r="AF12" s="101"/>
      <c r="AG12" s="91"/>
      <c r="AH12" s="307">
        <f t="shared" si="39"/>
        <v>78</v>
      </c>
      <c r="AI12" s="101"/>
      <c r="AJ12" s="101"/>
      <c r="AK12" s="316">
        <f t="shared" si="40"/>
        <v>78</v>
      </c>
      <c r="AL12" s="101"/>
      <c r="AM12" s="101"/>
      <c r="AN12" s="101"/>
      <c r="AO12" s="91"/>
      <c r="AP12" s="307" t="str">
        <f t="shared" si="41"/>
        <v/>
      </c>
      <c r="AQ12" s="101"/>
      <c r="AR12" s="101"/>
      <c r="AS12" s="316" t="str">
        <f t="shared" si="42"/>
        <v/>
      </c>
      <c r="AT12" s="101"/>
      <c r="AU12" s="101"/>
      <c r="AV12" s="101"/>
      <c r="AW12" s="91"/>
      <c r="AX12" s="307" t="str">
        <f t="shared" si="43"/>
        <v/>
      </c>
      <c r="AY12" s="101"/>
      <c r="AZ12" s="101"/>
      <c r="BA12" s="316" t="str">
        <f t="shared" si="44"/>
        <v/>
      </c>
      <c r="BB12" s="101"/>
      <c r="BC12" s="101"/>
      <c r="BD12" s="101"/>
      <c r="BE12" s="91"/>
      <c r="BF12" s="307" t="str">
        <f t="shared" si="45"/>
        <v/>
      </c>
      <c r="BG12" s="101"/>
      <c r="BH12" s="101"/>
      <c r="BI12" s="316" t="str">
        <f t="shared" si="46"/>
        <v/>
      </c>
      <c r="BJ12" s="101"/>
      <c r="BK12" s="101"/>
      <c r="BL12" s="101"/>
      <c r="BM12" s="91"/>
      <c r="BN12" s="307" t="str">
        <f t="shared" si="47"/>
        <v/>
      </c>
      <c r="BO12" s="101"/>
      <c r="BP12" s="101"/>
      <c r="BQ12" s="316" t="str">
        <f t="shared" si="48"/>
        <v/>
      </c>
      <c r="BR12" s="101"/>
      <c r="BS12" s="101"/>
      <c r="BT12" s="101"/>
      <c r="BU12" s="91"/>
      <c r="BV12" s="307" t="str">
        <f t="shared" si="49"/>
        <v/>
      </c>
      <c r="BW12" s="101"/>
      <c r="BX12" s="101"/>
      <c r="BY12" s="316" t="str">
        <f t="shared" si="50"/>
        <v/>
      </c>
      <c r="BZ12" s="101"/>
      <c r="CA12" s="101"/>
      <c r="CB12" s="101"/>
      <c r="CC12" s="91"/>
      <c r="CD12" s="307" t="str">
        <f t="shared" si="51"/>
        <v/>
      </c>
      <c r="CE12" s="101"/>
      <c r="CF12" s="101"/>
      <c r="CG12" s="316" t="str">
        <f t="shared" si="52"/>
        <v/>
      </c>
      <c r="CH12" s="318">
        <f t="shared" si="0"/>
        <v>79.5</v>
      </c>
      <c r="CI12" s="105">
        <f t="shared" si="1"/>
        <v>85</v>
      </c>
      <c r="CJ12" s="105">
        <f t="shared" si="2"/>
        <v>75</v>
      </c>
      <c r="CK12" s="407">
        <v>70</v>
      </c>
      <c r="CL12" s="101">
        <v>75</v>
      </c>
      <c r="CM12" s="319">
        <f t="shared" si="23"/>
        <v>238.5</v>
      </c>
      <c r="CN12" s="319">
        <f t="shared" si="24"/>
        <v>105</v>
      </c>
      <c r="CO12" s="319">
        <f t="shared" si="25"/>
        <v>37.5</v>
      </c>
      <c r="CP12" s="227">
        <f t="shared" si="26"/>
        <v>76.2</v>
      </c>
      <c r="CQ12" s="320">
        <f t="shared" si="27"/>
        <v>77</v>
      </c>
      <c r="CR12" s="106" t="str">
        <f t="shared" si="28"/>
        <v>B</v>
      </c>
      <c r="CS12" s="106" t="str">
        <f t="shared" si="29"/>
        <v>baik</v>
      </c>
      <c r="CT12" s="106" t="str">
        <f t="shared" si="30"/>
        <v>TUNTAS</v>
      </c>
      <c r="CU12" s="106" t="str">
        <f t="shared" si="31"/>
        <v>TUNTAS</v>
      </c>
      <c r="CV12" s="116" t="str">
        <f t="shared" si="32"/>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12" s="109" t="str">
        <f>IF(CI12="","",VLOOKUP(CI12,DATAPENG!$P$3:$Q$12,2,FALSE))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12" s="109" t="str">
        <f>IF(CJ12="","",VLOOKUP(CJ12,DATAPENG!$P$3:$Q$12,2,FALSE))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13" spans="1:102" ht="16.5">
      <c r="A13" s="105">
        <f>'DATA SISWA'!A13</f>
        <v>9</v>
      </c>
      <c r="B13" s="105" t="str">
        <f>'DATA SISWA'!B13</f>
        <v>`011</v>
      </c>
      <c r="C13" s="105" t="str">
        <f>'DATA SISWA'!C13</f>
        <v>Khusnun Nisa</v>
      </c>
      <c r="D13" s="105" t="str">
        <f>'DATA SISWA'!D13</f>
        <v>P</v>
      </c>
      <c r="E13" s="105" t="str">
        <f>'DATA SISWA'!E13</f>
        <v>VII</v>
      </c>
      <c r="F13" s="406">
        <v>85</v>
      </c>
      <c r="G13" s="101"/>
      <c r="H13" s="406"/>
      <c r="I13" s="406"/>
      <c r="J13" s="307">
        <f>IF(AND(F13="",G13="",H13="",I13=""),"",AVERAGE(F13:I13))</f>
        <v>85</v>
      </c>
      <c r="K13" s="101"/>
      <c r="L13" s="101"/>
      <c r="M13" s="316">
        <f>IF(AND(F13="",G13="",H13="",I13=""),"",IF(AND(K13="",L13=""),J13,IF(OR(L13="",K13="",L13&lt;=$CT$2),MAX(J13:L13),$CT$2)))</f>
        <v>85</v>
      </c>
      <c r="N13" s="406"/>
      <c r="O13" s="101"/>
      <c r="P13" s="406">
        <v>90</v>
      </c>
      <c r="Q13" s="406"/>
      <c r="R13" s="307">
        <f>IF(AND(N13="",O13="",P13="",Q13=""),"",AVERAGE(N13:Q13))</f>
        <v>90</v>
      </c>
      <c r="S13" s="101"/>
      <c r="T13" s="101"/>
      <c r="U13" s="316">
        <f>IF(AND(N13="",O13="",P13="",Q13=""),"",IF(AND(S13="",T13=""),R13,IF(OR(T13="",S13="",T13&lt;=$CT$2),MAX(R13:T13),$CT$2)))</f>
        <v>90</v>
      </c>
      <c r="V13" s="101">
        <v>90</v>
      </c>
      <c r="W13" s="101"/>
      <c r="X13" s="101"/>
      <c r="Y13" s="91"/>
      <c r="Z13" s="307">
        <f>IF(AND(V13="",W13="",X13="",Y13=""),"",AVERAGE(V13:Y13))</f>
        <v>90</v>
      </c>
      <c r="AA13" s="101"/>
      <c r="AB13" s="101"/>
      <c r="AC13" s="316">
        <f>IF(AND(V13="",W13="",X13="",Y13=""),"",IF(AND(AA13="",AB13=""),Z13,IF(OR(AB13="",AA13="",AB13&lt;=$CT$2),MAX(Z13:AB13),$CT$2)))</f>
        <v>90</v>
      </c>
      <c r="AD13" s="101">
        <v>96</v>
      </c>
      <c r="AE13" s="101"/>
      <c r="AF13" s="101"/>
      <c r="AG13" s="91"/>
      <c r="AH13" s="307">
        <f>IF(AND(AD13="",AE13="",AF13="",AG13=""),"",AVERAGE(AD13:AG13))</f>
        <v>96</v>
      </c>
      <c r="AI13" s="101"/>
      <c r="AJ13" s="101"/>
      <c r="AK13" s="316">
        <f>IF(AND(AD13="",AE13="",AF13="",AG13=""),"",IF(AND(AI13="",AJ13=""),AH13,IF(OR(AJ13="",AI13="",AJ13&lt;=$CT$2),MAX(AH13:AJ13),$CT$2)))</f>
        <v>96</v>
      </c>
      <c r="AL13" s="101"/>
      <c r="AM13" s="101"/>
      <c r="AN13" s="101"/>
      <c r="AO13" s="91"/>
      <c r="AP13" s="307" t="str">
        <f>IF(AND(AL13="",AM13="",AN13="",AO13=""),"",AVERAGE(AL13:AO13))</f>
        <v/>
      </c>
      <c r="AQ13" s="101"/>
      <c r="AR13" s="101"/>
      <c r="AS13" s="316" t="str">
        <f>IF(AND(AL13="",AM13="",AN13="",AO13=""),"",IF(AND(AQ13="",AR13=""),AP13,IF(OR(AR13="",AQ13="",AR13&lt;=$CT$2),MAX(AP13:AR13),$CT$2)))</f>
        <v/>
      </c>
      <c r="AT13" s="101"/>
      <c r="AU13" s="101"/>
      <c r="AV13" s="101"/>
      <c r="AW13" s="91"/>
      <c r="AX13" s="307" t="str">
        <f>IF(AND(AT13="",AU13="",AV13="",AW13=""),"",AVERAGE(AT13:AW13))</f>
        <v/>
      </c>
      <c r="AY13" s="101"/>
      <c r="AZ13" s="101"/>
      <c r="BA13" s="316" t="str">
        <f>IF(AND(AT13="",AU13="",AV13="",AW13=""),"",IF(AND(AY13="",AZ13=""),AX13,IF(OR(AZ13="",AY13="",AZ13&lt;=$CT$2),MAX(AX13:AZ13),$CT$2)))</f>
        <v/>
      </c>
      <c r="BB13" s="101"/>
      <c r="BC13" s="101"/>
      <c r="BD13" s="101"/>
      <c r="BE13" s="91"/>
      <c r="BF13" s="307" t="str">
        <f>IF(AND(BB13="",BC13="",BD13="",BE13=""),"",AVERAGE(BB13:BE13))</f>
        <v/>
      </c>
      <c r="BG13" s="101"/>
      <c r="BH13" s="101"/>
      <c r="BI13" s="316" t="str">
        <f>IF(AND(BB13="",BC13="",BD13="",BE13=""),"",IF(AND(BG13="",BH13=""),BF13,IF(OR(BH13="",BG13="",BH13&lt;=$CT$2),MAX(BF13:BH13),$CT$2)))</f>
        <v/>
      </c>
      <c r="BJ13" s="101"/>
      <c r="BK13" s="101"/>
      <c r="BL13" s="101"/>
      <c r="BM13" s="91"/>
      <c r="BN13" s="307" t="str">
        <f>IF(AND(BJ13="",BK13="",BL13="",BM13=""),"",AVERAGE(BJ13:BM13))</f>
        <v/>
      </c>
      <c r="BO13" s="101"/>
      <c r="BP13" s="101"/>
      <c r="BQ13" s="316" t="str">
        <f>IF(AND(BJ13="",BK13="",BL13="",BM13=""),"",IF(AND(BO13="",BP13=""),BN13,IF(OR(BP13="",BO13="",BP13&lt;=$CT$2),MAX(BN13:BP13),$CT$2)))</f>
        <v/>
      </c>
      <c r="BR13" s="101"/>
      <c r="BS13" s="101"/>
      <c r="BT13" s="101"/>
      <c r="BU13" s="91"/>
      <c r="BV13" s="307" t="str">
        <f>IF(AND(BR13="",BS13="",BT13="",BU13=""),"",AVERAGE(BR13:BU13))</f>
        <v/>
      </c>
      <c r="BW13" s="101"/>
      <c r="BX13" s="101"/>
      <c r="BY13" s="316" t="str">
        <f>IF(AND(BR13="",BS13="",BT13="",BU13=""),"",IF(AND(BW13="",BX13=""),BV13,IF(OR(BX13="",BW13="",BX13&lt;=$CT$2),MAX(BV13:BX13),$CT$2)))</f>
        <v/>
      </c>
      <c r="BZ13" s="101"/>
      <c r="CA13" s="101"/>
      <c r="CB13" s="101"/>
      <c r="CC13" s="91"/>
      <c r="CD13" s="307" t="str">
        <f>IF(AND(BZ13="",CA13="",CB13="",CC13=""),"",AVERAGE(BZ13:CC13))</f>
        <v/>
      </c>
      <c r="CE13" s="101"/>
      <c r="CF13" s="101"/>
      <c r="CG13" s="316" t="str">
        <f>IF(AND(BZ13="",CA13="",CB13="",CC13=""),"",IF(AND(CE13="",CF13=""),CD13,IF(OR(CF13="",CE13="",CF13&lt;=$CT$2),MAX(CD13:CF13),$CT$2)))</f>
        <v/>
      </c>
      <c r="CH13" s="318">
        <f t="shared" si="0"/>
        <v>90.25</v>
      </c>
      <c r="CI13" s="105">
        <f t="shared" si="1"/>
        <v>96</v>
      </c>
      <c r="CJ13" s="105">
        <f t="shared" si="2"/>
        <v>85</v>
      </c>
      <c r="CK13" s="407">
        <v>78</v>
      </c>
      <c r="CL13" s="101">
        <v>80</v>
      </c>
      <c r="CM13" s="319">
        <f t="shared" si="23"/>
        <v>270.75</v>
      </c>
      <c r="CN13" s="319">
        <f t="shared" si="24"/>
        <v>117</v>
      </c>
      <c r="CO13" s="319">
        <f t="shared" si="25"/>
        <v>40</v>
      </c>
      <c r="CP13" s="227">
        <f t="shared" si="26"/>
        <v>85.55</v>
      </c>
      <c r="CQ13" s="320">
        <f t="shared" si="27"/>
        <v>86</v>
      </c>
      <c r="CR13" s="106" t="str">
        <f t="shared" si="28"/>
        <v>A</v>
      </c>
      <c r="CS13" s="106" t="str">
        <f t="shared" si="29"/>
        <v>sangat baik</v>
      </c>
      <c r="CT13" s="106" t="str">
        <f t="shared" si="30"/>
        <v>TUNTAS</v>
      </c>
      <c r="CU13" s="106" t="str">
        <f t="shared" si="31"/>
        <v>TUNTAS</v>
      </c>
      <c r="CV13" s="116" t="str">
        <f t="shared" si="32"/>
        <v>Penguasaan materi sudah sangat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W13" s="109" t="str">
        <f>IF(CI13="","",VLOOKUP(CI13,DATAPENG!$R$3:$S$12,2,FALSE))</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X13" s="109" t="str">
        <f>IF(CJ13="","",VLOOKUP(CJ13,DATAPENG!$R$3:$S$12,2,FALSE))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14" spans="1:102" ht="16.5">
      <c r="A14" s="105">
        <f>'DATA SISWA'!A14</f>
        <v>10</v>
      </c>
      <c r="B14" s="105" t="str">
        <f>'DATA SISWA'!B14</f>
        <v>`005</v>
      </c>
      <c r="C14" s="105" t="str">
        <f>'DATA SISWA'!C14</f>
        <v>Komariyah</v>
      </c>
      <c r="D14" s="105" t="str">
        <f>'DATA SISWA'!D14</f>
        <v>P</v>
      </c>
      <c r="E14" s="105" t="str">
        <f>'DATA SISWA'!E14</f>
        <v>VII</v>
      </c>
      <c r="F14" s="406">
        <v>85</v>
      </c>
      <c r="G14" s="101"/>
      <c r="H14" s="406"/>
      <c r="I14" s="406"/>
      <c r="J14" s="307">
        <f t="shared" ref="J14:J16" si="53">IF(AND(F14="",G14="",H14="",I14=""),"",AVERAGE(F14:I14))</f>
        <v>85</v>
      </c>
      <c r="K14" s="101"/>
      <c r="L14" s="101"/>
      <c r="M14" s="316">
        <f t="shared" ref="M14:M16" si="54">IF(AND(F14="",G14="",H14="",I14=""),"",IF(AND(K14="",L14=""),J14,IF(OR(L14="",K14="",L14&lt;=$CT$2),MAX(J14:L14),$CT$2)))</f>
        <v>85</v>
      </c>
      <c r="N14" s="406"/>
      <c r="O14" s="101"/>
      <c r="P14" s="406">
        <v>96</v>
      </c>
      <c r="Q14" s="406"/>
      <c r="R14" s="307">
        <f t="shared" ref="R14:R16" si="55">IF(AND(N14="",O14="",P14="",Q14=""),"",AVERAGE(N14:Q14))</f>
        <v>96</v>
      </c>
      <c r="S14" s="101"/>
      <c r="T14" s="101"/>
      <c r="U14" s="316">
        <f t="shared" ref="U14:U16" si="56">IF(AND(N14="",O14="",P14="",Q14=""),"",IF(AND(S14="",T14=""),R14,IF(OR(T14="",S14="",T14&lt;=$CT$2),MAX(R14:T14),$CT$2)))</f>
        <v>96</v>
      </c>
      <c r="V14" s="101">
        <v>85</v>
      </c>
      <c r="W14" s="101"/>
      <c r="X14" s="101"/>
      <c r="Y14" s="91"/>
      <c r="Z14" s="307">
        <f t="shared" ref="Z14:Z16" si="57">IF(AND(V14="",W14="",X14="",Y14=""),"",AVERAGE(V14:Y14))</f>
        <v>85</v>
      </c>
      <c r="AA14" s="101"/>
      <c r="AB14" s="101"/>
      <c r="AC14" s="316">
        <f t="shared" ref="AC14:AC16" si="58">IF(AND(V14="",W14="",X14="",Y14=""),"",IF(AND(AA14="",AB14=""),Z14,IF(OR(AB14="",AA14="",AB14&lt;=$CT$2),MAX(Z14:AB14),$CT$2)))</f>
        <v>85</v>
      </c>
      <c r="AD14" s="101">
        <v>95</v>
      </c>
      <c r="AE14" s="101"/>
      <c r="AF14" s="101"/>
      <c r="AG14" s="91"/>
      <c r="AH14" s="307">
        <f t="shared" ref="AH14:AH16" si="59">IF(AND(AD14="",AE14="",AF14="",AG14=""),"",AVERAGE(AD14:AG14))</f>
        <v>95</v>
      </c>
      <c r="AI14" s="101"/>
      <c r="AJ14" s="101"/>
      <c r="AK14" s="316">
        <f t="shared" ref="AK14:AK16" si="60">IF(AND(AD14="",AE14="",AF14="",AG14=""),"",IF(AND(AI14="",AJ14=""),AH14,IF(OR(AJ14="",AI14="",AJ14&lt;=$CT$2),MAX(AH14:AJ14),$CT$2)))</f>
        <v>95</v>
      </c>
      <c r="AL14" s="101"/>
      <c r="AM14" s="101"/>
      <c r="AN14" s="101"/>
      <c r="AO14" s="91"/>
      <c r="AP14" s="307" t="str">
        <f t="shared" ref="AP14:AP16" si="61">IF(AND(AL14="",AM14="",AN14="",AO14=""),"",AVERAGE(AL14:AO14))</f>
        <v/>
      </c>
      <c r="AQ14" s="101"/>
      <c r="AR14" s="101"/>
      <c r="AS14" s="316" t="str">
        <f t="shared" ref="AS14:AS16" si="62">IF(AND(AL14="",AM14="",AN14="",AO14=""),"",IF(AND(AQ14="",AR14=""),AP14,IF(OR(AR14="",AQ14="",AR14&lt;=$CT$2),MAX(AP14:AR14),$CT$2)))</f>
        <v/>
      </c>
      <c r="AT14" s="101"/>
      <c r="AU14" s="101"/>
      <c r="AV14" s="101"/>
      <c r="AW14" s="91"/>
      <c r="AX14" s="307" t="str">
        <f t="shared" ref="AX14:AX16" si="63">IF(AND(AT14="",AU14="",AV14="",AW14=""),"",AVERAGE(AT14:AW14))</f>
        <v/>
      </c>
      <c r="AY14" s="101"/>
      <c r="AZ14" s="101"/>
      <c r="BA14" s="316" t="str">
        <f t="shared" ref="BA14:BA16" si="64">IF(AND(AT14="",AU14="",AV14="",AW14=""),"",IF(AND(AY14="",AZ14=""),AX14,IF(OR(AZ14="",AY14="",AZ14&lt;=$CT$2),MAX(AX14:AZ14),$CT$2)))</f>
        <v/>
      </c>
      <c r="BB14" s="101"/>
      <c r="BC14" s="101"/>
      <c r="BD14" s="101"/>
      <c r="BE14" s="91"/>
      <c r="BF14" s="307" t="str">
        <f t="shared" ref="BF14:BF16" si="65">IF(AND(BB14="",BC14="",BD14="",BE14=""),"",AVERAGE(BB14:BE14))</f>
        <v/>
      </c>
      <c r="BG14" s="101"/>
      <c r="BH14" s="101"/>
      <c r="BI14" s="316" t="str">
        <f t="shared" ref="BI14:BI16" si="66">IF(AND(BB14="",BC14="",BD14="",BE14=""),"",IF(AND(BG14="",BH14=""),BF14,IF(OR(BH14="",BG14="",BH14&lt;=$CT$2),MAX(BF14:BH14),$CT$2)))</f>
        <v/>
      </c>
      <c r="BJ14" s="101"/>
      <c r="BK14" s="101"/>
      <c r="BL14" s="101"/>
      <c r="BM14" s="91"/>
      <c r="BN14" s="307" t="str">
        <f t="shared" ref="BN14:BN16" si="67">IF(AND(BJ14="",BK14="",BL14="",BM14=""),"",AVERAGE(BJ14:BM14))</f>
        <v/>
      </c>
      <c r="BO14" s="101"/>
      <c r="BP14" s="101"/>
      <c r="BQ14" s="316" t="str">
        <f t="shared" ref="BQ14:BQ16" si="68">IF(AND(BJ14="",BK14="",BL14="",BM14=""),"",IF(AND(BO14="",BP14=""),BN14,IF(OR(BP14="",BO14="",BP14&lt;=$CT$2),MAX(BN14:BP14),$CT$2)))</f>
        <v/>
      </c>
      <c r="BR14" s="101"/>
      <c r="BS14" s="101"/>
      <c r="BT14" s="101"/>
      <c r="BU14" s="91"/>
      <c r="BV14" s="307" t="str">
        <f t="shared" ref="BV14:BV16" si="69">IF(AND(BR14="",BS14="",BT14="",BU14=""),"",AVERAGE(BR14:BU14))</f>
        <v/>
      </c>
      <c r="BW14" s="101"/>
      <c r="BX14" s="101"/>
      <c r="BY14" s="316" t="str">
        <f t="shared" ref="BY14:BY16" si="70">IF(AND(BR14="",BS14="",BT14="",BU14=""),"",IF(AND(BW14="",BX14=""),BV14,IF(OR(BX14="",BW14="",BX14&lt;=$CT$2),MAX(BV14:BX14),$CT$2)))</f>
        <v/>
      </c>
      <c r="BZ14" s="101"/>
      <c r="CA14" s="101"/>
      <c r="CB14" s="101"/>
      <c r="CC14" s="91"/>
      <c r="CD14" s="307" t="str">
        <f t="shared" ref="CD14:CD16" si="71">IF(AND(BZ14="",CA14="",CB14="",CC14=""),"",AVERAGE(BZ14:CC14))</f>
        <v/>
      </c>
      <c r="CE14" s="101"/>
      <c r="CF14" s="101"/>
      <c r="CG14" s="316" t="str">
        <f t="shared" ref="CG14:CG16" si="72">IF(AND(BZ14="",CA14="",CB14="",CC14=""),"",IF(AND(CE14="",CF14=""),CD14,IF(OR(CF14="",CE14="",CF14&lt;=$CT$2),MAX(CD14:CF14),$CT$2)))</f>
        <v/>
      </c>
      <c r="CH14" s="318">
        <f t="shared" si="0"/>
        <v>90.25</v>
      </c>
      <c r="CI14" s="105">
        <f t="shared" si="1"/>
        <v>96</v>
      </c>
      <c r="CJ14" s="105">
        <f t="shared" si="2"/>
        <v>85</v>
      </c>
      <c r="CK14" s="407">
        <v>80</v>
      </c>
      <c r="CL14" s="101">
        <v>78</v>
      </c>
      <c r="CM14" s="319">
        <f t="shared" si="23"/>
        <v>270.75</v>
      </c>
      <c r="CN14" s="319">
        <f t="shared" si="24"/>
        <v>120</v>
      </c>
      <c r="CO14" s="319">
        <f t="shared" si="25"/>
        <v>39</v>
      </c>
      <c r="CP14" s="227">
        <f t="shared" si="26"/>
        <v>85.95</v>
      </c>
      <c r="CQ14" s="320">
        <f t="shared" si="27"/>
        <v>86</v>
      </c>
      <c r="CR14" s="106" t="str">
        <f t="shared" si="28"/>
        <v>A</v>
      </c>
      <c r="CS14" s="106" t="str">
        <f t="shared" si="29"/>
        <v>sangat baik</v>
      </c>
      <c r="CT14" s="106" t="str">
        <f t="shared" si="30"/>
        <v>TUNTAS</v>
      </c>
      <c r="CU14" s="106" t="str">
        <f t="shared" si="31"/>
        <v>TUNTAS</v>
      </c>
      <c r="CV14" s="116" t="str">
        <f t="shared" si="32"/>
        <v>Penguasaan materi sudah sangat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14" s="109" t="str">
        <f>IF(CI14="","",VLOOKUP(CI14,DATAPENG!$T$3:$U$12,2,FALSE))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14" s="109" t="str">
        <f>IF(CJ14="","",VLOOKUP(CJ14,DATAPENG!$T$3:$U$12,2,FALSE))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15" spans="1:102" ht="16.5">
      <c r="A15" s="105">
        <f>'DATA SISWA'!A15</f>
        <v>11</v>
      </c>
      <c r="B15" s="105" t="str">
        <f>'DATA SISWA'!B15</f>
        <v>`013</v>
      </c>
      <c r="C15" s="105" t="str">
        <f>'DATA SISWA'!C15</f>
        <v>Latifah</v>
      </c>
      <c r="D15" s="105" t="str">
        <f>'DATA SISWA'!D15</f>
        <v>P</v>
      </c>
      <c r="E15" s="105" t="str">
        <f>'DATA SISWA'!E15</f>
        <v>VII</v>
      </c>
      <c r="F15" s="406">
        <v>89</v>
      </c>
      <c r="G15" s="101"/>
      <c r="H15" s="406"/>
      <c r="I15" s="406"/>
      <c r="J15" s="307">
        <f t="shared" si="53"/>
        <v>89</v>
      </c>
      <c r="K15" s="101"/>
      <c r="L15" s="101"/>
      <c r="M15" s="316">
        <f t="shared" si="54"/>
        <v>89</v>
      </c>
      <c r="N15" s="406"/>
      <c r="O15" s="101"/>
      <c r="P15" s="406">
        <v>90</v>
      </c>
      <c r="Q15" s="406"/>
      <c r="R15" s="307">
        <f t="shared" si="55"/>
        <v>90</v>
      </c>
      <c r="S15" s="101"/>
      <c r="T15" s="101"/>
      <c r="U15" s="316">
        <f t="shared" si="56"/>
        <v>90</v>
      </c>
      <c r="V15" s="101">
        <v>85</v>
      </c>
      <c r="W15" s="101"/>
      <c r="X15" s="101"/>
      <c r="Y15" s="91"/>
      <c r="Z15" s="307">
        <f t="shared" si="57"/>
        <v>85</v>
      </c>
      <c r="AA15" s="101"/>
      <c r="AB15" s="101"/>
      <c r="AC15" s="316">
        <f t="shared" si="58"/>
        <v>85</v>
      </c>
      <c r="AD15" s="101">
        <v>87</v>
      </c>
      <c r="AE15" s="101"/>
      <c r="AF15" s="101"/>
      <c r="AG15" s="91"/>
      <c r="AH15" s="307">
        <f t="shared" si="59"/>
        <v>87</v>
      </c>
      <c r="AI15" s="101"/>
      <c r="AJ15" s="101"/>
      <c r="AK15" s="316">
        <f t="shared" si="60"/>
        <v>87</v>
      </c>
      <c r="AL15" s="101"/>
      <c r="AM15" s="101"/>
      <c r="AN15" s="101"/>
      <c r="AO15" s="91"/>
      <c r="AP15" s="307" t="str">
        <f t="shared" si="61"/>
        <v/>
      </c>
      <c r="AQ15" s="101"/>
      <c r="AR15" s="101"/>
      <c r="AS15" s="316" t="str">
        <f t="shared" si="62"/>
        <v/>
      </c>
      <c r="AT15" s="101"/>
      <c r="AU15" s="101"/>
      <c r="AV15" s="101"/>
      <c r="AW15" s="91"/>
      <c r="AX15" s="307" t="str">
        <f t="shared" si="63"/>
        <v/>
      </c>
      <c r="AY15" s="101"/>
      <c r="AZ15" s="101"/>
      <c r="BA15" s="316" t="str">
        <f t="shared" si="64"/>
        <v/>
      </c>
      <c r="BB15" s="101"/>
      <c r="BC15" s="101"/>
      <c r="BD15" s="101"/>
      <c r="BE15" s="91"/>
      <c r="BF15" s="307" t="str">
        <f t="shared" si="65"/>
        <v/>
      </c>
      <c r="BG15" s="101"/>
      <c r="BH15" s="101"/>
      <c r="BI15" s="316" t="str">
        <f t="shared" si="66"/>
        <v/>
      </c>
      <c r="BJ15" s="101"/>
      <c r="BK15" s="101"/>
      <c r="BL15" s="101"/>
      <c r="BM15" s="91"/>
      <c r="BN15" s="307" t="str">
        <f t="shared" si="67"/>
        <v/>
      </c>
      <c r="BO15" s="101"/>
      <c r="BP15" s="101"/>
      <c r="BQ15" s="316" t="str">
        <f t="shared" si="68"/>
        <v/>
      </c>
      <c r="BR15" s="101"/>
      <c r="BS15" s="101"/>
      <c r="BT15" s="101"/>
      <c r="BU15" s="91"/>
      <c r="BV15" s="307" t="str">
        <f t="shared" si="69"/>
        <v/>
      </c>
      <c r="BW15" s="101"/>
      <c r="BX15" s="101"/>
      <c r="BY15" s="316" t="str">
        <f t="shared" si="70"/>
        <v/>
      </c>
      <c r="BZ15" s="101"/>
      <c r="CA15" s="101"/>
      <c r="CB15" s="101"/>
      <c r="CC15" s="91"/>
      <c r="CD15" s="307" t="str">
        <f t="shared" si="71"/>
        <v/>
      </c>
      <c r="CE15" s="101"/>
      <c r="CF15" s="101"/>
      <c r="CG15" s="316" t="str">
        <f t="shared" si="72"/>
        <v/>
      </c>
      <c r="CH15" s="318">
        <f t="shared" si="0"/>
        <v>87.75</v>
      </c>
      <c r="CI15" s="105">
        <f t="shared" si="1"/>
        <v>90</v>
      </c>
      <c r="CJ15" s="105">
        <f t="shared" si="2"/>
        <v>85</v>
      </c>
      <c r="CK15" s="407">
        <v>80</v>
      </c>
      <c r="CL15" s="101">
        <v>78</v>
      </c>
      <c r="CM15" s="319">
        <f t="shared" si="23"/>
        <v>263.25</v>
      </c>
      <c r="CN15" s="319">
        <f t="shared" si="24"/>
        <v>120</v>
      </c>
      <c r="CO15" s="319">
        <f t="shared" si="25"/>
        <v>39</v>
      </c>
      <c r="CP15" s="227">
        <f t="shared" si="26"/>
        <v>84.45</v>
      </c>
      <c r="CQ15" s="320">
        <f t="shared" si="27"/>
        <v>85</v>
      </c>
      <c r="CR15" s="106" t="str">
        <f t="shared" si="28"/>
        <v>B</v>
      </c>
      <c r="CS15" s="106" t="str">
        <f t="shared" si="29"/>
        <v>baik</v>
      </c>
      <c r="CT15" s="106" t="str">
        <f t="shared" si="30"/>
        <v>TUNTAS</v>
      </c>
      <c r="CU15" s="106" t="str">
        <f t="shared" si="31"/>
        <v>TUNTAS</v>
      </c>
      <c r="CV15" s="116" t="str">
        <f t="shared" si="32"/>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15" s="109" t="str">
        <f>IF(CI15="","",VLOOKUP(CI15,DATAPENG!$V$3:$W$12,2,FALSE))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15" s="109" t="str">
        <f>IF(CJ15="","",VLOOKUP(CJ15,DATAPENG!$V$3:$W$12,2,FALSE))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16" spans="1:102" ht="16.5">
      <c r="A16" s="105">
        <f>'DATA SISWA'!A16</f>
        <v>12</v>
      </c>
      <c r="B16" s="105" t="str">
        <f>'DATA SISWA'!B16</f>
        <v>`018</v>
      </c>
      <c r="C16" s="105" t="str">
        <f>'DATA SISWA'!C16</f>
        <v>Maya</v>
      </c>
      <c r="D16" s="105" t="str">
        <f>'DATA SISWA'!D16</f>
        <v>P</v>
      </c>
      <c r="E16" s="105" t="str">
        <f>'DATA SISWA'!E16</f>
        <v>VII</v>
      </c>
      <c r="F16" s="406">
        <v>70</v>
      </c>
      <c r="G16" s="101"/>
      <c r="H16" s="406"/>
      <c r="I16" s="406"/>
      <c r="J16" s="307">
        <f t="shared" si="53"/>
        <v>70</v>
      </c>
      <c r="K16" s="101"/>
      <c r="L16" s="101"/>
      <c r="M16" s="316">
        <f t="shared" si="54"/>
        <v>70</v>
      </c>
      <c r="N16" s="406"/>
      <c r="O16" s="101"/>
      <c r="P16" s="406">
        <v>78</v>
      </c>
      <c r="Q16" s="406"/>
      <c r="R16" s="307">
        <f t="shared" si="55"/>
        <v>78</v>
      </c>
      <c r="S16" s="101"/>
      <c r="T16" s="101"/>
      <c r="U16" s="316">
        <f t="shared" si="56"/>
        <v>78</v>
      </c>
      <c r="V16" s="101">
        <v>75</v>
      </c>
      <c r="W16" s="101"/>
      <c r="X16" s="101"/>
      <c r="Y16" s="91"/>
      <c r="Z16" s="307">
        <f t="shared" si="57"/>
        <v>75</v>
      </c>
      <c r="AA16" s="101"/>
      <c r="AB16" s="101"/>
      <c r="AC16" s="316">
        <f t="shared" si="58"/>
        <v>75</v>
      </c>
      <c r="AD16" s="101"/>
      <c r="AE16" s="101"/>
      <c r="AF16" s="101"/>
      <c r="AG16" s="91"/>
      <c r="AH16" s="307" t="str">
        <f t="shared" si="59"/>
        <v/>
      </c>
      <c r="AI16" s="101"/>
      <c r="AJ16" s="101"/>
      <c r="AK16" s="316" t="str">
        <f t="shared" si="60"/>
        <v/>
      </c>
      <c r="AL16" s="101"/>
      <c r="AM16" s="101"/>
      <c r="AN16" s="101"/>
      <c r="AO16" s="91"/>
      <c r="AP16" s="307" t="str">
        <f t="shared" si="61"/>
        <v/>
      </c>
      <c r="AQ16" s="101"/>
      <c r="AR16" s="101"/>
      <c r="AS16" s="316" t="str">
        <f t="shared" si="62"/>
        <v/>
      </c>
      <c r="AT16" s="101"/>
      <c r="AU16" s="101"/>
      <c r="AV16" s="101"/>
      <c r="AW16" s="91"/>
      <c r="AX16" s="307" t="str">
        <f t="shared" si="63"/>
        <v/>
      </c>
      <c r="AY16" s="101"/>
      <c r="AZ16" s="101"/>
      <c r="BA16" s="316" t="str">
        <f t="shared" si="64"/>
        <v/>
      </c>
      <c r="BB16" s="101"/>
      <c r="BC16" s="101"/>
      <c r="BD16" s="101"/>
      <c r="BE16" s="91"/>
      <c r="BF16" s="307" t="str">
        <f t="shared" si="65"/>
        <v/>
      </c>
      <c r="BG16" s="101"/>
      <c r="BH16" s="101"/>
      <c r="BI16" s="316" t="str">
        <f t="shared" si="66"/>
        <v/>
      </c>
      <c r="BJ16" s="101"/>
      <c r="BK16" s="101"/>
      <c r="BL16" s="101"/>
      <c r="BM16" s="91"/>
      <c r="BN16" s="307" t="str">
        <f t="shared" si="67"/>
        <v/>
      </c>
      <c r="BO16" s="101"/>
      <c r="BP16" s="101"/>
      <c r="BQ16" s="316" t="str">
        <f t="shared" si="68"/>
        <v/>
      </c>
      <c r="BR16" s="101"/>
      <c r="BS16" s="101"/>
      <c r="BT16" s="101"/>
      <c r="BU16" s="91"/>
      <c r="BV16" s="307" t="str">
        <f t="shared" si="69"/>
        <v/>
      </c>
      <c r="BW16" s="101"/>
      <c r="BX16" s="101"/>
      <c r="BY16" s="316" t="str">
        <f t="shared" si="70"/>
        <v/>
      </c>
      <c r="BZ16" s="101"/>
      <c r="CA16" s="101"/>
      <c r="CB16" s="101"/>
      <c r="CC16" s="91"/>
      <c r="CD16" s="307" t="str">
        <f t="shared" si="71"/>
        <v/>
      </c>
      <c r="CE16" s="101"/>
      <c r="CF16" s="101"/>
      <c r="CG16" s="316" t="str">
        <f t="shared" si="72"/>
        <v/>
      </c>
      <c r="CH16" s="318">
        <f t="shared" si="0"/>
        <v>74.333333333333329</v>
      </c>
      <c r="CI16" s="105">
        <f t="shared" si="1"/>
        <v>78</v>
      </c>
      <c r="CJ16" s="105">
        <f t="shared" si="2"/>
        <v>70</v>
      </c>
      <c r="CK16" s="407">
        <v>70</v>
      </c>
      <c r="CL16" s="101">
        <v>75</v>
      </c>
      <c r="CM16" s="319">
        <f t="shared" si="23"/>
        <v>223</v>
      </c>
      <c r="CN16" s="319">
        <f t="shared" si="24"/>
        <v>105</v>
      </c>
      <c r="CO16" s="319">
        <f t="shared" si="25"/>
        <v>37.5</v>
      </c>
      <c r="CP16" s="227">
        <f t="shared" si="26"/>
        <v>73.099999999999994</v>
      </c>
      <c r="CQ16" s="320">
        <f t="shared" si="27"/>
        <v>74</v>
      </c>
      <c r="CR16" s="106" t="str">
        <f t="shared" si="28"/>
        <v>B</v>
      </c>
      <c r="CS16" s="106" t="str">
        <f t="shared" si="29"/>
        <v>baik</v>
      </c>
      <c r="CT16" s="106" t="str">
        <f t="shared" si="30"/>
        <v>TUNTAS</v>
      </c>
      <c r="CU16" s="106" t="str">
        <f t="shared" si="31"/>
        <v>TUNTAS</v>
      </c>
      <c r="CV16" s="116" t="str">
        <f t="shared" si="32"/>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16" s="109" t="str">
        <f>IF(CI16="","",VLOOKUP(CI16,DATAPENG!$X$3:$Y$12,2,FALSE))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16" s="109" t="str">
        <f>IF(CJ16="","",VLOOKUP(CJ16,DATAPENG!$X$3:$Y$12,2,FALSE))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17" spans="1:102" ht="16.5">
      <c r="A17" s="105">
        <f>'DATA SISWA'!A17</f>
        <v>13</v>
      </c>
      <c r="B17" s="105" t="str">
        <f>'DATA SISWA'!B17</f>
        <v>`016</v>
      </c>
      <c r="C17" s="105" t="str">
        <f>'DATA SISWA'!C17</f>
        <v>Ma`ruf</v>
      </c>
      <c r="D17" s="105" t="str">
        <f>'DATA SISWA'!D17</f>
        <v>L</v>
      </c>
      <c r="E17" s="105" t="str">
        <f>'DATA SISWA'!E17</f>
        <v>VII</v>
      </c>
      <c r="F17" s="406">
        <v>70</v>
      </c>
      <c r="G17" s="101"/>
      <c r="H17" s="406"/>
      <c r="I17" s="406"/>
      <c r="J17" s="307">
        <f>IF(AND(F17="",G17="",H17="",I17=""),"",AVERAGE(F17:I17))</f>
        <v>70</v>
      </c>
      <c r="K17" s="101"/>
      <c r="L17" s="101"/>
      <c r="M17" s="316">
        <f>IF(AND(F17="",G17="",H17="",I17=""),"",IF(AND(K17="",L17=""),J17,IF(OR(L17="",K17="",L17&lt;=$CT$2),MAX(J17:L17),$CT$2)))</f>
        <v>70</v>
      </c>
      <c r="N17" s="406"/>
      <c r="O17" s="101"/>
      <c r="P17" s="406">
        <v>75</v>
      </c>
      <c r="Q17" s="406"/>
      <c r="R17" s="307">
        <f>IF(AND(N17="",O17="",P17="",Q17=""),"",AVERAGE(N17:Q17))</f>
        <v>75</v>
      </c>
      <c r="S17" s="101"/>
      <c r="T17" s="101"/>
      <c r="U17" s="316">
        <f>IF(AND(N17="",O17="",P17="",Q17=""),"",IF(AND(S17="",T17=""),R17,IF(OR(T17="",S17="",T17&lt;=$CT$2),MAX(R17:T17),$CT$2)))</f>
        <v>75</v>
      </c>
      <c r="V17" s="101">
        <v>80</v>
      </c>
      <c r="W17" s="101"/>
      <c r="X17" s="101"/>
      <c r="Y17" s="91"/>
      <c r="Z17" s="307">
        <f>IF(AND(V17="",W17="",X17="",Y17=""),"",AVERAGE(V17:Y17))</f>
        <v>80</v>
      </c>
      <c r="AA17" s="101"/>
      <c r="AB17" s="101"/>
      <c r="AC17" s="316">
        <f>IF(AND(V17="",W17="",X17="",Y17=""),"",IF(AND(AA17="",AB17=""),Z17,IF(OR(AB17="",AA17="",AB17&lt;=$CT$2),MAX(Z17:AB17),$CT$2)))</f>
        <v>80</v>
      </c>
      <c r="AD17" s="101">
        <v>70</v>
      </c>
      <c r="AE17" s="101"/>
      <c r="AF17" s="101"/>
      <c r="AG17" s="91"/>
      <c r="AH17" s="307">
        <f>IF(AND(AD17="",AE17="",AF17="",AG17=""),"",AVERAGE(AD17:AG17))</f>
        <v>70</v>
      </c>
      <c r="AI17" s="101"/>
      <c r="AJ17" s="101"/>
      <c r="AK17" s="316">
        <f>IF(AND(AD17="",AE17="",AF17="",AG17=""),"",IF(AND(AI17="",AJ17=""),AH17,IF(OR(AJ17="",AI17="",AJ17&lt;=$CT$2),MAX(AH17:AJ17),$CT$2)))</f>
        <v>70</v>
      </c>
      <c r="AL17" s="101"/>
      <c r="AM17" s="101"/>
      <c r="AN17" s="101"/>
      <c r="AO17" s="91"/>
      <c r="AP17" s="307" t="str">
        <f>IF(AND(AL17="",AM17="",AN17="",AO17=""),"",AVERAGE(AL17:AO17))</f>
        <v/>
      </c>
      <c r="AQ17" s="101"/>
      <c r="AR17" s="101"/>
      <c r="AS17" s="316" t="str">
        <f>IF(AND(AL17="",AM17="",AN17="",AO17=""),"",IF(AND(AQ17="",AR17=""),AP17,IF(OR(AR17="",AQ17="",AR17&lt;=$CT$2),MAX(AP17:AR17),$CT$2)))</f>
        <v/>
      </c>
      <c r="AT17" s="101"/>
      <c r="AU17" s="101"/>
      <c r="AV17" s="101"/>
      <c r="AW17" s="91"/>
      <c r="AX17" s="307" t="str">
        <f>IF(AND(AT17="",AU17="",AV17="",AW17=""),"",AVERAGE(AT17:AW17))</f>
        <v/>
      </c>
      <c r="AY17" s="101"/>
      <c r="AZ17" s="101"/>
      <c r="BA17" s="316" t="str">
        <f>IF(AND(AT17="",AU17="",AV17="",AW17=""),"",IF(AND(AY17="",AZ17=""),AX17,IF(OR(AZ17="",AY17="",AZ17&lt;=$CT$2),MAX(AX17:AZ17),$CT$2)))</f>
        <v/>
      </c>
      <c r="BB17" s="101"/>
      <c r="BC17" s="101"/>
      <c r="BD17" s="101"/>
      <c r="BE17" s="91"/>
      <c r="BF17" s="307" t="str">
        <f>IF(AND(BB17="",BC17="",BD17="",BE17=""),"",AVERAGE(BB17:BE17))</f>
        <v/>
      </c>
      <c r="BG17" s="101"/>
      <c r="BH17" s="101"/>
      <c r="BI17" s="316" t="str">
        <f>IF(AND(BB17="",BC17="",BD17="",BE17=""),"",IF(AND(BG17="",BH17=""),BF17,IF(OR(BH17="",BG17="",BH17&lt;=$CT$2),MAX(BF17:BH17),$CT$2)))</f>
        <v/>
      </c>
      <c r="BJ17" s="101"/>
      <c r="BK17" s="101"/>
      <c r="BL17" s="101"/>
      <c r="BM17" s="91"/>
      <c r="BN17" s="307" t="str">
        <f>IF(AND(BJ17="",BK17="",BL17="",BM17=""),"",AVERAGE(BJ17:BM17))</f>
        <v/>
      </c>
      <c r="BO17" s="101"/>
      <c r="BP17" s="101"/>
      <c r="BQ17" s="316" t="str">
        <f>IF(AND(BJ17="",BK17="",BL17="",BM17=""),"",IF(AND(BO17="",BP17=""),BN17,IF(OR(BP17="",BO17="",BP17&lt;=$CT$2),MAX(BN17:BP17),$CT$2)))</f>
        <v/>
      </c>
      <c r="BR17" s="101"/>
      <c r="BS17" s="101"/>
      <c r="BT17" s="101"/>
      <c r="BU17" s="91"/>
      <c r="BV17" s="307" t="str">
        <f>IF(AND(BR17="",BS17="",BT17="",BU17=""),"",AVERAGE(BR17:BU17))</f>
        <v/>
      </c>
      <c r="BW17" s="101"/>
      <c r="BX17" s="101"/>
      <c r="BY17" s="316" t="str">
        <f>IF(AND(BR17="",BS17="",BT17="",BU17=""),"",IF(AND(BW17="",BX17=""),BV17,IF(OR(BX17="",BW17="",BX17&lt;=$CT$2),MAX(BV17:BX17),$CT$2)))</f>
        <v/>
      </c>
      <c r="BZ17" s="101"/>
      <c r="CA17" s="101"/>
      <c r="CB17" s="101"/>
      <c r="CC17" s="91"/>
      <c r="CD17" s="307" t="str">
        <f>IF(AND(BZ17="",CA17="",CB17="",CC17=""),"",AVERAGE(BZ17:CC17))</f>
        <v/>
      </c>
      <c r="CE17" s="101"/>
      <c r="CF17" s="101"/>
      <c r="CG17" s="316" t="str">
        <f>IF(AND(BZ17="",CA17="",CB17="",CC17=""),"",IF(AND(CE17="",CF17=""),CD17,IF(OR(CF17="",CE17="",CF17&lt;=$CT$2),MAX(CD17:CF17),$CT$2)))</f>
        <v/>
      </c>
      <c r="CH17" s="318">
        <f t="shared" si="0"/>
        <v>73.75</v>
      </c>
      <c r="CI17" s="105">
        <f t="shared" si="1"/>
        <v>80</v>
      </c>
      <c r="CJ17" s="105">
        <f t="shared" si="2"/>
        <v>70</v>
      </c>
      <c r="CK17" s="407">
        <v>70</v>
      </c>
      <c r="CL17" s="101">
        <v>75</v>
      </c>
      <c r="CM17" s="319">
        <f t="shared" si="23"/>
        <v>221.25</v>
      </c>
      <c r="CN17" s="319">
        <f t="shared" si="24"/>
        <v>105</v>
      </c>
      <c r="CO17" s="319">
        <f t="shared" si="25"/>
        <v>37.5</v>
      </c>
      <c r="CP17" s="227">
        <f t="shared" si="26"/>
        <v>72.75</v>
      </c>
      <c r="CQ17" s="320">
        <f t="shared" si="27"/>
        <v>73</v>
      </c>
      <c r="CR17" s="106" t="str">
        <f t="shared" si="28"/>
        <v>B</v>
      </c>
      <c r="CS17" s="106" t="str">
        <f t="shared" si="29"/>
        <v>baik</v>
      </c>
      <c r="CT17" s="106" t="str">
        <f t="shared" si="30"/>
        <v>TUNTAS</v>
      </c>
      <c r="CU17" s="106" t="str">
        <f t="shared" si="31"/>
        <v>TUNTAS</v>
      </c>
      <c r="CV17" s="116" t="str">
        <f t="shared" si="32"/>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W17" s="109" t="str">
        <f>IF(CI17="","",VLOOKUP(CI17,DATAPENG!$Z$3:$AA$12,2,FALSE))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X17" s="109" t="str">
        <f>IF(CJ17="","",VLOOKUP(CJ17,DATAPENG!$Z$3:$AA$12,2,FALSE))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18" spans="1:102" ht="16.5">
      <c r="A18" s="105">
        <f>'DATA SISWA'!A18</f>
        <v>14</v>
      </c>
      <c r="B18" s="105" t="str">
        <f>'DATA SISWA'!B18</f>
        <v>`020</v>
      </c>
      <c r="C18" s="105" t="str">
        <f>'DATA SISWA'!C18</f>
        <v>Nia Ramadani</v>
      </c>
      <c r="D18" s="105" t="str">
        <f>'DATA SISWA'!D18</f>
        <v>P</v>
      </c>
      <c r="E18" s="105" t="str">
        <f>'DATA SISWA'!E18</f>
        <v>VII</v>
      </c>
      <c r="F18" s="406">
        <v>75</v>
      </c>
      <c r="G18" s="101"/>
      <c r="H18" s="406"/>
      <c r="I18" s="406"/>
      <c r="J18" s="307">
        <f t="shared" ref="J18:J20" si="73">IF(AND(F18="",G18="",H18="",I18=""),"",AVERAGE(F18:I18))</f>
        <v>75</v>
      </c>
      <c r="K18" s="101"/>
      <c r="L18" s="101"/>
      <c r="M18" s="316">
        <f t="shared" ref="M18:M20" si="74">IF(AND(F18="",G18="",H18="",I18=""),"",IF(AND(K18="",L18=""),J18,IF(OR(L18="",K18="",L18&lt;=$CT$2),MAX(J18:L18),$CT$2)))</f>
        <v>75</v>
      </c>
      <c r="N18" s="406"/>
      <c r="O18" s="101"/>
      <c r="P18" s="406">
        <v>70</v>
      </c>
      <c r="Q18" s="406"/>
      <c r="R18" s="307">
        <f t="shared" ref="R18:R20" si="75">IF(AND(N18="",O18="",P18="",Q18=""),"",AVERAGE(N18:Q18))</f>
        <v>70</v>
      </c>
      <c r="S18" s="101"/>
      <c r="T18" s="101"/>
      <c r="U18" s="316">
        <f t="shared" ref="U18:U20" si="76">IF(AND(N18="",O18="",P18="",Q18=""),"",IF(AND(S18="",T18=""),R18,IF(OR(T18="",S18="",T18&lt;=$CT$2),MAX(R18:T18),$CT$2)))</f>
        <v>70</v>
      </c>
      <c r="V18" s="101">
        <v>70</v>
      </c>
      <c r="W18" s="101"/>
      <c r="X18" s="101"/>
      <c r="Y18" s="91"/>
      <c r="Z18" s="307">
        <f t="shared" ref="Z18:Z20" si="77">IF(AND(V18="",W18="",X18="",Y18=""),"",AVERAGE(V18:Y18))</f>
        <v>70</v>
      </c>
      <c r="AA18" s="101"/>
      <c r="AB18" s="101"/>
      <c r="AC18" s="316">
        <f t="shared" ref="AC18:AC20" si="78">IF(AND(V18="",W18="",X18="",Y18=""),"",IF(AND(AA18="",AB18=""),Z18,IF(OR(AB18="",AA18="",AB18&lt;=$CT$2),MAX(Z18:AB18),$CT$2)))</f>
        <v>70</v>
      </c>
      <c r="AD18" s="101">
        <v>76</v>
      </c>
      <c r="AE18" s="101"/>
      <c r="AF18" s="101"/>
      <c r="AG18" s="91"/>
      <c r="AH18" s="307">
        <f t="shared" ref="AH18:AH20" si="79">IF(AND(AD18="",AE18="",AF18="",AG18=""),"",AVERAGE(AD18:AG18))</f>
        <v>76</v>
      </c>
      <c r="AI18" s="101"/>
      <c r="AJ18" s="101"/>
      <c r="AK18" s="316">
        <f t="shared" ref="AK18:AK20" si="80">IF(AND(AD18="",AE18="",AF18="",AG18=""),"",IF(AND(AI18="",AJ18=""),AH18,IF(OR(AJ18="",AI18="",AJ18&lt;=$CT$2),MAX(AH18:AJ18),$CT$2)))</f>
        <v>76</v>
      </c>
      <c r="AL18" s="101"/>
      <c r="AM18" s="101"/>
      <c r="AN18" s="101"/>
      <c r="AO18" s="91"/>
      <c r="AP18" s="307" t="str">
        <f t="shared" ref="AP18:AP20" si="81">IF(AND(AL18="",AM18="",AN18="",AO18=""),"",AVERAGE(AL18:AO18))</f>
        <v/>
      </c>
      <c r="AQ18" s="101"/>
      <c r="AR18" s="101"/>
      <c r="AS18" s="316" t="str">
        <f t="shared" ref="AS18:AS20" si="82">IF(AND(AL18="",AM18="",AN18="",AO18=""),"",IF(AND(AQ18="",AR18=""),AP18,IF(OR(AR18="",AQ18="",AR18&lt;=$CT$2),MAX(AP18:AR18),$CT$2)))</f>
        <v/>
      </c>
      <c r="AT18" s="101"/>
      <c r="AU18" s="101"/>
      <c r="AV18" s="101"/>
      <c r="AW18" s="91"/>
      <c r="AX18" s="307" t="str">
        <f t="shared" ref="AX18:AX20" si="83">IF(AND(AT18="",AU18="",AV18="",AW18=""),"",AVERAGE(AT18:AW18))</f>
        <v/>
      </c>
      <c r="AY18" s="101"/>
      <c r="AZ18" s="101"/>
      <c r="BA18" s="316" t="str">
        <f t="shared" ref="BA18:BA20" si="84">IF(AND(AT18="",AU18="",AV18="",AW18=""),"",IF(AND(AY18="",AZ18=""),AX18,IF(OR(AZ18="",AY18="",AZ18&lt;=$CT$2),MAX(AX18:AZ18),$CT$2)))</f>
        <v/>
      </c>
      <c r="BB18" s="101"/>
      <c r="BC18" s="101"/>
      <c r="BD18" s="101"/>
      <c r="BE18" s="91"/>
      <c r="BF18" s="307" t="str">
        <f t="shared" ref="BF18:BF20" si="85">IF(AND(BB18="",BC18="",BD18="",BE18=""),"",AVERAGE(BB18:BE18))</f>
        <v/>
      </c>
      <c r="BG18" s="101"/>
      <c r="BH18" s="101"/>
      <c r="BI18" s="316" t="str">
        <f t="shared" ref="BI18:BI20" si="86">IF(AND(BB18="",BC18="",BD18="",BE18=""),"",IF(AND(BG18="",BH18=""),BF18,IF(OR(BH18="",BG18="",BH18&lt;=$CT$2),MAX(BF18:BH18),$CT$2)))</f>
        <v/>
      </c>
      <c r="BJ18" s="101"/>
      <c r="BK18" s="101"/>
      <c r="BL18" s="101"/>
      <c r="BM18" s="91"/>
      <c r="BN18" s="307" t="str">
        <f t="shared" ref="BN18:BN20" si="87">IF(AND(BJ18="",BK18="",BL18="",BM18=""),"",AVERAGE(BJ18:BM18))</f>
        <v/>
      </c>
      <c r="BO18" s="101"/>
      <c r="BP18" s="101"/>
      <c r="BQ18" s="316" t="str">
        <f t="shared" ref="BQ18:BQ20" si="88">IF(AND(BJ18="",BK18="",BL18="",BM18=""),"",IF(AND(BO18="",BP18=""),BN18,IF(OR(BP18="",BO18="",BP18&lt;=$CT$2),MAX(BN18:BP18),$CT$2)))</f>
        <v/>
      </c>
      <c r="BR18" s="101"/>
      <c r="BS18" s="101"/>
      <c r="BT18" s="101"/>
      <c r="BU18" s="91"/>
      <c r="BV18" s="307" t="str">
        <f t="shared" ref="BV18:BV20" si="89">IF(AND(BR18="",BS18="",BT18="",BU18=""),"",AVERAGE(BR18:BU18))</f>
        <v/>
      </c>
      <c r="BW18" s="101"/>
      <c r="BX18" s="101"/>
      <c r="BY18" s="316" t="str">
        <f t="shared" ref="BY18:BY20" si="90">IF(AND(BR18="",BS18="",BT18="",BU18=""),"",IF(AND(BW18="",BX18=""),BV18,IF(OR(BX18="",BW18="",BX18&lt;=$CT$2),MAX(BV18:BX18),$CT$2)))</f>
        <v/>
      </c>
      <c r="BZ18" s="101"/>
      <c r="CA18" s="101"/>
      <c r="CB18" s="101"/>
      <c r="CC18" s="91"/>
      <c r="CD18" s="307" t="str">
        <f t="shared" ref="CD18:CD20" si="91">IF(AND(BZ18="",CA18="",CB18="",CC18=""),"",AVERAGE(BZ18:CC18))</f>
        <v/>
      </c>
      <c r="CE18" s="101"/>
      <c r="CF18" s="101"/>
      <c r="CG18" s="316" t="str">
        <f t="shared" ref="CG18:CG20" si="92">IF(AND(BZ18="",CA18="",CB18="",CC18=""),"",IF(AND(CE18="",CF18=""),CD18,IF(OR(CF18="",CE18="",CF18&lt;=$CT$2),MAX(CD18:CF18),$CT$2)))</f>
        <v/>
      </c>
      <c r="CH18" s="318">
        <f t="shared" si="0"/>
        <v>72.75</v>
      </c>
      <c r="CI18" s="105">
        <f t="shared" si="1"/>
        <v>76</v>
      </c>
      <c r="CJ18" s="105">
        <f t="shared" si="2"/>
        <v>70</v>
      </c>
      <c r="CK18" s="407">
        <v>70</v>
      </c>
      <c r="CL18" s="101">
        <v>75</v>
      </c>
      <c r="CM18" s="319">
        <f t="shared" si="23"/>
        <v>218.25</v>
      </c>
      <c r="CN18" s="319">
        <f t="shared" si="24"/>
        <v>105</v>
      </c>
      <c r="CO18" s="319">
        <f t="shared" si="25"/>
        <v>37.5</v>
      </c>
      <c r="CP18" s="227">
        <f t="shared" si="26"/>
        <v>72.150000000000006</v>
      </c>
      <c r="CQ18" s="320">
        <f t="shared" si="27"/>
        <v>73</v>
      </c>
      <c r="CR18" s="106" t="str">
        <f t="shared" si="28"/>
        <v>B</v>
      </c>
      <c r="CS18" s="106" t="str">
        <f t="shared" si="29"/>
        <v>baik</v>
      </c>
      <c r="CT18" s="106" t="str">
        <f t="shared" si="30"/>
        <v>TUNTAS</v>
      </c>
      <c r="CU18" s="106" t="str">
        <f t="shared" si="31"/>
        <v>TUNTAS</v>
      </c>
      <c r="CV18" s="116" t="str">
        <f t="shared" si="32"/>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W18" s="109" t="str">
        <f>IF(CI18="","",VLOOKUP(CI18,DATAPENG!$AB$3:$AC$12,2,FALSE))</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X18" s="109" t="str">
        <f>IF(CJ18="","",VLOOKUP(CJ18,DATAPENG!$AB$3:$AC$12,2,FALSE))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19" spans="1:102" ht="16.5">
      <c r="A19" s="105">
        <f>'DATA SISWA'!A19</f>
        <v>15</v>
      </c>
      <c r="B19" s="105" t="str">
        <f>'DATA SISWA'!B19</f>
        <v>`012</v>
      </c>
      <c r="C19" s="105" t="str">
        <f>'DATA SISWA'!C19</f>
        <v>Ningsih Rahmawati</v>
      </c>
      <c r="D19" s="105" t="str">
        <f>'DATA SISWA'!D19</f>
        <v>P</v>
      </c>
      <c r="E19" s="105" t="str">
        <f>'DATA SISWA'!E19</f>
        <v>VII</v>
      </c>
      <c r="F19" s="406">
        <v>95</v>
      </c>
      <c r="G19" s="101"/>
      <c r="H19" s="406"/>
      <c r="I19" s="406"/>
      <c r="J19" s="307">
        <f t="shared" si="73"/>
        <v>95</v>
      </c>
      <c r="K19" s="101"/>
      <c r="L19" s="101"/>
      <c r="M19" s="316">
        <f t="shared" si="74"/>
        <v>95</v>
      </c>
      <c r="N19" s="406"/>
      <c r="O19" s="101"/>
      <c r="P19" s="406">
        <v>90</v>
      </c>
      <c r="Q19" s="406"/>
      <c r="R19" s="307">
        <f t="shared" si="75"/>
        <v>90</v>
      </c>
      <c r="S19" s="101"/>
      <c r="T19" s="101"/>
      <c r="U19" s="316">
        <f t="shared" si="76"/>
        <v>90</v>
      </c>
      <c r="V19" s="101">
        <v>85</v>
      </c>
      <c r="W19" s="101"/>
      <c r="X19" s="101"/>
      <c r="Y19" s="91"/>
      <c r="Z19" s="307">
        <f t="shared" si="77"/>
        <v>85</v>
      </c>
      <c r="AA19" s="101"/>
      <c r="AB19" s="101"/>
      <c r="AC19" s="316">
        <f t="shared" si="78"/>
        <v>85</v>
      </c>
      <c r="AD19" s="101">
        <v>90</v>
      </c>
      <c r="AE19" s="101"/>
      <c r="AF19" s="101"/>
      <c r="AG19" s="91"/>
      <c r="AH19" s="307">
        <f t="shared" si="79"/>
        <v>90</v>
      </c>
      <c r="AI19" s="101"/>
      <c r="AJ19" s="101"/>
      <c r="AK19" s="316">
        <f t="shared" si="80"/>
        <v>90</v>
      </c>
      <c r="AL19" s="101"/>
      <c r="AM19" s="101"/>
      <c r="AN19" s="101"/>
      <c r="AO19" s="91"/>
      <c r="AP19" s="307" t="str">
        <f t="shared" si="81"/>
        <v/>
      </c>
      <c r="AQ19" s="101"/>
      <c r="AR19" s="101"/>
      <c r="AS19" s="316" t="str">
        <f t="shared" si="82"/>
        <v/>
      </c>
      <c r="AT19" s="101"/>
      <c r="AU19" s="101"/>
      <c r="AV19" s="101"/>
      <c r="AW19" s="91"/>
      <c r="AX19" s="307" t="str">
        <f t="shared" si="83"/>
        <v/>
      </c>
      <c r="AY19" s="101"/>
      <c r="AZ19" s="101"/>
      <c r="BA19" s="316" t="str">
        <f t="shared" si="84"/>
        <v/>
      </c>
      <c r="BB19" s="101"/>
      <c r="BC19" s="101"/>
      <c r="BD19" s="101"/>
      <c r="BE19" s="91"/>
      <c r="BF19" s="307" t="str">
        <f t="shared" si="85"/>
        <v/>
      </c>
      <c r="BG19" s="101"/>
      <c r="BH19" s="101"/>
      <c r="BI19" s="316" t="str">
        <f t="shared" si="86"/>
        <v/>
      </c>
      <c r="BJ19" s="101"/>
      <c r="BK19" s="101"/>
      <c r="BL19" s="101"/>
      <c r="BM19" s="91"/>
      <c r="BN19" s="307" t="str">
        <f t="shared" si="87"/>
        <v/>
      </c>
      <c r="BO19" s="101"/>
      <c r="BP19" s="101"/>
      <c r="BQ19" s="316" t="str">
        <f t="shared" si="88"/>
        <v/>
      </c>
      <c r="BR19" s="101"/>
      <c r="BS19" s="101"/>
      <c r="BT19" s="101"/>
      <c r="BU19" s="91"/>
      <c r="BV19" s="307" t="str">
        <f t="shared" si="89"/>
        <v/>
      </c>
      <c r="BW19" s="101"/>
      <c r="BX19" s="101"/>
      <c r="BY19" s="316" t="str">
        <f t="shared" si="90"/>
        <v/>
      </c>
      <c r="BZ19" s="101"/>
      <c r="CA19" s="101"/>
      <c r="CB19" s="101"/>
      <c r="CC19" s="91"/>
      <c r="CD19" s="307" t="str">
        <f t="shared" si="91"/>
        <v/>
      </c>
      <c r="CE19" s="101"/>
      <c r="CF19" s="101"/>
      <c r="CG19" s="316" t="str">
        <f t="shared" si="92"/>
        <v/>
      </c>
      <c r="CH19" s="318">
        <f t="shared" si="0"/>
        <v>90</v>
      </c>
      <c r="CI19" s="105">
        <f t="shared" si="1"/>
        <v>95</v>
      </c>
      <c r="CJ19" s="105">
        <f t="shared" si="2"/>
        <v>85</v>
      </c>
      <c r="CK19" s="407">
        <v>73</v>
      </c>
      <c r="CL19" s="101">
        <v>77</v>
      </c>
      <c r="CM19" s="319">
        <f t="shared" si="23"/>
        <v>270</v>
      </c>
      <c r="CN19" s="319">
        <f t="shared" si="24"/>
        <v>109.5</v>
      </c>
      <c r="CO19" s="319">
        <f t="shared" si="25"/>
        <v>38.5</v>
      </c>
      <c r="CP19" s="227">
        <f t="shared" si="26"/>
        <v>83.6</v>
      </c>
      <c r="CQ19" s="320">
        <f t="shared" si="27"/>
        <v>84</v>
      </c>
      <c r="CR19" s="106" t="str">
        <f t="shared" si="28"/>
        <v>B</v>
      </c>
      <c r="CS19" s="106" t="str">
        <f t="shared" si="29"/>
        <v>baik</v>
      </c>
      <c r="CT19" s="106" t="str">
        <f t="shared" si="30"/>
        <v>TUNTAS</v>
      </c>
      <c r="CU19" s="106" t="str">
        <f t="shared" si="31"/>
        <v>TUNTAS</v>
      </c>
      <c r="CV19" s="116" t="str">
        <f t="shared" si="32"/>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19" s="109" t="str">
        <f>IF(CI19="","",VLOOKUP(CI19,DATAPENG!$AD$3:$AE$12,2,FALSE))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19" s="109" t="str">
        <f>IF(CJ19="","",VLOOKUP(CJ19,DATAPENG!$AD$3:$AE$12,2,FALSE))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20" spans="1:102" ht="16.5">
      <c r="A20" s="105">
        <f>'DATA SISWA'!A20</f>
        <v>16</v>
      </c>
      <c r="B20" s="105" t="str">
        <f>'DATA SISWA'!B20</f>
        <v>`007</v>
      </c>
      <c r="C20" s="105" t="str">
        <f>'DATA SISWA'!C20</f>
        <v>Nurhayati</v>
      </c>
      <c r="D20" s="105" t="str">
        <f>'DATA SISWA'!D20</f>
        <v>P</v>
      </c>
      <c r="E20" s="105" t="str">
        <f>'DATA SISWA'!E20</f>
        <v>VII</v>
      </c>
      <c r="F20" s="406">
        <v>90</v>
      </c>
      <c r="G20" s="101"/>
      <c r="H20" s="406"/>
      <c r="I20" s="406"/>
      <c r="J20" s="307">
        <f t="shared" si="73"/>
        <v>90</v>
      </c>
      <c r="K20" s="101"/>
      <c r="L20" s="101"/>
      <c r="M20" s="316">
        <f t="shared" si="74"/>
        <v>90</v>
      </c>
      <c r="N20" s="406"/>
      <c r="O20" s="101"/>
      <c r="P20" s="406">
        <v>89</v>
      </c>
      <c r="Q20" s="406"/>
      <c r="R20" s="307">
        <f t="shared" si="75"/>
        <v>89</v>
      </c>
      <c r="S20" s="101"/>
      <c r="T20" s="101"/>
      <c r="U20" s="316">
        <f t="shared" si="76"/>
        <v>89</v>
      </c>
      <c r="V20" s="101">
        <v>80</v>
      </c>
      <c r="W20" s="101"/>
      <c r="X20" s="101"/>
      <c r="Y20" s="91"/>
      <c r="Z20" s="307">
        <f t="shared" si="77"/>
        <v>80</v>
      </c>
      <c r="AA20" s="101"/>
      <c r="AB20" s="101"/>
      <c r="AC20" s="316">
        <f t="shared" si="78"/>
        <v>80</v>
      </c>
      <c r="AD20" s="101">
        <v>100</v>
      </c>
      <c r="AE20" s="101"/>
      <c r="AF20" s="101"/>
      <c r="AG20" s="91"/>
      <c r="AH20" s="307">
        <f t="shared" si="79"/>
        <v>100</v>
      </c>
      <c r="AI20" s="101"/>
      <c r="AJ20" s="101"/>
      <c r="AK20" s="316">
        <f t="shared" si="80"/>
        <v>100</v>
      </c>
      <c r="AL20" s="101"/>
      <c r="AM20" s="101"/>
      <c r="AN20" s="101"/>
      <c r="AO20" s="91"/>
      <c r="AP20" s="307" t="str">
        <f t="shared" si="81"/>
        <v/>
      </c>
      <c r="AQ20" s="101"/>
      <c r="AR20" s="101"/>
      <c r="AS20" s="316" t="str">
        <f t="shared" si="82"/>
        <v/>
      </c>
      <c r="AT20" s="101"/>
      <c r="AU20" s="101"/>
      <c r="AV20" s="101"/>
      <c r="AW20" s="91"/>
      <c r="AX20" s="307" t="str">
        <f t="shared" si="83"/>
        <v/>
      </c>
      <c r="AY20" s="101"/>
      <c r="AZ20" s="101"/>
      <c r="BA20" s="316" t="str">
        <f t="shared" si="84"/>
        <v/>
      </c>
      <c r="BB20" s="101"/>
      <c r="BC20" s="101"/>
      <c r="BD20" s="101"/>
      <c r="BE20" s="91"/>
      <c r="BF20" s="307" t="str">
        <f t="shared" si="85"/>
        <v/>
      </c>
      <c r="BG20" s="101"/>
      <c r="BH20" s="101"/>
      <c r="BI20" s="316" t="str">
        <f t="shared" si="86"/>
        <v/>
      </c>
      <c r="BJ20" s="101"/>
      <c r="BK20" s="101"/>
      <c r="BL20" s="101"/>
      <c r="BM20" s="91"/>
      <c r="BN20" s="307" t="str">
        <f t="shared" si="87"/>
        <v/>
      </c>
      <c r="BO20" s="101"/>
      <c r="BP20" s="101"/>
      <c r="BQ20" s="316" t="str">
        <f t="shared" si="88"/>
        <v/>
      </c>
      <c r="BR20" s="101"/>
      <c r="BS20" s="101"/>
      <c r="BT20" s="101"/>
      <c r="BU20" s="91"/>
      <c r="BV20" s="307" t="str">
        <f t="shared" si="89"/>
        <v/>
      </c>
      <c r="BW20" s="101"/>
      <c r="BX20" s="101"/>
      <c r="BY20" s="316" t="str">
        <f t="shared" si="90"/>
        <v/>
      </c>
      <c r="BZ20" s="101"/>
      <c r="CA20" s="101"/>
      <c r="CB20" s="101"/>
      <c r="CC20" s="91"/>
      <c r="CD20" s="307" t="str">
        <f t="shared" si="91"/>
        <v/>
      </c>
      <c r="CE20" s="101"/>
      <c r="CF20" s="101"/>
      <c r="CG20" s="316" t="str">
        <f t="shared" si="92"/>
        <v/>
      </c>
      <c r="CH20" s="318">
        <f t="shared" si="0"/>
        <v>89.75</v>
      </c>
      <c r="CI20" s="105">
        <f t="shared" si="1"/>
        <v>100</v>
      </c>
      <c r="CJ20" s="105">
        <f t="shared" si="2"/>
        <v>80</v>
      </c>
      <c r="CK20" s="407">
        <v>73</v>
      </c>
      <c r="CL20" s="101">
        <v>78</v>
      </c>
      <c r="CM20" s="319">
        <f t="shared" si="23"/>
        <v>269.25</v>
      </c>
      <c r="CN20" s="319">
        <f t="shared" si="24"/>
        <v>109.5</v>
      </c>
      <c r="CO20" s="319">
        <f t="shared" si="25"/>
        <v>39</v>
      </c>
      <c r="CP20" s="227">
        <f t="shared" si="26"/>
        <v>83.55</v>
      </c>
      <c r="CQ20" s="320">
        <f t="shared" si="27"/>
        <v>84</v>
      </c>
      <c r="CR20" s="106" t="str">
        <f t="shared" si="28"/>
        <v>B</v>
      </c>
      <c r="CS20" s="106" t="str">
        <f t="shared" si="29"/>
        <v>baik</v>
      </c>
      <c r="CT20" s="106" t="str">
        <f t="shared" si="30"/>
        <v>TUNTAS</v>
      </c>
      <c r="CU20" s="106" t="str">
        <f t="shared" si="31"/>
        <v>TUNTAS</v>
      </c>
      <c r="CV20" s="116" t="str">
        <f t="shared" si="32"/>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W20" s="109" t="str">
        <f>IF(CI20="","",VLOOKUP(CI20,DATAPENG!$AF$3:$AG$12,2,FALSE))</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X20" s="109" t="str">
        <f>IF(CJ20="","",VLOOKUP(CJ20,DATAPENG!$AF$3:$AG$12,2,FALSE))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21" spans="1:102" ht="16.5">
      <c r="A21" s="105">
        <f>'DATA SISWA'!A21</f>
        <v>17</v>
      </c>
      <c r="B21" s="105" t="str">
        <f>'DATA SISWA'!B21</f>
        <v>`004</v>
      </c>
      <c r="C21" s="105" t="str">
        <f>'DATA SISWA'!C21</f>
        <v>Nur Aini</v>
      </c>
      <c r="D21" s="105" t="str">
        <f>'DATA SISWA'!D21</f>
        <v>P</v>
      </c>
      <c r="E21" s="105" t="str">
        <f>'DATA SISWA'!E21</f>
        <v>VII</v>
      </c>
      <c r="F21" s="406">
        <v>90</v>
      </c>
      <c r="G21" s="101"/>
      <c r="H21" s="406"/>
      <c r="I21" s="406"/>
      <c r="J21" s="307">
        <f>IF(AND(F21="",G21="",H21="",I21=""),"",AVERAGE(F21:I21))</f>
        <v>90</v>
      </c>
      <c r="K21" s="101"/>
      <c r="L21" s="101"/>
      <c r="M21" s="316">
        <f>IF(AND(F21="",G21="",H21="",I21=""),"",IF(AND(K21="",L21=""),J21,IF(OR(L21="",K21="",L21&lt;=$CT$2),MAX(J21:L21),$CT$2)))</f>
        <v>90</v>
      </c>
      <c r="N21" s="406"/>
      <c r="O21" s="101"/>
      <c r="P21" s="406">
        <v>85</v>
      </c>
      <c r="Q21" s="406"/>
      <c r="R21" s="307">
        <f>IF(AND(N21="",O21="",P21="",Q21=""),"",AVERAGE(N21:Q21))</f>
        <v>85</v>
      </c>
      <c r="S21" s="101"/>
      <c r="T21" s="101"/>
      <c r="U21" s="316">
        <f>IF(AND(N21="",O21="",P21="",Q21=""),"",IF(AND(S21="",T21=""),R21,IF(OR(T21="",S21="",T21&lt;=$CT$2),MAX(R21:T21),$CT$2)))</f>
        <v>85</v>
      </c>
      <c r="V21" s="101">
        <v>85</v>
      </c>
      <c r="W21" s="101"/>
      <c r="X21" s="101"/>
      <c r="Y21" s="91"/>
      <c r="Z21" s="307">
        <f>IF(AND(V21="",W21="",X21="",Y21=""),"",AVERAGE(V21:Y21))</f>
        <v>85</v>
      </c>
      <c r="AA21" s="101"/>
      <c r="AB21" s="101"/>
      <c r="AC21" s="316">
        <f>IF(AND(V21="",W21="",X21="",Y21=""),"",IF(AND(AA21="",AB21=""),Z21,IF(OR(AB21="",AA21="",AB21&lt;=$CT$2),MAX(Z21:AB21),$CT$2)))</f>
        <v>85</v>
      </c>
      <c r="AD21" s="101">
        <v>90</v>
      </c>
      <c r="AE21" s="101"/>
      <c r="AF21" s="101"/>
      <c r="AG21" s="91"/>
      <c r="AH21" s="307">
        <f>IF(AND(AD21="",AE21="",AF21="",AG21=""),"",AVERAGE(AD21:AG21))</f>
        <v>90</v>
      </c>
      <c r="AI21" s="101"/>
      <c r="AJ21" s="101"/>
      <c r="AK21" s="316">
        <f>IF(AND(AD21="",AE21="",AF21="",AG21=""),"",IF(AND(AI21="",AJ21=""),AH21,IF(OR(AJ21="",AI21="",AJ21&lt;=$CT$2),MAX(AH21:AJ21),$CT$2)))</f>
        <v>90</v>
      </c>
      <c r="AL21" s="101"/>
      <c r="AM21" s="101"/>
      <c r="AN21" s="101"/>
      <c r="AO21" s="91"/>
      <c r="AP21" s="307" t="str">
        <f>IF(AND(AL21="",AM21="",AN21="",AO21=""),"",AVERAGE(AL21:AO21))</f>
        <v/>
      </c>
      <c r="AQ21" s="101"/>
      <c r="AR21" s="101"/>
      <c r="AS21" s="316" t="str">
        <f>IF(AND(AL21="",AM21="",AN21="",AO21=""),"",IF(AND(AQ21="",AR21=""),AP21,IF(OR(AR21="",AQ21="",AR21&lt;=$CT$2),MAX(AP21:AR21),$CT$2)))</f>
        <v/>
      </c>
      <c r="AT21" s="101"/>
      <c r="AU21" s="101"/>
      <c r="AV21" s="101"/>
      <c r="AW21" s="91"/>
      <c r="AX21" s="307" t="str">
        <f>IF(AND(AT21="",AU21="",AV21="",AW21=""),"",AVERAGE(AT21:AW21))</f>
        <v/>
      </c>
      <c r="AY21" s="101"/>
      <c r="AZ21" s="101"/>
      <c r="BA21" s="316" t="str">
        <f>IF(AND(AT21="",AU21="",AV21="",AW21=""),"",IF(AND(AY21="",AZ21=""),AX21,IF(OR(AZ21="",AY21="",AZ21&lt;=$CT$2),MAX(AX21:AZ21),$CT$2)))</f>
        <v/>
      </c>
      <c r="BB21" s="101"/>
      <c r="BC21" s="101"/>
      <c r="BD21" s="101"/>
      <c r="BE21" s="91"/>
      <c r="BF21" s="307" t="str">
        <f>IF(AND(BB21="",BC21="",BD21="",BE21=""),"",AVERAGE(BB21:BE21))</f>
        <v/>
      </c>
      <c r="BG21" s="101"/>
      <c r="BH21" s="101"/>
      <c r="BI21" s="316" t="str">
        <f>IF(AND(BB21="",BC21="",BD21="",BE21=""),"",IF(AND(BG21="",BH21=""),BF21,IF(OR(BH21="",BG21="",BH21&lt;=$CT$2),MAX(BF21:BH21),$CT$2)))</f>
        <v/>
      </c>
      <c r="BJ21" s="101"/>
      <c r="BK21" s="101"/>
      <c r="BL21" s="101"/>
      <c r="BM21" s="91"/>
      <c r="BN21" s="307" t="str">
        <f>IF(AND(BJ21="",BK21="",BL21="",BM21=""),"",AVERAGE(BJ21:BM21))</f>
        <v/>
      </c>
      <c r="BO21" s="101"/>
      <c r="BP21" s="101"/>
      <c r="BQ21" s="316" t="str">
        <f>IF(AND(BJ21="",BK21="",BL21="",BM21=""),"",IF(AND(BO21="",BP21=""),BN21,IF(OR(BP21="",BO21="",BP21&lt;=$CT$2),MAX(BN21:BP21),$CT$2)))</f>
        <v/>
      </c>
      <c r="BR21" s="101"/>
      <c r="BS21" s="101"/>
      <c r="BT21" s="101"/>
      <c r="BU21" s="91"/>
      <c r="BV21" s="307" t="str">
        <f>IF(AND(BR21="",BS21="",BT21="",BU21=""),"",AVERAGE(BR21:BU21))</f>
        <v/>
      </c>
      <c r="BW21" s="101"/>
      <c r="BX21" s="101"/>
      <c r="BY21" s="316" t="str">
        <f>IF(AND(BR21="",BS21="",BT21="",BU21=""),"",IF(AND(BW21="",BX21=""),BV21,IF(OR(BX21="",BW21="",BX21&lt;=$CT$2),MAX(BV21:BX21),$CT$2)))</f>
        <v/>
      </c>
      <c r="BZ21" s="101"/>
      <c r="CA21" s="101"/>
      <c r="CB21" s="101"/>
      <c r="CC21" s="91"/>
      <c r="CD21" s="307" t="str">
        <f>IF(AND(BZ21="",CA21="",CB21="",CC21=""),"",AVERAGE(BZ21:CC21))</f>
        <v/>
      </c>
      <c r="CE21" s="101"/>
      <c r="CF21" s="101"/>
      <c r="CG21" s="316" t="str">
        <f>IF(AND(BZ21="",CA21="",CB21="",CC21=""),"",IF(AND(CE21="",CF21=""),CD21,IF(OR(CF21="",CE21="",CF21&lt;=$CT$2),MAX(CD21:CF21),$CT$2)))</f>
        <v/>
      </c>
      <c r="CH21" s="318">
        <f t="shared" si="0"/>
        <v>87.5</v>
      </c>
      <c r="CI21" s="105">
        <f t="shared" si="1"/>
        <v>90</v>
      </c>
      <c r="CJ21" s="105">
        <f t="shared" si="2"/>
        <v>85</v>
      </c>
      <c r="CK21" s="407">
        <v>75</v>
      </c>
      <c r="CL21" s="101">
        <v>78</v>
      </c>
      <c r="CM21" s="319">
        <f t="shared" si="23"/>
        <v>262.5</v>
      </c>
      <c r="CN21" s="319">
        <f t="shared" si="24"/>
        <v>112.5</v>
      </c>
      <c r="CO21" s="319">
        <f t="shared" si="25"/>
        <v>39</v>
      </c>
      <c r="CP21" s="227">
        <f t="shared" si="26"/>
        <v>82.8</v>
      </c>
      <c r="CQ21" s="320">
        <f t="shared" si="27"/>
        <v>83</v>
      </c>
      <c r="CR21" s="106" t="str">
        <f t="shared" si="28"/>
        <v>B</v>
      </c>
      <c r="CS21" s="106" t="str">
        <f t="shared" si="29"/>
        <v>baik</v>
      </c>
      <c r="CT21" s="106" t="str">
        <f t="shared" si="30"/>
        <v>TUNTAS</v>
      </c>
      <c r="CU21" s="106" t="str">
        <f t="shared" si="31"/>
        <v>TUNTAS</v>
      </c>
      <c r="CV21" s="116" t="str">
        <f t="shared" si="32"/>
        <v>Penguasaan materi sudah baik dalam 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W21" s="109" t="str">
        <f>IF(CI21="","",VLOOKUP(CI21,DATAPENG!$AH$3:$AI$12,2,FALSE))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CX21" s="109" t="str">
        <f>IF(CJ21="","",VLOOKUP(CJ21,DATAPENG!$AH$3:$AI$12,2,FALSE))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22" spans="1:102" ht="16.5">
      <c r="A22" s="105">
        <f>'DATA SISWA'!A22</f>
        <v>18</v>
      </c>
      <c r="B22" s="105" t="str">
        <f>'DATA SISWA'!B22</f>
        <v>`001</v>
      </c>
      <c r="C22" s="105" t="str">
        <f>'DATA SISWA'!C22</f>
        <v>Rofiah</v>
      </c>
      <c r="D22" s="105" t="str">
        <f>'DATA SISWA'!D22</f>
        <v>P</v>
      </c>
      <c r="E22" s="105" t="str">
        <f>'DATA SISWA'!E22</f>
        <v>VII</v>
      </c>
      <c r="F22" s="406">
        <v>90</v>
      </c>
      <c r="G22" s="101"/>
      <c r="H22" s="406"/>
      <c r="I22" s="406"/>
      <c r="J22" s="307">
        <f t="shared" ref="J22:J24" si="93">IF(AND(F22="",G22="",H22="",I22=""),"",AVERAGE(F22:I22))</f>
        <v>90</v>
      </c>
      <c r="K22" s="101"/>
      <c r="L22" s="101"/>
      <c r="M22" s="316">
        <f t="shared" ref="M22:M24" si="94">IF(AND(F22="",G22="",H22="",I22=""),"",IF(AND(K22="",L22=""),J22,IF(OR(L22="",K22="",L22&lt;=$CT$2),MAX(J22:L22),$CT$2)))</f>
        <v>90</v>
      </c>
      <c r="N22" s="406"/>
      <c r="O22" s="101"/>
      <c r="P22" s="406">
        <v>85</v>
      </c>
      <c r="Q22" s="406"/>
      <c r="R22" s="307">
        <f t="shared" ref="R22:R24" si="95">IF(AND(N22="",O22="",P22="",Q22=""),"",AVERAGE(N22:Q22))</f>
        <v>85</v>
      </c>
      <c r="S22" s="101"/>
      <c r="T22" s="101"/>
      <c r="U22" s="316">
        <f t="shared" ref="U22:U24" si="96">IF(AND(N22="",O22="",P22="",Q22=""),"",IF(AND(S22="",T22=""),R22,IF(OR(T22="",S22="",T22&lt;=$CT$2),MAX(R22:T22),$CT$2)))</f>
        <v>85</v>
      </c>
      <c r="V22" s="101">
        <v>80</v>
      </c>
      <c r="W22" s="101"/>
      <c r="X22" s="101"/>
      <c r="Y22" s="91"/>
      <c r="Z22" s="307">
        <f t="shared" ref="Z22:Z24" si="97">IF(AND(V22="",W22="",X22="",Y22=""),"",AVERAGE(V22:Y22))</f>
        <v>80</v>
      </c>
      <c r="AA22" s="101"/>
      <c r="AB22" s="101"/>
      <c r="AC22" s="316">
        <f t="shared" ref="AC22:AC24" si="98">IF(AND(V22="",W22="",X22="",Y22=""),"",IF(AND(AA22="",AB22=""),Z22,IF(OR(AB22="",AA22="",AB22&lt;=$CT$2),MAX(Z22:AB22),$CT$2)))</f>
        <v>80</v>
      </c>
      <c r="AD22" s="101">
        <v>95</v>
      </c>
      <c r="AE22" s="101"/>
      <c r="AF22" s="101"/>
      <c r="AG22" s="91"/>
      <c r="AH22" s="307">
        <f t="shared" ref="AH22:AH24" si="99">IF(AND(AD22="",AE22="",AF22="",AG22=""),"",AVERAGE(AD22:AG22))</f>
        <v>95</v>
      </c>
      <c r="AI22" s="101"/>
      <c r="AJ22" s="101"/>
      <c r="AK22" s="316">
        <f t="shared" ref="AK22:AK24" si="100">IF(AND(AD22="",AE22="",AF22="",AG22=""),"",IF(AND(AI22="",AJ22=""),AH22,IF(OR(AJ22="",AI22="",AJ22&lt;=$CT$2),MAX(AH22:AJ22),$CT$2)))</f>
        <v>95</v>
      </c>
      <c r="AL22" s="101"/>
      <c r="AM22" s="101"/>
      <c r="AN22" s="101"/>
      <c r="AO22" s="91"/>
      <c r="AP22" s="307" t="str">
        <f t="shared" ref="AP22:AP24" si="101">IF(AND(AL22="",AM22="",AN22="",AO22=""),"",AVERAGE(AL22:AO22))</f>
        <v/>
      </c>
      <c r="AQ22" s="101"/>
      <c r="AR22" s="101"/>
      <c r="AS22" s="316" t="str">
        <f t="shared" ref="AS22:AS24" si="102">IF(AND(AL22="",AM22="",AN22="",AO22=""),"",IF(AND(AQ22="",AR22=""),AP22,IF(OR(AR22="",AQ22="",AR22&lt;=$CT$2),MAX(AP22:AR22),$CT$2)))</f>
        <v/>
      </c>
      <c r="AT22" s="101"/>
      <c r="AU22" s="101"/>
      <c r="AV22" s="101"/>
      <c r="AW22" s="91"/>
      <c r="AX22" s="307" t="str">
        <f t="shared" ref="AX22:AX24" si="103">IF(AND(AT22="",AU22="",AV22="",AW22=""),"",AVERAGE(AT22:AW22))</f>
        <v/>
      </c>
      <c r="AY22" s="101"/>
      <c r="AZ22" s="101"/>
      <c r="BA22" s="316" t="str">
        <f t="shared" ref="BA22:BA24" si="104">IF(AND(AT22="",AU22="",AV22="",AW22=""),"",IF(AND(AY22="",AZ22=""),AX22,IF(OR(AZ22="",AY22="",AZ22&lt;=$CT$2),MAX(AX22:AZ22),$CT$2)))</f>
        <v/>
      </c>
      <c r="BB22" s="101"/>
      <c r="BC22" s="101"/>
      <c r="BD22" s="101"/>
      <c r="BE22" s="91"/>
      <c r="BF22" s="307" t="str">
        <f t="shared" ref="BF22:BF24" si="105">IF(AND(BB22="",BC22="",BD22="",BE22=""),"",AVERAGE(BB22:BE22))</f>
        <v/>
      </c>
      <c r="BG22" s="101"/>
      <c r="BH22" s="101"/>
      <c r="BI22" s="316" t="str">
        <f t="shared" ref="BI22:BI24" si="106">IF(AND(BB22="",BC22="",BD22="",BE22=""),"",IF(AND(BG22="",BH22=""),BF22,IF(OR(BH22="",BG22="",BH22&lt;=$CT$2),MAX(BF22:BH22),$CT$2)))</f>
        <v/>
      </c>
      <c r="BJ22" s="101"/>
      <c r="BK22" s="101"/>
      <c r="BL22" s="101"/>
      <c r="BM22" s="91"/>
      <c r="BN22" s="307" t="str">
        <f t="shared" ref="BN22:BN24" si="107">IF(AND(BJ22="",BK22="",BL22="",BM22=""),"",AVERAGE(BJ22:BM22))</f>
        <v/>
      </c>
      <c r="BO22" s="101"/>
      <c r="BP22" s="101"/>
      <c r="BQ22" s="316" t="str">
        <f t="shared" ref="BQ22:BQ24" si="108">IF(AND(BJ22="",BK22="",BL22="",BM22=""),"",IF(AND(BO22="",BP22=""),BN22,IF(OR(BP22="",BO22="",BP22&lt;=$CT$2),MAX(BN22:BP22),$CT$2)))</f>
        <v/>
      </c>
      <c r="BR22" s="101"/>
      <c r="BS22" s="101"/>
      <c r="BT22" s="101"/>
      <c r="BU22" s="91"/>
      <c r="BV22" s="307" t="str">
        <f t="shared" ref="BV22:BV24" si="109">IF(AND(BR22="",BS22="",BT22="",BU22=""),"",AVERAGE(BR22:BU22))</f>
        <v/>
      </c>
      <c r="BW22" s="101"/>
      <c r="BX22" s="101"/>
      <c r="BY22" s="316" t="str">
        <f t="shared" ref="BY22:BY24" si="110">IF(AND(BR22="",BS22="",BT22="",BU22=""),"",IF(AND(BW22="",BX22=""),BV22,IF(OR(BX22="",BW22="",BX22&lt;=$CT$2),MAX(BV22:BX22),$CT$2)))</f>
        <v/>
      </c>
      <c r="BZ22" s="101"/>
      <c r="CA22" s="101"/>
      <c r="CB22" s="101"/>
      <c r="CC22" s="91"/>
      <c r="CD22" s="307" t="str">
        <f t="shared" ref="CD22:CD24" si="111">IF(AND(BZ22="",CA22="",CB22="",CC22=""),"",AVERAGE(BZ22:CC22))</f>
        <v/>
      </c>
      <c r="CE22" s="101"/>
      <c r="CF22" s="101"/>
      <c r="CG22" s="316" t="str">
        <f t="shared" ref="CG22:CG24" si="112">IF(AND(BZ22="",CA22="",CB22="",CC22=""),"",IF(AND(CE22="",CF22=""),CD22,IF(OR(CF22="",CE22="",CF22&lt;=$CT$2),MAX(CD22:CF22),$CT$2)))</f>
        <v/>
      </c>
      <c r="CH22" s="318">
        <f t="shared" si="0"/>
        <v>87.5</v>
      </c>
      <c r="CI22" s="105">
        <f t="shared" si="1"/>
        <v>95</v>
      </c>
      <c r="CJ22" s="105">
        <f t="shared" si="2"/>
        <v>80</v>
      </c>
      <c r="CK22" s="407">
        <v>79</v>
      </c>
      <c r="CL22" s="101">
        <v>78</v>
      </c>
      <c r="CM22" s="319">
        <f t="shared" si="23"/>
        <v>262.5</v>
      </c>
      <c r="CN22" s="319">
        <f t="shared" si="24"/>
        <v>118.5</v>
      </c>
      <c r="CO22" s="319">
        <f t="shared" si="25"/>
        <v>39</v>
      </c>
      <c r="CP22" s="227">
        <f t="shared" si="26"/>
        <v>84</v>
      </c>
      <c r="CQ22" s="320">
        <f t="shared" si="27"/>
        <v>84</v>
      </c>
      <c r="CR22" s="106" t="str">
        <f t="shared" si="28"/>
        <v>B</v>
      </c>
      <c r="CS22" s="106" t="str">
        <f t="shared" si="29"/>
        <v>baik</v>
      </c>
      <c r="CT22" s="106" t="str">
        <f t="shared" si="30"/>
        <v>TUNTAS</v>
      </c>
      <c r="CU22" s="106" t="str">
        <f t="shared" si="31"/>
        <v>TUNTAS</v>
      </c>
      <c r="CV22" s="116" t="str">
        <f t="shared" si="32"/>
        <v>Penguasaan materi sudah baik dalam 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W22" s="109" t="str">
        <f>IF(CI22="","",VLOOKUP(CI22,DATAPENG!$AJ$3:$AK$12,2,FALSE))</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CX22" s="109" t="str">
        <f>IF(CJ22="","",VLOOKUP(CJ22,DATAPENG!$AJ$3:$AK$12,2,FALSE))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row>
    <row r="23" spans="1:102" ht="16.5">
      <c r="A23" s="105">
        <f>'DATA SISWA'!A23</f>
        <v>19</v>
      </c>
      <c r="B23" s="105" t="str">
        <f>'DATA SISWA'!B23</f>
        <v>`015</v>
      </c>
      <c r="C23" s="105" t="str">
        <f>'DATA SISWA'!C23</f>
        <v>Romliadi</v>
      </c>
      <c r="D23" s="105" t="str">
        <f>'DATA SISWA'!D23</f>
        <v>L</v>
      </c>
      <c r="E23" s="105" t="str">
        <f>'DATA SISWA'!E23</f>
        <v>VII</v>
      </c>
      <c r="F23" s="406">
        <v>75</v>
      </c>
      <c r="G23" s="101"/>
      <c r="H23" s="406"/>
      <c r="I23" s="406"/>
      <c r="J23" s="307">
        <f t="shared" si="93"/>
        <v>75</v>
      </c>
      <c r="K23" s="101"/>
      <c r="L23" s="101"/>
      <c r="M23" s="316">
        <f t="shared" si="94"/>
        <v>75</v>
      </c>
      <c r="N23" s="406"/>
      <c r="O23" s="101"/>
      <c r="P23" s="406">
        <v>70</v>
      </c>
      <c r="Q23" s="406"/>
      <c r="R23" s="307">
        <f t="shared" si="95"/>
        <v>70</v>
      </c>
      <c r="S23" s="101"/>
      <c r="T23" s="101"/>
      <c r="U23" s="316">
        <f t="shared" si="96"/>
        <v>70</v>
      </c>
      <c r="V23" s="101">
        <v>76</v>
      </c>
      <c r="W23" s="101"/>
      <c r="X23" s="101"/>
      <c r="Y23" s="91"/>
      <c r="Z23" s="307">
        <f t="shared" si="97"/>
        <v>76</v>
      </c>
      <c r="AA23" s="101"/>
      <c r="AB23" s="101"/>
      <c r="AC23" s="316">
        <f t="shared" si="98"/>
        <v>76</v>
      </c>
      <c r="AD23" s="101">
        <v>76</v>
      </c>
      <c r="AE23" s="101"/>
      <c r="AF23" s="101"/>
      <c r="AG23" s="91"/>
      <c r="AH23" s="307">
        <f t="shared" si="99"/>
        <v>76</v>
      </c>
      <c r="AI23" s="101"/>
      <c r="AJ23" s="101"/>
      <c r="AK23" s="316">
        <f t="shared" si="100"/>
        <v>76</v>
      </c>
      <c r="AL23" s="101"/>
      <c r="AM23" s="101"/>
      <c r="AN23" s="101"/>
      <c r="AO23" s="91"/>
      <c r="AP23" s="307" t="str">
        <f t="shared" si="101"/>
        <v/>
      </c>
      <c r="AQ23" s="101"/>
      <c r="AR23" s="101"/>
      <c r="AS23" s="316" t="str">
        <f t="shared" si="102"/>
        <v/>
      </c>
      <c r="AT23" s="101"/>
      <c r="AU23" s="101"/>
      <c r="AV23" s="101"/>
      <c r="AW23" s="91"/>
      <c r="AX23" s="307" t="str">
        <f t="shared" si="103"/>
        <v/>
      </c>
      <c r="AY23" s="101"/>
      <c r="AZ23" s="101"/>
      <c r="BA23" s="316" t="str">
        <f t="shared" si="104"/>
        <v/>
      </c>
      <c r="BB23" s="101"/>
      <c r="BC23" s="101"/>
      <c r="BD23" s="101"/>
      <c r="BE23" s="91"/>
      <c r="BF23" s="307" t="str">
        <f t="shared" si="105"/>
        <v/>
      </c>
      <c r="BG23" s="101"/>
      <c r="BH23" s="101"/>
      <c r="BI23" s="316" t="str">
        <f t="shared" si="106"/>
        <v/>
      </c>
      <c r="BJ23" s="101"/>
      <c r="BK23" s="101"/>
      <c r="BL23" s="101"/>
      <c r="BM23" s="91"/>
      <c r="BN23" s="307" t="str">
        <f t="shared" si="107"/>
        <v/>
      </c>
      <c r="BO23" s="101"/>
      <c r="BP23" s="101"/>
      <c r="BQ23" s="316" t="str">
        <f t="shared" si="108"/>
        <v/>
      </c>
      <c r="BR23" s="101"/>
      <c r="BS23" s="101"/>
      <c r="BT23" s="101"/>
      <c r="BU23" s="91"/>
      <c r="BV23" s="307" t="str">
        <f t="shared" si="109"/>
        <v/>
      </c>
      <c r="BW23" s="101"/>
      <c r="BX23" s="101"/>
      <c r="BY23" s="316" t="str">
        <f t="shared" si="110"/>
        <v/>
      </c>
      <c r="BZ23" s="101"/>
      <c r="CA23" s="101"/>
      <c r="CB23" s="101"/>
      <c r="CC23" s="91"/>
      <c r="CD23" s="307" t="str">
        <f t="shared" si="111"/>
        <v/>
      </c>
      <c r="CE23" s="101"/>
      <c r="CF23" s="101"/>
      <c r="CG23" s="316" t="str">
        <f t="shared" si="112"/>
        <v/>
      </c>
      <c r="CH23" s="318">
        <f t="shared" si="0"/>
        <v>74.25</v>
      </c>
      <c r="CI23" s="105">
        <f t="shared" si="1"/>
        <v>76</v>
      </c>
      <c r="CJ23" s="105">
        <f t="shared" si="2"/>
        <v>70</v>
      </c>
      <c r="CK23" s="407">
        <v>70</v>
      </c>
      <c r="CL23" s="101">
        <v>75</v>
      </c>
      <c r="CM23" s="319">
        <f t="shared" si="23"/>
        <v>222.75</v>
      </c>
      <c r="CN23" s="319">
        <f t="shared" si="24"/>
        <v>105</v>
      </c>
      <c r="CO23" s="319">
        <f t="shared" si="25"/>
        <v>37.5</v>
      </c>
      <c r="CP23" s="227">
        <f t="shared" si="26"/>
        <v>73.05</v>
      </c>
      <c r="CQ23" s="320">
        <f t="shared" si="27"/>
        <v>74</v>
      </c>
      <c r="CR23" s="106" t="str">
        <f t="shared" si="28"/>
        <v>B</v>
      </c>
      <c r="CS23" s="106" t="str">
        <f t="shared" si="29"/>
        <v>baik</v>
      </c>
      <c r="CT23" s="106" t="str">
        <f t="shared" si="30"/>
        <v>TUNTAS</v>
      </c>
      <c r="CU23" s="106" t="str">
        <f t="shared" si="31"/>
        <v>TUNTAS</v>
      </c>
      <c r="CV23" s="116" t="str">
        <f t="shared" si="32"/>
        <v>Penguasaan materi sudah baik dalam 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W23" s="109" t="str">
        <f>IF(CI23="","",VLOOKUP(CI23,DATAPENG!$AL$3:$AM$12,2,FALSE))</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CX23" s="109" t="str">
        <f>IF(CJ23="","",VLOOKUP(CJ23,DATAPENG!$AL$3:$AM$12,2,FALSE))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row>
    <row r="24" spans="1:102" ht="16.5">
      <c r="A24" s="105">
        <f>'DATA SISWA'!A24</f>
        <v>20</v>
      </c>
      <c r="B24" s="105" t="str">
        <f>'DATA SISWA'!B24</f>
        <v>`019</v>
      </c>
      <c r="C24" s="105" t="str">
        <f>'DATA SISWA'!C24</f>
        <v>Tammimah</v>
      </c>
      <c r="D24" s="105" t="str">
        <f>'DATA SISWA'!D24</f>
        <v>P</v>
      </c>
      <c r="E24" s="105" t="str">
        <f>'DATA SISWA'!E24</f>
        <v>VII</v>
      </c>
      <c r="F24" s="406">
        <v>70</v>
      </c>
      <c r="G24" s="101"/>
      <c r="H24" s="406"/>
      <c r="I24" s="406"/>
      <c r="J24" s="307">
        <f t="shared" si="93"/>
        <v>70</v>
      </c>
      <c r="K24" s="101"/>
      <c r="L24" s="101"/>
      <c r="M24" s="316">
        <f t="shared" si="94"/>
        <v>70</v>
      </c>
      <c r="N24" s="406"/>
      <c r="O24" s="101"/>
      <c r="P24" s="406">
        <v>75</v>
      </c>
      <c r="Q24" s="406"/>
      <c r="R24" s="307">
        <f t="shared" si="95"/>
        <v>75</v>
      </c>
      <c r="S24" s="101"/>
      <c r="T24" s="101"/>
      <c r="U24" s="316">
        <f t="shared" si="96"/>
        <v>75</v>
      </c>
      <c r="V24" s="101">
        <v>70</v>
      </c>
      <c r="W24" s="101"/>
      <c r="X24" s="101"/>
      <c r="Y24" s="91"/>
      <c r="Z24" s="307">
        <f t="shared" si="97"/>
        <v>70</v>
      </c>
      <c r="AA24" s="101"/>
      <c r="AB24" s="101"/>
      <c r="AC24" s="316">
        <f t="shared" si="98"/>
        <v>70</v>
      </c>
      <c r="AD24" s="101">
        <v>75</v>
      </c>
      <c r="AE24" s="101"/>
      <c r="AF24" s="101"/>
      <c r="AG24" s="91"/>
      <c r="AH24" s="307">
        <f t="shared" si="99"/>
        <v>75</v>
      </c>
      <c r="AI24" s="101"/>
      <c r="AJ24" s="101"/>
      <c r="AK24" s="316">
        <f t="shared" si="100"/>
        <v>75</v>
      </c>
      <c r="AL24" s="101"/>
      <c r="AM24" s="101"/>
      <c r="AN24" s="101"/>
      <c r="AO24" s="91"/>
      <c r="AP24" s="307" t="str">
        <f t="shared" si="101"/>
        <v/>
      </c>
      <c r="AQ24" s="101"/>
      <c r="AR24" s="101"/>
      <c r="AS24" s="316" t="str">
        <f t="shared" si="102"/>
        <v/>
      </c>
      <c r="AT24" s="101"/>
      <c r="AU24" s="101"/>
      <c r="AV24" s="101"/>
      <c r="AW24" s="91"/>
      <c r="AX24" s="307" t="str">
        <f t="shared" si="103"/>
        <v/>
      </c>
      <c r="AY24" s="101"/>
      <c r="AZ24" s="101"/>
      <c r="BA24" s="316" t="str">
        <f t="shared" si="104"/>
        <v/>
      </c>
      <c r="BB24" s="101"/>
      <c r="BC24" s="101"/>
      <c r="BD24" s="101"/>
      <c r="BE24" s="91"/>
      <c r="BF24" s="307" t="str">
        <f t="shared" si="105"/>
        <v/>
      </c>
      <c r="BG24" s="101"/>
      <c r="BH24" s="101"/>
      <c r="BI24" s="316" t="str">
        <f t="shared" si="106"/>
        <v/>
      </c>
      <c r="BJ24" s="101"/>
      <c r="BK24" s="101"/>
      <c r="BL24" s="101"/>
      <c r="BM24" s="91"/>
      <c r="BN24" s="307" t="str">
        <f t="shared" si="107"/>
        <v/>
      </c>
      <c r="BO24" s="101"/>
      <c r="BP24" s="101"/>
      <c r="BQ24" s="316" t="str">
        <f t="shared" si="108"/>
        <v/>
      </c>
      <c r="BR24" s="101"/>
      <c r="BS24" s="101"/>
      <c r="BT24" s="101"/>
      <c r="BU24" s="91"/>
      <c r="BV24" s="307" t="str">
        <f t="shared" si="109"/>
        <v/>
      </c>
      <c r="BW24" s="101"/>
      <c r="BX24" s="101"/>
      <c r="BY24" s="316" t="str">
        <f t="shared" si="110"/>
        <v/>
      </c>
      <c r="BZ24" s="101"/>
      <c r="CA24" s="101"/>
      <c r="CB24" s="101"/>
      <c r="CC24" s="91"/>
      <c r="CD24" s="307" t="str">
        <f t="shared" si="111"/>
        <v/>
      </c>
      <c r="CE24" s="101"/>
      <c r="CF24" s="101"/>
      <c r="CG24" s="316" t="str">
        <f t="shared" si="112"/>
        <v/>
      </c>
      <c r="CH24" s="318">
        <f t="shared" si="0"/>
        <v>72.5</v>
      </c>
      <c r="CI24" s="105">
        <f t="shared" si="1"/>
        <v>75</v>
      </c>
      <c r="CJ24" s="105">
        <f t="shared" si="2"/>
        <v>70</v>
      </c>
      <c r="CK24" s="407">
        <v>72</v>
      </c>
      <c r="CL24" s="101">
        <v>75</v>
      </c>
      <c r="CM24" s="319">
        <f t="shared" si="23"/>
        <v>217.5</v>
      </c>
      <c r="CN24" s="319">
        <f t="shared" si="24"/>
        <v>108</v>
      </c>
      <c r="CO24" s="319">
        <f t="shared" si="25"/>
        <v>37.5</v>
      </c>
      <c r="CP24" s="227">
        <f t="shared" si="26"/>
        <v>72.599999999999994</v>
      </c>
      <c r="CQ24" s="320">
        <f t="shared" si="27"/>
        <v>73</v>
      </c>
      <c r="CR24" s="106" t="str">
        <f t="shared" si="28"/>
        <v>B</v>
      </c>
      <c r="CS24" s="106" t="str">
        <f t="shared" si="29"/>
        <v>baik</v>
      </c>
      <c r="CT24" s="106" t="str">
        <f t="shared" si="30"/>
        <v>TUNTAS</v>
      </c>
      <c r="CU24" s="106" t="str">
        <f t="shared" si="31"/>
        <v>TUNTAS</v>
      </c>
      <c r="CV24" s="116" t="str">
        <f t="shared" si="32"/>
        <v>Penguasaan materi sudah baik dalam 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W24" s="109" t="str">
        <f>IF(CI24="","",VLOOKUP(CI24,DATAPENG!$AN$3:$AO$12,2,FALSE))</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CX24" s="109" t="str">
        <f>IF(CJ24="","",VLOOKUP(CJ24,DATAPENG!$AN$3:$AO$12,2,FALSE))</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row>
    <row r="25" spans="1:102" ht="16.5">
      <c r="A25" s="105">
        <f>'DATA SISWA'!A25</f>
        <v>0</v>
      </c>
      <c r="B25" s="105">
        <f>'DATA SISWA'!B25</f>
        <v>0</v>
      </c>
      <c r="C25" s="105">
        <f>'DATA SISWA'!C25</f>
        <v>0</v>
      </c>
      <c r="D25" s="105">
        <f>'DATA SISWA'!D25</f>
        <v>0</v>
      </c>
      <c r="E25" s="105" t="str">
        <f>'DATA SISWA'!E25</f>
        <v>VII</v>
      </c>
      <c r="F25" s="406"/>
      <c r="G25" s="101"/>
      <c r="H25" s="406"/>
      <c r="I25" s="406"/>
      <c r="J25" s="307" t="str">
        <f>IF(AND(F25="",G25="",H25="",I25=""),"",AVERAGE(F25:I25))</f>
        <v/>
      </c>
      <c r="K25" s="101"/>
      <c r="L25" s="101"/>
      <c r="M25" s="316" t="str">
        <f>IF(AND(F25="",G25="",H25="",I25=""),"",IF(AND(K25="",L25=""),J25,IF(OR(L25="",K25="",L25&lt;=$CT$2),MAX(J25:L25),$CT$2)))</f>
        <v/>
      </c>
      <c r="N25" s="406"/>
      <c r="O25" s="101"/>
      <c r="P25" s="406"/>
      <c r="Q25" s="406"/>
      <c r="R25" s="307" t="str">
        <f>IF(AND(N25="",O25="",P25="",Q25=""),"",AVERAGE(N25:Q25))</f>
        <v/>
      </c>
      <c r="S25" s="101"/>
      <c r="T25" s="101"/>
      <c r="U25" s="316" t="str">
        <f>IF(AND(N25="",O25="",P25="",Q25=""),"",IF(AND(S25="",T25=""),R25,IF(OR(T25="",S25="",T25&lt;=$CT$2),MAX(R25:T25),$CT$2)))</f>
        <v/>
      </c>
      <c r="V25" s="101"/>
      <c r="W25" s="101"/>
      <c r="X25" s="101"/>
      <c r="Y25" s="91"/>
      <c r="Z25" s="307" t="str">
        <f>IF(AND(V25="",W25="",X25="",Y25=""),"",AVERAGE(V25:Y25))</f>
        <v/>
      </c>
      <c r="AA25" s="101"/>
      <c r="AB25" s="101"/>
      <c r="AC25" s="316" t="str">
        <f>IF(AND(V25="",W25="",X25="",Y25=""),"",IF(AND(AA25="",AB25=""),Z25,IF(OR(AB25="",AA25="",AB25&lt;=$CT$2),MAX(Z25:AB25),$CT$2)))</f>
        <v/>
      </c>
      <c r="AD25" s="101"/>
      <c r="AE25" s="101"/>
      <c r="AF25" s="101"/>
      <c r="AG25" s="91"/>
      <c r="AH25" s="307" t="str">
        <f>IF(AND(AD25="",AE25="",AF25="",AG25=""),"",AVERAGE(AD25:AG25))</f>
        <v/>
      </c>
      <c r="AI25" s="101"/>
      <c r="AJ25" s="101"/>
      <c r="AK25" s="316" t="str">
        <f>IF(AND(AD25="",AE25="",AF25="",AG25=""),"",IF(AND(AI25="",AJ25=""),AH25,IF(OR(AJ25="",AI25="",AJ25&lt;=$CT$2),MAX(AH25:AJ25),$CT$2)))</f>
        <v/>
      </c>
      <c r="AL25" s="101"/>
      <c r="AM25" s="101"/>
      <c r="AN25" s="101"/>
      <c r="AO25" s="91"/>
      <c r="AP25" s="307" t="str">
        <f>IF(AND(AL25="",AM25="",AN25="",AO25=""),"",AVERAGE(AL25:AO25))</f>
        <v/>
      </c>
      <c r="AQ25" s="101"/>
      <c r="AR25" s="101"/>
      <c r="AS25" s="316" t="str">
        <f>IF(AND(AL25="",AM25="",AN25="",AO25=""),"",IF(AND(AQ25="",AR25=""),AP25,IF(OR(AR25="",AQ25="",AR25&lt;=$CT$2),MAX(AP25:AR25),$CT$2)))</f>
        <v/>
      </c>
      <c r="AT25" s="101"/>
      <c r="AU25" s="101"/>
      <c r="AV25" s="101"/>
      <c r="AW25" s="91"/>
      <c r="AX25" s="307" t="str">
        <f>IF(AND(AT25="",AU25="",AV25="",AW25=""),"",AVERAGE(AT25:AW25))</f>
        <v/>
      </c>
      <c r="AY25" s="101"/>
      <c r="AZ25" s="101"/>
      <c r="BA25" s="316" t="str">
        <f>IF(AND(AT25="",AU25="",AV25="",AW25=""),"",IF(AND(AY25="",AZ25=""),AX25,IF(OR(AZ25="",AY25="",AZ25&lt;=$CT$2),MAX(AX25:AZ25),$CT$2)))</f>
        <v/>
      </c>
      <c r="BB25" s="101"/>
      <c r="BC25" s="101"/>
      <c r="BD25" s="101"/>
      <c r="BE25" s="91"/>
      <c r="BF25" s="307" t="str">
        <f>IF(AND(BB25="",BC25="",BD25="",BE25=""),"",AVERAGE(BB25:BE25))</f>
        <v/>
      </c>
      <c r="BG25" s="101"/>
      <c r="BH25" s="101"/>
      <c r="BI25" s="316" t="str">
        <f>IF(AND(BB25="",BC25="",BD25="",BE25=""),"",IF(AND(BG25="",BH25=""),BF25,IF(OR(BH25="",BG25="",BH25&lt;=$CT$2),MAX(BF25:BH25),$CT$2)))</f>
        <v/>
      </c>
      <c r="BJ25" s="101"/>
      <c r="BK25" s="101"/>
      <c r="BL25" s="101"/>
      <c r="BM25" s="91"/>
      <c r="BN25" s="307" t="str">
        <f>IF(AND(BJ25="",BK25="",BL25="",BM25=""),"",AVERAGE(BJ25:BM25))</f>
        <v/>
      </c>
      <c r="BO25" s="101"/>
      <c r="BP25" s="101"/>
      <c r="BQ25" s="316" t="str">
        <f>IF(AND(BJ25="",BK25="",BL25="",BM25=""),"",IF(AND(BO25="",BP25=""),BN25,IF(OR(BP25="",BO25="",BP25&lt;=$CT$2),MAX(BN25:BP25),$CT$2)))</f>
        <v/>
      </c>
      <c r="BR25" s="101"/>
      <c r="BS25" s="101"/>
      <c r="BT25" s="101"/>
      <c r="BU25" s="91"/>
      <c r="BV25" s="307" t="str">
        <f>IF(AND(BR25="",BS25="",BT25="",BU25=""),"",AVERAGE(BR25:BU25))</f>
        <v/>
      </c>
      <c r="BW25" s="101"/>
      <c r="BX25" s="101"/>
      <c r="BY25" s="316" t="str">
        <f>IF(AND(BR25="",BS25="",BT25="",BU25=""),"",IF(AND(BW25="",BX25=""),BV25,IF(OR(BX25="",BW25="",BX25&lt;=$CT$2),MAX(BV25:BX25),$CT$2)))</f>
        <v/>
      </c>
      <c r="BZ25" s="101"/>
      <c r="CA25" s="101"/>
      <c r="CB25" s="101"/>
      <c r="CC25" s="91"/>
      <c r="CD25" s="307" t="str">
        <f>IF(AND(BZ25="",CA25="",CB25="",CC25=""),"",AVERAGE(BZ25:CC25))</f>
        <v/>
      </c>
      <c r="CE25" s="101"/>
      <c r="CF25" s="101"/>
      <c r="CG25" s="316" t="str">
        <f>IF(AND(BZ25="",CA25="",CB25="",CC25=""),"",IF(AND(CE25="",CF25=""),CD25,IF(OR(CF25="",CE25="",CF25&lt;=$CT$2),MAX(CD25:CF25),$CT$2)))</f>
        <v/>
      </c>
      <c r="CH25" s="318" t="str">
        <f t="shared" si="0"/>
        <v/>
      </c>
      <c r="CI25" s="105">
        <f t="shared" si="1"/>
        <v>0</v>
      </c>
      <c r="CJ25" s="105">
        <f t="shared" si="2"/>
        <v>0</v>
      </c>
      <c r="CK25" s="407"/>
      <c r="CL25" s="101"/>
      <c r="CM25" s="319" t="str">
        <f t="shared" si="23"/>
        <v/>
      </c>
      <c r="CN25" s="319" t="str">
        <f t="shared" si="24"/>
        <v/>
      </c>
      <c r="CO25" s="319" t="str">
        <f t="shared" si="25"/>
        <v/>
      </c>
      <c r="CP25" s="227" t="str">
        <f t="shared" si="26"/>
        <v/>
      </c>
      <c r="CQ25" s="320" t="str">
        <f t="shared" si="27"/>
        <v/>
      </c>
      <c r="CR25" s="106" t="str">
        <f t="shared" si="28"/>
        <v/>
      </c>
      <c r="CS25" s="106" t="str">
        <f t="shared" si="29"/>
        <v/>
      </c>
      <c r="CT25" s="106" t="str">
        <f t="shared" si="30"/>
        <v>TIDAK</v>
      </c>
      <c r="CU25" s="106" t="str">
        <f t="shared" si="31"/>
        <v>TIDAK</v>
      </c>
      <c r="CV25" s="116" t="str">
        <f t="shared" si="32"/>
        <v/>
      </c>
      <c r="CW25" s="109" t="e">
        <f>IF(CI25="","",VLOOKUP(CI25,DATAPENG!$AP$3:$AQ$12,2,FALSE))</f>
        <v>#N/A</v>
      </c>
      <c r="CX25" s="109" t="e">
        <f>IF(CJ25="","",VLOOKUP(CJ25,DATAPENG!$AP$3:$AQ$12,2,FALSE))</f>
        <v>#N/A</v>
      </c>
    </row>
    <row r="26" spans="1:102" ht="16.5">
      <c r="A26" s="105">
        <f>'DATA SISWA'!A26</f>
        <v>0</v>
      </c>
      <c r="B26" s="105">
        <f>'DATA SISWA'!B26</f>
        <v>0</v>
      </c>
      <c r="C26" s="105">
        <f>'DATA SISWA'!C26</f>
        <v>0</v>
      </c>
      <c r="D26" s="105">
        <f>'DATA SISWA'!D26</f>
        <v>0</v>
      </c>
      <c r="E26" s="105" t="str">
        <f>'DATA SISWA'!E26</f>
        <v>VII</v>
      </c>
      <c r="F26" s="406"/>
      <c r="G26" s="101"/>
      <c r="H26" s="406"/>
      <c r="I26" s="406"/>
      <c r="J26" s="307" t="str">
        <f t="shared" ref="J26:J28" si="113">IF(AND(F26="",G26="",H26="",I26=""),"",AVERAGE(F26:I26))</f>
        <v/>
      </c>
      <c r="K26" s="101"/>
      <c r="L26" s="101"/>
      <c r="M26" s="316" t="str">
        <f t="shared" ref="M26:M28" si="114">IF(AND(F26="",G26="",H26="",I26=""),"",IF(AND(K26="",L26=""),J26,IF(OR(L26="",K26="",L26&lt;=$CT$2),MAX(J26:L26),$CT$2)))</f>
        <v/>
      </c>
      <c r="N26" s="406"/>
      <c r="O26" s="101"/>
      <c r="P26" s="406"/>
      <c r="Q26" s="406"/>
      <c r="R26" s="307" t="str">
        <f t="shared" ref="R26:R28" si="115">IF(AND(N26="",O26="",P26="",Q26=""),"",AVERAGE(N26:Q26))</f>
        <v/>
      </c>
      <c r="S26" s="101"/>
      <c r="T26" s="101"/>
      <c r="U26" s="316" t="str">
        <f t="shared" ref="U26:U28" si="116">IF(AND(N26="",O26="",P26="",Q26=""),"",IF(AND(S26="",T26=""),R26,IF(OR(T26="",S26="",T26&lt;=$CT$2),MAX(R26:T26),$CT$2)))</f>
        <v/>
      </c>
      <c r="V26" s="101"/>
      <c r="W26" s="101"/>
      <c r="X26" s="101"/>
      <c r="Y26" s="91"/>
      <c r="Z26" s="307" t="str">
        <f t="shared" ref="Z26:Z28" si="117">IF(AND(V26="",W26="",X26="",Y26=""),"",AVERAGE(V26:Y26))</f>
        <v/>
      </c>
      <c r="AA26" s="101"/>
      <c r="AB26" s="101"/>
      <c r="AC26" s="316" t="str">
        <f t="shared" ref="AC26:AC28" si="118">IF(AND(V26="",W26="",X26="",Y26=""),"",IF(AND(AA26="",AB26=""),Z26,IF(OR(AB26="",AA26="",AB26&lt;=$CT$2),MAX(Z26:AB26),$CT$2)))</f>
        <v/>
      </c>
      <c r="AD26" s="101"/>
      <c r="AE26" s="101"/>
      <c r="AF26" s="101"/>
      <c r="AG26" s="91"/>
      <c r="AH26" s="307" t="str">
        <f t="shared" ref="AH26:AH28" si="119">IF(AND(AD26="",AE26="",AF26="",AG26=""),"",AVERAGE(AD26:AG26))</f>
        <v/>
      </c>
      <c r="AI26" s="101"/>
      <c r="AJ26" s="101"/>
      <c r="AK26" s="316" t="str">
        <f t="shared" ref="AK26:AK28" si="120">IF(AND(AD26="",AE26="",AF26="",AG26=""),"",IF(AND(AI26="",AJ26=""),AH26,IF(OR(AJ26="",AI26="",AJ26&lt;=$CT$2),MAX(AH26:AJ26),$CT$2)))</f>
        <v/>
      </c>
      <c r="AL26" s="101"/>
      <c r="AM26" s="101"/>
      <c r="AN26" s="101"/>
      <c r="AO26" s="91"/>
      <c r="AP26" s="307" t="str">
        <f t="shared" ref="AP26:AP28" si="121">IF(AND(AL26="",AM26="",AN26="",AO26=""),"",AVERAGE(AL26:AO26))</f>
        <v/>
      </c>
      <c r="AQ26" s="101"/>
      <c r="AR26" s="101"/>
      <c r="AS26" s="316" t="str">
        <f t="shared" ref="AS26:AS28" si="122">IF(AND(AL26="",AM26="",AN26="",AO26=""),"",IF(AND(AQ26="",AR26=""),AP26,IF(OR(AR26="",AQ26="",AR26&lt;=$CT$2),MAX(AP26:AR26),$CT$2)))</f>
        <v/>
      </c>
      <c r="AT26" s="101"/>
      <c r="AU26" s="101"/>
      <c r="AV26" s="101"/>
      <c r="AW26" s="91"/>
      <c r="AX26" s="307" t="str">
        <f t="shared" ref="AX26:AX28" si="123">IF(AND(AT26="",AU26="",AV26="",AW26=""),"",AVERAGE(AT26:AW26))</f>
        <v/>
      </c>
      <c r="AY26" s="101"/>
      <c r="AZ26" s="101"/>
      <c r="BA26" s="316" t="str">
        <f t="shared" ref="BA26:BA28" si="124">IF(AND(AT26="",AU26="",AV26="",AW26=""),"",IF(AND(AY26="",AZ26=""),AX26,IF(OR(AZ26="",AY26="",AZ26&lt;=$CT$2),MAX(AX26:AZ26),$CT$2)))</f>
        <v/>
      </c>
      <c r="BB26" s="101"/>
      <c r="BC26" s="101"/>
      <c r="BD26" s="101"/>
      <c r="BE26" s="91"/>
      <c r="BF26" s="307" t="str">
        <f t="shared" ref="BF26:BF28" si="125">IF(AND(BB26="",BC26="",BD26="",BE26=""),"",AVERAGE(BB26:BE26))</f>
        <v/>
      </c>
      <c r="BG26" s="101"/>
      <c r="BH26" s="101"/>
      <c r="BI26" s="316" t="str">
        <f t="shared" ref="BI26:BI28" si="126">IF(AND(BB26="",BC26="",BD26="",BE26=""),"",IF(AND(BG26="",BH26=""),BF26,IF(OR(BH26="",BG26="",BH26&lt;=$CT$2),MAX(BF26:BH26),$CT$2)))</f>
        <v/>
      </c>
      <c r="BJ26" s="101"/>
      <c r="BK26" s="101"/>
      <c r="BL26" s="101"/>
      <c r="BM26" s="91"/>
      <c r="BN26" s="307" t="str">
        <f t="shared" ref="BN26:BN28" si="127">IF(AND(BJ26="",BK26="",BL26="",BM26=""),"",AVERAGE(BJ26:BM26))</f>
        <v/>
      </c>
      <c r="BO26" s="101"/>
      <c r="BP26" s="101"/>
      <c r="BQ26" s="316" t="str">
        <f t="shared" ref="BQ26:BQ28" si="128">IF(AND(BJ26="",BK26="",BL26="",BM26=""),"",IF(AND(BO26="",BP26=""),BN26,IF(OR(BP26="",BO26="",BP26&lt;=$CT$2),MAX(BN26:BP26),$CT$2)))</f>
        <v/>
      </c>
      <c r="BR26" s="101"/>
      <c r="BS26" s="101"/>
      <c r="BT26" s="101"/>
      <c r="BU26" s="91"/>
      <c r="BV26" s="307" t="str">
        <f t="shared" ref="BV26:BV28" si="129">IF(AND(BR26="",BS26="",BT26="",BU26=""),"",AVERAGE(BR26:BU26))</f>
        <v/>
      </c>
      <c r="BW26" s="101"/>
      <c r="BX26" s="101"/>
      <c r="BY26" s="316" t="str">
        <f t="shared" ref="BY26:BY28" si="130">IF(AND(BR26="",BS26="",BT26="",BU26=""),"",IF(AND(BW26="",BX26=""),BV26,IF(OR(BX26="",BW26="",BX26&lt;=$CT$2),MAX(BV26:BX26),$CT$2)))</f>
        <v/>
      </c>
      <c r="BZ26" s="101"/>
      <c r="CA26" s="101"/>
      <c r="CB26" s="101"/>
      <c r="CC26" s="91"/>
      <c r="CD26" s="307" t="str">
        <f t="shared" ref="CD26:CD28" si="131">IF(AND(BZ26="",CA26="",CB26="",CC26=""),"",AVERAGE(BZ26:CC26))</f>
        <v/>
      </c>
      <c r="CE26" s="101"/>
      <c r="CF26" s="101"/>
      <c r="CG26" s="316" t="str">
        <f t="shared" ref="CG26:CG28" si="132">IF(AND(BZ26="",CA26="",CB26="",CC26=""),"",IF(AND(CE26="",CF26=""),CD26,IF(OR(CF26="",CE26="",CF26&lt;=$CT$2),MAX(CD26:CF26),$CT$2)))</f>
        <v/>
      </c>
      <c r="CH26" s="318" t="str">
        <f t="shared" si="0"/>
        <v/>
      </c>
      <c r="CI26" s="105">
        <f t="shared" si="1"/>
        <v>0</v>
      </c>
      <c r="CJ26" s="105">
        <f t="shared" si="2"/>
        <v>0</v>
      </c>
      <c r="CK26" s="407"/>
      <c r="CL26" s="101"/>
      <c r="CM26" s="319" t="str">
        <f t="shared" si="23"/>
        <v/>
      </c>
      <c r="CN26" s="319" t="str">
        <f t="shared" si="24"/>
        <v/>
      </c>
      <c r="CO26" s="319" t="str">
        <f t="shared" si="25"/>
        <v/>
      </c>
      <c r="CP26" s="227" t="str">
        <f t="shared" si="26"/>
        <v/>
      </c>
      <c r="CQ26" s="320" t="str">
        <f t="shared" si="27"/>
        <v/>
      </c>
      <c r="CR26" s="106" t="str">
        <f t="shared" si="28"/>
        <v/>
      </c>
      <c r="CS26" s="106" t="str">
        <f t="shared" si="29"/>
        <v/>
      </c>
      <c r="CT26" s="106" t="str">
        <f t="shared" si="30"/>
        <v>TIDAK</v>
      </c>
      <c r="CU26" s="106" t="str">
        <f t="shared" si="31"/>
        <v>TIDAK</v>
      </c>
      <c r="CV26" s="116" t="str">
        <f t="shared" si="32"/>
        <v/>
      </c>
      <c r="CW26" s="109" t="e">
        <f>IF(CI26="","",VLOOKUP(CI26,DATAPENG!$AR$3:$AS$12,2,FALSE))</f>
        <v>#N/A</v>
      </c>
      <c r="CX26" s="109" t="e">
        <f>IF(CJ26="","",VLOOKUP(CJ26,DATAPENG!$AR$3:$AS$12,2,FALSE))</f>
        <v>#N/A</v>
      </c>
    </row>
    <row r="27" spans="1:102" ht="16.5">
      <c r="A27" s="105">
        <f>'DATA SISWA'!A27</f>
        <v>0</v>
      </c>
      <c r="B27" s="105">
        <f>'DATA SISWA'!B27</f>
        <v>0</v>
      </c>
      <c r="C27" s="105">
        <f>'DATA SISWA'!C27</f>
        <v>0</v>
      </c>
      <c r="D27" s="105">
        <f>'DATA SISWA'!D27</f>
        <v>0</v>
      </c>
      <c r="E27" s="105" t="str">
        <f>'DATA SISWA'!E27</f>
        <v>VII</v>
      </c>
      <c r="F27" s="406"/>
      <c r="G27" s="101"/>
      <c r="H27" s="406"/>
      <c r="I27" s="406"/>
      <c r="J27" s="307" t="str">
        <f t="shared" si="113"/>
        <v/>
      </c>
      <c r="K27" s="101"/>
      <c r="L27" s="101"/>
      <c r="M27" s="316" t="str">
        <f t="shared" si="114"/>
        <v/>
      </c>
      <c r="N27" s="406"/>
      <c r="O27" s="101"/>
      <c r="P27" s="406"/>
      <c r="Q27" s="406"/>
      <c r="R27" s="307" t="str">
        <f t="shared" si="115"/>
        <v/>
      </c>
      <c r="S27" s="101"/>
      <c r="T27" s="101"/>
      <c r="U27" s="316" t="str">
        <f t="shared" si="116"/>
        <v/>
      </c>
      <c r="V27" s="101"/>
      <c r="W27" s="101"/>
      <c r="X27" s="101"/>
      <c r="Y27" s="91"/>
      <c r="Z27" s="307" t="str">
        <f t="shared" si="117"/>
        <v/>
      </c>
      <c r="AA27" s="101"/>
      <c r="AB27" s="101"/>
      <c r="AC27" s="316" t="str">
        <f t="shared" si="118"/>
        <v/>
      </c>
      <c r="AD27" s="101"/>
      <c r="AE27" s="101"/>
      <c r="AF27" s="101"/>
      <c r="AG27" s="91"/>
      <c r="AH27" s="307" t="str">
        <f t="shared" si="119"/>
        <v/>
      </c>
      <c r="AI27" s="101"/>
      <c r="AJ27" s="101"/>
      <c r="AK27" s="316" t="str">
        <f t="shared" si="120"/>
        <v/>
      </c>
      <c r="AL27" s="101"/>
      <c r="AM27" s="101"/>
      <c r="AN27" s="101"/>
      <c r="AO27" s="91"/>
      <c r="AP27" s="307" t="str">
        <f t="shared" si="121"/>
        <v/>
      </c>
      <c r="AQ27" s="101"/>
      <c r="AR27" s="101"/>
      <c r="AS27" s="316" t="str">
        <f t="shared" si="122"/>
        <v/>
      </c>
      <c r="AT27" s="101"/>
      <c r="AU27" s="101"/>
      <c r="AV27" s="101"/>
      <c r="AW27" s="91"/>
      <c r="AX27" s="307" t="str">
        <f t="shared" si="123"/>
        <v/>
      </c>
      <c r="AY27" s="101"/>
      <c r="AZ27" s="101"/>
      <c r="BA27" s="316" t="str">
        <f t="shared" si="124"/>
        <v/>
      </c>
      <c r="BB27" s="101"/>
      <c r="BC27" s="101"/>
      <c r="BD27" s="101"/>
      <c r="BE27" s="91"/>
      <c r="BF27" s="307" t="str">
        <f t="shared" si="125"/>
        <v/>
      </c>
      <c r="BG27" s="101"/>
      <c r="BH27" s="101"/>
      <c r="BI27" s="316" t="str">
        <f t="shared" si="126"/>
        <v/>
      </c>
      <c r="BJ27" s="101"/>
      <c r="BK27" s="101"/>
      <c r="BL27" s="101"/>
      <c r="BM27" s="91"/>
      <c r="BN27" s="307" t="str">
        <f t="shared" si="127"/>
        <v/>
      </c>
      <c r="BO27" s="101"/>
      <c r="BP27" s="101"/>
      <c r="BQ27" s="316" t="str">
        <f t="shared" si="128"/>
        <v/>
      </c>
      <c r="BR27" s="101"/>
      <c r="BS27" s="101"/>
      <c r="BT27" s="101"/>
      <c r="BU27" s="91"/>
      <c r="BV27" s="307" t="str">
        <f t="shared" si="129"/>
        <v/>
      </c>
      <c r="BW27" s="101"/>
      <c r="BX27" s="101"/>
      <c r="BY27" s="316" t="str">
        <f t="shared" si="130"/>
        <v/>
      </c>
      <c r="BZ27" s="101"/>
      <c r="CA27" s="101"/>
      <c r="CB27" s="101"/>
      <c r="CC27" s="91"/>
      <c r="CD27" s="307" t="str">
        <f t="shared" si="131"/>
        <v/>
      </c>
      <c r="CE27" s="101"/>
      <c r="CF27" s="101"/>
      <c r="CG27" s="316" t="str">
        <f t="shared" si="132"/>
        <v/>
      </c>
      <c r="CH27" s="318" t="str">
        <f t="shared" si="0"/>
        <v/>
      </c>
      <c r="CI27" s="105">
        <f t="shared" si="1"/>
        <v>0</v>
      </c>
      <c r="CJ27" s="105">
        <f t="shared" si="2"/>
        <v>0</v>
      </c>
      <c r="CK27" s="407"/>
      <c r="CL27" s="101"/>
      <c r="CM27" s="319" t="str">
        <f t="shared" si="23"/>
        <v/>
      </c>
      <c r="CN27" s="319" t="str">
        <f t="shared" si="24"/>
        <v/>
      </c>
      <c r="CO27" s="319" t="str">
        <f t="shared" si="25"/>
        <v/>
      </c>
      <c r="CP27" s="227" t="str">
        <f t="shared" si="26"/>
        <v/>
      </c>
      <c r="CQ27" s="320" t="str">
        <f t="shared" si="27"/>
        <v/>
      </c>
      <c r="CR27" s="106" t="str">
        <f t="shared" si="28"/>
        <v/>
      </c>
      <c r="CS27" s="106" t="str">
        <f t="shared" si="29"/>
        <v/>
      </c>
      <c r="CT27" s="106" t="str">
        <f t="shared" si="30"/>
        <v>TIDAK</v>
      </c>
      <c r="CU27" s="106" t="str">
        <f t="shared" si="31"/>
        <v>TIDAK</v>
      </c>
      <c r="CV27" s="116" t="str">
        <f t="shared" si="32"/>
        <v/>
      </c>
      <c r="CW27" s="109" t="e">
        <f>IF(CI27="","",VLOOKUP(CI27,DATAPENG!$AT$3:$AU$12,2,FALSE))</f>
        <v>#N/A</v>
      </c>
      <c r="CX27" s="109" t="e">
        <f>IF(CJ27="","",VLOOKUP(CJ27,DATAPENG!$AT$3:$AU$12,2,FALSE))</f>
        <v>#N/A</v>
      </c>
    </row>
    <row r="28" spans="1:102" ht="16.5">
      <c r="A28" s="105">
        <f>'DATA SISWA'!A28</f>
        <v>0</v>
      </c>
      <c r="B28" s="105">
        <f>'DATA SISWA'!B28</f>
        <v>0</v>
      </c>
      <c r="C28" s="105">
        <f>'DATA SISWA'!C28</f>
        <v>0</v>
      </c>
      <c r="D28" s="105">
        <f>'DATA SISWA'!D28</f>
        <v>0</v>
      </c>
      <c r="E28" s="105" t="str">
        <f>'DATA SISWA'!E28</f>
        <v>VII</v>
      </c>
      <c r="F28" s="406"/>
      <c r="G28" s="101"/>
      <c r="H28" s="406"/>
      <c r="I28" s="406"/>
      <c r="J28" s="307" t="str">
        <f t="shared" si="113"/>
        <v/>
      </c>
      <c r="K28" s="101"/>
      <c r="L28" s="101"/>
      <c r="M28" s="316" t="str">
        <f t="shared" si="114"/>
        <v/>
      </c>
      <c r="N28" s="406"/>
      <c r="O28" s="101"/>
      <c r="P28" s="406"/>
      <c r="Q28" s="406"/>
      <c r="R28" s="307" t="str">
        <f t="shared" si="115"/>
        <v/>
      </c>
      <c r="S28" s="101"/>
      <c r="T28" s="101"/>
      <c r="U28" s="316" t="str">
        <f t="shared" si="116"/>
        <v/>
      </c>
      <c r="V28" s="101"/>
      <c r="W28" s="101"/>
      <c r="X28" s="101"/>
      <c r="Y28" s="91"/>
      <c r="Z28" s="307" t="str">
        <f t="shared" si="117"/>
        <v/>
      </c>
      <c r="AA28" s="101"/>
      <c r="AB28" s="101"/>
      <c r="AC28" s="316" t="str">
        <f t="shared" si="118"/>
        <v/>
      </c>
      <c r="AD28" s="101"/>
      <c r="AE28" s="101"/>
      <c r="AF28" s="101"/>
      <c r="AG28" s="91"/>
      <c r="AH28" s="307" t="str">
        <f t="shared" si="119"/>
        <v/>
      </c>
      <c r="AI28" s="101"/>
      <c r="AJ28" s="101"/>
      <c r="AK28" s="316" t="str">
        <f t="shared" si="120"/>
        <v/>
      </c>
      <c r="AL28" s="101"/>
      <c r="AM28" s="101"/>
      <c r="AN28" s="101"/>
      <c r="AO28" s="91"/>
      <c r="AP28" s="307" t="str">
        <f t="shared" si="121"/>
        <v/>
      </c>
      <c r="AQ28" s="101"/>
      <c r="AR28" s="101"/>
      <c r="AS28" s="316" t="str">
        <f t="shared" si="122"/>
        <v/>
      </c>
      <c r="AT28" s="101"/>
      <c r="AU28" s="101"/>
      <c r="AV28" s="101"/>
      <c r="AW28" s="91"/>
      <c r="AX28" s="307" t="str">
        <f t="shared" si="123"/>
        <v/>
      </c>
      <c r="AY28" s="101"/>
      <c r="AZ28" s="101"/>
      <c r="BA28" s="316" t="str">
        <f t="shared" si="124"/>
        <v/>
      </c>
      <c r="BB28" s="101"/>
      <c r="BC28" s="101"/>
      <c r="BD28" s="101"/>
      <c r="BE28" s="91"/>
      <c r="BF28" s="307" t="str">
        <f t="shared" si="125"/>
        <v/>
      </c>
      <c r="BG28" s="101"/>
      <c r="BH28" s="101"/>
      <c r="BI28" s="316" t="str">
        <f t="shared" si="126"/>
        <v/>
      </c>
      <c r="BJ28" s="101"/>
      <c r="BK28" s="101"/>
      <c r="BL28" s="101"/>
      <c r="BM28" s="91"/>
      <c r="BN28" s="307" t="str">
        <f t="shared" si="127"/>
        <v/>
      </c>
      <c r="BO28" s="101"/>
      <c r="BP28" s="101"/>
      <c r="BQ28" s="316" t="str">
        <f t="shared" si="128"/>
        <v/>
      </c>
      <c r="BR28" s="101"/>
      <c r="BS28" s="101"/>
      <c r="BT28" s="101"/>
      <c r="BU28" s="91"/>
      <c r="BV28" s="307" t="str">
        <f t="shared" si="129"/>
        <v/>
      </c>
      <c r="BW28" s="101"/>
      <c r="BX28" s="101"/>
      <c r="BY28" s="316" t="str">
        <f t="shared" si="130"/>
        <v/>
      </c>
      <c r="BZ28" s="101"/>
      <c r="CA28" s="101"/>
      <c r="CB28" s="101"/>
      <c r="CC28" s="91"/>
      <c r="CD28" s="307" t="str">
        <f t="shared" si="131"/>
        <v/>
      </c>
      <c r="CE28" s="101"/>
      <c r="CF28" s="101"/>
      <c r="CG28" s="316" t="str">
        <f t="shared" si="132"/>
        <v/>
      </c>
      <c r="CH28" s="318" t="str">
        <f t="shared" si="0"/>
        <v/>
      </c>
      <c r="CI28" s="105">
        <f t="shared" si="1"/>
        <v>0</v>
      </c>
      <c r="CJ28" s="105">
        <f t="shared" si="2"/>
        <v>0</v>
      </c>
      <c r="CK28" s="407"/>
      <c r="CL28" s="101"/>
      <c r="CM28" s="319" t="str">
        <f t="shared" si="23"/>
        <v/>
      </c>
      <c r="CN28" s="319" t="str">
        <f t="shared" si="24"/>
        <v/>
      </c>
      <c r="CO28" s="319" t="str">
        <f t="shared" si="25"/>
        <v/>
      </c>
      <c r="CP28" s="227" t="str">
        <f t="shared" si="26"/>
        <v/>
      </c>
      <c r="CQ28" s="320" t="str">
        <f t="shared" si="27"/>
        <v/>
      </c>
      <c r="CR28" s="106" t="str">
        <f t="shared" si="28"/>
        <v/>
      </c>
      <c r="CS28" s="106" t="str">
        <f t="shared" si="29"/>
        <v/>
      </c>
      <c r="CT28" s="106" t="str">
        <f t="shared" si="30"/>
        <v>TIDAK</v>
      </c>
      <c r="CU28" s="106" t="str">
        <f t="shared" si="31"/>
        <v>TIDAK</v>
      </c>
      <c r="CV28" s="116" t="str">
        <f t="shared" si="32"/>
        <v/>
      </c>
      <c r="CW28" s="109" t="e">
        <f>IF(CI28="","",VLOOKUP(CI28,DATAPENG!$AV$3:$AW$12,2,FALSE))</f>
        <v>#N/A</v>
      </c>
      <c r="CX28" s="109" t="e">
        <f>IF(CJ28="","",VLOOKUP(CJ28,DATAPENG!$AV$3:$AW$12,2,FALSE))</f>
        <v>#N/A</v>
      </c>
    </row>
    <row r="29" spans="1:102" ht="16.5">
      <c r="A29" s="105">
        <f>'DATA SISWA'!A29</f>
        <v>0</v>
      </c>
      <c r="B29" s="105">
        <f>'DATA SISWA'!B29</f>
        <v>0</v>
      </c>
      <c r="C29" s="105">
        <f>'DATA SISWA'!C29</f>
        <v>0</v>
      </c>
      <c r="D29" s="105">
        <f>'DATA SISWA'!D29</f>
        <v>0</v>
      </c>
      <c r="E29" s="105" t="str">
        <f>'DATA SISWA'!E29</f>
        <v>VII</v>
      </c>
      <c r="F29" s="406"/>
      <c r="G29" s="101"/>
      <c r="H29" s="406"/>
      <c r="I29" s="406"/>
      <c r="J29" s="307" t="str">
        <f>IF(AND(F29="",G29="",H29="",I29=""),"",AVERAGE(F29:I29))</f>
        <v/>
      </c>
      <c r="K29" s="101"/>
      <c r="L29" s="101"/>
      <c r="M29" s="316" t="str">
        <f>IF(AND(F29="",G29="",H29="",I29=""),"",IF(AND(K29="",L29=""),J29,IF(OR(L29="",K29="",L29&lt;=$CT$2),MAX(J29:L29),$CT$2)))</f>
        <v/>
      </c>
      <c r="N29" s="406"/>
      <c r="O29" s="101"/>
      <c r="P29" s="406"/>
      <c r="Q29" s="406"/>
      <c r="R29" s="307" t="str">
        <f>IF(AND(N29="",O29="",P29="",Q29=""),"",AVERAGE(N29:Q29))</f>
        <v/>
      </c>
      <c r="S29" s="101"/>
      <c r="T29" s="101"/>
      <c r="U29" s="316" t="str">
        <f>IF(AND(N29="",O29="",P29="",Q29=""),"",IF(AND(S29="",T29=""),R29,IF(OR(T29="",S29="",T29&lt;=$CT$2),MAX(R29:T29),$CT$2)))</f>
        <v/>
      </c>
      <c r="V29" s="101"/>
      <c r="W29" s="101"/>
      <c r="X29" s="101"/>
      <c r="Y29" s="91"/>
      <c r="Z29" s="307" t="str">
        <f>IF(AND(V29="",W29="",X29="",Y29=""),"",AVERAGE(V29:Y29))</f>
        <v/>
      </c>
      <c r="AA29" s="101"/>
      <c r="AB29" s="101"/>
      <c r="AC29" s="316" t="str">
        <f>IF(AND(V29="",W29="",X29="",Y29=""),"",IF(AND(AA29="",AB29=""),Z29,IF(OR(AB29="",AA29="",AB29&lt;=$CT$2),MAX(Z29:AB29),$CT$2)))</f>
        <v/>
      </c>
      <c r="AD29" s="101"/>
      <c r="AE29" s="101"/>
      <c r="AF29" s="101"/>
      <c r="AG29" s="91"/>
      <c r="AH29" s="307" t="str">
        <f>IF(AND(AD29="",AE29="",AF29="",AG29=""),"",AVERAGE(AD29:AG29))</f>
        <v/>
      </c>
      <c r="AI29" s="101"/>
      <c r="AJ29" s="101"/>
      <c r="AK29" s="316" t="str">
        <f>IF(AND(AD29="",AE29="",AF29="",AG29=""),"",IF(AND(AI29="",AJ29=""),AH29,IF(OR(AJ29="",AI29="",AJ29&lt;=$CT$2),MAX(AH29:AJ29),$CT$2)))</f>
        <v/>
      </c>
      <c r="AL29" s="101"/>
      <c r="AM29" s="101"/>
      <c r="AN29" s="101"/>
      <c r="AO29" s="91"/>
      <c r="AP29" s="307" t="str">
        <f>IF(AND(AL29="",AM29="",AN29="",AO29=""),"",AVERAGE(AL29:AO29))</f>
        <v/>
      </c>
      <c r="AQ29" s="101"/>
      <c r="AR29" s="101"/>
      <c r="AS29" s="316" t="str">
        <f>IF(AND(AL29="",AM29="",AN29="",AO29=""),"",IF(AND(AQ29="",AR29=""),AP29,IF(OR(AR29="",AQ29="",AR29&lt;=$CT$2),MAX(AP29:AR29),$CT$2)))</f>
        <v/>
      </c>
      <c r="AT29" s="101"/>
      <c r="AU29" s="101"/>
      <c r="AV29" s="101"/>
      <c r="AW29" s="91"/>
      <c r="AX29" s="307" t="str">
        <f>IF(AND(AT29="",AU29="",AV29="",AW29=""),"",AVERAGE(AT29:AW29))</f>
        <v/>
      </c>
      <c r="AY29" s="101"/>
      <c r="AZ29" s="101"/>
      <c r="BA29" s="316" t="str">
        <f>IF(AND(AT29="",AU29="",AV29="",AW29=""),"",IF(AND(AY29="",AZ29=""),AX29,IF(OR(AZ29="",AY29="",AZ29&lt;=$CT$2),MAX(AX29:AZ29),$CT$2)))</f>
        <v/>
      </c>
      <c r="BB29" s="101"/>
      <c r="BC29" s="101"/>
      <c r="BD29" s="101"/>
      <c r="BE29" s="91"/>
      <c r="BF29" s="307" t="str">
        <f>IF(AND(BB29="",BC29="",BD29="",BE29=""),"",AVERAGE(BB29:BE29))</f>
        <v/>
      </c>
      <c r="BG29" s="101"/>
      <c r="BH29" s="101"/>
      <c r="BI29" s="316" t="str">
        <f>IF(AND(BB29="",BC29="",BD29="",BE29=""),"",IF(AND(BG29="",BH29=""),BF29,IF(OR(BH29="",BG29="",BH29&lt;=$CT$2),MAX(BF29:BH29),$CT$2)))</f>
        <v/>
      </c>
      <c r="BJ29" s="101"/>
      <c r="BK29" s="101"/>
      <c r="BL29" s="101"/>
      <c r="BM29" s="91"/>
      <c r="BN29" s="307" t="str">
        <f>IF(AND(BJ29="",BK29="",BL29="",BM29=""),"",AVERAGE(BJ29:BM29))</f>
        <v/>
      </c>
      <c r="BO29" s="101"/>
      <c r="BP29" s="101"/>
      <c r="BQ29" s="316" t="str">
        <f>IF(AND(BJ29="",BK29="",BL29="",BM29=""),"",IF(AND(BO29="",BP29=""),BN29,IF(OR(BP29="",BO29="",BP29&lt;=$CT$2),MAX(BN29:BP29),$CT$2)))</f>
        <v/>
      </c>
      <c r="BR29" s="101"/>
      <c r="BS29" s="101"/>
      <c r="BT29" s="101"/>
      <c r="BU29" s="91"/>
      <c r="BV29" s="307" t="str">
        <f>IF(AND(BR29="",BS29="",BT29="",BU29=""),"",AVERAGE(BR29:BU29))</f>
        <v/>
      </c>
      <c r="BW29" s="101"/>
      <c r="BX29" s="101"/>
      <c r="BY29" s="316" t="str">
        <f>IF(AND(BR29="",BS29="",BT29="",BU29=""),"",IF(AND(BW29="",BX29=""),BV29,IF(OR(BX29="",BW29="",BX29&lt;=$CT$2),MAX(BV29:BX29),$CT$2)))</f>
        <v/>
      </c>
      <c r="BZ29" s="101"/>
      <c r="CA29" s="101"/>
      <c r="CB29" s="101"/>
      <c r="CC29" s="91"/>
      <c r="CD29" s="307" t="str">
        <f>IF(AND(BZ29="",CA29="",CB29="",CC29=""),"",AVERAGE(BZ29:CC29))</f>
        <v/>
      </c>
      <c r="CE29" s="101"/>
      <c r="CF29" s="101"/>
      <c r="CG29" s="316" t="str">
        <f>IF(AND(BZ29="",CA29="",CB29="",CC29=""),"",IF(AND(CE29="",CF29=""),CD29,IF(OR(CF29="",CE29="",CF29&lt;=$CT$2),MAX(CD29:CF29),$CT$2)))</f>
        <v/>
      </c>
      <c r="CH29" s="318" t="str">
        <f t="shared" si="0"/>
        <v/>
      </c>
      <c r="CI29" s="105">
        <f t="shared" si="1"/>
        <v>0</v>
      </c>
      <c r="CJ29" s="105">
        <f t="shared" si="2"/>
        <v>0</v>
      </c>
      <c r="CK29" s="407"/>
      <c r="CL29" s="101"/>
      <c r="CM29" s="319" t="str">
        <f t="shared" si="23"/>
        <v/>
      </c>
      <c r="CN29" s="319" t="str">
        <f t="shared" si="24"/>
        <v/>
      </c>
      <c r="CO29" s="319" t="str">
        <f t="shared" si="25"/>
        <v/>
      </c>
      <c r="CP29" s="227" t="str">
        <f t="shared" si="26"/>
        <v/>
      </c>
      <c r="CQ29" s="320" t="str">
        <f t="shared" si="27"/>
        <v/>
      </c>
      <c r="CR29" s="106" t="str">
        <f t="shared" si="28"/>
        <v/>
      </c>
      <c r="CS29" s="106" t="str">
        <f t="shared" si="29"/>
        <v/>
      </c>
      <c r="CT29" s="106" t="str">
        <f t="shared" si="30"/>
        <v>TIDAK</v>
      </c>
      <c r="CU29" s="106" t="str">
        <f t="shared" si="31"/>
        <v>TIDAK</v>
      </c>
      <c r="CV29" s="116" t="str">
        <f t="shared" si="32"/>
        <v/>
      </c>
      <c r="CW29" s="109" t="e">
        <f>IF(CI29="","",VLOOKUP(CI29,DATAPENG!$AX$3:$AY$12,2,FALSE))</f>
        <v>#N/A</v>
      </c>
      <c r="CX29" s="109" t="e">
        <f>IF(CJ29="","",VLOOKUP(CJ29,DATAPENG!$AX$3:$AY$12,2,FALSE))</f>
        <v>#N/A</v>
      </c>
    </row>
    <row r="30" spans="1:102" ht="16.5">
      <c r="A30" s="105">
        <f>'DATA SISWA'!A30</f>
        <v>0</v>
      </c>
      <c r="B30" s="105">
        <f>'DATA SISWA'!B30</f>
        <v>0</v>
      </c>
      <c r="C30" s="105">
        <f>'DATA SISWA'!C30</f>
        <v>0</v>
      </c>
      <c r="D30" s="105">
        <f>'DATA SISWA'!D30</f>
        <v>0</v>
      </c>
      <c r="E30" s="105" t="str">
        <f>'DATA SISWA'!E30</f>
        <v>VII</v>
      </c>
      <c r="F30" s="406"/>
      <c r="G30" s="101"/>
      <c r="H30" s="406"/>
      <c r="I30" s="406"/>
      <c r="J30" s="307" t="str">
        <f t="shared" ref="J30:J32" si="133">IF(AND(F30="",G30="",H30="",I30=""),"",AVERAGE(F30:I30))</f>
        <v/>
      </c>
      <c r="K30" s="101"/>
      <c r="L30" s="101"/>
      <c r="M30" s="316" t="str">
        <f t="shared" ref="M30:M32" si="134">IF(AND(F30="",G30="",H30="",I30=""),"",IF(AND(K30="",L30=""),J30,IF(OR(L30="",K30="",L30&lt;=$CT$2),MAX(J30:L30),$CT$2)))</f>
        <v/>
      </c>
      <c r="N30" s="406"/>
      <c r="O30" s="101"/>
      <c r="P30" s="406"/>
      <c r="Q30" s="406"/>
      <c r="R30" s="307" t="str">
        <f t="shared" ref="R30:R32" si="135">IF(AND(N30="",O30="",P30="",Q30=""),"",AVERAGE(N30:Q30))</f>
        <v/>
      </c>
      <c r="S30" s="101"/>
      <c r="T30" s="101"/>
      <c r="U30" s="316" t="str">
        <f t="shared" ref="U30:U32" si="136">IF(AND(N30="",O30="",P30="",Q30=""),"",IF(AND(S30="",T30=""),R30,IF(OR(T30="",S30="",T30&lt;=$CT$2),MAX(R30:T30),$CT$2)))</f>
        <v/>
      </c>
      <c r="V30" s="101"/>
      <c r="W30" s="101"/>
      <c r="X30" s="101"/>
      <c r="Y30" s="91"/>
      <c r="Z30" s="307" t="str">
        <f t="shared" ref="Z30:Z32" si="137">IF(AND(V30="",W30="",X30="",Y30=""),"",AVERAGE(V30:Y30))</f>
        <v/>
      </c>
      <c r="AA30" s="101"/>
      <c r="AB30" s="101"/>
      <c r="AC30" s="316" t="str">
        <f t="shared" ref="AC30:AC32" si="138">IF(AND(V30="",W30="",X30="",Y30=""),"",IF(AND(AA30="",AB30=""),Z30,IF(OR(AB30="",AA30="",AB30&lt;=$CT$2),MAX(Z30:AB30),$CT$2)))</f>
        <v/>
      </c>
      <c r="AD30" s="101"/>
      <c r="AE30" s="101"/>
      <c r="AF30" s="101"/>
      <c r="AG30" s="91"/>
      <c r="AH30" s="307" t="str">
        <f t="shared" ref="AH30:AH32" si="139">IF(AND(AD30="",AE30="",AF30="",AG30=""),"",AVERAGE(AD30:AG30))</f>
        <v/>
      </c>
      <c r="AI30" s="101"/>
      <c r="AJ30" s="101"/>
      <c r="AK30" s="316" t="str">
        <f t="shared" ref="AK30:AK32" si="140">IF(AND(AD30="",AE30="",AF30="",AG30=""),"",IF(AND(AI30="",AJ30=""),AH30,IF(OR(AJ30="",AI30="",AJ30&lt;=$CT$2),MAX(AH30:AJ30),$CT$2)))</f>
        <v/>
      </c>
      <c r="AL30" s="101"/>
      <c r="AM30" s="101"/>
      <c r="AN30" s="101"/>
      <c r="AO30" s="91"/>
      <c r="AP30" s="307" t="str">
        <f t="shared" ref="AP30:AP32" si="141">IF(AND(AL30="",AM30="",AN30="",AO30=""),"",AVERAGE(AL30:AO30))</f>
        <v/>
      </c>
      <c r="AQ30" s="101"/>
      <c r="AR30" s="101"/>
      <c r="AS30" s="316" t="str">
        <f t="shared" ref="AS30:AS32" si="142">IF(AND(AL30="",AM30="",AN30="",AO30=""),"",IF(AND(AQ30="",AR30=""),AP30,IF(OR(AR30="",AQ30="",AR30&lt;=$CT$2),MAX(AP30:AR30),$CT$2)))</f>
        <v/>
      </c>
      <c r="AT30" s="101"/>
      <c r="AU30" s="101"/>
      <c r="AV30" s="101"/>
      <c r="AW30" s="91"/>
      <c r="AX30" s="307" t="str">
        <f t="shared" ref="AX30:AX32" si="143">IF(AND(AT30="",AU30="",AV30="",AW30=""),"",AVERAGE(AT30:AW30))</f>
        <v/>
      </c>
      <c r="AY30" s="101"/>
      <c r="AZ30" s="101"/>
      <c r="BA30" s="316" t="str">
        <f t="shared" ref="BA30:BA32" si="144">IF(AND(AT30="",AU30="",AV30="",AW30=""),"",IF(AND(AY30="",AZ30=""),AX30,IF(OR(AZ30="",AY30="",AZ30&lt;=$CT$2),MAX(AX30:AZ30),$CT$2)))</f>
        <v/>
      </c>
      <c r="BB30" s="101"/>
      <c r="BC30" s="101"/>
      <c r="BD30" s="101"/>
      <c r="BE30" s="91"/>
      <c r="BF30" s="307" t="str">
        <f t="shared" ref="BF30:BF32" si="145">IF(AND(BB30="",BC30="",BD30="",BE30=""),"",AVERAGE(BB30:BE30))</f>
        <v/>
      </c>
      <c r="BG30" s="101"/>
      <c r="BH30" s="101"/>
      <c r="BI30" s="316" t="str">
        <f t="shared" ref="BI30:BI32" si="146">IF(AND(BB30="",BC30="",BD30="",BE30=""),"",IF(AND(BG30="",BH30=""),BF30,IF(OR(BH30="",BG30="",BH30&lt;=$CT$2),MAX(BF30:BH30),$CT$2)))</f>
        <v/>
      </c>
      <c r="BJ30" s="101"/>
      <c r="BK30" s="101"/>
      <c r="BL30" s="101"/>
      <c r="BM30" s="91"/>
      <c r="BN30" s="307" t="str">
        <f t="shared" ref="BN30:BN32" si="147">IF(AND(BJ30="",BK30="",BL30="",BM30=""),"",AVERAGE(BJ30:BM30))</f>
        <v/>
      </c>
      <c r="BO30" s="101"/>
      <c r="BP30" s="101"/>
      <c r="BQ30" s="316" t="str">
        <f t="shared" ref="BQ30:BQ32" si="148">IF(AND(BJ30="",BK30="",BL30="",BM30=""),"",IF(AND(BO30="",BP30=""),BN30,IF(OR(BP30="",BO30="",BP30&lt;=$CT$2),MAX(BN30:BP30),$CT$2)))</f>
        <v/>
      </c>
      <c r="BR30" s="101"/>
      <c r="BS30" s="101"/>
      <c r="BT30" s="101"/>
      <c r="BU30" s="91"/>
      <c r="BV30" s="307" t="str">
        <f t="shared" ref="BV30:BV32" si="149">IF(AND(BR30="",BS30="",BT30="",BU30=""),"",AVERAGE(BR30:BU30))</f>
        <v/>
      </c>
      <c r="BW30" s="101"/>
      <c r="BX30" s="101"/>
      <c r="BY30" s="316" t="str">
        <f t="shared" ref="BY30:BY32" si="150">IF(AND(BR30="",BS30="",BT30="",BU30=""),"",IF(AND(BW30="",BX30=""),BV30,IF(OR(BX30="",BW30="",BX30&lt;=$CT$2),MAX(BV30:BX30),$CT$2)))</f>
        <v/>
      </c>
      <c r="BZ30" s="101"/>
      <c r="CA30" s="101"/>
      <c r="CB30" s="101"/>
      <c r="CC30" s="91"/>
      <c r="CD30" s="307" t="str">
        <f t="shared" ref="CD30:CD32" si="151">IF(AND(BZ30="",CA30="",CB30="",CC30=""),"",AVERAGE(BZ30:CC30))</f>
        <v/>
      </c>
      <c r="CE30" s="101"/>
      <c r="CF30" s="101"/>
      <c r="CG30" s="316" t="str">
        <f t="shared" ref="CG30:CG32" si="152">IF(AND(BZ30="",CA30="",CB30="",CC30=""),"",IF(AND(CE30="",CF30=""),CD30,IF(OR(CF30="",CE30="",CF30&lt;=$CT$2),MAX(CD30:CF30),$CT$2)))</f>
        <v/>
      </c>
      <c r="CH30" s="318" t="str">
        <f t="shared" si="0"/>
        <v/>
      </c>
      <c r="CI30" s="105">
        <f t="shared" si="1"/>
        <v>0</v>
      </c>
      <c r="CJ30" s="105">
        <f t="shared" si="2"/>
        <v>0</v>
      </c>
      <c r="CK30" s="407"/>
      <c r="CL30" s="101"/>
      <c r="CM30" s="319" t="str">
        <f t="shared" si="23"/>
        <v/>
      </c>
      <c r="CN30" s="319" t="str">
        <f t="shared" si="24"/>
        <v/>
      </c>
      <c r="CO30" s="319" t="str">
        <f t="shared" si="25"/>
        <v/>
      </c>
      <c r="CP30" s="227" t="str">
        <f t="shared" si="26"/>
        <v/>
      </c>
      <c r="CQ30" s="320" t="str">
        <f t="shared" si="27"/>
        <v/>
      </c>
      <c r="CR30" s="106" t="str">
        <f t="shared" si="28"/>
        <v/>
      </c>
      <c r="CS30" s="106" t="str">
        <f t="shared" si="29"/>
        <v/>
      </c>
      <c r="CT30" s="106" t="str">
        <f t="shared" si="30"/>
        <v>TIDAK</v>
      </c>
      <c r="CU30" s="106" t="str">
        <f t="shared" si="31"/>
        <v>TIDAK</v>
      </c>
      <c r="CV30" s="116" t="str">
        <f t="shared" si="32"/>
        <v/>
      </c>
      <c r="CW30" s="109" t="e">
        <f>IF(CI30="","",VLOOKUP(CI30,DATAPENG!$AZ$3:$BA$12,2,FALSE))</f>
        <v>#N/A</v>
      </c>
      <c r="CX30" s="109" t="e">
        <f>IF(CJ30="","",VLOOKUP(CJ30,DATAPENG!$AZ$3:$BA$12,2,FALSE))</f>
        <v>#N/A</v>
      </c>
    </row>
    <row r="31" spans="1:102" ht="16.5">
      <c r="A31" s="105">
        <f>'DATA SISWA'!A31</f>
        <v>0</v>
      </c>
      <c r="B31" s="105">
        <f>'DATA SISWA'!B31</f>
        <v>0</v>
      </c>
      <c r="C31" s="105">
        <f>'DATA SISWA'!C31</f>
        <v>0</v>
      </c>
      <c r="D31" s="105">
        <f>'DATA SISWA'!D31</f>
        <v>0</v>
      </c>
      <c r="E31" s="105" t="str">
        <f>'DATA SISWA'!E31</f>
        <v>VII</v>
      </c>
      <c r="F31" s="406"/>
      <c r="G31" s="101"/>
      <c r="H31" s="406"/>
      <c r="I31" s="406"/>
      <c r="J31" s="307" t="str">
        <f t="shared" si="133"/>
        <v/>
      </c>
      <c r="K31" s="101"/>
      <c r="L31" s="101"/>
      <c r="M31" s="316" t="str">
        <f t="shared" si="134"/>
        <v/>
      </c>
      <c r="N31" s="406"/>
      <c r="O31" s="101"/>
      <c r="P31" s="406"/>
      <c r="Q31" s="406"/>
      <c r="R31" s="307" t="str">
        <f t="shared" si="135"/>
        <v/>
      </c>
      <c r="S31" s="101"/>
      <c r="T31" s="101"/>
      <c r="U31" s="316" t="str">
        <f t="shared" si="136"/>
        <v/>
      </c>
      <c r="V31" s="101"/>
      <c r="W31" s="101"/>
      <c r="X31" s="101"/>
      <c r="Y31" s="91"/>
      <c r="Z31" s="307" t="str">
        <f t="shared" si="137"/>
        <v/>
      </c>
      <c r="AA31" s="101"/>
      <c r="AB31" s="101"/>
      <c r="AC31" s="316" t="str">
        <f t="shared" si="138"/>
        <v/>
      </c>
      <c r="AD31" s="101"/>
      <c r="AE31" s="101"/>
      <c r="AF31" s="101"/>
      <c r="AG31" s="91"/>
      <c r="AH31" s="307" t="str">
        <f t="shared" si="139"/>
        <v/>
      </c>
      <c r="AI31" s="101"/>
      <c r="AJ31" s="101"/>
      <c r="AK31" s="316" t="str">
        <f t="shared" si="140"/>
        <v/>
      </c>
      <c r="AL31" s="101"/>
      <c r="AM31" s="101"/>
      <c r="AN31" s="101"/>
      <c r="AO31" s="91"/>
      <c r="AP31" s="307" t="str">
        <f t="shared" si="141"/>
        <v/>
      </c>
      <c r="AQ31" s="101"/>
      <c r="AR31" s="101"/>
      <c r="AS31" s="316" t="str">
        <f t="shared" si="142"/>
        <v/>
      </c>
      <c r="AT31" s="101"/>
      <c r="AU31" s="101"/>
      <c r="AV31" s="101"/>
      <c r="AW31" s="91"/>
      <c r="AX31" s="307" t="str">
        <f t="shared" si="143"/>
        <v/>
      </c>
      <c r="AY31" s="101"/>
      <c r="AZ31" s="101"/>
      <c r="BA31" s="316" t="str">
        <f t="shared" si="144"/>
        <v/>
      </c>
      <c r="BB31" s="101"/>
      <c r="BC31" s="101"/>
      <c r="BD31" s="101"/>
      <c r="BE31" s="91"/>
      <c r="BF31" s="307" t="str">
        <f t="shared" si="145"/>
        <v/>
      </c>
      <c r="BG31" s="101"/>
      <c r="BH31" s="101"/>
      <c r="BI31" s="316" t="str">
        <f t="shared" si="146"/>
        <v/>
      </c>
      <c r="BJ31" s="101"/>
      <c r="BK31" s="101"/>
      <c r="BL31" s="101"/>
      <c r="BM31" s="91"/>
      <c r="BN31" s="307" t="str">
        <f t="shared" si="147"/>
        <v/>
      </c>
      <c r="BO31" s="101"/>
      <c r="BP31" s="101"/>
      <c r="BQ31" s="316" t="str">
        <f t="shared" si="148"/>
        <v/>
      </c>
      <c r="BR31" s="101"/>
      <c r="BS31" s="101"/>
      <c r="BT31" s="101"/>
      <c r="BU31" s="91"/>
      <c r="BV31" s="307" t="str">
        <f t="shared" si="149"/>
        <v/>
      </c>
      <c r="BW31" s="101"/>
      <c r="BX31" s="101"/>
      <c r="BY31" s="316" t="str">
        <f t="shared" si="150"/>
        <v/>
      </c>
      <c r="BZ31" s="101"/>
      <c r="CA31" s="101"/>
      <c r="CB31" s="101"/>
      <c r="CC31" s="91"/>
      <c r="CD31" s="307" t="str">
        <f t="shared" si="151"/>
        <v/>
      </c>
      <c r="CE31" s="101"/>
      <c r="CF31" s="101"/>
      <c r="CG31" s="316" t="str">
        <f t="shared" si="152"/>
        <v/>
      </c>
      <c r="CH31" s="318" t="str">
        <f t="shared" si="0"/>
        <v/>
      </c>
      <c r="CI31" s="105">
        <f t="shared" si="1"/>
        <v>0</v>
      </c>
      <c r="CJ31" s="105">
        <f t="shared" si="2"/>
        <v>0</v>
      </c>
      <c r="CK31" s="407"/>
      <c r="CL31" s="101"/>
      <c r="CM31" s="319" t="str">
        <f t="shared" si="23"/>
        <v/>
      </c>
      <c r="CN31" s="319" t="str">
        <f t="shared" si="24"/>
        <v/>
      </c>
      <c r="CO31" s="319" t="str">
        <f t="shared" si="25"/>
        <v/>
      </c>
      <c r="CP31" s="227" t="str">
        <f t="shared" si="26"/>
        <v/>
      </c>
      <c r="CQ31" s="320" t="str">
        <f t="shared" si="27"/>
        <v/>
      </c>
      <c r="CR31" s="106" t="str">
        <f t="shared" si="28"/>
        <v/>
      </c>
      <c r="CS31" s="106" t="str">
        <f t="shared" si="29"/>
        <v/>
      </c>
      <c r="CT31" s="106" t="str">
        <f t="shared" si="30"/>
        <v>TIDAK</v>
      </c>
      <c r="CU31" s="106" t="str">
        <f t="shared" si="31"/>
        <v>TIDAK</v>
      </c>
      <c r="CV31" s="116" t="str">
        <f t="shared" si="32"/>
        <v/>
      </c>
      <c r="CW31" s="109" t="e">
        <f>IF(CI31="","",VLOOKUP(CI31,DATAPENG!$BB$3:$BC$12,2,FALSE))</f>
        <v>#N/A</v>
      </c>
      <c r="CX31" s="109" t="e">
        <f>IF(CJ31="","",VLOOKUP(CJ31,DATAPENG!$BB$3:$BC$12,2,FALSE))</f>
        <v>#N/A</v>
      </c>
    </row>
    <row r="32" spans="1:102" ht="16.5">
      <c r="A32" s="105">
        <f>'DATA SISWA'!A32</f>
        <v>0</v>
      </c>
      <c r="B32" s="105">
        <f>'DATA SISWA'!B32</f>
        <v>0</v>
      </c>
      <c r="C32" s="105">
        <f>'DATA SISWA'!C32</f>
        <v>0</v>
      </c>
      <c r="D32" s="105">
        <f>'DATA SISWA'!D32</f>
        <v>0</v>
      </c>
      <c r="E32" s="105" t="str">
        <f>'DATA SISWA'!E32</f>
        <v>VII</v>
      </c>
      <c r="F32" s="406"/>
      <c r="G32" s="101"/>
      <c r="H32" s="406"/>
      <c r="I32" s="406"/>
      <c r="J32" s="307" t="str">
        <f t="shared" si="133"/>
        <v/>
      </c>
      <c r="K32" s="101"/>
      <c r="L32" s="101"/>
      <c r="M32" s="316" t="str">
        <f t="shared" si="134"/>
        <v/>
      </c>
      <c r="N32" s="406"/>
      <c r="O32" s="101"/>
      <c r="P32" s="406"/>
      <c r="Q32" s="406"/>
      <c r="R32" s="307" t="str">
        <f t="shared" si="135"/>
        <v/>
      </c>
      <c r="S32" s="101"/>
      <c r="T32" s="101"/>
      <c r="U32" s="316" t="str">
        <f t="shared" si="136"/>
        <v/>
      </c>
      <c r="V32" s="101"/>
      <c r="W32" s="101"/>
      <c r="X32" s="101"/>
      <c r="Y32" s="91"/>
      <c r="Z32" s="307" t="str">
        <f t="shared" si="137"/>
        <v/>
      </c>
      <c r="AA32" s="101"/>
      <c r="AB32" s="101"/>
      <c r="AC32" s="316" t="str">
        <f t="shared" si="138"/>
        <v/>
      </c>
      <c r="AD32" s="101"/>
      <c r="AE32" s="101"/>
      <c r="AF32" s="101"/>
      <c r="AG32" s="91"/>
      <c r="AH32" s="307" t="str">
        <f t="shared" si="139"/>
        <v/>
      </c>
      <c r="AI32" s="101"/>
      <c r="AJ32" s="101"/>
      <c r="AK32" s="316" t="str">
        <f t="shared" si="140"/>
        <v/>
      </c>
      <c r="AL32" s="101"/>
      <c r="AM32" s="101"/>
      <c r="AN32" s="101"/>
      <c r="AO32" s="91"/>
      <c r="AP32" s="307" t="str">
        <f t="shared" si="141"/>
        <v/>
      </c>
      <c r="AQ32" s="101"/>
      <c r="AR32" s="101"/>
      <c r="AS32" s="316" t="str">
        <f t="shared" si="142"/>
        <v/>
      </c>
      <c r="AT32" s="101"/>
      <c r="AU32" s="101"/>
      <c r="AV32" s="101"/>
      <c r="AW32" s="91"/>
      <c r="AX32" s="307" t="str">
        <f t="shared" si="143"/>
        <v/>
      </c>
      <c r="AY32" s="101"/>
      <c r="AZ32" s="101"/>
      <c r="BA32" s="316" t="str">
        <f t="shared" si="144"/>
        <v/>
      </c>
      <c r="BB32" s="101"/>
      <c r="BC32" s="101"/>
      <c r="BD32" s="101"/>
      <c r="BE32" s="91"/>
      <c r="BF32" s="307" t="str">
        <f t="shared" si="145"/>
        <v/>
      </c>
      <c r="BG32" s="101"/>
      <c r="BH32" s="101"/>
      <c r="BI32" s="316" t="str">
        <f t="shared" si="146"/>
        <v/>
      </c>
      <c r="BJ32" s="101"/>
      <c r="BK32" s="101"/>
      <c r="BL32" s="101"/>
      <c r="BM32" s="91"/>
      <c r="BN32" s="307" t="str">
        <f t="shared" si="147"/>
        <v/>
      </c>
      <c r="BO32" s="101"/>
      <c r="BP32" s="101"/>
      <c r="BQ32" s="316" t="str">
        <f t="shared" si="148"/>
        <v/>
      </c>
      <c r="BR32" s="101"/>
      <c r="BS32" s="101"/>
      <c r="BT32" s="101"/>
      <c r="BU32" s="91"/>
      <c r="BV32" s="307" t="str">
        <f t="shared" si="149"/>
        <v/>
      </c>
      <c r="BW32" s="101"/>
      <c r="BX32" s="101"/>
      <c r="BY32" s="316" t="str">
        <f t="shared" si="150"/>
        <v/>
      </c>
      <c r="BZ32" s="101"/>
      <c r="CA32" s="101"/>
      <c r="CB32" s="101"/>
      <c r="CC32" s="91"/>
      <c r="CD32" s="307" t="str">
        <f t="shared" si="151"/>
        <v/>
      </c>
      <c r="CE32" s="101"/>
      <c r="CF32" s="101"/>
      <c r="CG32" s="316" t="str">
        <f t="shared" si="152"/>
        <v/>
      </c>
      <c r="CH32" s="318" t="str">
        <f t="shared" si="0"/>
        <v/>
      </c>
      <c r="CI32" s="105">
        <f t="shared" si="1"/>
        <v>0</v>
      </c>
      <c r="CJ32" s="105">
        <f t="shared" si="2"/>
        <v>0</v>
      </c>
      <c r="CK32" s="407"/>
      <c r="CL32" s="101"/>
      <c r="CM32" s="319" t="str">
        <f t="shared" si="23"/>
        <v/>
      </c>
      <c r="CN32" s="319" t="str">
        <f t="shared" si="24"/>
        <v/>
      </c>
      <c r="CO32" s="319" t="str">
        <f t="shared" si="25"/>
        <v/>
      </c>
      <c r="CP32" s="227" t="str">
        <f t="shared" si="26"/>
        <v/>
      </c>
      <c r="CQ32" s="320" t="str">
        <f t="shared" si="27"/>
        <v/>
      </c>
      <c r="CR32" s="106" t="str">
        <f t="shared" si="28"/>
        <v/>
      </c>
      <c r="CS32" s="106" t="str">
        <f t="shared" si="29"/>
        <v/>
      </c>
      <c r="CT32" s="106" t="str">
        <f t="shared" si="30"/>
        <v>TIDAK</v>
      </c>
      <c r="CU32" s="106" t="str">
        <f t="shared" si="31"/>
        <v>TIDAK</v>
      </c>
      <c r="CV32" s="116" t="str">
        <f t="shared" si="32"/>
        <v/>
      </c>
      <c r="CW32" s="109" t="e">
        <f>IF(CI32="","",VLOOKUP(CI32,DATAPENG!$BD$3:$BE$12,2,FALSE))</f>
        <v>#N/A</v>
      </c>
      <c r="CX32" s="109" t="e">
        <f>IF(CJ32="","",VLOOKUP(CJ32,DATAPENG!$BD$3:$BE$12,2,FALSE))</f>
        <v>#N/A</v>
      </c>
    </row>
    <row r="33" spans="1:102" ht="16.5">
      <c r="A33" s="105">
        <f>'DATA SISWA'!A33</f>
        <v>0</v>
      </c>
      <c r="B33" s="105">
        <f>'DATA SISWA'!B33</f>
        <v>0</v>
      </c>
      <c r="C33" s="105">
        <f>'DATA SISWA'!C33</f>
        <v>0</v>
      </c>
      <c r="D33" s="105">
        <f>'DATA SISWA'!D33</f>
        <v>0</v>
      </c>
      <c r="E33" s="105" t="str">
        <f>'DATA SISWA'!E33</f>
        <v>VII</v>
      </c>
      <c r="F33" s="406"/>
      <c r="G33" s="101"/>
      <c r="H33" s="406"/>
      <c r="I33" s="406"/>
      <c r="J33" s="307" t="str">
        <f>IF(AND(F33="",G33="",H33="",I33=""),"",AVERAGE(F33:I33))</f>
        <v/>
      </c>
      <c r="K33" s="101"/>
      <c r="L33" s="101"/>
      <c r="M33" s="316" t="str">
        <f>IF(AND(F33="",G33="",H33="",I33=""),"",IF(AND(K33="",L33=""),J33,IF(OR(L33="",K33="",L33&lt;=$CT$2),MAX(J33:L33),$CT$2)))</f>
        <v/>
      </c>
      <c r="N33" s="406"/>
      <c r="O33" s="101"/>
      <c r="P33" s="406"/>
      <c r="Q33" s="406"/>
      <c r="R33" s="307" t="str">
        <f>IF(AND(N33="",O33="",P33="",Q33=""),"",AVERAGE(N33:Q33))</f>
        <v/>
      </c>
      <c r="S33" s="101"/>
      <c r="T33" s="101"/>
      <c r="U33" s="316" t="str">
        <f>IF(AND(N33="",O33="",P33="",Q33=""),"",IF(AND(S33="",T33=""),R33,IF(OR(T33="",S33="",T33&lt;=$CT$2),MAX(R33:T33),$CT$2)))</f>
        <v/>
      </c>
      <c r="V33" s="101"/>
      <c r="W33" s="101"/>
      <c r="X33" s="101"/>
      <c r="Y33" s="91"/>
      <c r="Z33" s="307" t="str">
        <f>IF(AND(V33="",W33="",X33="",Y33=""),"",AVERAGE(V33:Y33))</f>
        <v/>
      </c>
      <c r="AA33" s="101"/>
      <c r="AB33" s="101"/>
      <c r="AC33" s="316" t="str">
        <f>IF(AND(V33="",W33="",X33="",Y33=""),"",IF(AND(AA33="",AB33=""),Z33,IF(OR(AB33="",AA33="",AB33&lt;=$CT$2),MAX(Z33:AB33),$CT$2)))</f>
        <v/>
      </c>
      <c r="AD33" s="101"/>
      <c r="AE33" s="101"/>
      <c r="AF33" s="101"/>
      <c r="AG33" s="91"/>
      <c r="AH33" s="307" t="str">
        <f>IF(AND(AD33="",AE33="",AF33="",AG33=""),"",AVERAGE(AD33:AG33))</f>
        <v/>
      </c>
      <c r="AI33" s="101"/>
      <c r="AJ33" s="101"/>
      <c r="AK33" s="316" t="str">
        <f>IF(AND(AD33="",AE33="",AF33="",AG33=""),"",IF(AND(AI33="",AJ33=""),AH33,IF(OR(AJ33="",AI33="",AJ33&lt;=$CT$2),MAX(AH33:AJ33),$CT$2)))</f>
        <v/>
      </c>
      <c r="AL33" s="101"/>
      <c r="AM33" s="101"/>
      <c r="AN33" s="101"/>
      <c r="AO33" s="91"/>
      <c r="AP33" s="307" t="str">
        <f>IF(AND(AL33="",AM33="",AN33="",AO33=""),"",AVERAGE(AL33:AO33))</f>
        <v/>
      </c>
      <c r="AQ33" s="101"/>
      <c r="AR33" s="101"/>
      <c r="AS33" s="316" t="str">
        <f>IF(AND(AL33="",AM33="",AN33="",AO33=""),"",IF(AND(AQ33="",AR33=""),AP33,IF(OR(AR33="",AQ33="",AR33&lt;=$CT$2),MAX(AP33:AR33),$CT$2)))</f>
        <v/>
      </c>
      <c r="AT33" s="101"/>
      <c r="AU33" s="101"/>
      <c r="AV33" s="101"/>
      <c r="AW33" s="91"/>
      <c r="AX33" s="307" t="str">
        <f>IF(AND(AT33="",AU33="",AV33="",AW33=""),"",AVERAGE(AT33:AW33))</f>
        <v/>
      </c>
      <c r="AY33" s="101"/>
      <c r="AZ33" s="101"/>
      <c r="BA33" s="316" t="str">
        <f>IF(AND(AT33="",AU33="",AV33="",AW33=""),"",IF(AND(AY33="",AZ33=""),AX33,IF(OR(AZ33="",AY33="",AZ33&lt;=$CT$2),MAX(AX33:AZ33),$CT$2)))</f>
        <v/>
      </c>
      <c r="BB33" s="101"/>
      <c r="BC33" s="101"/>
      <c r="BD33" s="101"/>
      <c r="BE33" s="91"/>
      <c r="BF33" s="307" t="str">
        <f>IF(AND(BB33="",BC33="",BD33="",BE33=""),"",AVERAGE(BB33:BE33))</f>
        <v/>
      </c>
      <c r="BG33" s="101"/>
      <c r="BH33" s="101"/>
      <c r="BI33" s="316" t="str">
        <f>IF(AND(BB33="",BC33="",BD33="",BE33=""),"",IF(AND(BG33="",BH33=""),BF33,IF(OR(BH33="",BG33="",BH33&lt;=$CT$2),MAX(BF33:BH33),$CT$2)))</f>
        <v/>
      </c>
      <c r="BJ33" s="101"/>
      <c r="BK33" s="101"/>
      <c r="BL33" s="101"/>
      <c r="BM33" s="91"/>
      <c r="BN33" s="307" t="str">
        <f>IF(AND(BJ33="",BK33="",BL33="",BM33=""),"",AVERAGE(BJ33:BM33))</f>
        <v/>
      </c>
      <c r="BO33" s="101"/>
      <c r="BP33" s="101"/>
      <c r="BQ33" s="316" t="str">
        <f>IF(AND(BJ33="",BK33="",BL33="",BM33=""),"",IF(AND(BO33="",BP33=""),BN33,IF(OR(BP33="",BO33="",BP33&lt;=$CT$2),MAX(BN33:BP33),$CT$2)))</f>
        <v/>
      </c>
      <c r="BR33" s="101"/>
      <c r="BS33" s="101"/>
      <c r="BT33" s="101"/>
      <c r="BU33" s="91"/>
      <c r="BV33" s="307" t="str">
        <f>IF(AND(BR33="",BS33="",BT33="",BU33=""),"",AVERAGE(BR33:BU33))</f>
        <v/>
      </c>
      <c r="BW33" s="101"/>
      <c r="BX33" s="101"/>
      <c r="BY33" s="316" t="str">
        <f>IF(AND(BR33="",BS33="",BT33="",BU33=""),"",IF(AND(BW33="",BX33=""),BV33,IF(OR(BX33="",BW33="",BX33&lt;=$CT$2),MAX(BV33:BX33),$CT$2)))</f>
        <v/>
      </c>
      <c r="BZ33" s="101"/>
      <c r="CA33" s="101"/>
      <c r="CB33" s="101"/>
      <c r="CC33" s="91"/>
      <c r="CD33" s="307" t="str">
        <f>IF(AND(BZ33="",CA33="",CB33="",CC33=""),"",AVERAGE(BZ33:CC33))</f>
        <v/>
      </c>
      <c r="CE33" s="101"/>
      <c r="CF33" s="101"/>
      <c r="CG33" s="316" t="str">
        <f>IF(AND(BZ33="",CA33="",CB33="",CC33=""),"",IF(AND(CE33="",CF33=""),CD33,IF(OR(CF33="",CE33="",CF33&lt;=$CT$2),MAX(CD33:CF33),$CT$2)))</f>
        <v/>
      </c>
      <c r="CH33" s="318" t="str">
        <f t="shared" si="0"/>
        <v/>
      </c>
      <c r="CI33" s="105">
        <f t="shared" si="1"/>
        <v>0</v>
      </c>
      <c r="CJ33" s="105">
        <f t="shared" si="2"/>
        <v>0</v>
      </c>
      <c r="CK33" s="407"/>
      <c r="CL33" s="101"/>
      <c r="CM33" s="319" t="str">
        <f t="shared" si="23"/>
        <v/>
      </c>
      <c r="CN33" s="319" t="str">
        <f t="shared" si="24"/>
        <v/>
      </c>
      <c r="CO33" s="319" t="str">
        <f t="shared" si="25"/>
        <v/>
      </c>
      <c r="CP33" s="227" t="str">
        <f t="shared" si="26"/>
        <v/>
      </c>
      <c r="CQ33" s="320" t="str">
        <f t="shared" si="27"/>
        <v/>
      </c>
      <c r="CR33" s="106" t="str">
        <f t="shared" si="28"/>
        <v/>
      </c>
      <c r="CS33" s="106" t="str">
        <f t="shared" si="29"/>
        <v/>
      </c>
      <c r="CT33" s="106" t="str">
        <f t="shared" si="30"/>
        <v>TIDAK</v>
      </c>
      <c r="CU33" s="106" t="str">
        <f t="shared" si="31"/>
        <v>TIDAK</v>
      </c>
      <c r="CV33" s="116" t="str">
        <f t="shared" si="32"/>
        <v/>
      </c>
      <c r="CW33" s="109" t="e">
        <f>IF(CI33="","",VLOOKUP(CI33,DATAPENG!$BF$3:$BG$12,2,FALSE))</f>
        <v>#N/A</v>
      </c>
      <c r="CX33" s="109" t="e">
        <f>IF(CJ33="","",VLOOKUP(CJ33,DATAPENG!$BF$3:$BG$12,2,FALSE))</f>
        <v>#N/A</v>
      </c>
    </row>
    <row r="34" spans="1:102" ht="16.5">
      <c r="A34" s="105">
        <f>'DATA SISWA'!A34</f>
        <v>0</v>
      </c>
      <c r="B34" s="105">
        <f>'DATA SISWA'!B34</f>
        <v>0</v>
      </c>
      <c r="C34" s="105">
        <f>'DATA SISWA'!C34</f>
        <v>0</v>
      </c>
      <c r="D34" s="105">
        <f>'DATA SISWA'!D34</f>
        <v>0</v>
      </c>
      <c r="E34" s="105" t="str">
        <f>'DATA SISWA'!E34</f>
        <v>VII</v>
      </c>
      <c r="F34" s="406"/>
      <c r="G34" s="101"/>
      <c r="H34" s="406"/>
      <c r="I34" s="406"/>
      <c r="J34" s="307" t="str">
        <f t="shared" ref="J34:J36" si="153">IF(AND(F34="",G34="",H34="",I34=""),"",AVERAGE(F34:I34))</f>
        <v/>
      </c>
      <c r="K34" s="101"/>
      <c r="L34" s="101"/>
      <c r="M34" s="316" t="str">
        <f t="shared" ref="M34:M36" si="154">IF(AND(F34="",G34="",H34="",I34=""),"",IF(AND(K34="",L34=""),J34,IF(OR(L34="",K34="",L34&lt;=$CT$2),MAX(J34:L34),$CT$2)))</f>
        <v/>
      </c>
      <c r="N34" s="406"/>
      <c r="O34" s="101"/>
      <c r="P34" s="406"/>
      <c r="Q34" s="406"/>
      <c r="R34" s="307" t="str">
        <f t="shared" ref="R34:R36" si="155">IF(AND(N34="",O34="",P34="",Q34=""),"",AVERAGE(N34:Q34))</f>
        <v/>
      </c>
      <c r="S34" s="101"/>
      <c r="T34" s="101"/>
      <c r="U34" s="316" t="str">
        <f t="shared" ref="U34:U36" si="156">IF(AND(N34="",O34="",P34="",Q34=""),"",IF(AND(S34="",T34=""),R34,IF(OR(T34="",S34="",T34&lt;=$CT$2),MAX(R34:T34),$CT$2)))</f>
        <v/>
      </c>
      <c r="V34" s="101"/>
      <c r="W34" s="101"/>
      <c r="X34" s="101"/>
      <c r="Y34" s="91"/>
      <c r="Z34" s="307" t="str">
        <f t="shared" ref="Z34:Z36" si="157">IF(AND(V34="",W34="",X34="",Y34=""),"",AVERAGE(V34:Y34))</f>
        <v/>
      </c>
      <c r="AA34" s="101"/>
      <c r="AB34" s="101"/>
      <c r="AC34" s="316" t="str">
        <f t="shared" ref="AC34:AC36" si="158">IF(AND(V34="",W34="",X34="",Y34=""),"",IF(AND(AA34="",AB34=""),Z34,IF(OR(AB34="",AA34="",AB34&lt;=$CT$2),MAX(Z34:AB34),$CT$2)))</f>
        <v/>
      </c>
      <c r="AD34" s="101"/>
      <c r="AE34" s="101"/>
      <c r="AF34" s="101"/>
      <c r="AG34" s="91"/>
      <c r="AH34" s="307" t="str">
        <f t="shared" ref="AH34:AH36" si="159">IF(AND(AD34="",AE34="",AF34="",AG34=""),"",AVERAGE(AD34:AG34))</f>
        <v/>
      </c>
      <c r="AI34" s="101"/>
      <c r="AJ34" s="101"/>
      <c r="AK34" s="316" t="str">
        <f t="shared" ref="AK34:AK36" si="160">IF(AND(AD34="",AE34="",AF34="",AG34=""),"",IF(AND(AI34="",AJ34=""),AH34,IF(OR(AJ34="",AI34="",AJ34&lt;=$CT$2),MAX(AH34:AJ34),$CT$2)))</f>
        <v/>
      </c>
      <c r="AL34" s="101"/>
      <c r="AM34" s="101"/>
      <c r="AN34" s="101"/>
      <c r="AO34" s="91"/>
      <c r="AP34" s="307" t="str">
        <f t="shared" ref="AP34:AP36" si="161">IF(AND(AL34="",AM34="",AN34="",AO34=""),"",AVERAGE(AL34:AO34))</f>
        <v/>
      </c>
      <c r="AQ34" s="101"/>
      <c r="AR34" s="101"/>
      <c r="AS34" s="316" t="str">
        <f t="shared" ref="AS34:AS36" si="162">IF(AND(AL34="",AM34="",AN34="",AO34=""),"",IF(AND(AQ34="",AR34=""),AP34,IF(OR(AR34="",AQ34="",AR34&lt;=$CT$2),MAX(AP34:AR34),$CT$2)))</f>
        <v/>
      </c>
      <c r="AT34" s="101"/>
      <c r="AU34" s="101"/>
      <c r="AV34" s="101"/>
      <c r="AW34" s="91"/>
      <c r="AX34" s="307" t="str">
        <f t="shared" ref="AX34:AX36" si="163">IF(AND(AT34="",AU34="",AV34="",AW34=""),"",AVERAGE(AT34:AW34))</f>
        <v/>
      </c>
      <c r="AY34" s="101"/>
      <c r="AZ34" s="101"/>
      <c r="BA34" s="316" t="str">
        <f t="shared" ref="BA34:BA36" si="164">IF(AND(AT34="",AU34="",AV34="",AW34=""),"",IF(AND(AY34="",AZ34=""),AX34,IF(OR(AZ34="",AY34="",AZ34&lt;=$CT$2),MAX(AX34:AZ34),$CT$2)))</f>
        <v/>
      </c>
      <c r="BB34" s="101"/>
      <c r="BC34" s="101"/>
      <c r="BD34" s="101"/>
      <c r="BE34" s="91"/>
      <c r="BF34" s="307" t="str">
        <f t="shared" ref="BF34:BF36" si="165">IF(AND(BB34="",BC34="",BD34="",BE34=""),"",AVERAGE(BB34:BE34))</f>
        <v/>
      </c>
      <c r="BG34" s="101"/>
      <c r="BH34" s="101"/>
      <c r="BI34" s="316" t="str">
        <f t="shared" ref="BI34:BI36" si="166">IF(AND(BB34="",BC34="",BD34="",BE34=""),"",IF(AND(BG34="",BH34=""),BF34,IF(OR(BH34="",BG34="",BH34&lt;=$CT$2),MAX(BF34:BH34),$CT$2)))</f>
        <v/>
      </c>
      <c r="BJ34" s="101"/>
      <c r="BK34" s="101"/>
      <c r="BL34" s="101"/>
      <c r="BM34" s="91"/>
      <c r="BN34" s="307" t="str">
        <f t="shared" ref="BN34:BN36" si="167">IF(AND(BJ34="",BK34="",BL34="",BM34=""),"",AVERAGE(BJ34:BM34))</f>
        <v/>
      </c>
      <c r="BO34" s="101"/>
      <c r="BP34" s="101"/>
      <c r="BQ34" s="316" t="str">
        <f t="shared" ref="BQ34:BQ36" si="168">IF(AND(BJ34="",BK34="",BL34="",BM34=""),"",IF(AND(BO34="",BP34=""),BN34,IF(OR(BP34="",BO34="",BP34&lt;=$CT$2),MAX(BN34:BP34),$CT$2)))</f>
        <v/>
      </c>
      <c r="BR34" s="101"/>
      <c r="BS34" s="101"/>
      <c r="BT34" s="101"/>
      <c r="BU34" s="91"/>
      <c r="BV34" s="307" t="str">
        <f t="shared" ref="BV34:BV36" si="169">IF(AND(BR34="",BS34="",BT34="",BU34=""),"",AVERAGE(BR34:BU34))</f>
        <v/>
      </c>
      <c r="BW34" s="101"/>
      <c r="BX34" s="101"/>
      <c r="BY34" s="316" t="str">
        <f t="shared" ref="BY34:BY36" si="170">IF(AND(BR34="",BS34="",BT34="",BU34=""),"",IF(AND(BW34="",BX34=""),BV34,IF(OR(BX34="",BW34="",BX34&lt;=$CT$2),MAX(BV34:BX34),$CT$2)))</f>
        <v/>
      </c>
      <c r="BZ34" s="101"/>
      <c r="CA34" s="101"/>
      <c r="CB34" s="101"/>
      <c r="CC34" s="91"/>
      <c r="CD34" s="307" t="str">
        <f t="shared" ref="CD34:CD36" si="171">IF(AND(BZ34="",CA34="",CB34="",CC34=""),"",AVERAGE(BZ34:CC34))</f>
        <v/>
      </c>
      <c r="CE34" s="101"/>
      <c r="CF34" s="101"/>
      <c r="CG34" s="316" t="str">
        <f t="shared" ref="CG34:CG36" si="172">IF(AND(BZ34="",CA34="",CB34="",CC34=""),"",IF(AND(CE34="",CF34=""),CD34,IF(OR(CF34="",CE34="",CF34&lt;=$CT$2),MAX(CD34:CF34),$CT$2)))</f>
        <v/>
      </c>
      <c r="CH34" s="318" t="str">
        <f t="shared" si="0"/>
        <v/>
      </c>
      <c r="CI34" s="105">
        <f t="shared" si="1"/>
        <v>0</v>
      </c>
      <c r="CJ34" s="105">
        <f t="shared" si="2"/>
        <v>0</v>
      </c>
      <c r="CK34" s="407"/>
      <c r="CL34" s="101"/>
      <c r="CM34" s="319" t="str">
        <f t="shared" si="23"/>
        <v/>
      </c>
      <c r="CN34" s="319" t="str">
        <f t="shared" si="24"/>
        <v/>
      </c>
      <c r="CO34" s="319" t="str">
        <f t="shared" si="25"/>
        <v/>
      </c>
      <c r="CP34" s="227" t="str">
        <f t="shared" si="26"/>
        <v/>
      </c>
      <c r="CQ34" s="320" t="str">
        <f t="shared" si="27"/>
        <v/>
      </c>
      <c r="CR34" s="106" t="str">
        <f t="shared" si="28"/>
        <v/>
      </c>
      <c r="CS34" s="106" t="str">
        <f t="shared" si="29"/>
        <v/>
      </c>
      <c r="CT34" s="106" t="str">
        <f t="shared" si="30"/>
        <v>TIDAK</v>
      </c>
      <c r="CU34" s="106" t="str">
        <f t="shared" si="31"/>
        <v>TIDAK</v>
      </c>
      <c r="CV34" s="116" t="str">
        <f t="shared" si="32"/>
        <v/>
      </c>
      <c r="CW34" s="109" t="e">
        <f>IF(CI34="","",VLOOKUP(CI34,DATAPENG!$BH$3:$BI$12,2,FALSE))</f>
        <v>#N/A</v>
      </c>
      <c r="CX34" s="109" t="e">
        <f>IF(CJ34="","",VLOOKUP(CJ34,DATAPENG!$BH$3:$BI$12,2,FALSE))</f>
        <v>#N/A</v>
      </c>
    </row>
    <row r="35" spans="1:102" ht="16.5">
      <c r="A35" s="105">
        <f>'DATA SISWA'!A35</f>
        <v>0</v>
      </c>
      <c r="B35" s="105">
        <f>'DATA SISWA'!B35</f>
        <v>0</v>
      </c>
      <c r="C35" s="105">
        <f>'DATA SISWA'!C35</f>
        <v>0</v>
      </c>
      <c r="D35" s="105">
        <f>'DATA SISWA'!D35</f>
        <v>0</v>
      </c>
      <c r="E35" s="105" t="str">
        <f>'DATA SISWA'!E35</f>
        <v>VII</v>
      </c>
      <c r="F35" s="406"/>
      <c r="G35" s="101"/>
      <c r="H35" s="406"/>
      <c r="I35" s="406"/>
      <c r="J35" s="307" t="str">
        <f t="shared" si="153"/>
        <v/>
      </c>
      <c r="K35" s="101"/>
      <c r="L35" s="101"/>
      <c r="M35" s="316" t="str">
        <f t="shared" si="154"/>
        <v/>
      </c>
      <c r="N35" s="406"/>
      <c r="O35" s="101"/>
      <c r="P35" s="406"/>
      <c r="Q35" s="406"/>
      <c r="R35" s="307" t="str">
        <f t="shared" si="155"/>
        <v/>
      </c>
      <c r="S35" s="101"/>
      <c r="T35" s="101"/>
      <c r="U35" s="316" t="str">
        <f t="shared" si="156"/>
        <v/>
      </c>
      <c r="V35" s="101"/>
      <c r="W35" s="101"/>
      <c r="X35" s="101"/>
      <c r="Y35" s="91"/>
      <c r="Z35" s="307" t="str">
        <f t="shared" si="157"/>
        <v/>
      </c>
      <c r="AA35" s="101"/>
      <c r="AB35" s="101"/>
      <c r="AC35" s="316" t="str">
        <f t="shared" si="158"/>
        <v/>
      </c>
      <c r="AD35" s="101"/>
      <c r="AE35" s="101"/>
      <c r="AF35" s="101"/>
      <c r="AG35" s="91"/>
      <c r="AH35" s="307" t="str">
        <f t="shared" si="159"/>
        <v/>
      </c>
      <c r="AI35" s="101"/>
      <c r="AJ35" s="101"/>
      <c r="AK35" s="316" t="str">
        <f t="shared" si="160"/>
        <v/>
      </c>
      <c r="AL35" s="101"/>
      <c r="AM35" s="101"/>
      <c r="AN35" s="101"/>
      <c r="AO35" s="91"/>
      <c r="AP35" s="307" t="str">
        <f t="shared" si="161"/>
        <v/>
      </c>
      <c r="AQ35" s="101"/>
      <c r="AR35" s="101"/>
      <c r="AS35" s="316" t="str">
        <f t="shared" si="162"/>
        <v/>
      </c>
      <c r="AT35" s="101"/>
      <c r="AU35" s="101"/>
      <c r="AV35" s="101"/>
      <c r="AW35" s="91"/>
      <c r="AX35" s="307" t="str">
        <f t="shared" si="163"/>
        <v/>
      </c>
      <c r="AY35" s="101"/>
      <c r="AZ35" s="101"/>
      <c r="BA35" s="316" t="str">
        <f t="shared" si="164"/>
        <v/>
      </c>
      <c r="BB35" s="101"/>
      <c r="BC35" s="101"/>
      <c r="BD35" s="101"/>
      <c r="BE35" s="91"/>
      <c r="BF35" s="307" t="str">
        <f t="shared" si="165"/>
        <v/>
      </c>
      <c r="BG35" s="101"/>
      <c r="BH35" s="101"/>
      <c r="BI35" s="316" t="str">
        <f t="shared" si="166"/>
        <v/>
      </c>
      <c r="BJ35" s="101"/>
      <c r="BK35" s="101"/>
      <c r="BL35" s="101"/>
      <c r="BM35" s="91"/>
      <c r="BN35" s="307" t="str">
        <f t="shared" si="167"/>
        <v/>
      </c>
      <c r="BO35" s="101"/>
      <c r="BP35" s="101"/>
      <c r="BQ35" s="316" t="str">
        <f t="shared" si="168"/>
        <v/>
      </c>
      <c r="BR35" s="101"/>
      <c r="BS35" s="101"/>
      <c r="BT35" s="101"/>
      <c r="BU35" s="91"/>
      <c r="BV35" s="307" t="str">
        <f t="shared" si="169"/>
        <v/>
      </c>
      <c r="BW35" s="101"/>
      <c r="BX35" s="101"/>
      <c r="BY35" s="316" t="str">
        <f t="shared" si="170"/>
        <v/>
      </c>
      <c r="BZ35" s="101"/>
      <c r="CA35" s="101"/>
      <c r="CB35" s="101"/>
      <c r="CC35" s="91"/>
      <c r="CD35" s="307" t="str">
        <f t="shared" si="171"/>
        <v/>
      </c>
      <c r="CE35" s="101"/>
      <c r="CF35" s="101"/>
      <c r="CG35" s="316" t="str">
        <f t="shared" si="172"/>
        <v/>
      </c>
      <c r="CH35" s="318" t="str">
        <f t="shared" si="0"/>
        <v/>
      </c>
      <c r="CI35" s="105">
        <f t="shared" si="1"/>
        <v>0</v>
      </c>
      <c r="CJ35" s="105">
        <f t="shared" si="2"/>
        <v>0</v>
      </c>
      <c r="CK35" s="407"/>
      <c r="CL35" s="101"/>
      <c r="CM35" s="319" t="str">
        <f t="shared" si="23"/>
        <v/>
      </c>
      <c r="CN35" s="319" t="str">
        <f t="shared" si="24"/>
        <v/>
      </c>
      <c r="CO35" s="319" t="str">
        <f t="shared" si="25"/>
        <v/>
      </c>
      <c r="CP35" s="227" t="str">
        <f t="shared" si="26"/>
        <v/>
      </c>
      <c r="CQ35" s="320" t="str">
        <f t="shared" si="27"/>
        <v/>
      </c>
      <c r="CR35" s="106" t="str">
        <f t="shared" si="28"/>
        <v/>
      </c>
      <c r="CS35" s="106" t="str">
        <f t="shared" si="29"/>
        <v/>
      </c>
      <c r="CT35" s="106" t="str">
        <f t="shared" si="30"/>
        <v>TIDAK</v>
      </c>
      <c r="CU35" s="106" t="str">
        <f t="shared" si="31"/>
        <v>TIDAK</v>
      </c>
      <c r="CV35" s="116" t="str">
        <f t="shared" si="32"/>
        <v/>
      </c>
      <c r="CW35" s="109" t="e">
        <f>IF(CI35="","",VLOOKUP(CI35,DATAPENG!$BJ$3:$BK$12,2,FALSE))</f>
        <v>#N/A</v>
      </c>
      <c r="CX35" s="109" t="e">
        <f>IF(CJ35="","",VLOOKUP(CJ35,DATAPENG!$BJ$3:$BK$12,2,FALSE))</f>
        <v>#N/A</v>
      </c>
    </row>
    <row r="36" spans="1:102" ht="16.5">
      <c r="A36" s="105">
        <f>'DATA SISWA'!A36</f>
        <v>0</v>
      </c>
      <c r="B36" s="105">
        <f>'DATA SISWA'!B36</f>
        <v>0</v>
      </c>
      <c r="C36" s="105">
        <f>'DATA SISWA'!C36</f>
        <v>0</v>
      </c>
      <c r="D36" s="105">
        <f>'DATA SISWA'!D36</f>
        <v>0</v>
      </c>
      <c r="E36" s="105" t="str">
        <f>'DATA SISWA'!E36</f>
        <v>VII</v>
      </c>
      <c r="F36" s="406"/>
      <c r="G36" s="101"/>
      <c r="H36" s="406"/>
      <c r="I36" s="406"/>
      <c r="J36" s="307" t="str">
        <f t="shared" si="153"/>
        <v/>
      </c>
      <c r="K36" s="101"/>
      <c r="L36" s="101"/>
      <c r="M36" s="316" t="str">
        <f t="shared" si="154"/>
        <v/>
      </c>
      <c r="N36" s="406"/>
      <c r="O36" s="101"/>
      <c r="P36" s="406"/>
      <c r="Q36" s="406"/>
      <c r="R36" s="307" t="str">
        <f t="shared" si="155"/>
        <v/>
      </c>
      <c r="S36" s="101"/>
      <c r="T36" s="101"/>
      <c r="U36" s="316" t="str">
        <f t="shared" si="156"/>
        <v/>
      </c>
      <c r="V36" s="101"/>
      <c r="W36" s="101"/>
      <c r="X36" s="101"/>
      <c r="Y36" s="91"/>
      <c r="Z36" s="307" t="str">
        <f t="shared" si="157"/>
        <v/>
      </c>
      <c r="AA36" s="101"/>
      <c r="AB36" s="101"/>
      <c r="AC36" s="316" t="str">
        <f t="shared" si="158"/>
        <v/>
      </c>
      <c r="AD36" s="101"/>
      <c r="AE36" s="101"/>
      <c r="AF36" s="101"/>
      <c r="AG36" s="91"/>
      <c r="AH36" s="307" t="str">
        <f t="shared" si="159"/>
        <v/>
      </c>
      <c r="AI36" s="101"/>
      <c r="AJ36" s="101"/>
      <c r="AK36" s="316" t="str">
        <f t="shared" si="160"/>
        <v/>
      </c>
      <c r="AL36" s="101"/>
      <c r="AM36" s="101"/>
      <c r="AN36" s="101"/>
      <c r="AO36" s="91"/>
      <c r="AP36" s="307" t="str">
        <f t="shared" si="161"/>
        <v/>
      </c>
      <c r="AQ36" s="101"/>
      <c r="AR36" s="101"/>
      <c r="AS36" s="316" t="str">
        <f t="shared" si="162"/>
        <v/>
      </c>
      <c r="AT36" s="101"/>
      <c r="AU36" s="101"/>
      <c r="AV36" s="101"/>
      <c r="AW36" s="91"/>
      <c r="AX36" s="307" t="str">
        <f t="shared" si="163"/>
        <v/>
      </c>
      <c r="AY36" s="101"/>
      <c r="AZ36" s="101"/>
      <c r="BA36" s="316" t="str">
        <f t="shared" si="164"/>
        <v/>
      </c>
      <c r="BB36" s="101"/>
      <c r="BC36" s="101"/>
      <c r="BD36" s="101"/>
      <c r="BE36" s="91"/>
      <c r="BF36" s="307" t="str">
        <f t="shared" si="165"/>
        <v/>
      </c>
      <c r="BG36" s="101"/>
      <c r="BH36" s="101"/>
      <c r="BI36" s="316" t="str">
        <f t="shared" si="166"/>
        <v/>
      </c>
      <c r="BJ36" s="101"/>
      <c r="BK36" s="101"/>
      <c r="BL36" s="101"/>
      <c r="BM36" s="91"/>
      <c r="BN36" s="307" t="str">
        <f t="shared" si="167"/>
        <v/>
      </c>
      <c r="BO36" s="101"/>
      <c r="BP36" s="101"/>
      <c r="BQ36" s="316" t="str">
        <f t="shared" si="168"/>
        <v/>
      </c>
      <c r="BR36" s="101"/>
      <c r="BS36" s="101"/>
      <c r="BT36" s="101"/>
      <c r="BU36" s="91"/>
      <c r="BV36" s="307" t="str">
        <f t="shared" si="169"/>
        <v/>
      </c>
      <c r="BW36" s="101"/>
      <c r="BX36" s="101"/>
      <c r="BY36" s="316" t="str">
        <f t="shared" si="170"/>
        <v/>
      </c>
      <c r="BZ36" s="101"/>
      <c r="CA36" s="101"/>
      <c r="CB36" s="101"/>
      <c r="CC36" s="91"/>
      <c r="CD36" s="307" t="str">
        <f t="shared" si="171"/>
        <v/>
      </c>
      <c r="CE36" s="101"/>
      <c r="CF36" s="101"/>
      <c r="CG36" s="316" t="str">
        <f t="shared" si="172"/>
        <v/>
      </c>
      <c r="CH36" s="318" t="str">
        <f t="shared" si="0"/>
        <v/>
      </c>
      <c r="CI36" s="105">
        <f t="shared" si="1"/>
        <v>0</v>
      </c>
      <c r="CJ36" s="105">
        <f t="shared" si="2"/>
        <v>0</v>
      </c>
      <c r="CK36" s="407"/>
      <c r="CL36" s="101"/>
      <c r="CM36" s="319" t="str">
        <f t="shared" si="23"/>
        <v/>
      </c>
      <c r="CN36" s="319" t="str">
        <f t="shared" si="24"/>
        <v/>
      </c>
      <c r="CO36" s="319" t="str">
        <f t="shared" si="25"/>
        <v/>
      </c>
      <c r="CP36" s="227" t="str">
        <f t="shared" si="26"/>
        <v/>
      </c>
      <c r="CQ36" s="320" t="str">
        <f t="shared" si="27"/>
        <v/>
      </c>
      <c r="CR36" s="106" t="str">
        <f t="shared" si="28"/>
        <v/>
      </c>
      <c r="CS36" s="106" t="str">
        <f t="shared" si="29"/>
        <v/>
      </c>
      <c r="CT36" s="106" t="str">
        <f t="shared" si="30"/>
        <v>TIDAK</v>
      </c>
      <c r="CU36" s="106" t="str">
        <f t="shared" si="31"/>
        <v>TIDAK</v>
      </c>
      <c r="CV36" s="116" t="str">
        <f t="shared" si="32"/>
        <v/>
      </c>
      <c r="CW36" s="109" t="e">
        <f>IF(CI36="","",VLOOKUP(CI36,DATAPENG!$BL$3:$BM$12,2,FALSE))</f>
        <v>#N/A</v>
      </c>
      <c r="CX36" s="109" t="e">
        <f>IF(CJ36="","",VLOOKUP(CJ36,DATAPENG!$BL$3:$BM$12,2,FALSE))</f>
        <v>#N/A</v>
      </c>
    </row>
    <row r="37" spans="1:102" ht="16.5">
      <c r="A37" s="105">
        <f>'DATA SISWA'!A37</f>
        <v>0</v>
      </c>
      <c r="B37" s="105">
        <f>'DATA SISWA'!B37</f>
        <v>0</v>
      </c>
      <c r="C37" s="105">
        <f>'DATA SISWA'!C37</f>
        <v>0</v>
      </c>
      <c r="D37" s="105">
        <f>'DATA SISWA'!D37</f>
        <v>0</v>
      </c>
      <c r="E37" s="105" t="str">
        <f>'DATA SISWA'!E37</f>
        <v>VII</v>
      </c>
      <c r="F37" s="406"/>
      <c r="G37" s="101"/>
      <c r="H37" s="406"/>
      <c r="I37" s="406"/>
      <c r="J37" s="307" t="str">
        <f>IF(AND(F37="",G37="",H37="",I37=""),"",AVERAGE(F37:I37))</f>
        <v/>
      </c>
      <c r="K37" s="101"/>
      <c r="L37" s="101"/>
      <c r="M37" s="316" t="str">
        <f>IF(AND(F37="",G37="",H37="",I37=""),"",IF(AND(K37="",L37=""),J37,IF(OR(L37="",K37="",L37&lt;=$CT$2),MAX(J37:L37),$CT$2)))</f>
        <v/>
      </c>
      <c r="N37" s="406"/>
      <c r="O37" s="101"/>
      <c r="P37" s="406"/>
      <c r="Q37" s="406"/>
      <c r="R37" s="307" t="str">
        <f>IF(AND(N37="",O37="",P37="",Q37=""),"",AVERAGE(N37:Q37))</f>
        <v/>
      </c>
      <c r="S37" s="101"/>
      <c r="T37" s="101"/>
      <c r="U37" s="316" t="str">
        <f>IF(AND(N37="",O37="",P37="",Q37=""),"",IF(AND(S37="",T37=""),R37,IF(OR(T37="",S37="",T37&lt;=$CT$2),MAX(R37:T37),$CT$2)))</f>
        <v/>
      </c>
      <c r="V37" s="101"/>
      <c r="W37" s="101"/>
      <c r="X37" s="101"/>
      <c r="Y37" s="91"/>
      <c r="Z37" s="307" t="str">
        <f>IF(AND(V37="",W37="",X37="",Y37=""),"",AVERAGE(V37:Y37))</f>
        <v/>
      </c>
      <c r="AA37" s="101"/>
      <c r="AB37" s="101"/>
      <c r="AC37" s="316" t="str">
        <f>IF(AND(V37="",W37="",X37="",Y37=""),"",IF(AND(AA37="",AB37=""),Z37,IF(OR(AB37="",AA37="",AB37&lt;=$CT$2),MAX(Z37:AB37),$CT$2)))</f>
        <v/>
      </c>
      <c r="AD37" s="101"/>
      <c r="AE37" s="101"/>
      <c r="AF37" s="101"/>
      <c r="AG37" s="91"/>
      <c r="AH37" s="307" t="str">
        <f>IF(AND(AD37="",AE37="",AF37="",AG37=""),"",AVERAGE(AD37:AG37))</f>
        <v/>
      </c>
      <c r="AI37" s="101"/>
      <c r="AJ37" s="101"/>
      <c r="AK37" s="316" t="str">
        <f>IF(AND(AD37="",AE37="",AF37="",AG37=""),"",IF(AND(AI37="",AJ37=""),AH37,IF(OR(AJ37="",AI37="",AJ37&lt;=$CT$2),MAX(AH37:AJ37),$CT$2)))</f>
        <v/>
      </c>
      <c r="AL37" s="101"/>
      <c r="AM37" s="101"/>
      <c r="AN37" s="101"/>
      <c r="AO37" s="91"/>
      <c r="AP37" s="307" t="str">
        <f>IF(AND(AL37="",AM37="",AN37="",AO37=""),"",AVERAGE(AL37:AO37))</f>
        <v/>
      </c>
      <c r="AQ37" s="101"/>
      <c r="AR37" s="101"/>
      <c r="AS37" s="316" t="str">
        <f>IF(AND(AL37="",AM37="",AN37="",AO37=""),"",IF(AND(AQ37="",AR37=""),AP37,IF(OR(AR37="",AQ37="",AR37&lt;=$CT$2),MAX(AP37:AR37),$CT$2)))</f>
        <v/>
      </c>
      <c r="AT37" s="101"/>
      <c r="AU37" s="101"/>
      <c r="AV37" s="101"/>
      <c r="AW37" s="91"/>
      <c r="AX37" s="307" t="str">
        <f>IF(AND(AT37="",AU37="",AV37="",AW37=""),"",AVERAGE(AT37:AW37))</f>
        <v/>
      </c>
      <c r="AY37" s="101"/>
      <c r="AZ37" s="101"/>
      <c r="BA37" s="316" t="str">
        <f>IF(AND(AT37="",AU37="",AV37="",AW37=""),"",IF(AND(AY37="",AZ37=""),AX37,IF(OR(AZ37="",AY37="",AZ37&lt;=$CT$2),MAX(AX37:AZ37),$CT$2)))</f>
        <v/>
      </c>
      <c r="BB37" s="101"/>
      <c r="BC37" s="101"/>
      <c r="BD37" s="101"/>
      <c r="BE37" s="91"/>
      <c r="BF37" s="307" t="str">
        <f>IF(AND(BB37="",BC37="",BD37="",BE37=""),"",AVERAGE(BB37:BE37))</f>
        <v/>
      </c>
      <c r="BG37" s="101"/>
      <c r="BH37" s="101"/>
      <c r="BI37" s="316" t="str">
        <f>IF(AND(BB37="",BC37="",BD37="",BE37=""),"",IF(AND(BG37="",BH37=""),BF37,IF(OR(BH37="",BG37="",BH37&lt;=$CT$2),MAX(BF37:BH37),$CT$2)))</f>
        <v/>
      </c>
      <c r="BJ37" s="101"/>
      <c r="BK37" s="101"/>
      <c r="BL37" s="101"/>
      <c r="BM37" s="91"/>
      <c r="BN37" s="307" t="str">
        <f>IF(AND(BJ37="",BK37="",BL37="",BM37=""),"",AVERAGE(BJ37:BM37))</f>
        <v/>
      </c>
      <c r="BO37" s="101"/>
      <c r="BP37" s="101"/>
      <c r="BQ37" s="316" t="str">
        <f>IF(AND(BJ37="",BK37="",BL37="",BM37=""),"",IF(AND(BO37="",BP37=""),BN37,IF(OR(BP37="",BO37="",BP37&lt;=$CT$2),MAX(BN37:BP37),$CT$2)))</f>
        <v/>
      </c>
      <c r="BR37" s="101"/>
      <c r="BS37" s="101"/>
      <c r="BT37" s="101"/>
      <c r="BU37" s="91"/>
      <c r="BV37" s="307" t="str">
        <f>IF(AND(BR37="",BS37="",BT37="",BU37=""),"",AVERAGE(BR37:BU37))</f>
        <v/>
      </c>
      <c r="BW37" s="101"/>
      <c r="BX37" s="101"/>
      <c r="BY37" s="316" t="str">
        <f>IF(AND(BR37="",BS37="",BT37="",BU37=""),"",IF(AND(BW37="",BX37=""),BV37,IF(OR(BX37="",BW37="",BX37&lt;=$CT$2),MAX(BV37:BX37),$CT$2)))</f>
        <v/>
      </c>
      <c r="BZ37" s="101"/>
      <c r="CA37" s="101"/>
      <c r="CB37" s="101"/>
      <c r="CC37" s="91"/>
      <c r="CD37" s="307" t="str">
        <f>IF(AND(BZ37="",CA37="",CB37="",CC37=""),"",AVERAGE(BZ37:CC37))</f>
        <v/>
      </c>
      <c r="CE37" s="101"/>
      <c r="CF37" s="101"/>
      <c r="CG37" s="316" t="str">
        <f>IF(AND(BZ37="",CA37="",CB37="",CC37=""),"",IF(AND(CE37="",CF37=""),CD37,IF(OR(CF37="",CE37="",CF37&lt;=$CT$2),MAX(CD37:CF37),$CT$2)))</f>
        <v/>
      </c>
      <c r="CH37" s="318" t="str">
        <f t="shared" si="0"/>
        <v/>
      </c>
      <c r="CI37" s="105">
        <f t="shared" si="1"/>
        <v>0</v>
      </c>
      <c r="CJ37" s="105">
        <f t="shared" si="2"/>
        <v>0</v>
      </c>
      <c r="CK37" s="407"/>
      <c r="CL37" s="101"/>
      <c r="CM37" s="319" t="str">
        <f t="shared" si="23"/>
        <v/>
      </c>
      <c r="CN37" s="319" t="str">
        <f t="shared" si="24"/>
        <v/>
      </c>
      <c r="CO37" s="319" t="str">
        <f t="shared" si="25"/>
        <v/>
      </c>
      <c r="CP37" s="227" t="str">
        <f t="shared" si="26"/>
        <v/>
      </c>
      <c r="CQ37" s="320" t="str">
        <f t="shared" si="27"/>
        <v/>
      </c>
      <c r="CR37" s="106" t="str">
        <f t="shared" si="28"/>
        <v/>
      </c>
      <c r="CS37" s="106" t="str">
        <f t="shared" si="29"/>
        <v/>
      </c>
      <c r="CT37" s="106" t="str">
        <f t="shared" si="30"/>
        <v>TIDAK</v>
      </c>
      <c r="CU37" s="106" t="str">
        <f t="shared" si="31"/>
        <v>TIDAK</v>
      </c>
      <c r="CV37" s="116" t="str">
        <f t="shared" si="32"/>
        <v/>
      </c>
      <c r="CW37" s="109" t="e">
        <f>IF(CI37="","",VLOOKUP(CI37,DATAPENG!$BN$3:$BO$12,2,FALSE))</f>
        <v>#N/A</v>
      </c>
      <c r="CX37" s="109" t="e">
        <f>IF(CJ37="","",VLOOKUP(CJ37,DATAPENG!$BN$3:$BO$12,2,FALSE))</f>
        <v>#N/A</v>
      </c>
    </row>
    <row r="38" spans="1:102" ht="16.5">
      <c r="A38" s="105">
        <f>'DATA SISWA'!A38</f>
        <v>0</v>
      </c>
      <c r="B38" s="105">
        <f>'DATA SISWA'!B38</f>
        <v>0</v>
      </c>
      <c r="C38" s="105">
        <f>'DATA SISWA'!C38</f>
        <v>0</v>
      </c>
      <c r="D38" s="105">
        <f>'DATA SISWA'!D38</f>
        <v>0</v>
      </c>
      <c r="E38" s="105" t="str">
        <f>'DATA SISWA'!E38</f>
        <v>VII</v>
      </c>
      <c r="F38" s="101"/>
      <c r="G38" s="101"/>
      <c r="H38" s="406"/>
      <c r="I38" s="406"/>
      <c r="J38" s="307" t="str">
        <f t="shared" ref="J38:J40" si="173">IF(AND(F38="",G38="",H38="",I38=""),"",AVERAGE(F38:I38))</f>
        <v/>
      </c>
      <c r="K38" s="101"/>
      <c r="L38" s="101"/>
      <c r="M38" s="316" t="str">
        <f t="shared" ref="M38:M40" si="174">IF(AND(F38="",G38="",H38="",I38=""),"",IF(AND(K38="",L38=""),J38,IF(OR(L38="",K38="",L38&lt;=$CT$2),MAX(J38:L38),$CT$2)))</f>
        <v/>
      </c>
      <c r="N38" s="406"/>
      <c r="O38" s="101"/>
      <c r="P38" s="406"/>
      <c r="Q38" s="406"/>
      <c r="R38" s="307" t="str">
        <f t="shared" ref="R38:R40" si="175">IF(AND(N38="",O38="",P38="",Q38=""),"",AVERAGE(N38:Q38))</f>
        <v/>
      </c>
      <c r="S38" s="101"/>
      <c r="T38" s="101"/>
      <c r="U38" s="316" t="str">
        <f t="shared" ref="U38:U40" si="176">IF(AND(N38="",O38="",P38="",Q38=""),"",IF(AND(S38="",T38=""),R38,IF(OR(T38="",S38="",T38&lt;=$CT$2),MAX(R38:T38),$CT$2)))</f>
        <v/>
      </c>
      <c r="V38" s="101"/>
      <c r="W38" s="101"/>
      <c r="X38" s="101"/>
      <c r="Y38" s="91"/>
      <c r="Z38" s="307" t="str">
        <f t="shared" ref="Z38:Z40" si="177">IF(AND(V38="",W38="",X38="",Y38=""),"",AVERAGE(V38:Y38))</f>
        <v/>
      </c>
      <c r="AA38" s="101"/>
      <c r="AB38" s="101"/>
      <c r="AC38" s="316" t="str">
        <f t="shared" ref="AC38:AC40" si="178">IF(AND(V38="",W38="",X38="",Y38=""),"",IF(AND(AA38="",AB38=""),Z38,IF(OR(AB38="",AA38="",AB38&lt;=$CT$2),MAX(Z38:AB38),$CT$2)))</f>
        <v/>
      </c>
      <c r="AD38" s="101"/>
      <c r="AE38" s="101"/>
      <c r="AF38" s="101"/>
      <c r="AG38" s="91"/>
      <c r="AH38" s="307" t="str">
        <f t="shared" ref="AH38:AH40" si="179">IF(AND(AD38="",AE38="",AF38="",AG38=""),"",AVERAGE(AD38:AG38))</f>
        <v/>
      </c>
      <c r="AI38" s="101"/>
      <c r="AJ38" s="101"/>
      <c r="AK38" s="316" t="str">
        <f t="shared" ref="AK38:AK40" si="180">IF(AND(AD38="",AE38="",AF38="",AG38=""),"",IF(AND(AI38="",AJ38=""),AH38,IF(OR(AJ38="",AI38="",AJ38&lt;=$CT$2),MAX(AH38:AJ38),$CT$2)))</f>
        <v/>
      </c>
      <c r="AL38" s="101"/>
      <c r="AM38" s="101"/>
      <c r="AN38" s="101"/>
      <c r="AO38" s="91"/>
      <c r="AP38" s="307" t="str">
        <f t="shared" ref="AP38:AP40" si="181">IF(AND(AL38="",AM38="",AN38="",AO38=""),"",AVERAGE(AL38:AO38))</f>
        <v/>
      </c>
      <c r="AQ38" s="101"/>
      <c r="AR38" s="101"/>
      <c r="AS38" s="316" t="str">
        <f t="shared" ref="AS38:AS40" si="182">IF(AND(AL38="",AM38="",AN38="",AO38=""),"",IF(AND(AQ38="",AR38=""),AP38,IF(OR(AR38="",AQ38="",AR38&lt;=$CT$2),MAX(AP38:AR38),$CT$2)))</f>
        <v/>
      </c>
      <c r="AT38" s="101"/>
      <c r="AU38" s="101"/>
      <c r="AV38" s="101"/>
      <c r="AW38" s="91"/>
      <c r="AX38" s="307" t="str">
        <f t="shared" ref="AX38:AX40" si="183">IF(AND(AT38="",AU38="",AV38="",AW38=""),"",AVERAGE(AT38:AW38))</f>
        <v/>
      </c>
      <c r="AY38" s="101"/>
      <c r="AZ38" s="101"/>
      <c r="BA38" s="316" t="str">
        <f t="shared" ref="BA38:BA40" si="184">IF(AND(AT38="",AU38="",AV38="",AW38=""),"",IF(AND(AY38="",AZ38=""),AX38,IF(OR(AZ38="",AY38="",AZ38&lt;=$CT$2),MAX(AX38:AZ38),$CT$2)))</f>
        <v/>
      </c>
      <c r="BB38" s="101"/>
      <c r="BC38" s="101"/>
      <c r="BD38" s="101"/>
      <c r="BE38" s="91"/>
      <c r="BF38" s="307" t="str">
        <f t="shared" ref="BF38:BF40" si="185">IF(AND(BB38="",BC38="",BD38="",BE38=""),"",AVERAGE(BB38:BE38))</f>
        <v/>
      </c>
      <c r="BG38" s="101"/>
      <c r="BH38" s="101"/>
      <c r="BI38" s="316" t="str">
        <f t="shared" ref="BI38:BI40" si="186">IF(AND(BB38="",BC38="",BD38="",BE38=""),"",IF(AND(BG38="",BH38=""),BF38,IF(OR(BH38="",BG38="",BH38&lt;=$CT$2),MAX(BF38:BH38),$CT$2)))</f>
        <v/>
      </c>
      <c r="BJ38" s="101"/>
      <c r="BK38" s="101"/>
      <c r="BL38" s="101"/>
      <c r="BM38" s="91"/>
      <c r="BN38" s="307" t="str">
        <f t="shared" ref="BN38:BN40" si="187">IF(AND(BJ38="",BK38="",BL38="",BM38=""),"",AVERAGE(BJ38:BM38))</f>
        <v/>
      </c>
      <c r="BO38" s="101"/>
      <c r="BP38" s="101"/>
      <c r="BQ38" s="316" t="str">
        <f t="shared" ref="BQ38:BQ40" si="188">IF(AND(BJ38="",BK38="",BL38="",BM38=""),"",IF(AND(BO38="",BP38=""),BN38,IF(OR(BP38="",BO38="",BP38&lt;=$CT$2),MAX(BN38:BP38),$CT$2)))</f>
        <v/>
      </c>
      <c r="BR38" s="101"/>
      <c r="BS38" s="101"/>
      <c r="BT38" s="101"/>
      <c r="BU38" s="91"/>
      <c r="BV38" s="307" t="str">
        <f t="shared" ref="BV38:BV40" si="189">IF(AND(BR38="",BS38="",BT38="",BU38=""),"",AVERAGE(BR38:BU38))</f>
        <v/>
      </c>
      <c r="BW38" s="101"/>
      <c r="BX38" s="101"/>
      <c r="BY38" s="316" t="str">
        <f t="shared" ref="BY38:BY40" si="190">IF(AND(BR38="",BS38="",BT38="",BU38=""),"",IF(AND(BW38="",BX38=""),BV38,IF(OR(BX38="",BW38="",BX38&lt;=$CT$2),MAX(BV38:BX38),$CT$2)))</f>
        <v/>
      </c>
      <c r="BZ38" s="101"/>
      <c r="CA38" s="101"/>
      <c r="CB38" s="101"/>
      <c r="CC38" s="91"/>
      <c r="CD38" s="307" t="str">
        <f t="shared" ref="CD38:CD40" si="191">IF(AND(BZ38="",CA38="",CB38="",CC38=""),"",AVERAGE(BZ38:CC38))</f>
        <v/>
      </c>
      <c r="CE38" s="101"/>
      <c r="CF38" s="101"/>
      <c r="CG38" s="316" t="str">
        <f t="shared" ref="CG38:CG40" si="192">IF(AND(BZ38="",CA38="",CB38="",CC38=""),"",IF(AND(CE38="",CF38=""),CD38,IF(OR(CF38="",CE38="",CF38&lt;=$CT$2),MAX(CD38:CF38),$CT$2)))</f>
        <v/>
      </c>
      <c r="CH38" s="318" t="str">
        <f t="shared" si="0"/>
        <v/>
      </c>
      <c r="CI38" s="105">
        <f t="shared" si="1"/>
        <v>0</v>
      </c>
      <c r="CJ38" s="105">
        <f t="shared" si="2"/>
        <v>0</v>
      </c>
      <c r="CK38" s="407"/>
      <c r="CL38" s="101"/>
      <c r="CM38" s="319" t="str">
        <f t="shared" si="23"/>
        <v/>
      </c>
      <c r="CN38" s="319" t="str">
        <f t="shared" si="24"/>
        <v/>
      </c>
      <c r="CO38" s="319" t="str">
        <f t="shared" si="25"/>
        <v/>
      </c>
      <c r="CP38" s="227" t="str">
        <f t="shared" si="26"/>
        <v/>
      </c>
      <c r="CQ38" s="320" t="str">
        <f t="shared" si="27"/>
        <v/>
      </c>
      <c r="CR38" s="106" t="str">
        <f t="shared" si="28"/>
        <v/>
      </c>
      <c r="CS38" s="106" t="str">
        <f t="shared" si="29"/>
        <v/>
      </c>
      <c r="CT38" s="106" t="str">
        <f t="shared" si="30"/>
        <v>TIDAK</v>
      </c>
      <c r="CU38" s="106" t="str">
        <f t="shared" si="31"/>
        <v>TIDAK</v>
      </c>
      <c r="CV38" s="116" t="str">
        <f t="shared" si="32"/>
        <v/>
      </c>
      <c r="CW38" s="109" t="e">
        <f>IF(CI38="","",VLOOKUP(CI38,DATAPENG!$BP$3:$BQ$12,2,FALSE))</f>
        <v>#N/A</v>
      </c>
      <c r="CX38" s="109" t="e">
        <f>IF(CJ38="","",VLOOKUP(CJ38,DATAPENG!$BP$3:$BQ$12,2,FALSE))</f>
        <v>#N/A</v>
      </c>
    </row>
    <row r="39" spans="1:102" ht="16.5">
      <c r="A39" s="105">
        <f>'DATA SISWA'!A39</f>
        <v>0</v>
      </c>
      <c r="B39" s="105">
        <f>'DATA SISWA'!B39</f>
        <v>0</v>
      </c>
      <c r="C39" s="105">
        <f>'DATA SISWA'!C39</f>
        <v>0</v>
      </c>
      <c r="D39" s="105">
        <f>'DATA SISWA'!D39</f>
        <v>0</v>
      </c>
      <c r="E39" s="105" t="str">
        <f>'DATA SISWA'!E39</f>
        <v>VII</v>
      </c>
      <c r="F39" s="101"/>
      <c r="G39" s="101"/>
      <c r="H39" s="406"/>
      <c r="I39" s="406"/>
      <c r="J39" s="307" t="str">
        <f t="shared" si="173"/>
        <v/>
      </c>
      <c r="K39" s="101"/>
      <c r="L39" s="101"/>
      <c r="M39" s="316" t="str">
        <f t="shared" si="174"/>
        <v/>
      </c>
      <c r="N39" s="406"/>
      <c r="O39" s="101"/>
      <c r="P39" s="406"/>
      <c r="Q39" s="406"/>
      <c r="R39" s="307" t="str">
        <f t="shared" si="175"/>
        <v/>
      </c>
      <c r="S39" s="101"/>
      <c r="T39" s="101"/>
      <c r="U39" s="316" t="str">
        <f t="shared" si="176"/>
        <v/>
      </c>
      <c r="V39" s="101"/>
      <c r="W39" s="101"/>
      <c r="X39" s="101"/>
      <c r="Y39" s="91"/>
      <c r="Z39" s="307" t="str">
        <f t="shared" si="177"/>
        <v/>
      </c>
      <c r="AA39" s="101"/>
      <c r="AB39" s="101"/>
      <c r="AC39" s="316" t="str">
        <f t="shared" si="178"/>
        <v/>
      </c>
      <c r="AD39" s="101"/>
      <c r="AE39" s="101"/>
      <c r="AF39" s="101"/>
      <c r="AG39" s="91"/>
      <c r="AH39" s="307" t="str">
        <f t="shared" si="179"/>
        <v/>
      </c>
      <c r="AI39" s="101"/>
      <c r="AJ39" s="101"/>
      <c r="AK39" s="316" t="str">
        <f t="shared" si="180"/>
        <v/>
      </c>
      <c r="AL39" s="101"/>
      <c r="AM39" s="101"/>
      <c r="AN39" s="101"/>
      <c r="AO39" s="91"/>
      <c r="AP39" s="307" t="str">
        <f t="shared" si="181"/>
        <v/>
      </c>
      <c r="AQ39" s="101"/>
      <c r="AR39" s="101"/>
      <c r="AS39" s="316" t="str">
        <f t="shared" si="182"/>
        <v/>
      </c>
      <c r="AT39" s="101"/>
      <c r="AU39" s="101"/>
      <c r="AV39" s="101"/>
      <c r="AW39" s="91"/>
      <c r="AX39" s="307" t="str">
        <f t="shared" si="183"/>
        <v/>
      </c>
      <c r="AY39" s="101"/>
      <c r="AZ39" s="101"/>
      <c r="BA39" s="316" t="str">
        <f t="shared" si="184"/>
        <v/>
      </c>
      <c r="BB39" s="101"/>
      <c r="BC39" s="101"/>
      <c r="BD39" s="101"/>
      <c r="BE39" s="91"/>
      <c r="BF39" s="307" t="str">
        <f t="shared" si="185"/>
        <v/>
      </c>
      <c r="BG39" s="101"/>
      <c r="BH39" s="101"/>
      <c r="BI39" s="316" t="str">
        <f t="shared" si="186"/>
        <v/>
      </c>
      <c r="BJ39" s="101"/>
      <c r="BK39" s="101"/>
      <c r="BL39" s="101"/>
      <c r="BM39" s="91"/>
      <c r="BN39" s="307" t="str">
        <f t="shared" si="187"/>
        <v/>
      </c>
      <c r="BO39" s="101"/>
      <c r="BP39" s="101"/>
      <c r="BQ39" s="316" t="str">
        <f t="shared" si="188"/>
        <v/>
      </c>
      <c r="BR39" s="101"/>
      <c r="BS39" s="101"/>
      <c r="BT39" s="101"/>
      <c r="BU39" s="91"/>
      <c r="BV39" s="307" t="str">
        <f t="shared" si="189"/>
        <v/>
      </c>
      <c r="BW39" s="101"/>
      <c r="BX39" s="101"/>
      <c r="BY39" s="316" t="str">
        <f t="shared" si="190"/>
        <v/>
      </c>
      <c r="BZ39" s="101"/>
      <c r="CA39" s="101"/>
      <c r="CB39" s="101"/>
      <c r="CC39" s="91"/>
      <c r="CD39" s="307" t="str">
        <f t="shared" si="191"/>
        <v/>
      </c>
      <c r="CE39" s="101"/>
      <c r="CF39" s="101"/>
      <c r="CG39" s="316" t="str">
        <f t="shared" si="192"/>
        <v/>
      </c>
      <c r="CH39" s="318" t="str">
        <f t="shared" si="0"/>
        <v/>
      </c>
      <c r="CI39" s="105">
        <f t="shared" si="1"/>
        <v>0</v>
      </c>
      <c r="CJ39" s="105">
        <f t="shared" si="2"/>
        <v>0</v>
      </c>
      <c r="CK39" s="407"/>
      <c r="CL39" s="101"/>
      <c r="CM39" s="319" t="str">
        <f t="shared" si="23"/>
        <v/>
      </c>
      <c r="CN39" s="319" t="str">
        <f t="shared" si="24"/>
        <v/>
      </c>
      <c r="CO39" s="319" t="str">
        <f t="shared" si="25"/>
        <v/>
      </c>
      <c r="CP39" s="227" t="str">
        <f t="shared" si="26"/>
        <v/>
      </c>
      <c r="CQ39" s="320" t="str">
        <f t="shared" si="27"/>
        <v/>
      </c>
      <c r="CR39" s="106" t="str">
        <f t="shared" si="28"/>
        <v/>
      </c>
      <c r="CS39" s="106" t="str">
        <f t="shared" si="29"/>
        <v/>
      </c>
      <c r="CT39" s="106" t="str">
        <f t="shared" si="30"/>
        <v>TIDAK</v>
      </c>
      <c r="CU39" s="106" t="str">
        <f t="shared" si="31"/>
        <v>TIDAK</v>
      </c>
      <c r="CV39" s="116" t="str">
        <f t="shared" si="32"/>
        <v/>
      </c>
      <c r="CW39" s="109" t="e">
        <f>IF(CI39="","",VLOOKUP(CI39,DATAPENG!$BR$3:$BS$12,2,FALSE))</f>
        <v>#N/A</v>
      </c>
      <c r="CX39" s="109" t="e">
        <f>IF(CJ39="","",VLOOKUP(CJ39,DATAPENG!$BR$3:$BS$12,2,FALSE))</f>
        <v>#N/A</v>
      </c>
    </row>
    <row r="40" spans="1:102" ht="16.5">
      <c r="A40" s="105">
        <f>'DATA SISWA'!A40</f>
        <v>0</v>
      </c>
      <c r="B40" s="105">
        <f>'DATA SISWA'!B40</f>
        <v>0</v>
      </c>
      <c r="C40" s="105">
        <f>'DATA SISWA'!C40</f>
        <v>0</v>
      </c>
      <c r="D40" s="105">
        <f>'DATA SISWA'!D40</f>
        <v>0</v>
      </c>
      <c r="E40" s="105" t="str">
        <f>'DATA SISWA'!E40</f>
        <v>VII</v>
      </c>
      <c r="F40" s="101"/>
      <c r="G40" s="101"/>
      <c r="H40" s="101"/>
      <c r="I40" s="91"/>
      <c r="J40" s="307" t="str">
        <f t="shared" si="173"/>
        <v/>
      </c>
      <c r="K40" s="101"/>
      <c r="L40" s="101"/>
      <c r="M40" s="316" t="str">
        <f t="shared" si="174"/>
        <v/>
      </c>
      <c r="N40" s="101"/>
      <c r="O40" s="101"/>
      <c r="P40" s="101"/>
      <c r="Q40" s="91"/>
      <c r="R40" s="307" t="str">
        <f t="shared" si="175"/>
        <v/>
      </c>
      <c r="S40" s="101"/>
      <c r="T40" s="101"/>
      <c r="U40" s="316" t="str">
        <f t="shared" si="176"/>
        <v/>
      </c>
      <c r="V40" s="101"/>
      <c r="W40" s="101"/>
      <c r="X40" s="101"/>
      <c r="Y40" s="91"/>
      <c r="Z40" s="307" t="str">
        <f t="shared" si="177"/>
        <v/>
      </c>
      <c r="AA40" s="101"/>
      <c r="AB40" s="101"/>
      <c r="AC40" s="316" t="str">
        <f t="shared" si="178"/>
        <v/>
      </c>
      <c r="AD40" s="101"/>
      <c r="AE40" s="101"/>
      <c r="AF40" s="101"/>
      <c r="AG40" s="91"/>
      <c r="AH40" s="307" t="str">
        <f t="shared" si="179"/>
        <v/>
      </c>
      <c r="AI40" s="101"/>
      <c r="AJ40" s="101"/>
      <c r="AK40" s="316" t="str">
        <f t="shared" si="180"/>
        <v/>
      </c>
      <c r="AL40" s="101"/>
      <c r="AM40" s="101"/>
      <c r="AN40" s="101"/>
      <c r="AO40" s="91"/>
      <c r="AP40" s="307" t="str">
        <f t="shared" si="181"/>
        <v/>
      </c>
      <c r="AQ40" s="101"/>
      <c r="AR40" s="101"/>
      <c r="AS40" s="316" t="str">
        <f t="shared" si="182"/>
        <v/>
      </c>
      <c r="AT40" s="101"/>
      <c r="AU40" s="101"/>
      <c r="AV40" s="101"/>
      <c r="AW40" s="91"/>
      <c r="AX40" s="307" t="str">
        <f t="shared" si="183"/>
        <v/>
      </c>
      <c r="AY40" s="101"/>
      <c r="AZ40" s="101"/>
      <c r="BA40" s="316" t="str">
        <f t="shared" si="184"/>
        <v/>
      </c>
      <c r="BB40" s="101"/>
      <c r="BC40" s="101"/>
      <c r="BD40" s="101"/>
      <c r="BE40" s="91"/>
      <c r="BF40" s="307" t="str">
        <f t="shared" si="185"/>
        <v/>
      </c>
      <c r="BG40" s="101"/>
      <c r="BH40" s="101"/>
      <c r="BI40" s="316" t="str">
        <f t="shared" si="186"/>
        <v/>
      </c>
      <c r="BJ40" s="101"/>
      <c r="BK40" s="101"/>
      <c r="BL40" s="101"/>
      <c r="BM40" s="91"/>
      <c r="BN40" s="307" t="str">
        <f t="shared" si="187"/>
        <v/>
      </c>
      <c r="BO40" s="101"/>
      <c r="BP40" s="101"/>
      <c r="BQ40" s="316" t="str">
        <f t="shared" si="188"/>
        <v/>
      </c>
      <c r="BR40" s="101"/>
      <c r="BS40" s="101"/>
      <c r="BT40" s="101"/>
      <c r="BU40" s="91"/>
      <c r="BV40" s="307" t="str">
        <f t="shared" si="189"/>
        <v/>
      </c>
      <c r="BW40" s="101"/>
      <c r="BX40" s="101"/>
      <c r="BY40" s="316" t="str">
        <f t="shared" si="190"/>
        <v/>
      </c>
      <c r="BZ40" s="101"/>
      <c r="CA40" s="101"/>
      <c r="CB40" s="101"/>
      <c r="CC40" s="91"/>
      <c r="CD40" s="307" t="str">
        <f t="shared" si="191"/>
        <v/>
      </c>
      <c r="CE40" s="101"/>
      <c r="CF40" s="101"/>
      <c r="CG40" s="316" t="str">
        <f t="shared" si="192"/>
        <v/>
      </c>
      <c r="CH40" s="318" t="str">
        <f t="shared" si="0"/>
        <v/>
      </c>
      <c r="CI40" s="105">
        <f t="shared" si="1"/>
        <v>0</v>
      </c>
      <c r="CJ40" s="105">
        <f t="shared" si="2"/>
        <v>0</v>
      </c>
      <c r="CK40" s="407"/>
      <c r="CL40" s="101"/>
      <c r="CM40" s="319" t="str">
        <f t="shared" si="23"/>
        <v/>
      </c>
      <c r="CN40" s="319" t="str">
        <f t="shared" si="24"/>
        <v/>
      </c>
      <c r="CO40" s="319" t="str">
        <f t="shared" si="25"/>
        <v/>
      </c>
      <c r="CP40" s="227" t="str">
        <f t="shared" si="26"/>
        <v/>
      </c>
      <c r="CQ40" s="320" t="str">
        <f t="shared" si="27"/>
        <v/>
      </c>
      <c r="CR40" s="106" t="str">
        <f t="shared" si="28"/>
        <v/>
      </c>
      <c r="CS40" s="106" t="str">
        <f t="shared" si="29"/>
        <v/>
      </c>
      <c r="CT40" s="106" t="str">
        <f t="shared" si="30"/>
        <v>TIDAK</v>
      </c>
      <c r="CU40" s="106" t="str">
        <f t="shared" si="31"/>
        <v>TIDAK</v>
      </c>
      <c r="CV40" s="116" t="str">
        <f t="shared" si="32"/>
        <v/>
      </c>
      <c r="CW40" s="109" t="e">
        <f>IF(CI40="","",VLOOKUP(CI40,DATAPENG!$BT$3:$BU$12,2,FALSE))</f>
        <v>#N/A</v>
      </c>
      <c r="CX40" s="109" t="e">
        <f>IF(CJ40="","",VLOOKUP(CJ40,DATAPENG!$BT$3:$BU$12,2,FALSE))</f>
        <v>#N/A</v>
      </c>
    </row>
    <row r="41" spans="1:102" ht="16.5">
      <c r="A41" s="105">
        <f>'DATA SISWA'!A41</f>
        <v>0</v>
      </c>
      <c r="B41" s="105">
        <f>'DATA SISWA'!B41</f>
        <v>0</v>
      </c>
      <c r="C41" s="105">
        <f>'DATA SISWA'!C41</f>
        <v>0</v>
      </c>
      <c r="D41" s="105">
        <f>'DATA SISWA'!D41</f>
        <v>0</v>
      </c>
      <c r="E41" s="105" t="str">
        <f>'DATA SISWA'!E41</f>
        <v>VII</v>
      </c>
      <c r="F41" s="101"/>
      <c r="G41" s="101"/>
      <c r="H41" s="101"/>
      <c r="I41" s="91"/>
      <c r="J41" s="307" t="str">
        <f>IF(AND(F41="",G41="",H41="",I41=""),"",AVERAGE(F41:I41))</f>
        <v/>
      </c>
      <c r="K41" s="101"/>
      <c r="L41" s="101"/>
      <c r="M41" s="316" t="str">
        <f>IF(AND(F41="",G41="",H41="",I41=""),"",IF(AND(K41="",L41=""),J41,IF(OR(L41="",K41="",L41&lt;=$CT$2),MAX(J41:L41),$CT$2)))</f>
        <v/>
      </c>
      <c r="N41" s="101"/>
      <c r="O41" s="101"/>
      <c r="P41" s="101"/>
      <c r="Q41" s="91"/>
      <c r="R41" s="307" t="str">
        <f>IF(AND(N41="",O41="",P41="",Q41=""),"",AVERAGE(N41:Q41))</f>
        <v/>
      </c>
      <c r="S41" s="101"/>
      <c r="T41" s="101"/>
      <c r="U41" s="316" t="str">
        <f>IF(AND(N41="",O41="",P41="",Q41=""),"",IF(AND(S41="",T41=""),R41,IF(OR(T41="",S41="",T41&lt;=$CT$2),MAX(R41:T41),$CT$2)))</f>
        <v/>
      </c>
      <c r="V41" s="101"/>
      <c r="W41" s="101"/>
      <c r="X41" s="101"/>
      <c r="Y41" s="91"/>
      <c r="Z41" s="307" t="str">
        <f>IF(AND(V41="",W41="",X41="",Y41=""),"",AVERAGE(V41:Y41))</f>
        <v/>
      </c>
      <c r="AA41" s="101"/>
      <c r="AB41" s="101"/>
      <c r="AC41" s="316" t="str">
        <f>IF(AND(V41="",W41="",X41="",Y41=""),"",IF(AND(AA41="",AB41=""),Z41,IF(OR(AB41="",AA41="",AB41&lt;=$CT$2),MAX(Z41:AB41),$CT$2)))</f>
        <v/>
      </c>
      <c r="AD41" s="101"/>
      <c r="AE41" s="101"/>
      <c r="AF41" s="101"/>
      <c r="AG41" s="91"/>
      <c r="AH41" s="307" t="str">
        <f>IF(AND(AD41="",AE41="",AF41="",AG41=""),"",AVERAGE(AD41:AG41))</f>
        <v/>
      </c>
      <c r="AI41" s="101"/>
      <c r="AJ41" s="101"/>
      <c r="AK41" s="316" t="str">
        <f>IF(AND(AD41="",AE41="",AF41="",AG41=""),"",IF(AND(AI41="",AJ41=""),AH41,IF(OR(AJ41="",AI41="",AJ41&lt;=$CT$2),MAX(AH41:AJ41),$CT$2)))</f>
        <v/>
      </c>
      <c r="AL41" s="101"/>
      <c r="AM41" s="101"/>
      <c r="AN41" s="101"/>
      <c r="AO41" s="91"/>
      <c r="AP41" s="307" t="str">
        <f>IF(AND(AL41="",AM41="",AN41="",AO41=""),"",AVERAGE(AL41:AO41))</f>
        <v/>
      </c>
      <c r="AQ41" s="101"/>
      <c r="AR41" s="101"/>
      <c r="AS41" s="316" t="str">
        <f>IF(AND(AL41="",AM41="",AN41="",AO41=""),"",IF(AND(AQ41="",AR41=""),AP41,IF(OR(AR41="",AQ41="",AR41&lt;=$CT$2),MAX(AP41:AR41),$CT$2)))</f>
        <v/>
      </c>
      <c r="AT41" s="101"/>
      <c r="AU41" s="101"/>
      <c r="AV41" s="101"/>
      <c r="AW41" s="91"/>
      <c r="AX41" s="307" t="str">
        <f>IF(AND(AT41="",AU41="",AV41="",AW41=""),"",AVERAGE(AT41:AW41))</f>
        <v/>
      </c>
      <c r="AY41" s="101"/>
      <c r="AZ41" s="101"/>
      <c r="BA41" s="316" t="str">
        <f>IF(AND(AT41="",AU41="",AV41="",AW41=""),"",IF(AND(AY41="",AZ41=""),AX41,IF(OR(AZ41="",AY41="",AZ41&lt;=$CT$2),MAX(AX41:AZ41),$CT$2)))</f>
        <v/>
      </c>
      <c r="BB41" s="101"/>
      <c r="BC41" s="101"/>
      <c r="BD41" s="101"/>
      <c r="BE41" s="91"/>
      <c r="BF41" s="307" t="str">
        <f>IF(AND(BB41="",BC41="",BD41="",BE41=""),"",AVERAGE(BB41:BE41))</f>
        <v/>
      </c>
      <c r="BG41" s="101"/>
      <c r="BH41" s="101"/>
      <c r="BI41" s="316" t="str">
        <f>IF(AND(BB41="",BC41="",BD41="",BE41=""),"",IF(AND(BG41="",BH41=""),BF41,IF(OR(BH41="",BG41="",BH41&lt;=$CT$2),MAX(BF41:BH41),$CT$2)))</f>
        <v/>
      </c>
      <c r="BJ41" s="101"/>
      <c r="BK41" s="101"/>
      <c r="BL41" s="101"/>
      <c r="BM41" s="91"/>
      <c r="BN41" s="307" t="str">
        <f>IF(AND(BJ41="",BK41="",BL41="",BM41=""),"",AVERAGE(BJ41:BM41))</f>
        <v/>
      </c>
      <c r="BO41" s="101"/>
      <c r="BP41" s="101"/>
      <c r="BQ41" s="316" t="str">
        <f>IF(AND(BJ41="",BK41="",BL41="",BM41=""),"",IF(AND(BO41="",BP41=""),BN41,IF(OR(BP41="",BO41="",BP41&lt;=$CT$2),MAX(BN41:BP41),$CT$2)))</f>
        <v/>
      </c>
      <c r="BR41" s="101"/>
      <c r="BS41" s="101"/>
      <c r="BT41" s="101"/>
      <c r="BU41" s="91"/>
      <c r="BV41" s="307" t="str">
        <f>IF(AND(BR41="",BS41="",BT41="",BU41=""),"",AVERAGE(BR41:BU41))</f>
        <v/>
      </c>
      <c r="BW41" s="101"/>
      <c r="BX41" s="101"/>
      <c r="BY41" s="316" t="str">
        <f>IF(AND(BR41="",BS41="",BT41="",BU41=""),"",IF(AND(BW41="",BX41=""),BV41,IF(OR(BX41="",BW41="",BX41&lt;=$CT$2),MAX(BV41:BX41),$CT$2)))</f>
        <v/>
      </c>
      <c r="BZ41" s="101"/>
      <c r="CA41" s="101"/>
      <c r="CB41" s="101"/>
      <c r="CC41" s="91"/>
      <c r="CD41" s="307" t="str">
        <f>IF(AND(BZ41="",CA41="",CB41="",CC41=""),"",AVERAGE(BZ41:CC41))</f>
        <v/>
      </c>
      <c r="CE41" s="101"/>
      <c r="CF41" s="101"/>
      <c r="CG41" s="316" t="str">
        <f>IF(AND(BZ41="",CA41="",CB41="",CC41=""),"",IF(AND(CE41="",CF41=""),CD41,IF(OR(CF41="",CE41="",CF41&lt;=$CT$2),MAX(CD41:CF41),$CT$2)))</f>
        <v/>
      </c>
      <c r="CH41" s="318" t="str">
        <f t="shared" si="0"/>
        <v/>
      </c>
      <c r="CI41" s="105">
        <f t="shared" si="1"/>
        <v>0</v>
      </c>
      <c r="CJ41" s="105">
        <f t="shared" si="2"/>
        <v>0</v>
      </c>
      <c r="CK41" s="407"/>
      <c r="CL41" s="101"/>
      <c r="CM41" s="319" t="str">
        <f t="shared" si="23"/>
        <v/>
      </c>
      <c r="CN41" s="319" t="str">
        <f t="shared" si="24"/>
        <v/>
      </c>
      <c r="CO41" s="319" t="str">
        <f t="shared" si="25"/>
        <v/>
      </c>
      <c r="CP41" s="227" t="str">
        <f t="shared" si="26"/>
        <v/>
      </c>
      <c r="CQ41" s="320" t="str">
        <f t="shared" si="27"/>
        <v/>
      </c>
      <c r="CR41" s="106" t="str">
        <f t="shared" si="28"/>
        <v/>
      </c>
      <c r="CS41" s="106" t="str">
        <f t="shared" si="29"/>
        <v/>
      </c>
      <c r="CT41" s="106" t="str">
        <f t="shared" si="30"/>
        <v>TIDAK</v>
      </c>
      <c r="CU41" s="106" t="str">
        <f t="shared" si="31"/>
        <v>TIDAK</v>
      </c>
      <c r="CV41" s="116" t="str">
        <f t="shared" si="32"/>
        <v/>
      </c>
      <c r="CW41" s="109" t="e">
        <f>IF(CI41="","",VLOOKUP(CI41,DATAPENG!$BV$3:$BW$12,2,FALSE))</f>
        <v>#N/A</v>
      </c>
      <c r="CX41" s="109" t="e">
        <f>IF(CJ41="","",VLOOKUP(CJ41,DATAPENG!$BV$3:$BW$12,2,FALSE))</f>
        <v>#N/A</v>
      </c>
    </row>
    <row r="42" spans="1:102" ht="16.5">
      <c r="A42" s="105">
        <f>'DATA SISWA'!A42</f>
        <v>0</v>
      </c>
      <c r="B42" s="105">
        <f>'DATA SISWA'!B42</f>
        <v>0</v>
      </c>
      <c r="C42" s="105">
        <f>'DATA SISWA'!C42</f>
        <v>0</v>
      </c>
      <c r="D42" s="105">
        <f>'DATA SISWA'!D42</f>
        <v>0</v>
      </c>
      <c r="E42" s="105" t="str">
        <f>'DATA SISWA'!E42</f>
        <v>VII</v>
      </c>
      <c r="F42" s="101"/>
      <c r="G42" s="101"/>
      <c r="H42" s="101"/>
      <c r="I42" s="91"/>
      <c r="J42" s="307" t="str">
        <f t="shared" ref="J42:J44" si="193">IF(AND(F42="",G42="",H42="",I42=""),"",AVERAGE(F42:I42))</f>
        <v/>
      </c>
      <c r="K42" s="101"/>
      <c r="L42" s="101"/>
      <c r="M42" s="316" t="str">
        <f t="shared" ref="M42:M44" si="194">IF(AND(F42="",G42="",H42="",I42=""),"",IF(AND(K42="",L42=""),J42,IF(OR(L42="",K42="",L42&lt;=$CT$2),MAX(J42:L42),$CT$2)))</f>
        <v/>
      </c>
      <c r="N42" s="101"/>
      <c r="O42" s="101"/>
      <c r="P42" s="101"/>
      <c r="Q42" s="91"/>
      <c r="R42" s="307" t="str">
        <f t="shared" ref="R42:R44" si="195">IF(AND(N42="",O42="",P42="",Q42=""),"",AVERAGE(N42:Q42))</f>
        <v/>
      </c>
      <c r="S42" s="101"/>
      <c r="T42" s="101"/>
      <c r="U42" s="316" t="str">
        <f t="shared" ref="U42:U44" si="196">IF(AND(N42="",O42="",P42="",Q42=""),"",IF(AND(S42="",T42=""),R42,IF(OR(T42="",S42="",T42&lt;=$CT$2),MAX(R42:T42),$CT$2)))</f>
        <v/>
      </c>
      <c r="V42" s="101"/>
      <c r="W42" s="101"/>
      <c r="X42" s="101"/>
      <c r="Y42" s="91"/>
      <c r="Z42" s="307" t="str">
        <f t="shared" ref="Z42:Z44" si="197">IF(AND(V42="",W42="",X42="",Y42=""),"",AVERAGE(V42:Y42))</f>
        <v/>
      </c>
      <c r="AA42" s="101"/>
      <c r="AB42" s="101"/>
      <c r="AC42" s="316" t="str">
        <f t="shared" ref="AC42:AC44" si="198">IF(AND(V42="",W42="",X42="",Y42=""),"",IF(AND(AA42="",AB42=""),Z42,IF(OR(AB42="",AA42="",AB42&lt;=$CT$2),MAX(Z42:AB42),$CT$2)))</f>
        <v/>
      </c>
      <c r="AD42" s="101"/>
      <c r="AE42" s="101"/>
      <c r="AF42" s="101"/>
      <c r="AG42" s="91"/>
      <c r="AH42" s="307" t="str">
        <f t="shared" ref="AH42:AH44" si="199">IF(AND(AD42="",AE42="",AF42="",AG42=""),"",AVERAGE(AD42:AG42))</f>
        <v/>
      </c>
      <c r="AI42" s="101"/>
      <c r="AJ42" s="101"/>
      <c r="AK42" s="316" t="str">
        <f t="shared" ref="AK42:AK44" si="200">IF(AND(AD42="",AE42="",AF42="",AG42=""),"",IF(AND(AI42="",AJ42=""),AH42,IF(OR(AJ42="",AI42="",AJ42&lt;=$CT$2),MAX(AH42:AJ42),$CT$2)))</f>
        <v/>
      </c>
      <c r="AL42" s="101"/>
      <c r="AM42" s="101"/>
      <c r="AN42" s="101"/>
      <c r="AO42" s="91"/>
      <c r="AP42" s="307" t="str">
        <f t="shared" ref="AP42:AP44" si="201">IF(AND(AL42="",AM42="",AN42="",AO42=""),"",AVERAGE(AL42:AO42))</f>
        <v/>
      </c>
      <c r="AQ42" s="101"/>
      <c r="AR42" s="101"/>
      <c r="AS42" s="316" t="str">
        <f t="shared" ref="AS42:AS44" si="202">IF(AND(AL42="",AM42="",AN42="",AO42=""),"",IF(AND(AQ42="",AR42=""),AP42,IF(OR(AR42="",AQ42="",AR42&lt;=$CT$2),MAX(AP42:AR42),$CT$2)))</f>
        <v/>
      </c>
      <c r="AT42" s="101"/>
      <c r="AU42" s="101"/>
      <c r="AV42" s="101"/>
      <c r="AW42" s="91"/>
      <c r="AX42" s="307" t="str">
        <f t="shared" ref="AX42:AX44" si="203">IF(AND(AT42="",AU42="",AV42="",AW42=""),"",AVERAGE(AT42:AW42))</f>
        <v/>
      </c>
      <c r="AY42" s="101"/>
      <c r="AZ42" s="101"/>
      <c r="BA42" s="316" t="str">
        <f t="shared" ref="BA42:BA44" si="204">IF(AND(AT42="",AU42="",AV42="",AW42=""),"",IF(AND(AY42="",AZ42=""),AX42,IF(OR(AZ42="",AY42="",AZ42&lt;=$CT$2),MAX(AX42:AZ42),$CT$2)))</f>
        <v/>
      </c>
      <c r="BB42" s="101"/>
      <c r="BC42" s="101"/>
      <c r="BD42" s="101"/>
      <c r="BE42" s="91"/>
      <c r="BF42" s="307" t="str">
        <f t="shared" ref="BF42:BF44" si="205">IF(AND(BB42="",BC42="",BD42="",BE42=""),"",AVERAGE(BB42:BE42))</f>
        <v/>
      </c>
      <c r="BG42" s="101"/>
      <c r="BH42" s="101"/>
      <c r="BI42" s="316" t="str">
        <f t="shared" ref="BI42:BI44" si="206">IF(AND(BB42="",BC42="",BD42="",BE42=""),"",IF(AND(BG42="",BH42=""),BF42,IF(OR(BH42="",BG42="",BH42&lt;=$CT$2),MAX(BF42:BH42),$CT$2)))</f>
        <v/>
      </c>
      <c r="BJ42" s="101"/>
      <c r="BK42" s="101"/>
      <c r="BL42" s="101"/>
      <c r="BM42" s="91"/>
      <c r="BN42" s="307" t="str">
        <f t="shared" ref="BN42:BN44" si="207">IF(AND(BJ42="",BK42="",BL42="",BM42=""),"",AVERAGE(BJ42:BM42))</f>
        <v/>
      </c>
      <c r="BO42" s="101"/>
      <c r="BP42" s="101"/>
      <c r="BQ42" s="316" t="str">
        <f t="shared" ref="BQ42:BQ44" si="208">IF(AND(BJ42="",BK42="",BL42="",BM42=""),"",IF(AND(BO42="",BP42=""),BN42,IF(OR(BP42="",BO42="",BP42&lt;=$CT$2),MAX(BN42:BP42),$CT$2)))</f>
        <v/>
      </c>
      <c r="BR42" s="101"/>
      <c r="BS42" s="101"/>
      <c r="BT42" s="101"/>
      <c r="BU42" s="91"/>
      <c r="BV42" s="307" t="str">
        <f t="shared" ref="BV42:BV44" si="209">IF(AND(BR42="",BS42="",BT42="",BU42=""),"",AVERAGE(BR42:BU42))</f>
        <v/>
      </c>
      <c r="BW42" s="101"/>
      <c r="BX42" s="101"/>
      <c r="BY42" s="316" t="str">
        <f t="shared" ref="BY42:BY44" si="210">IF(AND(BR42="",BS42="",BT42="",BU42=""),"",IF(AND(BW42="",BX42=""),BV42,IF(OR(BX42="",BW42="",BX42&lt;=$CT$2),MAX(BV42:BX42),$CT$2)))</f>
        <v/>
      </c>
      <c r="BZ42" s="101"/>
      <c r="CA42" s="101"/>
      <c r="CB42" s="101"/>
      <c r="CC42" s="91"/>
      <c r="CD42" s="307" t="str">
        <f t="shared" ref="CD42:CD44" si="211">IF(AND(BZ42="",CA42="",CB42="",CC42=""),"",AVERAGE(BZ42:CC42))</f>
        <v/>
      </c>
      <c r="CE42" s="101"/>
      <c r="CF42" s="101"/>
      <c r="CG42" s="316" t="str">
        <f t="shared" ref="CG42:CG44" si="212">IF(AND(BZ42="",CA42="",CB42="",CC42=""),"",IF(AND(CE42="",CF42=""),CD42,IF(OR(CF42="",CE42="",CF42&lt;=$CT$2),MAX(CD42:CF42),$CT$2)))</f>
        <v/>
      </c>
      <c r="CH42" s="318" t="str">
        <f t="shared" si="0"/>
        <v/>
      </c>
      <c r="CI42" s="105">
        <f t="shared" si="1"/>
        <v>0</v>
      </c>
      <c r="CJ42" s="105">
        <f t="shared" si="2"/>
        <v>0</v>
      </c>
      <c r="CK42" s="407"/>
      <c r="CL42" s="101"/>
      <c r="CM42" s="319" t="str">
        <f t="shared" si="23"/>
        <v/>
      </c>
      <c r="CN42" s="319" t="str">
        <f t="shared" si="24"/>
        <v/>
      </c>
      <c r="CO42" s="319" t="str">
        <f t="shared" si="25"/>
        <v/>
      </c>
      <c r="CP42" s="227" t="str">
        <f t="shared" si="26"/>
        <v/>
      </c>
      <c r="CQ42" s="320" t="str">
        <f t="shared" si="27"/>
        <v/>
      </c>
      <c r="CR42" s="106" t="str">
        <f t="shared" si="28"/>
        <v/>
      </c>
      <c r="CS42" s="106" t="str">
        <f t="shared" si="29"/>
        <v/>
      </c>
      <c r="CT42" s="106" t="str">
        <f t="shared" si="30"/>
        <v>TIDAK</v>
      </c>
      <c r="CU42" s="106" t="str">
        <f t="shared" si="31"/>
        <v>TIDAK</v>
      </c>
      <c r="CV42" s="116" t="str">
        <f t="shared" si="32"/>
        <v/>
      </c>
      <c r="CW42" s="109" t="e">
        <f>IF(CI42="","",VLOOKUP(CI42,DATAPENG!$BX$3:$BY$12,2,FALSE))</f>
        <v>#N/A</v>
      </c>
      <c r="CX42" s="109" t="e">
        <f>IF(CJ42="","",VLOOKUP(CJ42,DATAPENG!$BX$3:$BY$12,2,FALSE))</f>
        <v>#N/A</v>
      </c>
    </row>
    <row r="43" spans="1:102">
      <c r="A43" s="105">
        <f>'DATA SISWA'!A43</f>
        <v>0</v>
      </c>
      <c r="B43" s="105">
        <f>'DATA SISWA'!B43</f>
        <v>0</v>
      </c>
      <c r="C43" s="105">
        <f>'DATA SISWA'!C43</f>
        <v>0</v>
      </c>
      <c r="D43" s="105">
        <f>'DATA SISWA'!D43</f>
        <v>0</v>
      </c>
      <c r="E43" s="105" t="str">
        <f>'DATA SISWA'!E43</f>
        <v>VII</v>
      </c>
      <c r="F43" s="101"/>
      <c r="G43" s="101"/>
      <c r="H43" s="101"/>
      <c r="I43" s="91"/>
      <c r="J43" s="307" t="str">
        <f t="shared" si="193"/>
        <v/>
      </c>
      <c r="K43" s="101"/>
      <c r="L43" s="101"/>
      <c r="M43" s="316" t="str">
        <f t="shared" si="194"/>
        <v/>
      </c>
      <c r="N43" s="101"/>
      <c r="O43" s="101"/>
      <c r="P43" s="101"/>
      <c r="Q43" s="91"/>
      <c r="R43" s="307" t="str">
        <f t="shared" si="195"/>
        <v/>
      </c>
      <c r="S43" s="101"/>
      <c r="T43" s="101"/>
      <c r="U43" s="316" t="str">
        <f t="shared" si="196"/>
        <v/>
      </c>
      <c r="V43" s="101"/>
      <c r="W43" s="101"/>
      <c r="X43" s="101"/>
      <c r="Y43" s="91"/>
      <c r="Z43" s="307" t="str">
        <f t="shared" si="197"/>
        <v/>
      </c>
      <c r="AA43" s="101"/>
      <c r="AB43" s="101"/>
      <c r="AC43" s="316" t="str">
        <f t="shared" si="198"/>
        <v/>
      </c>
      <c r="AD43" s="101"/>
      <c r="AE43" s="101"/>
      <c r="AF43" s="101"/>
      <c r="AG43" s="91"/>
      <c r="AH43" s="307" t="str">
        <f t="shared" si="199"/>
        <v/>
      </c>
      <c r="AI43" s="101"/>
      <c r="AJ43" s="101"/>
      <c r="AK43" s="316" t="str">
        <f t="shared" si="200"/>
        <v/>
      </c>
      <c r="AL43" s="101"/>
      <c r="AM43" s="101"/>
      <c r="AN43" s="101"/>
      <c r="AO43" s="91"/>
      <c r="AP43" s="307" t="str">
        <f t="shared" si="201"/>
        <v/>
      </c>
      <c r="AQ43" s="101"/>
      <c r="AR43" s="101"/>
      <c r="AS43" s="316" t="str">
        <f t="shared" si="202"/>
        <v/>
      </c>
      <c r="AT43" s="101"/>
      <c r="AU43" s="101"/>
      <c r="AV43" s="101"/>
      <c r="AW43" s="91"/>
      <c r="AX43" s="307" t="str">
        <f t="shared" si="203"/>
        <v/>
      </c>
      <c r="AY43" s="101"/>
      <c r="AZ43" s="101"/>
      <c r="BA43" s="316" t="str">
        <f t="shared" si="204"/>
        <v/>
      </c>
      <c r="BB43" s="101"/>
      <c r="BC43" s="101"/>
      <c r="BD43" s="101"/>
      <c r="BE43" s="91"/>
      <c r="BF43" s="307" t="str">
        <f t="shared" si="205"/>
        <v/>
      </c>
      <c r="BG43" s="101"/>
      <c r="BH43" s="101"/>
      <c r="BI43" s="316" t="str">
        <f t="shared" si="206"/>
        <v/>
      </c>
      <c r="BJ43" s="101"/>
      <c r="BK43" s="101"/>
      <c r="BL43" s="101"/>
      <c r="BM43" s="91"/>
      <c r="BN43" s="307" t="str">
        <f t="shared" si="207"/>
        <v/>
      </c>
      <c r="BO43" s="101"/>
      <c r="BP43" s="101"/>
      <c r="BQ43" s="316" t="str">
        <f t="shared" si="208"/>
        <v/>
      </c>
      <c r="BR43" s="101"/>
      <c r="BS43" s="101"/>
      <c r="BT43" s="101"/>
      <c r="BU43" s="91"/>
      <c r="BV43" s="307" t="str">
        <f t="shared" si="209"/>
        <v/>
      </c>
      <c r="BW43" s="101"/>
      <c r="BX43" s="101"/>
      <c r="BY43" s="316" t="str">
        <f t="shared" si="210"/>
        <v/>
      </c>
      <c r="BZ43" s="101"/>
      <c r="CA43" s="101"/>
      <c r="CB43" s="101"/>
      <c r="CC43" s="91"/>
      <c r="CD43" s="307" t="str">
        <f t="shared" si="211"/>
        <v/>
      </c>
      <c r="CE43" s="101"/>
      <c r="CF43" s="101"/>
      <c r="CG43" s="316" t="str">
        <f t="shared" si="212"/>
        <v/>
      </c>
      <c r="CH43" s="318" t="str">
        <f t="shared" si="0"/>
        <v/>
      </c>
      <c r="CI43" s="105">
        <f t="shared" si="1"/>
        <v>0</v>
      </c>
      <c r="CJ43" s="105">
        <f t="shared" si="2"/>
        <v>0</v>
      </c>
      <c r="CK43" s="101"/>
      <c r="CL43" s="101"/>
      <c r="CM43" s="319" t="str">
        <f t="shared" si="23"/>
        <v/>
      </c>
      <c r="CN43" s="319" t="str">
        <f t="shared" si="24"/>
        <v/>
      </c>
      <c r="CO43" s="319" t="str">
        <f t="shared" si="25"/>
        <v/>
      </c>
      <c r="CP43" s="227" t="str">
        <f t="shared" si="26"/>
        <v/>
      </c>
      <c r="CQ43" s="320" t="str">
        <f t="shared" si="27"/>
        <v/>
      </c>
      <c r="CR43" s="106" t="str">
        <f t="shared" si="28"/>
        <v/>
      </c>
      <c r="CS43" s="106" t="str">
        <f t="shared" si="29"/>
        <v/>
      </c>
      <c r="CT43" s="106" t="str">
        <f t="shared" si="30"/>
        <v>TIDAK</v>
      </c>
      <c r="CU43" s="106" t="str">
        <f t="shared" si="31"/>
        <v>TIDAK</v>
      </c>
      <c r="CV43" s="116" t="str">
        <f t="shared" si="32"/>
        <v/>
      </c>
      <c r="CW43" s="109" t="e">
        <f>IF(CI43="","",VLOOKUP(CI43,DATAPENG!$BZ$3:$CA$12,2,FALSE))</f>
        <v>#N/A</v>
      </c>
      <c r="CX43" s="109" t="e">
        <f>IF(CJ43="","",VLOOKUP(CJ43,DATAPENG!$BZ$3:$CA$12,2,FALSE))</f>
        <v>#N/A</v>
      </c>
    </row>
    <row r="44" spans="1:102">
      <c r="A44" s="105">
        <f>'DATA SISWA'!A44</f>
        <v>0</v>
      </c>
      <c r="B44" s="105">
        <f>'DATA SISWA'!B44</f>
        <v>0</v>
      </c>
      <c r="C44" s="105">
        <f>'DATA SISWA'!C44</f>
        <v>0</v>
      </c>
      <c r="D44" s="105">
        <f>'DATA SISWA'!D44</f>
        <v>0</v>
      </c>
      <c r="E44" s="105" t="str">
        <f>'DATA SISWA'!E44</f>
        <v>VII</v>
      </c>
      <c r="F44" s="101"/>
      <c r="G44" s="101"/>
      <c r="H44" s="101"/>
      <c r="I44" s="91"/>
      <c r="J44" s="307" t="str">
        <f t="shared" si="193"/>
        <v/>
      </c>
      <c r="K44" s="101"/>
      <c r="L44" s="101"/>
      <c r="M44" s="316" t="str">
        <f t="shared" si="194"/>
        <v/>
      </c>
      <c r="N44" s="101"/>
      <c r="O44" s="101"/>
      <c r="P44" s="101"/>
      <c r="Q44" s="91"/>
      <c r="R44" s="307" t="str">
        <f t="shared" si="195"/>
        <v/>
      </c>
      <c r="S44" s="101"/>
      <c r="T44" s="101"/>
      <c r="U44" s="316" t="str">
        <f t="shared" si="196"/>
        <v/>
      </c>
      <c r="V44" s="101"/>
      <c r="W44" s="101"/>
      <c r="X44" s="101"/>
      <c r="Y44" s="91"/>
      <c r="Z44" s="307" t="str">
        <f t="shared" si="197"/>
        <v/>
      </c>
      <c r="AA44" s="101"/>
      <c r="AB44" s="101"/>
      <c r="AC44" s="316" t="str">
        <f t="shared" si="198"/>
        <v/>
      </c>
      <c r="AD44" s="101"/>
      <c r="AE44" s="101"/>
      <c r="AF44" s="101"/>
      <c r="AG44" s="91"/>
      <c r="AH44" s="307" t="str">
        <f t="shared" si="199"/>
        <v/>
      </c>
      <c r="AI44" s="101"/>
      <c r="AJ44" s="101"/>
      <c r="AK44" s="316" t="str">
        <f t="shared" si="200"/>
        <v/>
      </c>
      <c r="AL44" s="101"/>
      <c r="AM44" s="101"/>
      <c r="AN44" s="101"/>
      <c r="AO44" s="91"/>
      <c r="AP44" s="307" t="str">
        <f t="shared" si="201"/>
        <v/>
      </c>
      <c r="AQ44" s="101"/>
      <c r="AR44" s="101"/>
      <c r="AS44" s="316" t="str">
        <f t="shared" si="202"/>
        <v/>
      </c>
      <c r="AT44" s="101"/>
      <c r="AU44" s="101"/>
      <c r="AV44" s="101"/>
      <c r="AW44" s="91"/>
      <c r="AX44" s="307" t="str">
        <f t="shared" si="203"/>
        <v/>
      </c>
      <c r="AY44" s="101"/>
      <c r="AZ44" s="101"/>
      <c r="BA44" s="316" t="str">
        <f t="shared" si="204"/>
        <v/>
      </c>
      <c r="BB44" s="101"/>
      <c r="BC44" s="101"/>
      <c r="BD44" s="101"/>
      <c r="BE44" s="91"/>
      <c r="BF44" s="307" t="str">
        <f t="shared" si="205"/>
        <v/>
      </c>
      <c r="BG44" s="101"/>
      <c r="BH44" s="101"/>
      <c r="BI44" s="316" t="str">
        <f t="shared" si="206"/>
        <v/>
      </c>
      <c r="BJ44" s="101"/>
      <c r="BK44" s="101"/>
      <c r="BL44" s="101"/>
      <c r="BM44" s="91"/>
      <c r="BN44" s="307" t="str">
        <f t="shared" si="207"/>
        <v/>
      </c>
      <c r="BO44" s="101"/>
      <c r="BP44" s="101"/>
      <c r="BQ44" s="316" t="str">
        <f t="shared" si="208"/>
        <v/>
      </c>
      <c r="BR44" s="101"/>
      <c r="BS44" s="101"/>
      <c r="BT44" s="101"/>
      <c r="BU44" s="91"/>
      <c r="BV44" s="307" t="str">
        <f t="shared" si="209"/>
        <v/>
      </c>
      <c r="BW44" s="101"/>
      <c r="BX44" s="101"/>
      <c r="BY44" s="316" t="str">
        <f t="shared" si="210"/>
        <v/>
      </c>
      <c r="BZ44" s="101"/>
      <c r="CA44" s="101"/>
      <c r="CB44" s="101"/>
      <c r="CC44" s="91"/>
      <c r="CD44" s="307" t="str">
        <f t="shared" si="211"/>
        <v/>
      </c>
      <c r="CE44" s="101"/>
      <c r="CF44" s="101"/>
      <c r="CG44" s="316" t="str">
        <f t="shared" si="212"/>
        <v/>
      </c>
      <c r="CH44" s="318" t="str">
        <f t="shared" si="0"/>
        <v/>
      </c>
      <c r="CI44" s="105">
        <f t="shared" si="1"/>
        <v>0</v>
      </c>
      <c r="CJ44" s="105">
        <f t="shared" si="2"/>
        <v>0</v>
      </c>
      <c r="CK44" s="101"/>
      <c r="CL44" s="101"/>
      <c r="CM44" s="319" t="str">
        <f t="shared" si="23"/>
        <v/>
      </c>
      <c r="CN44" s="319" t="str">
        <f t="shared" si="24"/>
        <v/>
      </c>
      <c r="CO44" s="319" t="str">
        <f t="shared" si="25"/>
        <v/>
      </c>
      <c r="CP44" s="227" t="str">
        <f t="shared" si="26"/>
        <v/>
      </c>
      <c r="CQ44" s="320" t="str">
        <f t="shared" si="27"/>
        <v/>
      </c>
      <c r="CR44" s="106" t="str">
        <f t="shared" si="28"/>
        <v/>
      </c>
      <c r="CS44" s="106" t="str">
        <f t="shared" si="29"/>
        <v/>
      </c>
      <c r="CT44" s="106" t="str">
        <f t="shared" si="30"/>
        <v>TIDAK</v>
      </c>
      <c r="CU44" s="106" t="str">
        <f t="shared" si="31"/>
        <v>TIDAK</v>
      </c>
      <c r="CV44" s="116" t="str">
        <f t="shared" si="32"/>
        <v/>
      </c>
      <c r="CW44" s="109" t="e">
        <f>IF(CI44="","",VLOOKUP(CI44,DATAPENG!$CB$3:$CC$12,2,FALSE))</f>
        <v>#N/A</v>
      </c>
      <c r="CX44" s="109" t="e">
        <f>IF(CJ44="","",VLOOKUP(CJ44,DATAPENG!$CB$3:$CC$12,2,FALSE))</f>
        <v>#N/A</v>
      </c>
    </row>
    <row r="45" spans="1:102">
      <c r="A45" s="105">
        <f>'DATA SISWA'!A45</f>
        <v>0</v>
      </c>
      <c r="B45" s="105">
        <f>'DATA SISWA'!B45</f>
        <v>0</v>
      </c>
      <c r="C45" s="105">
        <f>'DATA SISWA'!C45</f>
        <v>0</v>
      </c>
      <c r="D45" s="105">
        <f>'DATA SISWA'!D45</f>
        <v>0</v>
      </c>
      <c r="E45" s="105" t="str">
        <f>'DATA SISWA'!E45</f>
        <v>VII</v>
      </c>
      <c r="F45" s="101"/>
      <c r="G45" s="101"/>
      <c r="H45" s="101"/>
      <c r="I45" s="91"/>
      <c r="J45" s="307" t="str">
        <f>IF(AND(F45="",G45="",H45="",I45=""),"",AVERAGE(F45:I45))</f>
        <v/>
      </c>
      <c r="K45" s="101"/>
      <c r="L45" s="101"/>
      <c r="M45" s="316" t="str">
        <f>IF(AND(F45="",G45="",H45="",I45=""),"",IF(AND(K45="",L45=""),J45,IF(OR(L45="",K45="",L45&lt;=$CT$2),MAX(J45:L45),$CT$2)))</f>
        <v/>
      </c>
      <c r="N45" s="101"/>
      <c r="O45" s="101"/>
      <c r="P45" s="101"/>
      <c r="Q45" s="91"/>
      <c r="R45" s="307" t="str">
        <f>IF(AND(N45="",O45="",P45="",Q45=""),"",AVERAGE(N45:Q45))</f>
        <v/>
      </c>
      <c r="S45" s="101"/>
      <c r="T45" s="101"/>
      <c r="U45" s="316" t="str">
        <f>IF(AND(N45="",O45="",P45="",Q45=""),"",IF(AND(S45="",T45=""),R45,IF(OR(T45="",S45="",T45&lt;=$CT$2),MAX(R45:T45),$CT$2)))</f>
        <v/>
      </c>
      <c r="V45" s="101"/>
      <c r="W45" s="101"/>
      <c r="X45" s="101"/>
      <c r="Y45" s="91"/>
      <c r="Z45" s="307" t="str">
        <f>IF(AND(V45="",W45="",X45="",Y45=""),"",AVERAGE(V45:Y45))</f>
        <v/>
      </c>
      <c r="AA45" s="101"/>
      <c r="AB45" s="101"/>
      <c r="AC45" s="316" t="str">
        <f>IF(AND(V45="",W45="",X45="",Y45=""),"",IF(AND(AA45="",AB45=""),Z45,IF(OR(AB45="",AA45="",AB45&lt;=$CT$2),MAX(Z45:AB45),$CT$2)))</f>
        <v/>
      </c>
      <c r="AD45" s="101"/>
      <c r="AE45" s="101"/>
      <c r="AF45" s="101"/>
      <c r="AG45" s="91"/>
      <c r="AH45" s="307" t="str">
        <f>IF(AND(AD45="",AE45="",AF45="",AG45=""),"",AVERAGE(AD45:AG45))</f>
        <v/>
      </c>
      <c r="AI45" s="101"/>
      <c r="AJ45" s="101"/>
      <c r="AK45" s="316" t="str">
        <f>IF(AND(AD45="",AE45="",AF45="",AG45=""),"",IF(AND(AI45="",AJ45=""),AH45,IF(OR(AJ45="",AI45="",AJ45&lt;=$CT$2),MAX(AH45:AJ45),$CT$2)))</f>
        <v/>
      </c>
      <c r="AL45" s="101"/>
      <c r="AM45" s="101"/>
      <c r="AN45" s="101"/>
      <c r="AO45" s="91"/>
      <c r="AP45" s="307" t="str">
        <f>IF(AND(AL45="",AM45="",AN45="",AO45=""),"",AVERAGE(AL45:AO45))</f>
        <v/>
      </c>
      <c r="AQ45" s="101"/>
      <c r="AR45" s="101"/>
      <c r="AS45" s="316" t="str">
        <f>IF(AND(AL45="",AM45="",AN45="",AO45=""),"",IF(AND(AQ45="",AR45=""),AP45,IF(OR(AR45="",AQ45="",AR45&lt;=$CT$2),MAX(AP45:AR45),$CT$2)))</f>
        <v/>
      </c>
      <c r="AT45" s="101"/>
      <c r="AU45" s="101"/>
      <c r="AV45" s="101"/>
      <c r="AW45" s="91"/>
      <c r="AX45" s="307" t="str">
        <f>IF(AND(AT45="",AU45="",AV45="",AW45=""),"",AVERAGE(AT45:AW45))</f>
        <v/>
      </c>
      <c r="AY45" s="101"/>
      <c r="AZ45" s="101"/>
      <c r="BA45" s="316" t="str">
        <f>IF(AND(AT45="",AU45="",AV45="",AW45=""),"",IF(AND(AY45="",AZ45=""),AX45,IF(OR(AZ45="",AY45="",AZ45&lt;=$CT$2),MAX(AX45:AZ45),$CT$2)))</f>
        <v/>
      </c>
      <c r="BB45" s="101"/>
      <c r="BC45" s="101"/>
      <c r="BD45" s="101"/>
      <c r="BE45" s="91"/>
      <c r="BF45" s="307" t="str">
        <f>IF(AND(BB45="",BC45="",BD45="",BE45=""),"",AVERAGE(BB45:BE45))</f>
        <v/>
      </c>
      <c r="BG45" s="101"/>
      <c r="BH45" s="101"/>
      <c r="BI45" s="316" t="str">
        <f>IF(AND(BB45="",BC45="",BD45="",BE45=""),"",IF(AND(BG45="",BH45=""),BF45,IF(OR(BH45="",BG45="",BH45&lt;=$CT$2),MAX(BF45:BH45),$CT$2)))</f>
        <v/>
      </c>
      <c r="BJ45" s="101"/>
      <c r="BK45" s="101"/>
      <c r="BL45" s="101"/>
      <c r="BM45" s="91"/>
      <c r="BN45" s="307" t="str">
        <f>IF(AND(BJ45="",BK45="",BL45="",BM45=""),"",AVERAGE(BJ45:BM45))</f>
        <v/>
      </c>
      <c r="BO45" s="101"/>
      <c r="BP45" s="101"/>
      <c r="BQ45" s="316" t="str">
        <f>IF(AND(BJ45="",BK45="",BL45="",BM45=""),"",IF(AND(BO45="",BP45=""),BN45,IF(OR(BP45="",BO45="",BP45&lt;=$CT$2),MAX(BN45:BP45),$CT$2)))</f>
        <v/>
      </c>
      <c r="BR45" s="101"/>
      <c r="BS45" s="101"/>
      <c r="BT45" s="101"/>
      <c r="BU45" s="91"/>
      <c r="BV45" s="307" t="str">
        <f>IF(AND(BR45="",BS45="",BT45="",BU45=""),"",AVERAGE(BR45:BU45))</f>
        <v/>
      </c>
      <c r="BW45" s="101"/>
      <c r="BX45" s="101"/>
      <c r="BY45" s="316" t="str">
        <f>IF(AND(BR45="",BS45="",BT45="",BU45=""),"",IF(AND(BW45="",BX45=""),BV45,IF(OR(BX45="",BW45="",BX45&lt;=$CT$2),MAX(BV45:BX45),$CT$2)))</f>
        <v/>
      </c>
      <c r="BZ45" s="101"/>
      <c r="CA45" s="101"/>
      <c r="CB45" s="101"/>
      <c r="CC45" s="91"/>
      <c r="CD45" s="307" t="str">
        <f>IF(AND(BZ45="",CA45="",CB45="",CC45=""),"",AVERAGE(BZ45:CC45))</f>
        <v/>
      </c>
      <c r="CE45" s="101"/>
      <c r="CF45" s="101"/>
      <c r="CG45" s="316" t="str">
        <f>IF(AND(BZ45="",CA45="",CB45="",CC45=""),"",IF(AND(CE45="",CF45=""),CD45,IF(OR(CF45="",CE45="",CF45&lt;=$CT$2),MAX(CD45:CF45),$CT$2)))</f>
        <v/>
      </c>
      <c r="CH45" s="318" t="str">
        <f t="shared" si="0"/>
        <v/>
      </c>
      <c r="CI45" s="105">
        <f t="shared" si="1"/>
        <v>0</v>
      </c>
      <c r="CJ45" s="105">
        <f t="shared" si="2"/>
        <v>0</v>
      </c>
      <c r="CK45" s="101"/>
      <c r="CL45" s="101"/>
      <c r="CM45" s="319" t="str">
        <f t="shared" si="23"/>
        <v/>
      </c>
      <c r="CN45" s="319" t="str">
        <f t="shared" si="24"/>
        <v/>
      </c>
      <c r="CO45" s="319" t="str">
        <f t="shared" si="25"/>
        <v/>
      </c>
      <c r="CP45" s="227" t="str">
        <f t="shared" si="26"/>
        <v/>
      </c>
      <c r="CQ45" s="320" t="str">
        <f t="shared" si="27"/>
        <v/>
      </c>
      <c r="CR45" s="106" t="str">
        <f t="shared" si="28"/>
        <v/>
      </c>
      <c r="CS45" s="106" t="str">
        <f t="shared" si="29"/>
        <v/>
      </c>
      <c r="CT45" s="106" t="str">
        <f t="shared" si="30"/>
        <v>TIDAK</v>
      </c>
      <c r="CU45" s="106" t="str">
        <f t="shared" si="31"/>
        <v>TIDAK</v>
      </c>
      <c r="CV45" s="116" t="str">
        <f t="shared" si="32"/>
        <v/>
      </c>
      <c r="CW45" s="109" t="e">
        <f>IF(CI45="","",VLOOKUP(CI45,DATAPENG!$CD$3:$CE$12,2,FALSE))</f>
        <v>#N/A</v>
      </c>
      <c r="CX45" s="109" t="e">
        <f>IF(CJ45="","",VLOOKUP(CJ45,DATAPENG!$CD$3:$CE$12,2,FALSE))</f>
        <v>#N/A</v>
      </c>
    </row>
    <row r="46" spans="1:102">
      <c r="A46" s="105">
        <f>'DATA SISWA'!A46</f>
        <v>0</v>
      </c>
      <c r="B46" s="105">
        <f>'DATA SISWA'!B46</f>
        <v>0</v>
      </c>
      <c r="C46" s="105">
        <f>'DATA SISWA'!C46</f>
        <v>0</v>
      </c>
      <c r="D46" s="105">
        <f>'DATA SISWA'!D46</f>
        <v>0</v>
      </c>
      <c r="E46" s="105" t="str">
        <f>'DATA SISWA'!E46</f>
        <v>VII</v>
      </c>
      <c r="F46" s="101"/>
      <c r="G46" s="101"/>
      <c r="H46" s="101"/>
      <c r="I46" s="91"/>
      <c r="J46" s="307" t="str">
        <f t="shared" ref="J46:J48" si="213">IF(AND(F46="",G46="",H46="",I46=""),"",AVERAGE(F46:I46))</f>
        <v/>
      </c>
      <c r="K46" s="101"/>
      <c r="L46" s="101"/>
      <c r="M46" s="316" t="str">
        <f t="shared" ref="M46:M48" si="214">IF(AND(F46="",G46="",H46="",I46=""),"",IF(AND(K46="",L46=""),J46,IF(OR(L46="",K46="",L46&lt;=$CT$2),MAX(J46:L46),$CT$2)))</f>
        <v/>
      </c>
      <c r="N46" s="101"/>
      <c r="O46" s="101"/>
      <c r="P46" s="101"/>
      <c r="Q46" s="91"/>
      <c r="R46" s="307" t="str">
        <f t="shared" ref="R46:R48" si="215">IF(AND(N46="",O46="",P46="",Q46=""),"",AVERAGE(N46:Q46))</f>
        <v/>
      </c>
      <c r="S46" s="101"/>
      <c r="T46" s="101"/>
      <c r="U46" s="316" t="str">
        <f t="shared" ref="U46:U48" si="216">IF(AND(N46="",O46="",P46="",Q46=""),"",IF(AND(S46="",T46=""),R46,IF(OR(T46="",S46="",T46&lt;=$CT$2),MAX(R46:T46),$CT$2)))</f>
        <v/>
      </c>
      <c r="V46" s="101"/>
      <c r="W46" s="101"/>
      <c r="X46" s="101"/>
      <c r="Y46" s="91"/>
      <c r="Z46" s="307" t="str">
        <f t="shared" ref="Z46:Z48" si="217">IF(AND(V46="",W46="",X46="",Y46=""),"",AVERAGE(V46:Y46))</f>
        <v/>
      </c>
      <c r="AA46" s="101"/>
      <c r="AB46" s="101"/>
      <c r="AC46" s="316" t="str">
        <f t="shared" ref="AC46:AC48" si="218">IF(AND(V46="",W46="",X46="",Y46=""),"",IF(AND(AA46="",AB46=""),Z46,IF(OR(AB46="",AA46="",AB46&lt;=$CT$2),MAX(Z46:AB46),$CT$2)))</f>
        <v/>
      </c>
      <c r="AD46" s="101"/>
      <c r="AE46" s="101"/>
      <c r="AF46" s="101"/>
      <c r="AG46" s="91"/>
      <c r="AH46" s="307" t="str">
        <f t="shared" ref="AH46:AH48" si="219">IF(AND(AD46="",AE46="",AF46="",AG46=""),"",AVERAGE(AD46:AG46))</f>
        <v/>
      </c>
      <c r="AI46" s="101"/>
      <c r="AJ46" s="101"/>
      <c r="AK46" s="316" t="str">
        <f t="shared" ref="AK46:AK48" si="220">IF(AND(AD46="",AE46="",AF46="",AG46=""),"",IF(AND(AI46="",AJ46=""),AH46,IF(OR(AJ46="",AI46="",AJ46&lt;=$CT$2),MAX(AH46:AJ46),$CT$2)))</f>
        <v/>
      </c>
      <c r="AL46" s="101"/>
      <c r="AM46" s="101"/>
      <c r="AN46" s="101"/>
      <c r="AO46" s="91"/>
      <c r="AP46" s="307" t="str">
        <f t="shared" ref="AP46:AP48" si="221">IF(AND(AL46="",AM46="",AN46="",AO46=""),"",AVERAGE(AL46:AO46))</f>
        <v/>
      </c>
      <c r="AQ46" s="101"/>
      <c r="AR46" s="101"/>
      <c r="AS46" s="316" t="str">
        <f t="shared" ref="AS46:AS48" si="222">IF(AND(AL46="",AM46="",AN46="",AO46=""),"",IF(AND(AQ46="",AR46=""),AP46,IF(OR(AR46="",AQ46="",AR46&lt;=$CT$2),MAX(AP46:AR46),$CT$2)))</f>
        <v/>
      </c>
      <c r="AT46" s="101"/>
      <c r="AU46" s="101"/>
      <c r="AV46" s="101"/>
      <c r="AW46" s="91"/>
      <c r="AX46" s="307" t="str">
        <f t="shared" ref="AX46:AX48" si="223">IF(AND(AT46="",AU46="",AV46="",AW46=""),"",AVERAGE(AT46:AW46))</f>
        <v/>
      </c>
      <c r="AY46" s="101"/>
      <c r="AZ46" s="101"/>
      <c r="BA46" s="316" t="str">
        <f t="shared" ref="BA46:BA48" si="224">IF(AND(AT46="",AU46="",AV46="",AW46=""),"",IF(AND(AY46="",AZ46=""),AX46,IF(OR(AZ46="",AY46="",AZ46&lt;=$CT$2),MAX(AX46:AZ46),$CT$2)))</f>
        <v/>
      </c>
      <c r="BB46" s="101"/>
      <c r="BC46" s="101"/>
      <c r="BD46" s="101"/>
      <c r="BE46" s="91"/>
      <c r="BF46" s="307" t="str">
        <f t="shared" ref="BF46:BF48" si="225">IF(AND(BB46="",BC46="",BD46="",BE46=""),"",AVERAGE(BB46:BE46))</f>
        <v/>
      </c>
      <c r="BG46" s="101"/>
      <c r="BH46" s="101"/>
      <c r="BI46" s="316" t="str">
        <f t="shared" ref="BI46:BI48" si="226">IF(AND(BB46="",BC46="",BD46="",BE46=""),"",IF(AND(BG46="",BH46=""),BF46,IF(OR(BH46="",BG46="",BH46&lt;=$CT$2),MAX(BF46:BH46),$CT$2)))</f>
        <v/>
      </c>
      <c r="BJ46" s="101"/>
      <c r="BK46" s="101"/>
      <c r="BL46" s="101"/>
      <c r="BM46" s="91"/>
      <c r="BN46" s="307" t="str">
        <f t="shared" ref="BN46:BN48" si="227">IF(AND(BJ46="",BK46="",BL46="",BM46=""),"",AVERAGE(BJ46:BM46))</f>
        <v/>
      </c>
      <c r="BO46" s="101"/>
      <c r="BP46" s="101"/>
      <c r="BQ46" s="316" t="str">
        <f t="shared" ref="BQ46:BQ48" si="228">IF(AND(BJ46="",BK46="",BL46="",BM46=""),"",IF(AND(BO46="",BP46=""),BN46,IF(OR(BP46="",BO46="",BP46&lt;=$CT$2),MAX(BN46:BP46),$CT$2)))</f>
        <v/>
      </c>
      <c r="BR46" s="101"/>
      <c r="BS46" s="101"/>
      <c r="BT46" s="101"/>
      <c r="BU46" s="91"/>
      <c r="BV46" s="307" t="str">
        <f t="shared" ref="BV46:BV48" si="229">IF(AND(BR46="",BS46="",BT46="",BU46=""),"",AVERAGE(BR46:BU46))</f>
        <v/>
      </c>
      <c r="BW46" s="101"/>
      <c r="BX46" s="101"/>
      <c r="BY46" s="316" t="str">
        <f t="shared" ref="BY46:BY48" si="230">IF(AND(BR46="",BS46="",BT46="",BU46=""),"",IF(AND(BW46="",BX46=""),BV46,IF(OR(BX46="",BW46="",BX46&lt;=$CT$2),MAX(BV46:BX46),$CT$2)))</f>
        <v/>
      </c>
      <c r="BZ46" s="101"/>
      <c r="CA46" s="101"/>
      <c r="CB46" s="101"/>
      <c r="CC46" s="91"/>
      <c r="CD46" s="307" t="str">
        <f t="shared" ref="CD46:CD48" si="231">IF(AND(BZ46="",CA46="",CB46="",CC46=""),"",AVERAGE(BZ46:CC46))</f>
        <v/>
      </c>
      <c r="CE46" s="101"/>
      <c r="CF46" s="101"/>
      <c r="CG46" s="316" t="str">
        <f t="shared" ref="CG46:CG48" si="232">IF(AND(BZ46="",CA46="",CB46="",CC46=""),"",IF(AND(CE46="",CF46=""),CD46,IF(OR(CF46="",CE46="",CF46&lt;=$CT$2),MAX(CD46:CF46),$CT$2)))</f>
        <v/>
      </c>
      <c r="CH46" s="318" t="str">
        <f t="shared" si="0"/>
        <v/>
      </c>
      <c r="CI46" s="105">
        <f t="shared" si="1"/>
        <v>0</v>
      </c>
      <c r="CJ46" s="105">
        <f t="shared" si="2"/>
        <v>0</v>
      </c>
      <c r="CK46" s="101"/>
      <c r="CL46" s="101"/>
      <c r="CM46" s="319" t="str">
        <f t="shared" si="23"/>
        <v/>
      </c>
      <c r="CN46" s="319" t="str">
        <f t="shared" si="24"/>
        <v/>
      </c>
      <c r="CO46" s="319" t="str">
        <f t="shared" si="25"/>
        <v/>
      </c>
      <c r="CP46" s="227" t="str">
        <f t="shared" si="26"/>
        <v/>
      </c>
      <c r="CQ46" s="320" t="str">
        <f t="shared" si="27"/>
        <v/>
      </c>
      <c r="CR46" s="106" t="str">
        <f t="shared" si="28"/>
        <v/>
      </c>
      <c r="CS46" s="106" t="str">
        <f t="shared" si="29"/>
        <v/>
      </c>
      <c r="CT46" s="106" t="str">
        <f t="shared" si="30"/>
        <v>TIDAK</v>
      </c>
      <c r="CU46" s="106" t="str">
        <f t="shared" si="31"/>
        <v>TIDAK</v>
      </c>
      <c r="CV46" s="116" t="str">
        <f t="shared" si="32"/>
        <v/>
      </c>
      <c r="CW46" s="109" t="e">
        <f>IF(CI46="","",VLOOKUP(CI46,DATAPENG!$CF$3:$CG$12,2,FALSE))</f>
        <v>#N/A</v>
      </c>
      <c r="CX46" s="109" t="e">
        <f>IF(CJ46="","",VLOOKUP(CJ46,DATAPENG!$CF$3:$CG$12,2,FALSE))</f>
        <v>#N/A</v>
      </c>
    </row>
    <row r="47" spans="1:102">
      <c r="A47" s="105">
        <f>'DATA SISWA'!A47</f>
        <v>0</v>
      </c>
      <c r="B47" s="105">
        <f>'DATA SISWA'!B47</f>
        <v>0</v>
      </c>
      <c r="C47" s="105">
        <f>'DATA SISWA'!C47</f>
        <v>0</v>
      </c>
      <c r="D47" s="105">
        <f>'DATA SISWA'!D47</f>
        <v>0</v>
      </c>
      <c r="E47" s="105" t="str">
        <f>'DATA SISWA'!E47</f>
        <v>VII</v>
      </c>
      <c r="F47" s="101"/>
      <c r="G47" s="101"/>
      <c r="H47" s="101"/>
      <c r="I47" s="91"/>
      <c r="J47" s="307" t="str">
        <f t="shared" si="213"/>
        <v/>
      </c>
      <c r="K47" s="101"/>
      <c r="L47" s="101"/>
      <c r="M47" s="316" t="str">
        <f t="shared" si="214"/>
        <v/>
      </c>
      <c r="N47" s="101"/>
      <c r="O47" s="101"/>
      <c r="P47" s="101"/>
      <c r="Q47" s="91"/>
      <c r="R47" s="307" t="str">
        <f t="shared" si="215"/>
        <v/>
      </c>
      <c r="S47" s="101"/>
      <c r="T47" s="101"/>
      <c r="U47" s="316" t="str">
        <f t="shared" si="216"/>
        <v/>
      </c>
      <c r="V47" s="101"/>
      <c r="W47" s="101"/>
      <c r="X47" s="101"/>
      <c r="Y47" s="91"/>
      <c r="Z47" s="307" t="str">
        <f t="shared" si="217"/>
        <v/>
      </c>
      <c r="AA47" s="101"/>
      <c r="AB47" s="101"/>
      <c r="AC47" s="316" t="str">
        <f t="shared" si="218"/>
        <v/>
      </c>
      <c r="AD47" s="101"/>
      <c r="AE47" s="101"/>
      <c r="AF47" s="101"/>
      <c r="AG47" s="91"/>
      <c r="AH47" s="307" t="str">
        <f t="shared" si="219"/>
        <v/>
      </c>
      <c r="AI47" s="101"/>
      <c r="AJ47" s="101"/>
      <c r="AK47" s="316" t="str">
        <f t="shared" si="220"/>
        <v/>
      </c>
      <c r="AL47" s="101"/>
      <c r="AM47" s="101"/>
      <c r="AN47" s="101"/>
      <c r="AO47" s="91"/>
      <c r="AP47" s="307" t="str">
        <f t="shared" si="221"/>
        <v/>
      </c>
      <c r="AQ47" s="101"/>
      <c r="AR47" s="101"/>
      <c r="AS47" s="316" t="str">
        <f t="shared" si="222"/>
        <v/>
      </c>
      <c r="AT47" s="101"/>
      <c r="AU47" s="101"/>
      <c r="AV47" s="101"/>
      <c r="AW47" s="91"/>
      <c r="AX47" s="307" t="str">
        <f t="shared" si="223"/>
        <v/>
      </c>
      <c r="AY47" s="101"/>
      <c r="AZ47" s="101"/>
      <c r="BA47" s="316" t="str">
        <f t="shared" si="224"/>
        <v/>
      </c>
      <c r="BB47" s="101"/>
      <c r="BC47" s="101"/>
      <c r="BD47" s="101"/>
      <c r="BE47" s="91"/>
      <c r="BF47" s="307" t="str">
        <f t="shared" si="225"/>
        <v/>
      </c>
      <c r="BG47" s="101"/>
      <c r="BH47" s="101"/>
      <c r="BI47" s="316" t="str">
        <f t="shared" si="226"/>
        <v/>
      </c>
      <c r="BJ47" s="101"/>
      <c r="BK47" s="101"/>
      <c r="BL47" s="101"/>
      <c r="BM47" s="91"/>
      <c r="BN47" s="307" t="str">
        <f t="shared" si="227"/>
        <v/>
      </c>
      <c r="BO47" s="101"/>
      <c r="BP47" s="101"/>
      <c r="BQ47" s="316" t="str">
        <f t="shared" si="228"/>
        <v/>
      </c>
      <c r="BR47" s="101"/>
      <c r="BS47" s="101"/>
      <c r="BT47" s="101"/>
      <c r="BU47" s="91"/>
      <c r="BV47" s="307" t="str">
        <f t="shared" si="229"/>
        <v/>
      </c>
      <c r="BW47" s="101"/>
      <c r="BX47" s="101"/>
      <c r="BY47" s="316" t="str">
        <f t="shared" si="230"/>
        <v/>
      </c>
      <c r="BZ47" s="101"/>
      <c r="CA47" s="101"/>
      <c r="CB47" s="101"/>
      <c r="CC47" s="91"/>
      <c r="CD47" s="307" t="str">
        <f t="shared" si="231"/>
        <v/>
      </c>
      <c r="CE47" s="101"/>
      <c r="CF47" s="101"/>
      <c r="CG47" s="316" t="str">
        <f t="shared" si="232"/>
        <v/>
      </c>
      <c r="CH47" s="318" t="str">
        <f t="shared" si="0"/>
        <v/>
      </c>
      <c r="CI47" s="105">
        <f t="shared" si="1"/>
        <v>0</v>
      </c>
      <c r="CJ47" s="105">
        <f t="shared" si="2"/>
        <v>0</v>
      </c>
      <c r="CK47" s="101"/>
      <c r="CL47" s="101"/>
      <c r="CM47" s="319" t="str">
        <f t="shared" si="23"/>
        <v/>
      </c>
      <c r="CN47" s="319" t="str">
        <f t="shared" si="24"/>
        <v/>
      </c>
      <c r="CO47" s="319" t="str">
        <f t="shared" si="25"/>
        <v/>
      </c>
      <c r="CP47" s="227" t="str">
        <f t="shared" si="26"/>
        <v/>
      </c>
      <c r="CQ47" s="320" t="str">
        <f t="shared" si="27"/>
        <v/>
      </c>
      <c r="CR47" s="106" t="str">
        <f t="shared" si="28"/>
        <v/>
      </c>
      <c r="CS47" s="106" t="str">
        <f t="shared" si="29"/>
        <v/>
      </c>
      <c r="CT47" s="106" t="str">
        <f t="shared" si="30"/>
        <v>TIDAK</v>
      </c>
      <c r="CU47" s="106" t="str">
        <f t="shared" si="31"/>
        <v>TIDAK</v>
      </c>
      <c r="CV47" s="116" t="str">
        <f t="shared" si="32"/>
        <v/>
      </c>
      <c r="CW47" s="109" t="e">
        <f>IF(CI47="","",VLOOKUP(CI47,DATAPENG!$CH$3:$CI$12,2,FALSE))</f>
        <v>#N/A</v>
      </c>
      <c r="CX47" s="109" t="e">
        <f>IF(CJ47="","",VLOOKUP(CJ47,DATAPENG!$CH$3:$CI$12,2,FALSE))</f>
        <v>#N/A</v>
      </c>
    </row>
    <row r="48" spans="1:102">
      <c r="A48" s="105">
        <f>'DATA SISWA'!A48</f>
        <v>0</v>
      </c>
      <c r="B48" s="105">
        <f>'DATA SISWA'!B48</f>
        <v>0</v>
      </c>
      <c r="C48" s="105">
        <f>'DATA SISWA'!C48</f>
        <v>0</v>
      </c>
      <c r="D48" s="105">
        <f>'DATA SISWA'!D48</f>
        <v>0</v>
      </c>
      <c r="E48" s="105" t="str">
        <f>'DATA SISWA'!E48</f>
        <v>VII</v>
      </c>
      <c r="F48" s="101"/>
      <c r="G48" s="101"/>
      <c r="H48" s="101"/>
      <c r="I48" s="91"/>
      <c r="J48" s="307" t="str">
        <f t="shared" si="213"/>
        <v/>
      </c>
      <c r="K48" s="101"/>
      <c r="L48" s="101"/>
      <c r="M48" s="316" t="str">
        <f t="shared" si="214"/>
        <v/>
      </c>
      <c r="N48" s="101"/>
      <c r="O48" s="101"/>
      <c r="P48" s="101"/>
      <c r="Q48" s="91"/>
      <c r="R48" s="307" t="str">
        <f t="shared" si="215"/>
        <v/>
      </c>
      <c r="S48" s="101"/>
      <c r="T48" s="101"/>
      <c r="U48" s="316" t="str">
        <f t="shared" si="216"/>
        <v/>
      </c>
      <c r="V48" s="101"/>
      <c r="W48" s="101"/>
      <c r="X48" s="101"/>
      <c r="Y48" s="91"/>
      <c r="Z48" s="307" t="str">
        <f t="shared" si="217"/>
        <v/>
      </c>
      <c r="AA48" s="101"/>
      <c r="AB48" s="101"/>
      <c r="AC48" s="316" t="str">
        <f t="shared" si="218"/>
        <v/>
      </c>
      <c r="AD48" s="101"/>
      <c r="AE48" s="101"/>
      <c r="AF48" s="101"/>
      <c r="AG48" s="91"/>
      <c r="AH48" s="307" t="str">
        <f t="shared" si="219"/>
        <v/>
      </c>
      <c r="AI48" s="101"/>
      <c r="AJ48" s="101"/>
      <c r="AK48" s="316" t="str">
        <f t="shared" si="220"/>
        <v/>
      </c>
      <c r="AL48" s="101"/>
      <c r="AM48" s="101"/>
      <c r="AN48" s="101"/>
      <c r="AO48" s="91"/>
      <c r="AP48" s="307" t="str">
        <f t="shared" si="221"/>
        <v/>
      </c>
      <c r="AQ48" s="101"/>
      <c r="AR48" s="101"/>
      <c r="AS48" s="316" t="str">
        <f t="shared" si="222"/>
        <v/>
      </c>
      <c r="AT48" s="101"/>
      <c r="AU48" s="101"/>
      <c r="AV48" s="101"/>
      <c r="AW48" s="91"/>
      <c r="AX48" s="307" t="str">
        <f t="shared" si="223"/>
        <v/>
      </c>
      <c r="AY48" s="101"/>
      <c r="AZ48" s="101"/>
      <c r="BA48" s="316" t="str">
        <f t="shared" si="224"/>
        <v/>
      </c>
      <c r="BB48" s="101"/>
      <c r="BC48" s="101"/>
      <c r="BD48" s="101"/>
      <c r="BE48" s="91"/>
      <c r="BF48" s="307" t="str">
        <f t="shared" si="225"/>
        <v/>
      </c>
      <c r="BG48" s="101"/>
      <c r="BH48" s="101"/>
      <c r="BI48" s="316" t="str">
        <f t="shared" si="226"/>
        <v/>
      </c>
      <c r="BJ48" s="101"/>
      <c r="BK48" s="101"/>
      <c r="BL48" s="101"/>
      <c r="BM48" s="91"/>
      <c r="BN48" s="307" t="str">
        <f t="shared" si="227"/>
        <v/>
      </c>
      <c r="BO48" s="101"/>
      <c r="BP48" s="101"/>
      <c r="BQ48" s="316" t="str">
        <f t="shared" si="228"/>
        <v/>
      </c>
      <c r="BR48" s="101"/>
      <c r="BS48" s="101"/>
      <c r="BT48" s="101"/>
      <c r="BU48" s="91"/>
      <c r="BV48" s="307" t="str">
        <f t="shared" si="229"/>
        <v/>
      </c>
      <c r="BW48" s="101"/>
      <c r="BX48" s="101"/>
      <c r="BY48" s="316" t="str">
        <f t="shared" si="230"/>
        <v/>
      </c>
      <c r="BZ48" s="101"/>
      <c r="CA48" s="101"/>
      <c r="CB48" s="101"/>
      <c r="CC48" s="91"/>
      <c r="CD48" s="307" t="str">
        <f t="shared" si="231"/>
        <v/>
      </c>
      <c r="CE48" s="101"/>
      <c r="CF48" s="101"/>
      <c r="CG48" s="316" t="str">
        <f t="shared" si="232"/>
        <v/>
      </c>
      <c r="CH48" s="318" t="str">
        <f t="shared" si="0"/>
        <v/>
      </c>
      <c r="CI48" s="105">
        <f t="shared" si="1"/>
        <v>0</v>
      </c>
      <c r="CJ48" s="105">
        <f t="shared" si="2"/>
        <v>0</v>
      </c>
      <c r="CK48" s="101"/>
      <c r="CL48" s="101"/>
      <c r="CM48" s="319" t="str">
        <f t="shared" si="23"/>
        <v/>
      </c>
      <c r="CN48" s="319" t="str">
        <f t="shared" si="24"/>
        <v/>
      </c>
      <c r="CO48" s="319" t="str">
        <f t="shared" si="25"/>
        <v/>
      </c>
      <c r="CP48" s="227" t="str">
        <f t="shared" si="26"/>
        <v/>
      </c>
      <c r="CQ48" s="320" t="str">
        <f t="shared" si="27"/>
        <v/>
      </c>
      <c r="CR48" s="106" t="str">
        <f t="shared" si="28"/>
        <v/>
      </c>
      <c r="CS48" s="106" t="str">
        <f t="shared" si="29"/>
        <v/>
      </c>
      <c r="CT48" s="106" t="str">
        <f t="shared" si="30"/>
        <v>TIDAK</v>
      </c>
      <c r="CU48" s="106" t="str">
        <f t="shared" si="31"/>
        <v>TIDAK</v>
      </c>
      <c r="CV48" s="116" t="str">
        <f t="shared" si="32"/>
        <v/>
      </c>
      <c r="CW48" s="109" t="e">
        <f>IF(CI48="","",VLOOKUP(CI48,DATAPENG!$CJ$3:$CK$12,2,FALSE))</f>
        <v>#N/A</v>
      </c>
      <c r="CX48" s="109" t="e">
        <f>IF(CJ48="","",VLOOKUP(CJ48,DATAPENG!$CJ$3:$CK$12,2,FALSE))</f>
        <v>#N/A</v>
      </c>
    </row>
    <row r="49" spans="1:102">
      <c r="A49" s="105">
        <f>'DATA SISWA'!A49</f>
        <v>0</v>
      </c>
      <c r="B49" s="105">
        <f>'DATA SISWA'!B49</f>
        <v>0</v>
      </c>
      <c r="C49" s="105">
        <f>'DATA SISWA'!C49</f>
        <v>0</v>
      </c>
      <c r="D49" s="105">
        <f>'DATA SISWA'!D49</f>
        <v>0</v>
      </c>
      <c r="E49" s="105" t="str">
        <f>'DATA SISWA'!E49</f>
        <v>VII</v>
      </c>
      <c r="F49" s="101"/>
      <c r="G49" s="101"/>
      <c r="H49" s="101"/>
      <c r="I49" s="91"/>
      <c r="J49" s="307" t="str">
        <f>IF(AND(F49="",G49="",H49="",I49=""),"",AVERAGE(F49:I49))</f>
        <v/>
      </c>
      <c r="K49" s="101"/>
      <c r="L49" s="101"/>
      <c r="M49" s="316" t="str">
        <f>IF(AND(F49="",G49="",H49="",I49=""),"",IF(AND(K49="",L49=""),J49,IF(OR(L49="",K49="",L49&lt;=$CT$2),MAX(J49:L49),$CT$2)))</f>
        <v/>
      </c>
      <c r="N49" s="101"/>
      <c r="O49" s="101"/>
      <c r="P49" s="101"/>
      <c r="Q49" s="91"/>
      <c r="R49" s="307" t="str">
        <f>IF(AND(N49="",O49="",P49="",Q49=""),"",AVERAGE(N49:Q49))</f>
        <v/>
      </c>
      <c r="S49" s="101"/>
      <c r="T49" s="101"/>
      <c r="U49" s="316" t="str">
        <f>IF(AND(N49="",O49="",P49="",Q49=""),"",IF(AND(S49="",T49=""),R49,IF(OR(T49="",S49="",T49&lt;=$CT$2),MAX(R49:T49),$CT$2)))</f>
        <v/>
      </c>
      <c r="V49" s="101"/>
      <c r="W49" s="101"/>
      <c r="X49" s="101"/>
      <c r="Y49" s="91"/>
      <c r="Z49" s="307" t="str">
        <f>IF(AND(V49="",W49="",X49="",Y49=""),"",AVERAGE(V49:Y49))</f>
        <v/>
      </c>
      <c r="AA49" s="101"/>
      <c r="AB49" s="101"/>
      <c r="AC49" s="316" t="str">
        <f>IF(AND(V49="",W49="",X49="",Y49=""),"",IF(AND(AA49="",AB49=""),Z49,IF(OR(AB49="",AA49="",AB49&lt;=$CT$2),MAX(Z49:AB49),$CT$2)))</f>
        <v/>
      </c>
      <c r="AD49" s="101"/>
      <c r="AE49" s="101"/>
      <c r="AF49" s="101"/>
      <c r="AG49" s="91"/>
      <c r="AH49" s="307" t="str">
        <f>IF(AND(AD49="",AE49="",AF49="",AG49=""),"",AVERAGE(AD49:AG49))</f>
        <v/>
      </c>
      <c r="AI49" s="101"/>
      <c r="AJ49" s="101"/>
      <c r="AK49" s="316" t="str">
        <f>IF(AND(AD49="",AE49="",AF49="",AG49=""),"",IF(AND(AI49="",AJ49=""),AH49,IF(OR(AJ49="",AI49="",AJ49&lt;=$CT$2),MAX(AH49:AJ49),$CT$2)))</f>
        <v/>
      </c>
      <c r="AL49" s="101"/>
      <c r="AM49" s="101"/>
      <c r="AN49" s="101"/>
      <c r="AO49" s="91"/>
      <c r="AP49" s="307" t="str">
        <f>IF(AND(AL49="",AM49="",AN49="",AO49=""),"",AVERAGE(AL49:AO49))</f>
        <v/>
      </c>
      <c r="AQ49" s="101"/>
      <c r="AR49" s="101"/>
      <c r="AS49" s="316" t="str">
        <f>IF(AND(AL49="",AM49="",AN49="",AO49=""),"",IF(AND(AQ49="",AR49=""),AP49,IF(OR(AR49="",AQ49="",AR49&lt;=$CT$2),MAX(AP49:AR49),$CT$2)))</f>
        <v/>
      </c>
      <c r="AT49" s="101"/>
      <c r="AU49" s="101"/>
      <c r="AV49" s="101"/>
      <c r="AW49" s="91"/>
      <c r="AX49" s="307" t="str">
        <f>IF(AND(AT49="",AU49="",AV49="",AW49=""),"",AVERAGE(AT49:AW49))</f>
        <v/>
      </c>
      <c r="AY49" s="101"/>
      <c r="AZ49" s="101"/>
      <c r="BA49" s="316" t="str">
        <f>IF(AND(AT49="",AU49="",AV49="",AW49=""),"",IF(AND(AY49="",AZ49=""),AX49,IF(OR(AZ49="",AY49="",AZ49&lt;=$CT$2),MAX(AX49:AZ49),$CT$2)))</f>
        <v/>
      </c>
      <c r="BB49" s="101"/>
      <c r="BC49" s="101"/>
      <c r="BD49" s="101"/>
      <c r="BE49" s="91"/>
      <c r="BF49" s="307" t="str">
        <f>IF(AND(BB49="",BC49="",BD49="",BE49=""),"",AVERAGE(BB49:BE49))</f>
        <v/>
      </c>
      <c r="BG49" s="101"/>
      <c r="BH49" s="101"/>
      <c r="BI49" s="316" t="str">
        <f>IF(AND(BB49="",BC49="",BD49="",BE49=""),"",IF(AND(BG49="",BH49=""),BF49,IF(OR(BH49="",BG49="",BH49&lt;=$CT$2),MAX(BF49:BH49),$CT$2)))</f>
        <v/>
      </c>
      <c r="BJ49" s="101"/>
      <c r="BK49" s="101"/>
      <c r="BL49" s="101"/>
      <c r="BM49" s="91"/>
      <c r="BN49" s="307" t="str">
        <f>IF(AND(BJ49="",BK49="",BL49="",BM49=""),"",AVERAGE(BJ49:BM49))</f>
        <v/>
      </c>
      <c r="BO49" s="101"/>
      <c r="BP49" s="101"/>
      <c r="BQ49" s="316" t="str">
        <f>IF(AND(BJ49="",BK49="",BL49="",BM49=""),"",IF(AND(BO49="",BP49=""),BN49,IF(OR(BP49="",BO49="",BP49&lt;=$CT$2),MAX(BN49:BP49),$CT$2)))</f>
        <v/>
      </c>
      <c r="BR49" s="101"/>
      <c r="BS49" s="101"/>
      <c r="BT49" s="101"/>
      <c r="BU49" s="91"/>
      <c r="BV49" s="307" t="str">
        <f>IF(AND(BR49="",BS49="",BT49="",BU49=""),"",AVERAGE(BR49:BU49))</f>
        <v/>
      </c>
      <c r="BW49" s="101"/>
      <c r="BX49" s="101"/>
      <c r="BY49" s="316" t="str">
        <f>IF(AND(BR49="",BS49="",BT49="",BU49=""),"",IF(AND(BW49="",BX49=""),BV49,IF(OR(BX49="",BW49="",BX49&lt;=$CT$2),MAX(BV49:BX49),$CT$2)))</f>
        <v/>
      </c>
      <c r="BZ49" s="101"/>
      <c r="CA49" s="101"/>
      <c r="CB49" s="101"/>
      <c r="CC49" s="91"/>
      <c r="CD49" s="307" t="str">
        <f>IF(AND(BZ49="",CA49="",CB49="",CC49=""),"",AVERAGE(BZ49:CC49))</f>
        <v/>
      </c>
      <c r="CE49" s="101"/>
      <c r="CF49" s="101"/>
      <c r="CG49" s="316" t="str">
        <f>IF(AND(BZ49="",CA49="",CB49="",CC49=""),"",IF(AND(CE49="",CF49=""),CD49,IF(OR(CF49="",CE49="",CF49&lt;=$CT$2),MAX(CD49:CF49),$CT$2)))</f>
        <v/>
      </c>
      <c r="CH49" s="318" t="str">
        <f t="shared" si="0"/>
        <v/>
      </c>
      <c r="CI49" s="105">
        <f t="shared" si="1"/>
        <v>0</v>
      </c>
      <c r="CJ49" s="105">
        <f t="shared" si="2"/>
        <v>0</v>
      </c>
      <c r="CK49" s="101"/>
      <c r="CL49" s="101"/>
      <c r="CM49" s="319" t="str">
        <f t="shared" si="23"/>
        <v/>
      </c>
      <c r="CN49" s="319" t="str">
        <f t="shared" si="24"/>
        <v/>
      </c>
      <c r="CO49" s="319" t="str">
        <f t="shared" si="25"/>
        <v/>
      </c>
      <c r="CP49" s="227" t="str">
        <f t="shared" si="26"/>
        <v/>
      </c>
      <c r="CQ49" s="320" t="str">
        <f t="shared" si="27"/>
        <v/>
      </c>
      <c r="CR49" s="106" t="str">
        <f t="shared" si="28"/>
        <v/>
      </c>
      <c r="CS49" s="106" t="str">
        <f t="shared" si="29"/>
        <v/>
      </c>
      <c r="CT49" s="106" t="str">
        <f t="shared" si="30"/>
        <v>TIDAK</v>
      </c>
      <c r="CU49" s="106" t="str">
        <f t="shared" si="31"/>
        <v>TIDAK</v>
      </c>
      <c r="CV49" s="116" t="str">
        <f t="shared" si="32"/>
        <v/>
      </c>
      <c r="CW49" s="109" t="e">
        <f>IF(CI49="","",VLOOKUP(CI49,DATAPENG!$CL$3:$CM$12,2,FALSE))</f>
        <v>#N/A</v>
      </c>
      <c r="CX49" s="109" t="e">
        <f>IF(CJ49="","",VLOOKUP(CJ49,DATAPENG!$CL$3:$CM$12,2,FALSE))</f>
        <v>#N/A</v>
      </c>
    </row>
    <row r="50" spans="1:102">
      <c r="A50" s="105">
        <f>'DATA SISWA'!A50</f>
        <v>0</v>
      </c>
      <c r="B50" s="105">
        <f>'DATA SISWA'!B50</f>
        <v>0</v>
      </c>
      <c r="C50" s="105">
        <f>'DATA SISWA'!C50</f>
        <v>0</v>
      </c>
      <c r="D50" s="105">
        <f>'DATA SISWA'!D50</f>
        <v>0</v>
      </c>
      <c r="E50" s="105" t="str">
        <f>'DATA SISWA'!E50</f>
        <v>VII</v>
      </c>
      <c r="F50" s="101"/>
      <c r="G50" s="101"/>
      <c r="H50" s="101"/>
      <c r="I50" s="91"/>
      <c r="J50" s="307" t="str">
        <f t="shared" ref="J50:J52" si="233">IF(AND(F50="",G50="",H50="",I50=""),"",AVERAGE(F50:I50))</f>
        <v/>
      </c>
      <c r="K50" s="101"/>
      <c r="L50" s="101"/>
      <c r="M50" s="316" t="str">
        <f t="shared" ref="M50:M52" si="234">IF(AND(F50="",G50="",H50="",I50=""),"",IF(AND(K50="",L50=""),J50,IF(OR(L50="",K50="",L50&lt;=$CT$2),MAX(J50:L50),$CT$2)))</f>
        <v/>
      </c>
      <c r="N50" s="101"/>
      <c r="O50" s="101"/>
      <c r="P50" s="101"/>
      <c r="Q50" s="91"/>
      <c r="R50" s="307" t="str">
        <f t="shared" ref="R50:R52" si="235">IF(AND(N50="",O50="",P50="",Q50=""),"",AVERAGE(N50:Q50))</f>
        <v/>
      </c>
      <c r="S50" s="101"/>
      <c r="T50" s="101"/>
      <c r="U50" s="316" t="str">
        <f t="shared" ref="U50:U52" si="236">IF(AND(N50="",O50="",P50="",Q50=""),"",IF(AND(S50="",T50=""),R50,IF(OR(T50="",S50="",T50&lt;=$CT$2),MAX(R50:T50),$CT$2)))</f>
        <v/>
      </c>
      <c r="V50" s="101"/>
      <c r="W50" s="101"/>
      <c r="X50" s="101"/>
      <c r="Y50" s="91"/>
      <c r="Z50" s="307" t="str">
        <f t="shared" ref="Z50:Z52" si="237">IF(AND(V50="",W50="",X50="",Y50=""),"",AVERAGE(V50:Y50))</f>
        <v/>
      </c>
      <c r="AA50" s="101"/>
      <c r="AB50" s="101"/>
      <c r="AC50" s="316" t="str">
        <f t="shared" ref="AC50:AC52" si="238">IF(AND(V50="",W50="",X50="",Y50=""),"",IF(AND(AA50="",AB50=""),Z50,IF(OR(AB50="",AA50="",AB50&lt;=$CT$2),MAX(Z50:AB50),$CT$2)))</f>
        <v/>
      </c>
      <c r="AD50" s="101"/>
      <c r="AE50" s="101"/>
      <c r="AF50" s="101"/>
      <c r="AG50" s="91"/>
      <c r="AH50" s="307" t="str">
        <f t="shared" ref="AH50:AH52" si="239">IF(AND(AD50="",AE50="",AF50="",AG50=""),"",AVERAGE(AD50:AG50))</f>
        <v/>
      </c>
      <c r="AI50" s="101"/>
      <c r="AJ50" s="101"/>
      <c r="AK50" s="316" t="str">
        <f t="shared" ref="AK50:AK52" si="240">IF(AND(AD50="",AE50="",AF50="",AG50=""),"",IF(AND(AI50="",AJ50=""),AH50,IF(OR(AJ50="",AI50="",AJ50&lt;=$CT$2),MAX(AH50:AJ50),$CT$2)))</f>
        <v/>
      </c>
      <c r="AL50" s="101"/>
      <c r="AM50" s="101"/>
      <c r="AN50" s="101"/>
      <c r="AO50" s="91"/>
      <c r="AP50" s="307" t="str">
        <f t="shared" ref="AP50:AP52" si="241">IF(AND(AL50="",AM50="",AN50="",AO50=""),"",AVERAGE(AL50:AO50))</f>
        <v/>
      </c>
      <c r="AQ50" s="101"/>
      <c r="AR50" s="101"/>
      <c r="AS50" s="316" t="str">
        <f t="shared" ref="AS50:AS52" si="242">IF(AND(AL50="",AM50="",AN50="",AO50=""),"",IF(AND(AQ50="",AR50=""),AP50,IF(OR(AR50="",AQ50="",AR50&lt;=$CT$2),MAX(AP50:AR50),$CT$2)))</f>
        <v/>
      </c>
      <c r="AT50" s="101"/>
      <c r="AU50" s="101"/>
      <c r="AV50" s="101"/>
      <c r="AW50" s="91"/>
      <c r="AX50" s="307" t="str">
        <f t="shared" ref="AX50:AX52" si="243">IF(AND(AT50="",AU50="",AV50="",AW50=""),"",AVERAGE(AT50:AW50))</f>
        <v/>
      </c>
      <c r="AY50" s="101"/>
      <c r="AZ50" s="101"/>
      <c r="BA50" s="316" t="str">
        <f t="shared" ref="BA50:BA52" si="244">IF(AND(AT50="",AU50="",AV50="",AW50=""),"",IF(AND(AY50="",AZ50=""),AX50,IF(OR(AZ50="",AY50="",AZ50&lt;=$CT$2),MAX(AX50:AZ50),$CT$2)))</f>
        <v/>
      </c>
      <c r="BB50" s="101"/>
      <c r="BC50" s="101"/>
      <c r="BD50" s="101"/>
      <c r="BE50" s="91"/>
      <c r="BF50" s="307" t="str">
        <f t="shared" ref="BF50:BF52" si="245">IF(AND(BB50="",BC50="",BD50="",BE50=""),"",AVERAGE(BB50:BE50))</f>
        <v/>
      </c>
      <c r="BG50" s="101"/>
      <c r="BH50" s="101"/>
      <c r="BI50" s="316" t="str">
        <f t="shared" ref="BI50:BI52" si="246">IF(AND(BB50="",BC50="",BD50="",BE50=""),"",IF(AND(BG50="",BH50=""),BF50,IF(OR(BH50="",BG50="",BH50&lt;=$CT$2),MAX(BF50:BH50),$CT$2)))</f>
        <v/>
      </c>
      <c r="BJ50" s="101"/>
      <c r="BK50" s="101"/>
      <c r="BL50" s="101"/>
      <c r="BM50" s="91"/>
      <c r="BN50" s="307" t="str">
        <f t="shared" ref="BN50:BN52" si="247">IF(AND(BJ50="",BK50="",BL50="",BM50=""),"",AVERAGE(BJ50:BM50))</f>
        <v/>
      </c>
      <c r="BO50" s="101"/>
      <c r="BP50" s="101"/>
      <c r="BQ50" s="316" t="str">
        <f t="shared" ref="BQ50:BQ52" si="248">IF(AND(BJ50="",BK50="",BL50="",BM50=""),"",IF(AND(BO50="",BP50=""),BN50,IF(OR(BP50="",BO50="",BP50&lt;=$CT$2),MAX(BN50:BP50),$CT$2)))</f>
        <v/>
      </c>
      <c r="BR50" s="101"/>
      <c r="BS50" s="101"/>
      <c r="BT50" s="101"/>
      <c r="BU50" s="91"/>
      <c r="BV50" s="307" t="str">
        <f t="shared" ref="BV50:BV52" si="249">IF(AND(BR50="",BS50="",BT50="",BU50=""),"",AVERAGE(BR50:BU50))</f>
        <v/>
      </c>
      <c r="BW50" s="101"/>
      <c r="BX50" s="101"/>
      <c r="BY50" s="316" t="str">
        <f t="shared" ref="BY50:BY52" si="250">IF(AND(BR50="",BS50="",BT50="",BU50=""),"",IF(AND(BW50="",BX50=""),BV50,IF(OR(BX50="",BW50="",BX50&lt;=$CT$2),MAX(BV50:BX50),$CT$2)))</f>
        <v/>
      </c>
      <c r="BZ50" s="101"/>
      <c r="CA50" s="101"/>
      <c r="CB50" s="101"/>
      <c r="CC50" s="91"/>
      <c r="CD50" s="307" t="str">
        <f t="shared" ref="CD50:CD52" si="251">IF(AND(BZ50="",CA50="",CB50="",CC50=""),"",AVERAGE(BZ50:CC50))</f>
        <v/>
      </c>
      <c r="CE50" s="101"/>
      <c r="CF50" s="101"/>
      <c r="CG50" s="316" t="str">
        <f t="shared" ref="CG50:CG52" si="252">IF(AND(BZ50="",CA50="",CB50="",CC50=""),"",IF(AND(CE50="",CF50=""),CD50,IF(OR(CF50="",CE50="",CF50&lt;=$CT$2),MAX(CD50:CF50),$CT$2)))</f>
        <v/>
      </c>
      <c r="CH50" s="318" t="str">
        <f t="shared" si="0"/>
        <v/>
      </c>
      <c r="CI50" s="105">
        <f t="shared" si="1"/>
        <v>0</v>
      </c>
      <c r="CJ50" s="105">
        <f t="shared" si="2"/>
        <v>0</v>
      </c>
      <c r="CK50" s="101"/>
      <c r="CL50" s="101"/>
      <c r="CM50" s="319" t="str">
        <f t="shared" si="23"/>
        <v/>
      </c>
      <c r="CN50" s="319" t="str">
        <f t="shared" si="24"/>
        <v/>
      </c>
      <c r="CO50" s="319" t="str">
        <f t="shared" si="25"/>
        <v/>
      </c>
      <c r="CP50" s="227" t="str">
        <f t="shared" si="26"/>
        <v/>
      </c>
      <c r="CQ50" s="320" t="str">
        <f t="shared" si="27"/>
        <v/>
      </c>
      <c r="CR50" s="106" t="str">
        <f t="shared" si="28"/>
        <v/>
      </c>
      <c r="CS50" s="106" t="str">
        <f t="shared" si="29"/>
        <v/>
      </c>
      <c r="CT50" s="106" t="str">
        <f t="shared" si="30"/>
        <v>TIDAK</v>
      </c>
      <c r="CU50" s="106" t="str">
        <f t="shared" si="31"/>
        <v>TIDAK</v>
      </c>
      <c r="CV50" s="116" t="str">
        <f t="shared" si="32"/>
        <v/>
      </c>
      <c r="CW50" s="109" t="e">
        <f>IF(CI50="","",VLOOKUP(CI50,DATAPENG!$CN$3:$CO$12,2,FALSE))</f>
        <v>#N/A</v>
      </c>
      <c r="CX50" s="109" t="e">
        <f>IF(CJ50="","",VLOOKUP(CJ50,DATAPENG!$CN$3:$CO$12,2,FALSE))</f>
        <v>#N/A</v>
      </c>
    </row>
    <row r="51" spans="1:102">
      <c r="A51" s="105">
        <f>'DATA SISWA'!A51</f>
        <v>0</v>
      </c>
      <c r="B51" s="105">
        <f>'DATA SISWA'!B51</f>
        <v>0</v>
      </c>
      <c r="C51" s="105">
        <f>'DATA SISWA'!C51</f>
        <v>0</v>
      </c>
      <c r="D51" s="105">
        <f>'DATA SISWA'!D51</f>
        <v>0</v>
      </c>
      <c r="E51" s="105" t="str">
        <f>'DATA SISWA'!E51</f>
        <v>VII</v>
      </c>
      <c r="F51" s="101"/>
      <c r="G51" s="101"/>
      <c r="H51" s="101"/>
      <c r="I51" s="91"/>
      <c r="J51" s="307" t="str">
        <f t="shared" si="233"/>
        <v/>
      </c>
      <c r="K51" s="101"/>
      <c r="L51" s="101"/>
      <c r="M51" s="316" t="str">
        <f t="shared" si="234"/>
        <v/>
      </c>
      <c r="N51" s="101"/>
      <c r="O51" s="101"/>
      <c r="P51" s="101"/>
      <c r="Q51" s="91"/>
      <c r="R51" s="307" t="str">
        <f t="shared" si="235"/>
        <v/>
      </c>
      <c r="S51" s="101"/>
      <c r="T51" s="101"/>
      <c r="U51" s="316" t="str">
        <f t="shared" si="236"/>
        <v/>
      </c>
      <c r="V51" s="101"/>
      <c r="W51" s="101"/>
      <c r="X51" s="101"/>
      <c r="Y51" s="91"/>
      <c r="Z51" s="307" t="str">
        <f t="shared" si="237"/>
        <v/>
      </c>
      <c r="AA51" s="101"/>
      <c r="AB51" s="101"/>
      <c r="AC51" s="316" t="str">
        <f t="shared" si="238"/>
        <v/>
      </c>
      <c r="AD51" s="101"/>
      <c r="AE51" s="101"/>
      <c r="AF51" s="101"/>
      <c r="AG51" s="91"/>
      <c r="AH51" s="307" t="str">
        <f t="shared" si="239"/>
        <v/>
      </c>
      <c r="AI51" s="101"/>
      <c r="AJ51" s="101"/>
      <c r="AK51" s="316" t="str">
        <f t="shared" si="240"/>
        <v/>
      </c>
      <c r="AL51" s="101"/>
      <c r="AM51" s="101"/>
      <c r="AN51" s="101"/>
      <c r="AO51" s="91"/>
      <c r="AP51" s="307" t="str">
        <f t="shared" si="241"/>
        <v/>
      </c>
      <c r="AQ51" s="101"/>
      <c r="AR51" s="101"/>
      <c r="AS51" s="316" t="str">
        <f t="shared" si="242"/>
        <v/>
      </c>
      <c r="AT51" s="101"/>
      <c r="AU51" s="101"/>
      <c r="AV51" s="101"/>
      <c r="AW51" s="91"/>
      <c r="AX51" s="307" t="str">
        <f t="shared" si="243"/>
        <v/>
      </c>
      <c r="AY51" s="101"/>
      <c r="AZ51" s="101"/>
      <c r="BA51" s="316" t="str">
        <f t="shared" si="244"/>
        <v/>
      </c>
      <c r="BB51" s="101"/>
      <c r="BC51" s="101"/>
      <c r="BD51" s="101"/>
      <c r="BE51" s="91"/>
      <c r="BF51" s="307" t="str">
        <f t="shared" si="245"/>
        <v/>
      </c>
      <c r="BG51" s="101"/>
      <c r="BH51" s="101"/>
      <c r="BI51" s="316" t="str">
        <f t="shared" si="246"/>
        <v/>
      </c>
      <c r="BJ51" s="101"/>
      <c r="BK51" s="101"/>
      <c r="BL51" s="101"/>
      <c r="BM51" s="91"/>
      <c r="BN51" s="307" t="str">
        <f t="shared" si="247"/>
        <v/>
      </c>
      <c r="BO51" s="101"/>
      <c r="BP51" s="101"/>
      <c r="BQ51" s="316" t="str">
        <f t="shared" si="248"/>
        <v/>
      </c>
      <c r="BR51" s="101"/>
      <c r="BS51" s="101"/>
      <c r="BT51" s="101"/>
      <c r="BU51" s="91"/>
      <c r="BV51" s="307" t="str">
        <f t="shared" si="249"/>
        <v/>
      </c>
      <c r="BW51" s="101"/>
      <c r="BX51" s="101"/>
      <c r="BY51" s="316" t="str">
        <f t="shared" si="250"/>
        <v/>
      </c>
      <c r="BZ51" s="101"/>
      <c r="CA51" s="101"/>
      <c r="CB51" s="101"/>
      <c r="CC51" s="91"/>
      <c r="CD51" s="307" t="str">
        <f t="shared" si="251"/>
        <v/>
      </c>
      <c r="CE51" s="101"/>
      <c r="CF51" s="101"/>
      <c r="CG51" s="316" t="str">
        <f t="shared" si="252"/>
        <v/>
      </c>
      <c r="CH51" s="318" t="str">
        <f t="shared" si="0"/>
        <v/>
      </c>
      <c r="CI51" s="105">
        <f t="shared" si="1"/>
        <v>0</v>
      </c>
      <c r="CJ51" s="105">
        <f t="shared" si="2"/>
        <v>0</v>
      </c>
      <c r="CK51" s="101"/>
      <c r="CL51" s="101"/>
      <c r="CM51" s="319" t="str">
        <f t="shared" si="23"/>
        <v/>
      </c>
      <c r="CN51" s="319" t="str">
        <f t="shared" si="24"/>
        <v/>
      </c>
      <c r="CO51" s="319" t="str">
        <f t="shared" si="25"/>
        <v/>
      </c>
      <c r="CP51" s="227" t="str">
        <f t="shared" si="26"/>
        <v/>
      </c>
      <c r="CQ51" s="320" t="str">
        <f t="shared" si="27"/>
        <v/>
      </c>
      <c r="CR51" s="106" t="str">
        <f t="shared" si="28"/>
        <v/>
      </c>
      <c r="CS51" s="106" t="str">
        <f t="shared" si="29"/>
        <v/>
      </c>
      <c r="CT51" s="106" t="str">
        <f t="shared" si="30"/>
        <v>TIDAK</v>
      </c>
      <c r="CU51" s="106" t="str">
        <f t="shared" si="31"/>
        <v>TIDAK</v>
      </c>
      <c r="CV51" s="116" t="str">
        <f t="shared" si="32"/>
        <v/>
      </c>
      <c r="CW51" s="109" t="e">
        <f>IF(CI51="","",VLOOKUP(CI51,DATAPENG!$CP$3:$CQ$12,2,FALSE))</f>
        <v>#N/A</v>
      </c>
      <c r="CX51" s="109" t="e">
        <f>IF(CJ51="","",VLOOKUP(CJ51,DATAPENG!$CP$3:$CQ$12,2,FALSE))</f>
        <v>#N/A</v>
      </c>
    </row>
    <row r="52" spans="1:102">
      <c r="A52" s="105">
        <f>'DATA SISWA'!A52</f>
        <v>0</v>
      </c>
      <c r="B52" s="105">
        <f>'DATA SISWA'!B52</f>
        <v>0</v>
      </c>
      <c r="C52" s="105">
        <f>'DATA SISWA'!C52</f>
        <v>0</v>
      </c>
      <c r="D52" s="105">
        <f>'DATA SISWA'!D52</f>
        <v>0</v>
      </c>
      <c r="E52" s="105" t="str">
        <f>'DATA SISWA'!E52</f>
        <v>VII</v>
      </c>
      <c r="F52" s="101"/>
      <c r="G52" s="101"/>
      <c r="H52" s="101"/>
      <c r="I52" s="91"/>
      <c r="J52" s="307" t="str">
        <f t="shared" si="233"/>
        <v/>
      </c>
      <c r="K52" s="101"/>
      <c r="L52" s="101"/>
      <c r="M52" s="316" t="str">
        <f t="shared" si="234"/>
        <v/>
      </c>
      <c r="N52" s="101"/>
      <c r="O52" s="101"/>
      <c r="P52" s="101"/>
      <c r="Q52" s="91"/>
      <c r="R52" s="307" t="str">
        <f t="shared" si="235"/>
        <v/>
      </c>
      <c r="S52" s="101"/>
      <c r="T52" s="101"/>
      <c r="U52" s="316" t="str">
        <f t="shared" si="236"/>
        <v/>
      </c>
      <c r="V52" s="101"/>
      <c r="W52" s="101"/>
      <c r="X52" s="101"/>
      <c r="Y52" s="91"/>
      <c r="Z52" s="307" t="str">
        <f t="shared" si="237"/>
        <v/>
      </c>
      <c r="AA52" s="101"/>
      <c r="AB52" s="101"/>
      <c r="AC52" s="316" t="str">
        <f t="shared" si="238"/>
        <v/>
      </c>
      <c r="AD52" s="101"/>
      <c r="AE52" s="101"/>
      <c r="AF52" s="101"/>
      <c r="AG52" s="91"/>
      <c r="AH52" s="307" t="str">
        <f t="shared" si="239"/>
        <v/>
      </c>
      <c r="AI52" s="101"/>
      <c r="AJ52" s="101"/>
      <c r="AK52" s="316" t="str">
        <f t="shared" si="240"/>
        <v/>
      </c>
      <c r="AL52" s="101"/>
      <c r="AM52" s="101"/>
      <c r="AN52" s="101"/>
      <c r="AO52" s="91"/>
      <c r="AP52" s="307" t="str">
        <f t="shared" si="241"/>
        <v/>
      </c>
      <c r="AQ52" s="101"/>
      <c r="AR52" s="101"/>
      <c r="AS52" s="316" t="str">
        <f t="shared" si="242"/>
        <v/>
      </c>
      <c r="AT52" s="101"/>
      <c r="AU52" s="101"/>
      <c r="AV52" s="101"/>
      <c r="AW52" s="91"/>
      <c r="AX52" s="307" t="str">
        <f t="shared" si="243"/>
        <v/>
      </c>
      <c r="AY52" s="101"/>
      <c r="AZ52" s="101"/>
      <c r="BA52" s="316" t="str">
        <f t="shared" si="244"/>
        <v/>
      </c>
      <c r="BB52" s="101"/>
      <c r="BC52" s="101"/>
      <c r="BD52" s="101"/>
      <c r="BE52" s="91"/>
      <c r="BF52" s="307" t="str">
        <f t="shared" si="245"/>
        <v/>
      </c>
      <c r="BG52" s="101"/>
      <c r="BH52" s="101"/>
      <c r="BI52" s="316" t="str">
        <f t="shared" si="246"/>
        <v/>
      </c>
      <c r="BJ52" s="101"/>
      <c r="BK52" s="101"/>
      <c r="BL52" s="101"/>
      <c r="BM52" s="91"/>
      <c r="BN52" s="307" t="str">
        <f t="shared" si="247"/>
        <v/>
      </c>
      <c r="BO52" s="101"/>
      <c r="BP52" s="101"/>
      <c r="BQ52" s="316" t="str">
        <f t="shared" si="248"/>
        <v/>
      </c>
      <c r="BR52" s="101"/>
      <c r="BS52" s="101"/>
      <c r="BT52" s="101"/>
      <c r="BU52" s="91"/>
      <c r="BV52" s="307" t="str">
        <f t="shared" si="249"/>
        <v/>
      </c>
      <c r="BW52" s="101"/>
      <c r="BX52" s="101"/>
      <c r="BY52" s="316" t="str">
        <f t="shared" si="250"/>
        <v/>
      </c>
      <c r="BZ52" s="101"/>
      <c r="CA52" s="101"/>
      <c r="CB52" s="101"/>
      <c r="CC52" s="91"/>
      <c r="CD52" s="307" t="str">
        <f t="shared" si="251"/>
        <v/>
      </c>
      <c r="CE52" s="101"/>
      <c r="CF52" s="101"/>
      <c r="CG52" s="316" t="str">
        <f t="shared" si="252"/>
        <v/>
      </c>
      <c r="CH52" s="318" t="str">
        <f t="shared" si="0"/>
        <v/>
      </c>
      <c r="CI52" s="105">
        <f t="shared" si="1"/>
        <v>0</v>
      </c>
      <c r="CJ52" s="105">
        <f t="shared" si="2"/>
        <v>0</v>
      </c>
      <c r="CK52" s="101"/>
      <c r="CL52" s="101"/>
      <c r="CM52" s="319" t="str">
        <f t="shared" si="23"/>
        <v/>
      </c>
      <c r="CN52" s="319" t="str">
        <f t="shared" si="24"/>
        <v/>
      </c>
      <c r="CO52" s="319" t="str">
        <f t="shared" si="25"/>
        <v/>
      </c>
      <c r="CP52" s="227" t="str">
        <f t="shared" si="26"/>
        <v/>
      </c>
      <c r="CQ52" s="320" t="str">
        <f t="shared" si="27"/>
        <v/>
      </c>
      <c r="CR52" s="106" t="str">
        <f t="shared" si="28"/>
        <v/>
      </c>
      <c r="CS52" s="106" t="str">
        <f t="shared" si="29"/>
        <v/>
      </c>
      <c r="CT52" s="106" t="str">
        <f t="shared" si="30"/>
        <v>TIDAK</v>
      </c>
      <c r="CU52" s="106" t="str">
        <f t="shared" si="31"/>
        <v>TIDAK</v>
      </c>
      <c r="CV52" s="116" t="str">
        <f t="shared" si="32"/>
        <v/>
      </c>
      <c r="CW52" s="109" t="e">
        <f>IF(CI52="","",VLOOKUP(CI52,DATAPENG!$CR$3:$CS$12,2,FALSE))</f>
        <v>#N/A</v>
      </c>
      <c r="CX52" s="109" t="e">
        <f>IF(CJ52="","",VLOOKUP(CJ52,DATAPENG!$CR$3:$CS$12,2,FALSE))</f>
        <v>#N/A</v>
      </c>
    </row>
    <row r="53" spans="1:102">
      <c r="CW53" s="225"/>
    </row>
  </sheetData>
  <sheetProtection password="CC9A" sheet="1" objects="1" scenarios="1" formatCells="0" formatColumns="0" formatRows="0" insertColumns="0" insertRows="0" insertHyperlinks="0" deleteColumns="0" deleteRows="0" sort="0"/>
  <mergeCells count="50">
    <mergeCell ref="CG1:CG3"/>
    <mergeCell ref="BZ2:CF2"/>
    <mergeCell ref="M1:M3"/>
    <mergeCell ref="AD1:AJ1"/>
    <mergeCell ref="AK1:AK3"/>
    <mergeCell ref="AD2:AJ2"/>
    <mergeCell ref="AT1:AZ1"/>
    <mergeCell ref="AT2:AZ2"/>
    <mergeCell ref="V2:AB2"/>
    <mergeCell ref="F2:L2"/>
    <mergeCell ref="CL1:CL3"/>
    <mergeCell ref="AL1:AR1"/>
    <mergeCell ref="AS1:AS3"/>
    <mergeCell ref="AL2:AR2"/>
    <mergeCell ref="CH1:CH3"/>
    <mergeCell ref="BJ1:BP1"/>
    <mergeCell ref="BA1:BA3"/>
    <mergeCell ref="BQ1:BQ3"/>
    <mergeCell ref="BJ2:BP2"/>
    <mergeCell ref="CK2:CK3"/>
    <mergeCell ref="BR1:BX1"/>
    <mergeCell ref="BY1:BY3"/>
    <mergeCell ref="BR2:BX2"/>
    <mergeCell ref="BZ1:CF1"/>
    <mergeCell ref="CJ1:CJ3"/>
    <mergeCell ref="CX1:CX3"/>
    <mergeCell ref="CW1:CW3"/>
    <mergeCell ref="A1:A3"/>
    <mergeCell ref="B1:B3"/>
    <mergeCell ref="E1:E3"/>
    <mergeCell ref="BB1:BH1"/>
    <mergeCell ref="BI1:BI3"/>
    <mergeCell ref="BB2:BH2"/>
    <mergeCell ref="C1:C3"/>
    <mergeCell ref="D1:D3"/>
    <mergeCell ref="F1:L1"/>
    <mergeCell ref="N1:T1"/>
    <mergeCell ref="N2:T2"/>
    <mergeCell ref="U1:U3"/>
    <mergeCell ref="V1:AB1"/>
    <mergeCell ref="AC1:AC3"/>
    <mergeCell ref="CI1:CI3"/>
    <mergeCell ref="CP1:CP3"/>
    <mergeCell ref="CR1:CR3"/>
    <mergeCell ref="CV1:CV3"/>
    <mergeCell ref="CT2:CU2"/>
    <mergeCell ref="CT1:CU1"/>
    <mergeCell ref="CS1:CS3"/>
    <mergeCell ref="CQ1:CQ3"/>
    <mergeCell ref="CM1:CO1"/>
  </mergeCells>
  <dataValidations count="1">
    <dataValidation type="whole" allowBlank="1" showInputMessage="1" showErrorMessage="1" sqref="BW5:BX52 BO5:BP52 BG5:BH52 AY5:AZ52 AQ5:AR52 AA5:AB52 AI5:AJ52 S5:T52 K5:L52 BR5:BT52 F5:H52 N5:P52 V5:X52 AL5:AN52 AD5:AF52 AT5:AV52 BB5:BD52 BJ5:BL52 CE5:CF52 BZ5:CB52">
      <formula1>0</formula1>
      <formula2>100</formula2>
    </dataValidation>
  </dataValidations>
  <pageMargins left="0.7" right="0.7" top="0.75" bottom="0.75" header="0.3" footer="0.3"/>
  <pageSetup paperSize="9"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sheetPr codeName="Sheet25"/>
  <dimension ref="A1:CS25"/>
  <sheetViews>
    <sheetView topLeftCell="CD1" zoomScale="90" zoomScaleNormal="90" workbookViewId="0">
      <selection activeCell="CQ13" sqref="A1:XFD1048576"/>
    </sheetView>
  </sheetViews>
  <sheetFormatPr defaultRowHeight="15"/>
  <cols>
    <col min="1" max="2" width="9.140625" style="42"/>
    <col min="3" max="3" width="13.85546875" style="42" customWidth="1"/>
    <col min="4" max="16384" width="9.140625" style="42"/>
  </cols>
  <sheetData>
    <row r="1" spans="1:97">
      <c r="A1" s="72"/>
      <c r="B1" s="600" t="s">
        <v>331</v>
      </c>
      <c r="C1" s="600"/>
      <c r="D1" s="600" t="s">
        <v>356</v>
      </c>
      <c r="E1" s="600"/>
      <c r="F1" s="600" t="s">
        <v>357</v>
      </c>
      <c r="G1" s="600"/>
      <c r="H1" s="600" t="s">
        <v>358</v>
      </c>
      <c r="I1" s="600"/>
      <c r="J1" s="600" t="s">
        <v>359</v>
      </c>
      <c r="K1" s="600"/>
      <c r="L1" s="600" t="s">
        <v>360</v>
      </c>
      <c r="M1" s="600"/>
      <c r="N1" s="600" t="s">
        <v>361</v>
      </c>
      <c r="O1" s="600"/>
      <c r="P1" s="600" t="s">
        <v>362</v>
      </c>
      <c r="Q1" s="600"/>
      <c r="R1" s="600" t="s">
        <v>363</v>
      </c>
      <c r="S1" s="600"/>
      <c r="T1" s="600" t="s">
        <v>364</v>
      </c>
      <c r="U1" s="600"/>
      <c r="V1" s="600" t="s">
        <v>365</v>
      </c>
      <c r="W1" s="600"/>
      <c r="X1" s="600" t="s">
        <v>366</v>
      </c>
      <c r="Y1" s="600"/>
      <c r="Z1" s="600" t="s">
        <v>367</v>
      </c>
      <c r="AA1" s="600"/>
      <c r="AB1" s="600" t="s">
        <v>368</v>
      </c>
      <c r="AC1" s="600"/>
      <c r="AD1" s="600" t="s">
        <v>369</v>
      </c>
      <c r="AE1" s="600"/>
      <c r="AF1" s="600" t="s">
        <v>370</v>
      </c>
      <c r="AG1" s="600"/>
      <c r="AH1" s="600" t="s">
        <v>371</v>
      </c>
      <c r="AI1" s="600"/>
      <c r="AJ1" s="600" t="s">
        <v>372</v>
      </c>
      <c r="AK1" s="600"/>
      <c r="AL1" s="600" t="s">
        <v>373</v>
      </c>
      <c r="AM1" s="600"/>
      <c r="AN1" s="600" t="s">
        <v>374</v>
      </c>
      <c r="AO1" s="600"/>
      <c r="AP1" s="600" t="s">
        <v>375</v>
      </c>
      <c r="AQ1" s="600"/>
      <c r="AR1" s="600" t="s">
        <v>376</v>
      </c>
      <c r="AS1" s="600"/>
      <c r="AT1" s="600" t="s">
        <v>377</v>
      </c>
      <c r="AU1" s="600"/>
      <c r="AV1" s="600" t="s">
        <v>378</v>
      </c>
      <c r="AW1" s="600"/>
      <c r="AX1" s="599" t="s">
        <v>379</v>
      </c>
      <c r="AY1" s="599"/>
      <c r="AZ1" s="599" t="s">
        <v>380</v>
      </c>
      <c r="BA1" s="599"/>
      <c r="BB1" s="599" t="s">
        <v>381</v>
      </c>
      <c r="BC1" s="599"/>
      <c r="BD1" s="599" t="s">
        <v>382</v>
      </c>
      <c r="BE1" s="599"/>
      <c r="BF1" s="599" t="s">
        <v>383</v>
      </c>
      <c r="BG1" s="599"/>
      <c r="BH1" s="599" t="s">
        <v>384</v>
      </c>
      <c r="BI1" s="599"/>
      <c r="BJ1" s="599" t="s">
        <v>385</v>
      </c>
      <c r="BK1" s="599"/>
      <c r="BL1" s="599" t="s">
        <v>386</v>
      </c>
      <c r="BM1" s="599"/>
      <c r="BN1" s="599" t="s">
        <v>387</v>
      </c>
      <c r="BO1" s="599"/>
      <c r="BP1" s="599" t="s">
        <v>388</v>
      </c>
      <c r="BQ1" s="599"/>
      <c r="BR1" s="599" t="s">
        <v>389</v>
      </c>
      <c r="BS1" s="599"/>
      <c r="BT1" s="599" t="s">
        <v>390</v>
      </c>
      <c r="BU1" s="599"/>
      <c r="BV1" s="599" t="s">
        <v>391</v>
      </c>
      <c r="BW1" s="599"/>
      <c r="BX1" s="599" t="s">
        <v>392</v>
      </c>
      <c r="BY1" s="599"/>
      <c r="BZ1" s="599" t="s">
        <v>393</v>
      </c>
      <c r="CA1" s="599"/>
      <c r="CB1" s="599" t="s">
        <v>394</v>
      </c>
      <c r="CC1" s="599"/>
      <c r="CD1" s="599" t="s">
        <v>395</v>
      </c>
      <c r="CE1" s="599"/>
      <c r="CF1" s="599" t="s">
        <v>396</v>
      </c>
      <c r="CG1" s="599"/>
      <c r="CH1" s="599" t="s">
        <v>397</v>
      </c>
      <c r="CI1" s="599"/>
      <c r="CJ1" s="599" t="s">
        <v>398</v>
      </c>
      <c r="CK1" s="599"/>
      <c r="CL1" s="599" t="s">
        <v>399</v>
      </c>
      <c r="CM1" s="599"/>
      <c r="CN1" s="599" t="s">
        <v>400</v>
      </c>
      <c r="CO1" s="599"/>
      <c r="CP1" s="599" t="s">
        <v>401</v>
      </c>
      <c r="CQ1" s="599"/>
      <c r="CR1" s="599" t="s">
        <v>402</v>
      </c>
      <c r="CS1" s="599"/>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Pengetahuan'!M5="","",'Input Nilai Pengetahuan'!M5)</f>
        <v>75</v>
      </c>
      <c r="C3" s="90" t="str">
        <f>IF(B3="","",IF('Input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D3" s="90">
        <f>IF('Input Nilai Pengetahuan'!M6="","",'Input Nilai Pengetahuan'!M6)</f>
        <v>100</v>
      </c>
      <c r="E3" s="90" t="str">
        <f>IF(D3="","",IF('Input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F3" s="90">
        <f>IF('Input Nilai Pengetahuan'!M7="","",'Input Nilai Pengetahuan'!M7)</f>
        <v>89</v>
      </c>
      <c r="G3" s="90" t="str">
        <f>IF(F3="","",IF('Input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H3" s="90">
        <f>IF('Input Nilai Pengetahuan'!M8="","",'Input Nilai Pengetahuan'!M8)</f>
        <v>90</v>
      </c>
      <c r="I3" s="90" t="str">
        <f>IF(H3="","",IF('Input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J3" s="90">
        <f>IF('Input Nilai Pengetahuan'!M9="","",'Input Nilai Pengetahuan'!M9)</f>
        <v>95</v>
      </c>
      <c r="K3" s="90" t="str">
        <f>IF(J3="","",IF('Input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L3" s="90">
        <f>IF('Input Nilai Pengetahuan'!M10="","",'Input Nilai Pengetahuan'!M10)</f>
        <v>90</v>
      </c>
      <c r="M3" s="90" t="str">
        <f>IF(L3="","",IF('Input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N3" s="90">
        <f>IF('Input Nilai Pengetahuan'!M11="","",'Input Nilai Pengetahuan'!M11)</f>
        <v>95</v>
      </c>
      <c r="O3" s="90" t="str">
        <f>IF(N3="","",IF('Input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P3" s="90">
        <f>IF('Input Nilai Pengetahuan'!M12="","",'Input Nilai Pengetahuan'!M12)</f>
        <v>80</v>
      </c>
      <c r="Q3" s="90" t="str">
        <f>IF(P3="","",IF('Input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R3" s="90">
        <f>IF('Input Nilai Pengetahuan'!M13="","",'Input Nilai Pengetahuan'!M13)</f>
        <v>85</v>
      </c>
      <c r="S3" s="90" t="str">
        <f>IF(R3="","",IF('Input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T3" s="90">
        <f>IF('Input Nilai Pengetahuan'!M14="","",'Input Nilai Pengetahuan'!M14)</f>
        <v>85</v>
      </c>
      <c r="U3" s="90" t="str">
        <f>IF(T3="","",IF('Input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V3" s="90">
        <f>IF('Input Nilai Pengetahuan'!M15="","",'Input Nilai Pengetahuan'!M15)</f>
        <v>89</v>
      </c>
      <c r="W3" s="90" t="str">
        <f>IF(V3="","",IF('Input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X3" s="90">
        <f>IF('Input Nilai Pengetahuan'!M16="","",'Input Nilai Pengetahuan'!M16)</f>
        <v>70</v>
      </c>
      <c r="Y3" s="90" t="str">
        <f>IF(X3="","",IF('Input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Z3" s="90">
        <f>IF('Input Nilai Pengetahuan'!M17="","",'Input Nilai Pengetahuan'!M17)</f>
        <v>70</v>
      </c>
      <c r="AA3" s="90" t="str">
        <f>IF(Z3="","",IF('Input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B3" s="90">
        <f>IF('Input Nilai Pengetahuan'!M18="","",'Input Nilai Pengetahuan'!M18)</f>
        <v>75</v>
      </c>
      <c r="AC3" s="90" t="str">
        <f>IF(AB3="","",IF('Input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D3" s="90">
        <f>IF('Input Nilai Pengetahuan'!M19="","",'Input Nilai Pengetahuan'!M19)</f>
        <v>95</v>
      </c>
      <c r="AE3" s="90" t="str">
        <f>IF(AD3="","",IF('Input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F3" s="90">
        <f>IF('Input Nilai Pengetahuan'!M20="","",'Input Nilai Pengetahuan'!M20)</f>
        <v>90</v>
      </c>
      <c r="AG3" s="90" t="str">
        <f>IF(AF3="","",IF('Input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H3" s="90">
        <f>IF('Input Nilai Pengetahuan'!M21="","",'Input Nilai Pengetahuan'!M21)</f>
        <v>90</v>
      </c>
      <c r="AI3" s="90" t="str">
        <f>IF(AH3="","",IF('Input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J3" s="90">
        <f>IF('Input Nilai Pengetahuan'!M22="","",'Input Nilai Pengetahuan'!M22)</f>
        <v>90</v>
      </c>
      <c r="AK3" s="90" t="str">
        <f>IF(AJ3="","",IF('Input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L3" s="90">
        <f>IF('Input Nilai Pengetahuan'!M23="","",'Input Nilai Pengetahuan'!M23)</f>
        <v>75</v>
      </c>
      <c r="AM3" s="90" t="str">
        <f>IF(AL3="","",IF('Input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N3" s="90">
        <f>IF('Input Nilai Pengetahuan'!M24="","",'Input Nilai Pengetahuan'!M24)</f>
        <v>70</v>
      </c>
      <c r="AO3" s="90" t="str">
        <f>IF(AN3="","",IF('Input Nilai Pengetahuan'!$F$1="","",'Input Nilai Pengetahuan'!$F$1))</f>
        <v>Menerapkan fungsi sosial, struktur teks, dan unsur kebahasaan teks interaksi interpersonal lisan dan tulis yang melibatkan tindakan meminta perhatian, mengecek pemahaman, menghargai kinerja, meminta dan mengungkapkan pendapat, serta menanggapinya, sesuai dengan konteks menerapkan fungsi sosial, struktur teks, dan unsur kebahasaan teks interaksi terpersonal lisan dan tulis yang melibatkan tindakan meminta perhatian, mengecek pemahaman, menghargai kinerja, meminta dan mengungkapkan pendapat, serta menanggapinya, sesuai dengan kontekspenggunaannyapenggunaannya</v>
      </c>
      <c r="AP3" s="90" t="str">
        <f>IF('Input Nilai Pengetahuan'!M25="","",'Input Nilai Pengetahuan'!M25)</f>
        <v/>
      </c>
      <c r="AQ3" s="90" t="str">
        <f>IF(AP3="","",IF('Input Nilai Pengetahuan'!$F$1="","",'Input Nilai Pengetahuan'!$F$1))</f>
        <v/>
      </c>
      <c r="AR3" s="90" t="str">
        <f>IF('Input Nilai Pengetahuan'!M26="","",'Input Nilai Pengetahuan'!M26)</f>
        <v/>
      </c>
      <c r="AS3" s="90" t="str">
        <f>IF(AR3="","",IF('Input Nilai Pengetahuan'!$F$1="","",'Input Nilai Pengetahuan'!$F$1))</f>
        <v/>
      </c>
      <c r="AT3" s="90" t="str">
        <f>IF('Input Nilai Pengetahuan'!M27="","",'Input Nilai Pengetahuan'!M27)</f>
        <v/>
      </c>
      <c r="AU3" s="90" t="str">
        <f>IF(AT3="","",IF('Input Nilai Pengetahuan'!$F$1="","",'Input Nilai Pengetahuan'!$F$1))</f>
        <v/>
      </c>
      <c r="AV3" s="90" t="str">
        <f>IF('Input Nilai Pengetahuan'!M28="","",'Input Nilai Pengetahuan'!M28)</f>
        <v/>
      </c>
      <c r="AW3" s="90" t="str">
        <f>IF(AV3="","",IF('Input Nilai Pengetahuan'!$F$1="","",'Input Nilai Pengetahuan'!$F$1))</f>
        <v/>
      </c>
      <c r="AX3" s="90" t="str">
        <f>IF('Input Nilai Pengetahuan'!M29="","",'Input Nilai Pengetahuan'!M29)</f>
        <v/>
      </c>
      <c r="AY3" s="90" t="str">
        <f>IF(AX3="","",IF('Input Nilai Pengetahuan'!$F$1="","",'Input Nilai Pengetahuan'!$F$1))</f>
        <v/>
      </c>
      <c r="AZ3" s="90" t="str">
        <f>IF('Input Nilai Pengetahuan'!M30="","",'Input Nilai Pengetahuan'!M30)</f>
        <v/>
      </c>
      <c r="BA3" s="90" t="str">
        <f>IF(AZ3="","",IF('Input Nilai Pengetahuan'!$F$1="","",'Input Nilai Pengetahuan'!$F$1))</f>
        <v/>
      </c>
      <c r="BB3" s="90" t="str">
        <f>IF('Input Nilai Pengetahuan'!M31="","",'Input Nilai Pengetahuan'!M31)</f>
        <v/>
      </c>
      <c r="BC3" s="90" t="str">
        <f>IF(BB3="","",IF('Input Nilai Pengetahuan'!$F$1="","",'Input Nilai Pengetahuan'!$F$1))</f>
        <v/>
      </c>
      <c r="BD3" s="90" t="str">
        <f>IF('Input Nilai Pengetahuan'!M32="","",'Input Nilai Pengetahuan'!M32)</f>
        <v/>
      </c>
      <c r="BE3" s="90" t="str">
        <f>IF(BD3="","",IF('Input Nilai Pengetahuan'!$F$1="","",'Input Nilai Pengetahuan'!$F$1))</f>
        <v/>
      </c>
      <c r="BF3" s="90" t="str">
        <f>IF('Input Nilai Pengetahuan'!M33="","",'Input Nilai Pengetahuan'!M33)</f>
        <v/>
      </c>
      <c r="BG3" s="90" t="str">
        <f>IF(BF3="","",IF('Input Nilai Pengetahuan'!$F$1="","",'Input Nilai Pengetahuan'!$F$1))</f>
        <v/>
      </c>
      <c r="BH3" s="90" t="str">
        <f>IF('Input Nilai Pengetahuan'!M34="","",'Input Nilai Pengetahuan'!M34)</f>
        <v/>
      </c>
      <c r="BI3" s="90" t="str">
        <f>IF(BH3="","",IF('Input Nilai Pengetahuan'!$F$1="","",'Input Nilai Pengetahuan'!$F$1))</f>
        <v/>
      </c>
      <c r="BJ3" s="90" t="str">
        <f>IF('Input Nilai Pengetahuan'!M35="","",'Input Nilai Pengetahuan'!M35)</f>
        <v/>
      </c>
      <c r="BK3" s="90" t="str">
        <f>IF(BJ3="","",IF('Input Nilai Pengetahuan'!$F$1="","",'Input Nilai Pengetahuan'!$F$1))</f>
        <v/>
      </c>
      <c r="BL3" s="90" t="str">
        <f>IF('Input Nilai Pengetahuan'!M36="","",'Input Nilai Pengetahuan'!M36)</f>
        <v/>
      </c>
      <c r="BM3" s="90" t="str">
        <f>IF(BL3="","",IF('Input Nilai Pengetahuan'!$F$1="","",'Input Nilai Pengetahuan'!$F$1))</f>
        <v/>
      </c>
      <c r="BN3" s="90" t="str">
        <f>IF('Input Nilai Pengetahuan'!M37="","",'Input Nilai Pengetahuan'!M37)</f>
        <v/>
      </c>
      <c r="BO3" s="90" t="str">
        <f>IF(BN3="","",IF('Input Nilai Pengetahuan'!$F$1="","",'Input Nilai Pengetahuan'!$F$1))</f>
        <v/>
      </c>
      <c r="BP3" s="90" t="str">
        <f>IF('Input Nilai Pengetahuan'!M38="","",'Input Nilai Pengetahuan'!M38)</f>
        <v/>
      </c>
      <c r="BQ3" s="90" t="str">
        <f>IF(BP3="","",IF('Input Nilai Pengetahuan'!$F$1="","",'Input Nilai Pengetahuan'!$F$1))</f>
        <v/>
      </c>
      <c r="BR3" s="90" t="str">
        <f>IF('Input Nilai Pengetahuan'!M39="","",'Input Nilai Pengetahuan'!M39)</f>
        <v/>
      </c>
      <c r="BS3" s="90" t="str">
        <f>IF(BR3="","",IF('Input Nilai Pengetahuan'!$F$1="","",'Input Nilai Pengetahuan'!$F$1))</f>
        <v/>
      </c>
      <c r="BT3" s="90" t="str">
        <f>IF('Input Nilai Pengetahuan'!M40="","",'Input Nilai Pengetahuan'!M40)</f>
        <v/>
      </c>
      <c r="BU3" s="90" t="str">
        <f>IF(BT3="","",IF('Input Nilai Pengetahuan'!$F$1="","",'Input Nilai Pengetahuan'!$F$1))</f>
        <v/>
      </c>
      <c r="BV3" s="90" t="str">
        <f>IF('Input Nilai Pengetahuan'!M41="","",'Input Nilai Pengetahuan'!M41)</f>
        <v/>
      </c>
      <c r="BW3" s="90" t="str">
        <f>IF(BV3="","",IF('Input Nilai Pengetahuan'!$F$1="","",'Input Nilai Pengetahuan'!$F$1))</f>
        <v/>
      </c>
      <c r="BX3" s="90" t="str">
        <f>IF('Input Nilai Pengetahuan'!M42="","",'Input Nilai Pengetahuan'!M42)</f>
        <v/>
      </c>
      <c r="BY3" s="90" t="str">
        <f>IF(BX3="","",IF('Input Nilai Pengetahuan'!$F$1="","",'Input Nilai Pengetahuan'!$F$1))</f>
        <v/>
      </c>
      <c r="BZ3" s="90" t="str">
        <f>IF('Input Nilai Pengetahuan'!M43="","",'Input Nilai Pengetahuan'!M43)</f>
        <v/>
      </c>
      <c r="CA3" s="90" t="str">
        <f>IF(BZ3="","",IF('Input Nilai Pengetahuan'!$F$1="","",'Input Nilai Pengetahuan'!$F$1))</f>
        <v/>
      </c>
      <c r="CB3" s="90" t="str">
        <f>IF('Input Nilai Pengetahuan'!M44="","",'Input Nilai Pengetahuan'!M44)</f>
        <v/>
      </c>
      <c r="CC3" s="90" t="str">
        <f>IF(CB3="","",IF('Input Nilai Pengetahuan'!$F$1="","",'Input Nilai Pengetahuan'!$F$1))</f>
        <v/>
      </c>
      <c r="CD3" s="90" t="str">
        <f>IF('Input Nilai Pengetahuan'!M45="","",'Input Nilai Pengetahuan'!M45)</f>
        <v/>
      </c>
      <c r="CE3" s="90" t="str">
        <f>IF(CD3="","",IF('Input Nilai Pengetahuan'!$F$1="","",'Input Nilai Pengetahuan'!$F$1))</f>
        <v/>
      </c>
      <c r="CF3" s="90" t="str">
        <f>IF('Input Nilai Pengetahuan'!M46="","",'Input Nilai Pengetahuan'!M46)</f>
        <v/>
      </c>
      <c r="CG3" s="90" t="str">
        <f>IF(CF3="","",IF('Input Nilai Pengetahuan'!$F$1="","",'Input Nilai Pengetahuan'!$F$1))</f>
        <v/>
      </c>
      <c r="CH3" s="90" t="str">
        <f>IF('Input Nilai Pengetahuan'!M47="","",'Input Nilai Pengetahuan'!M47)</f>
        <v/>
      </c>
      <c r="CI3" s="90" t="str">
        <f>IF(CH3="","",IF('Input Nilai Pengetahuan'!$F$1="","",'Input Nilai Pengetahuan'!$F$1))</f>
        <v/>
      </c>
      <c r="CJ3" s="90" t="str">
        <f>IF('Input Nilai Pengetahuan'!M48="","",'Input Nilai Pengetahuan'!M48)</f>
        <v/>
      </c>
      <c r="CK3" s="90" t="str">
        <f>IF(CJ3="","",IF('Input Nilai Pengetahuan'!$F$1="","",'Input Nilai Pengetahuan'!$F$1))</f>
        <v/>
      </c>
      <c r="CL3" s="90" t="str">
        <f>IF('Input Nilai Pengetahuan'!M49="","",'Input Nilai Pengetahuan'!M49)</f>
        <v/>
      </c>
      <c r="CM3" s="90" t="str">
        <f>IF(CL3="","",IF('Input Nilai Pengetahuan'!$F$1="","",'Input Nilai Pengetahuan'!$F$1))</f>
        <v/>
      </c>
      <c r="CN3" s="90" t="str">
        <f>IF('Input Nilai Pengetahuan'!M50="","",'Input Nilai Pengetahuan'!M50)</f>
        <v/>
      </c>
      <c r="CO3" s="90" t="str">
        <f>IF(CN3="","",IF('Input Nilai Pengetahuan'!$F$1="","",'Input Nilai Pengetahuan'!$F$1))</f>
        <v/>
      </c>
      <c r="CP3" s="90" t="str">
        <f>IF('Input Nilai Pengetahuan'!M51="","",'Input Nilai Pengetahuan'!M51)</f>
        <v/>
      </c>
      <c r="CQ3" s="90" t="str">
        <f>IF(CP3="","",IF('Input Nilai Pengetahuan'!$F$1="","",'Input Nilai Pengetahuan'!$F$1))</f>
        <v/>
      </c>
      <c r="CR3" s="90" t="str">
        <f>IF('Input Nilai Pengetahuan'!M52="","",'Input Nilai Pengetahuan'!M52)</f>
        <v/>
      </c>
      <c r="CS3" s="90" t="str">
        <f>IF(CR3="","",IF('Input Nilai Pengetahuan'!$F$1="","",'Input Nilai Pengetahuan'!$F$1))</f>
        <v/>
      </c>
    </row>
    <row r="4" spans="1:97">
      <c r="A4" s="72">
        <v>2</v>
      </c>
      <c r="B4" s="90">
        <f>IF('Input Nilai Pengetahuan'!U5="","",'Input Nilai Pengetahuan'!U5)</f>
        <v>85</v>
      </c>
      <c r="C4" s="90" t="str">
        <f>IF(B4="","",IF('Input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D4" s="90">
        <f>IF('Input Nilai Pengetahuan'!U6="","",'Input Nilai Pengetahuan'!U6)</f>
        <v>70</v>
      </c>
      <c r="E4" s="90" t="str">
        <f>IF(D4="","",IF('Input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F4" s="90">
        <f>IF('Input Nilai Pengetahuan'!U7="","",'Input Nilai Pengetahuan'!U7)</f>
        <v>75</v>
      </c>
      <c r="G4" s="90" t="str">
        <f>IF(F4="","",IF('Input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H4" s="90">
        <f>IF('Input Nilai Pengetahuan'!U8="","",'Input Nilai Pengetahuan'!U8)</f>
        <v>80</v>
      </c>
      <c r="I4" s="90" t="str">
        <f>IF(H4="","",IF('Input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J4" s="90">
        <f>IF('Input Nilai Pengetahuan'!U9="","",'Input Nilai Pengetahuan'!U9)</f>
        <v>90</v>
      </c>
      <c r="K4" s="90" t="str">
        <f>IF(J4="","",IF('Input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L4" s="90">
        <f>IF('Input Nilai Pengetahuan'!U10="","",'Input Nilai Pengetahuan'!U10)</f>
        <v>100</v>
      </c>
      <c r="M4" s="90" t="str">
        <f>IF(L4="","",IF('Input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N4" s="90">
        <f>IF('Input Nilai Pengetahuan'!U11="","",'Input Nilai Pengetahuan'!U11)</f>
        <v>90</v>
      </c>
      <c r="O4" s="90" t="str">
        <f>IF(N4="","",IF('Input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P4" s="90">
        <f>IF('Input Nilai Pengetahuan'!U12="","",'Input Nilai Pengetahuan'!U12)</f>
        <v>85</v>
      </c>
      <c r="Q4" s="90" t="str">
        <f>IF(P4="","",IF('Input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R4" s="90">
        <f>IF('Input Nilai Pengetahuan'!U13="","",'Input Nilai Pengetahuan'!U13)</f>
        <v>90</v>
      </c>
      <c r="S4" s="90" t="str">
        <f>IF(R4="","",IF('Input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T4" s="90">
        <f>IF('Input Nilai Pengetahuan'!U14="","",'Input Nilai Pengetahuan'!U14)</f>
        <v>96</v>
      </c>
      <c r="U4" s="90" t="str">
        <f>IF(T4="","",IF('Input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V4" s="90">
        <f>IF('Input Nilai Pengetahuan'!U15="","",'Input Nilai Pengetahuan'!U15)</f>
        <v>90</v>
      </c>
      <c r="W4" s="90" t="str">
        <f>IF(V4="","",IF('Input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X4" s="90">
        <f>IF('Input Nilai Pengetahuan'!U16="","",'Input Nilai Pengetahuan'!U16)</f>
        <v>78</v>
      </c>
      <c r="Y4" s="90" t="str">
        <f>IF(X4="","",IF('Input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Z4" s="90">
        <f>IF('Input Nilai Pengetahuan'!U17="","",'Input Nilai Pengetahuan'!U17)</f>
        <v>75</v>
      </c>
      <c r="AA4" s="90" t="str">
        <f>IF(Z4="","",IF('Input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B4" s="90">
        <f>IF('Input Nilai Pengetahuan'!U18="","",'Input Nilai Pengetahuan'!U18)</f>
        <v>70</v>
      </c>
      <c r="AC4" s="90" t="str">
        <f>IF(AB4="","",IF('Input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D4" s="90">
        <f>IF('Input Nilai Pengetahuan'!U19="","",'Input Nilai Pengetahuan'!U19)</f>
        <v>90</v>
      </c>
      <c r="AE4" s="90" t="str">
        <f>IF(AD4="","",IF('Input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F4" s="90">
        <f>IF('Input Nilai Pengetahuan'!U20="","",'Input Nilai Pengetahuan'!U20)</f>
        <v>89</v>
      </c>
      <c r="AG4" s="90" t="str">
        <f>IF(AF4="","",IF('Input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H4" s="90">
        <f>IF('Input Nilai Pengetahuan'!U21="","",'Input Nilai Pengetahuan'!U21)</f>
        <v>85</v>
      </c>
      <c r="AI4" s="90" t="str">
        <f>IF(AH4="","",IF('Input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J4" s="90">
        <f>IF('Input Nilai Pengetahuan'!U22="","",'Input Nilai Pengetahuan'!U22)</f>
        <v>85</v>
      </c>
      <c r="AK4" s="90" t="str">
        <f>IF(AJ4="","",IF('Input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L4" s="90">
        <f>IF('Input Nilai Pengetahuan'!U23="","",'Input Nilai Pengetahuan'!U23)</f>
        <v>70</v>
      </c>
      <c r="AM4" s="90" t="str">
        <f>IF(AL4="","",IF('Input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N4" s="90">
        <f>IF('Input Nilai Pengetahuan'!U24="","",'Input Nilai Pengetahuan'!U24)</f>
        <v>75</v>
      </c>
      <c r="AO4" s="90" t="str">
        <f>IF(AN4="","",IF('Input Nilai Pengetahuan'!$N$1="","",'Input Nilai Pengetahuan'!$N$1))</f>
        <v>Mengidentifikasi fungsi sosial, struktur teks, dan unsur kebahasaan teks interaksi transaksional lisan dan tulis yang melibatkan tindakan memberi dan meminta informasi terkait jati diri, pendek dan sederhana, sesuai dengan konteks penggunaannya. Perhatikan unsur kebahasaan dan kosa kata terkait hubungan keluarga; pronoun (subjective, Objective, possessive)</v>
      </c>
      <c r="AP4" s="90" t="str">
        <f>IF('Input Nilai Pengetahuan'!U25="","",'Input Nilai Pengetahuan'!U25)</f>
        <v/>
      </c>
      <c r="AQ4" s="90" t="str">
        <f>IF(AP4="","",IF('Input Nilai Pengetahuan'!$N$1="","",'Input Nilai Pengetahuan'!$N$1))</f>
        <v/>
      </c>
      <c r="AR4" s="90" t="str">
        <f>IF('Input Nilai Pengetahuan'!U26="","",'Input Nilai Pengetahuan'!U26)</f>
        <v/>
      </c>
      <c r="AS4" s="90" t="str">
        <f>IF(AR4="","",IF('Input Nilai Pengetahuan'!$N$1="","",'Input Nilai Pengetahuan'!$N$1))</f>
        <v/>
      </c>
      <c r="AT4" s="90" t="str">
        <f>IF('Input Nilai Pengetahuan'!U27="","",'Input Nilai Pengetahuan'!U27)</f>
        <v/>
      </c>
      <c r="AU4" s="90" t="str">
        <f>IF(AT4="","",IF('Input Nilai Pengetahuan'!$N$1="","",'Input Nilai Pengetahuan'!$N$1))</f>
        <v/>
      </c>
      <c r="AV4" s="90" t="str">
        <f>IF('Input Nilai Pengetahuan'!U28="","",'Input Nilai Pengetahuan'!U28)</f>
        <v/>
      </c>
      <c r="AW4" s="90" t="str">
        <f>IF(AV4="","",IF('Input Nilai Pengetahuan'!$N$1="","",'Input Nilai Pengetahuan'!$N$1))</f>
        <v/>
      </c>
      <c r="AX4" s="90" t="str">
        <f>IF('Input Nilai Pengetahuan'!U29="","",'Input Nilai Pengetahuan'!U29)</f>
        <v/>
      </c>
      <c r="AY4" s="90" t="str">
        <f>IF(AX4="","",IF('Input Nilai Pengetahuan'!$N$1="","",'Input Nilai Pengetahuan'!$N$1))</f>
        <v/>
      </c>
      <c r="AZ4" s="90" t="str">
        <f>IF('Input Nilai Pengetahuan'!U30="","",'Input Nilai Pengetahuan'!U30)</f>
        <v/>
      </c>
      <c r="BA4" s="90" t="str">
        <f>IF(AZ4="","",IF('Input Nilai Pengetahuan'!$N$1="","",'Input Nilai Pengetahuan'!$N$1))</f>
        <v/>
      </c>
      <c r="BB4" s="90" t="str">
        <f>IF('Input Nilai Pengetahuan'!U31="","",'Input Nilai Pengetahuan'!U31)</f>
        <v/>
      </c>
      <c r="BC4" s="90" t="str">
        <f>IF(BB4="","",IF('Input Nilai Pengetahuan'!$N$1="","",'Input Nilai Pengetahuan'!$N$1))</f>
        <v/>
      </c>
      <c r="BD4" s="90" t="str">
        <f>IF('Input Nilai Pengetahuan'!U32="","",'Input Nilai Pengetahuan'!U32)</f>
        <v/>
      </c>
      <c r="BE4" s="90" t="str">
        <f>IF(BD4="","",IF('Input Nilai Pengetahuan'!$N$1="","",'Input Nilai Pengetahuan'!$N$1))</f>
        <v/>
      </c>
      <c r="BF4" s="90" t="str">
        <f>IF('Input Nilai Pengetahuan'!U33="","",'Input Nilai Pengetahuan'!U33)</f>
        <v/>
      </c>
      <c r="BG4" s="90" t="str">
        <f>IF(BF4="","",IF('Input Nilai Pengetahuan'!$N$1="","",'Input Nilai Pengetahuan'!$N$1))</f>
        <v/>
      </c>
      <c r="BH4" s="90" t="str">
        <f>IF('Input Nilai Pengetahuan'!U34="","",'Input Nilai Pengetahuan'!U34)</f>
        <v/>
      </c>
      <c r="BI4" s="90" t="str">
        <f>IF(BH4="","",IF('Input Nilai Pengetahuan'!$N$1="","",'Input Nilai Pengetahuan'!$N$1))</f>
        <v/>
      </c>
      <c r="BJ4" s="90" t="str">
        <f>IF('Input Nilai Pengetahuan'!U35="","",'Input Nilai Pengetahuan'!U35)</f>
        <v/>
      </c>
      <c r="BK4" s="90" t="str">
        <f>IF(BJ4="","",IF('Input Nilai Pengetahuan'!$N$1="","",'Input Nilai Pengetahuan'!$N$1))</f>
        <v/>
      </c>
      <c r="BL4" s="90" t="str">
        <f>IF('Input Nilai Pengetahuan'!U36="","",'Input Nilai Pengetahuan'!U36)</f>
        <v/>
      </c>
      <c r="BM4" s="90" t="str">
        <f>IF(BL4="","",IF('Input Nilai Pengetahuan'!$N$1="","",'Input Nilai Pengetahuan'!$N$1))</f>
        <v/>
      </c>
      <c r="BN4" s="90" t="str">
        <f>IF('Input Nilai Pengetahuan'!U37="","",'Input Nilai Pengetahuan'!U37)</f>
        <v/>
      </c>
      <c r="BO4" s="90" t="str">
        <f>IF(BN4="","",IF('Input Nilai Pengetahuan'!$N$1="","",'Input Nilai Pengetahuan'!$N$1))</f>
        <v/>
      </c>
      <c r="BP4" s="90" t="str">
        <f>IF('Input Nilai Pengetahuan'!U38="","",'Input Nilai Pengetahuan'!U38)</f>
        <v/>
      </c>
      <c r="BQ4" s="90" t="str">
        <f>IF(BP4="","",IF('Input Nilai Pengetahuan'!$N$1="","",'Input Nilai Pengetahuan'!$N$1))</f>
        <v/>
      </c>
      <c r="BR4" s="90" t="str">
        <f>IF('Input Nilai Pengetahuan'!U39="","",'Input Nilai Pengetahuan'!U39)</f>
        <v/>
      </c>
      <c r="BS4" s="90" t="str">
        <f>IF(BR4="","",IF('Input Nilai Pengetahuan'!$N$1="","",'Input Nilai Pengetahuan'!$N$1))</f>
        <v/>
      </c>
      <c r="BT4" s="90" t="str">
        <f>IF('Input Nilai Pengetahuan'!U40="","",'Input Nilai Pengetahuan'!U40)</f>
        <v/>
      </c>
      <c r="BU4" s="90" t="str">
        <f>IF(BT4="","",IF('Input Nilai Pengetahuan'!$N$1="","",'Input Nilai Pengetahuan'!$N$1))</f>
        <v/>
      </c>
      <c r="BV4" s="90" t="str">
        <f>IF('Input Nilai Pengetahuan'!U41="","",'Input Nilai Pengetahuan'!U41)</f>
        <v/>
      </c>
      <c r="BW4" s="90" t="str">
        <f>IF(BV4="","",IF('Input Nilai Pengetahuan'!$N$1="","",'Input Nilai Pengetahuan'!$N$1))</f>
        <v/>
      </c>
      <c r="BX4" s="90" t="str">
        <f>IF('Input Nilai Pengetahuan'!U42="","",'Input Nilai Pengetahuan'!U42)</f>
        <v/>
      </c>
      <c r="BY4" s="90" t="str">
        <f>IF(BX4="","",IF('Input Nilai Pengetahuan'!$N$1="","",'Input Nilai Pengetahuan'!$N$1))</f>
        <v/>
      </c>
      <c r="BZ4" s="90" t="str">
        <f>IF('Input Nilai Pengetahuan'!U43="","",'Input Nilai Pengetahuan'!U43)</f>
        <v/>
      </c>
      <c r="CA4" s="90" t="str">
        <f>IF(BZ4="","",IF('Input Nilai Pengetahuan'!$N$1="","",'Input Nilai Pengetahuan'!$N$1))</f>
        <v/>
      </c>
      <c r="CB4" s="90" t="str">
        <f>IF('Input Nilai Pengetahuan'!U44="","",'Input Nilai Pengetahuan'!U44)</f>
        <v/>
      </c>
      <c r="CC4" s="90" t="str">
        <f>IF(CB4="","",IF('Input Nilai Pengetahuan'!$N$1="","",'Input Nilai Pengetahuan'!$N$1))</f>
        <v/>
      </c>
      <c r="CD4" s="90" t="str">
        <f>IF('Input Nilai Pengetahuan'!U45="","",'Input Nilai Pengetahuan'!U45)</f>
        <v/>
      </c>
      <c r="CE4" s="90" t="str">
        <f>IF(CD4="","",IF('Input Nilai Pengetahuan'!$N$1="","",'Input Nilai Pengetahuan'!$N$1))</f>
        <v/>
      </c>
      <c r="CF4" s="90" t="str">
        <f>IF('Input Nilai Pengetahuan'!U46="","",'Input Nilai Pengetahuan'!U46)</f>
        <v/>
      </c>
      <c r="CG4" s="90" t="str">
        <f>IF(CF4="","",IF('Input Nilai Pengetahuan'!$N$1="","",'Input Nilai Pengetahuan'!$N$1))</f>
        <v/>
      </c>
      <c r="CH4" s="90" t="str">
        <f>IF('Input Nilai Pengetahuan'!U47="","",'Input Nilai Pengetahuan'!U47)</f>
        <v/>
      </c>
      <c r="CI4" s="90" t="str">
        <f>IF(CH4="","",IF('Input Nilai Pengetahuan'!$N$1="","",'Input Nilai Pengetahuan'!$N$1))</f>
        <v/>
      </c>
      <c r="CJ4" s="90" t="str">
        <f>IF('Input Nilai Pengetahuan'!U48="","",'Input Nilai Pengetahuan'!U48)</f>
        <v/>
      </c>
      <c r="CK4" s="90" t="str">
        <f>IF(CJ4="","",IF('Input Nilai Pengetahuan'!$N$1="","",'Input Nilai Pengetahuan'!$N$1))</f>
        <v/>
      </c>
      <c r="CL4" s="90" t="str">
        <f>IF('Input Nilai Pengetahuan'!U49="","",'Input Nilai Pengetahuan'!U49)</f>
        <v/>
      </c>
      <c r="CM4" s="90" t="str">
        <f>IF(CL4="","",IF('Input Nilai Pengetahuan'!$N$1="","",'Input Nilai Pengetahuan'!$N$1))</f>
        <v/>
      </c>
      <c r="CN4" s="90" t="str">
        <f>IF('Input Nilai Pengetahuan'!U50="","",'Input Nilai Pengetahuan'!U50)</f>
        <v/>
      </c>
      <c r="CO4" s="90" t="str">
        <f>IF(CN4="","",IF('Input Nilai Pengetahuan'!$N$1="","",'Input Nilai Pengetahuan'!$N$1))</f>
        <v/>
      </c>
      <c r="CP4" s="90" t="str">
        <f>IF('Input Nilai Pengetahuan'!U51="","",'Input Nilai Pengetahuan'!U51)</f>
        <v/>
      </c>
      <c r="CQ4" s="90" t="str">
        <f>IF(CP4="","",IF('Input Nilai Pengetahuan'!$N$1="","",'Input Nilai Pengetahuan'!$N$1))</f>
        <v/>
      </c>
      <c r="CR4" s="90" t="str">
        <f>IF('Input Nilai Pengetahuan'!U52="","",'Input Nilai Pengetahuan'!U52)</f>
        <v/>
      </c>
      <c r="CS4" s="90" t="str">
        <f>IF(CR4="","",IF('Input Nilai Pengetahuan'!$N$1="","",'Input Nilai Pengetahuan'!$N$1))</f>
        <v/>
      </c>
    </row>
    <row r="5" spans="1:97">
      <c r="A5" s="72">
        <v>3</v>
      </c>
      <c r="B5" s="90">
        <f>IF('Input Nilai Pengetahuan'!AC5="","",'Input Nilai Pengetahuan'!AC5)</f>
        <v>78</v>
      </c>
      <c r="C5" s="90" t="str">
        <f>IF(B5="","",IF('Input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D5" s="90">
        <f>IF('Input Nilai Pengetahuan'!AC6="","",'Input Nilai Pengetahuan'!AC6)</f>
        <v>90</v>
      </c>
      <c r="E5" s="90" t="str">
        <f>IF(D5="","",IF('Input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F5" s="90">
        <f>IF('Input Nilai Pengetahuan'!AC7="","",'Input Nilai Pengetahuan'!AC7)</f>
        <v>90</v>
      </c>
      <c r="G5" s="90" t="str">
        <f>IF(F5="","",IF('Input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H5" s="90">
        <f>IF('Input Nilai Pengetahuan'!AC8="","",'Input Nilai Pengetahuan'!AC8)</f>
        <v>90</v>
      </c>
      <c r="I5" s="90" t="str">
        <f>IF(H5="","",IF('Input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J5" s="90">
        <f>IF('Input Nilai Pengetahuan'!AC9="","",'Input Nilai Pengetahuan'!AC9)</f>
        <v>80</v>
      </c>
      <c r="K5" s="90" t="str">
        <f>IF(J5="","",IF('Input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L5" s="90">
        <f>IF('Input Nilai Pengetahuan'!AC10="","",'Input Nilai Pengetahuan'!AC10)</f>
        <v>90</v>
      </c>
      <c r="M5" s="90" t="str">
        <f>IF(L5="","",IF('Input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N5" s="90">
        <f>IF('Input Nilai Pengetahuan'!AC11="","",'Input Nilai Pengetahuan'!AC11)</f>
        <v>90</v>
      </c>
      <c r="O5" s="90" t="str">
        <f>IF(N5="","",IF('Input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P5" s="90">
        <f>IF('Input Nilai Pengetahuan'!AC12="","",'Input Nilai Pengetahuan'!AC12)</f>
        <v>75</v>
      </c>
      <c r="Q5" s="90" t="str">
        <f>IF(P5="","",IF('Input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R5" s="90">
        <f>IF('Input Nilai Pengetahuan'!AC13="","",'Input Nilai Pengetahuan'!AC13)</f>
        <v>90</v>
      </c>
      <c r="S5" s="90" t="str">
        <f>IF(R5="","",IF('Input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T5" s="90">
        <f>IF('Input Nilai Pengetahuan'!AC14="","",'Input Nilai Pengetahuan'!AC14)</f>
        <v>85</v>
      </c>
      <c r="U5" s="90" t="str">
        <f>IF(T5="","",IF('Input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V5" s="90">
        <f>IF('Input Nilai Pengetahuan'!AC15="","",'Input Nilai Pengetahuan'!AC15)</f>
        <v>85</v>
      </c>
      <c r="W5" s="90" t="str">
        <f>IF(V5="","",IF('Input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X5" s="90">
        <f>IF('Input Nilai Pengetahuan'!AC16="","",'Input Nilai Pengetahuan'!AC16)</f>
        <v>75</v>
      </c>
      <c r="Y5" s="90" t="str">
        <f>IF(X5="","",IF('Input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Z5" s="90">
        <f>IF('Input Nilai Pengetahuan'!AC17="","",'Input Nilai Pengetahuan'!AC17)</f>
        <v>80</v>
      </c>
      <c r="AA5" s="90" t="str">
        <f>IF(Z5="","",IF('Input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B5" s="90">
        <f>IF('Input Nilai Pengetahuan'!AC18="","",'Input Nilai Pengetahuan'!AC18)</f>
        <v>70</v>
      </c>
      <c r="AC5" s="90" t="str">
        <f>IF(AB5="","",IF('Input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D5" s="90">
        <f>IF('Input Nilai Pengetahuan'!AC19="","",'Input Nilai Pengetahuan'!AC19)</f>
        <v>85</v>
      </c>
      <c r="AE5" s="90" t="str">
        <f>IF(AD5="","",IF('Input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F5" s="90">
        <f>IF('Input Nilai Pengetahuan'!AC20="","",'Input Nilai Pengetahuan'!AC20)</f>
        <v>80</v>
      </c>
      <c r="AG5" s="90" t="str">
        <f>IF(AF5="","",IF('Input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H5" s="90">
        <f>IF('Input Nilai Pengetahuan'!AC21="","",'Input Nilai Pengetahuan'!AC21)</f>
        <v>85</v>
      </c>
      <c r="AI5" s="90" t="str">
        <f>IF(AH5="","",IF('Input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J5" s="90">
        <f>IF('Input Nilai Pengetahuan'!AC22="","",'Input Nilai Pengetahuan'!AC22)</f>
        <v>80</v>
      </c>
      <c r="AK5" s="90" t="str">
        <f>IF(AJ5="","",IF('Input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L5" s="90">
        <f>IF('Input Nilai Pengetahuan'!AC23="","",'Input Nilai Pengetahuan'!AC23)</f>
        <v>76</v>
      </c>
      <c r="AM5" s="90" t="str">
        <f>IF(AL5="","",IF('Input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N5" s="90">
        <f>IF('Input Nilai Pengetahuan'!AC24="","",'Input Nilai Pengetahuan'!AC24)</f>
        <v>70</v>
      </c>
      <c r="AO5" s="90" t="str">
        <f>IF(AN5="","",IF('Input Nilai Pengetahuan'!$V$1="","",'Input Nilai Pengetahuan'!$V$1))</f>
        <v>Mengidentifikasi fungsi sosial, struktur teks, dan unsur kebahasaan teks interaksi transaksional lisan dan tulis yang melibatkan tindakan memberi dan meminta informasi terkait nama hari, bulan, nama waktu dalam hari, waktu dalam bentuk angka, tanggal, dan tahun, sesuai dengan konteks penggunaannya. (Perhatikan kosa kata terkait angka kardinal dan ordinal)</v>
      </c>
      <c r="AP5" s="90" t="str">
        <f>IF('Input Nilai Pengetahuan'!AC25="","",'Input Nilai Pengetahuan'!AC25)</f>
        <v/>
      </c>
      <c r="AQ5" s="90" t="str">
        <f>IF(AP5="","",IF('Input Nilai Pengetahuan'!$V$1="","",'Input Nilai Pengetahuan'!$V$1))</f>
        <v/>
      </c>
      <c r="AR5" s="90" t="str">
        <f>IF('Input Nilai Pengetahuan'!AC26="","",'Input Nilai Pengetahuan'!AC26)</f>
        <v/>
      </c>
      <c r="AS5" s="90" t="str">
        <f>IF(AR5="","",IF('Input Nilai Pengetahuan'!$V$1="","",'Input Nilai Pengetahuan'!$V$1))</f>
        <v/>
      </c>
      <c r="AT5" s="90" t="str">
        <f>IF('Input Nilai Pengetahuan'!AC27="","",'Input Nilai Pengetahuan'!AC27)</f>
        <v/>
      </c>
      <c r="AU5" s="90" t="str">
        <f>IF(AT5="","",IF('Input Nilai Pengetahuan'!$V$1="","",'Input Nilai Pengetahuan'!$V$1))</f>
        <v/>
      </c>
      <c r="AV5" s="90" t="str">
        <f>IF('Input Nilai Pengetahuan'!AC28="","",'Input Nilai Pengetahuan'!AC28)</f>
        <v/>
      </c>
      <c r="AW5" s="90" t="str">
        <f>IF(AV5="","",IF('Input Nilai Pengetahuan'!$V$1="","",'Input Nilai Pengetahuan'!$V$1))</f>
        <v/>
      </c>
      <c r="AX5" s="90" t="str">
        <f>IF('Input Nilai Pengetahuan'!AC29="","",'Input Nilai Pengetahuan'!AC29)</f>
        <v/>
      </c>
      <c r="AY5" s="90" t="str">
        <f>IF(AX5="","",IF('Input Nilai Pengetahuan'!$V$1="","",'Input Nilai Pengetahuan'!$V$1))</f>
        <v/>
      </c>
      <c r="AZ5" s="90" t="str">
        <f>IF('Input Nilai Pengetahuan'!AC30="","",'Input Nilai Pengetahuan'!AC30)</f>
        <v/>
      </c>
      <c r="BA5" s="90" t="str">
        <f>IF(AZ5="","",IF('Input Nilai Pengetahuan'!$V$1="","",'Input Nilai Pengetahuan'!$V$1))</f>
        <v/>
      </c>
      <c r="BB5" s="90" t="str">
        <f>IF('Input Nilai Pengetahuan'!AC31="","",'Input Nilai Pengetahuan'!AC31)</f>
        <v/>
      </c>
      <c r="BC5" s="90" t="str">
        <f>IF(BB5="","",IF('Input Nilai Pengetahuan'!$V$1="","",'Input Nilai Pengetahuan'!$V$1))</f>
        <v/>
      </c>
      <c r="BD5" s="90" t="str">
        <f>IF('Input Nilai Pengetahuan'!AC32="","",'Input Nilai Pengetahuan'!AC32)</f>
        <v/>
      </c>
      <c r="BE5" s="90" t="str">
        <f>IF(BD5="","",IF('Input Nilai Pengetahuan'!$V$1="","",'Input Nilai Pengetahuan'!$V$1))</f>
        <v/>
      </c>
      <c r="BF5" s="90" t="str">
        <f>IF('Input Nilai Pengetahuan'!AC33="","",'Input Nilai Pengetahuan'!AC33)</f>
        <v/>
      </c>
      <c r="BG5" s="90" t="str">
        <f>IF(BF5="","",IF('Input Nilai Pengetahuan'!$V$1="","",'Input Nilai Pengetahuan'!$V$1))</f>
        <v/>
      </c>
      <c r="BH5" s="90" t="str">
        <f>IF('Input Nilai Pengetahuan'!AC34="","",'Input Nilai Pengetahuan'!AC34)</f>
        <v/>
      </c>
      <c r="BI5" s="90" t="str">
        <f>IF(BH5="","",IF('Input Nilai Pengetahuan'!$V$1="","",'Input Nilai Pengetahuan'!$V$1))</f>
        <v/>
      </c>
      <c r="BJ5" s="90" t="str">
        <f>IF('Input Nilai Pengetahuan'!AC35="","",'Input Nilai Pengetahuan'!AC35)</f>
        <v/>
      </c>
      <c r="BK5" s="90" t="str">
        <f>IF(BJ5="","",IF('Input Nilai Pengetahuan'!$V$1="","",'Input Nilai Pengetahuan'!$V$1))</f>
        <v/>
      </c>
      <c r="BL5" s="90" t="str">
        <f>IF('Input Nilai Pengetahuan'!AC36="","",'Input Nilai Pengetahuan'!AC36)</f>
        <v/>
      </c>
      <c r="BM5" s="90" t="str">
        <f>IF(BL5="","",IF('Input Nilai Pengetahuan'!$V$1="","",'Input Nilai Pengetahuan'!$V$1))</f>
        <v/>
      </c>
      <c r="BN5" s="90" t="str">
        <f>IF('Input Nilai Pengetahuan'!AC37="","",'Input Nilai Pengetahuan'!AC37)</f>
        <v/>
      </c>
      <c r="BO5" s="90" t="str">
        <f>IF(BN5="","",IF('Input Nilai Pengetahuan'!$V$1="","",'Input Nilai Pengetahuan'!$V$1))</f>
        <v/>
      </c>
      <c r="BP5" s="90" t="str">
        <f>IF('Input Nilai Pengetahuan'!AC38="","",'Input Nilai Pengetahuan'!AC38)</f>
        <v/>
      </c>
      <c r="BQ5" s="90" t="str">
        <f>IF(BP5="","",IF('Input Nilai Pengetahuan'!$V$1="","",'Input Nilai Pengetahuan'!$V$1))</f>
        <v/>
      </c>
      <c r="BR5" s="90" t="str">
        <f>IF('Input Nilai Pengetahuan'!AC39="","",'Input Nilai Pengetahuan'!AC39)</f>
        <v/>
      </c>
      <c r="BS5" s="90" t="str">
        <f>IF(BR5="","",IF('Input Nilai Pengetahuan'!$V$1="","",'Input Nilai Pengetahuan'!$V$1))</f>
        <v/>
      </c>
      <c r="BT5" s="90" t="str">
        <f>IF('Input Nilai Pengetahuan'!AC40="","",'Input Nilai Pengetahuan'!AC40)</f>
        <v/>
      </c>
      <c r="BU5" s="90" t="str">
        <f>IF(BT5="","",IF('Input Nilai Pengetahuan'!$V$1="","",'Input Nilai Pengetahuan'!$V$1))</f>
        <v/>
      </c>
      <c r="BV5" s="90" t="str">
        <f>IF('Input Nilai Pengetahuan'!AC41="","",'Input Nilai Pengetahuan'!AC41)</f>
        <v/>
      </c>
      <c r="BW5" s="90" t="str">
        <f>IF(BV5="","",IF('Input Nilai Pengetahuan'!$V$1="","",'Input Nilai Pengetahuan'!$V$1))</f>
        <v/>
      </c>
      <c r="BX5" s="90" t="str">
        <f>IF('Input Nilai Pengetahuan'!AC42="","",'Input Nilai Pengetahuan'!AC42)</f>
        <v/>
      </c>
      <c r="BY5" s="90" t="str">
        <f>IF(BX5="","",IF('Input Nilai Pengetahuan'!$V$1="","",'Input Nilai Pengetahuan'!$V$1))</f>
        <v/>
      </c>
      <c r="BZ5" s="90" t="str">
        <f>IF('Input Nilai Pengetahuan'!AC43="","",'Input Nilai Pengetahuan'!AC43)</f>
        <v/>
      </c>
      <c r="CA5" s="90" t="str">
        <f>IF(BZ5="","",IF('Input Nilai Pengetahuan'!$V$1="","",'Input Nilai Pengetahuan'!$V$1))</f>
        <v/>
      </c>
      <c r="CB5" s="90" t="str">
        <f>IF('Input Nilai Pengetahuan'!AC44="","",'Input Nilai Pengetahuan'!AC44)</f>
        <v/>
      </c>
      <c r="CC5" s="90" t="str">
        <f>IF(CB5="","",IF('Input Nilai Pengetahuan'!$V$1="","",'Input Nilai Pengetahuan'!$V$1))</f>
        <v/>
      </c>
      <c r="CD5" s="90" t="str">
        <f>IF('Input Nilai Pengetahuan'!AC45="","",'Input Nilai Pengetahuan'!AC45)</f>
        <v/>
      </c>
      <c r="CE5" s="90" t="str">
        <f>IF(CD5="","",IF('Input Nilai Pengetahuan'!$V$1="","",'Input Nilai Pengetahuan'!$V$1))</f>
        <v/>
      </c>
      <c r="CF5" s="90" t="str">
        <f>IF('Input Nilai Pengetahuan'!AC46="","",'Input Nilai Pengetahuan'!AC46)</f>
        <v/>
      </c>
      <c r="CG5" s="90" t="str">
        <f>IF(CF5="","",IF('Input Nilai Pengetahuan'!$V$1="","",'Input Nilai Pengetahuan'!$V$1))</f>
        <v/>
      </c>
      <c r="CH5" s="90" t="str">
        <f>IF('Input Nilai Pengetahuan'!AC47="","",'Input Nilai Pengetahuan'!AC47)</f>
        <v/>
      </c>
      <c r="CI5" s="90" t="str">
        <f>IF(CH5="","",IF('Input Nilai Pengetahuan'!$V$1="","",'Input Nilai Pengetahuan'!$V$1))</f>
        <v/>
      </c>
      <c r="CJ5" s="90" t="str">
        <f>IF('Input Nilai Pengetahuan'!AC48="","",'Input Nilai Pengetahuan'!AC48)</f>
        <v/>
      </c>
      <c r="CK5" s="90" t="str">
        <f>IF(CJ5="","",IF('Input Nilai Pengetahuan'!$V$1="","",'Input Nilai Pengetahuan'!$V$1))</f>
        <v/>
      </c>
      <c r="CL5" s="90" t="str">
        <f>IF('Input Nilai Pengetahuan'!AC49="","",'Input Nilai Pengetahuan'!AC49)</f>
        <v/>
      </c>
      <c r="CM5" s="90" t="str">
        <f>IF(CL5="","",IF('Input Nilai Pengetahuan'!$V$1="","",'Input Nilai Pengetahuan'!$V$1))</f>
        <v/>
      </c>
      <c r="CN5" s="90" t="str">
        <f>IF('Input Nilai Pengetahuan'!AC50="","",'Input Nilai Pengetahuan'!AC50)</f>
        <v/>
      </c>
      <c r="CO5" s="90" t="str">
        <f>IF(CN5="","",IF('Input Nilai Pengetahuan'!$V$1="","",'Input Nilai Pengetahuan'!$V$1))</f>
        <v/>
      </c>
      <c r="CP5" s="90" t="str">
        <f>IF('Input Nilai Pengetahuan'!AC51="","",'Input Nilai Pengetahuan'!AC51)</f>
        <v/>
      </c>
      <c r="CQ5" s="90" t="str">
        <f>IF(CP5="","",IF('Input Nilai Pengetahuan'!$V$1="","",'Input Nilai Pengetahuan'!$V$1))</f>
        <v/>
      </c>
      <c r="CR5" s="90" t="str">
        <f>IF('Input Nilai Pengetahuan'!AC52="","",'Input Nilai Pengetahuan'!AC52)</f>
        <v/>
      </c>
      <c r="CS5" s="90" t="str">
        <f>IF(CR5="","",IF('Input Nilai Pengetahuan'!$V$1="","",'Input Nilai Pengetahuan'!$V$1))</f>
        <v/>
      </c>
    </row>
    <row r="6" spans="1:97">
      <c r="A6" s="72">
        <v>4</v>
      </c>
      <c r="B6" s="90">
        <f>IF('Input Nilai Pengetahuan'!AK5="","",'Input Nilai Pengetahuan'!AK5)</f>
        <v>80</v>
      </c>
      <c r="C6" s="90" t="str">
        <f>IF(B6="","",IF('Input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D6" s="90">
        <f>IF('Input Nilai Pengetahuan'!AK6="","",'Input Nilai Pengetahuan'!AK6)</f>
        <v>80</v>
      </c>
      <c r="E6" s="90" t="str">
        <f>IF(D6="","",IF('Input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F6" s="90">
        <f>IF('Input Nilai Pengetahuan'!AK7="","",'Input Nilai Pengetahuan'!AK7)</f>
        <v>76</v>
      </c>
      <c r="G6" s="90" t="str">
        <f>IF(F6="","",IF('Input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H6" s="90">
        <f>IF('Input Nilai Pengetahuan'!AK8="","",'Input Nilai Pengetahuan'!AK8)</f>
        <v>90</v>
      </c>
      <c r="I6" s="90" t="str">
        <f>IF(H6="","",IF('Input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J6" s="90">
        <f>IF('Input Nilai Pengetahuan'!AK9="","",'Input Nilai Pengetahuan'!AK9)</f>
        <v>90</v>
      </c>
      <c r="K6" s="90" t="str">
        <f>IF(J6="","",IF('Input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L6" s="90">
        <f>IF('Input Nilai Pengetahuan'!AK10="","",'Input Nilai Pengetahuan'!AK10)</f>
        <v>97</v>
      </c>
      <c r="M6" s="90" t="str">
        <f>IF(L6="","",IF('Input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N6" s="90">
        <f>IF('Input Nilai Pengetahuan'!AK11="","",'Input Nilai Pengetahuan'!AK11)</f>
        <v>95</v>
      </c>
      <c r="O6" s="90" t="str">
        <f>IF(N6="","",IF('Input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P6" s="90">
        <f>IF('Input Nilai Pengetahuan'!AK12="","",'Input Nilai Pengetahuan'!AK12)</f>
        <v>78</v>
      </c>
      <c r="Q6" s="90" t="str">
        <f>IF(P6="","",IF('Input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R6" s="90">
        <f>IF('Input Nilai Pengetahuan'!AK13="","",'Input Nilai Pengetahuan'!AK13)</f>
        <v>96</v>
      </c>
      <c r="S6" s="90" t="str">
        <f>IF(R6="","",IF('Input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T6" s="90">
        <f>IF('Input Nilai Pengetahuan'!AK14="","",'Input Nilai Pengetahuan'!AK14)</f>
        <v>95</v>
      </c>
      <c r="U6" s="90" t="str">
        <f>IF(T6="","",IF('Input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V6" s="90">
        <f>IF('Input Nilai Pengetahuan'!AK15="","",'Input Nilai Pengetahuan'!AK15)</f>
        <v>87</v>
      </c>
      <c r="W6" s="90" t="str">
        <f>IF(V6="","",IF('Input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X6" s="90" t="str">
        <f>IF('Input Nilai Pengetahuan'!AK16="","",'Input Nilai Pengetahuan'!AK16)</f>
        <v/>
      </c>
      <c r="Y6" s="90" t="str">
        <f>IF(X6="","",IF('Input Nilai Pengetahuan'!$AD$1="","",'Input Nilai Pengetahuan'!$AD$1))</f>
        <v/>
      </c>
      <c r="Z6" s="90">
        <f>IF('Input Nilai Pengetahuan'!AK17="","",'Input Nilai Pengetahuan'!AK17)</f>
        <v>70</v>
      </c>
      <c r="AA6" s="90" t="str">
        <f>IF(Z6="","",IF('Input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B6" s="90">
        <f>IF('Input Nilai Pengetahuan'!AK18="","",'Input Nilai Pengetahuan'!AK18)</f>
        <v>76</v>
      </c>
      <c r="AC6" s="90" t="str">
        <f>IF(AB6="","",IF('Input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D6" s="90">
        <f>IF('Input Nilai Pengetahuan'!AK19="","",'Input Nilai Pengetahuan'!AK19)</f>
        <v>90</v>
      </c>
      <c r="AE6" s="90" t="str">
        <f>IF(AD6="","",IF('Input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F6" s="90">
        <f>IF('Input Nilai Pengetahuan'!AK20="","",'Input Nilai Pengetahuan'!AK20)</f>
        <v>100</v>
      </c>
      <c r="AG6" s="90" t="str">
        <f>IF(AF6="","",IF('Input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H6" s="90">
        <f>IF('Input Nilai Pengetahuan'!AK21="","",'Input Nilai Pengetahuan'!AK21)</f>
        <v>90</v>
      </c>
      <c r="AI6" s="90" t="str">
        <f>IF(AH6="","",IF('Input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J6" s="90">
        <f>IF('Input Nilai Pengetahuan'!AK22="","",'Input Nilai Pengetahuan'!AK22)</f>
        <v>95</v>
      </c>
      <c r="AK6" s="90" t="str">
        <f>IF(AJ6="","",IF('Input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L6" s="90">
        <f>IF('Input Nilai Pengetahuan'!AK23="","",'Input Nilai Pengetahuan'!AK23)</f>
        <v>76</v>
      </c>
      <c r="AM6" s="90" t="str">
        <f>IF(AL6="","",IF('Input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N6" s="90">
        <f>IF('Input Nilai Pengetahuan'!AK24="","",'Input Nilai Pengetahuan'!AK24)</f>
        <v>75</v>
      </c>
      <c r="AO6" s="90" t="str">
        <f>IF(AN6="","",IF('Input Nilai Pengetahuan'!$AD$1="","",'Input Nilai Pengetahuan'!$AD$1))</f>
        <v>Mengidentifikasi fungsi sosial, struktur teks, dan unsur kebahasaan teks interaksi transaksional lisan dan tulis yang melibatkan tindakan memberi dan meminta informasi terkait nama dan jumlah binatang, benda, danbangunan publik yang dekat dengan kehidupan siswa seharihari, sesuai dengan konteks penggunaannya. (Perhatikan unsur kebahasaan dan kosa kata terkait article a dan the, plural dan singular)</v>
      </c>
      <c r="AP6" s="90" t="str">
        <f>IF('Input Nilai Pengetahuan'!AK25="","",'Input Nilai Pengetahuan'!AK25)</f>
        <v/>
      </c>
      <c r="AQ6" s="90" t="str">
        <f>IF(AP6="","",IF('Input Nilai Pengetahuan'!$AD$1="","",'Input Nilai Pengetahuan'!$AD$1))</f>
        <v/>
      </c>
      <c r="AR6" s="90" t="str">
        <f>IF('Input Nilai Pengetahuan'!AK26="","",'Input Nilai Pengetahuan'!AK26)</f>
        <v/>
      </c>
      <c r="AS6" s="90" t="str">
        <f>IF(AR6="","",IF('Input Nilai Pengetahuan'!$AD$1="","",'Input Nilai Pengetahuan'!$AD$1))</f>
        <v/>
      </c>
      <c r="AT6" s="90" t="str">
        <f>IF('Input Nilai Pengetahuan'!AK27="","",'Input Nilai Pengetahuan'!AK27)</f>
        <v/>
      </c>
      <c r="AU6" s="90" t="str">
        <f>IF(AT6="","",IF('Input Nilai Pengetahuan'!$AD$1="","",'Input Nilai Pengetahuan'!$AD$1))</f>
        <v/>
      </c>
      <c r="AV6" s="90" t="str">
        <f>IF('Input Nilai Pengetahuan'!AK28="","",'Input Nilai Pengetahuan'!AK28)</f>
        <v/>
      </c>
      <c r="AW6" s="90" t="str">
        <f>IF(AV6="","",IF('Input Nilai Pengetahuan'!$AD$1="","",'Input Nilai Pengetahuan'!$AD$1))</f>
        <v/>
      </c>
      <c r="AX6" s="90" t="str">
        <f>IF('Input Nilai Pengetahuan'!AK29="","",'Input Nilai Pengetahuan'!AK29)</f>
        <v/>
      </c>
      <c r="AY6" s="90" t="str">
        <f>IF(AX6="","",IF('Input Nilai Pengetahuan'!$AD$1="","",'Input Nilai Pengetahuan'!$AD$1))</f>
        <v/>
      </c>
      <c r="AZ6" s="90" t="str">
        <f>IF('Input Nilai Pengetahuan'!AK30="","",'Input Nilai Pengetahuan'!AK30)</f>
        <v/>
      </c>
      <c r="BA6" s="90" t="str">
        <f>IF(AZ6="","",IF('Input Nilai Pengetahuan'!$AD$1="","",'Input Nilai Pengetahuan'!$AD$1))</f>
        <v/>
      </c>
      <c r="BB6" s="90" t="str">
        <f>IF('Input Nilai Pengetahuan'!AK31="","",'Input Nilai Pengetahuan'!AK31)</f>
        <v/>
      </c>
      <c r="BC6" s="90" t="str">
        <f>IF(BB6="","",IF('Input Nilai Pengetahuan'!$AD$1="","",'Input Nilai Pengetahuan'!$AD$1))</f>
        <v/>
      </c>
      <c r="BD6" s="90" t="str">
        <f>IF('Input Nilai Pengetahuan'!AK32="","",'Input Nilai Pengetahuan'!AK32)</f>
        <v/>
      </c>
      <c r="BE6" s="90" t="str">
        <f>IF(BD6="","",IF('Input Nilai Pengetahuan'!$AD$1="","",'Input Nilai Pengetahuan'!$AD$1))</f>
        <v/>
      </c>
      <c r="BF6" s="90" t="str">
        <f>IF('Input Nilai Pengetahuan'!AK33="","",'Input Nilai Pengetahuan'!AK33)</f>
        <v/>
      </c>
      <c r="BG6" s="90" t="str">
        <f>IF(BF6="","",IF('Input Nilai Pengetahuan'!$AD$1="","",'Input Nilai Pengetahuan'!$AD$1))</f>
        <v/>
      </c>
      <c r="BH6" s="90" t="str">
        <f>IF('Input Nilai Pengetahuan'!AK34="","",'Input Nilai Pengetahuan'!AK34)</f>
        <v/>
      </c>
      <c r="BI6" s="90" t="str">
        <f>IF(BH6="","",IF('Input Nilai Pengetahuan'!$AD$1="","",'Input Nilai Pengetahuan'!$AD$1))</f>
        <v/>
      </c>
      <c r="BJ6" s="90" t="str">
        <f>IF('Input Nilai Pengetahuan'!AK35="","",'Input Nilai Pengetahuan'!AK35)</f>
        <v/>
      </c>
      <c r="BK6" s="90" t="str">
        <f>IF(BJ6="","",IF('Input Nilai Pengetahuan'!$AD$1="","",'Input Nilai Pengetahuan'!$AD$1))</f>
        <v/>
      </c>
      <c r="BL6" s="90" t="str">
        <f>IF('Input Nilai Pengetahuan'!AK36="","",'Input Nilai Pengetahuan'!AK36)</f>
        <v/>
      </c>
      <c r="BM6" s="90" t="str">
        <f>IF(BL6="","",IF('Input Nilai Pengetahuan'!$AD$1="","",'Input Nilai Pengetahuan'!$AD$1))</f>
        <v/>
      </c>
      <c r="BN6" s="90" t="str">
        <f>IF('Input Nilai Pengetahuan'!AK37="","",'Input Nilai Pengetahuan'!AK37)</f>
        <v/>
      </c>
      <c r="BO6" s="90" t="str">
        <f>IF(BN6="","",IF('Input Nilai Pengetahuan'!$AD$1="","",'Input Nilai Pengetahuan'!$AD$1))</f>
        <v/>
      </c>
      <c r="BP6" s="90" t="str">
        <f>IF('Input Nilai Pengetahuan'!AK38="","",'Input Nilai Pengetahuan'!AK38)</f>
        <v/>
      </c>
      <c r="BQ6" s="90" t="str">
        <f>IF(BP6="","",IF('Input Nilai Pengetahuan'!$AD$1="","",'Input Nilai Pengetahuan'!$AD$1))</f>
        <v/>
      </c>
      <c r="BR6" s="90" t="str">
        <f>IF('Input Nilai Pengetahuan'!AK39="","",'Input Nilai Pengetahuan'!AK39)</f>
        <v/>
      </c>
      <c r="BS6" s="90" t="str">
        <f>IF(BR6="","",IF('Input Nilai Pengetahuan'!$AD$1="","",'Input Nilai Pengetahuan'!$AD$1))</f>
        <v/>
      </c>
      <c r="BT6" s="90" t="str">
        <f>IF('Input Nilai Pengetahuan'!AK40="","",'Input Nilai Pengetahuan'!AK40)</f>
        <v/>
      </c>
      <c r="BU6" s="90" t="str">
        <f>IF(BT6="","",IF('Input Nilai Pengetahuan'!$AD$1="","",'Input Nilai Pengetahuan'!$AD$1))</f>
        <v/>
      </c>
      <c r="BV6" s="90" t="str">
        <f>IF('Input Nilai Pengetahuan'!AK41="","",'Input Nilai Pengetahuan'!AK41)</f>
        <v/>
      </c>
      <c r="BW6" s="90" t="str">
        <f>IF(BV6="","",IF('Input Nilai Pengetahuan'!$AD$1="","",'Input Nilai Pengetahuan'!$AD$1))</f>
        <v/>
      </c>
      <c r="BX6" s="90" t="str">
        <f>IF('Input Nilai Pengetahuan'!AK42="","",'Input Nilai Pengetahuan'!AK42)</f>
        <v/>
      </c>
      <c r="BY6" s="90" t="str">
        <f>IF(BX6="","",IF('Input Nilai Pengetahuan'!$AD$1="","",'Input Nilai Pengetahuan'!$AD$1))</f>
        <v/>
      </c>
      <c r="BZ6" s="90" t="str">
        <f>IF('Input Nilai Pengetahuan'!AK43="","",'Input Nilai Pengetahuan'!AK43)</f>
        <v/>
      </c>
      <c r="CA6" s="90" t="str">
        <f>IF(BZ6="","",IF('Input Nilai Pengetahuan'!$AD$1="","",'Input Nilai Pengetahuan'!$AD$1))</f>
        <v/>
      </c>
      <c r="CB6" s="90" t="str">
        <f>IF('Input Nilai Pengetahuan'!AK44="","",'Input Nilai Pengetahuan'!AK44)</f>
        <v/>
      </c>
      <c r="CC6" s="90" t="str">
        <f>IF(CB6="","",IF('Input Nilai Pengetahuan'!$AD$1="","",'Input Nilai Pengetahuan'!$AD$1))</f>
        <v/>
      </c>
      <c r="CD6" s="90" t="str">
        <f>IF('Input Nilai Pengetahuan'!AK45="","",'Input Nilai Pengetahuan'!AK45)</f>
        <v/>
      </c>
      <c r="CE6" s="90" t="str">
        <f>IF(CD6="","",IF('Input Nilai Pengetahuan'!$AD$1="","",'Input Nilai Pengetahuan'!$AD$1))</f>
        <v/>
      </c>
      <c r="CF6" s="90" t="str">
        <f>IF('Input Nilai Pengetahuan'!AK46="","",'Input Nilai Pengetahuan'!AK46)</f>
        <v/>
      </c>
      <c r="CG6" s="90" t="str">
        <f>IF(CF6="","",IF('Input Nilai Pengetahuan'!$AD$1="","",'Input Nilai Pengetahuan'!$AD$1))</f>
        <v/>
      </c>
      <c r="CH6" s="90" t="str">
        <f>IF('Input Nilai Pengetahuan'!AK47="","",'Input Nilai Pengetahuan'!AK47)</f>
        <v/>
      </c>
      <c r="CI6" s="90" t="str">
        <f>IF(CH6="","",IF('Input Nilai Pengetahuan'!$AD$1="","",'Input Nilai Pengetahuan'!$AD$1))</f>
        <v/>
      </c>
      <c r="CJ6" s="90" t="str">
        <f>IF('Input Nilai Pengetahuan'!AK48="","",'Input Nilai Pengetahuan'!AK48)</f>
        <v/>
      </c>
      <c r="CK6" s="90" t="str">
        <f>IF(CJ6="","",IF('Input Nilai Pengetahuan'!$AD$1="","",'Input Nilai Pengetahuan'!$AD$1))</f>
        <v/>
      </c>
      <c r="CL6" s="90" t="str">
        <f>IF('Input Nilai Pengetahuan'!AK49="","",'Input Nilai Pengetahuan'!AK49)</f>
        <v/>
      </c>
      <c r="CM6" s="90" t="str">
        <f>IF(CL6="","",IF('Input Nilai Pengetahuan'!$AD$1="","",'Input Nilai Pengetahuan'!$AD$1))</f>
        <v/>
      </c>
      <c r="CN6" s="90" t="str">
        <f>IF('Input Nilai Pengetahuan'!AK50="","",'Input Nilai Pengetahuan'!AK50)</f>
        <v/>
      </c>
      <c r="CO6" s="90" t="str">
        <f>IF(CN6="","",IF('Input Nilai Pengetahuan'!$AD$1="","",'Input Nilai Pengetahuan'!$AD$1))</f>
        <v/>
      </c>
      <c r="CP6" s="90" t="str">
        <f>IF('Input Nilai Pengetahuan'!AK51="","",'Input Nilai Pengetahuan'!AK51)</f>
        <v/>
      </c>
      <c r="CQ6" s="90" t="str">
        <f>IF(CP6="","",IF('Input Nilai Pengetahuan'!$AD$1="","",'Input Nilai Pengetahuan'!$AD$1))</f>
        <v/>
      </c>
      <c r="CR6" s="90" t="str">
        <f>IF('Input Nilai Pengetahuan'!AK52="","",'Input Nilai Pengetahuan'!AK52)</f>
        <v/>
      </c>
      <c r="CS6" s="90" t="str">
        <f>IF(CR6="","",IF('Input Nilai Pengetahuan'!$AD$1="","",'Input Nilai Pengetahuan'!$AD$1))</f>
        <v/>
      </c>
    </row>
    <row r="7" spans="1:97">
      <c r="A7" s="72">
        <v>5</v>
      </c>
      <c r="B7" s="90" t="str">
        <f>IF('Input Nilai Pengetahuan'!AS5="","",'Input Nilai Pengetahuan'!AS5)</f>
        <v/>
      </c>
      <c r="C7" s="90" t="str">
        <f>IF(B3="","",IF('Input Nilai Pengetahuan'!$AL$1="","",'Input Nilai Pengetahuan'!$AL$1))</f>
        <v/>
      </c>
      <c r="D7" s="90" t="str">
        <f>IF('Input Nilai Pengetahuan'!AS6="","",'Input Nilai Pengetahuan'!AS6)</f>
        <v/>
      </c>
      <c r="E7" s="90" t="str">
        <f>IF(D3="","",IF('Input Nilai Pengetahuan'!$AL$1="","",'Input Nilai Pengetahuan'!$AL$1))</f>
        <v/>
      </c>
      <c r="F7" s="90" t="str">
        <f>IF('Input Nilai Pengetahuan'!AS7="","",'Input Nilai Pengetahuan'!AS7)</f>
        <v/>
      </c>
      <c r="G7" s="90" t="str">
        <f>IF(F3="","",IF('Input Nilai Pengetahuan'!$AL$1="","",'Input Nilai Pengetahuan'!$AL$1))</f>
        <v/>
      </c>
      <c r="H7" s="90" t="str">
        <f>IF('Input Nilai Pengetahuan'!AS8="","",'Input Nilai Pengetahuan'!AS8)</f>
        <v/>
      </c>
      <c r="I7" s="90" t="str">
        <f>IF(H3="","",IF('Input Nilai Pengetahuan'!$AL$1="","",'Input Nilai Pengetahuan'!$AL$1))</f>
        <v/>
      </c>
      <c r="J7" s="90" t="str">
        <f>IF('Input Nilai Pengetahuan'!AS9="","",'Input Nilai Pengetahuan'!AS9)</f>
        <v/>
      </c>
      <c r="K7" s="90" t="str">
        <f>IF(J3="","",IF('Input Nilai Pengetahuan'!$AL$1="","",'Input Nilai Pengetahuan'!$AL$1))</f>
        <v/>
      </c>
      <c r="L7" s="90" t="str">
        <f>IF('Input Nilai Pengetahuan'!AS10="","",'Input Nilai Pengetahuan'!AS10)</f>
        <v/>
      </c>
      <c r="M7" s="90" t="str">
        <f>IF(L3="","",IF('Input Nilai Pengetahuan'!$AL$1="","",'Input Nilai Pengetahuan'!$AL$1))</f>
        <v/>
      </c>
      <c r="N7" s="90" t="str">
        <f>IF('Input Nilai Pengetahuan'!AS11="","",'Input Nilai Pengetahuan'!AS11)</f>
        <v/>
      </c>
      <c r="O7" s="90" t="str">
        <f>IF(N3="","",IF('Input Nilai Pengetahuan'!$AL$1="","",'Input Nilai Pengetahuan'!$AL$1))</f>
        <v/>
      </c>
      <c r="P7" s="90" t="str">
        <f>IF('Input Nilai Pengetahuan'!AS12="","",'Input Nilai Pengetahuan'!AS12)</f>
        <v/>
      </c>
      <c r="Q7" s="90" t="str">
        <f>IF(P3="","",IF('Input Nilai Pengetahuan'!$AL$1="","",'Input Nilai Pengetahuan'!$AL$1))</f>
        <v/>
      </c>
      <c r="R7" s="90" t="str">
        <f>IF('Input Nilai Pengetahuan'!AS13="","",'Input Nilai Pengetahuan'!AS13)</f>
        <v/>
      </c>
      <c r="S7" s="90" t="str">
        <f>IF(R3="","",IF('Input Nilai Pengetahuan'!$AL$1="","",'Input Nilai Pengetahuan'!$AL$1))</f>
        <v/>
      </c>
      <c r="T7" s="90" t="str">
        <f>IF('Input Nilai Pengetahuan'!AS14="","",'Input Nilai Pengetahuan'!AS14)</f>
        <v/>
      </c>
      <c r="U7" s="90" t="str">
        <f>IF(T3="","",IF('Input Nilai Pengetahuan'!$AL$1="","",'Input Nilai Pengetahuan'!$AL$1))</f>
        <v/>
      </c>
      <c r="V7" s="90" t="str">
        <f>IF('Input Nilai Pengetahuan'!AS15="","",'Input Nilai Pengetahuan'!AS15)</f>
        <v/>
      </c>
      <c r="W7" s="90" t="str">
        <f>IF(V3="","",IF('Input Nilai Pengetahuan'!$AL$1="","",'Input Nilai Pengetahuan'!$AL$1))</f>
        <v/>
      </c>
      <c r="X7" s="90" t="str">
        <f>IF('Input Nilai Pengetahuan'!AS16="","",'Input Nilai Pengetahuan'!AS16)</f>
        <v/>
      </c>
      <c r="Y7" s="90" t="str">
        <f>IF(X3="","",IF('Input Nilai Pengetahuan'!$AL$1="","",'Input Nilai Pengetahuan'!$AL$1))</f>
        <v/>
      </c>
      <c r="Z7" s="90" t="str">
        <f>IF('Input Nilai Pengetahuan'!AS17="","",'Input Nilai Pengetahuan'!AS17)</f>
        <v/>
      </c>
      <c r="AA7" s="90" t="str">
        <f>IF(Z3="","",IF('Input Nilai Pengetahuan'!$AL$1="","",'Input Nilai Pengetahuan'!$AL$1))</f>
        <v/>
      </c>
      <c r="AB7" s="90" t="str">
        <f>IF('Input Nilai Pengetahuan'!AS18="","",'Input Nilai Pengetahuan'!AS18)</f>
        <v/>
      </c>
      <c r="AC7" s="90" t="str">
        <f>IF(AB3="","",IF('Input Nilai Pengetahuan'!$AL$1="","",'Input Nilai Pengetahuan'!$AL$1))</f>
        <v/>
      </c>
      <c r="AD7" s="90" t="str">
        <f>IF('Input Nilai Pengetahuan'!AS19="","",'Input Nilai Pengetahuan'!AS19)</f>
        <v/>
      </c>
      <c r="AE7" s="90" t="str">
        <f>IF(AD3="","",IF('Input Nilai Pengetahuan'!$AL$1="","",'Input Nilai Pengetahuan'!$AL$1))</f>
        <v/>
      </c>
      <c r="AF7" s="90" t="str">
        <f>IF('Input Nilai Pengetahuan'!AS20="","",'Input Nilai Pengetahuan'!AS20)</f>
        <v/>
      </c>
      <c r="AG7" s="90" t="str">
        <f>IF(AF3="","",IF('Input Nilai Pengetahuan'!$AL$1="","",'Input Nilai Pengetahuan'!$AL$1))</f>
        <v/>
      </c>
      <c r="AH7" s="90" t="str">
        <f>IF('Input Nilai Pengetahuan'!AS21="","",'Input Nilai Pengetahuan'!AS21)</f>
        <v/>
      </c>
      <c r="AI7" s="90" t="str">
        <f>IF(AH3="","",IF('Input Nilai Pengetahuan'!$AL$1="","",'Input Nilai Pengetahuan'!$AL$1))</f>
        <v/>
      </c>
      <c r="AJ7" s="90" t="str">
        <f>IF('Input Nilai Pengetahuan'!AS22="","",'Input Nilai Pengetahuan'!AS22)</f>
        <v/>
      </c>
      <c r="AK7" s="90" t="str">
        <f>IF(AJ3="","",IF('Input Nilai Pengetahuan'!$AL$1="","",'Input Nilai Pengetahuan'!$AL$1))</f>
        <v/>
      </c>
      <c r="AL7" s="90" t="str">
        <f>IF('Input Nilai Pengetahuan'!AS23="","",'Input Nilai Pengetahuan'!AS23)</f>
        <v/>
      </c>
      <c r="AM7" s="90" t="str">
        <f>IF(AL3="","",IF('Input Nilai Pengetahuan'!$AL$1="","",'Input Nilai Pengetahuan'!$AL$1))</f>
        <v/>
      </c>
      <c r="AN7" s="90" t="str">
        <f>IF('Input Nilai Pengetahuan'!AS24="","",'Input Nilai Pengetahuan'!AS24)</f>
        <v/>
      </c>
      <c r="AO7" s="90" t="str">
        <f>IF(AN3="","",IF('Input Nilai Pengetahuan'!$AL$1="","",'Input Nilai Pengetahuan'!$AL$1))</f>
        <v/>
      </c>
      <c r="AP7" s="90" t="str">
        <f>IF('Input Nilai Pengetahuan'!AS25="","",'Input Nilai Pengetahuan'!AS25)</f>
        <v/>
      </c>
      <c r="AQ7" s="90" t="str">
        <f>IF(AP3="","",IF('Input Nilai Pengetahuan'!$AL$1="","",'Input Nilai Pengetahuan'!$AL$1))</f>
        <v/>
      </c>
      <c r="AR7" s="90" t="str">
        <f>IF('Input Nilai Pengetahuan'!AS26="","",'Input Nilai Pengetahuan'!AS26)</f>
        <v/>
      </c>
      <c r="AS7" s="90" t="str">
        <f>IF(AR3="","",IF('Input Nilai Pengetahuan'!$AL$1="","",'Input Nilai Pengetahuan'!$AL$1))</f>
        <v/>
      </c>
      <c r="AT7" s="90" t="str">
        <f>IF('Input Nilai Pengetahuan'!AS27="","",'Input Nilai Pengetahuan'!AS27)</f>
        <v/>
      </c>
      <c r="AU7" s="90" t="str">
        <f>IF(AT3="","",IF('Input Nilai Pengetahuan'!$AL$1="","",'Input Nilai Pengetahuan'!$AL$1))</f>
        <v/>
      </c>
      <c r="AV7" s="90" t="str">
        <f>IF('Input Nilai Pengetahuan'!AS28="","",'Input Nilai Pengetahuan'!AS28)</f>
        <v/>
      </c>
      <c r="AW7" s="90" t="str">
        <f>IF(AV3="","",IF('Input Nilai Pengetahuan'!$AL$1="","",'Input Nilai Pengetahuan'!$AL$1))</f>
        <v/>
      </c>
      <c r="AX7" s="90" t="str">
        <f>IF('Input Nilai Pengetahuan'!AS29="","",'Input Nilai Pengetahuan'!AS29)</f>
        <v/>
      </c>
      <c r="AY7" s="90" t="str">
        <f>IF(AX3="","",IF('Input Nilai Pengetahuan'!$AL$1="","",'Input Nilai Pengetahuan'!$AL$1))</f>
        <v/>
      </c>
      <c r="AZ7" s="90" t="str">
        <f>IF('Input Nilai Pengetahuan'!AS30="","",'Input Nilai Pengetahuan'!AS30)</f>
        <v/>
      </c>
      <c r="BA7" s="90" t="str">
        <f>IF(AZ3="","",IF('Input Nilai Pengetahuan'!$AL$1="","",'Input Nilai Pengetahuan'!$AL$1))</f>
        <v/>
      </c>
      <c r="BB7" s="90" t="str">
        <f>IF('Input Nilai Pengetahuan'!AS31="","",'Input Nilai Pengetahuan'!AS31)</f>
        <v/>
      </c>
      <c r="BC7" s="90" t="str">
        <f>IF(BB3="","",IF('Input Nilai Pengetahuan'!$AL$1="","",'Input Nilai Pengetahuan'!$AL$1))</f>
        <v/>
      </c>
      <c r="BD7" s="90" t="str">
        <f>IF('Input Nilai Pengetahuan'!AS32="","",'Input Nilai Pengetahuan'!AS32)</f>
        <v/>
      </c>
      <c r="BE7" s="90" t="str">
        <f>IF(BD3="","",IF('Input Nilai Pengetahuan'!$AL$1="","",'Input Nilai Pengetahuan'!$AL$1))</f>
        <v/>
      </c>
      <c r="BF7" s="90" t="str">
        <f>IF('Input Nilai Pengetahuan'!AS33="","",'Input Nilai Pengetahuan'!AS33)</f>
        <v/>
      </c>
      <c r="BG7" s="90" t="str">
        <f>IF(BF3="","",IF('Input Nilai Pengetahuan'!$AL$1="","",'Input Nilai Pengetahuan'!$AL$1))</f>
        <v/>
      </c>
      <c r="BH7" s="90" t="str">
        <f>IF('Input Nilai Pengetahuan'!AS34="","",'Input Nilai Pengetahuan'!AS34)</f>
        <v/>
      </c>
      <c r="BI7" s="90" t="str">
        <f>IF(BH3="","",IF('Input Nilai Pengetahuan'!$AL$1="","",'Input Nilai Pengetahuan'!$AL$1))</f>
        <v/>
      </c>
      <c r="BJ7" s="90" t="str">
        <f>IF('Input Nilai Pengetahuan'!AS35="","",'Input Nilai Pengetahuan'!AS35)</f>
        <v/>
      </c>
      <c r="BK7" s="90" t="str">
        <f>IF(BJ3="","",IF('Input Nilai Pengetahuan'!$AL$1="","",'Input Nilai Pengetahuan'!$AL$1))</f>
        <v/>
      </c>
      <c r="BL7" s="90" t="str">
        <f>IF('Input Nilai Pengetahuan'!AS36="","",'Input Nilai Pengetahuan'!AS36)</f>
        <v/>
      </c>
      <c r="BM7" s="90" t="str">
        <f>IF(BL3="","",IF('Input Nilai Pengetahuan'!$AL$1="","",'Input Nilai Pengetahuan'!$AL$1))</f>
        <v/>
      </c>
      <c r="BN7" s="90" t="str">
        <f>IF('Input Nilai Pengetahuan'!AS37="","",'Input Nilai Pengetahuan'!AS37)</f>
        <v/>
      </c>
      <c r="BO7" s="90" t="str">
        <f>IF(BN3="","",IF('Input Nilai Pengetahuan'!$AL$1="","",'Input Nilai Pengetahuan'!$AL$1))</f>
        <v/>
      </c>
      <c r="BP7" s="90" t="str">
        <f>IF('Input Nilai Pengetahuan'!AS38="","",'Input Nilai Pengetahuan'!AS38)</f>
        <v/>
      </c>
      <c r="BQ7" s="90" t="str">
        <f>IF(BP3="","",IF('Input Nilai Pengetahuan'!$AL$1="","",'Input Nilai Pengetahuan'!$AL$1))</f>
        <v/>
      </c>
      <c r="BR7" s="90" t="str">
        <f>IF('Input Nilai Pengetahuan'!AS39="","",'Input Nilai Pengetahuan'!AS39)</f>
        <v/>
      </c>
      <c r="BS7" s="90" t="str">
        <f>IF(BR3="","",IF('Input Nilai Pengetahuan'!$AL$1="","",'Input Nilai Pengetahuan'!$AL$1))</f>
        <v/>
      </c>
      <c r="BT7" s="90" t="str">
        <f>IF('Input Nilai Pengetahuan'!AS40="","",'Input Nilai Pengetahuan'!AS40)</f>
        <v/>
      </c>
      <c r="BU7" s="90" t="str">
        <f>IF(BT3="","",IF('Input Nilai Pengetahuan'!$AL$1="","",'Input Nilai Pengetahuan'!$AL$1))</f>
        <v/>
      </c>
      <c r="BV7" s="90" t="str">
        <f>IF('Input Nilai Pengetahuan'!AS41="","",'Input Nilai Pengetahuan'!AS41)</f>
        <v/>
      </c>
      <c r="BW7" s="90" t="str">
        <f>IF(BV3="","",IF('Input Nilai Pengetahuan'!$AL$1="","",'Input Nilai Pengetahuan'!$AL$1))</f>
        <v/>
      </c>
      <c r="BX7" s="90" t="str">
        <f>IF('Input Nilai Pengetahuan'!AS42="","",'Input Nilai Pengetahuan'!AS42)</f>
        <v/>
      </c>
      <c r="BY7" s="90" t="str">
        <f>IF(BX3="","",IF('Input Nilai Pengetahuan'!$AL$1="","",'Input Nilai Pengetahuan'!$AL$1))</f>
        <v/>
      </c>
      <c r="BZ7" s="90" t="str">
        <f>IF('Input Nilai Pengetahuan'!AS43="","",'Input Nilai Pengetahuan'!AS43)</f>
        <v/>
      </c>
      <c r="CA7" s="90" t="str">
        <f>IF(BZ3="","",IF('Input Nilai Pengetahuan'!$AL$1="","",'Input Nilai Pengetahuan'!$AL$1))</f>
        <v/>
      </c>
      <c r="CB7" s="90" t="str">
        <f>IF('Input Nilai Pengetahuan'!AS44="","",'Input Nilai Pengetahuan'!AS44)</f>
        <v/>
      </c>
      <c r="CC7" s="90" t="str">
        <f>IF(CB3="","",IF('Input Nilai Pengetahuan'!$AL$1="","",'Input Nilai Pengetahuan'!$AL$1))</f>
        <v/>
      </c>
      <c r="CD7" s="90" t="str">
        <f>IF('Input Nilai Pengetahuan'!AS45="","",'Input Nilai Pengetahuan'!AS45)</f>
        <v/>
      </c>
      <c r="CE7" s="90" t="str">
        <f>IF(CD3="","",IF('Input Nilai Pengetahuan'!$AL$1="","",'Input Nilai Pengetahuan'!$AL$1))</f>
        <v/>
      </c>
      <c r="CF7" s="90" t="str">
        <f>IF('Input Nilai Pengetahuan'!AS46="","",'Input Nilai Pengetahuan'!AS46)</f>
        <v/>
      </c>
      <c r="CG7" s="90" t="str">
        <f>IF(CF3="","",IF('Input Nilai Pengetahuan'!$AL$1="","",'Input Nilai Pengetahuan'!$AL$1))</f>
        <v/>
      </c>
      <c r="CH7" s="90" t="str">
        <f>IF('Input Nilai Pengetahuan'!AS47="","",'Input Nilai Pengetahuan'!AS47)</f>
        <v/>
      </c>
      <c r="CI7" s="90" t="str">
        <f>IF(CH3="","",IF('Input Nilai Pengetahuan'!$AL$1="","",'Input Nilai Pengetahuan'!$AL$1))</f>
        <v/>
      </c>
      <c r="CJ7" s="90" t="str">
        <f>IF('Input Nilai Pengetahuan'!AS48="","",'Input Nilai Pengetahuan'!AS48)</f>
        <v/>
      </c>
      <c r="CK7" s="90" t="str">
        <f>IF(CJ3="","",IF('Input Nilai Pengetahuan'!$AL$1="","",'Input Nilai Pengetahuan'!$AL$1))</f>
        <v/>
      </c>
      <c r="CL7" s="90" t="str">
        <f>IF('Input Nilai Pengetahuan'!AS49="","",'Input Nilai Pengetahuan'!AS49)</f>
        <v/>
      </c>
      <c r="CM7" s="90" t="str">
        <f>IF(CL3="","",IF('Input Nilai Pengetahuan'!$AL$1="","",'Input Nilai Pengetahuan'!$AL$1))</f>
        <v/>
      </c>
      <c r="CN7" s="90" t="str">
        <f>IF('Input Nilai Pengetahuan'!AS50="","",'Input Nilai Pengetahuan'!AS50)</f>
        <v/>
      </c>
      <c r="CO7" s="90" t="str">
        <f>IF(CN3="","",IF('Input Nilai Pengetahuan'!$AL$1="","",'Input Nilai Pengetahuan'!$AL$1))</f>
        <v/>
      </c>
      <c r="CP7" s="90" t="str">
        <f>IF('Input Nilai Pengetahuan'!AS51="","",'Input Nilai Pengetahuan'!AS51)</f>
        <v/>
      </c>
      <c r="CQ7" s="90" t="str">
        <f>IF(CP3="","",IF('Input Nilai Pengetahuan'!$AL$1="","",'Input Nilai Pengetahuan'!$AL$1))</f>
        <v/>
      </c>
      <c r="CR7" s="90" t="str">
        <f>IF('Input Nilai Pengetahuan'!AS52="","",'Input Nilai Pengetahuan'!AS52)</f>
        <v/>
      </c>
      <c r="CS7" s="90" t="str">
        <f>IF(CR3="","",IF('Input Nilai Pengetahuan'!$AL$1="","",'Input Nilai Pengetahuan'!$AL$1))</f>
        <v/>
      </c>
    </row>
    <row r="8" spans="1:97">
      <c r="A8" s="72">
        <v>6</v>
      </c>
      <c r="B8" s="90" t="str">
        <f>IF('Input Nilai Pengetahuan'!BA5="","",'Input Nilai Pengetahuan'!BA5)</f>
        <v/>
      </c>
      <c r="C8" s="90" t="str">
        <f>IF(B3="","",IF('Input Nilai Pengetahuan'!$AT$1="","",'Input Nilai Pengetahuan'!$AT$1))</f>
        <v/>
      </c>
      <c r="D8" s="90" t="str">
        <f>IF('Input Nilai Pengetahuan'!BA6="","",'Input Nilai Pengetahuan'!BA6)</f>
        <v/>
      </c>
      <c r="E8" s="90" t="str">
        <f>IF(D3="","",IF('Input Nilai Pengetahuan'!$AT$1="","",'Input Nilai Pengetahuan'!$AT$1))</f>
        <v/>
      </c>
      <c r="F8" s="90" t="str">
        <f>IF('Input Nilai Pengetahuan'!BA7="","",'Input Nilai Pengetahuan'!BA7)</f>
        <v/>
      </c>
      <c r="G8" s="90" t="str">
        <f>IF(F3="","",IF('Input Nilai Pengetahuan'!$AT$1="","",'Input Nilai Pengetahuan'!$AT$1))</f>
        <v/>
      </c>
      <c r="H8" s="90" t="str">
        <f>IF('Input Nilai Pengetahuan'!BA8="","",'Input Nilai Pengetahuan'!BA8)</f>
        <v/>
      </c>
      <c r="I8" s="90" t="str">
        <f>IF(H3="","",IF('Input Nilai Pengetahuan'!$AT$1="","",'Input Nilai Pengetahuan'!$AT$1))</f>
        <v/>
      </c>
      <c r="J8" s="90" t="str">
        <f>IF('Input Nilai Pengetahuan'!BA9="","",'Input Nilai Pengetahuan'!BA9)</f>
        <v/>
      </c>
      <c r="K8" s="90" t="str">
        <f>IF(J3="","",IF('Input Nilai Pengetahuan'!$AT$1="","",'Input Nilai Pengetahuan'!$AT$1))</f>
        <v/>
      </c>
      <c r="L8" s="90" t="str">
        <f>IF('Input Nilai Pengetahuan'!BA10="","",'Input Nilai Pengetahuan'!BA10)</f>
        <v/>
      </c>
      <c r="M8" s="90" t="str">
        <f>IF(L3="","",IF('Input Nilai Pengetahuan'!$AT$1="","",'Input Nilai Pengetahuan'!$AT$1))</f>
        <v/>
      </c>
      <c r="N8" s="90" t="str">
        <f>IF('Input Nilai Pengetahuan'!BA11="","",'Input Nilai Pengetahuan'!BA11)</f>
        <v/>
      </c>
      <c r="O8" s="90" t="str">
        <f>IF(N3="","",IF('Input Nilai Pengetahuan'!$AT$1="","",'Input Nilai Pengetahuan'!$AT$1))</f>
        <v/>
      </c>
      <c r="P8" s="90" t="str">
        <f>IF('Input Nilai Pengetahuan'!BA12="","",'Input Nilai Pengetahuan'!BA12)</f>
        <v/>
      </c>
      <c r="Q8" s="90" t="str">
        <f>IF(P3="","",IF('Input Nilai Pengetahuan'!$AT$1="","",'Input Nilai Pengetahuan'!$AT$1))</f>
        <v/>
      </c>
      <c r="R8" s="90" t="str">
        <f>IF('Input Nilai Pengetahuan'!BA13="","",'Input Nilai Pengetahuan'!BA13)</f>
        <v/>
      </c>
      <c r="S8" s="90" t="str">
        <f>IF(R3="","",IF('Input Nilai Pengetahuan'!$AT$1="","",'Input Nilai Pengetahuan'!$AT$1))</f>
        <v/>
      </c>
      <c r="T8" s="90" t="str">
        <f>IF('Input Nilai Pengetahuan'!BA14="","",'Input Nilai Pengetahuan'!BA14)</f>
        <v/>
      </c>
      <c r="U8" s="90" t="str">
        <f>IF(T3="","",IF('Input Nilai Pengetahuan'!$AT$1="","",'Input Nilai Pengetahuan'!$AT$1))</f>
        <v/>
      </c>
      <c r="V8" s="90" t="str">
        <f>IF('Input Nilai Pengetahuan'!BA15="","",'Input Nilai Pengetahuan'!BA15)</f>
        <v/>
      </c>
      <c r="W8" s="90" t="str">
        <f>IF(V3="","",IF('Input Nilai Pengetahuan'!$AT$1="","",'Input Nilai Pengetahuan'!$AT$1))</f>
        <v/>
      </c>
      <c r="X8" s="90" t="str">
        <f>IF('Input Nilai Pengetahuan'!BA16="","",'Input Nilai Pengetahuan'!BA16)</f>
        <v/>
      </c>
      <c r="Y8" s="90" t="str">
        <f>IF(X3="","",IF('Input Nilai Pengetahuan'!$AT$1="","",'Input Nilai Pengetahuan'!$AT$1))</f>
        <v/>
      </c>
      <c r="Z8" s="90" t="str">
        <f>IF('Input Nilai Pengetahuan'!BA17="","",'Input Nilai Pengetahuan'!BA17)</f>
        <v/>
      </c>
      <c r="AA8" s="90" t="str">
        <f>IF(Z3="","",IF('Input Nilai Pengetahuan'!$AT$1="","",'Input Nilai Pengetahuan'!$AT$1))</f>
        <v/>
      </c>
      <c r="AB8" s="90" t="str">
        <f>IF('Input Nilai Pengetahuan'!BA18="","",'Input Nilai Pengetahuan'!BA18)</f>
        <v/>
      </c>
      <c r="AC8" s="90" t="str">
        <f>IF(AB3="","",IF('Input Nilai Pengetahuan'!$AT$1="","",'Input Nilai Pengetahuan'!$AT$1))</f>
        <v/>
      </c>
      <c r="AD8" s="90" t="str">
        <f>IF('Input Nilai Pengetahuan'!BA19="","",'Input Nilai Pengetahuan'!BA19)</f>
        <v/>
      </c>
      <c r="AE8" s="90" t="str">
        <f>IF(AD3="","",IF('Input Nilai Pengetahuan'!$AT$1="","",'Input Nilai Pengetahuan'!$AT$1))</f>
        <v/>
      </c>
      <c r="AF8" s="90" t="str">
        <f>IF('Input Nilai Pengetahuan'!BA20="","",'Input Nilai Pengetahuan'!BA20)</f>
        <v/>
      </c>
      <c r="AG8" s="90" t="str">
        <f>IF(AF3="","",IF('Input Nilai Pengetahuan'!$AT$1="","",'Input Nilai Pengetahuan'!$AT$1))</f>
        <v/>
      </c>
      <c r="AH8" s="90" t="str">
        <f>IF('Input Nilai Pengetahuan'!BA21="","",'Input Nilai Pengetahuan'!BA21)</f>
        <v/>
      </c>
      <c r="AI8" s="90" t="str">
        <f>IF(AH3="","",IF('Input Nilai Pengetahuan'!$AT$1="","",'Input Nilai Pengetahuan'!$AT$1))</f>
        <v/>
      </c>
      <c r="AJ8" s="90" t="str">
        <f>IF('Input Nilai Pengetahuan'!BA22="","",'Input Nilai Pengetahuan'!BA22)</f>
        <v/>
      </c>
      <c r="AK8" s="90" t="str">
        <f>IF(AJ3="","",IF('Input Nilai Pengetahuan'!$AT$1="","",'Input Nilai Pengetahuan'!$AT$1))</f>
        <v/>
      </c>
      <c r="AL8" s="90" t="str">
        <f>IF('Input Nilai Pengetahuan'!BA23="","",'Input Nilai Pengetahuan'!BA23)</f>
        <v/>
      </c>
      <c r="AM8" s="90" t="str">
        <f>IF(AL3="","",IF('Input Nilai Pengetahuan'!$AT$1="","",'Input Nilai Pengetahuan'!$AT$1))</f>
        <v/>
      </c>
      <c r="AN8" s="90" t="str">
        <f>IF('Input Nilai Pengetahuan'!BA24="","",'Input Nilai Pengetahuan'!BA24)</f>
        <v/>
      </c>
      <c r="AO8" s="90" t="str">
        <f>IF(AN3="","",IF('Input Nilai Pengetahuan'!$AT$1="","",'Input Nilai Pengetahuan'!$AT$1))</f>
        <v/>
      </c>
      <c r="AP8" s="90" t="str">
        <f>IF('Input Nilai Pengetahuan'!BA25="","",'Input Nilai Pengetahuan'!BA25)</f>
        <v/>
      </c>
      <c r="AQ8" s="90" t="str">
        <f>IF(AP3="","",IF('Input Nilai Pengetahuan'!$AT$1="","",'Input Nilai Pengetahuan'!$AT$1))</f>
        <v/>
      </c>
      <c r="AR8" s="90" t="str">
        <f>IF('Input Nilai Pengetahuan'!BA26="","",'Input Nilai Pengetahuan'!BA26)</f>
        <v/>
      </c>
      <c r="AS8" s="90" t="str">
        <f>IF(AR3="","",IF('Input Nilai Pengetahuan'!$AT$1="","",'Input Nilai Pengetahuan'!$AT$1))</f>
        <v/>
      </c>
      <c r="AT8" s="90" t="str">
        <f>IF('Input Nilai Pengetahuan'!BA27="","",'Input Nilai Pengetahuan'!BA27)</f>
        <v/>
      </c>
      <c r="AU8" s="90" t="str">
        <f>IF(AT3="","",IF('Input Nilai Pengetahuan'!$AT$1="","",'Input Nilai Pengetahuan'!$AT$1))</f>
        <v/>
      </c>
      <c r="AV8" s="90" t="str">
        <f>IF('Input Nilai Pengetahuan'!BA28="","",'Input Nilai Pengetahuan'!BA28)</f>
        <v/>
      </c>
      <c r="AW8" s="90" t="str">
        <f>IF(AV3="","",IF('Input Nilai Pengetahuan'!$AT$1="","",'Input Nilai Pengetahuan'!$AT$1))</f>
        <v/>
      </c>
      <c r="AX8" s="90" t="str">
        <f>IF('Input Nilai Pengetahuan'!BA29="","",'Input Nilai Pengetahuan'!BA29)</f>
        <v/>
      </c>
      <c r="AY8" s="90" t="str">
        <f>IF(AX3="","",IF('Input Nilai Pengetahuan'!$AT$1="","",'Input Nilai Pengetahuan'!$AT$1))</f>
        <v/>
      </c>
      <c r="AZ8" s="90" t="str">
        <f>IF('Input Nilai Pengetahuan'!BA30="","",'Input Nilai Pengetahuan'!BA30)</f>
        <v/>
      </c>
      <c r="BA8" s="90" t="str">
        <f>IF(AZ3="","",IF('Input Nilai Pengetahuan'!$AT$1="","",'Input Nilai Pengetahuan'!$AT$1))</f>
        <v/>
      </c>
      <c r="BB8" s="90" t="str">
        <f>IF('Input Nilai Pengetahuan'!BA31="","",'Input Nilai Pengetahuan'!BA31)</f>
        <v/>
      </c>
      <c r="BC8" s="90" t="str">
        <f>IF(BB3="","",IF('Input Nilai Pengetahuan'!$AT$1="","",'Input Nilai Pengetahuan'!$AT$1))</f>
        <v/>
      </c>
      <c r="BD8" s="90" t="str">
        <f>IF('Input Nilai Pengetahuan'!BA32="","",'Input Nilai Pengetahuan'!BA32)</f>
        <v/>
      </c>
      <c r="BE8" s="90" t="str">
        <f>IF(BD3="","",IF('Input Nilai Pengetahuan'!$AT$1="","",'Input Nilai Pengetahuan'!$AT$1))</f>
        <v/>
      </c>
      <c r="BF8" s="90" t="str">
        <f>IF('Input Nilai Pengetahuan'!BA33="","",'Input Nilai Pengetahuan'!BA33)</f>
        <v/>
      </c>
      <c r="BG8" s="90" t="str">
        <f>IF(BF3="","",IF('Input Nilai Pengetahuan'!$AT$1="","",'Input Nilai Pengetahuan'!$AT$1))</f>
        <v/>
      </c>
      <c r="BH8" s="90" t="str">
        <f>IF('Input Nilai Pengetahuan'!BA34="","",'Input Nilai Pengetahuan'!BA34)</f>
        <v/>
      </c>
      <c r="BI8" s="90" t="str">
        <f>IF(BH3="","",IF('Input Nilai Pengetahuan'!$AT$1="","",'Input Nilai Pengetahuan'!$AT$1))</f>
        <v/>
      </c>
      <c r="BJ8" s="90" t="str">
        <f>IF('Input Nilai Pengetahuan'!BA35="","",'Input Nilai Pengetahuan'!BA35)</f>
        <v/>
      </c>
      <c r="BK8" s="90" t="str">
        <f>IF(BJ3="","",IF('Input Nilai Pengetahuan'!$AT$1="","",'Input Nilai Pengetahuan'!$AT$1))</f>
        <v/>
      </c>
      <c r="BL8" s="90" t="str">
        <f>IF('Input Nilai Pengetahuan'!BA36="","",'Input Nilai Pengetahuan'!BA36)</f>
        <v/>
      </c>
      <c r="BM8" s="90" t="str">
        <f>IF(BL3="","",IF('Input Nilai Pengetahuan'!$AT$1="","",'Input Nilai Pengetahuan'!$AT$1))</f>
        <v/>
      </c>
      <c r="BN8" s="90" t="str">
        <f>IF('Input Nilai Pengetahuan'!BA37="","",'Input Nilai Pengetahuan'!BA37)</f>
        <v/>
      </c>
      <c r="BO8" s="90" t="str">
        <f>IF(BN3="","",IF('Input Nilai Pengetahuan'!$AT$1="","",'Input Nilai Pengetahuan'!$AT$1))</f>
        <v/>
      </c>
      <c r="BP8" s="90" t="str">
        <f>IF('Input Nilai Pengetahuan'!BA38="","",'Input Nilai Pengetahuan'!BA38)</f>
        <v/>
      </c>
      <c r="BQ8" s="90" t="str">
        <f>IF(BP3="","",IF('Input Nilai Pengetahuan'!$AT$1="","",'Input Nilai Pengetahuan'!$AT$1))</f>
        <v/>
      </c>
      <c r="BR8" s="90" t="str">
        <f>IF('Input Nilai Pengetahuan'!BA39="","",'Input Nilai Pengetahuan'!BA39)</f>
        <v/>
      </c>
      <c r="BS8" s="90" t="str">
        <f>IF(BR3="","",IF('Input Nilai Pengetahuan'!$AT$1="","",'Input Nilai Pengetahuan'!$AT$1))</f>
        <v/>
      </c>
      <c r="BT8" s="90" t="str">
        <f>IF('Input Nilai Pengetahuan'!BA40="","",'Input Nilai Pengetahuan'!BA40)</f>
        <v/>
      </c>
      <c r="BU8" s="90" t="str">
        <f>IF(BT3="","",IF('Input Nilai Pengetahuan'!$AT$1="","",'Input Nilai Pengetahuan'!$AT$1))</f>
        <v/>
      </c>
      <c r="BV8" s="90" t="str">
        <f>IF('Input Nilai Pengetahuan'!BA41="","",'Input Nilai Pengetahuan'!BA41)</f>
        <v/>
      </c>
      <c r="BW8" s="90" t="str">
        <f>IF(BV3="","",IF('Input Nilai Pengetahuan'!$AT$1="","",'Input Nilai Pengetahuan'!$AT$1))</f>
        <v/>
      </c>
      <c r="BX8" s="90" t="str">
        <f>IF('Input Nilai Pengetahuan'!BA42="","",'Input Nilai Pengetahuan'!BA42)</f>
        <v/>
      </c>
      <c r="BY8" s="90" t="str">
        <f>IF(BX3="","",IF('Input Nilai Pengetahuan'!$AT$1="","",'Input Nilai Pengetahuan'!$AT$1))</f>
        <v/>
      </c>
      <c r="BZ8" s="90" t="str">
        <f>IF('Input Nilai Pengetahuan'!BA43="","",'Input Nilai Pengetahuan'!BA43)</f>
        <v/>
      </c>
      <c r="CA8" s="90" t="str">
        <f>IF(BZ3="","",IF('Input Nilai Pengetahuan'!$AT$1="","",'Input Nilai Pengetahuan'!$AT$1))</f>
        <v/>
      </c>
      <c r="CB8" s="90" t="str">
        <f>IF('Input Nilai Pengetahuan'!BA44="","",'Input Nilai Pengetahuan'!BA44)</f>
        <v/>
      </c>
      <c r="CC8" s="90" t="str">
        <f>IF(CB3="","",IF('Input Nilai Pengetahuan'!$AT$1="","",'Input Nilai Pengetahuan'!$AT$1))</f>
        <v/>
      </c>
      <c r="CD8" s="90" t="str">
        <f>IF('Input Nilai Pengetahuan'!BA45="","",'Input Nilai Pengetahuan'!BA45)</f>
        <v/>
      </c>
      <c r="CE8" s="90" t="str">
        <f>IF(CD3="","",IF('Input Nilai Pengetahuan'!$AT$1="","",'Input Nilai Pengetahuan'!$AT$1))</f>
        <v/>
      </c>
      <c r="CF8" s="90" t="str">
        <f>IF('Input Nilai Pengetahuan'!BA46="","",'Input Nilai Pengetahuan'!BA46)</f>
        <v/>
      </c>
      <c r="CG8" s="90" t="str">
        <f>IF(CF3="","",IF('Input Nilai Pengetahuan'!$AT$1="","",'Input Nilai Pengetahuan'!$AT$1))</f>
        <v/>
      </c>
      <c r="CH8" s="90" t="str">
        <f>IF('Input Nilai Pengetahuan'!BA47="","",'Input Nilai Pengetahuan'!BA47)</f>
        <v/>
      </c>
      <c r="CI8" s="90" t="str">
        <f>IF(CH3="","",IF('Input Nilai Pengetahuan'!$AT$1="","",'Input Nilai Pengetahuan'!$AT$1))</f>
        <v/>
      </c>
      <c r="CJ8" s="90" t="str">
        <f>IF('Input Nilai Pengetahuan'!BA48="","",'Input Nilai Pengetahuan'!BA48)</f>
        <v/>
      </c>
      <c r="CK8" s="90" t="str">
        <f>IF(CJ3="","",IF('Input Nilai Pengetahuan'!$AT$1="","",'Input Nilai Pengetahuan'!$AT$1))</f>
        <v/>
      </c>
      <c r="CL8" s="90" t="str">
        <f>IF('Input Nilai Pengetahuan'!BA49="","",'Input Nilai Pengetahuan'!BA49)</f>
        <v/>
      </c>
      <c r="CM8" s="90" t="str">
        <f>IF(CL3="","",IF('Input Nilai Pengetahuan'!$AT$1="","",'Input Nilai Pengetahuan'!$AT$1))</f>
        <v/>
      </c>
      <c r="CN8" s="90" t="str">
        <f>IF('Input Nilai Pengetahuan'!BA50="","",'Input Nilai Pengetahuan'!BA50)</f>
        <v/>
      </c>
      <c r="CO8" s="90" t="str">
        <f>IF(CN3="","",IF('Input Nilai Pengetahuan'!$AT$1="","",'Input Nilai Pengetahuan'!$AT$1))</f>
        <v/>
      </c>
      <c r="CP8" s="90" t="str">
        <f>IF('Input Nilai Pengetahuan'!BA51="","",'Input Nilai Pengetahuan'!BA51)</f>
        <v/>
      </c>
      <c r="CQ8" s="90" t="str">
        <f>IF(CP3="","",IF('Input Nilai Pengetahuan'!$AT$1="","",'Input Nilai Pengetahuan'!$AT$1))</f>
        <v/>
      </c>
      <c r="CR8" s="90" t="str">
        <f>IF('Input Nilai Pengetahuan'!BA52="","",'Input Nilai Pengetahuan'!BA52)</f>
        <v/>
      </c>
      <c r="CS8" s="90" t="str">
        <f>IF(CR3="","",IF('Input Nilai Pengetahuan'!$AT$1="","",'Input Nilai Pengetahuan'!$AT$1))</f>
        <v/>
      </c>
    </row>
    <row r="9" spans="1:97">
      <c r="A9" s="72">
        <v>7</v>
      </c>
      <c r="B9" s="90" t="str">
        <f>IF('Input Nilai Pengetahuan'!BI5="","",'Input Nilai Pengetahuan'!BI5)</f>
        <v/>
      </c>
      <c r="C9" s="90" t="str">
        <f>IF(B3="","",IF('Input Nilai Pengetahuan'!$BB$1="","",'Input Nilai Pengetahuan'!$BB$1))</f>
        <v/>
      </c>
      <c r="D9" s="90" t="str">
        <f>IF('Input Nilai Pengetahuan'!BI6="","",'Input Nilai Pengetahuan'!BI6)</f>
        <v/>
      </c>
      <c r="E9" s="90" t="str">
        <f>IF(D3="","",IF('Input Nilai Pengetahuan'!$BB$1="","",'Input Nilai Pengetahuan'!$BB$1))</f>
        <v/>
      </c>
      <c r="F9" s="90" t="str">
        <f>IF('Input Nilai Pengetahuan'!BI7="","",'Input Nilai Pengetahuan'!BI7)</f>
        <v/>
      </c>
      <c r="G9" s="90" t="str">
        <f>IF(F3="","",IF('Input Nilai Pengetahuan'!$BB$1="","",'Input Nilai Pengetahuan'!$BB$1))</f>
        <v/>
      </c>
      <c r="H9" s="90" t="str">
        <f>IF('Input Nilai Pengetahuan'!BI8="","",'Input Nilai Pengetahuan'!BI8)</f>
        <v/>
      </c>
      <c r="I9" s="90" t="str">
        <f>IF(H3="","",IF('Input Nilai Pengetahuan'!$BB$1="","",'Input Nilai Pengetahuan'!$BB$1))</f>
        <v/>
      </c>
      <c r="J9" s="90" t="str">
        <f>IF('Input Nilai Pengetahuan'!BI9="","",'Input Nilai Pengetahuan'!BI9)</f>
        <v/>
      </c>
      <c r="K9" s="90" t="str">
        <f>IF(J3="","",IF('Input Nilai Pengetahuan'!$BB$1="","",'Input Nilai Pengetahuan'!$BB$1))</f>
        <v/>
      </c>
      <c r="L9" s="90" t="str">
        <f>IF('Input Nilai Pengetahuan'!BI10="","",'Input Nilai Pengetahuan'!BI10)</f>
        <v/>
      </c>
      <c r="M9" s="90" t="str">
        <f>IF(L3="","",IF('Input Nilai Pengetahuan'!$BB$1="","",'Input Nilai Pengetahuan'!$BB$1))</f>
        <v/>
      </c>
      <c r="N9" s="90" t="str">
        <f>IF('Input Nilai Pengetahuan'!BI11="","",'Input Nilai Pengetahuan'!BI11)</f>
        <v/>
      </c>
      <c r="O9" s="90" t="str">
        <f>IF(N3="","",IF('Input Nilai Pengetahuan'!$BB$1="","",'Input Nilai Pengetahuan'!$BB$1))</f>
        <v/>
      </c>
      <c r="P9" s="90" t="str">
        <f>IF('Input Nilai Pengetahuan'!BI12="","",'Input Nilai Pengetahuan'!BI12)</f>
        <v/>
      </c>
      <c r="Q9" s="90" t="str">
        <f>IF(P3="","",IF('Input Nilai Pengetahuan'!$BB$1="","",'Input Nilai Pengetahuan'!$BB$1))</f>
        <v/>
      </c>
      <c r="R9" s="90" t="str">
        <f>IF('Input Nilai Pengetahuan'!BI13="","",'Input Nilai Pengetahuan'!BI13)</f>
        <v/>
      </c>
      <c r="S9" s="90" t="str">
        <f>IF(R3="","",IF('Input Nilai Pengetahuan'!$BB$1="","",'Input Nilai Pengetahuan'!$BB$1))</f>
        <v/>
      </c>
      <c r="T9" s="90" t="str">
        <f>IF('Input Nilai Pengetahuan'!BI14="","",'Input Nilai Pengetahuan'!BI14)</f>
        <v/>
      </c>
      <c r="U9" s="90" t="str">
        <f>IF(T3="","",IF('Input Nilai Pengetahuan'!$BB$1="","",'Input Nilai Pengetahuan'!$BB$1))</f>
        <v/>
      </c>
      <c r="V9" s="90" t="str">
        <f>IF('Input Nilai Pengetahuan'!BI15="","",'Input Nilai Pengetahuan'!BI15)</f>
        <v/>
      </c>
      <c r="W9" s="90" t="str">
        <f>IF(V3="","",IF('Input Nilai Pengetahuan'!$BB$1="","",'Input Nilai Pengetahuan'!$BB$1))</f>
        <v/>
      </c>
      <c r="X9" s="90" t="str">
        <f>IF('Input Nilai Pengetahuan'!BI16="","",'Input Nilai Pengetahuan'!BI16)</f>
        <v/>
      </c>
      <c r="Y9" s="90" t="str">
        <f>IF(X3="","",IF('Input Nilai Pengetahuan'!$BB$1="","",'Input Nilai Pengetahuan'!$BB$1))</f>
        <v/>
      </c>
      <c r="Z9" s="90" t="str">
        <f>IF('Input Nilai Pengetahuan'!BI17="","",'Input Nilai Pengetahuan'!BI17)</f>
        <v/>
      </c>
      <c r="AA9" s="90" t="str">
        <f>IF(Z3="","",IF('Input Nilai Pengetahuan'!$BB$1="","",'Input Nilai Pengetahuan'!$BB$1))</f>
        <v/>
      </c>
      <c r="AB9" s="90" t="str">
        <f>IF('Input Nilai Pengetahuan'!BI18="","",'Input Nilai Pengetahuan'!BI18)</f>
        <v/>
      </c>
      <c r="AC9" s="90" t="str">
        <f>IF(AB3="","",IF('Input Nilai Pengetahuan'!$BB$1="","",'Input Nilai Pengetahuan'!$BB$1))</f>
        <v/>
      </c>
      <c r="AD9" s="90" t="str">
        <f>IF('Input Nilai Pengetahuan'!BI19="","",'Input Nilai Pengetahuan'!BI19)</f>
        <v/>
      </c>
      <c r="AE9" s="90" t="str">
        <f>IF(AD3="","",IF('Input Nilai Pengetahuan'!$BB$1="","",'Input Nilai Pengetahuan'!$BB$1))</f>
        <v/>
      </c>
      <c r="AF9" s="90" t="str">
        <f>IF('Input Nilai Pengetahuan'!BI20="","",'Input Nilai Pengetahuan'!BI20)</f>
        <v/>
      </c>
      <c r="AG9" s="90" t="str">
        <f>IF(AF3="","",IF('Input Nilai Pengetahuan'!$BB$1="","",'Input Nilai Pengetahuan'!$BB$1))</f>
        <v/>
      </c>
      <c r="AH9" s="90" t="str">
        <f>IF('Input Nilai Pengetahuan'!BI21="","",'Input Nilai Pengetahuan'!BI21)</f>
        <v/>
      </c>
      <c r="AI9" s="90" t="str">
        <f>IF(AH3="","",IF('Input Nilai Pengetahuan'!$BB$1="","",'Input Nilai Pengetahuan'!$BB$1))</f>
        <v/>
      </c>
      <c r="AJ9" s="90" t="str">
        <f>IF('Input Nilai Pengetahuan'!BI22="","",'Input Nilai Pengetahuan'!BI22)</f>
        <v/>
      </c>
      <c r="AK9" s="90" t="str">
        <f>IF(AJ3="","",IF('Input Nilai Pengetahuan'!$BB$1="","",'Input Nilai Pengetahuan'!$BB$1))</f>
        <v/>
      </c>
      <c r="AL9" s="90" t="str">
        <f>IF('Input Nilai Pengetahuan'!BI23="","",'Input Nilai Pengetahuan'!BI23)</f>
        <v/>
      </c>
      <c r="AM9" s="90" t="str">
        <f>IF(AL3="","",IF('Input Nilai Pengetahuan'!$BB$1="","",'Input Nilai Pengetahuan'!$BB$1))</f>
        <v/>
      </c>
      <c r="AN9" s="90" t="str">
        <f>IF('Input Nilai Pengetahuan'!BI24="","",'Input Nilai Pengetahuan'!BI24)</f>
        <v/>
      </c>
      <c r="AO9" s="90" t="str">
        <f>IF(AN3="","",IF('Input Nilai Pengetahuan'!$BB$1="","",'Input Nilai Pengetahuan'!$BB$1))</f>
        <v/>
      </c>
      <c r="AP9" s="90" t="str">
        <f>IF('Input Nilai Pengetahuan'!BI25="","",'Input Nilai Pengetahuan'!BI25)</f>
        <v/>
      </c>
      <c r="AQ9" s="90" t="str">
        <f>IF(AP3="","",IF('Input Nilai Pengetahuan'!$BB$1="","",'Input Nilai Pengetahuan'!$BB$1))</f>
        <v/>
      </c>
      <c r="AR9" s="90" t="str">
        <f>IF('Input Nilai Pengetahuan'!BI26="","",'Input Nilai Pengetahuan'!BI26)</f>
        <v/>
      </c>
      <c r="AS9" s="90" t="str">
        <f>IF(AR3="","",IF('Input Nilai Pengetahuan'!$BB$1="","",'Input Nilai Pengetahuan'!$BB$1))</f>
        <v/>
      </c>
      <c r="AT9" s="90" t="str">
        <f>IF('Input Nilai Pengetahuan'!BI27="","",'Input Nilai Pengetahuan'!BI27)</f>
        <v/>
      </c>
      <c r="AU9" s="90" t="str">
        <f>IF(AT3="","",IF('Input Nilai Pengetahuan'!$BB$1="","",'Input Nilai Pengetahuan'!$BB$1))</f>
        <v/>
      </c>
      <c r="AV9" s="90" t="str">
        <f>IF('Input Nilai Pengetahuan'!BI28="","",'Input Nilai Pengetahuan'!BI28)</f>
        <v/>
      </c>
      <c r="AW9" s="90" t="str">
        <f>IF(AV3="","",IF('Input Nilai Pengetahuan'!$BB$1="","",'Input Nilai Pengetahuan'!$BB$1))</f>
        <v/>
      </c>
      <c r="AX9" s="90" t="str">
        <f>IF('Input Nilai Pengetahuan'!BI29="","",'Input Nilai Pengetahuan'!BI29)</f>
        <v/>
      </c>
      <c r="AY9" s="90" t="str">
        <f>IF(AX3="","",IF('Input Nilai Pengetahuan'!$BB$1="","",'Input Nilai Pengetahuan'!$BB$1))</f>
        <v/>
      </c>
      <c r="AZ9" s="90" t="str">
        <f>IF('Input Nilai Pengetahuan'!BI30="","",'Input Nilai Pengetahuan'!BI30)</f>
        <v/>
      </c>
      <c r="BA9" s="90" t="str">
        <f>IF(AZ3="","",IF('Input Nilai Pengetahuan'!$BB$1="","",'Input Nilai Pengetahuan'!$BB$1))</f>
        <v/>
      </c>
      <c r="BB9" s="90" t="str">
        <f>IF('Input Nilai Pengetahuan'!BI31="","",'Input Nilai Pengetahuan'!BI31)</f>
        <v/>
      </c>
      <c r="BC9" s="90" t="str">
        <f>IF(BB3="","",IF('Input Nilai Pengetahuan'!$BB$1="","",'Input Nilai Pengetahuan'!$BB$1))</f>
        <v/>
      </c>
      <c r="BD9" s="90" t="str">
        <f>IF('Input Nilai Pengetahuan'!BI32="","",'Input Nilai Pengetahuan'!BI32)</f>
        <v/>
      </c>
      <c r="BE9" s="90" t="str">
        <f>IF(BD3="","",IF('Input Nilai Pengetahuan'!$BB$1="","",'Input Nilai Pengetahuan'!$BB$1))</f>
        <v/>
      </c>
      <c r="BF9" s="90" t="str">
        <f>IF('Input Nilai Pengetahuan'!BI33="","",'Input Nilai Pengetahuan'!BI33)</f>
        <v/>
      </c>
      <c r="BG9" s="90" t="str">
        <f>IF(BF3="","",IF('Input Nilai Pengetahuan'!$BB$1="","",'Input Nilai Pengetahuan'!$BB$1))</f>
        <v/>
      </c>
      <c r="BH9" s="90" t="str">
        <f>IF('Input Nilai Pengetahuan'!BI34="","",'Input Nilai Pengetahuan'!BI34)</f>
        <v/>
      </c>
      <c r="BI9" s="90" t="str">
        <f>IF(BH3="","",IF('Input Nilai Pengetahuan'!$BB$1="","",'Input Nilai Pengetahuan'!$BB$1))</f>
        <v/>
      </c>
      <c r="BJ9" s="90" t="str">
        <f>IF('Input Nilai Pengetahuan'!BI35="","",'Input Nilai Pengetahuan'!BI35)</f>
        <v/>
      </c>
      <c r="BK9" s="90" t="str">
        <f>IF(BJ3="","",IF('Input Nilai Pengetahuan'!$BB$1="","",'Input Nilai Pengetahuan'!$BB$1))</f>
        <v/>
      </c>
      <c r="BL9" s="90" t="str">
        <f>IF('Input Nilai Pengetahuan'!BI36="","",'Input Nilai Pengetahuan'!BI36)</f>
        <v/>
      </c>
      <c r="BM9" s="90" t="str">
        <f>IF(BL3="","",IF('Input Nilai Pengetahuan'!$BB$1="","",'Input Nilai Pengetahuan'!$BB$1))</f>
        <v/>
      </c>
      <c r="BN9" s="90" t="str">
        <f>IF('Input Nilai Pengetahuan'!BI37="","",'Input Nilai Pengetahuan'!BI37)</f>
        <v/>
      </c>
      <c r="BO9" s="90" t="str">
        <f>IF(BN3="","",IF('Input Nilai Pengetahuan'!$BB$1="","",'Input Nilai Pengetahuan'!$BB$1))</f>
        <v/>
      </c>
      <c r="BP9" s="90" t="str">
        <f>IF('Input Nilai Pengetahuan'!BI38="","",'Input Nilai Pengetahuan'!BI38)</f>
        <v/>
      </c>
      <c r="BQ9" s="90" t="str">
        <f>IF(BP3="","",IF('Input Nilai Pengetahuan'!$BB$1="","",'Input Nilai Pengetahuan'!$BB$1))</f>
        <v/>
      </c>
      <c r="BR9" s="90" t="str">
        <f>IF('Input Nilai Pengetahuan'!BI39="","",'Input Nilai Pengetahuan'!BI39)</f>
        <v/>
      </c>
      <c r="BS9" s="90" t="str">
        <f>IF(BR3="","",IF('Input Nilai Pengetahuan'!$BB$1="","",'Input Nilai Pengetahuan'!$BB$1))</f>
        <v/>
      </c>
      <c r="BT9" s="90" t="str">
        <f>IF('Input Nilai Pengetahuan'!BI40="","",'Input Nilai Pengetahuan'!BI40)</f>
        <v/>
      </c>
      <c r="BU9" s="90" t="str">
        <f>IF(BT3="","",IF('Input Nilai Pengetahuan'!$BB$1="","",'Input Nilai Pengetahuan'!$BB$1))</f>
        <v/>
      </c>
      <c r="BV9" s="90" t="str">
        <f>IF('Input Nilai Pengetahuan'!BI41="","",'Input Nilai Pengetahuan'!BI41)</f>
        <v/>
      </c>
      <c r="BW9" s="90" t="str">
        <f>IF(BV3="","",IF('Input Nilai Pengetahuan'!$BB$1="","",'Input Nilai Pengetahuan'!$BB$1))</f>
        <v/>
      </c>
      <c r="BX9" s="90" t="str">
        <f>IF('Input Nilai Pengetahuan'!BI42="","",'Input Nilai Pengetahuan'!BI42)</f>
        <v/>
      </c>
      <c r="BY9" s="90" t="str">
        <f>IF(BX3="","",IF('Input Nilai Pengetahuan'!$BB$1="","",'Input Nilai Pengetahuan'!$BB$1))</f>
        <v/>
      </c>
      <c r="BZ9" s="90" t="str">
        <f>IF('Input Nilai Pengetahuan'!BI43="","",'Input Nilai Pengetahuan'!BI43)</f>
        <v/>
      </c>
      <c r="CA9" s="90" t="str">
        <f>IF(BZ3="","",IF('Input Nilai Pengetahuan'!$BB$1="","",'Input Nilai Pengetahuan'!$BB$1))</f>
        <v/>
      </c>
      <c r="CB9" s="90" t="str">
        <f>IF('Input Nilai Pengetahuan'!BI44="","",'Input Nilai Pengetahuan'!BI44)</f>
        <v/>
      </c>
      <c r="CC9" s="90" t="str">
        <f>IF(CB3="","",IF('Input Nilai Pengetahuan'!$BB$1="","",'Input Nilai Pengetahuan'!$BB$1))</f>
        <v/>
      </c>
      <c r="CD9" s="90" t="str">
        <f>IF('Input Nilai Pengetahuan'!BI45="","",'Input Nilai Pengetahuan'!BI45)</f>
        <v/>
      </c>
      <c r="CE9" s="90" t="str">
        <f>IF(CD3="","",IF('Input Nilai Pengetahuan'!$BB$1="","",'Input Nilai Pengetahuan'!$BB$1))</f>
        <v/>
      </c>
      <c r="CF9" s="90" t="str">
        <f>IF('Input Nilai Pengetahuan'!BI46="","",'Input Nilai Pengetahuan'!BI46)</f>
        <v/>
      </c>
      <c r="CG9" s="90" t="str">
        <f>IF(CF3="","",IF('Input Nilai Pengetahuan'!$BB$1="","",'Input Nilai Pengetahuan'!$BB$1))</f>
        <v/>
      </c>
      <c r="CH9" s="90" t="str">
        <f>IF('Input Nilai Pengetahuan'!BI47="","",'Input Nilai Pengetahuan'!BI47)</f>
        <v/>
      </c>
      <c r="CI9" s="90" t="str">
        <f>IF(CH3="","",IF('Input Nilai Pengetahuan'!$BB$1="","",'Input Nilai Pengetahuan'!$BB$1))</f>
        <v/>
      </c>
      <c r="CJ9" s="90" t="str">
        <f>IF('Input Nilai Pengetahuan'!BI48="","",'Input Nilai Pengetahuan'!BI48)</f>
        <v/>
      </c>
      <c r="CK9" s="90" t="str">
        <f>IF(CJ3="","",IF('Input Nilai Pengetahuan'!$BB$1="","",'Input Nilai Pengetahuan'!$BB$1))</f>
        <v/>
      </c>
      <c r="CL9" s="90" t="str">
        <f>IF('Input Nilai Pengetahuan'!BI49="","",'Input Nilai Pengetahuan'!BI49)</f>
        <v/>
      </c>
      <c r="CM9" s="90" t="str">
        <f>IF(CL3="","",IF('Input Nilai Pengetahuan'!$BB$1="","",'Input Nilai Pengetahuan'!$BB$1))</f>
        <v/>
      </c>
      <c r="CN9" s="90" t="str">
        <f>IF('Input Nilai Pengetahuan'!BI50="","",'Input Nilai Pengetahuan'!BI50)</f>
        <v/>
      </c>
      <c r="CO9" s="90" t="str">
        <f>IF(CN3="","",IF('Input Nilai Pengetahuan'!$BB$1="","",'Input Nilai Pengetahuan'!$BB$1))</f>
        <v/>
      </c>
      <c r="CP9" s="90" t="str">
        <f>IF('Input Nilai Pengetahuan'!BI51="","",'Input Nilai Pengetahuan'!BI51)</f>
        <v/>
      </c>
      <c r="CQ9" s="90" t="str">
        <f>IF(CP3="","",IF('Input Nilai Pengetahuan'!$BB$1="","",'Input Nilai Pengetahuan'!$BB$1))</f>
        <v/>
      </c>
      <c r="CR9" s="90" t="str">
        <f>IF('Input Nilai Pengetahuan'!BI52="","",'Input Nilai Pengetahuan'!BI52)</f>
        <v/>
      </c>
      <c r="CS9" s="90" t="str">
        <f>IF(CR3="","",IF('Input Nilai Pengetahuan'!$BB$1="","",'Input Nilai Pengetahuan'!$BB$1))</f>
        <v/>
      </c>
    </row>
    <row r="10" spans="1:97">
      <c r="A10" s="72">
        <v>8</v>
      </c>
      <c r="B10" s="90" t="str">
        <f>IF('Input Nilai Pengetahuan'!BQ5="","",'Input Nilai Pengetahuan'!BQ5)</f>
        <v/>
      </c>
      <c r="C10" s="90" t="str">
        <f>IF(B3="","",IF('Input Nilai Pengetahuan'!$BJ$1="","",'Input Nilai Pengetahuan'!$BJ$1))</f>
        <v/>
      </c>
      <c r="D10" s="90" t="str">
        <f>IF('Input Nilai Pengetahuan'!BQ6="","",'Input Nilai Pengetahuan'!BQ6)</f>
        <v/>
      </c>
      <c r="E10" s="90" t="str">
        <f>IF(D3="","",IF('Input Nilai Pengetahuan'!$BJ$1="","",'Input Nilai Pengetahuan'!$BJ$1))</f>
        <v/>
      </c>
      <c r="F10" s="90" t="str">
        <f>IF('Input Nilai Pengetahuan'!BQ7="","",'Input Nilai Pengetahuan'!BQ7)</f>
        <v/>
      </c>
      <c r="G10" s="90" t="str">
        <f>IF(F3="","",IF('Input Nilai Pengetahuan'!$BJ$1="","",'Input Nilai Pengetahuan'!$BJ$1))</f>
        <v/>
      </c>
      <c r="H10" s="90" t="str">
        <f>IF('Input Nilai Pengetahuan'!BQ8="","",'Input Nilai Pengetahuan'!BQ8)</f>
        <v/>
      </c>
      <c r="I10" s="90" t="str">
        <f>IF(H3="","",IF('Input Nilai Pengetahuan'!$BJ$1="","",'Input Nilai Pengetahuan'!$BJ$1))</f>
        <v/>
      </c>
      <c r="J10" s="90" t="str">
        <f>IF('Input Nilai Pengetahuan'!BQ9="","",'Input Nilai Pengetahuan'!BQ9)</f>
        <v/>
      </c>
      <c r="K10" s="90" t="str">
        <f>IF(J3="","",IF('Input Nilai Pengetahuan'!$BJ$1="","",'Input Nilai Pengetahuan'!$BJ$1))</f>
        <v/>
      </c>
      <c r="L10" s="90" t="str">
        <f>IF('Input Nilai Pengetahuan'!BQ10="","",'Input Nilai Pengetahuan'!BQ10)</f>
        <v/>
      </c>
      <c r="M10" s="90" t="str">
        <f>IF(L3="","",IF('Input Nilai Pengetahuan'!$BJ$1="","",'Input Nilai Pengetahuan'!$BJ$1))</f>
        <v/>
      </c>
      <c r="N10" s="90" t="str">
        <f>IF('Input Nilai Pengetahuan'!BQ11="","",'Input Nilai Pengetahuan'!BQ11)</f>
        <v/>
      </c>
      <c r="O10" s="90" t="str">
        <f>IF(N3="","",IF('Input Nilai Pengetahuan'!$BJ$1="","",'Input Nilai Pengetahuan'!$BJ$1))</f>
        <v/>
      </c>
      <c r="P10" s="90" t="str">
        <f>IF('Input Nilai Pengetahuan'!BQ12="","",'Input Nilai Pengetahuan'!BQ12)</f>
        <v/>
      </c>
      <c r="Q10" s="90" t="str">
        <f>IF(P3="","",IF('Input Nilai Pengetahuan'!$BJ$1="","",'Input Nilai Pengetahuan'!$BJ$1))</f>
        <v/>
      </c>
      <c r="R10" s="90" t="str">
        <f>IF('Input Nilai Pengetahuan'!BQ13="","",'Input Nilai Pengetahuan'!BQ13)</f>
        <v/>
      </c>
      <c r="S10" s="90" t="str">
        <f>IF(R3="","",IF('Input Nilai Pengetahuan'!$BJ$1="","",'Input Nilai Pengetahuan'!$BJ$1))</f>
        <v/>
      </c>
      <c r="T10" s="90" t="str">
        <f>IF('Input Nilai Pengetahuan'!BQ14="","",'Input Nilai Pengetahuan'!BQ14)</f>
        <v/>
      </c>
      <c r="U10" s="90" t="str">
        <f>IF(T3="","",IF('Input Nilai Pengetahuan'!$BJ$1="","",'Input Nilai Pengetahuan'!$BJ$1))</f>
        <v/>
      </c>
      <c r="V10" s="90" t="str">
        <f>IF('Input Nilai Pengetahuan'!BQ15="","",'Input Nilai Pengetahuan'!BQ15)</f>
        <v/>
      </c>
      <c r="W10" s="90" t="str">
        <f>IF(V3="","",IF('Input Nilai Pengetahuan'!$BJ$1="","",'Input Nilai Pengetahuan'!$BJ$1))</f>
        <v/>
      </c>
      <c r="X10" s="90" t="str">
        <f>IF('Input Nilai Pengetahuan'!BQ16="","",'Input Nilai Pengetahuan'!BQ16)</f>
        <v/>
      </c>
      <c r="Y10" s="90" t="str">
        <f>IF(X3="","",IF('Input Nilai Pengetahuan'!$BJ$1="","",'Input Nilai Pengetahuan'!$BJ$1))</f>
        <v/>
      </c>
      <c r="Z10" s="90" t="str">
        <f>IF('Input Nilai Pengetahuan'!BQ17="","",'Input Nilai Pengetahuan'!BQ17)</f>
        <v/>
      </c>
      <c r="AA10" s="90" t="str">
        <f>IF(Z3="","",IF('Input Nilai Pengetahuan'!$BJ$1="","",'Input Nilai Pengetahuan'!$BJ$1))</f>
        <v/>
      </c>
      <c r="AB10" s="90" t="str">
        <f>IF('Input Nilai Pengetahuan'!BQ18="","",'Input Nilai Pengetahuan'!BQ18)</f>
        <v/>
      </c>
      <c r="AC10" s="90" t="str">
        <f>IF(AB3="","",IF('Input Nilai Pengetahuan'!$BJ$1="","",'Input Nilai Pengetahuan'!$BJ$1))</f>
        <v/>
      </c>
      <c r="AD10" s="90" t="str">
        <f>IF('Input Nilai Pengetahuan'!BQ19="","",'Input Nilai Pengetahuan'!BQ19)</f>
        <v/>
      </c>
      <c r="AE10" s="90" t="str">
        <f>IF(AD3="","",IF('Input Nilai Pengetahuan'!$BJ$1="","",'Input Nilai Pengetahuan'!$BJ$1))</f>
        <v/>
      </c>
      <c r="AF10" s="90" t="str">
        <f>IF('Input Nilai Pengetahuan'!BQ20="","",'Input Nilai Pengetahuan'!BQ20)</f>
        <v/>
      </c>
      <c r="AG10" s="90" t="str">
        <f>IF(AF3="","",IF('Input Nilai Pengetahuan'!$BJ$1="","",'Input Nilai Pengetahuan'!$BJ$1))</f>
        <v/>
      </c>
      <c r="AH10" s="90" t="str">
        <f>IF('Input Nilai Pengetahuan'!BQ21="","",'Input Nilai Pengetahuan'!BQ21)</f>
        <v/>
      </c>
      <c r="AI10" s="90" t="str">
        <f>IF(AH3="","",IF('Input Nilai Pengetahuan'!$BJ$1="","",'Input Nilai Pengetahuan'!$BJ$1))</f>
        <v/>
      </c>
      <c r="AJ10" s="90" t="str">
        <f>IF('Input Nilai Pengetahuan'!BQ22="","",'Input Nilai Pengetahuan'!BQ22)</f>
        <v/>
      </c>
      <c r="AK10" s="90" t="str">
        <f>IF(AJ3="","",IF('Input Nilai Pengetahuan'!$BJ$1="","",'Input Nilai Pengetahuan'!$BJ$1))</f>
        <v/>
      </c>
      <c r="AL10" s="90" t="str">
        <f>IF('Input Nilai Pengetahuan'!BQ23="","",'Input Nilai Pengetahuan'!BQ23)</f>
        <v/>
      </c>
      <c r="AM10" s="90" t="str">
        <f>IF(AL3="","",IF('Input Nilai Pengetahuan'!$BJ$1="","",'Input Nilai Pengetahuan'!$BJ$1))</f>
        <v/>
      </c>
      <c r="AN10" s="90" t="str">
        <f>IF('Input Nilai Pengetahuan'!BQ24="","",'Input Nilai Pengetahuan'!BQ24)</f>
        <v/>
      </c>
      <c r="AO10" s="90" t="str">
        <f>IF(AN3="","",IF('Input Nilai Pengetahuan'!$BJ$1="","",'Input Nilai Pengetahuan'!$BJ$1))</f>
        <v/>
      </c>
      <c r="AP10" s="90" t="str">
        <f>IF('Input Nilai Pengetahuan'!BQ25="","",'Input Nilai Pengetahuan'!BQ25)</f>
        <v/>
      </c>
      <c r="AQ10" s="90" t="str">
        <f>IF(AP3="","",IF('Input Nilai Pengetahuan'!$BJ$1="","",'Input Nilai Pengetahuan'!$BJ$1))</f>
        <v/>
      </c>
      <c r="AR10" s="90" t="str">
        <f>IF('Input Nilai Pengetahuan'!BQ26="","",'Input Nilai Pengetahuan'!BQ26)</f>
        <v/>
      </c>
      <c r="AS10" s="90" t="str">
        <f>IF(AR3="","",IF('Input Nilai Pengetahuan'!$BJ$1="","",'Input Nilai Pengetahuan'!$BJ$1))</f>
        <v/>
      </c>
      <c r="AT10" s="90" t="str">
        <f>IF('Input Nilai Pengetahuan'!BQ27="","",'Input Nilai Pengetahuan'!BQ27)</f>
        <v/>
      </c>
      <c r="AU10" s="90" t="str">
        <f>IF(AT3="","",IF('Input Nilai Pengetahuan'!$BJ$1="","",'Input Nilai Pengetahuan'!$BJ$1))</f>
        <v/>
      </c>
      <c r="AV10" s="90" t="str">
        <f>IF('Input Nilai Pengetahuan'!BQ28="","",'Input Nilai Pengetahuan'!BQ28)</f>
        <v/>
      </c>
      <c r="AW10" s="90" t="str">
        <f>IF(AV3="","",IF('Input Nilai Pengetahuan'!$BJ$1="","",'Input Nilai Pengetahuan'!$BJ$1))</f>
        <v/>
      </c>
      <c r="AX10" s="90" t="str">
        <f>IF('Input Nilai Pengetahuan'!BQ29="","",'Input Nilai Pengetahuan'!BQ29)</f>
        <v/>
      </c>
      <c r="AY10" s="90" t="str">
        <f>IF(AX3="","",IF('Input Nilai Pengetahuan'!$BJ$1="","",'Input Nilai Pengetahuan'!$BJ$1))</f>
        <v/>
      </c>
      <c r="AZ10" s="90" t="str">
        <f>IF('Input Nilai Pengetahuan'!BQ30="","",'Input Nilai Pengetahuan'!BQ30)</f>
        <v/>
      </c>
      <c r="BA10" s="90" t="str">
        <f>IF(AZ3="","",IF('Input Nilai Pengetahuan'!$BJ$1="","",'Input Nilai Pengetahuan'!$BJ$1))</f>
        <v/>
      </c>
      <c r="BB10" s="90" t="str">
        <f>IF('Input Nilai Pengetahuan'!BQ31="","",'Input Nilai Pengetahuan'!BQ31)</f>
        <v/>
      </c>
      <c r="BC10" s="90" t="str">
        <f>IF(BB3="","",IF('Input Nilai Pengetahuan'!$BJ$1="","",'Input Nilai Pengetahuan'!$BJ$1))</f>
        <v/>
      </c>
      <c r="BD10" s="90" t="str">
        <f>IF('Input Nilai Pengetahuan'!BQ32="","",'Input Nilai Pengetahuan'!BQ32)</f>
        <v/>
      </c>
      <c r="BE10" s="90" t="str">
        <f>IF(BD3="","",IF('Input Nilai Pengetahuan'!$BJ$1="","",'Input Nilai Pengetahuan'!$BJ$1))</f>
        <v/>
      </c>
      <c r="BF10" s="90" t="str">
        <f>IF('Input Nilai Pengetahuan'!BQ33="","",'Input Nilai Pengetahuan'!BQ33)</f>
        <v/>
      </c>
      <c r="BG10" s="90" t="str">
        <f>IF(BF3="","",IF('Input Nilai Pengetahuan'!$BJ$1="","",'Input Nilai Pengetahuan'!$BJ$1))</f>
        <v/>
      </c>
      <c r="BH10" s="90" t="str">
        <f>IF('Input Nilai Pengetahuan'!BQ34="","",'Input Nilai Pengetahuan'!BQ34)</f>
        <v/>
      </c>
      <c r="BI10" s="90" t="str">
        <f>IF(BH3="","",IF('Input Nilai Pengetahuan'!$BJ$1="","",'Input Nilai Pengetahuan'!$BJ$1))</f>
        <v/>
      </c>
      <c r="BJ10" s="90" t="str">
        <f>IF('Input Nilai Pengetahuan'!BQ35="","",'Input Nilai Pengetahuan'!BQ35)</f>
        <v/>
      </c>
      <c r="BK10" s="90" t="str">
        <f>IF(BJ3="","",IF('Input Nilai Pengetahuan'!$BJ$1="","",'Input Nilai Pengetahuan'!$BJ$1))</f>
        <v/>
      </c>
      <c r="BL10" s="90" t="str">
        <f>IF('Input Nilai Pengetahuan'!BQ36="","",'Input Nilai Pengetahuan'!BQ36)</f>
        <v/>
      </c>
      <c r="BM10" s="90" t="str">
        <f>IF(BL3="","",IF('Input Nilai Pengetahuan'!$BJ$1="","",'Input Nilai Pengetahuan'!$BJ$1))</f>
        <v/>
      </c>
      <c r="BN10" s="90" t="str">
        <f>IF('Input Nilai Pengetahuan'!BQ37="","",'Input Nilai Pengetahuan'!BQ37)</f>
        <v/>
      </c>
      <c r="BO10" s="90" t="str">
        <f>IF(BN3="","",IF('Input Nilai Pengetahuan'!$BJ$1="","",'Input Nilai Pengetahuan'!$BJ$1))</f>
        <v/>
      </c>
      <c r="BP10" s="90" t="str">
        <f>IF('Input Nilai Pengetahuan'!BQ38="","",'Input Nilai Pengetahuan'!BQ38)</f>
        <v/>
      </c>
      <c r="BQ10" s="90" t="str">
        <f>IF(BP3="","",IF('Input Nilai Pengetahuan'!$BJ$1="","",'Input Nilai Pengetahuan'!$BJ$1))</f>
        <v/>
      </c>
      <c r="BR10" s="90" t="str">
        <f>IF('Input Nilai Pengetahuan'!BQ39="","",'Input Nilai Pengetahuan'!BQ39)</f>
        <v/>
      </c>
      <c r="BS10" s="90" t="str">
        <f>IF(BR3="","",IF('Input Nilai Pengetahuan'!$BJ$1="","",'Input Nilai Pengetahuan'!$BJ$1))</f>
        <v/>
      </c>
      <c r="BT10" s="90" t="str">
        <f>IF('Input Nilai Pengetahuan'!BQ40="","",'Input Nilai Pengetahuan'!BQ40)</f>
        <v/>
      </c>
      <c r="BU10" s="90" t="str">
        <f>IF(BT3="","",IF('Input Nilai Pengetahuan'!$BJ$1="","",'Input Nilai Pengetahuan'!$BJ$1))</f>
        <v/>
      </c>
      <c r="BV10" s="90" t="str">
        <f>IF('Input Nilai Pengetahuan'!BQ41="","",'Input Nilai Pengetahuan'!BQ41)</f>
        <v/>
      </c>
      <c r="BW10" s="90" t="str">
        <f>IF(BV3="","",IF('Input Nilai Pengetahuan'!$BJ$1="","",'Input Nilai Pengetahuan'!$BJ$1))</f>
        <v/>
      </c>
      <c r="BX10" s="90" t="str">
        <f>IF('Input Nilai Pengetahuan'!BQ42="","",'Input Nilai Pengetahuan'!BQ42)</f>
        <v/>
      </c>
      <c r="BY10" s="90" t="str">
        <f>IF(BX3="","",IF('Input Nilai Pengetahuan'!$BJ$1="","",'Input Nilai Pengetahuan'!$BJ$1))</f>
        <v/>
      </c>
      <c r="BZ10" s="90" t="str">
        <f>IF('Input Nilai Pengetahuan'!BQ43="","",'Input Nilai Pengetahuan'!BQ43)</f>
        <v/>
      </c>
      <c r="CA10" s="90" t="str">
        <f>IF(BZ3="","",IF('Input Nilai Pengetahuan'!$BJ$1="","",'Input Nilai Pengetahuan'!$BJ$1))</f>
        <v/>
      </c>
      <c r="CB10" s="90" t="str">
        <f>IF('Input Nilai Pengetahuan'!BQ44="","",'Input Nilai Pengetahuan'!BQ44)</f>
        <v/>
      </c>
      <c r="CC10" s="90" t="str">
        <f>IF(CB3="","",IF('Input Nilai Pengetahuan'!$BJ$1="","",'Input Nilai Pengetahuan'!$BJ$1))</f>
        <v/>
      </c>
      <c r="CD10" s="90" t="str">
        <f>IF('Input Nilai Pengetahuan'!BQ45="","",'Input Nilai Pengetahuan'!BQ45)</f>
        <v/>
      </c>
      <c r="CE10" s="90" t="str">
        <f>IF(CD3="","",IF('Input Nilai Pengetahuan'!$BJ$1="","",'Input Nilai Pengetahuan'!$BJ$1))</f>
        <v/>
      </c>
      <c r="CF10" s="90" t="str">
        <f>IF('Input Nilai Pengetahuan'!BQ46="","",'Input Nilai Pengetahuan'!BQ46)</f>
        <v/>
      </c>
      <c r="CG10" s="90" t="str">
        <f>IF(CF3="","",IF('Input Nilai Pengetahuan'!$BJ$1="","",'Input Nilai Pengetahuan'!$BJ$1))</f>
        <v/>
      </c>
      <c r="CH10" s="90" t="str">
        <f>IF('Input Nilai Pengetahuan'!BQ47="","",'Input Nilai Pengetahuan'!BQ47)</f>
        <v/>
      </c>
      <c r="CI10" s="90" t="str">
        <f>IF(CH3="","",IF('Input Nilai Pengetahuan'!$BJ$1="","",'Input Nilai Pengetahuan'!$BJ$1))</f>
        <v/>
      </c>
      <c r="CJ10" s="90" t="str">
        <f>IF('Input Nilai Pengetahuan'!BQ48="","",'Input Nilai Pengetahuan'!BQ48)</f>
        <v/>
      </c>
      <c r="CK10" s="90" t="str">
        <f>IF(CJ3="","",IF('Input Nilai Pengetahuan'!$BJ$1="","",'Input Nilai Pengetahuan'!$BJ$1))</f>
        <v/>
      </c>
      <c r="CL10" s="90" t="str">
        <f>IF('Input Nilai Pengetahuan'!BQ49="","",'Input Nilai Pengetahuan'!BQ49)</f>
        <v/>
      </c>
      <c r="CM10" s="90" t="str">
        <f>IF(CL3="","",IF('Input Nilai Pengetahuan'!$BJ$1="","",'Input Nilai Pengetahuan'!$BJ$1))</f>
        <v/>
      </c>
      <c r="CN10" s="90" t="str">
        <f>IF('Input Nilai Pengetahuan'!BQ50="","",'Input Nilai Pengetahuan'!BQ50)</f>
        <v/>
      </c>
      <c r="CO10" s="90" t="str">
        <f>IF(CN3="","",IF('Input Nilai Pengetahuan'!$BJ$1="","",'Input Nilai Pengetahuan'!$BJ$1))</f>
        <v/>
      </c>
      <c r="CP10" s="90" t="str">
        <f>IF('Input Nilai Pengetahuan'!BQ51="","",'Input Nilai Pengetahuan'!BQ51)</f>
        <v/>
      </c>
      <c r="CQ10" s="90" t="str">
        <f>IF(CP3="","",IF('Input Nilai Pengetahuan'!$BJ$1="","",'Input Nilai Pengetahuan'!$BJ$1))</f>
        <v/>
      </c>
      <c r="CR10" s="90" t="str">
        <f>IF('Input Nilai Pengetahuan'!BQ52="","",'Input Nilai Pengetahuan'!BQ52)</f>
        <v/>
      </c>
      <c r="CS10" s="90" t="str">
        <f>IF(CR3="","",IF('Input Nilai Pengetahuan'!$BJ$1="","",'Input Nilai Pengetahuan'!$BJ$1))</f>
        <v/>
      </c>
    </row>
    <row r="11" spans="1:97">
      <c r="A11" s="72">
        <v>9</v>
      </c>
      <c r="B11" s="90" t="str">
        <f>IF('Input Nilai Pengetahuan'!BY5="","",'Input Nilai Pengetahuan'!BY5)</f>
        <v/>
      </c>
      <c r="C11" s="90" t="str">
        <f>IF(B3="","",IF('Input Nilai Pengetahuan'!$BR$1="","",'Input Nilai Pengetahuan'!$BR$1))</f>
        <v/>
      </c>
      <c r="D11" s="90" t="str">
        <f>IF('Input Nilai Pengetahuan'!BY6="","",'Input Nilai Pengetahuan'!BY6)</f>
        <v/>
      </c>
      <c r="E11" s="90" t="str">
        <f>IF(D3="","",IF('Input Nilai Pengetahuan'!$BR$1="","",'Input Nilai Pengetahuan'!$BR$1))</f>
        <v/>
      </c>
      <c r="F11" s="90" t="str">
        <f>IF('Input Nilai Pengetahuan'!BY7="","",'Input Nilai Pengetahuan'!BY7)</f>
        <v/>
      </c>
      <c r="G11" s="90" t="str">
        <f>IF(F3="","",IF('Input Nilai Pengetahuan'!$BR$1="","",'Input Nilai Pengetahuan'!$BR$1))</f>
        <v/>
      </c>
      <c r="H11" s="90" t="str">
        <f>IF('Input Nilai Pengetahuan'!BY8="","",'Input Nilai Pengetahuan'!BY8)</f>
        <v/>
      </c>
      <c r="I11" s="90" t="str">
        <f>IF(H3="","",IF('Input Nilai Pengetahuan'!$BR$1="","",'Input Nilai Pengetahuan'!$BR$1))</f>
        <v/>
      </c>
      <c r="J11" s="90" t="str">
        <f>IF('Input Nilai Pengetahuan'!BY9="","",'Input Nilai Pengetahuan'!BY9)</f>
        <v/>
      </c>
      <c r="K11" s="90" t="str">
        <f>IF(J3="","",IF('Input Nilai Pengetahuan'!$BR$1="","",'Input Nilai Pengetahuan'!$BR$1))</f>
        <v/>
      </c>
      <c r="L11" s="90" t="str">
        <f>IF('Input Nilai Pengetahuan'!BY10="","",'Input Nilai Pengetahuan'!BY10)</f>
        <v/>
      </c>
      <c r="M11" s="90" t="str">
        <f>IF(L3="","",IF('Input Nilai Pengetahuan'!$BR$1="","",'Input Nilai Pengetahuan'!$BR$1))</f>
        <v/>
      </c>
      <c r="N11" s="90" t="str">
        <f>IF('Input Nilai Pengetahuan'!BY11="","",'Input Nilai Pengetahuan'!BY11)</f>
        <v/>
      </c>
      <c r="O11" s="90" t="str">
        <f>IF(N3="","",IF('Input Nilai Pengetahuan'!$BR$1="","",'Input Nilai Pengetahuan'!$BR$1))</f>
        <v/>
      </c>
      <c r="P11" s="90" t="str">
        <f>IF('Input Nilai Pengetahuan'!BY12="","",'Input Nilai Pengetahuan'!BY12)</f>
        <v/>
      </c>
      <c r="Q11" s="90" t="str">
        <f>IF(P3="","",IF('Input Nilai Pengetahuan'!$BR$1="","",'Input Nilai Pengetahuan'!$BR$1))</f>
        <v/>
      </c>
      <c r="R11" s="90" t="str">
        <f>IF('Input Nilai Pengetahuan'!BY13="","",'Input Nilai Pengetahuan'!BY13)</f>
        <v/>
      </c>
      <c r="S11" s="90" t="str">
        <f>IF(R3="","",IF('Input Nilai Pengetahuan'!$BR$1="","",'Input Nilai Pengetahuan'!$BR$1))</f>
        <v/>
      </c>
      <c r="T11" s="90" t="str">
        <f>IF('Input Nilai Pengetahuan'!BY14="","",'Input Nilai Pengetahuan'!BY14)</f>
        <v/>
      </c>
      <c r="U11" s="90" t="str">
        <f>IF(T3="","",IF('Input Nilai Pengetahuan'!$BR$1="","",'Input Nilai Pengetahuan'!$BR$1))</f>
        <v/>
      </c>
      <c r="V11" s="90" t="str">
        <f>IF('Input Nilai Pengetahuan'!BY15="","",'Input Nilai Pengetahuan'!BY15)</f>
        <v/>
      </c>
      <c r="W11" s="90" t="str">
        <f>IF(V3="","",IF('Input Nilai Pengetahuan'!$BR$1="","",'Input Nilai Pengetahuan'!$BR$1))</f>
        <v/>
      </c>
      <c r="X11" s="90" t="str">
        <f>IF('Input Nilai Pengetahuan'!BY16="","",'Input Nilai Pengetahuan'!BY16)</f>
        <v/>
      </c>
      <c r="Y11" s="90" t="str">
        <f>IF(X3="","",IF('Input Nilai Pengetahuan'!$BR$1="","",'Input Nilai Pengetahuan'!$BR$1))</f>
        <v/>
      </c>
      <c r="Z11" s="90" t="str">
        <f>IF('Input Nilai Pengetahuan'!BY17="","",'Input Nilai Pengetahuan'!BY17)</f>
        <v/>
      </c>
      <c r="AA11" s="90" t="str">
        <f>IF(Z3="","",IF('Input Nilai Pengetahuan'!$BR$1="","",'Input Nilai Pengetahuan'!$BR$1))</f>
        <v/>
      </c>
      <c r="AB11" s="90" t="str">
        <f>IF('Input Nilai Pengetahuan'!BY18="","",'Input Nilai Pengetahuan'!BY18)</f>
        <v/>
      </c>
      <c r="AC11" s="90" t="str">
        <f>IF(AB3="","",IF('Input Nilai Pengetahuan'!$BR$1="","",'Input Nilai Pengetahuan'!$BR$1))</f>
        <v/>
      </c>
      <c r="AD11" s="90" t="str">
        <f>IF('Input Nilai Pengetahuan'!BY19="","",'Input Nilai Pengetahuan'!BY19)</f>
        <v/>
      </c>
      <c r="AE11" s="90" t="str">
        <f>IF(AD3="","",IF('Input Nilai Pengetahuan'!$BR$1="","",'Input Nilai Pengetahuan'!$BR$1))</f>
        <v/>
      </c>
      <c r="AF11" s="90" t="str">
        <f>IF('Input Nilai Pengetahuan'!BY20="","",'Input Nilai Pengetahuan'!BY20)</f>
        <v/>
      </c>
      <c r="AG11" s="90" t="str">
        <f>IF(AF3="","",IF('Input Nilai Pengetahuan'!$BR$1="","",'Input Nilai Pengetahuan'!$BR$1))</f>
        <v/>
      </c>
      <c r="AH11" s="90" t="str">
        <f>IF('Input Nilai Pengetahuan'!BY21="","",'Input Nilai Pengetahuan'!BY21)</f>
        <v/>
      </c>
      <c r="AI11" s="90" t="str">
        <f>IF(AH3="","",IF('Input Nilai Pengetahuan'!$BR$1="","",'Input Nilai Pengetahuan'!$BR$1))</f>
        <v/>
      </c>
      <c r="AJ11" s="90" t="str">
        <f>IF('Input Nilai Pengetahuan'!BY22="","",'Input Nilai Pengetahuan'!BY22)</f>
        <v/>
      </c>
      <c r="AK11" s="90" t="str">
        <f>IF(AJ3="","",IF('Input Nilai Pengetahuan'!$BR$1="","",'Input Nilai Pengetahuan'!$BR$1))</f>
        <v/>
      </c>
      <c r="AL11" s="90" t="str">
        <f>IF('Input Nilai Pengetahuan'!BY23="","",'Input Nilai Pengetahuan'!BY23)</f>
        <v/>
      </c>
      <c r="AM11" s="90" t="str">
        <f>IF(AL3="","",IF('Input Nilai Pengetahuan'!$BR$1="","",'Input Nilai Pengetahuan'!$BR$1))</f>
        <v/>
      </c>
      <c r="AN11" s="90" t="str">
        <f>IF('Input Nilai Pengetahuan'!BY24="","",'Input Nilai Pengetahuan'!BY24)</f>
        <v/>
      </c>
      <c r="AO11" s="90" t="str">
        <f>IF(AN3="","",IF('Input Nilai Pengetahuan'!$BR$1="","",'Input Nilai Pengetahuan'!$BR$1))</f>
        <v/>
      </c>
      <c r="AP11" s="90" t="str">
        <f>IF('Input Nilai Pengetahuan'!BY25="","",'Input Nilai Pengetahuan'!BY25)</f>
        <v/>
      </c>
      <c r="AQ11" s="90" t="str">
        <f>IF(AP3="","",IF('Input Nilai Pengetahuan'!$BR$1="","",'Input Nilai Pengetahuan'!$BR$1))</f>
        <v/>
      </c>
      <c r="AR11" s="90" t="str">
        <f>IF('Input Nilai Pengetahuan'!BY26="","",'Input Nilai Pengetahuan'!BY26)</f>
        <v/>
      </c>
      <c r="AS11" s="90" t="str">
        <f>IF(AR3="","",IF('Input Nilai Pengetahuan'!$BR$1="","",'Input Nilai Pengetahuan'!$BR$1))</f>
        <v/>
      </c>
      <c r="AT11" s="90" t="str">
        <f>IF('Input Nilai Pengetahuan'!BY27="","",'Input Nilai Pengetahuan'!BY27)</f>
        <v/>
      </c>
      <c r="AU11" s="90" t="str">
        <f>IF(AT3="","",IF('Input Nilai Pengetahuan'!$BR$1="","",'Input Nilai Pengetahuan'!$BR$1))</f>
        <v/>
      </c>
      <c r="AV11" s="90" t="str">
        <f>IF('Input Nilai Pengetahuan'!BY28="","",'Input Nilai Pengetahuan'!BY28)</f>
        <v/>
      </c>
      <c r="AW11" s="90" t="str">
        <f>IF(AV3="","",IF('Input Nilai Pengetahuan'!$BR$1="","",'Input Nilai Pengetahuan'!$BR$1))</f>
        <v/>
      </c>
      <c r="AX11" s="90" t="str">
        <f>IF('Input Nilai Pengetahuan'!BY29="","",'Input Nilai Pengetahuan'!BY29)</f>
        <v/>
      </c>
      <c r="AY11" s="90" t="str">
        <f>IF(AX3="","",IF('Input Nilai Pengetahuan'!$BR$1="","",'Input Nilai Pengetahuan'!$BR$1))</f>
        <v/>
      </c>
      <c r="AZ11" s="90" t="str">
        <f>IF('Input Nilai Pengetahuan'!BY30="","",'Input Nilai Pengetahuan'!BY30)</f>
        <v/>
      </c>
      <c r="BA11" s="90" t="str">
        <f>IF(AZ3="","",IF('Input Nilai Pengetahuan'!$BR$1="","",'Input Nilai Pengetahuan'!$BR$1))</f>
        <v/>
      </c>
      <c r="BB11" s="90" t="str">
        <f>IF('Input Nilai Pengetahuan'!BY31="","",'Input Nilai Pengetahuan'!BY31)</f>
        <v/>
      </c>
      <c r="BC11" s="90" t="str">
        <f>IF(BB3="","",IF('Input Nilai Pengetahuan'!$BR$1="","",'Input Nilai Pengetahuan'!$BR$1))</f>
        <v/>
      </c>
      <c r="BD11" s="90" t="str">
        <f>IF('Input Nilai Pengetahuan'!BY32="","",'Input Nilai Pengetahuan'!BY32)</f>
        <v/>
      </c>
      <c r="BE11" s="90" t="str">
        <f>IF(BD3="","",IF('Input Nilai Pengetahuan'!$BR$1="","",'Input Nilai Pengetahuan'!$BR$1))</f>
        <v/>
      </c>
      <c r="BF11" s="90" t="str">
        <f>IF('Input Nilai Pengetahuan'!BY33="","",'Input Nilai Pengetahuan'!BY33)</f>
        <v/>
      </c>
      <c r="BG11" s="90" t="str">
        <f>IF(BF3="","",IF('Input Nilai Pengetahuan'!$BR$1="","",'Input Nilai Pengetahuan'!$BR$1))</f>
        <v/>
      </c>
      <c r="BH11" s="90" t="str">
        <f>IF('Input Nilai Pengetahuan'!BY34="","",'Input Nilai Pengetahuan'!BY34)</f>
        <v/>
      </c>
      <c r="BI11" s="90" t="str">
        <f>IF(BH3="","",IF('Input Nilai Pengetahuan'!$BR$1="","",'Input Nilai Pengetahuan'!$BR$1))</f>
        <v/>
      </c>
      <c r="BJ11" s="90" t="str">
        <f>IF('Input Nilai Pengetahuan'!BY35="","",'Input Nilai Pengetahuan'!BY35)</f>
        <v/>
      </c>
      <c r="BK11" s="90" t="str">
        <f>IF(BJ3="","",IF('Input Nilai Pengetahuan'!$BR$1="","",'Input Nilai Pengetahuan'!$BR$1))</f>
        <v/>
      </c>
      <c r="BL11" s="90" t="str">
        <f>IF('Input Nilai Pengetahuan'!BY36="","",'Input Nilai Pengetahuan'!BY36)</f>
        <v/>
      </c>
      <c r="BM11" s="90" t="str">
        <f>IF(BL3="","",IF('Input Nilai Pengetahuan'!$BR$1="","",'Input Nilai Pengetahuan'!$BR$1))</f>
        <v/>
      </c>
      <c r="BN11" s="90" t="str">
        <f>IF('Input Nilai Pengetahuan'!BY37="","",'Input Nilai Pengetahuan'!BY37)</f>
        <v/>
      </c>
      <c r="BO11" s="90" t="str">
        <f>IF(BN3="","",IF('Input Nilai Pengetahuan'!$BR$1="","",'Input Nilai Pengetahuan'!$BR$1))</f>
        <v/>
      </c>
      <c r="BP11" s="90" t="str">
        <f>IF('Input Nilai Pengetahuan'!BY38="","",'Input Nilai Pengetahuan'!BY38)</f>
        <v/>
      </c>
      <c r="BQ11" s="90" t="str">
        <f>IF(BP3="","",IF('Input Nilai Pengetahuan'!$BR$1="","",'Input Nilai Pengetahuan'!$BR$1))</f>
        <v/>
      </c>
      <c r="BR11" s="90" t="str">
        <f>IF('Input Nilai Pengetahuan'!BY39="","",'Input Nilai Pengetahuan'!BY39)</f>
        <v/>
      </c>
      <c r="BS11" s="90" t="str">
        <f>IF(BR3="","",IF('Input Nilai Pengetahuan'!$BR$1="","",'Input Nilai Pengetahuan'!$BR$1))</f>
        <v/>
      </c>
      <c r="BT11" s="90" t="str">
        <f>IF('Input Nilai Pengetahuan'!BY40="","",'Input Nilai Pengetahuan'!BY40)</f>
        <v/>
      </c>
      <c r="BU11" s="90" t="str">
        <f>IF(BT3="","",IF('Input Nilai Pengetahuan'!$BR$1="","",'Input Nilai Pengetahuan'!$BR$1))</f>
        <v/>
      </c>
      <c r="BV11" s="90" t="str">
        <f>IF('Input Nilai Pengetahuan'!BY41="","",'Input Nilai Pengetahuan'!BY41)</f>
        <v/>
      </c>
      <c r="BW11" s="90" t="str">
        <f>IF(BV3="","",IF('Input Nilai Pengetahuan'!$BR$1="","",'Input Nilai Pengetahuan'!$BR$1))</f>
        <v/>
      </c>
      <c r="BX11" s="90" t="str">
        <f>IF('Input Nilai Pengetahuan'!BY42="","",'Input Nilai Pengetahuan'!BY42)</f>
        <v/>
      </c>
      <c r="BY11" s="90" t="str">
        <f>IF(BX3="","",IF('Input Nilai Pengetahuan'!$BR$1="","",'Input Nilai Pengetahuan'!$BR$1))</f>
        <v/>
      </c>
      <c r="BZ11" s="90" t="str">
        <f>IF('Input Nilai Pengetahuan'!BY43="","",'Input Nilai Pengetahuan'!BY43)</f>
        <v/>
      </c>
      <c r="CA11" s="90" t="str">
        <f>IF(BZ3="","",IF('Input Nilai Pengetahuan'!$BR$1="","",'Input Nilai Pengetahuan'!$BR$1))</f>
        <v/>
      </c>
      <c r="CB11" s="90" t="str">
        <f>IF('Input Nilai Pengetahuan'!BY44="","",'Input Nilai Pengetahuan'!BY44)</f>
        <v/>
      </c>
      <c r="CC11" s="90" t="str">
        <f>IF(CB3="","",IF('Input Nilai Pengetahuan'!$BR$1="","",'Input Nilai Pengetahuan'!$BR$1))</f>
        <v/>
      </c>
      <c r="CD11" s="90" t="str">
        <f>IF('Input Nilai Pengetahuan'!BY45="","",'Input Nilai Pengetahuan'!BY45)</f>
        <v/>
      </c>
      <c r="CE11" s="90" t="str">
        <f>IF(CD3="","",IF('Input Nilai Pengetahuan'!$BR$1="","",'Input Nilai Pengetahuan'!$BR$1))</f>
        <v/>
      </c>
      <c r="CF11" s="90" t="str">
        <f>IF('Input Nilai Pengetahuan'!BY46="","",'Input Nilai Pengetahuan'!BY46)</f>
        <v/>
      </c>
      <c r="CG11" s="90" t="str">
        <f>IF(CF3="","",IF('Input Nilai Pengetahuan'!$BR$1="","",'Input Nilai Pengetahuan'!$BR$1))</f>
        <v/>
      </c>
      <c r="CH11" s="90" t="str">
        <f>IF('Input Nilai Pengetahuan'!BY47="","",'Input Nilai Pengetahuan'!BY47)</f>
        <v/>
      </c>
      <c r="CI11" s="90" t="str">
        <f>IF(CH3="","",IF('Input Nilai Pengetahuan'!$BR$1="","",'Input Nilai Pengetahuan'!$BR$1))</f>
        <v/>
      </c>
      <c r="CJ11" s="90" t="str">
        <f>IF('Input Nilai Pengetahuan'!BY48="","",'Input Nilai Pengetahuan'!BY48)</f>
        <v/>
      </c>
      <c r="CK11" s="90" t="str">
        <f>IF(CJ3="","",IF('Input Nilai Pengetahuan'!$BR$1="","",'Input Nilai Pengetahuan'!$BR$1))</f>
        <v/>
      </c>
      <c r="CL11" s="90" t="str">
        <f>IF('Input Nilai Pengetahuan'!BY49="","",'Input Nilai Pengetahuan'!BY49)</f>
        <v/>
      </c>
      <c r="CM11" s="90" t="str">
        <f>IF(CL3="","",IF('Input Nilai Pengetahuan'!$BR$1="","",'Input Nilai Pengetahuan'!$BR$1))</f>
        <v/>
      </c>
      <c r="CN11" s="90" t="str">
        <f>IF('Input Nilai Pengetahuan'!BY50="","",'Input Nilai Pengetahuan'!BY50)</f>
        <v/>
      </c>
      <c r="CO11" s="90" t="str">
        <f>IF(CN3="","",IF('Input Nilai Pengetahuan'!$BR$1="","",'Input Nilai Pengetahuan'!$BR$1))</f>
        <v/>
      </c>
      <c r="CP11" s="90" t="str">
        <f>IF('Input Nilai Pengetahuan'!BY51="","",'Input Nilai Pengetahuan'!BY51)</f>
        <v/>
      </c>
      <c r="CQ11" s="90" t="str">
        <f>IF(CP3="","",IF('Input Nilai Pengetahuan'!$BR$1="","",'Input Nilai Pengetahuan'!$BR$1))</f>
        <v/>
      </c>
      <c r="CR11" s="90" t="str">
        <f>IF('Input Nilai Pengetahuan'!BY52="","",'Input Nilai Pengetahuan'!BY52)</f>
        <v/>
      </c>
      <c r="CS11" s="90" t="str">
        <f>IF(CR3="","",IF('Input Nilai Pengetahuan'!$BR$1="","",'Input Nilai Pengetahuan'!$BR$1))</f>
        <v/>
      </c>
    </row>
    <row r="12" spans="1:97">
      <c r="A12" s="72">
        <v>10</v>
      </c>
      <c r="B12" s="90" t="str">
        <f>IF('Input Nilai Pengetahuan'!CG5="","",'Input Nilai Pengetahuan'!CG5)</f>
        <v/>
      </c>
      <c r="C12" s="90" t="str">
        <f>IF(B3="","",IF('Input Nilai Pengetahuan'!$BZ$1="","",'Input Nilai Pengetahuan'!$BZ$1))</f>
        <v/>
      </c>
      <c r="D12" s="90" t="str">
        <f>IF('Input Nilai Pengetahuan'!CG6="","",'Input Nilai Pengetahuan'!CG6)</f>
        <v/>
      </c>
      <c r="E12" s="90" t="str">
        <f>IF(D3="","",IF('Input Nilai Pengetahuan'!$BZ$1="","",'Input Nilai Pengetahuan'!$BZ$1))</f>
        <v/>
      </c>
      <c r="F12" s="90" t="str">
        <f>IF('Input Nilai Pengetahuan'!CG7="","",'Input Nilai Pengetahuan'!CG7)</f>
        <v/>
      </c>
      <c r="G12" s="90" t="str">
        <f>IF(F3="","",IF('Input Nilai Pengetahuan'!$BZ$1="","",'Input Nilai Pengetahuan'!$BZ$1))</f>
        <v/>
      </c>
      <c r="H12" s="90" t="str">
        <f>IF('Input Nilai Pengetahuan'!CG8="","",'Input Nilai Pengetahuan'!CG8)</f>
        <v/>
      </c>
      <c r="I12" s="90" t="str">
        <f>IF(H3="","",IF('Input Nilai Pengetahuan'!$BZ$1="","",'Input Nilai Pengetahuan'!$BZ$1))</f>
        <v/>
      </c>
      <c r="J12" s="90" t="str">
        <f>IF('Input Nilai Pengetahuan'!CG9="","",'Input Nilai Pengetahuan'!CG9)</f>
        <v/>
      </c>
      <c r="K12" s="90" t="str">
        <f>IF(J3="","",IF('Input Nilai Pengetahuan'!$BZ$1="","",'Input Nilai Pengetahuan'!$BZ$1))</f>
        <v/>
      </c>
      <c r="L12" s="90" t="str">
        <f>IF('Input Nilai Pengetahuan'!CG10="","",'Input Nilai Pengetahuan'!CG10)</f>
        <v/>
      </c>
      <c r="M12" s="90" t="str">
        <f>IF(L3="","",IF('Input Nilai Pengetahuan'!$BZ$1="","",'Input Nilai Pengetahuan'!$BZ$1))</f>
        <v/>
      </c>
      <c r="N12" s="90" t="str">
        <f>IF('Input Nilai Pengetahuan'!CG11="","",'Input Nilai Pengetahuan'!CG11)</f>
        <v/>
      </c>
      <c r="O12" s="90" t="str">
        <f>IF(N3="","",IF('Input Nilai Pengetahuan'!$BZ$1="","",'Input Nilai Pengetahuan'!$BZ$1))</f>
        <v/>
      </c>
      <c r="P12" s="90" t="str">
        <f>IF('Input Nilai Pengetahuan'!CG12="","",'Input Nilai Pengetahuan'!CG12)</f>
        <v/>
      </c>
      <c r="Q12" s="90" t="str">
        <f>IF(P3="","",IF('Input Nilai Pengetahuan'!$BZ$1="","",'Input Nilai Pengetahuan'!$BZ$1))</f>
        <v/>
      </c>
      <c r="R12" s="90" t="str">
        <f>IF('Input Nilai Pengetahuan'!CG13="","",'Input Nilai Pengetahuan'!CG13)</f>
        <v/>
      </c>
      <c r="S12" s="90" t="str">
        <f>IF(R3="","",IF('Input Nilai Pengetahuan'!$BZ$1="","",'Input Nilai Pengetahuan'!$BZ$1))</f>
        <v/>
      </c>
      <c r="T12" s="90" t="str">
        <f>IF('Input Nilai Pengetahuan'!CG14="","",'Input Nilai Pengetahuan'!CG14)</f>
        <v/>
      </c>
      <c r="U12" s="90" t="str">
        <f>IF(T3="","",IF('Input Nilai Pengetahuan'!$BZ$1="","",'Input Nilai Pengetahuan'!$BZ$1))</f>
        <v/>
      </c>
      <c r="V12" s="90" t="str">
        <f>IF('Input Nilai Pengetahuan'!CG15="","",'Input Nilai Pengetahuan'!CG15)</f>
        <v/>
      </c>
      <c r="W12" s="90" t="str">
        <f>IF(V3="","",IF('Input Nilai Pengetahuan'!$BZ$1="","",'Input Nilai Pengetahuan'!$BZ$1))</f>
        <v/>
      </c>
      <c r="X12" s="90" t="str">
        <f>IF('Input Nilai Pengetahuan'!CG16="","",'Input Nilai Pengetahuan'!CG16)</f>
        <v/>
      </c>
      <c r="Y12" s="90" t="str">
        <f>IF(X3="","",IF('Input Nilai Pengetahuan'!$BZ$1="","",'Input Nilai Pengetahuan'!$BZ$1))</f>
        <v/>
      </c>
      <c r="Z12" s="90" t="str">
        <f>IF('Input Nilai Pengetahuan'!CG17="","",'Input Nilai Pengetahuan'!CG17)</f>
        <v/>
      </c>
      <c r="AA12" s="90" t="str">
        <f>IF(Z3="","",IF('Input Nilai Pengetahuan'!$BZ$1="","",'Input Nilai Pengetahuan'!$BZ$1))</f>
        <v/>
      </c>
      <c r="AB12" s="90" t="str">
        <f>IF('Input Nilai Pengetahuan'!CG18="","",'Input Nilai Pengetahuan'!CG18)</f>
        <v/>
      </c>
      <c r="AC12" s="90" t="str">
        <f>IF(AB3="","",IF('Input Nilai Pengetahuan'!$BZ$1="","",'Input Nilai Pengetahuan'!$BZ$1))</f>
        <v/>
      </c>
      <c r="AD12" s="90" t="str">
        <f>IF('Input Nilai Pengetahuan'!CG19="","",'Input Nilai Pengetahuan'!CG19)</f>
        <v/>
      </c>
      <c r="AE12" s="90" t="str">
        <f>IF(AD3="","",IF('Input Nilai Pengetahuan'!$BZ$1="","",'Input Nilai Pengetahuan'!$BZ$1))</f>
        <v/>
      </c>
      <c r="AF12" s="90" t="str">
        <f>IF('Input Nilai Pengetahuan'!CG20="","",'Input Nilai Pengetahuan'!CG20)</f>
        <v/>
      </c>
      <c r="AG12" s="90" t="str">
        <f>IF(AF3="","",IF('Input Nilai Pengetahuan'!$BZ$1="","",'Input Nilai Pengetahuan'!$BZ$1))</f>
        <v/>
      </c>
      <c r="AH12" s="90" t="str">
        <f>IF('Input Nilai Pengetahuan'!CG21="","",'Input Nilai Pengetahuan'!CG21)</f>
        <v/>
      </c>
      <c r="AI12" s="90" t="str">
        <f>IF(AH3="","",IF('Input Nilai Pengetahuan'!$BZ$1="","",'Input Nilai Pengetahuan'!$BZ$1))</f>
        <v/>
      </c>
      <c r="AJ12" s="90" t="str">
        <f>IF('Input Nilai Pengetahuan'!CG22="","",'Input Nilai Pengetahuan'!CG22)</f>
        <v/>
      </c>
      <c r="AK12" s="90" t="str">
        <f>IF(AJ3="","",IF('Input Nilai Pengetahuan'!$BZ$1="","",'Input Nilai Pengetahuan'!$BZ$1))</f>
        <v/>
      </c>
      <c r="AL12" s="90" t="str">
        <f>IF('Input Nilai Pengetahuan'!CG23="","",'Input Nilai Pengetahuan'!CG23)</f>
        <v/>
      </c>
      <c r="AM12" s="90" t="str">
        <f>IF(AL3="","",IF('Input Nilai Pengetahuan'!$BZ$1="","",'Input Nilai Pengetahuan'!$BZ$1))</f>
        <v/>
      </c>
      <c r="AN12" s="90" t="str">
        <f>IF('Input Nilai Pengetahuan'!CG24="","",'Input Nilai Pengetahuan'!CG24)</f>
        <v/>
      </c>
      <c r="AO12" s="90" t="str">
        <f>IF(AN3="","",IF('Input Nilai Pengetahuan'!$BZ$1="","",'Input Nilai Pengetahuan'!$BZ$1))</f>
        <v/>
      </c>
      <c r="AP12" s="90" t="str">
        <f>IF('Input Nilai Pengetahuan'!CG25="","",'Input Nilai Pengetahuan'!CG25)</f>
        <v/>
      </c>
      <c r="AQ12" s="90" t="str">
        <f>IF(AP3="","",IF('Input Nilai Pengetahuan'!$BZ$1="","",'Input Nilai Pengetahuan'!$BZ$1))</f>
        <v/>
      </c>
      <c r="AR12" s="90" t="str">
        <f>IF('Input Nilai Pengetahuan'!CG26="","",'Input Nilai Pengetahuan'!CG26)</f>
        <v/>
      </c>
      <c r="AS12" s="90" t="str">
        <f>IF(AR3="","",IF('Input Nilai Pengetahuan'!$BZ$1="","",'Input Nilai Pengetahuan'!$BZ$1))</f>
        <v/>
      </c>
      <c r="AT12" s="90" t="str">
        <f>IF('Input Nilai Pengetahuan'!CG27="","",'Input Nilai Pengetahuan'!CG27)</f>
        <v/>
      </c>
      <c r="AU12" s="90" t="str">
        <f>IF(AT3="","",IF('Input Nilai Pengetahuan'!$BZ$1="","",'Input Nilai Pengetahuan'!$BZ$1))</f>
        <v/>
      </c>
      <c r="AV12" s="90" t="str">
        <f>IF('Input Nilai Pengetahuan'!CG28="","",'Input Nilai Pengetahuan'!CG28)</f>
        <v/>
      </c>
      <c r="AW12" s="90" t="str">
        <f>IF(AV3="","",IF('Input Nilai Pengetahuan'!$BZ$1="","",'Input Nilai Pengetahuan'!$BZ$1))</f>
        <v/>
      </c>
      <c r="AX12" s="90" t="str">
        <f>IF('Input Nilai Pengetahuan'!CG29="","",'Input Nilai Pengetahuan'!CG29)</f>
        <v/>
      </c>
      <c r="AY12" s="90" t="str">
        <f>IF(AX3="","",IF('Input Nilai Pengetahuan'!$BZ$1="","",'Input Nilai Pengetahuan'!$BZ$1))</f>
        <v/>
      </c>
      <c r="AZ12" s="90" t="str">
        <f>IF('Input Nilai Pengetahuan'!CG30="","",'Input Nilai Pengetahuan'!CG30)</f>
        <v/>
      </c>
      <c r="BA12" s="90" t="str">
        <f>IF(AZ3="","",IF('Input Nilai Pengetahuan'!$BZ$1="","",'Input Nilai Pengetahuan'!$BZ$1))</f>
        <v/>
      </c>
      <c r="BB12" s="90" t="str">
        <f>IF('Input Nilai Pengetahuan'!CG31="","",'Input Nilai Pengetahuan'!CG31)</f>
        <v/>
      </c>
      <c r="BC12" s="90" t="str">
        <f>IF(BB3="","",IF('Input Nilai Pengetahuan'!$BZ$1="","",'Input Nilai Pengetahuan'!$BZ$1))</f>
        <v/>
      </c>
      <c r="BD12" s="90" t="str">
        <f>IF('Input Nilai Pengetahuan'!CG32="","",'Input Nilai Pengetahuan'!CG32)</f>
        <v/>
      </c>
      <c r="BE12" s="90" t="str">
        <f>IF(BD3="","",IF('Input Nilai Pengetahuan'!$BZ$1="","",'Input Nilai Pengetahuan'!$BZ$1))</f>
        <v/>
      </c>
      <c r="BF12" s="90" t="str">
        <f>IF('Input Nilai Pengetahuan'!CG33="","",'Input Nilai Pengetahuan'!CG33)</f>
        <v/>
      </c>
      <c r="BG12" s="90" t="str">
        <f>IF(BF3="","",IF('Input Nilai Pengetahuan'!$BZ$1="","",'Input Nilai Pengetahuan'!$BZ$1))</f>
        <v/>
      </c>
      <c r="BH12" s="90" t="str">
        <f>IF('Input Nilai Pengetahuan'!CG34="","",'Input Nilai Pengetahuan'!CG34)</f>
        <v/>
      </c>
      <c r="BI12" s="90" t="str">
        <f>IF(BH3="","",IF('Input Nilai Pengetahuan'!$BZ$1="","",'Input Nilai Pengetahuan'!$BZ$1))</f>
        <v/>
      </c>
      <c r="BJ12" s="90" t="str">
        <f>IF('Input Nilai Pengetahuan'!CG35="","",'Input Nilai Pengetahuan'!CG35)</f>
        <v/>
      </c>
      <c r="BK12" s="90" t="str">
        <f>IF(BJ3="","",IF('Input Nilai Pengetahuan'!$BZ$1="","",'Input Nilai Pengetahuan'!$BZ$1))</f>
        <v/>
      </c>
      <c r="BL12" s="90" t="str">
        <f>IF('Input Nilai Pengetahuan'!CG36="","",'Input Nilai Pengetahuan'!CG36)</f>
        <v/>
      </c>
      <c r="BM12" s="90" t="str">
        <f>IF(BL3="","",IF('Input Nilai Pengetahuan'!$BZ$1="","",'Input Nilai Pengetahuan'!$BZ$1))</f>
        <v/>
      </c>
      <c r="BN12" s="90" t="str">
        <f>IF('Input Nilai Pengetahuan'!CG37="","",'Input Nilai Pengetahuan'!CG37)</f>
        <v/>
      </c>
      <c r="BO12" s="90" t="str">
        <f>IF(BN3="","",IF('Input Nilai Pengetahuan'!$BZ$1="","",'Input Nilai Pengetahuan'!$BZ$1))</f>
        <v/>
      </c>
      <c r="BP12" s="90" t="str">
        <f>IF('Input Nilai Pengetahuan'!CG38="","",'Input Nilai Pengetahuan'!CG38)</f>
        <v/>
      </c>
      <c r="BQ12" s="90" t="str">
        <f>IF(BP3="","",IF('Input Nilai Pengetahuan'!$BZ$1="","",'Input Nilai Pengetahuan'!$BZ$1))</f>
        <v/>
      </c>
      <c r="BR12" s="90" t="str">
        <f>IF('Input Nilai Pengetahuan'!CG39="","",'Input Nilai Pengetahuan'!CG39)</f>
        <v/>
      </c>
      <c r="BS12" s="90" t="str">
        <f>IF(BR3="","",IF('Input Nilai Pengetahuan'!$BZ$1="","",'Input Nilai Pengetahuan'!$BZ$1))</f>
        <v/>
      </c>
      <c r="BT12" s="90" t="str">
        <f>IF('Input Nilai Pengetahuan'!CG40="","",'Input Nilai Pengetahuan'!CG40)</f>
        <v/>
      </c>
      <c r="BU12" s="90" t="str">
        <f>IF(BT3="","",IF('Input Nilai Pengetahuan'!$BZ$1="","",'Input Nilai Pengetahuan'!$BZ$1))</f>
        <v/>
      </c>
      <c r="BV12" s="90" t="str">
        <f>IF('Input Nilai Pengetahuan'!CG41="","",'Input Nilai Pengetahuan'!CG41)</f>
        <v/>
      </c>
      <c r="BW12" s="90" t="str">
        <f>IF(BV3="","",IF('Input Nilai Pengetahuan'!$BZ$1="","",'Input Nilai Pengetahuan'!$BZ$1))</f>
        <v/>
      </c>
      <c r="BX12" s="90" t="str">
        <f>IF('Input Nilai Pengetahuan'!CG42="","",'Input Nilai Pengetahuan'!CG42)</f>
        <v/>
      </c>
      <c r="BY12" s="90" t="str">
        <f>IF(BX3="","",IF('Input Nilai Pengetahuan'!$BZ$1="","",'Input Nilai Pengetahuan'!$BZ$1))</f>
        <v/>
      </c>
      <c r="BZ12" s="90" t="str">
        <f>IF('Input Nilai Pengetahuan'!CG43="","",'Input Nilai Pengetahuan'!CG43)</f>
        <v/>
      </c>
      <c r="CA12" s="90" t="str">
        <f>IF(BZ3="","",IF('Input Nilai Pengetahuan'!$BZ$1="","",'Input Nilai Pengetahuan'!$BZ$1))</f>
        <v/>
      </c>
      <c r="CB12" s="90" t="str">
        <f>IF('Input Nilai Pengetahuan'!CG44="","",'Input Nilai Pengetahuan'!CG44)</f>
        <v/>
      </c>
      <c r="CC12" s="90" t="str">
        <f>IF(CB3="","",IF('Input Nilai Pengetahuan'!$BZ$1="","",'Input Nilai Pengetahuan'!$BZ$1))</f>
        <v/>
      </c>
      <c r="CD12" s="90" t="str">
        <f>IF('Input Nilai Pengetahuan'!CG45="","",'Input Nilai Pengetahuan'!CG45)</f>
        <v/>
      </c>
      <c r="CE12" s="90" t="str">
        <f>IF(CD3="","",IF('Input Nilai Pengetahuan'!$BZ$1="","",'Input Nilai Pengetahuan'!$BZ$1))</f>
        <v/>
      </c>
      <c r="CF12" s="90" t="str">
        <f>IF('Input Nilai Pengetahuan'!CG46="","",'Input Nilai Pengetahuan'!CG46)</f>
        <v/>
      </c>
      <c r="CG12" s="90" t="str">
        <f>IF(CF3="","",IF('Input Nilai Pengetahuan'!$BZ$1="","",'Input Nilai Pengetahuan'!$BZ$1))</f>
        <v/>
      </c>
      <c r="CH12" s="90" t="str">
        <f>IF('Input Nilai Pengetahuan'!CG47="","",'Input Nilai Pengetahuan'!CG47)</f>
        <v/>
      </c>
      <c r="CI12" s="90" t="str">
        <f>IF(CH3="","",IF('Input Nilai Pengetahuan'!$BZ$1="","",'Input Nilai Pengetahuan'!$BZ$1))</f>
        <v/>
      </c>
      <c r="CJ12" s="90" t="str">
        <f>IF('Input Nilai Pengetahuan'!CG48="","",'Input Nilai Pengetahuan'!CG48)</f>
        <v/>
      </c>
      <c r="CK12" s="90" t="str">
        <f>IF(CJ3="","",IF('Input Nilai Pengetahuan'!$BZ$1="","",'Input Nilai Pengetahuan'!$BZ$1))</f>
        <v/>
      </c>
      <c r="CL12" s="90" t="str">
        <f>IF('Input Nilai Pengetahuan'!CG49="","",'Input Nilai Pengetahuan'!CG49)</f>
        <v/>
      </c>
      <c r="CM12" s="90" t="str">
        <f>IF(CL3="","",IF('Input Nilai Pengetahuan'!$BZ$1="","",'Input Nilai Pengetahuan'!$BZ$1))</f>
        <v/>
      </c>
      <c r="CN12" s="90" t="str">
        <f>IF('Input Nilai Pengetahuan'!CG50="","",'Input Nilai Pengetahuan'!CG50)</f>
        <v/>
      </c>
      <c r="CO12" s="90" t="str">
        <f>IF(CN3="","",IF('Input Nilai Pengetahuan'!$BZ$1="","",'Input Nilai Pengetahuan'!$BZ$1))</f>
        <v/>
      </c>
      <c r="CP12" s="90" t="str">
        <f>IF('Input Nilai Pengetahuan'!CG51="","",'Input Nilai Pengetahuan'!CG51)</f>
        <v/>
      </c>
      <c r="CQ12" s="90" t="str">
        <f>IF(CP3="","",IF('Input Nilai Pengetahuan'!$BZ$1="","",'Input Nilai Pengetahuan'!$BZ$1))</f>
        <v/>
      </c>
      <c r="CR12" s="90" t="str">
        <f>IF('Input Nilai Pengetahuan'!CG52="","",'Input Nilai Pengetahuan'!CG52)</f>
        <v/>
      </c>
      <c r="CS12" s="90" t="str">
        <f>IF(CR3="","",IF('Input Nilai Pengetahuan'!$BZ$1="","",'Input Nilai Pengetahuan'!$BZ$1))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337</v>
      </c>
      <c r="C16" s="42" t="s">
        <v>346</v>
      </c>
      <c r="D16" s="42" t="str">
        <f>$B$16&amp;D15&amp;"="&amp;$C$16&amp;D15&amp;")"</f>
        <v>IF('Input Nilai Pengetahuan'!L6="";"";'Input Nilai Pengetahuan'!L6)</v>
      </c>
      <c r="F16" s="42" t="str">
        <f>$B$16&amp;F15&amp;"="&amp;$C$16&amp;F15&amp;")"</f>
        <v>IF('Input Nilai Pengetahuan'!L7="";"";'Input Nilai Pengetahuan'!L7)</v>
      </c>
      <c r="H16" s="42" t="str">
        <f>$B$16&amp;H15&amp;"="&amp;$C$16&amp;H15&amp;")"</f>
        <v>IF('Input Nilai Pengetahuan'!L8="";"";'Input Nilai Pengetahuan'!L8)</v>
      </c>
      <c r="J16" s="42" t="str">
        <f>$B$16&amp;J15&amp;"="&amp;$C$16&amp;J15&amp;")"</f>
        <v>IF('Input Nilai Pengetahuan'!L9="";"";'Input Nilai Pengetahuan'!L9)</v>
      </c>
      <c r="L16" s="42" t="str">
        <f>$B$16&amp;L15&amp;"="&amp;$C$16&amp;L15&amp;")"</f>
        <v>IF('Input Nilai Pengetahuan'!L10="";"";'Input Nilai Pengetahuan'!L10)</v>
      </c>
      <c r="N16" s="42" t="str">
        <f>$B$16&amp;N15&amp;"="&amp;$C$16&amp;N15&amp;")"</f>
        <v>IF('Input Nilai Pengetahuan'!L11="";"";'Input Nilai Pengetahuan'!L11)</v>
      </c>
      <c r="P16" s="42" t="str">
        <f>$B$16&amp;P15&amp;"="&amp;$C$16&amp;P15&amp;")"</f>
        <v>IF('Input Nilai Pengetahuan'!L12="";"";'Input Nilai Pengetahuan'!L12)</v>
      </c>
      <c r="R16" s="42" t="str">
        <f>$B$16&amp;R15&amp;"="&amp;$C$16&amp;R15&amp;")"</f>
        <v>IF('Input Nilai Pengetahuan'!L13="";"";'Input Nilai Pengetahuan'!L13)</v>
      </c>
      <c r="T16" s="42" t="str">
        <f>$B$16&amp;T15&amp;"="&amp;$C$16&amp;T15&amp;")"</f>
        <v>IF('Input Nilai Pengetahuan'!L14="";"";'Input Nilai Pengetahuan'!L14)</v>
      </c>
      <c r="V16" s="42" t="str">
        <f>$B$16&amp;V15&amp;"="&amp;$C$16&amp;V15&amp;")"</f>
        <v>IF('Input Nilai Pengetahuan'!L15="";"";'Input Nilai Pengetahuan'!L15)</v>
      </c>
      <c r="X16" s="42" t="str">
        <f>$B$16&amp;X15&amp;"="&amp;$C$16&amp;X15&amp;")"</f>
        <v>IF('Input Nilai Pengetahuan'!L16="";"";'Input Nilai Pengetahuan'!L16)</v>
      </c>
      <c r="Z16" s="42" t="str">
        <f>$B$16&amp;Z15&amp;"="&amp;$C$16&amp;Z15&amp;")"</f>
        <v>IF('Input Nilai Pengetahuan'!L17="";"";'Input Nilai Pengetahuan'!L17)</v>
      </c>
      <c r="AB16" s="42" t="str">
        <f>$B$16&amp;AB15&amp;"="&amp;$C$16&amp;AB15&amp;")"</f>
        <v>IF('Input Nilai Pengetahuan'!L18="";"";'Input Nilai Pengetahuan'!L18)</v>
      </c>
      <c r="AD16" s="42" t="str">
        <f>$B$16&amp;AD15&amp;"="&amp;$C$16&amp;AD15&amp;")"</f>
        <v>IF('Input Nilai Pengetahuan'!L19="";"";'Input Nilai Pengetahuan'!L19)</v>
      </c>
      <c r="AF16" s="42" t="str">
        <f>$B$16&amp;AF15&amp;"="&amp;$C$16&amp;AF15&amp;")"</f>
        <v>IF('Input Nilai Pengetahuan'!L20="";"";'Input Nilai Pengetahuan'!L20)</v>
      </c>
      <c r="AH16" s="42" t="str">
        <f>$B$16&amp;AH15&amp;"="&amp;$C$16&amp;AH15&amp;")"</f>
        <v>IF('Input Nilai Pengetahuan'!L21="";"";'Input Nilai Pengetahuan'!L21)</v>
      </c>
      <c r="AJ16" s="42" t="str">
        <f>$B$16&amp;AJ15&amp;"="&amp;$C$16&amp;AJ15&amp;")"</f>
        <v>IF('Input Nilai Pengetahuan'!L22="";"";'Input Nilai Pengetahuan'!L22)</v>
      </c>
      <c r="AL16" s="42" t="str">
        <f>$B$16&amp;AL15&amp;"="&amp;$C$16&amp;AL15&amp;")"</f>
        <v>IF('Input Nilai Pengetahuan'!L23="";"";'Input Nilai Pengetahuan'!L23)</v>
      </c>
      <c r="AN16" s="42" t="str">
        <f>$B$16&amp;AN15&amp;"="&amp;$C$16&amp;AN15&amp;")"</f>
        <v>IF('Input Nilai Pengetahuan'!L24="";"";'Input Nilai Pengetahuan'!L24)</v>
      </c>
      <c r="AP16" s="42" t="str">
        <f>$B$16&amp;AP15&amp;"="&amp;$C$16&amp;AP15&amp;")"</f>
        <v>IF('Input Nilai Pengetahuan'!L25="";"";'Input Nilai Pengetahuan'!L25)</v>
      </c>
      <c r="AR16" s="42" t="str">
        <f>$B$16&amp;AR15&amp;"="&amp;$C$16&amp;AR15&amp;")"</f>
        <v>IF('Input Nilai Pengetahuan'!L26="";"";'Input Nilai Pengetahuan'!L26)</v>
      </c>
      <c r="AT16" s="42" t="str">
        <f>$B$16&amp;AT15&amp;"="&amp;$C$16&amp;AT15&amp;")"</f>
        <v>IF('Input Nilai Pengetahuan'!L27="";"";'Input Nilai Pengetahuan'!L27)</v>
      </c>
      <c r="AV16" s="42" t="str">
        <f>$B$16&amp;AV15&amp;"="&amp;$C$16&amp;AV15&amp;")"</f>
        <v>IF('Input Nilai Pengetahuan'!L28="";"";'Input Nilai Pengetahuan'!L28)</v>
      </c>
      <c r="AX16" s="42" t="str">
        <f>$B$16&amp;AX15&amp;"="&amp;$C$16&amp;AX15&amp;")"</f>
        <v>IF('Input Nilai Pengetahuan'!L29="";"";'Input Nilai Pengetahuan'!L29)</v>
      </c>
      <c r="AZ16" s="42" t="str">
        <f>$B$16&amp;AZ15&amp;"="&amp;$C$16&amp;AZ15&amp;")"</f>
        <v>IF('Input Nilai Pengetahuan'!L30="";"";'Input Nilai Pengetahuan'!L30)</v>
      </c>
      <c r="BB16" s="42" t="str">
        <f>$B$16&amp;BB15&amp;"="&amp;$C$16&amp;BB15&amp;")"</f>
        <v>IF('Input Nilai Pengetahuan'!L31="";"";'Input Nilai Pengetahuan'!L31)</v>
      </c>
      <c r="BD16" s="42" t="str">
        <f>$B$16&amp;BD15&amp;"="&amp;$C$16&amp;BD15&amp;")"</f>
        <v>IF('Input Nilai Pengetahuan'!L32="";"";'Input Nilai Pengetahuan'!L32)</v>
      </c>
      <c r="BF16" s="42" t="str">
        <f>$B$16&amp;BF15&amp;"="&amp;$C$16&amp;BF15&amp;")"</f>
        <v>IF('Input Nilai Pengetahuan'!L33="";"";'Input Nilai Pengetahuan'!L33)</v>
      </c>
      <c r="BH16" s="42" t="str">
        <f>$B$16&amp;BH15&amp;"="&amp;$C$16&amp;BH15&amp;")"</f>
        <v>IF('Input Nilai Pengetahuan'!L34="";"";'Input Nilai Pengetahuan'!L34)</v>
      </c>
      <c r="BJ16" s="42" t="str">
        <f>$B$16&amp;BJ15&amp;"="&amp;$C$16&amp;BJ15&amp;")"</f>
        <v>IF('Input Nilai Pengetahuan'!L35="";"";'Input Nilai Pengetahuan'!L35)</v>
      </c>
      <c r="BL16" s="42" t="str">
        <f>$B$16&amp;BL15&amp;"="&amp;$C$16&amp;BL15&amp;")"</f>
        <v>IF('Input Nilai Pengetahuan'!L36="";"";'Input Nilai Pengetahuan'!L36)</v>
      </c>
      <c r="BN16" s="42" t="str">
        <f>$B$16&amp;BN15&amp;"="&amp;$C$16&amp;BN15&amp;")"</f>
        <v>IF('Input Nilai Pengetahuan'!L37="";"";'Input Nilai Pengetahuan'!L37)</v>
      </c>
      <c r="BP16" s="42" t="str">
        <f>$B$16&amp;BP15&amp;"="&amp;$C$16&amp;BP15&amp;")"</f>
        <v>IF('Input Nilai Pengetahuan'!L38="";"";'Input Nilai Pengetahuan'!L38)</v>
      </c>
      <c r="BR16" s="42" t="str">
        <f>$B$16&amp;BR15&amp;"="&amp;$C$16&amp;BR15&amp;")"</f>
        <v>IF('Input Nilai Pengetahuan'!L39="";"";'Input Nilai Pengetahuan'!L39)</v>
      </c>
      <c r="BT16" s="42" t="str">
        <f>$B$16&amp;BT15&amp;"="&amp;$C$16&amp;BT15&amp;")"</f>
        <v>IF('Input Nilai Pengetahuan'!L40="";"";'Input Nilai Pengetahuan'!L40)</v>
      </c>
      <c r="BV16" s="42" t="str">
        <f>$B$16&amp;BV15&amp;"="&amp;$C$16&amp;BV15&amp;")"</f>
        <v>IF('Input Nilai Pengetahuan'!L41="";"";'Input Nilai Pengetahuan'!L41)</v>
      </c>
      <c r="BX16" s="42" t="str">
        <f>$B$16&amp;BX15&amp;"="&amp;$C$16&amp;BX15&amp;")"</f>
        <v>IF('Input Nilai Pengetahuan'!L42="";"";'Input Nilai Pengetahuan'!L42)</v>
      </c>
      <c r="BZ16" s="42" t="str">
        <f>$B$16&amp;BZ15&amp;"="&amp;$C$16&amp;BZ15&amp;")"</f>
        <v>IF('Input Nilai Pengetahuan'!L43="";"";'Input Nilai Pengetahuan'!L43)</v>
      </c>
      <c r="CB16" s="42" t="str">
        <f>$B$16&amp;CB15&amp;"="&amp;$C$16&amp;CB15&amp;")"</f>
        <v>IF('Input Nilai Pengetahuan'!L44="";"";'Input Nilai Pengetahuan'!L44)</v>
      </c>
      <c r="CD16" s="42" t="str">
        <f>$B$16&amp;CD15&amp;"="&amp;$C$16&amp;CD15&amp;")"</f>
        <v>IF('Input Nilai Pengetahuan'!L45="";"";'Input Nilai Pengetahuan'!L45)</v>
      </c>
      <c r="CF16" s="42" t="str">
        <f>$B$16&amp;CF15&amp;"="&amp;$C$16&amp;CF15&amp;")"</f>
        <v>IF('Input Nilai Pengetahuan'!L46="";"";'Input Nilai Pengetahuan'!L46)</v>
      </c>
      <c r="CH16" s="42" t="str">
        <f>$B$16&amp;CH15&amp;"="&amp;$C$16&amp;CH15&amp;")"</f>
        <v>IF('Input Nilai Pengetahuan'!L47="";"";'Input Nilai Pengetahuan'!L47)</v>
      </c>
      <c r="CJ16" s="42" t="str">
        <f>$B$16&amp;CJ15&amp;"="&amp;$C$16&amp;CJ15&amp;")"</f>
        <v>IF('Input Nilai Pengetahuan'!L48="";"";'Input Nilai Pengetahuan'!L48)</v>
      </c>
      <c r="CL16" s="42" t="str">
        <f>$B$16&amp;CL15&amp;"="&amp;$C$16&amp;CL15&amp;")"</f>
        <v>IF('Input Nilai Pengetahuan'!L49="";"";'Input Nilai Pengetahuan'!L49)</v>
      </c>
      <c r="CN16" s="42" t="str">
        <f>$B$16&amp;CN15&amp;"="&amp;$C$16&amp;CN15&amp;")"</f>
        <v>IF('Input Nilai Pengetahuan'!L50="";"";'Input Nilai Pengetahuan'!L50)</v>
      </c>
      <c r="CP16" s="42" t="str">
        <f>$B$16&amp;CP15&amp;"="&amp;$C$16&amp;CP15&amp;")"</f>
        <v>IF('Input Nilai Pengetahuan'!L51="";"";'Input Nilai Pengetahuan'!L51)</v>
      </c>
      <c r="CR16" s="42" t="str">
        <f>$B$16&amp;CR15&amp;"="&amp;$C$16&amp;CR15&amp;")"</f>
        <v>IF('Input Nilai Pengetahuan'!L52="";"";'Input Nilai Pengetahuan'!L52)</v>
      </c>
    </row>
    <row r="17" spans="1:96">
      <c r="A17" s="72">
        <v>2</v>
      </c>
      <c r="B17" s="42" t="s">
        <v>338</v>
      </c>
      <c r="C17" s="42" t="s">
        <v>347</v>
      </c>
      <c r="D17" s="42" t="str">
        <f>$B$17&amp;D15&amp;"="&amp;$C$17&amp;D15&amp;")"</f>
        <v>IF('Input Nilai Pengetahuan'!S6="";"";'Input Nilai Pengetahuan'!S6)</v>
      </c>
      <c r="F17" s="42" t="str">
        <f>$B$17&amp;F15&amp;"="&amp;$C$17&amp;F15&amp;")"</f>
        <v>IF('Input Nilai Pengetahuan'!S7="";"";'Input Nilai Pengetahuan'!S7)</v>
      </c>
      <c r="H17" s="42" t="str">
        <f>$B$17&amp;H15&amp;"="&amp;$C$17&amp;H15&amp;")"</f>
        <v>IF('Input Nilai Pengetahuan'!S8="";"";'Input Nilai Pengetahuan'!S8)</v>
      </c>
      <c r="J17" s="42" t="str">
        <f>$B$17&amp;J15&amp;"="&amp;$C$17&amp;J15&amp;")"</f>
        <v>IF('Input Nilai Pengetahuan'!S9="";"";'Input Nilai Pengetahuan'!S9)</v>
      </c>
      <c r="L17" s="42" t="str">
        <f>$B$17&amp;L15&amp;"="&amp;$C$17&amp;L15&amp;")"</f>
        <v>IF('Input Nilai Pengetahuan'!S10="";"";'Input Nilai Pengetahuan'!S10)</v>
      </c>
      <c r="N17" s="42" t="str">
        <f>$B$17&amp;N15&amp;"="&amp;$C$17&amp;N15&amp;")"</f>
        <v>IF('Input Nilai Pengetahuan'!S11="";"";'Input Nilai Pengetahuan'!S11)</v>
      </c>
      <c r="P17" s="42" t="str">
        <f>$B$17&amp;P15&amp;"="&amp;$C$17&amp;P15&amp;")"</f>
        <v>IF('Input Nilai Pengetahuan'!S12="";"";'Input Nilai Pengetahuan'!S12)</v>
      </c>
      <c r="R17" s="42" t="str">
        <f>$B$17&amp;R15&amp;"="&amp;$C$17&amp;R15&amp;")"</f>
        <v>IF('Input Nilai Pengetahuan'!S13="";"";'Input Nilai Pengetahuan'!S13)</v>
      </c>
      <c r="T17" s="42" t="str">
        <f>$B$17&amp;T15&amp;"="&amp;$C$17&amp;T15&amp;")"</f>
        <v>IF('Input Nilai Pengetahuan'!S14="";"";'Input Nilai Pengetahuan'!S14)</v>
      </c>
      <c r="V17" s="42" t="str">
        <f>$B$17&amp;V15&amp;"="&amp;$C$17&amp;V15&amp;")"</f>
        <v>IF('Input Nilai Pengetahuan'!S15="";"";'Input Nilai Pengetahuan'!S15)</v>
      </c>
      <c r="X17" s="42" t="str">
        <f>$B$17&amp;X15&amp;"="&amp;$C$17&amp;X15&amp;")"</f>
        <v>IF('Input Nilai Pengetahuan'!S16="";"";'Input Nilai Pengetahuan'!S16)</v>
      </c>
      <c r="Z17" s="42" t="str">
        <f>$B$17&amp;Z15&amp;"="&amp;$C$17&amp;Z15&amp;")"</f>
        <v>IF('Input Nilai Pengetahuan'!S17="";"";'Input Nilai Pengetahuan'!S17)</v>
      </c>
      <c r="AB17" s="42" t="str">
        <f>$B$17&amp;AB15&amp;"="&amp;$C$17&amp;AB15&amp;")"</f>
        <v>IF('Input Nilai Pengetahuan'!S18="";"";'Input Nilai Pengetahuan'!S18)</v>
      </c>
      <c r="AD17" s="42" t="str">
        <f>$B$17&amp;AD15&amp;"="&amp;$C$17&amp;AD15&amp;")"</f>
        <v>IF('Input Nilai Pengetahuan'!S19="";"";'Input Nilai Pengetahuan'!S19)</v>
      </c>
      <c r="AF17" s="42" t="str">
        <f>$B$17&amp;AF15&amp;"="&amp;$C$17&amp;AF15&amp;")"</f>
        <v>IF('Input Nilai Pengetahuan'!S20="";"";'Input Nilai Pengetahuan'!S20)</v>
      </c>
      <c r="AH17" s="42" t="str">
        <f>$B$17&amp;AH15&amp;"="&amp;$C$17&amp;AH15&amp;")"</f>
        <v>IF('Input Nilai Pengetahuan'!S21="";"";'Input Nilai Pengetahuan'!S21)</v>
      </c>
      <c r="AJ17" s="42" t="str">
        <f>$B$17&amp;AJ15&amp;"="&amp;$C$17&amp;AJ15&amp;")"</f>
        <v>IF('Input Nilai Pengetahuan'!S22="";"";'Input Nilai Pengetahuan'!S22)</v>
      </c>
      <c r="AL17" s="42" t="str">
        <f>$B$17&amp;AL15&amp;"="&amp;$C$17&amp;AL15&amp;")"</f>
        <v>IF('Input Nilai Pengetahuan'!S23="";"";'Input Nilai Pengetahuan'!S23)</v>
      </c>
      <c r="AN17" s="42" t="str">
        <f>$B$17&amp;AN15&amp;"="&amp;$C$17&amp;AN15&amp;")"</f>
        <v>IF('Input Nilai Pengetahuan'!S24="";"";'Input Nilai Pengetahuan'!S24)</v>
      </c>
      <c r="AP17" s="42" t="str">
        <f>$B$17&amp;AP15&amp;"="&amp;$C$17&amp;AP15&amp;")"</f>
        <v>IF('Input Nilai Pengetahuan'!S25="";"";'Input Nilai Pengetahuan'!S25)</v>
      </c>
      <c r="AR17" s="42" t="str">
        <f>$B$17&amp;AR15&amp;"="&amp;$C$17&amp;AR15&amp;")"</f>
        <v>IF('Input Nilai Pengetahuan'!S26="";"";'Input Nilai Pengetahuan'!S26)</v>
      </c>
      <c r="AT17" s="42" t="str">
        <f>$B$17&amp;AT15&amp;"="&amp;$C$17&amp;AT15&amp;")"</f>
        <v>IF('Input Nilai Pengetahuan'!S27="";"";'Input Nilai Pengetahuan'!S27)</v>
      </c>
      <c r="AV17" s="42" t="str">
        <f>$B$17&amp;AV15&amp;"="&amp;$C$17&amp;AV15&amp;")"</f>
        <v>IF('Input Nilai Pengetahuan'!S28="";"";'Input Nilai Pengetahuan'!S28)</v>
      </c>
      <c r="AX17" s="42" t="str">
        <f>$B$17&amp;AX15&amp;"="&amp;$C$17&amp;AX15&amp;")"</f>
        <v>IF('Input Nilai Pengetahuan'!S29="";"";'Input Nilai Pengetahuan'!S29)</v>
      </c>
      <c r="AZ17" s="42" t="str">
        <f>$B$17&amp;AZ15&amp;"="&amp;$C$17&amp;AZ15&amp;")"</f>
        <v>IF('Input Nilai Pengetahuan'!S30="";"";'Input Nilai Pengetahuan'!S30)</v>
      </c>
      <c r="BB17" s="42" t="str">
        <f>$B$17&amp;BB15&amp;"="&amp;$C$17&amp;BB15&amp;")"</f>
        <v>IF('Input Nilai Pengetahuan'!S31="";"";'Input Nilai Pengetahuan'!S31)</v>
      </c>
      <c r="BD17" s="42" t="str">
        <f>$B$17&amp;BD15&amp;"="&amp;$C$17&amp;BD15&amp;")"</f>
        <v>IF('Input Nilai Pengetahuan'!S32="";"";'Input Nilai Pengetahuan'!S32)</v>
      </c>
      <c r="BF17" s="42" t="str">
        <f>$B$17&amp;BF15&amp;"="&amp;$C$17&amp;BF15&amp;")"</f>
        <v>IF('Input Nilai Pengetahuan'!S33="";"";'Input Nilai Pengetahuan'!S33)</v>
      </c>
      <c r="BH17" s="42" t="str">
        <f>$B$17&amp;BH15&amp;"="&amp;$C$17&amp;BH15&amp;")"</f>
        <v>IF('Input Nilai Pengetahuan'!S34="";"";'Input Nilai Pengetahuan'!S34)</v>
      </c>
      <c r="BJ17" s="42" t="str">
        <f>$B$17&amp;BJ15&amp;"="&amp;$C$17&amp;BJ15&amp;")"</f>
        <v>IF('Input Nilai Pengetahuan'!S35="";"";'Input Nilai Pengetahuan'!S35)</v>
      </c>
      <c r="BL17" s="42" t="str">
        <f>$B$17&amp;BL15&amp;"="&amp;$C$17&amp;BL15&amp;")"</f>
        <v>IF('Input Nilai Pengetahuan'!S36="";"";'Input Nilai Pengetahuan'!S36)</v>
      </c>
      <c r="BN17" s="42" t="str">
        <f>$B$17&amp;BN15&amp;"="&amp;$C$17&amp;BN15&amp;")"</f>
        <v>IF('Input Nilai Pengetahuan'!S37="";"";'Input Nilai Pengetahuan'!S37)</v>
      </c>
      <c r="BP17" s="42" t="str">
        <f>$B$17&amp;BP15&amp;"="&amp;$C$17&amp;BP15&amp;")"</f>
        <v>IF('Input Nilai Pengetahuan'!S38="";"";'Input Nilai Pengetahuan'!S38)</v>
      </c>
      <c r="BR17" s="42" t="str">
        <f>$B$17&amp;BR15&amp;"="&amp;$C$17&amp;BR15&amp;")"</f>
        <v>IF('Input Nilai Pengetahuan'!S39="";"";'Input Nilai Pengetahuan'!S39)</v>
      </c>
      <c r="BT17" s="42" t="str">
        <f>$B$17&amp;BT15&amp;"="&amp;$C$17&amp;BT15&amp;")"</f>
        <v>IF('Input Nilai Pengetahuan'!S40="";"";'Input Nilai Pengetahuan'!S40)</v>
      </c>
      <c r="BV17" s="42" t="str">
        <f>$B$17&amp;BV15&amp;"="&amp;$C$17&amp;BV15&amp;")"</f>
        <v>IF('Input Nilai Pengetahuan'!S41="";"";'Input Nilai Pengetahuan'!S41)</v>
      </c>
      <c r="BX17" s="42" t="str">
        <f>$B$17&amp;BX15&amp;"="&amp;$C$17&amp;BX15&amp;")"</f>
        <v>IF('Input Nilai Pengetahuan'!S42="";"";'Input Nilai Pengetahuan'!S42)</v>
      </c>
      <c r="BZ17" s="42" t="str">
        <f>$B$17&amp;BZ15&amp;"="&amp;$C$17&amp;BZ15&amp;")"</f>
        <v>IF('Input Nilai Pengetahuan'!S43="";"";'Input Nilai Pengetahuan'!S43)</v>
      </c>
      <c r="CB17" s="42" t="str">
        <f>$B$17&amp;CB15&amp;"="&amp;$C$17&amp;CB15&amp;")"</f>
        <v>IF('Input Nilai Pengetahuan'!S44="";"";'Input Nilai Pengetahuan'!S44)</v>
      </c>
      <c r="CD17" s="42" t="str">
        <f>$B$17&amp;CD15&amp;"="&amp;$C$17&amp;CD15&amp;")"</f>
        <v>IF('Input Nilai Pengetahuan'!S45="";"";'Input Nilai Pengetahuan'!S45)</v>
      </c>
      <c r="CF17" s="42" t="str">
        <f>$B$17&amp;CF15&amp;"="&amp;$C$17&amp;CF15&amp;")"</f>
        <v>IF('Input Nilai Pengetahuan'!S46="";"";'Input Nilai Pengetahuan'!S46)</v>
      </c>
      <c r="CH17" s="42" t="str">
        <f>$B$17&amp;CH15&amp;"="&amp;$C$17&amp;CH15&amp;")"</f>
        <v>IF('Input Nilai Pengetahuan'!S47="";"";'Input Nilai Pengetahuan'!S47)</v>
      </c>
      <c r="CJ17" s="42" t="str">
        <f>$B$17&amp;CJ15&amp;"="&amp;$C$17&amp;CJ15&amp;")"</f>
        <v>IF('Input Nilai Pengetahuan'!S48="";"";'Input Nilai Pengetahuan'!S48)</v>
      </c>
      <c r="CL17" s="42" t="str">
        <f>$B$17&amp;CL15&amp;"="&amp;$C$17&amp;CL15&amp;")"</f>
        <v>IF('Input Nilai Pengetahuan'!S49="";"";'Input Nilai Pengetahuan'!S49)</v>
      </c>
      <c r="CN17" s="42" t="str">
        <f>$B$17&amp;CN15&amp;"="&amp;$C$17&amp;CN15&amp;")"</f>
        <v>IF('Input Nilai Pengetahuan'!S50="";"";'Input Nilai Pengetahuan'!S50)</v>
      </c>
      <c r="CP17" s="42" t="str">
        <f>$B$17&amp;CP15&amp;"="&amp;$C$17&amp;CP15&amp;")"</f>
        <v>IF('Input Nilai Pengetahuan'!S51="";"";'Input Nilai Pengetahuan'!S51)</v>
      </c>
      <c r="CR17" s="42" t="str">
        <f>$B$17&amp;CR15&amp;"="&amp;$C$17&amp;CR15&amp;")"</f>
        <v>IF('Input Nilai Pengetahuan'!S52="";"";'Input Nilai Pengetahuan'!S52)</v>
      </c>
    </row>
    <row r="18" spans="1:96">
      <c r="A18" s="72">
        <v>3</v>
      </c>
      <c r="B18" s="42" t="s">
        <v>339</v>
      </c>
      <c r="C18" s="42" t="s">
        <v>348</v>
      </c>
      <c r="D18" s="42" t="str">
        <f>$B$18&amp;D15&amp;"="&amp;$C$18&amp;D15&amp;")"</f>
        <v>IF('Input Nilai Pengetahuan'!Z6="";"";'Input Nilai Pengetahuan'!Z6)</v>
      </c>
      <c r="F18" s="42" t="str">
        <f>$B$18&amp;F15&amp;"="&amp;$C$18&amp;F15&amp;")"</f>
        <v>IF('Input Nilai Pengetahuan'!Z7="";"";'Input Nilai Pengetahuan'!Z7)</v>
      </c>
      <c r="H18" s="42" t="str">
        <f>$B$18&amp;H15&amp;"="&amp;$C$18&amp;H15&amp;")"</f>
        <v>IF('Input Nilai Pengetahuan'!Z8="";"";'Input Nilai Pengetahuan'!Z8)</v>
      </c>
      <c r="J18" s="42" t="str">
        <f>$B$18&amp;J15&amp;"="&amp;$C$18&amp;J15&amp;")"</f>
        <v>IF('Input Nilai Pengetahuan'!Z9="";"";'Input Nilai Pengetahuan'!Z9)</v>
      </c>
      <c r="L18" s="42" t="str">
        <f>$B$18&amp;L15&amp;"="&amp;$C$18&amp;L15&amp;")"</f>
        <v>IF('Input Nilai Pengetahuan'!Z10="";"";'Input Nilai Pengetahuan'!Z10)</v>
      </c>
      <c r="N18" s="42" t="str">
        <f>$B$18&amp;N15&amp;"="&amp;$C$18&amp;N15&amp;")"</f>
        <v>IF('Input Nilai Pengetahuan'!Z11="";"";'Input Nilai Pengetahuan'!Z11)</v>
      </c>
      <c r="P18" s="42" t="str">
        <f>$B$18&amp;P15&amp;"="&amp;$C$18&amp;P15&amp;")"</f>
        <v>IF('Input Nilai Pengetahuan'!Z12="";"";'Input Nilai Pengetahuan'!Z12)</v>
      </c>
      <c r="R18" s="42" t="str">
        <f>$B$18&amp;R15&amp;"="&amp;$C$18&amp;R15&amp;")"</f>
        <v>IF('Input Nilai Pengetahuan'!Z13="";"";'Input Nilai Pengetahuan'!Z13)</v>
      </c>
      <c r="T18" s="42" t="str">
        <f>$B$18&amp;T15&amp;"="&amp;$C$18&amp;T15&amp;")"</f>
        <v>IF('Input Nilai Pengetahuan'!Z14="";"";'Input Nilai Pengetahuan'!Z14)</v>
      </c>
      <c r="V18" s="42" t="str">
        <f>$B$18&amp;V15&amp;"="&amp;$C$18&amp;V15&amp;")"</f>
        <v>IF('Input Nilai Pengetahuan'!Z15="";"";'Input Nilai Pengetahuan'!Z15)</v>
      </c>
      <c r="X18" s="42" t="str">
        <f>$B$18&amp;X15&amp;"="&amp;$C$18&amp;X15&amp;")"</f>
        <v>IF('Input Nilai Pengetahuan'!Z16="";"";'Input Nilai Pengetahuan'!Z16)</v>
      </c>
      <c r="Z18" s="42" t="str">
        <f>$B$18&amp;Z15&amp;"="&amp;$C$18&amp;Z15&amp;")"</f>
        <v>IF('Input Nilai Pengetahuan'!Z17="";"";'Input Nilai Pengetahuan'!Z17)</v>
      </c>
      <c r="AB18" s="42" t="str">
        <f>$B$18&amp;AB15&amp;"="&amp;$C$18&amp;AB15&amp;")"</f>
        <v>IF('Input Nilai Pengetahuan'!Z18="";"";'Input Nilai Pengetahuan'!Z18)</v>
      </c>
      <c r="AD18" s="42" t="str">
        <f>$B$18&amp;AD15&amp;"="&amp;$C$18&amp;AD15&amp;")"</f>
        <v>IF('Input Nilai Pengetahuan'!Z19="";"";'Input Nilai Pengetahuan'!Z19)</v>
      </c>
      <c r="AF18" s="42" t="str">
        <f>$B$18&amp;AF15&amp;"="&amp;$C$18&amp;AF15&amp;")"</f>
        <v>IF('Input Nilai Pengetahuan'!Z20="";"";'Input Nilai Pengetahuan'!Z20)</v>
      </c>
      <c r="AH18" s="42" t="str">
        <f>$B$18&amp;AH15&amp;"="&amp;$C$18&amp;AH15&amp;")"</f>
        <v>IF('Input Nilai Pengetahuan'!Z21="";"";'Input Nilai Pengetahuan'!Z21)</v>
      </c>
      <c r="AJ18" s="42" t="str">
        <f>$B$18&amp;AJ15&amp;"="&amp;$C$18&amp;AJ15&amp;")"</f>
        <v>IF('Input Nilai Pengetahuan'!Z22="";"";'Input Nilai Pengetahuan'!Z22)</v>
      </c>
      <c r="AL18" s="42" t="str">
        <f>$B$18&amp;AL15&amp;"="&amp;$C$18&amp;AL15&amp;")"</f>
        <v>IF('Input Nilai Pengetahuan'!Z23="";"";'Input Nilai Pengetahuan'!Z23)</v>
      </c>
      <c r="AN18" s="42" t="str">
        <f>$B$18&amp;AN15&amp;"="&amp;$C$18&amp;AN15&amp;")"</f>
        <v>IF('Input Nilai Pengetahuan'!Z24="";"";'Input Nilai Pengetahuan'!Z24)</v>
      </c>
      <c r="AP18" s="42" t="str">
        <f>$B$18&amp;AP15&amp;"="&amp;$C$18&amp;AP15&amp;")"</f>
        <v>IF('Input Nilai Pengetahuan'!Z25="";"";'Input Nilai Pengetahuan'!Z25)</v>
      </c>
      <c r="AR18" s="42" t="str">
        <f>$B$18&amp;AR15&amp;"="&amp;$C$18&amp;AR15&amp;")"</f>
        <v>IF('Input Nilai Pengetahuan'!Z26="";"";'Input Nilai Pengetahuan'!Z26)</v>
      </c>
      <c r="AT18" s="42" t="str">
        <f>$B$18&amp;AT15&amp;"="&amp;$C$18&amp;AT15&amp;")"</f>
        <v>IF('Input Nilai Pengetahuan'!Z27="";"";'Input Nilai Pengetahuan'!Z27)</v>
      </c>
      <c r="AV18" s="42" t="str">
        <f>$B$18&amp;AV15&amp;"="&amp;$C$18&amp;AV15&amp;")"</f>
        <v>IF('Input Nilai Pengetahuan'!Z28="";"";'Input Nilai Pengetahuan'!Z28)</v>
      </c>
      <c r="AX18" s="42" t="str">
        <f>$B$18&amp;AX15&amp;"="&amp;$C$18&amp;AX15&amp;")"</f>
        <v>IF('Input Nilai Pengetahuan'!Z29="";"";'Input Nilai Pengetahuan'!Z29)</v>
      </c>
      <c r="AZ18" s="42" t="str">
        <f>$B$18&amp;AZ15&amp;"="&amp;$C$18&amp;AZ15&amp;")"</f>
        <v>IF('Input Nilai Pengetahuan'!Z30="";"";'Input Nilai Pengetahuan'!Z30)</v>
      </c>
      <c r="BB18" s="42" t="str">
        <f>$B$18&amp;BB15&amp;"="&amp;$C$18&amp;BB15&amp;")"</f>
        <v>IF('Input Nilai Pengetahuan'!Z31="";"";'Input Nilai Pengetahuan'!Z31)</v>
      </c>
      <c r="BD18" s="42" t="str">
        <f>$B$18&amp;BD15&amp;"="&amp;$C$18&amp;BD15&amp;")"</f>
        <v>IF('Input Nilai Pengetahuan'!Z32="";"";'Input Nilai Pengetahuan'!Z32)</v>
      </c>
      <c r="BF18" s="42" t="str">
        <f>$B$18&amp;BF15&amp;"="&amp;$C$18&amp;BF15&amp;")"</f>
        <v>IF('Input Nilai Pengetahuan'!Z33="";"";'Input Nilai Pengetahuan'!Z33)</v>
      </c>
      <c r="BH18" s="42" t="str">
        <f>$B$18&amp;BH15&amp;"="&amp;$C$18&amp;BH15&amp;")"</f>
        <v>IF('Input Nilai Pengetahuan'!Z34="";"";'Input Nilai Pengetahuan'!Z34)</v>
      </c>
      <c r="BJ18" s="42" t="str">
        <f>$B$18&amp;BJ15&amp;"="&amp;$C$18&amp;BJ15&amp;")"</f>
        <v>IF('Input Nilai Pengetahuan'!Z35="";"";'Input Nilai Pengetahuan'!Z35)</v>
      </c>
      <c r="BL18" s="42" t="str">
        <f>$B$18&amp;BL15&amp;"="&amp;$C$18&amp;BL15&amp;")"</f>
        <v>IF('Input Nilai Pengetahuan'!Z36="";"";'Input Nilai Pengetahuan'!Z36)</v>
      </c>
      <c r="BN18" s="42" t="str">
        <f>$B$18&amp;BN15&amp;"="&amp;$C$18&amp;BN15&amp;")"</f>
        <v>IF('Input Nilai Pengetahuan'!Z37="";"";'Input Nilai Pengetahuan'!Z37)</v>
      </c>
      <c r="BP18" s="42" t="str">
        <f>$B$18&amp;BP15&amp;"="&amp;$C$18&amp;BP15&amp;")"</f>
        <v>IF('Input Nilai Pengetahuan'!Z38="";"";'Input Nilai Pengetahuan'!Z38)</v>
      </c>
      <c r="BR18" s="42" t="str">
        <f>$B$18&amp;BR15&amp;"="&amp;$C$18&amp;BR15&amp;")"</f>
        <v>IF('Input Nilai Pengetahuan'!Z39="";"";'Input Nilai Pengetahuan'!Z39)</v>
      </c>
      <c r="BT18" s="42" t="str">
        <f>$B$18&amp;BT15&amp;"="&amp;$C$18&amp;BT15&amp;")"</f>
        <v>IF('Input Nilai Pengetahuan'!Z40="";"";'Input Nilai Pengetahuan'!Z40)</v>
      </c>
      <c r="BV18" s="42" t="str">
        <f>$B$18&amp;BV15&amp;"="&amp;$C$18&amp;BV15&amp;")"</f>
        <v>IF('Input Nilai Pengetahuan'!Z41="";"";'Input Nilai Pengetahuan'!Z41)</v>
      </c>
      <c r="BX18" s="42" t="str">
        <f>$B$18&amp;BX15&amp;"="&amp;$C$18&amp;BX15&amp;")"</f>
        <v>IF('Input Nilai Pengetahuan'!Z42="";"";'Input Nilai Pengetahuan'!Z42)</v>
      </c>
      <c r="BZ18" s="42" t="str">
        <f>$B$18&amp;BZ15&amp;"="&amp;$C$18&amp;BZ15&amp;")"</f>
        <v>IF('Input Nilai Pengetahuan'!Z43="";"";'Input Nilai Pengetahuan'!Z43)</v>
      </c>
      <c r="CB18" s="42" t="str">
        <f>$B$18&amp;CB15&amp;"="&amp;$C$18&amp;CB15&amp;")"</f>
        <v>IF('Input Nilai Pengetahuan'!Z44="";"";'Input Nilai Pengetahuan'!Z44)</v>
      </c>
      <c r="CD18" s="42" t="str">
        <f>$B$18&amp;CD15&amp;"="&amp;$C$18&amp;CD15&amp;")"</f>
        <v>IF('Input Nilai Pengetahuan'!Z45="";"";'Input Nilai Pengetahuan'!Z45)</v>
      </c>
      <c r="CF18" s="42" t="str">
        <f>$B$18&amp;CF15&amp;"="&amp;$C$18&amp;CF15&amp;")"</f>
        <v>IF('Input Nilai Pengetahuan'!Z46="";"";'Input Nilai Pengetahuan'!Z46)</v>
      </c>
      <c r="CH18" s="42" t="str">
        <f>$B$18&amp;CH15&amp;"="&amp;$C$18&amp;CH15&amp;")"</f>
        <v>IF('Input Nilai Pengetahuan'!Z47="";"";'Input Nilai Pengetahuan'!Z47)</v>
      </c>
      <c r="CJ18" s="42" t="str">
        <f>$B$18&amp;CJ15&amp;"="&amp;$C$18&amp;CJ15&amp;")"</f>
        <v>IF('Input Nilai Pengetahuan'!Z48="";"";'Input Nilai Pengetahuan'!Z48)</v>
      </c>
      <c r="CL18" s="42" t="str">
        <f>$B$18&amp;CL15&amp;"="&amp;$C$18&amp;CL15&amp;")"</f>
        <v>IF('Input Nilai Pengetahuan'!Z49="";"";'Input Nilai Pengetahuan'!Z49)</v>
      </c>
      <c r="CN18" s="42" t="str">
        <f>$B$18&amp;CN15&amp;"="&amp;$C$18&amp;CN15&amp;")"</f>
        <v>IF('Input Nilai Pengetahuan'!Z50="";"";'Input Nilai Pengetahuan'!Z50)</v>
      </c>
      <c r="CP18" s="42" t="str">
        <f>$B$18&amp;CP15&amp;"="&amp;$C$18&amp;CP15&amp;")"</f>
        <v>IF('Input Nilai Pengetahuan'!Z51="";"";'Input Nilai Pengetahuan'!Z51)</v>
      </c>
      <c r="CR18" s="42" t="str">
        <f>$B$18&amp;CR15&amp;"="&amp;$C$18&amp;CR15&amp;")"</f>
        <v>IF('Input Nilai Pengetahuan'!Z52="";"";'Input Nilai Pengetahuan'!Z52)</v>
      </c>
    </row>
    <row r="19" spans="1:96">
      <c r="A19" s="72">
        <v>4</v>
      </c>
      <c r="B19" s="42" t="s">
        <v>340</v>
      </c>
      <c r="C19" s="42" t="s">
        <v>349</v>
      </c>
      <c r="D19" s="42" t="str">
        <f>$B$19&amp;D15&amp;"="&amp;$C$19&amp;D15&amp;")"</f>
        <v>IF('Input Nilai Pengetahuan'!AG6="";"";'Input Nilai Pengetahuan'!AG6)</v>
      </c>
      <c r="F19" s="42" t="str">
        <f>$B$19&amp;F15&amp;"="&amp;$C$19&amp;F15&amp;")"</f>
        <v>IF('Input Nilai Pengetahuan'!AG7="";"";'Input Nilai Pengetahuan'!AG7)</v>
      </c>
      <c r="H19" s="42" t="str">
        <f>$B$19&amp;H15&amp;"="&amp;$C$19&amp;H15&amp;")"</f>
        <v>IF('Input Nilai Pengetahuan'!AG8="";"";'Input Nilai Pengetahuan'!AG8)</v>
      </c>
      <c r="J19" s="42" t="str">
        <f>$B$19&amp;J15&amp;"="&amp;$C$19&amp;J15&amp;")"</f>
        <v>IF('Input Nilai Pengetahuan'!AG9="";"";'Input Nilai Pengetahuan'!AG9)</v>
      </c>
      <c r="L19" s="42" t="str">
        <f>$B$19&amp;L15&amp;"="&amp;$C$19&amp;L15&amp;")"</f>
        <v>IF('Input Nilai Pengetahuan'!AG10="";"";'Input Nilai Pengetahuan'!AG10)</v>
      </c>
      <c r="N19" s="42" t="str">
        <f>$B$19&amp;N15&amp;"="&amp;$C$19&amp;N15&amp;")"</f>
        <v>IF('Input Nilai Pengetahuan'!AG11="";"";'Input Nilai Pengetahuan'!AG11)</v>
      </c>
      <c r="P19" s="42" t="str">
        <f>$B$19&amp;P15&amp;"="&amp;$C$19&amp;P15&amp;")"</f>
        <v>IF('Input Nilai Pengetahuan'!AG12="";"";'Input Nilai Pengetahuan'!AG12)</v>
      </c>
      <c r="R19" s="42" t="str">
        <f>$B$19&amp;R15&amp;"="&amp;$C$19&amp;R15&amp;")"</f>
        <v>IF('Input Nilai Pengetahuan'!AG13="";"";'Input Nilai Pengetahuan'!AG13)</v>
      </c>
      <c r="T19" s="42" t="str">
        <f>$B$19&amp;T15&amp;"="&amp;$C$19&amp;T15&amp;")"</f>
        <v>IF('Input Nilai Pengetahuan'!AG14="";"";'Input Nilai Pengetahuan'!AG14)</v>
      </c>
      <c r="V19" s="42" t="str">
        <f>$B$19&amp;V15&amp;"="&amp;$C$19&amp;V15&amp;")"</f>
        <v>IF('Input Nilai Pengetahuan'!AG15="";"";'Input Nilai Pengetahuan'!AG15)</v>
      </c>
      <c r="X19" s="42" t="str">
        <f>$B$19&amp;X15&amp;"="&amp;$C$19&amp;X15&amp;")"</f>
        <v>IF('Input Nilai Pengetahuan'!AG16="";"";'Input Nilai Pengetahuan'!AG16)</v>
      </c>
      <c r="Z19" s="42" t="str">
        <f>$B$19&amp;Z15&amp;"="&amp;$C$19&amp;Z15&amp;")"</f>
        <v>IF('Input Nilai Pengetahuan'!AG17="";"";'Input Nilai Pengetahuan'!AG17)</v>
      </c>
      <c r="AB19" s="42" t="str">
        <f>$B$19&amp;AB15&amp;"="&amp;$C$19&amp;AB15&amp;")"</f>
        <v>IF('Input Nilai Pengetahuan'!AG18="";"";'Input Nilai Pengetahuan'!AG18)</v>
      </c>
      <c r="AD19" s="42" t="str">
        <f>$B$19&amp;AD15&amp;"="&amp;$C$19&amp;AD15&amp;")"</f>
        <v>IF('Input Nilai Pengetahuan'!AG19="";"";'Input Nilai Pengetahuan'!AG19)</v>
      </c>
      <c r="AF19" s="42" t="str">
        <f>$B$19&amp;AF15&amp;"="&amp;$C$19&amp;AF15&amp;")"</f>
        <v>IF('Input Nilai Pengetahuan'!AG20="";"";'Input Nilai Pengetahuan'!AG20)</v>
      </c>
      <c r="AH19" s="42" t="str">
        <f>$B$19&amp;AH15&amp;"="&amp;$C$19&amp;AH15&amp;")"</f>
        <v>IF('Input Nilai Pengetahuan'!AG21="";"";'Input Nilai Pengetahuan'!AG21)</v>
      </c>
      <c r="AJ19" s="42" t="str">
        <f>$B$19&amp;AJ15&amp;"="&amp;$C$19&amp;AJ15&amp;")"</f>
        <v>IF('Input Nilai Pengetahuan'!AG22="";"";'Input Nilai Pengetahuan'!AG22)</v>
      </c>
      <c r="AL19" s="42" t="str">
        <f>$B$19&amp;AL15&amp;"="&amp;$C$19&amp;AL15&amp;")"</f>
        <v>IF('Input Nilai Pengetahuan'!AG23="";"";'Input Nilai Pengetahuan'!AG23)</v>
      </c>
      <c r="AN19" s="42" t="str">
        <f>$B$19&amp;AN15&amp;"="&amp;$C$19&amp;AN15&amp;")"</f>
        <v>IF('Input Nilai Pengetahuan'!AG24="";"";'Input Nilai Pengetahuan'!AG24)</v>
      </c>
      <c r="AP19" s="42" t="str">
        <f>$B$19&amp;AP15&amp;"="&amp;$C$19&amp;AP15&amp;")"</f>
        <v>IF('Input Nilai Pengetahuan'!AG25="";"";'Input Nilai Pengetahuan'!AG25)</v>
      </c>
      <c r="AR19" s="42" t="str">
        <f>$B$19&amp;AR15&amp;"="&amp;$C$19&amp;AR15&amp;")"</f>
        <v>IF('Input Nilai Pengetahuan'!AG26="";"";'Input Nilai Pengetahuan'!AG26)</v>
      </c>
      <c r="AT19" s="42" t="str">
        <f>$B$19&amp;AT15&amp;"="&amp;$C$19&amp;AT15&amp;")"</f>
        <v>IF('Input Nilai Pengetahuan'!AG27="";"";'Input Nilai Pengetahuan'!AG27)</v>
      </c>
      <c r="AV19" s="42" t="str">
        <f>$B$19&amp;AV15&amp;"="&amp;$C$19&amp;AV15&amp;")"</f>
        <v>IF('Input Nilai Pengetahuan'!AG28="";"";'Input Nilai Pengetahuan'!AG28)</v>
      </c>
      <c r="AX19" s="42" t="str">
        <f>$B$19&amp;AX15&amp;"="&amp;$C$19&amp;AX15&amp;")"</f>
        <v>IF('Input Nilai Pengetahuan'!AG29="";"";'Input Nilai Pengetahuan'!AG29)</v>
      </c>
      <c r="AZ19" s="42" t="str">
        <f>$B$19&amp;AZ15&amp;"="&amp;$C$19&amp;AZ15&amp;")"</f>
        <v>IF('Input Nilai Pengetahuan'!AG30="";"";'Input Nilai Pengetahuan'!AG30)</v>
      </c>
      <c r="BB19" s="42" t="str">
        <f>$B$19&amp;BB15&amp;"="&amp;$C$19&amp;BB15&amp;")"</f>
        <v>IF('Input Nilai Pengetahuan'!AG31="";"";'Input Nilai Pengetahuan'!AG31)</v>
      </c>
      <c r="BD19" s="42" t="str">
        <f>$B$19&amp;BD15&amp;"="&amp;$C$19&amp;BD15&amp;")"</f>
        <v>IF('Input Nilai Pengetahuan'!AG32="";"";'Input Nilai Pengetahuan'!AG32)</v>
      </c>
      <c r="BF19" s="42" t="str">
        <f>$B$19&amp;BF15&amp;"="&amp;$C$19&amp;BF15&amp;")"</f>
        <v>IF('Input Nilai Pengetahuan'!AG33="";"";'Input Nilai Pengetahuan'!AG33)</v>
      </c>
      <c r="BH19" s="42" t="str">
        <f>$B$19&amp;BH15&amp;"="&amp;$C$19&amp;BH15&amp;")"</f>
        <v>IF('Input Nilai Pengetahuan'!AG34="";"";'Input Nilai Pengetahuan'!AG34)</v>
      </c>
      <c r="BJ19" s="42" t="str">
        <f>$B$19&amp;BJ15&amp;"="&amp;$C$19&amp;BJ15&amp;")"</f>
        <v>IF('Input Nilai Pengetahuan'!AG35="";"";'Input Nilai Pengetahuan'!AG35)</v>
      </c>
      <c r="BL19" s="42" t="str">
        <f>$B$19&amp;BL15&amp;"="&amp;$C$19&amp;BL15&amp;")"</f>
        <v>IF('Input Nilai Pengetahuan'!AG36="";"";'Input Nilai Pengetahuan'!AG36)</v>
      </c>
      <c r="BN19" s="42" t="str">
        <f>$B$19&amp;BN15&amp;"="&amp;$C$19&amp;BN15&amp;")"</f>
        <v>IF('Input Nilai Pengetahuan'!AG37="";"";'Input Nilai Pengetahuan'!AG37)</v>
      </c>
      <c r="BP19" s="42" t="str">
        <f>$B$19&amp;BP15&amp;"="&amp;$C$19&amp;BP15&amp;")"</f>
        <v>IF('Input Nilai Pengetahuan'!AG38="";"";'Input Nilai Pengetahuan'!AG38)</v>
      </c>
      <c r="BR19" s="42" t="str">
        <f>$B$19&amp;BR15&amp;"="&amp;$C$19&amp;BR15&amp;")"</f>
        <v>IF('Input Nilai Pengetahuan'!AG39="";"";'Input Nilai Pengetahuan'!AG39)</v>
      </c>
      <c r="BT19" s="42" t="str">
        <f>$B$19&amp;BT15&amp;"="&amp;$C$19&amp;BT15&amp;")"</f>
        <v>IF('Input Nilai Pengetahuan'!AG40="";"";'Input Nilai Pengetahuan'!AG40)</v>
      </c>
      <c r="BV19" s="42" t="str">
        <f>$B$19&amp;BV15&amp;"="&amp;$C$19&amp;BV15&amp;")"</f>
        <v>IF('Input Nilai Pengetahuan'!AG41="";"";'Input Nilai Pengetahuan'!AG41)</v>
      </c>
      <c r="BX19" s="42" t="str">
        <f>$B$19&amp;BX15&amp;"="&amp;$C$19&amp;BX15&amp;")"</f>
        <v>IF('Input Nilai Pengetahuan'!AG42="";"";'Input Nilai Pengetahuan'!AG42)</v>
      </c>
      <c r="BZ19" s="42" t="str">
        <f>$B$19&amp;BZ15&amp;"="&amp;$C$19&amp;BZ15&amp;")"</f>
        <v>IF('Input Nilai Pengetahuan'!AG43="";"";'Input Nilai Pengetahuan'!AG43)</v>
      </c>
      <c r="CB19" s="42" t="str">
        <f>$B$19&amp;CB15&amp;"="&amp;$C$19&amp;CB15&amp;")"</f>
        <v>IF('Input Nilai Pengetahuan'!AG44="";"";'Input Nilai Pengetahuan'!AG44)</v>
      </c>
      <c r="CD19" s="42" t="str">
        <f>$B$19&amp;CD15&amp;"="&amp;$C$19&amp;CD15&amp;")"</f>
        <v>IF('Input Nilai Pengetahuan'!AG45="";"";'Input Nilai Pengetahuan'!AG45)</v>
      </c>
      <c r="CF19" s="42" t="str">
        <f>$B$19&amp;CF15&amp;"="&amp;$C$19&amp;CF15&amp;")"</f>
        <v>IF('Input Nilai Pengetahuan'!AG46="";"";'Input Nilai Pengetahuan'!AG46)</v>
      </c>
      <c r="CH19" s="42" t="str">
        <f>$B$19&amp;CH15&amp;"="&amp;$C$19&amp;CH15&amp;")"</f>
        <v>IF('Input Nilai Pengetahuan'!AG47="";"";'Input Nilai Pengetahuan'!AG47)</v>
      </c>
      <c r="CJ19" s="42" t="str">
        <f>$B$19&amp;CJ15&amp;"="&amp;$C$19&amp;CJ15&amp;")"</f>
        <v>IF('Input Nilai Pengetahuan'!AG48="";"";'Input Nilai Pengetahuan'!AG48)</v>
      </c>
      <c r="CL19" s="42" t="str">
        <f>$B$19&amp;CL15&amp;"="&amp;$C$19&amp;CL15&amp;")"</f>
        <v>IF('Input Nilai Pengetahuan'!AG49="";"";'Input Nilai Pengetahuan'!AG49)</v>
      </c>
      <c r="CN19" s="42" t="str">
        <f>$B$19&amp;CN15&amp;"="&amp;$C$19&amp;CN15&amp;")"</f>
        <v>IF('Input Nilai Pengetahuan'!AG50="";"";'Input Nilai Pengetahuan'!AG50)</v>
      </c>
      <c r="CP19" s="42" t="str">
        <f>$B$19&amp;CP15&amp;"="&amp;$C$19&amp;CP15&amp;")"</f>
        <v>IF('Input Nilai Pengetahuan'!AG51="";"";'Input Nilai Pengetahuan'!AG51)</v>
      </c>
      <c r="CR19" s="42" t="str">
        <f>$B$19&amp;CR15&amp;"="&amp;$C$19&amp;CR15&amp;")"</f>
        <v>IF('Input Nilai Pengetahuan'!AG52="";"";'Input Nilai Pengetahuan'!AG52)</v>
      </c>
    </row>
    <row r="20" spans="1:96">
      <c r="A20" s="72">
        <v>5</v>
      </c>
      <c r="B20" s="42" t="s">
        <v>341</v>
      </c>
      <c r="C20" s="42" t="s">
        <v>350</v>
      </c>
      <c r="D20" s="42" t="str">
        <f>$B$20&amp;D15&amp;"="&amp;$C$20&amp;D15&amp;")"</f>
        <v>IF('Input Nilai Pengetahuan'!AN6="";"";'Input Nilai Pengetahuan'!AN6)</v>
      </c>
      <c r="F20" s="42" t="str">
        <f>$B$20&amp;F15&amp;"="&amp;$C$20&amp;F15&amp;")"</f>
        <v>IF('Input Nilai Pengetahuan'!AN7="";"";'Input Nilai Pengetahuan'!AN7)</v>
      </c>
      <c r="H20" s="42" t="str">
        <f>$B$20&amp;H15&amp;"="&amp;$C$20&amp;H15&amp;")"</f>
        <v>IF('Input Nilai Pengetahuan'!AN8="";"";'Input Nilai Pengetahuan'!AN8)</v>
      </c>
      <c r="J20" s="42" t="str">
        <f>$B$20&amp;J15&amp;"="&amp;$C$20&amp;J15&amp;")"</f>
        <v>IF('Input Nilai Pengetahuan'!AN9="";"";'Input Nilai Pengetahuan'!AN9)</v>
      </c>
      <c r="L20" s="42" t="str">
        <f>$B$20&amp;L15&amp;"="&amp;$C$20&amp;L15&amp;")"</f>
        <v>IF('Input Nilai Pengetahuan'!AN10="";"";'Input Nilai Pengetahuan'!AN10)</v>
      </c>
      <c r="N20" s="42" t="str">
        <f>$B$20&amp;N15&amp;"="&amp;$C$20&amp;N15&amp;")"</f>
        <v>IF('Input Nilai Pengetahuan'!AN11="";"";'Input Nilai Pengetahuan'!AN11)</v>
      </c>
      <c r="P20" s="42" t="str">
        <f>$B$20&amp;P15&amp;"="&amp;$C$20&amp;P15&amp;")"</f>
        <v>IF('Input Nilai Pengetahuan'!AN12="";"";'Input Nilai Pengetahuan'!AN12)</v>
      </c>
      <c r="R20" s="42" t="str">
        <f>$B$20&amp;R15&amp;"="&amp;$C$20&amp;R15&amp;")"</f>
        <v>IF('Input Nilai Pengetahuan'!AN13="";"";'Input Nilai Pengetahuan'!AN13)</v>
      </c>
      <c r="T20" s="42" t="str">
        <f>$B$20&amp;T15&amp;"="&amp;$C$20&amp;T15&amp;")"</f>
        <v>IF('Input Nilai Pengetahuan'!AN14="";"";'Input Nilai Pengetahuan'!AN14)</v>
      </c>
      <c r="V20" s="42" t="str">
        <f>$B$20&amp;V15&amp;"="&amp;$C$20&amp;V15&amp;")"</f>
        <v>IF('Input Nilai Pengetahuan'!AN15="";"";'Input Nilai Pengetahuan'!AN15)</v>
      </c>
      <c r="X20" s="42" t="str">
        <f>$B$20&amp;X15&amp;"="&amp;$C$20&amp;X15&amp;")"</f>
        <v>IF('Input Nilai Pengetahuan'!AN16="";"";'Input Nilai Pengetahuan'!AN16)</v>
      </c>
      <c r="Z20" s="42" t="str">
        <f>$B$20&amp;Z15&amp;"="&amp;$C$20&amp;Z15&amp;")"</f>
        <v>IF('Input Nilai Pengetahuan'!AN17="";"";'Input Nilai Pengetahuan'!AN17)</v>
      </c>
      <c r="AB20" s="42" t="str">
        <f>$B$20&amp;AB15&amp;"="&amp;$C$20&amp;AB15&amp;")"</f>
        <v>IF('Input Nilai Pengetahuan'!AN18="";"";'Input Nilai Pengetahuan'!AN18)</v>
      </c>
      <c r="AD20" s="42" t="str">
        <f>$B$20&amp;AD15&amp;"="&amp;$C$20&amp;AD15&amp;")"</f>
        <v>IF('Input Nilai Pengetahuan'!AN19="";"";'Input Nilai Pengetahuan'!AN19)</v>
      </c>
      <c r="AF20" s="42" t="str">
        <f>$B$20&amp;AF15&amp;"="&amp;$C$20&amp;AF15&amp;")"</f>
        <v>IF('Input Nilai Pengetahuan'!AN20="";"";'Input Nilai Pengetahuan'!AN20)</v>
      </c>
      <c r="AH20" s="42" t="str">
        <f>$B$20&amp;AH15&amp;"="&amp;$C$20&amp;AH15&amp;")"</f>
        <v>IF('Input Nilai Pengetahuan'!AN21="";"";'Input Nilai Pengetahuan'!AN21)</v>
      </c>
      <c r="AJ20" s="42" t="str">
        <f>$B$20&amp;AJ15&amp;"="&amp;$C$20&amp;AJ15&amp;")"</f>
        <v>IF('Input Nilai Pengetahuan'!AN22="";"";'Input Nilai Pengetahuan'!AN22)</v>
      </c>
      <c r="AL20" s="42" t="str">
        <f>$B$20&amp;AL15&amp;"="&amp;$C$20&amp;AL15&amp;")"</f>
        <v>IF('Input Nilai Pengetahuan'!AN23="";"";'Input Nilai Pengetahuan'!AN23)</v>
      </c>
      <c r="AN20" s="42" t="str">
        <f>$B$20&amp;AN15&amp;"="&amp;$C$20&amp;AN15&amp;")"</f>
        <v>IF('Input Nilai Pengetahuan'!AN24="";"";'Input Nilai Pengetahuan'!AN24)</v>
      </c>
      <c r="AP20" s="42" t="str">
        <f>$B$20&amp;AP15&amp;"="&amp;$C$20&amp;AP15&amp;")"</f>
        <v>IF('Input Nilai Pengetahuan'!AN25="";"";'Input Nilai Pengetahuan'!AN25)</v>
      </c>
      <c r="AR20" s="42" t="str">
        <f>$B$20&amp;AR15&amp;"="&amp;$C$20&amp;AR15&amp;")"</f>
        <v>IF('Input Nilai Pengetahuan'!AN26="";"";'Input Nilai Pengetahuan'!AN26)</v>
      </c>
      <c r="AT20" s="42" t="str">
        <f>$B$20&amp;AT15&amp;"="&amp;$C$20&amp;AT15&amp;")"</f>
        <v>IF('Input Nilai Pengetahuan'!AN27="";"";'Input Nilai Pengetahuan'!AN27)</v>
      </c>
      <c r="AV20" s="42" t="str">
        <f>$B$20&amp;AV15&amp;"="&amp;$C$20&amp;AV15&amp;")"</f>
        <v>IF('Input Nilai Pengetahuan'!AN28="";"";'Input Nilai Pengetahuan'!AN28)</v>
      </c>
      <c r="AX20" s="42" t="str">
        <f>$B$20&amp;AX15&amp;"="&amp;$C$20&amp;AX15&amp;")"</f>
        <v>IF('Input Nilai Pengetahuan'!AN29="";"";'Input Nilai Pengetahuan'!AN29)</v>
      </c>
      <c r="AZ20" s="42" t="str">
        <f>$B$20&amp;AZ15&amp;"="&amp;$C$20&amp;AZ15&amp;")"</f>
        <v>IF('Input Nilai Pengetahuan'!AN30="";"";'Input Nilai Pengetahuan'!AN30)</v>
      </c>
      <c r="BB20" s="42" t="str">
        <f>$B$20&amp;BB15&amp;"="&amp;$C$20&amp;BB15&amp;")"</f>
        <v>IF('Input Nilai Pengetahuan'!AN31="";"";'Input Nilai Pengetahuan'!AN31)</v>
      </c>
      <c r="BD20" s="42" t="str">
        <f>$B$20&amp;BD15&amp;"="&amp;$C$20&amp;BD15&amp;")"</f>
        <v>IF('Input Nilai Pengetahuan'!AN32="";"";'Input Nilai Pengetahuan'!AN32)</v>
      </c>
      <c r="BF20" s="42" t="str">
        <f>$B$20&amp;BF15&amp;"="&amp;$C$20&amp;BF15&amp;")"</f>
        <v>IF('Input Nilai Pengetahuan'!AN33="";"";'Input Nilai Pengetahuan'!AN33)</v>
      </c>
      <c r="BH20" s="42" t="str">
        <f>$B$20&amp;BH15&amp;"="&amp;$C$20&amp;BH15&amp;")"</f>
        <v>IF('Input Nilai Pengetahuan'!AN34="";"";'Input Nilai Pengetahuan'!AN34)</v>
      </c>
      <c r="BJ20" s="42" t="str">
        <f>$B$20&amp;BJ15&amp;"="&amp;$C$20&amp;BJ15&amp;")"</f>
        <v>IF('Input Nilai Pengetahuan'!AN35="";"";'Input Nilai Pengetahuan'!AN35)</v>
      </c>
      <c r="BL20" s="42" t="str">
        <f>$B$20&amp;BL15&amp;"="&amp;$C$20&amp;BL15&amp;")"</f>
        <v>IF('Input Nilai Pengetahuan'!AN36="";"";'Input Nilai Pengetahuan'!AN36)</v>
      </c>
      <c r="BN20" s="42" t="str">
        <f>$B$20&amp;BN15&amp;"="&amp;$C$20&amp;BN15&amp;")"</f>
        <v>IF('Input Nilai Pengetahuan'!AN37="";"";'Input Nilai Pengetahuan'!AN37)</v>
      </c>
      <c r="BP20" s="42" t="str">
        <f>$B$20&amp;BP15&amp;"="&amp;$C$20&amp;BP15&amp;")"</f>
        <v>IF('Input Nilai Pengetahuan'!AN38="";"";'Input Nilai Pengetahuan'!AN38)</v>
      </c>
      <c r="BR20" s="42" t="str">
        <f>$B$20&amp;BR15&amp;"="&amp;$C$20&amp;BR15&amp;")"</f>
        <v>IF('Input Nilai Pengetahuan'!AN39="";"";'Input Nilai Pengetahuan'!AN39)</v>
      </c>
      <c r="BT20" s="42" t="str">
        <f>$B$20&amp;BT15&amp;"="&amp;$C$20&amp;BT15&amp;")"</f>
        <v>IF('Input Nilai Pengetahuan'!AN40="";"";'Input Nilai Pengetahuan'!AN40)</v>
      </c>
      <c r="BV20" s="42" t="str">
        <f>$B$20&amp;BV15&amp;"="&amp;$C$20&amp;BV15&amp;")"</f>
        <v>IF('Input Nilai Pengetahuan'!AN41="";"";'Input Nilai Pengetahuan'!AN41)</v>
      </c>
      <c r="BX20" s="42" t="str">
        <f>$B$20&amp;BX15&amp;"="&amp;$C$20&amp;BX15&amp;")"</f>
        <v>IF('Input Nilai Pengetahuan'!AN42="";"";'Input Nilai Pengetahuan'!AN42)</v>
      </c>
      <c r="BZ20" s="42" t="str">
        <f>$B$20&amp;BZ15&amp;"="&amp;$C$20&amp;BZ15&amp;")"</f>
        <v>IF('Input Nilai Pengetahuan'!AN43="";"";'Input Nilai Pengetahuan'!AN43)</v>
      </c>
      <c r="CB20" s="42" t="str">
        <f>$B$20&amp;CB15&amp;"="&amp;$C$20&amp;CB15&amp;")"</f>
        <v>IF('Input Nilai Pengetahuan'!AN44="";"";'Input Nilai Pengetahuan'!AN44)</v>
      </c>
      <c r="CD20" s="42" t="str">
        <f>$B$20&amp;CD15&amp;"="&amp;$C$20&amp;CD15&amp;")"</f>
        <v>IF('Input Nilai Pengetahuan'!AN45="";"";'Input Nilai Pengetahuan'!AN45)</v>
      </c>
      <c r="CF20" s="42" t="str">
        <f>$B$20&amp;CF15&amp;"="&amp;$C$20&amp;CF15&amp;")"</f>
        <v>IF('Input Nilai Pengetahuan'!AN46="";"";'Input Nilai Pengetahuan'!AN46)</v>
      </c>
      <c r="CH20" s="42" t="str">
        <f>$B$20&amp;CH15&amp;"="&amp;$C$20&amp;CH15&amp;")"</f>
        <v>IF('Input Nilai Pengetahuan'!AN47="";"";'Input Nilai Pengetahuan'!AN47)</v>
      </c>
      <c r="CJ20" s="42" t="str">
        <f>$B$20&amp;CJ15&amp;"="&amp;$C$20&amp;CJ15&amp;")"</f>
        <v>IF('Input Nilai Pengetahuan'!AN48="";"";'Input Nilai Pengetahuan'!AN48)</v>
      </c>
      <c r="CL20" s="42" t="str">
        <f>$B$20&amp;CL15&amp;"="&amp;$C$20&amp;CL15&amp;")"</f>
        <v>IF('Input Nilai Pengetahuan'!AN49="";"";'Input Nilai Pengetahuan'!AN49)</v>
      </c>
      <c r="CN20" s="42" t="str">
        <f>$B$20&amp;CN15&amp;"="&amp;$C$20&amp;CN15&amp;")"</f>
        <v>IF('Input Nilai Pengetahuan'!AN50="";"";'Input Nilai Pengetahuan'!AN50)</v>
      </c>
      <c r="CP20" s="42" t="str">
        <f>$B$20&amp;CP15&amp;"="&amp;$C$20&amp;CP15&amp;")"</f>
        <v>IF('Input Nilai Pengetahuan'!AN51="";"";'Input Nilai Pengetahuan'!AN51)</v>
      </c>
      <c r="CR20" s="42" t="str">
        <f>$B$20&amp;CR15&amp;"="&amp;$C$20&amp;CR15&amp;")"</f>
        <v>IF('Input Nilai Pengetahuan'!AN52="";"";'Input Nilai Pengetahuan'!AN52)</v>
      </c>
    </row>
    <row r="21" spans="1:96">
      <c r="A21" s="72">
        <v>6</v>
      </c>
      <c r="B21" s="42" t="s">
        <v>342</v>
      </c>
      <c r="C21" s="42" t="s">
        <v>351</v>
      </c>
      <c r="D21" s="42" t="str">
        <f>$B$21&amp;D15&amp;"="&amp;$C$21&amp;D15&amp;")"</f>
        <v>IF('Input Nilai Pengetahuan'!AU6="";"";'Input Nilai Pengetahuan'!AU6)</v>
      </c>
      <c r="F21" s="42" t="str">
        <f>$B$21&amp;F15&amp;"="&amp;$C$21&amp;F15&amp;")"</f>
        <v>IF('Input Nilai Pengetahuan'!AU7="";"";'Input Nilai Pengetahuan'!AU7)</v>
      </c>
      <c r="H21" s="42" t="str">
        <f>$B$21&amp;H15&amp;"="&amp;$C$21&amp;H15&amp;")"</f>
        <v>IF('Input Nilai Pengetahuan'!AU8="";"";'Input Nilai Pengetahuan'!AU8)</v>
      </c>
      <c r="J21" s="42" t="str">
        <f>$B$21&amp;J15&amp;"="&amp;$C$21&amp;J15&amp;")"</f>
        <v>IF('Input Nilai Pengetahuan'!AU9="";"";'Input Nilai Pengetahuan'!AU9)</v>
      </c>
      <c r="L21" s="42" t="str">
        <f>$B$21&amp;L15&amp;"="&amp;$C$21&amp;L15&amp;")"</f>
        <v>IF('Input Nilai Pengetahuan'!AU10="";"";'Input Nilai Pengetahuan'!AU10)</v>
      </c>
      <c r="N21" s="42" t="str">
        <f>$B$21&amp;N15&amp;"="&amp;$C$21&amp;N15&amp;")"</f>
        <v>IF('Input Nilai Pengetahuan'!AU11="";"";'Input Nilai Pengetahuan'!AU11)</v>
      </c>
      <c r="P21" s="42" t="str">
        <f>$B$21&amp;P15&amp;"="&amp;$C$21&amp;P15&amp;")"</f>
        <v>IF('Input Nilai Pengetahuan'!AU12="";"";'Input Nilai Pengetahuan'!AU12)</v>
      </c>
      <c r="R21" s="42" t="str">
        <f>$B$21&amp;R15&amp;"="&amp;$C$21&amp;R15&amp;")"</f>
        <v>IF('Input Nilai Pengetahuan'!AU13="";"";'Input Nilai Pengetahuan'!AU13)</v>
      </c>
      <c r="T21" s="42" t="str">
        <f>$B$21&amp;T15&amp;"="&amp;$C$21&amp;T15&amp;")"</f>
        <v>IF('Input Nilai Pengetahuan'!AU14="";"";'Input Nilai Pengetahuan'!AU14)</v>
      </c>
      <c r="V21" s="42" t="str">
        <f>$B$21&amp;V15&amp;"="&amp;$C$21&amp;V15&amp;")"</f>
        <v>IF('Input Nilai Pengetahuan'!AU15="";"";'Input Nilai Pengetahuan'!AU15)</v>
      </c>
      <c r="X21" s="42" t="str">
        <f>$B$21&amp;X15&amp;"="&amp;$C$21&amp;X15&amp;")"</f>
        <v>IF('Input Nilai Pengetahuan'!AU16="";"";'Input Nilai Pengetahuan'!AU16)</v>
      </c>
      <c r="Z21" s="42" t="str">
        <f>$B$21&amp;Z15&amp;"="&amp;$C$21&amp;Z15&amp;")"</f>
        <v>IF('Input Nilai Pengetahuan'!AU17="";"";'Input Nilai Pengetahuan'!AU17)</v>
      </c>
      <c r="AB21" s="42" t="str">
        <f>$B$21&amp;AB15&amp;"="&amp;$C$21&amp;AB15&amp;")"</f>
        <v>IF('Input Nilai Pengetahuan'!AU18="";"";'Input Nilai Pengetahuan'!AU18)</v>
      </c>
      <c r="AD21" s="42" t="str">
        <f>$B$21&amp;AD15&amp;"="&amp;$C$21&amp;AD15&amp;")"</f>
        <v>IF('Input Nilai Pengetahuan'!AU19="";"";'Input Nilai Pengetahuan'!AU19)</v>
      </c>
      <c r="AF21" s="42" t="str">
        <f>$B$21&amp;AF15&amp;"="&amp;$C$21&amp;AF15&amp;")"</f>
        <v>IF('Input Nilai Pengetahuan'!AU20="";"";'Input Nilai Pengetahuan'!AU20)</v>
      </c>
      <c r="AH21" s="42" t="str">
        <f>$B$21&amp;AH15&amp;"="&amp;$C$21&amp;AH15&amp;")"</f>
        <v>IF('Input Nilai Pengetahuan'!AU21="";"";'Input Nilai Pengetahuan'!AU21)</v>
      </c>
      <c r="AJ21" s="42" t="str">
        <f>$B$21&amp;AJ15&amp;"="&amp;$C$21&amp;AJ15&amp;")"</f>
        <v>IF('Input Nilai Pengetahuan'!AU22="";"";'Input Nilai Pengetahuan'!AU22)</v>
      </c>
      <c r="AL21" s="42" t="str">
        <f>$B$21&amp;AL15&amp;"="&amp;$C$21&amp;AL15&amp;")"</f>
        <v>IF('Input Nilai Pengetahuan'!AU23="";"";'Input Nilai Pengetahuan'!AU23)</v>
      </c>
      <c r="AN21" s="42" t="str">
        <f>$B$21&amp;AN15&amp;"="&amp;$C$21&amp;AN15&amp;")"</f>
        <v>IF('Input Nilai Pengetahuan'!AU24="";"";'Input Nilai Pengetahuan'!AU24)</v>
      </c>
      <c r="AP21" s="42" t="str">
        <f>$B$21&amp;AP15&amp;"="&amp;$C$21&amp;AP15&amp;")"</f>
        <v>IF('Input Nilai Pengetahuan'!AU25="";"";'Input Nilai Pengetahuan'!AU25)</v>
      </c>
      <c r="AR21" s="42" t="str">
        <f>$B$21&amp;AR15&amp;"="&amp;$C$21&amp;AR15&amp;")"</f>
        <v>IF('Input Nilai Pengetahuan'!AU26="";"";'Input Nilai Pengetahuan'!AU26)</v>
      </c>
      <c r="AT21" s="42" t="str">
        <f>$B$21&amp;AT15&amp;"="&amp;$C$21&amp;AT15&amp;")"</f>
        <v>IF('Input Nilai Pengetahuan'!AU27="";"";'Input Nilai Pengetahuan'!AU27)</v>
      </c>
      <c r="AV21" s="42" t="str">
        <f>$B$21&amp;AV15&amp;"="&amp;$C$21&amp;AV15&amp;")"</f>
        <v>IF('Input Nilai Pengetahuan'!AU28="";"";'Input Nilai Pengetahuan'!AU28)</v>
      </c>
      <c r="AX21" s="42" t="str">
        <f>$B$21&amp;AX15&amp;"="&amp;$C$21&amp;AX15&amp;")"</f>
        <v>IF('Input Nilai Pengetahuan'!AU29="";"";'Input Nilai Pengetahuan'!AU29)</v>
      </c>
      <c r="AZ21" s="42" t="str">
        <f>$B$21&amp;AZ15&amp;"="&amp;$C$21&amp;AZ15&amp;")"</f>
        <v>IF('Input Nilai Pengetahuan'!AU30="";"";'Input Nilai Pengetahuan'!AU30)</v>
      </c>
      <c r="BB21" s="42" t="str">
        <f>$B$21&amp;BB15&amp;"="&amp;$C$21&amp;BB15&amp;")"</f>
        <v>IF('Input Nilai Pengetahuan'!AU31="";"";'Input Nilai Pengetahuan'!AU31)</v>
      </c>
      <c r="BD21" s="42" t="str">
        <f>$B$21&amp;BD15&amp;"="&amp;$C$21&amp;BD15&amp;")"</f>
        <v>IF('Input Nilai Pengetahuan'!AU32="";"";'Input Nilai Pengetahuan'!AU32)</v>
      </c>
      <c r="BF21" s="42" t="str">
        <f>$B$21&amp;BF15&amp;"="&amp;$C$21&amp;BF15&amp;")"</f>
        <v>IF('Input Nilai Pengetahuan'!AU33="";"";'Input Nilai Pengetahuan'!AU33)</v>
      </c>
      <c r="BH21" s="42" t="str">
        <f>$B$21&amp;BH15&amp;"="&amp;$C$21&amp;BH15&amp;")"</f>
        <v>IF('Input Nilai Pengetahuan'!AU34="";"";'Input Nilai Pengetahuan'!AU34)</v>
      </c>
      <c r="BJ21" s="42" t="str">
        <f>$B$21&amp;BJ15&amp;"="&amp;$C$21&amp;BJ15&amp;")"</f>
        <v>IF('Input Nilai Pengetahuan'!AU35="";"";'Input Nilai Pengetahuan'!AU35)</v>
      </c>
      <c r="BL21" s="42" t="str">
        <f>$B$21&amp;BL15&amp;"="&amp;$C$21&amp;BL15&amp;")"</f>
        <v>IF('Input Nilai Pengetahuan'!AU36="";"";'Input Nilai Pengetahuan'!AU36)</v>
      </c>
      <c r="BN21" s="42" t="str">
        <f>$B$21&amp;BN15&amp;"="&amp;$C$21&amp;BN15&amp;")"</f>
        <v>IF('Input Nilai Pengetahuan'!AU37="";"";'Input Nilai Pengetahuan'!AU37)</v>
      </c>
      <c r="BP21" s="42" t="str">
        <f>$B$21&amp;BP15&amp;"="&amp;$C$21&amp;BP15&amp;")"</f>
        <v>IF('Input Nilai Pengetahuan'!AU38="";"";'Input Nilai Pengetahuan'!AU38)</v>
      </c>
      <c r="BR21" s="42" t="str">
        <f>$B$21&amp;BR15&amp;"="&amp;$C$21&amp;BR15&amp;")"</f>
        <v>IF('Input Nilai Pengetahuan'!AU39="";"";'Input Nilai Pengetahuan'!AU39)</v>
      </c>
      <c r="BT21" s="42" t="str">
        <f>$B$21&amp;BT15&amp;"="&amp;$C$21&amp;BT15&amp;")"</f>
        <v>IF('Input Nilai Pengetahuan'!AU40="";"";'Input Nilai Pengetahuan'!AU40)</v>
      </c>
      <c r="BV21" s="42" t="str">
        <f>$B$21&amp;BV15&amp;"="&amp;$C$21&amp;BV15&amp;")"</f>
        <v>IF('Input Nilai Pengetahuan'!AU41="";"";'Input Nilai Pengetahuan'!AU41)</v>
      </c>
      <c r="BX21" s="42" t="str">
        <f>$B$21&amp;BX15&amp;"="&amp;$C$21&amp;BX15&amp;")"</f>
        <v>IF('Input Nilai Pengetahuan'!AU42="";"";'Input Nilai Pengetahuan'!AU42)</v>
      </c>
      <c r="BZ21" s="42" t="str">
        <f>$B$21&amp;BZ15&amp;"="&amp;$C$21&amp;BZ15&amp;")"</f>
        <v>IF('Input Nilai Pengetahuan'!AU43="";"";'Input Nilai Pengetahuan'!AU43)</v>
      </c>
      <c r="CB21" s="42" t="str">
        <f>$B$21&amp;CB15&amp;"="&amp;$C$21&amp;CB15&amp;")"</f>
        <v>IF('Input Nilai Pengetahuan'!AU44="";"";'Input Nilai Pengetahuan'!AU44)</v>
      </c>
      <c r="CD21" s="42" t="str">
        <f>$B$21&amp;CD15&amp;"="&amp;$C$21&amp;CD15&amp;")"</f>
        <v>IF('Input Nilai Pengetahuan'!AU45="";"";'Input Nilai Pengetahuan'!AU45)</v>
      </c>
      <c r="CF21" s="42" t="str">
        <f>$B$21&amp;CF15&amp;"="&amp;$C$21&amp;CF15&amp;")"</f>
        <v>IF('Input Nilai Pengetahuan'!AU46="";"";'Input Nilai Pengetahuan'!AU46)</v>
      </c>
      <c r="CH21" s="42" t="str">
        <f>$B$21&amp;CH15&amp;"="&amp;$C$21&amp;CH15&amp;")"</f>
        <v>IF('Input Nilai Pengetahuan'!AU47="";"";'Input Nilai Pengetahuan'!AU47)</v>
      </c>
      <c r="CJ21" s="42" t="str">
        <f>$B$21&amp;CJ15&amp;"="&amp;$C$21&amp;CJ15&amp;")"</f>
        <v>IF('Input Nilai Pengetahuan'!AU48="";"";'Input Nilai Pengetahuan'!AU48)</v>
      </c>
      <c r="CL21" s="42" t="str">
        <f>$B$21&amp;CL15&amp;"="&amp;$C$21&amp;CL15&amp;")"</f>
        <v>IF('Input Nilai Pengetahuan'!AU49="";"";'Input Nilai Pengetahuan'!AU49)</v>
      </c>
      <c r="CN21" s="42" t="str">
        <f>$B$21&amp;CN15&amp;"="&amp;$C$21&amp;CN15&amp;")"</f>
        <v>IF('Input Nilai Pengetahuan'!AU50="";"";'Input Nilai Pengetahuan'!AU50)</v>
      </c>
      <c r="CP21" s="42" t="str">
        <f>$B$21&amp;CP15&amp;"="&amp;$C$21&amp;CP15&amp;")"</f>
        <v>IF('Input Nilai Pengetahuan'!AU51="";"";'Input Nilai Pengetahuan'!AU51)</v>
      </c>
      <c r="CR21" s="42" t="str">
        <f>$B$21&amp;CR15&amp;"="&amp;$C$21&amp;CR15&amp;")"</f>
        <v>IF('Input Nilai Pengetahuan'!AU52="";"";'Input Nilai Pengetahuan'!AU52)</v>
      </c>
    </row>
    <row r="22" spans="1:96">
      <c r="A22" s="72">
        <v>7</v>
      </c>
      <c r="B22" s="42" t="s">
        <v>403</v>
      </c>
      <c r="C22" s="42" t="s">
        <v>352</v>
      </c>
      <c r="D22" s="42" t="str">
        <f>$B$22&amp;D15&amp;"="&amp;$C$22&amp;D15&amp;")"</f>
        <v>IF('Input Nilai Pengetahuan'!BB6="";"";'Input Nilai Pengetahuan'!BB6)</v>
      </c>
      <c r="F22" s="42" t="str">
        <f>$B$22&amp;F15&amp;"="&amp;$C$22&amp;F15&amp;")"</f>
        <v>IF('Input Nilai Pengetahuan'!BB7="";"";'Input Nilai Pengetahuan'!BB7)</v>
      </c>
      <c r="H22" s="42" t="str">
        <f>$B$22&amp;H15&amp;"="&amp;$C$22&amp;H15&amp;")"</f>
        <v>IF('Input Nilai Pengetahuan'!BB8="";"";'Input Nilai Pengetahuan'!BB8)</v>
      </c>
      <c r="J22" s="42" t="str">
        <f>$B$22&amp;J15&amp;"="&amp;$C$22&amp;J15&amp;")"</f>
        <v>IF('Input Nilai Pengetahuan'!BB9="";"";'Input Nilai Pengetahuan'!BB9)</v>
      </c>
      <c r="L22" s="42" t="str">
        <f>$B$22&amp;L15&amp;"="&amp;$C$22&amp;L15&amp;")"</f>
        <v>IF('Input Nilai Pengetahuan'!BB10="";"";'Input Nilai Pengetahuan'!BB10)</v>
      </c>
      <c r="N22" s="42" t="str">
        <f>$B$22&amp;N15&amp;"="&amp;$C$22&amp;N15&amp;")"</f>
        <v>IF('Input Nilai Pengetahuan'!BB11="";"";'Input Nilai Pengetahuan'!BB11)</v>
      </c>
      <c r="P22" s="42" t="str">
        <f>$B$22&amp;P15&amp;"="&amp;$C$22&amp;P15&amp;")"</f>
        <v>IF('Input Nilai Pengetahuan'!BB12="";"";'Input Nilai Pengetahuan'!BB12)</v>
      </c>
      <c r="R22" s="42" t="str">
        <f>$B$22&amp;R15&amp;"="&amp;$C$22&amp;R15&amp;")"</f>
        <v>IF('Input Nilai Pengetahuan'!BB13="";"";'Input Nilai Pengetahuan'!BB13)</v>
      </c>
      <c r="T22" s="42" t="str">
        <f>$B$22&amp;T15&amp;"="&amp;$C$22&amp;T15&amp;")"</f>
        <v>IF('Input Nilai Pengetahuan'!BB14="";"";'Input Nilai Pengetahuan'!BB14)</v>
      </c>
      <c r="V22" s="42" t="str">
        <f>$B$22&amp;V15&amp;"="&amp;$C$22&amp;V15&amp;")"</f>
        <v>IF('Input Nilai Pengetahuan'!BB15="";"";'Input Nilai Pengetahuan'!BB15)</v>
      </c>
      <c r="X22" s="42" t="str">
        <f>$B$22&amp;X15&amp;"="&amp;$C$22&amp;X15&amp;")"</f>
        <v>IF('Input Nilai Pengetahuan'!BB16="";"";'Input Nilai Pengetahuan'!BB16)</v>
      </c>
      <c r="Z22" s="42" t="str">
        <f>$B$22&amp;Z15&amp;"="&amp;$C$22&amp;Z15&amp;")"</f>
        <v>IF('Input Nilai Pengetahuan'!BB17="";"";'Input Nilai Pengetahuan'!BB17)</v>
      </c>
      <c r="AB22" s="42" t="str">
        <f>$B$22&amp;AB15&amp;"="&amp;$C$22&amp;AB15&amp;")"</f>
        <v>IF('Input Nilai Pengetahuan'!BB18="";"";'Input Nilai Pengetahuan'!BB18)</v>
      </c>
      <c r="AD22" s="42" t="str">
        <f>$B$22&amp;AD15&amp;"="&amp;$C$22&amp;AD15&amp;")"</f>
        <v>IF('Input Nilai Pengetahuan'!BB19="";"";'Input Nilai Pengetahuan'!BB19)</v>
      </c>
      <c r="AF22" s="42" t="str">
        <f>$B$22&amp;AF15&amp;"="&amp;$C$22&amp;AF15&amp;")"</f>
        <v>IF('Input Nilai Pengetahuan'!BB20="";"";'Input Nilai Pengetahuan'!BB20)</v>
      </c>
      <c r="AH22" s="42" t="str">
        <f>$B$22&amp;AH15&amp;"="&amp;$C$22&amp;AH15&amp;")"</f>
        <v>IF('Input Nilai Pengetahuan'!BB21="";"";'Input Nilai Pengetahuan'!BB21)</v>
      </c>
      <c r="AJ22" s="42" t="str">
        <f>$B$22&amp;AJ15&amp;"="&amp;$C$22&amp;AJ15&amp;")"</f>
        <v>IF('Input Nilai Pengetahuan'!BB22="";"";'Input Nilai Pengetahuan'!BB22)</v>
      </c>
      <c r="AL22" s="42" t="str">
        <f>$B$22&amp;AL15&amp;"="&amp;$C$22&amp;AL15&amp;")"</f>
        <v>IF('Input Nilai Pengetahuan'!BB23="";"";'Input Nilai Pengetahuan'!BB23)</v>
      </c>
      <c r="AN22" s="42" t="str">
        <f>$B$22&amp;AN15&amp;"="&amp;$C$22&amp;AN15&amp;")"</f>
        <v>IF('Input Nilai Pengetahuan'!BB24="";"";'Input Nilai Pengetahuan'!BB24)</v>
      </c>
      <c r="AP22" s="42" t="str">
        <f>$B$22&amp;AP15&amp;"="&amp;$C$22&amp;AP15&amp;")"</f>
        <v>IF('Input Nilai Pengetahuan'!BB25="";"";'Input Nilai Pengetahuan'!BB25)</v>
      </c>
      <c r="AR22" s="42" t="str">
        <f>$B$22&amp;AR15&amp;"="&amp;$C$22&amp;AR15&amp;")"</f>
        <v>IF('Input Nilai Pengetahuan'!BB26="";"";'Input Nilai Pengetahuan'!BB26)</v>
      </c>
      <c r="AT22" s="42" t="str">
        <f>$B$22&amp;AT15&amp;"="&amp;$C$22&amp;AT15&amp;")"</f>
        <v>IF('Input Nilai Pengetahuan'!BB27="";"";'Input Nilai Pengetahuan'!BB27)</v>
      </c>
      <c r="AV22" s="42" t="str">
        <f>$B$22&amp;AV15&amp;"="&amp;$C$22&amp;AV15&amp;")"</f>
        <v>IF('Input Nilai Pengetahuan'!BB28="";"";'Input Nilai Pengetahuan'!BB28)</v>
      </c>
      <c r="AX22" s="42" t="str">
        <f>$B$22&amp;AX15&amp;"="&amp;$C$22&amp;AX15&amp;")"</f>
        <v>IF('Input Nilai Pengetahuan'!BB29="";"";'Input Nilai Pengetahuan'!BB29)</v>
      </c>
      <c r="AZ22" s="42" t="str">
        <f>$B$22&amp;AZ15&amp;"="&amp;$C$22&amp;AZ15&amp;")"</f>
        <v>IF('Input Nilai Pengetahuan'!BB30="";"";'Input Nilai Pengetahuan'!BB30)</v>
      </c>
      <c r="BB22" s="42" t="str">
        <f>$B$22&amp;BB15&amp;"="&amp;$C$22&amp;BB15&amp;")"</f>
        <v>IF('Input Nilai Pengetahuan'!BB31="";"";'Input Nilai Pengetahuan'!BB31)</v>
      </c>
      <c r="BD22" s="42" t="str">
        <f>$B$22&amp;BD15&amp;"="&amp;$C$22&amp;BD15&amp;")"</f>
        <v>IF('Input Nilai Pengetahuan'!BB32="";"";'Input Nilai Pengetahuan'!BB32)</v>
      </c>
      <c r="BF22" s="42" t="str">
        <f>$B$22&amp;BF15&amp;"="&amp;$C$22&amp;BF15&amp;")"</f>
        <v>IF('Input Nilai Pengetahuan'!BB33="";"";'Input Nilai Pengetahuan'!BB33)</v>
      </c>
      <c r="BH22" s="42" t="str">
        <f>$B$22&amp;BH15&amp;"="&amp;$C$22&amp;BH15&amp;")"</f>
        <v>IF('Input Nilai Pengetahuan'!BB34="";"";'Input Nilai Pengetahuan'!BB34)</v>
      </c>
      <c r="BJ22" s="42" t="str">
        <f>$B$22&amp;BJ15&amp;"="&amp;$C$22&amp;BJ15&amp;")"</f>
        <v>IF('Input Nilai Pengetahuan'!BB35="";"";'Input Nilai Pengetahuan'!BB35)</v>
      </c>
      <c r="BL22" s="42" t="str">
        <f>$B$22&amp;BL15&amp;"="&amp;$C$22&amp;BL15&amp;")"</f>
        <v>IF('Input Nilai Pengetahuan'!BB36="";"";'Input Nilai Pengetahuan'!BB36)</v>
      </c>
      <c r="BN22" s="42" t="str">
        <f>$B$22&amp;BN15&amp;"="&amp;$C$22&amp;BN15&amp;")"</f>
        <v>IF('Input Nilai Pengetahuan'!BB37="";"";'Input Nilai Pengetahuan'!BB37)</v>
      </c>
      <c r="BP22" s="42" t="str">
        <f>$B$22&amp;BP15&amp;"="&amp;$C$22&amp;BP15&amp;")"</f>
        <v>IF('Input Nilai Pengetahuan'!BB38="";"";'Input Nilai Pengetahuan'!BB38)</v>
      </c>
      <c r="BR22" s="42" t="str">
        <f>$B$22&amp;BR15&amp;"="&amp;$C$22&amp;BR15&amp;")"</f>
        <v>IF('Input Nilai Pengetahuan'!BB39="";"";'Input Nilai Pengetahuan'!BB39)</v>
      </c>
      <c r="BT22" s="42" t="str">
        <f>$B$22&amp;BT15&amp;"="&amp;$C$22&amp;BT15&amp;")"</f>
        <v>IF('Input Nilai Pengetahuan'!BB40="";"";'Input Nilai Pengetahuan'!BB40)</v>
      </c>
      <c r="BV22" s="42" t="str">
        <f>$B$22&amp;BV15&amp;"="&amp;$C$22&amp;BV15&amp;")"</f>
        <v>IF('Input Nilai Pengetahuan'!BB41="";"";'Input Nilai Pengetahuan'!BB41)</v>
      </c>
      <c r="BX22" s="42" t="str">
        <f>$B$22&amp;BX15&amp;"="&amp;$C$22&amp;BX15&amp;")"</f>
        <v>IF('Input Nilai Pengetahuan'!BB42="";"";'Input Nilai Pengetahuan'!BB42)</v>
      </c>
      <c r="BZ22" s="42" t="str">
        <f>$B$22&amp;BZ15&amp;"="&amp;$C$22&amp;BZ15&amp;")"</f>
        <v>IF('Input Nilai Pengetahuan'!BB43="";"";'Input Nilai Pengetahuan'!BB43)</v>
      </c>
      <c r="CB22" s="42" t="str">
        <f>$B$22&amp;CB15&amp;"="&amp;$C$22&amp;CB15&amp;")"</f>
        <v>IF('Input Nilai Pengetahuan'!BB44="";"";'Input Nilai Pengetahuan'!BB44)</v>
      </c>
      <c r="CD22" s="42" t="str">
        <f>$B$22&amp;CD15&amp;"="&amp;$C$22&amp;CD15&amp;")"</f>
        <v>IF('Input Nilai Pengetahuan'!BB45="";"";'Input Nilai Pengetahuan'!BB45)</v>
      </c>
      <c r="CF22" s="42" t="str">
        <f>$B$22&amp;CF15&amp;"="&amp;$C$22&amp;CF15&amp;")"</f>
        <v>IF('Input Nilai Pengetahuan'!BB46="";"";'Input Nilai Pengetahuan'!BB46)</v>
      </c>
      <c r="CH22" s="42" t="str">
        <f>$B$22&amp;CH15&amp;"="&amp;$C$22&amp;CH15&amp;")"</f>
        <v>IF('Input Nilai Pengetahuan'!BB47="";"";'Input Nilai Pengetahuan'!BB47)</v>
      </c>
      <c r="CJ22" s="42" t="str">
        <f>$B$22&amp;CJ15&amp;"="&amp;$C$22&amp;CJ15&amp;")"</f>
        <v>IF('Input Nilai Pengetahuan'!BB48="";"";'Input Nilai Pengetahuan'!BB48)</v>
      </c>
      <c r="CL22" s="42" t="str">
        <f>$B$22&amp;CL15&amp;"="&amp;$C$22&amp;CL15&amp;")"</f>
        <v>IF('Input Nilai Pengetahuan'!BB49="";"";'Input Nilai Pengetahuan'!BB49)</v>
      </c>
      <c r="CN22" s="42" t="str">
        <f>$B$22&amp;CN15&amp;"="&amp;$C$22&amp;CN15&amp;")"</f>
        <v>IF('Input Nilai Pengetahuan'!BB50="";"";'Input Nilai Pengetahuan'!BB50)</v>
      </c>
      <c r="CP22" s="42" t="str">
        <f>$B$22&amp;CP15&amp;"="&amp;$C$22&amp;CP15&amp;")"</f>
        <v>IF('Input Nilai Pengetahuan'!BB51="";"";'Input Nilai Pengetahuan'!BB51)</v>
      </c>
      <c r="CR22" s="42" t="str">
        <f>$B$22&amp;CR15&amp;"="&amp;$C$22&amp;CR15&amp;")"</f>
        <v>IF('Input Nilai Pengetahuan'!BB52="";"";'Input Nilai Pengetahuan'!BB52)</v>
      </c>
    </row>
    <row r="23" spans="1:96">
      <c r="A23" s="72">
        <v>8</v>
      </c>
      <c r="B23" s="42" t="s">
        <v>343</v>
      </c>
      <c r="C23" s="42" t="s">
        <v>353</v>
      </c>
      <c r="D23" s="42" t="str">
        <f>$B$23&amp;D15&amp;"="&amp;$C$23&amp;D15&amp;")"</f>
        <v>IF('Input Nilai Pengetahuan'!BI6="";"";'Input Nilai Pengetahuan'!BI6)</v>
      </c>
      <c r="F23" s="42" t="str">
        <f>$B$23&amp;F15&amp;"="&amp;$C$23&amp;F15&amp;")"</f>
        <v>IF('Input Nilai Pengetahuan'!BI7="";"";'Input Nilai Pengetahuan'!BI7)</v>
      </c>
      <c r="H23" s="42" t="str">
        <f>$B$23&amp;H15&amp;"="&amp;$C$23&amp;H15&amp;")"</f>
        <v>IF('Input Nilai Pengetahuan'!BI8="";"";'Input Nilai Pengetahuan'!BI8)</v>
      </c>
      <c r="J23" s="42" t="str">
        <f>$B$23&amp;J15&amp;"="&amp;$C$23&amp;J15&amp;")"</f>
        <v>IF('Input Nilai Pengetahuan'!BI9="";"";'Input Nilai Pengetahuan'!BI9)</v>
      </c>
      <c r="L23" s="42" t="str">
        <f>$B$23&amp;L15&amp;"="&amp;$C$23&amp;L15&amp;")"</f>
        <v>IF('Input Nilai Pengetahuan'!BI10="";"";'Input Nilai Pengetahuan'!BI10)</v>
      </c>
      <c r="N23" s="42" t="str">
        <f>$B$23&amp;N15&amp;"="&amp;$C$23&amp;N15&amp;")"</f>
        <v>IF('Input Nilai Pengetahuan'!BI11="";"";'Input Nilai Pengetahuan'!BI11)</v>
      </c>
      <c r="P23" s="42" t="str">
        <f>$B$23&amp;P15&amp;"="&amp;$C$23&amp;P15&amp;")"</f>
        <v>IF('Input Nilai Pengetahuan'!BI12="";"";'Input Nilai Pengetahuan'!BI12)</v>
      </c>
      <c r="R23" s="42" t="str">
        <f>$B$23&amp;R15&amp;"="&amp;$C$23&amp;R15&amp;")"</f>
        <v>IF('Input Nilai Pengetahuan'!BI13="";"";'Input Nilai Pengetahuan'!BI13)</v>
      </c>
      <c r="T23" s="42" t="str">
        <f>$B$23&amp;T15&amp;"="&amp;$C$23&amp;T15&amp;")"</f>
        <v>IF('Input Nilai Pengetahuan'!BI14="";"";'Input Nilai Pengetahuan'!BI14)</v>
      </c>
      <c r="V23" s="42" t="str">
        <f>$B$23&amp;V15&amp;"="&amp;$C$23&amp;V15&amp;")"</f>
        <v>IF('Input Nilai Pengetahuan'!BI15="";"";'Input Nilai Pengetahuan'!BI15)</v>
      </c>
      <c r="X23" s="42" t="str">
        <f>$B$23&amp;X15&amp;"="&amp;$C$23&amp;X15&amp;")"</f>
        <v>IF('Input Nilai Pengetahuan'!BI16="";"";'Input Nilai Pengetahuan'!BI16)</v>
      </c>
      <c r="Z23" s="42" t="str">
        <f>$B$23&amp;Z15&amp;"="&amp;$C$23&amp;Z15&amp;")"</f>
        <v>IF('Input Nilai Pengetahuan'!BI17="";"";'Input Nilai Pengetahuan'!BI17)</v>
      </c>
      <c r="AB23" s="42" t="str">
        <f>$B$23&amp;AB15&amp;"="&amp;$C$23&amp;AB15&amp;")"</f>
        <v>IF('Input Nilai Pengetahuan'!BI18="";"";'Input Nilai Pengetahuan'!BI18)</v>
      </c>
      <c r="AD23" s="42" t="str">
        <f>$B$23&amp;AD15&amp;"="&amp;$C$23&amp;AD15&amp;")"</f>
        <v>IF('Input Nilai Pengetahuan'!BI19="";"";'Input Nilai Pengetahuan'!BI19)</v>
      </c>
      <c r="AF23" s="42" t="str">
        <f>$B$23&amp;AF15&amp;"="&amp;$C$23&amp;AF15&amp;")"</f>
        <v>IF('Input Nilai Pengetahuan'!BI20="";"";'Input Nilai Pengetahuan'!BI20)</v>
      </c>
      <c r="AH23" s="42" t="str">
        <f>$B$23&amp;AH15&amp;"="&amp;$C$23&amp;AH15&amp;")"</f>
        <v>IF('Input Nilai Pengetahuan'!BI21="";"";'Input Nilai Pengetahuan'!BI21)</v>
      </c>
      <c r="AJ23" s="42" t="str">
        <f>$B$23&amp;AJ15&amp;"="&amp;$C$23&amp;AJ15&amp;")"</f>
        <v>IF('Input Nilai Pengetahuan'!BI22="";"";'Input Nilai Pengetahuan'!BI22)</v>
      </c>
      <c r="AL23" s="42" t="str">
        <f>$B$23&amp;AL15&amp;"="&amp;$C$23&amp;AL15&amp;")"</f>
        <v>IF('Input Nilai Pengetahuan'!BI23="";"";'Input Nilai Pengetahuan'!BI23)</v>
      </c>
      <c r="AN23" s="42" t="str">
        <f>$B$23&amp;AN15&amp;"="&amp;$C$23&amp;AN15&amp;")"</f>
        <v>IF('Input Nilai Pengetahuan'!BI24="";"";'Input Nilai Pengetahuan'!BI24)</v>
      </c>
      <c r="AP23" s="42" t="str">
        <f>$B$23&amp;AP15&amp;"="&amp;$C$23&amp;AP15&amp;")"</f>
        <v>IF('Input Nilai Pengetahuan'!BI25="";"";'Input Nilai Pengetahuan'!BI25)</v>
      </c>
      <c r="AR23" s="42" t="str">
        <f>$B$23&amp;AR15&amp;"="&amp;$C$23&amp;AR15&amp;")"</f>
        <v>IF('Input Nilai Pengetahuan'!BI26="";"";'Input Nilai Pengetahuan'!BI26)</v>
      </c>
      <c r="AT23" s="42" t="str">
        <f>$B$23&amp;AT15&amp;"="&amp;$C$23&amp;AT15&amp;")"</f>
        <v>IF('Input Nilai Pengetahuan'!BI27="";"";'Input Nilai Pengetahuan'!BI27)</v>
      </c>
      <c r="AV23" s="42" t="str">
        <f>$B$23&amp;AV15&amp;"="&amp;$C$23&amp;AV15&amp;")"</f>
        <v>IF('Input Nilai Pengetahuan'!BI28="";"";'Input Nilai Pengetahuan'!BI28)</v>
      </c>
      <c r="AX23" s="42" t="str">
        <f>$B$23&amp;AX15&amp;"="&amp;$C$23&amp;AX15&amp;")"</f>
        <v>IF('Input Nilai Pengetahuan'!BI29="";"";'Input Nilai Pengetahuan'!BI29)</v>
      </c>
      <c r="AZ23" s="42" t="str">
        <f>$B$23&amp;AZ15&amp;"="&amp;$C$23&amp;AZ15&amp;")"</f>
        <v>IF('Input Nilai Pengetahuan'!BI30="";"";'Input Nilai Pengetahuan'!BI30)</v>
      </c>
      <c r="BB23" s="42" t="str">
        <f>$B$23&amp;BB15&amp;"="&amp;$C$23&amp;BB15&amp;")"</f>
        <v>IF('Input Nilai Pengetahuan'!BI31="";"";'Input Nilai Pengetahuan'!BI31)</v>
      </c>
      <c r="BD23" s="42" t="str">
        <f>$B$23&amp;BD15&amp;"="&amp;$C$23&amp;BD15&amp;")"</f>
        <v>IF('Input Nilai Pengetahuan'!BI32="";"";'Input Nilai Pengetahuan'!BI32)</v>
      </c>
      <c r="BF23" s="42" t="str">
        <f>$B$23&amp;BF15&amp;"="&amp;$C$23&amp;BF15&amp;")"</f>
        <v>IF('Input Nilai Pengetahuan'!BI33="";"";'Input Nilai Pengetahuan'!BI33)</v>
      </c>
      <c r="BH23" s="42" t="str">
        <f>$B$23&amp;BH15&amp;"="&amp;$C$23&amp;BH15&amp;")"</f>
        <v>IF('Input Nilai Pengetahuan'!BI34="";"";'Input Nilai Pengetahuan'!BI34)</v>
      </c>
      <c r="BJ23" s="42" t="str">
        <f>$B$23&amp;BJ15&amp;"="&amp;$C$23&amp;BJ15&amp;")"</f>
        <v>IF('Input Nilai Pengetahuan'!BI35="";"";'Input Nilai Pengetahuan'!BI35)</v>
      </c>
      <c r="BL23" s="42" t="str">
        <f>$B$23&amp;BL15&amp;"="&amp;$C$23&amp;BL15&amp;")"</f>
        <v>IF('Input Nilai Pengetahuan'!BI36="";"";'Input Nilai Pengetahuan'!BI36)</v>
      </c>
      <c r="BN23" s="42" t="str">
        <f>$B$23&amp;BN15&amp;"="&amp;$C$23&amp;BN15&amp;")"</f>
        <v>IF('Input Nilai Pengetahuan'!BI37="";"";'Input Nilai Pengetahuan'!BI37)</v>
      </c>
      <c r="BP23" s="42" t="str">
        <f>$B$23&amp;BP15&amp;"="&amp;$C$23&amp;BP15&amp;")"</f>
        <v>IF('Input Nilai Pengetahuan'!BI38="";"";'Input Nilai Pengetahuan'!BI38)</v>
      </c>
      <c r="BR23" s="42" t="str">
        <f>$B$23&amp;BR15&amp;"="&amp;$C$23&amp;BR15&amp;")"</f>
        <v>IF('Input Nilai Pengetahuan'!BI39="";"";'Input Nilai Pengetahuan'!BI39)</v>
      </c>
      <c r="BT23" s="42" t="str">
        <f>$B$23&amp;BT15&amp;"="&amp;$C$23&amp;BT15&amp;")"</f>
        <v>IF('Input Nilai Pengetahuan'!BI40="";"";'Input Nilai Pengetahuan'!BI40)</v>
      </c>
      <c r="BV23" s="42" t="str">
        <f>$B$23&amp;BV15&amp;"="&amp;$C$23&amp;BV15&amp;")"</f>
        <v>IF('Input Nilai Pengetahuan'!BI41="";"";'Input Nilai Pengetahuan'!BI41)</v>
      </c>
      <c r="BX23" s="42" t="str">
        <f>$B$23&amp;BX15&amp;"="&amp;$C$23&amp;BX15&amp;")"</f>
        <v>IF('Input Nilai Pengetahuan'!BI42="";"";'Input Nilai Pengetahuan'!BI42)</v>
      </c>
      <c r="BZ23" s="42" t="str">
        <f>$B$23&amp;BZ15&amp;"="&amp;$C$23&amp;BZ15&amp;")"</f>
        <v>IF('Input Nilai Pengetahuan'!BI43="";"";'Input Nilai Pengetahuan'!BI43)</v>
      </c>
      <c r="CB23" s="42" t="str">
        <f>$B$23&amp;CB15&amp;"="&amp;$C$23&amp;CB15&amp;")"</f>
        <v>IF('Input Nilai Pengetahuan'!BI44="";"";'Input Nilai Pengetahuan'!BI44)</v>
      </c>
      <c r="CD23" s="42" t="str">
        <f>$B$23&amp;CD15&amp;"="&amp;$C$23&amp;CD15&amp;")"</f>
        <v>IF('Input Nilai Pengetahuan'!BI45="";"";'Input Nilai Pengetahuan'!BI45)</v>
      </c>
      <c r="CF23" s="42" t="str">
        <f>$B$23&amp;CF15&amp;"="&amp;$C$23&amp;CF15&amp;")"</f>
        <v>IF('Input Nilai Pengetahuan'!BI46="";"";'Input Nilai Pengetahuan'!BI46)</v>
      </c>
      <c r="CH23" s="42" t="str">
        <f>$B$23&amp;CH15&amp;"="&amp;$C$23&amp;CH15&amp;")"</f>
        <v>IF('Input Nilai Pengetahuan'!BI47="";"";'Input Nilai Pengetahuan'!BI47)</v>
      </c>
      <c r="CJ23" s="42" t="str">
        <f>$B$23&amp;CJ15&amp;"="&amp;$C$23&amp;CJ15&amp;")"</f>
        <v>IF('Input Nilai Pengetahuan'!BI48="";"";'Input Nilai Pengetahuan'!BI48)</v>
      </c>
      <c r="CL23" s="42" t="str">
        <f>$B$23&amp;CL15&amp;"="&amp;$C$23&amp;CL15&amp;")"</f>
        <v>IF('Input Nilai Pengetahuan'!BI49="";"";'Input Nilai Pengetahuan'!BI49)</v>
      </c>
      <c r="CN23" s="42" t="str">
        <f>$B$23&amp;CN15&amp;"="&amp;$C$23&amp;CN15&amp;")"</f>
        <v>IF('Input Nilai Pengetahuan'!BI50="";"";'Input Nilai Pengetahuan'!BI50)</v>
      </c>
      <c r="CP23" s="42" t="str">
        <f>$B$23&amp;CP15&amp;"="&amp;$C$23&amp;CP15&amp;")"</f>
        <v>IF('Input Nilai Pengetahuan'!BI51="";"";'Input Nilai Pengetahuan'!BI51)</v>
      </c>
      <c r="CR23" s="42" t="str">
        <f>$B$23&amp;CR15&amp;"="&amp;$C$23&amp;CR15&amp;")"</f>
        <v>IF('Input Nilai Pengetahuan'!BI52="";"";'Input Nilai Pengetahuan'!BI52)</v>
      </c>
    </row>
    <row r="24" spans="1:96">
      <c r="A24" s="72">
        <v>9</v>
      </c>
      <c r="B24" s="42" t="s">
        <v>344</v>
      </c>
      <c r="C24" s="42" t="s">
        <v>354</v>
      </c>
      <c r="D24" s="42" t="str">
        <f>$B$24&amp;D15&amp;"="&amp;$C$24&amp;D15&amp;")"</f>
        <v>IF('Input Nilai Pengetahuan'!BP6="";"";'Input Nilai Pengetahuan'!BP6)</v>
      </c>
      <c r="F24" s="42" t="str">
        <f>$B$24&amp;F15&amp;"="&amp;$C$24&amp;F15&amp;")"</f>
        <v>IF('Input Nilai Pengetahuan'!BP7="";"";'Input Nilai Pengetahuan'!BP7)</v>
      </c>
      <c r="H24" s="42" t="str">
        <f>$B$24&amp;H15&amp;"="&amp;$C$24&amp;H15&amp;")"</f>
        <v>IF('Input Nilai Pengetahuan'!BP8="";"";'Input Nilai Pengetahuan'!BP8)</v>
      </c>
      <c r="J24" s="42" t="str">
        <f>$B$24&amp;J15&amp;"="&amp;$C$24&amp;J15&amp;")"</f>
        <v>IF('Input Nilai Pengetahuan'!BP9="";"";'Input Nilai Pengetahuan'!BP9)</v>
      </c>
      <c r="L24" s="42" t="str">
        <f>$B$24&amp;L15&amp;"="&amp;$C$24&amp;L15&amp;")"</f>
        <v>IF('Input Nilai Pengetahuan'!BP10="";"";'Input Nilai Pengetahuan'!BP10)</v>
      </c>
      <c r="N24" s="42" t="str">
        <f>$B$24&amp;N15&amp;"="&amp;$C$24&amp;N15&amp;")"</f>
        <v>IF('Input Nilai Pengetahuan'!BP11="";"";'Input Nilai Pengetahuan'!BP11)</v>
      </c>
      <c r="P24" s="42" t="str">
        <f>$B$24&amp;P15&amp;"="&amp;$C$24&amp;P15&amp;")"</f>
        <v>IF('Input Nilai Pengetahuan'!BP12="";"";'Input Nilai Pengetahuan'!BP12)</v>
      </c>
      <c r="R24" s="42" t="str">
        <f>$B$24&amp;R15&amp;"="&amp;$C$24&amp;R15&amp;")"</f>
        <v>IF('Input Nilai Pengetahuan'!BP13="";"";'Input Nilai Pengetahuan'!BP13)</v>
      </c>
      <c r="T24" s="42" t="str">
        <f>$B$24&amp;T15&amp;"="&amp;$C$24&amp;T15&amp;")"</f>
        <v>IF('Input Nilai Pengetahuan'!BP14="";"";'Input Nilai Pengetahuan'!BP14)</v>
      </c>
      <c r="V24" s="42" t="str">
        <f>$B$24&amp;V15&amp;"="&amp;$C$24&amp;V15&amp;")"</f>
        <v>IF('Input Nilai Pengetahuan'!BP15="";"";'Input Nilai Pengetahuan'!BP15)</v>
      </c>
      <c r="X24" s="42" t="str">
        <f>$B$24&amp;X15&amp;"="&amp;$C$24&amp;X15&amp;")"</f>
        <v>IF('Input Nilai Pengetahuan'!BP16="";"";'Input Nilai Pengetahuan'!BP16)</v>
      </c>
      <c r="Z24" s="42" t="str">
        <f>$B$24&amp;Z15&amp;"="&amp;$C$24&amp;Z15&amp;")"</f>
        <v>IF('Input Nilai Pengetahuan'!BP17="";"";'Input Nilai Pengetahuan'!BP17)</v>
      </c>
      <c r="AB24" s="42" t="str">
        <f>$B$24&amp;AB15&amp;"="&amp;$C$24&amp;AB15&amp;")"</f>
        <v>IF('Input Nilai Pengetahuan'!BP18="";"";'Input Nilai Pengetahuan'!BP18)</v>
      </c>
      <c r="AD24" s="42" t="str">
        <f>$B$24&amp;AD15&amp;"="&amp;$C$24&amp;AD15&amp;")"</f>
        <v>IF('Input Nilai Pengetahuan'!BP19="";"";'Input Nilai Pengetahuan'!BP19)</v>
      </c>
      <c r="AF24" s="42" t="str">
        <f>$B$24&amp;AF15&amp;"="&amp;$C$24&amp;AF15&amp;")"</f>
        <v>IF('Input Nilai Pengetahuan'!BP20="";"";'Input Nilai Pengetahuan'!BP20)</v>
      </c>
      <c r="AH24" s="42" t="str">
        <f>$B$24&amp;AH15&amp;"="&amp;$C$24&amp;AH15&amp;")"</f>
        <v>IF('Input Nilai Pengetahuan'!BP21="";"";'Input Nilai Pengetahuan'!BP21)</v>
      </c>
      <c r="AJ24" s="42" t="str">
        <f>$B$24&amp;AJ15&amp;"="&amp;$C$24&amp;AJ15&amp;")"</f>
        <v>IF('Input Nilai Pengetahuan'!BP22="";"";'Input Nilai Pengetahuan'!BP22)</v>
      </c>
      <c r="AL24" s="42" t="str">
        <f>$B$24&amp;AL15&amp;"="&amp;$C$24&amp;AL15&amp;")"</f>
        <v>IF('Input Nilai Pengetahuan'!BP23="";"";'Input Nilai Pengetahuan'!BP23)</v>
      </c>
      <c r="AN24" s="42" t="str">
        <f>$B$24&amp;AN15&amp;"="&amp;$C$24&amp;AN15&amp;")"</f>
        <v>IF('Input Nilai Pengetahuan'!BP24="";"";'Input Nilai Pengetahuan'!BP24)</v>
      </c>
      <c r="AP24" s="42" t="str">
        <f>$B$24&amp;AP15&amp;"="&amp;$C$24&amp;AP15&amp;")"</f>
        <v>IF('Input Nilai Pengetahuan'!BP25="";"";'Input Nilai Pengetahuan'!BP25)</v>
      </c>
      <c r="AR24" s="42" t="str">
        <f>$B$24&amp;AR15&amp;"="&amp;$C$24&amp;AR15&amp;")"</f>
        <v>IF('Input Nilai Pengetahuan'!BP26="";"";'Input Nilai Pengetahuan'!BP26)</v>
      </c>
      <c r="AT24" s="42" t="str">
        <f>$B$24&amp;AT15&amp;"="&amp;$C$24&amp;AT15&amp;")"</f>
        <v>IF('Input Nilai Pengetahuan'!BP27="";"";'Input Nilai Pengetahuan'!BP27)</v>
      </c>
      <c r="AV24" s="42" t="str">
        <f>$B$24&amp;AV15&amp;"="&amp;$C$24&amp;AV15&amp;")"</f>
        <v>IF('Input Nilai Pengetahuan'!BP28="";"";'Input Nilai Pengetahuan'!BP28)</v>
      </c>
      <c r="AX24" s="42" t="str">
        <f>$B$24&amp;AX15&amp;"="&amp;$C$24&amp;AX15&amp;")"</f>
        <v>IF('Input Nilai Pengetahuan'!BP29="";"";'Input Nilai Pengetahuan'!BP29)</v>
      </c>
      <c r="AZ24" s="42" t="str">
        <f>$B$24&amp;AZ15&amp;"="&amp;$C$24&amp;AZ15&amp;")"</f>
        <v>IF('Input Nilai Pengetahuan'!BP30="";"";'Input Nilai Pengetahuan'!BP30)</v>
      </c>
      <c r="BB24" s="42" t="str">
        <f>$B$24&amp;BB15&amp;"="&amp;$C$24&amp;BB15&amp;")"</f>
        <v>IF('Input Nilai Pengetahuan'!BP31="";"";'Input Nilai Pengetahuan'!BP31)</v>
      </c>
      <c r="BD24" s="42" t="str">
        <f>$B$24&amp;BD15&amp;"="&amp;$C$24&amp;BD15&amp;")"</f>
        <v>IF('Input Nilai Pengetahuan'!BP32="";"";'Input Nilai Pengetahuan'!BP32)</v>
      </c>
      <c r="BF24" s="42" t="str">
        <f>$B$24&amp;BF15&amp;"="&amp;$C$24&amp;BF15&amp;")"</f>
        <v>IF('Input Nilai Pengetahuan'!BP33="";"";'Input Nilai Pengetahuan'!BP33)</v>
      </c>
      <c r="BH24" s="42" t="str">
        <f>$B$24&amp;BH15&amp;"="&amp;$C$24&amp;BH15&amp;")"</f>
        <v>IF('Input Nilai Pengetahuan'!BP34="";"";'Input Nilai Pengetahuan'!BP34)</v>
      </c>
      <c r="BJ24" s="42" t="str">
        <f>$B$24&amp;BJ15&amp;"="&amp;$C$24&amp;BJ15&amp;")"</f>
        <v>IF('Input Nilai Pengetahuan'!BP35="";"";'Input Nilai Pengetahuan'!BP35)</v>
      </c>
      <c r="BL24" s="42" t="str">
        <f>$B$24&amp;BL15&amp;"="&amp;$C$24&amp;BL15&amp;")"</f>
        <v>IF('Input Nilai Pengetahuan'!BP36="";"";'Input Nilai Pengetahuan'!BP36)</v>
      </c>
      <c r="BN24" s="42" t="str">
        <f>$B$24&amp;BN15&amp;"="&amp;$C$24&amp;BN15&amp;")"</f>
        <v>IF('Input Nilai Pengetahuan'!BP37="";"";'Input Nilai Pengetahuan'!BP37)</v>
      </c>
      <c r="BP24" s="42" t="str">
        <f>$B$24&amp;BP15&amp;"="&amp;$C$24&amp;BP15&amp;")"</f>
        <v>IF('Input Nilai Pengetahuan'!BP38="";"";'Input Nilai Pengetahuan'!BP38)</v>
      </c>
      <c r="BR24" s="42" t="str">
        <f>$B$24&amp;BR15&amp;"="&amp;$C$24&amp;BR15&amp;")"</f>
        <v>IF('Input Nilai Pengetahuan'!BP39="";"";'Input Nilai Pengetahuan'!BP39)</v>
      </c>
      <c r="BT24" s="42" t="str">
        <f>$B$24&amp;BT15&amp;"="&amp;$C$24&amp;BT15&amp;")"</f>
        <v>IF('Input Nilai Pengetahuan'!BP40="";"";'Input Nilai Pengetahuan'!BP40)</v>
      </c>
      <c r="BV24" s="42" t="str">
        <f>$B$24&amp;BV15&amp;"="&amp;$C$24&amp;BV15&amp;")"</f>
        <v>IF('Input Nilai Pengetahuan'!BP41="";"";'Input Nilai Pengetahuan'!BP41)</v>
      </c>
      <c r="BX24" s="42" t="str">
        <f>$B$24&amp;BX15&amp;"="&amp;$C$24&amp;BX15&amp;")"</f>
        <v>IF('Input Nilai Pengetahuan'!BP42="";"";'Input Nilai Pengetahuan'!BP42)</v>
      </c>
      <c r="BZ24" s="42" t="str">
        <f>$B$24&amp;BZ15&amp;"="&amp;$C$24&amp;BZ15&amp;")"</f>
        <v>IF('Input Nilai Pengetahuan'!BP43="";"";'Input Nilai Pengetahuan'!BP43)</v>
      </c>
      <c r="CB24" s="42" t="str">
        <f>$B$24&amp;CB15&amp;"="&amp;$C$24&amp;CB15&amp;")"</f>
        <v>IF('Input Nilai Pengetahuan'!BP44="";"";'Input Nilai Pengetahuan'!BP44)</v>
      </c>
      <c r="CD24" s="42" t="str">
        <f>$B$24&amp;CD15&amp;"="&amp;$C$24&amp;CD15&amp;")"</f>
        <v>IF('Input Nilai Pengetahuan'!BP45="";"";'Input Nilai Pengetahuan'!BP45)</v>
      </c>
      <c r="CF24" s="42" t="str">
        <f>$B$24&amp;CF15&amp;"="&amp;$C$24&amp;CF15&amp;")"</f>
        <v>IF('Input Nilai Pengetahuan'!BP46="";"";'Input Nilai Pengetahuan'!BP46)</v>
      </c>
      <c r="CH24" s="42" t="str">
        <f>$B$24&amp;CH15&amp;"="&amp;$C$24&amp;CH15&amp;")"</f>
        <v>IF('Input Nilai Pengetahuan'!BP47="";"";'Input Nilai Pengetahuan'!BP47)</v>
      </c>
      <c r="CJ24" s="42" t="str">
        <f>$B$24&amp;CJ15&amp;"="&amp;$C$24&amp;CJ15&amp;")"</f>
        <v>IF('Input Nilai Pengetahuan'!BP48="";"";'Input Nilai Pengetahuan'!BP48)</v>
      </c>
      <c r="CL24" s="42" t="str">
        <f>$B$24&amp;CL15&amp;"="&amp;$C$24&amp;CL15&amp;")"</f>
        <v>IF('Input Nilai Pengetahuan'!BP49="";"";'Input Nilai Pengetahuan'!BP49)</v>
      </c>
      <c r="CN24" s="42" t="str">
        <f>$B$24&amp;CN15&amp;"="&amp;$C$24&amp;CN15&amp;")"</f>
        <v>IF('Input Nilai Pengetahuan'!BP50="";"";'Input Nilai Pengetahuan'!BP50)</v>
      </c>
      <c r="CP24" s="42" t="str">
        <f>$B$24&amp;CP15&amp;"="&amp;$C$24&amp;CP15&amp;")"</f>
        <v>IF('Input Nilai Pengetahuan'!BP51="";"";'Input Nilai Pengetahuan'!BP51)</v>
      </c>
      <c r="CR24" s="42" t="str">
        <f>$B$24&amp;CR15&amp;"="&amp;$C$24&amp;CR15&amp;")"</f>
        <v>IF('Input Nilai Pengetahuan'!BP52="";"";'Input Nilai Pengetahuan'!BP52)</v>
      </c>
    </row>
    <row r="25" spans="1:96">
      <c r="A25" s="72">
        <v>10</v>
      </c>
      <c r="B25" s="42" t="s">
        <v>345</v>
      </c>
      <c r="C25" s="42" t="s">
        <v>355</v>
      </c>
      <c r="D25" s="42" t="str">
        <f>$B$25&amp;D15&amp;"="&amp;$C$25&amp;D15&amp;")"</f>
        <v>IF('Input Nilai Pengetahuan'!BW6="";"";'Input Nilai Pengetahuan'!BW6)</v>
      </c>
      <c r="F25" s="42" t="str">
        <f>$B$25&amp;F15&amp;"="&amp;$C$25&amp;F15&amp;")"</f>
        <v>IF('Input Nilai Pengetahuan'!BW7="";"";'Input Nilai Pengetahuan'!BW7)</v>
      </c>
      <c r="H25" s="42" t="str">
        <f>$B$25&amp;H15&amp;"="&amp;$C$25&amp;H15&amp;")"</f>
        <v>IF('Input Nilai Pengetahuan'!BW8="";"";'Input Nilai Pengetahuan'!BW8)</v>
      </c>
      <c r="J25" s="42" t="str">
        <f>$B$25&amp;J15&amp;"="&amp;$C$25&amp;J15&amp;")"</f>
        <v>IF('Input Nilai Pengetahuan'!BW9="";"";'Input Nilai Pengetahuan'!BW9)</v>
      </c>
      <c r="L25" s="42" t="str">
        <f>$B$25&amp;L15&amp;"="&amp;$C$25&amp;L15&amp;")"</f>
        <v>IF('Input Nilai Pengetahuan'!BW10="";"";'Input Nilai Pengetahuan'!BW10)</v>
      </c>
      <c r="N25" s="42" t="str">
        <f>$B$25&amp;N15&amp;"="&amp;$C$25&amp;N15&amp;")"</f>
        <v>IF('Input Nilai Pengetahuan'!BW11="";"";'Input Nilai Pengetahuan'!BW11)</v>
      </c>
      <c r="P25" s="42" t="str">
        <f>$B$25&amp;P15&amp;"="&amp;$C$25&amp;P15&amp;")"</f>
        <v>IF('Input Nilai Pengetahuan'!BW12="";"";'Input Nilai Pengetahuan'!BW12)</v>
      </c>
      <c r="R25" s="42" t="str">
        <f>$B$25&amp;R15&amp;"="&amp;$C$25&amp;R15&amp;")"</f>
        <v>IF('Input Nilai Pengetahuan'!BW13="";"";'Input Nilai Pengetahuan'!BW13)</v>
      </c>
      <c r="T25" s="42" t="str">
        <f>$B$25&amp;T15&amp;"="&amp;$C$25&amp;T15&amp;")"</f>
        <v>IF('Input Nilai Pengetahuan'!BW14="";"";'Input Nilai Pengetahuan'!BW14)</v>
      </c>
      <c r="V25" s="42" t="str">
        <f>$B$25&amp;V15&amp;"="&amp;$C$25&amp;V15&amp;")"</f>
        <v>IF('Input Nilai Pengetahuan'!BW15="";"";'Input Nilai Pengetahuan'!BW15)</v>
      </c>
      <c r="X25" s="42" t="str">
        <f>$B$25&amp;X15&amp;"="&amp;$C$25&amp;X15&amp;")"</f>
        <v>IF('Input Nilai Pengetahuan'!BW16="";"";'Input Nilai Pengetahuan'!BW16)</v>
      </c>
      <c r="Z25" s="42" t="str">
        <f>$B$25&amp;Z15&amp;"="&amp;$C$25&amp;Z15&amp;")"</f>
        <v>IF('Input Nilai Pengetahuan'!BW17="";"";'Input Nilai Pengetahuan'!BW17)</v>
      </c>
      <c r="AB25" s="42" t="str">
        <f>$B$25&amp;AB15&amp;"="&amp;$C$25&amp;AB15&amp;")"</f>
        <v>IF('Input Nilai Pengetahuan'!BW18="";"";'Input Nilai Pengetahuan'!BW18)</v>
      </c>
      <c r="AD25" s="42" t="str">
        <f>$B$25&amp;AD15&amp;"="&amp;$C$25&amp;AD15&amp;")"</f>
        <v>IF('Input Nilai Pengetahuan'!BW19="";"";'Input Nilai Pengetahuan'!BW19)</v>
      </c>
      <c r="AF25" s="42" t="str">
        <f>$B$25&amp;AF15&amp;"="&amp;$C$25&amp;AF15&amp;")"</f>
        <v>IF('Input Nilai Pengetahuan'!BW20="";"";'Input Nilai Pengetahuan'!BW20)</v>
      </c>
      <c r="AH25" s="42" t="str">
        <f>$B$25&amp;AH15&amp;"="&amp;$C$25&amp;AH15&amp;")"</f>
        <v>IF('Input Nilai Pengetahuan'!BW21="";"";'Input Nilai Pengetahuan'!BW21)</v>
      </c>
      <c r="AJ25" s="42" t="str">
        <f>$B$25&amp;AJ15&amp;"="&amp;$C$25&amp;AJ15&amp;")"</f>
        <v>IF('Input Nilai Pengetahuan'!BW22="";"";'Input Nilai Pengetahuan'!BW22)</v>
      </c>
      <c r="AL25" s="42" t="str">
        <f>$B$25&amp;AL15&amp;"="&amp;$C$25&amp;AL15&amp;")"</f>
        <v>IF('Input Nilai Pengetahuan'!BW23="";"";'Input Nilai Pengetahuan'!BW23)</v>
      </c>
      <c r="AN25" s="42" t="str">
        <f>$B$25&amp;AN15&amp;"="&amp;$C$25&amp;AN15&amp;")"</f>
        <v>IF('Input Nilai Pengetahuan'!BW24="";"";'Input Nilai Pengetahuan'!BW24)</v>
      </c>
      <c r="AP25" s="42" t="str">
        <f>$B$25&amp;AP15&amp;"="&amp;$C$25&amp;AP15&amp;")"</f>
        <v>IF('Input Nilai Pengetahuan'!BW25="";"";'Input Nilai Pengetahuan'!BW25)</v>
      </c>
      <c r="AR25" s="42" t="str">
        <f>$B$25&amp;AR15&amp;"="&amp;$C$25&amp;AR15&amp;")"</f>
        <v>IF('Input Nilai Pengetahuan'!BW26="";"";'Input Nilai Pengetahuan'!BW26)</v>
      </c>
      <c r="AT25" s="42" t="str">
        <f>$B$25&amp;AT15&amp;"="&amp;$C$25&amp;AT15&amp;")"</f>
        <v>IF('Input Nilai Pengetahuan'!BW27="";"";'Input Nilai Pengetahuan'!BW27)</v>
      </c>
      <c r="AV25" s="42" t="str">
        <f>$B$25&amp;AV15&amp;"="&amp;$C$25&amp;AV15&amp;")"</f>
        <v>IF('Input Nilai Pengetahuan'!BW28="";"";'Input Nilai Pengetahuan'!BW28)</v>
      </c>
      <c r="AX25" s="42" t="str">
        <f>$B$25&amp;AX15&amp;"="&amp;$C$25&amp;AX15&amp;")"</f>
        <v>IF('Input Nilai Pengetahuan'!BW29="";"";'Input Nilai Pengetahuan'!BW29)</v>
      </c>
      <c r="AZ25" s="42" t="str">
        <f>$B$25&amp;AZ15&amp;"="&amp;$C$25&amp;AZ15&amp;")"</f>
        <v>IF('Input Nilai Pengetahuan'!BW30="";"";'Input Nilai Pengetahuan'!BW30)</v>
      </c>
      <c r="BB25" s="42" t="str">
        <f>$B$25&amp;BB15&amp;"="&amp;$C$25&amp;BB15&amp;")"</f>
        <v>IF('Input Nilai Pengetahuan'!BW31="";"";'Input Nilai Pengetahuan'!BW31)</v>
      </c>
      <c r="BD25" s="42" t="str">
        <f>$B$25&amp;BD15&amp;"="&amp;$C$25&amp;BD15&amp;")"</f>
        <v>IF('Input Nilai Pengetahuan'!BW32="";"";'Input Nilai Pengetahuan'!BW32)</v>
      </c>
      <c r="BF25" s="42" t="str">
        <f>$B$25&amp;BF15&amp;"="&amp;$C$25&amp;BF15&amp;")"</f>
        <v>IF('Input Nilai Pengetahuan'!BW33="";"";'Input Nilai Pengetahuan'!BW33)</v>
      </c>
      <c r="BH25" s="42" t="str">
        <f>$B$25&amp;BH15&amp;"="&amp;$C$25&amp;BH15&amp;")"</f>
        <v>IF('Input Nilai Pengetahuan'!BW34="";"";'Input Nilai Pengetahuan'!BW34)</v>
      </c>
      <c r="BJ25" s="42" t="str">
        <f>$B$25&amp;BJ15&amp;"="&amp;$C$25&amp;BJ15&amp;")"</f>
        <v>IF('Input Nilai Pengetahuan'!BW35="";"";'Input Nilai Pengetahuan'!BW35)</v>
      </c>
      <c r="BL25" s="42" t="str">
        <f>$B$25&amp;BL15&amp;"="&amp;$C$25&amp;BL15&amp;")"</f>
        <v>IF('Input Nilai Pengetahuan'!BW36="";"";'Input Nilai Pengetahuan'!BW36)</v>
      </c>
      <c r="BN25" s="42" t="str">
        <f>$B$25&amp;BN15&amp;"="&amp;$C$25&amp;BN15&amp;")"</f>
        <v>IF('Input Nilai Pengetahuan'!BW37="";"";'Input Nilai Pengetahuan'!BW37)</v>
      </c>
      <c r="BP25" s="42" t="str">
        <f>$B$25&amp;BP15&amp;"="&amp;$C$25&amp;BP15&amp;")"</f>
        <v>IF('Input Nilai Pengetahuan'!BW38="";"";'Input Nilai Pengetahuan'!BW38)</v>
      </c>
      <c r="BR25" s="42" t="str">
        <f>$B$25&amp;BR15&amp;"="&amp;$C$25&amp;BR15&amp;")"</f>
        <v>IF('Input Nilai Pengetahuan'!BW39="";"";'Input Nilai Pengetahuan'!BW39)</v>
      </c>
      <c r="BT25" s="42" t="str">
        <f>$B$25&amp;BT15&amp;"="&amp;$C$25&amp;BT15&amp;")"</f>
        <v>IF('Input Nilai Pengetahuan'!BW40="";"";'Input Nilai Pengetahuan'!BW40)</v>
      </c>
      <c r="BV25" s="42" t="str">
        <f>$B$25&amp;BV15&amp;"="&amp;$C$25&amp;BV15&amp;")"</f>
        <v>IF('Input Nilai Pengetahuan'!BW41="";"";'Input Nilai Pengetahuan'!BW41)</v>
      </c>
      <c r="BX25" s="42" t="str">
        <f>$B$25&amp;BX15&amp;"="&amp;$C$25&amp;BX15&amp;")"</f>
        <v>IF('Input Nilai Pengetahuan'!BW42="";"";'Input Nilai Pengetahuan'!BW42)</v>
      </c>
      <c r="BZ25" s="42" t="str">
        <f>$B$25&amp;BZ15&amp;"="&amp;$C$25&amp;BZ15&amp;")"</f>
        <v>IF('Input Nilai Pengetahuan'!BW43="";"";'Input Nilai Pengetahuan'!BW43)</v>
      </c>
      <c r="CB25" s="42" t="str">
        <f>$B$25&amp;CB15&amp;"="&amp;$C$25&amp;CB15&amp;")"</f>
        <v>IF('Input Nilai Pengetahuan'!BW44="";"";'Input Nilai Pengetahuan'!BW44)</v>
      </c>
      <c r="CD25" s="42" t="str">
        <f>$B$25&amp;CD15&amp;"="&amp;$C$25&amp;CD15&amp;")"</f>
        <v>IF('Input Nilai Pengetahuan'!BW45="";"";'Input Nilai Pengetahuan'!BW45)</v>
      </c>
      <c r="CF25" s="42" t="str">
        <f>$B$25&amp;CF15&amp;"="&amp;$C$25&amp;CF15&amp;")"</f>
        <v>IF('Input Nilai Pengetahuan'!BW46="";"";'Input Nilai Pengetahuan'!BW46)</v>
      </c>
      <c r="CH25" s="42" t="str">
        <f>$B$25&amp;CH15&amp;"="&amp;$C$25&amp;CH15&amp;")"</f>
        <v>IF('Input Nilai Pengetahuan'!BW47="";"";'Input Nilai Pengetahuan'!BW47)</v>
      </c>
      <c r="CJ25" s="42" t="str">
        <f>$B$25&amp;CJ15&amp;"="&amp;$C$25&amp;CJ15&amp;")"</f>
        <v>IF('Input Nilai Pengetahuan'!BW48="";"";'Input Nilai Pengetahuan'!BW48)</v>
      </c>
      <c r="CL25" s="42" t="str">
        <f>$B$25&amp;CL15&amp;"="&amp;$C$25&amp;CL15&amp;")"</f>
        <v>IF('Input Nilai Pengetahuan'!BW49="";"";'Input Nilai Pengetahuan'!BW49)</v>
      </c>
      <c r="CN25" s="42" t="str">
        <f>$B$25&amp;CN15&amp;"="&amp;$C$25&amp;CN15&amp;")"</f>
        <v>IF('Input Nilai Pengetahuan'!BW50="";"";'Input Nilai Pengetahuan'!BW50)</v>
      </c>
      <c r="CP25" s="42" t="str">
        <f>$B$25&amp;CP15&amp;"="&amp;$C$25&amp;CP15&amp;")"</f>
        <v>IF('Input Nilai Pengetahuan'!BW51="";"";'Input Nilai Pengetahuan'!BW51)</v>
      </c>
      <c r="CR25" s="42" t="str">
        <f>$B$25&amp;CR15&amp;"="&amp;$C$25&amp;CR15&amp;")"</f>
        <v>IF('Input Nilai Pengetahuan'!BW52="";"";'Input Nilai Pengetahuan'!BW52)</v>
      </c>
    </row>
  </sheetData>
  <sheetProtection password="F9D4" sheet="1" objects="1" scenarios="1"/>
  <mergeCells count="48">
    <mergeCell ref="X1:Y1"/>
    <mergeCell ref="B1:C1"/>
    <mergeCell ref="D1:E1"/>
    <mergeCell ref="F1:G1"/>
    <mergeCell ref="H1:I1"/>
    <mergeCell ref="J1:K1"/>
    <mergeCell ref="L1:M1"/>
    <mergeCell ref="N1:O1"/>
    <mergeCell ref="P1:Q1"/>
    <mergeCell ref="R1:S1"/>
    <mergeCell ref="T1:U1"/>
    <mergeCell ref="V1:W1"/>
    <mergeCell ref="AV1:AW1"/>
    <mergeCell ref="Z1:AA1"/>
    <mergeCell ref="AB1:AC1"/>
    <mergeCell ref="AD1:AE1"/>
    <mergeCell ref="AF1:AG1"/>
    <mergeCell ref="AH1:AI1"/>
    <mergeCell ref="AJ1:AK1"/>
    <mergeCell ref="AL1:AM1"/>
    <mergeCell ref="AN1:AO1"/>
    <mergeCell ref="AP1:AQ1"/>
    <mergeCell ref="AR1:AS1"/>
    <mergeCell ref="AT1:AU1"/>
    <mergeCell ref="BT1:BU1"/>
    <mergeCell ref="AX1:AY1"/>
    <mergeCell ref="AZ1:BA1"/>
    <mergeCell ref="BB1:BC1"/>
    <mergeCell ref="BD1:BE1"/>
    <mergeCell ref="BF1:BG1"/>
    <mergeCell ref="BH1:BI1"/>
    <mergeCell ref="BJ1:BK1"/>
    <mergeCell ref="BL1:BM1"/>
    <mergeCell ref="BN1:BO1"/>
    <mergeCell ref="BP1:BQ1"/>
    <mergeCell ref="BR1:BS1"/>
    <mergeCell ref="CR1:CS1"/>
    <mergeCell ref="BV1:BW1"/>
    <mergeCell ref="BX1:BY1"/>
    <mergeCell ref="BZ1:CA1"/>
    <mergeCell ref="CB1:CC1"/>
    <mergeCell ref="CD1:CE1"/>
    <mergeCell ref="CF1:CG1"/>
    <mergeCell ref="CH1:CI1"/>
    <mergeCell ref="CJ1:CK1"/>
    <mergeCell ref="CL1:CM1"/>
    <mergeCell ref="CN1:CO1"/>
    <mergeCell ref="CP1:CQ1"/>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23"/>
  <dimension ref="A1:BJ45"/>
  <sheetViews>
    <sheetView workbookViewId="0">
      <pane xSplit="5" ySplit="4" topLeftCell="F5" activePane="bottomRight" state="frozen"/>
      <selection pane="topRight" activeCell="F1" sqref="F1"/>
      <selection pane="bottomLeft" activeCell="A5" sqref="A5"/>
      <selection pane="bottomRight" activeCell="N14" sqref="N14"/>
    </sheetView>
  </sheetViews>
  <sheetFormatPr defaultRowHeight="15"/>
  <cols>
    <col min="1" max="1" width="4.85546875" customWidth="1"/>
    <col min="2" max="2" width="7.140625" customWidth="1"/>
    <col min="3" max="3" width="32.5703125" customWidth="1"/>
    <col min="4" max="5" width="5.28515625" customWidth="1"/>
    <col min="6" max="33" width="5.7109375" customWidth="1"/>
    <col min="34" max="34" width="6.7109375" customWidth="1"/>
    <col min="35" max="38" width="5.7109375" customWidth="1"/>
    <col min="39" max="39" width="6.7109375" customWidth="1"/>
    <col min="40" max="43" width="5.7109375" customWidth="1"/>
    <col min="44" max="44" width="6.7109375" customWidth="1"/>
    <col min="45" max="48" width="5.7109375" customWidth="1"/>
    <col min="49" max="49" width="6.7109375" customWidth="1"/>
    <col min="50" max="53" width="5.7109375" customWidth="1"/>
    <col min="54" max="54" width="6.7109375" customWidth="1"/>
    <col min="55" max="55" width="5.7109375" customWidth="1"/>
    <col min="56" max="56" width="6.7109375" customWidth="1"/>
    <col min="57" max="60" width="7.85546875" customWidth="1"/>
    <col min="61" max="62" width="8.28515625" customWidth="1"/>
  </cols>
  <sheetData>
    <row r="1" spans="1:62">
      <c r="A1" s="501" t="s">
        <v>15</v>
      </c>
      <c r="B1" s="501" t="s">
        <v>16</v>
      </c>
      <c r="C1" s="504" t="s">
        <v>0</v>
      </c>
      <c r="D1" s="505" t="s">
        <v>1</v>
      </c>
      <c r="E1" s="506" t="s">
        <v>17</v>
      </c>
      <c r="F1" s="505" t="s">
        <v>19</v>
      </c>
      <c r="G1" s="505"/>
      <c r="H1" s="505"/>
      <c r="I1" s="601" t="s">
        <v>7</v>
      </c>
      <c r="J1" s="602" t="s">
        <v>312</v>
      </c>
      <c r="K1" s="505" t="s">
        <v>19</v>
      </c>
      <c r="L1" s="505"/>
      <c r="M1" s="505"/>
      <c r="N1" s="601" t="s">
        <v>7</v>
      </c>
      <c r="O1" s="602" t="s">
        <v>312</v>
      </c>
      <c r="P1" s="505" t="s">
        <v>19</v>
      </c>
      <c r="Q1" s="505"/>
      <c r="R1" s="505"/>
      <c r="S1" s="601" t="s">
        <v>7</v>
      </c>
      <c r="T1" s="602" t="s">
        <v>312</v>
      </c>
      <c r="U1" s="505" t="s">
        <v>19</v>
      </c>
      <c r="V1" s="505"/>
      <c r="W1" s="505"/>
      <c r="X1" s="601" t="s">
        <v>7</v>
      </c>
      <c r="Y1" s="602" t="s">
        <v>312</v>
      </c>
      <c r="Z1" s="505" t="s">
        <v>19</v>
      </c>
      <c r="AA1" s="505"/>
      <c r="AB1" s="505"/>
      <c r="AC1" s="601" t="s">
        <v>7</v>
      </c>
      <c r="AD1" s="602" t="s">
        <v>312</v>
      </c>
      <c r="AE1" s="505" t="s">
        <v>19</v>
      </c>
      <c r="AF1" s="505"/>
      <c r="AG1" s="505"/>
      <c r="AH1" s="601" t="s">
        <v>7</v>
      </c>
      <c r="AI1" s="602" t="s">
        <v>312</v>
      </c>
      <c r="AJ1" s="505" t="s">
        <v>19</v>
      </c>
      <c r="AK1" s="505"/>
      <c r="AL1" s="505"/>
      <c r="AM1" s="601" t="s">
        <v>7</v>
      </c>
      <c r="AN1" s="602" t="s">
        <v>312</v>
      </c>
      <c r="AO1" s="505" t="s">
        <v>19</v>
      </c>
      <c r="AP1" s="505"/>
      <c r="AQ1" s="505"/>
      <c r="AR1" s="605" t="s">
        <v>7</v>
      </c>
      <c r="AS1" s="602" t="s">
        <v>312</v>
      </c>
      <c r="AT1" s="505" t="s">
        <v>19</v>
      </c>
      <c r="AU1" s="505"/>
      <c r="AV1" s="505"/>
      <c r="AW1" s="605" t="s">
        <v>7</v>
      </c>
      <c r="AX1" s="602" t="s">
        <v>312</v>
      </c>
      <c r="AY1" s="505" t="s">
        <v>19</v>
      </c>
      <c r="AZ1" s="505"/>
      <c r="BA1" s="505"/>
      <c r="BB1" s="605" t="s">
        <v>7</v>
      </c>
      <c r="BC1" s="602" t="s">
        <v>312</v>
      </c>
      <c r="BD1" s="601" t="s">
        <v>27</v>
      </c>
      <c r="BE1" s="554" t="s">
        <v>28</v>
      </c>
      <c r="BF1" s="554" t="s">
        <v>29</v>
      </c>
      <c r="BG1" s="94" t="s">
        <v>313</v>
      </c>
      <c r="BH1" s="557" t="s">
        <v>30</v>
      </c>
      <c r="BI1" s="569" t="s">
        <v>289</v>
      </c>
      <c r="BJ1" s="566" t="s">
        <v>36</v>
      </c>
    </row>
    <row r="2" spans="1:62">
      <c r="A2" s="502"/>
      <c r="B2" s="502"/>
      <c r="C2" s="504"/>
      <c r="D2" s="505"/>
      <c r="E2" s="507"/>
      <c r="F2" s="505" t="s">
        <v>18</v>
      </c>
      <c r="G2" s="505"/>
      <c r="H2" s="505"/>
      <c r="I2" s="601"/>
      <c r="J2" s="603"/>
      <c r="K2" s="505" t="s">
        <v>20</v>
      </c>
      <c r="L2" s="505"/>
      <c r="M2" s="505"/>
      <c r="N2" s="601"/>
      <c r="O2" s="603"/>
      <c r="P2" s="505" t="s">
        <v>21</v>
      </c>
      <c r="Q2" s="505"/>
      <c r="R2" s="505"/>
      <c r="S2" s="601"/>
      <c r="T2" s="603"/>
      <c r="U2" s="505" t="s">
        <v>22</v>
      </c>
      <c r="V2" s="505"/>
      <c r="W2" s="505"/>
      <c r="X2" s="601"/>
      <c r="Y2" s="603"/>
      <c r="Z2" s="505" t="s">
        <v>23</v>
      </c>
      <c r="AA2" s="505"/>
      <c r="AB2" s="505"/>
      <c r="AC2" s="601"/>
      <c r="AD2" s="603"/>
      <c r="AE2" s="505" t="s">
        <v>24</v>
      </c>
      <c r="AF2" s="505"/>
      <c r="AG2" s="505"/>
      <c r="AH2" s="601"/>
      <c r="AI2" s="603"/>
      <c r="AJ2" s="505" t="s">
        <v>25</v>
      </c>
      <c r="AK2" s="505"/>
      <c r="AL2" s="505"/>
      <c r="AM2" s="601"/>
      <c r="AN2" s="603"/>
      <c r="AO2" s="505" t="s">
        <v>26</v>
      </c>
      <c r="AP2" s="505"/>
      <c r="AQ2" s="505"/>
      <c r="AR2" s="606"/>
      <c r="AS2" s="603"/>
      <c r="AT2" s="505" t="s">
        <v>44</v>
      </c>
      <c r="AU2" s="505"/>
      <c r="AV2" s="505"/>
      <c r="AW2" s="606"/>
      <c r="AX2" s="603"/>
      <c r="AY2" s="505" t="s">
        <v>45</v>
      </c>
      <c r="AZ2" s="505"/>
      <c r="BA2" s="505"/>
      <c r="BB2" s="606"/>
      <c r="BC2" s="603"/>
      <c r="BD2" s="601"/>
      <c r="BE2" s="555"/>
      <c r="BF2" s="555"/>
      <c r="BG2" s="104">
        <f>menu!$D$19</f>
        <v>0</v>
      </c>
      <c r="BH2" s="558"/>
      <c r="BI2" s="570"/>
      <c r="BJ2" s="567"/>
    </row>
    <row r="3" spans="1:62" ht="69">
      <c r="A3" s="503"/>
      <c r="B3" s="503"/>
      <c r="C3" s="504"/>
      <c r="D3" s="505"/>
      <c r="E3" s="508"/>
      <c r="F3" s="112" t="s">
        <v>31</v>
      </c>
      <c r="G3" s="113" t="s">
        <v>32</v>
      </c>
      <c r="H3" s="112" t="s">
        <v>33</v>
      </c>
      <c r="I3" s="601"/>
      <c r="J3" s="604"/>
      <c r="K3" s="112" t="s">
        <v>31</v>
      </c>
      <c r="L3" s="113" t="s">
        <v>32</v>
      </c>
      <c r="M3" s="112" t="s">
        <v>33</v>
      </c>
      <c r="N3" s="601"/>
      <c r="O3" s="604"/>
      <c r="P3" s="112" t="s">
        <v>31</v>
      </c>
      <c r="Q3" s="113" t="s">
        <v>32</v>
      </c>
      <c r="R3" s="112" t="s">
        <v>33</v>
      </c>
      <c r="S3" s="601"/>
      <c r="T3" s="604"/>
      <c r="U3" s="112" t="s">
        <v>31</v>
      </c>
      <c r="V3" s="113" t="s">
        <v>32</v>
      </c>
      <c r="W3" s="112" t="s">
        <v>33</v>
      </c>
      <c r="X3" s="601"/>
      <c r="Y3" s="604"/>
      <c r="Z3" s="112" t="s">
        <v>31</v>
      </c>
      <c r="AA3" s="113" t="s">
        <v>32</v>
      </c>
      <c r="AB3" s="112" t="s">
        <v>33</v>
      </c>
      <c r="AC3" s="601"/>
      <c r="AD3" s="604"/>
      <c r="AE3" s="112" t="s">
        <v>31</v>
      </c>
      <c r="AF3" s="113" t="s">
        <v>32</v>
      </c>
      <c r="AG3" s="112" t="s">
        <v>33</v>
      </c>
      <c r="AH3" s="601"/>
      <c r="AI3" s="604"/>
      <c r="AJ3" s="112" t="s">
        <v>31</v>
      </c>
      <c r="AK3" s="113" t="s">
        <v>32</v>
      </c>
      <c r="AL3" s="112" t="s">
        <v>33</v>
      </c>
      <c r="AM3" s="601"/>
      <c r="AN3" s="604"/>
      <c r="AO3" s="112" t="s">
        <v>31</v>
      </c>
      <c r="AP3" s="113" t="s">
        <v>32</v>
      </c>
      <c r="AQ3" s="112" t="s">
        <v>33</v>
      </c>
      <c r="AR3" s="607"/>
      <c r="AS3" s="604"/>
      <c r="AT3" s="112" t="s">
        <v>31</v>
      </c>
      <c r="AU3" s="113" t="s">
        <v>32</v>
      </c>
      <c r="AV3" s="112" t="s">
        <v>33</v>
      </c>
      <c r="AW3" s="607"/>
      <c r="AX3" s="604"/>
      <c r="AY3" s="112" t="s">
        <v>31</v>
      </c>
      <c r="AZ3" s="113" t="s">
        <v>32</v>
      </c>
      <c r="BA3" s="112" t="s">
        <v>33</v>
      </c>
      <c r="BB3" s="607"/>
      <c r="BC3" s="604"/>
      <c r="BD3" s="601"/>
      <c r="BE3" s="556"/>
      <c r="BF3" s="556"/>
      <c r="BG3" s="115" t="s">
        <v>314</v>
      </c>
      <c r="BH3" s="559"/>
      <c r="BI3" s="571"/>
      <c r="BJ3" s="568"/>
    </row>
    <row r="4" spans="1:62">
      <c r="A4" s="99">
        <v>1</v>
      </c>
      <c r="B4" s="99">
        <v>2</v>
      </c>
      <c r="C4" s="99">
        <v>3</v>
      </c>
      <c r="D4" s="99">
        <v>4</v>
      </c>
      <c r="E4" s="99">
        <v>5</v>
      </c>
      <c r="F4" s="99">
        <v>6</v>
      </c>
      <c r="G4" s="99">
        <v>7</v>
      </c>
      <c r="H4" s="99">
        <v>8</v>
      </c>
      <c r="I4" s="99">
        <v>9</v>
      </c>
      <c r="J4" s="114"/>
      <c r="K4" s="99">
        <v>10</v>
      </c>
      <c r="L4" s="99">
        <v>11</v>
      </c>
      <c r="M4" s="99">
        <v>12</v>
      </c>
      <c r="N4" s="99">
        <v>13</v>
      </c>
      <c r="O4" s="114"/>
      <c r="P4" s="99">
        <v>14</v>
      </c>
      <c r="Q4" s="99">
        <v>15</v>
      </c>
      <c r="R4" s="99">
        <v>16</v>
      </c>
      <c r="S4" s="99">
        <v>17</v>
      </c>
      <c r="T4" s="114"/>
      <c r="U4" s="99">
        <v>18</v>
      </c>
      <c r="V4" s="99">
        <v>19</v>
      </c>
      <c r="W4" s="99">
        <v>20</v>
      </c>
      <c r="X4" s="99">
        <v>21</v>
      </c>
      <c r="Y4" s="114"/>
      <c r="Z4" s="99">
        <v>22</v>
      </c>
      <c r="AA4" s="99">
        <v>23</v>
      </c>
      <c r="AB4" s="99">
        <v>24</v>
      </c>
      <c r="AC4" s="99">
        <v>25</v>
      </c>
      <c r="AD4" s="114"/>
      <c r="AE4" s="99">
        <v>26</v>
      </c>
      <c r="AF4" s="99">
        <v>27</v>
      </c>
      <c r="AG4" s="99">
        <v>28</v>
      </c>
      <c r="AH4" s="99">
        <v>29</v>
      </c>
      <c r="AI4" s="114"/>
      <c r="AJ4" s="99">
        <v>30</v>
      </c>
      <c r="AK4" s="99">
        <v>31</v>
      </c>
      <c r="AL4" s="99">
        <v>32</v>
      </c>
      <c r="AM4" s="99">
        <v>33</v>
      </c>
      <c r="AN4" s="114"/>
      <c r="AO4" s="99">
        <v>34</v>
      </c>
      <c r="AP4" s="99">
        <v>35</v>
      </c>
      <c r="AQ4" s="99">
        <v>36</v>
      </c>
      <c r="AR4" s="99">
        <v>37</v>
      </c>
      <c r="AS4" s="114"/>
      <c r="AT4" s="99">
        <v>34</v>
      </c>
      <c r="AU4" s="99">
        <v>35</v>
      </c>
      <c r="AV4" s="99">
        <v>36</v>
      </c>
      <c r="AW4" s="99">
        <v>37</v>
      </c>
      <c r="AX4" s="114"/>
      <c r="AY4" s="99">
        <v>34</v>
      </c>
      <c r="AZ4" s="99">
        <v>35</v>
      </c>
      <c r="BA4" s="99">
        <v>36</v>
      </c>
      <c r="BB4" s="99">
        <v>37</v>
      </c>
      <c r="BC4" s="114"/>
      <c r="BD4" s="99">
        <v>38</v>
      </c>
      <c r="BE4" s="99">
        <v>43</v>
      </c>
      <c r="BF4" s="99">
        <v>44</v>
      </c>
      <c r="BG4" s="99"/>
      <c r="BH4" s="99">
        <v>45</v>
      </c>
      <c r="BI4" s="100">
        <v>54</v>
      </c>
      <c r="BJ4" s="100">
        <v>55</v>
      </c>
    </row>
    <row r="5" spans="1:62">
      <c r="A5" s="107">
        <f>'DATA SISWA'!A5</f>
        <v>1</v>
      </c>
      <c r="B5" s="107" t="str">
        <f>'DATA SISWA'!B5</f>
        <v>`017</v>
      </c>
      <c r="C5" s="116" t="str">
        <f>'DATA SISWA'!C5</f>
        <v>Abd. Muis</v>
      </c>
      <c r="D5" s="107" t="str">
        <f>'DATA SISWA'!D5</f>
        <v>L</v>
      </c>
      <c r="E5" s="107" t="str">
        <f>'DATA SISWA'!E5</f>
        <v>VII</v>
      </c>
      <c r="F5" s="119" t="str">
        <f>IF(praktek!K5="","",praktek!K5)</f>
        <v/>
      </c>
      <c r="G5" s="119"/>
      <c r="H5" s="119"/>
      <c r="I5" s="119"/>
      <c r="J5" s="119"/>
      <c r="K5" s="119" t="str">
        <f>IF(praktek!Q5="","",praktek!Q5)</f>
        <v/>
      </c>
      <c r="L5" s="119" t="str">
        <f>IF(PORTOFOLIO!X19=0,"",PORTOFOLIO!X19)</f>
        <v/>
      </c>
      <c r="M5" s="119" t="str">
        <f>IF(proyek!O5="","",proyek!O5)</f>
        <v/>
      </c>
      <c r="N5" s="105" t="str">
        <f>IF(AND(K5="",L5="",M5=""),"",AVERAGE(K5:M5))</f>
        <v/>
      </c>
      <c r="O5" s="72" t="str">
        <f>IF(N5="","",LOOKUP(N5,{0,1,1.33,1.66,2,2.33,2.66,3,3.33,3.66,4},{"D","D+","C-","C","C+","B-","B","B+","A-","A","A"}))</f>
        <v/>
      </c>
      <c r="P5" s="119" t="str">
        <f>IF(praktek!W5="","",praktek!W5)</f>
        <v/>
      </c>
      <c r="Q5" s="119" t="str">
        <f>IF(PORTOFOLIO!AJ19=0,"",PORTOFOLIO!AJ19)</f>
        <v/>
      </c>
      <c r="R5" s="119" t="str">
        <f>IF(proyek!T5="","",proyek!T5)</f>
        <v/>
      </c>
      <c r="S5" s="105" t="str">
        <f>IF(AND(P5="",Q5="",R5=""),"",AVERAGE(P5:R5))</f>
        <v/>
      </c>
      <c r="T5" s="72" t="str">
        <f>IF(S5="","",LOOKUP(S5,{0,1,1.33,1.66,2,2.33,2.66,3,3.33,3.66,4},{"D","D+","C-","C","C+","B-","B","B+","A-","A","A"}))</f>
        <v/>
      </c>
      <c r="U5" s="119" t="str">
        <f>IF(praktek!AC5="","",praktek!AC5)</f>
        <v/>
      </c>
      <c r="V5" s="119" t="str">
        <f>IF(PORTOFOLIO!AV19=0,"",PORTOFOLIO!AV19)</f>
        <v/>
      </c>
      <c r="W5" s="119" t="str">
        <f>IF(proyek!Y5="","",proyek!Y5)</f>
        <v/>
      </c>
      <c r="X5" s="105" t="str">
        <f>IF(AND(U5="",V5="",W5=""),"",AVERAGE(U5:W5))</f>
        <v/>
      </c>
      <c r="Y5" s="72" t="str">
        <f>IF(X5="","",LOOKUP(X5,{0,1,1.33,1.66,2,2.33,2.66,3,3.33,3.66,4},{"D","D+","C-","C","C+","B-","B","B+","A-","A","A"}))</f>
        <v/>
      </c>
      <c r="Z5" s="119" t="str">
        <f>IF(praktek!AI5="","",praktek!AI5)</f>
        <v/>
      </c>
      <c r="AA5" s="119" t="str">
        <f>IF(PORTOFOLIO!BH19=0,"",PORTOFOLIO!BH19)</f>
        <v/>
      </c>
      <c r="AB5" s="119" t="str">
        <f>IF(proyek!AD5="","",proyek!AD5)</f>
        <v/>
      </c>
      <c r="AC5" s="105" t="str">
        <f>IF(AND(Z5="",AA5="",AB5=""),"",AVERAGE(Z5:AB5))</f>
        <v/>
      </c>
      <c r="AD5" s="72" t="str">
        <f>IF(AC5="","",LOOKUP(AC5,{0,1,1.33,1.66,2,2.33,2.66,3,3.33,3.66,4},{"D","D+","C-","C","C+","B-","B","B+","A-","A","A"}))</f>
        <v/>
      </c>
      <c r="AE5" s="119" t="str">
        <f>IF(praktek!AO5="","",praktek!AO5)</f>
        <v/>
      </c>
      <c r="AF5" s="119" t="str">
        <f>IF(PORTOFOLIO!BT19=0,"",PORTOFOLIO!BT19)</f>
        <v/>
      </c>
      <c r="AG5" s="119" t="str">
        <f>IF(proyek!AI5="","",proyek!AI5)</f>
        <v/>
      </c>
      <c r="AH5" s="105" t="str">
        <f>IF(AND(AE5="",AF5="",AG5=""),"",AVERAGE(AE5:AG5))</f>
        <v/>
      </c>
      <c r="AI5" s="72" t="str">
        <f>IF(AH5="","",LOOKUP(AH5,{0,1,1.33,1.66,2,2.33,2.66,3,3.33,3.66,4},{"D","D+","C-","C","C+","B-","B","B+","A-","A","A"}))</f>
        <v/>
      </c>
      <c r="AJ5" s="119" t="str">
        <f>IF(praktek!AU5="","",praktek!AU5)</f>
        <v/>
      </c>
      <c r="AK5" s="119" t="str">
        <f>IF(PORTOFOLIO!CF19=0,"",PORTOFOLIO!CF19)</f>
        <v/>
      </c>
      <c r="AL5" s="119" t="str">
        <f>IF(proyek!AN5="","",proyek!AN5)</f>
        <v/>
      </c>
      <c r="AM5" s="105" t="str">
        <f>IF(AND(AJ5="",AK5="",AL5=""),"",AVERAGE(AJ5:AL5))</f>
        <v/>
      </c>
      <c r="AN5" s="72" t="str">
        <f>IF(AM5="","",LOOKUP(AM5,{0,1,1.33,1.66,2,2.33,2.66,3,3.33,3.66,4},{"D","D+","C-","C","C+","B-","B","B+","A-","A","A"}))</f>
        <v/>
      </c>
      <c r="AO5" s="119" t="str">
        <f>IF(praktek!BA5="","",praktek!BA5)</f>
        <v/>
      </c>
      <c r="AP5" s="119" t="str">
        <f>IF(PORTOFOLIO!CR19=0,"",PORTOFOLIO!CR19)</f>
        <v/>
      </c>
      <c r="AQ5" s="119" t="str">
        <f>IF(proyek!AS5="","",proyek!AS5)</f>
        <v/>
      </c>
      <c r="AR5" s="105" t="str">
        <f>IF(AND(AO5="",AP5="",AQ5=""),"",AVERAGE(AO5:AQ5))</f>
        <v/>
      </c>
      <c r="AS5" s="72" t="str">
        <f>IF(AR5="","",LOOKUP(AR5,{0,1,1.33,1.66,2,2.33,2.66,3,3.33,3.66,4},{"D","D+","C-","C","C+","B-","B","B+","A-","A","A"}))</f>
        <v/>
      </c>
      <c r="AT5" s="119" t="str">
        <f>IF(praktek!BG5="","",praktek!BG5)</f>
        <v/>
      </c>
      <c r="AU5" s="119" t="str">
        <f>IF(PORTOFOLIO!DD19=0,"",PORTOFOLIO!DD19)</f>
        <v/>
      </c>
      <c r="AV5" s="119" t="str">
        <f>IF(proyek!AX5="","",proyek!AX5)</f>
        <v/>
      </c>
      <c r="AW5" s="105" t="str">
        <f>IF(AND(AT5="",AU5="",AV5=""),"",AVERAGE(AT5:AV5))</f>
        <v/>
      </c>
      <c r="AX5" s="72" t="str">
        <f>IF(AW5="","",LOOKUP(AW5,{0,1,1.33,1.66,2,2.33,2.66,3,3.33,3.66,4},{"D","D+","C-","C","C+","B-","B","B+","A-","A","A"}))</f>
        <v/>
      </c>
      <c r="AY5" s="119" t="str">
        <f>IF(praktek!BM5="","",praktek!BM5)</f>
        <v/>
      </c>
      <c r="AZ5" s="119" t="str">
        <f>IF(PORTOFOLIO!DP19=0,"",PORTOFOLIO!DP19)</f>
        <v/>
      </c>
      <c r="BA5" s="119" t="str">
        <f>IF(proyek!BC5="","",proyek!BC5)</f>
        <v/>
      </c>
      <c r="BB5" s="105" t="str">
        <f>IF(AND(AY5="",AZ5="",BA5=""),"",AVERAGE(AY5:BA5))</f>
        <v/>
      </c>
      <c r="BC5" s="72" t="str">
        <f>IF(BB5="","",LOOKUP(BB5,{0,1,1.33,1.66,2,2.33,2.66,3,3.33,3.66,4},{"D","D+","C-","C","C+","B-","B","B+","A-","A","A"}))</f>
        <v/>
      </c>
      <c r="BD5" s="119"/>
      <c r="BE5" s="119"/>
      <c r="BF5" s="119"/>
      <c r="BG5" s="119"/>
      <c r="BH5" s="119"/>
      <c r="BI5" s="119"/>
      <c r="BJ5" s="119"/>
    </row>
    <row r="6" spans="1:62">
      <c r="A6" s="107">
        <f>'DATA SISWA'!A6</f>
        <v>2</v>
      </c>
      <c r="B6" s="107" t="str">
        <f>'DATA SISWA'!B6</f>
        <v>`008</v>
      </c>
      <c r="C6" s="116" t="str">
        <f>'DATA SISWA'!C6</f>
        <v>Achmad Buka</v>
      </c>
      <c r="D6" s="107" t="str">
        <f>'DATA SISWA'!D6</f>
        <v>L</v>
      </c>
      <c r="E6" s="107" t="str">
        <f>'DATA SISWA'!E6</f>
        <v>VII</v>
      </c>
      <c r="F6" s="119" t="str">
        <f>IF(praktek!K6="","",praktek!K6)</f>
        <v/>
      </c>
      <c r="G6" s="119"/>
      <c r="H6" s="119"/>
      <c r="I6" s="119"/>
      <c r="J6" s="119"/>
      <c r="K6" s="119"/>
      <c r="L6" s="119"/>
      <c r="M6" s="119"/>
      <c r="N6" s="119"/>
      <c r="O6" s="119"/>
      <c r="P6" s="119"/>
      <c r="Q6" s="119"/>
      <c r="R6" s="119"/>
      <c r="S6" s="119"/>
      <c r="T6" s="119"/>
      <c r="U6" s="119"/>
      <c r="V6" s="119"/>
      <c r="W6" s="119"/>
      <c r="X6" s="119"/>
      <c r="Y6" s="119"/>
      <c r="Z6" s="119"/>
      <c r="AA6" s="119"/>
      <c r="AB6" s="119"/>
      <c r="AC6" s="119"/>
      <c r="AD6" s="119"/>
      <c r="AE6" s="119"/>
      <c r="AF6" s="119"/>
      <c r="AG6" s="119"/>
      <c r="AH6" s="119"/>
      <c r="AI6" s="119"/>
      <c r="AJ6" s="119"/>
      <c r="AK6" s="119"/>
      <c r="AL6" s="119"/>
      <c r="AM6" s="119"/>
      <c r="AN6" s="119"/>
      <c r="AO6" s="119"/>
      <c r="AP6" s="119"/>
      <c r="AQ6" s="119"/>
      <c r="AR6" s="119"/>
      <c r="AS6" s="119"/>
      <c r="AT6" s="119"/>
      <c r="AU6" s="119"/>
      <c r="AV6" s="119"/>
      <c r="AW6" s="119"/>
      <c r="AX6" s="119"/>
      <c r="AY6" s="119"/>
      <c r="AZ6" s="119"/>
      <c r="BA6" s="119"/>
      <c r="BB6" s="119"/>
      <c r="BC6" s="119"/>
      <c r="BD6" s="119"/>
      <c r="BE6" s="119"/>
      <c r="BF6" s="119"/>
      <c r="BG6" s="119"/>
      <c r="BH6" s="119"/>
      <c r="BI6" s="119"/>
      <c r="BJ6" s="119"/>
    </row>
    <row r="7" spans="1:62">
      <c r="A7" s="107">
        <f>'DATA SISWA'!A7</f>
        <v>3</v>
      </c>
      <c r="B7" s="107" t="str">
        <f>'DATA SISWA'!B7</f>
        <v>`014</v>
      </c>
      <c r="C7" s="116" t="str">
        <f>'DATA SISWA'!C7</f>
        <v>Bunami</v>
      </c>
      <c r="D7" s="107" t="str">
        <f>'DATA SISWA'!D7</f>
        <v>P</v>
      </c>
      <c r="E7" s="107" t="str">
        <f>'DATA SISWA'!E7</f>
        <v>VII</v>
      </c>
      <c r="F7" s="119" t="str">
        <f>IF(praktek!K7="","",praktek!K7)</f>
        <v/>
      </c>
      <c r="G7" s="119"/>
      <c r="H7" s="119"/>
      <c r="I7" s="119"/>
      <c r="J7" s="119"/>
      <c r="K7" s="119"/>
      <c r="L7" s="119"/>
      <c r="M7" s="119"/>
      <c r="N7" s="119"/>
      <c r="O7" s="119"/>
      <c r="P7" s="119"/>
      <c r="Q7" s="119"/>
      <c r="R7" s="119"/>
      <c r="S7" s="119"/>
      <c r="T7" s="119"/>
      <c r="U7" s="119"/>
      <c r="V7" s="119"/>
      <c r="W7" s="119"/>
      <c r="X7" s="119"/>
      <c r="Y7" s="119"/>
      <c r="Z7" s="119"/>
      <c r="AA7" s="119"/>
      <c r="AB7" s="119"/>
      <c r="AC7" s="119"/>
      <c r="AD7" s="119"/>
      <c r="AE7" s="119"/>
      <c r="AF7" s="119"/>
      <c r="AG7" s="119"/>
      <c r="AH7" s="119"/>
      <c r="AI7" s="119"/>
      <c r="AJ7" s="119"/>
      <c r="AK7" s="119"/>
      <c r="AL7" s="119"/>
      <c r="AM7" s="119"/>
      <c r="AN7" s="119"/>
      <c r="AO7" s="119"/>
      <c r="AP7" s="119"/>
      <c r="AQ7" s="119"/>
      <c r="AR7" s="119"/>
      <c r="AS7" s="119"/>
      <c r="AT7" s="119"/>
      <c r="AU7" s="119"/>
      <c r="AV7" s="119"/>
      <c r="AW7" s="119"/>
      <c r="AX7" s="119"/>
      <c r="AY7" s="119"/>
      <c r="AZ7" s="119"/>
      <c r="BA7" s="119"/>
      <c r="BB7" s="119"/>
      <c r="BC7" s="119"/>
      <c r="BD7" s="119"/>
      <c r="BE7" s="119"/>
      <c r="BF7" s="119"/>
      <c r="BG7" s="119"/>
      <c r="BH7" s="119"/>
      <c r="BI7" s="119"/>
      <c r="BJ7" s="119"/>
    </row>
    <row r="8" spans="1:62">
      <c r="A8" s="107">
        <f>'DATA SISWA'!A8</f>
        <v>4</v>
      </c>
      <c r="B8" s="107" t="str">
        <f>'DATA SISWA'!B8</f>
        <v>`009</v>
      </c>
      <c r="C8" s="116" t="str">
        <f>'DATA SISWA'!C8</f>
        <v>Fatimatuz Zahroh</v>
      </c>
      <c r="D8" s="107" t="str">
        <f>'DATA SISWA'!D8</f>
        <v>P</v>
      </c>
      <c r="E8" s="107" t="str">
        <f>'DATA SISWA'!E8</f>
        <v>VII</v>
      </c>
      <c r="F8" s="119" t="str">
        <f>IF(praktek!K8="","",praktek!K8)</f>
        <v/>
      </c>
      <c r="G8" s="119"/>
      <c r="H8" s="119"/>
      <c r="I8" s="119"/>
      <c r="J8" s="119"/>
      <c r="K8" s="119"/>
      <c r="L8" s="119"/>
      <c r="M8" s="119"/>
      <c r="N8" s="119"/>
      <c r="O8" s="119"/>
      <c r="P8" s="119"/>
      <c r="Q8" s="119"/>
      <c r="R8" s="119"/>
      <c r="S8" s="119"/>
      <c r="T8" s="119"/>
      <c r="U8" s="119"/>
      <c r="V8" s="119"/>
      <c r="W8" s="119"/>
      <c r="X8" s="119"/>
      <c r="Y8" s="119"/>
      <c r="Z8" s="119"/>
      <c r="AA8" s="119"/>
      <c r="AB8" s="119"/>
      <c r="AC8" s="119"/>
      <c r="AD8" s="119"/>
      <c r="AE8" s="119"/>
      <c r="AF8" s="119"/>
      <c r="AG8" s="119"/>
      <c r="AH8" s="119"/>
      <c r="AI8" s="119"/>
      <c r="AJ8" s="119"/>
      <c r="AK8" s="119"/>
      <c r="AL8" s="119"/>
      <c r="AM8" s="119"/>
      <c r="AN8" s="119"/>
      <c r="AO8" s="119"/>
      <c r="AP8" s="119"/>
      <c r="AQ8" s="119"/>
      <c r="AR8" s="119"/>
      <c r="AS8" s="119"/>
      <c r="AT8" s="119"/>
      <c r="AU8" s="119"/>
      <c r="AV8" s="119"/>
      <c r="AW8" s="119"/>
      <c r="AX8" s="119"/>
      <c r="AY8" s="119"/>
      <c r="AZ8" s="119"/>
      <c r="BA8" s="119"/>
      <c r="BB8" s="119"/>
      <c r="BC8" s="119"/>
      <c r="BD8" s="119"/>
      <c r="BE8" s="119"/>
      <c r="BF8" s="119"/>
      <c r="BG8" s="119"/>
      <c r="BH8" s="119"/>
      <c r="BI8" s="119"/>
      <c r="BJ8" s="119"/>
    </row>
    <row r="9" spans="1:62">
      <c r="A9" s="107">
        <f>'DATA SISWA'!A9</f>
        <v>5</v>
      </c>
      <c r="B9" s="107" t="str">
        <f>'DATA SISWA'!B9</f>
        <v>`003</v>
      </c>
      <c r="C9" s="116" t="str">
        <f>'DATA SISWA'!C9</f>
        <v>Fitriadi</v>
      </c>
      <c r="D9" s="107" t="str">
        <f>'DATA SISWA'!D9</f>
        <v>L</v>
      </c>
      <c r="E9" s="107" t="str">
        <f>'DATA SISWA'!E9</f>
        <v>VII</v>
      </c>
      <c r="F9" s="119" t="str">
        <f>IF(praktek!K9="","",praktek!K9)</f>
        <v/>
      </c>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row>
    <row r="10" spans="1:62">
      <c r="A10" s="107">
        <f>'DATA SISWA'!A10</f>
        <v>6</v>
      </c>
      <c r="B10" s="107" t="str">
        <f>'DATA SISWA'!B10</f>
        <v>`006</v>
      </c>
      <c r="C10" s="116" t="str">
        <f>'DATA SISWA'!C10</f>
        <v>Homsiyah</v>
      </c>
      <c r="D10" s="107" t="str">
        <f>'DATA SISWA'!D10</f>
        <v>P</v>
      </c>
      <c r="E10" s="107" t="str">
        <f>'DATA SISWA'!E10</f>
        <v>VII</v>
      </c>
      <c r="F10" s="119" t="str">
        <f>IF(praktek!K10="","",praktek!K10)</f>
        <v/>
      </c>
      <c r="G10" s="119"/>
      <c r="H10" s="119"/>
      <c r="I10" s="119"/>
      <c r="J10" s="119"/>
      <c r="K10" s="119"/>
      <c r="L10" s="119"/>
      <c r="M10" s="119"/>
      <c r="N10" s="119"/>
      <c r="O10" s="119"/>
      <c r="P10" s="119"/>
      <c r="Q10" s="119"/>
      <c r="R10" s="119"/>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row>
    <row r="11" spans="1:62">
      <c r="A11" s="107">
        <f>'DATA SISWA'!A11</f>
        <v>7</v>
      </c>
      <c r="B11" s="107" t="str">
        <f>'DATA SISWA'!B11</f>
        <v>`002</v>
      </c>
      <c r="C11" s="116" t="str">
        <f>'DATA SISWA'!C11</f>
        <v>Insiyah</v>
      </c>
      <c r="D11" s="107" t="str">
        <f>'DATA SISWA'!D11</f>
        <v>P</v>
      </c>
      <c r="E11" s="107" t="str">
        <f>'DATA SISWA'!E11</f>
        <v>VII</v>
      </c>
      <c r="F11" s="119" t="str">
        <f>IF(praktek!K11="","",praktek!K11)</f>
        <v/>
      </c>
      <c r="G11" s="119"/>
      <c r="H11" s="119"/>
      <c r="I11" s="119"/>
      <c r="J11" s="119"/>
      <c r="K11" s="119"/>
      <c r="L11" s="119"/>
      <c r="M11" s="119"/>
      <c r="N11" s="119"/>
      <c r="O11" s="119"/>
      <c r="P11" s="119"/>
      <c r="Q11" s="119"/>
      <c r="R11" s="119"/>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row>
    <row r="12" spans="1:62">
      <c r="A12" s="107">
        <f>'DATA SISWA'!A12</f>
        <v>8</v>
      </c>
      <c r="B12" s="107" t="str">
        <f>'DATA SISWA'!B12</f>
        <v>`010</v>
      </c>
      <c r="C12" s="116" t="str">
        <f>'DATA SISWA'!C12</f>
        <v>Saiful Jamil</v>
      </c>
      <c r="D12" s="107" t="str">
        <f>'DATA SISWA'!D12</f>
        <v>L</v>
      </c>
      <c r="E12" s="107" t="str">
        <f>'DATA SISWA'!E12</f>
        <v>VII</v>
      </c>
      <c r="F12" s="119" t="str">
        <f>IF(praktek!K12="","",praktek!K12)</f>
        <v/>
      </c>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row>
    <row r="13" spans="1:62">
      <c r="A13" s="107">
        <f>'DATA SISWA'!A13</f>
        <v>9</v>
      </c>
      <c r="B13" s="107" t="str">
        <f>'DATA SISWA'!B13</f>
        <v>`011</v>
      </c>
      <c r="C13" s="116" t="str">
        <f>'DATA SISWA'!C13</f>
        <v>Khusnun Nisa</v>
      </c>
      <c r="D13" s="107" t="str">
        <f>'DATA SISWA'!D13</f>
        <v>P</v>
      </c>
      <c r="E13" s="107" t="str">
        <f>'DATA SISWA'!E13</f>
        <v>VII</v>
      </c>
      <c r="F13" s="119" t="str">
        <f>IF(praktek!K13="","",praktek!K13)</f>
        <v/>
      </c>
      <c r="G13" s="119"/>
      <c r="H13" s="119"/>
      <c r="I13" s="119"/>
      <c r="J13" s="119"/>
      <c r="K13" s="119"/>
      <c r="L13" s="119"/>
      <c r="M13" s="119"/>
      <c r="N13" s="119"/>
      <c r="O13" s="119"/>
      <c r="P13" s="119"/>
      <c r="Q13" s="119"/>
      <c r="R13" s="119"/>
      <c r="S13" s="119"/>
      <c r="T13" s="119"/>
      <c r="U13" s="119"/>
      <c r="V13" s="119"/>
      <c r="W13" s="119"/>
      <c r="X13" s="119"/>
      <c r="Y13" s="119"/>
      <c r="Z13" s="119"/>
      <c r="AA13" s="119"/>
      <c r="AB13" s="119"/>
      <c r="AC13" s="119"/>
      <c r="AD13" s="119"/>
      <c r="AE13" s="119"/>
      <c r="AF13" s="119"/>
      <c r="AG13" s="119"/>
      <c r="AH13" s="119"/>
      <c r="AI13" s="119"/>
      <c r="AJ13" s="119"/>
      <c r="AK13" s="119"/>
      <c r="AL13" s="119"/>
      <c r="AM13" s="119"/>
      <c r="AN13" s="119"/>
      <c r="AO13" s="119"/>
      <c r="AP13" s="119"/>
      <c r="AQ13" s="119"/>
      <c r="AR13" s="119"/>
      <c r="AS13" s="119"/>
      <c r="AT13" s="119"/>
      <c r="AU13" s="119"/>
      <c r="AV13" s="119"/>
      <c r="AW13" s="119"/>
      <c r="AX13" s="119"/>
      <c r="AY13" s="119"/>
      <c r="AZ13" s="119"/>
      <c r="BA13" s="119"/>
      <c r="BB13" s="119"/>
      <c r="BC13" s="119"/>
      <c r="BD13" s="119"/>
      <c r="BE13" s="119"/>
      <c r="BF13" s="119"/>
      <c r="BG13" s="119"/>
      <c r="BH13" s="119"/>
      <c r="BI13" s="119"/>
      <c r="BJ13" s="119"/>
    </row>
    <row r="14" spans="1:62">
      <c r="A14" s="107">
        <f>'DATA SISWA'!A14</f>
        <v>10</v>
      </c>
      <c r="B14" s="107" t="str">
        <f>'DATA SISWA'!B14</f>
        <v>`005</v>
      </c>
      <c r="C14" s="116" t="str">
        <f>'DATA SISWA'!C14</f>
        <v>Komariyah</v>
      </c>
      <c r="D14" s="107" t="str">
        <f>'DATA SISWA'!D14</f>
        <v>P</v>
      </c>
      <c r="E14" s="107" t="str">
        <f>'DATA SISWA'!E14</f>
        <v>VII</v>
      </c>
      <c r="F14" s="119" t="str">
        <f>IF(praktek!K14="","",praktek!K14)</f>
        <v/>
      </c>
      <c r="G14" s="119"/>
      <c r="H14" s="119"/>
      <c r="I14" s="119"/>
      <c r="J14" s="119"/>
      <c r="K14" s="119"/>
      <c r="L14" s="119"/>
      <c r="M14" s="119"/>
      <c r="N14" s="119"/>
      <c r="O14" s="119"/>
      <c r="P14" s="119"/>
      <c r="Q14" s="119"/>
      <c r="R14" s="119"/>
      <c r="S14" s="119"/>
      <c r="T14" s="119"/>
      <c r="U14" s="119"/>
      <c r="V14" s="119"/>
      <c r="W14" s="119"/>
      <c r="X14" s="119"/>
      <c r="Y14" s="119"/>
      <c r="Z14" s="119"/>
      <c r="AA14" s="119"/>
      <c r="AB14" s="119"/>
      <c r="AC14" s="119"/>
      <c r="AD14" s="119"/>
      <c r="AE14" s="119"/>
      <c r="AF14" s="119"/>
      <c r="AG14" s="119"/>
      <c r="AH14" s="119"/>
      <c r="AI14" s="119"/>
      <c r="AJ14" s="119"/>
      <c r="AK14" s="119"/>
      <c r="AL14" s="119"/>
      <c r="AM14" s="119"/>
      <c r="AN14" s="119"/>
      <c r="AO14" s="119"/>
      <c r="AP14" s="119"/>
      <c r="AQ14" s="119"/>
      <c r="AR14" s="119"/>
      <c r="AS14" s="119"/>
      <c r="AT14" s="119"/>
      <c r="AU14" s="119"/>
      <c r="AV14" s="119"/>
      <c r="AW14" s="119"/>
      <c r="AX14" s="119"/>
      <c r="AY14" s="119"/>
      <c r="AZ14" s="119"/>
      <c r="BA14" s="119"/>
      <c r="BB14" s="119"/>
      <c r="BC14" s="119"/>
      <c r="BD14" s="119"/>
      <c r="BE14" s="119"/>
      <c r="BF14" s="119"/>
      <c r="BG14" s="119"/>
      <c r="BH14" s="119"/>
      <c r="BI14" s="119"/>
      <c r="BJ14" s="119"/>
    </row>
    <row r="15" spans="1:62">
      <c r="A15" s="107">
        <f>'DATA SISWA'!A15</f>
        <v>11</v>
      </c>
      <c r="B15" s="107" t="str">
        <f>'DATA SISWA'!B15</f>
        <v>`013</v>
      </c>
      <c r="C15" s="116" t="str">
        <f>'DATA SISWA'!C15</f>
        <v>Latifah</v>
      </c>
      <c r="D15" s="107" t="str">
        <f>'DATA SISWA'!D15</f>
        <v>P</v>
      </c>
      <c r="E15" s="107" t="str">
        <f>'DATA SISWA'!E15</f>
        <v>VII</v>
      </c>
      <c r="F15" s="119" t="str">
        <f>IF(praktek!K15="","",praktek!K15)</f>
        <v/>
      </c>
      <c r="G15" s="119"/>
      <c r="H15" s="119"/>
      <c r="I15" s="119"/>
      <c r="J15" s="119"/>
      <c r="K15" s="119"/>
      <c r="L15" s="119"/>
      <c r="M15" s="119"/>
      <c r="N15" s="119"/>
      <c r="O15" s="119"/>
      <c r="P15" s="119"/>
      <c r="Q15" s="119"/>
      <c r="R15" s="119"/>
      <c r="S15" s="119"/>
      <c r="T15" s="119"/>
      <c r="U15" s="119"/>
      <c r="V15" s="119"/>
      <c r="W15" s="119"/>
      <c r="X15" s="119"/>
      <c r="Y15" s="119"/>
      <c r="Z15" s="119"/>
      <c r="AA15" s="119"/>
      <c r="AB15" s="119"/>
      <c r="AC15" s="119"/>
      <c r="AD15" s="119"/>
      <c r="AE15" s="119"/>
      <c r="AF15" s="119"/>
      <c r="AG15" s="119"/>
      <c r="AH15" s="119"/>
      <c r="AI15" s="119"/>
      <c r="AJ15" s="119"/>
      <c r="AK15" s="119"/>
      <c r="AL15" s="119"/>
      <c r="AM15" s="119"/>
      <c r="AN15" s="119"/>
      <c r="AO15" s="119"/>
      <c r="AP15" s="119"/>
      <c r="AQ15" s="119"/>
      <c r="AR15" s="119"/>
      <c r="AS15" s="119"/>
      <c r="AT15" s="119"/>
      <c r="AU15" s="119"/>
      <c r="AV15" s="119"/>
      <c r="AW15" s="119"/>
      <c r="AX15" s="119"/>
      <c r="AY15" s="119"/>
      <c r="AZ15" s="119"/>
      <c r="BA15" s="119"/>
      <c r="BB15" s="119"/>
      <c r="BC15" s="119"/>
      <c r="BD15" s="119"/>
      <c r="BE15" s="119"/>
      <c r="BF15" s="119"/>
      <c r="BG15" s="119"/>
      <c r="BH15" s="119"/>
      <c r="BI15" s="119"/>
      <c r="BJ15" s="119"/>
    </row>
    <row r="16" spans="1:62">
      <c r="A16" s="107">
        <f>'DATA SISWA'!A16</f>
        <v>12</v>
      </c>
      <c r="B16" s="107" t="str">
        <f>'DATA SISWA'!B16</f>
        <v>`018</v>
      </c>
      <c r="C16" s="116" t="str">
        <f>'DATA SISWA'!C16</f>
        <v>Maya</v>
      </c>
      <c r="D16" s="107" t="str">
        <f>'DATA SISWA'!D16</f>
        <v>P</v>
      </c>
      <c r="E16" s="107" t="str">
        <f>'DATA SISWA'!E16</f>
        <v>VII</v>
      </c>
      <c r="F16" s="119" t="str">
        <f>IF(praktek!K16="","",praktek!K16)</f>
        <v/>
      </c>
      <c r="G16" s="119"/>
      <c r="H16" s="119"/>
      <c r="I16" s="119"/>
      <c r="J16" s="119"/>
      <c r="K16" s="119"/>
      <c r="L16" s="119"/>
      <c r="M16" s="119"/>
      <c r="N16" s="119"/>
      <c r="O16" s="119"/>
      <c r="P16" s="119"/>
      <c r="Q16" s="119"/>
      <c r="R16" s="119"/>
      <c r="S16" s="119"/>
      <c r="T16" s="119"/>
      <c r="U16" s="119"/>
      <c r="V16" s="119"/>
      <c r="W16" s="119"/>
      <c r="X16" s="119"/>
      <c r="Y16" s="119"/>
      <c r="Z16" s="119"/>
      <c r="AA16" s="119"/>
      <c r="AB16" s="119"/>
      <c r="AC16" s="119"/>
      <c r="AD16" s="119"/>
      <c r="AE16" s="119"/>
      <c r="AF16" s="119"/>
      <c r="AG16" s="119"/>
      <c r="AH16" s="119"/>
      <c r="AI16" s="119"/>
      <c r="AJ16" s="119"/>
      <c r="AK16" s="119"/>
      <c r="AL16" s="119"/>
      <c r="AM16" s="119"/>
      <c r="AN16" s="119"/>
      <c r="AO16" s="119"/>
      <c r="AP16" s="119"/>
      <c r="AQ16" s="119"/>
      <c r="AR16" s="119"/>
      <c r="AS16" s="119"/>
      <c r="AT16" s="119"/>
      <c r="AU16" s="119"/>
      <c r="AV16" s="119"/>
      <c r="AW16" s="119"/>
      <c r="AX16" s="119"/>
      <c r="AY16" s="119"/>
      <c r="AZ16" s="119"/>
      <c r="BA16" s="119"/>
      <c r="BB16" s="119"/>
      <c r="BC16" s="119"/>
      <c r="BD16" s="119"/>
      <c r="BE16" s="119"/>
      <c r="BF16" s="119"/>
      <c r="BG16" s="119"/>
      <c r="BH16" s="119"/>
      <c r="BI16" s="119"/>
      <c r="BJ16" s="119"/>
    </row>
    <row r="17" spans="1:62">
      <c r="A17" s="107">
        <f>'DATA SISWA'!A17</f>
        <v>13</v>
      </c>
      <c r="B17" s="107" t="str">
        <f>'DATA SISWA'!B17</f>
        <v>`016</v>
      </c>
      <c r="C17" s="116" t="str">
        <f>'DATA SISWA'!C17</f>
        <v>Ma`ruf</v>
      </c>
      <c r="D17" s="107" t="str">
        <f>'DATA SISWA'!D17</f>
        <v>L</v>
      </c>
      <c r="E17" s="107" t="str">
        <f>'DATA SISWA'!E17</f>
        <v>VII</v>
      </c>
      <c r="F17" s="119" t="str">
        <f>IF(praktek!K17="","",praktek!K17)</f>
        <v/>
      </c>
      <c r="G17" s="119"/>
      <c r="H17" s="119"/>
      <c r="I17" s="119"/>
      <c r="J17" s="119"/>
      <c r="K17" s="119"/>
      <c r="L17" s="119"/>
      <c r="M17" s="119"/>
      <c r="N17" s="119"/>
      <c r="O17" s="119"/>
      <c r="P17" s="119"/>
      <c r="Q17" s="119"/>
      <c r="R17" s="119"/>
      <c r="S17" s="119"/>
      <c r="T17" s="119"/>
      <c r="U17" s="119"/>
      <c r="V17" s="119"/>
      <c r="W17" s="119"/>
      <c r="X17" s="119"/>
      <c r="Y17" s="119"/>
      <c r="Z17" s="119"/>
      <c r="AA17" s="119"/>
      <c r="AB17" s="119"/>
      <c r="AC17" s="119"/>
      <c r="AD17" s="119"/>
      <c r="AE17" s="119"/>
      <c r="AF17" s="119"/>
      <c r="AG17" s="119"/>
      <c r="AH17" s="119"/>
      <c r="AI17" s="119"/>
      <c r="AJ17" s="119"/>
      <c r="AK17" s="119"/>
      <c r="AL17" s="119"/>
      <c r="AM17" s="119"/>
      <c r="AN17" s="119"/>
      <c r="AO17" s="119"/>
      <c r="AP17" s="119"/>
      <c r="AQ17" s="119"/>
      <c r="AR17" s="119"/>
      <c r="AS17" s="119"/>
      <c r="AT17" s="119"/>
      <c r="AU17" s="119"/>
      <c r="AV17" s="119"/>
      <c r="AW17" s="119"/>
      <c r="AX17" s="119"/>
      <c r="AY17" s="119"/>
      <c r="AZ17" s="119"/>
      <c r="BA17" s="119"/>
      <c r="BB17" s="119"/>
      <c r="BC17" s="119"/>
      <c r="BD17" s="119"/>
      <c r="BE17" s="119"/>
      <c r="BF17" s="119"/>
      <c r="BG17" s="119"/>
      <c r="BH17" s="119"/>
      <c r="BI17" s="119"/>
      <c r="BJ17" s="119"/>
    </row>
    <row r="18" spans="1:62">
      <c r="A18" s="107">
        <f>'DATA SISWA'!A18</f>
        <v>14</v>
      </c>
      <c r="B18" s="107" t="str">
        <f>'DATA SISWA'!B18</f>
        <v>`020</v>
      </c>
      <c r="C18" s="116" t="str">
        <f>'DATA SISWA'!C18</f>
        <v>Nia Ramadani</v>
      </c>
      <c r="D18" s="107" t="str">
        <f>'DATA SISWA'!D18</f>
        <v>P</v>
      </c>
      <c r="E18" s="107" t="str">
        <f>'DATA SISWA'!E18</f>
        <v>VII</v>
      </c>
      <c r="F18" s="119" t="str">
        <f>IF(praktek!K18="","",praktek!K18)</f>
        <v/>
      </c>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c r="AE18" s="119"/>
      <c r="AF18" s="119"/>
      <c r="AG18" s="119"/>
      <c r="AH18" s="119"/>
      <c r="AI18" s="119"/>
      <c r="AJ18" s="119"/>
      <c r="AK18" s="119"/>
      <c r="AL18" s="119"/>
      <c r="AM18" s="119"/>
      <c r="AN18" s="119"/>
      <c r="AO18" s="119"/>
      <c r="AP18" s="119"/>
      <c r="AQ18" s="119"/>
      <c r="AR18" s="119"/>
      <c r="AS18" s="119"/>
      <c r="AT18" s="119"/>
      <c r="AU18" s="119"/>
      <c r="AV18" s="119"/>
      <c r="AW18" s="119"/>
      <c r="AX18" s="119"/>
      <c r="AY18" s="119"/>
      <c r="AZ18" s="119"/>
      <c r="BA18" s="119"/>
      <c r="BB18" s="119"/>
      <c r="BC18" s="119"/>
      <c r="BD18" s="119"/>
      <c r="BE18" s="119"/>
      <c r="BF18" s="119"/>
      <c r="BG18" s="119"/>
      <c r="BH18" s="119"/>
      <c r="BI18" s="119"/>
      <c r="BJ18" s="119"/>
    </row>
    <row r="19" spans="1:62">
      <c r="A19" s="107">
        <f>'DATA SISWA'!A19</f>
        <v>15</v>
      </c>
      <c r="B19" s="107" t="str">
        <f>'DATA SISWA'!B19</f>
        <v>`012</v>
      </c>
      <c r="C19" s="116" t="str">
        <f>'DATA SISWA'!C19</f>
        <v>Ningsih Rahmawati</v>
      </c>
      <c r="D19" s="107" t="str">
        <f>'DATA SISWA'!D19</f>
        <v>P</v>
      </c>
      <c r="E19" s="107" t="str">
        <f>'DATA SISWA'!E19</f>
        <v>VII</v>
      </c>
      <c r="F19" s="119" t="str">
        <f>IF(praktek!K19="","",praktek!K19)</f>
        <v/>
      </c>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c r="AE19" s="119"/>
      <c r="AF19" s="119"/>
      <c r="AG19" s="119"/>
      <c r="AH19" s="119"/>
      <c r="AI19" s="119"/>
      <c r="AJ19" s="119"/>
      <c r="AK19" s="119"/>
      <c r="AL19" s="119"/>
      <c r="AM19" s="119"/>
      <c r="AN19" s="119"/>
      <c r="AO19" s="119"/>
      <c r="AP19" s="119"/>
      <c r="AQ19" s="119"/>
      <c r="AR19" s="119"/>
      <c r="AS19" s="119"/>
      <c r="AT19" s="119"/>
      <c r="AU19" s="119"/>
      <c r="AV19" s="119"/>
      <c r="AW19" s="119"/>
      <c r="AX19" s="119"/>
      <c r="AY19" s="119"/>
      <c r="AZ19" s="119"/>
      <c r="BA19" s="119"/>
      <c r="BB19" s="119"/>
      <c r="BC19" s="119"/>
      <c r="BD19" s="119"/>
      <c r="BE19" s="119"/>
      <c r="BF19" s="119"/>
      <c r="BG19" s="119"/>
      <c r="BH19" s="119"/>
      <c r="BI19" s="119"/>
      <c r="BJ19" s="119"/>
    </row>
    <row r="20" spans="1:62">
      <c r="A20" s="107">
        <f>'DATA SISWA'!A20</f>
        <v>16</v>
      </c>
      <c r="B20" s="107" t="str">
        <f>'DATA SISWA'!B20</f>
        <v>`007</v>
      </c>
      <c r="C20" s="116" t="str">
        <f>'DATA SISWA'!C20</f>
        <v>Nurhayati</v>
      </c>
      <c r="D20" s="107" t="str">
        <f>'DATA SISWA'!D20</f>
        <v>P</v>
      </c>
      <c r="E20" s="107" t="str">
        <f>'DATA SISWA'!E20</f>
        <v>VII</v>
      </c>
      <c r="F20" s="119" t="str">
        <f>IF(praktek!K20="","",praktek!K20)</f>
        <v/>
      </c>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c r="AE20" s="119"/>
      <c r="AF20" s="119"/>
      <c r="AG20" s="119"/>
      <c r="AH20" s="119"/>
      <c r="AI20" s="119"/>
      <c r="AJ20" s="119"/>
      <c r="AK20" s="119"/>
      <c r="AL20" s="119"/>
      <c r="AM20" s="119"/>
      <c r="AN20" s="119"/>
      <c r="AO20" s="119"/>
      <c r="AP20" s="119"/>
      <c r="AQ20" s="119"/>
      <c r="AR20" s="119"/>
      <c r="AS20" s="119"/>
      <c r="AT20" s="119"/>
      <c r="AU20" s="119"/>
      <c r="AV20" s="119"/>
      <c r="AW20" s="119"/>
      <c r="AX20" s="119"/>
      <c r="AY20" s="119"/>
      <c r="AZ20" s="119"/>
      <c r="BA20" s="119"/>
      <c r="BB20" s="119"/>
      <c r="BC20" s="119"/>
      <c r="BD20" s="119"/>
      <c r="BE20" s="119"/>
      <c r="BF20" s="119"/>
      <c r="BG20" s="119"/>
      <c r="BH20" s="119"/>
      <c r="BI20" s="119"/>
      <c r="BJ20" s="119"/>
    </row>
    <row r="21" spans="1:62">
      <c r="A21" s="107">
        <f>'DATA SISWA'!A21</f>
        <v>17</v>
      </c>
      <c r="B21" s="107" t="str">
        <f>'DATA SISWA'!B21</f>
        <v>`004</v>
      </c>
      <c r="C21" s="116" t="str">
        <f>'DATA SISWA'!C21</f>
        <v>Nur Aini</v>
      </c>
      <c r="D21" s="107" t="str">
        <f>'DATA SISWA'!D21</f>
        <v>P</v>
      </c>
      <c r="E21" s="107" t="str">
        <f>'DATA SISWA'!E21</f>
        <v>VII</v>
      </c>
      <c r="F21" s="119" t="str">
        <f>IF(praktek!K21="","",praktek!K21)</f>
        <v/>
      </c>
      <c r="G21" s="119"/>
      <c r="H21" s="119"/>
      <c r="I21" s="119"/>
      <c r="J21" s="119"/>
      <c r="K21" s="119"/>
      <c r="L21" s="119"/>
      <c r="M21" s="119"/>
      <c r="N21" s="119"/>
      <c r="O21" s="119"/>
      <c r="P21" s="119"/>
      <c r="Q21" s="119"/>
      <c r="R21" s="119"/>
      <c r="S21" s="119"/>
      <c r="T21" s="119"/>
      <c r="U21" s="119"/>
      <c r="V21" s="119"/>
      <c r="W21" s="119"/>
      <c r="X21" s="119"/>
      <c r="Y21" s="119"/>
      <c r="Z21" s="119"/>
      <c r="AA21" s="119"/>
      <c r="AB21" s="119"/>
      <c r="AC21" s="119"/>
      <c r="AD21" s="119"/>
      <c r="AE21" s="119"/>
      <c r="AF21" s="119"/>
      <c r="AG21" s="119"/>
      <c r="AH21" s="119"/>
      <c r="AI21" s="119"/>
      <c r="AJ21" s="119"/>
      <c r="AK21" s="119"/>
      <c r="AL21" s="119"/>
      <c r="AM21" s="119"/>
      <c r="AN21" s="119"/>
      <c r="AO21" s="119"/>
      <c r="AP21" s="119"/>
      <c r="AQ21" s="119"/>
      <c r="AR21" s="119"/>
      <c r="AS21" s="119"/>
      <c r="AT21" s="119"/>
      <c r="AU21" s="119"/>
      <c r="AV21" s="119"/>
      <c r="AW21" s="119"/>
      <c r="AX21" s="119"/>
      <c r="AY21" s="119"/>
      <c r="AZ21" s="119"/>
      <c r="BA21" s="119"/>
      <c r="BB21" s="119"/>
      <c r="BC21" s="119"/>
      <c r="BD21" s="119"/>
      <c r="BE21" s="119"/>
      <c r="BF21" s="119"/>
      <c r="BG21" s="119"/>
      <c r="BH21" s="119"/>
      <c r="BI21" s="119"/>
      <c r="BJ21" s="119"/>
    </row>
    <row r="22" spans="1:62">
      <c r="A22" s="107">
        <f>'DATA SISWA'!A22</f>
        <v>18</v>
      </c>
      <c r="B22" s="107" t="str">
        <f>'DATA SISWA'!B22</f>
        <v>`001</v>
      </c>
      <c r="C22" s="116" t="str">
        <f>'DATA SISWA'!C22</f>
        <v>Rofiah</v>
      </c>
      <c r="D22" s="107" t="str">
        <f>'DATA SISWA'!D22</f>
        <v>P</v>
      </c>
      <c r="E22" s="107" t="str">
        <f>'DATA SISWA'!E22</f>
        <v>VII</v>
      </c>
      <c r="F22" s="119" t="str">
        <f>IF(praktek!K22="","",praktek!K22)</f>
        <v/>
      </c>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row>
    <row r="23" spans="1:62">
      <c r="A23" s="107">
        <f>'DATA SISWA'!A23</f>
        <v>19</v>
      </c>
      <c r="B23" s="107" t="str">
        <f>'DATA SISWA'!B23</f>
        <v>`015</v>
      </c>
      <c r="C23" s="116" t="str">
        <f>'DATA SISWA'!C23</f>
        <v>Romliadi</v>
      </c>
      <c r="D23" s="107" t="str">
        <f>'DATA SISWA'!D23</f>
        <v>L</v>
      </c>
      <c r="E23" s="107" t="str">
        <f>'DATA SISWA'!E23</f>
        <v>VII</v>
      </c>
      <c r="F23" s="119" t="str">
        <f>IF(praktek!K23="","",praktek!K23)</f>
        <v/>
      </c>
      <c r="G23" s="119"/>
      <c r="H23" s="119"/>
      <c r="I23" s="119"/>
      <c r="J23" s="119"/>
      <c r="K23" s="119"/>
      <c r="L23" s="119"/>
      <c r="M23" s="119"/>
      <c r="N23" s="119"/>
      <c r="O23" s="119"/>
      <c r="P23" s="119"/>
      <c r="Q23" s="119"/>
      <c r="R23" s="119"/>
      <c r="S23" s="119"/>
      <c r="T23" s="119"/>
      <c r="U23" s="119"/>
      <c r="V23" s="119"/>
      <c r="W23" s="119"/>
      <c r="X23" s="119"/>
      <c r="Y23" s="119"/>
      <c r="Z23" s="119"/>
      <c r="AA23" s="119"/>
      <c r="AB23" s="119"/>
      <c r="AC23" s="119"/>
      <c r="AD23" s="119"/>
      <c r="AE23" s="119"/>
      <c r="AF23" s="119"/>
      <c r="AG23" s="119"/>
      <c r="AH23" s="119"/>
      <c r="AI23" s="119"/>
      <c r="AJ23" s="119"/>
      <c r="AK23" s="119"/>
      <c r="AL23" s="119"/>
      <c r="AM23" s="119"/>
      <c r="AN23" s="119"/>
      <c r="AO23" s="119"/>
      <c r="AP23" s="119"/>
      <c r="AQ23" s="119"/>
      <c r="AR23" s="119"/>
      <c r="AS23" s="119"/>
      <c r="AT23" s="119"/>
      <c r="AU23" s="119"/>
      <c r="AV23" s="119"/>
      <c r="AW23" s="119"/>
      <c r="AX23" s="119"/>
      <c r="AY23" s="119"/>
      <c r="AZ23" s="119"/>
      <c r="BA23" s="119"/>
      <c r="BB23" s="119"/>
      <c r="BC23" s="119"/>
      <c r="BD23" s="119"/>
      <c r="BE23" s="119"/>
      <c r="BF23" s="119"/>
      <c r="BG23" s="119"/>
      <c r="BH23" s="119"/>
      <c r="BI23" s="119"/>
      <c r="BJ23" s="119"/>
    </row>
    <row r="24" spans="1:62">
      <c r="A24" s="107">
        <f>'DATA SISWA'!A24</f>
        <v>20</v>
      </c>
      <c r="B24" s="107" t="str">
        <f>'DATA SISWA'!B24</f>
        <v>`019</v>
      </c>
      <c r="C24" s="116" t="str">
        <f>'DATA SISWA'!C24</f>
        <v>Tammimah</v>
      </c>
      <c r="D24" s="107" t="str">
        <f>'DATA SISWA'!D24</f>
        <v>P</v>
      </c>
      <c r="E24" s="107" t="str">
        <f>'DATA SISWA'!E24</f>
        <v>VII</v>
      </c>
      <c r="F24" s="119" t="str">
        <f>IF(praktek!K24="","",praktek!K24)</f>
        <v/>
      </c>
      <c r="G24" s="119"/>
      <c r="H24" s="119"/>
      <c r="I24" s="119"/>
      <c r="J24" s="119"/>
      <c r="K24" s="119"/>
      <c r="L24" s="119"/>
      <c r="M24" s="119"/>
      <c r="N24" s="119"/>
      <c r="O24" s="119"/>
      <c r="P24" s="119"/>
      <c r="Q24" s="119"/>
      <c r="R24" s="119"/>
      <c r="S24" s="119"/>
      <c r="T24" s="119"/>
      <c r="U24" s="119"/>
      <c r="V24" s="119"/>
      <c r="W24" s="119"/>
      <c r="X24" s="119"/>
      <c r="Y24" s="119"/>
      <c r="Z24" s="119"/>
      <c r="AA24" s="119"/>
      <c r="AB24" s="119"/>
      <c r="AC24" s="119"/>
      <c r="AD24" s="119"/>
      <c r="AE24" s="119"/>
      <c r="AF24" s="119"/>
      <c r="AG24" s="119"/>
      <c r="AH24" s="119"/>
      <c r="AI24" s="119"/>
      <c r="AJ24" s="119"/>
      <c r="AK24" s="119"/>
      <c r="AL24" s="119"/>
      <c r="AM24" s="119"/>
      <c r="AN24" s="119"/>
      <c r="AO24" s="119"/>
      <c r="AP24" s="119"/>
      <c r="AQ24" s="119"/>
      <c r="AR24" s="119"/>
      <c r="AS24" s="119"/>
      <c r="AT24" s="119"/>
      <c r="AU24" s="119"/>
      <c r="AV24" s="119"/>
      <c r="AW24" s="119"/>
      <c r="AX24" s="119"/>
      <c r="AY24" s="119"/>
      <c r="AZ24" s="119"/>
      <c r="BA24" s="119"/>
      <c r="BB24" s="119"/>
      <c r="BC24" s="119"/>
      <c r="BD24" s="119"/>
      <c r="BE24" s="119"/>
      <c r="BF24" s="119"/>
      <c r="BG24" s="119"/>
      <c r="BH24" s="119"/>
      <c r="BI24" s="119"/>
      <c r="BJ24" s="119"/>
    </row>
    <row r="25" spans="1:62">
      <c r="A25" s="107">
        <f>'DATA SISWA'!A25</f>
        <v>0</v>
      </c>
      <c r="B25" s="107">
        <f>'DATA SISWA'!B25</f>
        <v>0</v>
      </c>
      <c r="C25" s="116">
        <f>'DATA SISWA'!C25</f>
        <v>0</v>
      </c>
      <c r="D25" s="107">
        <f>'DATA SISWA'!D25</f>
        <v>0</v>
      </c>
      <c r="E25" s="107" t="str">
        <f>'DATA SISWA'!E25</f>
        <v>VII</v>
      </c>
      <c r="F25" s="119" t="str">
        <f>IF(praktek!K25="","",praktek!K25)</f>
        <v/>
      </c>
      <c r="G25" s="119"/>
      <c r="H25" s="119"/>
      <c r="I25" s="119"/>
      <c r="J25" s="119"/>
      <c r="K25" s="119"/>
      <c r="L25" s="119"/>
      <c r="M25" s="119"/>
      <c r="N25" s="119"/>
      <c r="O25" s="119"/>
      <c r="P25" s="119"/>
      <c r="Q25" s="119"/>
      <c r="R25" s="119"/>
      <c r="S25" s="119"/>
      <c r="T25" s="119"/>
      <c r="U25" s="119"/>
      <c r="V25" s="119"/>
      <c r="W25" s="119"/>
      <c r="X25" s="119"/>
      <c r="Y25" s="119"/>
      <c r="Z25" s="119"/>
      <c r="AA25" s="119"/>
      <c r="AB25" s="119"/>
      <c r="AC25" s="119"/>
      <c r="AD25" s="119"/>
      <c r="AE25" s="119"/>
      <c r="AF25" s="119"/>
      <c r="AG25" s="119"/>
      <c r="AH25" s="119"/>
      <c r="AI25" s="119"/>
      <c r="AJ25" s="119"/>
      <c r="AK25" s="119"/>
      <c r="AL25" s="119"/>
      <c r="AM25" s="119"/>
      <c r="AN25" s="119"/>
      <c r="AO25" s="119"/>
      <c r="AP25" s="119"/>
      <c r="AQ25" s="119"/>
      <c r="AR25" s="119"/>
      <c r="AS25" s="119"/>
      <c r="AT25" s="119"/>
      <c r="AU25" s="119"/>
      <c r="AV25" s="119"/>
      <c r="AW25" s="119"/>
      <c r="AX25" s="119"/>
      <c r="AY25" s="119"/>
      <c r="AZ25" s="119"/>
      <c r="BA25" s="119"/>
      <c r="BB25" s="119"/>
      <c r="BC25" s="119"/>
      <c r="BD25" s="119"/>
      <c r="BE25" s="119"/>
      <c r="BF25" s="119"/>
      <c r="BG25" s="119"/>
      <c r="BH25" s="119"/>
      <c r="BI25" s="119"/>
      <c r="BJ25" s="119"/>
    </row>
    <row r="26" spans="1:62">
      <c r="A26" s="107">
        <f>'DATA SISWA'!A26</f>
        <v>0</v>
      </c>
      <c r="B26" s="107">
        <f>'DATA SISWA'!B26</f>
        <v>0</v>
      </c>
      <c r="C26" s="116">
        <f>'DATA SISWA'!C26</f>
        <v>0</v>
      </c>
      <c r="D26" s="107">
        <f>'DATA SISWA'!D26</f>
        <v>0</v>
      </c>
      <c r="E26" s="107" t="str">
        <f>'DATA SISWA'!E26</f>
        <v>VII</v>
      </c>
      <c r="F26" s="119" t="str">
        <f>IF(praktek!K26="","",praktek!K26)</f>
        <v/>
      </c>
      <c r="G26" s="119"/>
      <c r="H26" s="119"/>
      <c r="I26" s="119"/>
      <c r="J26" s="119"/>
      <c r="K26" s="119"/>
      <c r="L26" s="119"/>
      <c r="M26" s="119"/>
      <c r="N26" s="119"/>
      <c r="O26" s="119"/>
      <c r="P26" s="119"/>
      <c r="Q26" s="119"/>
      <c r="R26" s="119"/>
      <c r="S26" s="119"/>
      <c r="T26" s="119"/>
      <c r="U26" s="119"/>
      <c r="V26" s="119"/>
      <c r="W26" s="119"/>
      <c r="X26" s="119"/>
      <c r="Y26" s="119"/>
      <c r="Z26" s="119"/>
      <c r="AA26" s="119"/>
      <c r="AB26" s="119"/>
      <c r="AC26" s="119"/>
      <c r="AD26" s="119"/>
      <c r="AE26" s="119"/>
      <c r="AF26" s="119"/>
      <c r="AG26" s="119"/>
      <c r="AH26" s="119"/>
      <c r="AI26" s="119"/>
      <c r="AJ26" s="119"/>
      <c r="AK26" s="119"/>
      <c r="AL26" s="119"/>
      <c r="AM26" s="119"/>
      <c r="AN26" s="119"/>
      <c r="AO26" s="119"/>
      <c r="AP26" s="119"/>
      <c r="AQ26" s="119"/>
      <c r="AR26" s="119"/>
      <c r="AS26" s="119"/>
      <c r="AT26" s="119"/>
      <c r="AU26" s="119"/>
      <c r="AV26" s="119"/>
      <c r="AW26" s="119"/>
      <c r="AX26" s="119"/>
      <c r="AY26" s="119"/>
      <c r="AZ26" s="119"/>
      <c r="BA26" s="119"/>
      <c r="BB26" s="119"/>
      <c r="BC26" s="119"/>
      <c r="BD26" s="119"/>
      <c r="BE26" s="119"/>
      <c r="BF26" s="119"/>
      <c r="BG26" s="119"/>
      <c r="BH26" s="119"/>
      <c r="BI26" s="119"/>
      <c r="BJ26" s="119"/>
    </row>
    <row r="27" spans="1:62">
      <c r="A27" s="107">
        <f>'DATA SISWA'!A27</f>
        <v>0</v>
      </c>
      <c r="B27" s="107">
        <f>'DATA SISWA'!B27</f>
        <v>0</v>
      </c>
      <c r="C27" s="116">
        <f>'DATA SISWA'!C27</f>
        <v>0</v>
      </c>
      <c r="D27" s="107">
        <f>'DATA SISWA'!D27</f>
        <v>0</v>
      </c>
      <c r="E27" s="107" t="str">
        <f>'DATA SISWA'!E27</f>
        <v>VII</v>
      </c>
      <c r="F27" s="119" t="str">
        <f>IF(praktek!K27="","",praktek!K27)</f>
        <v/>
      </c>
      <c r="G27" s="119"/>
      <c r="H27" s="119"/>
      <c r="I27" s="119"/>
      <c r="J27" s="119"/>
      <c r="K27" s="119"/>
      <c r="L27" s="119"/>
      <c r="M27" s="119"/>
      <c r="N27" s="119"/>
      <c r="O27" s="119"/>
      <c r="P27" s="119"/>
      <c r="Q27" s="119"/>
      <c r="R27" s="119"/>
      <c r="S27" s="119"/>
      <c r="T27" s="119"/>
      <c r="U27" s="119"/>
      <c r="V27" s="119"/>
      <c r="W27" s="119"/>
      <c r="X27" s="119"/>
      <c r="Y27" s="119"/>
      <c r="Z27" s="119"/>
      <c r="AA27" s="119"/>
      <c r="AB27" s="119"/>
      <c r="AC27" s="119"/>
      <c r="AD27" s="119"/>
      <c r="AE27" s="119"/>
      <c r="AF27" s="119"/>
      <c r="AG27" s="119"/>
      <c r="AH27" s="119"/>
      <c r="AI27" s="119"/>
      <c r="AJ27" s="119"/>
      <c r="AK27" s="119"/>
      <c r="AL27" s="119"/>
      <c r="AM27" s="119"/>
      <c r="AN27" s="119"/>
      <c r="AO27" s="119"/>
      <c r="AP27" s="119"/>
      <c r="AQ27" s="119"/>
      <c r="AR27" s="119"/>
      <c r="AS27" s="119"/>
      <c r="AT27" s="119"/>
      <c r="AU27" s="119"/>
      <c r="AV27" s="119"/>
      <c r="AW27" s="119"/>
      <c r="AX27" s="119"/>
      <c r="AY27" s="119"/>
      <c r="AZ27" s="119"/>
      <c r="BA27" s="119"/>
      <c r="BB27" s="119"/>
      <c r="BC27" s="119"/>
      <c r="BD27" s="119"/>
      <c r="BE27" s="119"/>
      <c r="BF27" s="119"/>
      <c r="BG27" s="119"/>
      <c r="BH27" s="119"/>
      <c r="BI27" s="119"/>
      <c r="BJ27" s="119"/>
    </row>
    <row r="28" spans="1:62">
      <c r="A28" s="107">
        <f>'DATA SISWA'!A28</f>
        <v>0</v>
      </c>
      <c r="B28" s="107">
        <f>'DATA SISWA'!B28</f>
        <v>0</v>
      </c>
      <c r="C28" s="116">
        <f>'DATA SISWA'!C28</f>
        <v>0</v>
      </c>
      <c r="D28" s="107">
        <f>'DATA SISWA'!D28</f>
        <v>0</v>
      </c>
      <c r="E28" s="107" t="str">
        <f>'DATA SISWA'!E28</f>
        <v>VII</v>
      </c>
      <c r="F28" s="119" t="str">
        <f>IF(praktek!K28="","",praktek!K28)</f>
        <v/>
      </c>
      <c r="G28" s="119"/>
      <c r="H28" s="119"/>
      <c r="I28" s="119"/>
      <c r="J28" s="119"/>
      <c r="K28" s="119"/>
      <c r="L28" s="119"/>
      <c r="M28" s="119"/>
      <c r="N28" s="119"/>
      <c r="O28" s="119"/>
      <c r="P28" s="119"/>
      <c r="Q28" s="119"/>
      <c r="R28" s="119"/>
      <c r="S28" s="119"/>
      <c r="T28" s="119"/>
      <c r="U28" s="119"/>
      <c r="V28" s="119"/>
      <c r="W28" s="119"/>
      <c r="X28" s="119"/>
      <c r="Y28" s="119"/>
      <c r="Z28" s="119"/>
      <c r="AA28" s="119"/>
      <c r="AB28" s="119"/>
      <c r="AC28" s="119"/>
      <c r="AD28" s="119"/>
      <c r="AE28" s="119"/>
      <c r="AF28" s="119"/>
      <c r="AG28" s="119"/>
      <c r="AH28" s="119"/>
      <c r="AI28" s="119"/>
      <c r="AJ28" s="119"/>
      <c r="AK28" s="119"/>
      <c r="AL28" s="119"/>
      <c r="AM28" s="119"/>
      <c r="AN28" s="119"/>
      <c r="AO28" s="119"/>
      <c r="AP28" s="119"/>
      <c r="AQ28" s="119"/>
      <c r="AR28" s="119"/>
      <c r="AS28" s="119"/>
      <c r="AT28" s="119"/>
      <c r="AU28" s="119"/>
      <c r="AV28" s="119"/>
      <c r="AW28" s="119"/>
      <c r="AX28" s="119"/>
      <c r="AY28" s="119"/>
      <c r="AZ28" s="119"/>
      <c r="BA28" s="119"/>
      <c r="BB28" s="119"/>
      <c r="BC28" s="119"/>
      <c r="BD28" s="119"/>
      <c r="BE28" s="119"/>
      <c r="BF28" s="119"/>
      <c r="BG28" s="119"/>
      <c r="BH28" s="119"/>
      <c r="BI28" s="119"/>
      <c r="BJ28" s="119"/>
    </row>
    <row r="29" spans="1:62">
      <c r="A29" s="107">
        <f>'DATA SISWA'!A29</f>
        <v>0</v>
      </c>
      <c r="B29" s="107">
        <f>'DATA SISWA'!B29</f>
        <v>0</v>
      </c>
      <c r="C29" s="116">
        <f>'DATA SISWA'!C29</f>
        <v>0</v>
      </c>
      <c r="D29" s="107">
        <f>'DATA SISWA'!D29</f>
        <v>0</v>
      </c>
      <c r="E29" s="107" t="str">
        <f>'DATA SISWA'!E29</f>
        <v>VII</v>
      </c>
      <c r="F29" s="119" t="str">
        <f>IF(praktek!K29="","",praktek!K29)</f>
        <v/>
      </c>
      <c r="G29" s="119"/>
      <c r="H29" s="119"/>
      <c r="I29" s="119"/>
      <c r="J29" s="119"/>
      <c r="K29" s="119"/>
      <c r="L29" s="119"/>
      <c r="M29" s="119"/>
      <c r="N29" s="119"/>
      <c r="O29" s="119"/>
      <c r="P29" s="119"/>
      <c r="Q29" s="119"/>
      <c r="R29" s="119"/>
      <c r="S29" s="119"/>
      <c r="T29" s="119"/>
      <c r="U29" s="119"/>
      <c r="V29" s="119"/>
      <c r="W29" s="119"/>
      <c r="X29" s="119"/>
      <c r="Y29" s="119"/>
      <c r="Z29" s="119"/>
      <c r="AA29" s="119"/>
      <c r="AB29" s="119"/>
      <c r="AC29" s="119"/>
      <c r="AD29" s="119"/>
      <c r="AE29" s="119"/>
      <c r="AF29" s="119"/>
      <c r="AG29" s="119"/>
      <c r="AH29" s="119"/>
      <c r="AI29" s="119"/>
      <c r="AJ29" s="119"/>
      <c r="AK29" s="119"/>
      <c r="AL29" s="119"/>
      <c r="AM29" s="119"/>
      <c r="AN29" s="119"/>
      <c r="AO29" s="119"/>
      <c r="AP29" s="119"/>
      <c r="AQ29" s="119"/>
      <c r="AR29" s="119"/>
      <c r="AS29" s="119"/>
      <c r="AT29" s="119"/>
      <c r="AU29" s="119"/>
      <c r="AV29" s="119"/>
      <c r="AW29" s="119"/>
      <c r="AX29" s="119"/>
      <c r="AY29" s="119"/>
      <c r="AZ29" s="119"/>
      <c r="BA29" s="119"/>
      <c r="BB29" s="119"/>
      <c r="BC29" s="119"/>
      <c r="BD29" s="119"/>
      <c r="BE29" s="119"/>
      <c r="BF29" s="119"/>
      <c r="BG29" s="119"/>
      <c r="BH29" s="119"/>
      <c r="BI29" s="119"/>
      <c r="BJ29" s="119"/>
    </row>
    <row r="30" spans="1:62">
      <c r="A30" s="107">
        <f>'DATA SISWA'!A30</f>
        <v>0</v>
      </c>
      <c r="B30" s="107">
        <f>'DATA SISWA'!B30</f>
        <v>0</v>
      </c>
      <c r="C30" s="116">
        <f>'DATA SISWA'!C30</f>
        <v>0</v>
      </c>
      <c r="D30" s="107">
        <f>'DATA SISWA'!D30</f>
        <v>0</v>
      </c>
      <c r="E30" s="107" t="str">
        <f>'DATA SISWA'!E30</f>
        <v>VII</v>
      </c>
      <c r="F30" s="119" t="str">
        <f>IF(praktek!K30="","",praktek!K30)</f>
        <v/>
      </c>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c r="AR30" s="119"/>
      <c r="AS30" s="119"/>
      <c r="AT30" s="119"/>
      <c r="AU30" s="119"/>
      <c r="AV30" s="119"/>
      <c r="AW30" s="119"/>
      <c r="AX30" s="119"/>
      <c r="AY30" s="119"/>
      <c r="AZ30" s="119"/>
      <c r="BA30" s="119"/>
      <c r="BB30" s="119"/>
      <c r="BC30" s="119"/>
      <c r="BD30" s="119"/>
      <c r="BE30" s="119"/>
      <c r="BF30" s="119"/>
      <c r="BG30" s="119"/>
      <c r="BH30" s="119"/>
      <c r="BI30" s="119"/>
      <c r="BJ30" s="119"/>
    </row>
    <row r="31" spans="1:62">
      <c r="A31" s="107">
        <f>'DATA SISWA'!A31</f>
        <v>0</v>
      </c>
      <c r="B31" s="107">
        <f>'DATA SISWA'!B31</f>
        <v>0</v>
      </c>
      <c r="C31" s="116">
        <f>'DATA SISWA'!C31</f>
        <v>0</v>
      </c>
      <c r="D31" s="107">
        <f>'DATA SISWA'!D31</f>
        <v>0</v>
      </c>
      <c r="E31" s="107" t="str">
        <f>'DATA SISWA'!E31</f>
        <v>VII</v>
      </c>
      <c r="F31" s="119" t="str">
        <f>IF(praktek!K31="","",praktek!K31)</f>
        <v/>
      </c>
      <c r="G31" s="119"/>
      <c r="H31" s="119"/>
      <c r="I31" s="119"/>
      <c r="J31" s="119"/>
      <c r="K31" s="119"/>
      <c r="L31" s="119"/>
      <c r="M31" s="119"/>
      <c r="N31" s="119"/>
      <c r="O31" s="119"/>
      <c r="P31" s="119"/>
      <c r="Q31" s="119"/>
      <c r="R31" s="119"/>
      <c r="S31" s="119"/>
      <c r="T31" s="119"/>
      <c r="U31" s="119"/>
      <c r="V31" s="119"/>
      <c r="W31" s="119"/>
      <c r="X31" s="119"/>
      <c r="Y31" s="119"/>
      <c r="Z31" s="119"/>
      <c r="AA31" s="119"/>
      <c r="AB31" s="119"/>
      <c r="AC31" s="119"/>
      <c r="AD31" s="119"/>
      <c r="AE31" s="119"/>
      <c r="AF31" s="119"/>
      <c r="AG31" s="119"/>
      <c r="AH31" s="119"/>
      <c r="AI31" s="119"/>
      <c r="AJ31" s="119"/>
      <c r="AK31" s="119"/>
      <c r="AL31" s="119"/>
      <c r="AM31" s="119"/>
      <c r="AN31" s="119"/>
      <c r="AO31" s="119"/>
      <c r="AP31" s="119"/>
      <c r="AQ31" s="119"/>
      <c r="AR31" s="119"/>
      <c r="AS31" s="119"/>
      <c r="AT31" s="119"/>
      <c r="AU31" s="119"/>
      <c r="AV31" s="119"/>
      <c r="AW31" s="119"/>
      <c r="AX31" s="119"/>
      <c r="AY31" s="119"/>
      <c r="AZ31" s="119"/>
      <c r="BA31" s="119"/>
      <c r="BB31" s="119"/>
      <c r="BC31" s="119"/>
      <c r="BD31" s="119"/>
      <c r="BE31" s="119"/>
      <c r="BF31" s="119"/>
      <c r="BG31" s="119"/>
      <c r="BH31" s="119"/>
      <c r="BI31" s="119"/>
      <c r="BJ31" s="119"/>
    </row>
    <row r="32" spans="1:62">
      <c r="A32" s="107">
        <f>'DATA SISWA'!A32</f>
        <v>0</v>
      </c>
      <c r="B32" s="107">
        <f>'DATA SISWA'!B32</f>
        <v>0</v>
      </c>
      <c r="C32" s="116">
        <f>'DATA SISWA'!C32</f>
        <v>0</v>
      </c>
      <c r="D32" s="107">
        <f>'DATA SISWA'!D32</f>
        <v>0</v>
      </c>
      <c r="E32" s="107" t="str">
        <f>'DATA SISWA'!E32</f>
        <v>VII</v>
      </c>
      <c r="F32" s="119" t="str">
        <f>IF(praktek!K32="","",praktek!K32)</f>
        <v/>
      </c>
      <c r="G32" s="119"/>
      <c r="H32" s="119"/>
      <c r="I32" s="119"/>
      <c r="J32" s="119"/>
      <c r="K32" s="119"/>
      <c r="L32" s="119"/>
      <c r="M32" s="119"/>
      <c r="N32" s="119"/>
      <c r="O32" s="119"/>
      <c r="P32" s="119"/>
      <c r="Q32" s="119"/>
      <c r="R32" s="119"/>
      <c r="S32" s="119"/>
      <c r="T32" s="119"/>
      <c r="U32" s="119"/>
      <c r="V32" s="119"/>
      <c r="W32" s="119"/>
      <c r="X32" s="119"/>
      <c r="Y32" s="119"/>
      <c r="Z32" s="119"/>
      <c r="AA32" s="119"/>
      <c r="AB32" s="119"/>
      <c r="AC32" s="119"/>
      <c r="AD32" s="119"/>
      <c r="AE32" s="119"/>
      <c r="AF32" s="119"/>
      <c r="AG32" s="119"/>
      <c r="AH32" s="119"/>
      <c r="AI32" s="119"/>
      <c r="AJ32" s="119"/>
      <c r="AK32" s="119"/>
      <c r="AL32" s="119"/>
      <c r="AM32" s="119"/>
      <c r="AN32" s="119"/>
      <c r="AO32" s="119"/>
      <c r="AP32" s="119"/>
      <c r="AQ32" s="119"/>
      <c r="AR32" s="119"/>
      <c r="AS32" s="119"/>
      <c r="AT32" s="119"/>
      <c r="AU32" s="119"/>
      <c r="AV32" s="119"/>
      <c r="AW32" s="119"/>
      <c r="AX32" s="119"/>
      <c r="AY32" s="119"/>
      <c r="AZ32" s="119"/>
      <c r="BA32" s="119"/>
      <c r="BB32" s="119"/>
      <c r="BC32" s="119"/>
      <c r="BD32" s="119"/>
      <c r="BE32" s="119"/>
      <c r="BF32" s="119"/>
      <c r="BG32" s="119"/>
      <c r="BH32" s="119"/>
      <c r="BI32" s="119"/>
      <c r="BJ32" s="119"/>
    </row>
    <row r="33" spans="1:62">
      <c r="A33" s="107">
        <f>'DATA SISWA'!A33</f>
        <v>0</v>
      </c>
      <c r="B33" s="107">
        <f>'DATA SISWA'!B33</f>
        <v>0</v>
      </c>
      <c r="C33" s="116">
        <f>'DATA SISWA'!C33</f>
        <v>0</v>
      </c>
      <c r="D33" s="107">
        <f>'DATA SISWA'!D33</f>
        <v>0</v>
      </c>
      <c r="E33" s="107" t="str">
        <f>'DATA SISWA'!E33</f>
        <v>VII</v>
      </c>
      <c r="F33" s="119" t="str">
        <f>IF(praktek!K33="","",praktek!K33)</f>
        <v/>
      </c>
      <c r="G33" s="119"/>
      <c r="H33" s="119"/>
      <c r="I33" s="119"/>
      <c r="J33" s="119"/>
      <c r="K33" s="119"/>
      <c r="L33" s="119"/>
      <c r="M33" s="119"/>
      <c r="N33" s="119"/>
      <c r="O33" s="119"/>
      <c r="P33" s="119"/>
      <c r="Q33" s="119"/>
      <c r="R33" s="119"/>
      <c r="S33" s="119"/>
      <c r="T33" s="119"/>
      <c r="U33" s="119"/>
      <c r="V33" s="119"/>
      <c r="W33" s="119"/>
      <c r="X33" s="119"/>
      <c r="Y33" s="119"/>
      <c r="Z33" s="119"/>
      <c r="AA33" s="119"/>
      <c r="AB33" s="119"/>
      <c r="AC33" s="119"/>
      <c r="AD33" s="119"/>
      <c r="AE33" s="119"/>
      <c r="AF33" s="119"/>
      <c r="AG33" s="119"/>
      <c r="AH33" s="119"/>
      <c r="AI33" s="119"/>
      <c r="AJ33" s="119"/>
      <c r="AK33" s="119"/>
      <c r="AL33" s="119"/>
      <c r="AM33" s="119"/>
      <c r="AN33" s="119"/>
      <c r="AO33" s="119"/>
      <c r="AP33" s="119"/>
      <c r="AQ33" s="119"/>
      <c r="AR33" s="119"/>
      <c r="AS33" s="119"/>
      <c r="AT33" s="119"/>
      <c r="AU33" s="119"/>
      <c r="AV33" s="119"/>
      <c r="AW33" s="119"/>
      <c r="AX33" s="119"/>
      <c r="AY33" s="119"/>
      <c r="AZ33" s="119"/>
      <c r="BA33" s="119"/>
      <c r="BB33" s="119"/>
      <c r="BC33" s="119"/>
      <c r="BD33" s="119"/>
      <c r="BE33" s="119"/>
      <c r="BF33" s="119"/>
      <c r="BG33" s="119"/>
      <c r="BH33" s="119"/>
      <c r="BI33" s="119"/>
      <c r="BJ33" s="119"/>
    </row>
    <row r="34" spans="1:62">
      <c r="A34" s="107">
        <f>'DATA SISWA'!A34</f>
        <v>0</v>
      </c>
      <c r="B34" s="107">
        <f>'DATA SISWA'!B34</f>
        <v>0</v>
      </c>
      <c r="C34" s="116">
        <f>'DATA SISWA'!C34</f>
        <v>0</v>
      </c>
      <c r="D34" s="107">
        <f>'DATA SISWA'!D34</f>
        <v>0</v>
      </c>
      <c r="E34" s="107" t="str">
        <f>'DATA SISWA'!E34</f>
        <v>VII</v>
      </c>
      <c r="F34" s="119" t="str">
        <f>IF(praktek!K34="","",praktek!K34)</f>
        <v/>
      </c>
      <c r="G34" s="119"/>
      <c r="H34" s="119"/>
      <c r="I34" s="119"/>
      <c r="J34" s="119"/>
      <c r="K34" s="119"/>
      <c r="L34" s="119"/>
      <c r="M34" s="119"/>
      <c r="N34" s="119"/>
      <c r="O34" s="119"/>
      <c r="P34" s="119"/>
      <c r="Q34" s="119"/>
      <c r="R34" s="119"/>
      <c r="S34" s="119"/>
      <c r="T34" s="119"/>
      <c r="U34" s="119"/>
      <c r="V34" s="119"/>
      <c r="W34" s="119"/>
      <c r="X34" s="119"/>
      <c r="Y34" s="119"/>
      <c r="Z34" s="119"/>
      <c r="AA34" s="119"/>
      <c r="AB34" s="119"/>
      <c r="AC34" s="119"/>
      <c r="AD34" s="119"/>
      <c r="AE34" s="119"/>
      <c r="AF34" s="119"/>
      <c r="AG34" s="119"/>
      <c r="AH34" s="119"/>
      <c r="AI34" s="119"/>
      <c r="AJ34" s="119"/>
      <c r="AK34" s="119"/>
      <c r="AL34" s="119"/>
      <c r="AM34" s="119"/>
      <c r="AN34" s="119"/>
      <c r="AO34" s="119"/>
      <c r="AP34" s="119"/>
      <c r="AQ34" s="119"/>
      <c r="AR34" s="119"/>
      <c r="AS34" s="119"/>
      <c r="AT34" s="119"/>
      <c r="AU34" s="119"/>
      <c r="AV34" s="119"/>
      <c r="AW34" s="119"/>
      <c r="AX34" s="119"/>
      <c r="AY34" s="119"/>
      <c r="AZ34" s="119"/>
      <c r="BA34" s="119"/>
      <c r="BB34" s="119"/>
      <c r="BC34" s="119"/>
      <c r="BD34" s="119"/>
      <c r="BE34" s="119"/>
      <c r="BF34" s="119"/>
      <c r="BG34" s="119"/>
      <c r="BH34" s="119"/>
      <c r="BI34" s="119"/>
      <c r="BJ34" s="119"/>
    </row>
    <row r="35" spans="1:62">
      <c r="A35" s="107">
        <f>'DATA SISWA'!A35</f>
        <v>0</v>
      </c>
      <c r="B35" s="107">
        <f>'DATA SISWA'!B35</f>
        <v>0</v>
      </c>
      <c r="C35" s="116">
        <f>'DATA SISWA'!C35</f>
        <v>0</v>
      </c>
      <c r="D35" s="107">
        <f>'DATA SISWA'!D35</f>
        <v>0</v>
      </c>
      <c r="E35" s="107" t="str">
        <f>'DATA SISWA'!E35</f>
        <v>VII</v>
      </c>
      <c r="F35" s="119" t="str">
        <f>IF(praktek!K35="","",praktek!K35)</f>
        <v/>
      </c>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row>
    <row r="36" spans="1:62">
      <c r="A36" s="107">
        <f>'DATA SISWA'!A36</f>
        <v>0</v>
      </c>
      <c r="B36" s="107">
        <f>'DATA SISWA'!B36</f>
        <v>0</v>
      </c>
      <c r="C36" s="116">
        <f>'DATA SISWA'!C36</f>
        <v>0</v>
      </c>
      <c r="D36" s="107">
        <f>'DATA SISWA'!D36</f>
        <v>0</v>
      </c>
      <c r="E36" s="107" t="str">
        <f>'DATA SISWA'!E36</f>
        <v>VII</v>
      </c>
      <c r="F36" s="119" t="str">
        <f>IF(praktek!K36="","",praktek!K36)</f>
        <v/>
      </c>
      <c r="G36" s="119"/>
      <c r="H36" s="119"/>
      <c r="I36" s="119"/>
      <c r="J36" s="119"/>
      <c r="K36" s="119"/>
      <c r="L36" s="119"/>
      <c r="M36" s="119"/>
      <c r="N36" s="119"/>
      <c r="O36" s="119"/>
      <c r="P36" s="119"/>
      <c r="Q36" s="119"/>
      <c r="R36" s="119"/>
      <c r="S36" s="119"/>
      <c r="T36" s="119"/>
      <c r="U36" s="119"/>
      <c r="V36" s="119"/>
      <c r="W36" s="119"/>
      <c r="X36" s="119"/>
      <c r="Y36" s="119"/>
      <c r="Z36" s="119"/>
      <c r="AA36" s="119"/>
      <c r="AB36" s="119"/>
      <c r="AC36" s="119"/>
      <c r="AD36" s="119"/>
      <c r="AE36" s="119"/>
      <c r="AF36" s="119"/>
      <c r="AG36" s="119"/>
      <c r="AH36" s="119"/>
      <c r="AI36" s="119"/>
      <c r="AJ36" s="119"/>
      <c r="AK36" s="119"/>
      <c r="AL36" s="119"/>
      <c r="AM36" s="119"/>
      <c r="AN36" s="119"/>
      <c r="AO36" s="119"/>
      <c r="AP36" s="119"/>
      <c r="AQ36" s="119"/>
      <c r="AR36" s="119"/>
      <c r="AS36" s="119"/>
      <c r="AT36" s="119"/>
      <c r="AU36" s="119"/>
      <c r="AV36" s="119"/>
      <c r="AW36" s="119"/>
      <c r="AX36" s="119"/>
      <c r="AY36" s="119"/>
      <c r="AZ36" s="119"/>
      <c r="BA36" s="119"/>
      <c r="BB36" s="119"/>
      <c r="BC36" s="119"/>
      <c r="BD36" s="119"/>
      <c r="BE36" s="119"/>
      <c r="BF36" s="119"/>
      <c r="BG36" s="119"/>
      <c r="BH36" s="119"/>
      <c r="BI36" s="119"/>
      <c r="BJ36" s="119"/>
    </row>
    <row r="37" spans="1:62">
      <c r="A37" s="107">
        <f>'DATA SISWA'!A37</f>
        <v>0</v>
      </c>
      <c r="B37" s="107">
        <f>'DATA SISWA'!B37</f>
        <v>0</v>
      </c>
      <c r="C37" s="116">
        <f>'DATA SISWA'!C37</f>
        <v>0</v>
      </c>
      <c r="D37" s="107">
        <f>'DATA SISWA'!D37</f>
        <v>0</v>
      </c>
      <c r="E37" s="107" t="str">
        <f>'DATA SISWA'!E37</f>
        <v>VII</v>
      </c>
      <c r="F37" s="119" t="str">
        <f>IF(praktek!K37="","",praktek!K37)</f>
        <v/>
      </c>
      <c r="G37" s="119"/>
      <c r="H37" s="119"/>
      <c r="I37" s="119"/>
      <c r="J37" s="119"/>
      <c r="K37" s="119"/>
      <c r="L37" s="119"/>
      <c r="M37" s="119"/>
      <c r="N37" s="119"/>
      <c r="O37" s="119"/>
      <c r="P37" s="119"/>
      <c r="Q37" s="119"/>
      <c r="R37" s="119"/>
      <c r="S37" s="119"/>
      <c r="T37" s="119"/>
      <c r="U37" s="119"/>
      <c r="V37" s="119"/>
      <c r="W37" s="119"/>
      <c r="X37" s="119"/>
      <c r="Y37" s="119"/>
      <c r="Z37" s="119"/>
      <c r="AA37" s="119"/>
      <c r="AB37" s="119"/>
      <c r="AC37" s="119"/>
      <c r="AD37" s="119"/>
      <c r="AE37" s="119"/>
      <c r="AF37" s="119"/>
      <c r="AG37" s="119"/>
      <c r="AH37" s="119"/>
      <c r="AI37" s="119"/>
      <c r="AJ37" s="119"/>
      <c r="AK37" s="119"/>
      <c r="AL37" s="119"/>
      <c r="AM37" s="119"/>
      <c r="AN37" s="119"/>
      <c r="AO37" s="119"/>
      <c r="AP37" s="119"/>
      <c r="AQ37" s="119"/>
      <c r="AR37" s="119"/>
      <c r="AS37" s="119"/>
      <c r="AT37" s="119"/>
      <c r="AU37" s="119"/>
      <c r="AV37" s="119"/>
      <c r="AW37" s="119"/>
      <c r="AX37" s="119"/>
      <c r="AY37" s="119"/>
      <c r="AZ37" s="119"/>
      <c r="BA37" s="119"/>
      <c r="BB37" s="119"/>
      <c r="BC37" s="119"/>
      <c r="BD37" s="119"/>
      <c r="BE37" s="119"/>
      <c r="BF37" s="119"/>
      <c r="BG37" s="119"/>
      <c r="BH37" s="119"/>
      <c r="BI37" s="119"/>
      <c r="BJ37" s="119"/>
    </row>
    <row r="38" spans="1:62">
      <c r="A38" s="107">
        <f>'DATA SISWA'!A38</f>
        <v>0</v>
      </c>
      <c r="B38" s="107">
        <f>'DATA SISWA'!B38</f>
        <v>0</v>
      </c>
      <c r="C38" s="116">
        <f>'DATA SISWA'!C38</f>
        <v>0</v>
      </c>
      <c r="D38" s="107">
        <f>'DATA SISWA'!D38</f>
        <v>0</v>
      </c>
      <c r="E38" s="107" t="str">
        <f>'DATA SISWA'!E38</f>
        <v>VII</v>
      </c>
      <c r="F38" s="119" t="str">
        <f>IF(praktek!K38="","",praktek!K38)</f>
        <v/>
      </c>
      <c r="G38" s="119"/>
      <c r="H38" s="119"/>
      <c r="I38" s="119"/>
      <c r="J38" s="119"/>
      <c r="K38" s="119"/>
      <c r="L38" s="119"/>
      <c r="M38" s="119"/>
      <c r="N38" s="119"/>
      <c r="O38" s="119"/>
      <c r="P38" s="119"/>
      <c r="Q38" s="119"/>
      <c r="R38" s="119"/>
      <c r="S38" s="119"/>
      <c r="T38" s="119"/>
      <c r="U38" s="119"/>
      <c r="V38" s="119"/>
      <c r="W38" s="119"/>
      <c r="X38" s="119"/>
      <c r="Y38" s="119"/>
      <c r="Z38" s="119"/>
      <c r="AA38" s="119"/>
      <c r="AB38" s="119"/>
      <c r="AC38" s="119"/>
      <c r="AD38" s="119"/>
      <c r="AE38" s="119"/>
      <c r="AF38" s="119"/>
      <c r="AG38" s="119"/>
      <c r="AH38" s="119"/>
      <c r="AI38" s="119"/>
      <c r="AJ38" s="119"/>
      <c r="AK38" s="119"/>
      <c r="AL38" s="119"/>
      <c r="AM38" s="119"/>
      <c r="AN38" s="119"/>
      <c r="AO38" s="119"/>
      <c r="AP38" s="119"/>
      <c r="AQ38" s="119"/>
      <c r="AR38" s="119"/>
      <c r="AS38" s="119"/>
      <c r="AT38" s="119"/>
      <c r="AU38" s="119"/>
      <c r="AV38" s="119"/>
      <c r="AW38" s="119"/>
      <c r="AX38" s="119"/>
      <c r="AY38" s="119"/>
      <c r="AZ38" s="119"/>
      <c r="BA38" s="119"/>
      <c r="BB38" s="119"/>
      <c r="BC38" s="119"/>
      <c r="BD38" s="119"/>
      <c r="BE38" s="119"/>
      <c r="BF38" s="119"/>
      <c r="BG38" s="119"/>
      <c r="BH38" s="119"/>
      <c r="BI38" s="119"/>
      <c r="BJ38" s="119"/>
    </row>
    <row r="39" spans="1:62">
      <c r="A39" s="107">
        <f>'DATA SISWA'!A39</f>
        <v>0</v>
      </c>
      <c r="B39" s="107">
        <f>'DATA SISWA'!B39</f>
        <v>0</v>
      </c>
      <c r="C39" s="116">
        <f>'DATA SISWA'!C39</f>
        <v>0</v>
      </c>
      <c r="D39" s="107">
        <f>'DATA SISWA'!D39</f>
        <v>0</v>
      </c>
      <c r="E39" s="107" t="str">
        <f>'DATA SISWA'!E39</f>
        <v>VII</v>
      </c>
      <c r="F39" s="119" t="str">
        <f>IF(praktek!K39="","",praktek!K39)</f>
        <v/>
      </c>
      <c r="G39" s="119"/>
      <c r="H39" s="119"/>
      <c r="I39" s="119"/>
      <c r="J39" s="119"/>
      <c r="K39" s="119"/>
      <c r="L39" s="119"/>
      <c r="M39" s="119"/>
      <c r="N39" s="119"/>
      <c r="O39" s="119"/>
      <c r="P39" s="119"/>
      <c r="Q39" s="119"/>
      <c r="R39" s="119"/>
      <c r="S39" s="119"/>
      <c r="T39" s="119"/>
      <c r="U39" s="119"/>
      <c r="V39" s="119"/>
      <c r="W39" s="119"/>
      <c r="X39" s="119"/>
      <c r="Y39" s="119"/>
      <c r="Z39" s="119"/>
      <c r="AA39" s="119"/>
      <c r="AB39" s="119"/>
      <c r="AC39" s="119"/>
      <c r="AD39" s="119"/>
      <c r="AE39" s="119"/>
      <c r="AF39" s="119"/>
      <c r="AG39" s="119"/>
      <c r="AH39" s="119"/>
      <c r="AI39" s="119"/>
      <c r="AJ39" s="119"/>
      <c r="AK39" s="119"/>
      <c r="AL39" s="119"/>
      <c r="AM39" s="119"/>
      <c r="AN39" s="119"/>
      <c r="AO39" s="119"/>
      <c r="AP39" s="119"/>
      <c r="AQ39" s="119"/>
      <c r="AR39" s="119"/>
      <c r="AS39" s="119"/>
      <c r="AT39" s="119"/>
      <c r="AU39" s="119"/>
      <c r="AV39" s="119"/>
      <c r="AW39" s="119"/>
      <c r="AX39" s="119"/>
      <c r="AY39" s="119"/>
      <c r="AZ39" s="119"/>
      <c r="BA39" s="119"/>
      <c r="BB39" s="119"/>
      <c r="BC39" s="119"/>
      <c r="BD39" s="119"/>
      <c r="BE39" s="119"/>
      <c r="BF39" s="119"/>
      <c r="BG39" s="119"/>
      <c r="BH39" s="119"/>
      <c r="BI39" s="119"/>
      <c r="BJ39" s="119"/>
    </row>
    <row r="40" spans="1:62">
      <c r="A40" s="107">
        <f>'DATA SISWA'!A40</f>
        <v>0</v>
      </c>
      <c r="B40" s="107">
        <f>'DATA SISWA'!B40</f>
        <v>0</v>
      </c>
      <c r="C40" s="116">
        <f>'DATA SISWA'!C40</f>
        <v>0</v>
      </c>
      <c r="D40" s="107">
        <f>'DATA SISWA'!D40</f>
        <v>0</v>
      </c>
      <c r="E40" s="107" t="str">
        <f>'DATA SISWA'!E40</f>
        <v>VII</v>
      </c>
      <c r="F40" s="119" t="str">
        <f>IF(praktek!K40="","",praktek!K40)</f>
        <v/>
      </c>
      <c r="G40" s="119"/>
      <c r="H40" s="119"/>
      <c r="I40" s="119"/>
      <c r="J40" s="119"/>
      <c r="K40" s="119"/>
      <c r="L40" s="119"/>
      <c r="M40" s="119"/>
      <c r="N40" s="119"/>
      <c r="O40" s="119"/>
      <c r="P40" s="119"/>
      <c r="Q40" s="119"/>
      <c r="R40" s="119"/>
      <c r="S40" s="119"/>
      <c r="T40" s="119"/>
      <c r="U40" s="119"/>
      <c r="V40" s="119"/>
      <c r="W40" s="119"/>
      <c r="X40" s="119"/>
      <c r="Y40" s="119"/>
      <c r="Z40" s="119"/>
      <c r="AA40" s="119"/>
      <c r="AB40" s="119"/>
      <c r="AC40" s="119"/>
      <c r="AD40" s="119"/>
      <c r="AE40" s="119"/>
      <c r="AF40" s="119"/>
      <c r="AG40" s="119"/>
      <c r="AH40" s="119"/>
      <c r="AI40" s="119"/>
      <c r="AJ40" s="119"/>
      <c r="AK40" s="119"/>
      <c r="AL40" s="119"/>
      <c r="AM40" s="119"/>
      <c r="AN40" s="119"/>
      <c r="AO40" s="119"/>
      <c r="AP40" s="119"/>
      <c r="AQ40" s="119"/>
      <c r="AR40" s="119"/>
      <c r="AS40" s="119"/>
      <c r="AT40" s="119"/>
      <c r="AU40" s="119"/>
      <c r="AV40" s="119"/>
      <c r="AW40" s="119"/>
      <c r="AX40" s="119"/>
      <c r="AY40" s="119"/>
      <c r="AZ40" s="119"/>
      <c r="BA40" s="119"/>
      <c r="BB40" s="119"/>
      <c r="BC40" s="119"/>
      <c r="BD40" s="119"/>
      <c r="BE40" s="119"/>
      <c r="BF40" s="119"/>
      <c r="BG40" s="119"/>
      <c r="BH40" s="119"/>
      <c r="BI40" s="119"/>
      <c r="BJ40" s="119"/>
    </row>
    <row r="41" spans="1:62">
      <c r="A41" s="107">
        <f>'DATA SISWA'!A41</f>
        <v>0</v>
      </c>
      <c r="B41" s="107">
        <f>'DATA SISWA'!B41</f>
        <v>0</v>
      </c>
      <c r="C41" s="116">
        <f>'DATA SISWA'!C41</f>
        <v>0</v>
      </c>
      <c r="D41" s="107">
        <f>'DATA SISWA'!D41</f>
        <v>0</v>
      </c>
      <c r="E41" s="107" t="str">
        <f>'DATA SISWA'!E41</f>
        <v>VII</v>
      </c>
      <c r="F41" s="119" t="str">
        <f>IF(praktek!K41="","",praktek!K41)</f>
        <v/>
      </c>
      <c r="G41" s="119"/>
      <c r="H41" s="119"/>
      <c r="I41" s="119"/>
      <c r="J41" s="119"/>
      <c r="K41" s="119"/>
      <c r="L41" s="119"/>
      <c r="M41" s="119"/>
      <c r="N41" s="119"/>
      <c r="O41" s="119"/>
      <c r="P41" s="119"/>
      <c r="Q41" s="119"/>
      <c r="R41" s="119"/>
      <c r="S41" s="119"/>
      <c r="T41" s="119"/>
      <c r="U41" s="119"/>
      <c r="V41" s="119"/>
      <c r="W41" s="119"/>
      <c r="X41" s="119"/>
      <c r="Y41" s="119"/>
      <c r="Z41" s="119"/>
      <c r="AA41" s="119"/>
      <c r="AB41" s="119"/>
      <c r="AC41" s="119"/>
      <c r="AD41" s="119"/>
      <c r="AE41" s="119"/>
      <c r="AF41" s="119"/>
      <c r="AG41" s="119"/>
      <c r="AH41" s="119"/>
      <c r="AI41" s="119"/>
      <c r="AJ41" s="119"/>
      <c r="AK41" s="119"/>
      <c r="AL41" s="119"/>
      <c r="AM41" s="119"/>
      <c r="AN41" s="119"/>
      <c r="AO41" s="119"/>
      <c r="AP41" s="119"/>
      <c r="AQ41" s="119"/>
      <c r="AR41" s="119"/>
      <c r="AS41" s="119"/>
      <c r="AT41" s="119"/>
      <c r="AU41" s="119"/>
      <c r="AV41" s="119"/>
      <c r="AW41" s="119"/>
      <c r="AX41" s="119"/>
      <c r="AY41" s="119"/>
      <c r="AZ41" s="119"/>
      <c r="BA41" s="119"/>
      <c r="BB41" s="119"/>
      <c r="BC41" s="119"/>
      <c r="BD41" s="119"/>
      <c r="BE41" s="119"/>
      <c r="BF41" s="119"/>
      <c r="BG41" s="119"/>
      <c r="BH41" s="119"/>
      <c r="BI41" s="119"/>
      <c r="BJ41" s="119"/>
    </row>
    <row r="42" spans="1:62">
      <c r="A42" s="107">
        <f>'DATA SISWA'!A42</f>
        <v>0</v>
      </c>
      <c r="B42" s="107">
        <f>'DATA SISWA'!B42</f>
        <v>0</v>
      </c>
      <c r="C42" s="116">
        <f>'DATA SISWA'!C42</f>
        <v>0</v>
      </c>
      <c r="D42" s="107">
        <f>'DATA SISWA'!D42</f>
        <v>0</v>
      </c>
      <c r="E42" s="107" t="str">
        <f>'DATA SISWA'!E42</f>
        <v>VII</v>
      </c>
      <c r="F42" s="119" t="str">
        <f>IF(praktek!K42="","",praktek!K42)</f>
        <v/>
      </c>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row>
    <row r="43" spans="1:62">
      <c r="A43" s="107">
        <f>'DATA SISWA'!A43</f>
        <v>0</v>
      </c>
      <c r="B43" s="107">
        <f>'DATA SISWA'!B43</f>
        <v>0</v>
      </c>
      <c r="C43" s="116">
        <f>'DATA SISWA'!C43</f>
        <v>0</v>
      </c>
      <c r="D43" s="107">
        <f>'DATA SISWA'!D43</f>
        <v>0</v>
      </c>
      <c r="E43" s="107" t="str">
        <f>'DATA SISWA'!E43</f>
        <v>VII</v>
      </c>
      <c r="F43" s="119" t="str">
        <f>IF(praktek!K43="","",praktek!K43)</f>
        <v/>
      </c>
      <c r="G43" s="119"/>
      <c r="H43" s="119"/>
      <c r="I43" s="119"/>
      <c r="J43" s="119"/>
      <c r="K43" s="119"/>
      <c r="L43" s="119"/>
      <c r="M43" s="119"/>
      <c r="N43" s="119"/>
      <c r="O43" s="119"/>
      <c r="P43" s="119"/>
      <c r="Q43" s="119"/>
      <c r="R43" s="119"/>
      <c r="S43" s="119"/>
      <c r="T43" s="119"/>
      <c r="U43" s="119"/>
      <c r="V43" s="119"/>
      <c r="W43" s="119"/>
      <c r="X43" s="119"/>
      <c r="Y43" s="119"/>
      <c r="Z43" s="119"/>
      <c r="AA43" s="119"/>
      <c r="AB43" s="119"/>
      <c r="AC43" s="119"/>
      <c r="AD43" s="119"/>
      <c r="AE43" s="119"/>
      <c r="AF43" s="119"/>
      <c r="AG43" s="119"/>
      <c r="AH43" s="119"/>
      <c r="AI43" s="119"/>
      <c r="AJ43" s="119"/>
      <c r="AK43" s="119"/>
      <c r="AL43" s="119"/>
      <c r="AM43" s="119"/>
      <c r="AN43" s="119"/>
      <c r="AO43" s="119"/>
      <c r="AP43" s="119"/>
      <c r="AQ43" s="119"/>
      <c r="AR43" s="119"/>
      <c r="AS43" s="119"/>
      <c r="AT43" s="119"/>
      <c r="AU43" s="119"/>
      <c r="AV43" s="119"/>
      <c r="AW43" s="119"/>
      <c r="AX43" s="119"/>
      <c r="AY43" s="119"/>
      <c r="AZ43" s="119"/>
      <c r="BA43" s="119"/>
      <c r="BB43" s="119"/>
      <c r="BC43" s="119"/>
      <c r="BD43" s="119"/>
      <c r="BE43" s="119"/>
      <c r="BF43" s="119"/>
      <c r="BG43" s="119"/>
      <c r="BH43" s="119"/>
      <c r="BI43" s="119"/>
      <c r="BJ43" s="119"/>
    </row>
    <row r="44" spans="1:62">
      <c r="A44" s="107">
        <f>'DATA SISWA'!A44</f>
        <v>0</v>
      </c>
      <c r="B44" s="107">
        <f>'DATA SISWA'!B44</f>
        <v>0</v>
      </c>
      <c r="C44" s="116">
        <f>'DATA SISWA'!C44</f>
        <v>0</v>
      </c>
      <c r="D44" s="107">
        <f>'DATA SISWA'!D44</f>
        <v>0</v>
      </c>
      <c r="E44" s="107" t="str">
        <f>'DATA SISWA'!E44</f>
        <v>VII</v>
      </c>
      <c r="F44" s="119" t="str">
        <f>IF(praktek!K44="","",praktek!K44)</f>
        <v/>
      </c>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19"/>
      <c r="AH44" s="119"/>
      <c r="AI44" s="119"/>
      <c r="AJ44" s="119"/>
      <c r="AK44" s="119"/>
      <c r="AL44" s="119"/>
      <c r="AM44" s="119"/>
      <c r="AN44" s="119"/>
      <c r="AO44" s="119"/>
      <c r="AP44" s="119"/>
      <c r="AQ44" s="119"/>
      <c r="AR44" s="119"/>
      <c r="AS44" s="119"/>
      <c r="AT44" s="119"/>
      <c r="AU44" s="119"/>
      <c r="AV44" s="119"/>
      <c r="AW44" s="119"/>
      <c r="AX44" s="119"/>
      <c r="AY44" s="119"/>
      <c r="AZ44" s="119"/>
      <c r="BA44" s="119"/>
      <c r="BB44" s="119"/>
      <c r="BC44" s="119"/>
      <c r="BD44" s="119"/>
      <c r="BE44" s="119"/>
      <c r="BF44" s="119"/>
      <c r="BG44" s="119"/>
      <c r="BH44" s="119"/>
      <c r="BI44" s="119"/>
      <c r="BJ44" s="119"/>
    </row>
    <row r="45" spans="1:62">
      <c r="F45" s="120"/>
    </row>
  </sheetData>
  <mergeCells count="51">
    <mergeCell ref="A1:A3"/>
    <mergeCell ref="B1:B3"/>
    <mergeCell ref="C1:C3"/>
    <mergeCell ref="D1:D3"/>
    <mergeCell ref="E1:E3"/>
    <mergeCell ref="AJ1:AL1"/>
    <mergeCell ref="AE2:AG2"/>
    <mergeCell ref="AJ2:AL2"/>
    <mergeCell ref="S1:S3"/>
    <mergeCell ref="T1:T3"/>
    <mergeCell ref="U1:W1"/>
    <mergeCell ref="X1:X3"/>
    <mergeCell ref="Y1:Y3"/>
    <mergeCell ref="Z1:AB1"/>
    <mergeCell ref="AC1:AC3"/>
    <mergeCell ref="AD1:AD3"/>
    <mergeCell ref="AE1:AG1"/>
    <mergeCell ref="AH1:AH3"/>
    <mergeCell ref="AI1:AI3"/>
    <mergeCell ref="BD1:BD3"/>
    <mergeCell ref="AY2:BA2"/>
    <mergeCell ref="AM1:AM3"/>
    <mergeCell ref="AN1:AN3"/>
    <mergeCell ref="AO1:AQ1"/>
    <mergeCell ref="AR1:AR3"/>
    <mergeCell ref="AS1:AS3"/>
    <mergeCell ref="AT1:AV1"/>
    <mergeCell ref="AO2:AQ2"/>
    <mergeCell ref="AT2:AV2"/>
    <mergeCell ref="AW1:AW3"/>
    <mergeCell ref="AX1:AX3"/>
    <mergeCell ref="AY1:BA1"/>
    <mergeCell ref="BB1:BB3"/>
    <mergeCell ref="BC1:BC3"/>
    <mergeCell ref="F2:H2"/>
    <mergeCell ref="K2:M2"/>
    <mergeCell ref="P2:R2"/>
    <mergeCell ref="U2:W2"/>
    <mergeCell ref="Z2:AB2"/>
    <mergeCell ref="I1:I3"/>
    <mergeCell ref="J1:J3"/>
    <mergeCell ref="K1:M1"/>
    <mergeCell ref="N1:N3"/>
    <mergeCell ref="O1:O3"/>
    <mergeCell ref="P1:R1"/>
    <mergeCell ref="F1:H1"/>
    <mergeCell ref="BE1:BE3"/>
    <mergeCell ref="BF1:BF3"/>
    <mergeCell ref="BH1:BH3"/>
    <mergeCell ref="BI1:BI3"/>
    <mergeCell ref="BJ1:BJ3"/>
  </mergeCells>
  <dataValidations count="1">
    <dataValidation type="decimal" allowBlank="1" showInputMessage="1" showErrorMessage="1" sqref="N5:O5 S5:T5 X5:Y5 AC5:AD5 AH5:AI5 AM5:AN5 AR5:AS5 AW5:AX5 BB5:BC5">
      <formula1>0</formula1>
      <formula2>100</formula2>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26"/>
  <dimension ref="A1:U55"/>
  <sheetViews>
    <sheetView view="pageBreakPreview" zoomScale="120" zoomScaleSheetLayoutView="120" workbookViewId="0">
      <pane xSplit="5" ySplit="7" topLeftCell="F8" activePane="bottomRight" state="frozen"/>
      <selection pane="topRight" activeCell="F1" sqref="F1"/>
      <selection pane="bottomLeft" activeCell="A5" sqref="A5"/>
      <selection pane="bottomRight"/>
    </sheetView>
  </sheetViews>
  <sheetFormatPr defaultRowHeight="15"/>
  <cols>
    <col min="1" max="1" width="4.85546875" style="95" customWidth="1"/>
    <col min="2" max="2" width="7.140625" style="95" customWidth="1"/>
    <col min="3" max="3" width="32.5703125" style="95" customWidth="1"/>
    <col min="4" max="5" width="5.28515625" style="95" customWidth="1"/>
    <col min="6" max="21" width="4.5703125" style="95" customWidth="1"/>
    <col min="22" max="16384" width="9.140625" style="95"/>
  </cols>
  <sheetData>
    <row r="1" spans="1:21" ht="29.25" thickBot="1">
      <c r="A1" s="194" t="str">
        <f>"DAFTAR NILAI"&amp;" "&amp;menu!D14</f>
        <v>DAFTAR NILAI VII</v>
      </c>
      <c r="F1" s="609" t="s">
        <v>324</v>
      </c>
      <c r="G1" s="610"/>
      <c r="H1" s="610"/>
      <c r="I1" s="610"/>
      <c r="J1" s="610"/>
      <c r="K1" s="610"/>
      <c r="L1" s="611"/>
    </row>
    <row r="2" spans="1:21" ht="21" customHeight="1">
      <c r="A2" s="194" t="str">
        <f>menu!D13</f>
        <v>BHS INGGRIS</v>
      </c>
      <c r="O2" s="186" t="s">
        <v>323</v>
      </c>
      <c r="R2" s="195" t="str">
        <f>menu!D11</f>
        <v>FATHOR ROHMAN, S. Pd</v>
      </c>
    </row>
    <row r="4" spans="1:21" ht="15" customHeight="1">
      <c r="A4" s="501" t="s">
        <v>15</v>
      </c>
      <c r="B4" s="501" t="s">
        <v>16</v>
      </c>
      <c r="C4" s="504" t="s">
        <v>0</v>
      </c>
      <c r="D4" s="505" t="s">
        <v>1</v>
      </c>
      <c r="E4" s="506" t="s">
        <v>17</v>
      </c>
      <c r="F4" s="505"/>
      <c r="G4" s="505"/>
      <c r="H4" s="505"/>
      <c r="I4" s="608" t="s">
        <v>7</v>
      </c>
      <c r="J4" s="505"/>
      <c r="K4" s="505"/>
      <c r="L4" s="505"/>
      <c r="M4" s="608" t="s">
        <v>7</v>
      </c>
      <c r="N4" s="505"/>
      <c r="O4" s="505"/>
      <c r="P4" s="505"/>
      <c r="Q4" s="608" t="s">
        <v>7</v>
      </c>
      <c r="R4" s="505"/>
      <c r="S4" s="505"/>
      <c r="T4" s="505"/>
      <c r="U4" s="608" t="s">
        <v>7</v>
      </c>
    </row>
    <row r="5" spans="1:21" ht="15" customHeight="1">
      <c r="A5" s="502"/>
      <c r="B5" s="502"/>
      <c r="C5" s="504"/>
      <c r="D5" s="505"/>
      <c r="E5" s="507"/>
      <c r="F5" s="505"/>
      <c r="G5" s="505"/>
      <c r="H5" s="505"/>
      <c r="I5" s="608"/>
      <c r="J5" s="505"/>
      <c r="K5" s="505"/>
      <c r="L5" s="505"/>
      <c r="M5" s="608"/>
      <c r="N5" s="505"/>
      <c r="O5" s="505"/>
      <c r="P5" s="505"/>
      <c r="Q5" s="608"/>
      <c r="R5" s="505"/>
      <c r="S5" s="505"/>
      <c r="T5" s="505"/>
      <c r="U5" s="608"/>
    </row>
    <row r="6" spans="1:21" s="98" customFormat="1" ht="80.25" customHeight="1">
      <c r="A6" s="503"/>
      <c r="B6" s="503"/>
      <c r="C6" s="504"/>
      <c r="D6" s="505"/>
      <c r="E6" s="508"/>
      <c r="F6" s="112" t="s">
        <v>31</v>
      </c>
      <c r="G6" s="113" t="s">
        <v>32</v>
      </c>
      <c r="H6" s="112" t="s">
        <v>33</v>
      </c>
      <c r="I6" s="608"/>
      <c r="J6" s="112" t="s">
        <v>31</v>
      </c>
      <c r="K6" s="113" t="s">
        <v>32</v>
      </c>
      <c r="L6" s="112" t="s">
        <v>33</v>
      </c>
      <c r="M6" s="608"/>
      <c r="N6" s="112" t="s">
        <v>31</v>
      </c>
      <c r="O6" s="113" t="s">
        <v>32</v>
      </c>
      <c r="P6" s="112" t="s">
        <v>33</v>
      </c>
      <c r="Q6" s="608"/>
      <c r="R6" s="112" t="s">
        <v>31</v>
      </c>
      <c r="S6" s="113" t="s">
        <v>32</v>
      </c>
      <c r="T6" s="112" t="s">
        <v>33</v>
      </c>
      <c r="U6" s="608"/>
    </row>
    <row r="7" spans="1:21">
      <c r="A7" s="99">
        <v>1</v>
      </c>
      <c r="B7" s="99">
        <v>2</v>
      </c>
      <c r="C7" s="99">
        <v>3</v>
      </c>
      <c r="D7" s="99">
        <v>4</v>
      </c>
      <c r="E7" s="99">
        <v>5</v>
      </c>
      <c r="F7" s="99">
        <v>6</v>
      </c>
      <c r="G7" s="99">
        <v>7</v>
      </c>
      <c r="H7" s="99">
        <v>8</v>
      </c>
      <c r="I7" s="99">
        <v>9</v>
      </c>
      <c r="J7" s="99">
        <v>10</v>
      </c>
      <c r="K7" s="99">
        <v>11</v>
      </c>
      <c r="L7" s="99">
        <v>12</v>
      </c>
      <c r="M7" s="99">
        <v>13</v>
      </c>
      <c r="N7" s="99">
        <v>14</v>
      </c>
      <c r="O7" s="99">
        <v>15</v>
      </c>
      <c r="P7" s="99">
        <v>16</v>
      </c>
      <c r="Q7" s="99">
        <v>17</v>
      </c>
      <c r="R7" s="99">
        <v>18</v>
      </c>
      <c r="S7" s="99">
        <v>19</v>
      </c>
      <c r="T7" s="99">
        <v>20</v>
      </c>
      <c r="U7" s="99">
        <v>21</v>
      </c>
    </row>
    <row r="8" spans="1:21" ht="17.25" customHeight="1">
      <c r="A8" s="107">
        <f>'DATA SISWA'!A5</f>
        <v>1</v>
      </c>
      <c r="B8" s="107" t="str">
        <f>'DATA SISWA'!B5</f>
        <v>`017</v>
      </c>
      <c r="C8" s="116" t="str">
        <f>'DATA SISWA'!C5</f>
        <v>Abd. Muis</v>
      </c>
      <c r="D8" s="107" t="str">
        <f>'DATA SISWA'!D5</f>
        <v>L</v>
      </c>
      <c r="E8" s="107" t="str">
        <f>'DATA SISWA'!E5</f>
        <v>VII</v>
      </c>
      <c r="F8" s="91"/>
      <c r="G8" s="91"/>
      <c r="H8" s="91"/>
      <c r="I8" s="101"/>
      <c r="J8" s="91"/>
      <c r="K8" s="91"/>
      <c r="L8" s="91"/>
      <c r="M8" s="101"/>
      <c r="N8" s="91"/>
      <c r="O8" s="91"/>
      <c r="P8" s="91"/>
      <c r="Q8" s="101"/>
      <c r="R8" s="91"/>
      <c r="S8" s="91"/>
      <c r="T8" s="91"/>
      <c r="U8" s="101"/>
    </row>
    <row r="9" spans="1:21" ht="18" customHeight="1">
      <c r="A9" s="107">
        <f>'DATA SISWA'!A6</f>
        <v>2</v>
      </c>
      <c r="B9" s="107" t="str">
        <f>'DATA SISWA'!B6</f>
        <v>`008</v>
      </c>
      <c r="C9" s="116" t="str">
        <f>'DATA SISWA'!C6</f>
        <v>Achmad Buka</v>
      </c>
      <c r="D9" s="107" t="str">
        <f>'DATA SISWA'!D6</f>
        <v>L</v>
      </c>
      <c r="E9" s="107" t="str">
        <f>'DATA SISWA'!E6</f>
        <v>VII</v>
      </c>
      <c r="F9" s="91"/>
      <c r="G9" s="91"/>
      <c r="H9" s="91"/>
      <c r="I9" s="101"/>
      <c r="J9" s="91"/>
      <c r="K9" s="91"/>
      <c r="L9" s="91"/>
      <c r="M9" s="101"/>
      <c r="N9" s="91"/>
      <c r="O9" s="91"/>
      <c r="P9" s="91"/>
      <c r="Q9" s="101"/>
      <c r="R9" s="91"/>
      <c r="S9" s="91"/>
      <c r="T9" s="91"/>
      <c r="U9" s="101"/>
    </row>
    <row r="10" spans="1:21">
      <c r="A10" s="107">
        <f>'DATA SISWA'!A7</f>
        <v>3</v>
      </c>
      <c r="B10" s="107" t="str">
        <f>'DATA SISWA'!B7</f>
        <v>`014</v>
      </c>
      <c r="C10" s="116" t="str">
        <f>'DATA SISWA'!C7</f>
        <v>Bunami</v>
      </c>
      <c r="D10" s="107" t="str">
        <f>'DATA SISWA'!D7</f>
        <v>P</v>
      </c>
      <c r="E10" s="107" t="str">
        <f>'DATA SISWA'!E7</f>
        <v>VII</v>
      </c>
      <c r="F10" s="91"/>
      <c r="G10" s="91"/>
      <c r="H10" s="91"/>
      <c r="I10" s="101"/>
      <c r="J10" s="91"/>
      <c r="K10" s="91"/>
      <c r="L10" s="91"/>
      <c r="M10" s="101"/>
      <c r="N10" s="91"/>
      <c r="O10" s="91"/>
      <c r="P10" s="91"/>
      <c r="Q10" s="101"/>
      <c r="R10" s="91"/>
      <c r="S10" s="91"/>
      <c r="T10" s="91"/>
      <c r="U10" s="101"/>
    </row>
    <row r="11" spans="1:21">
      <c r="A11" s="107">
        <f>'DATA SISWA'!A8</f>
        <v>4</v>
      </c>
      <c r="B11" s="107" t="str">
        <f>'DATA SISWA'!B8</f>
        <v>`009</v>
      </c>
      <c r="C11" s="116" t="str">
        <f>'DATA SISWA'!C8</f>
        <v>Fatimatuz Zahroh</v>
      </c>
      <c r="D11" s="107" t="str">
        <f>'DATA SISWA'!D8</f>
        <v>P</v>
      </c>
      <c r="E11" s="107" t="str">
        <f>'DATA SISWA'!E8</f>
        <v>VII</v>
      </c>
      <c r="F11" s="91"/>
      <c r="G11" s="91"/>
      <c r="H11" s="91"/>
      <c r="I11" s="101"/>
      <c r="J11" s="91"/>
      <c r="K11" s="91"/>
      <c r="L11" s="91"/>
      <c r="M11" s="101"/>
      <c r="N11" s="91"/>
      <c r="O11" s="91"/>
      <c r="P11" s="91"/>
      <c r="Q11" s="101"/>
      <c r="R11" s="91"/>
      <c r="S11" s="91"/>
      <c r="T11" s="91"/>
      <c r="U11" s="101"/>
    </row>
    <row r="12" spans="1:21">
      <c r="A12" s="107">
        <f>'DATA SISWA'!A9</f>
        <v>5</v>
      </c>
      <c r="B12" s="107" t="str">
        <f>'DATA SISWA'!B9</f>
        <v>`003</v>
      </c>
      <c r="C12" s="116" t="str">
        <f>'DATA SISWA'!C9</f>
        <v>Fitriadi</v>
      </c>
      <c r="D12" s="107" t="str">
        <f>'DATA SISWA'!D9</f>
        <v>L</v>
      </c>
      <c r="E12" s="107" t="str">
        <f>'DATA SISWA'!E9</f>
        <v>VII</v>
      </c>
      <c r="F12" s="91"/>
      <c r="G12" s="91"/>
      <c r="H12" s="91"/>
      <c r="I12" s="101"/>
      <c r="J12" s="91"/>
      <c r="K12" s="91"/>
      <c r="L12" s="91"/>
      <c r="M12" s="101"/>
      <c r="N12" s="91"/>
      <c r="O12" s="91"/>
      <c r="P12" s="91"/>
      <c r="Q12" s="101"/>
      <c r="R12" s="91"/>
      <c r="S12" s="91"/>
      <c r="T12" s="91"/>
      <c r="U12" s="101"/>
    </row>
    <row r="13" spans="1:21">
      <c r="A13" s="107">
        <f>'DATA SISWA'!A10</f>
        <v>6</v>
      </c>
      <c r="B13" s="107" t="str">
        <f>'DATA SISWA'!B10</f>
        <v>`006</v>
      </c>
      <c r="C13" s="116" t="str">
        <f>'DATA SISWA'!C10</f>
        <v>Homsiyah</v>
      </c>
      <c r="D13" s="107" t="str">
        <f>'DATA SISWA'!D10</f>
        <v>P</v>
      </c>
      <c r="E13" s="107" t="str">
        <f>'DATA SISWA'!E10</f>
        <v>VII</v>
      </c>
      <c r="F13" s="91"/>
      <c r="G13" s="91"/>
      <c r="H13" s="91"/>
      <c r="I13" s="101"/>
      <c r="J13" s="91"/>
      <c r="K13" s="91"/>
      <c r="L13" s="91"/>
      <c r="M13" s="101"/>
      <c r="N13" s="91"/>
      <c r="O13" s="91"/>
      <c r="P13" s="91"/>
      <c r="Q13" s="101"/>
      <c r="R13" s="91"/>
      <c r="S13" s="91"/>
      <c r="T13" s="91"/>
      <c r="U13" s="101"/>
    </row>
    <row r="14" spans="1:21">
      <c r="A14" s="107">
        <f>'DATA SISWA'!A11</f>
        <v>7</v>
      </c>
      <c r="B14" s="107" t="str">
        <f>'DATA SISWA'!B11</f>
        <v>`002</v>
      </c>
      <c r="C14" s="116" t="str">
        <f>'DATA SISWA'!C11</f>
        <v>Insiyah</v>
      </c>
      <c r="D14" s="107" t="str">
        <f>'DATA SISWA'!D11</f>
        <v>P</v>
      </c>
      <c r="E14" s="107" t="str">
        <f>'DATA SISWA'!E11</f>
        <v>VII</v>
      </c>
      <c r="F14" s="91"/>
      <c r="G14" s="91"/>
      <c r="H14" s="91"/>
      <c r="I14" s="101"/>
      <c r="J14" s="91"/>
      <c r="K14" s="91"/>
      <c r="L14" s="91"/>
      <c r="M14" s="101"/>
      <c r="N14" s="91"/>
      <c r="O14" s="91"/>
      <c r="P14" s="91"/>
      <c r="Q14" s="101"/>
      <c r="R14" s="91"/>
      <c r="S14" s="91"/>
      <c r="T14" s="91"/>
      <c r="U14" s="101"/>
    </row>
    <row r="15" spans="1:21">
      <c r="A15" s="107">
        <f>'DATA SISWA'!A12</f>
        <v>8</v>
      </c>
      <c r="B15" s="107" t="str">
        <f>'DATA SISWA'!B12</f>
        <v>`010</v>
      </c>
      <c r="C15" s="116" t="str">
        <f>'DATA SISWA'!C12</f>
        <v>Saiful Jamil</v>
      </c>
      <c r="D15" s="107" t="str">
        <f>'DATA SISWA'!D12</f>
        <v>L</v>
      </c>
      <c r="E15" s="107" t="str">
        <f>'DATA SISWA'!E12</f>
        <v>VII</v>
      </c>
      <c r="F15" s="91"/>
      <c r="G15" s="91"/>
      <c r="H15" s="91"/>
      <c r="I15" s="101"/>
      <c r="J15" s="91"/>
      <c r="K15" s="91"/>
      <c r="L15" s="91"/>
      <c r="M15" s="101"/>
      <c r="N15" s="91"/>
      <c r="O15" s="91"/>
      <c r="P15" s="91"/>
      <c r="Q15" s="101"/>
      <c r="R15" s="91"/>
      <c r="S15" s="91"/>
      <c r="T15" s="91"/>
      <c r="U15" s="101"/>
    </row>
    <row r="16" spans="1:21">
      <c r="A16" s="107">
        <f>'DATA SISWA'!A13</f>
        <v>9</v>
      </c>
      <c r="B16" s="107" t="str">
        <f>'DATA SISWA'!B13</f>
        <v>`011</v>
      </c>
      <c r="C16" s="116" t="str">
        <f>'DATA SISWA'!C13</f>
        <v>Khusnun Nisa</v>
      </c>
      <c r="D16" s="107" t="str">
        <f>'DATA SISWA'!D13</f>
        <v>P</v>
      </c>
      <c r="E16" s="107" t="str">
        <f>'DATA SISWA'!E13</f>
        <v>VII</v>
      </c>
      <c r="F16" s="91"/>
      <c r="G16" s="91"/>
      <c r="H16" s="91"/>
      <c r="I16" s="101"/>
      <c r="J16" s="91"/>
      <c r="K16" s="91"/>
      <c r="L16" s="91"/>
      <c r="M16" s="101"/>
      <c r="N16" s="91"/>
      <c r="O16" s="91"/>
      <c r="P16" s="91"/>
      <c r="Q16" s="101"/>
      <c r="R16" s="91"/>
      <c r="S16" s="91"/>
      <c r="T16" s="91"/>
      <c r="U16" s="101"/>
    </row>
    <row r="17" spans="1:21">
      <c r="A17" s="107">
        <f>'DATA SISWA'!A14</f>
        <v>10</v>
      </c>
      <c r="B17" s="107" t="str">
        <f>'DATA SISWA'!B14</f>
        <v>`005</v>
      </c>
      <c r="C17" s="116" t="str">
        <f>'DATA SISWA'!C14</f>
        <v>Komariyah</v>
      </c>
      <c r="D17" s="107" t="str">
        <f>'DATA SISWA'!D14</f>
        <v>P</v>
      </c>
      <c r="E17" s="107" t="str">
        <f>'DATA SISWA'!E14</f>
        <v>VII</v>
      </c>
      <c r="F17" s="91"/>
      <c r="G17" s="91"/>
      <c r="H17" s="91"/>
      <c r="I17" s="101"/>
      <c r="J17" s="91"/>
      <c r="K17" s="91"/>
      <c r="L17" s="91"/>
      <c r="M17" s="101"/>
      <c r="N17" s="91"/>
      <c r="O17" s="91"/>
      <c r="P17" s="91"/>
      <c r="Q17" s="101"/>
      <c r="R17" s="91"/>
      <c r="S17" s="91"/>
      <c r="T17" s="91"/>
      <c r="U17" s="101"/>
    </row>
    <row r="18" spans="1:21">
      <c r="A18" s="107">
        <f>'DATA SISWA'!A15</f>
        <v>11</v>
      </c>
      <c r="B18" s="107" t="str">
        <f>'DATA SISWA'!B15</f>
        <v>`013</v>
      </c>
      <c r="C18" s="116" t="str">
        <f>'DATA SISWA'!C15</f>
        <v>Latifah</v>
      </c>
      <c r="D18" s="107" t="str">
        <f>'DATA SISWA'!D15</f>
        <v>P</v>
      </c>
      <c r="E18" s="107" t="str">
        <f>'DATA SISWA'!E15</f>
        <v>VII</v>
      </c>
      <c r="F18" s="91"/>
      <c r="G18" s="91"/>
      <c r="H18" s="91"/>
      <c r="I18" s="101"/>
      <c r="J18" s="91"/>
      <c r="K18" s="91"/>
      <c r="L18" s="91"/>
      <c r="M18" s="101"/>
      <c r="N18" s="91"/>
      <c r="O18" s="91"/>
      <c r="P18" s="91"/>
      <c r="Q18" s="101"/>
      <c r="R18" s="91"/>
      <c r="S18" s="91"/>
      <c r="T18" s="91"/>
      <c r="U18" s="101"/>
    </row>
    <row r="19" spans="1:21">
      <c r="A19" s="107">
        <f>'DATA SISWA'!A16</f>
        <v>12</v>
      </c>
      <c r="B19" s="107" t="str">
        <f>'DATA SISWA'!B16</f>
        <v>`018</v>
      </c>
      <c r="C19" s="116" t="str">
        <f>'DATA SISWA'!C16</f>
        <v>Maya</v>
      </c>
      <c r="D19" s="107" t="str">
        <f>'DATA SISWA'!D16</f>
        <v>P</v>
      </c>
      <c r="E19" s="107" t="str">
        <f>'DATA SISWA'!E16</f>
        <v>VII</v>
      </c>
      <c r="F19" s="91"/>
      <c r="G19" s="91"/>
      <c r="H19" s="91"/>
      <c r="I19" s="101"/>
      <c r="J19" s="91"/>
      <c r="K19" s="91"/>
      <c r="L19" s="91"/>
      <c r="M19" s="101"/>
      <c r="N19" s="91"/>
      <c r="O19" s="91"/>
      <c r="P19" s="91"/>
      <c r="Q19" s="101"/>
      <c r="R19" s="91"/>
      <c r="S19" s="91"/>
      <c r="T19" s="91"/>
      <c r="U19" s="101"/>
    </row>
    <row r="20" spans="1:21">
      <c r="A20" s="107">
        <f>'DATA SISWA'!A17</f>
        <v>13</v>
      </c>
      <c r="B20" s="107" t="str">
        <f>'DATA SISWA'!B17</f>
        <v>`016</v>
      </c>
      <c r="C20" s="116" t="str">
        <f>'DATA SISWA'!C17</f>
        <v>Ma`ruf</v>
      </c>
      <c r="D20" s="107" t="str">
        <f>'DATA SISWA'!D17</f>
        <v>L</v>
      </c>
      <c r="E20" s="107" t="str">
        <f>'DATA SISWA'!E17</f>
        <v>VII</v>
      </c>
      <c r="F20" s="91"/>
      <c r="G20" s="91"/>
      <c r="H20" s="91"/>
      <c r="I20" s="101"/>
      <c r="J20" s="91"/>
      <c r="K20" s="91"/>
      <c r="L20" s="91"/>
      <c r="M20" s="101"/>
      <c r="N20" s="91"/>
      <c r="O20" s="91"/>
      <c r="P20" s="91"/>
      <c r="Q20" s="101"/>
      <c r="R20" s="91"/>
      <c r="S20" s="91"/>
      <c r="T20" s="91"/>
      <c r="U20" s="101"/>
    </row>
    <row r="21" spans="1:21">
      <c r="A21" s="107">
        <f>'DATA SISWA'!A18</f>
        <v>14</v>
      </c>
      <c r="B21" s="107" t="str">
        <f>'DATA SISWA'!B18</f>
        <v>`020</v>
      </c>
      <c r="C21" s="116" t="str">
        <f>'DATA SISWA'!C18</f>
        <v>Nia Ramadani</v>
      </c>
      <c r="D21" s="107" t="str">
        <f>'DATA SISWA'!D18</f>
        <v>P</v>
      </c>
      <c r="E21" s="107" t="str">
        <f>'DATA SISWA'!E18</f>
        <v>VII</v>
      </c>
      <c r="F21" s="91"/>
      <c r="G21" s="91"/>
      <c r="H21" s="91"/>
      <c r="I21" s="101"/>
      <c r="J21" s="91"/>
      <c r="K21" s="91"/>
      <c r="L21" s="91"/>
      <c r="M21" s="101"/>
      <c r="N21" s="91"/>
      <c r="O21" s="91"/>
      <c r="P21" s="91"/>
      <c r="Q21" s="101"/>
      <c r="R21" s="91"/>
      <c r="S21" s="91"/>
      <c r="T21" s="91"/>
      <c r="U21" s="101"/>
    </row>
    <row r="22" spans="1:21">
      <c r="A22" s="107">
        <f>'DATA SISWA'!A19</f>
        <v>15</v>
      </c>
      <c r="B22" s="107" t="str">
        <f>'DATA SISWA'!B19</f>
        <v>`012</v>
      </c>
      <c r="C22" s="116" t="str">
        <f>'DATA SISWA'!C19</f>
        <v>Ningsih Rahmawati</v>
      </c>
      <c r="D22" s="107" t="str">
        <f>'DATA SISWA'!D19</f>
        <v>P</v>
      </c>
      <c r="E22" s="107" t="str">
        <f>'DATA SISWA'!E19</f>
        <v>VII</v>
      </c>
      <c r="F22" s="91"/>
      <c r="G22" s="91"/>
      <c r="H22" s="91"/>
      <c r="I22" s="101"/>
      <c r="J22" s="91"/>
      <c r="K22" s="91"/>
      <c r="L22" s="91"/>
      <c r="M22" s="101"/>
      <c r="N22" s="91"/>
      <c r="O22" s="91"/>
      <c r="P22" s="91"/>
      <c r="Q22" s="101"/>
      <c r="R22" s="91"/>
      <c r="S22" s="91"/>
      <c r="T22" s="91"/>
      <c r="U22" s="101"/>
    </row>
    <row r="23" spans="1:21">
      <c r="A23" s="107">
        <f>'DATA SISWA'!A20</f>
        <v>16</v>
      </c>
      <c r="B23" s="107" t="str">
        <f>'DATA SISWA'!B20</f>
        <v>`007</v>
      </c>
      <c r="C23" s="116" t="str">
        <f>'DATA SISWA'!C20</f>
        <v>Nurhayati</v>
      </c>
      <c r="D23" s="107" t="str">
        <f>'DATA SISWA'!D20</f>
        <v>P</v>
      </c>
      <c r="E23" s="107" t="str">
        <f>'DATA SISWA'!E20</f>
        <v>VII</v>
      </c>
      <c r="F23" s="91"/>
      <c r="G23" s="91"/>
      <c r="H23" s="91"/>
      <c r="I23" s="101"/>
      <c r="J23" s="91"/>
      <c r="K23" s="91"/>
      <c r="L23" s="91"/>
      <c r="M23" s="101"/>
      <c r="N23" s="91"/>
      <c r="O23" s="91"/>
      <c r="P23" s="91"/>
      <c r="Q23" s="101"/>
      <c r="R23" s="91"/>
      <c r="S23" s="91"/>
      <c r="T23" s="91"/>
      <c r="U23" s="101"/>
    </row>
    <row r="24" spans="1:21">
      <c r="A24" s="107">
        <f>'DATA SISWA'!A21</f>
        <v>17</v>
      </c>
      <c r="B24" s="107" t="str">
        <f>'DATA SISWA'!B21</f>
        <v>`004</v>
      </c>
      <c r="C24" s="116" t="str">
        <f>'DATA SISWA'!C21</f>
        <v>Nur Aini</v>
      </c>
      <c r="D24" s="107" t="str">
        <f>'DATA SISWA'!D21</f>
        <v>P</v>
      </c>
      <c r="E24" s="107" t="str">
        <f>'DATA SISWA'!E21</f>
        <v>VII</v>
      </c>
      <c r="F24" s="91"/>
      <c r="G24" s="91"/>
      <c r="H24" s="91"/>
      <c r="I24" s="101"/>
      <c r="J24" s="91"/>
      <c r="K24" s="91"/>
      <c r="L24" s="91"/>
      <c r="M24" s="101"/>
      <c r="N24" s="91"/>
      <c r="O24" s="91"/>
      <c r="P24" s="91"/>
      <c r="Q24" s="101"/>
      <c r="R24" s="91"/>
      <c r="S24" s="91"/>
      <c r="T24" s="91"/>
      <c r="U24" s="101"/>
    </row>
    <row r="25" spans="1:21">
      <c r="A25" s="107">
        <f>'DATA SISWA'!A22</f>
        <v>18</v>
      </c>
      <c r="B25" s="107" t="str">
        <f>'DATA SISWA'!B22</f>
        <v>`001</v>
      </c>
      <c r="C25" s="116" t="str">
        <f>'DATA SISWA'!C22</f>
        <v>Rofiah</v>
      </c>
      <c r="D25" s="107" t="str">
        <f>'DATA SISWA'!D22</f>
        <v>P</v>
      </c>
      <c r="E25" s="107" t="str">
        <f>'DATA SISWA'!E22</f>
        <v>VII</v>
      </c>
      <c r="F25" s="91"/>
      <c r="G25" s="91"/>
      <c r="H25" s="91"/>
      <c r="I25" s="101"/>
      <c r="J25" s="91"/>
      <c r="K25" s="91"/>
      <c r="L25" s="91"/>
      <c r="M25" s="101"/>
      <c r="N25" s="91"/>
      <c r="O25" s="91"/>
      <c r="P25" s="91"/>
      <c r="Q25" s="101"/>
      <c r="R25" s="91"/>
      <c r="S25" s="91"/>
      <c r="T25" s="91"/>
      <c r="U25" s="101"/>
    </row>
    <row r="26" spans="1:21">
      <c r="A26" s="107">
        <f>'DATA SISWA'!A23</f>
        <v>19</v>
      </c>
      <c r="B26" s="107" t="str">
        <f>'DATA SISWA'!B23</f>
        <v>`015</v>
      </c>
      <c r="C26" s="116" t="str">
        <f>'DATA SISWA'!C23</f>
        <v>Romliadi</v>
      </c>
      <c r="D26" s="107" t="str">
        <f>'DATA SISWA'!D23</f>
        <v>L</v>
      </c>
      <c r="E26" s="107" t="str">
        <f>'DATA SISWA'!E23</f>
        <v>VII</v>
      </c>
      <c r="F26" s="91"/>
      <c r="G26" s="91"/>
      <c r="H26" s="91"/>
      <c r="I26" s="101"/>
      <c r="J26" s="91"/>
      <c r="K26" s="91"/>
      <c r="L26" s="91"/>
      <c r="M26" s="101"/>
      <c r="N26" s="91"/>
      <c r="O26" s="91"/>
      <c r="P26" s="91"/>
      <c r="Q26" s="101"/>
      <c r="R26" s="91"/>
      <c r="S26" s="91"/>
      <c r="T26" s="91"/>
      <c r="U26" s="101"/>
    </row>
    <row r="27" spans="1:21">
      <c r="A27" s="107">
        <f>'DATA SISWA'!A24</f>
        <v>20</v>
      </c>
      <c r="B27" s="107" t="str">
        <f>'DATA SISWA'!B24</f>
        <v>`019</v>
      </c>
      <c r="C27" s="116" t="str">
        <f>'DATA SISWA'!C24</f>
        <v>Tammimah</v>
      </c>
      <c r="D27" s="107" t="str">
        <f>'DATA SISWA'!D24</f>
        <v>P</v>
      </c>
      <c r="E27" s="107" t="str">
        <f>'DATA SISWA'!E24</f>
        <v>VII</v>
      </c>
      <c r="F27" s="91"/>
      <c r="G27" s="91"/>
      <c r="H27" s="91"/>
      <c r="I27" s="101"/>
      <c r="J27" s="91"/>
      <c r="K27" s="91"/>
      <c r="L27" s="91"/>
      <c r="M27" s="101"/>
      <c r="N27" s="91"/>
      <c r="O27" s="91"/>
      <c r="P27" s="91"/>
      <c r="Q27" s="101"/>
      <c r="R27" s="91"/>
      <c r="S27" s="91"/>
      <c r="T27" s="91"/>
      <c r="U27" s="101"/>
    </row>
    <row r="28" spans="1:21">
      <c r="A28" s="107">
        <f>'DATA SISWA'!A25</f>
        <v>0</v>
      </c>
      <c r="B28" s="107">
        <f>'DATA SISWA'!B25</f>
        <v>0</v>
      </c>
      <c r="C28" s="116">
        <f>'DATA SISWA'!C25</f>
        <v>0</v>
      </c>
      <c r="D28" s="107">
        <f>'DATA SISWA'!D25</f>
        <v>0</v>
      </c>
      <c r="E28" s="107" t="str">
        <f>'DATA SISWA'!E25</f>
        <v>VII</v>
      </c>
      <c r="F28" s="91"/>
      <c r="G28" s="91"/>
      <c r="H28" s="91"/>
      <c r="I28" s="101"/>
      <c r="J28" s="91"/>
      <c r="K28" s="91"/>
      <c r="L28" s="91"/>
      <c r="M28" s="101"/>
      <c r="N28" s="91"/>
      <c r="O28" s="91"/>
      <c r="P28" s="91"/>
      <c r="Q28" s="101"/>
      <c r="R28" s="91"/>
      <c r="S28" s="91"/>
      <c r="T28" s="91"/>
      <c r="U28" s="101"/>
    </row>
    <row r="29" spans="1:21">
      <c r="A29" s="107">
        <f>'DATA SISWA'!A26</f>
        <v>0</v>
      </c>
      <c r="B29" s="107">
        <f>'DATA SISWA'!B26</f>
        <v>0</v>
      </c>
      <c r="C29" s="116">
        <f>'DATA SISWA'!C26</f>
        <v>0</v>
      </c>
      <c r="D29" s="107">
        <f>'DATA SISWA'!D26</f>
        <v>0</v>
      </c>
      <c r="E29" s="107" t="str">
        <f>'DATA SISWA'!E26</f>
        <v>VII</v>
      </c>
      <c r="F29" s="91"/>
      <c r="G29" s="91"/>
      <c r="H29" s="91"/>
      <c r="I29" s="101"/>
      <c r="J29" s="91"/>
      <c r="K29" s="91"/>
      <c r="L29" s="91"/>
      <c r="M29" s="101"/>
      <c r="N29" s="91"/>
      <c r="O29" s="91"/>
      <c r="P29" s="91"/>
      <c r="Q29" s="101"/>
      <c r="R29" s="91"/>
      <c r="S29" s="91"/>
      <c r="T29" s="91"/>
      <c r="U29" s="101"/>
    </row>
    <row r="30" spans="1:21">
      <c r="A30" s="107">
        <f>'DATA SISWA'!A27</f>
        <v>0</v>
      </c>
      <c r="B30" s="107">
        <f>'DATA SISWA'!B27</f>
        <v>0</v>
      </c>
      <c r="C30" s="116">
        <f>'DATA SISWA'!C27</f>
        <v>0</v>
      </c>
      <c r="D30" s="107">
        <f>'DATA SISWA'!D27</f>
        <v>0</v>
      </c>
      <c r="E30" s="107" t="str">
        <f>'DATA SISWA'!E27</f>
        <v>VII</v>
      </c>
      <c r="F30" s="91"/>
      <c r="G30" s="91"/>
      <c r="H30" s="91"/>
      <c r="I30" s="101"/>
      <c r="J30" s="91"/>
      <c r="K30" s="91"/>
      <c r="L30" s="91"/>
      <c r="M30" s="101"/>
      <c r="N30" s="91"/>
      <c r="O30" s="91"/>
      <c r="P30" s="91"/>
      <c r="Q30" s="101"/>
      <c r="R30" s="91"/>
      <c r="S30" s="91"/>
      <c r="T30" s="91"/>
      <c r="U30" s="101"/>
    </row>
    <row r="31" spans="1:21">
      <c r="A31" s="107">
        <f>'DATA SISWA'!A28</f>
        <v>0</v>
      </c>
      <c r="B31" s="107">
        <f>'DATA SISWA'!B28</f>
        <v>0</v>
      </c>
      <c r="C31" s="116">
        <f>'DATA SISWA'!C28</f>
        <v>0</v>
      </c>
      <c r="D31" s="107">
        <f>'DATA SISWA'!D28</f>
        <v>0</v>
      </c>
      <c r="E31" s="107" t="str">
        <f>'DATA SISWA'!E28</f>
        <v>VII</v>
      </c>
      <c r="F31" s="91"/>
      <c r="G31" s="91"/>
      <c r="H31" s="91"/>
      <c r="I31" s="101"/>
      <c r="J31" s="91"/>
      <c r="K31" s="91"/>
      <c r="L31" s="91"/>
      <c r="M31" s="101"/>
      <c r="N31" s="91"/>
      <c r="O31" s="91"/>
      <c r="P31" s="91"/>
      <c r="Q31" s="101"/>
      <c r="R31" s="91"/>
      <c r="S31" s="91"/>
      <c r="T31" s="91"/>
      <c r="U31" s="101"/>
    </row>
    <row r="32" spans="1:21">
      <c r="A32" s="107">
        <f>'DATA SISWA'!A29</f>
        <v>0</v>
      </c>
      <c r="B32" s="107">
        <f>'DATA SISWA'!B29</f>
        <v>0</v>
      </c>
      <c r="C32" s="116">
        <f>'DATA SISWA'!C29</f>
        <v>0</v>
      </c>
      <c r="D32" s="107">
        <f>'DATA SISWA'!D29</f>
        <v>0</v>
      </c>
      <c r="E32" s="107" t="str">
        <f>'DATA SISWA'!E29</f>
        <v>VII</v>
      </c>
      <c r="F32" s="91"/>
      <c r="G32" s="91"/>
      <c r="H32" s="91"/>
      <c r="I32" s="101"/>
      <c r="J32" s="91"/>
      <c r="K32" s="91"/>
      <c r="L32" s="91"/>
      <c r="M32" s="101"/>
      <c r="N32" s="91"/>
      <c r="O32" s="91"/>
      <c r="P32" s="91"/>
      <c r="Q32" s="101"/>
      <c r="R32" s="91"/>
      <c r="S32" s="91"/>
      <c r="T32" s="91"/>
      <c r="U32" s="101"/>
    </row>
    <row r="33" spans="1:21">
      <c r="A33" s="107">
        <f>'DATA SISWA'!A30</f>
        <v>0</v>
      </c>
      <c r="B33" s="107">
        <f>'DATA SISWA'!B30</f>
        <v>0</v>
      </c>
      <c r="C33" s="116">
        <f>'DATA SISWA'!C30</f>
        <v>0</v>
      </c>
      <c r="D33" s="107">
        <f>'DATA SISWA'!D30</f>
        <v>0</v>
      </c>
      <c r="E33" s="107" t="str">
        <f>'DATA SISWA'!E30</f>
        <v>VII</v>
      </c>
      <c r="F33" s="91"/>
      <c r="G33" s="91"/>
      <c r="H33" s="91"/>
      <c r="I33" s="101"/>
      <c r="J33" s="91"/>
      <c r="K33" s="91"/>
      <c r="L33" s="91"/>
      <c r="M33" s="101"/>
      <c r="N33" s="91"/>
      <c r="O33" s="91"/>
      <c r="P33" s="91"/>
      <c r="Q33" s="101"/>
      <c r="R33" s="91"/>
      <c r="S33" s="91"/>
      <c r="T33" s="91"/>
      <c r="U33" s="101"/>
    </row>
    <row r="34" spans="1:21">
      <c r="A34" s="107">
        <f>'DATA SISWA'!A31</f>
        <v>0</v>
      </c>
      <c r="B34" s="107">
        <f>'DATA SISWA'!B31</f>
        <v>0</v>
      </c>
      <c r="C34" s="116">
        <f>'DATA SISWA'!C31</f>
        <v>0</v>
      </c>
      <c r="D34" s="107">
        <f>'DATA SISWA'!D31</f>
        <v>0</v>
      </c>
      <c r="E34" s="107" t="str">
        <f>'DATA SISWA'!E31</f>
        <v>VII</v>
      </c>
      <c r="F34" s="91"/>
      <c r="G34" s="91"/>
      <c r="H34" s="91"/>
      <c r="I34" s="101"/>
      <c r="J34" s="91"/>
      <c r="K34" s="91"/>
      <c r="L34" s="91"/>
      <c r="M34" s="101"/>
      <c r="N34" s="91"/>
      <c r="O34" s="91"/>
      <c r="P34" s="91"/>
      <c r="Q34" s="101"/>
      <c r="R34" s="91"/>
      <c r="S34" s="91"/>
      <c r="T34" s="91"/>
      <c r="U34" s="101"/>
    </row>
    <row r="35" spans="1:21">
      <c r="A35" s="107">
        <f>'DATA SISWA'!A32</f>
        <v>0</v>
      </c>
      <c r="B35" s="107">
        <f>'DATA SISWA'!B32</f>
        <v>0</v>
      </c>
      <c r="C35" s="116">
        <f>'DATA SISWA'!C32</f>
        <v>0</v>
      </c>
      <c r="D35" s="107">
        <f>'DATA SISWA'!D32</f>
        <v>0</v>
      </c>
      <c r="E35" s="107" t="str">
        <f>'DATA SISWA'!E32</f>
        <v>VII</v>
      </c>
      <c r="F35" s="91"/>
      <c r="G35" s="91"/>
      <c r="H35" s="91"/>
      <c r="I35" s="101"/>
      <c r="J35" s="91"/>
      <c r="K35" s="91"/>
      <c r="L35" s="91"/>
      <c r="M35" s="101"/>
      <c r="N35" s="91"/>
      <c r="O35" s="91"/>
      <c r="P35" s="91"/>
      <c r="Q35" s="101"/>
      <c r="R35" s="91"/>
      <c r="S35" s="91"/>
      <c r="T35" s="91"/>
      <c r="U35" s="101"/>
    </row>
    <row r="36" spans="1:21">
      <c r="A36" s="107">
        <f>'DATA SISWA'!A33</f>
        <v>0</v>
      </c>
      <c r="B36" s="107">
        <f>'DATA SISWA'!B33</f>
        <v>0</v>
      </c>
      <c r="C36" s="116">
        <f>'DATA SISWA'!C33</f>
        <v>0</v>
      </c>
      <c r="D36" s="107">
        <f>'DATA SISWA'!D33</f>
        <v>0</v>
      </c>
      <c r="E36" s="107" t="str">
        <f>'DATA SISWA'!E33</f>
        <v>VII</v>
      </c>
      <c r="F36" s="91"/>
      <c r="G36" s="91"/>
      <c r="H36" s="91"/>
      <c r="I36" s="101"/>
      <c r="J36" s="91"/>
      <c r="K36" s="91"/>
      <c r="L36" s="91"/>
      <c r="M36" s="101"/>
      <c r="N36" s="91"/>
      <c r="O36" s="91"/>
      <c r="P36" s="91"/>
      <c r="Q36" s="101"/>
      <c r="R36" s="91"/>
      <c r="S36" s="91"/>
      <c r="T36" s="91"/>
      <c r="U36" s="101"/>
    </row>
    <row r="37" spans="1:21">
      <c r="A37" s="107">
        <f>'DATA SISWA'!A34</f>
        <v>0</v>
      </c>
      <c r="B37" s="107">
        <f>'DATA SISWA'!B34</f>
        <v>0</v>
      </c>
      <c r="C37" s="116">
        <f>'DATA SISWA'!C34</f>
        <v>0</v>
      </c>
      <c r="D37" s="107">
        <f>'DATA SISWA'!D34</f>
        <v>0</v>
      </c>
      <c r="E37" s="107" t="str">
        <f>'DATA SISWA'!E34</f>
        <v>VII</v>
      </c>
      <c r="F37" s="91"/>
      <c r="G37" s="91"/>
      <c r="H37" s="91"/>
      <c r="I37" s="101"/>
      <c r="J37" s="91"/>
      <c r="K37" s="91"/>
      <c r="L37" s="91"/>
      <c r="M37" s="101"/>
      <c r="N37" s="91"/>
      <c r="O37" s="91"/>
      <c r="P37" s="91"/>
      <c r="Q37" s="101"/>
      <c r="R37" s="91"/>
      <c r="S37" s="91"/>
      <c r="T37" s="91"/>
      <c r="U37" s="101"/>
    </row>
    <row r="38" spans="1:21">
      <c r="A38" s="107">
        <f>'DATA SISWA'!A35</f>
        <v>0</v>
      </c>
      <c r="B38" s="107">
        <f>'DATA SISWA'!B35</f>
        <v>0</v>
      </c>
      <c r="C38" s="116">
        <f>'DATA SISWA'!C35</f>
        <v>0</v>
      </c>
      <c r="D38" s="107">
        <f>'DATA SISWA'!D35</f>
        <v>0</v>
      </c>
      <c r="E38" s="107" t="str">
        <f>'DATA SISWA'!E35</f>
        <v>VII</v>
      </c>
      <c r="F38" s="91"/>
      <c r="G38" s="91"/>
      <c r="H38" s="91"/>
      <c r="I38" s="101"/>
      <c r="J38" s="91"/>
      <c r="K38" s="91"/>
      <c r="L38" s="91"/>
      <c r="M38" s="101"/>
      <c r="N38" s="91"/>
      <c r="O38" s="91"/>
      <c r="P38" s="91"/>
      <c r="Q38" s="101"/>
      <c r="R38" s="91"/>
      <c r="S38" s="91"/>
      <c r="T38" s="91"/>
      <c r="U38" s="101"/>
    </row>
    <row r="39" spans="1:21">
      <c r="A39" s="107">
        <f>'DATA SISWA'!A36</f>
        <v>0</v>
      </c>
      <c r="B39" s="107">
        <f>'DATA SISWA'!B36</f>
        <v>0</v>
      </c>
      <c r="C39" s="116">
        <f>'DATA SISWA'!C36</f>
        <v>0</v>
      </c>
      <c r="D39" s="107">
        <f>'DATA SISWA'!D36</f>
        <v>0</v>
      </c>
      <c r="E39" s="107" t="str">
        <f>'DATA SISWA'!E36</f>
        <v>VII</v>
      </c>
      <c r="F39" s="91"/>
      <c r="G39" s="91"/>
      <c r="H39" s="91"/>
      <c r="I39" s="101"/>
      <c r="J39" s="91"/>
      <c r="K39" s="91"/>
      <c r="L39" s="91"/>
      <c r="M39" s="101"/>
      <c r="N39" s="91"/>
      <c r="O39" s="91"/>
      <c r="P39" s="91"/>
      <c r="Q39" s="101"/>
      <c r="R39" s="91"/>
      <c r="S39" s="91"/>
      <c r="T39" s="91"/>
      <c r="U39" s="101"/>
    </row>
    <row r="40" spans="1:21">
      <c r="A40" s="107">
        <f>'DATA SISWA'!A37</f>
        <v>0</v>
      </c>
      <c r="B40" s="107">
        <f>'DATA SISWA'!B37</f>
        <v>0</v>
      </c>
      <c r="C40" s="116">
        <f>'DATA SISWA'!C37</f>
        <v>0</v>
      </c>
      <c r="D40" s="107">
        <f>'DATA SISWA'!D37</f>
        <v>0</v>
      </c>
      <c r="E40" s="107" t="str">
        <f>'DATA SISWA'!E37</f>
        <v>VII</v>
      </c>
      <c r="F40" s="91"/>
      <c r="G40" s="91"/>
      <c r="H40" s="91"/>
      <c r="I40" s="101"/>
      <c r="J40" s="91"/>
      <c r="K40" s="91"/>
      <c r="L40" s="91"/>
      <c r="M40" s="101"/>
      <c r="N40" s="91"/>
      <c r="O40" s="91"/>
      <c r="P40" s="91"/>
      <c r="Q40" s="101"/>
      <c r="R40" s="91"/>
      <c r="S40" s="91"/>
      <c r="T40" s="91"/>
      <c r="U40" s="101"/>
    </row>
    <row r="41" spans="1:21">
      <c r="A41" s="107">
        <f>'DATA SISWA'!A38</f>
        <v>0</v>
      </c>
      <c r="B41" s="107">
        <f>'DATA SISWA'!B38</f>
        <v>0</v>
      </c>
      <c r="C41" s="116">
        <f>'DATA SISWA'!C38</f>
        <v>0</v>
      </c>
      <c r="D41" s="107">
        <f>'DATA SISWA'!D38</f>
        <v>0</v>
      </c>
      <c r="E41" s="107" t="str">
        <f>'DATA SISWA'!E38</f>
        <v>VII</v>
      </c>
      <c r="F41" s="91"/>
      <c r="G41" s="91"/>
      <c r="H41" s="91"/>
      <c r="I41" s="101"/>
      <c r="J41" s="91"/>
      <c r="K41" s="91"/>
      <c r="L41" s="91"/>
      <c r="M41" s="101"/>
      <c r="N41" s="91"/>
      <c r="O41" s="91"/>
      <c r="P41" s="91"/>
      <c r="Q41" s="101"/>
      <c r="R41" s="91"/>
      <c r="S41" s="91"/>
      <c r="T41" s="91"/>
      <c r="U41" s="101"/>
    </row>
    <row r="42" spans="1:21">
      <c r="A42" s="107">
        <f>'DATA SISWA'!A39</f>
        <v>0</v>
      </c>
      <c r="B42" s="107">
        <f>'DATA SISWA'!B39</f>
        <v>0</v>
      </c>
      <c r="C42" s="116">
        <f>'DATA SISWA'!C39</f>
        <v>0</v>
      </c>
      <c r="D42" s="107">
        <f>'DATA SISWA'!D39</f>
        <v>0</v>
      </c>
      <c r="E42" s="107" t="str">
        <f>'DATA SISWA'!E39</f>
        <v>VII</v>
      </c>
      <c r="F42" s="91"/>
      <c r="G42" s="91"/>
      <c r="H42" s="91"/>
      <c r="I42" s="101"/>
      <c r="J42" s="91"/>
      <c r="K42" s="91"/>
      <c r="L42" s="91"/>
      <c r="M42" s="101"/>
      <c r="N42" s="91"/>
      <c r="O42" s="91"/>
      <c r="P42" s="91"/>
      <c r="Q42" s="101"/>
      <c r="R42" s="91"/>
      <c r="S42" s="91"/>
      <c r="T42" s="91"/>
      <c r="U42" s="101"/>
    </row>
    <row r="43" spans="1:21">
      <c r="A43" s="107">
        <f>'DATA SISWA'!A40</f>
        <v>0</v>
      </c>
      <c r="B43" s="107">
        <f>'DATA SISWA'!B40</f>
        <v>0</v>
      </c>
      <c r="C43" s="116">
        <f>'DATA SISWA'!C40</f>
        <v>0</v>
      </c>
      <c r="D43" s="107">
        <f>'DATA SISWA'!D40</f>
        <v>0</v>
      </c>
      <c r="E43" s="107" t="str">
        <f>'DATA SISWA'!E40</f>
        <v>VII</v>
      </c>
      <c r="F43" s="91"/>
      <c r="G43" s="91"/>
      <c r="H43" s="91"/>
      <c r="I43" s="101"/>
      <c r="J43" s="91"/>
      <c r="K43" s="91"/>
      <c r="L43" s="91"/>
      <c r="M43" s="101"/>
      <c r="N43" s="91"/>
      <c r="O43" s="91"/>
      <c r="P43" s="91"/>
      <c r="Q43" s="101"/>
      <c r="R43" s="91"/>
      <c r="S43" s="91"/>
      <c r="T43" s="91"/>
      <c r="U43" s="101"/>
    </row>
    <row r="44" spans="1:21">
      <c r="A44" s="107">
        <f>'DATA SISWA'!A41</f>
        <v>0</v>
      </c>
      <c r="B44" s="107">
        <f>'DATA SISWA'!B41</f>
        <v>0</v>
      </c>
      <c r="C44" s="116">
        <f>'DATA SISWA'!C41</f>
        <v>0</v>
      </c>
      <c r="D44" s="107">
        <f>'DATA SISWA'!D41</f>
        <v>0</v>
      </c>
      <c r="E44" s="107" t="str">
        <f>'DATA SISWA'!E41</f>
        <v>VII</v>
      </c>
      <c r="F44" s="91"/>
      <c r="G44" s="91"/>
      <c r="H44" s="91"/>
      <c r="I44" s="101"/>
      <c r="J44" s="91"/>
      <c r="K44" s="91"/>
      <c r="L44" s="91"/>
      <c r="M44" s="101"/>
      <c r="N44" s="91"/>
      <c r="O44" s="91"/>
      <c r="P44" s="91"/>
      <c r="Q44" s="101"/>
      <c r="R44" s="91"/>
      <c r="S44" s="91"/>
      <c r="T44" s="91"/>
      <c r="U44" s="101"/>
    </row>
    <row r="45" spans="1:21">
      <c r="A45" s="107">
        <f>'DATA SISWA'!A42</f>
        <v>0</v>
      </c>
      <c r="B45" s="107">
        <f>'DATA SISWA'!B42</f>
        <v>0</v>
      </c>
      <c r="C45" s="116">
        <f>'DATA SISWA'!C42</f>
        <v>0</v>
      </c>
      <c r="D45" s="107">
        <f>'DATA SISWA'!D42</f>
        <v>0</v>
      </c>
      <c r="E45" s="107" t="str">
        <f>'DATA SISWA'!E42</f>
        <v>VII</v>
      </c>
      <c r="F45" s="91"/>
      <c r="G45" s="91"/>
      <c r="H45" s="91"/>
      <c r="I45" s="101"/>
      <c r="J45" s="91"/>
      <c r="K45" s="91"/>
      <c r="L45" s="91"/>
      <c r="M45" s="101"/>
      <c r="N45" s="91"/>
      <c r="O45" s="91"/>
      <c r="P45" s="91"/>
      <c r="Q45" s="101"/>
      <c r="R45" s="91"/>
      <c r="S45" s="91"/>
      <c r="T45" s="91"/>
      <c r="U45" s="101"/>
    </row>
    <row r="46" spans="1:21">
      <c r="A46" s="107">
        <f>'DATA SISWA'!A43</f>
        <v>0</v>
      </c>
      <c r="B46" s="107">
        <f>'DATA SISWA'!B43</f>
        <v>0</v>
      </c>
      <c r="C46" s="116">
        <f>'DATA SISWA'!C43</f>
        <v>0</v>
      </c>
      <c r="D46" s="107">
        <f>'DATA SISWA'!D43</f>
        <v>0</v>
      </c>
      <c r="E46" s="107" t="str">
        <f>'DATA SISWA'!E43</f>
        <v>VII</v>
      </c>
      <c r="F46" s="91"/>
      <c r="G46" s="91"/>
      <c r="H46" s="91"/>
      <c r="I46" s="101"/>
      <c r="J46" s="91"/>
      <c r="K46" s="91"/>
      <c r="L46" s="91"/>
      <c r="M46" s="101"/>
      <c r="N46" s="91"/>
      <c r="O46" s="91"/>
      <c r="P46" s="91"/>
      <c r="Q46" s="101"/>
      <c r="R46" s="91"/>
      <c r="S46" s="91"/>
      <c r="T46" s="91"/>
      <c r="U46" s="101"/>
    </row>
    <row r="47" spans="1:21">
      <c r="A47" s="107">
        <f>'DATA SISWA'!A44</f>
        <v>0</v>
      </c>
      <c r="B47" s="107">
        <f>'DATA SISWA'!B44</f>
        <v>0</v>
      </c>
      <c r="C47" s="116">
        <f>'DATA SISWA'!C44</f>
        <v>0</v>
      </c>
      <c r="D47" s="107">
        <f>'DATA SISWA'!D44</f>
        <v>0</v>
      </c>
      <c r="E47" s="107" t="str">
        <f>'DATA SISWA'!E44</f>
        <v>VII</v>
      </c>
      <c r="F47" s="91"/>
      <c r="G47" s="91"/>
      <c r="H47" s="91"/>
      <c r="I47" s="101"/>
      <c r="J47" s="91"/>
      <c r="K47" s="91"/>
      <c r="L47" s="91"/>
      <c r="M47" s="101"/>
      <c r="N47" s="91"/>
      <c r="O47" s="91"/>
      <c r="P47" s="91"/>
      <c r="Q47" s="101"/>
      <c r="R47" s="91"/>
      <c r="S47" s="91"/>
      <c r="T47" s="91"/>
      <c r="U47" s="101"/>
    </row>
    <row r="48" spans="1:21">
      <c r="A48" s="107">
        <f>'DATA SISWA'!A45</f>
        <v>0</v>
      </c>
      <c r="B48" s="107">
        <f>'DATA SISWA'!B45</f>
        <v>0</v>
      </c>
      <c r="C48" s="116">
        <f>'DATA SISWA'!C45</f>
        <v>0</v>
      </c>
      <c r="D48" s="107">
        <f>'DATA SISWA'!D45</f>
        <v>0</v>
      </c>
      <c r="E48" s="107" t="str">
        <f>'DATA SISWA'!E45</f>
        <v>VII</v>
      </c>
      <c r="F48" s="91"/>
      <c r="G48" s="91"/>
      <c r="H48" s="91"/>
      <c r="I48" s="101"/>
      <c r="J48" s="91"/>
      <c r="K48" s="91"/>
      <c r="L48" s="91"/>
      <c r="M48" s="101"/>
      <c r="N48" s="91"/>
      <c r="O48" s="91"/>
      <c r="P48" s="91"/>
      <c r="Q48" s="101"/>
      <c r="R48" s="91"/>
      <c r="S48" s="91"/>
      <c r="T48" s="91"/>
      <c r="U48" s="101"/>
    </row>
    <row r="49" spans="1:21">
      <c r="A49" s="107">
        <f>'DATA SISWA'!A46</f>
        <v>0</v>
      </c>
      <c r="B49" s="107">
        <f>'DATA SISWA'!B46</f>
        <v>0</v>
      </c>
      <c r="C49" s="116">
        <f>'DATA SISWA'!C46</f>
        <v>0</v>
      </c>
      <c r="D49" s="107">
        <f>'DATA SISWA'!D46</f>
        <v>0</v>
      </c>
      <c r="E49" s="107" t="str">
        <f>'DATA SISWA'!E46</f>
        <v>VII</v>
      </c>
      <c r="F49" s="91"/>
      <c r="G49" s="91"/>
      <c r="H49" s="91"/>
      <c r="I49" s="101"/>
      <c r="J49" s="91"/>
      <c r="K49" s="91"/>
      <c r="L49" s="91"/>
      <c r="M49" s="101"/>
      <c r="N49" s="91"/>
      <c r="O49" s="91"/>
      <c r="P49" s="91"/>
      <c r="Q49" s="101"/>
      <c r="R49" s="91"/>
      <c r="S49" s="91"/>
      <c r="T49" s="91"/>
      <c r="U49" s="101"/>
    </row>
    <row r="50" spans="1:21">
      <c r="A50" s="107">
        <f>'DATA SISWA'!A47</f>
        <v>0</v>
      </c>
      <c r="B50" s="107">
        <f>'DATA SISWA'!B47</f>
        <v>0</v>
      </c>
      <c r="C50" s="116">
        <f>'DATA SISWA'!C47</f>
        <v>0</v>
      </c>
      <c r="D50" s="107">
        <f>'DATA SISWA'!D47</f>
        <v>0</v>
      </c>
      <c r="E50" s="107" t="str">
        <f>'DATA SISWA'!E47</f>
        <v>VII</v>
      </c>
      <c r="F50" s="91"/>
      <c r="G50" s="91"/>
      <c r="H50" s="91"/>
      <c r="I50" s="101"/>
      <c r="J50" s="91"/>
      <c r="K50" s="91"/>
      <c r="L50" s="91"/>
      <c r="M50" s="101"/>
      <c r="N50" s="91"/>
      <c r="O50" s="91"/>
      <c r="P50" s="91"/>
      <c r="Q50" s="101"/>
      <c r="R50" s="91"/>
      <c r="S50" s="91"/>
      <c r="T50" s="91"/>
      <c r="U50" s="101"/>
    </row>
    <row r="51" spans="1:21">
      <c r="A51" s="107">
        <f>'DATA SISWA'!A48</f>
        <v>0</v>
      </c>
      <c r="B51" s="107">
        <f>'DATA SISWA'!B48</f>
        <v>0</v>
      </c>
      <c r="C51" s="116">
        <f>'DATA SISWA'!C48</f>
        <v>0</v>
      </c>
      <c r="D51" s="107">
        <f>'DATA SISWA'!D48</f>
        <v>0</v>
      </c>
      <c r="E51" s="107" t="str">
        <f>'DATA SISWA'!E48</f>
        <v>VII</v>
      </c>
      <c r="F51" s="91"/>
      <c r="G51" s="91"/>
      <c r="H51" s="91"/>
      <c r="I51" s="101"/>
      <c r="J51" s="91"/>
      <c r="K51" s="91"/>
      <c r="L51" s="91"/>
      <c r="M51" s="101"/>
      <c r="N51" s="91"/>
      <c r="O51" s="91"/>
      <c r="P51" s="91"/>
      <c r="Q51" s="101"/>
      <c r="R51" s="91"/>
      <c r="S51" s="91"/>
      <c r="T51" s="91"/>
      <c r="U51" s="101"/>
    </row>
    <row r="52" spans="1:21">
      <c r="A52" s="107">
        <f>'DATA SISWA'!A49</f>
        <v>0</v>
      </c>
      <c r="B52" s="107">
        <f>'DATA SISWA'!B49</f>
        <v>0</v>
      </c>
      <c r="C52" s="116">
        <f>'DATA SISWA'!C49</f>
        <v>0</v>
      </c>
      <c r="D52" s="107">
        <f>'DATA SISWA'!D49</f>
        <v>0</v>
      </c>
      <c r="E52" s="107" t="str">
        <f>'DATA SISWA'!E49</f>
        <v>VII</v>
      </c>
      <c r="F52" s="91"/>
      <c r="G52" s="91"/>
      <c r="H52" s="91"/>
      <c r="I52" s="101"/>
      <c r="J52" s="91"/>
      <c r="K52" s="91"/>
      <c r="L52" s="91"/>
      <c r="M52" s="101"/>
      <c r="N52" s="91"/>
      <c r="O52" s="91"/>
      <c r="P52" s="91"/>
      <c r="Q52" s="101"/>
      <c r="R52" s="91"/>
      <c r="S52" s="91"/>
      <c r="T52" s="91"/>
      <c r="U52" s="101"/>
    </row>
    <row r="53" spans="1:21">
      <c r="A53" s="107">
        <f>'DATA SISWA'!A50</f>
        <v>0</v>
      </c>
      <c r="B53" s="107">
        <f>'DATA SISWA'!B50</f>
        <v>0</v>
      </c>
      <c r="C53" s="116">
        <f>'DATA SISWA'!C50</f>
        <v>0</v>
      </c>
      <c r="D53" s="107">
        <f>'DATA SISWA'!D50</f>
        <v>0</v>
      </c>
      <c r="E53" s="107" t="str">
        <f>'DATA SISWA'!E50</f>
        <v>VII</v>
      </c>
      <c r="F53" s="91"/>
      <c r="G53" s="91"/>
      <c r="H53" s="91"/>
      <c r="I53" s="101"/>
      <c r="J53" s="91"/>
      <c r="K53" s="91"/>
      <c r="L53" s="91"/>
      <c r="M53" s="101"/>
      <c r="N53" s="91"/>
      <c r="O53" s="91"/>
      <c r="P53" s="91"/>
      <c r="Q53" s="101"/>
      <c r="R53" s="91"/>
      <c r="S53" s="91"/>
      <c r="T53" s="91"/>
      <c r="U53" s="101"/>
    </row>
    <row r="54" spans="1:21">
      <c r="A54" s="107">
        <f>'DATA SISWA'!A51</f>
        <v>0</v>
      </c>
      <c r="B54" s="107">
        <f>'DATA SISWA'!B51</f>
        <v>0</v>
      </c>
      <c r="C54" s="116">
        <f>'DATA SISWA'!C51</f>
        <v>0</v>
      </c>
      <c r="D54" s="107">
        <f>'DATA SISWA'!D51</f>
        <v>0</v>
      </c>
      <c r="E54" s="107" t="str">
        <f>'DATA SISWA'!E51</f>
        <v>VII</v>
      </c>
      <c r="F54" s="91"/>
      <c r="G54" s="91"/>
      <c r="H54" s="91"/>
      <c r="I54" s="101"/>
      <c r="J54" s="91"/>
      <c r="K54" s="91"/>
      <c r="L54" s="91"/>
      <c r="M54" s="101"/>
      <c r="N54" s="91"/>
      <c r="O54" s="91"/>
      <c r="P54" s="91"/>
      <c r="Q54" s="101"/>
      <c r="R54" s="91"/>
      <c r="S54" s="91"/>
      <c r="T54" s="91"/>
      <c r="U54" s="101"/>
    </row>
    <row r="55" spans="1:21">
      <c r="A55" s="107">
        <f>'DATA SISWA'!A52</f>
        <v>0</v>
      </c>
      <c r="B55" s="107">
        <f>'DATA SISWA'!B52</f>
        <v>0</v>
      </c>
      <c r="C55" s="116">
        <f>'DATA SISWA'!C52</f>
        <v>0</v>
      </c>
      <c r="D55" s="107">
        <f>'DATA SISWA'!D52</f>
        <v>0</v>
      </c>
      <c r="E55" s="107" t="str">
        <f>'DATA SISWA'!E52</f>
        <v>VII</v>
      </c>
      <c r="F55" s="91"/>
      <c r="G55" s="91"/>
      <c r="H55" s="91"/>
      <c r="I55" s="101"/>
      <c r="J55" s="91"/>
      <c r="K55" s="91"/>
      <c r="L55" s="91"/>
      <c r="M55" s="101"/>
      <c r="N55" s="91"/>
      <c r="O55" s="91"/>
      <c r="P55" s="91"/>
      <c r="Q55" s="101"/>
      <c r="R55" s="91"/>
      <c r="S55" s="91"/>
      <c r="T55" s="91"/>
      <c r="U55" s="101"/>
    </row>
  </sheetData>
  <sheetProtection formatCells="0" formatColumns="0" formatRows="0" insertColumns="0" insertRows="0" insertHyperlinks="0" deleteColumns="0" deleteRows="0"/>
  <mergeCells count="18">
    <mergeCell ref="F1:L1"/>
    <mergeCell ref="A4:A6"/>
    <mergeCell ref="B4:B6"/>
    <mergeCell ref="C4:C6"/>
    <mergeCell ref="D4:D6"/>
    <mergeCell ref="E4:E6"/>
    <mergeCell ref="Q4:Q6"/>
    <mergeCell ref="R4:T4"/>
    <mergeCell ref="U4:U6"/>
    <mergeCell ref="F5:H5"/>
    <mergeCell ref="J5:L5"/>
    <mergeCell ref="N5:P5"/>
    <mergeCell ref="R5:T5"/>
    <mergeCell ref="I4:I6"/>
    <mergeCell ref="J4:L4"/>
    <mergeCell ref="M4:M6"/>
    <mergeCell ref="N4:P4"/>
    <mergeCell ref="F4:H4"/>
  </mergeCells>
  <dataValidations count="1">
    <dataValidation type="decimal" allowBlank="1" showInputMessage="1" showErrorMessage="1" sqref="H8:I55 M8:M55 Q8:Q55 U8:U55 F8:F55">
      <formula1>0</formula1>
      <formula2>100</formula2>
    </dataValidation>
  </dataValidations>
  <pageMargins left="0.70866141732283472" right="0.70866141732283472" top="0.74803149606299213" bottom="0.74803149606299213" header="0.31496062992125984" footer="0.31496062992125984"/>
  <pageSetup paperSize="768" orientation="landscape" horizontalDpi="120" verticalDpi="72" r:id="rId1"/>
  <drawing r:id="rId2"/>
</worksheet>
</file>

<file path=xl/worksheets/sheet13.xml><?xml version="1.0" encoding="utf-8"?>
<worksheet xmlns="http://schemas.openxmlformats.org/spreadsheetml/2006/main" xmlns:r="http://schemas.openxmlformats.org/officeDocument/2006/relationships">
  <sheetPr codeName="Sheet7"/>
  <dimension ref="A1:BK52"/>
  <sheetViews>
    <sheetView view="pageBreakPreview" zoomScale="91" zoomScaleSheetLayoutView="91"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34" width="5.7109375" style="95" customWidth="1"/>
    <col min="35" max="35" width="6.7109375" style="95" customWidth="1"/>
    <col min="36" max="39" width="5.7109375" style="95" customWidth="1"/>
    <col min="40" max="40" width="6.7109375" style="95" customWidth="1"/>
    <col min="41" max="44" width="5.7109375" style="95" customWidth="1"/>
    <col min="45" max="45" width="6.7109375" style="95" customWidth="1"/>
    <col min="46" max="49" width="5.7109375" style="95" customWidth="1"/>
    <col min="50" max="50" width="6.7109375" style="95" customWidth="1"/>
    <col min="51" max="54" width="5.7109375" style="95" customWidth="1"/>
    <col min="55" max="57" width="6.7109375" style="95" customWidth="1"/>
    <col min="58" max="60" width="7.85546875" style="102" customWidth="1"/>
    <col min="61" max="61" width="7.85546875" style="103" customWidth="1"/>
    <col min="62" max="62" width="10.42578125" style="103" customWidth="1"/>
    <col min="63" max="63" width="51" style="95" customWidth="1"/>
    <col min="64" max="16384" width="9.140625" style="95"/>
  </cols>
  <sheetData>
    <row r="1" spans="1:63" ht="66" customHeight="1">
      <c r="A1" s="501" t="s">
        <v>15</v>
      </c>
      <c r="B1" s="501" t="s">
        <v>16</v>
      </c>
      <c r="C1" s="504" t="s">
        <v>0</v>
      </c>
      <c r="D1" s="505" t="s">
        <v>1</v>
      </c>
      <c r="E1" s="506" t="s">
        <v>17</v>
      </c>
      <c r="F1" s="613" t="str">
        <f>IF(KDOKE!B29="","",KDOKE!B29)</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G1" s="613"/>
      <c r="H1" s="613"/>
      <c r="I1" s="613"/>
      <c r="J1" s="601" t="s">
        <v>7</v>
      </c>
      <c r="K1" s="613" t="str">
        <f>IF(KDOKE!B30="","",KDOKE!B30)</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L1" s="613"/>
      <c r="M1" s="613"/>
      <c r="N1" s="613"/>
      <c r="O1" s="601" t="s">
        <v>7</v>
      </c>
      <c r="P1" s="613" t="str">
        <f>IF(KDOKE!B31="","",KDOKE!B31)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Q1" s="613"/>
      <c r="R1" s="613"/>
      <c r="S1" s="613"/>
      <c r="T1" s="601" t="s">
        <v>7</v>
      </c>
      <c r="U1" s="613" t="str">
        <f>IF(KDOKE!B32="","",KDOKE!B32)</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V1" s="613"/>
      <c r="W1" s="613"/>
      <c r="X1" s="613"/>
      <c r="Y1" s="601" t="s">
        <v>7</v>
      </c>
      <c r="Z1" s="613" t="str">
        <f>IF(KDOKE!B33="","",KDOKE!B33)</f>
        <v/>
      </c>
      <c r="AA1" s="613"/>
      <c r="AB1" s="613"/>
      <c r="AC1" s="613"/>
      <c r="AD1" s="601" t="s">
        <v>7</v>
      </c>
      <c r="AE1" s="613" t="str">
        <f>IF(KDOKE!B34="","",KDOKE!B34)</f>
        <v/>
      </c>
      <c r="AF1" s="613"/>
      <c r="AG1" s="613"/>
      <c r="AH1" s="613"/>
      <c r="AI1" s="601" t="s">
        <v>7</v>
      </c>
      <c r="AJ1" s="613" t="str">
        <f>IF(KDOKE!B35="","",KDOKE!B35)</f>
        <v/>
      </c>
      <c r="AK1" s="613"/>
      <c r="AL1" s="613"/>
      <c r="AM1" s="613"/>
      <c r="AN1" s="601" t="s">
        <v>7</v>
      </c>
      <c r="AO1" s="613" t="str">
        <f>IF(KDOKE!B36="","",KDOKE!B36)</f>
        <v/>
      </c>
      <c r="AP1" s="613"/>
      <c r="AQ1" s="613"/>
      <c r="AR1" s="613"/>
      <c r="AS1" s="605" t="s">
        <v>7</v>
      </c>
      <c r="AT1" s="613" t="str">
        <f>IF(KDOKE!B37="","",KDOKE!B37)</f>
        <v/>
      </c>
      <c r="AU1" s="613"/>
      <c r="AV1" s="613"/>
      <c r="AW1" s="613"/>
      <c r="AX1" s="605" t="s">
        <v>7</v>
      </c>
      <c r="AY1" s="613" t="str">
        <f>IF(KDOKE!B38="","",KDOKE!B38)</f>
        <v/>
      </c>
      <c r="AZ1" s="613"/>
      <c r="BA1" s="613"/>
      <c r="BB1" s="613"/>
      <c r="BC1" s="605" t="s">
        <v>7</v>
      </c>
      <c r="BD1" s="591" t="s">
        <v>407</v>
      </c>
      <c r="BE1" s="579" t="s">
        <v>27</v>
      </c>
      <c r="BF1" s="614" t="s">
        <v>28</v>
      </c>
      <c r="BG1" s="617" t="s">
        <v>30</v>
      </c>
      <c r="BH1" s="94" t="s">
        <v>313</v>
      </c>
      <c r="BI1" s="557" t="s">
        <v>408</v>
      </c>
      <c r="BJ1" s="569" t="s">
        <v>289</v>
      </c>
      <c r="BK1" s="566" t="s">
        <v>36</v>
      </c>
    </row>
    <row r="2" spans="1:63" ht="15" customHeight="1">
      <c r="A2" s="502"/>
      <c r="B2" s="502"/>
      <c r="C2" s="504"/>
      <c r="D2" s="505"/>
      <c r="E2" s="507"/>
      <c r="F2" s="550">
        <f>IF(KDOKE!A29="","",KDOKE!A29)</f>
        <v>41</v>
      </c>
      <c r="G2" s="550"/>
      <c r="H2" s="550"/>
      <c r="I2" s="550"/>
      <c r="J2" s="601"/>
      <c r="K2" s="550">
        <f>IF(KDOKE!A30="","",KDOKE!A30)</f>
        <v>42</v>
      </c>
      <c r="L2" s="550"/>
      <c r="M2" s="550"/>
      <c r="N2" s="550"/>
      <c r="O2" s="601"/>
      <c r="P2" s="550">
        <f>IF(KDOKE!A31="","",KDOKE!A31)</f>
        <v>43</v>
      </c>
      <c r="Q2" s="550"/>
      <c r="R2" s="550"/>
      <c r="S2" s="550"/>
      <c r="T2" s="601"/>
      <c r="U2" s="550">
        <f>IF(KDOKE!A32="","",KDOKE!A32)</f>
        <v>44</v>
      </c>
      <c r="V2" s="550"/>
      <c r="W2" s="550"/>
      <c r="X2" s="550"/>
      <c r="Y2" s="601"/>
      <c r="Z2" s="550">
        <f>IF(KDOKE!A33="","",KDOKE!A33)</f>
        <v>45</v>
      </c>
      <c r="AA2" s="550"/>
      <c r="AB2" s="550"/>
      <c r="AC2" s="550"/>
      <c r="AD2" s="601"/>
      <c r="AE2" s="550">
        <f>IF(KDOKE!A34="","",KDOKE!A34)</f>
        <v>46</v>
      </c>
      <c r="AF2" s="550"/>
      <c r="AG2" s="550"/>
      <c r="AH2" s="550"/>
      <c r="AI2" s="601"/>
      <c r="AJ2" s="550">
        <f>IF(KDOKE!A35="","",KDOKE!A35)</f>
        <v>47</v>
      </c>
      <c r="AK2" s="550"/>
      <c r="AL2" s="550"/>
      <c r="AM2" s="550"/>
      <c r="AN2" s="601"/>
      <c r="AO2" s="550">
        <f>IF(KDOKE!A36="","",KDOKE!A36)</f>
        <v>48</v>
      </c>
      <c r="AP2" s="550"/>
      <c r="AQ2" s="550"/>
      <c r="AR2" s="550"/>
      <c r="AS2" s="606"/>
      <c r="AT2" s="550">
        <f>IF(KDOKE!A37="","",KDOKE!A37)</f>
        <v>49</v>
      </c>
      <c r="AU2" s="550"/>
      <c r="AV2" s="550"/>
      <c r="AW2" s="550"/>
      <c r="AX2" s="606"/>
      <c r="AY2" s="550">
        <f>IF(KDOKE!A38="","",KDOKE!A38)</f>
        <v>50</v>
      </c>
      <c r="AZ2" s="550"/>
      <c r="BA2" s="550"/>
      <c r="BB2" s="550"/>
      <c r="BC2" s="606"/>
      <c r="BD2" s="612"/>
      <c r="BE2" s="579"/>
      <c r="BF2" s="615"/>
      <c r="BG2" s="618"/>
      <c r="BH2" s="289">
        <f>menu!B18</f>
        <v>70</v>
      </c>
      <c r="BI2" s="558"/>
      <c r="BJ2" s="570"/>
      <c r="BK2" s="567"/>
    </row>
    <row r="3" spans="1:63" s="98" customFormat="1" ht="80.25" customHeight="1">
      <c r="A3" s="503"/>
      <c r="B3" s="503"/>
      <c r="C3" s="504"/>
      <c r="D3" s="505"/>
      <c r="E3" s="508"/>
      <c r="F3" s="112" t="s">
        <v>461</v>
      </c>
      <c r="G3" s="112" t="s">
        <v>31</v>
      </c>
      <c r="H3" s="113" t="s">
        <v>32</v>
      </c>
      <c r="I3" s="112" t="s">
        <v>33</v>
      </c>
      <c r="J3" s="601"/>
      <c r="K3" s="112" t="s">
        <v>461</v>
      </c>
      <c r="L3" s="112" t="s">
        <v>31</v>
      </c>
      <c r="M3" s="113" t="s">
        <v>32</v>
      </c>
      <c r="N3" s="112" t="s">
        <v>33</v>
      </c>
      <c r="O3" s="601"/>
      <c r="P3" s="112" t="s">
        <v>461</v>
      </c>
      <c r="Q3" s="112" t="s">
        <v>31</v>
      </c>
      <c r="R3" s="113" t="s">
        <v>32</v>
      </c>
      <c r="S3" s="112" t="s">
        <v>33</v>
      </c>
      <c r="T3" s="601"/>
      <c r="U3" s="112" t="s">
        <v>461</v>
      </c>
      <c r="V3" s="112" t="s">
        <v>31</v>
      </c>
      <c r="W3" s="113" t="s">
        <v>32</v>
      </c>
      <c r="X3" s="112" t="s">
        <v>33</v>
      </c>
      <c r="Y3" s="601"/>
      <c r="Z3" s="112" t="s">
        <v>461</v>
      </c>
      <c r="AA3" s="112" t="s">
        <v>31</v>
      </c>
      <c r="AB3" s="113" t="s">
        <v>32</v>
      </c>
      <c r="AC3" s="112" t="s">
        <v>33</v>
      </c>
      <c r="AD3" s="601"/>
      <c r="AE3" s="112" t="s">
        <v>461</v>
      </c>
      <c r="AF3" s="112" t="s">
        <v>31</v>
      </c>
      <c r="AG3" s="113" t="s">
        <v>32</v>
      </c>
      <c r="AH3" s="112" t="s">
        <v>33</v>
      </c>
      <c r="AI3" s="601"/>
      <c r="AJ3" s="112" t="s">
        <v>461</v>
      </c>
      <c r="AK3" s="112" t="s">
        <v>31</v>
      </c>
      <c r="AL3" s="113" t="s">
        <v>32</v>
      </c>
      <c r="AM3" s="112" t="s">
        <v>33</v>
      </c>
      <c r="AN3" s="601"/>
      <c r="AO3" s="112" t="s">
        <v>461</v>
      </c>
      <c r="AP3" s="112" t="s">
        <v>31</v>
      </c>
      <c r="AQ3" s="113" t="s">
        <v>32</v>
      </c>
      <c r="AR3" s="112" t="s">
        <v>33</v>
      </c>
      <c r="AS3" s="607"/>
      <c r="AT3" s="112" t="s">
        <v>461</v>
      </c>
      <c r="AU3" s="112" t="s">
        <v>31</v>
      </c>
      <c r="AV3" s="113" t="s">
        <v>32</v>
      </c>
      <c r="AW3" s="112" t="s">
        <v>33</v>
      </c>
      <c r="AX3" s="607"/>
      <c r="AY3" s="112" t="s">
        <v>461</v>
      </c>
      <c r="AZ3" s="112" t="s">
        <v>31</v>
      </c>
      <c r="BA3" s="113" t="s">
        <v>32</v>
      </c>
      <c r="BB3" s="112" t="s">
        <v>33</v>
      </c>
      <c r="BC3" s="607"/>
      <c r="BD3" s="592"/>
      <c r="BE3" s="579"/>
      <c r="BF3" s="616"/>
      <c r="BG3" s="619"/>
      <c r="BH3" s="115" t="s">
        <v>314</v>
      </c>
      <c r="BI3" s="559"/>
      <c r="BJ3" s="571"/>
      <c r="BK3" s="568"/>
    </row>
    <row r="4" spans="1:63">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row>
    <row r="5" spans="1:63" ht="17.25" customHeight="1">
      <c r="A5" s="107">
        <f>'DATA SISWA'!A5</f>
        <v>1</v>
      </c>
      <c r="B5" s="107" t="str">
        <f>'DATA SISWA'!B5</f>
        <v>`017</v>
      </c>
      <c r="C5" s="116" t="str">
        <f>'DATA SISWA'!C5</f>
        <v>Abd. Muis</v>
      </c>
      <c r="D5" s="107" t="str">
        <f>'DATA SISWA'!D5</f>
        <v>L</v>
      </c>
      <c r="E5" s="107" t="str">
        <f>'DATA SISWA'!E5</f>
        <v>VII</v>
      </c>
      <c r="F5" s="91"/>
      <c r="G5" s="406"/>
      <c r="H5" s="91">
        <v>78</v>
      </c>
      <c r="I5" s="91"/>
      <c r="J5" s="308">
        <f>IF(AND(F5="",G5="",H5="",I5=""),"",AVERAGE(F5:I5))</f>
        <v>78</v>
      </c>
      <c r="K5" s="91"/>
      <c r="L5" s="406"/>
      <c r="M5" s="91">
        <v>78</v>
      </c>
      <c r="N5" s="91"/>
      <c r="O5" s="308">
        <f>IF(AND(K5="",L5="",M5="",N5=""),"",AVERAGE(K5:N5))</f>
        <v>78</v>
      </c>
      <c r="P5" s="91"/>
      <c r="Q5" s="91"/>
      <c r="R5" s="91">
        <v>78</v>
      </c>
      <c r="S5" s="91"/>
      <c r="T5" s="308">
        <f>IF(AND(P5="",Q5="",R5="",S5=""),"",AVERAGE(P5:S5))</f>
        <v>78</v>
      </c>
      <c r="U5" s="91"/>
      <c r="V5" s="91"/>
      <c r="W5" s="91">
        <v>78</v>
      </c>
      <c r="X5" s="91"/>
      <c r="Y5" s="308">
        <f>IF(AND(U5="",V5="",W5="",X5=""),"",AVERAGE(U5:X5))</f>
        <v>78</v>
      </c>
      <c r="Z5" s="91"/>
      <c r="AA5" s="91"/>
      <c r="AB5" s="91"/>
      <c r="AC5" s="91"/>
      <c r="AD5" s="308" t="str">
        <f>IF(AND(Z5="",AA5="",AB5="",AC5=""),"",AVERAGE(Z5:AC5))</f>
        <v/>
      </c>
      <c r="AE5" s="91"/>
      <c r="AF5" s="91"/>
      <c r="AG5" s="91"/>
      <c r="AH5" s="91"/>
      <c r="AI5" s="308" t="str">
        <f>IF(AND(AE5="",AF5="",AG5="",AH5=""),"",AVERAGE(AE5:AH5))</f>
        <v/>
      </c>
      <c r="AJ5" s="91"/>
      <c r="AK5" s="91"/>
      <c r="AL5" s="91"/>
      <c r="AM5" s="91"/>
      <c r="AN5" s="308" t="str">
        <f>IF(AND(AJ5="",AK5="",AL5="",AM5=""),"",AVERAGE(AJ5:AM5))</f>
        <v/>
      </c>
      <c r="AO5" s="91"/>
      <c r="AP5" s="91"/>
      <c r="AQ5" s="91"/>
      <c r="AR5" s="91"/>
      <c r="AS5" s="308" t="str">
        <f>IF(AND(AO5="",AP5="",AQ5="",AR5=""),"",AVERAGE(AO5:AR5))</f>
        <v/>
      </c>
      <c r="AT5" s="91"/>
      <c r="AU5" s="91"/>
      <c r="AV5" s="91"/>
      <c r="AW5" s="91"/>
      <c r="AX5" s="308" t="str">
        <f>IF(AND(AT5="",AU5="",AV5="",AW5=""),"",AVERAGE(AT5:AW5))</f>
        <v/>
      </c>
      <c r="AY5" s="91"/>
      <c r="AZ5" s="91"/>
      <c r="BA5" s="91"/>
      <c r="BB5" s="91"/>
      <c r="BC5" s="308" t="str">
        <f>IF(AND(AY5="",AZ5="",BA5="",BB5=""),"",AVERAGE(AY5:BB5))</f>
        <v/>
      </c>
      <c r="BD5" s="309">
        <f>IF(AND(J5="",O5=""),"",MAX(BC5,AX5,AS5,AN5,AI5,AD5,Y5,T5,O5,J5))</f>
        <v>78</v>
      </c>
      <c r="BE5" s="310">
        <f t="shared" ref="BE5:BE52" si="0">IF(AND(J5="",O5=""),"",AVERAGE(BC5,AX5,AS5,AN5,AI5,AD5,Y5,T5,O5,J5))</f>
        <v>78</v>
      </c>
      <c r="BF5" s="311">
        <f>IF(BE5="","",ROUND(BE5,0))</f>
        <v>78</v>
      </c>
      <c r="BG5" s="312" t="str">
        <f>IF(BF5="","",IF(BF5&gt;85,"A",IF(BF5&gt;70,"B",IF(BF5&gt;55,"C","D"))))</f>
        <v>B</v>
      </c>
      <c r="BH5" s="106" t="str">
        <f>IF(BF5="","",IF(BF5&gt;=$BH$2,"TUNTAS","TIDAK"))</f>
        <v>TUNTAS</v>
      </c>
      <c r="BI5" s="107" t="str">
        <f>IF(BF5="","",IF(BF5&gt;85,"Sangat terampil",IF(BF5&gt;70,"Terampil",IF(BF5&gt;55,"Cukup terampil","Kurang terampil"))))</f>
        <v>Terampil</v>
      </c>
      <c r="BJ5" s="116" t="str">
        <f>IF(BD5="","",VLOOKUP(BD5,DATAKET!$B$3:$C$12,2,FALSE))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5" s="105" t="str">
        <f>IF(BF5="","",BI5&amp;" "&amp;BJ5)</f>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6" spans="1:63" ht="18" customHeight="1">
      <c r="A6" s="107">
        <f>'DATA SISWA'!A6</f>
        <v>2</v>
      </c>
      <c r="B6" s="107" t="str">
        <f>'DATA SISWA'!B6</f>
        <v>`008</v>
      </c>
      <c r="C6" s="116" t="str">
        <f>'DATA SISWA'!C6</f>
        <v>Achmad Buka</v>
      </c>
      <c r="D6" s="107" t="str">
        <f>'DATA SISWA'!D6</f>
        <v>L</v>
      </c>
      <c r="E6" s="107" t="str">
        <f>'DATA SISWA'!E6</f>
        <v>VII</v>
      </c>
      <c r="F6" s="91"/>
      <c r="G6" s="406"/>
      <c r="H6" s="91">
        <v>78</v>
      </c>
      <c r="I6" s="91"/>
      <c r="J6" s="308">
        <f t="shared" ref="J6:J52" si="1">IF(AND(F6="",G6="",H6="",I6=""),"",AVERAGE(F6:I6))</f>
        <v>78</v>
      </c>
      <c r="K6" s="91"/>
      <c r="L6" s="406"/>
      <c r="M6" s="91">
        <v>80</v>
      </c>
      <c r="N6" s="91"/>
      <c r="O6" s="308">
        <f t="shared" ref="O6:O52" si="2">IF(AND(K6="",L6="",M6="",N6=""),"",AVERAGE(K6:N6))</f>
        <v>80</v>
      </c>
      <c r="P6" s="91"/>
      <c r="Q6" s="91"/>
      <c r="R6" s="91">
        <v>89</v>
      </c>
      <c r="S6" s="91"/>
      <c r="T6" s="308">
        <f t="shared" ref="T6:T52" si="3">IF(AND(P6="",Q6="",R6="",S6=""),"",AVERAGE(P6:S6))</f>
        <v>89</v>
      </c>
      <c r="U6" s="91"/>
      <c r="V6" s="91"/>
      <c r="W6" s="91">
        <v>80</v>
      </c>
      <c r="X6" s="91"/>
      <c r="Y6" s="308">
        <f t="shared" ref="Y6:Y52" si="4">IF(AND(U6="",V6="",W6="",X6=""),"",AVERAGE(U6:X6))</f>
        <v>80</v>
      </c>
      <c r="Z6" s="91"/>
      <c r="AA6" s="91"/>
      <c r="AB6" s="91"/>
      <c r="AC6" s="91"/>
      <c r="AD6" s="308" t="str">
        <f t="shared" ref="AD6:AD52" si="5">IF(AND(Z6="",AA6="",AB6="",AC6=""),"",AVERAGE(Z6:AC6))</f>
        <v/>
      </c>
      <c r="AE6" s="91"/>
      <c r="AF6" s="91"/>
      <c r="AG6" s="91"/>
      <c r="AH6" s="91"/>
      <c r="AI6" s="308" t="str">
        <f t="shared" ref="AI6:AI52" si="6">IF(AND(AE6="",AF6="",AG6="",AH6=""),"",AVERAGE(AE6:AH6))</f>
        <v/>
      </c>
      <c r="AJ6" s="91"/>
      <c r="AK6" s="91"/>
      <c r="AL6" s="91"/>
      <c r="AM6" s="91"/>
      <c r="AN6" s="308" t="str">
        <f t="shared" ref="AN6:AN52" si="7">IF(AND(AJ6="",AK6="",AL6="",AM6=""),"",AVERAGE(AJ6:AM6))</f>
        <v/>
      </c>
      <c r="AO6" s="91"/>
      <c r="AP6" s="91"/>
      <c r="AQ6" s="91"/>
      <c r="AR6" s="91"/>
      <c r="AS6" s="308" t="str">
        <f t="shared" ref="AS6:AS52" si="8">IF(AND(AO6="",AP6="",AQ6="",AR6=""),"",AVERAGE(AO6:AR6))</f>
        <v/>
      </c>
      <c r="AT6" s="91"/>
      <c r="AU6" s="91"/>
      <c r="AV6" s="91"/>
      <c r="AW6" s="91"/>
      <c r="AX6" s="308" t="str">
        <f t="shared" ref="AX6:AX52" si="9">IF(AND(AT6="",AU6="",AV6="",AW6=""),"",AVERAGE(AT6:AW6))</f>
        <v/>
      </c>
      <c r="AY6" s="91"/>
      <c r="AZ6" s="91"/>
      <c r="BA6" s="91"/>
      <c r="BB6" s="91"/>
      <c r="BC6" s="308" t="str">
        <f t="shared" ref="BC6:BC52" si="10">IF(AND(AY6="",AZ6="",BA6="",BB6=""),"",AVERAGE(AY6:BB6))</f>
        <v/>
      </c>
      <c r="BD6" s="309">
        <f t="shared" ref="BD6:BD52" si="11">IF(AND(J6="",O6=""),"",MAX(BC6,AX6,AS6,AN6,AI6,AD6,Y6,T6,O6,J6))</f>
        <v>89</v>
      </c>
      <c r="BE6" s="310">
        <f t="shared" si="0"/>
        <v>81.75</v>
      </c>
      <c r="BF6" s="311">
        <f t="shared" ref="BF6:BF52" si="12">IF(BE6="","",ROUND(BE6,0))</f>
        <v>82</v>
      </c>
      <c r="BG6" s="312" t="str">
        <f t="shared" ref="BG6:BG52" si="13">IF(BF6="","",IF(BF6&gt;85,"A",IF(BF6&gt;70,"B",IF(BF6&gt;55,"C","D"))))</f>
        <v>B</v>
      </c>
      <c r="BH6" s="106" t="str">
        <f t="shared" ref="BH6:BH52" si="14">IF(BF6="","",IF(BF6&gt;=$BH$2,"TUNTAS","TIDAK"))</f>
        <v>TUNTAS</v>
      </c>
      <c r="BI6" s="107" t="str">
        <f t="shared" ref="BI6:BI52" si="15">IF(BF6="","",IF(BF6&gt;85,"Sangat terampil",IF(BF6&gt;70,"Terampil",IF(BF6&gt;55,"Cukup terampil","Kurang terampil"))))</f>
        <v>Terampil</v>
      </c>
      <c r="BJ6" s="116" t="str">
        <f>IF(BD6="","",VLOOKUP(BD6,DATAKET!$D$3:$E$12,2,FALSE))</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BK6" s="105" t="str">
        <f t="shared" ref="BK6:BK52" si="16">IF(BF6="","",BI6&amp;" "&amp;BJ6)</f>
        <v>Terampil 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row>
    <row r="7" spans="1:63" ht="16.5">
      <c r="A7" s="107">
        <f>'DATA SISWA'!A7</f>
        <v>3</v>
      </c>
      <c r="B7" s="107" t="str">
        <f>'DATA SISWA'!B7</f>
        <v>`014</v>
      </c>
      <c r="C7" s="116" t="str">
        <f>'DATA SISWA'!C7</f>
        <v>Bunami</v>
      </c>
      <c r="D7" s="107" t="str">
        <f>'DATA SISWA'!D7</f>
        <v>P</v>
      </c>
      <c r="E7" s="107" t="str">
        <f>'DATA SISWA'!E7</f>
        <v>VII</v>
      </c>
      <c r="F7" s="91"/>
      <c r="G7" s="406"/>
      <c r="H7" s="91">
        <v>79</v>
      </c>
      <c r="I7" s="91"/>
      <c r="J7" s="308">
        <f t="shared" si="1"/>
        <v>79</v>
      </c>
      <c r="K7" s="91"/>
      <c r="L7" s="406"/>
      <c r="M7" s="91">
        <v>79</v>
      </c>
      <c r="N7" s="91"/>
      <c r="O7" s="308">
        <f t="shared" si="2"/>
        <v>79</v>
      </c>
      <c r="P7" s="91"/>
      <c r="Q7" s="91"/>
      <c r="R7" s="91">
        <v>79</v>
      </c>
      <c r="S7" s="91"/>
      <c r="T7" s="308">
        <f t="shared" si="3"/>
        <v>79</v>
      </c>
      <c r="U7" s="91"/>
      <c r="V7" s="91"/>
      <c r="W7" s="91">
        <v>79</v>
      </c>
      <c r="X7" s="91"/>
      <c r="Y7" s="308">
        <f t="shared" si="4"/>
        <v>79</v>
      </c>
      <c r="Z7" s="91"/>
      <c r="AA7" s="91"/>
      <c r="AB7" s="91"/>
      <c r="AC7" s="91"/>
      <c r="AD7" s="308" t="str">
        <f t="shared" si="5"/>
        <v/>
      </c>
      <c r="AE7" s="91"/>
      <c r="AF7" s="91"/>
      <c r="AG7" s="91"/>
      <c r="AH7" s="91"/>
      <c r="AI7" s="308" t="str">
        <f t="shared" si="6"/>
        <v/>
      </c>
      <c r="AJ7" s="91"/>
      <c r="AK7" s="91"/>
      <c r="AL7" s="91"/>
      <c r="AM7" s="91"/>
      <c r="AN7" s="308" t="str">
        <f t="shared" si="7"/>
        <v/>
      </c>
      <c r="AO7" s="91"/>
      <c r="AP7" s="91"/>
      <c r="AQ7" s="91"/>
      <c r="AR7" s="91"/>
      <c r="AS7" s="308" t="str">
        <f t="shared" si="8"/>
        <v/>
      </c>
      <c r="AT7" s="91"/>
      <c r="AU7" s="91"/>
      <c r="AV7" s="91"/>
      <c r="AW7" s="91"/>
      <c r="AX7" s="308" t="str">
        <f t="shared" si="9"/>
        <v/>
      </c>
      <c r="AY7" s="91"/>
      <c r="AZ7" s="91"/>
      <c r="BA7" s="91"/>
      <c r="BB7" s="91"/>
      <c r="BC7" s="308" t="str">
        <f t="shared" si="10"/>
        <v/>
      </c>
      <c r="BD7" s="309">
        <f t="shared" si="11"/>
        <v>79</v>
      </c>
      <c r="BE7" s="310">
        <f t="shared" si="0"/>
        <v>79</v>
      </c>
      <c r="BF7" s="311">
        <f t="shared" si="12"/>
        <v>79</v>
      </c>
      <c r="BG7" s="312" t="str">
        <f t="shared" si="13"/>
        <v>B</v>
      </c>
      <c r="BH7" s="106" t="str">
        <f t="shared" si="14"/>
        <v>TUNTAS</v>
      </c>
      <c r="BI7" s="107" t="str">
        <f t="shared" si="15"/>
        <v>Terampil</v>
      </c>
      <c r="BJ7" s="116" t="str">
        <f>IF(BD7="","",VLOOKUP(BD7,DATAKET!$F$3:$G$12,2,FALSE))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7"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8" spans="1:63" ht="16.5">
      <c r="A8" s="107">
        <f>'DATA SISWA'!A8</f>
        <v>4</v>
      </c>
      <c r="B8" s="107" t="str">
        <f>'DATA SISWA'!B8</f>
        <v>`009</v>
      </c>
      <c r="C8" s="116" t="str">
        <f>'DATA SISWA'!C8</f>
        <v>Fatimatuz Zahroh</v>
      </c>
      <c r="D8" s="107" t="str">
        <f>'DATA SISWA'!D8</f>
        <v>P</v>
      </c>
      <c r="E8" s="107" t="str">
        <f>'DATA SISWA'!E8</f>
        <v>VII</v>
      </c>
      <c r="F8" s="91"/>
      <c r="G8" s="406"/>
      <c r="H8" s="91">
        <v>78</v>
      </c>
      <c r="I8" s="91"/>
      <c r="J8" s="308">
        <f t="shared" si="1"/>
        <v>78</v>
      </c>
      <c r="K8" s="91"/>
      <c r="L8" s="406"/>
      <c r="M8" s="91">
        <v>78</v>
      </c>
      <c r="N8" s="91"/>
      <c r="O8" s="308">
        <f t="shared" si="2"/>
        <v>78</v>
      </c>
      <c r="P8" s="91"/>
      <c r="Q8" s="91"/>
      <c r="R8" s="91">
        <v>78</v>
      </c>
      <c r="S8" s="91"/>
      <c r="T8" s="308">
        <f t="shared" si="3"/>
        <v>78</v>
      </c>
      <c r="U8" s="91"/>
      <c r="V8" s="91"/>
      <c r="W8" s="91">
        <v>78</v>
      </c>
      <c r="X8" s="91"/>
      <c r="Y8" s="308">
        <f t="shared" si="4"/>
        <v>78</v>
      </c>
      <c r="Z8" s="91"/>
      <c r="AA8" s="91"/>
      <c r="AB8" s="91"/>
      <c r="AC8" s="91"/>
      <c r="AD8" s="308" t="str">
        <f t="shared" si="5"/>
        <v/>
      </c>
      <c r="AE8" s="91"/>
      <c r="AF8" s="91"/>
      <c r="AG8" s="91"/>
      <c r="AH8" s="91"/>
      <c r="AI8" s="308" t="str">
        <f t="shared" si="6"/>
        <v/>
      </c>
      <c r="AJ8" s="91"/>
      <c r="AK8" s="91"/>
      <c r="AL8" s="91"/>
      <c r="AM8" s="91"/>
      <c r="AN8" s="308" t="str">
        <f t="shared" si="7"/>
        <v/>
      </c>
      <c r="AO8" s="91"/>
      <c r="AP8" s="91"/>
      <c r="AQ8" s="91"/>
      <c r="AR8" s="91"/>
      <c r="AS8" s="308" t="str">
        <f t="shared" si="8"/>
        <v/>
      </c>
      <c r="AT8" s="91"/>
      <c r="AU8" s="91"/>
      <c r="AV8" s="91"/>
      <c r="AW8" s="91"/>
      <c r="AX8" s="308" t="str">
        <f t="shared" si="9"/>
        <v/>
      </c>
      <c r="AY8" s="91"/>
      <c r="AZ8" s="91"/>
      <c r="BA8" s="91"/>
      <c r="BB8" s="91"/>
      <c r="BC8" s="308" t="str">
        <f t="shared" si="10"/>
        <v/>
      </c>
      <c r="BD8" s="309">
        <f t="shared" si="11"/>
        <v>78</v>
      </c>
      <c r="BE8" s="310">
        <f t="shared" si="0"/>
        <v>78</v>
      </c>
      <c r="BF8" s="311">
        <f t="shared" si="12"/>
        <v>78</v>
      </c>
      <c r="BG8" s="312" t="str">
        <f t="shared" si="13"/>
        <v>B</v>
      </c>
      <c r="BH8" s="106" t="str">
        <f t="shared" si="14"/>
        <v>TUNTAS</v>
      </c>
      <c r="BI8" s="107" t="str">
        <f t="shared" si="15"/>
        <v>Terampil</v>
      </c>
      <c r="BJ8" s="116" t="str">
        <f>IF(BD8="","",VLOOKUP(BD8,DATAKET!$H$3:$I$12,2,FALSE))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8"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9" spans="1:63" ht="16.5">
      <c r="A9" s="107">
        <f>'DATA SISWA'!A9</f>
        <v>5</v>
      </c>
      <c r="B9" s="107" t="str">
        <f>'DATA SISWA'!B9</f>
        <v>`003</v>
      </c>
      <c r="C9" s="116" t="str">
        <f>'DATA SISWA'!C9</f>
        <v>Fitriadi</v>
      </c>
      <c r="D9" s="107" t="str">
        <f>'DATA SISWA'!D9</f>
        <v>L</v>
      </c>
      <c r="E9" s="107" t="str">
        <f>'DATA SISWA'!E9</f>
        <v>VII</v>
      </c>
      <c r="F9" s="91"/>
      <c r="G9" s="406"/>
      <c r="H9" s="91">
        <v>79</v>
      </c>
      <c r="I9" s="91"/>
      <c r="J9" s="308">
        <f t="shared" si="1"/>
        <v>79</v>
      </c>
      <c r="K9" s="91"/>
      <c r="L9" s="406"/>
      <c r="M9" s="91">
        <v>79</v>
      </c>
      <c r="N9" s="91"/>
      <c r="O9" s="308">
        <f t="shared" si="2"/>
        <v>79</v>
      </c>
      <c r="P9" s="91"/>
      <c r="Q9" s="91"/>
      <c r="R9" s="91">
        <v>79</v>
      </c>
      <c r="S9" s="91"/>
      <c r="T9" s="308">
        <f t="shared" si="3"/>
        <v>79</v>
      </c>
      <c r="U9" s="91"/>
      <c r="V9" s="91"/>
      <c r="W9" s="91">
        <v>79</v>
      </c>
      <c r="X9" s="91"/>
      <c r="Y9" s="308">
        <f t="shared" si="4"/>
        <v>79</v>
      </c>
      <c r="Z9" s="91"/>
      <c r="AA9" s="91"/>
      <c r="AB9" s="91"/>
      <c r="AC9" s="91"/>
      <c r="AD9" s="308" t="str">
        <f t="shared" si="5"/>
        <v/>
      </c>
      <c r="AE9" s="91"/>
      <c r="AF9" s="91"/>
      <c r="AG9" s="91"/>
      <c r="AH9" s="91"/>
      <c r="AI9" s="308" t="str">
        <f t="shared" si="6"/>
        <v/>
      </c>
      <c r="AJ9" s="91"/>
      <c r="AK9" s="91"/>
      <c r="AL9" s="91"/>
      <c r="AM9" s="91"/>
      <c r="AN9" s="308" t="str">
        <f t="shared" si="7"/>
        <v/>
      </c>
      <c r="AO9" s="91"/>
      <c r="AP9" s="91"/>
      <c r="AQ9" s="91"/>
      <c r="AR9" s="91"/>
      <c r="AS9" s="308" t="str">
        <f t="shared" si="8"/>
        <v/>
      </c>
      <c r="AT9" s="91"/>
      <c r="AU9" s="91"/>
      <c r="AV9" s="91"/>
      <c r="AW9" s="91"/>
      <c r="AX9" s="308" t="str">
        <f t="shared" si="9"/>
        <v/>
      </c>
      <c r="AY9" s="91"/>
      <c r="AZ9" s="91"/>
      <c r="BA9" s="91"/>
      <c r="BB9" s="91"/>
      <c r="BC9" s="308" t="str">
        <f t="shared" si="10"/>
        <v/>
      </c>
      <c r="BD9" s="309">
        <f t="shared" si="11"/>
        <v>79</v>
      </c>
      <c r="BE9" s="310">
        <f t="shared" si="0"/>
        <v>79</v>
      </c>
      <c r="BF9" s="311">
        <f t="shared" si="12"/>
        <v>79</v>
      </c>
      <c r="BG9" s="312" t="str">
        <f t="shared" si="13"/>
        <v>B</v>
      </c>
      <c r="BH9" s="106" t="str">
        <f t="shared" si="14"/>
        <v>TUNTAS</v>
      </c>
      <c r="BI9" s="107" t="str">
        <f t="shared" si="15"/>
        <v>Terampil</v>
      </c>
      <c r="BJ9" s="116" t="str">
        <f>IF(BD9="","",VLOOKUP(BD9,DATAKET!$J$3:$K$12,2,FALSE))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9"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0" spans="1:63" ht="16.5">
      <c r="A10" s="107">
        <f>'DATA SISWA'!A10</f>
        <v>6</v>
      </c>
      <c r="B10" s="107" t="str">
        <f>'DATA SISWA'!B10</f>
        <v>`006</v>
      </c>
      <c r="C10" s="116" t="str">
        <f>'DATA SISWA'!C10</f>
        <v>Homsiyah</v>
      </c>
      <c r="D10" s="107" t="str">
        <f>'DATA SISWA'!D10</f>
        <v>P</v>
      </c>
      <c r="E10" s="107" t="str">
        <f>'DATA SISWA'!E10</f>
        <v>VII</v>
      </c>
      <c r="F10" s="91"/>
      <c r="G10" s="406"/>
      <c r="H10" s="91">
        <v>80</v>
      </c>
      <c r="I10" s="91"/>
      <c r="J10" s="308">
        <f t="shared" si="1"/>
        <v>80</v>
      </c>
      <c r="K10" s="91"/>
      <c r="L10" s="406"/>
      <c r="M10" s="91">
        <v>80</v>
      </c>
      <c r="N10" s="91"/>
      <c r="O10" s="308">
        <f t="shared" si="2"/>
        <v>80</v>
      </c>
      <c r="P10" s="91"/>
      <c r="Q10" s="91"/>
      <c r="R10" s="91">
        <v>80</v>
      </c>
      <c r="S10" s="91"/>
      <c r="T10" s="308">
        <f t="shared" si="3"/>
        <v>80</v>
      </c>
      <c r="U10" s="91"/>
      <c r="V10" s="91"/>
      <c r="W10" s="91">
        <v>80</v>
      </c>
      <c r="X10" s="91"/>
      <c r="Y10" s="308">
        <f t="shared" si="4"/>
        <v>80</v>
      </c>
      <c r="Z10" s="91"/>
      <c r="AA10" s="91"/>
      <c r="AB10" s="91"/>
      <c r="AC10" s="91"/>
      <c r="AD10" s="308" t="str">
        <f t="shared" si="5"/>
        <v/>
      </c>
      <c r="AE10" s="91"/>
      <c r="AF10" s="91"/>
      <c r="AG10" s="91"/>
      <c r="AH10" s="91"/>
      <c r="AI10" s="308" t="str">
        <f t="shared" si="6"/>
        <v/>
      </c>
      <c r="AJ10" s="91"/>
      <c r="AK10" s="91"/>
      <c r="AL10" s="91"/>
      <c r="AM10" s="91"/>
      <c r="AN10" s="308" t="str">
        <f t="shared" si="7"/>
        <v/>
      </c>
      <c r="AO10" s="91"/>
      <c r="AP10" s="91"/>
      <c r="AQ10" s="91"/>
      <c r="AR10" s="91"/>
      <c r="AS10" s="308" t="str">
        <f t="shared" si="8"/>
        <v/>
      </c>
      <c r="AT10" s="91"/>
      <c r="AU10" s="91"/>
      <c r="AV10" s="91"/>
      <c r="AW10" s="91"/>
      <c r="AX10" s="308" t="str">
        <f t="shared" si="9"/>
        <v/>
      </c>
      <c r="AY10" s="91"/>
      <c r="AZ10" s="91"/>
      <c r="BA10" s="91"/>
      <c r="BB10" s="91"/>
      <c r="BC10" s="308" t="str">
        <f t="shared" si="10"/>
        <v/>
      </c>
      <c r="BD10" s="309">
        <f t="shared" si="11"/>
        <v>80</v>
      </c>
      <c r="BE10" s="310">
        <f t="shared" si="0"/>
        <v>80</v>
      </c>
      <c r="BF10" s="311">
        <f t="shared" si="12"/>
        <v>80</v>
      </c>
      <c r="BG10" s="312" t="str">
        <f t="shared" si="13"/>
        <v>B</v>
      </c>
      <c r="BH10" s="106" t="str">
        <f t="shared" si="14"/>
        <v>TUNTAS</v>
      </c>
      <c r="BI10" s="107" t="str">
        <f t="shared" si="15"/>
        <v>Terampil</v>
      </c>
      <c r="BJ10" s="116" t="str">
        <f>IF(BD10="","",VLOOKUP(BD10,DATAKET!$L$3:$M$12,2,FALSE))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0"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1" spans="1:63" ht="16.5">
      <c r="A11" s="107">
        <f>'DATA SISWA'!A11</f>
        <v>7</v>
      </c>
      <c r="B11" s="107" t="str">
        <f>'DATA SISWA'!B11</f>
        <v>`002</v>
      </c>
      <c r="C11" s="116" t="str">
        <f>'DATA SISWA'!C11</f>
        <v>Insiyah</v>
      </c>
      <c r="D11" s="107" t="str">
        <f>'DATA SISWA'!D11</f>
        <v>P</v>
      </c>
      <c r="E11" s="107" t="str">
        <f>'DATA SISWA'!E11</f>
        <v>VII</v>
      </c>
      <c r="F11" s="91"/>
      <c r="G11" s="406"/>
      <c r="H11" s="91">
        <v>80</v>
      </c>
      <c r="I11" s="91"/>
      <c r="J11" s="308">
        <f t="shared" si="1"/>
        <v>80</v>
      </c>
      <c r="K11" s="91"/>
      <c r="L11" s="406"/>
      <c r="M11" s="91">
        <v>80</v>
      </c>
      <c r="N11" s="91"/>
      <c r="O11" s="308">
        <f t="shared" si="2"/>
        <v>80</v>
      </c>
      <c r="P11" s="91"/>
      <c r="Q11" s="91"/>
      <c r="R11" s="91">
        <v>80</v>
      </c>
      <c r="S11" s="91"/>
      <c r="T11" s="308">
        <f t="shared" si="3"/>
        <v>80</v>
      </c>
      <c r="U11" s="91"/>
      <c r="V11" s="91"/>
      <c r="W11" s="91">
        <v>80</v>
      </c>
      <c r="X11" s="91"/>
      <c r="Y11" s="308">
        <f t="shared" si="4"/>
        <v>80</v>
      </c>
      <c r="Z11" s="91"/>
      <c r="AA11" s="91"/>
      <c r="AB11" s="91"/>
      <c r="AC11" s="91"/>
      <c r="AD11" s="308" t="str">
        <f t="shared" si="5"/>
        <v/>
      </c>
      <c r="AE11" s="91"/>
      <c r="AF11" s="91"/>
      <c r="AG11" s="91"/>
      <c r="AH11" s="91"/>
      <c r="AI11" s="308" t="str">
        <f t="shared" si="6"/>
        <v/>
      </c>
      <c r="AJ11" s="91"/>
      <c r="AK11" s="91"/>
      <c r="AL11" s="91"/>
      <c r="AM11" s="91"/>
      <c r="AN11" s="308" t="str">
        <f t="shared" si="7"/>
        <v/>
      </c>
      <c r="AO11" s="91"/>
      <c r="AP11" s="91"/>
      <c r="AQ11" s="91"/>
      <c r="AR11" s="91"/>
      <c r="AS11" s="308" t="str">
        <f t="shared" si="8"/>
        <v/>
      </c>
      <c r="AT11" s="91"/>
      <c r="AU11" s="91"/>
      <c r="AV11" s="91"/>
      <c r="AW11" s="91"/>
      <c r="AX11" s="308" t="str">
        <f t="shared" si="9"/>
        <v/>
      </c>
      <c r="AY11" s="91"/>
      <c r="AZ11" s="91"/>
      <c r="BA11" s="91"/>
      <c r="BB11" s="91"/>
      <c r="BC11" s="308" t="str">
        <f t="shared" si="10"/>
        <v/>
      </c>
      <c r="BD11" s="309">
        <f t="shared" si="11"/>
        <v>80</v>
      </c>
      <c r="BE11" s="310">
        <f t="shared" si="0"/>
        <v>80</v>
      </c>
      <c r="BF11" s="311">
        <f t="shared" si="12"/>
        <v>80</v>
      </c>
      <c r="BG11" s="312" t="str">
        <f t="shared" si="13"/>
        <v>B</v>
      </c>
      <c r="BH11" s="106" t="str">
        <f t="shared" si="14"/>
        <v>TUNTAS</v>
      </c>
      <c r="BI11" s="107" t="str">
        <f t="shared" si="15"/>
        <v>Terampil</v>
      </c>
      <c r="BJ11" s="116" t="str">
        <f>IF(BD11="","",VLOOKUP(BD11,DATAKET!$N$3:$O$12,2,FALSE))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1"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2" spans="1:63" ht="16.5">
      <c r="A12" s="107">
        <f>'DATA SISWA'!A12</f>
        <v>8</v>
      </c>
      <c r="B12" s="107" t="str">
        <f>'DATA SISWA'!B12</f>
        <v>`010</v>
      </c>
      <c r="C12" s="116" t="str">
        <f>'DATA SISWA'!C12</f>
        <v>Saiful Jamil</v>
      </c>
      <c r="D12" s="107" t="str">
        <f>'DATA SISWA'!D12</f>
        <v>L</v>
      </c>
      <c r="E12" s="107" t="str">
        <f>'DATA SISWA'!E12</f>
        <v>VII</v>
      </c>
      <c r="F12" s="91"/>
      <c r="G12" s="406"/>
      <c r="H12" s="91">
        <v>79</v>
      </c>
      <c r="I12" s="91"/>
      <c r="J12" s="308">
        <f t="shared" si="1"/>
        <v>79</v>
      </c>
      <c r="K12" s="91"/>
      <c r="L12" s="406"/>
      <c r="M12" s="91">
        <v>79</v>
      </c>
      <c r="N12" s="91"/>
      <c r="O12" s="308">
        <f t="shared" si="2"/>
        <v>79</v>
      </c>
      <c r="P12" s="91"/>
      <c r="Q12" s="91"/>
      <c r="R12" s="91">
        <v>79</v>
      </c>
      <c r="S12" s="91"/>
      <c r="T12" s="308">
        <f t="shared" si="3"/>
        <v>79</v>
      </c>
      <c r="U12" s="91"/>
      <c r="V12" s="91"/>
      <c r="W12" s="91">
        <v>79</v>
      </c>
      <c r="X12" s="91"/>
      <c r="Y12" s="308">
        <f t="shared" si="4"/>
        <v>79</v>
      </c>
      <c r="Z12" s="91"/>
      <c r="AA12" s="91"/>
      <c r="AB12" s="91"/>
      <c r="AC12" s="91"/>
      <c r="AD12" s="308" t="str">
        <f t="shared" si="5"/>
        <v/>
      </c>
      <c r="AE12" s="91"/>
      <c r="AF12" s="91"/>
      <c r="AG12" s="91"/>
      <c r="AH12" s="91"/>
      <c r="AI12" s="308" t="str">
        <f t="shared" si="6"/>
        <v/>
      </c>
      <c r="AJ12" s="91"/>
      <c r="AK12" s="91"/>
      <c r="AL12" s="91"/>
      <c r="AM12" s="91"/>
      <c r="AN12" s="308" t="str">
        <f t="shared" si="7"/>
        <v/>
      </c>
      <c r="AO12" s="91"/>
      <c r="AP12" s="91"/>
      <c r="AQ12" s="91"/>
      <c r="AR12" s="91"/>
      <c r="AS12" s="308" t="str">
        <f t="shared" si="8"/>
        <v/>
      </c>
      <c r="AT12" s="91"/>
      <c r="AU12" s="91"/>
      <c r="AV12" s="91"/>
      <c r="AW12" s="91"/>
      <c r="AX12" s="308" t="str">
        <f t="shared" si="9"/>
        <v/>
      </c>
      <c r="AY12" s="91"/>
      <c r="AZ12" s="91"/>
      <c r="BA12" s="91"/>
      <c r="BB12" s="91"/>
      <c r="BC12" s="308" t="str">
        <f t="shared" si="10"/>
        <v/>
      </c>
      <c r="BD12" s="309">
        <f t="shared" si="11"/>
        <v>79</v>
      </c>
      <c r="BE12" s="310">
        <f t="shared" si="0"/>
        <v>79</v>
      </c>
      <c r="BF12" s="311">
        <f t="shared" si="12"/>
        <v>79</v>
      </c>
      <c r="BG12" s="312" t="str">
        <f t="shared" si="13"/>
        <v>B</v>
      </c>
      <c r="BH12" s="106" t="str">
        <f t="shared" si="14"/>
        <v>TUNTAS</v>
      </c>
      <c r="BI12" s="107" t="str">
        <f t="shared" si="15"/>
        <v>Terampil</v>
      </c>
      <c r="BJ12" s="116" t="str">
        <f>IF(BD12="","",VLOOKUP(BD12,DATAKET!$P$3:$Q$12,2,FALSE))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2"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3" spans="1:63" ht="16.5">
      <c r="A13" s="107">
        <f>'DATA SISWA'!A13</f>
        <v>9</v>
      </c>
      <c r="B13" s="107" t="str">
        <f>'DATA SISWA'!B13</f>
        <v>`011</v>
      </c>
      <c r="C13" s="116" t="str">
        <f>'DATA SISWA'!C13</f>
        <v>Khusnun Nisa</v>
      </c>
      <c r="D13" s="107" t="str">
        <f>'DATA SISWA'!D13</f>
        <v>P</v>
      </c>
      <c r="E13" s="107" t="str">
        <f>'DATA SISWA'!E13</f>
        <v>VII</v>
      </c>
      <c r="F13" s="91"/>
      <c r="G13" s="406"/>
      <c r="H13" s="91">
        <v>78</v>
      </c>
      <c r="I13" s="91"/>
      <c r="J13" s="308">
        <f t="shared" si="1"/>
        <v>78</v>
      </c>
      <c r="K13" s="91"/>
      <c r="L13" s="406"/>
      <c r="M13" s="91">
        <v>78</v>
      </c>
      <c r="N13" s="91"/>
      <c r="O13" s="308">
        <f t="shared" si="2"/>
        <v>78</v>
      </c>
      <c r="P13" s="91"/>
      <c r="Q13" s="91"/>
      <c r="R13" s="91">
        <v>78</v>
      </c>
      <c r="S13" s="91"/>
      <c r="T13" s="308">
        <f t="shared" si="3"/>
        <v>78</v>
      </c>
      <c r="U13" s="91"/>
      <c r="V13" s="91"/>
      <c r="W13" s="91">
        <v>78</v>
      </c>
      <c r="X13" s="91"/>
      <c r="Y13" s="308">
        <f t="shared" si="4"/>
        <v>78</v>
      </c>
      <c r="Z13" s="91"/>
      <c r="AA13" s="91"/>
      <c r="AB13" s="91"/>
      <c r="AC13" s="91"/>
      <c r="AD13" s="308" t="str">
        <f t="shared" si="5"/>
        <v/>
      </c>
      <c r="AE13" s="91"/>
      <c r="AF13" s="91"/>
      <c r="AG13" s="91"/>
      <c r="AH13" s="91"/>
      <c r="AI13" s="308" t="str">
        <f t="shared" si="6"/>
        <v/>
      </c>
      <c r="AJ13" s="91"/>
      <c r="AK13" s="91"/>
      <c r="AL13" s="91"/>
      <c r="AM13" s="91"/>
      <c r="AN13" s="308" t="str">
        <f t="shared" si="7"/>
        <v/>
      </c>
      <c r="AO13" s="91"/>
      <c r="AP13" s="91"/>
      <c r="AQ13" s="91"/>
      <c r="AR13" s="91"/>
      <c r="AS13" s="308" t="str">
        <f t="shared" si="8"/>
        <v/>
      </c>
      <c r="AT13" s="91"/>
      <c r="AU13" s="91"/>
      <c r="AV13" s="91"/>
      <c r="AW13" s="91"/>
      <c r="AX13" s="308" t="str">
        <f t="shared" si="9"/>
        <v/>
      </c>
      <c r="AY13" s="91"/>
      <c r="AZ13" s="91"/>
      <c r="BA13" s="91"/>
      <c r="BB13" s="91"/>
      <c r="BC13" s="308" t="str">
        <f t="shared" si="10"/>
        <v/>
      </c>
      <c r="BD13" s="309">
        <f t="shared" si="11"/>
        <v>78</v>
      </c>
      <c r="BE13" s="310">
        <f t="shared" si="0"/>
        <v>78</v>
      </c>
      <c r="BF13" s="311">
        <f t="shared" si="12"/>
        <v>78</v>
      </c>
      <c r="BG13" s="312" t="str">
        <f t="shared" si="13"/>
        <v>B</v>
      </c>
      <c r="BH13" s="106" t="str">
        <f t="shared" si="14"/>
        <v>TUNTAS</v>
      </c>
      <c r="BI13" s="107" t="str">
        <f t="shared" si="15"/>
        <v>Terampil</v>
      </c>
      <c r="BJ13" s="116" t="str">
        <f>IF(BD13="","",VLOOKUP(BD13,DATAKET!$R$3:$S$12,2,FALSE))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3"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4" spans="1:63" ht="16.5">
      <c r="A14" s="107">
        <f>'DATA SISWA'!A14</f>
        <v>10</v>
      </c>
      <c r="B14" s="107" t="str">
        <f>'DATA SISWA'!B14</f>
        <v>`005</v>
      </c>
      <c r="C14" s="116" t="str">
        <f>'DATA SISWA'!C14</f>
        <v>Komariyah</v>
      </c>
      <c r="D14" s="107" t="str">
        <f>'DATA SISWA'!D14</f>
        <v>P</v>
      </c>
      <c r="E14" s="107" t="str">
        <f>'DATA SISWA'!E14</f>
        <v>VII</v>
      </c>
      <c r="F14" s="91"/>
      <c r="G14" s="406"/>
      <c r="H14" s="91">
        <v>79</v>
      </c>
      <c r="I14" s="91"/>
      <c r="J14" s="308">
        <f t="shared" si="1"/>
        <v>79</v>
      </c>
      <c r="K14" s="91"/>
      <c r="L14" s="406"/>
      <c r="M14" s="91">
        <v>79</v>
      </c>
      <c r="N14" s="91"/>
      <c r="O14" s="308">
        <f t="shared" si="2"/>
        <v>79</v>
      </c>
      <c r="P14" s="91"/>
      <c r="Q14" s="91"/>
      <c r="R14" s="91">
        <v>79</v>
      </c>
      <c r="S14" s="91"/>
      <c r="T14" s="308">
        <f t="shared" si="3"/>
        <v>79</v>
      </c>
      <c r="U14" s="91"/>
      <c r="V14" s="91"/>
      <c r="W14" s="91">
        <v>79</v>
      </c>
      <c r="X14" s="91"/>
      <c r="Y14" s="308">
        <f t="shared" si="4"/>
        <v>79</v>
      </c>
      <c r="Z14" s="91"/>
      <c r="AA14" s="91"/>
      <c r="AB14" s="91"/>
      <c r="AC14" s="91"/>
      <c r="AD14" s="308" t="str">
        <f t="shared" si="5"/>
        <v/>
      </c>
      <c r="AE14" s="91"/>
      <c r="AF14" s="91"/>
      <c r="AG14" s="91"/>
      <c r="AH14" s="91"/>
      <c r="AI14" s="308" t="str">
        <f t="shared" si="6"/>
        <v/>
      </c>
      <c r="AJ14" s="91"/>
      <c r="AK14" s="91"/>
      <c r="AL14" s="91"/>
      <c r="AM14" s="91"/>
      <c r="AN14" s="308" t="str">
        <f t="shared" si="7"/>
        <v/>
      </c>
      <c r="AO14" s="91"/>
      <c r="AP14" s="91"/>
      <c r="AQ14" s="91"/>
      <c r="AR14" s="91"/>
      <c r="AS14" s="308" t="str">
        <f t="shared" si="8"/>
        <v/>
      </c>
      <c r="AT14" s="91"/>
      <c r="AU14" s="91"/>
      <c r="AV14" s="91"/>
      <c r="AW14" s="91"/>
      <c r="AX14" s="308" t="str">
        <f t="shared" si="9"/>
        <v/>
      </c>
      <c r="AY14" s="91"/>
      <c r="AZ14" s="91"/>
      <c r="BA14" s="91"/>
      <c r="BB14" s="91"/>
      <c r="BC14" s="308" t="str">
        <f t="shared" si="10"/>
        <v/>
      </c>
      <c r="BD14" s="309">
        <f t="shared" si="11"/>
        <v>79</v>
      </c>
      <c r="BE14" s="310">
        <f t="shared" si="0"/>
        <v>79</v>
      </c>
      <c r="BF14" s="311">
        <f t="shared" si="12"/>
        <v>79</v>
      </c>
      <c r="BG14" s="312" t="str">
        <f t="shared" si="13"/>
        <v>B</v>
      </c>
      <c r="BH14" s="106" t="str">
        <f t="shared" si="14"/>
        <v>TUNTAS</v>
      </c>
      <c r="BI14" s="107" t="str">
        <f t="shared" si="15"/>
        <v>Terampil</v>
      </c>
      <c r="BJ14" s="116" t="str">
        <f>IF(BD14="","",VLOOKUP(BD14,DATAKET!$T$3:$U$12,2,FALSE))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4"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5" spans="1:63" ht="16.5">
      <c r="A15" s="107">
        <f>'DATA SISWA'!A15</f>
        <v>11</v>
      </c>
      <c r="B15" s="107" t="str">
        <f>'DATA SISWA'!B15</f>
        <v>`013</v>
      </c>
      <c r="C15" s="116" t="str">
        <f>'DATA SISWA'!C15</f>
        <v>Latifah</v>
      </c>
      <c r="D15" s="107" t="str">
        <f>'DATA SISWA'!D15</f>
        <v>P</v>
      </c>
      <c r="E15" s="107" t="str">
        <f>'DATA SISWA'!E15</f>
        <v>VII</v>
      </c>
      <c r="F15" s="91"/>
      <c r="G15" s="406"/>
      <c r="H15" s="91">
        <v>80</v>
      </c>
      <c r="I15" s="91"/>
      <c r="J15" s="308">
        <f t="shared" si="1"/>
        <v>80</v>
      </c>
      <c r="K15" s="91"/>
      <c r="L15" s="406"/>
      <c r="M15" s="91">
        <v>80</v>
      </c>
      <c r="N15" s="91"/>
      <c r="O15" s="308">
        <f t="shared" si="2"/>
        <v>80</v>
      </c>
      <c r="P15" s="91"/>
      <c r="Q15" s="91"/>
      <c r="R15" s="91">
        <v>80</v>
      </c>
      <c r="S15" s="91"/>
      <c r="T15" s="308">
        <f t="shared" si="3"/>
        <v>80</v>
      </c>
      <c r="U15" s="91"/>
      <c r="V15" s="91"/>
      <c r="W15" s="91">
        <v>80</v>
      </c>
      <c r="X15" s="91"/>
      <c r="Y15" s="308">
        <f t="shared" si="4"/>
        <v>80</v>
      </c>
      <c r="Z15" s="91"/>
      <c r="AA15" s="91"/>
      <c r="AB15" s="91"/>
      <c r="AC15" s="91"/>
      <c r="AD15" s="308" t="str">
        <f t="shared" si="5"/>
        <v/>
      </c>
      <c r="AE15" s="91"/>
      <c r="AF15" s="91"/>
      <c r="AG15" s="91"/>
      <c r="AH15" s="91"/>
      <c r="AI15" s="308" t="str">
        <f t="shared" si="6"/>
        <v/>
      </c>
      <c r="AJ15" s="91"/>
      <c r="AK15" s="91"/>
      <c r="AL15" s="91"/>
      <c r="AM15" s="91"/>
      <c r="AN15" s="308" t="str">
        <f t="shared" si="7"/>
        <v/>
      </c>
      <c r="AO15" s="91"/>
      <c r="AP15" s="91"/>
      <c r="AQ15" s="91"/>
      <c r="AR15" s="91"/>
      <c r="AS15" s="308" t="str">
        <f t="shared" si="8"/>
        <v/>
      </c>
      <c r="AT15" s="91"/>
      <c r="AU15" s="91"/>
      <c r="AV15" s="91"/>
      <c r="AW15" s="91"/>
      <c r="AX15" s="308" t="str">
        <f t="shared" si="9"/>
        <v/>
      </c>
      <c r="AY15" s="91"/>
      <c r="AZ15" s="91"/>
      <c r="BA15" s="91"/>
      <c r="BB15" s="91"/>
      <c r="BC15" s="308" t="str">
        <f t="shared" si="10"/>
        <v/>
      </c>
      <c r="BD15" s="309">
        <f t="shared" si="11"/>
        <v>80</v>
      </c>
      <c r="BE15" s="310">
        <f t="shared" si="0"/>
        <v>80</v>
      </c>
      <c r="BF15" s="311">
        <f t="shared" si="12"/>
        <v>80</v>
      </c>
      <c r="BG15" s="312" t="str">
        <f t="shared" si="13"/>
        <v>B</v>
      </c>
      <c r="BH15" s="106" t="str">
        <f t="shared" si="14"/>
        <v>TUNTAS</v>
      </c>
      <c r="BI15" s="107" t="str">
        <f t="shared" si="15"/>
        <v>Terampil</v>
      </c>
      <c r="BJ15" s="116" t="str">
        <f>IF(BD15="","",VLOOKUP(BD15,DATAKET!$V$3:$W$12,2,FALSE))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5"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6" spans="1:63" ht="16.5">
      <c r="A16" s="107">
        <f>'DATA SISWA'!A16</f>
        <v>12</v>
      </c>
      <c r="B16" s="107" t="str">
        <f>'DATA SISWA'!B16</f>
        <v>`018</v>
      </c>
      <c r="C16" s="116" t="str">
        <f>'DATA SISWA'!C16</f>
        <v>Maya</v>
      </c>
      <c r="D16" s="107" t="str">
        <f>'DATA SISWA'!D16</f>
        <v>P</v>
      </c>
      <c r="E16" s="107" t="str">
        <f>'DATA SISWA'!E16</f>
        <v>VII</v>
      </c>
      <c r="F16" s="91"/>
      <c r="G16" s="406"/>
      <c r="H16" s="91">
        <v>80</v>
      </c>
      <c r="I16" s="91"/>
      <c r="J16" s="308">
        <f t="shared" si="1"/>
        <v>80</v>
      </c>
      <c r="K16" s="91"/>
      <c r="L16" s="406"/>
      <c r="M16" s="91">
        <v>80</v>
      </c>
      <c r="N16" s="91"/>
      <c r="O16" s="308">
        <f t="shared" si="2"/>
        <v>80</v>
      </c>
      <c r="P16" s="91"/>
      <c r="Q16" s="91"/>
      <c r="R16" s="91">
        <v>80</v>
      </c>
      <c r="S16" s="91"/>
      <c r="T16" s="308">
        <f t="shared" si="3"/>
        <v>80</v>
      </c>
      <c r="U16" s="91"/>
      <c r="V16" s="91"/>
      <c r="W16" s="91">
        <v>80</v>
      </c>
      <c r="X16" s="91"/>
      <c r="Y16" s="308">
        <f t="shared" si="4"/>
        <v>80</v>
      </c>
      <c r="Z16" s="91"/>
      <c r="AA16" s="91"/>
      <c r="AB16" s="91"/>
      <c r="AC16" s="91"/>
      <c r="AD16" s="308" t="str">
        <f t="shared" si="5"/>
        <v/>
      </c>
      <c r="AE16" s="91"/>
      <c r="AF16" s="91"/>
      <c r="AG16" s="91"/>
      <c r="AH16" s="91"/>
      <c r="AI16" s="308" t="str">
        <f t="shared" si="6"/>
        <v/>
      </c>
      <c r="AJ16" s="91"/>
      <c r="AK16" s="91"/>
      <c r="AL16" s="91"/>
      <c r="AM16" s="91"/>
      <c r="AN16" s="308" t="str">
        <f t="shared" si="7"/>
        <v/>
      </c>
      <c r="AO16" s="91"/>
      <c r="AP16" s="91"/>
      <c r="AQ16" s="91"/>
      <c r="AR16" s="91"/>
      <c r="AS16" s="308" t="str">
        <f t="shared" si="8"/>
        <v/>
      </c>
      <c r="AT16" s="91"/>
      <c r="AU16" s="91"/>
      <c r="AV16" s="91"/>
      <c r="AW16" s="91"/>
      <c r="AX16" s="308" t="str">
        <f t="shared" si="9"/>
        <v/>
      </c>
      <c r="AY16" s="91"/>
      <c r="AZ16" s="91"/>
      <c r="BA16" s="91"/>
      <c r="BB16" s="91"/>
      <c r="BC16" s="308" t="str">
        <f t="shared" si="10"/>
        <v/>
      </c>
      <c r="BD16" s="309">
        <f t="shared" si="11"/>
        <v>80</v>
      </c>
      <c r="BE16" s="310">
        <f t="shared" si="0"/>
        <v>80</v>
      </c>
      <c r="BF16" s="311">
        <f t="shared" si="12"/>
        <v>80</v>
      </c>
      <c r="BG16" s="312" t="str">
        <f t="shared" si="13"/>
        <v>B</v>
      </c>
      <c r="BH16" s="106" t="str">
        <f t="shared" si="14"/>
        <v>TUNTAS</v>
      </c>
      <c r="BI16" s="107" t="str">
        <f t="shared" si="15"/>
        <v>Terampil</v>
      </c>
      <c r="BJ16" s="116" t="str">
        <f>IF(BD16="","",VLOOKUP(BD16,DATAKET!$X$3:$Y$12,2,FALSE))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6"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7" spans="1:63" ht="16.5">
      <c r="A17" s="107">
        <f>'DATA SISWA'!A17</f>
        <v>13</v>
      </c>
      <c r="B17" s="107" t="str">
        <f>'DATA SISWA'!B17</f>
        <v>`016</v>
      </c>
      <c r="C17" s="116" t="str">
        <f>'DATA SISWA'!C17</f>
        <v>Ma`ruf</v>
      </c>
      <c r="D17" s="107" t="str">
        <f>'DATA SISWA'!D17</f>
        <v>L</v>
      </c>
      <c r="E17" s="107" t="str">
        <f>'DATA SISWA'!E17</f>
        <v>VII</v>
      </c>
      <c r="F17" s="91"/>
      <c r="G17" s="406"/>
      <c r="H17" s="91">
        <v>79</v>
      </c>
      <c r="I17" s="91"/>
      <c r="J17" s="308">
        <f t="shared" si="1"/>
        <v>79</v>
      </c>
      <c r="K17" s="91"/>
      <c r="L17" s="406"/>
      <c r="M17" s="91">
        <v>79</v>
      </c>
      <c r="N17" s="91"/>
      <c r="O17" s="308">
        <f t="shared" si="2"/>
        <v>79</v>
      </c>
      <c r="P17" s="91"/>
      <c r="Q17" s="91"/>
      <c r="R17" s="91">
        <v>79</v>
      </c>
      <c r="S17" s="91"/>
      <c r="T17" s="308">
        <f t="shared" si="3"/>
        <v>79</v>
      </c>
      <c r="U17" s="91"/>
      <c r="V17" s="91"/>
      <c r="W17" s="91">
        <v>79</v>
      </c>
      <c r="X17" s="91"/>
      <c r="Y17" s="308">
        <f t="shared" si="4"/>
        <v>79</v>
      </c>
      <c r="Z17" s="91"/>
      <c r="AA17" s="91"/>
      <c r="AB17" s="91"/>
      <c r="AC17" s="91"/>
      <c r="AD17" s="308" t="str">
        <f t="shared" si="5"/>
        <v/>
      </c>
      <c r="AE17" s="91"/>
      <c r="AF17" s="91"/>
      <c r="AG17" s="91"/>
      <c r="AH17" s="91"/>
      <c r="AI17" s="308" t="str">
        <f t="shared" si="6"/>
        <v/>
      </c>
      <c r="AJ17" s="91"/>
      <c r="AK17" s="91"/>
      <c r="AL17" s="91"/>
      <c r="AM17" s="91"/>
      <c r="AN17" s="308" t="str">
        <f t="shared" si="7"/>
        <v/>
      </c>
      <c r="AO17" s="91"/>
      <c r="AP17" s="91"/>
      <c r="AQ17" s="91"/>
      <c r="AR17" s="91"/>
      <c r="AS17" s="308" t="str">
        <f t="shared" si="8"/>
        <v/>
      </c>
      <c r="AT17" s="91"/>
      <c r="AU17" s="91"/>
      <c r="AV17" s="91"/>
      <c r="AW17" s="91"/>
      <c r="AX17" s="308" t="str">
        <f t="shared" si="9"/>
        <v/>
      </c>
      <c r="AY17" s="91"/>
      <c r="AZ17" s="91"/>
      <c r="BA17" s="91"/>
      <c r="BB17" s="91"/>
      <c r="BC17" s="308" t="str">
        <f t="shared" si="10"/>
        <v/>
      </c>
      <c r="BD17" s="309">
        <f t="shared" si="11"/>
        <v>79</v>
      </c>
      <c r="BE17" s="310">
        <f t="shared" si="0"/>
        <v>79</v>
      </c>
      <c r="BF17" s="311">
        <f t="shared" si="12"/>
        <v>79</v>
      </c>
      <c r="BG17" s="312" t="str">
        <f t="shared" si="13"/>
        <v>B</v>
      </c>
      <c r="BH17" s="106" t="str">
        <f t="shared" si="14"/>
        <v>TUNTAS</v>
      </c>
      <c r="BI17" s="107" t="str">
        <f t="shared" si="15"/>
        <v>Terampil</v>
      </c>
      <c r="BJ17" s="116" t="str">
        <f>IF(BD17="","",VLOOKUP(BD17,DATAKET!$Z$3:$AA$12,2,FALSE))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7"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8" spans="1:63" ht="16.5">
      <c r="A18" s="107">
        <f>'DATA SISWA'!A18</f>
        <v>14</v>
      </c>
      <c r="B18" s="107" t="str">
        <f>'DATA SISWA'!B18</f>
        <v>`020</v>
      </c>
      <c r="C18" s="116" t="str">
        <f>'DATA SISWA'!C18</f>
        <v>Nia Ramadani</v>
      </c>
      <c r="D18" s="107" t="str">
        <f>'DATA SISWA'!D18</f>
        <v>P</v>
      </c>
      <c r="E18" s="107" t="str">
        <f>'DATA SISWA'!E18</f>
        <v>VII</v>
      </c>
      <c r="F18" s="91"/>
      <c r="G18" s="406"/>
      <c r="H18" s="91">
        <v>78</v>
      </c>
      <c r="I18" s="91"/>
      <c r="J18" s="308">
        <f t="shared" si="1"/>
        <v>78</v>
      </c>
      <c r="K18" s="91"/>
      <c r="L18" s="406"/>
      <c r="M18" s="91">
        <v>78</v>
      </c>
      <c r="N18" s="91"/>
      <c r="O18" s="308">
        <f t="shared" si="2"/>
        <v>78</v>
      </c>
      <c r="P18" s="91"/>
      <c r="Q18" s="91"/>
      <c r="R18" s="91">
        <v>78</v>
      </c>
      <c r="S18" s="91"/>
      <c r="T18" s="308">
        <f t="shared" si="3"/>
        <v>78</v>
      </c>
      <c r="U18" s="91"/>
      <c r="V18" s="91"/>
      <c r="W18" s="91">
        <v>78</v>
      </c>
      <c r="X18" s="91"/>
      <c r="Y18" s="308">
        <f t="shared" si="4"/>
        <v>78</v>
      </c>
      <c r="Z18" s="91"/>
      <c r="AA18" s="91"/>
      <c r="AB18" s="91"/>
      <c r="AC18" s="91"/>
      <c r="AD18" s="308" t="str">
        <f t="shared" si="5"/>
        <v/>
      </c>
      <c r="AE18" s="91"/>
      <c r="AF18" s="91"/>
      <c r="AG18" s="91"/>
      <c r="AH18" s="91"/>
      <c r="AI18" s="308" t="str">
        <f t="shared" si="6"/>
        <v/>
      </c>
      <c r="AJ18" s="91"/>
      <c r="AK18" s="91"/>
      <c r="AL18" s="91"/>
      <c r="AM18" s="91"/>
      <c r="AN18" s="308" t="str">
        <f t="shared" si="7"/>
        <v/>
      </c>
      <c r="AO18" s="91"/>
      <c r="AP18" s="91"/>
      <c r="AQ18" s="91"/>
      <c r="AR18" s="91"/>
      <c r="AS18" s="308" t="str">
        <f t="shared" si="8"/>
        <v/>
      </c>
      <c r="AT18" s="91"/>
      <c r="AU18" s="91"/>
      <c r="AV18" s="91"/>
      <c r="AW18" s="91"/>
      <c r="AX18" s="308" t="str">
        <f t="shared" si="9"/>
        <v/>
      </c>
      <c r="AY18" s="91"/>
      <c r="AZ18" s="91"/>
      <c r="BA18" s="91"/>
      <c r="BB18" s="91"/>
      <c r="BC18" s="308" t="str">
        <f t="shared" si="10"/>
        <v/>
      </c>
      <c r="BD18" s="309">
        <f t="shared" si="11"/>
        <v>78</v>
      </c>
      <c r="BE18" s="310">
        <f t="shared" si="0"/>
        <v>78</v>
      </c>
      <c r="BF18" s="311">
        <f t="shared" si="12"/>
        <v>78</v>
      </c>
      <c r="BG18" s="312" t="str">
        <f t="shared" si="13"/>
        <v>B</v>
      </c>
      <c r="BH18" s="106" t="str">
        <f t="shared" si="14"/>
        <v>TUNTAS</v>
      </c>
      <c r="BI18" s="107" t="str">
        <f t="shared" si="15"/>
        <v>Terampil</v>
      </c>
      <c r="BJ18" s="116" t="str">
        <f>IF(BD18="","",VLOOKUP(BD18,DATAKET!$AB$3:$AC$12,2,FALSE))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8"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19" spans="1:63" ht="16.5">
      <c r="A19" s="107">
        <f>'DATA SISWA'!A19</f>
        <v>15</v>
      </c>
      <c r="B19" s="107" t="str">
        <f>'DATA SISWA'!B19</f>
        <v>`012</v>
      </c>
      <c r="C19" s="116" t="str">
        <f>'DATA SISWA'!C19</f>
        <v>Ningsih Rahmawati</v>
      </c>
      <c r="D19" s="107" t="str">
        <f>'DATA SISWA'!D19</f>
        <v>P</v>
      </c>
      <c r="E19" s="107" t="str">
        <f>'DATA SISWA'!E19</f>
        <v>VII</v>
      </c>
      <c r="F19" s="91"/>
      <c r="G19" s="406"/>
      <c r="H19" s="91">
        <v>79</v>
      </c>
      <c r="I19" s="91"/>
      <c r="J19" s="308">
        <f t="shared" si="1"/>
        <v>79</v>
      </c>
      <c r="K19" s="91"/>
      <c r="L19" s="406"/>
      <c r="M19" s="91">
        <v>79</v>
      </c>
      <c r="N19" s="91"/>
      <c r="O19" s="308">
        <f t="shared" si="2"/>
        <v>79</v>
      </c>
      <c r="P19" s="91"/>
      <c r="Q19" s="91"/>
      <c r="R19" s="91">
        <v>79</v>
      </c>
      <c r="S19" s="91"/>
      <c r="T19" s="308">
        <f t="shared" si="3"/>
        <v>79</v>
      </c>
      <c r="U19" s="91"/>
      <c r="V19" s="91"/>
      <c r="W19" s="91">
        <v>79</v>
      </c>
      <c r="X19" s="91"/>
      <c r="Y19" s="308">
        <f t="shared" si="4"/>
        <v>79</v>
      </c>
      <c r="Z19" s="91"/>
      <c r="AA19" s="91"/>
      <c r="AB19" s="91"/>
      <c r="AC19" s="91"/>
      <c r="AD19" s="308" t="str">
        <f t="shared" si="5"/>
        <v/>
      </c>
      <c r="AE19" s="91"/>
      <c r="AF19" s="91"/>
      <c r="AG19" s="91"/>
      <c r="AH19" s="91"/>
      <c r="AI19" s="308" t="str">
        <f t="shared" si="6"/>
        <v/>
      </c>
      <c r="AJ19" s="91"/>
      <c r="AK19" s="91"/>
      <c r="AL19" s="91"/>
      <c r="AM19" s="91"/>
      <c r="AN19" s="308" t="str">
        <f t="shared" si="7"/>
        <v/>
      </c>
      <c r="AO19" s="91"/>
      <c r="AP19" s="91"/>
      <c r="AQ19" s="91"/>
      <c r="AR19" s="91"/>
      <c r="AS19" s="308" t="str">
        <f t="shared" si="8"/>
        <v/>
      </c>
      <c r="AT19" s="91"/>
      <c r="AU19" s="91"/>
      <c r="AV19" s="91"/>
      <c r="AW19" s="91"/>
      <c r="AX19" s="308" t="str">
        <f t="shared" si="9"/>
        <v/>
      </c>
      <c r="AY19" s="91"/>
      <c r="AZ19" s="91"/>
      <c r="BA19" s="91"/>
      <c r="BB19" s="91"/>
      <c r="BC19" s="308" t="str">
        <f t="shared" si="10"/>
        <v/>
      </c>
      <c r="BD19" s="309">
        <f t="shared" si="11"/>
        <v>79</v>
      </c>
      <c r="BE19" s="310">
        <f t="shared" si="0"/>
        <v>79</v>
      </c>
      <c r="BF19" s="311">
        <f t="shared" si="12"/>
        <v>79</v>
      </c>
      <c r="BG19" s="312" t="str">
        <f t="shared" si="13"/>
        <v>B</v>
      </c>
      <c r="BH19" s="106" t="str">
        <f t="shared" si="14"/>
        <v>TUNTAS</v>
      </c>
      <c r="BI19" s="107" t="str">
        <f t="shared" si="15"/>
        <v>Terampil</v>
      </c>
      <c r="BJ19" s="116" t="str">
        <f>IF(BD19="","",VLOOKUP(BD19,DATAKET!$AD$3:$AE$12,2,FALSE))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19"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0" spans="1:63" ht="16.5">
      <c r="A20" s="107">
        <f>'DATA SISWA'!A20</f>
        <v>16</v>
      </c>
      <c r="B20" s="107" t="str">
        <f>'DATA SISWA'!B20</f>
        <v>`007</v>
      </c>
      <c r="C20" s="116" t="str">
        <f>'DATA SISWA'!C20</f>
        <v>Nurhayati</v>
      </c>
      <c r="D20" s="107" t="str">
        <f>'DATA SISWA'!D20</f>
        <v>P</v>
      </c>
      <c r="E20" s="107" t="str">
        <f>'DATA SISWA'!E20</f>
        <v>VII</v>
      </c>
      <c r="F20" s="91"/>
      <c r="G20" s="406"/>
      <c r="H20" s="91">
        <v>80</v>
      </c>
      <c r="I20" s="91"/>
      <c r="J20" s="308">
        <f t="shared" si="1"/>
        <v>80</v>
      </c>
      <c r="K20" s="91"/>
      <c r="L20" s="406"/>
      <c r="M20" s="91">
        <v>80</v>
      </c>
      <c r="N20" s="91"/>
      <c r="O20" s="308">
        <f t="shared" si="2"/>
        <v>80</v>
      </c>
      <c r="P20" s="91"/>
      <c r="Q20" s="91"/>
      <c r="R20" s="91">
        <v>80</v>
      </c>
      <c r="S20" s="91"/>
      <c r="T20" s="308">
        <f t="shared" si="3"/>
        <v>80</v>
      </c>
      <c r="U20" s="91"/>
      <c r="V20" s="91"/>
      <c r="W20" s="91">
        <v>80</v>
      </c>
      <c r="X20" s="91"/>
      <c r="Y20" s="308">
        <f t="shared" si="4"/>
        <v>80</v>
      </c>
      <c r="Z20" s="91"/>
      <c r="AA20" s="91"/>
      <c r="AB20" s="91"/>
      <c r="AC20" s="91"/>
      <c r="AD20" s="308" t="str">
        <f t="shared" si="5"/>
        <v/>
      </c>
      <c r="AE20" s="91"/>
      <c r="AF20" s="91"/>
      <c r="AG20" s="91"/>
      <c r="AH20" s="91"/>
      <c r="AI20" s="308" t="str">
        <f t="shared" si="6"/>
        <v/>
      </c>
      <c r="AJ20" s="91"/>
      <c r="AK20" s="91"/>
      <c r="AL20" s="91"/>
      <c r="AM20" s="91"/>
      <c r="AN20" s="308" t="str">
        <f t="shared" si="7"/>
        <v/>
      </c>
      <c r="AO20" s="91"/>
      <c r="AP20" s="91"/>
      <c r="AQ20" s="91"/>
      <c r="AR20" s="91"/>
      <c r="AS20" s="308" t="str">
        <f t="shared" si="8"/>
        <v/>
      </c>
      <c r="AT20" s="91"/>
      <c r="AU20" s="91"/>
      <c r="AV20" s="91"/>
      <c r="AW20" s="91"/>
      <c r="AX20" s="308" t="str">
        <f t="shared" si="9"/>
        <v/>
      </c>
      <c r="AY20" s="91"/>
      <c r="AZ20" s="91"/>
      <c r="BA20" s="91"/>
      <c r="BB20" s="91"/>
      <c r="BC20" s="308" t="str">
        <f t="shared" si="10"/>
        <v/>
      </c>
      <c r="BD20" s="309">
        <f t="shared" si="11"/>
        <v>80</v>
      </c>
      <c r="BE20" s="310">
        <f t="shared" si="0"/>
        <v>80</v>
      </c>
      <c r="BF20" s="311">
        <f t="shared" si="12"/>
        <v>80</v>
      </c>
      <c r="BG20" s="312" t="str">
        <f t="shared" si="13"/>
        <v>B</v>
      </c>
      <c r="BH20" s="106" t="str">
        <f t="shared" si="14"/>
        <v>TUNTAS</v>
      </c>
      <c r="BI20" s="107" t="str">
        <f t="shared" si="15"/>
        <v>Terampil</v>
      </c>
      <c r="BJ20" s="116" t="str">
        <f>IF(BD20="","",VLOOKUP(BD20,DATAKET!$AF$3:$AG$12,2,FALSE))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20"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1" spans="1:63" ht="16.5">
      <c r="A21" s="107">
        <f>'DATA SISWA'!A21</f>
        <v>17</v>
      </c>
      <c r="B21" s="107" t="str">
        <f>'DATA SISWA'!B21</f>
        <v>`004</v>
      </c>
      <c r="C21" s="116" t="str">
        <f>'DATA SISWA'!C21</f>
        <v>Nur Aini</v>
      </c>
      <c r="D21" s="107" t="str">
        <f>'DATA SISWA'!D21</f>
        <v>P</v>
      </c>
      <c r="E21" s="107" t="str">
        <f>'DATA SISWA'!E21</f>
        <v>VII</v>
      </c>
      <c r="F21" s="91"/>
      <c r="G21" s="406"/>
      <c r="H21" s="91">
        <v>80</v>
      </c>
      <c r="I21" s="91"/>
      <c r="J21" s="308">
        <f t="shared" si="1"/>
        <v>80</v>
      </c>
      <c r="K21" s="91"/>
      <c r="L21" s="406"/>
      <c r="M21" s="91">
        <v>80</v>
      </c>
      <c r="N21" s="91"/>
      <c r="O21" s="308">
        <f t="shared" si="2"/>
        <v>80</v>
      </c>
      <c r="P21" s="91"/>
      <c r="Q21" s="91"/>
      <c r="R21" s="91">
        <v>80</v>
      </c>
      <c r="S21" s="91"/>
      <c r="T21" s="308">
        <f t="shared" si="3"/>
        <v>80</v>
      </c>
      <c r="U21" s="91"/>
      <c r="V21" s="91"/>
      <c r="W21" s="91">
        <v>80</v>
      </c>
      <c r="X21" s="91"/>
      <c r="Y21" s="308">
        <f t="shared" si="4"/>
        <v>80</v>
      </c>
      <c r="Z21" s="91"/>
      <c r="AA21" s="91"/>
      <c r="AB21" s="91"/>
      <c r="AC21" s="91"/>
      <c r="AD21" s="308" t="str">
        <f t="shared" si="5"/>
        <v/>
      </c>
      <c r="AE21" s="91"/>
      <c r="AF21" s="91"/>
      <c r="AG21" s="91"/>
      <c r="AH21" s="91"/>
      <c r="AI21" s="308" t="str">
        <f t="shared" si="6"/>
        <v/>
      </c>
      <c r="AJ21" s="91"/>
      <c r="AK21" s="91"/>
      <c r="AL21" s="91"/>
      <c r="AM21" s="91"/>
      <c r="AN21" s="308" t="str">
        <f t="shared" si="7"/>
        <v/>
      </c>
      <c r="AO21" s="91"/>
      <c r="AP21" s="91"/>
      <c r="AQ21" s="91"/>
      <c r="AR21" s="91"/>
      <c r="AS21" s="308" t="str">
        <f t="shared" si="8"/>
        <v/>
      </c>
      <c r="AT21" s="91"/>
      <c r="AU21" s="91"/>
      <c r="AV21" s="91"/>
      <c r="AW21" s="91"/>
      <c r="AX21" s="308" t="str">
        <f t="shared" si="9"/>
        <v/>
      </c>
      <c r="AY21" s="91"/>
      <c r="AZ21" s="91"/>
      <c r="BA21" s="91"/>
      <c r="BB21" s="91"/>
      <c r="BC21" s="308" t="str">
        <f t="shared" si="10"/>
        <v/>
      </c>
      <c r="BD21" s="309">
        <f t="shared" si="11"/>
        <v>80</v>
      </c>
      <c r="BE21" s="310">
        <f t="shared" si="0"/>
        <v>80</v>
      </c>
      <c r="BF21" s="311">
        <f t="shared" si="12"/>
        <v>80</v>
      </c>
      <c r="BG21" s="312" t="str">
        <f t="shared" si="13"/>
        <v>B</v>
      </c>
      <c r="BH21" s="106" t="str">
        <f t="shared" si="14"/>
        <v>TUNTAS</v>
      </c>
      <c r="BI21" s="107" t="str">
        <f t="shared" si="15"/>
        <v>Terampil</v>
      </c>
      <c r="BJ21" s="116" t="str">
        <f>IF(BD21="","",VLOOKUP(BD21,DATAKET!$AH$3:$AI$12,2,FALSE))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21"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2" spans="1:63" ht="16.5">
      <c r="A22" s="107">
        <f>'DATA SISWA'!A22</f>
        <v>18</v>
      </c>
      <c r="B22" s="107" t="str">
        <f>'DATA SISWA'!B22</f>
        <v>`001</v>
      </c>
      <c r="C22" s="116" t="str">
        <f>'DATA SISWA'!C22</f>
        <v>Rofiah</v>
      </c>
      <c r="D22" s="107" t="str">
        <f>'DATA SISWA'!D22</f>
        <v>P</v>
      </c>
      <c r="E22" s="107" t="str">
        <f>'DATA SISWA'!E22</f>
        <v>VII</v>
      </c>
      <c r="F22" s="91"/>
      <c r="G22" s="406"/>
      <c r="H22" s="91">
        <v>79</v>
      </c>
      <c r="I22" s="91"/>
      <c r="J22" s="308">
        <f t="shared" si="1"/>
        <v>79</v>
      </c>
      <c r="K22" s="91"/>
      <c r="L22" s="406"/>
      <c r="M22" s="91">
        <v>79</v>
      </c>
      <c r="N22" s="91"/>
      <c r="O22" s="308">
        <f t="shared" si="2"/>
        <v>79</v>
      </c>
      <c r="P22" s="91"/>
      <c r="Q22" s="91"/>
      <c r="R22" s="91">
        <v>79</v>
      </c>
      <c r="S22" s="91"/>
      <c r="T22" s="308">
        <f t="shared" si="3"/>
        <v>79</v>
      </c>
      <c r="U22" s="91"/>
      <c r="V22" s="91"/>
      <c r="W22" s="91">
        <v>79</v>
      </c>
      <c r="X22" s="91"/>
      <c r="Y22" s="308">
        <f t="shared" si="4"/>
        <v>79</v>
      </c>
      <c r="Z22" s="91"/>
      <c r="AA22" s="91"/>
      <c r="AB22" s="91"/>
      <c r="AC22" s="91"/>
      <c r="AD22" s="308" t="str">
        <f t="shared" si="5"/>
        <v/>
      </c>
      <c r="AE22" s="91"/>
      <c r="AF22" s="91"/>
      <c r="AG22" s="91"/>
      <c r="AH22" s="91"/>
      <c r="AI22" s="308" t="str">
        <f t="shared" si="6"/>
        <v/>
      </c>
      <c r="AJ22" s="91"/>
      <c r="AK22" s="91"/>
      <c r="AL22" s="91"/>
      <c r="AM22" s="91"/>
      <c r="AN22" s="308" t="str">
        <f t="shared" si="7"/>
        <v/>
      </c>
      <c r="AO22" s="91"/>
      <c r="AP22" s="91"/>
      <c r="AQ22" s="91"/>
      <c r="AR22" s="91"/>
      <c r="AS22" s="308" t="str">
        <f t="shared" si="8"/>
        <v/>
      </c>
      <c r="AT22" s="91"/>
      <c r="AU22" s="91"/>
      <c r="AV22" s="91"/>
      <c r="AW22" s="91"/>
      <c r="AX22" s="308" t="str">
        <f t="shared" si="9"/>
        <v/>
      </c>
      <c r="AY22" s="91"/>
      <c r="AZ22" s="91"/>
      <c r="BA22" s="91"/>
      <c r="BB22" s="91"/>
      <c r="BC22" s="308" t="str">
        <f t="shared" si="10"/>
        <v/>
      </c>
      <c r="BD22" s="309">
        <f t="shared" si="11"/>
        <v>79</v>
      </c>
      <c r="BE22" s="310">
        <f t="shared" si="0"/>
        <v>79</v>
      </c>
      <c r="BF22" s="311">
        <f t="shared" si="12"/>
        <v>79</v>
      </c>
      <c r="BG22" s="312" t="str">
        <f t="shared" si="13"/>
        <v>B</v>
      </c>
      <c r="BH22" s="106" t="str">
        <f t="shared" si="14"/>
        <v>TUNTAS</v>
      </c>
      <c r="BI22" s="107" t="str">
        <f t="shared" si="15"/>
        <v>Terampil</v>
      </c>
      <c r="BJ22" s="116" t="str">
        <f>IF(BD22="","",VLOOKUP(BD22,DATAKET!$AJ$3:$AK$12,2,FALSE))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22"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3" spans="1:63" ht="16.5">
      <c r="A23" s="107">
        <f>'DATA SISWA'!A23</f>
        <v>19</v>
      </c>
      <c r="B23" s="107" t="str">
        <f>'DATA SISWA'!B23</f>
        <v>`015</v>
      </c>
      <c r="C23" s="116" t="str">
        <f>'DATA SISWA'!C23</f>
        <v>Romliadi</v>
      </c>
      <c r="D23" s="107" t="str">
        <f>'DATA SISWA'!D23</f>
        <v>L</v>
      </c>
      <c r="E23" s="107" t="str">
        <f>'DATA SISWA'!E23</f>
        <v>VII</v>
      </c>
      <c r="F23" s="91"/>
      <c r="G23" s="406"/>
      <c r="H23" s="91">
        <v>78</v>
      </c>
      <c r="I23" s="91"/>
      <c r="J23" s="308">
        <f t="shared" si="1"/>
        <v>78</v>
      </c>
      <c r="K23" s="91"/>
      <c r="L23" s="406"/>
      <c r="M23" s="91">
        <v>78</v>
      </c>
      <c r="N23" s="91"/>
      <c r="O23" s="308">
        <f t="shared" si="2"/>
        <v>78</v>
      </c>
      <c r="P23" s="91"/>
      <c r="Q23" s="91"/>
      <c r="R23" s="91">
        <v>78</v>
      </c>
      <c r="S23" s="91"/>
      <c r="T23" s="308">
        <f t="shared" si="3"/>
        <v>78</v>
      </c>
      <c r="U23" s="91"/>
      <c r="V23" s="91"/>
      <c r="W23" s="91">
        <v>78</v>
      </c>
      <c r="X23" s="91"/>
      <c r="Y23" s="308">
        <f t="shared" si="4"/>
        <v>78</v>
      </c>
      <c r="Z23" s="91"/>
      <c r="AA23" s="91"/>
      <c r="AB23" s="91"/>
      <c r="AC23" s="91"/>
      <c r="AD23" s="308" t="str">
        <f t="shared" si="5"/>
        <v/>
      </c>
      <c r="AE23" s="91"/>
      <c r="AF23" s="91"/>
      <c r="AG23" s="91"/>
      <c r="AH23" s="91"/>
      <c r="AI23" s="308" t="str">
        <f t="shared" si="6"/>
        <v/>
      </c>
      <c r="AJ23" s="91"/>
      <c r="AK23" s="91"/>
      <c r="AL23" s="91"/>
      <c r="AM23" s="91"/>
      <c r="AN23" s="308" t="str">
        <f t="shared" si="7"/>
        <v/>
      </c>
      <c r="AO23" s="91"/>
      <c r="AP23" s="91"/>
      <c r="AQ23" s="91"/>
      <c r="AR23" s="91"/>
      <c r="AS23" s="308" t="str">
        <f t="shared" si="8"/>
        <v/>
      </c>
      <c r="AT23" s="91"/>
      <c r="AU23" s="91"/>
      <c r="AV23" s="91"/>
      <c r="AW23" s="91"/>
      <c r="AX23" s="308" t="str">
        <f t="shared" si="9"/>
        <v/>
      </c>
      <c r="AY23" s="91"/>
      <c r="AZ23" s="91"/>
      <c r="BA23" s="91"/>
      <c r="BB23" s="91"/>
      <c r="BC23" s="308" t="str">
        <f t="shared" si="10"/>
        <v/>
      </c>
      <c r="BD23" s="309">
        <f t="shared" si="11"/>
        <v>78</v>
      </c>
      <c r="BE23" s="310">
        <f t="shared" si="0"/>
        <v>78</v>
      </c>
      <c r="BF23" s="311">
        <f t="shared" si="12"/>
        <v>78</v>
      </c>
      <c r="BG23" s="312" t="str">
        <f t="shared" si="13"/>
        <v>B</v>
      </c>
      <c r="BH23" s="106" t="str">
        <f t="shared" si="14"/>
        <v>TUNTAS</v>
      </c>
      <c r="BI23" s="107" t="str">
        <f t="shared" si="15"/>
        <v>Terampil</v>
      </c>
      <c r="BJ23" s="116" t="str">
        <f>IF(BD23="","",VLOOKUP(BD23,DATAKET!$AL$3:$AM$12,2,FALSE))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23"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4" spans="1:63" ht="16.5">
      <c r="A24" s="107">
        <f>'DATA SISWA'!A24</f>
        <v>20</v>
      </c>
      <c r="B24" s="107" t="str">
        <f>'DATA SISWA'!B24</f>
        <v>`019</v>
      </c>
      <c r="C24" s="116" t="str">
        <f>'DATA SISWA'!C24</f>
        <v>Tammimah</v>
      </c>
      <c r="D24" s="107" t="str">
        <f>'DATA SISWA'!D24</f>
        <v>P</v>
      </c>
      <c r="E24" s="107" t="str">
        <f>'DATA SISWA'!E24</f>
        <v>VII</v>
      </c>
      <c r="F24" s="91"/>
      <c r="G24" s="406"/>
      <c r="H24" s="91">
        <v>79</v>
      </c>
      <c r="I24" s="91"/>
      <c r="J24" s="308">
        <f t="shared" si="1"/>
        <v>79</v>
      </c>
      <c r="K24" s="91"/>
      <c r="L24" s="406"/>
      <c r="M24" s="91">
        <v>79</v>
      </c>
      <c r="N24" s="91"/>
      <c r="O24" s="308">
        <f t="shared" si="2"/>
        <v>79</v>
      </c>
      <c r="P24" s="91"/>
      <c r="Q24" s="91"/>
      <c r="R24" s="91">
        <v>79</v>
      </c>
      <c r="S24" s="91"/>
      <c r="T24" s="308">
        <f t="shared" si="3"/>
        <v>79</v>
      </c>
      <c r="U24" s="91"/>
      <c r="V24" s="91"/>
      <c r="W24" s="91">
        <v>79</v>
      </c>
      <c r="X24" s="91"/>
      <c r="Y24" s="308">
        <f t="shared" si="4"/>
        <v>79</v>
      </c>
      <c r="Z24" s="91"/>
      <c r="AA24" s="91"/>
      <c r="AB24" s="91"/>
      <c r="AC24" s="91"/>
      <c r="AD24" s="308" t="str">
        <f t="shared" si="5"/>
        <v/>
      </c>
      <c r="AE24" s="91"/>
      <c r="AF24" s="91"/>
      <c r="AG24" s="91"/>
      <c r="AH24" s="91"/>
      <c r="AI24" s="308" t="str">
        <f t="shared" si="6"/>
        <v/>
      </c>
      <c r="AJ24" s="91"/>
      <c r="AK24" s="91"/>
      <c r="AL24" s="91"/>
      <c r="AM24" s="91"/>
      <c r="AN24" s="308" t="str">
        <f t="shared" si="7"/>
        <v/>
      </c>
      <c r="AO24" s="91"/>
      <c r="AP24" s="91"/>
      <c r="AQ24" s="91"/>
      <c r="AR24" s="91"/>
      <c r="AS24" s="308" t="str">
        <f t="shared" si="8"/>
        <v/>
      </c>
      <c r="AT24" s="91"/>
      <c r="AU24" s="91"/>
      <c r="AV24" s="91"/>
      <c r="AW24" s="91"/>
      <c r="AX24" s="308" t="str">
        <f t="shared" si="9"/>
        <v/>
      </c>
      <c r="AY24" s="91"/>
      <c r="AZ24" s="91"/>
      <c r="BA24" s="91"/>
      <c r="BB24" s="91"/>
      <c r="BC24" s="308" t="str">
        <f t="shared" si="10"/>
        <v/>
      </c>
      <c r="BD24" s="309">
        <f t="shared" si="11"/>
        <v>79</v>
      </c>
      <c r="BE24" s="310">
        <f t="shared" si="0"/>
        <v>79</v>
      </c>
      <c r="BF24" s="311">
        <f t="shared" si="12"/>
        <v>79</v>
      </c>
      <c r="BG24" s="312" t="str">
        <f t="shared" si="13"/>
        <v>B</v>
      </c>
      <c r="BH24" s="106" t="str">
        <f t="shared" si="14"/>
        <v>TUNTAS</v>
      </c>
      <c r="BI24" s="107" t="str">
        <f t="shared" si="15"/>
        <v>Terampil</v>
      </c>
      <c r="BJ24" s="116" t="str">
        <f>IF(BD24="","",VLOOKUP(BD24,DATAKET!$AN$3:$AO$12,2,FALSE))</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BK24" s="105" t="str">
        <f t="shared" si="16"/>
        <v>Terampil 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row>
    <row r="25" spans="1:63" ht="16.5">
      <c r="A25" s="107">
        <f>'DATA SISWA'!A25</f>
        <v>0</v>
      </c>
      <c r="B25" s="107">
        <f>'DATA SISWA'!B25</f>
        <v>0</v>
      </c>
      <c r="C25" s="116">
        <f>'DATA SISWA'!C25</f>
        <v>0</v>
      </c>
      <c r="D25" s="107">
        <f>'DATA SISWA'!D25</f>
        <v>0</v>
      </c>
      <c r="E25" s="107" t="str">
        <f>'DATA SISWA'!E25</f>
        <v>VII</v>
      </c>
      <c r="F25" s="91"/>
      <c r="G25" s="406"/>
      <c r="H25" s="91"/>
      <c r="I25" s="91"/>
      <c r="J25" s="308" t="str">
        <f t="shared" si="1"/>
        <v/>
      </c>
      <c r="K25" s="91"/>
      <c r="L25" s="406"/>
      <c r="M25" s="91"/>
      <c r="N25" s="91"/>
      <c r="O25" s="308" t="str">
        <f t="shared" si="2"/>
        <v/>
      </c>
      <c r="P25" s="91"/>
      <c r="Q25" s="91"/>
      <c r="R25" s="91"/>
      <c r="S25" s="91"/>
      <c r="T25" s="308" t="str">
        <f t="shared" si="3"/>
        <v/>
      </c>
      <c r="U25" s="91"/>
      <c r="V25" s="91"/>
      <c r="W25" s="91"/>
      <c r="X25" s="91"/>
      <c r="Y25" s="308" t="str">
        <f t="shared" si="4"/>
        <v/>
      </c>
      <c r="Z25" s="91"/>
      <c r="AA25" s="91"/>
      <c r="AB25" s="91"/>
      <c r="AC25" s="91"/>
      <c r="AD25" s="308" t="str">
        <f t="shared" si="5"/>
        <v/>
      </c>
      <c r="AE25" s="91"/>
      <c r="AF25" s="91"/>
      <c r="AG25" s="91"/>
      <c r="AH25" s="91"/>
      <c r="AI25" s="308" t="str">
        <f t="shared" si="6"/>
        <v/>
      </c>
      <c r="AJ25" s="91"/>
      <c r="AK25" s="91"/>
      <c r="AL25" s="91"/>
      <c r="AM25" s="91"/>
      <c r="AN25" s="308" t="str">
        <f t="shared" si="7"/>
        <v/>
      </c>
      <c r="AO25" s="91"/>
      <c r="AP25" s="91"/>
      <c r="AQ25" s="91"/>
      <c r="AR25" s="91"/>
      <c r="AS25" s="308" t="str">
        <f t="shared" si="8"/>
        <v/>
      </c>
      <c r="AT25" s="91"/>
      <c r="AU25" s="91"/>
      <c r="AV25" s="91"/>
      <c r="AW25" s="91"/>
      <c r="AX25" s="308" t="str">
        <f t="shared" si="9"/>
        <v/>
      </c>
      <c r="AY25" s="91"/>
      <c r="AZ25" s="91"/>
      <c r="BA25" s="91"/>
      <c r="BB25" s="91"/>
      <c r="BC25" s="308" t="str">
        <f t="shared" si="10"/>
        <v/>
      </c>
      <c r="BD25" s="309" t="str">
        <f t="shared" si="11"/>
        <v/>
      </c>
      <c r="BE25" s="310" t="str">
        <f t="shared" si="0"/>
        <v/>
      </c>
      <c r="BF25" s="311" t="str">
        <f t="shared" si="12"/>
        <v/>
      </c>
      <c r="BG25" s="312" t="str">
        <f t="shared" si="13"/>
        <v/>
      </c>
      <c r="BH25" s="106" t="str">
        <f t="shared" si="14"/>
        <v/>
      </c>
      <c r="BI25" s="107" t="str">
        <f t="shared" si="15"/>
        <v/>
      </c>
      <c r="BJ25" s="116" t="str">
        <f>IF(BD25="","",VLOOKUP(BD25,DATAKET!$AP$3:$AQ$12,2,FALSE))</f>
        <v/>
      </c>
      <c r="BK25" s="105" t="str">
        <f t="shared" si="16"/>
        <v/>
      </c>
    </row>
    <row r="26" spans="1:63" ht="16.5">
      <c r="A26" s="107">
        <f>'DATA SISWA'!A26</f>
        <v>0</v>
      </c>
      <c r="B26" s="107">
        <f>'DATA SISWA'!B26</f>
        <v>0</v>
      </c>
      <c r="C26" s="116">
        <f>'DATA SISWA'!C26</f>
        <v>0</v>
      </c>
      <c r="D26" s="107">
        <f>'DATA SISWA'!D26</f>
        <v>0</v>
      </c>
      <c r="E26" s="107" t="str">
        <f>'DATA SISWA'!E26</f>
        <v>VII</v>
      </c>
      <c r="F26" s="91"/>
      <c r="G26" s="406"/>
      <c r="H26" s="91"/>
      <c r="I26" s="91"/>
      <c r="J26" s="308" t="str">
        <f t="shared" si="1"/>
        <v/>
      </c>
      <c r="K26" s="91"/>
      <c r="L26" s="406"/>
      <c r="M26" s="91"/>
      <c r="N26" s="91"/>
      <c r="O26" s="308" t="str">
        <f t="shared" si="2"/>
        <v/>
      </c>
      <c r="P26" s="91"/>
      <c r="Q26" s="91"/>
      <c r="R26" s="91"/>
      <c r="S26" s="91"/>
      <c r="T26" s="308" t="str">
        <f t="shared" si="3"/>
        <v/>
      </c>
      <c r="U26" s="91"/>
      <c r="V26" s="91"/>
      <c r="W26" s="91"/>
      <c r="X26" s="91"/>
      <c r="Y26" s="308" t="str">
        <f t="shared" si="4"/>
        <v/>
      </c>
      <c r="Z26" s="91"/>
      <c r="AA26" s="91"/>
      <c r="AB26" s="91"/>
      <c r="AC26" s="91"/>
      <c r="AD26" s="308" t="str">
        <f t="shared" si="5"/>
        <v/>
      </c>
      <c r="AE26" s="91"/>
      <c r="AF26" s="91"/>
      <c r="AG26" s="91"/>
      <c r="AH26" s="91"/>
      <c r="AI26" s="308" t="str">
        <f t="shared" si="6"/>
        <v/>
      </c>
      <c r="AJ26" s="91"/>
      <c r="AK26" s="91"/>
      <c r="AL26" s="91"/>
      <c r="AM26" s="91"/>
      <c r="AN26" s="308" t="str">
        <f t="shared" si="7"/>
        <v/>
      </c>
      <c r="AO26" s="91"/>
      <c r="AP26" s="91"/>
      <c r="AQ26" s="91"/>
      <c r="AR26" s="91"/>
      <c r="AS26" s="308" t="str">
        <f t="shared" si="8"/>
        <v/>
      </c>
      <c r="AT26" s="91"/>
      <c r="AU26" s="91"/>
      <c r="AV26" s="91"/>
      <c r="AW26" s="91"/>
      <c r="AX26" s="308" t="str">
        <f t="shared" si="9"/>
        <v/>
      </c>
      <c r="AY26" s="91"/>
      <c r="AZ26" s="91"/>
      <c r="BA26" s="91"/>
      <c r="BB26" s="91"/>
      <c r="BC26" s="308" t="str">
        <f t="shared" si="10"/>
        <v/>
      </c>
      <c r="BD26" s="309" t="str">
        <f t="shared" si="11"/>
        <v/>
      </c>
      <c r="BE26" s="310" t="str">
        <f t="shared" si="0"/>
        <v/>
      </c>
      <c r="BF26" s="311" t="str">
        <f t="shared" si="12"/>
        <v/>
      </c>
      <c r="BG26" s="312" t="str">
        <f t="shared" si="13"/>
        <v/>
      </c>
      <c r="BH26" s="106" t="str">
        <f t="shared" si="14"/>
        <v/>
      </c>
      <c r="BI26" s="107" t="str">
        <f t="shared" si="15"/>
        <v/>
      </c>
      <c r="BJ26" s="116" t="str">
        <f>IF(BD26="","",VLOOKUP(BD26,DATAKET!$AR$3:$AS$12,2,FALSE))</f>
        <v/>
      </c>
      <c r="BK26" s="105" t="str">
        <f t="shared" si="16"/>
        <v/>
      </c>
    </row>
    <row r="27" spans="1:63" ht="16.5">
      <c r="A27" s="107">
        <f>'DATA SISWA'!A27</f>
        <v>0</v>
      </c>
      <c r="B27" s="107">
        <f>'DATA SISWA'!B27</f>
        <v>0</v>
      </c>
      <c r="C27" s="116">
        <f>'DATA SISWA'!C27</f>
        <v>0</v>
      </c>
      <c r="D27" s="107">
        <f>'DATA SISWA'!D27</f>
        <v>0</v>
      </c>
      <c r="E27" s="107" t="str">
        <f>'DATA SISWA'!E27</f>
        <v>VII</v>
      </c>
      <c r="F27" s="91"/>
      <c r="G27" s="406"/>
      <c r="H27" s="91"/>
      <c r="I27" s="91"/>
      <c r="J27" s="308" t="str">
        <f t="shared" si="1"/>
        <v/>
      </c>
      <c r="K27" s="91"/>
      <c r="L27" s="406"/>
      <c r="M27" s="91"/>
      <c r="N27" s="91"/>
      <c r="O27" s="308" t="str">
        <f t="shared" si="2"/>
        <v/>
      </c>
      <c r="P27" s="91"/>
      <c r="Q27" s="91"/>
      <c r="R27" s="91"/>
      <c r="S27" s="91"/>
      <c r="T27" s="308" t="str">
        <f t="shared" si="3"/>
        <v/>
      </c>
      <c r="U27" s="91"/>
      <c r="V27" s="91"/>
      <c r="W27" s="91"/>
      <c r="X27" s="91"/>
      <c r="Y27" s="308" t="str">
        <f t="shared" si="4"/>
        <v/>
      </c>
      <c r="Z27" s="91"/>
      <c r="AA27" s="91"/>
      <c r="AB27" s="91"/>
      <c r="AC27" s="91"/>
      <c r="AD27" s="308" t="str">
        <f t="shared" si="5"/>
        <v/>
      </c>
      <c r="AE27" s="91"/>
      <c r="AF27" s="91"/>
      <c r="AG27" s="91"/>
      <c r="AH27" s="91"/>
      <c r="AI27" s="308" t="str">
        <f t="shared" si="6"/>
        <v/>
      </c>
      <c r="AJ27" s="91"/>
      <c r="AK27" s="91"/>
      <c r="AL27" s="91"/>
      <c r="AM27" s="91"/>
      <c r="AN27" s="308" t="str">
        <f t="shared" si="7"/>
        <v/>
      </c>
      <c r="AO27" s="91"/>
      <c r="AP27" s="91"/>
      <c r="AQ27" s="91"/>
      <c r="AR27" s="91"/>
      <c r="AS27" s="308" t="str">
        <f t="shared" si="8"/>
        <v/>
      </c>
      <c r="AT27" s="91"/>
      <c r="AU27" s="91"/>
      <c r="AV27" s="91"/>
      <c r="AW27" s="91"/>
      <c r="AX27" s="308" t="str">
        <f t="shared" si="9"/>
        <v/>
      </c>
      <c r="AY27" s="91"/>
      <c r="AZ27" s="91"/>
      <c r="BA27" s="91"/>
      <c r="BB27" s="91"/>
      <c r="BC27" s="308" t="str">
        <f t="shared" si="10"/>
        <v/>
      </c>
      <c r="BD27" s="309" t="str">
        <f t="shared" si="11"/>
        <v/>
      </c>
      <c r="BE27" s="310" t="str">
        <f t="shared" si="0"/>
        <v/>
      </c>
      <c r="BF27" s="311" t="str">
        <f t="shared" si="12"/>
        <v/>
      </c>
      <c r="BG27" s="312" t="str">
        <f t="shared" si="13"/>
        <v/>
      </c>
      <c r="BH27" s="106" t="str">
        <f t="shared" si="14"/>
        <v/>
      </c>
      <c r="BI27" s="107" t="str">
        <f t="shared" si="15"/>
        <v/>
      </c>
      <c r="BJ27" s="116" t="str">
        <f>IF(BD27="","",VLOOKUP(BD27,DATAKET!$AT$3:$AU$12,2,FALSE))</f>
        <v/>
      </c>
      <c r="BK27" s="105" t="str">
        <f t="shared" si="16"/>
        <v/>
      </c>
    </row>
    <row r="28" spans="1:63" ht="16.5">
      <c r="A28" s="107">
        <f>'DATA SISWA'!A28</f>
        <v>0</v>
      </c>
      <c r="B28" s="107">
        <f>'DATA SISWA'!B28</f>
        <v>0</v>
      </c>
      <c r="C28" s="116">
        <f>'DATA SISWA'!C28</f>
        <v>0</v>
      </c>
      <c r="D28" s="107">
        <f>'DATA SISWA'!D28</f>
        <v>0</v>
      </c>
      <c r="E28" s="107" t="str">
        <f>'DATA SISWA'!E28</f>
        <v>VII</v>
      </c>
      <c r="F28" s="91"/>
      <c r="G28" s="406"/>
      <c r="H28" s="91"/>
      <c r="I28" s="91"/>
      <c r="J28" s="308" t="str">
        <f t="shared" si="1"/>
        <v/>
      </c>
      <c r="K28" s="91"/>
      <c r="L28" s="406"/>
      <c r="M28" s="91"/>
      <c r="N28" s="91"/>
      <c r="O28" s="308" t="str">
        <f t="shared" si="2"/>
        <v/>
      </c>
      <c r="P28" s="91"/>
      <c r="Q28" s="91"/>
      <c r="R28" s="91"/>
      <c r="S28" s="91"/>
      <c r="T28" s="308" t="str">
        <f t="shared" si="3"/>
        <v/>
      </c>
      <c r="U28" s="91"/>
      <c r="V28" s="91"/>
      <c r="W28" s="91"/>
      <c r="X28" s="91"/>
      <c r="Y28" s="308" t="str">
        <f t="shared" si="4"/>
        <v/>
      </c>
      <c r="Z28" s="91"/>
      <c r="AA28" s="91"/>
      <c r="AB28" s="91"/>
      <c r="AC28" s="91"/>
      <c r="AD28" s="308" t="str">
        <f t="shared" si="5"/>
        <v/>
      </c>
      <c r="AE28" s="91"/>
      <c r="AF28" s="91"/>
      <c r="AG28" s="91"/>
      <c r="AH28" s="91"/>
      <c r="AI28" s="308" t="str">
        <f t="shared" si="6"/>
        <v/>
      </c>
      <c r="AJ28" s="91"/>
      <c r="AK28" s="91"/>
      <c r="AL28" s="91"/>
      <c r="AM28" s="91"/>
      <c r="AN28" s="308" t="str">
        <f t="shared" si="7"/>
        <v/>
      </c>
      <c r="AO28" s="91"/>
      <c r="AP28" s="91"/>
      <c r="AQ28" s="91"/>
      <c r="AR28" s="91"/>
      <c r="AS28" s="308" t="str">
        <f t="shared" si="8"/>
        <v/>
      </c>
      <c r="AT28" s="91"/>
      <c r="AU28" s="91"/>
      <c r="AV28" s="91"/>
      <c r="AW28" s="91"/>
      <c r="AX28" s="308" t="str">
        <f t="shared" si="9"/>
        <v/>
      </c>
      <c r="AY28" s="91"/>
      <c r="AZ28" s="91"/>
      <c r="BA28" s="91"/>
      <c r="BB28" s="91"/>
      <c r="BC28" s="308" t="str">
        <f t="shared" si="10"/>
        <v/>
      </c>
      <c r="BD28" s="309" t="str">
        <f t="shared" si="11"/>
        <v/>
      </c>
      <c r="BE28" s="310" t="str">
        <f t="shared" si="0"/>
        <v/>
      </c>
      <c r="BF28" s="311" t="str">
        <f t="shared" si="12"/>
        <v/>
      </c>
      <c r="BG28" s="312" t="str">
        <f t="shared" si="13"/>
        <v/>
      </c>
      <c r="BH28" s="106" t="str">
        <f t="shared" si="14"/>
        <v/>
      </c>
      <c r="BI28" s="107" t="str">
        <f t="shared" si="15"/>
        <v/>
      </c>
      <c r="BJ28" s="116" t="str">
        <f>IF(BD28="","",VLOOKUP(BD28,DATAKET!$AV$3:$AW$12,2,FALSE))</f>
        <v/>
      </c>
      <c r="BK28" s="105" t="str">
        <f t="shared" si="16"/>
        <v/>
      </c>
    </row>
    <row r="29" spans="1:63" ht="16.5">
      <c r="A29" s="107">
        <f>'DATA SISWA'!A29</f>
        <v>0</v>
      </c>
      <c r="B29" s="107">
        <f>'DATA SISWA'!B29</f>
        <v>0</v>
      </c>
      <c r="C29" s="116">
        <f>'DATA SISWA'!C29</f>
        <v>0</v>
      </c>
      <c r="D29" s="107">
        <f>'DATA SISWA'!D29</f>
        <v>0</v>
      </c>
      <c r="E29" s="107" t="str">
        <f>'DATA SISWA'!E29</f>
        <v>VII</v>
      </c>
      <c r="F29" s="91"/>
      <c r="G29" s="406"/>
      <c r="H29" s="91"/>
      <c r="I29" s="91"/>
      <c r="J29" s="308" t="str">
        <f t="shared" si="1"/>
        <v/>
      </c>
      <c r="K29" s="91"/>
      <c r="L29" s="406"/>
      <c r="M29" s="91"/>
      <c r="N29" s="91"/>
      <c r="O29" s="308" t="str">
        <f t="shared" si="2"/>
        <v/>
      </c>
      <c r="P29" s="91"/>
      <c r="Q29" s="91"/>
      <c r="R29" s="91"/>
      <c r="S29" s="91"/>
      <c r="T29" s="308" t="str">
        <f t="shared" si="3"/>
        <v/>
      </c>
      <c r="U29" s="91"/>
      <c r="V29" s="91"/>
      <c r="W29" s="91"/>
      <c r="X29" s="91"/>
      <c r="Y29" s="308" t="str">
        <f t="shared" si="4"/>
        <v/>
      </c>
      <c r="Z29" s="91"/>
      <c r="AA29" s="91"/>
      <c r="AB29" s="91"/>
      <c r="AC29" s="91"/>
      <c r="AD29" s="308" t="str">
        <f t="shared" si="5"/>
        <v/>
      </c>
      <c r="AE29" s="91"/>
      <c r="AF29" s="91"/>
      <c r="AG29" s="91"/>
      <c r="AH29" s="91"/>
      <c r="AI29" s="308" t="str">
        <f t="shared" si="6"/>
        <v/>
      </c>
      <c r="AJ29" s="91"/>
      <c r="AK29" s="91"/>
      <c r="AL29" s="91"/>
      <c r="AM29" s="91"/>
      <c r="AN29" s="308" t="str">
        <f t="shared" si="7"/>
        <v/>
      </c>
      <c r="AO29" s="91"/>
      <c r="AP29" s="91"/>
      <c r="AQ29" s="91"/>
      <c r="AR29" s="91"/>
      <c r="AS29" s="308" t="str">
        <f t="shared" si="8"/>
        <v/>
      </c>
      <c r="AT29" s="91"/>
      <c r="AU29" s="91"/>
      <c r="AV29" s="91"/>
      <c r="AW29" s="91"/>
      <c r="AX29" s="308" t="str">
        <f t="shared" si="9"/>
        <v/>
      </c>
      <c r="AY29" s="91"/>
      <c r="AZ29" s="91"/>
      <c r="BA29" s="91"/>
      <c r="BB29" s="91"/>
      <c r="BC29" s="308" t="str">
        <f t="shared" si="10"/>
        <v/>
      </c>
      <c r="BD29" s="309" t="str">
        <f t="shared" si="11"/>
        <v/>
      </c>
      <c r="BE29" s="310" t="str">
        <f t="shared" si="0"/>
        <v/>
      </c>
      <c r="BF29" s="311" t="str">
        <f t="shared" si="12"/>
        <v/>
      </c>
      <c r="BG29" s="312" t="str">
        <f t="shared" si="13"/>
        <v/>
      </c>
      <c r="BH29" s="106" t="str">
        <f t="shared" si="14"/>
        <v/>
      </c>
      <c r="BI29" s="107" t="str">
        <f t="shared" si="15"/>
        <v/>
      </c>
      <c r="BJ29" s="116" t="str">
        <f>IF(BD29="","",VLOOKUP(BD29,DATAKET!$AX$3:$AY$12,2,FALSE))</f>
        <v/>
      </c>
      <c r="BK29" s="105" t="str">
        <f t="shared" si="16"/>
        <v/>
      </c>
    </row>
    <row r="30" spans="1:63" ht="16.5">
      <c r="A30" s="107">
        <f>'DATA SISWA'!A30</f>
        <v>0</v>
      </c>
      <c r="B30" s="107">
        <f>'DATA SISWA'!B30</f>
        <v>0</v>
      </c>
      <c r="C30" s="116">
        <f>'DATA SISWA'!C30</f>
        <v>0</v>
      </c>
      <c r="D30" s="107">
        <f>'DATA SISWA'!D30</f>
        <v>0</v>
      </c>
      <c r="E30" s="107" t="str">
        <f>'DATA SISWA'!E30</f>
        <v>VII</v>
      </c>
      <c r="F30" s="91"/>
      <c r="G30" s="406"/>
      <c r="H30" s="91"/>
      <c r="I30" s="91"/>
      <c r="J30" s="308" t="str">
        <f t="shared" si="1"/>
        <v/>
      </c>
      <c r="K30" s="91"/>
      <c r="L30" s="406"/>
      <c r="M30" s="91"/>
      <c r="N30" s="91"/>
      <c r="O30" s="308" t="str">
        <f t="shared" si="2"/>
        <v/>
      </c>
      <c r="P30" s="91"/>
      <c r="Q30" s="91"/>
      <c r="R30" s="91"/>
      <c r="S30" s="91"/>
      <c r="T30" s="308" t="str">
        <f t="shared" si="3"/>
        <v/>
      </c>
      <c r="U30" s="91"/>
      <c r="V30" s="91"/>
      <c r="W30" s="91"/>
      <c r="X30" s="91"/>
      <c r="Y30" s="308" t="str">
        <f t="shared" si="4"/>
        <v/>
      </c>
      <c r="Z30" s="91"/>
      <c r="AA30" s="91"/>
      <c r="AB30" s="91"/>
      <c r="AC30" s="91"/>
      <c r="AD30" s="308" t="str">
        <f t="shared" si="5"/>
        <v/>
      </c>
      <c r="AE30" s="91"/>
      <c r="AF30" s="91"/>
      <c r="AG30" s="91"/>
      <c r="AH30" s="91"/>
      <c r="AI30" s="308" t="str">
        <f t="shared" si="6"/>
        <v/>
      </c>
      <c r="AJ30" s="91"/>
      <c r="AK30" s="91"/>
      <c r="AL30" s="91"/>
      <c r="AM30" s="91"/>
      <c r="AN30" s="308" t="str">
        <f t="shared" si="7"/>
        <v/>
      </c>
      <c r="AO30" s="91"/>
      <c r="AP30" s="91"/>
      <c r="AQ30" s="91"/>
      <c r="AR30" s="91"/>
      <c r="AS30" s="308" t="str">
        <f t="shared" si="8"/>
        <v/>
      </c>
      <c r="AT30" s="91"/>
      <c r="AU30" s="91"/>
      <c r="AV30" s="91"/>
      <c r="AW30" s="91"/>
      <c r="AX30" s="308" t="str">
        <f t="shared" si="9"/>
        <v/>
      </c>
      <c r="AY30" s="91"/>
      <c r="AZ30" s="91"/>
      <c r="BA30" s="91"/>
      <c r="BB30" s="91"/>
      <c r="BC30" s="308" t="str">
        <f t="shared" si="10"/>
        <v/>
      </c>
      <c r="BD30" s="309" t="str">
        <f t="shared" si="11"/>
        <v/>
      </c>
      <c r="BE30" s="310" t="str">
        <f t="shared" si="0"/>
        <v/>
      </c>
      <c r="BF30" s="311" t="str">
        <f t="shared" si="12"/>
        <v/>
      </c>
      <c r="BG30" s="312" t="str">
        <f t="shared" si="13"/>
        <v/>
      </c>
      <c r="BH30" s="106" t="str">
        <f t="shared" si="14"/>
        <v/>
      </c>
      <c r="BI30" s="107" t="str">
        <f t="shared" si="15"/>
        <v/>
      </c>
      <c r="BJ30" s="116" t="str">
        <f>IF(BD30="","",VLOOKUP(BD30,DATAKET!$AZ$3:$BA$12,2,FALSE))</f>
        <v/>
      </c>
      <c r="BK30" s="105" t="str">
        <f t="shared" si="16"/>
        <v/>
      </c>
    </row>
    <row r="31" spans="1:63" ht="16.5">
      <c r="A31" s="107">
        <f>'DATA SISWA'!A31</f>
        <v>0</v>
      </c>
      <c r="B31" s="107">
        <f>'DATA SISWA'!B31</f>
        <v>0</v>
      </c>
      <c r="C31" s="116">
        <f>'DATA SISWA'!C31</f>
        <v>0</v>
      </c>
      <c r="D31" s="107">
        <f>'DATA SISWA'!D31</f>
        <v>0</v>
      </c>
      <c r="E31" s="107" t="str">
        <f>'DATA SISWA'!E31</f>
        <v>VII</v>
      </c>
      <c r="F31" s="91"/>
      <c r="G31" s="406"/>
      <c r="H31" s="91"/>
      <c r="I31" s="91"/>
      <c r="J31" s="308" t="str">
        <f t="shared" si="1"/>
        <v/>
      </c>
      <c r="K31" s="91"/>
      <c r="L31" s="406"/>
      <c r="M31" s="91"/>
      <c r="N31" s="91"/>
      <c r="O31" s="308" t="str">
        <f t="shared" si="2"/>
        <v/>
      </c>
      <c r="P31" s="91"/>
      <c r="Q31" s="91"/>
      <c r="R31" s="91"/>
      <c r="S31" s="91"/>
      <c r="T31" s="308" t="str">
        <f t="shared" si="3"/>
        <v/>
      </c>
      <c r="U31" s="91"/>
      <c r="V31" s="91"/>
      <c r="W31" s="91"/>
      <c r="X31" s="91"/>
      <c r="Y31" s="308" t="str">
        <f t="shared" si="4"/>
        <v/>
      </c>
      <c r="Z31" s="91"/>
      <c r="AA31" s="91"/>
      <c r="AB31" s="91"/>
      <c r="AC31" s="91"/>
      <c r="AD31" s="308" t="str">
        <f t="shared" si="5"/>
        <v/>
      </c>
      <c r="AE31" s="91"/>
      <c r="AF31" s="91"/>
      <c r="AG31" s="91"/>
      <c r="AH31" s="91"/>
      <c r="AI31" s="308" t="str">
        <f t="shared" si="6"/>
        <v/>
      </c>
      <c r="AJ31" s="91"/>
      <c r="AK31" s="91"/>
      <c r="AL31" s="91"/>
      <c r="AM31" s="91"/>
      <c r="AN31" s="308" t="str">
        <f t="shared" si="7"/>
        <v/>
      </c>
      <c r="AO31" s="91"/>
      <c r="AP31" s="91"/>
      <c r="AQ31" s="91"/>
      <c r="AR31" s="91"/>
      <c r="AS31" s="308" t="str">
        <f t="shared" si="8"/>
        <v/>
      </c>
      <c r="AT31" s="91"/>
      <c r="AU31" s="91"/>
      <c r="AV31" s="91"/>
      <c r="AW31" s="91"/>
      <c r="AX31" s="308" t="str">
        <f t="shared" si="9"/>
        <v/>
      </c>
      <c r="AY31" s="91"/>
      <c r="AZ31" s="91"/>
      <c r="BA31" s="91"/>
      <c r="BB31" s="91"/>
      <c r="BC31" s="308" t="str">
        <f t="shared" si="10"/>
        <v/>
      </c>
      <c r="BD31" s="309" t="str">
        <f t="shared" si="11"/>
        <v/>
      </c>
      <c r="BE31" s="310" t="str">
        <f t="shared" si="0"/>
        <v/>
      </c>
      <c r="BF31" s="311" t="str">
        <f t="shared" si="12"/>
        <v/>
      </c>
      <c r="BG31" s="312" t="str">
        <f t="shared" si="13"/>
        <v/>
      </c>
      <c r="BH31" s="106" t="str">
        <f t="shared" si="14"/>
        <v/>
      </c>
      <c r="BI31" s="107" t="str">
        <f t="shared" si="15"/>
        <v/>
      </c>
      <c r="BJ31" s="116" t="str">
        <f>IF(BD31="","",VLOOKUP(BD31,DATAKET!$BB$3:$BC$12,2,FALSE))</f>
        <v/>
      </c>
      <c r="BK31" s="105" t="str">
        <f t="shared" si="16"/>
        <v/>
      </c>
    </row>
    <row r="32" spans="1:63" ht="16.5">
      <c r="A32" s="107">
        <f>'DATA SISWA'!A32</f>
        <v>0</v>
      </c>
      <c r="B32" s="107">
        <f>'DATA SISWA'!B32</f>
        <v>0</v>
      </c>
      <c r="C32" s="116">
        <f>'DATA SISWA'!C32</f>
        <v>0</v>
      </c>
      <c r="D32" s="107">
        <f>'DATA SISWA'!D32</f>
        <v>0</v>
      </c>
      <c r="E32" s="107" t="str">
        <f>'DATA SISWA'!E32</f>
        <v>VII</v>
      </c>
      <c r="F32" s="91"/>
      <c r="G32" s="406"/>
      <c r="H32" s="91"/>
      <c r="I32" s="91"/>
      <c r="J32" s="308" t="str">
        <f t="shared" si="1"/>
        <v/>
      </c>
      <c r="K32" s="91"/>
      <c r="L32" s="406"/>
      <c r="M32" s="91"/>
      <c r="N32" s="91"/>
      <c r="O32" s="308" t="str">
        <f t="shared" si="2"/>
        <v/>
      </c>
      <c r="P32" s="91"/>
      <c r="Q32" s="91"/>
      <c r="R32" s="91"/>
      <c r="S32" s="91"/>
      <c r="T32" s="308" t="str">
        <f t="shared" si="3"/>
        <v/>
      </c>
      <c r="U32" s="91"/>
      <c r="V32" s="91"/>
      <c r="W32" s="91"/>
      <c r="X32" s="91"/>
      <c r="Y32" s="308" t="str">
        <f t="shared" si="4"/>
        <v/>
      </c>
      <c r="Z32" s="91"/>
      <c r="AA32" s="91"/>
      <c r="AB32" s="91"/>
      <c r="AC32" s="91"/>
      <c r="AD32" s="308" t="str">
        <f t="shared" si="5"/>
        <v/>
      </c>
      <c r="AE32" s="91"/>
      <c r="AF32" s="91"/>
      <c r="AG32" s="91"/>
      <c r="AH32" s="91"/>
      <c r="AI32" s="308" t="str">
        <f t="shared" si="6"/>
        <v/>
      </c>
      <c r="AJ32" s="91"/>
      <c r="AK32" s="91"/>
      <c r="AL32" s="91"/>
      <c r="AM32" s="91"/>
      <c r="AN32" s="308" t="str">
        <f t="shared" si="7"/>
        <v/>
      </c>
      <c r="AO32" s="91"/>
      <c r="AP32" s="91"/>
      <c r="AQ32" s="91"/>
      <c r="AR32" s="91"/>
      <c r="AS32" s="308" t="str">
        <f t="shared" si="8"/>
        <v/>
      </c>
      <c r="AT32" s="91"/>
      <c r="AU32" s="91"/>
      <c r="AV32" s="91"/>
      <c r="AW32" s="91"/>
      <c r="AX32" s="308" t="str">
        <f t="shared" si="9"/>
        <v/>
      </c>
      <c r="AY32" s="91"/>
      <c r="AZ32" s="91"/>
      <c r="BA32" s="91"/>
      <c r="BB32" s="91"/>
      <c r="BC32" s="308" t="str">
        <f t="shared" si="10"/>
        <v/>
      </c>
      <c r="BD32" s="309" t="str">
        <f t="shared" si="11"/>
        <v/>
      </c>
      <c r="BE32" s="310" t="str">
        <f t="shared" si="0"/>
        <v/>
      </c>
      <c r="BF32" s="311" t="str">
        <f t="shared" si="12"/>
        <v/>
      </c>
      <c r="BG32" s="312" t="str">
        <f t="shared" si="13"/>
        <v/>
      </c>
      <c r="BH32" s="106" t="str">
        <f t="shared" si="14"/>
        <v/>
      </c>
      <c r="BI32" s="107" t="str">
        <f t="shared" si="15"/>
        <v/>
      </c>
      <c r="BJ32" s="116" t="str">
        <f>IF(BD32="","",VLOOKUP(BD32,DATAKET!$BD$3:$BE$12,2,FALSE))</f>
        <v/>
      </c>
      <c r="BK32" s="105" t="str">
        <f t="shared" si="16"/>
        <v/>
      </c>
    </row>
    <row r="33" spans="1:63" ht="16.5">
      <c r="A33" s="107">
        <f>'DATA SISWA'!A33</f>
        <v>0</v>
      </c>
      <c r="B33" s="107">
        <f>'DATA SISWA'!B33</f>
        <v>0</v>
      </c>
      <c r="C33" s="116">
        <f>'DATA SISWA'!C33</f>
        <v>0</v>
      </c>
      <c r="D33" s="107">
        <f>'DATA SISWA'!D33</f>
        <v>0</v>
      </c>
      <c r="E33" s="107" t="str">
        <f>'DATA SISWA'!E33</f>
        <v>VII</v>
      </c>
      <c r="F33" s="91"/>
      <c r="G33" s="406"/>
      <c r="H33" s="91"/>
      <c r="I33" s="91"/>
      <c r="J33" s="308" t="str">
        <f t="shared" si="1"/>
        <v/>
      </c>
      <c r="K33" s="91"/>
      <c r="L33" s="406"/>
      <c r="M33" s="91"/>
      <c r="N33" s="91"/>
      <c r="O33" s="308" t="str">
        <f t="shared" si="2"/>
        <v/>
      </c>
      <c r="P33" s="91"/>
      <c r="Q33" s="91"/>
      <c r="R33" s="91"/>
      <c r="S33" s="91"/>
      <c r="T33" s="308" t="str">
        <f t="shared" si="3"/>
        <v/>
      </c>
      <c r="U33" s="91"/>
      <c r="V33" s="91"/>
      <c r="W33" s="91"/>
      <c r="X33" s="91"/>
      <c r="Y33" s="308" t="str">
        <f t="shared" si="4"/>
        <v/>
      </c>
      <c r="Z33" s="91"/>
      <c r="AA33" s="91"/>
      <c r="AB33" s="91"/>
      <c r="AC33" s="91"/>
      <c r="AD33" s="308" t="str">
        <f t="shared" si="5"/>
        <v/>
      </c>
      <c r="AE33" s="91"/>
      <c r="AF33" s="91"/>
      <c r="AG33" s="91"/>
      <c r="AH33" s="91"/>
      <c r="AI33" s="308" t="str">
        <f t="shared" si="6"/>
        <v/>
      </c>
      <c r="AJ33" s="91"/>
      <c r="AK33" s="91"/>
      <c r="AL33" s="91"/>
      <c r="AM33" s="91"/>
      <c r="AN33" s="308" t="str">
        <f t="shared" si="7"/>
        <v/>
      </c>
      <c r="AO33" s="91"/>
      <c r="AP33" s="91"/>
      <c r="AQ33" s="91"/>
      <c r="AR33" s="91"/>
      <c r="AS33" s="308" t="str">
        <f t="shared" si="8"/>
        <v/>
      </c>
      <c r="AT33" s="91"/>
      <c r="AU33" s="91"/>
      <c r="AV33" s="91"/>
      <c r="AW33" s="91"/>
      <c r="AX33" s="308" t="str">
        <f t="shared" si="9"/>
        <v/>
      </c>
      <c r="AY33" s="91"/>
      <c r="AZ33" s="91"/>
      <c r="BA33" s="91"/>
      <c r="BB33" s="91"/>
      <c r="BC33" s="308" t="str">
        <f t="shared" si="10"/>
        <v/>
      </c>
      <c r="BD33" s="309" t="str">
        <f t="shared" si="11"/>
        <v/>
      </c>
      <c r="BE33" s="310" t="str">
        <f t="shared" si="0"/>
        <v/>
      </c>
      <c r="BF33" s="311" t="str">
        <f t="shared" si="12"/>
        <v/>
      </c>
      <c r="BG33" s="312" t="str">
        <f t="shared" si="13"/>
        <v/>
      </c>
      <c r="BH33" s="106" t="str">
        <f t="shared" si="14"/>
        <v/>
      </c>
      <c r="BI33" s="107" t="str">
        <f t="shared" si="15"/>
        <v/>
      </c>
      <c r="BJ33" s="116" t="str">
        <f>IF(BD33="","",VLOOKUP(BD33,DATAKET!$BF$3:$BG$12,2,FALSE))</f>
        <v/>
      </c>
      <c r="BK33" s="105" t="str">
        <f t="shared" si="16"/>
        <v/>
      </c>
    </row>
    <row r="34" spans="1:63" ht="16.5">
      <c r="A34" s="107">
        <f>'DATA SISWA'!A34</f>
        <v>0</v>
      </c>
      <c r="B34" s="107">
        <f>'DATA SISWA'!B34</f>
        <v>0</v>
      </c>
      <c r="C34" s="116">
        <f>'DATA SISWA'!C34</f>
        <v>0</v>
      </c>
      <c r="D34" s="107">
        <f>'DATA SISWA'!D34</f>
        <v>0</v>
      </c>
      <c r="E34" s="107" t="str">
        <f>'DATA SISWA'!E34</f>
        <v>VII</v>
      </c>
      <c r="F34" s="91"/>
      <c r="G34" s="406"/>
      <c r="H34" s="91"/>
      <c r="I34" s="91"/>
      <c r="J34" s="308" t="str">
        <f t="shared" si="1"/>
        <v/>
      </c>
      <c r="K34" s="91"/>
      <c r="L34" s="406"/>
      <c r="M34" s="91"/>
      <c r="N34" s="91"/>
      <c r="O34" s="308" t="str">
        <f t="shared" si="2"/>
        <v/>
      </c>
      <c r="P34" s="91"/>
      <c r="Q34" s="91"/>
      <c r="R34" s="91"/>
      <c r="S34" s="91"/>
      <c r="T34" s="308" t="str">
        <f t="shared" si="3"/>
        <v/>
      </c>
      <c r="U34" s="91"/>
      <c r="V34" s="91"/>
      <c r="W34" s="91"/>
      <c r="X34" s="91"/>
      <c r="Y34" s="308" t="str">
        <f t="shared" si="4"/>
        <v/>
      </c>
      <c r="Z34" s="91"/>
      <c r="AA34" s="91"/>
      <c r="AB34" s="91"/>
      <c r="AC34" s="91"/>
      <c r="AD34" s="308" t="str">
        <f t="shared" si="5"/>
        <v/>
      </c>
      <c r="AE34" s="91"/>
      <c r="AF34" s="91"/>
      <c r="AG34" s="91"/>
      <c r="AH34" s="91"/>
      <c r="AI34" s="308" t="str">
        <f t="shared" si="6"/>
        <v/>
      </c>
      <c r="AJ34" s="91"/>
      <c r="AK34" s="91"/>
      <c r="AL34" s="91"/>
      <c r="AM34" s="91"/>
      <c r="AN34" s="308" t="str">
        <f t="shared" si="7"/>
        <v/>
      </c>
      <c r="AO34" s="91"/>
      <c r="AP34" s="91"/>
      <c r="AQ34" s="91"/>
      <c r="AR34" s="91"/>
      <c r="AS34" s="308" t="str">
        <f t="shared" si="8"/>
        <v/>
      </c>
      <c r="AT34" s="91"/>
      <c r="AU34" s="91"/>
      <c r="AV34" s="91"/>
      <c r="AW34" s="91"/>
      <c r="AX34" s="308" t="str">
        <f t="shared" si="9"/>
        <v/>
      </c>
      <c r="AY34" s="91"/>
      <c r="AZ34" s="91"/>
      <c r="BA34" s="91"/>
      <c r="BB34" s="91"/>
      <c r="BC34" s="308" t="str">
        <f t="shared" si="10"/>
        <v/>
      </c>
      <c r="BD34" s="309" t="str">
        <f t="shared" si="11"/>
        <v/>
      </c>
      <c r="BE34" s="310" t="str">
        <f t="shared" si="0"/>
        <v/>
      </c>
      <c r="BF34" s="311" t="str">
        <f t="shared" si="12"/>
        <v/>
      </c>
      <c r="BG34" s="312" t="str">
        <f t="shared" si="13"/>
        <v/>
      </c>
      <c r="BH34" s="106" t="str">
        <f t="shared" si="14"/>
        <v/>
      </c>
      <c r="BI34" s="107" t="str">
        <f t="shared" si="15"/>
        <v/>
      </c>
      <c r="BJ34" s="116" t="str">
        <f>IF(BD34="","",VLOOKUP(BD34,DATAKET!$BH$3:$BI$12,2,FALSE))</f>
        <v/>
      </c>
      <c r="BK34" s="105" t="str">
        <f t="shared" si="16"/>
        <v/>
      </c>
    </row>
    <row r="35" spans="1:63" ht="16.5">
      <c r="A35" s="107">
        <f>'DATA SISWA'!A35</f>
        <v>0</v>
      </c>
      <c r="B35" s="107">
        <f>'DATA SISWA'!B35</f>
        <v>0</v>
      </c>
      <c r="C35" s="116">
        <f>'DATA SISWA'!C35</f>
        <v>0</v>
      </c>
      <c r="D35" s="107">
        <f>'DATA SISWA'!D35</f>
        <v>0</v>
      </c>
      <c r="E35" s="107" t="str">
        <f>'DATA SISWA'!E35</f>
        <v>VII</v>
      </c>
      <c r="F35" s="91"/>
      <c r="G35" s="406"/>
      <c r="H35" s="91"/>
      <c r="I35" s="91"/>
      <c r="J35" s="308" t="str">
        <f t="shared" si="1"/>
        <v/>
      </c>
      <c r="K35" s="91"/>
      <c r="L35" s="406"/>
      <c r="M35" s="91"/>
      <c r="N35" s="91"/>
      <c r="O35" s="308" t="str">
        <f t="shared" si="2"/>
        <v/>
      </c>
      <c r="P35" s="91"/>
      <c r="Q35" s="91"/>
      <c r="R35" s="91"/>
      <c r="S35" s="91"/>
      <c r="T35" s="308" t="str">
        <f t="shared" si="3"/>
        <v/>
      </c>
      <c r="U35" s="91"/>
      <c r="V35" s="91"/>
      <c r="W35" s="91"/>
      <c r="X35" s="91"/>
      <c r="Y35" s="308" t="str">
        <f t="shared" si="4"/>
        <v/>
      </c>
      <c r="Z35" s="91"/>
      <c r="AA35" s="91"/>
      <c r="AB35" s="91"/>
      <c r="AC35" s="91"/>
      <c r="AD35" s="308" t="str">
        <f t="shared" si="5"/>
        <v/>
      </c>
      <c r="AE35" s="91"/>
      <c r="AF35" s="91"/>
      <c r="AG35" s="91"/>
      <c r="AH35" s="91"/>
      <c r="AI35" s="308" t="str">
        <f t="shared" si="6"/>
        <v/>
      </c>
      <c r="AJ35" s="91"/>
      <c r="AK35" s="91"/>
      <c r="AL35" s="91"/>
      <c r="AM35" s="91"/>
      <c r="AN35" s="308" t="str">
        <f t="shared" si="7"/>
        <v/>
      </c>
      <c r="AO35" s="91"/>
      <c r="AP35" s="91"/>
      <c r="AQ35" s="91"/>
      <c r="AR35" s="91"/>
      <c r="AS35" s="308" t="str">
        <f t="shared" si="8"/>
        <v/>
      </c>
      <c r="AT35" s="91"/>
      <c r="AU35" s="91"/>
      <c r="AV35" s="91"/>
      <c r="AW35" s="91"/>
      <c r="AX35" s="308" t="str">
        <f t="shared" si="9"/>
        <v/>
      </c>
      <c r="AY35" s="91"/>
      <c r="AZ35" s="91"/>
      <c r="BA35" s="91"/>
      <c r="BB35" s="91"/>
      <c r="BC35" s="308" t="str">
        <f t="shared" si="10"/>
        <v/>
      </c>
      <c r="BD35" s="309" t="str">
        <f t="shared" si="11"/>
        <v/>
      </c>
      <c r="BE35" s="310" t="str">
        <f t="shared" si="0"/>
        <v/>
      </c>
      <c r="BF35" s="311" t="str">
        <f t="shared" si="12"/>
        <v/>
      </c>
      <c r="BG35" s="312" t="str">
        <f t="shared" si="13"/>
        <v/>
      </c>
      <c r="BH35" s="106" t="str">
        <f t="shared" si="14"/>
        <v/>
      </c>
      <c r="BI35" s="107" t="str">
        <f t="shared" si="15"/>
        <v/>
      </c>
      <c r="BJ35" s="116" t="str">
        <f>IF(BD35="","",VLOOKUP(BD35,DATAKET!$BJ$3:$BK$12,2,FALSE))</f>
        <v/>
      </c>
      <c r="BK35" s="105" t="str">
        <f t="shared" si="16"/>
        <v/>
      </c>
    </row>
    <row r="36" spans="1:63" ht="16.5">
      <c r="A36" s="107">
        <f>'DATA SISWA'!A36</f>
        <v>0</v>
      </c>
      <c r="B36" s="107">
        <f>'DATA SISWA'!B36</f>
        <v>0</v>
      </c>
      <c r="C36" s="116">
        <f>'DATA SISWA'!C36</f>
        <v>0</v>
      </c>
      <c r="D36" s="107">
        <f>'DATA SISWA'!D36</f>
        <v>0</v>
      </c>
      <c r="E36" s="107" t="str">
        <f>'DATA SISWA'!E36</f>
        <v>VII</v>
      </c>
      <c r="F36" s="91"/>
      <c r="G36" s="406"/>
      <c r="H36" s="91"/>
      <c r="I36" s="91"/>
      <c r="J36" s="308" t="str">
        <f t="shared" si="1"/>
        <v/>
      </c>
      <c r="K36" s="91"/>
      <c r="L36" s="406"/>
      <c r="M36" s="91"/>
      <c r="N36" s="91"/>
      <c r="O36" s="308" t="str">
        <f t="shared" si="2"/>
        <v/>
      </c>
      <c r="P36" s="91"/>
      <c r="Q36" s="91"/>
      <c r="R36" s="91"/>
      <c r="S36" s="91"/>
      <c r="T36" s="308" t="str">
        <f t="shared" si="3"/>
        <v/>
      </c>
      <c r="U36" s="91"/>
      <c r="V36" s="91"/>
      <c r="W36" s="91"/>
      <c r="X36" s="91"/>
      <c r="Y36" s="308" t="str">
        <f t="shared" si="4"/>
        <v/>
      </c>
      <c r="Z36" s="91"/>
      <c r="AA36" s="91"/>
      <c r="AB36" s="91"/>
      <c r="AC36" s="91"/>
      <c r="AD36" s="308" t="str">
        <f t="shared" si="5"/>
        <v/>
      </c>
      <c r="AE36" s="91"/>
      <c r="AF36" s="91"/>
      <c r="AG36" s="91"/>
      <c r="AH36" s="91"/>
      <c r="AI36" s="308" t="str">
        <f t="shared" si="6"/>
        <v/>
      </c>
      <c r="AJ36" s="91"/>
      <c r="AK36" s="91"/>
      <c r="AL36" s="91"/>
      <c r="AM36" s="91"/>
      <c r="AN36" s="308" t="str">
        <f t="shared" si="7"/>
        <v/>
      </c>
      <c r="AO36" s="91"/>
      <c r="AP36" s="91"/>
      <c r="AQ36" s="91"/>
      <c r="AR36" s="91"/>
      <c r="AS36" s="308" t="str">
        <f t="shared" si="8"/>
        <v/>
      </c>
      <c r="AT36" s="91"/>
      <c r="AU36" s="91"/>
      <c r="AV36" s="91"/>
      <c r="AW36" s="91"/>
      <c r="AX36" s="308" t="str">
        <f t="shared" si="9"/>
        <v/>
      </c>
      <c r="AY36" s="91"/>
      <c r="AZ36" s="91"/>
      <c r="BA36" s="91"/>
      <c r="BB36" s="91"/>
      <c r="BC36" s="308" t="str">
        <f t="shared" si="10"/>
        <v/>
      </c>
      <c r="BD36" s="309" t="str">
        <f t="shared" si="11"/>
        <v/>
      </c>
      <c r="BE36" s="310" t="str">
        <f t="shared" si="0"/>
        <v/>
      </c>
      <c r="BF36" s="311" t="str">
        <f t="shared" si="12"/>
        <v/>
      </c>
      <c r="BG36" s="312" t="str">
        <f t="shared" si="13"/>
        <v/>
      </c>
      <c r="BH36" s="106" t="str">
        <f t="shared" si="14"/>
        <v/>
      </c>
      <c r="BI36" s="107" t="str">
        <f t="shared" si="15"/>
        <v/>
      </c>
      <c r="BJ36" s="116" t="str">
        <f>IF(BD36="","",VLOOKUP(BD36,DATAKET!$BL$3:$BM$12,2,FALSE))</f>
        <v/>
      </c>
      <c r="BK36" s="105" t="str">
        <f t="shared" si="16"/>
        <v/>
      </c>
    </row>
    <row r="37" spans="1:63" ht="16.5">
      <c r="A37" s="107">
        <f>'DATA SISWA'!A37</f>
        <v>0</v>
      </c>
      <c r="B37" s="107">
        <f>'DATA SISWA'!B37</f>
        <v>0</v>
      </c>
      <c r="C37" s="116">
        <f>'DATA SISWA'!C37</f>
        <v>0</v>
      </c>
      <c r="D37" s="107">
        <f>'DATA SISWA'!D37</f>
        <v>0</v>
      </c>
      <c r="E37" s="107" t="str">
        <f>'DATA SISWA'!E37</f>
        <v>VII</v>
      </c>
      <c r="F37" s="91"/>
      <c r="G37" s="406"/>
      <c r="H37" s="91"/>
      <c r="I37" s="91"/>
      <c r="J37" s="308" t="str">
        <f t="shared" si="1"/>
        <v/>
      </c>
      <c r="K37" s="91"/>
      <c r="L37" s="406"/>
      <c r="M37" s="91"/>
      <c r="N37" s="91"/>
      <c r="O37" s="308" t="str">
        <f t="shared" si="2"/>
        <v/>
      </c>
      <c r="P37" s="91"/>
      <c r="Q37" s="91"/>
      <c r="R37" s="91"/>
      <c r="S37" s="91"/>
      <c r="T37" s="308" t="str">
        <f t="shared" si="3"/>
        <v/>
      </c>
      <c r="U37" s="91"/>
      <c r="V37" s="91"/>
      <c r="W37" s="91"/>
      <c r="X37" s="91"/>
      <c r="Y37" s="308" t="str">
        <f t="shared" si="4"/>
        <v/>
      </c>
      <c r="Z37" s="91"/>
      <c r="AA37" s="91"/>
      <c r="AB37" s="91"/>
      <c r="AC37" s="91"/>
      <c r="AD37" s="308" t="str">
        <f t="shared" si="5"/>
        <v/>
      </c>
      <c r="AE37" s="91"/>
      <c r="AF37" s="91"/>
      <c r="AG37" s="91"/>
      <c r="AH37" s="91"/>
      <c r="AI37" s="308" t="str">
        <f t="shared" si="6"/>
        <v/>
      </c>
      <c r="AJ37" s="91"/>
      <c r="AK37" s="91"/>
      <c r="AL37" s="91"/>
      <c r="AM37" s="91"/>
      <c r="AN37" s="308" t="str">
        <f t="shared" si="7"/>
        <v/>
      </c>
      <c r="AO37" s="91"/>
      <c r="AP37" s="91"/>
      <c r="AQ37" s="91"/>
      <c r="AR37" s="91"/>
      <c r="AS37" s="308" t="str">
        <f t="shared" si="8"/>
        <v/>
      </c>
      <c r="AT37" s="91"/>
      <c r="AU37" s="91"/>
      <c r="AV37" s="91"/>
      <c r="AW37" s="91"/>
      <c r="AX37" s="308" t="str">
        <f t="shared" si="9"/>
        <v/>
      </c>
      <c r="AY37" s="91"/>
      <c r="AZ37" s="91"/>
      <c r="BA37" s="91"/>
      <c r="BB37" s="91"/>
      <c r="BC37" s="308" t="str">
        <f t="shared" si="10"/>
        <v/>
      </c>
      <c r="BD37" s="309" t="str">
        <f t="shared" si="11"/>
        <v/>
      </c>
      <c r="BE37" s="310" t="str">
        <f t="shared" si="0"/>
        <v/>
      </c>
      <c r="BF37" s="311" t="str">
        <f t="shared" si="12"/>
        <v/>
      </c>
      <c r="BG37" s="312" t="str">
        <f t="shared" si="13"/>
        <v/>
      </c>
      <c r="BH37" s="106" t="str">
        <f t="shared" si="14"/>
        <v/>
      </c>
      <c r="BI37" s="107" t="str">
        <f t="shared" si="15"/>
        <v/>
      </c>
      <c r="BJ37" s="116" t="str">
        <f>IF(BD37="","",VLOOKUP(BD37,DATAKET!$BN$3:$BO$12,2,FALSE))</f>
        <v/>
      </c>
      <c r="BK37" s="105" t="str">
        <f t="shared" si="16"/>
        <v/>
      </c>
    </row>
    <row r="38" spans="1:63" ht="16.5">
      <c r="A38" s="107">
        <f>'DATA SISWA'!A38</f>
        <v>0</v>
      </c>
      <c r="B38" s="107">
        <f>'DATA SISWA'!B38</f>
        <v>0</v>
      </c>
      <c r="C38" s="116">
        <f>'DATA SISWA'!C38</f>
        <v>0</v>
      </c>
      <c r="D38" s="107">
        <f>'DATA SISWA'!D38</f>
        <v>0</v>
      </c>
      <c r="E38" s="107" t="str">
        <f>'DATA SISWA'!E38</f>
        <v>VII</v>
      </c>
      <c r="F38" s="91"/>
      <c r="G38" s="406"/>
      <c r="H38" s="91"/>
      <c r="I38" s="91"/>
      <c r="J38" s="308" t="str">
        <f t="shared" si="1"/>
        <v/>
      </c>
      <c r="K38" s="91"/>
      <c r="L38" s="406"/>
      <c r="M38" s="91"/>
      <c r="N38" s="91"/>
      <c r="O38" s="308" t="str">
        <f t="shared" si="2"/>
        <v/>
      </c>
      <c r="P38" s="91"/>
      <c r="Q38" s="91"/>
      <c r="R38" s="91"/>
      <c r="S38" s="91"/>
      <c r="T38" s="308" t="str">
        <f t="shared" si="3"/>
        <v/>
      </c>
      <c r="U38" s="91"/>
      <c r="V38" s="91"/>
      <c r="W38" s="91"/>
      <c r="X38" s="91"/>
      <c r="Y38" s="308" t="str">
        <f t="shared" si="4"/>
        <v/>
      </c>
      <c r="Z38" s="91"/>
      <c r="AA38" s="91"/>
      <c r="AB38" s="91"/>
      <c r="AC38" s="91"/>
      <c r="AD38" s="308" t="str">
        <f t="shared" si="5"/>
        <v/>
      </c>
      <c r="AE38" s="91"/>
      <c r="AF38" s="91"/>
      <c r="AG38" s="91"/>
      <c r="AH38" s="91"/>
      <c r="AI38" s="308" t="str">
        <f t="shared" si="6"/>
        <v/>
      </c>
      <c r="AJ38" s="91"/>
      <c r="AK38" s="91"/>
      <c r="AL38" s="91"/>
      <c r="AM38" s="91"/>
      <c r="AN38" s="308" t="str">
        <f t="shared" si="7"/>
        <v/>
      </c>
      <c r="AO38" s="91"/>
      <c r="AP38" s="91"/>
      <c r="AQ38" s="91"/>
      <c r="AR38" s="91"/>
      <c r="AS38" s="308" t="str">
        <f t="shared" si="8"/>
        <v/>
      </c>
      <c r="AT38" s="91"/>
      <c r="AU38" s="91"/>
      <c r="AV38" s="91"/>
      <c r="AW38" s="91"/>
      <c r="AX38" s="308" t="str">
        <f t="shared" si="9"/>
        <v/>
      </c>
      <c r="AY38" s="91"/>
      <c r="AZ38" s="91"/>
      <c r="BA38" s="91"/>
      <c r="BB38" s="91"/>
      <c r="BC38" s="308" t="str">
        <f t="shared" si="10"/>
        <v/>
      </c>
      <c r="BD38" s="309" t="str">
        <f t="shared" si="11"/>
        <v/>
      </c>
      <c r="BE38" s="310" t="str">
        <f t="shared" si="0"/>
        <v/>
      </c>
      <c r="BF38" s="311" t="str">
        <f t="shared" si="12"/>
        <v/>
      </c>
      <c r="BG38" s="312" t="str">
        <f t="shared" si="13"/>
        <v/>
      </c>
      <c r="BH38" s="106" t="str">
        <f t="shared" si="14"/>
        <v/>
      </c>
      <c r="BI38" s="107" t="str">
        <f t="shared" si="15"/>
        <v/>
      </c>
      <c r="BJ38" s="116" t="str">
        <f>IF(BD38="","",VLOOKUP(BD38,DATAKET!$BP$3:$BQ$12,2,FALSE))</f>
        <v/>
      </c>
      <c r="BK38" s="105" t="str">
        <f t="shared" si="16"/>
        <v/>
      </c>
    </row>
    <row r="39" spans="1:63" ht="16.5">
      <c r="A39" s="107">
        <f>'DATA SISWA'!A39</f>
        <v>0</v>
      </c>
      <c r="B39" s="107">
        <f>'DATA SISWA'!B39</f>
        <v>0</v>
      </c>
      <c r="C39" s="116">
        <f>'DATA SISWA'!C39</f>
        <v>0</v>
      </c>
      <c r="D39" s="107">
        <f>'DATA SISWA'!D39</f>
        <v>0</v>
      </c>
      <c r="E39" s="107" t="str">
        <f>'DATA SISWA'!E39</f>
        <v>VII</v>
      </c>
      <c r="F39" s="91"/>
      <c r="G39" s="406"/>
      <c r="H39" s="91"/>
      <c r="I39" s="91"/>
      <c r="J39" s="308" t="str">
        <f t="shared" si="1"/>
        <v/>
      </c>
      <c r="K39" s="91"/>
      <c r="L39" s="406"/>
      <c r="M39" s="91"/>
      <c r="N39" s="91"/>
      <c r="O39" s="308" t="str">
        <f t="shared" si="2"/>
        <v/>
      </c>
      <c r="P39" s="91"/>
      <c r="Q39" s="91"/>
      <c r="R39" s="91"/>
      <c r="S39" s="91"/>
      <c r="T39" s="308" t="str">
        <f t="shared" si="3"/>
        <v/>
      </c>
      <c r="U39" s="91"/>
      <c r="V39" s="91"/>
      <c r="W39" s="91"/>
      <c r="X39" s="91"/>
      <c r="Y39" s="308" t="str">
        <f t="shared" si="4"/>
        <v/>
      </c>
      <c r="Z39" s="91"/>
      <c r="AA39" s="91"/>
      <c r="AB39" s="91"/>
      <c r="AC39" s="91"/>
      <c r="AD39" s="308" t="str">
        <f t="shared" si="5"/>
        <v/>
      </c>
      <c r="AE39" s="91"/>
      <c r="AF39" s="91"/>
      <c r="AG39" s="91"/>
      <c r="AH39" s="91"/>
      <c r="AI39" s="308" t="str">
        <f t="shared" si="6"/>
        <v/>
      </c>
      <c r="AJ39" s="91"/>
      <c r="AK39" s="91"/>
      <c r="AL39" s="91"/>
      <c r="AM39" s="91"/>
      <c r="AN39" s="308" t="str">
        <f t="shared" si="7"/>
        <v/>
      </c>
      <c r="AO39" s="91"/>
      <c r="AP39" s="91"/>
      <c r="AQ39" s="91"/>
      <c r="AR39" s="91"/>
      <c r="AS39" s="308" t="str">
        <f t="shared" si="8"/>
        <v/>
      </c>
      <c r="AT39" s="91"/>
      <c r="AU39" s="91"/>
      <c r="AV39" s="91"/>
      <c r="AW39" s="91"/>
      <c r="AX39" s="308" t="str">
        <f t="shared" si="9"/>
        <v/>
      </c>
      <c r="AY39" s="91"/>
      <c r="AZ39" s="91"/>
      <c r="BA39" s="91"/>
      <c r="BB39" s="91"/>
      <c r="BC39" s="308" t="str">
        <f t="shared" si="10"/>
        <v/>
      </c>
      <c r="BD39" s="309" t="str">
        <f t="shared" si="11"/>
        <v/>
      </c>
      <c r="BE39" s="310" t="str">
        <f t="shared" si="0"/>
        <v/>
      </c>
      <c r="BF39" s="311" t="str">
        <f t="shared" si="12"/>
        <v/>
      </c>
      <c r="BG39" s="312" t="str">
        <f t="shared" si="13"/>
        <v/>
      </c>
      <c r="BH39" s="106" t="str">
        <f t="shared" si="14"/>
        <v/>
      </c>
      <c r="BI39" s="107" t="str">
        <f t="shared" si="15"/>
        <v/>
      </c>
      <c r="BJ39" s="116" t="str">
        <f>IF(BD39="","",VLOOKUP(BD39,DATAKET!$BR$3:$BS$12,2,FALSE))</f>
        <v/>
      </c>
      <c r="BK39" s="105" t="str">
        <f t="shared" si="16"/>
        <v/>
      </c>
    </row>
    <row r="40" spans="1:63">
      <c r="A40" s="107">
        <f>'DATA SISWA'!A40</f>
        <v>0</v>
      </c>
      <c r="B40" s="107">
        <f>'DATA SISWA'!B40</f>
        <v>0</v>
      </c>
      <c r="C40" s="116">
        <f>'DATA SISWA'!C40</f>
        <v>0</v>
      </c>
      <c r="D40" s="107">
        <f>'DATA SISWA'!D40</f>
        <v>0</v>
      </c>
      <c r="E40" s="107" t="str">
        <f>'DATA SISWA'!E40</f>
        <v>VII</v>
      </c>
      <c r="F40" s="91"/>
      <c r="G40" s="91"/>
      <c r="H40" s="91"/>
      <c r="I40" s="91"/>
      <c r="J40" s="308" t="str">
        <f t="shared" si="1"/>
        <v/>
      </c>
      <c r="K40" s="91"/>
      <c r="L40" s="91"/>
      <c r="M40" s="91"/>
      <c r="N40" s="91"/>
      <c r="O40" s="308" t="str">
        <f t="shared" si="2"/>
        <v/>
      </c>
      <c r="P40" s="91"/>
      <c r="Q40" s="91"/>
      <c r="R40" s="91"/>
      <c r="S40" s="91"/>
      <c r="T40" s="308" t="str">
        <f t="shared" si="3"/>
        <v/>
      </c>
      <c r="U40" s="91"/>
      <c r="V40" s="91"/>
      <c r="W40" s="91"/>
      <c r="X40" s="91"/>
      <c r="Y40" s="308" t="str">
        <f t="shared" si="4"/>
        <v/>
      </c>
      <c r="Z40" s="91"/>
      <c r="AA40" s="91"/>
      <c r="AB40" s="91"/>
      <c r="AC40" s="91"/>
      <c r="AD40" s="308" t="str">
        <f t="shared" si="5"/>
        <v/>
      </c>
      <c r="AE40" s="91"/>
      <c r="AF40" s="91"/>
      <c r="AG40" s="91"/>
      <c r="AH40" s="91"/>
      <c r="AI40" s="308" t="str">
        <f t="shared" si="6"/>
        <v/>
      </c>
      <c r="AJ40" s="91"/>
      <c r="AK40" s="91"/>
      <c r="AL40" s="91"/>
      <c r="AM40" s="91"/>
      <c r="AN40" s="308" t="str">
        <f t="shared" si="7"/>
        <v/>
      </c>
      <c r="AO40" s="91"/>
      <c r="AP40" s="91"/>
      <c r="AQ40" s="91"/>
      <c r="AR40" s="91"/>
      <c r="AS40" s="308" t="str">
        <f t="shared" si="8"/>
        <v/>
      </c>
      <c r="AT40" s="91"/>
      <c r="AU40" s="91"/>
      <c r="AV40" s="91"/>
      <c r="AW40" s="91"/>
      <c r="AX40" s="308" t="str">
        <f t="shared" si="9"/>
        <v/>
      </c>
      <c r="AY40" s="91"/>
      <c r="AZ40" s="91"/>
      <c r="BA40" s="91"/>
      <c r="BB40" s="91"/>
      <c r="BC40" s="308" t="str">
        <f t="shared" si="10"/>
        <v/>
      </c>
      <c r="BD40" s="309" t="str">
        <f t="shared" si="11"/>
        <v/>
      </c>
      <c r="BE40" s="310" t="str">
        <f t="shared" si="0"/>
        <v/>
      </c>
      <c r="BF40" s="311" t="str">
        <f t="shared" si="12"/>
        <v/>
      </c>
      <c r="BG40" s="312" t="str">
        <f t="shared" si="13"/>
        <v/>
      </c>
      <c r="BH40" s="106" t="str">
        <f t="shared" si="14"/>
        <v/>
      </c>
      <c r="BI40" s="107" t="str">
        <f t="shared" si="15"/>
        <v/>
      </c>
      <c r="BJ40" s="116" t="str">
        <f>IF(BD40="","",VLOOKUP(BD40,DATAKET!$BT$3:$BU$12,2,FALSE))</f>
        <v/>
      </c>
      <c r="BK40" s="105" t="str">
        <f t="shared" si="16"/>
        <v/>
      </c>
    </row>
    <row r="41" spans="1:63">
      <c r="A41" s="107">
        <f>'DATA SISWA'!A41</f>
        <v>0</v>
      </c>
      <c r="B41" s="107">
        <f>'DATA SISWA'!B41</f>
        <v>0</v>
      </c>
      <c r="C41" s="116">
        <f>'DATA SISWA'!C41</f>
        <v>0</v>
      </c>
      <c r="D41" s="107">
        <f>'DATA SISWA'!D41</f>
        <v>0</v>
      </c>
      <c r="E41" s="107" t="str">
        <f>'DATA SISWA'!E41</f>
        <v>VII</v>
      </c>
      <c r="F41" s="91"/>
      <c r="G41" s="91"/>
      <c r="H41" s="91"/>
      <c r="I41" s="91"/>
      <c r="J41" s="308" t="str">
        <f t="shared" si="1"/>
        <v/>
      </c>
      <c r="K41" s="91"/>
      <c r="L41" s="91"/>
      <c r="M41" s="91"/>
      <c r="N41" s="91"/>
      <c r="O41" s="308" t="str">
        <f t="shared" si="2"/>
        <v/>
      </c>
      <c r="P41" s="91"/>
      <c r="Q41" s="91"/>
      <c r="R41" s="91"/>
      <c r="S41" s="91"/>
      <c r="T41" s="308" t="str">
        <f t="shared" si="3"/>
        <v/>
      </c>
      <c r="U41" s="91"/>
      <c r="V41" s="91"/>
      <c r="W41" s="91"/>
      <c r="X41" s="91"/>
      <c r="Y41" s="308" t="str">
        <f t="shared" si="4"/>
        <v/>
      </c>
      <c r="Z41" s="91"/>
      <c r="AA41" s="91"/>
      <c r="AB41" s="91"/>
      <c r="AC41" s="91"/>
      <c r="AD41" s="308" t="str">
        <f t="shared" si="5"/>
        <v/>
      </c>
      <c r="AE41" s="91"/>
      <c r="AF41" s="91"/>
      <c r="AG41" s="91"/>
      <c r="AH41" s="91"/>
      <c r="AI41" s="308" t="str">
        <f t="shared" si="6"/>
        <v/>
      </c>
      <c r="AJ41" s="91"/>
      <c r="AK41" s="91"/>
      <c r="AL41" s="91"/>
      <c r="AM41" s="91"/>
      <c r="AN41" s="308" t="str">
        <f t="shared" si="7"/>
        <v/>
      </c>
      <c r="AO41" s="91"/>
      <c r="AP41" s="91"/>
      <c r="AQ41" s="91"/>
      <c r="AR41" s="91"/>
      <c r="AS41" s="308" t="str">
        <f t="shared" si="8"/>
        <v/>
      </c>
      <c r="AT41" s="91"/>
      <c r="AU41" s="91"/>
      <c r="AV41" s="91"/>
      <c r="AW41" s="91"/>
      <c r="AX41" s="308" t="str">
        <f t="shared" si="9"/>
        <v/>
      </c>
      <c r="AY41" s="91"/>
      <c r="AZ41" s="91"/>
      <c r="BA41" s="91"/>
      <c r="BB41" s="91"/>
      <c r="BC41" s="308" t="str">
        <f t="shared" si="10"/>
        <v/>
      </c>
      <c r="BD41" s="309" t="str">
        <f t="shared" si="11"/>
        <v/>
      </c>
      <c r="BE41" s="310" t="str">
        <f t="shared" si="0"/>
        <v/>
      </c>
      <c r="BF41" s="311" t="str">
        <f t="shared" si="12"/>
        <v/>
      </c>
      <c r="BG41" s="312" t="str">
        <f t="shared" si="13"/>
        <v/>
      </c>
      <c r="BH41" s="106" t="str">
        <f t="shared" si="14"/>
        <v/>
      </c>
      <c r="BI41" s="107" t="str">
        <f t="shared" si="15"/>
        <v/>
      </c>
      <c r="BJ41" s="116" t="str">
        <f>IF(BD41="","",VLOOKUP(BD41,DATAKET!$BV$3:$BW$12,2,FALSE))</f>
        <v/>
      </c>
      <c r="BK41" s="105" t="str">
        <f t="shared" si="16"/>
        <v/>
      </c>
    </row>
    <row r="42" spans="1:63">
      <c r="A42" s="107">
        <f>'DATA SISWA'!A42</f>
        <v>0</v>
      </c>
      <c r="B42" s="107">
        <f>'DATA SISWA'!B42</f>
        <v>0</v>
      </c>
      <c r="C42" s="116">
        <f>'DATA SISWA'!C42</f>
        <v>0</v>
      </c>
      <c r="D42" s="107">
        <f>'DATA SISWA'!D42</f>
        <v>0</v>
      </c>
      <c r="E42" s="107" t="str">
        <f>'DATA SISWA'!E42</f>
        <v>VII</v>
      </c>
      <c r="F42" s="91"/>
      <c r="G42" s="91"/>
      <c r="H42" s="91"/>
      <c r="I42" s="91"/>
      <c r="J42" s="308" t="str">
        <f t="shared" si="1"/>
        <v/>
      </c>
      <c r="K42" s="91"/>
      <c r="L42" s="91"/>
      <c r="M42" s="91"/>
      <c r="N42" s="91"/>
      <c r="O42" s="308" t="str">
        <f t="shared" si="2"/>
        <v/>
      </c>
      <c r="P42" s="91"/>
      <c r="Q42" s="91"/>
      <c r="R42" s="91"/>
      <c r="S42" s="91"/>
      <c r="T42" s="308" t="str">
        <f t="shared" si="3"/>
        <v/>
      </c>
      <c r="U42" s="91"/>
      <c r="V42" s="91"/>
      <c r="W42" s="91"/>
      <c r="X42" s="91"/>
      <c r="Y42" s="308" t="str">
        <f t="shared" si="4"/>
        <v/>
      </c>
      <c r="Z42" s="91"/>
      <c r="AA42" s="91"/>
      <c r="AB42" s="91"/>
      <c r="AC42" s="91"/>
      <c r="AD42" s="308" t="str">
        <f t="shared" si="5"/>
        <v/>
      </c>
      <c r="AE42" s="91"/>
      <c r="AF42" s="91"/>
      <c r="AG42" s="91"/>
      <c r="AH42" s="91"/>
      <c r="AI42" s="308" t="str">
        <f t="shared" si="6"/>
        <v/>
      </c>
      <c r="AJ42" s="91"/>
      <c r="AK42" s="91"/>
      <c r="AL42" s="91"/>
      <c r="AM42" s="91"/>
      <c r="AN42" s="308" t="str">
        <f t="shared" si="7"/>
        <v/>
      </c>
      <c r="AO42" s="91"/>
      <c r="AP42" s="91"/>
      <c r="AQ42" s="91"/>
      <c r="AR42" s="91"/>
      <c r="AS42" s="308" t="str">
        <f t="shared" si="8"/>
        <v/>
      </c>
      <c r="AT42" s="91"/>
      <c r="AU42" s="91"/>
      <c r="AV42" s="91"/>
      <c r="AW42" s="91"/>
      <c r="AX42" s="308" t="str">
        <f t="shared" si="9"/>
        <v/>
      </c>
      <c r="AY42" s="91"/>
      <c r="AZ42" s="91"/>
      <c r="BA42" s="91"/>
      <c r="BB42" s="91"/>
      <c r="BC42" s="308" t="str">
        <f t="shared" si="10"/>
        <v/>
      </c>
      <c r="BD42" s="309" t="str">
        <f t="shared" si="11"/>
        <v/>
      </c>
      <c r="BE42" s="310" t="str">
        <f t="shared" si="0"/>
        <v/>
      </c>
      <c r="BF42" s="311" t="str">
        <f t="shared" si="12"/>
        <v/>
      </c>
      <c r="BG42" s="312" t="str">
        <f t="shared" si="13"/>
        <v/>
      </c>
      <c r="BH42" s="106" t="str">
        <f t="shared" si="14"/>
        <v/>
      </c>
      <c r="BI42" s="107" t="str">
        <f t="shared" si="15"/>
        <v/>
      </c>
      <c r="BJ42" s="116" t="str">
        <f>IF(BD42="","",VLOOKUP(BD42,DATAKET!$BX$3:$BY$12,2,FALSE))</f>
        <v/>
      </c>
      <c r="BK42" s="105" t="str">
        <f t="shared" si="16"/>
        <v/>
      </c>
    </row>
    <row r="43" spans="1:63">
      <c r="A43" s="107">
        <f>'DATA SISWA'!A43</f>
        <v>0</v>
      </c>
      <c r="B43" s="107">
        <f>'DATA SISWA'!B43</f>
        <v>0</v>
      </c>
      <c r="C43" s="116">
        <f>'DATA SISWA'!C43</f>
        <v>0</v>
      </c>
      <c r="D43" s="107">
        <f>'DATA SISWA'!D43</f>
        <v>0</v>
      </c>
      <c r="E43" s="107" t="str">
        <f>'DATA SISWA'!E43</f>
        <v>VII</v>
      </c>
      <c r="F43" s="91"/>
      <c r="G43" s="91"/>
      <c r="H43" s="91"/>
      <c r="I43" s="91"/>
      <c r="J43" s="308" t="str">
        <f t="shared" si="1"/>
        <v/>
      </c>
      <c r="K43" s="91"/>
      <c r="L43" s="91"/>
      <c r="M43" s="91"/>
      <c r="N43" s="91"/>
      <c r="O43" s="308" t="str">
        <f t="shared" si="2"/>
        <v/>
      </c>
      <c r="P43" s="91"/>
      <c r="Q43" s="91"/>
      <c r="R43" s="91"/>
      <c r="S43" s="91"/>
      <c r="T43" s="308" t="str">
        <f t="shared" si="3"/>
        <v/>
      </c>
      <c r="U43" s="91"/>
      <c r="V43" s="91"/>
      <c r="W43" s="91"/>
      <c r="X43" s="91"/>
      <c r="Y43" s="308" t="str">
        <f t="shared" si="4"/>
        <v/>
      </c>
      <c r="Z43" s="91"/>
      <c r="AA43" s="91"/>
      <c r="AB43" s="91"/>
      <c r="AC43" s="91"/>
      <c r="AD43" s="308" t="str">
        <f t="shared" si="5"/>
        <v/>
      </c>
      <c r="AE43" s="91"/>
      <c r="AF43" s="91"/>
      <c r="AG43" s="91"/>
      <c r="AH43" s="91"/>
      <c r="AI43" s="308" t="str">
        <f t="shared" si="6"/>
        <v/>
      </c>
      <c r="AJ43" s="91"/>
      <c r="AK43" s="91"/>
      <c r="AL43" s="91"/>
      <c r="AM43" s="91"/>
      <c r="AN43" s="308" t="str">
        <f t="shared" si="7"/>
        <v/>
      </c>
      <c r="AO43" s="91"/>
      <c r="AP43" s="91"/>
      <c r="AQ43" s="91"/>
      <c r="AR43" s="91"/>
      <c r="AS43" s="308" t="str">
        <f t="shared" si="8"/>
        <v/>
      </c>
      <c r="AT43" s="91"/>
      <c r="AU43" s="91"/>
      <c r="AV43" s="91"/>
      <c r="AW43" s="91"/>
      <c r="AX43" s="308" t="str">
        <f t="shared" si="9"/>
        <v/>
      </c>
      <c r="AY43" s="91"/>
      <c r="AZ43" s="91"/>
      <c r="BA43" s="91"/>
      <c r="BB43" s="91"/>
      <c r="BC43" s="308" t="str">
        <f t="shared" si="10"/>
        <v/>
      </c>
      <c r="BD43" s="309" t="str">
        <f t="shared" si="11"/>
        <v/>
      </c>
      <c r="BE43" s="310" t="str">
        <f t="shared" si="0"/>
        <v/>
      </c>
      <c r="BF43" s="311" t="str">
        <f t="shared" si="12"/>
        <v/>
      </c>
      <c r="BG43" s="312" t="str">
        <f t="shared" si="13"/>
        <v/>
      </c>
      <c r="BH43" s="106" t="str">
        <f t="shared" si="14"/>
        <v/>
      </c>
      <c r="BI43" s="107" t="str">
        <f t="shared" si="15"/>
        <v/>
      </c>
      <c r="BJ43" s="116" t="str">
        <f>IF(BD43="","",VLOOKUP(BD43,DATAKET!$BZ$3:$CA$12,2,FALSE))</f>
        <v/>
      </c>
      <c r="BK43" s="105" t="str">
        <f t="shared" si="16"/>
        <v/>
      </c>
    </row>
    <row r="44" spans="1:63">
      <c r="A44" s="107">
        <f>'DATA SISWA'!A44</f>
        <v>0</v>
      </c>
      <c r="B44" s="107">
        <f>'DATA SISWA'!B44</f>
        <v>0</v>
      </c>
      <c r="C44" s="116">
        <f>'DATA SISWA'!C44</f>
        <v>0</v>
      </c>
      <c r="D44" s="107">
        <f>'DATA SISWA'!D44</f>
        <v>0</v>
      </c>
      <c r="E44" s="107" t="str">
        <f>'DATA SISWA'!E44</f>
        <v>VII</v>
      </c>
      <c r="F44" s="91"/>
      <c r="G44" s="91"/>
      <c r="H44" s="91"/>
      <c r="I44" s="91"/>
      <c r="J44" s="308" t="str">
        <f t="shared" si="1"/>
        <v/>
      </c>
      <c r="K44" s="91"/>
      <c r="L44" s="91"/>
      <c r="M44" s="91"/>
      <c r="N44" s="91"/>
      <c r="O44" s="308" t="str">
        <f t="shared" si="2"/>
        <v/>
      </c>
      <c r="P44" s="91"/>
      <c r="Q44" s="91"/>
      <c r="R44" s="91"/>
      <c r="S44" s="91"/>
      <c r="T44" s="308" t="str">
        <f t="shared" si="3"/>
        <v/>
      </c>
      <c r="U44" s="91"/>
      <c r="V44" s="91"/>
      <c r="W44" s="91"/>
      <c r="X44" s="91"/>
      <c r="Y44" s="308" t="str">
        <f t="shared" si="4"/>
        <v/>
      </c>
      <c r="Z44" s="91"/>
      <c r="AA44" s="91"/>
      <c r="AB44" s="91"/>
      <c r="AC44" s="91"/>
      <c r="AD44" s="308" t="str">
        <f t="shared" si="5"/>
        <v/>
      </c>
      <c r="AE44" s="91"/>
      <c r="AF44" s="91"/>
      <c r="AG44" s="91"/>
      <c r="AH44" s="91"/>
      <c r="AI44" s="308" t="str">
        <f t="shared" si="6"/>
        <v/>
      </c>
      <c r="AJ44" s="91"/>
      <c r="AK44" s="91"/>
      <c r="AL44" s="91"/>
      <c r="AM44" s="91"/>
      <c r="AN44" s="308" t="str">
        <f t="shared" si="7"/>
        <v/>
      </c>
      <c r="AO44" s="91"/>
      <c r="AP44" s="91"/>
      <c r="AQ44" s="91"/>
      <c r="AR44" s="91"/>
      <c r="AS44" s="308" t="str">
        <f t="shared" si="8"/>
        <v/>
      </c>
      <c r="AT44" s="91"/>
      <c r="AU44" s="91"/>
      <c r="AV44" s="91"/>
      <c r="AW44" s="91"/>
      <c r="AX44" s="308" t="str">
        <f t="shared" si="9"/>
        <v/>
      </c>
      <c r="AY44" s="91"/>
      <c r="AZ44" s="91"/>
      <c r="BA44" s="91"/>
      <c r="BB44" s="91"/>
      <c r="BC44" s="308" t="str">
        <f t="shared" si="10"/>
        <v/>
      </c>
      <c r="BD44" s="309" t="str">
        <f t="shared" si="11"/>
        <v/>
      </c>
      <c r="BE44" s="310" t="str">
        <f t="shared" si="0"/>
        <v/>
      </c>
      <c r="BF44" s="311" t="str">
        <f t="shared" si="12"/>
        <v/>
      </c>
      <c r="BG44" s="312" t="str">
        <f t="shared" si="13"/>
        <v/>
      </c>
      <c r="BH44" s="106" t="str">
        <f t="shared" si="14"/>
        <v/>
      </c>
      <c r="BI44" s="107" t="str">
        <f t="shared" si="15"/>
        <v/>
      </c>
      <c r="BJ44" s="116" t="str">
        <f>IF(BD44="","",VLOOKUP(BD44,DATAKET!$CB$3:$CC$12,2,FALSE))</f>
        <v/>
      </c>
      <c r="BK44" s="105" t="str">
        <f t="shared" si="16"/>
        <v/>
      </c>
    </row>
    <row r="45" spans="1:63">
      <c r="A45" s="107">
        <f>'DATA SISWA'!A45</f>
        <v>0</v>
      </c>
      <c r="B45" s="107">
        <f>'DATA SISWA'!B45</f>
        <v>0</v>
      </c>
      <c r="C45" s="116">
        <f>'DATA SISWA'!C45</f>
        <v>0</v>
      </c>
      <c r="D45" s="107">
        <f>'DATA SISWA'!D45</f>
        <v>0</v>
      </c>
      <c r="E45" s="107" t="str">
        <f>'DATA SISWA'!E45</f>
        <v>VII</v>
      </c>
      <c r="F45" s="91"/>
      <c r="G45" s="91"/>
      <c r="H45" s="91"/>
      <c r="I45" s="91"/>
      <c r="J45" s="308" t="str">
        <f t="shared" si="1"/>
        <v/>
      </c>
      <c r="K45" s="91"/>
      <c r="L45" s="91"/>
      <c r="M45" s="91"/>
      <c r="N45" s="91"/>
      <c r="O45" s="308" t="str">
        <f t="shared" si="2"/>
        <v/>
      </c>
      <c r="P45" s="91"/>
      <c r="Q45" s="91"/>
      <c r="R45" s="91"/>
      <c r="S45" s="91"/>
      <c r="T45" s="308" t="str">
        <f t="shared" si="3"/>
        <v/>
      </c>
      <c r="U45" s="91"/>
      <c r="V45" s="91"/>
      <c r="W45" s="91"/>
      <c r="X45" s="91"/>
      <c r="Y45" s="308" t="str">
        <f t="shared" si="4"/>
        <v/>
      </c>
      <c r="Z45" s="91"/>
      <c r="AA45" s="91"/>
      <c r="AB45" s="91"/>
      <c r="AC45" s="91"/>
      <c r="AD45" s="308" t="str">
        <f t="shared" si="5"/>
        <v/>
      </c>
      <c r="AE45" s="91"/>
      <c r="AF45" s="91"/>
      <c r="AG45" s="91"/>
      <c r="AH45" s="91"/>
      <c r="AI45" s="308" t="str">
        <f t="shared" si="6"/>
        <v/>
      </c>
      <c r="AJ45" s="91"/>
      <c r="AK45" s="91"/>
      <c r="AL45" s="91"/>
      <c r="AM45" s="91"/>
      <c r="AN45" s="308" t="str">
        <f t="shared" si="7"/>
        <v/>
      </c>
      <c r="AO45" s="91"/>
      <c r="AP45" s="91"/>
      <c r="AQ45" s="91"/>
      <c r="AR45" s="91"/>
      <c r="AS45" s="308" t="str">
        <f t="shared" si="8"/>
        <v/>
      </c>
      <c r="AT45" s="91"/>
      <c r="AU45" s="91"/>
      <c r="AV45" s="91"/>
      <c r="AW45" s="91"/>
      <c r="AX45" s="308" t="str">
        <f t="shared" si="9"/>
        <v/>
      </c>
      <c r="AY45" s="91"/>
      <c r="AZ45" s="91"/>
      <c r="BA45" s="91"/>
      <c r="BB45" s="91"/>
      <c r="BC45" s="308" t="str">
        <f t="shared" si="10"/>
        <v/>
      </c>
      <c r="BD45" s="309" t="str">
        <f t="shared" si="11"/>
        <v/>
      </c>
      <c r="BE45" s="310" t="str">
        <f t="shared" si="0"/>
        <v/>
      </c>
      <c r="BF45" s="311" t="str">
        <f t="shared" si="12"/>
        <v/>
      </c>
      <c r="BG45" s="312" t="str">
        <f t="shared" si="13"/>
        <v/>
      </c>
      <c r="BH45" s="106" t="str">
        <f t="shared" si="14"/>
        <v/>
      </c>
      <c r="BI45" s="107" t="str">
        <f t="shared" si="15"/>
        <v/>
      </c>
      <c r="BJ45" s="116" t="str">
        <f>IF(BD45="","",VLOOKUP(BD45,DATAKET!$CD$3:$CE$12,2,FALSE))</f>
        <v/>
      </c>
      <c r="BK45" s="105" t="str">
        <f t="shared" si="16"/>
        <v/>
      </c>
    </row>
    <row r="46" spans="1:63">
      <c r="A46" s="107">
        <f>'DATA SISWA'!A46</f>
        <v>0</v>
      </c>
      <c r="B46" s="107">
        <f>'DATA SISWA'!B46</f>
        <v>0</v>
      </c>
      <c r="C46" s="116">
        <f>'DATA SISWA'!C46</f>
        <v>0</v>
      </c>
      <c r="D46" s="107">
        <f>'DATA SISWA'!D46</f>
        <v>0</v>
      </c>
      <c r="E46" s="107" t="str">
        <f>'DATA SISWA'!E46</f>
        <v>VII</v>
      </c>
      <c r="F46" s="91"/>
      <c r="G46" s="91"/>
      <c r="H46" s="91"/>
      <c r="I46" s="91"/>
      <c r="J46" s="308" t="str">
        <f t="shared" si="1"/>
        <v/>
      </c>
      <c r="K46" s="91"/>
      <c r="L46" s="91"/>
      <c r="M46" s="91"/>
      <c r="N46" s="91"/>
      <c r="O46" s="308" t="str">
        <f t="shared" si="2"/>
        <v/>
      </c>
      <c r="P46" s="91"/>
      <c r="Q46" s="91"/>
      <c r="R46" s="91"/>
      <c r="S46" s="91"/>
      <c r="T46" s="308" t="str">
        <f t="shared" si="3"/>
        <v/>
      </c>
      <c r="U46" s="91"/>
      <c r="V46" s="91"/>
      <c r="W46" s="91"/>
      <c r="X46" s="91"/>
      <c r="Y46" s="308" t="str">
        <f t="shared" si="4"/>
        <v/>
      </c>
      <c r="Z46" s="91"/>
      <c r="AA46" s="91"/>
      <c r="AB46" s="91"/>
      <c r="AC46" s="91"/>
      <c r="AD46" s="308" t="str">
        <f t="shared" si="5"/>
        <v/>
      </c>
      <c r="AE46" s="91"/>
      <c r="AF46" s="91"/>
      <c r="AG46" s="91"/>
      <c r="AH46" s="91"/>
      <c r="AI46" s="308" t="str">
        <f t="shared" si="6"/>
        <v/>
      </c>
      <c r="AJ46" s="91"/>
      <c r="AK46" s="91"/>
      <c r="AL46" s="91"/>
      <c r="AM46" s="91"/>
      <c r="AN46" s="308" t="str">
        <f t="shared" si="7"/>
        <v/>
      </c>
      <c r="AO46" s="91"/>
      <c r="AP46" s="91"/>
      <c r="AQ46" s="91"/>
      <c r="AR46" s="91"/>
      <c r="AS46" s="308" t="str">
        <f t="shared" si="8"/>
        <v/>
      </c>
      <c r="AT46" s="91"/>
      <c r="AU46" s="91"/>
      <c r="AV46" s="91"/>
      <c r="AW46" s="91"/>
      <c r="AX46" s="308" t="str">
        <f t="shared" si="9"/>
        <v/>
      </c>
      <c r="AY46" s="91"/>
      <c r="AZ46" s="91"/>
      <c r="BA46" s="91"/>
      <c r="BB46" s="91"/>
      <c r="BC46" s="308" t="str">
        <f t="shared" si="10"/>
        <v/>
      </c>
      <c r="BD46" s="309" t="str">
        <f t="shared" si="11"/>
        <v/>
      </c>
      <c r="BE46" s="310" t="str">
        <f t="shared" si="0"/>
        <v/>
      </c>
      <c r="BF46" s="311" t="str">
        <f t="shared" si="12"/>
        <v/>
      </c>
      <c r="BG46" s="312" t="str">
        <f t="shared" si="13"/>
        <v/>
      </c>
      <c r="BH46" s="106" t="str">
        <f t="shared" si="14"/>
        <v/>
      </c>
      <c r="BI46" s="107" t="str">
        <f t="shared" si="15"/>
        <v/>
      </c>
      <c r="BJ46" s="116" t="str">
        <f>IF(BD46="","",VLOOKUP(BD46,DATAKET!$CF$3:$CG$12,2,FALSE))</f>
        <v/>
      </c>
      <c r="BK46" s="105" t="str">
        <f t="shared" si="16"/>
        <v/>
      </c>
    </row>
    <row r="47" spans="1:63">
      <c r="A47" s="107">
        <f>'DATA SISWA'!A47</f>
        <v>0</v>
      </c>
      <c r="B47" s="107">
        <f>'DATA SISWA'!B47</f>
        <v>0</v>
      </c>
      <c r="C47" s="116">
        <f>'DATA SISWA'!C47</f>
        <v>0</v>
      </c>
      <c r="D47" s="107">
        <f>'DATA SISWA'!D47</f>
        <v>0</v>
      </c>
      <c r="E47" s="107" t="str">
        <f>'DATA SISWA'!E47</f>
        <v>VII</v>
      </c>
      <c r="F47" s="91"/>
      <c r="G47" s="91"/>
      <c r="H47" s="91"/>
      <c r="I47" s="91"/>
      <c r="J47" s="308" t="str">
        <f t="shared" si="1"/>
        <v/>
      </c>
      <c r="K47" s="91"/>
      <c r="L47" s="91"/>
      <c r="M47" s="91"/>
      <c r="N47" s="91"/>
      <c r="O47" s="308" t="str">
        <f t="shared" si="2"/>
        <v/>
      </c>
      <c r="P47" s="91"/>
      <c r="Q47" s="91"/>
      <c r="R47" s="91"/>
      <c r="S47" s="91"/>
      <c r="T47" s="308" t="str">
        <f t="shared" si="3"/>
        <v/>
      </c>
      <c r="U47" s="91"/>
      <c r="V47" s="91"/>
      <c r="W47" s="91"/>
      <c r="X47" s="91"/>
      <c r="Y47" s="308" t="str">
        <f t="shared" si="4"/>
        <v/>
      </c>
      <c r="Z47" s="91"/>
      <c r="AA47" s="91"/>
      <c r="AB47" s="91"/>
      <c r="AC47" s="91"/>
      <c r="AD47" s="308" t="str">
        <f t="shared" si="5"/>
        <v/>
      </c>
      <c r="AE47" s="91"/>
      <c r="AF47" s="91"/>
      <c r="AG47" s="91"/>
      <c r="AH47" s="91"/>
      <c r="AI47" s="308" t="str">
        <f t="shared" si="6"/>
        <v/>
      </c>
      <c r="AJ47" s="91"/>
      <c r="AK47" s="91"/>
      <c r="AL47" s="91"/>
      <c r="AM47" s="91"/>
      <c r="AN47" s="308" t="str">
        <f t="shared" si="7"/>
        <v/>
      </c>
      <c r="AO47" s="91"/>
      <c r="AP47" s="91"/>
      <c r="AQ47" s="91"/>
      <c r="AR47" s="91"/>
      <c r="AS47" s="308" t="str">
        <f t="shared" si="8"/>
        <v/>
      </c>
      <c r="AT47" s="91"/>
      <c r="AU47" s="91"/>
      <c r="AV47" s="91"/>
      <c r="AW47" s="91"/>
      <c r="AX47" s="308" t="str">
        <f t="shared" si="9"/>
        <v/>
      </c>
      <c r="AY47" s="91"/>
      <c r="AZ47" s="91"/>
      <c r="BA47" s="91"/>
      <c r="BB47" s="91"/>
      <c r="BC47" s="308" t="str">
        <f t="shared" si="10"/>
        <v/>
      </c>
      <c r="BD47" s="309" t="str">
        <f t="shared" si="11"/>
        <v/>
      </c>
      <c r="BE47" s="310" t="str">
        <f t="shared" si="0"/>
        <v/>
      </c>
      <c r="BF47" s="311" t="str">
        <f t="shared" si="12"/>
        <v/>
      </c>
      <c r="BG47" s="312" t="str">
        <f t="shared" si="13"/>
        <v/>
      </c>
      <c r="BH47" s="106" t="str">
        <f t="shared" si="14"/>
        <v/>
      </c>
      <c r="BI47" s="107" t="str">
        <f t="shared" si="15"/>
        <v/>
      </c>
      <c r="BJ47" s="116" t="str">
        <f>IF(BD47="","",VLOOKUP(BD47,DATAKET!$CH$3:$CI$12,2,FALSE))</f>
        <v/>
      </c>
      <c r="BK47" s="105" t="str">
        <f t="shared" si="16"/>
        <v/>
      </c>
    </row>
    <row r="48" spans="1:63">
      <c r="A48" s="107">
        <f>'DATA SISWA'!A48</f>
        <v>0</v>
      </c>
      <c r="B48" s="107">
        <f>'DATA SISWA'!B48</f>
        <v>0</v>
      </c>
      <c r="C48" s="116">
        <f>'DATA SISWA'!C48</f>
        <v>0</v>
      </c>
      <c r="D48" s="107">
        <f>'DATA SISWA'!D48</f>
        <v>0</v>
      </c>
      <c r="E48" s="107" t="str">
        <f>'DATA SISWA'!E48</f>
        <v>VII</v>
      </c>
      <c r="F48" s="91"/>
      <c r="G48" s="91"/>
      <c r="H48" s="91"/>
      <c r="I48" s="91"/>
      <c r="J48" s="308" t="str">
        <f t="shared" si="1"/>
        <v/>
      </c>
      <c r="K48" s="91"/>
      <c r="L48" s="91"/>
      <c r="M48" s="91"/>
      <c r="N48" s="91"/>
      <c r="O48" s="308" t="str">
        <f t="shared" si="2"/>
        <v/>
      </c>
      <c r="P48" s="91"/>
      <c r="Q48" s="91"/>
      <c r="R48" s="91"/>
      <c r="S48" s="91"/>
      <c r="T48" s="308" t="str">
        <f t="shared" si="3"/>
        <v/>
      </c>
      <c r="U48" s="91"/>
      <c r="V48" s="91"/>
      <c r="W48" s="91"/>
      <c r="X48" s="91"/>
      <c r="Y48" s="308" t="str">
        <f t="shared" si="4"/>
        <v/>
      </c>
      <c r="Z48" s="91"/>
      <c r="AA48" s="91"/>
      <c r="AB48" s="91"/>
      <c r="AC48" s="91"/>
      <c r="AD48" s="308" t="str">
        <f t="shared" si="5"/>
        <v/>
      </c>
      <c r="AE48" s="91"/>
      <c r="AF48" s="91"/>
      <c r="AG48" s="91"/>
      <c r="AH48" s="91"/>
      <c r="AI48" s="308" t="str">
        <f t="shared" si="6"/>
        <v/>
      </c>
      <c r="AJ48" s="91"/>
      <c r="AK48" s="91"/>
      <c r="AL48" s="91"/>
      <c r="AM48" s="91"/>
      <c r="AN48" s="308" t="str">
        <f t="shared" si="7"/>
        <v/>
      </c>
      <c r="AO48" s="91"/>
      <c r="AP48" s="91"/>
      <c r="AQ48" s="91"/>
      <c r="AR48" s="91"/>
      <c r="AS48" s="308" t="str">
        <f t="shared" si="8"/>
        <v/>
      </c>
      <c r="AT48" s="91"/>
      <c r="AU48" s="91"/>
      <c r="AV48" s="91"/>
      <c r="AW48" s="91"/>
      <c r="AX48" s="308" t="str">
        <f t="shared" si="9"/>
        <v/>
      </c>
      <c r="AY48" s="91"/>
      <c r="AZ48" s="91"/>
      <c r="BA48" s="91"/>
      <c r="BB48" s="91"/>
      <c r="BC48" s="308" t="str">
        <f t="shared" si="10"/>
        <v/>
      </c>
      <c r="BD48" s="309" t="str">
        <f t="shared" si="11"/>
        <v/>
      </c>
      <c r="BE48" s="310" t="str">
        <f t="shared" si="0"/>
        <v/>
      </c>
      <c r="BF48" s="311" t="str">
        <f t="shared" si="12"/>
        <v/>
      </c>
      <c r="BG48" s="312" t="str">
        <f t="shared" si="13"/>
        <v/>
      </c>
      <c r="BH48" s="106" t="str">
        <f t="shared" si="14"/>
        <v/>
      </c>
      <c r="BI48" s="107" t="str">
        <f t="shared" si="15"/>
        <v/>
      </c>
      <c r="BJ48" s="116" t="str">
        <f>IF(BD48="","",VLOOKUP(BD48,DATAKET!$CJ$3:$CK$12,2,FALSE))</f>
        <v/>
      </c>
      <c r="BK48" s="105" t="str">
        <f t="shared" si="16"/>
        <v/>
      </c>
    </row>
    <row r="49" spans="1:63">
      <c r="A49" s="107">
        <f>'DATA SISWA'!A49</f>
        <v>0</v>
      </c>
      <c r="B49" s="107">
        <f>'DATA SISWA'!B49</f>
        <v>0</v>
      </c>
      <c r="C49" s="116">
        <f>'DATA SISWA'!C49</f>
        <v>0</v>
      </c>
      <c r="D49" s="107">
        <f>'DATA SISWA'!D49</f>
        <v>0</v>
      </c>
      <c r="E49" s="107" t="str">
        <f>'DATA SISWA'!E49</f>
        <v>VII</v>
      </c>
      <c r="F49" s="91"/>
      <c r="G49" s="91"/>
      <c r="H49" s="91"/>
      <c r="I49" s="91"/>
      <c r="J49" s="308" t="str">
        <f t="shared" si="1"/>
        <v/>
      </c>
      <c r="K49" s="91"/>
      <c r="L49" s="91"/>
      <c r="M49" s="91"/>
      <c r="N49" s="91"/>
      <c r="O49" s="308" t="str">
        <f t="shared" si="2"/>
        <v/>
      </c>
      <c r="P49" s="91"/>
      <c r="Q49" s="91"/>
      <c r="R49" s="91"/>
      <c r="S49" s="91"/>
      <c r="T49" s="308" t="str">
        <f t="shared" si="3"/>
        <v/>
      </c>
      <c r="U49" s="91"/>
      <c r="V49" s="91"/>
      <c r="W49" s="91"/>
      <c r="X49" s="91"/>
      <c r="Y49" s="308" t="str">
        <f t="shared" si="4"/>
        <v/>
      </c>
      <c r="Z49" s="91"/>
      <c r="AA49" s="91"/>
      <c r="AB49" s="91"/>
      <c r="AC49" s="91"/>
      <c r="AD49" s="308" t="str">
        <f t="shared" si="5"/>
        <v/>
      </c>
      <c r="AE49" s="91"/>
      <c r="AF49" s="91"/>
      <c r="AG49" s="91"/>
      <c r="AH49" s="91"/>
      <c r="AI49" s="308" t="str">
        <f t="shared" si="6"/>
        <v/>
      </c>
      <c r="AJ49" s="91"/>
      <c r="AK49" s="91"/>
      <c r="AL49" s="91"/>
      <c r="AM49" s="91"/>
      <c r="AN49" s="308" t="str">
        <f t="shared" si="7"/>
        <v/>
      </c>
      <c r="AO49" s="91"/>
      <c r="AP49" s="91"/>
      <c r="AQ49" s="91"/>
      <c r="AR49" s="91"/>
      <c r="AS49" s="308" t="str">
        <f t="shared" si="8"/>
        <v/>
      </c>
      <c r="AT49" s="91"/>
      <c r="AU49" s="91"/>
      <c r="AV49" s="91"/>
      <c r="AW49" s="91"/>
      <c r="AX49" s="308" t="str">
        <f t="shared" si="9"/>
        <v/>
      </c>
      <c r="AY49" s="91"/>
      <c r="AZ49" s="91"/>
      <c r="BA49" s="91"/>
      <c r="BB49" s="91"/>
      <c r="BC49" s="308" t="str">
        <f t="shared" si="10"/>
        <v/>
      </c>
      <c r="BD49" s="309" t="str">
        <f t="shared" si="11"/>
        <v/>
      </c>
      <c r="BE49" s="310" t="str">
        <f t="shared" si="0"/>
        <v/>
      </c>
      <c r="BF49" s="311" t="str">
        <f t="shared" si="12"/>
        <v/>
      </c>
      <c r="BG49" s="312" t="str">
        <f t="shared" si="13"/>
        <v/>
      </c>
      <c r="BH49" s="106" t="str">
        <f t="shared" si="14"/>
        <v/>
      </c>
      <c r="BI49" s="107" t="str">
        <f t="shared" si="15"/>
        <v/>
      </c>
      <c r="BJ49" s="116" t="str">
        <f>IF(BD49="","",VLOOKUP(BD49,DATAKET!$CL$3:$CM$12,2,FALSE))</f>
        <v/>
      </c>
      <c r="BK49" s="105" t="str">
        <f t="shared" si="16"/>
        <v/>
      </c>
    </row>
    <row r="50" spans="1:63">
      <c r="A50" s="107">
        <f>'DATA SISWA'!A50</f>
        <v>0</v>
      </c>
      <c r="B50" s="107">
        <f>'DATA SISWA'!B50</f>
        <v>0</v>
      </c>
      <c r="C50" s="116">
        <f>'DATA SISWA'!C50</f>
        <v>0</v>
      </c>
      <c r="D50" s="107">
        <f>'DATA SISWA'!D50</f>
        <v>0</v>
      </c>
      <c r="E50" s="107" t="str">
        <f>'DATA SISWA'!E50</f>
        <v>VII</v>
      </c>
      <c r="F50" s="91"/>
      <c r="G50" s="91"/>
      <c r="H50" s="91"/>
      <c r="I50" s="91"/>
      <c r="J50" s="308" t="str">
        <f t="shared" si="1"/>
        <v/>
      </c>
      <c r="K50" s="91"/>
      <c r="L50" s="91"/>
      <c r="M50" s="91"/>
      <c r="N50" s="91"/>
      <c r="O50" s="308" t="str">
        <f t="shared" si="2"/>
        <v/>
      </c>
      <c r="P50" s="91"/>
      <c r="Q50" s="91"/>
      <c r="R50" s="91"/>
      <c r="S50" s="91"/>
      <c r="T50" s="308" t="str">
        <f t="shared" si="3"/>
        <v/>
      </c>
      <c r="U50" s="91"/>
      <c r="V50" s="91"/>
      <c r="W50" s="91"/>
      <c r="X50" s="91"/>
      <c r="Y50" s="308" t="str">
        <f t="shared" si="4"/>
        <v/>
      </c>
      <c r="Z50" s="91"/>
      <c r="AA50" s="91"/>
      <c r="AB50" s="91"/>
      <c r="AC50" s="91"/>
      <c r="AD50" s="308" t="str">
        <f t="shared" si="5"/>
        <v/>
      </c>
      <c r="AE50" s="91"/>
      <c r="AF50" s="91"/>
      <c r="AG50" s="91"/>
      <c r="AH50" s="91"/>
      <c r="AI50" s="308" t="str">
        <f t="shared" si="6"/>
        <v/>
      </c>
      <c r="AJ50" s="91"/>
      <c r="AK50" s="91"/>
      <c r="AL50" s="91"/>
      <c r="AM50" s="91"/>
      <c r="AN50" s="308" t="str">
        <f t="shared" si="7"/>
        <v/>
      </c>
      <c r="AO50" s="91"/>
      <c r="AP50" s="91"/>
      <c r="AQ50" s="91"/>
      <c r="AR50" s="91"/>
      <c r="AS50" s="308" t="str">
        <f t="shared" si="8"/>
        <v/>
      </c>
      <c r="AT50" s="91"/>
      <c r="AU50" s="91"/>
      <c r="AV50" s="91"/>
      <c r="AW50" s="91"/>
      <c r="AX50" s="308" t="str">
        <f t="shared" si="9"/>
        <v/>
      </c>
      <c r="AY50" s="91"/>
      <c r="AZ50" s="91"/>
      <c r="BA50" s="91"/>
      <c r="BB50" s="91"/>
      <c r="BC50" s="308" t="str">
        <f t="shared" si="10"/>
        <v/>
      </c>
      <c r="BD50" s="309" t="str">
        <f t="shared" si="11"/>
        <v/>
      </c>
      <c r="BE50" s="310" t="str">
        <f t="shared" si="0"/>
        <v/>
      </c>
      <c r="BF50" s="311" t="str">
        <f t="shared" si="12"/>
        <v/>
      </c>
      <c r="BG50" s="312" t="str">
        <f t="shared" si="13"/>
        <v/>
      </c>
      <c r="BH50" s="106" t="str">
        <f t="shared" si="14"/>
        <v/>
      </c>
      <c r="BI50" s="107" t="str">
        <f t="shared" si="15"/>
        <v/>
      </c>
      <c r="BJ50" s="116" t="str">
        <f>IF(BD50="","",VLOOKUP(BD50,DATAKET!$CN$3:$CO$12,2,FALSE))</f>
        <v/>
      </c>
      <c r="BK50" s="105" t="str">
        <f t="shared" si="16"/>
        <v/>
      </c>
    </row>
    <row r="51" spans="1:63">
      <c r="A51" s="107">
        <f>'DATA SISWA'!A51</f>
        <v>0</v>
      </c>
      <c r="B51" s="107">
        <f>'DATA SISWA'!B51</f>
        <v>0</v>
      </c>
      <c r="C51" s="116">
        <f>'DATA SISWA'!C51</f>
        <v>0</v>
      </c>
      <c r="D51" s="107">
        <f>'DATA SISWA'!D51</f>
        <v>0</v>
      </c>
      <c r="E51" s="107" t="str">
        <f>'DATA SISWA'!E51</f>
        <v>VII</v>
      </c>
      <c r="F51" s="91"/>
      <c r="G51" s="91"/>
      <c r="H51" s="91"/>
      <c r="I51" s="91"/>
      <c r="J51" s="308" t="str">
        <f t="shared" si="1"/>
        <v/>
      </c>
      <c r="K51" s="91"/>
      <c r="L51" s="91"/>
      <c r="M51" s="91"/>
      <c r="N51" s="91"/>
      <c r="O51" s="308" t="str">
        <f t="shared" si="2"/>
        <v/>
      </c>
      <c r="P51" s="91"/>
      <c r="Q51" s="91"/>
      <c r="R51" s="91"/>
      <c r="S51" s="91"/>
      <c r="T51" s="308" t="str">
        <f t="shared" si="3"/>
        <v/>
      </c>
      <c r="U51" s="91"/>
      <c r="V51" s="91"/>
      <c r="W51" s="91"/>
      <c r="X51" s="91"/>
      <c r="Y51" s="308" t="str">
        <f t="shared" si="4"/>
        <v/>
      </c>
      <c r="Z51" s="91"/>
      <c r="AA51" s="91"/>
      <c r="AB51" s="91"/>
      <c r="AC51" s="91"/>
      <c r="AD51" s="308" t="str">
        <f t="shared" si="5"/>
        <v/>
      </c>
      <c r="AE51" s="91"/>
      <c r="AF51" s="91"/>
      <c r="AG51" s="91"/>
      <c r="AH51" s="91"/>
      <c r="AI51" s="308" t="str">
        <f t="shared" si="6"/>
        <v/>
      </c>
      <c r="AJ51" s="91"/>
      <c r="AK51" s="91"/>
      <c r="AL51" s="91"/>
      <c r="AM51" s="91"/>
      <c r="AN51" s="308" t="str">
        <f t="shared" si="7"/>
        <v/>
      </c>
      <c r="AO51" s="91"/>
      <c r="AP51" s="91"/>
      <c r="AQ51" s="91"/>
      <c r="AR51" s="91"/>
      <c r="AS51" s="308" t="str">
        <f t="shared" si="8"/>
        <v/>
      </c>
      <c r="AT51" s="91"/>
      <c r="AU51" s="91"/>
      <c r="AV51" s="91"/>
      <c r="AW51" s="91"/>
      <c r="AX51" s="308" t="str">
        <f t="shared" si="9"/>
        <v/>
      </c>
      <c r="AY51" s="91"/>
      <c r="AZ51" s="91"/>
      <c r="BA51" s="91"/>
      <c r="BB51" s="91"/>
      <c r="BC51" s="308" t="str">
        <f t="shared" si="10"/>
        <v/>
      </c>
      <c r="BD51" s="309" t="str">
        <f t="shared" si="11"/>
        <v/>
      </c>
      <c r="BE51" s="310" t="str">
        <f t="shared" si="0"/>
        <v/>
      </c>
      <c r="BF51" s="311" t="str">
        <f t="shared" si="12"/>
        <v/>
      </c>
      <c r="BG51" s="312" t="str">
        <f t="shared" si="13"/>
        <v/>
      </c>
      <c r="BH51" s="106" t="str">
        <f t="shared" si="14"/>
        <v/>
      </c>
      <c r="BI51" s="107" t="str">
        <f t="shared" si="15"/>
        <v/>
      </c>
      <c r="BJ51" s="116" t="str">
        <f>IF(BD51="","",VLOOKUP(BD51,DATAKET!$CP$3:$CQ$12,2,FALSE))</f>
        <v/>
      </c>
      <c r="BK51" s="105" t="str">
        <f t="shared" si="16"/>
        <v/>
      </c>
    </row>
    <row r="52" spans="1:63">
      <c r="A52" s="107">
        <f>'DATA SISWA'!A52</f>
        <v>0</v>
      </c>
      <c r="B52" s="107">
        <f>'DATA SISWA'!B52</f>
        <v>0</v>
      </c>
      <c r="C52" s="116">
        <f>'DATA SISWA'!C52</f>
        <v>0</v>
      </c>
      <c r="D52" s="107">
        <f>'DATA SISWA'!D52</f>
        <v>0</v>
      </c>
      <c r="E52" s="107" t="str">
        <f>'DATA SISWA'!E52</f>
        <v>VII</v>
      </c>
      <c r="F52" s="91"/>
      <c r="G52" s="91"/>
      <c r="H52" s="91"/>
      <c r="I52" s="91"/>
      <c r="J52" s="308" t="str">
        <f t="shared" si="1"/>
        <v/>
      </c>
      <c r="K52" s="91"/>
      <c r="L52" s="91"/>
      <c r="M52" s="91"/>
      <c r="N52" s="91"/>
      <c r="O52" s="308" t="str">
        <f t="shared" si="2"/>
        <v/>
      </c>
      <c r="P52" s="91"/>
      <c r="Q52" s="91"/>
      <c r="R52" s="91"/>
      <c r="S52" s="91"/>
      <c r="T52" s="308" t="str">
        <f t="shared" si="3"/>
        <v/>
      </c>
      <c r="U52" s="91"/>
      <c r="V52" s="91"/>
      <c r="W52" s="91"/>
      <c r="X52" s="91"/>
      <c r="Y52" s="308" t="str">
        <f t="shared" si="4"/>
        <v/>
      </c>
      <c r="Z52" s="91"/>
      <c r="AA52" s="91"/>
      <c r="AB52" s="91"/>
      <c r="AC52" s="91"/>
      <c r="AD52" s="308" t="str">
        <f t="shared" si="5"/>
        <v/>
      </c>
      <c r="AE52" s="91"/>
      <c r="AF52" s="91"/>
      <c r="AG52" s="91"/>
      <c r="AH52" s="91"/>
      <c r="AI52" s="308" t="str">
        <f t="shared" si="6"/>
        <v/>
      </c>
      <c r="AJ52" s="91"/>
      <c r="AK52" s="91"/>
      <c r="AL52" s="91"/>
      <c r="AM52" s="91"/>
      <c r="AN52" s="308" t="str">
        <f t="shared" si="7"/>
        <v/>
      </c>
      <c r="AO52" s="91"/>
      <c r="AP52" s="91"/>
      <c r="AQ52" s="91"/>
      <c r="AR52" s="91"/>
      <c r="AS52" s="308" t="str">
        <f t="shared" si="8"/>
        <v/>
      </c>
      <c r="AT52" s="91"/>
      <c r="AU52" s="91"/>
      <c r="AV52" s="91"/>
      <c r="AW52" s="91"/>
      <c r="AX52" s="308" t="str">
        <f t="shared" si="9"/>
        <v/>
      </c>
      <c r="AY52" s="91"/>
      <c r="AZ52" s="91"/>
      <c r="BA52" s="91"/>
      <c r="BB52" s="91"/>
      <c r="BC52" s="308" t="str">
        <f t="shared" si="10"/>
        <v/>
      </c>
      <c r="BD52" s="309" t="str">
        <f t="shared" si="11"/>
        <v/>
      </c>
      <c r="BE52" s="310" t="str">
        <f t="shared" si="0"/>
        <v/>
      </c>
      <c r="BF52" s="311" t="str">
        <f t="shared" si="12"/>
        <v/>
      </c>
      <c r="BG52" s="312" t="str">
        <f t="shared" si="13"/>
        <v/>
      </c>
      <c r="BH52" s="106" t="str">
        <f t="shared" si="14"/>
        <v/>
      </c>
      <c r="BI52" s="107" t="str">
        <f t="shared" si="15"/>
        <v/>
      </c>
      <c r="BJ52" s="116" t="str">
        <f>IF(BD52="","",VLOOKUP(BD52,DATAKET!$CR$3:$CS$12,2,FALSE))</f>
        <v/>
      </c>
      <c r="BK52" s="105" t="str">
        <f t="shared" si="16"/>
        <v/>
      </c>
    </row>
  </sheetData>
  <sheetProtection password="CD5A" sheet="1" objects="1" scenarios="1" formatCells="0" formatColumns="0" formatRows="0" insertColumns="0" insertRows="0" insertHyperlinks="0" deleteColumns="0" deleteRows="0"/>
  <dataConsolidate/>
  <mergeCells count="42">
    <mergeCell ref="AT1:AW1"/>
    <mergeCell ref="AX1:AX3"/>
    <mergeCell ref="AT2:AW2"/>
    <mergeCell ref="AJ1:AM1"/>
    <mergeCell ref="AN1:AN3"/>
    <mergeCell ref="AO1:AR1"/>
    <mergeCell ref="AS1:AS3"/>
    <mergeCell ref="AI1:AI3"/>
    <mergeCell ref="AE2:AH2"/>
    <mergeCell ref="AE1:AH1"/>
    <mergeCell ref="AJ2:AM2"/>
    <mergeCell ref="AO2:AR2"/>
    <mergeCell ref="A1:A3"/>
    <mergeCell ref="B1:B3"/>
    <mergeCell ref="C1:C3"/>
    <mergeCell ref="D1:D3"/>
    <mergeCell ref="E1:E3"/>
    <mergeCell ref="F1:I1"/>
    <mergeCell ref="J1:J3"/>
    <mergeCell ref="K1:N1"/>
    <mergeCell ref="Z1:AC1"/>
    <mergeCell ref="AD1:AD3"/>
    <mergeCell ref="F2:I2"/>
    <mergeCell ref="K2:N2"/>
    <mergeCell ref="P2:S2"/>
    <mergeCell ref="U2:X2"/>
    <mergeCell ref="Z2:AC2"/>
    <mergeCell ref="O1:O3"/>
    <mergeCell ref="P1:S1"/>
    <mergeCell ref="T1:T3"/>
    <mergeCell ref="U1:X1"/>
    <mergeCell ref="Y1:Y3"/>
    <mergeCell ref="BJ1:BJ3"/>
    <mergeCell ref="BK1:BK3"/>
    <mergeCell ref="BF1:BF3"/>
    <mergeCell ref="BG1:BG3"/>
    <mergeCell ref="BI1:BI3"/>
    <mergeCell ref="BE1:BE3"/>
    <mergeCell ref="BD1:BD3"/>
    <mergeCell ref="AY1:BB1"/>
    <mergeCell ref="BC1:BC3"/>
    <mergeCell ref="AY2:BB2"/>
  </mergeCells>
  <dataValidations count="3">
    <dataValidation type="decimal" operator="lessThan" allowBlank="1" showInputMessage="1" showErrorMessage="1" errorTitle="KESALAHAN" error="NILAINYA KELIWAT 100... NGGAK BOLEH DONG" sqref="BE5:BE52">
      <formula1>100</formula1>
    </dataValidation>
    <dataValidation type="decimal" allowBlank="1" showInputMessage="1" showErrorMessage="1" sqref="F5:I52 K5:N52 P5:S52 U5:X52 Z5:AC52 AE5:AH52 AJ5:AM52 AO5:AR52 AT5:AW52 AY5:BB52">
      <formula1>0</formula1>
      <formula2>100</formula2>
    </dataValidation>
    <dataValidation type="whole" allowBlank="1" showInputMessage="1" showErrorMessage="1" sqref="AX5:AX52 J5:J52 O5:O52 T5:T52 Y5:Y52 AD5:AD52 AI5:AI52 AN5:AN52 AS5:AS52 BC5:BC52">
      <formula1>0</formula1>
      <formula2>100</formula2>
    </dataValidation>
  </dataValidations>
  <pageMargins left="0.7" right="0.7" top="0.75" bottom="0.75" header="0.3" footer="0.3"/>
  <pageSetup paperSize="9" orientation="portrait" horizontalDpi="120" verticalDpi="72" r:id="rId1"/>
  <drawing r:id="rId2"/>
  <legacyDrawing r:id="rId3"/>
</worksheet>
</file>

<file path=xl/worksheets/sheet14.xml><?xml version="1.0" encoding="utf-8"?>
<worksheet xmlns="http://schemas.openxmlformats.org/spreadsheetml/2006/main" xmlns:r="http://schemas.openxmlformats.org/officeDocument/2006/relationships">
  <sheetPr codeName="Sheet27"/>
  <dimension ref="A1:CS27"/>
  <sheetViews>
    <sheetView workbookViewId="0">
      <selection activeCell="K9" sqref="A1:XFD1048576"/>
    </sheetView>
  </sheetViews>
  <sheetFormatPr defaultRowHeight="15"/>
  <cols>
    <col min="1" max="2" width="9.140625" style="42"/>
    <col min="3" max="3" width="13.85546875" style="42" customWidth="1"/>
    <col min="4" max="16384" width="9.140625" style="42"/>
  </cols>
  <sheetData>
    <row r="1" spans="1:97">
      <c r="A1" s="72"/>
      <c r="B1" s="600" t="s">
        <v>331</v>
      </c>
      <c r="C1" s="600"/>
      <c r="D1" s="600" t="s">
        <v>356</v>
      </c>
      <c r="E1" s="600"/>
      <c r="F1" s="600" t="s">
        <v>357</v>
      </c>
      <c r="G1" s="600"/>
      <c r="H1" s="600" t="s">
        <v>358</v>
      </c>
      <c r="I1" s="600"/>
      <c r="J1" s="600" t="s">
        <v>359</v>
      </c>
      <c r="K1" s="600"/>
      <c r="L1" s="600" t="s">
        <v>360</v>
      </c>
      <c r="M1" s="600"/>
      <c r="N1" s="600" t="s">
        <v>361</v>
      </c>
      <c r="O1" s="600"/>
      <c r="P1" s="600" t="s">
        <v>362</v>
      </c>
      <c r="Q1" s="600"/>
      <c r="R1" s="600" t="s">
        <v>363</v>
      </c>
      <c r="S1" s="600"/>
      <c r="T1" s="600" t="s">
        <v>364</v>
      </c>
      <c r="U1" s="600"/>
      <c r="V1" s="600" t="s">
        <v>365</v>
      </c>
      <c r="W1" s="600"/>
      <c r="X1" s="600" t="s">
        <v>366</v>
      </c>
      <c r="Y1" s="600"/>
      <c r="Z1" s="600" t="s">
        <v>367</v>
      </c>
      <c r="AA1" s="600"/>
      <c r="AB1" s="600" t="s">
        <v>368</v>
      </c>
      <c r="AC1" s="600"/>
      <c r="AD1" s="600" t="s">
        <v>369</v>
      </c>
      <c r="AE1" s="600"/>
      <c r="AF1" s="600" t="s">
        <v>370</v>
      </c>
      <c r="AG1" s="600"/>
      <c r="AH1" s="600" t="s">
        <v>371</v>
      </c>
      <c r="AI1" s="600"/>
      <c r="AJ1" s="600" t="s">
        <v>372</v>
      </c>
      <c r="AK1" s="600"/>
      <c r="AL1" s="600" t="s">
        <v>373</v>
      </c>
      <c r="AM1" s="600"/>
      <c r="AN1" s="600" t="s">
        <v>374</v>
      </c>
      <c r="AO1" s="600"/>
      <c r="AP1" s="600" t="s">
        <v>375</v>
      </c>
      <c r="AQ1" s="600"/>
      <c r="AR1" s="600" t="s">
        <v>376</v>
      </c>
      <c r="AS1" s="600"/>
      <c r="AT1" s="600" t="s">
        <v>377</v>
      </c>
      <c r="AU1" s="600"/>
      <c r="AV1" s="600" t="s">
        <v>378</v>
      </c>
      <c r="AW1" s="600"/>
      <c r="AX1" s="599" t="s">
        <v>379</v>
      </c>
      <c r="AY1" s="599"/>
      <c r="AZ1" s="599" t="s">
        <v>380</v>
      </c>
      <c r="BA1" s="599"/>
      <c r="BB1" s="599" t="s">
        <v>381</v>
      </c>
      <c r="BC1" s="599"/>
      <c r="BD1" s="599" t="s">
        <v>382</v>
      </c>
      <c r="BE1" s="599"/>
      <c r="BF1" s="599" t="s">
        <v>383</v>
      </c>
      <c r="BG1" s="599"/>
      <c r="BH1" s="599" t="s">
        <v>384</v>
      </c>
      <c r="BI1" s="599"/>
      <c r="BJ1" s="599" t="s">
        <v>385</v>
      </c>
      <c r="BK1" s="599"/>
      <c r="BL1" s="599" t="s">
        <v>386</v>
      </c>
      <c r="BM1" s="599"/>
      <c r="BN1" s="599" t="s">
        <v>387</v>
      </c>
      <c r="BO1" s="599"/>
      <c r="BP1" s="599" t="s">
        <v>388</v>
      </c>
      <c r="BQ1" s="599"/>
      <c r="BR1" s="599" t="s">
        <v>389</v>
      </c>
      <c r="BS1" s="599"/>
      <c r="BT1" s="599" t="s">
        <v>390</v>
      </c>
      <c r="BU1" s="599"/>
      <c r="BV1" s="599" t="s">
        <v>391</v>
      </c>
      <c r="BW1" s="599"/>
      <c r="BX1" s="599" t="s">
        <v>392</v>
      </c>
      <c r="BY1" s="599"/>
      <c r="BZ1" s="599" t="s">
        <v>393</v>
      </c>
      <c r="CA1" s="599"/>
      <c r="CB1" s="599" t="s">
        <v>394</v>
      </c>
      <c r="CC1" s="599"/>
      <c r="CD1" s="599" t="s">
        <v>395</v>
      </c>
      <c r="CE1" s="599"/>
      <c r="CF1" s="599" t="s">
        <v>396</v>
      </c>
      <c r="CG1" s="599"/>
      <c r="CH1" s="599" t="s">
        <v>397</v>
      </c>
      <c r="CI1" s="599"/>
      <c r="CJ1" s="599" t="s">
        <v>398</v>
      </c>
      <c r="CK1" s="599"/>
      <c r="CL1" s="599" t="s">
        <v>399</v>
      </c>
      <c r="CM1" s="599"/>
      <c r="CN1" s="599" t="s">
        <v>400</v>
      </c>
      <c r="CO1" s="599"/>
      <c r="CP1" s="599" t="s">
        <v>401</v>
      </c>
      <c r="CQ1" s="599"/>
      <c r="CR1" s="599" t="s">
        <v>402</v>
      </c>
      <c r="CS1" s="599"/>
    </row>
    <row r="2" spans="1:97">
      <c r="A2" s="72" t="s">
        <v>296</v>
      </c>
      <c r="B2" s="72" t="s">
        <v>298</v>
      </c>
      <c r="C2" s="72" t="s">
        <v>221</v>
      </c>
      <c r="D2" s="72" t="s">
        <v>298</v>
      </c>
      <c r="E2" s="72" t="s">
        <v>221</v>
      </c>
      <c r="F2" s="72" t="s">
        <v>298</v>
      </c>
      <c r="G2" s="72" t="s">
        <v>221</v>
      </c>
      <c r="H2" s="72" t="s">
        <v>298</v>
      </c>
      <c r="I2" s="72" t="s">
        <v>221</v>
      </c>
      <c r="J2" s="72" t="s">
        <v>298</v>
      </c>
      <c r="K2" s="72" t="s">
        <v>221</v>
      </c>
      <c r="L2" s="72" t="s">
        <v>298</v>
      </c>
      <c r="M2" s="72" t="s">
        <v>221</v>
      </c>
      <c r="N2" s="72" t="s">
        <v>298</v>
      </c>
      <c r="O2" s="72" t="s">
        <v>221</v>
      </c>
      <c r="P2" s="72" t="s">
        <v>298</v>
      </c>
      <c r="Q2" s="72" t="s">
        <v>221</v>
      </c>
      <c r="R2" s="72" t="s">
        <v>298</v>
      </c>
      <c r="S2" s="72" t="s">
        <v>221</v>
      </c>
      <c r="T2" s="72" t="s">
        <v>298</v>
      </c>
      <c r="U2" s="72" t="s">
        <v>221</v>
      </c>
      <c r="V2" s="72" t="s">
        <v>298</v>
      </c>
      <c r="W2" s="72" t="s">
        <v>221</v>
      </c>
      <c r="X2" s="72" t="s">
        <v>298</v>
      </c>
      <c r="Y2" s="72" t="s">
        <v>221</v>
      </c>
      <c r="Z2" s="72" t="s">
        <v>298</v>
      </c>
      <c r="AA2" s="72" t="s">
        <v>221</v>
      </c>
      <c r="AB2" s="72" t="s">
        <v>298</v>
      </c>
      <c r="AC2" s="72" t="s">
        <v>221</v>
      </c>
      <c r="AD2" s="72" t="s">
        <v>298</v>
      </c>
      <c r="AE2" s="72" t="s">
        <v>221</v>
      </c>
      <c r="AF2" s="72" t="s">
        <v>298</v>
      </c>
      <c r="AG2" s="72" t="s">
        <v>221</v>
      </c>
      <c r="AH2" s="72" t="s">
        <v>298</v>
      </c>
      <c r="AI2" s="72" t="s">
        <v>221</v>
      </c>
      <c r="AJ2" s="72" t="s">
        <v>298</v>
      </c>
      <c r="AK2" s="72" t="s">
        <v>221</v>
      </c>
      <c r="AL2" s="72" t="s">
        <v>298</v>
      </c>
      <c r="AM2" s="72" t="s">
        <v>221</v>
      </c>
      <c r="AN2" s="72" t="s">
        <v>298</v>
      </c>
      <c r="AO2" s="72" t="s">
        <v>221</v>
      </c>
      <c r="AP2" s="72" t="s">
        <v>298</v>
      </c>
      <c r="AQ2" s="72" t="s">
        <v>221</v>
      </c>
      <c r="AR2" s="72" t="s">
        <v>298</v>
      </c>
      <c r="AS2" s="72" t="s">
        <v>221</v>
      </c>
      <c r="AT2" s="72" t="s">
        <v>298</v>
      </c>
      <c r="AU2" s="72" t="s">
        <v>221</v>
      </c>
      <c r="AV2" s="72" t="s">
        <v>298</v>
      </c>
      <c r="AW2" s="72" t="s">
        <v>221</v>
      </c>
      <c r="AX2" s="72" t="s">
        <v>298</v>
      </c>
      <c r="AY2" s="72" t="s">
        <v>221</v>
      </c>
      <c r="AZ2" s="72" t="s">
        <v>298</v>
      </c>
      <c r="BA2" s="72" t="s">
        <v>221</v>
      </c>
      <c r="BB2" s="72" t="s">
        <v>298</v>
      </c>
      <c r="BC2" s="72" t="s">
        <v>221</v>
      </c>
      <c r="BD2" s="72" t="s">
        <v>298</v>
      </c>
      <c r="BE2" s="72" t="s">
        <v>221</v>
      </c>
      <c r="BF2" s="72" t="s">
        <v>298</v>
      </c>
      <c r="BG2" s="72" t="s">
        <v>221</v>
      </c>
      <c r="BH2" s="72" t="s">
        <v>298</v>
      </c>
      <c r="BI2" s="72" t="s">
        <v>221</v>
      </c>
      <c r="BJ2" s="72" t="s">
        <v>298</v>
      </c>
      <c r="BK2" s="72" t="s">
        <v>221</v>
      </c>
      <c r="BL2" s="72" t="s">
        <v>298</v>
      </c>
      <c r="BM2" s="72" t="s">
        <v>221</v>
      </c>
      <c r="BN2" s="72" t="s">
        <v>298</v>
      </c>
      <c r="BO2" s="72" t="s">
        <v>221</v>
      </c>
      <c r="BP2" s="72" t="s">
        <v>298</v>
      </c>
      <c r="BQ2" s="72" t="s">
        <v>221</v>
      </c>
      <c r="BR2" s="72" t="s">
        <v>298</v>
      </c>
      <c r="BS2" s="72" t="s">
        <v>221</v>
      </c>
      <c r="BT2" s="72" t="s">
        <v>298</v>
      </c>
      <c r="BU2" s="72" t="s">
        <v>221</v>
      </c>
      <c r="BV2" s="72" t="s">
        <v>298</v>
      </c>
      <c r="BW2" s="72" t="s">
        <v>221</v>
      </c>
      <c r="BX2" s="72" t="s">
        <v>298</v>
      </c>
      <c r="BY2" s="72" t="s">
        <v>221</v>
      </c>
      <c r="BZ2" s="72" t="s">
        <v>298</v>
      </c>
      <c r="CA2" s="72" t="s">
        <v>221</v>
      </c>
      <c r="CB2" s="72" t="s">
        <v>298</v>
      </c>
      <c r="CC2" s="72" t="s">
        <v>221</v>
      </c>
      <c r="CD2" s="72" t="s">
        <v>298</v>
      </c>
      <c r="CE2" s="72" t="s">
        <v>221</v>
      </c>
      <c r="CF2" s="72" t="s">
        <v>298</v>
      </c>
      <c r="CG2" s="72" t="s">
        <v>221</v>
      </c>
      <c r="CH2" s="72" t="s">
        <v>298</v>
      </c>
      <c r="CI2" s="72" t="s">
        <v>221</v>
      </c>
      <c r="CJ2" s="72" t="s">
        <v>298</v>
      </c>
      <c r="CK2" s="72" t="s">
        <v>221</v>
      </c>
      <c r="CL2" s="72" t="s">
        <v>298</v>
      </c>
      <c r="CM2" s="72" t="s">
        <v>221</v>
      </c>
      <c r="CN2" s="72" t="s">
        <v>298</v>
      </c>
      <c r="CO2" s="72" t="s">
        <v>221</v>
      </c>
      <c r="CP2" s="72" t="s">
        <v>298</v>
      </c>
      <c r="CQ2" s="72" t="s">
        <v>221</v>
      </c>
      <c r="CR2" s="72" t="s">
        <v>298</v>
      </c>
      <c r="CS2" s="72" t="s">
        <v>221</v>
      </c>
    </row>
    <row r="3" spans="1:97">
      <c r="A3" s="72">
        <v>1</v>
      </c>
      <c r="B3" s="90">
        <f>IF('Input Nilai Ketrampilan'!J5="","",'Input Nilai Ketrampilan'!J5)</f>
        <v>78</v>
      </c>
      <c r="C3" s="90" t="str">
        <f>IF(B3="","",IF('Input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D3" s="90">
        <f>IF('Input Nilai Ketrampilan'!J6="","",'Input Nilai Ketrampilan'!J6)</f>
        <v>78</v>
      </c>
      <c r="E3" s="90" t="str">
        <f>IF(D3="","",IF('Input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F3" s="90">
        <f>IF('Input Nilai Ketrampilan'!J7="","",'Input Nilai Ketrampilan'!J7)</f>
        <v>79</v>
      </c>
      <c r="G3" s="90" t="str">
        <f>IF(F3="","",IF('Input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H3" s="90">
        <f>IF('Input Nilai Ketrampilan'!J8="","",'Input Nilai Ketrampilan'!J8)</f>
        <v>78</v>
      </c>
      <c r="I3" s="90" t="str">
        <f>IF(H3="","",IF('Input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J3" s="90">
        <f>IF('Input Nilai Ketrampilan'!J9="","",'Input Nilai Ketrampilan'!J9)</f>
        <v>79</v>
      </c>
      <c r="K3" s="90" t="str">
        <f>IF(J3="","",IF('Input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L3" s="90">
        <f>IF('Input Nilai Ketrampilan'!J10="","",'Input Nilai Ketrampilan'!J10)</f>
        <v>80</v>
      </c>
      <c r="M3" s="90" t="str">
        <f>IF(L3="","",IF('Input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N3" s="90">
        <f>IF('Input Nilai Ketrampilan'!J11="","",'Input Nilai Ketrampilan'!J11)</f>
        <v>80</v>
      </c>
      <c r="O3" s="90" t="str">
        <f>IF(N3="","",IF('Input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P3" s="90">
        <f>IF('Input Nilai Ketrampilan'!J12="","",'Input Nilai Ketrampilan'!J12)</f>
        <v>79</v>
      </c>
      <c r="Q3" s="90" t="str">
        <f>IF(P3="","",IF('Input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R3" s="90">
        <f>IF('Input Nilai Ketrampilan'!J13="","",'Input Nilai Ketrampilan'!J13)</f>
        <v>78</v>
      </c>
      <c r="S3" s="90" t="str">
        <f>IF(R3="","",IF('Input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T3" s="90">
        <f>IF('Input Nilai Ketrampilan'!J14="","",'Input Nilai Ketrampilan'!J14)</f>
        <v>79</v>
      </c>
      <c r="U3" s="90" t="str">
        <f>IF(T3="","",IF('Input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V3" s="90">
        <f>IF('Input Nilai Ketrampilan'!J15="","",'Input Nilai Ketrampilan'!J15)</f>
        <v>80</v>
      </c>
      <c r="W3" s="90" t="str">
        <f>IF(V3="","",IF('Input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X3" s="90">
        <f>IF('Input Nilai Ketrampilan'!J16="","",'Input Nilai Ketrampilan'!J16)</f>
        <v>80</v>
      </c>
      <c r="Y3" s="90" t="str">
        <f>IF(X3="","",IF('Input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Z3" s="90">
        <f>IF('Input Nilai Ketrampilan'!J17="","",'Input Nilai Ketrampilan'!J17)</f>
        <v>79</v>
      </c>
      <c r="AA3" s="90" t="str">
        <f>IF(Z3="","",IF('Input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B3" s="90">
        <f>IF('Input Nilai Ketrampilan'!J18="","",'Input Nilai Ketrampilan'!J18)</f>
        <v>78</v>
      </c>
      <c r="AC3" s="90" t="str">
        <f>IF(AB3="","",IF('Input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D3" s="90">
        <f>IF('Input Nilai Ketrampilan'!J19="","",'Input Nilai Ketrampilan'!J19)</f>
        <v>79</v>
      </c>
      <c r="AE3" s="90" t="str">
        <f>IF(AD3="","",IF('Input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F3" s="90">
        <f>IF('Input Nilai Ketrampilan'!J20="","",'Input Nilai Ketrampilan'!J20)</f>
        <v>80</v>
      </c>
      <c r="AG3" s="90" t="str">
        <f>IF(AF3="","",IF('Input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H3" s="90">
        <f>IF('Input Nilai Ketrampilan'!J21="","",'Input Nilai Ketrampilan'!J21)</f>
        <v>80</v>
      </c>
      <c r="AI3" s="90" t="str">
        <f>IF(AH3="","",IF('Input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J3" s="90">
        <f>IF('Input Nilai Ketrampilan'!J22="","",'Input Nilai Ketrampilan'!J22)</f>
        <v>79</v>
      </c>
      <c r="AK3" s="90" t="str">
        <f>IF(AJ3="","",IF('Input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L3" s="90">
        <f>IF('Input Nilai Ketrampilan'!J23="","",'Input Nilai Ketrampilan'!J23)</f>
        <v>78</v>
      </c>
      <c r="AM3" s="90" t="str">
        <f>IF(AL3="","",IF('Input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N3" s="90">
        <f>IF('Input Nilai Ketrampilan'!J24="","",'Input Nilai Ketrampilan'!J24)</f>
        <v>79</v>
      </c>
      <c r="AO3" s="90" t="str">
        <f>IF(AN3="","",IF('Input Nilai Ketrampilan'!$F$1="","",'Input Nilai Ketrampilan'!$F$1))</f>
        <v>Menyusun teks interaksi interpersonal lisan dan tulis sangat pendek dan sederhana yang melibatkan tindakan menyapa, berpamitan, mengucapkan terimakasih, dan meminta maaf, dan menanggapinya dengan memperhatikan fungsi sosial, struktur teks, dan unsurkebahasaan yang benar dan sesuai konteks.</v>
      </c>
      <c r="AP3" s="90" t="str">
        <f>IF('Input Nilai Ketrampilan'!J25="","",'Input Nilai Ketrampilan'!J25)</f>
        <v/>
      </c>
      <c r="AQ3" s="90" t="str">
        <f>IF(AP3="","",IF('Input Nilai Ketrampilan'!$F$1="","",'Input Nilai Ketrampilan'!$F$1))</f>
        <v/>
      </c>
      <c r="AR3" s="90" t="str">
        <f>IF('Input Nilai Ketrampilan'!J26="","",'Input Nilai Ketrampilan'!J26)</f>
        <v/>
      </c>
      <c r="AS3" s="90" t="str">
        <f>IF(AR3="","",IF('Input Nilai Ketrampilan'!$F$1="","",'Input Nilai Ketrampilan'!$F$1))</f>
        <v/>
      </c>
      <c r="AT3" s="90" t="str">
        <f>IF('Input Nilai Ketrampilan'!J27="","",'Input Nilai Ketrampilan'!J27)</f>
        <v/>
      </c>
      <c r="AU3" s="90" t="str">
        <f>IF(AT3="","",IF('Input Nilai Ketrampilan'!$F$1="","",'Input Nilai Ketrampilan'!$F$1))</f>
        <v/>
      </c>
      <c r="AV3" s="90" t="str">
        <f>IF('Input Nilai Ketrampilan'!J28="","",'Input Nilai Ketrampilan'!J28)</f>
        <v/>
      </c>
      <c r="AW3" s="90" t="str">
        <f>IF(AV3="","",IF('Input Nilai Ketrampilan'!$F$1="","",'Input Nilai Ketrampilan'!$F$1))</f>
        <v/>
      </c>
      <c r="AX3" s="90" t="str">
        <f>IF('Input Nilai Ketrampilan'!J29="","",'Input Nilai Ketrampilan'!J29)</f>
        <v/>
      </c>
      <c r="AY3" s="90" t="str">
        <f>IF(AX3="","",IF('Input Nilai Ketrampilan'!$F$1="","",'Input Nilai Ketrampilan'!$F$1))</f>
        <v/>
      </c>
      <c r="AZ3" s="90" t="str">
        <f>IF('Input Nilai Ketrampilan'!J30="","",'Input Nilai Ketrampilan'!J30)</f>
        <v/>
      </c>
      <c r="BA3" s="90" t="str">
        <f>IF(AZ3="","",IF('Input Nilai Ketrampilan'!$F$1="","",'Input Nilai Ketrampilan'!$F$1))</f>
        <v/>
      </c>
      <c r="BB3" s="90" t="str">
        <f>IF('Input Nilai Ketrampilan'!J31="","",'Input Nilai Ketrampilan'!J31)</f>
        <v/>
      </c>
      <c r="BC3" s="90" t="str">
        <f>IF(BB3="","",IF('Input Nilai Ketrampilan'!$F$1="","",'Input Nilai Ketrampilan'!$F$1))</f>
        <v/>
      </c>
      <c r="BD3" s="90" t="str">
        <f>IF('Input Nilai Ketrampilan'!J32="","",'Input Nilai Ketrampilan'!J32)</f>
        <v/>
      </c>
      <c r="BE3" s="90" t="str">
        <f>IF(BD3="","",IF('Input Nilai Ketrampilan'!$F$1="","",'Input Nilai Ketrampilan'!$F$1))</f>
        <v/>
      </c>
      <c r="BF3" s="90" t="str">
        <f>IF('Input Nilai Ketrampilan'!J33="","",'Input Nilai Ketrampilan'!J33)</f>
        <v/>
      </c>
      <c r="BG3" s="90" t="str">
        <f>IF(BF3="","",IF('Input Nilai Ketrampilan'!$F$1="","",'Input Nilai Ketrampilan'!$F$1))</f>
        <v/>
      </c>
      <c r="BH3" s="90" t="str">
        <f>IF('Input Nilai Ketrampilan'!J34="","",'Input Nilai Ketrampilan'!J34)</f>
        <v/>
      </c>
      <c r="BI3" s="90" t="str">
        <f>IF(BH3="","",IF('Input Nilai Ketrampilan'!$F$1="","",'Input Nilai Ketrampilan'!$F$1))</f>
        <v/>
      </c>
      <c r="BJ3" s="90" t="str">
        <f>IF('Input Nilai Ketrampilan'!J35="","",'Input Nilai Ketrampilan'!J35)</f>
        <v/>
      </c>
      <c r="BK3" s="90" t="str">
        <f>IF(BJ3="","",IF('Input Nilai Ketrampilan'!$F$1="","",'Input Nilai Ketrampilan'!$F$1))</f>
        <v/>
      </c>
      <c r="BL3" s="90" t="str">
        <f>IF('Input Nilai Ketrampilan'!J36="","",'Input Nilai Ketrampilan'!J36)</f>
        <v/>
      </c>
      <c r="BM3" s="90" t="str">
        <f>IF(BL3="","",IF('Input Nilai Ketrampilan'!$F$1="","",'Input Nilai Ketrampilan'!$F$1))</f>
        <v/>
      </c>
      <c r="BN3" s="90" t="str">
        <f>IF('Input Nilai Ketrampilan'!J37="","",'Input Nilai Ketrampilan'!J37)</f>
        <v/>
      </c>
      <c r="BO3" s="90" t="str">
        <f>IF(BN3="","",IF('Input Nilai Ketrampilan'!$F$1="","",'Input Nilai Ketrampilan'!$F$1))</f>
        <v/>
      </c>
      <c r="BP3" s="90" t="str">
        <f>IF('Input Nilai Ketrampilan'!J38="","",'Input Nilai Ketrampilan'!J38)</f>
        <v/>
      </c>
      <c r="BQ3" s="90" t="str">
        <f>IF(BP3="","",IF('Input Nilai Ketrampilan'!$F$1="","",'Input Nilai Ketrampilan'!$F$1))</f>
        <v/>
      </c>
      <c r="BR3" s="90" t="str">
        <f>IF('Input Nilai Ketrampilan'!J39="","",'Input Nilai Ketrampilan'!J39)</f>
        <v/>
      </c>
      <c r="BS3" s="90" t="str">
        <f>IF(BR3="","",IF('Input Nilai Ketrampilan'!$F$1="","",'Input Nilai Ketrampilan'!$F$1))</f>
        <v/>
      </c>
      <c r="BT3" s="90" t="str">
        <f>IF('Input Nilai Ketrampilan'!J40="","",'Input Nilai Ketrampilan'!J40)</f>
        <v/>
      </c>
      <c r="BU3" s="90" t="str">
        <f>IF(BT3="","",IF('Input Nilai Ketrampilan'!$F$1="","",'Input Nilai Ketrampilan'!$F$1))</f>
        <v/>
      </c>
      <c r="BV3" s="90" t="str">
        <f>IF('Input Nilai Ketrampilan'!J41="","",'Input Nilai Ketrampilan'!J41)</f>
        <v/>
      </c>
      <c r="BW3" s="90" t="str">
        <f>IF(BV3="","",IF('Input Nilai Ketrampilan'!$F$1="","",'Input Nilai Ketrampilan'!$F$1))</f>
        <v/>
      </c>
      <c r="BX3" s="90" t="str">
        <f>IF('Input Nilai Ketrampilan'!J42="","",'Input Nilai Ketrampilan'!J42)</f>
        <v/>
      </c>
      <c r="BY3" s="90" t="str">
        <f>IF(BX3="","",IF('Input Nilai Ketrampilan'!$F$1="","",'Input Nilai Ketrampilan'!$F$1))</f>
        <v/>
      </c>
      <c r="BZ3" s="90" t="str">
        <f>IF('Input Nilai Ketrampilan'!J43="","",'Input Nilai Ketrampilan'!J43)</f>
        <v/>
      </c>
      <c r="CA3" s="90" t="str">
        <f>IF(BZ3="","",IF('Input Nilai Ketrampilan'!$F$1="","",'Input Nilai Ketrampilan'!$F$1))</f>
        <v/>
      </c>
      <c r="CB3" s="90" t="str">
        <f>IF('Input Nilai Ketrampilan'!J44="","",'Input Nilai Ketrampilan'!J44)</f>
        <v/>
      </c>
      <c r="CC3" s="90" t="str">
        <f>IF(CB3="","",IF('Input Nilai Ketrampilan'!$F$1="","",'Input Nilai Ketrampilan'!$F$1))</f>
        <v/>
      </c>
      <c r="CD3" s="90" t="str">
        <f>IF('Input Nilai Ketrampilan'!J45="","",'Input Nilai Ketrampilan'!J45)</f>
        <v/>
      </c>
      <c r="CE3" s="90" t="str">
        <f>IF(CD3="","",IF('Input Nilai Ketrampilan'!$F$1="","",'Input Nilai Ketrampilan'!$F$1))</f>
        <v/>
      </c>
      <c r="CF3" s="90" t="str">
        <f>IF('Input Nilai Ketrampilan'!J46="","",'Input Nilai Ketrampilan'!J46)</f>
        <v/>
      </c>
      <c r="CG3" s="90" t="str">
        <f>IF(CF3="","",IF('Input Nilai Ketrampilan'!$F$1="","",'Input Nilai Ketrampilan'!$F$1))</f>
        <v/>
      </c>
      <c r="CH3" s="90" t="str">
        <f>IF('Input Nilai Ketrampilan'!J47="","",'Input Nilai Ketrampilan'!J47)</f>
        <v/>
      </c>
      <c r="CI3" s="90" t="str">
        <f>IF(CH3="","",IF('Input Nilai Ketrampilan'!$F$1="","",'Input Nilai Ketrampilan'!$F$1))</f>
        <v/>
      </c>
      <c r="CJ3" s="90" t="str">
        <f>IF('Input Nilai Ketrampilan'!J48="","",'Input Nilai Ketrampilan'!J48)</f>
        <v/>
      </c>
      <c r="CK3" s="90" t="str">
        <f>IF(CJ3="","",IF('Input Nilai Ketrampilan'!$F$1="","",'Input Nilai Ketrampilan'!$F$1))</f>
        <v/>
      </c>
      <c r="CL3" s="90" t="str">
        <f>IF('Input Nilai Ketrampilan'!J49="","",'Input Nilai Ketrampilan'!J49)</f>
        <v/>
      </c>
      <c r="CM3" s="90" t="str">
        <f>IF(CL3="","",IF('Input Nilai Ketrampilan'!$F$1="","",'Input Nilai Ketrampilan'!$F$1))</f>
        <v/>
      </c>
      <c r="CN3" s="90" t="str">
        <f>IF('Input Nilai Ketrampilan'!J50="","",'Input Nilai Ketrampilan'!J50)</f>
        <v/>
      </c>
      <c r="CO3" s="90" t="str">
        <f>IF(CN3="","",IF('Input Nilai Ketrampilan'!$F$1="","",'Input Nilai Ketrampilan'!$F$1))</f>
        <v/>
      </c>
      <c r="CP3" s="90" t="str">
        <f>IF('Input Nilai Ketrampilan'!J51="","",'Input Nilai Ketrampilan'!J51)</f>
        <v/>
      </c>
      <c r="CQ3" s="90" t="str">
        <f>IF(CP3="","",IF('Input Nilai Ketrampilan'!$F$1="","",'Input Nilai Ketrampilan'!$F$1))</f>
        <v/>
      </c>
      <c r="CR3" s="90" t="str">
        <f>IF('Input Nilai Ketrampilan'!J52="","",'Input Nilai Ketrampilan'!J52)</f>
        <v/>
      </c>
      <c r="CS3" s="90" t="str">
        <f>IF(CR3="","",IF('Input Nilai Ketrampilan'!$F$1="","",'Input Nilai Ketrampilan'!$F$1))</f>
        <v/>
      </c>
    </row>
    <row r="4" spans="1:97">
      <c r="A4" s="72">
        <v>2</v>
      </c>
      <c r="B4" s="90">
        <f>IF('Input Nilai Ketrampilan'!O5="","",'Input Nilai Ketrampilan'!O5)</f>
        <v>78</v>
      </c>
      <c r="C4" s="90" t="str">
        <f>IF(B4="","",IF('Input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D4" s="90">
        <f>IF('Input Nilai Ketrampilan'!O6="","",'Input Nilai Ketrampilan'!O6)</f>
        <v>80</v>
      </c>
      <c r="E4" s="90" t="str">
        <f>IF(D4="","",IF('Input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F4" s="90">
        <f>IF('Input Nilai Ketrampilan'!O7="","",'Input Nilai Ketrampilan'!O7)</f>
        <v>79</v>
      </c>
      <c r="G4" s="90" t="str">
        <f>IF(F4="","",IF('Input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H4" s="90">
        <f>IF('Input Nilai Ketrampilan'!O8="","",'Input Nilai Ketrampilan'!O8)</f>
        <v>78</v>
      </c>
      <c r="I4" s="90" t="str">
        <f>IF(H4="","",IF('Input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J4" s="90">
        <f>IF('Input Nilai Ketrampilan'!O9="","",'Input Nilai Ketrampilan'!O9)</f>
        <v>79</v>
      </c>
      <c r="K4" s="90" t="str">
        <f>IF(J4="","",IF('Input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L4" s="90">
        <f>IF('Input Nilai Ketrampilan'!O10="","",'Input Nilai Ketrampilan'!O10)</f>
        <v>80</v>
      </c>
      <c r="M4" s="90" t="str">
        <f>IF(L4="","",IF('Input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N4" s="90">
        <f>IF('Input Nilai Ketrampilan'!O11="","",'Input Nilai Ketrampilan'!O11)</f>
        <v>80</v>
      </c>
      <c r="O4" s="90" t="str">
        <f>IF(N4="","",IF('Input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P4" s="90">
        <f>IF('Input Nilai Ketrampilan'!O12="","",'Input Nilai Ketrampilan'!O12)</f>
        <v>79</v>
      </c>
      <c r="Q4" s="90" t="str">
        <f>IF(P4="","",IF('Input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R4" s="90">
        <f>IF('Input Nilai Ketrampilan'!O13="","",'Input Nilai Ketrampilan'!O13)</f>
        <v>78</v>
      </c>
      <c r="S4" s="90" t="str">
        <f>IF(R4="","",IF('Input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T4" s="90">
        <f>IF('Input Nilai Ketrampilan'!O14="","",'Input Nilai Ketrampilan'!O14)</f>
        <v>79</v>
      </c>
      <c r="U4" s="90" t="str">
        <f>IF(T4="","",IF('Input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V4" s="90">
        <f>IF('Input Nilai Ketrampilan'!O15="","",'Input Nilai Ketrampilan'!O15)</f>
        <v>80</v>
      </c>
      <c r="W4" s="90" t="str">
        <f>IF(V4="","",IF('Input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X4" s="90">
        <f>IF('Input Nilai Ketrampilan'!O16="","",'Input Nilai Ketrampilan'!O16)</f>
        <v>80</v>
      </c>
      <c r="Y4" s="90" t="str">
        <f>IF(X4="","",IF('Input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Z4" s="90">
        <f>IF('Input Nilai Ketrampilan'!O17="","",'Input Nilai Ketrampilan'!O17)</f>
        <v>79</v>
      </c>
      <c r="AA4" s="90" t="str">
        <f>IF(Z4="","",IF('Input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B4" s="90">
        <f>IF('Input Nilai Ketrampilan'!O18="","",'Input Nilai Ketrampilan'!O18)</f>
        <v>78</v>
      </c>
      <c r="AC4" s="90" t="str">
        <f>IF(AB4="","",IF('Input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D4" s="90">
        <f>IF('Input Nilai Ketrampilan'!O19="","",'Input Nilai Ketrampilan'!O19)</f>
        <v>79</v>
      </c>
      <c r="AE4" s="90" t="str">
        <f>IF(AD4="","",IF('Input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F4" s="90">
        <f>IF('Input Nilai Ketrampilan'!O20="","",'Input Nilai Ketrampilan'!O20)</f>
        <v>80</v>
      </c>
      <c r="AG4" s="90" t="str">
        <f>IF(AF4="","",IF('Input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H4" s="90">
        <f>IF('Input Nilai Ketrampilan'!O21="","",'Input Nilai Ketrampilan'!O21)</f>
        <v>80</v>
      </c>
      <c r="AI4" s="90" t="str">
        <f>IF(AH4="","",IF('Input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J4" s="90">
        <f>IF('Input Nilai Ketrampilan'!O22="","",'Input Nilai Ketrampilan'!O22)</f>
        <v>79</v>
      </c>
      <c r="AK4" s="90" t="str">
        <f>IF(AJ4="","",IF('Input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L4" s="90">
        <f>IF('Input Nilai Ketrampilan'!O23="","",'Input Nilai Ketrampilan'!O23)</f>
        <v>78</v>
      </c>
      <c r="AM4" s="90" t="str">
        <f>IF(AL4="","",IF('Input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N4" s="90">
        <f>IF('Input Nilai Ketrampilan'!O24="","",'Input Nilai Ketrampilan'!O24)</f>
        <v>79</v>
      </c>
      <c r="AO4" s="90" t="str">
        <f>IF(AN4="","",IF('Input Nilai Ketrampilan'!$K$1="","",'Input Nilai Ketrampilan'!$K$1))</f>
        <v>Menyusunteks interaksi transaksional lisan dan tulis sangat pendek dan sederhana yang melibatkan tindakan memberi dan meminta informasi terkait jati diri, pendek dan sederhana, dengan memperhatikan fungsi sosial, struktur teks, dan unsur kebahasaan yang benar dansesuaikonteks</v>
      </c>
      <c r="AP4" s="90" t="str">
        <f>IF('Input Nilai Ketrampilan'!O25="","",'Input Nilai Ketrampilan'!O25)</f>
        <v/>
      </c>
      <c r="AQ4" s="90" t="str">
        <f>IF(AP4="","",IF('Input Nilai Ketrampilan'!$K$1="","",'Input Nilai Ketrampilan'!$K$1))</f>
        <v/>
      </c>
      <c r="AR4" s="90" t="str">
        <f>IF('Input Nilai Ketrampilan'!O26="","",'Input Nilai Ketrampilan'!O26)</f>
        <v/>
      </c>
      <c r="AS4" s="90" t="str">
        <f>IF(AR4="","",IF('Input Nilai Ketrampilan'!$K$1="","",'Input Nilai Ketrampilan'!$K$1))</f>
        <v/>
      </c>
      <c r="AT4" s="90" t="str">
        <f>IF('Input Nilai Ketrampilan'!O27="","",'Input Nilai Ketrampilan'!O27)</f>
        <v/>
      </c>
      <c r="AU4" s="90" t="str">
        <f>IF(AT4="","",IF('Input Nilai Ketrampilan'!$K$1="","",'Input Nilai Ketrampilan'!$K$1))</f>
        <v/>
      </c>
      <c r="AV4" s="90" t="str">
        <f>IF('Input Nilai Ketrampilan'!O28="","",'Input Nilai Ketrampilan'!O28)</f>
        <v/>
      </c>
      <c r="AW4" s="90" t="str">
        <f>IF(AV4="","",IF('Input Nilai Ketrampilan'!$K$1="","",'Input Nilai Ketrampilan'!$K$1))</f>
        <v/>
      </c>
      <c r="AX4" s="90" t="str">
        <f>IF('Input Nilai Ketrampilan'!O29="","",'Input Nilai Ketrampilan'!O29)</f>
        <v/>
      </c>
      <c r="AY4" s="90" t="str">
        <f>IF(AX4="","",IF('Input Nilai Ketrampilan'!$K$1="","",'Input Nilai Ketrampilan'!$K$1))</f>
        <v/>
      </c>
      <c r="AZ4" s="90" t="str">
        <f>IF('Input Nilai Ketrampilan'!O30="","",'Input Nilai Ketrampilan'!O30)</f>
        <v/>
      </c>
      <c r="BA4" s="90" t="str">
        <f>IF(AZ4="","",IF('Input Nilai Ketrampilan'!$K$1="","",'Input Nilai Ketrampilan'!$K$1))</f>
        <v/>
      </c>
      <c r="BB4" s="90" t="str">
        <f>IF('Input Nilai Ketrampilan'!O31="","",'Input Nilai Ketrampilan'!O31)</f>
        <v/>
      </c>
      <c r="BC4" s="90" t="str">
        <f>IF(BB4="","",IF('Input Nilai Ketrampilan'!$K$1="","",'Input Nilai Ketrampilan'!$K$1))</f>
        <v/>
      </c>
      <c r="BD4" s="90" t="str">
        <f>IF('Input Nilai Ketrampilan'!O32="","",'Input Nilai Ketrampilan'!O32)</f>
        <v/>
      </c>
      <c r="BE4" s="90" t="str">
        <f>IF(BD4="","",IF('Input Nilai Ketrampilan'!$K$1="","",'Input Nilai Ketrampilan'!$K$1))</f>
        <v/>
      </c>
      <c r="BF4" s="90" t="str">
        <f>IF('Input Nilai Ketrampilan'!O33="","",'Input Nilai Ketrampilan'!O33)</f>
        <v/>
      </c>
      <c r="BG4" s="90" t="str">
        <f>IF(BF4="","",IF('Input Nilai Ketrampilan'!$K$1="","",'Input Nilai Ketrampilan'!$K$1))</f>
        <v/>
      </c>
      <c r="BH4" s="90" t="str">
        <f>IF('Input Nilai Ketrampilan'!O34="","",'Input Nilai Ketrampilan'!O34)</f>
        <v/>
      </c>
      <c r="BI4" s="90" t="str">
        <f>IF(BH4="","",IF('Input Nilai Ketrampilan'!$K$1="","",'Input Nilai Ketrampilan'!$K$1))</f>
        <v/>
      </c>
      <c r="BJ4" s="90" t="str">
        <f>IF('Input Nilai Ketrampilan'!O35="","",'Input Nilai Ketrampilan'!O35)</f>
        <v/>
      </c>
      <c r="BK4" s="90" t="str">
        <f>IF(BJ4="","",IF('Input Nilai Ketrampilan'!$K$1="","",'Input Nilai Ketrampilan'!$K$1))</f>
        <v/>
      </c>
      <c r="BL4" s="90" t="str">
        <f>IF('Input Nilai Ketrampilan'!O36="","",'Input Nilai Ketrampilan'!O36)</f>
        <v/>
      </c>
      <c r="BM4" s="90" t="str">
        <f>IF(BL4="","",IF('Input Nilai Ketrampilan'!$K$1="","",'Input Nilai Ketrampilan'!$K$1))</f>
        <v/>
      </c>
      <c r="BN4" s="90" t="str">
        <f>IF('Input Nilai Ketrampilan'!O37="","",'Input Nilai Ketrampilan'!O37)</f>
        <v/>
      </c>
      <c r="BO4" s="90" t="str">
        <f>IF(BN4="","",IF('Input Nilai Ketrampilan'!$K$1="","",'Input Nilai Ketrampilan'!$K$1))</f>
        <v/>
      </c>
      <c r="BP4" s="90" t="str">
        <f>IF('Input Nilai Ketrampilan'!O38="","",'Input Nilai Ketrampilan'!O38)</f>
        <v/>
      </c>
      <c r="BQ4" s="90" t="str">
        <f>IF(BP4="","",IF('Input Nilai Ketrampilan'!$K$1="","",'Input Nilai Ketrampilan'!$K$1))</f>
        <v/>
      </c>
      <c r="BR4" s="90" t="str">
        <f>IF('Input Nilai Ketrampilan'!O39="","",'Input Nilai Ketrampilan'!O39)</f>
        <v/>
      </c>
      <c r="BS4" s="90" t="str">
        <f>IF(BR4="","",IF('Input Nilai Ketrampilan'!$K$1="","",'Input Nilai Ketrampilan'!$K$1))</f>
        <v/>
      </c>
      <c r="BT4" s="90" t="str">
        <f>IF('Input Nilai Ketrampilan'!O40="","",'Input Nilai Ketrampilan'!O40)</f>
        <v/>
      </c>
      <c r="BU4" s="90" t="str">
        <f>IF(BT4="","",IF('Input Nilai Ketrampilan'!$K$1="","",'Input Nilai Ketrampilan'!$K$1))</f>
        <v/>
      </c>
      <c r="BV4" s="90" t="str">
        <f>IF('Input Nilai Ketrampilan'!O41="","",'Input Nilai Ketrampilan'!O41)</f>
        <v/>
      </c>
      <c r="BW4" s="90" t="str">
        <f>IF(BV4="","",IF('Input Nilai Ketrampilan'!$K$1="","",'Input Nilai Ketrampilan'!$K$1))</f>
        <v/>
      </c>
      <c r="BX4" s="90" t="str">
        <f>IF('Input Nilai Ketrampilan'!O42="","",'Input Nilai Ketrampilan'!O42)</f>
        <v/>
      </c>
      <c r="BY4" s="90" t="str">
        <f>IF(BX4="","",IF('Input Nilai Ketrampilan'!$K$1="","",'Input Nilai Ketrampilan'!$K$1))</f>
        <v/>
      </c>
      <c r="BZ4" s="90" t="str">
        <f>IF('Input Nilai Ketrampilan'!O43="","",'Input Nilai Ketrampilan'!O43)</f>
        <v/>
      </c>
      <c r="CA4" s="90" t="str">
        <f>IF(BZ4="","",IF('Input Nilai Ketrampilan'!$K$1="","",'Input Nilai Ketrampilan'!$K$1))</f>
        <v/>
      </c>
      <c r="CB4" s="90" t="str">
        <f>IF('Input Nilai Ketrampilan'!O44="","",'Input Nilai Ketrampilan'!O44)</f>
        <v/>
      </c>
      <c r="CC4" s="90" t="str">
        <f>IF(CB4="","",IF('Input Nilai Ketrampilan'!$K$1="","",'Input Nilai Ketrampilan'!$K$1))</f>
        <v/>
      </c>
      <c r="CD4" s="90" t="str">
        <f>IF('Input Nilai Ketrampilan'!O45="","",'Input Nilai Ketrampilan'!O45)</f>
        <v/>
      </c>
      <c r="CE4" s="90" t="str">
        <f>IF(CD4="","",IF('Input Nilai Ketrampilan'!$K$1="","",'Input Nilai Ketrampilan'!$K$1))</f>
        <v/>
      </c>
      <c r="CF4" s="90" t="str">
        <f>IF('Input Nilai Ketrampilan'!O46="","",'Input Nilai Ketrampilan'!O46)</f>
        <v/>
      </c>
      <c r="CG4" s="90" t="str">
        <f>IF(CF4="","",IF('Input Nilai Ketrampilan'!$K$1="","",'Input Nilai Ketrampilan'!$K$1))</f>
        <v/>
      </c>
      <c r="CH4" s="90" t="str">
        <f>IF('Input Nilai Ketrampilan'!O47="","",'Input Nilai Ketrampilan'!O47)</f>
        <v/>
      </c>
      <c r="CI4" s="90" t="str">
        <f>IF(CH4="","",IF('Input Nilai Ketrampilan'!$K$1="","",'Input Nilai Ketrampilan'!$K$1))</f>
        <v/>
      </c>
      <c r="CJ4" s="90" t="str">
        <f>IF('Input Nilai Ketrampilan'!O48="","",'Input Nilai Ketrampilan'!O48)</f>
        <v/>
      </c>
      <c r="CK4" s="90" t="str">
        <f>IF(CJ4="","",IF('Input Nilai Ketrampilan'!$K$1="","",'Input Nilai Ketrampilan'!$K$1))</f>
        <v/>
      </c>
      <c r="CL4" s="90" t="str">
        <f>IF('Input Nilai Ketrampilan'!O49="","",'Input Nilai Ketrampilan'!O49)</f>
        <v/>
      </c>
      <c r="CM4" s="90" t="str">
        <f>IF(CL4="","",IF('Input Nilai Ketrampilan'!$K$1="","",'Input Nilai Ketrampilan'!$K$1))</f>
        <v/>
      </c>
      <c r="CN4" s="90" t="str">
        <f>IF('Input Nilai Ketrampilan'!O50="","",'Input Nilai Ketrampilan'!O50)</f>
        <v/>
      </c>
      <c r="CO4" s="90" t="str">
        <f>IF(CN4="","",IF('Input Nilai Ketrampilan'!$K$1="","",'Input Nilai Ketrampilan'!$K$1))</f>
        <v/>
      </c>
      <c r="CP4" s="90" t="str">
        <f>IF('Input Nilai Ketrampilan'!O51="","",'Input Nilai Ketrampilan'!O51)</f>
        <v/>
      </c>
      <c r="CQ4" s="90" t="str">
        <f>IF(CP4="","",IF('Input Nilai Ketrampilan'!$K$1="","",'Input Nilai Ketrampilan'!$K$1))</f>
        <v/>
      </c>
      <c r="CR4" s="90" t="str">
        <f>IF('Input Nilai Ketrampilan'!O52="","",'Input Nilai Ketrampilan'!O52)</f>
        <v/>
      </c>
      <c r="CS4" s="90" t="str">
        <f>IF(CR4="","",IF('Input Nilai Ketrampilan'!$K$1="","",'Input Nilai Ketrampilan'!$K$1))</f>
        <v/>
      </c>
    </row>
    <row r="5" spans="1:97">
      <c r="A5" s="72">
        <v>3</v>
      </c>
      <c r="B5" s="90">
        <f>IF('Input Nilai Ketrampilan'!T5="","",'Input Nilai Ketrampilan'!T5)</f>
        <v>78</v>
      </c>
      <c r="C5" s="90" t="str">
        <f>IF(B5="","",IF('Input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D5" s="90">
        <f>IF('Input Nilai Ketrampilan'!T6="","",'Input Nilai Ketrampilan'!T6)</f>
        <v>89</v>
      </c>
      <c r="E5" s="90" t="str">
        <f>IF(D5="","",IF('Input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F5" s="90">
        <f>IF('Input Nilai Ketrampilan'!T7="","",'Input Nilai Ketrampilan'!T7)</f>
        <v>79</v>
      </c>
      <c r="G5" s="90" t="str">
        <f>IF(F5="","",IF('Input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H5" s="90">
        <f>IF('Input Nilai Ketrampilan'!T8="","",'Input Nilai Ketrampilan'!T8)</f>
        <v>78</v>
      </c>
      <c r="I5" s="90" t="str">
        <f>IF(H5="","",IF('Input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J5" s="90">
        <f>IF('Input Nilai Ketrampilan'!T9="","",'Input Nilai Ketrampilan'!T9)</f>
        <v>79</v>
      </c>
      <c r="K5" s="90" t="str">
        <f>IF(J5="","",IF('Input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L5" s="90">
        <f>IF('Input Nilai Ketrampilan'!T10="","",'Input Nilai Ketrampilan'!T10)</f>
        <v>80</v>
      </c>
      <c r="M5" s="90" t="str">
        <f>IF(L5="","",IF('Input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N5" s="90">
        <f>IF('Input Nilai Ketrampilan'!T11="","",'Input Nilai Ketrampilan'!T11)</f>
        <v>80</v>
      </c>
      <c r="O5" s="90" t="str">
        <f>IF(N5="","",IF('Input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P5" s="90">
        <f>IF('Input Nilai Ketrampilan'!T12="","",'Input Nilai Ketrampilan'!T12)</f>
        <v>79</v>
      </c>
      <c r="Q5" s="90" t="str">
        <f>IF(P5="","",IF('Input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R5" s="90">
        <f>IF('Input Nilai Ketrampilan'!T13="","",'Input Nilai Ketrampilan'!T13)</f>
        <v>78</v>
      </c>
      <c r="S5" s="90" t="str">
        <f>IF(R5="","",IF('Input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T5" s="90">
        <f>IF('Input Nilai Ketrampilan'!T14="","",'Input Nilai Ketrampilan'!T14)</f>
        <v>79</v>
      </c>
      <c r="U5" s="90" t="str">
        <f>IF(T5="","",IF('Input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V5" s="90">
        <f>IF('Input Nilai Ketrampilan'!T15="","",'Input Nilai Ketrampilan'!T15)</f>
        <v>80</v>
      </c>
      <c r="W5" s="90" t="str">
        <f>IF(V5="","",IF('Input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X5" s="90">
        <f>IF('Input Nilai Ketrampilan'!T16="","",'Input Nilai Ketrampilan'!T16)</f>
        <v>80</v>
      </c>
      <c r="Y5" s="90" t="str">
        <f>IF(X5="","",IF('Input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Z5" s="90">
        <f>IF('Input Nilai Ketrampilan'!T17="","",'Input Nilai Ketrampilan'!T17)</f>
        <v>79</v>
      </c>
      <c r="AA5" s="90" t="str">
        <f>IF(Z5="","",IF('Input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B5" s="90">
        <f>IF('Input Nilai Ketrampilan'!T18="","",'Input Nilai Ketrampilan'!T18)</f>
        <v>78</v>
      </c>
      <c r="AC5" s="90" t="str">
        <f>IF(AB5="","",IF('Input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D5" s="90">
        <f>IF('Input Nilai Ketrampilan'!T19="","",'Input Nilai Ketrampilan'!T19)</f>
        <v>79</v>
      </c>
      <c r="AE5" s="90" t="str">
        <f>IF(AD5="","",IF('Input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F5" s="90">
        <f>IF('Input Nilai Ketrampilan'!T20="","",'Input Nilai Ketrampilan'!T20)</f>
        <v>80</v>
      </c>
      <c r="AG5" s="90" t="str">
        <f>IF(AF5="","",IF('Input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H5" s="90">
        <f>IF('Input Nilai Ketrampilan'!T21="","",'Input Nilai Ketrampilan'!T21)</f>
        <v>80</v>
      </c>
      <c r="AI5" s="90" t="str">
        <f>IF(AH5="","",IF('Input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J5" s="90">
        <f>IF('Input Nilai Ketrampilan'!T22="","",'Input Nilai Ketrampilan'!T22)</f>
        <v>79</v>
      </c>
      <c r="AK5" s="90" t="str">
        <f>IF(AJ5="","",IF('Input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L5" s="90">
        <f>IF('Input Nilai Ketrampilan'!T23="","",'Input Nilai Ketrampilan'!T23)</f>
        <v>78</v>
      </c>
      <c r="AM5" s="90" t="str">
        <f>IF(AL5="","",IF('Input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N5" s="90">
        <f>IF('Input Nilai Ketrampilan'!T24="","",'Input Nilai Ketrampilan'!T24)</f>
        <v>79</v>
      </c>
      <c r="AO5" s="90" t="str">
        <f>IF(AN5="","",IF('Input Nilai Ketrampilan'!$P$1="","",'Input Nilai Ketrampilan'!$P$1))</f>
        <v>Menyusun teks interaksi transaksional lisan dan tulis sangat pendek dan sederhana yang melibatkan tindakan memberi dan meminta informasi terkait nama hari, bulan, nama waktu dalam hari, waktu dalam bentuk angka, tanggal, dan tahun, dengan fungsi sosial, struktur teks, dan unsurkebahasaan yang benar dansesuaikonteks</v>
      </c>
      <c r="AP5" s="90" t="str">
        <f>IF('Input Nilai Ketrampilan'!T25="","",'Input Nilai Ketrampilan'!T25)</f>
        <v/>
      </c>
      <c r="AQ5" s="90" t="str">
        <f>IF(AP5="","",IF('Input Nilai Ketrampilan'!$P$1="","",'Input Nilai Ketrampilan'!$P$1))</f>
        <v/>
      </c>
      <c r="AR5" s="90" t="str">
        <f>IF('Input Nilai Ketrampilan'!T26="","",'Input Nilai Ketrampilan'!T26)</f>
        <v/>
      </c>
      <c r="AS5" s="90" t="str">
        <f>IF(AR5="","",IF('Input Nilai Ketrampilan'!$P$1="","",'Input Nilai Ketrampilan'!$P$1))</f>
        <v/>
      </c>
      <c r="AT5" s="90" t="str">
        <f>IF('Input Nilai Ketrampilan'!T27="","",'Input Nilai Ketrampilan'!T27)</f>
        <v/>
      </c>
      <c r="AU5" s="90" t="str">
        <f>IF(AT5="","",IF('Input Nilai Ketrampilan'!$P$1="","",'Input Nilai Ketrampilan'!$P$1))</f>
        <v/>
      </c>
      <c r="AV5" s="90" t="str">
        <f>IF('Input Nilai Ketrampilan'!T28="","",'Input Nilai Ketrampilan'!T28)</f>
        <v/>
      </c>
      <c r="AW5" s="90" t="str">
        <f>IF(AV5="","",IF('Input Nilai Ketrampilan'!$P$1="","",'Input Nilai Ketrampilan'!$P$1))</f>
        <v/>
      </c>
      <c r="AX5" s="90" t="str">
        <f>IF('Input Nilai Ketrampilan'!T29="","",'Input Nilai Ketrampilan'!T29)</f>
        <v/>
      </c>
      <c r="AY5" s="90" t="str">
        <f>IF(AX5="","",IF('Input Nilai Ketrampilan'!$P$1="","",'Input Nilai Ketrampilan'!$P$1))</f>
        <v/>
      </c>
      <c r="AZ5" s="90" t="str">
        <f>IF('Input Nilai Ketrampilan'!T30="","",'Input Nilai Ketrampilan'!T30)</f>
        <v/>
      </c>
      <c r="BA5" s="90" t="str">
        <f>IF(AZ5="","",IF('Input Nilai Ketrampilan'!$P$1="","",'Input Nilai Ketrampilan'!$P$1))</f>
        <v/>
      </c>
      <c r="BB5" s="90" t="str">
        <f>IF('Input Nilai Ketrampilan'!T31="","",'Input Nilai Ketrampilan'!T31)</f>
        <v/>
      </c>
      <c r="BC5" s="90" t="str">
        <f>IF(BB5="","",IF('Input Nilai Ketrampilan'!$P$1="","",'Input Nilai Ketrampilan'!$P$1))</f>
        <v/>
      </c>
      <c r="BD5" s="90" t="str">
        <f>IF('Input Nilai Ketrampilan'!T32="","",'Input Nilai Ketrampilan'!T32)</f>
        <v/>
      </c>
      <c r="BE5" s="90" t="str">
        <f>IF(BD5="","",IF('Input Nilai Ketrampilan'!$P$1="","",'Input Nilai Ketrampilan'!$P$1))</f>
        <v/>
      </c>
      <c r="BF5" s="90" t="str">
        <f>IF('Input Nilai Ketrampilan'!T33="","",'Input Nilai Ketrampilan'!T33)</f>
        <v/>
      </c>
      <c r="BG5" s="90" t="str">
        <f>IF(BF5="","",IF('Input Nilai Ketrampilan'!$P$1="","",'Input Nilai Ketrampilan'!$P$1))</f>
        <v/>
      </c>
      <c r="BH5" s="90" t="str">
        <f>IF('Input Nilai Ketrampilan'!T34="","",'Input Nilai Ketrampilan'!T34)</f>
        <v/>
      </c>
      <c r="BI5" s="90" t="str">
        <f>IF(BH5="","",IF('Input Nilai Ketrampilan'!$P$1="","",'Input Nilai Ketrampilan'!$P$1))</f>
        <v/>
      </c>
      <c r="BJ5" s="90" t="str">
        <f>IF('Input Nilai Ketrampilan'!T35="","",'Input Nilai Ketrampilan'!T35)</f>
        <v/>
      </c>
      <c r="BK5" s="90" t="str">
        <f>IF(BJ5="","",IF('Input Nilai Ketrampilan'!$P$1="","",'Input Nilai Ketrampilan'!$P$1))</f>
        <v/>
      </c>
      <c r="BL5" s="90" t="str">
        <f>IF('Input Nilai Ketrampilan'!T36="","",'Input Nilai Ketrampilan'!T36)</f>
        <v/>
      </c>
      <c r="BM5" s="90" t="str">
        <f>IF(BL5="","",IF('Input Nilai Ketrampilan'!$P$1="","",'Input Nilai Ketrampilan'!$P$1))</f>
        <v/>
      </c>
      <c r="BN5" s="90" t="str">
        <f>IF('Input Nilai Ketrampilan'!T37="","",'Input Nilai Ketrampilan'!T37)</f>
        <v/>
      </c>
      <c r="BO5" s="90" t="str">
        <f>IF(BN5="","",IF('Input Nilai Ketrampilan'!$P$1="","",'Input Nilai Ketrampilan'!$P$1))</f>
        <v/>
      </c>
      <c r="BP5" s="90" t="str">
        <f>IF('Input Nilai Ketrampilan'!T38="","",'Input Nilai Ketrampilan'!T38)</f>
        <v/>
      </c>
      <c r="BQ5" s="90" t="str">
        <f>IF(BP5="","",IF('Input Nilai Ketrampilan'!$P$1="","",'Input Nilai Ketrampilan'!$P$1))</f>
        <v/>
      </c>
      <c r="BR5" s="90" t="str">
        <f>IF('Input Nilai Ketrampilan'!T39="","",'Input Nilai Ketrampilan'!T39)</f>
        <v/>
      </c>
      <c r="BS5" s="90" t="str">
        <f>IF(BR5="","",IF('Input Nilai Ketrampilan'!$P$1="","",'Input Nilai Ketrampilan'!$P$1))</f>
        <v/>
      </c>
      <c r="BT5" s="90" t="str">
        <f>IF('Input Nilai Ketrampilan'!T40="","",'Input Nilai Ketrampilan'!T40)</f>
        <v/>
      </c>
      <c r="BU5" s="90" t="str">
        <f>IF(BT5="","",IF('Input Nilai Ketrampilan'!$P$1="","",'Input Nilai Ketrampilan'!$P$1))</f>
        <v/>
      </c>
      <c r="BV5" s="90" t="str">
        <f>IF('Input Nilai Ketrampilan'!T41="","",'Input Nilai Ketrampilan'!T41)</f>
        <v/>
      </c>
      <c r="BW5" s="90" t="str">
        <f>IF(BV5="","",IF('Input Nilai Ketrampilan'!$P$1="","",'Input Nilai Ketrampilan'!$P$1))</f>
        <v/>
      </c>
      <c r="BX5" s="90" t="str">
        <f>IF('Input Nilai Ketrampilan'!T42="","",'Input Nilai Ketrampilan'!T42)</f>
        <v/>
      </c>
      <c r="BY5" s="90" t="str">
        <f>IF(BX5="","",IF('Input Nilai Ketrampilan'!$P$1="","",'Input Nilai Ketrampilan'!$P$1))</f>
        <v/>
      </c>
      <c r="BZ5" s="90" t="str">
        <f>IF('Input Nilai Ketrampilan'!T43="","",'Input Nilai Ketrampilan'!T43)</f>
        <v/>
      </c>
      <c r="CA5" s="90" t="str">
        <f>IF(BZ5="","",IF('Input Nilai Ketrampilan'!$P$1="","",'Input Nilai Ketrampilan'!$P$1))</f>
        <v/>
      </c>
      <c r="CB5" s="90" t="str">
        <f>IF('Input Nilai Ketrampilan'!T44="","",'Input Nilai Ketrampilan'!T44)</f>
        <v/>
      </c>
      <c r="CC5" s="90" t="str">
        <f>IF(CB5="","",IF('Input Nilai Ketrampilan'!$P$1="","",'Input Nilai Ketrampilan'!$P$1))</f>
        <v/>
      </c>
      <c r="CD5" s="90" t="str">
        <f>IF('Input Nilai Ketrampilan'!T45="","",'Input Nilai Ketrampilan'!T45)</f>
        <v/>
      </c>
      <c r="CE5" s="90" t="str">
        <f>IF(CD5="","",IF('Input Nilai Ketrampilan'!$P$1="","",'Input Nilai Ketrampilan'!$P$1))</f>
        <v/>
      </c>
      <c r="CF5" s="90" t="str">
        <f>IF('Input Nilai Ketrampilan'!T46="","",'Input Nilai Ketrampilan'!T46)</f>
        <v/>
      </c>
      <c r="CG5" s="90" t="str">
        <f>IF(CF5="","",IF('Input Nilai Ketrampilan'!$P$1="","",'Input Nilai Ketrampilan'!$P$1))</f>
        <v/>
      </c>
      <c r="CH5" s="90" t="str">
        <f>IF('Input Nilai Ketrampilan'!T47="","",'Input Nilai Ketrampilan'!T47)</f>
        <v/>
      </c>
      <c r="CI5" s="90" t="str">
        <f>IF(CH5="","",IF('Input Nilai Ketrampilan'!$P$1="","",'Input Nilai Ketrampilan'!$P$1))</f>
        <v/>
      </c>
      <c r="CJ5" s="90" t="str">
        <f>IF('Input Nilai Ketrampilan'!T48="","",'Input Nilai Ketrampilan'!T48)</f>
        <v/>
      </c>
      <c r="CK5" s="90" t="str">
        <f>IF(CJ5="","",IF('Input Nilai Ketrampilan'!$P$1="","",'Input Nilai Ketrampilan'!$P$1))</f>
        <v/>
      </c>
      <c r="CL5" s="90" t="str">
        <f>IF('Input Nilai Ketrampilan'!T49="","",'Input Nilai Ketrampilan'!T49)</f>
        <v/>
      </c>
      <c r="CM5" s="90" t="str">
        <f>IF(CL5="","",IF('Input Nilai Ketrampilan'!$P$1="","",'Input Nilai Ketrampilan'!$P$1))</f>
        <v/>
      </c>
      <c r="CN5" s="90" t="str">
        <f>IF('Input Nilai Ketrampilan'!T50="","",'Input Nilai Ketrampilan'!T50)</f>
        <v/>
      </c>
      <c r="CO5" s="90" t="str">
        <f>IF(CN5="","",IF('Input Nilai Ketrampilan'!$P$1="","",'Input Nilai Ketrampilan'!$P$1))</f>
        <v/>
      </c>
      <c r="CP5" s="90" t="str">
        <f>IF('Input Nilai Ketrampilan'!T51="","",'Input Nilai Ketrampilan'!T51)</f>
        <v/>
      </c>
      <c r="CQ5" s="90" t="str">
        <f>IF(CP5="","",IF('Input Nilai Ketrampilan'!$P$1="","",'Input Nilai Ketrampilan'!$P$1))</f>
        <v/>
      </c>
      <c r="CR5" s="90" t="str">
        <f>IF('Input Nilai Ketrampilan'!T52="","",'Input Nilai Ketrampilan'!T52)</f>
        <v/>
      </c>
      <c r="CS5" s="90" t="str">
        <f>IF(CR5="","",IF('Input Nilai Ketrampilan'!$P$1="","",'Input Nilai Ketrampilan'!$P$1))</f>
        <v/>
      </c>
    </row>
    <row r="6" spans="1:97">
      <c r="A6" s="72">
        <v>4</v>
      </c>
      <c r="B6" s="90">
        <f>IF('Input Nilai Ketrampilan'!Y5="","",'Input Nilai Ketrampilan'!Y5)</f>
        <v>78</v>
      </c>
      <c r="C6" s="90" t="str">
        <f>IF(B6="","",IF('Input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D6" s="90">
        <f>IF('Input Nilai Ketrampilan'!Y6="","",'Input Nilai Ketrampilan'!Y6)</f>
        <v>80</v>
      </c>
      <c r="E6" s="90" t="str">
        <f>IF(D6="","",IF('Input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F6" s="90">
        <f>IF('Input Nilai Ketrampilan'!Y7="","",'Input Nilai Ketrampilan'!Y7)</f>
        <v>79</v>
      </c>
      <c r="G6" s="90" t="str">
        <f>IF(F6="","",IF('Input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H6" s="90">
        <f>IF('Input Nilai Ketrampilan'!Y8="","",'Input Nilai Ketrampilan'!Y8)</f>
        <v>78</v>
      </c>
      <c r="I6" s="90" t="str">
        <f>IF(H6="","",IF('Input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J6" s="90">
        <f>IF('Input Nilai Ketrampilan'!Y9="","",'Input Nilai Ketrampilan'!Y9)</f>
        <v>79</v>
      </c>
      <c r="K6" s="90" t="str">
        <f>IF(J6="","",IF('Input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L6" s="90">
        <f>IF('Input Nilai Ketrampilan'!Y10="","",'Input Nilai Ketrampilan'!Y10)</f>
        <v>80</v>
      </c>
      <c r="M6" s="90" t="str">
        <f>IF(L6="","",IF('Input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N6" s="90">
        <f>IF('Input Nilai Ketrampilan'!Y11="","",'Input Nilai Ketrampilan'!Y11)</f>
        <v>80</v>
      </c>
      <c r="O6" s="90" t="str">
        <f>IF(N6="","",IF('Input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P6" s="90">
        <f>IF('Input Nilai Ketrampilan'!Y12="","",'Input Nilai Ketrampilan'!Y12)</f>
        <v>79</v>
      </c>
      <c r="Q6" s="90" t="str">
        <f>IF(P6="","",IF('Input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R6" s="90">
        <f>IF('Input Nilai Ketrampilan'!Y13="","",'Input Nilai Ketrampilan'!Y13)</f>
        <v>78</v>
      </c>
      <c r="S6" s="90" t="str">
        <f>IF(R6="","",IF('Input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T6" s="90">
        <f>IF('Input Nilai Ketrampilan'!Y14="","",'Input Nilai Ketrampilan'!Y14)</f>
        <v>79</v>
      </c>
      <c r="U6" s="90" t="str">
        <f>IF(T6="","",IF('Input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V6" s="90">
        <f>IF('Input Nilai Ketrampilan'!Y15="","",'Input Nilai Ketrampilan'!Y15)</f>
        <v>80</v>
      </c>
      <c r="W6" s="90" t="str">
        <f>IF(V6="","",IF('Input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X6" s="90">
        <f>IF('Input Nilai Ketrampilan'!Y16="","",'Input Nilai Ketrampilan'!Y16)</f>
        <v>80</v>
      </c>
      <c r="Y6" s="90" t="str">
        <f>IF(X6="","",IF('Input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Z6" s="90">
        <f>IF('Input Nilai Ketrampilan'!Y17="","",'Input Nilai Ketrampilan'!Y17)</f>
        <v>79</v>
      </c>
      <c r="AA6" s="90" t="str">
        <f>IF(Z6="","",IF('Input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B6" s="90">
        <f>IF('Input Nilai Ketrampilan'!Y18="","",'Input Nilai Ketrampilan'!Y18)</f>
        <v>78</v>
      </c>
      <c r="AC6" s="90" t="str">
        <f>IF(AB6="","",IF('Input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D6" s="90">
        <f>IF('Input Nilai Ketrampilan'!Y19="","",'Input Nilai Ketrampilan'!Y19)</f>
        <v>79</v>
      </c>
      <c r="AE6" s="90" t="str">
        <f>IF(AD6="","",IF('Input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F6" s="90">
        <f>IF('Input Nilai Ketrampilan'!Y20="","",'Input Nilai Ketrampilan'!Y20)</f>
        <v>80</v>
      </c>
      <c r="AG6" s="90" t="str">
        <f>IF(AF6="","",IF('Input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H6" s="90">
        <f>IF('Input Nilai Ketrampilan'!Y21="","",'Input Nilai Ketrampilan'!Y21)</f>
        <v>80</v>
      </c>
      <c r="AI6" s="90" t="str">
        <f>IF(AH6="","",IF('Input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J6" s="90">
        <f>IF('Input Nilai Ketrampilan'!Y22="","",'Input Nilai Ketrampilan'!Y22)</f>
        <v>79</v>
      </c>
      <c r="AK6" s="90" t="str">
        <f>IF(AJ6="","",IF('Input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L6" s="90">
        <f>IF('Input Nilai Ketrampilan'!Y23="","",'Input Nilai Ketrampilan'!Y23)</f>
        <v>78</v>
      </c>
      <c r="AM6" s="90" t="str">
        <f>IF(AL6="","",IF('Input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N6" s="90">
        <f>IF('Input Nilai Ketrampilan'!Y24="","",'Input Nilai Ketrampilan'!Y24)</f>
        <v>79</v>
      </c>
      <c r="AO6" s="90" t="str">
        <f>IF(AN6="","",IF('Input Nilai Ketrampilan'!$U$1="","",'Input Nilai Ketrampilan'!$U$1))</f>
        <v>Menyusun teks interaksi transaksional lisan dan tulis sangat pendek dan sederhana yang melibatkan tindakan memberi dan meminta informasi terkait nama dan jumlah binatang, benda, dan bangunan publik yang dekat dengan kehidupan siswa seharihari, dengan memperhatikan fungsi sosial, struktur teks, dan unsur kebahasaan yang benar dan sesuai konteks</v>
      </c>
      <c r="AP6" s="90" t="str">
        <f>IF('Input Nilai Ketrampilan'!Y25="","",'Input Nilai Ketrampilan'!Y25)</f>
        <v/>
      </c>
      <c r="AQ6" s="90" t="str">
        <f>IF(AP6="","",IF('Input Nilai Ketrampilan'!$U$1="","",'Input Nilai Ketrampilan'!$U$1))</f>
        <v/>
      </c>
      <c r="AR6" s="90" t="str">
        <f>IF('Input Nilai Ketrampilan'!Y26="","",'Input Nilai Ketrampilan'!Y26)</f>
        <v/>
      </c>
      <c r="AS6" s="90" t="str">
        <f>IF(AR6="","",IF('Input Nilai Ketrampilan'!$U$1="","",'Input Nilai Ketrampilan'!$U$1))</f>
        <v/>
      </c>
      <c r="AT6" s="90" t="str">
        <f>IF('Input Nilai Ketrampilan'!Y27="","",'Input Nilai Ketrampilan'!Y27)</f>
        <v/>
      </c>
      <c r="AU6" s="90" t="str">
        <f>IF(AT6="","",IF('Input Nilai Ketrampilan'!$U$1="","",'Input Nilai Ketrampilan'!$U$1))</f>
        <v/>
      </c>
      <c r="AV6" s="90" t="str">
        <f>IF('Input Nilai Ketrampilan'!Y28="","",'Input Nilai Ketrampilan'!Y28)</f>
        <v/>
      </c>
      <c r="AW6" s="90" t="str">
        <f>IF(AV6="","",IF('Input Nilai Ketrampilan'!$U$1="","",'Input Nilai Ketrampilan'!$U$1))</f>
        <v/>
      </c>
      <c r="AX6" s="90" t="str">
        <f>IF('Input Nilai Ketrampilan'!Y29="","",'Input Nilai Ketrampilan'!Y29)</f>
        <v/>
      </c>
      <c r="AY6" s="90" t="str">
        <f>IF(AX6="","",IF('Input Nilai Ketrampilan'!$U$1="","",'Input Nilai Ketrampilan'!$U$1))</f>
        <v/>
      </c>
      <c r="AZ6" s="90" t="str">
        <f>IF('Input Nilai Ketrampilan'!Y30="","",'Input Nilai Ketrampilan'!Y30)</f>
        <v/>
      </c>
      <c r="BA6" s="90" t="str">
        <f>IF(AZ6="","",IF('Input Nilai Ketrampilan'!$U$1="","",'Input Nilai Ketrampilan'!$U$1))</f>
        <v/>
      </c>
      <c r="BB6" s="90" t="str">
        <f>IF('Input Nilai Ketrampilan'!Y31="","",'Input Nilai Ketrampilan'!Y31)</f>
        <v/>
      </c>
      <c r="BC6" s="90" t="str">
        <f>IF(BB6="","",IF('Input Nilai Ketrampilan'!$U$1="","",'Input Nilai Ketrampilan'!$U$1))</f>
        <v/>
      </c>
      <c r="BD6" s="90" t="str">
        <f>IF('Input Nilai Ketrampilan'!Y32="","",'Input Nilai Ketrampilan'!Y32)</f>
        <v/>
      </c>
      <c r="BE6" s="90" t="str">
        <f>IF(BD6="","",IF('Input Nilai Ketrampilan'!$U$1="","",'Input Nilai Ketrampilan'!$U$1))</f>
        <v/>
      </c>
      <c r="BF6" s="90" t="str">
        <f>IF('Input Nilai Ketrampilan'!Y33="","",'Input Nilai Ketrampilan'!Y33)</f>
        <v/>
      </c>
      <c r="BG6" s="90" t="str">
        <f>IF(BF6="","",IF('Input Nilai Ketrampilan'!$U$1="","",'Input Nilai Ketrampilan'!$U$1))</f>
        <v/>
      </c>
      <c r="BH6" s="90" t="str">
        <f>IF('Input Nilai Ketrampilan'!Y34="","",'Input Nilai Ketrampilan'!Y34)</f>
        <v/>
      </c>
      <c r="BI6" s="90" t="str">
        <f>IF(BH6="","",IF('Input Nilai Ketrampilan'!$U$1="","",'Input Nilai Ketrampilan'!$U$1))</f>
        <v/>
      </c>
      <c r="BJ6" s="90" t="str">
        <f>IF('Input Nilai Ketrampilan'!Y35="","",'Input Nilai Ketrampilan'!Y35)</f>
        <v/>
      </c>
      <c r="BK6" s="90" t="str">
        <f>IF(BJ6="","",IF('Input Nilai Ketrampilan'!$U$1="","",'Input Nilai Ketrampilan'!$U$1))</f>
        <v/>
      </c>
      <c r="BL6" s="90" t="str">
        <f>IF('Input Nilai Ketrampilan'!Y36="","",'Input Nilai Ketrampilan'!Y36)</f>
        <v/>
      </c>
      <c r="BM6" s="90" t="str">
        <f>IF(BL6="","",IF('Input Nilai Ketrampilan'!$U$1="","",'Input Nilai Ketrampilan'!$U$1))</f>
        <v/>
      </c>
      <c r="BN6" s="90" t="str">
        <f>IF('Input Nilai Ketrampilan'!Y37="","",'Input Nilai Ketrampilan'!Y37)</f>
        <v/>
      </c>
      <c r="BO6" s="90" t="str">
        <f>IF(BN6="","",IF('Input Nilai Ketrampilan'!$U$1="","",'Input Nilai Ketrampilan'!$U$1))</f>
        <v/>
      </c>
      <c r="BP6" s="90" t="str">
        <f>IF('Input Nilai Ketrampilan'!Y38="","",'Input Nilai Ketrampilan'!Y38)</f>
        <v/>
      </c>
      <c r="BQ6" s="90" t="str">
        <f>IF(BP6="","",IF('Input Nilai Ketrampilan'!$U$1="","",'Input Nilai Ketrampilan'!$U$1))</f>
        <v/>
      </c>
      <c r="BR6" s="90" t="str">
        <f>IF('Input Nilai Ketrampilan'!Y39="","",'Input Nilai Ketrampilan'!Y39)</f>
        <v/>
      </c>
      <c r="BS6" s="90" t="str">
        <f>IF(BR6="","",IF('Input Nilai Ketrampilan'!$U$1="","",'Input Nilai Ketrampilan'!$U$1))</f>
        <v/>
      </c>
      <c r="BT6" s="90" t="str">
        <f>IF('Input Nilai Ketrampilan'!Y40="","",'Input Nilai Ketrampilan'!Y40)</f>
        <v/>
      </c>
      <c r="BU6" s="90" t="str">
        <f>IF(BT6="","",IF('Input Nilai Ketrampilan'!$U$1="","",'Input Nilai Ketrampilan'!$U$1))</f>
        <v/>
      </c>
      <c r="BV6" s="90" t="str">
        <f>IF('Input Nilai Ketrampilan'!Y41="","",'Input Nilai Ketrampilan'!Y41)</f>
        <v/>
      </c>
      <c r="BW6" s="90" t="str">
        <f>IF(BV6="","",IF('Input Nilai Ketrampilan'!$U$1="","",'Input Nilai Ketrampilan'!$U$1))</f>
        <v/>
      </c>
      <c r="BX6" s="90" t="str">
        <f>IF('Input Nilai Ketrampilan'!Y42="","",'Input Nilai Ketrampilan'!Y42)</f>
        <v/>
      </c>
      <c r="BY6" s="90" t="str">
        <f>IF(BX6="","",IF('Input Nilai Ketrampilan'!$U$1="","",'Input Nilai Ketrampilan'!$U$1))</f>
        <v/>
      </c>
      <c r="BZ6" s="90" t="str">
        <f>IF('Input Nilai Ketrampilan'!Y43="","",'Input Nilai Ketrampilan'!Y43)</f>
        <v/>
      </c>
      <c r="CA6" s="90" t="str">
        <f>IF(BZ6="","",IF('Input Nilai Ketrampilan'!$U$1="","",'Input Nilai Ketrampilan'!$U$1))</f>
        <v/>
      </c>
      <c r="CB6" s="90" t="str">
        <f>IF('Input Nilai Ketrampilan'!Y44="","",'Input Nilai Ketrampilan'!Y44)</f>
        <v/>
      </c>
      <c r="CC6" s="90" t="str">
        <f>IF(CB6="","",IF('Input Nilai Ketrampilan'!$U$1="","",'Input Nilai Ketrampilan'!$U$1))</f>
        <v/>
      </c>
      <c r="CD6" s="90" t="str">
        <f>IF('Input Nilai Ketrampilan'!Y45="","",'Input Nilai Ketrampilan'!Y45)</f>
        <v/>
      </c>
      <c r="CE6" s="90" t="str">
        <f>IF(CD6="","",IF('Input Nilai Ketrampilan'!$U$1="","",'Input Nilai Ketrampilan'!$U$1))</f>
        <v/>
      </c>
      <c r="CF6" s="90" t="str">
        <f>IF('Input Nilai Ketrampilan'!Y46="","",'Input Nilai Ketrampilan'!Y46)</f>
        <v/>
      </c>
      <c r="CG6" s="90" t="str">
        <f>IF(CF6="","",IF('Input Nilai Ketrampilan'!$U$1="","",'Input Nilai Ketrampilan'!$U$1))</f>
        <v/>
      </c>
      <c r="CH6" s="90" t="str">
        <f>IF('Input Nilai Ketrampilan'!Y47="","",'Input Nilai Ketrampilan'!Y47)</f>
        <v/>
      </c>
      <c r="CI6" s="90" t="str">
        <f>IF(CH6="","",IF('Input Nilai Ketrampilan'!$U$1="","",'Input Nilai Ketrampilan'!$U$1))</f>
        <v/>
      </c>
      <c r="CJ6" s="90" t="str">
        <f>IF('Input Nilai Ketrampilan'!Y48="","",'Input Nilai Ketrampilan'!Y48)</f>
        <v/>
      </c>
      <c r="CK6" s="90" t="str">
        <f>IF(CJ6="","",IF('Input Nilai Ketrampilan'!$U$1="","",'Input Nilai Ketrampilan'!$U$1))</f>
        <v/>
      </c>
      <c r="CL6" s="90" t="str">
        <f>IF('Input Nilai Ketrampilan'!Y49="","",'Input Nilai Ketrampilan'!Y49)</f>
        <v/>
      </c>
      <c r="CM6" s="90" t="str">
        <f>IF(CL6="","",IF('Input Nilai Ketrampilan'!$U$1="","",'Input Nilai Ketrampilan'!$U$1))</f>
        <v/>
      </c>
      <c r="CN6" s="90" t="str">
        <f>IF('Input Nilai Ketrampilan'!Y50="","",'Input Nilai Ketrampilan'!Y50)</f>
        <v/>
      </c>
      <c r="CO6" s="90" t="str">
        <f>IF(CN6="","",IF('Input Nilai Ketrampilan'!$U$1="","",'Input Nilai Ketrampilan'!$U$1))</f>
        <v/>
      </c>
      <c r="CP6" s="90" t="str">
        <f>IF('Input Nilai Ketrampilan'!Y51="","",'Input Nilai Ketrampilan'!Y51)</f>
        <v/>
      </c>
      <c r="CQ6" s="90" t="str">
        <f>IF(CP6="","",IF('Input Nilai Ketrampilan'!$U$1="","",'Input Nilai Ketrampilan'!$U$1))</f>
        <v/>
      </c>
      <c r="CR6" s="90" t="str">
        <f>IF('Input Nilai Ketrampilan'!Y52="","",'Input Nilai Ketrampilan'!Y52)</f>
        <v/>
      </c>
      <c r="CS6" s="90" t="str">
        <f>IF(CR6="","",IF('Input Nilai Ketrampilan'!$U$1="","",'Input Nilai Ketrampilan'!$U$1))</f>
        <v/>
      </c>
    </row>
    <row r="7" spans="1:97">
      <c r="A7" s="72">
        <v>5</v>
      </c>
      <c r="B7" s="90" t="str">
        <f>IF('Input Nilai Ketrampilan'!AD5="","",'Input Nilai Ketrampilan'!AD5)</f>
        <v/>
      </c>
      <c r="C7" s="90" t="str">
        <f>IF(B7="","",IF('Input Nilai Ketrampilan'!$Z$1="","",'Input Nilai Ketrampilan'!$Z$1))</f>
        <v/>
      </c>
      <c r="D7" s="90" t="str">
        <f>IF('Input Nilai Ketrampilan'!AD6="","",'Input Nilai Ketrampilan'!AD6)</f>
        <v/>
      </c>
      <c r="E7" s="90" t="str">
        <f>IF(D7="","",IF('Input Nilai Ketrampilan'!$Z$1="","",'Input Nilai Ketrampilan'!$Z$1))</f>
        <v/>
      </c>
      <c r="F7" s="90" t="str">
        <f>IF('Input Nilai Ketrampilan'!AD7="","",'Input Nilai Ketrampilan'!AD7)</f>
        <v/>
      </c>
      <c r="G7" s="90" t="str">
        <f>IF(F7="","",IF('Input Nilai Ketrampilan'!$Z$1="","",'Input Nilai Ketrampilan'!$Z$1))</f>
        <v/>
      </c>
      <c r="H7" s="90" t="str">
        <f>IF('Input Nilai Ketrampilan'!AD8="","",'Input Nilai Ketrampilan'!AD8)</f>
        <v/>
      </c>
      <c r="I7" s="90" t="str">
        <f>IF(H7="","",IF('Input Nilai Ketrampilan'!$Z$1="","",'Input Nilai Ketrampilan'!$Z$1))</f>
        <v/>
      </c>
      <c r="J7" s="90" t="str">
        <f>IF('Input Nilai Ketrampilan'!AD9="","",'Input Nilai Ketrampilan'!AD9)</f>
        <v/>
      </c>
      <c r="K7" s="90" t="str">
        <f>IF(J7="","",IF('Input Nilai Ketrampilan'!$Z$1="","",'Input Nilai Ketrampilan'!$Z$1))</f>
        <v/>
      </c>
      <c r="L7" s="90" t="str">
        <f>IF('Input Nilai Ketrampilan'!AD10="","",'Input Nilai Ketrampilan'!AD10)</f>
        <v/>
      </c>
      <c r="M7" s="90" t="str">
        <f>IF(L7="","",IF('Input Nilai Ketrampilan'!$Z$1="","",'Input Nilai Ketrampilan'!$Z$1))</f>
        <v/>
      </c>
      <c r="N7" s="90" t="str">
        <f>IF('Input Nilai Ketrampilan'!AD11="","",'Input Nilai Ketrampilan'!AD11)</f>
        <v/>
      </c>
      <c r="O7" s="90" t="str">
        <f>IF(N7="","",IF('Input Nilai Ketrampilan'!$Z$1="","",'Input Nilai Ketrampilan'!$Z$1))</f>
        <v/>
      </c>
      <c r="P7" s="90" t="str">
        <f>IF('Input Nilai Ketrampilan'!AD12="","",'Input Nilai Ketrampilan'!AD12)</f>
        <v/>
      </c>
      <c r="Q7" s="90" t="str">
        <f>IF(P7="","",IF('Input Nilai Ketrampilan'!$Z$1="","",'Input Nilai Ketrampilan'!$Z$1))</f>
        <v/>
      </c>
      <c r="R7" s="90" t="str">
        <f>IF('Input Nilai Ketrampilan'!AD13="","",'Input Nilai Ketrampilan'!AD13)</f>
        <v/>
      </c>
      <c r="S7" s="90" t="str">
        <f>IF(R7="","",IF('Input Nilai Ketrampilan'!$Z$1="","",'Input Nilai Ketrampilan'!$Z$1))</f>
        <v/>
      </c>
      <c r="T7" s="90" t="str">
        <f>IF('Input Nilai Ketrampilan'!AD14="","",'Input Nilai Ketrampilan'!AD14)</f>
        <v/>
      </c>
      <c r="U7" s="90" t="str">
        <f>IF(T7="","",IF('Input Nilai Ketrampilan'!$Z$1="","",'Input Nilai Ketrampilan'!$Z$1))</f>
        <v/>
      </c>
      <c r="V7" s="90" t="str">
        <f>IF('Input Nilai Ketrampilan'!AD15="","",'Input Nilai Ketrampilan'!AD15)</f>
        <v/>
      </c>
      <c r="W7" s="90" t="str">
        <f>IF(V7="","",IF('Input Nilai Ketrampilan'!$Z$1="","",'Input Nilai Ketrampilan'!$Z$1))</f>
        <v/>
      </c>
      <c r="X7" s="90" t="str">
        <f>IF('Input Nilai Ketrampilan'!AD16="","",'Input Nilai Ketrampilan'!AD16)</f>
        <v/>
      </c>
      <c r="Y7" s="90" t="str">
        <f>IF(X7="","",IF('Input Nilai Ketrampilan'!$Z$1="","",'Input Nilai Ketrampilan'!$Z$1))</f>
        <v/>
      </c>
      <c r="Z7" s="90" t="str">
        <f>IF('Input Nilai Ketrampilan'!AD17="","",'Input Nilai Ketrampilan'!AD17)</f>
        <v/>
      </c>
      <c r="AA7" s="90" t="str">
        <f>IF(Z7="","",IF('Input Nilai Ketrampilan'!$Z$1="","",'Input Nilai Ketrampilan'!$Z$1))</f>
        <v/>
      </c>
      <c r="AB7" s="90" t="str">
        <f>IF('Input Nilai Ketrampilan'!AD18="","",'Input Nilai Ketrampilan'!AD18)</f>
        <v/>
      </c>
      <c r="AC7" s="90" t="str">
        <f>IF(AB7="","",IF('Input Nilai Ketrampilan'!$Z$1="","",'Input Nilai Ketrampilan'!$Z$1))</f>
        <v/>
      </c>
      <c r="AD7" s="90" t="str">
        <f>IF('Input Nilai Ketrampilan'!AD19="","",'Input Nilai Ketrampilan'!AD19)</f>
        <v/>
      </c>
      <c r="AE7" s="90" t="str">
        <f>IF(AD7="","",IF('Input Nilai Ketrampilan'!$Z$1="","",'Input Nilai Ketrampilan'!$Z$1))</f>
        <v/>
      </c>
      <c r="AF7" s="90" t="str">
        <f>IF('Input Nilai Ketrampilan'!AD20="","",'Input Nilai Ketrampilan'!AD20)</f>
        <v/>
      </c>
      <c r="AG7" s="90" t="str">
        <f>IF(AF7="","",IF('Input Nilai Ketrampilan'!$Z$1="","",'Input Nilai Ketrampilan'!$Z$1))</f>
        <v/>
      </c>
      <c r="AH7" s="90" t="str">
        <f>IF('Input Nilai Ketrampilan'!AD21="","",'Input Nilai Ketrampilan'!AD21)</f>
        <v/>
      </c>
      <c r="AI7" s="90" t="str">
        <f>IF(AH7="","",IF('Input Nilai Ketrampilan'!$Z$1="","",'Input Nilai Ketrampilan'!$Z$1))</f>
        <v/>
      </c>
      <c r="AJ7" s="90" t="str">
        <f>IF('Input Nilai Ketrampilan'!AD22="","",'Input Nilai Ketrampilan'!AD22)</f>
        <v/>
      </c>
      <c r="AK7" s="90" t="str">
        <f>IF(AJ7="","",IF('Input Nilai Ketrampilan'!$Z$1="","",'Input Nilai Ketrampilan'!$Z$1))</f>
        <v/>
      </c>
      <c r="AL7" s="90" t="str">
        <f>IF('Input Nilai Ketrampilan'!AD23="","",'Input Nilai Ketrampilan'!AD23)</f>
        <v/>
      </c>
      <c r="AM7" s="90" t="str">
        <f>IF(AL7="","",IF('Input Nilai Ketrampilan'!$Z$1="","",'Input Nilai Ketrampilan'!$Z$1))</f>
        <v/>
      </c>
      <c r="AN7" s="90" t="str">
        <f>IF('Input Nilai Ketrampilan'!AD24="","",'Input Nilai Ketrampilan'!AD24)</f>
        <v/>
      </c>
      <c r="AO7" s="90" t="str">
        <f>IF(AN7="","",IF('Input Nilai Ketrampilan'!$Z$1="","",'Input Nilai Ketrampilan'!$Z$1))</f>
        <v/>
      </c>
      <c r="AP7" s="90" t="str">
        <f>IF('Input Nilai Ketrampilan'!AD25="","",'Input Nilai Ketrampilan'!AD25)</f>
        <v/>
      </c>
      <c r="AQ7" s="90" t="str">
        <f>IF(AP7="","",IF('Input Nilai Ketrampilan'!$Z$1="","",'Input Nilai Ketrampilan'!$Z$1))</f>
        <v/>
      </c>
      <c r="AR7" s="90" t="str">
        <f>IF('Input Nilai Ketrampilan'!AD26="","",'Input Nilai Ketrampilan'!AD26)</f>
        <v/>
      </c>
      <c r="AS7" s="90" t="str">
        <f>IF(AR7="","",IF('Input Nilai Ketrampilan'!$Z$1="","",'Input Nilai Ketrampilan'!$Z$1))</f>
        <v/>
      </c>
      <c r="AT7" s="90" t="str">
        <f>IF('Input Nilai Ketrampilan'!AD27="","",'Input Nilai Ketrampilan'!AD27)</f>
        <v/>
      </c>
      <c r="AU7" s="90" t="str">
        <f>IF(AT7="","",IF('Input Nilai Ketrampilan'!$Z$1="","",'Input Nilai Ketrampilan'!$Z$1))</f>
        <v/>
      </c>
      <c r="AV7" s="90" t="str">
        <f>IF('Input Nilai Ketrampilan'!AD28="","",'Input Nilai Ketrampilan'!AD28)</f>
        <v/>
      </c>
      <c r="AW7" s="90" t="str">
        <f>IF(AV7="","",IF('Input Nilai Ketrampilan'!$Z$1="","",'Input Nilai Ketrampilan'!$Z$1))</f>
        <v/>
      </c>
      <c r="AX7" s="90" t="str">
        <f>IF('Input Nilai Ketrampilan'!AD29="","",'Input Nilai Ketrampilan'!AD29)</f>
        <v/>
      </c>
      <c r="AY7" s="90" t="str">
        <f>IF(AX7="","",IF('Input Nilai Ketrampilan'!$Z$1="","",'Input Nilai Ketrampilan'!$Z$1))</f>
        <v/>
      </c>
      <c r="AZ7" s="90" t="str">
        <f>IF('Input Nilai Ketrampilan'!AD30="","",'Input Nilai Ketrampilan'!AD30)</f>
        <v/>
      </c>
      <c r="BA7" s="90" t="str">
        <f>IF(AZ7="","",IF('Input Nilai Ketrampilan'!$Z$1="","",'Input Nilai Ketrampilan'!$Z$1))</f>
        <v/>
      </c>
      <c r="BB7" s="90" t="str">
        <f>IF('Input Nilai Ketrampilan'!AD31="","",'Input Nilai Ketrampilan'!AD31)</f>
        <v/>
      </c>
      <c r="BC7" s="90" t="str">
        <f>IF(BB7="","",IF('Input Nilai Ketrampilan'!$Z$1="","",'Input Nilai Ketrampilan'!$Z$1))</f>
        <v/>
      </c>
      <c r="BD7" s="90" t="str">
        <f>IF('Input Nilai Ketrampilan'!AD32="","",'Input Nilai Ketrampilan'!AD32)</f>
        <v/>
      </c>
      <c r="BE7" s="90" t="str">
        <f>IF(BD7="","",IF('Input Nilai Ketrampilan'!$Z$1="","",'Input Nilai Ketrampilan'!$Z$1))</f>
        <v/>
      </c>
      <c r="BF7" s="90" t="str">
        <f>IF('Input Nilai Ketrampilan'!AD33="","",'Input Nilai Ketrampilan'!AD33)</f>
        <v/>
      </c>
      <c r="BG7" s="90" t="str">
        <f>IF(BF7="","",IF('Input Nilai Ketrampilan'!$Z$1="","",'Input Nilai Ketrampilan'!$Z$1))</f>
        <v/>
      </c>
      <c r="BH7" s="90" t="str">
        <f>IF('Input Nilai Ketrampilan'!AD34="","",'Input Nilai Ketrampilan'!AD34)</f>
        <v/>
      </c>
      <c r="BI7" s="90" t="str">
        <f>IF(BH7="","",IF('Input Nilai Ketrampilan'!$Z$1="","",'Input Nilai Ketrampilan'!$Z$1))</f>
        <v/>
      </c>
      <c r="BJ7" s="90" t="str">
        <f>IF('Input Nilai Ketrampilan'!AD35="","",'Input Nilai Ketrampilan'!AD35)</f>
        <v/>
      </c>
      <c r="BK7" s="90" t="str">
        <f>IF(BJ7="","",IF('Input Nilai Ketrampilan'!$Z$1="","",'Input Nilai Ketrampilan'!$Z$1))</f>
        <v/>
      </c>
      <c r="BL7" s="90" t="str">
        <f>IF('Input Nilai Ketrampilan'!AD36="","",'Input Nilai Ketrampilan'!AD36)</f>
        <v/>
      </c>
      <c r="BM7" s="90" t="str">
        <f>IF(BL7="","",IF('Input Nilai Ketrampilan'!$Z$1="","",'Input Nilai Ketrampilan'!$Z$1))</f>
        <v/>
      </c>
      <c r="BN7" s="90" t="str">
        <f>IF('Input Nilai Ketrampilan'!AD37="","",'Input Nilai Ketrampilan'!AD37)</f>
        <v/>
      </c>
      <c r="BO7" s="90" t="str">
        <f>IF(BN7="","",IF('Input Nilai Ketrampilan'!$Z$1="","",'Input Nilai Ketrampilan'!$Z$1))</f>
        <v/>
      </c>
      <c r="BP7" s="90" t="str">
        <f>IF('Input Nilai Ketrampilan'!AD38="","",'Input Nilai Ketrampilan'!AD38)</f>
        <v/>
      </c>
      <c r="BQ7" s="90" t="str">
        <f>IF(BP7="","",IF('Input Nilai Ketrampilan'!$Z$1="","",'Input Nilai Ketrampilan'!$Z$1))</f>
        <v/>
      </c>
      <c r="BR7" s="90" t="str">
        <f>IF('Input Nilai Ketrampilan'!AD39="","",'Input Nilai Ketrampilan'!AD39)</f>
        <v/>
      </c>
      <c r="BS7" s="90" t="str">
        <f>IF(BR7="","",IF('Input Nilai Ketrampilan'!$Z$1="","",'Input Nilai Ketrampilan'!$Z$1))</f>
        <v/>
      </c>
      <c r="BT7" s="90" t="str">
        <f>IF('Input Nilai Ketrampilan'!AD40="","",'Input Nilai Ketrampilan'!AD40)</f>
        <v/>
      </c>
      <c r="BU7" s="90" t="str">
        <f>IF(BT7="","",IF('Input Nilai Ketrampilan'!$Z$1="","",'Input Nilai Ketrampilan'!$Z$1))</f>
        <v/>
      </c>
      <c r="BV7" s="90" t="str">
        <f>IF('Input Nilai Ketrampilan'!AD41="","",'Input Nilai Ketrampilan'!AD41)</f>
        <v/>
      </c>
      <c r="BW7" s="90" t="str">
        <f>IF(BV7="","",IF('Input Nilai Ketrampilan'!$Z$1="","",'Input Nilai Ketrampilan'!$Z$1))</f>
        <v/>
      </c>
      <c r="BX7" s="90" t="str">
        <f>IF('Input Nilai Ketrampilan'!AD42="","",'Input Nilai Ketrampilan'!AD42)</f>
        <v/>
      </c>
      <c r="BY7" s="90" t="str">
        <f>IF(BX7="","",IF('Input Nilai Ketrampilan'!$Z$1="","",'Input Nilai Ketrampilan'!$Z$1))</f>
        <v/>
      </c>
      <c r="BZ7" s="90" t="str">
        <f>IF('Input Nilai Ketrampilan'!AD43="","",'Input Nilai Ketrampilan'!AD43)</f>
        <v/>
      </c>
      <c r="CA7" s="90" t="str">
        <f>IF(BZ7="","",IF('Input Nilai Ketrampilan'!$Z$1="","",'Input Nilai Ketrampilan'!$Z$1))</f>
        <v/>
      </c>
      <c r="CB7" s="90" t="str">
        <f>IF('Input Nilai Ketrampilan'!AD44="","",'Input Nilai Ketrampilan'!AD44)</f>
        <v/>
      </c>
      <c r="CC7" s="90" t="str">
        <f>IF(CB7="","",IF('Input Nilai Ketrampilan'!$Z$1="","",'Input Nilai Ketrampilan'!$Z$1))</f>
        <v/>
      </c>
      <c r="CD7" s="90" t="str">
        <f>IF('Input Nilai Ketrampilan'!AD45="","",'Input Nilai Ketrampilan'!AD45)</f>
        <v/>
      </c>
      <c r="CE7" s="90" t="str">
        <f>IF(CD7="","",IF('Input Nilai Ketrampilan'!$Z$1="","",'Input Nilai Ketrampilan'!$Z$1))</f>
        <v/>
      </c>
      <c r="CF7" s="90" t="str">
        <f>IF('Input Nilai Ketrampilan'!AD46="","",'Input Nilai Ketrampilan'!AD46)</f>
        <v/>
      </c>
      <c r="CG7" s="90" t="str">
        <f>IF(CF7="","",IF('Input Nilai Ketrampilan'!$Z$1="","",'Input Nilai Ketrampilan'!$Z$1))</f>
        <v/>
      </c>
      <c r="CH7" s="90" t="str">
        <f>IF('Input Nilai Ketrampilan'!AD47="","",'Input Nilai Ketrampilan'!AD47)</f>
        <v/>
      </c>
      <c r="CI7" s="90" t="str">
        <f>IF(CH7="","",IF('Input Nilai Ketrampilan'!$Z$1="","",'Input Nilai Ketrampilan'!$Z$1))</f>
        <v/>
      </c>
      <c r="CJ7" s="90" t="str">
        <f>IF('Input Nilai Ketrampilan'!AD48="","",'Input Nilai Ketrampilan'!AD48)</f>
        <v/>
      </c>
      <c r="CK7" s="90" t="str">
        <f>IF(CJ7="","",IF('Input Nilai Ketrampilan'!$Z$1="","",'Input Nilai Ketrampilan'!$Z$1))</f>
        <v/>
      </c>
      <c r="CL7" s="90" t="str">
        <f>IF('Input Nilai Ketrampilan'!AD49="","",'Input Nilai Ketrampilan'!AD49)</f>
        <v/>
      </c>
      <c r="CM7" s="90" t="str">
        <f>IF(CL7="","",IF('Input Nilai Ketrampilan'!$Z$1="","",'Input Nilai Ketrampilan'!$Z$1))</f>
        <v/>
      </c>
      <c r="CN7" s="90" t="str">
        <f>IF('Input Nilai Ketrampilan'!AD50="","",'Input Nilai Ketrampilan'!AD50)</f>
        <v/>
      </c>
      <c r="CO7" s="90" t="str">
        <f>IF(CN7="","",IF('Input Nilai Ketrampilan'!$Z$1="","",'Input Nilai Ketrampilan'!$Z$1))</f>
        <v/>
      </c>
      <c r="CP7" s="90" t="str">
        <f>IF('Input Nilai Ketrampilan'!AD51="","",'Input Nilai Ketrampilan'!AD51)</f>
        <v/>
      </c>
      <c r="CQ7" s="90" t="str">
        <f>IF(CP7="","",IF('Input Nilai Ketrampilan'!$Z$1="","",'Input Nilai Ketrampilan'!$Z$1))</f>
        <v/>
      </c>
      <c r="CR7" s="90" t="str">
        <f>IF('Input Nilai Ketrampilan'!AD52="","",'Input Nilai Ketrampilan'!AD52)</f>
        <v/>
      </c>
      <c r="CS7" s="90" t="str">
        <f>IF(CR7="","",IF('Input Nilai Ketrampilan'!$Z$1="","",'Input Nilai Ketrampilan'!$Z$1))</f>
        <v/>
      </c>
    </row>
    <row r="8" spans="1:97">
      <c r="A8" s="72">
        <v>6</v>
      </c>
      <c r="B8" s="90" t="str">
        <f>IF('Input Nilai Ketrampilan'!AI5="","",'Input Nilai Ketrampilan'!AI5)</f>
        <v/>
      </c>
      <c r="C8" s="90" t="str">
        <f>IF(B8="","",IF('Input Nilai Ketrampilan'!$AE$1="","",'Input Nilai Ketrampilan'!$AE$1))</f>
        <v/>
      </c>
      <c r="D8" s="90" t="str">
        <f>IF('Input Nilai Ketrampilan'!AI6="","",'Input Nilai Ketrampilan'!AI6)</f>
        <v/>
      </c>
      <c r="E8" s="90" t="str">
        <f>IF(D8="","",IF('Input Nilai Ketrampilan'!$AE$1="","",'Input Nilai Ketrampilan'!$AE$1))</f>
        <v/>
      </c>
      <c r="F8" s="90" t="str">
        <f>IF('Input Nilai Ketrampilan'!AI7="","",'Input Nilai Ketrampilan'!AI7)</f>
        <v/>
      </c>
      <c r="G8" s="90" t="str">
        <f>IF(F8="","",IF('Input Nilai Ketrampilan'!$AE$1="","",'Input Nilai Ketrampilan'!$AE$1))</f>
        <v/>
      </c>
      <c r="H8" s="90" t="str">
        <f>IF('Input Nilai Ketrampilan'!AI8="","",'Input Nilai Ketrampilan'!AI8)</f>
        <v/>
      </c>
      <c r="I8" s="90" t="str">
        <f>IF(H8="","",IF('Input Nilai Ketrampilan'!$AE$1="","",'Input Nilai Ketrampilan'!$AE$1))</f>
        <v/>
      </c>
      <c r="J8" s="90" t="str">
        <f>IF('Input Nilai Ketrampilan'!AI9="","",'Input Nilai Ketrampilan'!AI9)</f>
        <v/>
      </c>
      <c r="K8" s="90" t="str">
        <f>IF(J8="","",IF('Input Nilai Ketrampilan'!$AE$1="","",'Input Nilai Ketrampilan'!$AE$1))</f>
        <v/>
      </c>
      <c r="L8" s="90" t="str">
        <f>IF('Input Nilai Ketrampilan'!AI10="","",'Input Nilai Ketrampilan'!AI10)</f>
        <v/>
      </c>
      <c r="M8" s="90" t="str">
        <f>IF(L8="","",IF('Input Nilai Ketrampilan'!$AE$1="","",'Input Nilai Ketrampilan'!$AE$1))</f>
        <v/>
      </c>
      <c r="N8" s="90" t="str">
        <f>IF('Input Nilai Ketrampilan'!AI11="","",'Input Nilai Ketrampilan'!AI11)</f>
        <v/>
      </c>
      <c r="O8" s="90" t="str">
        <f>IF(N8="","",IF('Input Nilai Ketrampilan'!$AE$1="","",'Input Nilai Ketrampilan'!$AE$1))</f>
        <v/>
      </c>
      <c r="P8" s="90" t="str">
        <f>IF('Input Nilai Ketrampilan'!AI12="","",'Input Nilai Ketrampilan'!AI12)</f>
        <v/>
      </c>
      <c r="Q8" s="90" t="str">
        <f>IF(P8="","",IF('Input Nilai Ketrampilan'!$AE$1="","",'Input Nilai Ketrampilan'!$AE$1))</f>
        <v/>
      </c>
      <c r="R8" s="90" t="str">
        <f>IF('Input Nilai Ketrampilan'!AI13="","",'Input Nilai Ketrampilan'!AI13)</f>
        <v/>
      </c>
      <c r="S8" s="90" t="str">
        <f>IF(R8="","",IF('Input Nilai Ketrampilan'!$AE$1="","",'Input Nilai Ketrampilan'!$AE$1))</f>
        <v/>
      </c>
      <c r="T8" s="90" t="str">
        <f>IF('Input Nilai Ketrampilan'!AI14="","",'Input Nilai Ketrampilan'!AI14)</f>
        <v/>
      </c>
      <c r="U8" s="90" t="str">
        <f>IF(T8="","",IF('Input Nilai Ketrampilan'!$AE$1="","",'Input Nilai Ketrampilan'!$AE$1))</f>
        <v/>
      </c>
      <c r="V8" s="90" t="str">
        <f>IF('Input Nilai Ketrampilan'!AI15="","",'Input Nilai Ketrampilan'!AI15)</f>
        <v/>
      </c>
      <c r="W8" s="90" t="str">
        <f>IF(V8="","",IF('Input Nilai Ketrampilan'!$AE$1="","",'Input Nilai Ketrampilan'!$AE$1))</f>
        <v/>
      </c>
      <c r="X8" s="90" t="str">
        <f>IF('Input Nilai Ketrampilan'!AI16="","",'Input Nilai Ketrampilan'!AI16)</f>
        <v/>
      </c>
      <c r="Y8" s="90" t="str">
        <f>IF(X8="","",IF('Input Nilai Ketrampilan'!$AE$1="","",'Input Nilai Ketrampilan'!$AE$1))</f>
        <v/>
      </c>
      <c r="Z8" s="90" t="str">
        <f>IF('Input Nilai Ketrampilan'!AI17="","",'Input Nilai Ketrampilan'!AI17)</f>
        <v/>
      </c>
      <c r="AA8" s="90" t="str">
        <f>IF(Z8="","",IF('Input Nilai Ketrampilan'!$AE$1="","",'Input Nilai Ketrampilan'!$AE$1))</f>
        <v/>
      </c>
      <c r="AB8" s="90" t="str">
        <f>IF('Input Nilai Ketrampilan'!AI18="","",'Input Nilai Ketrampilan'!AI18)</f>
        <v/>
      </c>
      <c r="AC8" s="90" t="str">
        <f>IF(AB8="","",IF('Input Nilai Ketrampilan'!$AE$1="","",'Input Nilai Ketrampilan'!$AE$1))</f>
        <v/>
      </c>
      <c r="AD8" s="90" t="str">
        <f>IF('Input Nilai Ketrampilan'!AI19="","",'Input Nilai Ketrampilan'!AI19)</f>
        <v/>
      </c>
      <c r="AE8" s="90" t="str">
        <f>IF(AD8="","",IF('Input Nilai Ketrampilan'!$AE$1="","",'Input Nilai Ketrampilan'!$AE$1))</f>
        <v/>
      </c>
      <c r="AF8" s="90" t="str">
        <f>IF('Input Nilai Ketrampilan'!AI20="","",'Input Nilai Ketrampilan'!AI20)</f>
        <v/>
      </c>
      <c r="AG8" s="90" t="str">
        <f>IF(AF8="","",IF('Input Nilai Ketrampilan'!$AE$1="","",'Input Nilai Ketrampilan'!$AE$1))</f>
        <v/>
      </c>
      <c r="AH8" s="90" t="str">
        <f>IF('Input Nilai Ketrampilan'!AI21="","",'Input Nilai Ketrampilan'!AI21)</f>
        <v/>
      </c>
      <c r="AI8" s="90" t="str">
        <f>IF(AH8="","",IF('Input Nilai Ketrampilan'!$AE$1="","",'Input Nilai Ketrampilan'!$AE$1))</f>
        <v/>
      </c>
      <c r="AJ8" s="90" t="str">
        <f>IF('Input Nilai Ketrampilan'!AI22="","",'Input Nilai Ketrampilan'!AI22)</f>
        <v/>
      </c>
      <c r="AK8" s="90" t="str">
        <f>IF(AJ8="","",IF('Input Nilai Ketrampilan'!$AE$1="","",'Input Nilai Ketrampilan'!$AE$1))</f>
        <v/>
      </c>
      <c r="AL8" s="90" t="str">
        <f>IF('Input Nilai Ketrampilan'!AI23="","",'Input Nilai Ketrampilan'!AI23)</f>
        <v/>
      </c>
      <c r="AM8" s="90" t="str">
        <f>IF(AL8="","",IF('Input Nilai Ketrampilan'!$AE$1="","",'Input Nilai Ketrampilan'!$AE$1))</f>
        <v/>
      </c>
      <c r="AN8" s="90" t="str">
        <f>IF('Input Nilai Ketrampilan'!AI24="","",'Input Nilai Ketrampilan'!AI24)</f>
        <v/>
      </c>
      <c r="AO8" s="90" t="str">
        <f>IF(AN8="","",IF('Input Nilai Ketrampilan'!$AE$1="","",'Input Nilai Ketrampilan'!$AE$1))</f>
        <v/>
      </c>
      <c r="AP8" s="90" t="str">
        <f>IF('Input Nilai Ketrampilan'!AI25="","",'Input Nilai Ketrampilan'!AI25)</f>
        <v/>
      </c>
      <c r="AQ8" s="90" t="str">
        <f>IF(AP8="","",IF('Input Nilai Ketrampilan'!$AE$1="","",'Input Nilai Ketrampilan'!$AE$1))</f>
        <v/>
      </c>
      <c r="AR8" s="90" t="str">
        <f>IF('Input Nilai Ketrampilan'!AI26="","",'Input Nilai Ketrampilan'!AI26)</f>
        <v/>
      </c>
      <c r="AS8" s="90" t="str">
        <f>IF(AR8="","",IF('Input Nilai Ketrampilan'!$AE$1="","",'Input Nilai Ketrampilan'!$AE$1))</f>
        <v/>
      </c>
      <c r="AT8" s="90" t="str">
        <f>IF('Input Nilai Ketrampilan'!AI27="","",'Input Nilai Ketrampilan'!AI27)</f>
        <v/>
      </c>
      <c r="AU8" s="90" t="str">
        <f>IF(AT8="","",IF('Input Nilai Ketrampilan'!$AE$1="","",'Input Nilai Ketrampilan'!$AE$1))</f>
        <v/>
      </c>
      <c r="AV8" s="90" t="str">
        <f>IF('Input Nilai Ketrampilan'!AI28="","",'Input Nilai Ketrampilan'!AI28)</f>
        <v/>
      </c>
      <c r="AW8" s="90" t="str">
        <f>IF(AV8="","",IF('Input Nilai Ketrampilan'!$AE$1="","",'Input Nilai Ketrampilan'!$AE$1))</f>
        <v/>
      </c>
      <c r="AX8" s="90" t="str">
        <f>IF('Input Nilai Ketrampilan'!AI29="","",'Input Nilai Ketrampilan'!AI29)</f>
        <v/>
      </c>
      <c r="AY8" s="90" t="str">
        <f>IF(AX8="","",IF('Input Nilai Ketrampilan'!$AE$1="","",'Input Nilai Ketrampilan'!$AE$1))</f>
        <v/>
      </c>
      <c r="AZ8" s="90" t="str">
        <f>IF('Input Nilai Ketrampilan'!AI30="","",'Input Nilai Ketrampilan'!AI30)</f>
        <v/>
      </c>
      <c r="BA8" s="90" t="str">
        <f>IF(AZ8="","",IF('Input Nilai Ketrampilan'!$AE$1="","",'Input Nilai Ketrampilan'!$AE$1))</f>
        <v/>
      </c>
      <c r="BB8" s="90" t="str">
        <f>IF('Input Nilai Ketrampilan'!AI31="","",'Input Nilai Ketrampilan'!AI31)</f>
        <v/>
      </c>
      <c r="BC8" s="90" t="str">
        <f>IF(BB8="","",IF('Input Nilai Ketrampilan'!$AE$1="","",'Input Nilai Ketrampilan'!$AE$1))</f>
        <v/>
      </c>
      <c r="BD8" s="90" t="str">
        <f>IF('Input Nilai Ketrampilan'!AI32="","",'Input Nilai Ketrampilan'!AI32)</f>
        <v/>
      </c>
      <c r="BE8" s="90" t="str">
        <f>IF(BD8="","",IF('Input Nilai Ketrampilan'!$AE$1="","",'Input Nilai Ketrampilan'!$AE$1))</f>
        <v/>
      </c>
      <c r="BF8" s="90" t="str">
        <f>IF('Input Nilai Ketrampilan'!AI33="","",'Input Nilai Ketrampilan'!AI33)</f>
        <v/>
      </c>
      <c r="BG8" s="90" t="str">
        <f>IF(BF8="","",IF('Input Nilai Ketrampilan'!$AE$1="","",'Input Nilai Ketrampilan'!$AE$1))</f>
        <v/>
      </c>
      <c r="BH8" s="90" t="str">
        <f>IF('Input Nilai Ketrampilan'!AI34="","",'Input Nilai Ketrampilan'!AI34)</f>
        <v/>
      </c>
      <c r="BI8" s="90" t="str">
        <f>IF(BH8="","",IF('Input Nilai Ketrampilan'!$AE$1="","",'Input Nilai Ketrampilan'!$AE$1))</f>
        <v/>
      </c>
      <c r="BJ8" s="90" t="str">
        <f>IF('Input Nilai Ketrampilan'!AI35="","",'Input Nilai Ketrampilan'!AI35)</f>
        <v/>
      </c>
      <c r="BK8" s="90" t="str">
        <f>IF(BJ8="","",IF('Input Nilai Ketrampilan'!$AE$1="","",'Input Nilai Ketrampilan'!$AE$1))</f>
        <v/>
      </c>
      <c r="BL8" s="90" t="str">
        <f>IF('Input Nilai Ketrampilan'!AI36="","",'Input Nilai Ketrampilan'!AI36)</f>
        <v/>
      </c>
      <c r="BM8" s="90" t="str">
        <f>IF(BL8="","",IF('Input Nilai Ketrampilan'!$AE$1="","",'Input Nilai Ketrampilan'!$AE$1))</f>
        <v/>
      </c>
      <c r="BN8" s="90" t="str">
        <f>IF('Input Nilai Ketrampilan'!AI37="","",'Input Nilai Ketrampilan'!AI37)</f>
        <v/>
      </c>
      <c r="BO8" s="90" t="str">
        <f>IF(BN8="","",IF('Input Nilai Ketrampilan'!$AE$1="","",'Input Nilai Ketrampilan'!$AE$1))</f>
        <v/>
      </c>
      <c r="BP8" s="90" t="str">
        <f>IF('Input Nilai Ketrampilan'!AI38="","",'Input Nilai Ketrampilan'!AI38)</f>
        <v/>
      </c>
      <c r="BQ8" s="90" t="str">
        <f>IF(BP8="","",IF('Input Nilai Ketrampilan'!$AE$1="","",'Input Nilai Ketrampilan'!$AE$1))</f>
        <v/>
      </c>
      <c r="BR8" s="90" t="str">
        <f>IF('Input Nilai Ketrampilan'!AI39="","",'Input Nilai Ketrampilan'!AI39)</f>
        <v/>
      </c>
      <c r="BS8" s="90" t="str">
        <f>IF(BR8="","",IF('Input Nilai Ketrampilan'!$AE$1="","",'Input Nilai Ketrampilan'!$AE$1))</f>
        <v/>
      </c>
      <c r="BT8" s="90" t="str">
        <f>IF('Input Nilai Ketrampilan'!AI40="","",'Input Nilai Ketrampilan'!AI40)</f>
        <v/>
      </c>
      <c r="BU8" s="90" t="str">
        <f>IF(BT8="","",IF('Input Nilai Ketrampilan'!$AE$1="","",'Input Nilai Ketrampilan'!$AE$1))</f>
        <v/>
      </c>
      <c r="BV8" s="90" t="str">
        <f>IF('Input Nilai Ketrampilan'!AI41="","",'Input Nilai Ketrampilan'!AI41)</f>
        <v/>
      </c>
      <c r="BW8" s="90" t="str">
        <f>IF(BV8="","",IF('Input Nilai Ketrampilan'!$AE$1="","",'Input Nilai Ketrampilan'!$AE$1))</f>
        <v/>
      </c>
      <c r="BX8" s="90" t="str">
        <f>IF('Input Nilai Ketrampilan'!AI42="","",'Input Nilai Ketrampilan'!AI42)</f>
        <v/>
      </c>
      <c r="BY8" s="90" t="str">
        <f>IF(BX8="","",IF('Input Nilai Ketrampilan'!$AE$1="","",'Input Nilai Ketrampilan'!$AE$1))</f>
        <v/>
      </c>
      <c r="BZ8" s="90" t="str">
        <f>IF('Input Nilai Ketrampilan'!AI43="","",'Input Nilai Ketrampilan'!AI43)</f>
        <v/>
      </c>
      <c r="CA8" s="90" t="str">
        <f>IF(BZ8="","",IF('Input Nilai Ketrampilan'!$AE$1="","",'Input Nilai Ketrampilan'!$AE$1))</f>
        <v/>
      </c>
      <c r="CB8" s="90" t="str">
        <f>IF('Input Nilai Ketrampilan'!AI44="","",'Input Nilai Ketrampilan'!AI44)</f>
        <v/>
      </c>
      <c r="CC8" s="90" t="str">
        <f>IF(CB8="","",IF('Input Nilai Ketrampilan'!$AE$1="","",'Input Nilai Ketrampilan'!$AE$1))</f>
        <v/>
      </c>
      <c r="CD8" s="90" t="str">
        <f>IF('Input Nilai Ketrampilan'!AI45="","",'Input Nilai Ketrampilan'!AI45)</f>
        <v/>
      </c>
      <c r="CE8" s="90" t="str">
        <f>IF(CD8="","",IF('Input Nilai Ketrampilan'!$AE$1="","",'Input Nilai Ketrampilan'!$AE$1))</f>
        <v/>
      </c>
      <c r="CF8" s="90" t="str">
        <f>IF('Input Nilai Ketrampilan'!AI46="","",'Input Nilai Ketrampilan'!AI46)</f>
        <v/>
      </c>
      <c r="CG8" s="90" t="str">
        <f>IF(CF8="","",IF('Input Nilai Ketrampilan'!$AE$1="","",'Input Nilai Ketrampilan'!$AE$1))</f>
        <v/>
      </c>
      <c r="CH8" s="90" t="str">
        <f>IF('Input Nilai Ketrampilan'!AI47="","",'Input Nilai Ketrampilan'!AI47)</f>
        <v/>
      </c>
      <c r="CI8" s="90" t="str">
        <f>IF(CH8="","",IF('Input Nilai Ketrampilan'!$AE$1="","",'Input Nilai Ketrampilan'!$AE$1))</f>
        <v/>
      </c>
      <c r="CJ8" s="90" t="str">
        <f>IF('Input Nilai Ketrampilan'!AI48="","",'Input Nilai Ketrampilan'!AI48)</f>
        <v/>
      </c>
      <c r="CK8" s="90" t="str">
        <f>IF(CJ8="","",IF('Input Nilai Ketrampilan'!$AE$1="","",'Input Nilai Ketrampilan'!$AE$1))</f>
        <v/>
      </c>
      <c r="CL8" s="90" t="str">
        <f>IF('Input Nilai Ketrampilan'!AI49="","",'Input Nilai Ketrampilan'!AI49)</f>
        <v/>
      </c>
      <c r="CM8" s="90" t="str">
        <f>IF(CL8="","",IF('Input Nilai Ketrampilan'!$AE$1="","",'Input Nilai Ketrampilan'!$AE$1))</f>
        <v/>
      </c>
      <c r="CN8" s="90" t="str">
        <f>IF('Input Nilai Ketrampilan'!AI50="","",'Input Nilai Ketrampilan'!AI50)</f>
        <v/>
      </c>
      <c r="CO8" s="90" t="str">
        <f>IF(CN8="","",IF('Input Nilai Ketrampilan'!$AE$1="","",'Input Nilai Ketrampilan'!$AE$1))</f>
        <v/>
      </c>
      <c r="CP8" s="90" t="str">
        <f>IF('Input Nilai Ketrampilan'!AI51="","",'Input Nilai Ketrampilan'!AI51)</f>
        <v/>
      </c>
      <c r="CQ8" s="90" t="str">
        <f>IF(CP8="","",IF('Input Nilai Ketrampilan'!$AE$1="","",'Input Nilai Ketrampilan'!$AE$1))</f>
        <v/>
      </c>
      <c r="CR8" s="90" t="str">
        <f>IF('Input Nilai Ketrampilan'!AI52="","",'Input Nilai Ketrampilan'!AI52)</f>
        <v/>
      </c>
      <c r="CS8" s="90" t="str">
        <f>IF(CR8="","",IF('Input Nilai Ketrampilan'!$AE$1="","",'Input Nilai Ketrampilan'!$AE$1))</f>
        <v/>
      </c>
    </row>
    <row r="9" spans="1:97">
      <c r="A9" s="72">
        <v>7</v>
      </c>
      <c r="B9" s="90" t="str">
        <f>IF('Input Nilai Ketrampilan'!AN5="","",'Input Nilai Ketrampilan'!AN5)</f>
        <v/>
      </c>
      <c r="C9" s="90" t="str">
        <f>IF(B9="","",IF('Input Nilai Ketrampilan'!$AJ$1="","",'Input Nilai Ketrampilan'!$AJ$1))</f>
        <v/>
      </c>
      <c r="D9" s="90" t="str">
        <f>IF('Input Nilai Ketrampilan'!AN6="","",'Input Nilai Ketrampilan'!AN6)</f>
        <v/>
      </c>
      <c r="E9" s="90" t="str">
        <f>IF(D9="","",IF('Input Nilai Ketrampilan'!$AJ$1="","",'Input Nilai Ketrampilan'!$AJ$1))</f>
        <v/>
      </c>
      <c r="F9" s="90" t="str">
        <f>IF('Input Nilai Ketrampilan'!AN7="","",'Input Nilai Ketrampilan'!AN7)</f>
        <v/>
      </c>
      <c r="G9" s="90" t="str">
        <f>IF(F9="","",IF('Input Nilai Ketrampilan'!$AJ$1="","",'Input Nilai Ketrampilan'!$AJ$1))</f>
        <v/>
      </c>
      <c r="H9" s="90" t="str">
        <f>IF('Input Nilai Ketrampilan'!AN8="","",'Input Nilai Ketrampilan'!AN8)</f>
        <v/>
      </c>
      <c r="I9" s="90" t="str">
        <f>IF(H9="","",IF('Input Nilai Ketrampilan'!$AJ$1="","",'Input Nilai Ketrampilan'!$AJ$1))</f>
        <v/>
      </c>
      <c r="J9" s="90" t="str">
        <f>IF('Input Nilai Ketrampilan'!AN9="","",'Input Nilai Ketrampilan'!AN9)</f>
        <v/>
      </c>
      <c r="K9" s="90" t="str">
        <f>IF(J9="","",IF('Input Nilai Ketrampilan'!$AJ$1="","",'Input Nilai Ketrampilan'!$AJ$1))</f>
        <v/>
      </c>
      <c r="L9" s="90" t="str">
        <f>IF('Input Nilai Ketrampilan'!AN10="","",'Input Nilai Ketrampilan'!AN10)</f>
        <v/>
      </c>
      <c r="M9" s="90" t="str">
        <f>IF(L9="","",IF('Input Nilai Ketrampilan'!$AJ$1="","",'Input Nilai Ketrampilan'!$AJ$1))</f>
        <v/>
      </c>
      <c r="N9" s="90" t="str">
        <f>IF('Input Nilai Ketrampilan'!AN11="","",'Input Nilai Ketrampilan'!AN11)</f>
        <v/>
      </c>
      <c r="O9" s="90" t="str">
        <f>IF(N9="","",IF('Input Nilai Ketrampilan'!$AJ$1="","",'Input Nilai Ketrampilan'!$AJ$1))</f>
        <v/>
      </c>
      <c r="P9" s="90" t="str">
        <f>IF('Input Nilai Ketrampilan'!AN12="","",'Input Nilai Ketrampilan'!AN12)</f>
        <v/>
      </c>
      <c r="Q9" s="90" t="str">
        <f>IF(P9="","",IF('Input Nilai Ketrampilan'!$AJ$1="","",'Input Nilai Ketrampilan'!$AJ$1))</f>
        <v/>
      </c>
      <c r="R9" s="90" t="str">
        <f>IF('Input Nilai Ketrampilan'!AN13="","",'Input Nilai Ketrampilan'!AN13)</f>
        <v/>
      </c>
      <c r="S9" s="90" t="str">
        <f>IF(R9="","",IF('Input Nilai Ketrampilan'!$AJ$1="","",'Input Nilai Ketrampilan'!$AJ$1))</f>
        <v/>
      </c>
      <c r="T9" s="90" t="str">
        <f>IF('Input Nilai Ketrampilan'!AN14="","",'Input Nilai Ketrampilan'!AN14)</f>
        <v/>
      </c>
      <c r="U9" s="90" t="str">
        <f>IF(T9="","",IF('Input Nilai Ketrampilan'!$AJ$1="","",'Input Nilai Ketrampilan'!$AJ$1))</f>
        <v/>
      </c>
      <c r="V9" s="90" t="str">
        <f>IF('Input Nilai Ketrampilan'!AN15="","",'Input Nilai Ketrampilan'!AN15)</f>
        <v/>
      </c>
      <c r="W9" s="90" t="str">
        <f>IF(V9="","",IF('Input Nilai Ketrampilan'!$AJ$1="","",'Input Nilai Ketrampilan'!$AJ$1))</f>
        <v/>
      </c>
      <c r="X9" s="90" t="str">
        <f>IF('Input Nilai Ketrampilan'!AN16="","",'Input Nilai Ketrampilan'!AN16)</f>
        <v/>
      </c>
      <c r="Y9" s="90" t="str">
        <f>IF(X9="","",IF('Input Nilai Ketrampilan'!$AJ$1="","",'Input Nilai Ketrampilan'!$AJ$1))</f>
        <v/>
      </c>
      <c r="Z9" s="90" t="str">
        <f>IF('Input Nilai Ketrampilan'!AN17="","",'Input Nilai Ketrampilan'!AN17)</f>
        <v/>
      </c>
      <c r="AA9" s="90" t="str">
        <f>IF(Z9="","",IF('Input Nilai Ketrampilan'!$AJ$1="","",'Input Nilai Ketrampilan'!$AJ$1))</f>
        <v/>
      </c>
      <c r="AB9" s="90" t="str">
        <f>IF('Input Nilai Ketrampilan'!AN18="","",'Input Nilai Ketrampilan'!AN18)</f>
        <v/>
      </c>
      <c r="AC9" s="90" t="str">
        <f>IF(AB9="","",IF('Input Nilai Ketrampilan'!$AJ$1="","",'Input Nilai Ketrampilan'!$AJ$1))</f>
        <v/>
      </c>
      <c r="AD9" s="90" t="str">
        <f>IF('Input Nilai Ketrampilan'!AN19="","",'Input Nilai Ketrampilan'!AN19)</f>
        <v/>
      </c>
      <c r="AE9" s="90" t="str">
        <f>IF(AD9="","",IF('Input Nilai Ketrampilan'!$AJ$1="","",'Input Nilai Ketrampilan'!$AJ$1))</f>
        <v/>
      </c>
      <c r="AF9" s="90" t="str">
        <f>IF('Input Nilai Ketrampilan'!AN20="","",'Input Nilai Ketrampilan'!AN20)</f>
        <v/>
      </c>
      <c r="AG9" s="90" t="str">
        <f>IF(AF9="","",IF('Input Nilai Ketrampilan'!$AJ$1="","",'Input Nilai Ketrampilan'!$AJ$1))</f>
        <v/>
      </c>
      <c r="AH9" s="90" t="str">
        <f>IF('Input Nilai Ketrampilan'!AN21="","",'Input Nilai Ketrampilan'!AN21)</f>
        <v/>
      </c>
      <c r="AI9" s="90" t="str">
        <f>IF(AH9="","",IF('Input Nilai Ketrampilan'!$AJ$1="","",'Input Nilai Ketrampilan'!$AJ$1))</f>
        <v/>
      </c>
      <c r="AJ9" s="90" t="str">
        <f>IF('Input Nilai Ketrampilan'!AN22="","",'Input Nilai Ketrampilan'!AN22)</f>
        <v/>
      </c>
      <c r="AK9" s="90" t="str">
        <f>IF(AJ9="","",IF('Input Nilai Ketrampilan'!$AJ$1="","",'Input Nilai Ketrampilan'!$AJ$1))</f>
        <v/>
      </c>
      <c r="AL9" s="90" t="str">
        <f>IF('Input Nilai Ketrampilan'!AN23="","",'Input Nilai Ketrampilan'!AN23)</f>
        <v/>
      </c>
      <c r="AM9" s="90" t="str">
        <f>IF(AL9="","",IF('Input Nilai Ketrampilan'!$AJ$1="","",'Input Nilai Ketrampilan'!$AJ$1))</f>
        <v/>
      </c>
      <c r="AN9" s="90" t="str">
        <f>IF('Input Nilai Ketrampilan'!AN24="","",'Input Nilai Ketrampilan'!AN24)</f>
        <v/>
      </c>
      <c r="AO9" s="90" t="str">
        <f>IF(AN9="","",IF('Input Nilai Ketrampilan'!$AJ$1="","",'Input Nilai Ketrampilan'!$AJ$1))</f>
        <v/>
      </c>
      <c r="AP9" s="90" t="str">
        <f>IF('Input Nilai Ketrampilan'!AN25="","",'Input Nilai Ketrampilan'!AN25)</f>
        <v/>
      </c>
      <c r="AQ9" s="90" t="str">
        <f>IF(AP9="","",IF('Input Nilai Ketrampilan'!$AJ$1="","",'Input Nilai Ketrampilan'!$AJ$1))</f>
        <v/>
      </c>
      <c r="AR9" s="90" t="str">
        <f>IF('Input Nilai Ketrampilan'!AN26="","",'Input Nilai Ketrampilan'!AN26)</f>
        <v/>
      </c>
      <c r="AS9" s="90" t="str">
        <f>IF(AR9="","",IF('Input Nilai Ketrampilan'!$AJ$1="","",'Input Nilai Ketrampilan'!$AJ$1))</f>
        <v/>
      </c>
      <c r="AT9" s="90" t="str">
        <f>IF('Input Nilai Ketrampilan'!AN27="","",'Input Nilai Ketrampilan'!AN27)</f>
        <v/>
      </c>
      <c r="AU9" s="90" t="str">
        <f>IF(AT9="","",IF('Input Nilai Ketrampilan'!$AJ$1="","",'Input Nilai Ketrampilan'!$AJ$1))</f>
        <v/>
      </c>
      <c r="AV9" s="90" t="str">
        <f>IF('Input Nilai Ketrampilan'!AN28="","",'Input Nilai Ketrampilan'!AN28)</f>
        <v/>
      </c>
      <c r="AW9" s="90" t="str">
        <f>IF(AV9="","",IF('Input Nilai Ketrampilan'!$AJ$1="","",'Input Nilai Ketrampilan'!$AJ$1))</f>
        <v/>
      </c>
      <c r="AX9" s="90" t="str">
        <f>IF('Input Nilai Ketrampilan'!AN29="","",'Input Nilai Ketrampilan'!AN29)</f>
        <v/>
      </c>
      <c r="AY9" s="90" t="str">
        <f>IF(AX9="","",IF('Input Nilai Ketrampilan'!$AJ$1="","",'Input Nilai Ketrampilan'!$AJ$1))</f>
        <v/>
      </c>
      <c r="AZ9" s="90" t="str">
        <f>IF('Input Nilai Ketrampilan'!AN30="","",'Input Nilai Ketrampilan'!AN30)</f>
        <v/>
      </c>
      <c r="BA9" s="90" t="str">
        <f>IF(AZ9="","",IF('Input Nilai Ketrampilan'!$AJ$1="","",'Input Nilai Ketrampilan'!$AJ$1))</f>
        <v/>
      </c>
      <c r="BB9" s="90" t="str">
        <f>IF('Input Nilai Ketrampilan'!AN31="","",'Input Nilai Ketrampilan'!AN31)</f>
        <v/>
      </c>
      <c r="BC9" s="90" t="str">
        <f>IF(BB9="","",IF('Input Nilai Ketrampilan'!$AJ$1="","",'Input Nilai Ketrampilan'!$AJ$1))</f>
        <v/>
      </c>
      <c r="BD9" s="90" t="str">
        <f>IF('Input Nilai Ketrampilan'!AN32="","",'Input Nilai Ketrampilan'!AN32)</f>
        <v/>
      </c>
      <c r="BE9" s="90" t="str">
        <f>IF(BD9="","",IF('Input Nilai Ketrampilan'!$AJ$1="","",'Input Nilai Ketrampilan'!$AJ$1))</f>
        <v/>
      </c>
      <c r="BF9" s="90" t="str">
        <f>IF('Input Nilai Ketrampilan'!AN33="","",'Input Nilai Ketrampilan'!AN33)</f>
        <v/>
      </c>
      <c r="BG9" s="90" t="str">
        <f>IF(BF9="","",IF('Input Nilai Ketrampilan'!$AJ$1="","",'Input Nilai Ketrampilan'!$AJ$1))</f>
        <v/>
      </c>
      <c r="BH9" s="90" t="str">
        <f>IF('Input Nilai Ketrampilan'!AN34="","",'Input Nilai Ketrampilan'!AN34)</f>
        <v/>
      </c>
      <c r="BI9" s="90" t="str">
        <f>IF(BH9="","",IF('Input Nilai Ketrampilan'!$AJ$1="","",'Input Nilai Ketrampilan'!$AJ$1))</f>
        <v/>
      </c>
      <c r="BJ9" s="90" t="str">
        <f>IF('Input Nilai Ketrampilan'!AN35="","",'Input Nilai Ketrampilan'!AN35)</f>
        <v/>
      </c>
      <c r="BK9" s="90" t="str">
        <f>IF(BJ9="","",IF('Input Nilai Ketrampilan'!$AJ$1="","",'Input Nilai Ketrampilan'!$AJ$1))</f>
        <v/>
      </c>
      <c r="BL9" s="90" t="str">
        <f>IF('Input Nilai Ketrampilan'!AN36="","",'Input Nilai Ketrampilan'!AN36)</f>
        <v/>
      </c>
      <c r="BM9" s="90" t="str">
        <f>IF(BL9="","",IF('Input Nilai Ketrampilan'!$AJ$1="","",'Input Nilai Ketrampilan'!$AJ$1))</f>
        <v/>
      </c>
      <c r="BN9" s="90" t="str">
        <f>IF('Input Nilai Ketrampilan'!AN37="","",'Input Nilai Ketrampilan'!AN37)</f>
        <v/>
      </c>
      <c r="BO9" s="90" t="str">
        <f>IF(BN9="","",IF('Input Nilai Ketrampilan'!$AJ$1="","",'Input Nilai Ketrampilan'!$AJ$1))</f>
        <v/>
      </c>
      <c r="BP9" s="90" t="str">
        <f>IF('Input Nilai Ketrampilan'!AN38="","",'Input Nilai Ketrampilan'!AN38)</f>
        <v/>
      </c>
      <c r="BQ9" s="90" t="str">
        <f>IF(BP9="","",IF('Input Nilai Ketrampilan'!$AJ$1="","",'Input Nilai Ketrampilan'!$AJ$1))</f>
        <v/>
      </c>
      <c r="BR9" s="90" t="str">
        <f>IF('Input Nilai Ketrampilan'!AN39="","",'Input Nilai Ketrampilan'!AN39)</f>
        <v/>
      </c>
      <c r="BS9" s="90" t="str">
        <f>IF(BR9="","",IF('Input Nilai Ketrampilan'!$AJ$1="","",'Input Nilai Ketrampilan'!$AJ$1))</f>
        <v/>
      </c>
      <c r="BT9" s="90" t="str">
        <f>IF('Input Nilai Ketrampilan'!AN40="","",'Input Nilai Ketrampilan'!AN40)</f>
        <v/>
      </c>
      <c r="BU9" s="90" t="str">
        <f>IF(BT9="","",IF('Input Nilai Ketrampilan'!$AJ$1="","",'Input Nilai Ketrampilan'!$AJ$1))</f>
        <v/>
      </c>
      <c r="BV9" s="90" t="str">
        <f>IF('Input Nilai Ketrampilan'!AN41="","",'Input Nilai Ketrampilan'!AN41)</f>
        <v/>
      </c>
      <c r="BW9" s="90" t="str">
        <f>IF(BV9="","",IF('Input Nilai Ketrampilan'!$AJ$1="","",'Input Nilai Ketrampilan'!$AJ$1))</f>
        <v/>
      </c>
      <c r="BX9" s="90" t="str">
        <f>IF('Input Nilai Ketrampilan'!AN42="","",'Input Nilai Ketrampilan'!AN42)</f>
        <v/>
      </c>
      <c r="BY9" s="90" t="str">
        <f>IF(BX9="","",IF('Input Nilai Ketrampilan'!$AJ$1="","",'Input Nilai Ketrampilan'!$AJ$1))</f>
        <v/>
      </c>
      <c r="BZ9" s="90" t="str">
        <f>IF('Input Nilai Ketrampilan'!AN43="","",'Input Nilai Ketrampilan'!AN43)</f>
        <v/>
      </c>
      <c r="CA9" s="90" t="str">
        <f>IF(BZ9="","",IF('Input Nilai Ketrampilan'!$AJ$1="","",'Input Nilai Ketrampilan'!$AJ$1))</f>
        <v/>
      </c>
      <c r="CB9" s="90" t="str">
        <f>IF('Input Nilai Ketrampilan'!AN44="","",'Input Nilai Ketrampilan'!AN44)</f>
        <v/>
      </c>
      <c r="CC9" s="90" t="str">
        <f>IF(CB9="","",IF('Input Nilai Ketrampilan'!$AJ$1="","",'Input Nilai Ketrampilan'!$AJ$1))</f>
        <v/>
      </c>
      <c r="CD9" s="90" t="str">
        <f>IF('Input Nilai Ketrampilan'!AN45="","",'Input Nilai Ketrampilan'!AN45)</f>
        <v/>
      </c>
      <c r="CE9" s="90" t="str">
        <f>IF(CD9="","",IF('Input Nilai Ketrampilan'!$AJ$1="","",'Input Nilai Ketrampilan'!$AJ$1))</f>
        <v/>
      </c>
      <c r="CF9" s="90" t="str">
        <f>IF('Input Nilai Ketrampilan'!AN46="","",'Input Nilai Ketrampilan'!AN46)</f>
        <v/>
      </c>
      <c r="CG9" s="90" t="str">
        <f>IF(CF9="","",IF('Input Nilai Ketrampilan'!$AJ$1="","",'Input Nilai Ketrampilan'!$AJ$1))</f>
        <v/>
      </c>
      <c r="CH9" s="90" t="str">
        <f>IF('Input Nilai Ketrampilan'!AN47="","",'Input Nilai Ketrampilan'!AN47)</f>
        <v/>
      </c>
      <c r="CI9" s="90" t="str">
        <f>IF(CH9="","",IF('Input Nilai Ketrampilan'!$AJ$1="","",'Input Nilai Ketrampilan'!$AJ$1))</f>
        <v/>
      </c>
      <c r="CJ9" s="90" t="str">
        <f>IF('Input Nilai Ketrampilan'!AN48="","",'Input Nilai Ketrampilan'!AN48)</f>
        <v/>
      </c>
      <c r="CK9" s="90" t="str">
        <f>IF(CJ9="","",IF('Input Nilai Ketrampilan'!$AJ$1="","",'Input Nilai Ketrampilan'!$AJ$1))</f>
        <v/>
      </c>
      <c r="CL9" s="90" t="str">
        <f>IF('Input Nilai Ketrampilan'!AN49="","",'Input Nilai Ketrampilan'!AN49)</f>
        <v/>
      </c>
      <c r="CM9" s="90" t="str">
        <f>IF(CL9="","",IF('Input Nilai Ketrampilan'!$AJ$1="","",'Input Nilai Ketrampilan'!$AJ$1))</f>
        <v/>
      </c>
      <c r="CN9" s="90" t="str">
        <f>IF('Input Nilai Ketrampilan'!AN50="","",'Input Nilai Ketrampilan'!AN50)</f>
        <v/>
      </c>
      <c r="CO9" s="90" t="str">
        <f>IF(CN9="","",IF('Input Nilai Ketrampilan'!$AJ$1="","",'Input Nilai Ketrampilan'!$AJ$1))</f>
        <v/>
      </c>
      <c r="CP9" s="90" t="str">
        <f>IF('Input Nilai Ketrampilan'!AN51="","",'Input Nilai Ketrampilan'!AN51)</f>
        <v/>
      </c>
      <c r="CQ9" s="90" t="str">
        <f>IF(CP9="","",IF('Input Nilai Ketrampilan'!$AJ$1="","",'Input Nilai Ketrampilan'!$AJ$1))</f>
        <v/>
      </c>
      <c r="CR9" s="90" t="str">
        <f>IF('Input Nilai Ketrampilan'!AN52="","",'Input Nilai Ketrampilan'!AN52)</f>
        <v/>
      </c>
      <c r="CS9" s="90" t="str">
        <f>IF(CR9="","",IF('Input Nilai Ketrampilan'!$AJ$1="","",'Input Nilai Ketrampilan'!$AJ$1))</f>
        <v/>
      </c>
    </row>
    <row r="10" spans="1:97">
      <c r="A10" s="72">
        <v>8</v>
      </c>
      <c r="B10" s="90" t="str">
        <f>IF('Input Nilai Ketrampilan'!AS5="","",'Input Nilai Ketrampilan'!AS5)</f>
        <v/>
      </c>
      <c r="C10" s="90" t="str">
        <f>IF(B10="","",IF('Input Nilai Ketrampilan'!$AO$1="","",'Input Nilai Ketrampilan'!$AO$1))</f>
        <v/>
      </c>
      <c r="D10" s="90" t="str">
        <f>IF('Input Nilai Ketrampilan'!AS6="","",'Input Nilai Ketrampilan'!AS6)</f>
        <v/>
      </c>
      <c r="E10" s="90" t="str">
        <f>IF(D10="","",IF('Input Nilai Ketrampilan'!$AO$1="","",'Input Nilai Ketrampilan'!$AO$1))</f>
        <v/>
      </c>
      <c r="F10" s="90" t="str">
        <f>IF('Input Nilai Ketrampilan'!AS7="","",'Input Nilai Ketrampilan'!AS7)</f>
        <v/>
      </c>
      <c r="G10" s="90" t="str">
        <f>IF(F10="","",IF('Input Nilai Ketrampilan'!$AO$1="","",'Input Nilai Ketrampilan'!$AO$1))</f>
        <v/>
      </c>
      <c r="H10" s="90" t="str">
        <f>IF('Input Nilai Ketrampilan'!AS8="","",'Input Nilai Ketrampilan'!AS8)</f>
        <v/>
      </c>
      <c r="I10" s="90" t="str">
        <f>IF(H10="","",IF('Input Nilai Ketrampilan'!$AO$1="","",'Input Nilai Ketrampilan'!$AO$1))</f>
        <v/>
      </c>
      <c r="J10" s="90" t="str">
        <f>IF('Input Nilai Ketrampilan'!AS9="","",'Input Nilai Ketrampilan'!AS9)</f>
        <v/>
      </c>
      <c r="K10" s="90" t="str">
        <f>IF(J10="","",IF('Input Nilai Ketrampilan'!$AO$1="","",'Input Nilai Ketrampilan'!$AO$1))</f>
        <v/>
      </c>
      <c r="L10" s="90" t="str">
        <f>IF('Input Nilai Ketrampilan'!AS10="","",'Input Nilai Ketrampilan'!AS10)</f>
        <v/>
      </c>
      <c r="M10" s="90" t="str">
        <f>IF(L10="","",IF('Input Nilai Ketrampilan'!$AO$1="","",'Input Nilai Ketrampilan'!$AO$1))</f>
        <v/>
      </c>
      <c r="N10" s="90" t="str">
        <f>IF('Input Nilai Ketrampilan'!AS11="","",'Input Nilai Ketrampilan'!AS11)</f>
        <v/>
      </c>
      <c r="O10" s="90" t="str">
        <f>IF(N10="","",IF('Input Nilai Ketrampilan'!$AO$1="","",'Input Nilai Ketrampilan'!$AO$1))</f>
        <v/>
      </c>
      <c r="P10" s="90" t="str">
        <f>IF('Input Nilai Ketrampilan'!AS12="","",'Input Nilai Ketrampilan'!AS12)</f>
        <v/>
      </c>
      <c r="Q10" s="90" t="str">
        <f>IF(P10="","",IF('Input Nilai Ketrampilan'!$AO$1="","",'Input Nilai Ketrampilan'!$AO$1))</f>
        <v/>
      </c>
      <c r="R10" s="90" t="str">
        <f>IF('Input Nilai Ketrampilan'!AS13="","",'Input Nilai Ketrampilan'!AS13)</f>
        <v/>
      </c>
      <c r="S10" s="90" t="str">
        <f>IF(R10="","",IF('Input Nilai Ketrampilan'!$AO$1="","",'Input Nilai Ketrampilan'!$AO$1))</f>
        <v/>
      </c>
      <c r="T10" s="90" t="str">
        <f>IF('Input Nilai Ketrampilan'!AS14="","",'Input Nilai Ketrampilan'!AS14)</f>
        <v/>
      </c>
      <c r="U10" s="90" t="str">
        <f>IF(T10="","",IF('Input Nilai Ketrampilan'!$AO$1="","",'Input Nilai Ketrampilan'!$AO$1))</f>
        <v/>
      </c>
      <c r="V10" s="90" t="str">
        <f>IF('Input Nilai Ketrampilan'!AS15="","",'Input Nilai Ketrampilan'!AS15)</f>
        <v/>
      </c>
      <c r="W10" s="90" t="str">
        <f>IF(V10="","",IF('Input Nilai Ketrampilan'!$AO$1="","",'Input Nilai Ketrampilan'!$AO$1))</f>
        <v/>
      </c>
      <c r="X10" s="90" t="str">
        <f>IF('Input Nilai Ketrampilan'!AS16="","",'Input Nilai Ketrampilan'!AS16)</f>
        <v/>
      </c>
      <c r="Y10" s="90" t="str">
        <f>IF(X10="","",IF('Input Nilai Ketrampilan'!$AO$1="","",'Input Nilai Ketrampilan'!$AO$1))</f>
        <v/>
      </c>
      <c r="Z10" s="90" t="str">
        <f>IF('Input Nilai Ketrampilan'!AS17="","",'Input Nilai Ketrampilan'!AS17)</f>
        <v/>
      </c>
      <c r="AA10" s="90" t="str">
        <f>IF(Z10="","",IF('Input Nilai Ketrampilan'!$AO$1="","",'Input Nilai Ketrampilan'!$AO$1))</f>
        <v/>
      </c>
      <c r="AB10" s="90" t="str">
        <f>IF('Input Nilai Ketrampilan'!AS18="","",'Input Nilai Ketrampilan'!AS18)</f>
        <v/>
      </c>
      <c r="AC10" s="90" t="str">
        <f>IF(AB10="","",IF('Input Nilai Ketrampilan'!$AO$1="","",'Input Nilai Ketrampilan'!$AO$1))</f>
        <v/>
      </c>
      <c r="AD10" s="90" t="str">
        <f>IF('Input Nilai Ketrampilan'!AS19="","",'Input Nilai Ketrampilan'!AS19)</f>
        <v/>
      </c>
      <c r="AE10" s="90" t="str">
        <f>IF(AD10="","",IF('Input Nilai Ketrampilan'!$AO$1="","",'Input Nilai Ketrampilan'!$AO$1))</f>
        <v/>
      </c>
      <c r="AF10" s="90" t="str">
        <f>IF('Input Nilai Ketrampilan'!AS20="","",'Input Nilai Ketrampilan'!AS20)</f>
        <v/>
      </c>
      <c r="AG10" s="90" t="str">
        <f>IF(AF10="","",IF('Input Nilai Ketrampilan'!$AO$1="","",'Input Nilai Ketrampilan'!$AO$1))</f>
        <v/>
      </c>
      <c r="AH10" s="90" t="str">
        <f>IF('Input Nilai Ketrampilan'!AS21="","",'Input Nilai Ketrampilan'!AS21)</f>
        <v/>
      </c>
      <c r="AI10" s="90" t="str">
        <f>IF(AH10="","",IF('Input Nilai Ketrampilan'!$AO$1="","",'Input Nilai Ketrampilan'!$AO$1))</f>
        <v/>
      </c>
      <c r="AJ10" s="90" t="str">
        <f>IF('Input Nilai Ketrampilan'!AS22="","",'Input Nilai Ketrampilan'!AS22)</f>
        <v/>
      </c>
      <c r="AK10" s="90" t="str">
        <f>IF(AJ10="","",IF('Input Nilai Ketrampilan'!$AO$1="","",'Input Nilai Ketrampilan'!$AO$1))</f>
        <v/>
      </c>
      <c r="AL10" s="90" t="str">
        <f>IF('Input Nilai Ketrampilan'!AS23="","",'Input Nilai Ketrampilan'!AS23)</f>
        <v/>
      </c>
      <c r="AM10" s="90" t="str">
        <f>IF(AL10="","",IF('Input Nilai Ketrampilan'!$AO$1="","",'Input Nilai Ketrampilan'!$AO$1))</f>
        <v/>
      </c>
      <c r="AN10" s="90" t="str">
        <f>IF('Input Nilai Ketrampilan'!AS24="","",'Input Nilai Ketrampilan'!AS24)</f>
        <v/>
      </c>
      <c r="AO10" s="90" t="str">
        <f>IF(AN10="","",IF('Input Nilai Ketrampilan'!$AO$1="","",'Input Nilai Ketrampilan'!$AO$1))</f>
        <v/>
      </c>
      <c r="AP10" s="90" t="str">
        <f>IF('Input Nilai Ketrampilan'!AS25="","",'Input Nilai Ketrampilan'!AS25)</f>
        <v/>
      </c>
      <c r="AQ10" s="90" t="str">
        <f>IF(AP10="","",IF('Input Nilai Ketrampilan'!$AO$1="","",'Input Nilai Ketrampilan'!$AO$1))</f>
        <v/>
      </c>
      <c r="AR10" s="90" t="str">
        <f>IF('Input Nilai Ketrampilan'!AS26="","",'Input Nilai Ketrampilan'!AS26)</f>
        <v/>
      </c>
      <c r="AS10" s="90" t="str">
        <f>IF(AR10="","",IF('Input Nilai Ketrampilan'!$AO$1="","",'Input Nilai Ketrampilan'!$AO$1))</f>
        <v/>
      </c>
      <c r="AT10" s="90" t="str">
        <f>IF('Input Nilai Ketrampilan'!AS27="","",'Input Nilai Ketrampilan'!AS27)</f>
        <v/>
      </c>
      <c r="AU10" s="90" t="str">
        <f>IF(AT10="","",IF('Input Nilai Ketrampilan'!$AO$1="","",'Input Nilai Ketrampilan'!$AO$1))</f>
        <v/>
      </c>
      <c r="AV10" s="90" t="str">
        <f>IF('Input Nilai Ketrampilan'!AS28="","",'Input Nilai Ketrampilan'!AS28)</f>
        <v/>
      </c>
      <c r="AW10" s="90" t="str">
        <f>IF(AV10="","",IF('Input Nilai Ketrampilan'!$AO$1="","",'Input Nilai Ketrampilan'!$AO$1))</f>
        <v/>
      </c>
      <c r="AX10" s="90" t="str">
        <f>IF('Input Nilai Ketrampilan'!AS29="","",'Input Nilai Ketrampilan'!AS29)</f>
        <v/>
      </c>
      <c r="AY10" s="90" t="str">
        <f>IF(AX10="","",IF('Input Nilai Ketrampilan'!$AO$1="","",'Input Nilai Ketrampilan'!$AO$1))</f>
        <v/>
      </c>
      <c r="AZ10" s="90" t="str">
        <f>IF('Input Nilai Ketrampilan'!AS30="","",'Input Nilai Ketrampilan'!AS30)</f>
        <v/>
      </c>
      <c r="BA10" s="90" t="str">
        <f>IF(AZ10="","",IF('Input Nilai Ketrampilan'!$AO$1="","",'Input Nilai Ketrampilan'!$AO$1))</f>
        <v/>
      </c>
      <c r="BB10" s="90" t="str">
        <f>IF('Input Nilai Ketrampilan'!AS31="","",'Input Nilai Ketrampilan'!AS31)</f>
        <v/>
      </c>
      <c r="BC10" s="90" t="str">
        <f>IF(BB10="","",IF('Input Nilai Ketrampilan'!$AO$1="","",'Input Nilai Ketrampilan'!$AO$1))</f>
        <v/>
      </c>
      <c r="BD10" s="90" t="str">
        <f>IF('Input Nilai Ketrampilan'!AS32="","",'Input Nilai Ketrampilan'!AS32)</f>
        <v/>
      </c>
      <c r="BE10" s="90" t="str">
        <f>IF(BD10="","",IF('Input Nilai Ketrampilan'!$AO$1="","",'Input Nilai Ketrampilan'!$AO$1))</f>
        <v/>
      </c>
      <c r="BF10" s="90" t="str">
        <f>IF('Input Nilai Ketrampilan'!AS33="","",'Input Nilai Ketrampilan'!AS33)</f>
        <v/>
      </c>
      <c r="BG10" s="90" t="str">
        <f>IF(BF10="","",IF('Input Nilai Ketrampilan'!$AO$1="","",'Input Nilai Ketrampilan'!$AO$1))</f>
        <v/>
      </c>
      <c r="BH10" s="90" t="str">
        <f>IF('Input Nilai Ketrampilan'!AS34="","",'Input Nilai Ketrampilan'!AS34)</f>
        <v/>
      </c>
      <c r="BI10" s="90" t="str">
        <f>IF(BH10="","",IF('Input Nilai Ketrampilan'!$AO$1="","",'Input Nilai Ketrampilan'!$AO$1))</f>
        <v/>
      </c>
      <c r="BJ10" s="90" t="str">
        <f>IF('Input Nilai Ketrampilan'!AS35="","",'Input Nilai Ketrampilan'!AS35)</f>
        <v/>
      </c>
      <c r="BK10" s="90" t="str">
        <f>IF(BJ10="","",IF('Input Nilai Ketrampilan'!$AO$1="","",'Input Nilai Ketrampilan'!$AO$1))</f>
        <v/>
      </c>
      <c r="BL10" s="90" t="str">
        <f>IF('Input Nilai Ketrampilan'!AS36="","",'Input Nilai Ketrampilan'!AS36)</f>
        <v/>
      </c>
      <c r="BM10" s="90" t="str">
        <f>IF(BL10="","",IF('Input Nilai Ketrampilan'!$AO$1="","",'Input Nilai Ketrampilan'!$AO$1))</f>
        <v/>
      </c>
      <c r="BN10" s="90" t="str">
        <f>IF('Input Nilai Ketrampilan'!AS37="","",'Input Nilai Ketrampilan'!AS37)</f>
        <v/>
      </c>
      <c r="BO10" s="90" t="str">
        <f>IF(BN10="","",IF('Input Nilai Ketrampilan'!$AO$1="","",'Input Nilai Ketrampilan'!$AO$1))</f>
        <v/>
      </c>
      <c r="BP10" s="90" t="str">
        <f>IF('Input Nilai Ketrampilan'!AS38="","",'Input Nilai Ketrampilan'!AS38)</f>
        <v/>
      </c>
      <c r="BQ10" s="90" t="str">
        <f>IF(BP10="","",IF('Input Nilai Ketrampilan'!$AO$1="","",'Input Nilai Ketrampilan'!$AO$1))</f>
        <v/>
      </c>
      <c r="BR10" s="90" t="str">
        <f>IF('Input Nilai Ketrampilan'!AS39="","",'Input Nilai Ketrampilan'!AS39)</f>
        <v/>
      </c>
      <c r="BS10" s="90" t="str">
        <f>IF(BR10="","",IF('Input Nilai Ketrampilan'!$AO$1="","",'Input Nilai Ketrampilan'!$AO$1))</f>
        <v/>
      </c>
      <c r="BT10" s="90" t="str">
        <f>IF('Input Nilai Ketrampilan'!AS40="","",'Input Nilai Ketrampilan'!AS40)</f>
        <v/>
      </c>
      <c r="BU10" s="90" t="str">
        <f>IF(BT10="","",IF('Input Nilai Ketrampilan'!$AO$1="","",'Input Nilai Ketrampilan'!$AO$1))</f>
        <v/>
      </c>
      <c r="BV10" s="90" t="str">
        <f>IF('Input Nilai Ketrampilan'!AS41="","",'Input Nilai Ketrampilan'!AS41)</f>
        <v/>
      </c>
      <c r="BW10" s="90" t="str">
        <f>IF(BV10="","",IF('Input Nilai Ketrampilan'!$AO$1="","",'Input Nilai Ketrampilan'!$AO$1))</f>
        <v/>
      </c>
      <c r="BX10" s="90" t="str">
        <f>IF('Input Nilai Ketrampilan'!AS42="","",'Input Nilai Ketrampilan'!AS42)</f>
        <v/>
      </c>
      <c r="BY10" s="90" t="str">
        <f>IF(BX10="","",IF('Input Nilai Ketrampilan'!$AO$1="","",'Input Nilai Ketrampilan'!$AO$1))</f>
        <v/>
      </c>
      <c r="BZ10" s="90" t="str">
        <f>IF('Input Nilai Ketrampilan'!AS43="","",'Input Nilai Ketrampilan'!AS43)</f>
        <v/>
      </c>
      <c r="CA10" s="90" t="str">
        <f>IF(BZ10="","",IF('Input Nilai Ketrampilan'!$AO$1="","",'Input Nilai Ketrampilan'!$AO$1))</f>
        <v/>
      </c>
      <c r="CB10" s="90" t="str">
        <f>IF('Input Nilai Ketrampilan'!AS44="","",'Input Nilai Ketrampilan'!AS44)</f>
        <v/>
      </c>
      <c r="CC10" s="90" t="str">
        <f>IF(CB10="","",IF('Input Nilai Ketrampilan'!$AO$1="","",'Input Nilai Ketrampilan'!$AO$1))</f>
        <v/>
      </c>
      <c r="CD10" s="90" t="str">
        <f>IF('Input Nilai Ketrampilan'!AS45="","",'Input Nilai Ketrampilan'!AS45)</f>
        <v/>
      </c>
      <c r="CE10" s="90" t="str">
        <f>IF(CD10="","",IF('Input Nilai Ketrampilan'!$AO$1="","",'Input Nilai Ketrampilan'!$AO$1))</f>
        <v/>
      </c>
      <c r="CF10" s="90" t="str">
        <f>IF('Input Nilai Ketrampilan'!AS46="","",'Input Nilai Ketrampilan'!AS46)</f>
        <v/>
      </c>
      <c r="CG10" s="90" t="str">
        <f>IF(CF10="","",IF('Input Nilai Ketrampilan'!$AO$1="","",'Input Nilai Ketrampilan'!$AO$1))</f>
        <v/>
      </c>
      <c r="CH10" s="90" t="str">
        <f>IF('Input Nilai Ketrampilan'!AS47="","",'Input Nilai Ketrampilan'!AS47)</f>
        <v/>
      </c>
      <c r="CI10" s="90" t="str">
        <f>IF(CH10="","",IF('Input Nilai Ketrampilan'!$AO$1="","",'Input Nilai Ketrampilan'!$AO$1))</f>
        <v/>
      </c>
      <c r="CJ10" s="90" t="str">
        <f>IF('Input Nilai Ketrampilan'!AS48="","",'Input Nilai Ketrampilan'!AS48)</f>
        <v/>
      </c>
      <c r="CK10" s="90" t="str">
        <f>IF(CJ10="","",IF('Input Nilai Ketrampilan'!$AO$1="","",'Input Nilai Ketrampilan'!$AO$1))</f>
        <v/>
      </c>
      <c r="CL10" s="90" t="str">
        <f>IF('Input Nilai Ketrampilan'!AS49="","",'Input Nilai Ketrampilan'!AS49)</f>
        <v/>
      </c>
      <c r="CM10" s="90" t="str">
        <f>IF(CL10="","",IF('Input Nilai Ketrampilan'!$AO$1="","",'Input Nilai Ketrampilan'!$AO$1))</f>
        <v/>
      </c>
      <c r="CN10" s="90" t="str">
        <f>IF('Input Nilai Ketrampilan'!AS50="","",'Input Nilai Ketrampilan'!AS50)</f>
        <v/>
      </c>
      <c r="CO10" s="90" t="str">
        <f>IF(CN10="","",IF('Input Nilai Ketrampilan'!$AO$1="","",'Input Nilai Ketrampilan'!$AO$1))</f>
        <v/>
      </c>
      <c r="CP10" s="90" t="str">
        <f>IF('Input Nilai Ketrampilan'!AS51="","",'Input Nilai Ketrampilan'!AS51)</f>
        <v/>
      </c>
      <c r="CQ10" s="90" t="str">
        <f>IF(CP10="","",IF('Input Nilai Ketrampilan'!$AO$1="","",'Input Nilai Ketrampilan'!$AO$1))</f>
        <v/>
      </c>
      <c r="CR10" s="90" t="str">
        <f>IF('Input Nilai Ketrampilan'!AS52="","",'Input Nilai Ketrampilan'!AS52)</f>
        <v/>
      </c>
      <c r="CS10" s="90" t="str">
        <f>IF(CR10="","",IF('Input Nilai Ketrampilan'!$AO$1="","",'Input Nilai Ketrampilan'!$AO$1))</f>
        <v/>
      </c>
    </row>
    <row r="11" spans="1:97">
      <c r="A11" s="72">
        <v>9</v>
      </c>
      <c r="B11" s="90" t="str">
        <f>IF('Input Nilai Ketrampilan'!AX5="","",'Input Nilai Ketrampilan'!AX5)</f>
        <v/>
      </c>
      <c r="C11" s="90" t="str">
        <f>IF(B11="","",IF('Input Nilai Ketrampilan'!$AT$1="","",'Input Nilai Ketrampilan'!$AT$1))</f>
        <v/>
      </c>
      <c r="D11" s="90" t="str">
        <f>IF('Input Nilai Ketrampilan'!AX6="","",'Input Nilai Ketrampilan'!AX6)</f>
        <v/>
      </c>
      <c r="E11" s="90" t="str">
        <f>IF(D11="","",IF('Input Nilai Ketrampilan'!$AT$1="","",'Input Nilai Ketrampilan'!$AT$1))</f>
        <v/>
      </c>
      <c r="F11" s="90" t="str">
        <f>IF('Input Nilai Ketrampilan'!AX7="","",'Input Nilai Ketrampilan'!AX7)</f>
        <v/>
      </c>
      <c r="G11" s="90" t="str">
        <f>IF(F11="","",IF('Input Nilai Ketrampilan'!$AT$1="","",'Input Nilai Ketrampilan'!$AT$1))</f>
        <v/>
      </c>
      <c r="H11" s="90" t="str">
        <f>IF('Input Nilai Ketrampilan'!AX8="","",'Input Nilai Ketrampilan'!AX8)</f>
        <v/>
      </c>
      <c r="I11" s="90" t="str">
        <f>IF(H11="","",IF('Input Nilai Ketrampilan'!$AT$1="","",'Input Nilai Ketrampilan'!$AT$1))</f>
        <v/>
      </c>
      <c r="J11" s="90" t="str">
        <f>IF('Input Nilai Ketrampilan'!AX9="","",'Input Nilai Ketrampilan'!AX9)</f>
        <v/>
      </c>
      <c r="K11" s="90" t="str">
        <f>IF(J11="","",IF('Input Nilai Ketrampilan'!$AT$1="","",'Input Nilai Ketrampilan'!$AT$1))</f>
        <v/>
      </c>
      <c r="L11" s="90" t="str">
        <f>IF('Input Nilai Ketrampilan'!AX10="","",'Input Nilai Ketrampilan'!AX10)</f>
        <v/>
      </c>
      <c r="M11" s="90" t="str">
        <f>IF(L11="","",IF('Input Nilai Ketrampilan'!$AT$1="","",'Input Nilai Ketrampilan'!$AT$1))</f>
        <v/>
      </c>
      <c r="N11" s="90" t="str">
        <f>IF('Input Nilai Ketrampilan'!AX11="","",'Input Nilai Ketrampilan'!AX11)</f>
        <v/>
      </c>
      <c r="O11" s="90" t="str">
        <f>IF(N11="","",IF('Input Nilai Ketrampilan'!$AT$1="","",'Input Nilai Ketrampilan'!$AT$1))</f>
        <v/>
      </c>
      <c r="P11" s="90" t="str">
        <f>IF('Input Nilai Ketrampilan'!AX12="","",'Input Nilai Ketrampilan'!AX12)</f>
        <v/>
      </c>
      <c r="Q11" s="90" t="str">
        <f>IF(P11="","",IF('Input Nilai Ketrampilan'!$AT$1="","",'Input Nilai Ketrampilan'!$AT$1))</f>
        <v/>
      </c>
      <c r="R11" s="90" t="str">
        <f>IF('Input Nilai Ketrampilan'!AX13="","",'Input Nilai Ketrampilan'!AX13)</f>
        <v/>
      </c>
      <c r="S11" s="90" t="str">
        <f>IF(R11="","",IF('Input Nilai Ketrampilan'!$AT$1="","",'Input Nilai Ketrampilan'!$AT$1))</f>
        <v/>
      </c>
      <c r="T11" s="90" t="str">
        <f>IF('Input Nilai Ketrampilan'!AX14="","",'Input Nilai Ketrampilan'!AX14)</f>
        <v/>
      </c>
      <c r="U11" s="90" t="str">
        <f>IF(T11="","",IF('Input Nilai Ketrampilan'!$AT$1="","",'Input Nilai Ketrampilan'!$AT$1))</f>
        <v/>
      </c>
      <c r="V11" s="90" t="str">
        <f>IF('Input Nilai Ketrampilan'!AX15="","",'Input Nilai Ketrampilan'!AX15)</f>
        <v/>
      </c>
      <c r="W11" s="90" t="str">
        <f>IF(V11="","",IF('Input Nilai Ketrampilan'!$AT$1="","",'Input Nilai Ketrampilan'!$AT$1))</f>
        <v/>
      </c>
      <c r="X11" s="90" t="str">
        <f>IF('Input Nilai Ketrampilan'!AX16="","",'Input Nilai Ketrampilan'!AX16)</f>
        <v/>
      </c>
      <c r="Y11" s="90" t="str">
        <f>IF(X11="","",IF('Input Nilai Ketrampilan'!$AT$1="","",'Input Nilai Ketrampilan'!$AT$1))</f>
        <v/>
      </c>
      <c r="Z11" s="90" t="str">
        <f>IF('Input Nilai Ketrampilan'!AX17="","",'Input Nilai Ketrampilan'!AX17)</f>
        <v/>
      </c>
      <c r="AA11" s="90" t="str">
        <f>IF(Z11="","",IF('Input Nilai Ketrampilan'!$AT$1="","",'Input Nilai Ketrampilan'!$AT$1))</f>
        <v/>
      </c>
      <c r="AB11" s="90" t="str">
        <f>IF('Input Nilai Ketrampilan'!AX18="","",'Input Nilai Ketrampilan'!AX18)</f>
        <v/>
      </c>
      <c r="AC11" s="90" t="str">
        <f>IF(AB11="","",IF('Input Nilai Ketrampilan'!$AT$1="","",'Input Nilai Ketrampilan'!$AT$1))</f>
        <v/>
      </c>
      <c r="AD11" s="90" t="str">
        <f>IF('Input Nilai Ketrampilan'!AX19="","",'Input Nilai Ketrampilan'!AX19)</f>
        <v/>
      </c>
      <c r="AE11" s="90" t="str">
        <f>IF(AD11="","",IF('Input Nilai Ketrampilan'!$AT$1="","",'Input Nilai Ketrampilan'!$AT$1))</f>
        <v/>
      </c>
      <c r="AF11" s="90" t="str">
        <f>IF('Input Nilai Ketrampilan'!AX20="","",'Input Nilai Ketrampilan'!AX20)</f>
        <v/>
      </c>
      <c r="AG11" s="90" t="str">
        <f>IF(AF11="","",IF('Input Nilai Ketrampilan'!$AT$1="","",'Input Nilai Ketrampilan'!$AT$1))</f>
        <v/>
      </c>
      <c r="AH11" s="90" t="str">
        <f>IF('Input Nilai Ketrampilan'!AX21="","",'Input Nilai Ketrampilan'!AX21)</f>
        <v/>
      </c>
      <c r="AI11" s="90" t="str">
        <f>IF(AH11="","",IF('Input Nilai Ketrampilan'!$AT$1="","",'Input Nilai Ketrampilan'!$AT$1))</f>
        <v/>
      </c>
      <c r="AJ11" s="90" t="str">
        <f>IF('Input Nilai Ketrampilan'!AX22="","",'Input Nilai Ketrampilan'!AX22)</f>
        <v/>
      </c>
      <c r="AK11" s="90" t="str">
        <f>IF(AJ11="","",IF('Input Nilai Ketrampilan'!$AT$1="","",'Input Nilai Ketrampilan'!$AT$1))</f>
        <v/>
      </c>
      <c r="AL11" s="90" t="str">
        <f>IF('Input Nilai Ketrampilan'!AX23="","",'Input Nilai Ketrampilan'!AX23)</f>
        <v/>
      </c>
      <c r="AM11" s="90" t="str">
        <f>IF(AL11="","",IF('Input Nilai Ketrampilan'!$AT$1="","",'Input Nilai Ketrampilan'!$AT$1))</f>
        <v/>
      </c>
      <c r="AN11" s="90" t="str">
        <f>IF('Input Nilai Ketrampilan'!AX24="","",'Input Nilai Ketrampilan'!AX24)</f>
        <v/>
      </c>
      <c r="AO11" s="90" t="str">
        <f>IF(AN11="","",IF('Input Nilai Ketrampilan'!$AT$1="","",'Input Nilai Ketrampilan'!$AT$1))</f>
        <v/>
      </c>
      <c r="AP11" s="90" t="str">
        <f>IF('Input Nilai Ketrampilan'!AX25="","",'Input Nilai Ketrampilan'!AX25)</f>
        <v/>
      </c>
      <c r="AQ11" s="90" t="str">
        <f>IF(AP11="","",IF('Input Nilai Ketrampilan'!$AT$1="","",'Input Nilai Ketrampilan'!$AT$1))</f>
        <v/>
      </c>
      <c r="AR11" s="90" t="str">
        <f>IF('Input Nilai Ketrampilan'!AX26="","",'Input Nilai Ketrampilan'!AX26)</f>
        <v/>
      </c>
      <c r="AS11" s="90" t="str">
        <f>IF(AR11="","",IF('Input Nilai Ketrampilan'!$AT$1="","",'Input Nilai Ketrampilan'!$AT$1))</f>
        <v/>
      </c>
      <c r="AT11" s="90" t="str">
        <f>IF('Input Nilai Ketrampilan'!AX27="","",'Input Nilai Ketrampilan'!AX27)</f>
        <v/>
      </c>
      <c r="AU11" s="90" t="str">
        <f>IF(AT11="","",IF('Input Nilai Ketrampilan'!$AT$1="","",'Input Nilai Ketrampilan'!$AT$1))</f>
        <v/>
      </c>
      <c r="AV11" s="90" t="str">
        <f>IF('Input Nilai Ketrampilan'!AX28="","",'Input Nilai Ketrampilan'!AX28)</f>
        <v/>
      </c>
      <c r="AW11" s="90" t="str">
        <f>IF(AV11="","",IF('Input Nilai Ketrampilan'!$AT$1="","",'Input Nilai Ketrampilan'!$AT$1))</f>
        <v/>
      </c>
      <c r="AX11" s="90" t="str">
        <f>IF('Input Nilai Ketrampilan'!AX29="","",'Input Nilai Ketrampilan'!AX29)</f>
        <v/>
      </c>
      <c r="AY11" s="90" t="str">
        <f>IF(AX11="","",IF('Input Nilai Ketrampilan'!$AT$1="","",'Input Nilai Ketrampilan'!$AT$1))</f>
        <v/>
      </c>
      <c r="AZ11" s="90" t="str">
        <f>IF('Input Nilai Ketrampilan'!AX30="","",'Input Nilai Ketrampilan'!AX30)</f>
        <v/>
      </c>
      <c r="BA11" s="90" t="str">
        <f>IF(AZ11="","",IF('Input Nilai Ketrampilan'!$AT$1="","",'Input Nilai Ketrampilan'!$AT$1))</f>
        <v/>
      </c>
      <c r="BB11" s="90" t="str">
        <f>IF('Input Nilai Ketrampilan'!AX31="","",'Input Nilai Ketrampilan'!AX31)</f>
        <v/>
      </c>
      <c r="BC11" s="90" t="str">
        <f>IF(BB11="","",IF('Input Nilai Ketrampilan'!$AT$1="","",'Input Nilai Ketrampilan'!$AT$1))</f>
        <v/>
      </c>
      <c r="BD11" s="90" t="str">
        <f>IF('Input Nilai Ketrampilan'!AX32="","",'Input Nilai Ketrampilan'!AX32)</f>
        <v/>
      </c>
      <c r="BE11" s="90" t="str">
        <f>IF(BD11="","",IF('Input Nilai Ketrampilan'!$AT$1="","",'Input Nilai Ketrampilan'!$AT$1))</f>
        <v/>
      </c>
      <c r="BF11" s="90" t="str">
        <f>IF('Input Nilai Ketrampilan'!AX33="","",'Input Nilai Ketrampilan'!AX33)</f>
        <v/>
      </c>
      <c r="BG11" s="90" t="str">
        <f>IF(BF11="","",IF('Input Nilai Ketrampilan'!$AT$1="","",'Input Nilai Ketrampilan'!$AT$1))</f>
        <v/>
      </c>
      <c r="BH11" s="90" t="str">
        <f>IF('Input Nilai Ketrampilan'!AX34="","",'Input Nilai Ketrampilan'!AX34)</f>
        <v/>
      </c>
      <c r="BI11" s="90" t="str">
        <f>IF(BH11="","",IF('Input Nilai Ketrampilan'!$AT$1="","",'Input Nilai Ketrampilan'!$AT$1))</f>
        <v/>
      </c>
      <c r="BJ11" s="90" t="str">
        <f>IF('Input Nilai Ketrampilan'!AX35="","",'Input Nilai Ketrampilan'!AX35)</f>
        <v/>
      </c>
      <c r="BK11" s="90" t="str">
        <f>IF(BJ11="","",IF('Input Nilai Ketrampilan'!$AT$1="","",'Input Nilai Ketrampilan'!$AT$1))</f>
        <v/>
      </c>
      <c r="BL11" s="90" t="str">
        <f>IF('Input Nilai Ketrampilan'!AX36="","",'Input Nilai Ketrampilan'!AX36)</f>
        <v/>
      </c>
      <c r="BM11" s="90" t="str">
        <f>IF(BL11="","",IF('Input Nilai Ketrampilan'!$AT$1="","",'Input Nilai Ketrampilan'!$AT$1))</f>
        <v/>
      </c>
      <c r="BN11" s="90" t="str">
        <f>IF('Input Nilai Ketrampilan'!AX37="","",'Input Nilai Ketrampilan'!AX37)</f>
        <v/>
      </c>
      <c r="BO11" s="90" t="str">
        <f>IF(BN11="","",IF('Input Nilai Ketrampilan'!$AT$1="","",'Input Nilai Ketrampilan'!$AT$1))</f>
        <v/>
      </c>
      <c r="BP11" s="90" t="str">
        <f>IF('Input Nilai Ketrampilan'!AX38="","",'Input Nilai Ketrampilan'!AX38)</f>
        <v/>
      </c>
      <c r="BQ11" s="90" t="str">
        <f>IF(BP11="","",IF('Input Nilai Ketrampilan'!$AT$1="","",'Input Nilai Ketrampilan'!$AT$1))</f>
        <v/>
      </c>
      <c r="BR11" s="90" t="str">
        <f>IF('Input Nilai Ketrampilan'!AX39="","",'Input Nilai Ketrampilan'!AX39)</f>
        <v/>
      </c>
      <c r="BS11" s="90" t="str">
        <f>IF(BR11="","",IF('Input Nilai Ketrampilan'!$AT$1="","",'Input Nilai Ketrampilan'!$AT$1))</f>
        <v/>
      </c>
      <c r="BT11" s="90" t="str">
        <f>IF('Input Nilai Ketrampilan'!AX40="","",'Input Nilai Ketrampilan'!AX40)</f>
        <v/>
      </c>
      <c r="BU11" s="90" t="str">
        <f>IF(BT11="","",IF('Input Nilai Ketrampilan'!$AT$1="","",'Input Nilai Ketrampilan'!$AT$1))</f>
        <v/>
      </c>
      <c r="BV11" s="90" t="str">
        <f>IF('Input Nilai Ketrampilan'!AX41="","",'Input Nilai Ketrampilan'!AX41)</f>
        <v/>
      </c>
      <c r="BW11" s="90" t="str">
        <f>IF(BV11="","",IF('Input Nilai Ketrampilan'!$AT$1="","",'Input Nilai Ketrampilan'!$AT$1))</f>
        <v/>
      </c>
      <c r="BX11" s="90" t="str">
        <f>IF('Input Nilai Ketrampilan'!AX42="","",'Input Nilai Ketrampilan'!AX42)</f>
        <v/>
      </c>
      <c r="BY11" s="90" t="str">
        <f>IF(BX11="","",IF('Input Nilai Ketrampilan'!$AT$1="","",'Input Nilai Ketrampilan'!$AT$1))</f>
        <v/>
      </c>
      <c r="BZ11" s="90" t="str">
        <f>IF('Input Nilai Ketrampilan'!AX43="","",'Input Nilai Ketrampilan'!AX43)</f>
        <v/>
      </c>
      <c r="CA11" s="90" t="str">
        <f>IF(BZ11="","",IF('Input Nilai Ketrampilan'!$AT$1="","",'Input Nilai Ketrampilan'!$AT$1))</f>
        <v/>
      </c>
      <c r="CB11" s="90" t="str">
        <f>IF('Input Nilai Ketrampilan'!AX44="","",'Input Nilai Ketrampilan'!AX44)</f>
        <v/>
      </c>
      <c r="CC11" s="90" t="str">
        <f>IF(CB11="","",IF('Input Nilai Ketrampilan'!$AT$1="","",'Input Nilai Ketrampilan'!$AT$1))</f>
        <v/>
      </c>
      <c r="CD11" s="90" t="str">
        <f>IF('Input Nilai Ketrampilan'!AX45="","",'Input Nilai Ketrampilan'!AX45)</f>
        <v/>
      </c>
      <c r="CE11" s="90" t="str">
        <f>IF(CD11="","",IF('Input Nilai Ketrampilan'!$AT$1="","",'Input Nilai Ketrampilan'!$AT$1))</f>
        <v/>
      </c>
      <c r="CF11" s="90" t="str">
        <f>IF('Input Nilai Ketrampilan'!AX46="","",'Input Nilai Ketrampilan'!AX46)</f>
        <v/>
      </c>
      <c r="CG11" s="90" t="str">
        <f>IF(CF11="","",IF('Input Nilai Ketrampilan'!$AT$1="","",'Input Nilai Ketrampilan'!$AT$1))</f>
        <v/>
      </c>
      <c r="CH11" s="90" t="str">
        <f>IF('Input Nilai Ketrampilan'!AX47="","",'Input Nilai Ketrampilan'!AX47)</f>
        <v/>
      </c>
      <c r="CI11" s="90" t="str">
        <f>IF(CH11="","",IF('Input Nilai Ketrampilan'!$AT$1="","",'Input Nilai Ketrampilan'!$AT$1))</f>
        <v/>
      </c>
      <c r="CJ11" s="90" t="str">
        <f>IF('Input Nilai Ketrampilan'!AX48="","",'Input Nilai Ketrampilan'!AX48)</f>
        <v/>
      </c>
      <c r="CK11" s="90" t="str">
        <f>IF(CJ11="","",IF('Input Nilai Ketrampilan'!$AT$1="","",'Input Nilai Ketrampilan'!$AT$1))</f>
        <v/>
      </c>
      <c r="CL11" s="90" t="str">
        <f>IF('Input Nilai Ketrampilan'!AX49="","",'Input Nilai Ketrampilan'!AX49)</f>
        <v/>
      </c>
      <c r="CM11" s="90" t="str">
        <f>IF(CL11="","",IF('Input Nilai Ketrampilan'!$AT$1="","",'Input Nilai Ketrampilan'!$AT$1))</f>
        <v/>
      </c>
      <c r="CN11" s="90" t="str">
        <f>IF('Input Nilai Ketrampilan'!AX50="","",'Input Nilai Ketrampilan'!AX50)</f>
        <v/>
      </c>
      <c r="CO11" s="90" t="str">
        <f>IF(CN11="","",IF('Input Nilai Ketrampilan'!$AT$1="","",'Input Nilai Ketrampilan'!$AT$1))</f>
        <v/>
      </c>
      <c r="CP11" s="90" t="str">
        <f>IF('Input Nilai Ketrampilan'!AX51="","",'Input Nilai Ketrampilan'!AX51)</f>
        <v/>
      </c>
      <c r="CQ11" s="90" t="str">
        <f>IF(CP11="","",IF('Input Nilai Ketrampilan'!$AT$1="","",'Input Nilai Ketrampilan'!$AT$1))</f>
        <v/>
      </c>
      <c r="CR11" s="90" t="str">
        <f>IF('Input Nilai Ketrampilan'!AX52="","",'Input Nilai Ketrampilan'!AX52)</f>
        <v/>
      </c>
      <c r="CS11" s="90" t="str">
        <f>IF(CR11="","",IF('Input Nilai Ketrampilan'!$AT$1="","",'Input Nilai Ketrampilan'!$AT$1))</f>
        <v/>
      </c>
    </row>
    <row r="12" spans="1:97">
      <c r="A12" s="72">
        <v>10</v>
      </c>
      <c r="B12" s="90" t="str">
        <f>IF('Input Nilai Ketrampilan'!BC5="","",'Input Nilai Ketrampilan'!BC5)</f>
        <v/>
      </c>
      <c r="C12" s="90" t="str">
        <f>IF(B12="","",IF('Input Nilai Ketrampilan'!$AY$1="","",'Input Nilai Ketrampilan'!$AY$1))</f>
        <v/>
      </c>
      <c r="D12" s="90" t="str">
        <f>IF('Input Nilai Ketrampilan'!BC6="","",'Input Nilai Ketrampilan'!BC6)</f>
        <v/>
      </c>
      <c r="E12" s="90" t="str">
        <f>IF(D12="","",IF('Input Nilai Ketrampilan'!$AY$1="","",'Input Nilai Ketrampilan'!$AY$1))</f>
        <v/>
      </c>
      <c r="F12" s="90" t="str">
        <f>IF('Input Nilai Ketrampilan'!BC7="","",'Input Nilai Ketrampilan'!BC7)</f>
        <v/>
      </c>
      <c r="G12" s="90" t="str">
        <f>IF(F12="","",IF('Input Nilai Ketrampilan'!$AY$1="","",'Input Nilai Ketrampilan'!$AY$1))</f>
        <v/>
      </c>
      <c r="H12" s="90" t="str">
        <f>IF('Input Nilai Ketrampilan'!BC8="","",'Input Nilai Ketrampilan'!BC8)</f>
        <v/>
      </c>
      <c r="I12" s="90" t="str">
        <f>IF(H12="","",IF('Input Nilai Ketrampilan'!$AY$1="","",'Input Nilai Ketrampilan'!$AY$1))</f>
        <v/>
      </c>
      <c r="J12" s="90" t="str">
        <f>IF('Input Nilai Ketrampilan'!BC9="","",'Input Nilai Ketrampilan'!BC9)</f>
        <v/>
      </c>
      <c r="K12" s="90" t="str">
        <f>IF(J12="","",IF('Input Nilai Ketrampilan'!$AY$1="","",'Input Nilai Ketrampilan'!$AY$1))</f>
        <v/>
      </c>
      <c r="L12" s="90" t="str">
        <f>IF('Input Nilai Ketrampilan'!BC10="","",'Input Nilai Ketrampilan'!BC10)</f>
        <v/>
      </c>
      <c r="M12" s="90" t="str">
        <f>IF(L12="","",IF('Input Nilai Ketrampilan'!$AY$1="","",'Input Nilai Ketrampilan'!$AY$1))</f>
        <v/>
      </c>
      <c r="N12" s="90" t="str">
        <f>IF('Input Nilai Ketrampilan'!BC11="","",'Input Nilai Ketrampilan'!BC11)</f>
        <v/>
      </c>
      <c r="O12" s="90" t="str">
        <f>IF(N12="","",IF('Input Nilai Ketrampilan'!$AY$1="","",'Input Nilai Ketrampilan'!$AY$1))</f>
        <v/>
      </c>
      <c r="P12" s="90" t="str">
        <f>IF('Input Nilai Ketrampilan'!BC12="","",'Input Nilai Ketrampilan'!BC12)</f>
        <v/>
      </c>
      <c r="Q12" s="90" t="str">
        <f>IF(P12="","",IF('Input Nilai Ketrampilan'!$AY$1="","",'Input Nilai Ketrampilan'!$AY$1))</f>
        <v/>
      </c>
      <c r="R12" s="90" t="str">
        <f>IF('Input Nilai Ketrampilan'!BC13="","",'Input Nilai Ketrampilan'!BC13)</f>
        <v/>
      </c>
      <c r="S12" s="90" t="str">
        <f>IF(R12="","",IF('Input Nilai Ketrampilan'!$AY$1="","",'Input Nilai Ketrampilan'!$AY$1))</f>
        <v/>
      </c>
      <c r="T12" s="90" t="str">
        <f>IF('Input Nilai Ketrampilan'!BC14="","",'Input Nilai Ketrampilan'!BC14)</f>
        <v/>
      </c>
      <c r="U12" s="90" t="str">
        <f>IF(T12="","",IF('Input Nilai Ketrampilan'!$AY$1="","",'Input Nilai Ketrampilan'!$AY$1))</f>
        <v/>
      </c>
      <c r="V12" s="90" t="str">
        <f>IF('Input Nilai Ketrampilan'!BC15="","",'Input Nilai Ketrampilan'!BC15)</f>
        <v/>
      </c>
      <c r="W12" s="90" t="str">
        <f>IF(V12="","",IF('Input Nilai Ketrampilan'!$AY$1="","",'Input Nilai Ketrampilan'!$AY$1))</f>
        <v/>
      </c>
      <c r="X12" s="90" t="str">
        <f>IF('Input Nilai Ketrampilan'!BC16="","",'Input Nilai Ketrampilan'!BC16)</f>
        <v/>
      </c>
      <c r="Y12" s="90" t="str">
        <f>IF(X12="","",IF('Input Nilai Ketrampilan'!$AY$1="","",'Input Nilai Ketrampilan'!$AY$1))</f>
        <v/>
      </c>
      <c r="Z12" s="90" t="str">
        <f>IF('Input Nilai Ketrampilan'!BC17="","",'Input Nilai Ketrampilan'!BC17)</f>
        <v/>
      </c>
      <c r="AA12" s="90" t="str">
        <f>IF(Z12="","",IF('Input Nilai Ketrampilan'!$AY$1="","",'Input Nilai Ketrampilan'!$AY$1))</f>
        <v/>
      </c>
      <c r="AB12" s="90" t="str">
        <f>IF('Input Nilai Ketrampilan'!BC18="","",'Input Nilai Ketrampilan'!BC18)</f>
        <v/>
      </c>
      <c r="AC12" s="90" t="str">
        <f>IF(AB12="","",IF('Input Nilai Ketrampilan'!$AY$1="","",'Input Nilai Ketrampilan'!$AY$1))</f>
        <v/>
      </c>
      <c r="AD12" s="90" t="str">
        <f>IF('Input Nilai Ketrampilan'!BC19="","",'Input Nilai Ketrampilan'!BC19)</f>
        <v/>
      </c>
      <c r="AE12" s="90" t="str">
        <f>IF(AD12="","",IF('Input Nilai Ketrampilan'!$AY$1="","",'Input Nilai Ketrampilan'!$AY$1))</f>
        <v/>
      </c>
      <c r="AF12" s="90" t="str">
        <f>IF('Input Nilai Ketrampilan'!BC20="","",'Input Nilai Ketrampilan'!BC20)</f>
        <v/>
      </c>
      <c r="AG12" s="90" t="str">
        <f>IF(AF12="","",IF('Input Nilai Ketrampilan'!$AY$1="","",'Input Nilai Ketrampilan'!$AY$1))</f>
        <v/>
      </c>
      <c r="AH12" s="90" t="str">
        <f>IF('Input Nilai Ketrampilan'!BC21="","",'Input Nilai Ketrampilan'!BC21)</f>
        <v/>
      </c>
      <c r="AI12" s="90" t="str">
        <f>IF(AH12="","",IF('Input Nilai Ketrampilan'!$AY$1="","",'Input Nilai Ketrampilan'!$AY$1))</f>
        <v/>
      </c>
      <c r="AJ12" s="90" t="str">
        <f>IF('Input Nilai Ketrampilan'!BC22="","",'Input Nilai Ketrampilan'!BC22)</f>
        <v/>
      </c>
      <c r="AK12" s="90" t="str">
        <f>IF(AJ12="","",IF('Input Nilai Ketrampilan'!$AY$1="","",'Input Nilai Ketrampilan'!$AY$1))</f>
        <v/>
      </c>
      <c r="AL12" s="90" t="str">
        <f>IF('Input Nilai Ketrampilan'!BC23="","",'Input Nilai Ketrampilan'!BC23)</f>
        <v/>
      </c>
      <c r="AM12" s="90" t="str">
        <f>IF(AL12="","",IF('Input Nilai Ketrampilan'!$AY$1="","",'Input Nilai Ketrampilan'!$AY$1))</f>
        <v/>
      </c>
      <c r="AN12" s="90" t="str">
        <f>IF('Input Nilai Ketrampilan'!BC24="","",'Input Nilai Ketrampilan'!BC24)</f>
        <v/>
      </c>
      <c r="AO12" s="90" t="str">
        <f>IF(AN12="","",IF('Input Nilai Ketrampilan'!$AY$1="","",'Input Nilai Ketrampilan'!$AY$1))</f>
        <v/>
      </c>
      <c r="AP12" s="90" t="str">
        <f>IF('Input Nilai Ketrampilan'!BC25="","",'Input Nilai Ketrampilan'!BC25)</f>
        <v/>
      </c>
      <c r="AQ12" s="90" t="str">
        <f>IF(AP12="","",IF('Input Nilai Ketrampilan'!$AY$1="","",'Input Nilai Ketrampilan'!$AY$1))</f>
        <v/>
      </c>
      <c r="AR12" s="90" t="str">
        <f>IF('Input Nilai Ketrampilan'!BC26="","",'Input Nilai Ketrampilan'!BC26)</f>
        <v/>
      </c>
      <c r="AS12" s="90" t="str">
        <f>IF(AR12="","",IF('Input Nilai Ketrampilan'!$AY$1="","",'Input Nilai Ketrampilan'!$AY$1))</f>
        <v/>
      </c>
      <c r="AT12" s="90" t="str">
        <f>IF('Input Nilai Ketrampilan'!BC27="","",'Input Nilai Ketrampilan'!BC27)</f>
        <v/>
      </c>
      <c r="AU12" s="90" t="str">
        <f>IF(AT12="","",IF('Input Nilai Ketrampilan'!$AY$1="","",'Input Nilai Ketrampilan'!$AY$1))</f>
        <v/>
      </c>
      <c r="AV12" s="90" t="str">
        <f>IF('Input Nilai Ketrampilan'!BC28="","",'Input Nilai Ketrampilan'!BC28)</f>
        <v/>
      </c>
      <c r="AW12" s="90" t="str">
        <f>IF(AV12="","",IF('Input Nilai Ketrampilan'!$AY$1="","",'Input Nilai Ketrampilan'!$AY$1))</f>
        <v/>
      </c>
      <c r="AX12" s="90" t="str">
        <f>IF('Input Nilai Ketrampilan'!BC29="","",'Input Nilai Ketrampilan'!BC29)</f>
        <v/>
      </c>
      <c r="AY12" s="90" t="str">
        <f>IF(AX12="","",IF('Input Nilai Ketrampilan'!$AY$1="","",'Input Nilai Ketrampilan'!$AY$1))</f>
        <v/>
      </c>
      <c r="AZ12" s="90" t="str">
        <f>IF('Input Nilai Ketrampilan'!BC30="","",'Input Nilai Ketrampilan'!BC30)</f>
        <v/>
      </c>
      <c r="BA12" s="90" t="str">
        <f>IF(AZ12="","",IF('Input Nilai Ketrampilan'!$AY$1="","",'Input Nilai Ketrampilan'!$AY$1))</f>
        <v/>
      </c>
      <c r="BB12" s="90" t="str">
        <f>IF('Input Nilai Ketrampilan'!BC31="","",'Input Nilai Ketrampilan'!BC31)</f>
        <v/>
      </c>
      <c r="BC12" s="90" t="str">
        <f>IF(BB12="","",IF('Input Nilai Ketrampilan'!$AY$1="","",'Input Nilai Ketrampilan'!$AY$1))</f>
        <v/>
      </c>
      <c r="BD12" s="90" t="str">
        <f>IF('Input Nilai Ketrampilan'!BC32="","",'Input Nilai Ketrampilan'!BC32)</f>
        <v/>
      </c>
      <c r="BE12" s="90" t="str">
        <f>IF(BD12="","",IF('Input Nilai Ketrampilan'!$AY$1="","",'Input Nilai Ketrampilan'!$AY$1))</f>
        <v/>
      </c>
      <c r="BF12" s="90" t="str">
        <f>IF('Input Nilai Ketrampilan'!BC33="","",'Input Nilai Ketrampilan'!BC33)</f>
        <v/>
      </c>
      <c r="BG12" s="90" t="str">
        <f>IF(BF12="","",IF('Input Nilai Ketrampilan'!$AY$1="","",'Input Nilai Ketrampilan'!$AY$1))</f>
        <v/>
      </c>
      <c r="BH12" s="90" t="str">
        <f>IF('Input Nilai Ketrampilan'!BC34="","",'Input Nilai Ketrampilan'!BC34)</f>
        <v/>
      </c>
      <c r="BI12" s="90" t="str">
        <f>IF(BH12="","",IF('Input Nilai Ketrampilan'!$AY$1="","",'Input Nilai Ketrampilan'!$AY$1))</f>
        <v/>
      </c>
      <c r="BJ12" s="90" t="str">
        <f>IF('Input Nilai Ketrampilan'!BC35="","",'Input Nilai Ketrampilan'!BC35)</f>
        <v/>
      </c>
      <c r="BK12" s="90" t="str">
        <f>IF(BJ12="","",IF('Input Nilai Ketrampilan'!$AY$1="","",'Input Nilai Ketrampilan'!$AY$1))</f>
        <v/>
      </c>
      <c r="BL12" s="90" t="str">
        <f>IF('Input Nilai Ketrampilan'!BC36="","",'Input Nilai Ketrampilan'!BC36)</f>
        <v/>
      </c>
      <c r="BM12" s="90" t="str">
        <f>IF(BL12="","",IF('Input Nilai Ketrampilan'!$AY$1="","",'Input Nilai Ketrampilan'!$AY$1))</f>
        <v/>
      </c>
      <c r="BN12" s="90" t="str">
        <f>IF('Input Nilai Ketrampilan'!BC37="","",'Input Nilai Ketrampilan'!BC37)</f>
        <v/>
      </c>
      <c r="BO12" s="90" t="str">
        <f>IF(BN12="","",IF('Input Nilai Ketrampilan'!$AY$1="","",'Input Nilai Ketrampilan'!$AY$1))</f>
        <v/>
      </c>
      <c r="BP12" s="90" t="str">
        <f>IF('Input Nilai Ketrampilan'!BC38="","",'Input Nilai Ketrampilan'!BC38)</f>
        <v/>
      </c>
      <c r="BQ12" s="90" t="str">
        <f>IF(BP12="","",IF('Input Nilai Ketrampilan'!$AY$1="","",'Input Nilai Ketrampilan'!$AY$1))</f>
        <v/>
      </c>
      <c r="BR12" s="90" t="str">
        <f>IF('Input Nilai Ketrampilan'!BC39="","",'Input Nilai Ketrampilan'!BC39)</f>
        <v/>
      </c>
      <c r="BS12" s="90" t="str">
        <f>IF(BR12="","",IF('Input Nilai Ketrampilan'!$AY$1="","",'Input Nilai Ketrampilan'!$AY$1))</f>
        <v/>
      </c>
      <c r="BT12" s="90" t="str">
        <f>IF('Input Nilai Ketrampilan'!BC40="","",'Input Nilai Ketrampilan'!BC40)</f>
        <v/>
      </c>
      <c r="BU12" s="90" t="str">
        <f>IF(BT12="","",IF('Input Nilai Ketrampilan'!$AY$1="","",'Input Nilai Ketrampilan'!$AY$1))</f>
        <v/>
      </c>
      <c r="BV12" s="90" t="str">
        <f>IF('Input Nilai Ketrampilan'!BC41="","",'Input Nilai Ketrampilan'!BC41)</f>
        <v/>
      </c>
      <c r="BW12" s="90" t="str">
        <f>IF(BV12="","",IF('Input Nilai Ketrampilan'!$AY$1="","",'Input Nilai Ketrampilan'!$AY$1))</f>
        <v/>
      </c>
      <c r="BX12" s="90" t="str">
        <f>IF('Input Nilai Ketrampilan'!BC42="","",'Input Nilai Ketrampilan'!BC42)</f>
        <v/>
      </c>
      <c r="BY12" s="90" t="str">
        <f>IF(BX12="","",IF('Input Nilai Ketrampilan'!$AY$1="","",'Input Nilai Ketrampilan'!$AY$1))</f>
        <v/>
      </c>
      <c r="BZ12" s="90" t="str">
        <f>IF('Input Nilai Ketrampilan'!BC43="","",'Input Nilai Ketrampilan'!BC43)</f>
        <v/>
      </c>
      <c r="CA12" s="90" t="str">
        <f>IF(BZ12="","",IF('Input Nilai Ketrampilan'!$AY$1="","",'Input Nilai Ketrampilan'!$AY$1))</f>
        <v/>
      </c>
      <c r="CB12" s="90" t="str">
        <f>IF('Input Nilai Ketrampilan'!BC44="","",'Input Nilai Ketrampilan'!BC44)</f>
        <v/>
      </c>
      <c r="CC12" s="90" t="str">
        <f>IF(CB12="","",IF('Input Nilai Ketrampilan'!$AY$1="","",'Input Nilai Ketrampilan'!$AY$1))</f>
        <v/>
      </c>
      <c r="CD12" s="90" t="str">
        <f>IF('Input Nilai Ketrampilan'!BC45="","",'Input Nilai Ketrampilan'!BC45)</f>
        <v/>
      </c>
      <c r="CE12" s="90" t="str">
        <f>IF(CD12="","",IF('Input Nilai Ketrampilan'!$AY$1="","",'Input Nilai Ketrampilan'!$AY$1))</f>
        <v/>
      </c>
      <c r="CF12" s="90" t="str">
        <f>IF('Input Nilai Ketrampilan'!BC46="","",'Input Nilai Ketrampilan'!BC46)</f>
        <v/>
      </c>
      <c r="CG12" s="90" t="str">
        <f>IF(CF12="","",IF('Input Nilai Ketrampilan'!$AY$1="","",'Input Nilai Ketrampilan'!$AY$1))</f>
        <v/>
      </c>
      <c r="CH12" s="90" t="str">
        <f>IF('Input Nilai Ketrampilan'!BC47="","",'Input Nilai Ketrampilan'!BC47)</f>
        <v/>
      </c>
      <c r="CI12" s="90" t="str">
        <f>IF(CH12="","",IF('Input Nilai Ketrampilan'!$AY$1="","",'Input Nilai Ketrampilan'!$AY$1))</f>
        <v/>
      </c>
      <c r="CJ12" s="90" t="str">
        <f>IF('Input Nilai Ketrampilan'!BC48="","",'Input Nilai Ketrampilan'!BC48)</f>
        <v/>
      </c>
      <c r="CK12" s="90" t="str">
        <f>IF(CJ12="","",IF('Input Nilai Ketrampilan'!$AY$1="","",'Input Nilai Ketrampilan'!$AY$1))</f>
        <v/>
      </c>
      <c r="CL12" s="90" t="str">
        <f>IF('Input Nilai Ketrampilan'!BC49="","",'Input Nilai Ketrampilan'!BC49)</f>
        <v/>
      </c>
      <c r="CM12" s="90" t="str">
        <f>IF(CL12="","",IF('Input Nilai Ketrampilan'!$AY$1="","",'Input Nilai Ketrampilan'!$AY$1))</f>
        <v/>
      </c>
      <c r="CN12" s="90" t="str">
        <f>IF('Input Nilai Ketrampilan'!BC50="","",'Input Nilai Ketrampilan'!BC50)</f>
        <v/>
      </c>
      <c r="CO12" s="90" t="str">
        <f>IF(CN12="","",IF('Input Nilai Ketrampilan'!$AY$1="","",'Input Nilai Ketrampilan'!$AY$1))</f>
        <v/>
      </c>
      <c r="CP12" s="90" t="str">
        <f>IF('Input Nilai Ketrampilan'!BC51="","",'Input Nilai Ketrampilan'!BC51)</f>
        <v/>
      </c>
      <c r="CQ12" s="90" t="str">
        <f>IF(CP12="","",IF('Input Nilai Ketrampilan'!$AY$1="","",'Input Nilai Ketrampilan'!$AY$1))</f>
        <v/>
      </c>
      <c r="CR12" s="90" t="str">
        <f>IF('Input Nilai Ketrampilan'!BC52="","",'Input Nilai Ketrampilan'!BC52)</f>
        <v/>
      </c>
      <c r="CS12" s="90" t="str">
        <f>IF(CR12="","",IF('Input Nilai Ketrampilan'!$AY$1="","",'Input Nilai Ketrampilan'!$AY$1))</f>
        <v/>
      </c>
    </row>
    <row r="15" spans="1:97">
      <c r="D15" s="42">
        <v>6</v>
      </c>
      <c r="F15" s="42">
        <v>7</v>
      </c>
      <c r="H15" s="42">
        <v>8</v>
      </c>
      <c r="J15" s="42">
        <f>H15+1</f>
        <v>9</v>
      </c>
      <c r="L15" s="42">
        <f>J15+1</f>
        <v>10</v>
      </c>
      <c r="N15" s="42">
        <f>L15+1</f>
        <v>11</v>
      </c>
      <c r="P15" s="42">
        <f>N15+1</f>
        <v>12</v>
      </c>
      <c r="R15" s="42">
        <f>P15+1</f>
        <v>13</v>
      </c>
      <c r="T15" s="42">
        <f>R15+1</f>
        <v>14</v>
      </c>
      <c r="V15" s="42">
        <f>T15+1</f>
        <v>15</v>
      </c>
      <c r="X15" s="42">
        <f>V15+1</f>
        <v>16</v>
      </c>
      <c r="Z15" s="42">
        <f>X15+1</f>
        <v>17</v>
      </c>
      <c r="AB15" s="42">
        <f>Z15+1</f>
        <v>18</v>
      </c>
      <c r="AD15" s="42">
        <f>AB15+1</f>
        <v>19</v>
      </c>
      <c r="AF15" s="42">
        <f>AD15+1</f>
        <v>20</v>
      </c>
      <c r="AH15" s="42">
        <f>AF15+1</f>
        <v>21</v>
      </c>
      <c r="AJ15" s="42">
        <f>AH15+1</f>
        <v>22</v>
      </c>
      <c r="AL15" s="42">
        <f>AJ15+1</f>
        <v>23</v>
      </c>
      <c r="AN15" s="42">
        <f>AL15+1</f>
        <v>24</v>
      </c>
      <c r="AP15" s="42">
        <f>AN15+1</f>
        <v>25</v>
      </c>
      <c r="AR15" s="42">
        <f>AP15+1</f>
        <v>26</v>
      </c>
      <c r="AT15" s="42">
        <f>AR15+1</f>
        <v>27</v>
      </c>
      <c r="AV15" s="42">
        <f>AT15+1</f>
        <v>28</v>
      </c>
      <c r="AX15" s="42">
        <f>AV15+1</f>
        <v>29</v>
      </c>
      <c r="AZ15" s="42">
        <f>AX15+1</f>
        <v>30</v>
      </c>
      <c r="BB15" s="42">
        <f>AZ15+1</f>
        <v>31</v>
      </c>
      <c r="BD15" s="42">
        <f>BB15+1</f>
        <v>32</v>
      </c>
      <c r="BF15" s="42">
        <f>BD15+1</f>
        <v>33</v>
      </c>
      <c r="BH15" s="42">
        <f>BF15+1</f>
        <v>34</v>
      </c>
      <c r="BJ15" s="42">
        <f>BH15+1</f>
        <v>35</v>
      </c>
      <c r="BL15" s="42">
        <f>BJ15+1</f>
        <v>36</v>
      </c>
      <c r="BN15" s="42">
        <f>BL15+1</f>
        <v>37</v>
      </c>
      <c r="BP15" s="42">
        <f>BN15+1</f>
        <v>38</v>
      </c>
      <c r="BR15" s="42">
        <f>BP15+1</f>
        <v>39</v>
      </c>
      <c r="BT15" s="42">
        <f>BR15+1</f>
        <v>40</v>
      </c>
      <c r="BV15" s="42">
        <f>BT15+1</f>
        <v>41</v>
      </c>
      <c r="BX15" s="42">
        <f>BV15+1</f>
        <v>42</v>
      </c>
      <c r="BZ15" s="42">
        <f>BX15+1</f>
        <v>43</v>
      </c>
      <c r="CB15" s="42">
        <f>BZ15+1</f>
        <v>44</v>
      </c>
      <c r="CD15" s="42">
        <f>CB15+1</f>
        <v>45</v>
      </c>
      <c r="CF15" s="42">
        <f>CD15+1</f>
        <v>46</v>
      </c>
      <c r="CH15" s="42">
        <f>CF15+1</f>
        <v>47</v>
      </c>
      <c r="CJ15" s="42">
        <f>CH15+1</f>
        <v>48</v>
      </c>
      <c r="CL15" s="42">
        <f>CJ15+1</f>
        <v>49</v>
      </c>
      <c r="CN15" s="42">
        <f>CL15+1</f>
        <v>50</v>
      </c>
      <c r="CP15" s="42">
        <f>CN15+1</f>
        <v>51</v>
      </c>
      <c r="CR15" s="42">
        <f>CP15+1</f>
        <v>52</v>
      </c>
    </row>
    <row r="16" spans="1:97">
      <c r="A16" s="72">
        <v>1</v>
      </c>
      <c r="B16" s="42" t="s">
        <v>409</v>
      </c>
      <c r="C16" s="42" t="s">
        <v>419</v>
      </c>
      <c r="D16" s="42" t="str">
        <f>$B$16&amp;D15&amp;"="&amp;""&amp;$C$16&amp;D15&amp;")"</f>
        <v>IF('Input Nilai Ketrampilan'!I6="";"";'Input Nilai Ketrampilan'!I6)</v>
      </c>
      <c r="F16" s="42" t="str">
        <f>$B$16&amp;F15&amp;"="&amp;$C$16&amp;F15&amp;")"</f>
        <v>IF('Input Nilai Ketrampilan'!I7="";"";'Input Nilai Ketrampilan'!I7)</v>
      </c>
      <c r="H16" s="42" t="str">
        <f>$B$16&amp;H15&amp;"="&amp;$C$16&amp;H15&amp;")"</f>
        <v>IF('Input Nilai Ketrampilan'!I8="";"";'Input Nilai Ketrampilan'!I8)</v>
      </c>
      <c r="J16" s="42" t="str">
        <f>$B$16&amp;J15&amp;"="&amp;$C$16&amp;J15&amp;")"</f>
        <v>IF('Input Nilai Ketrampilan'!I9="";"";'Input Nilai Ketrampilan'!I9)</v>
      </c>
      <c r="L16" s="42" t="str">
        <f>$B$16&amp;L15&amp;"="&amp;$C$16&amp;L15&amp;")"</f>
        <v>IF('Input Nilai Ketrampilan'!I10="";"";'Input Nilai Ketrampilan'!I10)</v>
      </c>
      <c r="N16" s="42" t="str">
        <f>$B$16&amp;N15&amp;"="&amp;$C$16&amp;N15&amp;")"</f>
        <v>IF('Input Nilai Ketrampilan'!I11="";"";'Input Nilai Ketrampilan'!I11)</v>
      </c>
      <c r="P16" s="42" t="str">
        <f>$B$16&amp;P15&amp;"="&amp;$C$16&amp;P15&amp;")"</f>
        <v>IF('Input Nilai Ketrampilan'!I12="";"";'Input Nilai Ketrampilan'!I12)</v>
      </c>
      <c r="R16" s="42" t="str">
        <f>$B$16&amp;R15&amp;"="&amp;$C$16&amp;R15&amp;")"</f>
        <v>IF('Input Nilai Ketrampilan'!I13="";"";'Input Nilai Ketrampilan'!I13)</v>
      </c>
      <c r="T16" s="42" t="str">
        <f>$B$16&amp;T15&amp;"="&amp;$C$16&amp;T15&amp;")"</f>
        <v>IF('Input Nilai Ketrampilan'!I14="";"";'Input Nilai Ketrampilan'!I14)</v>
      </c>
      <c r="V16" s="42" t="str">
        <f>$B$16&amp;V15&amp;"="&amp;$C$16&amp;V15&amp;")"</f>
        <v>IF('Input Nilai Ketrampilan'!I15="";"";'Input Nilai Ketrampilan'!I15)</v>
      </c>
      <c r="X16" s="42" t="str">
        <f>$B$16&amp;X15&amp;"="&amp;$C$16&amp;X15&amp;")"</f>
        <v>IF('Input Nilai Ketrampilan'!I16="";"";'Input Nilai Ketrampilan'!I16)</v>
      </c>
      <c r="Z16" s="42" t="str">
        <f>$B$16&amp;Z15&amp;"="&amp;$C$16&amp;Z15&amp;")"</f>
        <v>IF('Input Nilai Ketrampilan'!I17="";"";'Input Nilai Ketrampilan'!I17)</v>
      </c>
      <c r="AB16" s="42" t="str">
        <f>$B$16&amp;AB15&amp;"="&amp;$C$16&amp;AB15&amp;")"</f>
        <v>IF('Input Nilai Ketrampilan'!I18="";"";'Input Nilai Ketrampilan'!I18)</v>
      </c>
      <c r="AD16" s="42" t="str">
        <f>$B$16&amp;AD15&amp;"="&amp;$C$16&amp;AD15&amp;")"</f>
        <v>IF('Input Nilai Ketrampilan'!I19="";"";'Input Nilai Ketrampilan'!I19)</v>
      </c>
      <c r="AF16" s="42" t="str">
        <f>$B$16&amp;AF15&amp;"="&amp;$C$16&amp;AF15&amp;")"</f>
        <v>IF('Input Nilai Ketrampilan'!I20="";"";'Input Nilai Ketrampilan'!I20)</v>
      </c>
      <c r="AH16" s="42" t="str">
        <f>$B$16&amp;AH15&amp;"="&amp;$C$16&amp;AH15&amp;")"</f>
        <v>IF('Input Nilai Ketrampilan'!I21="";"";'Input Nilai Ketrampilan'!I21)</v>
      </c>
      <c r="AJ16" s="42" t="str">
        <f>$B$16&amp;AJ15&amp;"="&amp;$C$16&amp;AJ15&amp;")"</f>
        <v>IF('Input Nilai Ketrampilan'!I22="";"";'Input Nilai Ketrampilan'!I22)</v>
      </c>
      <c r="AL16" s="42" t="str">
        <f>$B$16&amp;AL15&amp;"="&amp;$C$16&amp;AL15&amp;")"</f>
        <v>IF('Input Nilai Ketrampilan'!I23="";"";'Input Nilai Ketrampilan'!I23)</v>
      </c>
      <c r="AN16" s="42" t="str">
        <f>$B$16&amp;AN15&amp;"="&amp;$C$16&amp;AN15&amp;")"</f>
        <v>IF('Input Nilai Ketrampilan'!I24="";"";'Input Nilai Ketrampilan'!I24)</v>
      </c>
      <c r="AP16" s="42" t="str">
        <f>$B$16&amp;AP15&amp;"="&amp;$C$16&amp;AP15&amp;")"</f>
        <v>IF('Input Nilai Ketrampilan'!I25="";"";'Input Nilai Ketrampilan'!I25)</v>
      </c>
      <c r="AR16" s="42" t="str">
        <f>$B$16&amp;AR15&amp;"="&amp;$C$16&amp;AR15&amp;")"</f>
        <v>IF('Input Nilai Ketrampilan'!I26="";"";'Input Nilai Ketrampilan'!I26)</v>
      </c>
      <c r="AT16" s="42" t="str">
        <f>$B$16&amp;AT15&amp;"="&amp;$C$16&amp;AT15&amp;")"</f>
        <v>IF('Input Nilai Ketrampilan'!I27="";"";'Input Nilai Ketrampilan'!I27)</v>
      </c>
      <c r="AV16" s="42" t="str">
        <f>$B$16&amp;AV15&amp;"="&amp;$C$16&amp;AV15&amp;")"</f>
        <v>IF('Input Nilai Ketrampilan'!I28="";"";'Input Nilai Ketrampilan'!I28)</v>
      </c>
      <c r="AX16" s="42" t="str">
        <f>$B$16&amp;AX15&amp;"="&amp;$C$16&amp;AX15&amp;")"</f>
        <v>IF('Input Nilai Ketrampilan'!I29="";"";'Input Nilai Ketrampilan'!I29)</v>
      </c>
      <c r="AZ16" s="42" t="str">
        <f>$B$16&amp;AZ15&amp;"="&amp;$C$16&amp;AZ15&amp;")"</f>
        <v>IF('Input Nilai Ketrampilan'!I30="";"";'Input Nilai Ketrampilan'!I30)</v>
      </c>
      <c r="BB16" s="42" t="str">
        <f>$B$16&amp;BB15&amp;"="&amp;$C$16&amp;BB15&amp;")"</f>
        <v>IF('Input Nilai Ketrampilan'!I31="";"";'Input Nilai Ketrampilan'!I31)</v>
      </c>
      <c r="BD16" s="42" t="str">
        <f>$B$16&amp;BD15&amp;"="&amp;$C$16&amp;BD15&amp;")"</f>
        <v>IF('Input Nilai Ketrampilan'!I32="";"";'Input Nilai Ketrampilan'!I32)</v>
      </c>
      <c r="BF16" s="42" t="str">
        <f>$B$16&amp;BF15&amp;"="&amp;$C$16&amp;BF15&amp;")"</f>
        <v>IF('Input Nilai Ketrampilan'!I33="";"";'Input Nilai Ketrampilan'!I33)</v>
      </c>
      <c r="BH16" s="42" t="str">
        <f>$B$16&amp;BH15&amp;"="&amp;$C$16&amp;BH15&amp;")"</f>
        <v>IF('Input Nilai Ketrampilan'!I34="";"";'Input Nilai Ketrampilan'!I34)</v>
      </c>
      <c r="BJ16" s="42" t="str">
        <f>$B$16&amp;BJ15&amp;"="&amp;$C$16&amp;BJ15&amp;")"</f>
        <v>IF('Input Nilai Ketrampilan'!I35="";"";'Input Nilai Ketrampilan'!I35)</v>
      </c>
      <c r="BL16" s="42" t="str">
        <f>$B$16&amp;BL15&amp;"="&amp;$C$16&amp;BL15&amp;")"</f>
        <v>IF('Input Nilai Ketrampilan'!I36="";"";'Input Nilai Ketrampilan'!I36)</v>
      </c>
      <c r="BN16" s="42" t="str">
        <f>$B$16&amp;BN15&amp;"="&amp;$C$16&amp;BN15&amp;")"</f>
        <v>IF('Input Nilai Ketrampilan'!I37="";"";'Input Nilai Ketrampilan'!I37)</v>
      </c>
      <c r="BP16" s="42" t="str">
        <f>$B$16&amp;BP15&amp;"="&amp;$C$16&amp;BP15&amp;")"</f>
        <v>IF('Input Nilai Ketrampilan'!I38="";"";'Input Nilai Ketrampilan'!I38)</v>
      </c>
      <c r="BR16" s="42" t="str">
        <f>$B$16&amp;BR15&amp;"="&amp;$C$16&amp;BR15&amp;")"</f>
        <v>IF('Input Nilai Ketrampilan'!I39="";"";'Input Nilai Ketrampilan'!I39)</v>
      </c>
      <c r="BT16" s="42" t="str">
        <f>$B$16&amp;BT15&amp;"="&amp;$C$16&amp;BT15&amp;")"</f>
        <v>IF('Input Nilai Ketrampilan'!I40="";"";'Input Nilai Ketrampilan'!I40)</v>
      </c>
      <c r="BV16" s="42" t="str">
        <f>$B$16&amp;BV15&amp;"="&amp;$C$16&amp;BV15&amp;")"</f>
        <v>IF('Input Nilai Ketrampilan'!I41="";"";'Input Nilai Ketrampilan'!I41)</v>
      </c>
      <c r="BX16" s="42" t="str">
        <f>$B$16&amp;BX15&amp;"="&amp;$C$16&amp;BX15&amp;")"</f>
        <v>IF('Input Nilai Ketrampilan'!I42="";"";'Input Nilai Ketrampilan'!I42)</v>
      </c>
      <c r="BZ16" s="42" t="str">
        <f>$B$16&amp;BZ15&amp;"="&amp;$C$16&amp;BZ15&amp;")"</f>
        <v>IF('Input Nilai Ketrampilan'!I43="";"";'Input Nilai Ketrampilan'!I43)</v>
      </c>
      <c r="CB16" s="42" t="str">
        <f>$B$16&amp;CB15&amp;"="&amp;$C$16&amp;CB15&amp;")"</f>
        <v>IF('Input Nilai Ketrampilan'!I44="";"";'Input Nilai Ketrampilan'!I44)</v>
      </c>
      <c r="CD16" s="42" t="str">
        <f>$B$16&amp;CD15&amp;"="&amp;$C$16&amp;CD15&amp;")"</f>
        <v>IF('Input Nilai Ketrampilan'!I45="";"";'Input Nilai Ketrampilan'!I45)</v>
      </c>
      <c r="CF16" s="42" t="str">
        <f>$B$16&amp;CF15&amp;"="&amp;$C$16&amp;CF15&amp;")"</f>
        <v>IF('Input Nilai Ketrampilan'!I46="";"";'Input Nilai Ketrampilan'!I46)</v>
      </c>
      <c r="CH16" s="42" t="str">
        <f>$B$16&amp;CH15&amp;"="&amp;$C$16&amp;CH15&amp;")"</f>
        <v>IF('Input Nilai Ketrampilan'!I47="";"";'Input Nilai Ketrampilan'!I47)</v>
      </c>
      <c r="CJ16" s="42" t="str">
        <f>$B$16&amp;CJ15&amp;"="&amp;$C$16&amp;CJ15&amp;")"</f>
        <v>IF('Input Nilai Ketrampilan'!I48="";"";'Input Nilai Ketrampilan'!I48)</v>
      </c>
      <c r="CL16" s="42" t="str">
        <f>$B$16&amp;CL15&amp;"="&amp;$C$16&amp;CL15&amp;")"</f>
        <v>IF('Input Nilai Ketrampilan'!I49="";"";'Input Nilai Ketrampilan'!I49)</v>
      </c>
      <c r="CN16" s="42" t="str">
        <f>$B$16&amp;CN15&amp;"="&amp;$C$16&amp;CN15&amp;")"</f>
        <v>IF('Input Nilai Ketrampilan'!I50="";"";'Input Nilai Ketrampilan'!I50)</v>
      </c>
      <c r="CP16" s="42" t="str">
        <f>$B$16&amp;CP15&amp;"="&amp;$C$16&amp;CP15&amp;")"</f>
        <v>IF('Input Nilai Ketrampilan'!I51="";"";'Input Nilai Ketrampilan'!I51)</v>
      </c>
      <c r="CR16" s="42" t="str">
        <f>$B$16&amp;CR15&amp;"="&amp;$C$16&amp;CR15&amp;")"</f>
        <v>IF('Input Nilai Ketrampilan'!I52="";"";'Input Nilai Ketrampilan'!I52)</v>
      </c>
    </row>
    <row r="17" spans="1:96">
      <c r="A17" s="72">
        <v>2</v>
      </c>
      <c r="B17" s="42" t="s">
        <v>410</v>
      </c>
      <c r="C17" s="42" t="s">
        <v>420</v>
      </c>
      <c r="D17" s="42" t="str">
        <f>$B$17&amp;D15&amp;"="&amp;$C$17&amp;D15&amp;")"</f>
        <v>IF('Input Nilai Ketrampilan'!M6="";"";'Input Nilai Ketrampilan'!M6)</v>
      </c>
      <c r="F17" s="42" t="str">
        <f>$B$17&amp;F15&amp;"="&amp;$C$17&amp;F15&amp;")"</f>
        <v>IF('Input Nilai Ketrampilan'!M7="";"";'Input Nilai Ketrampilan'!M7)</v>
      </c>
      <c r="H17" s="42" t="str">
        <f>$B$17&amp;H15&amp;"="&amp;$C$17&amp;H15&amp;")"</f>
        <v>IF('Input Nilai Ketrampilan'!M8="";"";'Input Nilai Ketrampilan'!M8)</v>
      </c>
      <c r="J17" s="42" t="str">
        <f>$B$17&amp;J15&amp;"="&amp;$C$17&amp;J15&amp;")"</f>
        <v>IF('Input Nilai Ketrampilan'!M9="";"";'Input Nilai Ketrampilan'!M9)</v>
      </c>
      <c r="L17" s="42" t="str">
        <f>$B$17&amp;L15&amp;"="&amp;$C$17&amp;L15&amp;")"</f>
        <v>IF('Input Nilai Ketrampilan'!M10="";"";'Input Nilai Ketrampilan'!M10)</v>
      </c>
      <c r="N17" s="42" t="str">
        <f>$B$17&amp;N15&amp;"="&amp;$C$17&amp;N15&amp;")"</f>
        <v>IF('Input Nilai Ketrampilan'!M11="";"";'Input Nilai Ketrampilan'!M11)</v>
      </c>
      <c r="P17" s="42" t="str">
        <f>$B$17&amp;P15&amp;"="&amp;$C$17&amp;P15&amp;")"</f>
        <v>IF('Input Nilai Ketrampilan'!M12="";"";'Input Nilai Ketrampilan'!M12)</v>
      </c>
      <c r="R17" s="42" t="str">
        <f>$B$17&amp;R15&amp;"="&amp;$C$17&amp;R15&amp;")"</f>
        <v>IF('Input Nilai Ketrampilan'!M13="";"";'Input Nilai Ketrampilan'!M13)</v>
      </c>
      <c r="T17" s="42" t="str">
        <f>$B$17&amp;T15&amp;"="&amp;$C$17&amp;T15&amp;")"</f>
        <v>IF('Input Nilai Ketrampilan'!M14="";"";'Input Nilai Ketrampilan'!M14)</v>
      </c>
      <c r="V17" s="42" t="str">
        <f>$B$17&amp;V15&amp;"="&amp;$C$17&amp;V15&amp;")"</f>
        <v>IF('Input Nilai Ketrampilan'!M15="";"";'Input Nilai Ketrampilan'!M15)</v>
      </c>
      <c r="X17" s="42" t="str">
        <f>$B$17&amp;X15&amp;"="&amp;$C$17&amp;X15&amp;")"</f>
        <v>IF('Input Nilai Ketrampilan'!M16="";"";'Input Nilai Ketrampilan'!M16)</v>
      </c>
      <c r="Z17" s="42" t="str">
        <f>$B$17&amp;Z15&amp;"="&amp;$C$17&amp;Z15&amp;")"</f>
        <v>IF('Input Nilai Ketrampilan'!M17="";"";'Input Nilai Ketrampilan'!M17)</v>
      </c>
      <c r="AB17" s="42" t="str">
        <f>$B$17&amp;AB15&amp;"="&amp;$C$17&amp;AB15&amp;")"</f>
        <v>IF('Input Nilai Ketrampilan'!M18="";"";'Input Nilai Ketrampilan'!M18)</v>
      </c>
      <c r="AD17" s="42" t="str">
        <f>$B$17&amp;AD15&amp;"="&amp;$C$17&amp;AD15&amp;")"</f>
        <v>IF('Input Nilai Ketrampilan'!M19="";"";'Input Nilai Ketrampilan'!M19)</v>
      </c>
      <c r="AF17" s="42" t="str">
        <f>$B$17&amp;AF15&amp;"="&amp;$C$17&amp;AF15&amp;")"</f>
        <v>IF('Input Nilai Ketrampilan'!M20="";"";'Input Nilai Ketrampilan'!M20)</v>
      </c>
      <c r="AH17" s="42" t="str">
        <f>$B$17&amp;AH15&amp;"="&amp;$C$17&amp;AH15&amp;")"</f>
        <v>IF('Input Nilai Ketrampilan'!M21="";"";'Input Nilai Ketrampilan'!M21)</v>
      </c>
      <c r="AJ17" s="42" t="str">
        <f>$B$17&amp;AJ15&amp;"="&amp;$C$17&amp;AJ15&amp;")"</f>
        <v>IF('Input Nilai Ketrampilan'!M22="";"";'Input Nilai Ketrampilan'!M22)</v>
      </c>
      <c r="AL17" s="42" t="str">
        <f>$B$17&amp;AL15&amp;"="&amp;$C$17&amp;AL15&amp;")"</f>
        <v>IF('Input Nilai Ketrampilan'!M23="";"";'Input Nilai Ketrampilan'!M23)</v>
      </c>
      <c r="AN17" s="42" t="str">
        <f>$B$17&amp;AN15&amp;"="&amp;$C$17&amp;AN15&amp;")"</f>
        <v>IF('Input Nilai Ketrampilan'!M24="";"";'Input Nilai Ketrampilan'!M24)</v>
      </c>
      <c r="AP17" s="42" t="str">
        <f>$B$17&amp;AP15&amp;"="&amp;$C$17&amp;AP15&amp;")"</f>
        <v>IF('Input Nilai Ketrampilan'!M25="";"";'Input Nilai Ketrampilan'!M25)</v>
      </c>
      <c r="AR17" s="42" t="str">
        <f>$B$17&amp;AR15&amp;"="&amp;$C$17&amp;AR15&amp;")"</f>
        <v>IF('Input Nilai Ketrampilan'!M26="";"";'Input Nilai Ketrampilan'!M26)</v>
      </c>
      <c r="AT17" s="42" t="str">
        <f>$B$17&amp;AT15&amp;"="&amp;$C$17&amp;AT15&amp;")"</f>
        <v>IF('Input Nilai Ketrampilan'!M27="";"";'Input Nilai Ketrampilan'!M27)</v>
      </c>
      <c r="AV17" s="42" t="str">
        <f>$B$17&amp;AV15&amp;"="&amp;$C$17&amp;AV15&amp;")"</f>
        <v>IF('Input Nilai Ketrampilan'!M28="";"";'Input Nilai Ketrampilan'!M28)</v>
      </c>
      <c r="AX17" s="42" t="str">
        <f>$B$17&amp;AX15&amp;"="&amp;$C$17&amp;AX15&amp;")"</f>
        <v>IF('Input Nilai Ketrampilan'!M29="";"";'Input Nilai Ketrampilan'!M29)</v>
      </c>
      <c r="AZ17" s="42" t="str">
        <f>$B$17&amp;AZ15&amp;"="&amp;$C$17&amp;AZ15&amp;")"</f>
        <v>IF('Input Nilai Ketrampilan'!M30="";"";'Input Nilai Ketrampilan'!M30)</v>
      </c>
      <c r="BB17" s="42" t="str">
        <f>$B$17&amp;BB15&amp;"="&amp;$C$17&amp;BB15&amp;")"</f>
        <v>IF('Input Nilai Ketrampilan'!M31="";"";'Input Nilai Ketrampilan'!M31)</v>
      </c>
      <c r="BD17" s="42" t="str">
        <f>$B$17&amp;BD15&amp;"="&amp;$C$17&amp;BD15&amp;")"</f>
        <v>IF('Input Nilai Ketrampilan'!M32="";"";'Input Nilai Ketrampilan'!M32)</v>
      </c>
      <c r="BF17" s="42" t="str">
        <f>$B$17&amp;BF15&amp;"="&amp;$C$17&amp;BF15&amp;")"</f>
        <v>IF('Input Nilai Ketrampilan'!M33="";"";'Input Nilai Ketrampilan'!M33)</v>
      </c>
      <c r="BH17" s="42" t="str">
        <f>$B$17&amp;BH15&amp;"="&amp;$C$17&amp;BH15&amp;")"</f>
        <v>IF('Input Nilai Ketrampilan'!M34="";"";'Input Nilai Ketrampilan'!M34)</v>
      </c>
      <c r="BJ17" s="42" t="str">
        <f>$B$17&amp;BJ15&amp;"="&amp;$C$17&amp;BJ15&amp;")"</f>
        <v>IF('Input Nilai Ketrampilan'!M35="";"";'Input Nilai Ketrampilan'!M35)</v>
      </c>
      <c r="BL17" s="42" t="str">
        <f>$B$17&amp;BL15&amp;"="&amp;$C$17&amp;BL15&amp;")"</f>
        <v>IF('Input Nilai Ketrampilan'!M36="";"";'Input Nilai Ketrampilan'!M36)</v>
      </c>
      <c r="BN17" s="42" t="str">
        <f>$B$17&amp;BN15&amp;"="&amp;$C$17&amp;BN15&amp;")"</f>
        <v>IF('Input Nilai Ketrampilan'!M37="";"";'Input Nilai Ketrampilan'!M37)</v>
      </c>
      <c r="BP17" s="42" t="str">
        <f>$B$17&amp;BP15&amp;"="&amp;$C$17&amp;BP15&amp;")"</f>
        <v>IF('Input Nilai Ketrampilan'!M38="";"";'Input Nilai Ketrampilan'!M38)</v>
      </c>
      <c r="BR17" s="42" t="str">
        <f>$B$17&amp;BR15&amp;"="&amp;$C$17&amp;BR15&amp;")"</f>
        <v>IF('Input Nilai Ketrampilan'!M39="";"";'Input Nilai Ketrampilan'!M39)</v>
      </c>
      <c r="BT17" s="42" t="str">
        <f>$B$17&amp;BT15&amp;"="&amp;$C$17&amp;BT15&amp;")"</f>
        <v>IF('Input Nilai Ketrampilan'!M40="";"";'Input Nilai Ketrampilan'!M40)</v>
      </c>
      <c r="BV17" s="42" t="str">
        <f>$B$17&amp;BV15&amp;"="&amp;$C$17&amp;BV15&amp;")"</f>
        <v>IF('Input Nilai Ketrampilan'!M41="";"";'Input Nilai Ketrampilan'!M41)</v>
      </c>
      <c r="BX17" s="42" t="str">
        <f>$B$17&amp;BX15&amp;"="&amp;$C$17&amp;BX15&amp;")"</f>
        <v>IF('Input Nilai Ketrampilan'!M42="";"";'Input Nilai Ketrampilan'!M42)</v>
      </c>
      <c r="BZ17" s="42" t="str">
        <f>$B$17&amp;BZ15&amp;"="&amp;$C$17&amp;BZ15&amp;")"</f>
        <v>IF('Input Nilai Ketrampilan'!M43="";"";'Input Nilai Ketrampilan'!M43)</v>
      </c>
      <c r="CB17" s="42" t="str">
        <f>$B$17&amp;CB15&amp;"="&amp;$C$17&amp;CB15&amp;")"</f>
        <v>IF('Input Nilai Ketrampilan'!M44="";"";'Input Nilai Ketrampilan'!M44)</v>
      </c>
      <c r="CD17" s="42" t="str">
        <f>$B$17&amp;CD15&amp;"="&amp;$C$17&amp;CD15&amp;")"</f>
        <v>IF('Input Nilai Ketrampilan'!M45="";"";'Input Nilai Ketrampilan'!M45)</v>
      </c>
      <c r="CF17" s="42" t="str">
        <f>$B$17&amp;CF15&amp;"="&amp;$C$17&amp;CF15&amp;")"</f>
        <v>IF('Input Nilai Ketrampilan'!M46="";"";'Input Nilai Ketrampilan'!M46)</v>
      </c>
      <c r="CH17" s="42" t="str">
        <f>$B$17&amp;CH15&amp;"="&amp;$C$17&amp;CH15&amp;")"</f>
        <v>IF('Input Nilai Ketrampilan'!M47="";"";'Input Nilai Ketrampilan'!M47)</v>
      </c>
      <c r="CJ17" s="42" t="str">
        <f>$B$17&amp;CJ15&amp;"="&amp;$C$17&amp;CJ15&amp;")"</f>
        <v>IF('Input Nilai Ketrampilan'!M48="";"";'Input Nilai Ketrampilan'!M48)</v>
      </c>
      <c r="CL17" s="42" t="str">
        <f>$B$17&amp;CL15&amp;"="&amp;$C$17&amp;CL15&amp;")"</f>
        <v>IF('Input Nilai Ketrampilan'!M49="";"";'Input Nilai Ketrampilan'!M49)</v>
      </c>
      <c r="CN17" s="42" t="str">
        <f>$B$17&amp;CN15&amp;"="&amp;$C$17&amp;CN15&amp;")"</f>
        <v>IF('Input Nilai Ketrampilan'!M50="";"";'Input Nilai Ketrampilan'!M50)</v>
      </c>
      <c r="CP17" s="42" t="str">
        <f>$B$17&amp;CP15&amp;"="&amp;$C$17&amp;CP15&amp;")"</f>
        <v>IF('Input Nilai Ketrampilan'!M51="";"";'Input Nilai Ketrampilan'!M51)</v>
      </c>
      <c r="CR17" s="42" t="str">
        <f>$B$17&amp;CR15&amp;"="&amp;$C$17&amp;CR15&amp;")"</f>
        <v>IF('Input Nilai Ketrampilan'!M52="";"";'Input Nilai Ketrampilan'!M52)</v>
      </c>
    </row>
    <row r="18" spans="1:96">
      <c r="A18" s="72">
        <v>3</v>
      </c>
      <c r="B18" s="42" t="s">
        <v>411</v>
      </c>
      <c r="C18" s="42" t="s">
        <v>421</v>
      </c>
      <c r="D18" s="42" t="str">
        <f>$B$18&amp;D15&amp;"="&amp;$C$18&amp;D15&amp;")"</f>
        <v>IF('Input Nilai Ketrampilan'!Q6="";"";'Input Nilai Ketrampilan'!Q6)</v>
      </c>
      <c r="F18" s="42" t="str">
        <f>$B$18&amp;F15&amp;"="&amp;$C$18&amp;F15&amp;")"</f>
        <v>IF('Input Nilai Ketrampilan'!Q7="";"";'Input Nilai Ketrampilan'!Q7)</v>
      </c>
      <c r="H18" s="42" t="str">
        <f>$B$18&amp;H15&amp;"="&amp;$C$18&amp;H15&amp;")"</f>
        <v>IF('Input Nilai Ketrampilan'!Q8="";"";'Input Nilai Ketrampilan'!Q8)</v>
      </c>
      <c r="J18" s="42" t="str">
        <f>$B$18&amp;J15&amp;"="&amp;$C$18&amp;J15&amp;")"</f>
        <v>IF('Input Nilai Ketrampilan'!Q9="";"";'Input Nilai Ketrampilan'!Q9)</v>
      </c>
      <c r="L18" s="42" t="str">
        <f>$B$18&amp;L15&amp;"="&amp;$C$18&amp;L15&amp;")"</f>
        <v>IF('Input Nilai Ketrampilan'!Q10="";"";'Input Nilai Ketrampilan'!Q10)</v>
      </c>
      <c r="N18" s="42" t="str">
        <f>$B$18&amp;N15&amp;"="&amp;$C$18&amp;N15&amp;")"</f>
        <v>IF('Input Nilai Ketrampilan'!Q11="";"";'Input Nilai Ketrampilan'!Q11)</v>
      </c>
      <c r="P18" s="42" t="str">
        <f>$B$18&amp;P15&amp;"="&amp;$C$18&amp;P15&amp;")"</f>
        <v>IF('Input Nilai Ketrampilan'!Q12="";"";'Input Nilai Ketrampilan'!Q12)</v>
      </c>
      <c r="R18" s="42" t="str">
        <f>$B$18&amp;R15&amp;"="&amp;$C$18&amp;R15&amp;")"</f>
        <v>IF('Input Nilai Ketrampilan'!Q13="";"";'Input Nilai Ketrampilan'!Q13)</v>
      </c>
      <c r="T18" s="42" t="str">
        <f>$B$18&amp;T15&amp;"="&amp;$C$18&amp;T15&amp;")"</f>
        <v>IF('Input Nilai Ketrampilan'!Q14="";"";'Input Nilai Ketrampilan'!Q14)</v>
      </c>
      <c r="V18" s="42" t="str">
        <f>$B$18&amp;V15&amp;"="&amp;$C$18&amp;V15&amp;")"</f>
        <v>IF('Input Nilai Ketrampilan'!Q15="";"";'Input Nilai Ketrampilan'!Q15)</v>
      </c>
      <c r="X18" s="42" t="str">
        <f>$B$18&amp;X15&amp;"="&amp;$C$18&amp;X15&amp;")"</f>
        <v>IF('Input Nilai Ketrampilan'!Q16="";"";'Input Nilai Ketrampilan'!Q16)</v>
      </c>
      <c r="Z18" s="42" t="str">
        <f>$B$18&amp;Z15&amp;"="&amp;$C$18&amp;Z15&amp;")"</f>
        <v>IF('Input Nilai Ketrampilan'!Q17="";"";'Input Nilai Ketrampilan'!Q17)</v>
      </c>
      <c r="AB18" s="42" t="str">
        <f>$B$18&amp;AB15&amp;"="&amp;$C$18&amp;AB15&amp;")"</f>
        <v>IF('Input Nilai Ketrampilan'!Q18="";"";'Input Nilai Ketrampilan'!Q18)</v>
      </c>
      <c r="AD18" s="42" t="str">
        <f>$B$18&amp;AD15&amp;"="&amp;$C$18&amp;AD15&amp;")"</f>
        <v>IF('Input Nilai Ketrampilan'!Q19="";"";'Input Nilai Ketrampilan'!Q19)</v>
      </c>
      <c r="AF18" s="42" t="str">
        <f>$B$18&amp;AF15&amp;"="&amp;$C$18&amp;AF15&amp;")"</f>
        <v>IF('Input Nilai Ketrampilan'!Q20="";"";'Input Nilai Ketrampilan'!Q20)</v>
      </c>
      <c r="AH18" s="42" t="str">
        <f>$B$18&amp;AH15&amp;"="&amp;$C$18&amp;AH15&amp;")"</f>
        <v>IF('Input Nilai Ketrampilan'!Q21="";"";'Input Nilai Ketrampilan'!Q21)</v>
      </c>
      <c r="AJ18" s="42" t="str">
        <f>$B$18&amp;AJ15&amp;"="&amp;$C$18&amp;AJ15&amp;")"</f>
        <v>IF('Input Nilai Ketrampilan'!Q22="";"";'Input Nilai Ketrampilan'!Q22)</v>
      </c>
      <c r="AL18" s="42" t="str">
        <f>$B$18&amp;AL15&amp;"="&amp;$C$18&amp;AL15&amp;")"</f>
        <v>IF('Input Nilai Ketrampilan'!Q23="";"";'Input Nilai Ketrampilan'!Q23)</v>
      </c>
      <c r="AN18" s="42" t="str">
        <f>$B$18&amp;AN15&amp;"="&amp;$C$18&amp;AN15&amp;")"</f>
        <v>IF('Input Nilai Ketrampilan'!Q24="";"";'Input Nilai Ketrampilan'!Q24)</v>
      </c>
      <c r="AP18" s="42" t="str">
        <f>$B$18&amp;AP15&amp;"="&amp;$C$18&amp;AP15&amp;")"</f>
        <v>IF('Input Nilai Ketrampilan'!Q25="";"";'Input Nilai Ketrampilan'!Q25)</v>
      </c>
      <c r="AR18" s="42" t="str">
        <f>$B$18&amp;AR15&amp;"="&amp;$C$18&amp;AR15&amp;")"</f>
        <v>IF('Input Nilai Ketrampilan'!Q26="";"";'Input Nilai Ketrampilan'!Q26)</v>
      </c>
      <c r="AT18" s="42" t="str">
        <f>$B$18&amp;AT15&amp;"="&amp;$C$18&amp;AT15&amp;")"</f>
        <v>IF('Input Nilai Ketrampilan'!Q27="";"";'Input Nilai Ketrampilan'!Q27)</v>
      </c>
      <c r="AV18" s="42" t="str">
        <f>$B$18&amp;AV15&amp;"="&amp;$C$18&amp;AV15&amp;")"</f>
        <v>IF('Input Nilai Ketrampilan'!Q28="";"";'Input Nilai Ketrampilan'!Q28)</v>
      </c>
      <c r="AX18" s="42" t="str">
        <f>$B$18&amp;AX15&amp;"="&amp;$C$18&amp;AX15&amp;")"</f>
        <v>IF('Input Nilai Ketrampilan'!Q29="";"";'Input Nilai Ketrampilan'!Q29)</v>
      </c>
      <c r="AZ18" s="42" t="str">
        <f>$B$18&amp;AZ15&amp;"="&amp;$C$18&amp;AZ15&amp;")"</f>
        <v>IF('Input Nilai Ketrampilan'!Q30="";"";'Input Nilai Ketrampilan'!Q30)</v>
      </c>
      <c r="BB18" s="42" t="str">
        <f>$B$18&amp;BB15&amp;"="&amp;$C$18&amp;BB15&amp;")"</f>
        <v>IF('Input Nilai Ketrampilan'!Q31="";"";'Input Nilai Ketrampilan'!Q31)</v>
      </c>
      <c r="BD18" s="42" t="str">
        <f>$B$18&amp;BD15&amp;"="&amp;$C$18&amp;BD15&amp;")"</f>
        <v>IF('Input Nilai Ketrampilan'!Q32="";"";'Input Nilai Ketrampilan'!Q32)</v>
      </c>
      <c r="BF18" s="42" t="str">
        <f>$B$18&amp;BF15&amp;"="&amp;$C$18&amp;BF15&amp;")"</f>
        <v>IF('Input Nilai Ketrampilan'!Q33="";"";'Input Nilai Ketrampilan'!Q33)</v>
      </c>
      <c r="BH18" s="42" t="str">
        <f>$B$18&amp;BH15&amp;"="&amp;$C$18&amp;BH15&amp;")"</f>
        <v>IF('Input Nilai Ketrampilan'!Q34="";"";'Input Nilai Ketrampilan'!Q34)</v>
      </c>
      <c r="BJ18" s="42" t="str">
        <f>$B$18&amp;BJ15&amp;"="&amp;$C$18&amp;BJ15&amp;")"</f>
        <v>IF('Input Nilai Ketrampilan'!Q35="";"";'Input Nilai Ketrampilan'!Q35)</v>
      </c>
      <c r="BL18" s="42" t="str">
        <f>$B$18&amp;BL15&amp;"="&amp;$C$18&amp;BL15&amp;")"</f>
        <v>IF('Input Nilai Ketrampilan'!Q36="";"";'Input Nilai Ketrampilan'!Q36)</v>
      </c>
      <c r="BN18" s="42" t="str">
        <f>$B$18&amp;BN15&amp;"="&amp;$C$18&amp;BN15&amp;")"</f>
        <v>IF('Input Nilai Ketrampilan'!Q37="";"";'Input Nilai Ketrampilan'!Q37)</v>
      </c>
      <c r="BP18" s="42" t="str">
        <f>$B$18&amp;BP15&amp;"="&amp;$C$18&amp;BP15&amp;")"</f>
        <v>IF('Input Nilai Ketrampilan'!Q38="";"";'Input Nilai Ketrampilan'!Q38)</v>
      </c>
      <c r="BR18" s="42" t="str">
        <f>$B$18&amp;BR15&amp;"="&amp;$C$18&amp;BR15&amp;")"</f>
        <v>IF('Input Nilai Ketrampilan'!Q39="";"";'Input Nilai Ketrampilan'!Q39)</v>
      </c>
      <c r="BT18" s="42" t="str">
        <f>$B$18&amp;BT15&amp;"="&amp;$C$18&amp;BT15&amp;")"</f>
        <v>IF('Input Nilai Ketrampilan'!Q40="";"";'Input Nilai Ketrampilan'!Q40)</v>
      </c>
      <c r="BV18" s="42" t="str">
        <f>$B$18&amp;BV15&amp;"="&amp;$C$18&amp;BV15&amp;")"</f>
        <v>IF('Input Nilai Ketrampilan'!Q41="";"";'Input Nilai Ketrampilan'!Q41)</v>
      </c>
      <c r="BX18" s="42" t="str">
        <f>$B$18&amp;BX15&amp;"="&amp;$C$18&amp;BX15&amp;")"</f>
        <v>IF('Input Nilai Ketrampilan'!Q42="";"";'Input Nilai Ketrampilan'!Q42)</v>
      </c>
      <c r="BZ18" s="42" t="str">
        <f>$B$18&amp;BZ15&amp;"="&amp;$C$18&amp;BZ15&amp;")"</f>
        <v>IF('Input Nilai Ketrampilan'!Q43="";"";'Input Nilai Ketrampilan'!Q43)</v>
      </c>
      <c r="CB18" s="42" t="str">
        <f>$B$18&amp;CB15&amp;"="&amp;$C$18&amp;CB15&amp;")"</f>
        <v>IF('Input Nilai Ketrampilan'!Q44="";"";'Input Nilai Ketrampilan'!Q44)</v>
      </c>
      <c r="CD18" s="42" t="str">
        <f>$B$18&amp;CD15&amp;"="&amp;$C$18&amp;CD15&amp;")"</f>
        <v>IF('Input Nilai Ketrampilan'!Q45="";"";'Input Nilai Ketrampilan'!Q45)</v>
      </c>
      <c r="CF18" s="42" t="str">
        <f>$B$18&amp;CF15&amp;"="&amp;$C$18&amp;CF15&amp;")"</f>
        <v>IF('Input Nilai Ketrampilan'!Q46="";"";'Input Nilai Ketrampilan'!Q46)</v>
      </c>
      <c r="CH18" s="42" t="str">
        <f>$B$18&amp;CH15&amp;"="&amp;$C$18&amp;CH15&amp;")"</f>
        <v>IF('Input Nilai Ketrampilan'!Q47="";"";'Input Nilai Ketrampilan'!Q47)</v>
      </c>
      <c r="CJ18" s="42" t="str">
        <f>$B$18&amp;CJ15&amp;"="&amp;$C$18&amp;CJ15&amp;")"</f>
        <v>IF('Input Nilai Ketrampilan'!Q48="";"";'Input Nilai Ketrampilan'!Q48)</v>
      </c>
      <c r="CL18" s="42" t="str">
        <f>$B$18&amp;CL15&amp;"="&amp;$C$18&amp;CL15&amp;")"</f>
        <v>IF('Input Nilai Ketrampilan'!Q49="";"";'Input Nilai Ketrampilan'!Q49)</v>
      </c>
      <c r="CN18" s="42" t="str">
        <f>$B$18&amp;CN15&amp;"="&amp;$C$18&amp;CN15&amp;")"</f>
        <v>IF('Input Nilai Ketrampilan'!Q50="";"";'Input Nilai Ketrampilan'!Q50)</v>
      </c>
      <c r="CP18" s="42" t="str">
        <f>$B$18&amp;CP15&amp;"="&amp;$C$18&amp;CP15&amp;")"</f>
        <v>IF('Input Nilai Ketrampilan'!Q51="";"";'Input Nilai Ketrampilan'!Q51)</v>
      </c>
      <c r="CR18" s="42" t="str">
        <f>$B$18&amp;CR15&amp;"="&amp;$C$18&amp;CR15&amp;")"</f>
        <v>IF('Input Nilai Ketrampilan'!Q52="";"";'Input Nilai Ketrampilan'!Q52)</v>
      </c>
    </row>
    <row r="19" spans="1:96">
      <c r="A19" s="72">
        <v>4</v>
      </c>
      <c r="B19" s="42" t="s">
        <v>412</v>
      </c>
      <c r="C19" s="42" t="s">
        <v>422</v>
      </c>
      <c r="D19" s="42" t="str">
        <f>$B$19&amp;D15&amp;"="&amp;$C$19&amp;D15&amp;")"</f>
        <v>IF('Input Nilai Ketrampilan'!U6="";"";'Input Nilai Ketrampilan'!U6)</v>
      </c>
      <c r="F19" s="42" t="str">
        <f>$B$19&amp;F15&amp;"="&amp;$C$19&amp;F15&amp;")"</f>
        <v>IF('Input Nilai Ketrampilan'!U7="";"";'Input Nilai Ketrampilan'!U7)</v>
      </c>
      <c r="H19" s="42" t="str">
        <f>$B$19&amp;H15&amp;"="&amp;$C$19&amp;H15&amp;")"</f>
        <v>IF('Input Nilai Ketrampilan'!U8="";"";'Input Nilai Ketrampilan'!U8)</v>
      </c>
      <c r="J19" s="42" t="str">
        <f>$B$19&amp;J15&amp;"="&amp;$C$19&amp;J15&amp;")"</f>
        <v>IF('Input Nilai Ketrampilan'!U9="";"";'Input Nilai Ketrampilan'!U9)</v>
      </c>
      <c r="L19" s="42" t="str">
        <f>$B$19&amp;L15&amp;"="&amp;$C$19&amp;L15&amp;")"</f>
        <v>IF('Input Nilai Ketrampilan'!U10="";"";'Input Nilai Ketrampilan'!U10)</v>
      </c>
      <c r="N19" s="42" t="str">
        <f>$B$19&amp;N15&amp;"="&amp;$C$19&amp;N15&amp;")"</f>
        <v>IF('Input Nilai Ketrampilan'!U11="";"";'Input Nilai Ketrampilan'!U11)</v>
      </c>
      <c r="P19" s="42" t="str">
        <f>$B$19&amp;P15&amp;"="&amp;$C$19&amp;P15&amp;")"</f>
        <v>IF('Input Nilai Ketrampilan'!U12="";"";'Input Nilai Ketrampilan'!U12)</v>
      </c>
      <c r="R19" s="42" t="str">
        <f>$B$19&amp;R15&amp;"="&amp;$C$19&amp;R15&amp;")"</f>
        <v>IF('Input Nilai Ketrampilan'!U13="";"";'Input Nilai Ketrampilan'!U13)</v>
      </c>
      <c r="T19" s="42" t="str">
        <f>$B$19&amp;T15&amp;"="&amp;$C$19&amp;T15&amp;")"</f>
        <v>IF('Input Nilai Ketrampilan'!U14="";"";'Input Nilai Ketrampilan'!U14)</v>
      </c>
      <c r="V19" s="42" t="str">
        <f>$B$19&amp;V15&amp;"="&amp;$C$19&amp;V15&amp;")"</f>
        <v>IF('Input Nilai Ketrampilan'!U15="";"";'Input Nilai Ketrampilan'!U15)</v>
      </c>
      <c r="X19" s="42" t="str">
        <f>$B$19&amp;X15&amp;"="&amp;$C$19&amp;X15&amp;")"</f>
        <v>IF('Input Nilai Ketrampilan'!U16="";"";'Input Nilai Ketrampilan'!U16)</v>
      </c>
      <c r="Z19" s="42" t="str">
        <f>$B$19&amp;Z15&amp;"="&amp;$C$19&amp;Z15&amp;")"</f>
        <v>IF('Input Nilai Ketrampilan'!U17="";"";'Input Nilai Ketrampilan'!U17)</v>
      </c>
      <c r="AB19" s="42" t="str">
        <f>$B$19&amp;AB15&amp;"="&amp;$C$19&amp;AB15&amp;")"</f>
        <v>IF('Input Nilai Ketrampilan'!U18="";"";'Input Nilai Ketrampilan'!U18)</v>
      </c>
      <c r="AD19" s="42" t="str">
        <f>$B$19&amp;AD15&amp;"="&amp;$C$19&amp;AD15&amp;")"</f>
        <v>IF('Input Nilai Ketrampilan'!U19="";"";'Input Nilai Ketrampilan'!U19)</v>
      </c>
      <c r="AF19" s="42" t="str">
        <f>$B$19&amp;AF15&amp;"="&amp;$C$19&amp;AF15&amp;")"</f>
        <v>IF('Input Nilai Ketrampilan'!U20="";"";'Input Nilai Ketrampilan'!U20)</v>
      </c>
      <c r="AH19" s="42" t="str">
        <f>$B$19&amp;AH15&amp;"="&amp;$C$19&amp;AH15&amp;")"</f>
        <v>IF('Input Nilai Ketrampilan'!U21="";"";'Input Nilai Ketrampilan'!U21)</v>
      </c>
      <c r="AJ19" s="42" t="str">
        <f>$B$19&amp;AJ15&amp;"="&amp;$C$19&amp;AJ15&amp;")"</f>
        <v>IF('Input Nilai Ketrampilan'!U22="";"";'Input Nilai Ketrampilan'!U22)</v>
      </c>
      <c r="AL19" s="42" t="str">
        <f>$B$19&amp;AL15&amp;"="&amp;$C$19&amp;AL15&amp;")"</f>
        <v>IF('Input Nilai Ketrampilan'!U23="";"";'Input Nilai Ketrampilan'!U23)</v>
      </c>
      <c r="AN19" s="42" t="str">
        <f>$B$19&amp;AN15&amp;"="&amp;$C$19&amp;AN15&amp;")"</f>
        <v>IF('Input Nilai Ketrampilan'!U24="";"";'Input Nilai Ketrampilan'!U24)</v>
      </c>
      <c r="AP19" s="42" t="str">
        <f>$B$19&amp;AP15&amp;"="&amp;$C$19&amp;AP15&amp;")"</f>
        <v>IF('Input Nilai Ketrampilan'!U25="";"";'Input Nilai Ketrampilan'!U25)</v>
      </c>
      <c r="AR19" s="42" t="str">
        <f>$B$19&amp;AR15&amp;"="&amp;$C$19&amp;AR15&amp;")"</f>
        <v>IF('Input Nilai Ketrampilan'!U26="";"";'Input Nilai Ketrampilan'!U26)</v>
      </c>
      <c r="AT19" s="42" t="str">
        <f>$B$19&amp;AT15&amp;"="&amp;$C$19&amp;AT15&amp;")"</f>
        <v>IF('Input Nilai Ketrampilan'!U27="";"";'Input Nilai Ketrampilan'!U27)</v>
      </c>
      <c r="AV19" s="42" t="str">
        <f>$B$19&amp;AV15&amp;"="&amp;$C$19&amp;AV15&amp;")"</f>
        <v>IF('Input Nilai Ketrampilan'!U28="";"";'Input Nilai Ketrampilan'!U28)</v>
      </c>
      <c r="AX19" s="42" t="str">
        <f>$B$19&amp;AX15&amp;"="&amp;$C$19&amp;AX15&amp;")"</f>
        <v>IF('Input Nilai Ketrampilan'!U29="";"";'Input Nilai Ketrampilan'!U29)</v>
      </c>
      <c r="AZ19" s="42" t="str">
        <f>$B$19&amp;AZ15&amp;"="&amp;$C$19&amp;AZ15&amp;")"</f>
        <v>IF('Input Nilai Ketrampilan'!U30="";"";'Input Nilai Ketrampilan'!U30)</v>
      </c>
      <c r="BB19" s="42" t="str">
        <f>$B$19&amp;BB15&amp;"="&amp;$C$19&amp;BB15&amp;")"</f>
        <v>IF('Input Nilai Ketrampilan'!U31="";"";'Input Nilai Ketrampilan'!U31)</v>
      </c>
      <c r="BD19" s="42" t="str">
        <f>$B$19&amp;BD15&amp;"="&amp;$C$19&amp;BD15&amp;")"</f>
        <v>IF('Input Nilai Ketrampilan'!U32="";"";'Input Nilai Ketrampilan'!U32)</v>
      </c>
      <c r="BF19" s="42" t="str">
        <f>$B$19&amp;BF15&amp;"="&amp;$C$19&amp;BF15&amp;")"</f>
        <v>IF('Input Nilai Ketrampilan'!U33="";"";'Input Nilai Ketrampilan'!U33)</v>
      </c>
      <c r="BH19" s="42" t="str">
        <f>$B$19&amp;BH15&amp;"="&amp;$C$19&amp;BH15&amp;")"</f>
        <v>IF('Input Nilai Ketrampilan'!U34="";"";'Input Nilai Ketrampilan'!U34)</v>
      </c>
      <c r="BJ19" s="42" t="str">
        <f>$B$19&amp;BJ15&amp;"="&amp;$C$19&amp;BJ15&amp;")"</f>
        <v>IF('Input Nilai Ketrampilan'!U35="";"";'Input Nilai Ketrampilan'!U35)</v>
      </c>
      <c r="BL19" s="42" t="str">
        <f>$B$19&amp;BL15&amp;"="&amp;$C$19&amp;BL15&amp;")"</f>
        <v>IF('Input Nilai Ketrampilan'!U36="";"";'Input Nilai Ketrampilan'!U36)</v>
      </c>
      <c r="BN19" s="42" t="str">
        <f>$B$19&amp;BN15&amp;"="&amp;$C$19&amp;BN15&amp;")"</f>
        <v>IF('Input Nilai Ketrampilan'!U37="";"";'Input Nilai Ketrampilan'!U37)</v>
      </c>
      <c r="BP19" s="42" t="str">
        <f>$B$19&amp;BP15&amp;"="&amp;$C$19&amp;BP15&amp;")"</f>
        <v>IF('Input Nilai Ketrampilan'!U38="";"";'Input Nilai Ketrampilan'!U38)</v>
      </c>
      <c r="BR19" s="42" t="str">
        <f>$B$19&amp;BR15&amp;"="&amp;$C$19&amp;BR15&amp;")"</f>
        <v>IF('Input Nilai Ketrampilan'!U39="";"";'Input Nilai Ketrampilan'!U39)</v>
      </c>
      <c r="BT19" s="42" t="str">
        <f>$B$19&amp;BT15&amp;"="&amp;$C$19&amp;BT15&amp;")"</f>
        <v>IF('Input Nilai Ketrampilan'!U40="";"";'Input Nilai Ketrampilan'!U40)</v>
      </c>
      <c r="BV19" s="42" t="str">
        <f>$B$19&amp;BV15&amp;"="&amp;$C$19&amp;BV15&amp;")"</f>
        <v>IF('Input Nilai Ketrampilan'!U41="";"";'Input Nilai Ketrampilan'!U41)</v>
      </c>
      <c r="BX19" s="42" t="str">
        <f>$B$19&amp;BX15&amp;"="&amp;$C$19&amp;BX15&amp;")"</f>
        <v>IF('Input Nilai Ketrampilan'!U42="";"";'Input Nilai Ketrampilan'!U42)</v>
      </c>
      <c r="BZ19" s="42" t="str">
        <f>$B$19&amp;BZ15&amp;"="&amp;$C$19&amp;BZ15&amp;")"</f>
        <v>IF('Input Nilai Ketrampilan'!U43="";"";'Input Nilai Ketrampilan'!U43)</v>
      </c>
      <c r="CB19" s="42" t="str">
        <f>$B$19&amp;CB15&amp;"="&amp;$C$19&amp;CB15&amp;")"</f>
        <v>IF('Input Nilai Ketrampilan'!U44="";"";'Input Nilai Ketrampilan'!U44)</v>
      </c>
      <c r="CD19" s="42" t="str">
        <f>$B$19&amp;CD15&amp;"="&amp;$C$19&amp;CD15&amp;")"</f>
        <v>IF('Input Nilai Ketrampilan'!U45="";"";'Input Nilai Ketrampilan'!U45)</v>
      </c>
      <c r="CF19" s="42" t="str">
        <f>$B$19&amp;CF15&amp;"="&amp;$C$19&amp;CF15&amp;")"</f>
        <v>IF('Input Nilai Ketrampilan'!U46="";"";'Input Nilai Ketrampilan'!U46)</v>
      </c>
      <c r="CH19" s="42" t="str">
        <f>$B$19&amp;CH15&amp;"="&amp;$C$19&amp;CH15&amp;")"</f>
        <v>IF('Input Nilai Ketrampilan'!U47="";"";'Input Nilai Ketrampilan'!U47)</v>
      </c>
      <c r="CJ19" s="42" t="str">
        <f>$B$19&amp;CJ15&amp;"="&amp;$C$19&amp;CJ15&amp;")"</f>
        <v>IF('Input Nilai Ketrampilan'!U48="";"";'Input Nilai Ketrampilan'!U48)</v>
      </c>
      <c r="CL19" s="42" t="str">
        <f>$B$19&amp;CL15&amp;"="&amp;$C$19&amp;CL15&amp;")"</f>
        <v>IF('Input Nilai Ketrampilan'!U49="";"";'Input Nilai Ketrampilan'!U49)</v>
      </c>
      <c r="CN19" s="42" t="str">
        <f>$B$19&amp;CN15&amp;"="&amp;$C$19&amp;CN15&amp;")"</f>
        <v>IF('Input Nilai Ketrampilan'!U50="";"";'Input Nilai Ketrampilan'!U50)</v>
      </c>
      <c r="CP19" s="42" t="str">
        <f>$B$19&amp;CP15&amp;"="&amp;$C$19&amp;CP15&amp;")"</f>
        <v>IF('Input Nilai Ketrampilan'!U51="";"";'Input Nilai Ketrampilan'!U51)</v>
      </c>
      <c r="CR19" s="42" t="str">
        <f>$B$19&amp;CR15&amp;"="&amp;$C$19&amp;CR15&amp;")"</f>
        <v>IF('Input Nilai Ketrampilan'!U52="";"";'Input Nilai Ketrampilan'!U52)</v>
      </c>
    </row>
    <row r="20" spans="1:96">
      <c r="A20" s="72">
        <v>5</v>
      </c>
      <c r="B20" s="42" t="s">
        <v>413</v>
      </c>
      <c r="C20" s="42" t="s">
        <v>423</v>
      </c>
      <c r="D20" s="42" t="str">
        <f>$B$20&amp;D15&amp;"="&amp;$C$20&amp;D15&amp;")"</f>
        <v>IF('Input Nilai Ketrampilan'!Y6="";"";'Input Nilai Ketrampilan'!Y6)</v>
      </c>
      <c r="F20" s="42" t="str">
        <f>$B$20&amp;F15&amp;"="&amp;$C$20&amp;F15&amp;")"</f>
        <v>IF('Input Nilai Ketrampilan'!Y7="";"";'Input Nilai Ketrampilan'!Y7)</v>
      </c>
      <c r="H20" s="42" t="str">
        <f>$B$20&amp;H15&amp;"="&amp;$C$20&amp;H15&amp;")"</f>
        <v>IF('Input Nilai Ketrampilan'!Y8="";"";'Input Nilai Ketrampilan'!Y8)</v>
      </c>
      <c r="J20" s="42" t="str">
        <f>$B$20&amp;J15&amp;"="&amp;$C$20&amp;J15&amp;")"</f>
        <v>IF('Input Nilai Ketrampilan'!Y9="";"";'Input Nilai Ketrampilan'!Y9)</v>
      </c>
      <c r="L20" s="42" t="str">
        <f>$B$20&amp;L15&amp;"="&amp;$C$20&amp;L15&amp;")"</f>
        <v>IF('Input Nilai Ketrampilan'!Y10="";"";'Input Nilai Ketrampilan'!Y10)</v>
      </c>
      <c r="N20" s="42" t="str">
        <f>$B$20&amp;N15&amp;"="&amp;$C$20&amp;N15&amp;")"</f>
        <v>IF('Input Nilai Ketrampilan'!Y11="";"";'Input Nilai Ketrampilan'!Y11)</v>
      </c>
      <c r="P20" s="42" t="str">
        <f>$B$20&amp;P15&amp;"="&amp;$C$20&amp;P15&amp;")"</f>
        <v>IF('Input Nilai Ketrampilan'!Y12="";"";'Input Nilai Ketrampilan'!Y12)</v>
      </c>
      <c r="R20" s="42" t="str">
        <f>$B$20&amp;R15&amp;"="&amp;$C$20&amp;R15&amp;")"</f>
        <v>IF('Input Nilai Ketrampilan'!Y13="";"";'Input Nilai Ketrampilan'!Y13)</v>
      </c>
      <c r="T20" s="42" t="str">
        <f>$B$20&amp;T15&amp;"="&amp;$C$20&amp;T15&amp;")"</f>
        <v>IF('Input Nilai Ketrampilan'!Y14="";"";'Input Nilai Ketrampilan'!Y14)</v>
      </c>
      <c r="V20" s="42" t="str">
        <f>$B$20&amp;V15&amp;"="&amp;$C$20&amp;V15&amp;")"</f>
        <v>IF('Input Nilai Ketrampilan'!Y15="";"";'Input Nilai Ketrampilan'!Y15)</v>
      </c>
      <c r="X20" s="42" t="str">
        <f>$B$20&amp;X15&amp;"="&amp;$C$20&amp;X15&amp;")"</f>
        <v>IF('Input Nilai Ketrampilan'!Y16="";"";'Input Nilai Ketrampilan'!Y16)</v>
      </c>
      <c r="Z20" s="42" t="str">
        <f>$B$20&amp;Z15&amp;"="&amp;$C$20&amp;Z15&amp;")"</f>
        <v>IF('Input Nilai Ketrampilan'!Y17="";"";'Input Nilai Ketrampilan'!Y17)</v>
      </c>
      <c r="AB20" s="42" t="str">
        <f>$B$20&amp;AB15&amp;"="&amp;$C$20&amp;AB15&amp;")"</f>
        <v>IF('Input Nilai Ketrampilan'!Y18="";"";'Input Nilai Ketrampilan'!Y18)</v>
      </c>
      <c r="AD20" s="42" t="str">
        <f>$B$20&amp;AD15&amp;"="&amp;$C$20&amp;AD15&amp;")"</f>
        <v>IF('Input Nilai Ketrampilan'!Y19="";"";'Input Nilai Ketrampilan'!Y19)</v>
      </c>
      <c r="AF20" s="42" t="str">
        <f>$B$20&amp;AF15&amp;"="&amp;$C$20&amp;AF15&amp;")"</f>
        <v>IF('Input Nilai Ketrampilan'!Y20="";"";'Input Nilai Ketrampilan'!Y20)</v>
      </c>
      <c r="AH20" s="42" t="str">
        <f>$B$20&amp;AH15&amp;"="&amp;$C$20&amp;AH15&amp;")"</f>
        <v>IF('Input Nilai Ketrampilan'!Y21="";"";'Input Nilai Ketrampilan'!Y21)</v>
      </c>
      <c r="AJ20" s="42" t="str">
        <f>$B$20&amp;AJ15&amp;"="&amp;$C$20&amp;AJ15&amp;")"</f>
        <v>IF('Input Nilai Ketrampilan'!Y22="";"";'Input Nilai Ketrampilan'!Y22)</v>
      </c>
      <c r="AL20" s="42" t="str">
        <f>$B$20&amp;AL15&amp;"="&amp;$C$20&amp;AL15&amp;")"</f>
        <v>IF('Input Nilai Ketrampilan'!Y23="";"";'Input Nilai Ketrampilan'!Y23)</v>
      </c>
      <c r="AN20" s="42" t="str">
        <f>$B$20&amp;AN15&amp;"="&amp;$C$20&amp;AN15&amp;")"</f>
        <v>IF('Input Nilai Ketrampilan'!Y24="";"";'Input Nilai Ketrampilan'!Y24)</v>
      </c>
      <c r="AP20" s="42" t="str">
        <f>$B$20&amp;AP15&amp;"="&amp;$C$20&amp;AP15&amp;")"</f>
        <v>IF('Input Nilai Ketrampilan'!Y25="";"";'Input Nilai Ketrampilan'!Y25)</v>
      </c>
      <c r="AR20" s="42" t="str">
        <f>$B$20&amp;AR15&amp;"="&amp;$C$20&amp;AR15&amp;")"</f>
        <v>IF('Input Nilai Ketrampilan'!Y26="";"";'Input Nilai Ketrampilan'!Y26)</v>
      </c>
      <c r="AT20" s="42" t="str">
        <f>$B$20&amp;AT15&amp;"="&amp;$C$20&amp;AT15&amp;")"</f>
        <v>IF('Input Nilai Ketrampilan'!Y27="";"";'Input Nilai Ketrampilan'!Y27)</v>
      </c>
      <c r="AV20" s="42" t="str">
        <f>$B$20&amp;AV15&amp;"="&amp;$C$20&amp;AV15&amp;")"</f>
        <v>IF('Input Nilai Ketrampilan'!Y28="";"";'Input Nilai Ketrampilan'!Y28)</v>
      </c>
      <c r="AX20" s="42" t="str">
        <f>$B$20&amp;AX15&amp;"="&amp;$C$20&amp;AX15&amp;")"</f>
        <v>IF('Input Nilai Ketrampilan'!Y29="";"";'Input Nilai Ketrampilan'!Y29)</v>
      </c>
      <c r="AZ20" s="42" t="str">
        <f>$B$20&amp;AZ15&amp;"="&amp;$C$20&amp;AZ15&amp;")"</f>
        <v>IF('Input Nilai Ketrampilan'!Y30="";"";'Input Nilai Ketrampilan'!Y30)</v>
      </c>
      <c r="BB20" s="42" t="str">
        <f>$B$20&amp;BB15&amp;"="&amp;$C$20&amp;BB15&amp;")"</f>
        <v>IF('Input Nilai Ketrampilan'!Y31="";"";'Input Nilai Ketrampilan'!Y31)</v>
      </c>
      <c r="BD20" s="42" t="str">
        <f>$B$20&amp;BD15&amp;"="&amp;$C$20&amp;BD15&amp;")"</f>
        <v>IF('Input Nilai Ketrampilan'!Y32="";"";'Input Nilai Ketrampilan'!Y32)</v>
      </c>
      <c r="BF20" s="42" t="str">
        <f>$B$20&amp;BF15&amp;"="&amp;$C$20&amp;BF15&amp;")"</f>
        <v>IF('Input Nilai Ketrampilan'!Y33="";"";'Input Nilai Ketrampilan'!Y33)</v>
      </c>
      <c r="BH20" s="42" t="str">
        <f>$B$20&amp;BH15&amp;"="&amp;$C$20&amp;BH15&amp;")"</f>
        <v>IF('Input Nilai Ketrampilan'!Y34="";"";'Input Nilai Ketrampilan'!Y34)</v>
      </c>
      <c r="BJ20" s="42" t="str">
        <f>$B$20&amp;BJ15&amp;"="&amp;$C$20&amp;BJ15&amp;")"</f>
        <v>IF('Input Nilai Ketrampilan'!Y35="";"";'Input Nilai Ketrampilan'!Y35)</v>
      </c>
      <c r="BL20" s="42" t="str">
        <f>$B$20&amp;BL15&amp;"="&amp;$C$20&amp;BL15&amp;")"</f>
        <v>IF('Input Nilai Ketrampilan'!Y36="";"";'Input Nilai Ketrampilan'!Y36)</v>
      </c>
      <c r="BN20" s="42" t="str">
        <f>$B$20&amp;BN15&amp;"="&amp;$C$20&amp;BN15&amp;")"</f>
        <v>IF('Input Nilai Ketrampilan'!Y37="";"";'Input Nilai Ketrampilan'!Y37)</v>
      </c>
      <c r="BP20" s="42" t="str">
        <f>$B$20&amp;BP15&amp;"="&amp;$C$20&amp;BP15&amp;")"</f>
        <v>IF('Input Nilai Ketrampilan'!Y38="";"";'Input Nilai Ketrampilan'!Y38)</v>
      </c>
      <c r="BR20" s="42" t="str">
        <f>$B$20&amp;BR15&amp;"="&amp;$C$20&amp;BR15&amp;")"</f>
        <v>IF('Input Nilai Ketrampilan'!Y39="";"";'Input Nilai Ketrampilan'!Y39)</v>
      </c>
      <c r="BT20" s="42" t="str">
        <f>$B$20&amp;BT15&amp;"="&amp;$C$20&amp;BT15&amp;")"</f>
        <v>IF('Input Nilai Ketrampilan'!Y40="";"";'Input Nilai Ketrampilan'!Y40)</v>
      </c>
      <c r="BV20" s="42" t="str">
        <f>$B$20&amp;BV15&amp;"="&amp;$C$20&amp;BV15&amp;")"</f>
        <v>IF('Input Nilai Ketrampilan'!Y41="";"";'Input Nilai Ketrampilan'!Y41)</v>
      </c>
      <c r="BX20" s="42" t="str">
        <f>$B$20&amp;BX15&amp;"="&amp;$C$20&amp;BX15&amp;")"</f>
        <v>IF('Input Nilai Ketrampilan'!Y42="";"";'Input Nilai Ketrampilan'!Y42)</v>
      </c>
      <c r="BZ20" s="42" t="str">
        <f>$B$20&amp;BZ15&amp;"="&amp;$C$20&amp;BZ15&amp;")"</f>
        <v>IF('Input Nilai Ketrampilan'!Y43="";"";'Input Nilai Ketrampilan'!Y43)</v>
      </c>
      <c r="CB20" s="42" t="str">
        <f>$B$20&amp;CB15&amp;"="&amp;$C$20&amp;CB15&amp;")"</f>
        <v>IF('Input Nilai Ketrampilan'!Y44="";"";'Input Nilai Ketrampilan'!Y44)</v>
      </c>
      <c r="CD20" s="42" t="str">
        <f>$B$20&amp;CD15&amp;"="&amp;$C$20&amp;CD15&amp;")"</f>
        <v>IF('Input Nilai Ketrampilan'!Y45="";"";'Input Nilai Ketrampilan'!Y45)</v>
      </c>
      <c r="CF20" s="42" t="str">
        <f>$B$20&amp;CF15&amp;"="&amp;$C$20&amp;CF15&amp;")"</f>
        <v>IF('Input Nilai Ketrampilan'!Y46="";"";'Input Nilai Ketrampilan'!Y46)</v>
      </c>
      <c r="CH20" s="42" t="str">
        <f>$B$20&amp;CH15&amp;"="&amp;$C$20&amp;CH15&amp;")"</f>
        <v>IF('Input Nilai Ketrampilan'!Y47="";"";'Input Nilai Ketrampilan'!Y47)</v>
      </c>
      <c r="CJ20" s="42" t="str">
        <f>$B$20&amp;CJ15&amp;"="&amp;$C$20&amp;CJ15&amp;")"</f>
        <v>IF('Input Nilai Ketrampilan'!Y48="";"";'Input Nilai Ketrampilan'!Y48)</v>
      </c>
      <c r="CL20" s="42" t="str">
        <f>$B$20&amp;CL15&amp;"="&amp;$C$20&amp;CL15&amp;")"</f>
        <v>IF('Input Nilai Ketrampilan'!Y49="";"";'Input Nilai Ketrampilan'!Y49)</v>
      </c>
      <c r="CN20" s="42" t="str">
        <f>$B$20&amp;CN15&amp;"="&amp;$C$20&amp;CN15&amp;")"</f>
        <v>IF('Input Nilai Ketrampilan'!Y50="";"";'Input Nilai Ketrampilan'!Y50)</v>
      </c>
      <c r="CP20" s="42" t="str">
        <f>$B$20&amp;CP15&amp;"="&amp;$C$20&amp;CP15&amp;")"</f>
        <v>IF('Input Nilai Ketrampilan'!Y51="";"";'Input Nilai Ketrampilan'!Y51)</v>
      </c>
      <c r="CR20" s="42" t="str">
        <f>$B$20&amp;CR15&amp;"="&amp;$C$20&amp;CR15&amp;")"</f>
        <v>IF('Input Nilai Ketrampilan'!Y52="";"";'Input Nilai Ketrampilan'!Y52)</v>
      </c>
    </row>
    <row r="21" spans="1:96">
      <c r="A21" s="72">
        <v>6</v>
      </c>
      <c r="B21" s="42" t="s">
        <v>414</v>
      </c>
      <c r="C21" s="42" t="s">
        <v>424</v>
      </c>
      <c r="D21" s="42" t="str">
        <f>$B$21&amp;D15&amp;"="&amp;$C$21&amp;D15&amp;")"</f>
        <v>IF('Input Nilai Ketrampilan'!AC6="";"";'Input Nilai Ketrampilan'!AC6)</v>
      </c>
      <c r="F21" s="42" t="str">
        <f>$B$21&amp;F15&amp;"="&amp;$C$21&amp;F15&amp;")"</f>
        <v>IF('Input Nilai Ketrampilan'!AC7="";"";'Input Nilai Ketrampilan'!AC7)</v>
      </c>
      <c r="H21" s="42" t="str">
        <f>$B$21&amp;H15&amp;"="&amp;$C$21&amp;H15&amp;")"</f>
        <v>IF('Input Nilai Ketrampilan'!AC8="";"";'Input Nilai Ketrampilan'!AC8)</v>
      </c>
      <c r="J21" s="42" t="str">
        <f>$B$21&amp;J15&amp;"="&amp;$C$21&amp;J15&amp;")"</f>
        <v>IF('Input Nilai Ketrampilan'!AC9="";"";'Input Nilai Ketrampilan'!AC9)</v>
      </c>
      <c r="L21" s="42" t="str">
        <f>$B$21&amp;L15&amp;"="&amp;$C$21&amp;L15&amp;")"</f>
        <v>IF('Input Nilai Ketrampilan'!AC10="";"";'Input Nilai Ketrampilan'!AC10)</v>
      </c>
      <c r="N21" s="42" t="str">
        <f>$B$21&amp;N15&amp;"="&amp;$C$21&amp;N15&amp;")"</f>
        <v>IF('Input Nilai Ketrampilan'!AC11="";"";'Input Nilai Ketrampilan'!AC11)</v>
      </c>
      <c r="P21" s="42" t="str">
        <f>$B$21&amp;P15&amp;"="&amp;$C$21&amp;P15&amp;")"</f>
        <v>IF('Input Nilai Ketrampilan'!AC12="";"";'Input Nilai Ketrampilan'!AC12)</v>
      </c>
      <c r="R21" s="42" t="str">
        <f>$B$21&amp;R15&amp;"="&amp;$C$21&amp;R15&amp;")"</f>
        <v>IF('Input Nilai Ketrampilan'!AC13="";"";'Input Nilai Ketrampilan'!AC13)</v>
      </c>
      <c r="T21" s="42" t="str">
        <f>$B$21&amp;T15&amp;"="&amp;$C$21&amp;T15&amp;")"</f>
        <v>IF('Input Nilai Ketrampilan'!AC14="";"";'Input Nilai Ketrampilan'!AC14)</v>
      </c>
      <c r="V21" s="42" t="str">
        <f>$B$21&amp;V15&amp;"="&amp;$C$21&amp;V15&amp;")"</f>
        <v>IF('Input Nilai Ketrampilan'!AC15="";"";'Input Nilai Ketrampilan'!AC15)</v>
      </c>
      <c r="X21" s="42" t="str">
        <f>$B$21&amp;X15&amp;"="&amp;$C$21&amp;X15&amp;")"</f>
        <v>IF('Input Nilai Ketrampilan'!AC16="";"";'Input Nilai Ketrampilan'!AC16)</v>
      </c>
      <c r="Z21" s="42" t="str">
        <f>$B$21&amp;Z15&amp;"="&amp;$C$21&amp;Z15&amp;")"</f>
        <v>IF('Input Nilai Ketrampilan'!AC17="";"";'Input Nilai Ketrampilan'!AC17)</v>
      </c>
      <c r="AB21" s="42" t="str">
        <f>$B$21&amp;AB15&amp;"="&amp;$C$21&amp;AB15&amp;")"</f>
        <v>IF('Input Nilai Ketrampilan'!AC18="";"";'Input Nilai Ketrampilan'!AC18)</v>
      </c>
      <c r="AD21" s="42" t="str">
        <f>$B$21&amp;AD15&amp;"="&amp;$C$21&amp;AD15&amp;")"</f>
        <v>IF('Input Nilai Ketrampilan'!AC19="";"";'Input Nilai Ketrampilan'!AC19)</v>
      </c>
      <c r="AF21" s="42" t="str">
        <f>$B$21&amp;AF15&amp;"="&amp;$C$21&amp;AF15&amp;")"</f>
        <v>IF('Input Nilai Ketrampilan'!AC20="";"";'Input Nilai Ketrampilan'!AC20)</v>
      </c>
      <c r="AH21" s="42" t="str">
        <f>$B$21&amp;AH15&amp;"="&amp;$C$21&amp;AH15&amp;")"</f>
        <v>IF('Input Nilai Ketrampilan'!AC21="";"";'Input Nilai Ketrampilan'!AC21)</v>
      </c>
      <c r="AJ21" s="42" t="str">
        <f>$B$21&amp;AJ15&amp;"="&amp;$C$21&amp;AJ15&amp;")"</f>
        <v>IF('Input Nilai Ketrampilan'!AC22="";"";'Input Nilai Ketrampilan'!AC22)</v>
      </c>
      <c r="AL21" s="42" t="str">
        <f>$B$21&amp;AL15&amp;"="&amp;$C$21&amp;AL15&amp;")"</f>
        <v>IF('Input Nilai Ketrampilan'!AC23="";"";'Input Nilai Ketrampilan'!AC23)</v>
      </c>
      <c r="AN21" s="42" t="str">
        <f>$B$21&amp;AN15&amp;"="&amp;$C$21&amp;AN15&amp;")"</f>
        <v>IF('Input Nilai Ketrampilan'!AC24="";"";'Input Nilai Ketrampilan'!AC24)</v>
      </c>
      <c r="AP21" s="42" t="str">
        <f>$B$21&amp;AP15&amp;"="&amp;$C$21&amp;AP15&amp;")"</f>
        <v>IF('Input Nilai Ketrampilan'!AC25="";"";'Input Nilai Ketrampilan'!AC25)</v>
      </c>
      <c r="AR21" s="42" t="str">
        <f>$B$21&amp;AR15&amp;"="&amp;$C$21&amp;AR15&amp;")"</f>
        <v>IF('Input Nilai Ketrampilan'!AC26="";"";'Input Nilai Ketrampilan'!AC26)</v>
      </c>
      <c r="AT21" s="42" t="str">
        <f>$B$21&amp;AT15&amp;"="&amp;$C$21&amp;AT15&amp;")"</f>
        <v>IF('Input Nilai Ketrampilan'!AC27="";"";'Input Nilai Ketrampilan'!AC27)</v>
      </c>
      <c r="AV21" s="42" t="str">
        <f>$B$21&amp;AV15&amp;"="&amp;$C$21&amp;AV15&amp;")"</f>
        <v>IF('Input Nilai Ketrampilan'!AC28="";"";'Input Nilai Ketrampilan'!AC28)</v>
      </c>
      <c r="AX21" s="42" t="str">
        <f>$B$21&amp;AX15&amp;"="&amp;$C$21&amp;AX15&amp;")"</f>
        <v>IF('Input Nilai Ketrampilan'!AC29="";"";'Input Nilai Ketrampilan'!AC29)</v>
      </c>
      <c r="AZ21" s="42" t="str">
        <f>$B$21&amp;AZ15&amp;"="&amp;$C$21&amp;AZ15&amp;")"</f>
        <v>IF('Input Nilai Ketrampilan'!AC30="";"";'Input Nilai Ketrampilan'!AC30)</v>
      </c>
      <c r="BB21" s="42" t="str">
        <f>$B$21&amp;BB15&amp;"="&amp;$C$21&amp;BB15&amp;")"</f>
        <v>IF('Input Nilai Ketrampilan'!AC31="";"";'Input Nilai Ketrampilan'!AC31)</v>
      </c>
      <c r="BD21" s="42" t="str">
        <f>$B$21&amp;BD15&amp;"="&amp;$C$21&amp;BD15&amp;")"</f>
        <v>IF('Input Nilai Ketrampilan'!AC32="";"";'Input Nilai Ketrampilan'!AC32)</v>
      </c>
      <c r="BF21" s="42" t="str">
        <f>$B$21&amp;BF15&amp;"="&amp;$C$21&amp;BF15&amp;")"</f>
        <v>IF('Input Nilai Ketrampilan'!AC33="";"";'Input Nilai Ketrampilan'!AC33)</v>
      </c>
      <c r="BH21" s="42" t="str">
        <f>$B$21&amp;BH15&amp;"="&amp;$C$21&amp;BH15&amp;")"</f>
        <v>IF('Input Nilai Ketrampilan'!AC34="";"";'Input Nilai Ketrampilan'!AC34)</v>
      </c>
      <c r="BJ21" s="42" t="str">
        <f>$B$21&amp;BJ15&amp;"="&amp;$C$21&amp;BJ15&amp;")"</f>
        <v>IF('Input Nilai Ketrampilan'!AC35="";"";'Input Nilai Ketrampilan'!AC35)</v>
      </c>
      <c r="BL21" s="42" t="str">
        <f>$B$21&amp;BL15&amp;"="&amp;$C$21&amp;BL15&amp;")"</f>
        <v>IF('Input Nilai Ketrampilan'!AC36="";"";'Input Nilai Ketrampilan'!AC36)</v>
      </c>
      <c r="BN21" s="42" t="str">
        <f>$B$21&amp;BN15&amp;"="&amp;$C$21&amp;BN15&amp;")"</f>
        <v>IF('Input Nilai Ketrampilan'!AC37="";"";'Input Nilai Ketrampilan'!AC37)</v>
      </c>
      <c r="BP21" s="42" t="str">
        <f>$B$21&amp;BP15&amp;"="&amp;$C$21&amp;BP15&amp;")"</f>
        <v>IF('Input Nilai Ketrampilan'!AC38="";"";'Input Nilai Ketrampilan'!AC38)</v>
      </c>
      <c r="BR21" s="42" t="str">
        <f>$B$21&amp;BR15&amp;"="&amp;$C$21&amp;BR15&amp;")"</f>
        <v>IF('Input Nilai Ketrampilan'!AC39="";"";'Input Nilai Ketrampilan'!AC39)</v>
      </c>
      <c r="BT21" s="42" t="str">
        <f>$B$21&amp;BT15&amp;"="&amp;$C$21&amp;BT15&amp;")"</f>
        <v>IF('Input Nilai Ketrampilan'!AC40="";"";'Input Nilai Ketrampilan'!AC40)</v>
      </c>
      <c r="BV21" s="42" t="str">
        <f>$B$21&amp;BV15&amp;"="&amp;$C$21&amp;BV15&amp;")"</f>
        <v>IF('Input Nilai Ketrampilan'!AC41="";"";'Input Nilai Ketrampilan'!AC41)</v>
      </c>
      <c r="BX21" s="42" t="str">
        <f>$B$21&amp;BX15&amp;"="&amp;$C$21&amp;BX15&amp;")"</f>
        <v>IF('Input Nilai Ketrampilan'!AC42="";"";'Input Nilai Ketrampilan'!AC42)</v>
      </c>
      <c r="BZ21" s="42" t="str">
        <f>$B$21&amp;BZ15&amp;"="&amp;$C$21&amp;BZ15&amp;")"</f>
        <v>IF('Input Nilai Ketrampilan'!AC43="";"";'Input Nilai Ketrampilan'!AC43)</v>
      </c>
      <c r="CB21" s="42" t="str">
        <f>$B$21&amp;CB15&amp;"="&amp;$C$21&amp;CB15&amp;")"</f>
        <v>IF('Input Nilai Ketrampilan'!AC44="";"";'Input Nilai Ketrampilan'!AC44)</v>
      </c>
      <c r="CD21" s="42" t="str">
        <f>$B$21&amp;CD15&amp;"="&amp;$C$21&amp;CD15&amp;")"</f>
        <v>IF('Input Nilai Ketrampilan'!AC45="";"";'Input Nilai Ketrampilan'!AC45)</v>
      </c>
      <c r="CF21" s="42" t="str">
        <f>$B$21&amp;CF15&amp;"="&amp;$C$21&amp;CF15&amp;")"</f>
        <v>IF('Input Nilai Ketrampilan'!AC46="";"";'Input Nilai Ketrampilan'!AC46)</v>
      </c>
      <c r="CH21" s="42" t="str">
        <f>$B$21&amp;CH15&amp;"="&amp;$C$21&amp;CH15&amp;")"</f>
        <v>IF('Input Nilai Ketrampilan'!AC47="";"";'Input Nilai Ketrampilan'!AC47)</v>
      </c>
      <c r="CJ21" s="42" t="str">
        <f>$B$21&amp;CJ15&amp;"="&amp;$C$21&amp;CJ15&amp;")"</f>
        <v>IF('Input Nilai Ketrampilan'!AC48="";"";'Input Nilai Ketrampilan'!AC48)</v>
      </c>
      <c r="CL21" s="42" t="str">
        <f>$B$21&amp;CL15&amp;"="&amp;$C$21&amp;CL15&amp;")"</f>
        <v>IF('Input Nilai Ketrampilan'!AC49="";"";'Input Nilai Ketrampilan'!AC49)</v>
      </c>
      <c r="CN21" s="42" t="str">
        <f>$B$21&amp;CN15&amp;"="&amp;$C$21&amp;CN15&amp;")"</f>
        <v>IF('Input Nilai Ketrampilan'!AC50="";"";'Input Nilai Ketrampilan'!AC50)</v>
      </c>
      <c r="CP21" s="42" t="str">
        <f>$B$21&amp;CP15&amp;"="&amp;$C$21&amp;CP15&amp;")"</f>
        <v>IF('Input Nilai Ketrampilan'!AC51="";"";'Input Nilai Ketrampilan'!AC51)</v>
      </c>
      <c r="CR21" s="42" t="str">
        <f>$B$21&amp;CR15&amp;"="&amp;$C$21&amp;CR15&amp;")"</f>
        <v>IF('Input Nilai Ketrampilan'!AC52="";"";'Input Nilai Ketrampilan'!AC52)</v>
      </c>
    </row>
    <row r="22" spans="1:96">
      <c r="A22" s="72">
        <v>7</v>
      </c>
      <c r="B22" s="42" t="s">
        <v>415</v>
      </c>
      <c r="C22" s="42" t="s">
        <v>425</v>
      </c>
      <c r="D22" s="42" t="str">
        <f>$B$22&amp;D15&amp;"="&amp;$C$22&amp;D15&amp;")"</f>
        <v>IF('Input Nilai Ketrampilan'!AG6="";"";'Input Nilai Ketrampilan'!AG6)</v>
      </c>
      <c r="F22" s="42" t="str">
        <f>$B$22&amp;F15&amp;"="&amp;$C$22&amp;F15&amp;")"</f>
        <v>IF('Input Nilai Ketrampilan'!AG7="";"";'Input Nilai Ketrampilan'!AG7)</v>
      </c>
      <c r="H22" s="42" t="str">
        <f>$B$22&amp;H15&amp;"="&amp;$C$22&amp;H15&amp;")"</f>
        <v>IF('Input Nilai Ketrampilan'!AG8="";"";'Input Nilai Ketrampilan'!AG8)</v>
      </c>
      <c r="J22" s="42" t="str">
        <f>$B$22&amp;J15&amp;"="&amp;$C$22&amp;J15&amp;")"</f>
        <v>IF('Input Nilai Ketrampilan'!AG9="";"";'Input Nilai Ketrampilan'!AG9)</v>
      </c>
      <c r="L22" s="42" t="str">
        <f>$B$22&amp;L15&amp;"="&amp;$C$22&amp;L15&amp;")"</f>
        <v>IF('Input Nilai Ketrampilan'!AG10="";"";'Input Nilai Ketrampilan'!AG10)</v>
      </c>
      <c r="N22" s="42" t="str">
        <f>$B$22&amp;N15&amp;"="&amp;$C$22&amp;N15&amp;")"</f>
        <v>IF('Input Nilai Ketrampilan'!AG11="";"";'Input Nilai Ketrampilan'!AG11)</v>
      </c>
      <c r="P22" s="42" t="str">
        <f>$B$22&amp;P15&amp;"="&amp;$C$22&amp;P15&amp;")"</f>
        <v>IF('Input Nilai Ketrampilan'!AG12="";"";'Input Nilai Ketrampilan'!AG12)</v>
      </c>
      <c r="R22" s="42" t="str">
        <f>$B$22&amp;R15&amp;"="&amp;$C$22&amp;R15&amp;")"</f>
        <v>IF('Input Nilai Ketrampilan'!AG13="";"";'Input Nilai Ketrampilan'!AG13)</v>
      </c>
      <c r="T22" s="42" t="str">
        <f>$B$22&amp;T15&amp;"="&amp;$C$22&amp;T15&amp;")"</f>
        <v>IF('Input Nilai Ketrampilan'!AG14="";"";'Input Nilai Ketrampilan'!AG14)</v>
      </c>
      <c r="V22" s="42" t="str">
        <f>$B$22&amp;V15&amp;"="&amp;$C$22&amp;V15&amp;")"</f>
        <v>IF('Input Nilai Ketrampilan'!AG15="";"";'Input Nilai Ketrampilan'!AG15)</v>
      </c>
      <c r="X22" s="42" t="str">
        <f>$B$22&amp;X15&amp;"="&amp;$C$22&amp;X15&amp;")"</f>
        <v>IF('Input Nilai Ketrampilan'!AG16="";"";'Input Nilai Ketrampilan'!AG16)</v>
      </c>
      <c r="Z22" s="42" t="str">
        <f>$B$22&amp;Z15&amp;"="&amp;$C$22&amp;Z15&amp;")"</f>
        <v>IF('Input Nilai Ketrampilan'!AG17="";"";'Input Nilai Ketrampilan'!AG17)</v>
      </c>
      <c r="AB22" s="42" t="str">
        <f>$B$22&amp;AB15&amp;"="&amp;$C$22&amp;AB15&amp;")"</f>
        <v>IF('Input Nilai Ketrampilan'!AG18="";"";'Input Nilai Ketrampilan'!AG18)</v>
      </c>
      <c r="AD22" s="42" t="str">
        <f>$B$22&amp;AD15&amp;"="&amp;$C$22&amp;AD15&amp;")"</f>
        <v>IF('Input Nilai Ketrampilan'!AG19="";"";'Input Nilai Ketrampilan'!AG19)</v>
      </c>
      <c r="AF22" s="42" t="str">
        <f>$B$22&amp;AF15&amp;"="&amp;$C$22&amp;AF15&amp;")"</f>
        <v>IF('Input Nilai Ketrampilan'!AG20="";"";'Input Nilai Ketrampilan'!AG20)</v>
      </c>
      <c r="AH22" s="42" t="str">
        <f>$B$22&amp;AH15&amp;"="&amp;$C$22&amp;AH15&amp;")"</f>
        <v>IF('Input Nilai Ketrampilan'!AG21="";"";'Input Nilai Ketrampilan'!AG21)</v>
      </c>
      <c r="AJ22" s="42" t="str">
        <f>$B$22&amp;AJ15&amp;"="&amp;$C$22&amp;AJ15&amp;")"</f>
        <v>IF('Input Nilai Ketrampilan'!AG22="";"";'Input Nilai Ketrampilan'!AG22)</v>
      </c>
      <c r="AL22" s="42" t="str">
        <f>$B$22&amp;AL15&amp;"="&amp;$C$22&amp;AL15&amp;")"</f>
        <v>IF('Input Nilai Ketrampilan'!AG23="";"";'Input Nilai Ketrampilan'!AG23)</v>
      </c>
      <c r="AN22" s="42" t="str">
        <f>$B$22&amp;AN15&amp;"="&amp;$C$22&amp;AN15&amp;")"</f>
        <v>IF('Input Nilai Ketrampilan'!AG24="";"";'Input Nilai Ketrampilan'!AG24)</v>
      </c>
      <c r="AP22" s="42" t="str">
        <f>$B$22&amp;AP15&amp;"="&amp;$C$22&amp;AP15&amp;")"</f>
        <v>IF('Input Nilai Ketrampilan'!AG25="";"";'Input Nilai Ketrampilan'!AG25)</v>
      </c>
      <c r="AR22" s="42" t="str">
        <f>$B$22&amp;AR15&amp;"="&amp;$C$22&amp;AR15&amp;")"</f>
        <v>IF('Input Nilai Ketrampilan'!AG26="";"";'Input Nilai Ketrampilan'!AG26)</v>
      </c>
      <c r="AT22" s="42" t="str">
        <f>$B$22&amp;AT15&amp;"="&amp;$C$22&amp;AT15&amp;")"</f>
        <v>IF('Input Nilai Ketrampilan'!AG27="";"";'Input Nilai Ketrampilan'!AG27)</v>
      </c>
      <c r="AV22" s="42" t="str">
        <f>$B$22&amp;AV15&amp;"="&amp;$C$22&amp;AV15&amp;")"</f>
        <v>IF('Input Nilai Ketrampilan'!AG28="";"";'Input Nilai Ketrampilan'!AG28)</v>
      </c>
      <c r="AX22" s="42" t="str">
        <f>$B$22&amp;AX15&amp;"="&amp;$C$22&amp;AX15&amp;")"</f>
        <v>IF('Input Nilai Ketrampilan'!AG29="";"";'Input Nilai Ketrampilan'!AG29)</v>
      </c>
      <c r="AZ22" s="42" t="str">
        <f>$B$22&amp;AZ15&amp;"="&amp;$C$22&amp;AZ15&amp;")"</f>
        <v>IF('Input Nilai Ketrampilan'!AG30="";"";'Input Nilai Ketrampilan'!AG30)</v>
      </c>
      <c r="BB22" s="42" t="str">
        <f>$B$22&amp;BB15&amp;"="&amp;$C$22&amp;BB15&amp;")"</f>
        <v>IF('Input Nilai Ketrampilan'!AG31="";"";'Input Nilai Ketrampilan'!AG31)</v>
      </c>
      <c r="BD22" s="42" t="str">
        <f>$B$22&amp;BD15&amp;"="&amp;$C$22&amp;BD15&amp;")"</f>
        <v>IF('Input Nilai Ketrampilan'!AG32="";"";'Input Nilai Ketrampilan'!AG32)</v>
      </c>
      <c r="BF22" s="42" t="str">
        <f>$B$22&amp;BF15&amp;"="&amp;$C$22&amp;BF15&amp;")"</f>
        <v>IF('Input Nilai Ketrampilan'!AG33="";"";'Input Nilai Ketrampilan'!AG33)</v>
      </c>
      <c r="BH22" s="42" t="str">
        <f>$B$22&amp;BH15&amp;"="&amp;$C$22&amp;BH15&amp;")"</f>
        <v>IF('Input Nilai Ketrampilan'!AG34="";"";'Input Nilai Ketrampilan'!AG34)</v>
      </c>
      <c r="BJ22" s="42" t="str">
        <f>$B$22&amp;BJ15&amp;"="&amp;$C$22&amp;BJ15&amp;")"</f>
        <v>IF('Input Nilai Ketrampilan'!AG35="";"";'Input Nilai Ketrampilan'!AG35)</v>
      </c>
      <c r="BL22" s="42" t="str">
        <f>$B$22&amp;BL15&amp;"="&amp;$C$22&amp;BL15&amp;")"</f>
        <v>IF('Input Nilai Ketrampilan'!AG36="";"";'Input Nilai Ketrampilan'!AG36)</v>
      </c>
      <c r="BN22" s="42" t="str">
        <f>$B$22&amp;BN15&amp;"="&amp;$C$22&amp;BN15&amp;")"</f>
        <v>IF('Input Nilai Ketrampilan'!AG37="";"";'Input Nilai Ketrampilan'!AG37)</v>
      </c>
      <c r="BP22" s="42" t="str">
        <f>$B$22&amp;BP15&amp;"="&amp;$C$22&amp;BP15&amp;")"</f>
        <v>IF('Input Nilai Ketrampilan'!AG38="";"";'Input Nilai Ketrampilan'!AG38)</v>
      </c>
      <c r="BR22" s="42" t="str">
        <f>$B$22&amp;BR15&amp;"="&amp;$C$22&amp;BR15&amp;")"</f>
        <v>IF('Input Nilai Ketrampilan'!AG39="";"";'Input Nilai Ketrampilan'!AG39)</v>
      </c>
      <c r="BT22" s="42" t="str">
        <f>$B$22&amp;BT15&amp;"="&amp;$C$22&amp;BT15&amp;")"</f>
        <v>IF('Input Nilai Ketrampilan'!AG40="";"";'Input Nilai Ketrampilan'!AG40)</v>
      </c>
      <c r="BV22" s="42" t="str">
        <f>$B$22&amp;BV15&amp;"="&amp;$C$22&amp;BV15&amp;")"</f>
        <v>IF('Input Nilai Ketrampilan'!AG41="";"";'Input Nilai Ketrampilan'!AG41)</v>
      </c>
      <c r="BX22" s="42" t="str">
        <f>$B$22&amp;BX15&amp;"="&amp;$C$22&amp;BX15&amp;")"</f>
        <v>IF('Input Nilai Ketrampilan'!AG42="";"";'Input Nilai Ketrampilan'!AG42)</v>
      </c>
      <c r="BZ22" s="42" t="str">
        <f>$B$22&amp;BZ15&amp;"="&amp;$C$22&amp;BZ15&amp;")"</f>
        <v>IF('Input Nilai Ketrampilan'!AG43="";"";'Input Nilai Ketrampilan'!AG43)</v>
      </c>
      <c r="CB22" s="42" t="str">
        <f>$B$22&amp;CB15&amp;"="&amp;$C$22&amp;CB15&amp;")"</f>
        <v>IF('Input Nilai Ketrampilan'!AG44="";"";'Input Nilai Ketrampilan'!AG44)</v>
      </c>
      <c r="CD22" s="42" t="str">
        <f>$B$22&amp;CD15&amp;"="&amp;$C$22&amp;CD15&amp;")"</f>
        <v>IF('Input Nilai Ketrampilan'!AG45="";"";'Input Nilai Ketrampilan'!AG45)</v>
      </c>
      <c r="CF22" s="42" t="str">
        <f>$B$22&amp;CF15&amp;"="&amp;$C$22&amp;CF15&amp;")"</f>
        <v>IF('Input Nilai Ketrampilan'!AG46="";"";'Input Nilai Ketrampilan'!AG46)</v>
      </c>
      <c r="CH22" s="42" t="str">
        <f>$B$22&amp;CH15&amp;"="&amp;$C$22&amp;CH15&amp;")"</f>
        <v>IF('Input Nilai Ketrampilan'!AG47="";"";'Input Nilai Ketrampilan'!AG47)</v>
      </c>
      <c r="CJ22" s="42" t="str">
        <f>$B$22&amp;CJ15&amp;"="&amp;$C$22&amp;CJ15&amp;")"</f>
        <v>IF('Input Nilai Ketrampilan'!AG48="";"";'Input Nilai Ketrampilan'!AG48)</v>
      </c>
      <c r="CL22" s="42" t="str">
        <f>$B$22&amp;CL15&amp;"="&amp;$C$22&amp;CL15&amp;")"</f>
        <v>IF('Input Nilai Ketrampilan'!AG49="";"";'Input Nilai Ketrampilan'!AG49)</v>
      </c>
      <c r="CN22" s="42" t="str">
        <f>$B$22&amp;CN15&amp;"="&amp;$C$22&amp;CN15&amp;")"</f>
        <v>IF('Input Nilai Ketrampilan'!AG50="";"";'Input Nilai Ketrampilan'!AG50)</v>
      </c>
      <c r="CP22" s="42" t="str">
        <f>$B$22&amp;CP15&amp;"="&amp;$C$22&amp;CP15&amp;")"</f>
        <v>IF('Input Nilai Ketrampilan'!AG51="";"";'Input Nilai Ketrampilan'!AG51)</v>
      </c>
      <c r="CR22" s="42" t="str">
        <f>$B$22&amp;CR15&amp;"="&amp;$C$22&amp;CR15&amp;")"</f>
        <v>IF('Input Nilai Ketrampilan'!AG52="";"";'Input Nilai Ketrampilan'!AG52)</v>
      </c>
    </row>
    <row r="23" spans="1:96">
      <c r="A23" s="72">
        <v>8</v>
      </c>
      <c r="B23" s="42" t="s">
        <v>416</v>
      </c>
      <c r="C23" s="42" t="s">
        <v>426</v>
      </c>
      <c r="D23" s="42" t="str">
        <f>$B$23&amp;D15&amp;"="&amp;$C$23&amp;D15&amp;")"</f>
        <v>IF('Input Nilai Ketrampilan'!AK6="";"";'Input Nilai Ketrampilan'!AK6)</v>
      </c>
      <c r="F23" s="42" t="str">
        <f>$B$23&amp;F15&amp;"="&amp;$C$23&amp;F15&amp;")"</f>
        <v>IF('Input Nilai Ketrampilan'!AK7="";"";'Input Nilai Ketrampilan'!AK7)</v>
      </c>
      <c r="H23" s="42" t="str">
        <f>$B$23&amp;H15&amp;"="&amp;$C$23&amp;H15&amp;")"</f>
        <v>IF('Input Nilai Ketrampilan'!AK8="";"";'Input Nilai Ketrampilan'!AK8)</v>
      </c>
      <c r="J23" s="42" t="str">
        <f>$B$23&amp;J15&amp;"="&amp;$C$23&amp;J15&amp;")"</f>
        <v>IF('Input Nilai Ketrampilan'!AK9="";"";'Input Nilai Ketrampilan'!AK9)</v>
      </c>
      <c r="L23" s="42" t="str">
        <f>$B$23&amp;L15&amp;"="&amp;$C$23&amp;L15&amp;")"</f>
        <v>IF('Input Nilai Ketrampilan'!AK10="";"";'Input Nilai Ketrampilan'!AK10)</v>
      </c>
      <c r="N23" s="42" t="str">
        <f>$B$23&amp;N15&amp;"="&amp;$C$23&amp;N15&amp;")"</f>
        <v>IF('Input Nilai Ketrampilan'!AK11="";"";'Input Nilai Ketrampilan'!AK11)</v>
      </c>
      <c r="P23" s="42" t="str">
        <f>$B$23&amp;P15&amp;"="&amp;$C$23&amp;P15&amp;")"</f>
        <v>IF('Input Nilai Ketrampilan'!AK12="";"";'Input Nilai Ketrampilan'!AK12)</v>
      </c>
      <c r="R23" s="42" t="str">
        <f>$B$23&amp;R15&amp;"="&amp;$C$23&amp;R15&amp;")"</f>
        <v>IF('Input Nilai Ketrampilan'!AK13="";"";'Input Nilai Ketrampilan'!AK13)</v>
      </c>
      <c r="T23" s="42" t="str">
        <f>$B$23&amp;T15&amp;"="&amp;$C$23&amp;T15&amp;")"</f>
        <v>IF('Input Nilai Ketrampilan'!AK14="";"";'Input Nilai Ketrampilan'!AK14)</v>
      </c>
      <c r="V23" s="42" t="str">
        <f>$B$23&amp;V15&amp;"="&amp;$C$23&amp;V15&amp;")"</f>
        <v>IF('Input Nilai Ketrampilan'!AK15="";"";'Input Nilai Ketrampilan'!AK15)</v>
      </c>
      <c r="X23" s="42" t="str">
        <f>$B$23&amp;X15&amp;"="&amp;$C$23&amp;X15&amp;")"</f>
        <v>IF('Input Nilai Ketrampilan'!AK16="";"";'Input Nilai Ketrampilan'!AK16)</v>
      </c>
      <c r="Z23" s="42" t="str">
        <f>$B$23&amp;Z15&amp;"="&amp;$C$23&amp;Z15&amp;")"</f>
        <v>IF('Input Nilai Ketrampilan'!AK17="";"";'Input Nilai Ketrampilan'!AK17)</v>
      </c>
      <c r="AB23" s="42" t="str">
        <f>$B$23&amp;AB15&amp;"="&amp;$C$23&amp;AB15&amp;")"</f>
        <v>IF('Input Nilai Ketrampilan'!AK18="";"";'Input Nilai Ketrampilan'!AK18)</v>
      </c>
      <c r="AD23" s="42" t="str">
        <f>$B$23&amp;AD15&amp;"="&amp;$C$23&amp;AD15&amp;")"</f>
        <v>IF('Input Nilai Ketrampilan'!AK19="";"";'Input Nilai Ketrampilan'!AK19)</v>
      </c>
      <c r="AF23" s="42" t="str">
        <f>$B$23&amp;AF15&amp;"="&amp;$C$23&amp;AF15&amp;")"</f>
        <v>IF('Input Nilai Ketrampilan'!AK20="";"";'Input Nilai Ketrampilan'!AK20)</v>
      </c>
      <c r="AH23" s="42" t="str">
        <f>$B$23&amp;AH15&amp;"="&amp;$C$23&amp;AH15&amp;")"</f>
        <v>IF('Input Nilai Ketrampilan'!AK21="";"";'Input Nilai Ketrampilan'!AK21)</v>
      </c>
      <c r="AJ23" s="42" t="str">
        <f>$B$23&amp;AJ15&amp;"="&amp;$C$23&amp;AJ15&amp;")"</f>
        <v>IF('Input Nilai Ketrampilan'!AK22="";"";'Input Nilai Ketrampilan'!AK22)</v>
      </c>
      <c r="AL23" s="42" t="str">
        <f>$B$23&amp;AL15&amp;"="&amp;$C$23&amp;AL15&amp;")"</f>
        <v>IF('Input Nilai Ketrampilan'!AK23="";"";'Input Nilai Ketrampilan'!AK23)</v>
      </c>
      <c r="AN23" s="42" t="str">
        <f>$B$23&amp;AN15&amp;"="&amp;$C$23&amp;AN15&amp;")"</f>
        <v>IF('Input Nilai Ketrampilan'!AK24="";"";'Input Nilai Ketrampilan'!AK24)</v>
      </c>
      <c r="AP23" s="42" t="str">
        <f>$B$23&amp;AP15&amp;"="&amp;$C$23&amp;AP15&amp;")"</f>
        <v>IF('Input Nilai Ketrampilan'!AK25="";"";'Input Nilai Ketrampilan'!AK25)</v>
      </c>
      <c r="AR23" s="42" t="str">
        <f>$B$23&amp;AR15&amp;"="&amp;$C$23&amp;AR15&amp;")"</f>
        <v>IF('Input Nilai Ketrampilan'!AK26="";"";'Input Nilai Ketrampilan'!AK26)</v>
      </c>
      <c r="AT23" s="42" t="str">
        <f>$B$23&amp;AT15&amp;"="&amp;$C$23&amp;AT15&amp;")"</f>
        <v>IF('Input Nilai Ketrampilan'!AK27="";"";'Input Nilai Ketrampilan'!AK27)</v>
      </c>
      <c r="AV23" s="42" t="str">
        <f>$B$23&amp;AV15&amp;"="&amp;$C$23&amp;AV15&amp;")"</f>
        <v>IF('Input Nilai Ketrampilan'!AK28="";"";'Input Nilai Ketrampilan'!AK28)</v>
      </c>
      <c r="AX23" s="42" t="str">
        <f>$B$23&amp;AX15&amp;"="&amp;$C$23&amp;AX15&amp;")"</f>
        <v>IF('Input Nilai Ketrampilan'!AK29="";"";'Input Nilai Ketrampilan'!AK29)</v>
      </c>
      <c r="AZ23" s="42" t="str">
        <f>$B$23&amp;AZ15&amp;"="&amp;$C$23&amp;AZ15&amp;")"</f>
        <v>IF('Input Nilai Ketrampilan'!AK30="";"";'Input Nilai Ketrampilan'!AK30)</v>
      </c>
      <c r="BB23" s="42" t="str">
        <f>$B$23&amp;BB15&amp;"="&amp;$C$23&amp;BB15&amp;")"</f>
        <v>IF('Input Nilai Ketrampilan'!AK31="";"";'Input Nilai Ketrampilan'!AK31)</v>
      </c>
      <c r="BD23" s="42" t="str">
        <f>$B$23&amp;BD15&amp;"="&amp;$C$23&amp;BD15&amp;")"</f>
        <v>IF('Input Nilai Ketrampilan'!AK32="";"";'Input Nilai Ketrampilan'!AK32)</v>
      </c>
      <c r="BF23" s="42" t="str">
        <f>$B$23&amp;BF15&amp;"="&amp;$C$23&amp;BF15&amp;")"</f>
        <v>IF('Input Nilai Ketrampilan'!AK33="";"";'Input Nilai Ketrampilan'!AK33)</v>
      </c>
      <c r="BH23" s="42" t="str">
        <f>$B$23&amp;BH15&amp;"="&amp;$C$23&amp;BH15&amp;")"</f>
        <v>IF('Input Nilai Ketrampilan'!AK34="";"";'Input Nilai Ketrampilan'!AK34)</v>
      </c>
      <c r="BJ23" s="42" t="str">
        <f>$B$23&amp;BJ15&amp;"="&amp;$C$23&amp;BJ15&amp;")"</f>
        <v>IF('Input Nilai Ketrampilan'!AK35="";"";'Input Nilai Ketrampilan'!AK35)</v>
      </c>
      <c r="BL23" s="42" t="str">
        <f>$B$23&amp;BL15&amp;"="&amp;$C$23&amp;BL15&amp;")"</f>
        <v>IF('Input Nilai Ketrampilan'!AK36="";"";'Input Nilai Ketrampilan'!AK36)</v>
      </c>
      <c r="BN23" s="42" t="str">
        <f>$B$23&amp;BN15&amp;"="&amp;$C$23&amp;BN15&amp;")"</f>
        <v>IF('Input Nilai Ketrampilan'!AK37="";"";'Input Nilai Ketrampilan'!AK37)</v>
      </c>
      <c r="BP23" s="42" t="str">
        <f>$B$23&amp;BP15&amp;"="&amp;$C$23&amp;BP15&amp;")"</f>
        <v>IF('Input Nilai Ketrampilan'!AK38="";"";'Input Nilai Ketrampilan'!AK38)</v>
      </c>
      <c r="BR23" s="42" t="str">
        <f>$B$23&amp;BR15&amp;"="&amp;$C$23&amp;BR15&amp;")"</f>
        <v>IF('Input Nilai Ketrampilan'!AK39="";"";'Input Nilai Ketrampilan'!AK39)</v>
      </c>
      <c r="BT23" s="42" t="str">
        <f>$B$23&amp;BT15&amp;"="&amp;$C$23&amp;BT15&amp;")"</f>
        <v>IF('Input Nilai Ketrampilan'!AK40="";"";'Input Nilai Ketrampilan'!AK40)</v>
      </c>
      <c r="BV23" s="42" t="str">
        <f>$B$23&amp;BV15&amp;"="&amp;$C$23&amp;BV15&amp;")"</f>
        <v>IF('Input Nilai Ketrampilan'!AK41="";"";'Input Nilai Ketrampilan'!AK41)</v>
      </c>
      <c r="BX23" s="42" t="str">
        <f>$B$23&amp;BX15&amp;"="&amp;$C$23&amp;BX15&amp;")"</f>
        <v>IF('Input Nilai Ketrampilan'!AK42="";"";'Input Nilai Ketrampilan'!AK42)</v>
      </c>
      <c r="BZ23" s="42" t="str">
        <f>$B$23&amp;BZ15&amp;"="&amp;$C$23&amp;BZ15&amp;")"</f>
        <v>IF('Input Nilai Ketrampilan'!AK43="";"";'Input Nilai Ketrampilan'!AK43)</v>
      </c>
      <c r="CB23" s="42" t="str">
        <f>$B$23&amp;CB15&amp;"="&amp;$C$23&amp;CB15&amp;")"</f>
        <v>IF('Input Nilai Ketrampilan'!AK44="";"";'Input Nilai Ketrampilan'!AK44)</v>
      </c>
      <c r="CD23" s="42" t="str">
        <f>$B$23&amp;CD15&amp;"="&amp;$C$23&amp;CD15&amp;")"</f>
        <v>IF('Input Nilai Ketrampilan'!AK45="";"";'Input Nilai Ketrampilan'!AK45)</v>
      </c>
      <c r="CF23" s="42" t="str">
        <f>$B$23&amp;CF15&amp;"="&amp;$C$23&amp;CF15&amp;")"</f>
        <v>IF('Input Nilai Ketrampilan'!AK46="";"";'Input Nilai Ketrampilan'!AK46)</v>
      </c>
      <c r="CH23" s="42" t="str">
        <f>$B$23&amp;CH15&amp;"="&amp;$C$23&amp;CH15&amp;")"</f>
        <v>IF('Input Nilai Ketrampilan'!AK47="";"";'Input Nilai Ketrampilan'!AK47)</v>
      </c>
      <c r="CJ23" s="42" t="str">
        <f>$B$23&amp;CJ15&amp;"="&amp;$C$23&amp;CJ15&amp;")"</f>
        <v>IF('Input Nilai Ketrampilan'!AK48="";"";'Input Nilai Ketrampilan'!AK48)</v>
      </c>
      <c r="CL23" s="42" t="str">
        <f>$B$23&amp;CL15&amp;"="&amp;$C$23&amp;CL15&amp;")"</f>
        <v>IF('Input Nilai Ketrampilan'!AK49="";"";'Input Nilai Ketrampilan'!AK49)</v>
      </c>
      <c r="CN23" s="42" t="str">
        <f>$B$23&amp;CN15&amp;"="&amp;$C$23&amp;CN15&amp;")"</f>
        <v>IF('Input Nilai Ketrampilan'!AK50="";"";'Input Nilai Ketrampilan'!AK50)</v>
      </c>
      <c r="CP23" s="42" t="str">
        <f>$B$23&amp;CP15&amp;"="&amp;$C$23&amp;CP15&amp;")"</f>
        <v>IF('Input Nilai Ketrampilan'!AK51="";"";'Input Nilai Ketrampilan'!AK51)</v>
      </c>
      <c r="CR23" s="42" t="str">
        <f>$B$23&amp;CR15&amp;"="&amp;$C$23&amp;CR15&amp;")"</f>
        <v>IF('Input Nilai Ketrampilan'!AK52="";"";'Input Nilai Ketrampilan'!AK52)</v>
      </c>
    </row>
    <row r="24" spans="1:96">
      <c r="A24" s="72">
        <v>9</v>
      </c>
      <c r="B24" s="42" t="s">
        <v>417</v>
      </c>
      <c r="C24" s="42" t="s">
        <v>427</v>
      </c>
      <c r="D24" s="42" t="str">
        <f>$B$24&amp;D15&amp;"="&amp;$C$24&amp;D15&amp;")"</f>
        <v>IF('Input Nilai Ketrampilan'!AO6="";"";'Input Nilai Ketrampilan'!AO6)</v>
      </c>
      <c r="F24" s="42" t="str">
        <f>$B$24&amp;F15&amp;"="&amp;$C$24&amp;F15&amp;")"</f>
        <v>IF('Input Nilai Ketrampilan'!AO7="";"";'Input Nilai Ketrampilan'!AO7)</v>
      </c>
      <c r="H24" s="42" t="str">
        <f>$B$24&amp;H15&amp;"="&amp;$C$24&amp;H15&amp;")"</f>
        <v>IF('Input Nilai Ketrampilan'!AO8="";"";'Input Nilai Ketrampilan'!AO8)</v>
      </c>
      <c r="J24" s="42" t="str">
        <f>$B$24&amp;J15&amp;"="&amp;$C$24&amp;J15&amp;")"</f>
        <v>IF('Input Nilai Ketrampilan'!AO9="";"";'Input Nilai Ketrampilan'!AO9)</v>
      </c>
      <c r="L24" s="42" t="str">
        <f>$B$24&amp;L15&amp;"="&amp;$C$24&amp;L15&amp;")"</f>
        <v>IF('Input Nilai Ketrampilan'!AO10="";"";'Input Nilai Ketrampilan'!AO10)</v>
      </c>
      <c r="N24" s="42" t="str">
        <f>$B$24&amp;N15&amp;"="&amp;$C$24&amp;N15&amp;")"</f>
        <v>IF('Input Nilai Ketrampilan'!AO11="";"";'Input Nilai Ketrampilan'!AO11)</v>
      </c>
      <c r="P24" s="42" t="str">
        <f>$B$24&amp;P15&amp;"="&amp;$C$24&amp;P15&amp;")"</f>
        <v>IF('Input Nilai Ketrampilan'!AO12="";"";'Input Nilai Ketrampilan'!AO12)</v>
      </c>
      <c r="R24" s="42" t="str">
        <f>$B$24&amp;R15&amp;"="&amp;$C$24&amp;R15&amp;")"</f>
        <v>IF('Input Nilai Ketrampilan'!AO13="";"";'Input Nilai Ketrampilan'!AO13)</v>
      </c>
      <c r="T24" s="42" t="str">
        <f>$B$24&amp;T15&amp;"="&amp;$C$24&amp;T15&amp;")"</f>
        <v>IF('Input Nilai Ketrampilan'!AO14="";"";'Input Nilai Ketrampilan'!AO14)</v>
      </c>
      <c r="V24" s="42" t="str">
        <f>$B$24&amp;V15&amp;"="&amp;$C$24&amp;V15&amp;")"</f>
        <v>IF('Input Nilai Ketrampilan'!AO15="";"";'Input Nilai Ketrampilan'!AO15)</v>
      </c>
      <c r="X24" s="42" t="str">
        <f>$B$24&amp;X15&amp;"="&amp;$C$24&amp;X15&amp;")"</f>
        <v>IF('Input Nilai Ketrampilan'!AO16="";"";'Input Nilai Ketrampilan'!AO16)</v>
      </c>
      <c r="Z24" s="42" t="str">
        <f>$B$24&amp;Z15&amp;"="&amp;$C$24&amp;Z15&amp;")"</f>
        <v>IF('Input Nilai Ketrampilan'!AO17="";"";'Input Nilai Ketrampilan'!AO17)</v>
      </c>
      <c r="AB24" s="42" t="str">
        <f>$B$24&amp;AB15&amp;"="&amp;$C$24&amp;AB15&amp;")"</f>
        <v>IF('Input Nilai Ketrampilan'!AO18="";"";'Input Nilai Ketrampilan'!AO18)</v>
      </c>
      <c r="AD24" s="42" t="str">
        <f>$B$24&amp;AD15&amp;"="&amp;$C$24&amp;AD15&amp;")"</f>
        <v>IF('Input Nilai Ketrampilan'!AO19="";"";'Input Nilai Ketrampilan'!AO19)</v>
      </c>
      <c r="AF24" s="42" t="str">
        <f>$B$24&amp;AF15&amp;"="&amp;$C$24&amp;AF15&amp;")"</f>
        <v>IF('Input Nilai Ketrampilan'!AO20="";"";'Input Nilai Ketrampilan'!AO20)</v>
      </c>
      <c r="AH24" s="42" t="str">
        <f>$B$24&amp;AH15&amp;"="&amp;$C$24&amp;AH15&amp;")"</f>
        <v>IF('Input Nilai Ketrampilan'!AO21="";"";'Input Nilai Ketrampilan'!AO21)</v>
      </c>
      <c r="AJ24" s="42" t="str">
        <f>$B$24&amp;AJ15&amp;"="&amp;$C$24&amp;AJ15&amp;")"</f>
        <v>IF('Input Nilai Ketrampilan'!AO22="";"";'Input Nilai Ketrampilan'!AO22)</v>
      </c>
      <c r="AL24" s="42" t="str">
        <f>$B$24&amp;AL15&amp;"="&amp;$C$24&amp;AL15&amp;")"</f>
        <v>IF('Input Nilai Ketrampilan'!AO23="";"";'Input Nilai Ketrampilan'!AO23)</v>
      </c>
      <c r="AN24" s="42" t="str">
        <f>$B$24&amp;AN15&amp;"="&amp;$C$24&amp;AN15&amp;")"</f>
        <v>IF('Input Nilai Ketrampilan'!AO24="";"";'Input Nilai Ketrampilan'!AO24)</v>
      </c>
      <c r="AP24" s="42" t="str">
        <f>$B$24&amp;AP15&amp;"="&amp;$C$24&amp;AP15&amp;")"</f>
        <v>IF('Input Nilai Ketrampilan'!AO25="";"";'Input Nilai Ketrampilan'!AO25)</v>
      </c>
      <c r="AR24" s="42" t="str">
        <f>$B$24&amp;AR15&amp;"="&amp;$C$24&amp;AR15&amp;")"</f>
        <v>IF('Input Nilai Ketrampilan'!AO26="";"";'Input Nilai Ketrampilan'!AO26)</v>
      </c>
      <c r="AT24" s="42" t="str">
        <f>$B$24&amp;AT15&amp;"="&amp;$C$24&amp;AT15&amp;")"</f>
        <v>IF('Input Nilai Ketrampilan'!AO27="";"";'Input Nilai Ketrampilan'!AO27)</v>
      </c>
      <c r="AV24" s="42" t="str">
        <f>$B$24&amp;AV15&amp;"="&amp;$C$24&amp;AV15&amp;")"</f>
        <v>IF('Input Nilai Ketrampilan'!AO28="";"";'Input Nilai Ketrampilan'!AO28)</v>
      </c>
      <c r="AX24" s="42" t="str">
        <f>$B$24&amp;AX15&amp;"="&amp;$C$24&amp;AX15&amp;")"</f>
        <v>IF('Input Nilai Ketrampilan'!AO29="";"";'Input Nilai Ketrampilan'!AO29)</v>
      </c>
      <c r="AZ24" s="42" t="str">
        <f>$B$24&amp;AZ15&amp;"="&amp;$C$24&amp;AZ15&amp;")"</f>
        <v>IF('Input Nilai Ketrampilan'!AO30="";"";'Input Nilai Ketrampilan'!AO30)</v>
      </c>
      <c r="BB24" s="42" t="str">
        <f>$B$24&amp;BB15&amp;"="&amp;$C$24&amp;BB15&amp;")"</f>
        <v>IF('Input Nilai Ketrampilan'!AO31="";"";'Input Nilai Ketrampilan'!AO31)</v>
      </c>
      <c r="BD24" s="42" t="str">
        <f>$B$24&amp;BD15&amp;"="&amp;$C$24&amp;BD15&amp;")"</f>
        <v>IF('Input Nilai Ketrampilan'!AO32="";"";'Input Nilai Ketrampilan'!AO32)</v>
      </c>
      <c r="BF24" s="42" t="str">
        <f>$B$24&amp;BF15&amp;"="&amp;$C$24&amp;BF15&amp;")"</f>
        <v>IF('Input Nilai Ketrampilan'!AO33="";"";'Input Nilai Ketrampilan'!AO33)</v>
      </c>
      <c r="BH24" s="42" t="str">
        <f>$B$24&amp;BH15&amp;"="&amp;$C$24&amp;BH15&amp;")"</f>
        <v>IF('Input Nilai Ketrampilan'!AO34="";"";'Input Nilai Ketrampilan'!AO34)</v>
      </c>
      <c r="BJ24" s="42" t="str">
        <f>$B$24&amp;BJ15&amp;"="&amp;$C$24&amp;BJ15&amp;")"</f>
        <v>IF('Input Nilai Ketrampilan'!AO35="";"";'Input Nilai Ketrampilan'!AO35)</v>
      </c>
      <c r="BL24" s="42" t="str">
        <f>$B$24&amp;BL15&amp;"="&amp;$C$24&amp;BL15&amp;")"</f>
        <v>IF('Input Nilai Ketrampilan'!AO36="";"";'Input Nilai Ketrampilan'!AO36)</v>
      </c>
      <c r="BN24" s="42" t="str">
        <f>$B$24&amp;BN15&amp;"="&amp;$C$24&amp;BN15&amp;")"</f>
        <v>IF('Input Nilai Ketrampilan'!AO37="";"";'Input Nilai Ketrampilan'!AO37)</v>
      </c>
      <c r="BP24" s="42" t="str">
        <f>$B$24&amp;BP15&amp;"="&amp;$C$24&amp;BP15&amp;")"</f>
        <v>IF('Input Nilai Ketrampilan'!AO38="";"";'Input Nilai Ketrampilan'!AO38)</v>
      </c>
      <c r="BR24" s="42" t="str">
        <f>$B$24&amp;BR15&amp;"="&amp;$C$24&amp;BR15&amp;")"</f>
        <v>IF('Input Nilai Ketrampilan'!AO39="";"";'Input Nilai Ketrampilan'!AO39)</v>
      </c>
      <c r="BT24" s="42" t="str">
        <f>$B$24&amp;BT15&amp;"="&amp;$C$24&amp;BT15&amp;")"</f>
        <v>IF('Input Nilai Ketrampilan'!AO40="";"";'Input Nilai Ketrampilan'!AO40)</v>
      </c>
      <c r="BV24" s="42" t="str">
        <f>$B$24&amp;BV15&amp;"="&amp;$C$24&amp;BV15&amp;")"</f>
        <v>IF('Input Nilai Ketrampilan'!AO41="";"";'Input Nilai Ketrampilan'!AO41)</v>
      </c>
      <c r="BX24" s="42" t="str">
        <f>$B$24&amp;BX15&amp;"="&amp;$C$24&amp;BX15&amp;")"</f>
        <v>IF('Input Nilai Ketrampilan'!AO42="";"";'Input Nilai Ketrampilan'!AO42)</v>
      </c>
      <c r="BZ24" s="42" t="str">
        <f>$B$24&amp;BZ15&amp;"="&amp;$C$24&amp;BZ15&amp;")"</f>
        <v>IF('Input Nilai Ketrampilan'!AO43="";"";'Input Nilai Ketrampilan'!AO43)</v>
      </c>
      <c r="CB24" s="42" t="str">
        <f>$B$24&amp;CB15&amp;"="&amp;$C$24&amp;CB15&amp;")"</f>
        <v>IF('Input Nilai Ketrampilan'!AO44="";"";'Input Nilai Ketrampilan'!AO44)</v>
      </c>
      <c r="CD24" s="42" t="str">
        <f>$B$24&amp;CD15&amp;"="&amp;$C$24&amp;CD15&amp;")"</f>
        <v>IF('Input Nilai Ketrampilan'!AO45="";"";'Input Nilai Ketrampilan'!AO45)</v>
      </c>
      <c r="CF24" s="42" t="str">
        <f>$B$24&amp;CF15&amp;"="&amp;$C$24&amp;CF15&amp;")"</f>
        <v>IF('Input Nilai Ketrampilan'!AO46="";"";'Input Nilai Ketrampilan'!AO46)</v>
      </c>
      <c r="CH24" s="42" t="str">
        <f>$B$24&amp;CH15&amp;"="&amp;$C$24&amp;CH15&amp;")"</f>
        <v>IF('Input Nilai Ketrampilan'!AO47="";"";'Input Nilai Ketrampilan'!AO47)</v>
      </c>
      <c r="CJ24" s="42" t="str">
        <f>$B$24&amp;CJ15&amp;"="&amp;$C$24&amp;CJ15&amp;")"</f>
        <v>IF('Input Nilai Ketrampilan'!AO48="";"";'Input Nilai Ketrampilan'!AO48)</v>
      </c>
      <c r="CL24" s="42" t="str">
        <f>$B$24&amp;CL15&amp;"="&amp;$C$24&amp;CL15&amp;")"</f>
        <v>IF('Input Nilai Ketrampilan'!AO49="";"";'Input Nilai Ketrampilan'!AO49)</v>
      </c>
      <c r="CN24" s="42" t="str">
        <f>$B$24&amp;CN15&amp;"="&amp;$C$24&amp;CN15&amp;")"</f>
        <v>IF('Input Nilai Ketrampilan'!AO50="";"";'Input Nilai Ketrampilan'!AO50)</v>
      </c>
      <c r="CP24" s="42" t="str">
        <f>$B$24&amp;CP15&amp;"="&amp;$C$24&amp;CP15&amp;")"</f>
        <v>IF('Input Nilai Ketrampilan'!AO51="";"";'Input Nilai Ketrampilan'!AO51)</v>
      </c>
      <c r="CR24" s="42" t="str">
        <f>$B$24&amp;CR15&amp;"="&amp;$C$24&amp;CR15&amp;")"</f>
        <v>IF('Input Nilai Ketrampilan'!AO52="";"";'Input Nilai Ketrampilan'!AO52)</v>
      </c>
    </row>
    <row r="25" spans="1:96">
      <c r="A25" s="72">
        <v>10</v>
      </c>
      <c r="B25" s="42" t="s">
        <v>418</v>
      </c>
      <c r="C25" s="42" t="s">
        <v>428</v>
      </c>
      <c r="D25" s="42" t="str">
        <f>$B$25&amp;D15&amp;"="&amp;$C$25&amp;D15&amp;")"</f>
        <v>IF('Input Nilai Ketrampilan'!AS6="";"";'Input Nilai Ketrampilan'!AS6)</v>
      </c>
      <c r="F25" s="42" t="str">
        <f>$B$25&amp;F15&amp;"="&amp;$C$25&amp;F15&amp;")"</f>
        <v>IF('Input Nilai Ketrampilan'!AS7="";"";'Input Nilai Ketrampilan'!AS7)</v>
      </c>
      <c r="H25" s="42" t="str">
        <f>$B$25&amp;H15&amp;"="&amp;$C$25&amp;H15&amp;")"</f>
        <v>IF('Input Nilai Ketrampilan'!AS8="";"";'Input Nilai Ketrampilan'!AS8)</v>
      </c>
      <c r="J25" s="42" t="str">
        <f>$B$25&amp;J15&amp;"="&amp;$C$25&amp;J15&amp;")"</f>
        <v>IF('Input Nilai Ketrampilan'!AS9="";"";'Input Nilai Ketrampilan'!AS9)</v>
      </c>
      <c r="L25" s="42" t="str">
        <f>$B$25&amp;L15&amp;"="&amp;$C$25&amp;L15&amp;")"</f>
        <v>IF('Input Nilai Ketrampilan'!AS10="";"";'Input Nilai Ketrampilan'!AS10)</v>
      </c>
      <c r="N25" s="42" t="str">
        <f>$B$25&amp;N15&amp;"="&amp;$C$25&amp;N15&amp;")"</f>
        <v>IF('Input Nilai Ketrampilan'!AS11="";"";'Input Nilai Ketrampilan'!AS11)</v>
      </c>
      <c r="P25" s="42" t="str">
        <f>$B$25&amp;P15&amp;"="&amp;$C$25&amp;P15&amp;")"</f>
        <v>IF('Input Nilai Ketrampilan'!AS12="";"";'Input Nilai Ketrampilan'!AS12)</v>
      </c>
      <c r="R25" s="42" t="str">
        <f>$B$25&amp;R15&amp;"="&amp;$C$25&amp;R15&amp;")"</f>
        <v>IF('Input Nilai Ketrampilan'!AS13="";"";'Input Nilai Ketrampilan'!AS13)</v>
      </c>
      <c r="T25" s="42" t="str">
        <f>$B$25&amp;T15&amp;"="&amp;$C$25&amp;T15&amp;")"</f>
        <v>IF('Input Nilai Ketrampilan'!AS14="";"";'Input Nilai Ketrampilan'!AS14)</v>
      </c>
      <c r="V25" s="42" t="str">
        <f>$B$25&amp;V15&amp;"="&amp;$C$25&amp;V15&amp;")"</f>
        <v>IF('Input Nilai Ketrampilan'!AS15="";"";'Input Nilai Ketrampilan'!AS15)</v>
      </c>
      <c r="X25" s="42" t="str">
        <f>$B$25&amp;X15&amp;"="&amp;$C$25&amp;X15&amp;")"</f>
        <v>IF('Input Nilai Ketrampilan'!AS16="";"";'Input Nilai Ketrampilan'!AS16)</v>
      </c>
      <c r="Z25" s="42" t="str">
        <f>$B$25&amp;Z15&amp;"="&amp;$C$25&amp;Z15&amp;")"</f>
        <v>IF('Input Nilai Ketrampilan'!AS17="";"";'Input Nilai Ketrampilan'!AS17)</v>
      </c>
      <c r="AB25" s="42" t="str">
        <f>$B$25&amp;AB15&amp;"="&amp;$C$25&amp;AB15&amp;")"</f>
        <v>IF('Input Nilai Ketrampilan'!AS18="";"";'Input Nilai Ketrampilan'!AS18)</v>
      </c>
      <c r="AD25" s="42" t="str">
        <f>$B$25&amp;AD15&amp;"="&amp;$C$25&amp;AD15&amp;")"</f>
        <v>IF('Input Nilai Ketrampilan'!AS19="";"";'Input Nilai Ketrampilan'!AS19)</v>
      </c>
      <c r="AF25" s="42" t="str">
        <f>$B$25&amp;AF15&amp;"="&amp;$C$25&amp;AF15&amp;")"</f>
        <v>IF('Input Nilai Ketrampilan'!AS20="";"";'Input Nilai Ketrampilan'!AS20)</v>
      </c>
      <c r="AH25" s="42" t="str">
        <f>$B$25&amp;AH15&amp;"="&amp;$C$25&amp;AH15&amp;")"</f>
        <v>IF('Input Nilai Ketrampilan'!AS21="";"";'Input Nilai Ketrampilan'!AS21)</v>
      </c>
      <c r="AJ25" s="42" t="str">
        <f>$B$25&amp;AJ15&amp;"="&amp;$C$25&amp;AJ15&amp;")"</f>
        <v>IF('Input Nilai Ketrampilan'!AS22="";"";'Input Nilai Ketrampilan'!AS22)</v>
      </c>
      <c r="AL25" s="42" t="str">
        <f>$B$25&amp;AL15&amp;"="&amp;$C$25&amp;AL15&amp;")"</f>
        <v>IF('Input Nilai Ketrampilan'!AS23="";"";'Input Nilai Ketrampilan'!AS23)</v>
      </c>
      <c r="AN25" s="42" t="str">
        <f>$B$25&amp;AN15&amp;"="&amp;$C$25&amp;AN15&amp;")"</f>
        <v>IF('Input Nilai Ketrampilan'!AS24="";"";'Input Nilai Ketrampilan'!AS24)</v>
      </c>
      <c r="AP25" s="42" t="str">
        <f>$B$25&amp;AP15&amp;"="&amp;$C$25&amp;AP15&amp;")"</f>
        <v>IF('Input Nilai Ketrampilan'!AS25="";"";'Input Nilai Ketrampilan'!AS25)</v>
      </c>
      <c r="AR25" s="42" t="str">
        <f>$B$25&amp;AR15&amp;"="&amp;$C$25&amp;AR15&amp;")"</f>
        <v>IF('Input Nilai Ketrampilan'!AS26="";"";'Input Nilai Ketrampilan'!AS26)</v>
      </c>
      <c r="AT25" s="42" t="str">
        <f>$B$25&amp;AT15&amp;"="&amp;$C$25&amp;AT15&amp;")"</f>
        <v>IF('Input Nilai Ketrampilan'!AS27="";"";'Input Nilai Ketrampilan'!AS27)</v>
      </c>
      <c r="AV25" s="42" t="str">
        <f>$B$25&amp;AV15&amp;"="&amp;$C$25&amp;AV15&amp;")"</f>
        <v>IF('Input Nilai Ketrampilan'!AS28="";"";'Input Nilai Ketrampilan'!AS28)</v>
      </c>
      <c r="AX25" s="42" t="str">
        <f>$B$25&amp;AX15&amp;"="&amp;$C$25&amp;AX15&amp;")"</f>
        <v>IF('Input Nilai Ketrampilan'!AS29="";"";'Input Nilai Ketrampilan'!AS29)</v>
      </c>
      <c r="AZ25" s="42" t="str">
        <f>$B$25&amp;AZ15&amp;"="&amp;$C$25&amp;AZ15&amp;")"</f>
        <v>IF('Input Nilai Ketrampilan'!AS30="";"";'Input Nilai Ketrampilan'!AS30)</v>
      </c>
      <c r="BB25" s="42" t="str">
        <f>$B$25&amp;BB15&amp;"="&amp;$C$25&amp;BB15&amp;")"</f>
        <v>IF('Input Nilai Ketrampilan'!AS31="";"";'Input Nilai Ketrampilan'!AS31)</v>
      </c>
      <c r="BD25" s="42" t="str">
        <f>$B$25&amp;BD15&amp;"="&amp;$C$25&amp;BD15&amp;")"</f>
        <v>IF('Input Nilai Ketrampilan'!AS32="";"";'Input Nilai Ketrampilan'!AS32)</v>
      </c>
      <c r="BF25" s="42" t="str">
        <f>$B$25&amp;BF15&amp;"="&amp;$C$25&amp;BF15&amp;")"</f>
        <v>IF('Input Nilai Ketrampilan'!AS33="";"";'Input Nilai Ketrampilan'!AS33)</v>
      </c>
      <c r="BH25" s="42" t="str">
        <f>$B$25&amp;BH15&amp;"="&amp;$C$25&amp;BH15&amp;")"</f>
        <v>IF('Input Nilai Ketrampilan'!AS34="";"";'Input Nilai Ketrampilan'!AS34)</v>
      </c>
      <c r="BJ25" s="42" t="str">
        <f>$B$25&amp;BJ15&amp;"="&amp;$C$25&amp;BJ15&amp;")"</f>
        <v>IF('Input Nilai Ketrampilan'!AS35="";"";'Input Nilai Ketrampilan'!AS35)</v>
      </c>
      <c r="BL25" s="42" t="str">
        <f>$B$25&amp;BL15&amp;"="&amp;$C$25&amp;BL15&amp;")"</f>
        <v>IF('Input Nilai Ketrampilan'!AS36="";"";'Input Nilai Ketrampilan'!AS36)</v>
      </c>
      <c r="BN25" s="42" t="str">
        <f>$B$25&amp;BN15&amp;"="&amp;$C$25&amp;BN15&amp;")"</f>
        <v>IF('Input Nilai Ketrampilan'!AS37="";"";'Input Nilai Ketrampilan'!AS37)</v>
      </c>
      <c r="BP25" s="42" t="str">
        <f>$B$25&amp;BP15&amp;"="&amp;$C$25&amp;BP15&amp;")"</f>
        <v>IF('Input Nilai Ketrampilan'!AS38="";"";'Input Nilai Ketrampilan'!AS38)</v>
      </c>
      <c r="BR25" s="42" t="str">
        <f>$B$25&amp;BR15&amp;"="&amp;$C$25&amp;BR15&amp;")"</f>
        <v>IF('Input Nilai Ketrampilan'!AS39="";"";'Input Nilai Ketrampilan'!AS39)</v>
      </c>
      <c r="BT25" s="42" t="str">
        <f>$B$25&amp;BT15&amp;"="&amp;$C$25&amp;BT15&amp;")"</f>
        <v>IF('Input Nilai Ketrampilan'!AS40="";"";'Input Nilai Ketrampilan'!AS40)</v>
      </c>
      <c r="BV25" s="42" t="str">
        <f>$B$25&amp;BV15&amp;"="&amp;$C$25&amp;BV15&amp;")"</f>
        <v>IF('Input Nilai Ketrampilan'!AS41="";"";'Input Nilai Ketrampilan'!AS41)</v>
      </c>
      <c r="BX25" s="42" t="str">
        <f>$B$25&amp;BX15&amp;"="&amp;$C$25&amp;BX15&amp;")"</f>
        <v>IF('Input Nilai Ketrampilan'!AS42="";"";'Input Nilai Ketrampilan'!AS42)</v>
      </c>
      <c r="BZ25" s="42" t="str">
        <f>$B$25&amp;BZ15&amp;"="&amp;$C$25&amp;BZ15&amp;")"</f>
        <v>IF('Input Nilai Ketrampilan'!AS43="";"";'Input Nilai Ketrampilan'!AS43)</v>
      </c>
      <c r="CB25" s="42" t="str">
        <f>$B$25&amp;CB15&amp;"="&amp;$C$25&amp;CB15&amp;")"</f>
        <v>IF('Input Nilai Ketrampilan'!AS44="";"";'Input Nilai Ketrampilan'!AS44)</v>
      </c>
      <c r="CD25" s="42" t="str">
        <f>$B$25&amp;CD15&amp;"="&amp;$C$25&amp;CD15&amp;")"</f>
        <v>IF('Input Nilai Ketrampilan'!AS45="";"";'Input Nilai Ketrampilan'!AS45)</v>
      </c>
      <c r="CF25" s="42" t="str">
        <f>$B$25&amp;CF15&amp;"="&amp;$C$25&amp;CF15&amp;")"</f>
        <v>IF('Input Nilai Ketrampilan'!AS46="";"";'Input Nilai Ketrampilan'!AS46)</v>
      </c>
      <c r="CH25" s="42" t="str">
        <f>$B$25&amp;CH15&amp;"="&amp;$C$25&amp;CH15&amp;")"</f>
        <v>IF('Input Nilai Ketrampilan'!AS47="";"";'Input Nilai Ketrampilan'!AS47)</v>
      </c>
      <c r="CJ25" s="42" t="str">
        <f>$B$25&amp;CJ15&amp;"="&amp;$C$25&amp;CJ15&amp;")"</f>
        <v>IF('Input Nilai Ketrampilan'!AS48="";"";'Input Nilai Ketrampilan'!AS48)</v>
      </c>
      <c r="CL25" s="42" t="str">
        <f>$B$25&amp;CL15&amp;"="&amp;$C$25&amp;CL15&amp;")"</f>
        <v>IF('Input Nilai Ketrampilan'!AS49="";"";'Input Nilai Ketrampilan'!AS49)</v>
      </c>
      <c r="CN25" s="42" t="str">
        <f>$B$25&amp;CN15&amp;"="&amp;$C$25&amp;CN15&amp;")"</f>
        <v>IF('Input Nilai Ketrampilan'!AS50="";"";'Input Nilai Ketrampilan'!AS50)</v>
      </c>
      <c r="CP25" s="42" t="str">
        <f>$B$25&amp;CP15&amp;"="&amp;$C$25&amp;CP15&amp;")"</f>
        <v>IF('Input Nilai Ketrampilan'!AS51="";"";'Input Nilai Ketrampilan'!AS51)</v>
      </c>
      <c r="CR25" s="42" t="str">
        <f>$B$25&amp;CR15&amp;"="&amp;$C$25&amp;CR15&amp;")"</f>
        <v>IF('Input Nilai Ketrampilan'!AS52="";"";'Input Nilai Ketrampilan'!AS52)</v>
      </c>
    </row>
    <row r="27" spans="1:96">
      <c r="D27" s="42" t="s">
        <v>429</v>
      </c>
    </row>
  </sheetData>
  <sheetProtection password="F9D4" sheet="1" objects="1" scenarios="1"/>
  <mergeCells count="48">
    <mergeCell ref="X1:Y1"/>
    <mergeCell ref="B1:C1"/>
    <mergeCell ref="D1:E1"/>
    <mergeCell ref="F1:G1"/>
    <mergeCell ref="H1:I1"/>
    <mergeCell ref="J1:K1"/>
    <mergeCell ref="L1:M1"/>
    <mergeCell ref="N1:O1"/>
    <mergeCell ref="P1:Q1"/>
    <mergeCell ref="R1:S1"/>
    <mergeCell ref="T1:U1"/>
    <mergeCell ref="V1:W1"/>
    <mergeCell ref="AV1:AW1"/>
    <mergeCell ref="Z1:AA1"/>
    <mergeCell ref="AB1:AC1"/>
    <mergeCell ref="AD1:AE1"/>
    <mergeCell ref="AF1:AG1"/>
    <mergeCell ref="AH1:AI1"/>
    <mergeCell ref="AJ1:AK1"/>
    <mergeCell ref="AL1:AM1"/>
    <mergeCell ref="AN1:AO1"/>
    <mergeCell ref="AP1:AQ1"/>
    <mergeCell ref="AR1:AS1"/>
    <mergeCell ref="AT1:AU1"/>
    <mergeCell ref="BT1:BU1"/>
    <mergeCell ref="AX1:AY1"/>
    <mergeCell ref="AZ1:BA1"/>
    <mergeCell ref="BB1:BC1"/>
    <mergeCell ref="BD1:BE1"/>
    <mergeCell ref="BF1:BG1"/>
    <mergeCell ref="BH1:BI1"/>
    <mergeCell ref="BJ1:BK1"/>
    <mergeCell ref="BL1:BM1"/>
    <mergeCell ref="BN1:BO1"/>
    <mergeCell ref="BP1:BQ1"/>
    <mergeCell ref="BR1:BS1"/>
    <mergeCell ref="CR1:CS1"/>
    <mergeCell ref="BV1:BW1"/>
    <mergeCell ref="BX1:BY1"/>
    <mergeCell ref="BZ1:CA1"/>
    <mergeCell ref="CB1:CC1"/>
    <mergeCell ref="CD1:CE1"/>
    <mergeCell ref="CF1:CG1"/>
    <mergeCell ref="CH1:CI1"/>
    <mergeCell ref="CJ1:CK1"/>
    <mergeCell ref="CL1:CM1"/>
    <mergeCell ref="CN1:CO1"/>
    <mergeCell ref="CP1:CQ1"/>
  </mergeCell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9"/>
  <dimension ref="A1:BC52"/>
  <sheetViews>
    <sheetView workbookViewId="0">
      <pane xSplit="4" ySplit="4" topLeftCell="E5" activePane="bottomRight" state="frozen"/>
      <selection pane="topRight" activeCell="E1" sqref="E1"/>
      <selection pane="bottomLeft" activeCell="A5" sqref="A5"/>
      <selection pane="bottomRight" activeCell="G3" sqref="G3"/>
    </sheetView>
  </sheetViews>
  <sheetFormatPr defaultRowHeight="15"/>
  <cols>
    <col min="1" max="1" width="4.85546875" style="85" customWidth="1"/>
    <col min="2" max="2" width="7.140625" style="85" customWidth="1"/>
    <col min="3" max="3" width="32.5703125" style="85" customWidth="1"/>
    <col min="4" max="5" width="5.28515625" style="85" customWidth="1"/>
    <col min="6" max="55" width="5.7109375" style="85" customWidth="1"/>
    <col min="56" max="16384" width="9.140625" style="85"/>
  </cols>
  <sheetData>
    <row r="1" spans="1:55" ht="15" customHeight="1">
      <c r="A1" s="501" t="s">
        <v>15</v>
      </c>
      <c r="B1" s="501" t="s">
        <v>16</v>
      </c>
      <c r="C1" s="504" t="s">
        <v>0</v>
      </c>
      <c r="D1" s="505" t="s">
        <v>1</v>
      </c>
      <c r="E1" s="506" t="s">
        <v>17</v>
      </c>
      <c r="F1" s="505" t="s">
        <v>49</v>
      </c>
      <c r="G1" s="505"/>
      <c r="H1" s="505"/>
      <c r="I1" s="505"/>
      <c r="J1" s="620" t="s">
        <v>43</v>
      </c>
      <c r="K1" s="505" t="s">
        <v>37</v>
      </c>
      <c r="L1" s="505"/>
      <c r="M1" s="505"/>
      <c r="N1" s="505"/>
      <c r="O1" s="620" t="s">
        <v>43</v>
      </c>
      <c r="P1" s="505" t="s">
        <v>37</v>
      </c>
      <c r="Q1" s="505"/>
      <c r="R1" s="505"/>
      <c r="S1" s="505"/>
      <c r="T1" s="620" t="s">
        <v>43</v>
      </c>
      <c r="U1" s="505" t="s">
        <v>37</v>
      </c>
      <c r="V1" s="505"/>
      <c r="W1" s="505"/>
      <c r="X1" s="505"/>
      <c r="Y1" s="620" t="s">
        <v>43</v>
      </c>
      <c r="Z1" s="505" t="s">
        <v>37</v>
      </c>
      <c r="AA1" s="505"/>
      <c r="AB1" s="505"/>
      <c r="AC1" s="505"/>
      <c r="AD1" s="620" t="s">
        <v>43</v>
      </c>
      <c r="AE1" s="505" t="s">
        <v>37</v>
      </c>
      <c r="AF1" s="505"/>
      <c r="AG1" s="505"/>
      <c r="AH1" s="505"/>
      <c r="AI1" s="620" t="s">
        <v>43</v>
      </c>
      <c r="AJ1" s="505" t="s">
        <v>37</v>
      </c>
      <c r="AK1" s="505"/>
      <c r="AL1" s="505"/>
      <c r="AM1" s="505"/>
      <c r="AN1" s="620" t="s">
        <v>43</v>
      </c>
      <c r="AO1" s="505" t="s">
        <v>37</v>
      </c>
      <c r="AP1" s="505"/>
      <c r="AQ1" s="505"/>
      <c r="AR1" s="505"/>
      <c r="AS1" s="620" t="s">
        <v>43</v>
      </c>
      <c r="AT1" s="505" t="s">
        <v>37</v>
      </c>
      <c r="AU1" s="505"/>
      <c r="AV1" s="505"/>
      <c r="AW1" s="505"/>
      <c r="AX1" s="620" t="s">
        <v>43</v>
      </c>
      <c r="AY1" s="505" t="s">
        <v>37</v>
      </c>
      <c r="AZ1" s="505"/>
      <c r="BA1" s="505"/>
      <c r="BB1" s="505"/>
      <c r="BC1" s="620" t="s">
        <v>43</v>
      </c>
    </row>
    <row r="2" spans="1:55" ht="15" customHeight="1">
      <c r="A2" s="502"/>
      <c r="B2" s="502"/>
      <c r="C2" s="504"/>
      <c r="D2" s="505"/>
      <c r="E2" s="507"/>
      <c r="F2" s="505">
        <f>'Input Nilai Ketrampilan'!F2:I2</f>
        <v>41</v>
      </c>
      <c r="G2" s="505"/>
      <c r="H2" s="505"/>
      <c r="I2" s="505"/>
      <c r="J2" s="621"/>
      <c r="K2" s="505">
        <f>'Input Nilai Ketrampilan'!K2</f>
        <v>42</v>
      </c>
      <c r="L2" s="505"/>
      <c r="M2" s="505"/>
      <c r="N2" s="505"/>
      <c r="O2" s="621"/>
      <c r="P2" s="505">
        <f>'Input Nilai Ketrampilan'!P2</f>
        <v>43</v>
      </c>
      <c r="Q2" s="505"/>
      <c r="R2" s="505"/>
      <c r="S2" s="505"/>
      <c r="T2" s="621"/>
      <c r="U2" s="505">
        <f>'Input Nilai Ketrampilan'!U2</f>
        <v>44</v>
      </c>
      <c r="V2" s="505"/>
      <c r="W2" s="505"/>
      <c r="X2" s="505"/>
      <c r="Y2" s="621"/>
      <c r="Z2" s="505">
        <f>'Input Nilai Ketrampilan'!Z2</f>
        <v>45</v>
      </c>
      <c r="AA2" s="505"/>
      <c r="AB2" s="505"/>
      <c r="AC2" s="505"/>
      <c r="AD2" s="621"/>
      <c r="AE2" s="505">
        <f>'Input Nilai Ketrampilan'!AE2</f>
        <v>46</v>
      </c>
      <c r="AF2" s="505"/>
      <c r="AG2" s="505"/>
      <c r="AH2" s="505"/>
      <c r="AI2" s="621"/>
      <c r="AJ2" s="505">
        <f>'Input Nilai Ketrampilan'!AJ2</f>
        <v>47</v>
      </c>
      <c r="AK2" s="505"/>
      <c r="AL2" s="505"/>
      <c r="AM2" s="505"/>
      <c r="AN2" s="621"/>
      <c r="AO2" s="505">
        <f>'Input Nilai Ketrampilan'!AO2</f>
        <v>48</v>
      </c>
      <c r="AP2" s="505"/>
      <c r="AQ2" s="505"/>
      <c r="AR2" s="505"/>
      <c r="AS2" s="621"/>
      <c r="AT2" s="505">
        <f>'Input Nilai Ketrampilan'!AT2</f>
        <v>49</v>
      </c>
      <c r="AU2" s="505"/>
      <c r="AV2" s="505"/>
      <c r="AW2" s="505"/>
      <c r="AX2" s="621"/>
      <c r="AY2" s="505">
        <f>'Input Nilai Ketrampilan'!AY2</f>
        <v>50</v>
      </c>
      <c r="AZ2" s="505"/>
      <c r="BA2" s="505"/>
      <c r="BB2" s="505"/>
      <c r="BC2" s="621"/>
    </row>
    <row r="3" spans="1:55" ht="109.5">
      <c r="A3" s="503"/>
      <c r="B3" s="503"/>
      <c r="C3" s="504"/>
      <c r="D3" s="505"/>
      <c r="E3" s="508"/>
      <c r="F3" s="112" t="s">
        <v>46</v>
      </c>
      <c r="G3" s="113" t="s">
        <v>47</v>
      </c>
      <c r="H3" s="113" t="s">
        <v>48</v>
      </c>
      <c r="I3" s="112" t="s">
        <v>42</v>
      </c>
      <c r="J3" s="622"/>
      <c r="K3" s="112" t="s">
        <v>46</v>
      </c>
      <c r="L3" s="113" t="s">
        <v>47</v>
      </c>
      <c r="M3" s="113" t="s">
        <v>48</v>
      </c>
      <c r="N3" s="112" t="s">
        <v>42</v>
      </c>
      <c r="O3" s="622"/>
      <c r="P3" s="112" t="s">
        <v>46</v>
      </c>
      <c r="Q3" s="113" t="s">
        <v>47</v>
      </c>
      <c r="R3" s="113" t="s">
        <v>48</v>
      </c>
      <c r="S3" s="112" t="s">
        <v>42</v>
      </c>
      <c r="T3" s="622"/>
      <c r="U3" s="112" t="s">
        <v>46</v>
      </c>
      <c r="V3" s="113" t="s">
        <v>47</v>
      </c>
      <c r="W3" s="113" t="s">
        <v>48</v>
      </c>
      <c r="X3" s="112" t="s">
        <v>42</v>
      </c>
      <c r="Y3" s="622"/>
      <c r="Z3" s="112" t="s">
        <v>46</v>
      </c>
      <c r="AA3" s="113" t="s">
        <v>47</v>
      </c>
      <c r="AB3" s="113" t="s">
        <v>48</v>
      </c>
      <c r="AC3" s="112" t="s">
        <v>42</v>
      </c>
      <c r="AD3" s="622"/>
      <c r="AE3" s="112" t="s">
        <v>46</v>
      </c>
      <c r="AF3" s="113" t="s">
        <v>47</v>
      </c>
      <c r="AG3" s="113" t="s">
        <v>48</v>
      </c>
      <c r="AH3" s="112" t="s">
        <v>42</v>
      </c>
      <c r="AI3" s="622"/>
      <c r="AJ3" s="112" t="s">
        <v>46</v>
      </c>
      <c r="AK3" s="113" t="s">
        <v>47</v>
      </c>
      <c r="AL3" s="113" t="s">
        <v>48</v>
      </c>
      <c r="AM3" s="112" t="s">
        <v>42</v>
      </c>
      <c r="AN3" s="622"/>
      <c r="AO3" s="112" t="s">
        <v>46</v>
      </c>
      <c r="AP3" s="113" t="s">
        <v>47</v>
      </c>
      <c r="AQ3" s="113" t="s">
        <v>48</v>
      </c>
      <c r="AR3" s="112" t="s">
        <v>42</v>
      </c>
      <c r="AS3" s="622"/>
      <c r="AT3" s="112" t="s">
        <v>46</v>
      </c>
      <c r="AU3" s="113" t="s">
        <v>47</v>
      </c>
      <c r="AV3" s="113" t="s">
        <v>48</v>
      </c>
      <c r="AW3" s="112" t="s">
        <v>42</v>
      </c>
      <c r="AX3" s="622"/>
      <c r="AY3" s="112" t="s">
        <v>46</v>
      </c>
      <c r="AZ3" s="113" t="s">
        <v>47</v>
      </c>
      <c r="BA3" s="113" t="s">
        <v>48</v>
      </c>
      <c r="BB3" s="112" t="s">
        <v>42</v>
      </c>
      <c r="BC3" s="622"/>
    </row>
    <row r="4" spans="1:5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row>
    <row r="5" spans="1:55">
      <c r="A5" s="90">
        <f>'DATA SISWA'!A5</f>
        <v>1</v>
      </c>
      <c r="B5" s="90" t="str">
        <f>'DATA SISWA'!B5</f>
        <v>`017</v>
      </c>
      <c r="C5" s="90" t="str">
        <f>'DATA SISWA'!C5</f>
        <v>Abd. Muis</v>
      </c>
      <c r="D5" s="90" t="str">
        <f>'DATA SISWA'!D5</f>
        <v>L</v>
      </c>
      <c r="E5" s="90" t="str">
        <f>'DATA SISWA'!E5</f>
        <v>VII</v>
      </c>
      <c r="F5" s="40"/>
      <c r="G5" s="40"/>
      <c r="H5" s="40"/>
      <c r="I5" s="90" t="str">
        <f>IF(F5="","",SUM(F5:H5))</f>
        <v/>
      </c>
      <c r="J5" s="90" t="str">
        <f>IF(I5="","",((I5/12)*100))</f>
        <v/>
      </c>
      <c r="K5" s="40"/>
      <c r="L5" s="40"/>
      <c r="M5" s="40"/>
      <c r="N5" s="90" t="str">
        <f>IF(K5="","",SUM(K5:M5))</f>
        <v/>
      </c>
      <c r="O5" s="90" t="str">
        <f>IF(N5="","",((N5/12)*100))</f>
        <v/>
      </c>
      <c r="P5" s="40"/>
      <c r="Q5" s="40"/>
      <c r="R5" s="40"/>
      <c r="S5" s="90" t="str">
        <f>IF(P5="","",SUM(P5:R5))</f>
        <v/>
      </c>
      <c r="T5" s="90" t="str">
        <f>IF(S5="","",((S5/12)*100))</f>
        <v/>
      </c>
      <c r="U5" s="40"/>
      <c r="V5" s="40"/>
      <c r="W5" s="40"/>
      <c r="X5" s="90" t="str">
        <f>IF(U5="","",SUM(U5:W5))</f>
        <v/>
      </c>
      <c r="Y5" s="90" t="str">
        <f>IF(X5="","",((X5/12)*100))</f>
        <v/>
      </c>
      <c r="Z5" s="40"/>
      <c r="AA5" s="40"/>
      <c r="AB5" s="40"/>
      <c r="AC5" s="90" t="str">
        <f>IF(Z5="","",SUM(Z5:AB5))</f>
        <v/>
      </c>
      <c r="AD5" s="90" t="str">
        <f>IF(AC5="","",((AC5/12)*100))</f>
        <v/>
      </c>
      <c r="AE5" s="40"/>
      <c r="AF5" s="40"/>
      <c r="AG5" s="40"/>
      <c r="AH5" s="90" t="str">
        <f>IF(AE5="","",SUM(AE5:AG5))</f>
        <v/>
      </c>
      <c r="AI5" s="90" t="str">
        <f>IF(AH5="","",((AH5/12)*100))</f>
        <v/>
      </c>
      <c r="AJ5" s="40"/>
      <c r="AK5" s="40"/>
      <c r="AL5" s="40"/>
      <c r="AM5" s="90" t="str">
        <f>IF(AJ5="","",SUM(AJ5:AL5))</f>
        <v/>
      </c>
      <c r="AN5" s="90" t="str">
        <f>IF(AM5="","",((AM5/12)*100))</f>
        <v/>
      </c>
      <c r="AO5" s="40"/>
      <c r="AP5" s="40"/>
      <c r="AQ5" s="40"/>
      <c r="AR5" s="90" t="str">
        <f>IF(AO5="","",SUM(AO5:AQ5))</f>
        <v/>
      </c>
      <c r="AS5" s="90" t="str">
        <f>IF(AR5="","",((AR5/12)*100))</f>
        <v/>
      </c>
      <c r="AT5" s="40"/>
      <c r="AU5" s="40"/>
      <c r="AV5" s="40"/>
      <c r="AW5" s="90" t="str">
        <f>IF(AT5="","",SUM(AT5:AV5))</f>
        <v/>
      </c>
      <c r="AX5" s="90" t="str">
        <f>IF(AW5="","",((AW5/12)*100))</f>
        <v/>
      </c>
      <c r="AY5" s="40"/>
      <c r="AZ5" s="40"/>
      <c r="BA5" s="40"/>
      <c r="BB5" s="90" t="str">
        <f>IF(AY5="","",SUM(AY5:BA5))</f>
        <v/>
      </c>
      <c r="BC5" s="90" t="str">
        <f>IF(BB5="","",((BB5/12)*100))</f>
        <v/>
      </c>
    </row>
    <row r="6" spans="1:55">
      <c r="A6" s="90">
        <f>'DATA SISWA'!A6</f>
        <v>2</v>
      </c>
      <c r="B6" s="90" t="str">
        <f>'DATA SISWA'!B6</f>
        <v>`008</v>
      </c>
      <c r="C6" s="90" t="str">
        <f>'DATA SISWA'!C6</f>
        <v>Achmad Buka</v>
      </c>
      <c r="D6" s="90" t="str">
        <f>'DATA SISWA'!D6</f>
        <v>L</v>
      </c>
      <c r="E6" s="90" t="str">
        <f>'DATA SISWA'!E6</f>
        <v>VII</v>
      </c>
      <c r="F6" s="40"/>
      <c r="G6" s="40"/>
      <c r="H6" s="40"/>
      <c r="I6" s="90" t="str">
        <f t="shared" ref="I6:I44" si="0">IF(F6="","",SUM(F6:H6))</f>
        <v/>
      </c>
      <c r="J6" s="90" t="str">
        <f t="shared" ref="J6:J44" si="1">IF(I6="","",((I6/12)*100))</f>
        <v/>
      </c>
      <c r="K6" s="40"/>
      <c r="L6" s="40"/>
      <c r="M6" s="40"/>
      <c r="N6" s="90" t="str">
        <f t="shared" ref="N6:N44" si="2">IF(K6="","",SUM(K6:M6))</f>
        <v/>
      </c>
      <c r="O6" s="90" t="str">
        <f t="shared" ref="O6:O44" si="3">IF(N6="","",((N6/12)*100))</f>
        <v/>
      </c>
      <c r="P6" s="40"/>
      <c r="Q6" s="40"/>
      <c r="R6" s="40"/>
      <c r="S6" s="90" t="str">
        <f t="shared" ref="S6:S44" si="4">IF(P6="","",SUM(P6:R6))</f>
        <v/>
      </c>
      <c r="T6" s="90" t="str">
        <f t="shared" ref="T6:T44" si="5">IF(S6="","",((S6/12)*100))</f>
        <v/>
      </c>
      <c r="U6" s="40"/>
      <c r="V6" s="40"/>
      <c r="W6" s="40"/>
      <c r="X6" s="90" t="str">
        <f t="shared" ref="X6:X44" si="6">IF(U6="","",SUM(U6:W6))</f>
        <v/>
      </c>
      <c r="Y6" s="90" t="str">
        <f t="shared" ref="Y6:Y44" si="7">IF(X6="","",((X6/12)*100))</f>
        <v/>
      </c>
      <c r="Z6" s="40"/>
      <c r="AA6" s="40"/>
      <c r="AB6" s="40"/>
      <c r="AC6" s="90" t="str">
        <f t="shared" ref="AC6:AC44" si="8">IF(Z6="","",SUM(Z6:AB6))</f>
        <v/>
      </c>
      <c r="AD6" s="90" t="str">
        <f t="shared" ref="AD6:AD44" si="9">IF(AC6="","",((AC6/12)*100))</f>
        <v/>
      </c>
      <c r="AE6" s="40"/>
      <c r="AF6" s="40"/>
      <c r="AG6" s="40"/>
      <c r="AH6" s="90" t="str">
        <f t="shared" ref="AH6:AH44" si="10">IF(AE6="","",SUM(AE6:AG6))</f>
        <v/>
      </c>
      <c r="AI6" s="90" t="str">
        <f t="shared" ref="AI6:AI44" si="11">IF(AH6="","",((AH6/12)*100))</f>
        <v/>
      </c>
      <c r="AJ6" s="40"/>
      <c r="AK6" s="40"/>
      <c r="AL6" s="40"/>
      <c r="AM6" s="90" t="str">
        <f t="shared" ref="AM6:AM44" si="12">IF(AJ6="","",SUM(AJ6:AL6))</f>
        <v/>
      </c>
      <c r="AN6" s="90" t="str">
        <f t="shared" ref="AN6:AN44" si="13">IF(AM6="","",((AM6/12)*4))</f>
        <v/>
      </c>
      <c r="AO6" s="40"/>
      <c r="AP6" s="40"/>
      <c r="AQ6" s="40"/>
      <c r="AR6" s="90" t="str">
        <f t="shared" ref="AR6:AR44" si="14">IF(AO6="","",SUM(AO6:AQ6))</f>
        <v/>
      </c>
      <c r="AS6" s="90" t="str">
        <f t="shared" ref="AS6:AS44" si="15">IF(AR6="","",((AR6/12)*100))</f>
        <v/>
      </c>
      <c r="AT6" s="40"/>
      <c r="AU6" s="40"/>
      <c r="AV6" s="40"/>
      <c r="AW6" s="90" t="str">
        <f t="shared" ref="AW6:AW44" si="16">IF(AT6="","",SUM(AT6:AV6))</f>
        <v/>
      </c>
      <c r="AX6" s="90" t="str">
        <f t="shared" ref="AX6:AX44" si="17">IF(AW6="","",((AW6/12)*100))</f>
        <v/>
      </c>
      <c r="AY6" s="40"/>
      <c r="AZ6" s="40"/>
      <c r="BA6" s="40"/>
      <c r="BB6" s="90" t="str">
        <f t="shared" ref="BB6:BB44" si="18">IF(AY6="","",SUM(AY6:BA6))</f>
        <v/>
      </c>
      <c r="BC6" s="90" t="str">
        <f t="shared" ref="BC6:BC52" si="19">IF(BB6="","",((BB6/12)*100))</f>
        <v/>
      </c>
    </row>
    <row r="7" spans="1:55">
      <c r="A7" s="90">
        <f>'DATA SISWA'!A7</f>
        <v>3</v>
      </c>
      <c r="B7" s="90" t="str">
        <f>'DATA SISWA'!B7</f>
        <v>`014</v>
      </c>
      <c r="C7" s="90" t="str">
        <f>'DATA SISWA'!C7</f>
        <v>Bunami</v>
      </c>
      <c r="D7" s="90" t="str">
        <f>'DATA SISWA'!D7</f>
        <v>P</v>
      </c>
      <c r="E7" s="90" t="str">
        <f>'DATA SISWA'!E7</f>
        <v>VII</v>
      </c>
      <c r="F7" s="40"/>
      <c r="G7" s="40"/>
      <c r="H7" s="40"/>
      <c r="I7" s="90" t="str">
        <f t="shared" si="0"/>
        <v/>
      </c>
      <c r="J7" s="90" t="str">
        <f t="shared" si="1"/>
        <v/>
      </c>
      <c r="K7" s="40"/>
      <c r="L7" s="40"/>
      <c r="M7" s="40"/>
      <c r="N7" s="90" t="str">
        <f t="shared" si="2"/>
        <v/>
      </c>
      <c r="O7" s="90" t="str">
        <f t="shared" si="3"/>
        <v/>
      </c>
      <c r="P7" s="40"/>
      <c r="Q7" s="40"/>
      <c r="R7" s="40"/>
      <c r="S7" s="90" t="str">
        <f t="shared" si="4"/>
        <v/>
      </c>
      <c r="T7" s="90" t="str">
        <f t="shared" si="5"/>
        <v/>
      </c>
      <c r="U7" s="40"/>
      <c r="V7" s="40"/>
      <c r="W7" s="40"/>
      <c r="X7" s="90" t="str">
        <f t="shared" si="6"/>
        <v/>
      </c>
      <c r="Y7" s="90" t="str">
        <f t="shared" si="7"/>
        <v/>
      </c>
      <c r="Z7" s="40"/>
      <c r="AA7" s="40"/>
      <c r="AB7" s="40"/>
      <c r="AC7" s="90" t="str">
        <f t="shared" si="8"/>
        <v/>
      </c>
      <c r="AD7" s="90" t="str">
        <f t="shared" si="9"/>
        <v/>
      </c>
      <c r="AE7" s="40"/>
      <c r="AF7" s="40"/>
      <c r="AG7" s="40"/>
      <c r="AH7" s="90" t="str">
        <f t="shared" si="10"/>
        <v/>
      </c>
      <c r="AI7" s="90" t="str">
        <f t="shared" si="11"/>
        <v/>
      </c>
      <c r="AJ7" s="40"/>
      <c r="AK7" s="40"/>
      <c r="AL7" s="40"/>
      <c r="AM7" s="90" t="str">
        <f t="shared" si="12"/>
        <v/>
      </c>
      <c r="AN7" s="90" t="str">
        <f t="shared" si="13"/>
        <v/>
      </c>
      <c r="AO7" s="40"/>
      <c r="AP7" s="40"/>
      <c r="AQ7" s="40"/>
      <c r="AR7" s="90" t="str">
        <f t="shared" si="14"/>
        <v/>
      </c>
      <c r="AS7" s="90" t="str">
        <f t="shared" si="15"/>
        <v/>
      </c>
      <c r="AT7" s="40"/>
      <c r="AU7" s="40"/>
      <c r="AV7" s="40"/>
      <c r="AW7" s="90" t="str">
        <f t="shared" si="16"/>
        <v/>
      </c>
      <c r="AX7" s="90" t="str">
        <f t="shared" si="17"/>
        <v/>
      </c>
      <c r="AY7" s="40"/>
      <c r="AZ7" s="40"/>
      <c r="BA7" s="40"/>
      <c r="BB7" s="90" t="str">
        <f t="shared" si="18"/>
        <v/>
      </c>
      <c r="BC7" s="90" t="str">
        <f t="shared" si="19"/>
        <v/>
      </c>
    </row>
    <row r="8" spans="1:55">
      <c r="A8" s="90">
        <f>'DATA SISWA'!A8</f>
        <v>4</v>
      </c>
      <c r="B8" s="90" t="str">
        <f>'DATA SISWA'!B8</f>
        <v>`009</v>
      </c>
      <c r="C8" s="90" t="str">
        <f>'DATA SISWA'!C8</f>
        <v>Fatimatuz Zahroh</v>
      </c>
      <c r="D8" s="90" t="str">
        <f>'DATA SISWA'!D8</f>
        <v>P</v>
      </c>
      <c r="E8" s="90" t="str">
        <f>'DATA SISWA'!E8</f>
        <v>VII</v>
      </c>
      <c r="F8" s="40"/>
      <c r="G8" s="40"/>
      <c r="H8" s="40"/>
      <c r="I8" s="90" t="str">
        <f t="shared" si="0"/>
        <v/>
      </c>
      <c r="J8" s="90" t="str">
        <f t="shared" si="1"/>
        <v/>
      </c>
      <c r="K8" s="40"/>
      <c r="L8" s="40"/>
      <c r="M8" s="40"/>
      <c r="N8" s="90" t="str">
        <f t="shared" si="2"/>
        <v/>
      </c>
      <c r="O8" s="90" t="str">
        <f t="shared" si="3"/>
        <v/>
      </c>
      <c r="P8" s="40"/>
      <c r="Q8" s="40"/>
      <c r="R8" s="40"/>
      <c r="S8" s="90" t="str">
        <f t="shared" si="4"/>
        <v/>
      </c>
      <c r="T8" s="90" t="str">
        <f t="shared" si="5"/>
        <v/>
      </c>
      <c r="U8" s="40"/>
      <c r="V8" s="40"/>
      <c r="W8" s="40"/>
      <c r="X8" s="90" t="str">
        <f t="shared" si="6"/>
        <v/>
      </c>
      <c r="Y8" s="90" t="str">
        <f t="shared" si="7"/>
        <v/>
      </c>
      <c r="Z8" s="40"/>
      <c r="AA8" s="40"/>
      <c r="AB8" s="40"/>
      <c r="AC8" s="90" t="str">
        <f t="shared" si="8"/>
        <v/>
      </c>
      <c r="AD8" s="90" t="str">
        <f t="shared" si="9"/>
        <v/>
      </c>
      <c r="AE8" s="40"/>
      <c r="AF8" s="40"/>
      <c r="AG8" s="40"/>
      <c r="AH8" s="90" t="str">
        <f t="shared" si="10"/>
        <v/>
      </c>
      <c r="AI8" s="90" t="str">
        <f t="shared" si="11"/>
        <v/>
      </c>
      <c r="AJ8" s="40"/>
      <c r="AK8" s="40"/>
      <c r="AL8" s="40"/>
      <c r="AM8" s="90" t="str">
        <f t="shared" si="12"/>
        <v/>
      </c>
      <c r="AN8" s="90" t="str">
        <f t="shared" si="13"/>
        <v/>
      </c>
      <c r="AO8" s="40"/>
      <c r="AP8" s="40"/>
      <c r="AQ8" s="40"/>
      <c r="AR8" s="90" t="str">
        <f t="shared" si="14"/>
        <v/>
      </c>
      <c r="AS8" s="90" t="str">
        <f t="shared" si="15"/>
        <v/>
      </c>
      <c r="AT8" s="40"/>
      <c r="AU8" s="40"/>
      <c r="AV8" s="40"/>
      <c r="AW8" s="90" t="str">
        <f t="shared" si="16"/>
        <v/>
      </c>
      <c r="AX8" s="90" t="str">
        <f t="shared" si="17"/>
        <v/>
      </c>
      <c r="AY8" s="40"/>
      <c r="AZ8" s="40"/>
      <c r="BA8" s="40"/>
      <c r="BB8" s="90" t="str">
        <f t="shared" si="18"/>
        <v/>
      </c>
      <c r="BC8" s="90" t="str">
        <f t="shared" si="19"/>
        <v/>
      </c>
    </row>
    <row r="9" spans="1:55">
      <c r="A9" s="90">
        <f>'DATA SISWA'!A9</f>
        <v>5</v>
      </c>
      <c r="B9" s="90" t="str">
        <f>'DATA SISWA'!B9</f>
        <v>`003</v>
      </c>
      <c r="C9" s="90" t="str">
        <f>'DATA SISWA'!C9</f>
        <v>Fitriadi</v>
      </c>
      <c r="D9" s="90" t="str">
        <f>'DATA SISWA'!D9</f>
        <v>L</v>
      </c>
      <c r="E9" s="90" t="str">
        <f>'DATA SISWA'!E9</f>
        <v>VII</v>
      </c>
      <c r="F9" s="40"/>
      <c r="G9" s="40"/>
      <c r="H9" s="40"/>
      <c r="I9" s="90" t="str">
        <f t="shared" si="0"/>
        <v/>
      </c>
      <c r="J9" s="90" t="str">
        <f t="shared" si="1"/>
        <v/>
      </c>
      <c r="K9" s="40"/>
      <c r="L9" s="40"/>
      <c r="M9" s="40"/>
      <c r="N9" s="90" t="str">
        <f t="shared" si="2"/>
        <v/>
      </c>
      <c r="O9" s="90" t="str">
        <f t="shared" si="3"/>
        <v/>
      </c>
      <c r="P9" s="40"/>
      <c r="Q9" s="40"/>
      <c r="R9" s="40"/>
      <c r="S9" s="90" t="str">
        <f t="shared" si="4"/>
        <v/>
      </c>
      <c r="T9" s="90" t="str">
        <f t="shared" si="5"/>
        <v/>
      </c>
      <c r="U9" s="40"/>
      <c r="V9" s="40"/>
      <c r="W9" s="40"/>
      <c r="X9" s="90" t="str">
        <f t="shared" si="6"/>
        <v/>
      </c>
      <c r="Y9" s="90" t="str">
        <f t="shared" si="7"/>
        <v/>
      </c>
      <c r="Z9" s="40"/>
      <c r="AA9" s="40"/>
      <c r="AB9" s="40"/>
      <c r="AC9" s="90" t="str">
        <f t="shared" si="8"/>
        <v/>
      </c>
      <c r="AD9" s="90" t="str">
        <f t="shared" si="9"/>
        <v/>
      </c>
      <c r="AE9" s="40"/>
      <c r="AF9" s="40"/>
      <c r="AG9" s="40"/>
      <c r="AH9" s="90" t="str">
        <f t="shared" si="10"/>
        <v/>
      </c>
      <c r="AI9" s="90" t="str">
        <f t="shared" si="11"/>
        <v/>
      </c>
      <c r="AJ9" s="40"/>
      <c r="AK9" s="40"/>
      <c r="AL9" s="40"/>
      <c r="AM9" s="90" t="str">
        <f t="shared" si="12"/>
        <v/>
      </c>
      <c r="AN9" s="90" t="str">
        <f t="shared" si="13"/>
        <v/>
      </c>
      <c r="AO9" s="40"/>
      <c r="AP9" s="40"/>
      <c r="AQ9" s="40"/>
      <c r="AR9" s="90" t="str">
        <f t="shared" si="14"/>
        <v/>
      </c>
      <c r="AS9" s="90" t="str">
        <f t="shared" si="15"/>
        <v/>
      </c>
      <c r="AT9" s="40"/>
      <c r="AU9" s="40"/>
      <c r="AV9" s="40"/>
      <c r="AW9" s="90" t="str">
        <f t="shared" si="16"/>
        <v/>
      </c>
      <c r="AX9" s="90" t="str">
        <f t="shared" si="17"/>
        <v/>
      </c>
      <c r="AY9" s="40"/>
      <c r="AZ9" s="40"/>
      <c r="BA9" s="40"/>
      <c r="BB9" s="90" t="str">
        <f t="shared" si="18"/>
        <v/>
      </c>
      <c r="BC9" s="90" t="str">
        <f t="shared" si="19"/>
        <v/>
      </c>
    </row>
    <row r="10" spans="1:55">
      <c r="A10" s="90">
        <f>'DATA SISWA'!A10</f>
        <v>6</v>
      </c>
      <c r="B10" s="90" t="str">
        <f>'DATA SISWA'!B10</f>
        <v>`006</v>
      </c>
      <c r="C10" s="90" t="str">
        <f>'DATA SISWA'!C10</f>
        <v>Homsiyah</v>
      </c>
      <c r="D10" s="90" t="str">
        <f>'DATA SISWA'!D10</f>
        <v>P</v>
      </c>
      <c r="E10" s="90" t="str">
        <f>'DATA SISWA'!E10</f>
        <v>VII</v>
      </c>
      <c r="F10" s="40"/>
      <c r="G10" s="40"/>
      <c r="H10" s="40"/>
      <c r="I10" s="90" t="str">
        <f t="shared" si="0"/>
        <v/>
      </c>
      <c r="J10" s="90" t="str">
        <f t="shared" si="1"/>
        <v/>
      </c>
      <c r="K10" s="40"/>
      <c r="L10" s="40"/>
      <c r="M10" s="40"/>
      <c r="N10" s="90" t="str">
        <f t="shared" si="2"/>
        <v/>
      </c>
      <c r="O10" s="90" t="str">
        <f t="shared" si="3"/>
        <v/>
      </c>
      <c r="P10" s="40"/>
      <c r="Q10" s="40"/>
      <c r="R10" s="40"/>
      <c r="S10" s="90" t="str">
        <f t="shared" si="4"/>
        <v/>
      </c>
      <c r="T10" s="90" t="str">
        <f t="shared" si="5"/>
        <v/>
      </c>
      <c r="U10" s="40"/>
      <c r="V10" s="40"/>
      <c r="W10" s="40"/>
      <c r="X10" s="90" t="str">
        <f t="shared" si="6"/>
        <v/>
      </c>
      <c r="Y10" s="90" t="str">
        <f t="shared" si="7"/>
        <v/>
      </c>
      <c r="Z10" s="40"/>
      <c r="AA10" s="40"/>
      <c r="AB10" s="40"/>
      <c r="AC10" s="90" t="str">
        <f t="shared" si="8"/>
        <v/>
      </c>
      <c r="AD10" s="90" t="str">
        <f t="shared" si="9"/>
        <v/>
      </c>
      <c r="AE10" s="40"/>
      <c r="AF10" s="40"/>
      <c r="AG10" s="40"/>
      <c r="AH10" s="90" t="str">
        <f t="shared" si="10"/>
        <v/>
      </c>
      <c r="AI10" s="90" t="str">
        <f t="shared" si="11"/>
        <v/>
      </c>
      <c r="AJ10" s="40"/>
      <c r="AK10" s="40"/>
      <c r="AL10" s="40"/>
      <c r="AM10" s="90" t="str">
        <f t="shared" si="12"/>
        <v/>
      </c>
      <c r="AN10" s="90" t="str">
        <f t="shared" si="13"/>
        <v/>
      </c>
      <c r="AO10" s="40"/>
      <c r="AP10" s="40"/>
      <c r="AQ10" s="40"/>
      <c r="AR10" s="90" t="str">
        <f t="shared" si="14"/>
        <v/>
      </c>
      <c r="AS10" s="90" t="str">
        <f t="shared" si="15"/>
        <v/>
      </c>
      <c r="AT10" s="40"/>
      <c r="AU10" s="40"/>
      <c r="AV10" s="40"/>
      <c r="AW10" s="90" t="str">
        <f t="shared" si="16"/>
        <v/>
      </c>
      <c r="AX10" s="90" t="str">
        <f t="shared" si="17"/>
        <v/>
      </c>
      <c r="AY10" s="40"/>
      <c r="AZ10" s="40"/>
      <c r="BA10" s="40"/>
      <c r="BB10" s="90" t="str">
        <f t="shared" si="18"/>
        <v/>
      </c>
      <c r="BC10" s="90" t="str">
        <f t="shared" si="19"/>
        <v/>
      </c>
    </row>
    <row r="11" spans="1:55">
      <c r="A11" s="90">
        <f>'DATA SISWA'!A11</f>
        <v>7</v>
      </c>
      <c r="B11" s="90" t="str">
        <f>'DATA SISWA'!B11</f>
        <v>`002</v>
      </c>
      <c r="C11" s="90" t="str">
        <f>'DATA SISWA'!C11</f>
        <v>Insiyah</v>
      </c>
      <c r="D11" s="90" t="str">
        <f>'DATA SISWA'!D11</f>
        <v>P</v>
      </c>
      <c r="E11" s="90" t="str">
        <f>'DATA SISWA'!E11</f>
        <v>VII</v>
      </c>
      <c r="F11" s="40"/>
      <c r="G11" s="40"/>
      <c r="H11" s="40"/>
      <c r="I11" s="90" t="str">
        <f t="shared" si="0"/>
        <v/>
      </c>
      <c r="J11" s="90" t="str">
        <f t="shared" si="1"/>
        <v/>
      </c>
      <c r="K11" s="40"/>
      <c r="L11" s="40"/>
      <c r="M11" s="40"/>
      <c r="N11" s="90" t="str">
        <f t="shared" si="2"/>
        <v/>
      </c>
      <c r="O11" s="90" t="str">
        <f t="shared" si="3"/>
        <v/>
      </c>
      <c r="P11" s="40"/>
      <c r="Q11" s="40"/>
      <c r="R11" s="40"/>
      <c r="S11" s="90" t="str">
        <f t="shared" si="4"/>
        <v/>
      </c>
      <c r="T11" s="90" t="str">
        <f t="shared" si="5"/>
        <v/>
      </c>
      <c r="U11" s="40"/>
      <c r="V11" s="40"/>
      <c r="W11" s="40"/>
      <c r="X11" s="90" t="str">
        <f t="shared" si="6"/>
        <v/>
      </c>
      <c r="Y11" s="90" t="str">
        <f t="shared" si="7"/>
        <v/>
      </c>
      <c r="Z11" s="40"/>
      <c r="AA11" s="40"/>
      <c r="AB11" s="40"/>
      <c r="AC11" s="90" t="str">
        <f t="shared" si="8"/>
        <v/>
      </c>
      <c r="AD11" s="90" t="str">
        <f t="shared" si="9"/>
        <v/>
      </c>
      <c r="AE11" s="40"/>
      <c r="AF11" s="40"/>
      <c r="AG11" s="40"/>
      <c r="AH11" s="90" t="str">
        <f t="shared" si="10"/>
        <v/>
      </c>
      <c r="AI11" s="90" t="str">
        <f t="shared" si="11"/>
        <v/>
      </c>
      <c r="AJ11" s="40"/>
      <c r="AK11" s="40"/>
      <c r="AL11" s="40"/>
      <c r="AM11" s="90" t="str">
        <f t="shared" si="12"/>
        <v/>
      </c>
      <c r="AN11" s="90" t="str">
        <f t="shared" si="13"/>
        <v/>
      </c>
      <c r="AO11" s="40"/>
      <c r="AP11" s="40"/>
      <c r="AQ11" s="40"/>
      <c r="AR11" s="90" t="str">
        <f t="shared" si="14"/>
        <v/>
      </c>
      <c r="AS11" s="90" t="str">
        <f t="shared" si="15"/>
        <v/>
      </c>
      <c r="AT11" s="40"/>
      <c r="AU11" s="40"/>
      <c r="AV11" s="40"/>
      <c r="AW11" s="90" t="str">
        <f t="shared" si="16"/>
        <v/>
      </c>
      <c r="AX11" s="90" t="str">
        <f t="shared" si="17"/>
        <v/>
      </c>
      <c r="AY11" s="40"/>
      <c r="AZ11" s="40"/>
      <c r="BA11" s="40"/>
      <c r="BB11" s="90" t="str">
        <f t="shared" si="18"/>
        <v/>
      </c>
      <c r="BC11" s="90" t="str">
        <f t="shared" si="19"/>
        <v/>
      </c>
    </row>
    <row r="12" spans="1:55">
      <c r="A12" s="90">
        <f>'DATA SISWA'!A12</f>
        <v>8</v>
      </c>
      <c r="B12" s="90" t="str">
        <f>'DATA SISWA'!B12</f>
        <v>`010</v>
      </c>
      <c r="C12" s="90" t="str">
        <f>'DATA SISWA'!C12</f>
        <v>Saiful Jamil</v>
      </c>
      <c r="D12" s="90" t="str">
        <f>'DATA SISWA'!D12</f>
        <v>L</v>
      </c>
      <c r="E12" s="90" t="str">
        <f>'DATA SISWA'!E12</f>
        <v>VII</v>
      </c>
      <c r="F12" s="40"/>
      <c r="G12" s="40"/>
      <c r="H12" s="40"/>
      <c r="I12" s="90" t="str">
        <f t="shared" si="0"/>
        <v/>
      </c>
      <c r="J12" s="90" t="str">
        <f t="shared" si="1"/>
        <v/>
      </c>
      <c r="K12" s="40"/>
      <c r="L12" s="40"/>
      <c r="M12" s="40"/>
      <c r="N12" s="90" t="str">
        <f t="shared" si="2"/>
        <v/>
      </c>
      <c r="O12" s="90" t="str">
        <f t="shared" si="3"/>
        <v/>
      </c>
      <c r="P12" s="40"/>
      <c r="Q12" s="40"/>
      <c r="R12" s="40"/>
      <c r="S12" s="90" t="str">
        <f t="shared" si="4"/>
        <v/>
      </c>
      <c r="T12" s="90" t="str">
        <f t="shared" si="5"/>
        <v/>
      </c>
      <c r="U12" s="40"/>
      <c r="V12" s="40"/>
      <c r="W12" s="40"/>
      <c r="X12" s="90" t="str">
        <f t="shared" si="6"/>
        <v/>
      </c>
      <c r="Y12" s="90" t="str">
        <f t="shared" si="7"/>
        <v/>
      </c>
      <c r="Z12" s="40"/>
      <c r="AA12" s="40"/>
      <c r="AB12" s="40"/>
      <c r="AC12" s="90" t="str">
        <f t="shared" si="8"/>
        <v/>
      </c>
      <c r="AD12" s="90" t="str">
        <f t="shared" si="9"/>
        <v/>
      </c>
      <c r="AE12" s="40"/>
      <c r="AF12" s="40"/>
      <c r="AG12" s="40"/>
      <c r="AH12" s="90" t="str">
        <f t="shared" si="10"/>
        <v/>
      </c>
      <c r="AI12" s="90" t="str">
        <f t="shared" si="11"/>
        <v/>
      </c>
      <c r="AJ12" s="40"/>
      <c r="AK12" s="40"/>
      <c r="AL12" s="40"/>
      <c r="AM12" s="90" t="str">
        <f t="shared" si="12"/>
        <v/>
      </c>
      <c r="AN12" s="90" t="str">
        <f t="shared" si="13"/>
        <v/>
      </c>
      <c r="AO12" s="40"/>
      <c r="AP12" s="40"/>
      <c r="AQ12" s="40"/>
      <c r="AR12" s="90" t="str">
        <f t="shared" si="14"/>
        <v/>
      </c>
      <c r="AS12" s="90" t="str">
        <f t="shared" si="15"/>
        <v/>
      </c>
      <c r="AT12" s="40"/>
      <c r="AU12" s="40"/>
      <c r="AV12" s="40"/>
      <c r="AW12" s="90" t="str">
        <f t="shared" si="16"/>
        <v/>
      </c>
      <c r="AX12" s="90" t="str">
        <f t="shared" si="17"/>
        <v/>
      </c>
      <c r="AY12" s="40"/>
      <c r="AZ12" s="40"/>
      <c r="BA12" s="40"/>
      <c r="BB12" s="90" t="str">
        <f t="shared" si="18"/>
        <v/>
      </c>
      <c r="BC12" s="90" t="str">
        <f t="shared" si="19"/>
        <v/>
      </c>
    </row>
    <row r="13" spans="1:55">
      <c r="A13" s="90">
        <f>'DATA SISWA'!A13</f>
        <v>9</v>
      </c>
      <c r="B13" s="90" t="str">
        <f>'DATA SISWA'!B13</f>
        <v>`011</v>
      </c>
      <c r="C13" s="90" t="str">
        <f>'DATA SISWA'!C13</f>
        <v>Khusnun Nisa</v>
      </c>
      <c r="D13" s="90" t="str">
        <f>'DATA SISWA'!D13</f>
        <v>P</v>
      </c>
      <c r="E13" s="90" t="str">
        <f>'DATA SISWA'!E13</f>
        <v>VII</v>
      </c>
      <c r="F13" s="40"/>
      <c r="G13" s="40"/>
      <c r="H13" s="40"/>
      <c r="I13" s="90" t="str">
        <f t="shared" si="0"/>
        <v/>
      </c>
      <c r="J13" s="90" t="str">
        <f t="shared" si="1"/>
        <v/>
      </c>
      <c r="K13" s="40"/>
      <c r="L13" s="40"/>
      <c r="M13" s="40"/>
      <c r="N13" s="90" t="str">
        <f t="shared" si="2"/>
        <v/>
      </c>
      <c r="O13" s="90" t="str">
        <f t="shared" si="3"/>
        <v/>
      </c>
      <c r="P13" s="40"/>
      <c r="Q13" s="40"/>
      <c r="R13" s="40"/>
      <c r="S13" s="90" t="str">
        <f t="shared" si="4"/>
        <v/>
      </c>
      <c r="T13" s="90" t="str">
        <f t="shared" si="5"/>
        <v/>
      </c>
      <c r="U13" s="40"/>
      <c r="V13" s="40"/>
      <c r="W13" s="40"/>
      <c r="X13" s="90" t="str">
        <f t="shared" si="6"/>
        <v/>
      </c>
      <c r="Y13" s="90" t="str">
        <f t="shared" si="7"/>
        <v/>
      </c>
      <c r="Z13" s="40"/>
      <c r="AA13" s="40"/>
      <c r="AB13" s="40"/>
      <c r="AC13" s="90" t="str">
        <f t="shared" si="8"/>
        <v/>
      </c>
      <c r="AD13" s="90" t="str">
        <f t="shared" si="9"/>
        <v/>
      </c>
      <c r="AE13" s="40"/>
      <c r="AF13" s="40"/>
      <c r="AG13" s="40"/>
      <c r="AH13" s="90" t="str">
        <f t="shared" si="10"/>
        <v/>
      </c>
      <c r="AI13" s="90" t="str">
        <f t="shared" si="11"/>
        <v/>
      </c>
      <c r="AJ13" s="40"/>
      <c r="AK13" s="40"/>
      <c r="AL13" s="40"/>
      <c r="AM13" s="90" t="str">
        <f t="shared" si="12"/>
        <v/>
      </c>
      <c r="AN13" s="90" t="str">
        <f t="shared" si="13"/>
        <v/>
      </c>
      <c r="AO13" s="40"/>
      <c r="AP13" s="40"/>
      <c r="AQ13" s="40"/>
      <c r="AR13" s="90" t="str">
        <f t="shared" si="14"/>
        <v/>
      </c>
      <c r="AS13" s="90" t="str">
        <f t="shared" si="15"/>
        <v/>
      </c>
      <c r="AT13" s="40"/>
      <c r="AU13" s="40"/>
      <c r="AV13" s="40"/>
      <c r="AW13" s="90" t="str">
        <f t="shared" si="16"/>
        <v/>
      </c>
      <c r="AX13" s="90" t="str">
        <f t="shared" si="17"/>
        <v/>
      </c>
      <c r="AY13" s="40"/>
      <c r="AZ13" s="40"/>
      <c r="BA13" s="40"/>
      <c r="BB13" s="90" t="str">
        <f t="shared" si="18"/>
        <v/>
      </c>
      <c r="BC13" s="90" t="str">
        <f t="shared" si="19"/>
        <v/>
      </c>
    </row>
    <row r="14" spans="1:55">
      <c r="A14" s="90">
        <f>'DATA SISWA'!A14</f>
        <v>10</v>
      </c>
      <c r="B14" s="90" t="str">
        <f>'DATA SISWA'!B14</f>
        <v>`005</v>
      </c>
      <c r="C14" s="90" t="str">
        <f>'DATA SISWA'!C14</f>
        <v>Komariyah</v>
      </c>
      <c r="D14" s="90" t="str">
        <f>'DATA SISWA'!D14</f>
        <v>P</v>
      </c>
      <c r="E14" s="90" t="str">
        <f>'DATA SISWA'!E14</f>
        <v>VII</v>
      </c>
      <c r="F14" s="40"/>
      <c r="G14" s="40"/>
      <c r="H14" s="40"/>
      <c r="I14" s="90" t="str">
        <f t="shared" si="0"/>
        <v/>
      </c>
      <c r="J14" s="90" t="str">
        <f t="shared" si="1"/>
        <v/>
      </c>
      <c r="K14" s="40"/>
      <c r="L14" s="40"/>
      <c r="M14" s="40"/>
      <c r="N14" s="90" t="str">
        <f t="shared" si="2"/>
        <v/>
      </c>
      <c r="O14" s="90" t="str">
        <f t="shared" si="3"/>
        <v/>
      </c>
      <c r="P14" s="40"/>
      <c r="Q14" s="40"/>
      <c r="R14" s="40"/>
      <c r="S14" s="90" t="str">
        <f t="shared" si="4"/>
        <v/>
      </c>
      <c r="T14" s="90" t="str">
        <f t="shared" si="5"/>
        <v/>
      </c>
      <c r="U14" s="40"/>
      <c r="V14" s="40"/>
      <c r="W14" s="40"/>
      <c r="X14" s="90" t="str">
        <f t="shared" si="6"/>
        <v/>
      </c>
      <c r="Y14" s="90" t="str">
        <f t="shared" si="7"/>
        <v/>
      </c>
      <c r="Z14" s="40"/>
      <c r="AA14" s="40"/>
      <c r="AB14" s="40"/>
      <c r="AC14" s="90" t="str">
        <f t="shared" si="8"/>
        <v/>
      </c>
      <c r="AD14" s="90" t="str">
        <f t="shared" si="9"/>
        <v/>
      </c>
      <c r="AE14" s="40"/>
      <c r="AF14" s="40"/>
      <c r="AG14" s="40"/>
      <c r="AH14" s="90" t="str">
        <f t="shared" si="10"/>
        <v/>
      </c>
      <c r="AI14" s="90" t="str">
        <f t="shared" si="11"/>
        <v/>
      </c>
      <c r="AJ14" s="40"/>
      <c r="AK14" s="40"/>
      <c r="AL14" s="40"/>
      <c r="AM14" s="90" t="str">
        <f t="shared" si="12"/>
        <v/>
      </c>
      <c r="AN14" s="90" t="str">
        <f t="shared" si="13"/>
        <v/>
      </c>
      <c r="AO14" s="40"/>
      <c r="AP14" s="40"/>
      <c r="AQ14" s="40"/>
      <c r="AR14" s="90" t="str">
        <f t="shared" si="14"/>
        <v/>
      </c>
      <c r="AS14" s="90" t="str">
        <f t="shared" si="15"/>
        <v/>
      </c>
      <c r="AT14" s="40"/>
      <c r="AU14" s="40"/>
      <c r="AV14" s="40"/>
      <c r="AW14" s="90" t="str">
        <f t="shared" si="16"/>
        <v/>
      </c>
      <c r="AX14" s="90" t="str">
        <f t="shared" si="17"/>
        <v/>
      </c>
      <c r="AY14" s="40"/>
      <c r="AZ14" s="40"/>
      <c r="BA14" s="40"/>
      <c r="BB14" s="90" t="str">
        <f t="shared" si="18"/>
        <v/>
      </c>
      <c r="BC14" s="90" t="str">
        <f t="shared" si="19"/>
        <v/>
      </c>
    </row>
    <row r="15" spans="1:55">
      <c r="A15" s="90">
        <f>'DATA SISWA'!A15</f>
        <v>11</v>
      </c>
      <c r="B15" s="90" t="str">
        <f>'DATA SISWA'!B15</f>
        <v>`013</v>
      </c>
      <c r="C15" s="90" t="str">
        <f>'DATA SISWA'!C15</f>
        <v>Latifah</v>
      </c>
      <c r="D15" s="90" t="str">
        <f>'DATA SISWA'!D15</f>
        <v>P</v>
      </c>
      <c r="E15" s="90" t="str">
        <f>'DATA SISWA'!E15</f>
        <v>VII</v>
      </c>
      <c r="F15" s="40"/>
      <c r="G15" s="40"/>
      <c r="H15" s="40"/>
      <c r="I15" s="90" t="str">
        <f t="shared" si="0"/>
        <v/>
      </c>
      <c r="J15" s="90" t="str">
        <f t="shared" si="1"/>
        <v/>
      </c>
      <c r="K15" s="40"/>
      <c r="L15" s="40"/>
      <c r="M15" s="40"/>
      <c r="N15" s="90" t="str">
        <f t="shared" si="2"/>
        <v/>
      </c>
      <c r="O15" s="90" t="str">
        <f t="shared" si="3"/>
        <v/>
      </c>
      <c r="P15" s="40"/>
      <c r="Q15" s="40"/>
      <c r="R15" s="40"/>
      <c r="S15" s="90" t="str">
        <f t="shared" si="4"/>
        <v/>
      </c>
      <c r="T15" s="90" t="str">
        <f t="shared" si="5"/>
        <v/>
      </c>
      <c r="U15" s="40"/>
      <c r="V15" s="40"/>
      <c r="W15" s="40"/>
      <c r="X15" s="90" t="str">
        <f t="shared" si="6"/>
        <v/>
      </c>
      <c r="Y15" s="90" t="str">
        <f t="shared" si="7"/>
        <v/>
      </c>
      <c r="Z15" s="40"/>
      <c r="AA15" s="40"/>
      <c r="AB15" s="40"/>
      <c r="AC15" s="90" t="str">
        <f t="shared" si="8"/>
        <v/>
      </c>
      <c r="AD15" s="90" t="str">
        <f t="shared" si="9"/>
        <v/>
      </c>
      <c r="AE15" s="40"/>
      <c r="AF15" s="40"/>
      <c r="AG15" s="40"/>
      <c r="AH15" s="90" t="str">
        <f t="shared" si="10"/>
        <v/>
      </c>
      <c r="AI15" s="90" t="str">
        <f t="shared" si="11"/>
        <v/>
      </c>
      <c r="AJ15" s="40"/>
      <c r="AK15" s="40"/>
      <c r="AL15" s="40"/>
      <c r="AM15" s="90" t="str">
        <f t="shared" si="12"/>
        <v/>
      </c>
      <c r="AN15" s="90" t="str">
        <f t="shared" si="13"/>
        <v/>
      </c>
      <c r="AO15" s="40"/>
      <c r="AP15" s="40"/>
      <c r="AQ15" s="40"/>
      <c r="AR15" s="90" t="str">
        <f t="shared" si="14"/>
        <v/>
      </c>
      <c r="AS15" s="90" t="str">
        <f t="shared" si="15"/>
        <v/>
      </c>
      <c r="AT15" s="40"/>
      <c r="AU15" s="40"/>
      <c r="AV15" s="40"/>
      <c r="AW15" s="90" t="str">
        <f t="shared" si="16"/>
        <v/>
      </c>
      <c r="AX15" s="90" t="str">
        <f t="shared" si="17"/>
        <v/>
      </c>
      <c r="AY15" s="40"/>
      <c r="AZ15" s="40"/>
      <c r="BA15" s="40"/>
      <c r="BB15" s="90" t="str">
        <f t="shared" si="18"/>
        <v/>
      </c>
      <c r="BC15" s="90" t="str">
        <f t="shared" si="19"/>
        <v/>
      </c>
    </row>
    <row r="16" spans="1:55">
      <c r="A16" s="90">
        <f>'DATA SISWA'!A16</f>
        <v>12</v>
      </c>
      <c r="B16" s="90" t="str">
        <f>'DATA SISWA'!B16</f>
        <v>`018</v>
      </c>
      <c r="C16" s="90" t="str">
        <f>'DATA SISWA'!C16</f>
        <v>Maya</v>
      </c>
      <c r="D16" s="90" t="str">
        <f>'DATA SISWA'!D16</f>
        <v>P</v>
      </c>
      <c r="E16" s="90" t="str">
        <f>'DATA SISWA'!E16</f>
        <v>VII</v>
      </c>
      <c r="F16" s="40"/>
      <c r="G16" s="40"/>
      <c r="H16" s="40"/>
      <c r="I16" s="90" t="str">
        <f t="shared" si="0"/>
        <v/>
      </c>
      <c r="J16" s="90" t="str">
        <f t="shared" si="1"/>
        <v/>
      </c>
      <c r="K16" s="40"/>
      <c r="L16" s="40"/>
      <c r="M16" s="40"/>
      <c r="N16" s="90" t="str">
        <f t="shared" si="2"/>
        <v/>
      </c>
      <c r="O16" s="90" t="str">
        <f t="shared" si="3"/>
        <v/>
      </c>
      <c r="P16" s="40"/>
      <c r="Q16" s="40"/>
      <c r="R16" s="40"/>
      <c r="S16" s="90" t="str">
        <f t="shared" si="4"/>
        <v/>
      </c>
      <c r="T16" s="90" t="str">
        <f t="shared" si="5"/>
        <v/>
      </c>
      <c r="U16" s="40"/>
      <c r="V16" s="40"/>
      <c r="W16" s="40"/>
      <c r="X16" s="90" t="str">
        <f t="shared" si="6"/>
        <v/>
      </c>
      <c r="Y16" s="90" t="str">
        <f t="shared" si="7"/>
        <v/>
      </c>
      <c r="Z16" s="40"/>
      <c r="AA16" s="40"/>
      <c r="AB16" s="40"/>
      <c r="AC16" s="90" t="str">
        <f t="shared" si="8"/>
        <v/>
      </c>
      <c r="AD16" s="90" t="str">
        <f t="shared" si="9"/>
        <v/>
      </c>
      <c r="AE16" s="40"/>
      <c r="AF16" s="40"/>
      <c r="AG16" s="40"/>
      <c r="AH16" s="90" t="str">
        <f t="shared" si="10"/>
        <v/>
      </c>
      <c r="AI16" s="90" t="str">
        <f t="shared" si="11"/>
        <v/>
      </c>
      <c r="AJ16" s="40"/>
      <c r="AK16" s="40"/>
      <c r="AL16" s="40"/>
      <c r="AM16" s="90" t="str">
        <f t="shared" si="12"/>
        <v/>
      </c>
      <c r="AN16" s="90" t="str">
        <f t="shared" si="13"/>
        <v/>
      </c>
      <c r="AO16" s="40"/>
      <c r="AP16" s="40"/>
      <c r="AQ16" s="40"/>
      <c r="AR16" s="90" t="str">
        <f t="shared" si="14"/>
        <v/>
      </c>
      <c r="AS16" s="90" t="str">
        <f t="shared" si="15"/>
        <v/>
      </c>
      <c r="AT16" s="40"/>
      <c r="AU16" s="40"/>
      <c r="AV16" s="40"/>
      <c r="AW16" s="90" t="str">
        <f t="shared" si="16"/>
        <v/>
      </c>
      <c r="AX16" s="90" t="str">
        <f t="shared" si="17"/>
        <v/>
      </c>
      <c r="AY16" s="40"/>
      <c r="AZ16" s="40"/>
      <c r="BA16" s="40"/>
      <c r="BB16" s="90" t="str">
        <f t="shared" si="18"/>
        <v/>
      </c>
      <c r="BC16" s="90" t="str">
        <f t="shared" si="19"/>
        <v/>
      </c>
    </row>
    <row r="17" spans="1:55">
      <c r="A17" s="90">
        <f>'DATA SISWA'!A17</f>
        <v>13</v>
      </c>
      <c r="B17" s="90" t="str">
        <f>'DATA SISWA'!B17</f>
        <v>`016</v>
      </c>
      <c r="C17" s="90" t="str">
        <f>'DATA SISWA'!C17</f>
        <v>Ma`ruf</v>
      </c>
      <c r="D17" s="90" t="str">
        <f>'DATA SISWA'!D17</f>
        <v>L</v>
      </c>
      <c r="E17" s="90" t="str">
        <f>'DATA SISWA'!E17</f>
        <v>VII</v>
      </c>
      <c r="F17" s="40"/>
      <c r="G17" s="40"/>
      <c r="H17" s="40"/>
      <c r="I17" s="90" t="str">
        <f t="shared" si="0"/>
        <v/>
      </c>
      <c r="J17" s="90" t="str">
        <f t="shared" si="1"/>
        <v/>
      </c>
      <c r="K17" s="40"/>
      <c r="L17" s="40"/>
      <c r="M17" s="40"/>
      <c r="N17" s="90" t="str">
        <f t="shared" si="2"/>
        <v/>
      </c>
      <c r="O17" s="90" t="str">
        <f t="shared" si="3"/>
        <v/>
      </c>
      <c r="P17" s="40"/>
      <c r="Q17" s="40"/>
      <c r="R17" s="40"/>
      <c r="S17" s="90" t="str">
        <f t="shared" si="4"/>
        <v/>
      </c>
      <c r="T17" s="90" t="str">
        <f t="shared" si="5"/>
        <v/>
      </c>
      <c r="U17" s="40"/>
      <c r="V17" s="40"/>
      <c r="W17" s="40"/>
      <c r="X17" s="90" t="str">
        <f t="shared" si="6"/>
        <v/>
      </c>
      <c r="Y17" s="90" t="str">
        <f t="shared" si="7"/>
        <v/>
      </c>
      <c r="Z17" s="40"/>
      <c r="AA17" s="40"/>
      <c r="AB17" s="40"/>
      <c r="AC17" s="90" t="str">
        <f t="shared" si="8"/>
        <v/>
      </c>
      <c r="AD17" s="90" t="str">
        <f t="shared" si="9"/>
        <v/>
      </c>
      <c r="AE17" s="40"/>
      <c r="AF17" s="40"/>
      <c r="AG17" s="40"/>
      <c r="AH17" s="90" t="str">
        <f t="shared" si="10"/>
        <v/>
      </c>
      <c r="AI17" s="90" t="str">
        <f t="shared" si="11"/>
        <v/>
      </c>
      <c r="AJ17" s="40"/>
      <c r="AK17" s="40"/>
      <c r="AL17" s="40"/>
      <c r="AM17" s="90" t="str">
        <f t="shared" si="12"/>
        <v/>
      </c>
      <c r="AN17" s="90" t="str">
        <f t="shared" si="13"/>
        <v/>
      </c>
      <c r="AO17" s="40"/>
      <c r="AP17" s="40"/>
      <c r="AQ17" s="40"/>
      <c r="AR17" s="90" t="str">
        <f t="shared" si="14"/>
        <v/>
      </c>
      <c r="AS17" s="90" t="str">
        <f t="shared" si="15"/>
        <v/>
      </c>
      <c r="AT17" s="40"/>
      <c r="AU17" s="40"/>
      <c r="AV17" s="40"/>
      <c r="AW17" s="90" t="str">
        <f t="shared" si="16"/>
        <v/>
      </c>
      <c r="AX17" s="90" t="str">
        <f t="shared" si="17"/>
        <v/>
      </c>
      <c r="AY17" s="40"/>
      <c r="AZ17" s="40"/>
      <c r="BA17" s="40"/>
      <c r="BB17" s="90" t="str">
        <f t="shared" si="18"/>
        <v/>
      </c>
      <c r="BC17" s="90" t="str">
        <f t="shared" si="19"/>
        <v/>
      </c>
    </row>
    <row r="18" spans="1:55">
      <c r="A18" s="90">
        <f>'DATA SISWA'!A18</f>
        <v>14</v>
      </c>
      <c r="B18" s="90" t="str">
        <f>'DATA SISWA'!B18</f>
        <v>`020</v>
      </c>
      <c r="C18" s="90" t="str">
        <f>'DATA SISWA'!C18</f>
        <v>Nia Ramadani</v>
      </c>
      <c r="D18" s="90" t="str">
        <f>'DATA SISWA'!D18</f>
        <v>P</v>
      </c>
      <c r="E18" s="90" t="str">
        <f>'DATA SISWA'!E18</f>
        <v>VII</v>
      </c>
      <c r="F18" s="40"/>
      <c r="G18" s="40"/>
      <c r="H18" s="40"/>
      <c r="I18" s="90" t="str">
        <f t="shared" si="0"/>
        <v/>
      </c>
      <c r="J18" s="90" t="str">
        <f t="shared" si="1"/>
        <v/>
      </c>
      <c r="K18" s="40"/>
      <c r="L18" s="40"/>
      <c r="M18" s="40"/>
      <c r="N18" s="90" t="str">
        <f t="shared" si="2"/>
        <v/>
      </c>
      <c r="O18" s="90" t="str">
        <f t="shared" si="3"/>
        <v/>
      </c>
      <c r="P18" s="40"/>
      <c r="Q18" s="40"/>
      <c r="R18" s="40"/>
      <c r="S18" s="90" t="str">
        <f t="shared" si="4"/>
        <v/>
      </c>
      <c r="T18" s="90" t="str">
        <f t="shared" si="5"/>
        <v/>
      </c>
      <c r="U18" s="40"/>
      <c r="V18" s="40"/>
      <c r="W18" s="40"/>
      <c r="X18" s="90" t="str">
        <f t="shared" si="6"/>
        <v/>
      </c>
      <c r="Y18" s="90" t="str">
        <f t="shared" si="7"/>
        <v/>
      </c>
      <c r="Z18" s="40"/>
      <c r="AA18" s="40"/>
      <c r="AB18" s="40"/>
      <c r="AC18" s="90" t="str">
        <f t="shared" si="8"/>
        <v/>
      </c>
      <c r="AD18" s="90" t="str">
        <f t="shared" si="9"/>
        <v/>
      </c>
      <c r="AE18" s="40"/>
      <c r="AF18" s="40"/>
      <c r="AG18" s="40"/>
      <c r="AH18" s="90" t="str">
        <f t="shared" si="10"/>
        <v/>
      </c>
      <c r="AI18" s="90" t="str">
        <f t="shared" si="11"/>
        <v/>
      </c>
      <c r="AJ18" s="40"/>
      <c r="AK18" s="40"/>
      <c r="AL18" s="40"/>
      <c r="AM18" s="90" t="str">
        <f t="shared" si="12"/>
        <v/>
      </c>
      <c r="AN18" s="90" t="str">
        <f t="shared" si="13"/>
        <v/>
      </c>
      <c r="AO18" s="40"/>
      <c r="AP18" s="40"/>
      <c r="AQ18" s="40"/>
      <c r="AR18" s="90" t="str">
        <f t="shared" si="14"/>
        <v/>
      </c>
      <c r="AS18" s="90" t="str">
        <f t="shared" si="15"/>
        <v/>
      </c>
      <c r="AT18" s="40"/>
      <c r="AU18" s="40"/>
      <c r="AV18" s="40"/>
      <c r="AW18" s="90" t="str">
        <f t="shared" si="16"/>
        <v/>
      </c>
      <c r="AX18" s="90" t="str">
        <f t="shared" si="17"/>
        <v/>
      </c>
      <c r="AY18" s="40"/>
      <c r="AZ18" s="40"/>
      <c r="BA18" s="40"/>
      <c r="BB18" s="90" t="str">
        <f t="shared" si="18"/>
        <v/>
      </c>
      <c r="BC18" s="90" t="str">
        <f t="shared" si="19"/>
        <v/>
      </c>
    </row>
    <row r="19" spans="1:55">
      <c r="A19" s="90">
        <f>'DATA SISWA'!A19</f>
        <v>15</v>
      </c>
      <c r="B19" s="90" t="str">
        <f>'DATA SISWA'!B19</f>
        <v>`012</v>
      </c>
      <c r="C19" s="90" t="str">
        <f>'DATA SISWA'!C19</f>
        <v>Ningsih Rahmawati</v>
      </c>
      <c r="D19" s="90" t="str">
        <f>'DATA SISWA'!D19</f>
        <v>P</v>
      </c>
      <c r="E19" s="90" t="str">
        <f>'DATA SISWA'!E19</f>
        <v>VII</v>
      </c>
      <c r="F19" s="40"/>
      <c r="G19" s="40"/>
      <c r="H19" s="40"/>
      <c r="I19" s="90" t="str">
        <f t="shared" si="0"/>
        <v/>
      </c>
      <c r="J19" s="90" t="str">
        <f t="shared" si="1"/>
        <v/>
      </c>
      <c r="K19" s="40"/>
      <c r="L19" s="40"/>
      <c r="M19" s="40"/>
      <c r="N19" s="90" t="str">
        <f t="shared" si="2"/>
        <v/>
      </c>
      <c r="O19" s="90" t="str">
        <f t="shared" si="3"/>
        <v/>
      </c>
      <c r="P19" s="40"/>
      <c r="Q19" s="40"/>
      <c r="R19" s="40"/>
      <c r="S19" s="90" t="str">
        <f t="shared" si="4"/>
        <v/>
      </c>
      <c r="T19" s="90" t="str">
        <f t="shared" si="5"/>
        <v/>
      </c>
      <c r="U19" s="40"/>
      <c r="V19" s="40"/>
      <c r="W19" s="40"/>
      <c r="X19" s="90" t="str">
        <f t="shared" si="6"/>
        <v/>
      </c>
      <c r="Y19" s="90" t="str">
        <f t="shared" si="7"/>
        <v/>
      </c>
      <c r="Z19" s="40"/>
      <c r="AA19" s="40"/>
      <c r="AB19" s="40"/>
      <c r="AC19" s="90" t="str">
        <f t="shared" si="8"/>
        <v/>
      </c>
      <c r="AD19" s="90" t="str">
        <f t="shared" si="9"/>
        <v/>
      </c>
      <c r="AE19" s="40"/>
      <c r="AF19" s="40"/>
      <c r="AG19" s="40"/>
      <c r="AH19" s="90" t="str">
        <f t="shared" si="10"/>
        <v/>
      </c>
      <c r="AI19" s="90" t="str">
        <f t="shared" si="11"/>
        <v/>
      </c>
      <c r="AJ19" s="40"/>
      <c r="AK19" s="40"/>
      <c r="AL19" s="40"/>
      <c r="AM19" s="90" t="str">
        <f t="shared" si="12"/>
        <v/>
      </c>
      <c r="AN19" s="90" t="str">
        <f t="shared" si="13"/>
        <v/>
      </c>
      <c r="AO19" s="40"/>
      <c r="AP19" s="40"/>
      <c r="AQ19" s="40"/>
      <c r="AR19" s="90" t="str">
        <f t="shared" si="14"/>
        <v/>
      </c>
      <c r="AS19" s="90" t="str">
        <f t="shared" si="15"/>
        <v/>
      </c>
      <c r="AT19" s="40"/>
      <c r="AU19" s="40"/>
      <c r="AV19" s="40"/>
      <c r="AW19" s="90" t="str">
        <f t="shared" si="16"/>
        <v/>
      </c>
      <c r="AX19" s="90" t="str">
        <f t="shared" si="17"/>
        <v/>
      </c>
      <c r="AY19" s="40"/>
      <c r="AZ19" s="40"/>
      <c r="BA19" s="40"/>
      <c r="BB19" s="90" t="str">
        <f t="shared" si="18"/>
        <v/>
      </c>
      <c r="BC19" s="90" t="str">
        <f t="shared" si="19"/>
        <v/>
      </c>
    </row>
    <row r="20" spans="1:55">
      <c r="A20" s="90">
        <f>'DATA SISWA'!A20</f>
        <v>16</v>
      </c>
      <c r="B20" s="90" t="str">
        <f>'DATA SISWA'!B20</f>
        <v>`007</v>
      </c>
      <c r="C20" s="90" t="str">
        <f>'DATA SISWA'!C20</f>
        <v>Nurhayati</v>
      </c>
      <c r="D20" s="90" t="str">
        <f>'DATA SISWA'!D20</f>
        <v>P</v>
      </c>
      <c r="E20" s="90" t="str">
        <f>'DATA SISWA'!E20</f>
        <v>VII</v>
      </c>
      <c r="F20" s="40"/>
      <c r="G20" s="40"/>
      <c r="H20" s="40"/>
      <c r="I20" s="90" t="str">
        <f t="shared" si="0"/>
        <v/>
      </c>
      <c r="J20" s="90" t="str">
        <f t="shared" si="1"/>
        <v/>
      </c>
      <c r="K20" s="40"/>
      <c r="L20" s="40"/>
      <c r="M20" s="40"/>
      <c r="N20" s="90" t="str">
        <f t="shared" si="2"/>
        <v/>
      </c>
      <c r="O20" s="90" t="str">
        <f t="shared" si="3"/>
        <v/>
      </c>
      <c r="P20" s="40"/>
      <c r="Q20" s="40"/>
      <c r="R20" s="40"/>
      <c r="S20" s="90" t="str">
        <f t="shared" si="4"/>
        <v/>
      </c>
      <c r="T20" s="90" t="str">
        <f t="shared" si="5"/>
        <v/>
      </c>
      <c r="U20" s="40"/>
      <c r="V20" s="40"/>
      <c r="W20" s="40"/>
      <c r="X20" s="90" t="str">
        <f t="shared" si="6"/>
        <v/>
      </c>
      <c r="Y20" s="90" t="str">
        <f t="shared" si="7"/>
        <v/>
      </c>
      <c r="Z20" s="40"/>
      <c r="AA20" s="40"/>
      <c r="AB20" s="40"/>
      <c r="AC20" s="90" t="str">
        <f t="shared" si="8"/>
        <v/>
      </c>
      <c r="AD20" s="90" t="str">
        <f t="shared" si="9"/>
        <v/>
      </c>
      <c r="AE20" s="40"/>
      <c r="AF20" s="40"/>
      <c r="AG20" s="40"/>
      <c r="AH20" s="90" t="str">
        <f t="shared" si="10"/>
        <v/>
      </c>
      <c r="AI20" s="90" t="str">
        <f t="shared" si="11"/>
        <v/>
      </c>
      <c r="AJ20" s="40"/>
      <c r="AK20" s="40"/>
      <c r="AL20" s="40"/>
      <c r="AM20" s="90" t="str">
        <f t="shared" si="12"/>
        <v/>
      </c>
      <c r="AN20" s="90" t="str">
        <f t="shared" si="13"/>
        <v/>
      </c>
      <c r="AO20" s="40"/>
      <c r="AP20" s="40"/>
      <c r="AQ20" s="40"/>
      <c r="AR20" s="90" t="str">
        <f t="shared" si="14"/>
        <v/>
      </c>
      <c r="AS20" s="90" t="str">
        <f t="shared" si="15"/>
        <v/>
      </c>
      <c r="AT20" s="40"/>
      <c r="AU20" s="40"/>
      <c r="AV20" s="40"/>
      <c r="AW20" s="90" t="str">
        <f t="shared" si="16"/>
        <v/>
      </c>
      <c r="AX20" s="90" t="str">
        <f t="shared" si="17"/>
        <v/>
      </c>
      <c r="AY20" s="40"/>
      <c r="AZ20" s="40"/>
      <c r="BA20" s="40"/>
      <c r="BB20" s="90" t="str">
        <f t="shared" si="18"/>
        <v/>
      </c>
      <c r="BC20" s="90" t="str">
        <f t="shared" si="19"/>
        <v/>
      </c>
    </row>
    <row r="21" spans="1:55">
      <c r="A21" s="90">
        <f>'DATA SISWA'!A21</f>
        <v>17</v>
      </c>
      <c r="B21" s="90" t="str">
        <f>'DATA SISWA'!B21</f>
        <v>`004</v>
      </c>
      <c r="C21" s="90" t="str">
        <f>'DATA SISWA'!C21</f>
        <v>Nur Aini</v>
      </c>
      <c r="D21" s="90" t="str">
        <f>'DATA SISWA'!D21</f>
        <v>P</v>
      </c>
      <c r="E21" s="90" t="str">
        <f>'DATA SISWA'!E21</f>
        <v>VII</v>
      </c>
      <c r="F21" s="40"/>
      <c r="G21" s="40"/>
      <c r="H21" s="40"/>
      <c r="I21" s="90" t="str">
        <f t="shared" si="0"/>
        <v/>
      </c>
      <c r="J21" s="90" t="str">
        <f t="shared" si="1"/>
        <v/>
      </c>
      <c r="K21" s="40"/>
      <c r="L21" s="40"/>
      <c r="M21" s="40"/>
      <c r="N21" s="90" t="str">
        <f t="shared" si="2"/>
        <v/>
      </c>
      <c r="O21" s="90" t="str">
        <f t="shared" si="3"/>
        <v/>
      </c>
      <c r="P21" s="40"/>
      <c r="Q21" s="40"/>
      <c r="R21" s="40"/>
      <c r="S21" s="90" t="str">
        <f t="shared" si="4"/>
        <v/>
      </c>
      <c r="T21" s="90" t="str">
        <f t="shared" si="5"/>
        <v/>
      </c>
      <c r="U21" s="40"/>
      <c r="V21" s="40"/>
      <c r="W21" s="40"/>
      <c r="X21" s="90" t="str">
        <f t="shared" si="6"/>
        <v/>
      </c>
      <c r="Y21" s="90" t="str">
        <f t="shared" si="7"/>
        <v/>
      </c>
      <c r="Z21" s="40"/>
      <c r="AA21" s="40"/>
      <c r="AB21" s="40"/>
      <c r="AC21" s="90" t="str">
        <f t="shared" si="8"/>
        <v/>
      </c>
      <c r="AD21" s="90" t="str">
        <f t="shared" si="9"/>
        <v/>
      </c>
      <c r="AE21" s="40"/>
      <c r="AF21" s="40"/>
      <c r="AG21" s="40"/>
      <c r="AH21" s="90" t="str">
        <f t="shared" si="10"/>
        <v/>
      </c>
      <c r="AI21" s="90" t="str">
        <f t="shared" si="11"/>
        <v/>
      </c>
      <c r="AJ21" s="40"/>
      <c r="AK21" s="40"/>
      <c r="AL21" s="40"/>
      <c r="AM21" s="90" t="str">
        <f t="shared" si="12"/>
        <v/>
      </c>
      <c r="AN21" s="90" t="str">
        <f t="shared" si="13"/>
        <v/>
      </c>
      <c r="AO21" s="40"/>
      <c r="AP21" s="40"/>
      <c r="AQ21" s="40"/>
      <c r="AR21" s="90" t="str">
        <f t="shared" si="14"/>
        <v/>
      </c>
      <c r="AS21" s="90" t="str">
        <f t="shared" si="15"/>
        <v/>
      </c>
      <c r="AT21" s="40"/>
      <c r="AU21" s="40"/>
      <c r="AV21" s="40"/>
      <c r="AW21" s="90" t="str">
        <f t="shared" si="16"/>
        <v/>
      </c>
      <c r="AX21" s="90" t="str">
        <f t="shared" si="17"/>
        <v/>
      </c>
      <c r="AY21" s="40"/>
      <c r="AZ21" s="40"/>
      <c r="BA21" s="40"/>
      <c r="BB21" s="90" t="str">
        <f t="shared" si="18"/>
        <v/>
      </c>
      <c r="BC21" s="90" t="str">
        <f t="shared" si="19"/>
        <v/>
      </c>
    </row>
    <row r="22" spans="1:55">
      <c r="A22" s="90">
        <f>'DATA SISWA'!A22</f>
        <v>18</v>
      </c>
      <c r="B22" s="90" t="str">
        <f>'DATA SISWA'!B22</f>
        <v>`001</v>
      </c>
      <c r="C22" s="90" t="str">
        <f>'DATA SISWA'!C22</f>
        <v>Rofiah</v>
      </c>
      <c r="D22" s="90" t="str">
        <f>'DATA SISWA'!D22</f>
        <v>P</v>
      </c>
      <c r="E22" s="90" t="str">
        <f>'DATA SISWA'!E22</f>
        <v>VII</v>
      </c>
      <c r="F22" s="40"/>
      <c r="G22" s="40"/>
      <c r="H22" s="40"/>
      <c r="I22" s="90" t="str">
        <f t="shared" si="0"/>
        <v/>
      </c>
      <c r="J22" s="90" t="str">
        <f t="shared" si="1"/>
        <v/>
      </c>
      <c r="K22" s="40"/>
      <c r="L22" s="40"/>
      <c r="M22" s="40"/>
      <c r="N22" s="90" t="str">
        <f t="shared" si="2"/>
        <v/>
      </c>
      <c r="O22" s="90" t="str">
        <f t="shared" si="3"/>
        <v/>
      </c>
      <c r="P22" s="40"/>
      <c r="Q22" s="40"/>
      <c r="R22" s="40"/>
      <c r="S22" s="90" t="str">
        <f t="shared" si="4"/>
        <v/>
      </c>
      <c r="T22" s="90" t="str">
        <f t="shared" si="5"/>
        <v/>
      </c>
      <c r="U22" s="40"/>
      <c r="V22" s="40"/>
      <c r="W22" s="40"/>
      <c r="X22" s="90" t="str">
        <f t="shared" si="6"/>
        <v/>
      </c>
      <c r="Y22" s="90" t="str">
        <f t="shared" si="7"/>
        <v/>
      </c>
      <c r="Z22" s="40"/>
      <c r="AA22" s="40"/>
      <c r="AB22" s="40"/>
      <c r="AC22" s="90" t="str">
        <f t="shared" si="8"/>
        <v/>
      </c>
      <c r="AD22" s="90" t="str">
        <f t="shared" si="9"/>
        <v/>
      </c>
      <c r="AE22" s="40"/>
      <c r="AF22" s="40"/>
      <c r="AG22" s="40"/>
      <c r="AH22" s="90" t="str">
        <f t="shared" si="10"/>
        <v/>
      </c>
      <c r="AI22" s="90" t="str">
        <f t="shared" si="11"/>
        <v/>
      </c>
      <c r="AJ22" s="40"/>
      <c r="AK22" s="40"/>
      <c r="AL22" s="40"/>
      <c r="AM22" s="90" t="str">
        <f t="shared" si="12"/>
        <v/>
      </c>
      <c r="AN22" s="90" t="str">
        <f t="shared" si="13"/>
        <v/>
      </c>
      <c r="AO22" s="40"/>
      <c r="AP22" s="40"/>
      <c r="AQ22" s="40"/>
      <c r="AR22" s="90" t="str">
        <f t="shared" si="14"/>
        <v/>
      </c>
      <c r="AS22" s="90" t="str">
        <f t="shared" si="15"/>
        <v/>
      </c>
      <c r="AT22" s="40"/>
      <c r="AU22" s="40"/>
      <c r="AV22" s="40"/>
      <c r="AW22" s="90" t="str">
        <f t="shared" si="16"/>
        <v/>
      </c>
      <c r="AX22" s="90" t="str">
        <f t="shared" si="17"/>
        <v/>
      </c>
      <c r="AY22" s="40"/>
      <c r="AZ22" s="40"/>
      <c r="BA22" s="40"/>
      <c r="BB22" s="90" t="str">
        <f t="shared" si="18"/>
        <v/>
      </c>
      <c r="BC22" s="90" t="str">
        <f t="shared" si="19"/>
        <v/>
      </c>
    </row>
    <row r="23" spans="1:55">
      <c r="A23" s="90">
        <f>'DATA SISWA'!A23</f>
        <v>19</v>
      </c>
      <c r="B23" s="90" t="str">
        <f>'DATA SISWA'!B23</f>
        <v>`015</v>
      </c>
      <c r="C23" s="90" t="str">
        <f>'DATA SISWA'!C23</f>
        <v>Romliadi</v>
      </c>
      <c r="D23" s="90" t="str">
        <f>'DATA SISWA'!D23</f>
        <v>L</v>
      </c>
      <c r="E23" s="90" t="str">
        <f>'DATA SISWA'!E23</f>
        <v>VII</v>
      </c>
      <c r="F23" s="40"/>
      <c r="G23" s="40"/>
      <c r="H23" s="40"/>
      <c r="I23" s="90" t="str">
        <f t="shared" si="0"/>
        <v/>
      </c>
      <c r="J23" s="90" t="str">
        <f t="shared" si="1"/>
        <v/>
      </c>
      <c r="K23" s="40"/>
      <c r="L23" s="40"/>
      <c r="M23" s="40"/>
      <c r="N23" s="90" t="str">
        <f t="shared" si="2"/>
        <v/>
      </c>
      <c r="O23" s="90" t="str">
        <f t="shared" si="3"/>
        <v/>
      </c>
      <c r="P23" s="40"/>
      <c r="Q23" s="40"/>
      <c r="R23" s="40"/>
      <c r="S23" s="90" t="str">
        <f t="shared" si="4"/>
        <v/>
      </c>
      <c r="T23" s="90" t="str">
        <f t="shared" si="5"/>
        <v/>
      </c>
      <c r="U23" s="40"/>
      <c r="V23" s="40"/>
      <c r="W23" s="40"/>
      <c r="X23" s="90" t="str">
        <f t="shared" si="6"/>
        <v/>
      </c>
      <c r="Y23" s="90" t="str">
        <f t="shared" si="7"/>
        <v/>
      </c>
      <c r="Z23" s="40"/>
      <c r="AA23" s="40"/>
      <c r="AB23" s="40"/>
      <c r="AC23" s="90" t="str">
        <f t="shared" si="8"/>
        <v/>
      </c>
      <c r="AD23" s="90" t="str">
        <f t="shared" si="9"/>
        <v/>
      </c>
      <c r="AE23" s="40"/>
      <c r="AF23" s="40"/>
      <c r="AG23" s="40"/>
      <c r="AH23" s="90" t="str">
        <f t="shared" si="10"/>
        <v/>
      </c>
      <c r="AI23" s="90" t="str">
        <f t="shared" si="11"/>
        <v/>
      </c>
      <c r="AJ23" s="40"/>
      <c r="AK23" s="40"/>
      <c r="AL23" s="40"/>
      <c r="AM23" s="90" t="str">
        <f t="shared" si="12"/>
        <v/>
      </c>
      <c r="AN23" s="90" t="str">
        <f t="shared" si="13"/>
        <v/>
      </c>
      <c r="AO23" s="40"/>
      <c r="AP23" s="40"/>
      <c r="AQ23" s="40"/>
      <c r="AR23" s="90" t="str">
        <f t="shared" si="14"/>
        <v/>
      </c>
      <c r="AS23" s="90" t="str">
        <f t="shared" si="15"/>
        <v/>
      </c>
      <c r="AT23" s="40"/>
      <c r="AU23" s="40"/>
      <c r="AV23" s="40"/>
      <c r="AW23" s="90" t="str">
        <f t="shared" si="16"/>
        <v/>
      </c>
      <c r="AX23" s="90" t="str">
        <f t="shared" si="17"/>
        <v/>
      </c>
      <c r="AY23" s="40"/>
      <c r="AZ23" s="40"/>
      <c r="BA23" s="40"/>
      <c r="BB23" s="90" t="str">
        <f t="shared" si="18"/>
        <v/>
      </c>
      <c r="BC23" s="90" t="str">
        <f t="shared" si="19"/>
        <v/>
      </c>
    </row>
    <row r="24" spans="1:55">
      <c r="A24" s="90">
        <f>'DATA SISWA'!A24</f>
        <v>20</v>
      </c>
      <c r="B24" s="90" t="str">
        <f>'DATA SISWA'!B24</f>
        <v>`019</v>
      </c>
      <c r="C24" s="90" t="str">
        <f>'DATA SISWA'!C24</f>
        <v>Tammimah</v>
      </c>
      <c r="D24" s="90" t="str">
        <f>'DATA SISWA'!D24</f>
        <v>P</v>
      </c>
      <c r="E24" s="90" t="str">
        <f>'DATA SISWA'!E24</f>
        <v>VII</v>
      </c>
      <c r="F24" s="40"/>
      <c r="G24" s="40"/>
      <c r="H24" s="40"/>
      <c r="I24" s="90" t="str">
        <f t="shared" si="0"/>
        <v/>
      </c>
      <c r="J24" s="90" t="str">
        <f t="shared" si="1"/>
        <v/>
      </c>
      <c r="K24" s="40"/>
      <c r="L24" s="40"/>
      <c r="M24" s="40"/>
      <c r="N24" s="90" t="str">
        <f t="shared" si="2"/>
        <v/>
      </c>
      <c r="O24" s="90" t="str">
        <f t="shared" si="3"/>
        <v/>
      </c>
      <c r="P24" s="40"/>
      <c r="Q24" s="40"/>
      <c r="R24" s="40"/>
      <c r="S24" s="90" t="str">
        <f t="shared" si="4"/>
        <v/>
      </c>
      <c r="T24" s="90" t="str">
        <f t="shared" si="5"/>
        <v/>
      </c>
      <c r="U24" s="40"/>
      <c r="V24" s="40"/>
      <c r="W24" s="40"/>
      <c r="X24" s="90" t="str">
        <f t="shared" si="6"/>
        <v/>
      </c>
      <c r="Y24" s="90" t="str">
        <f t="shared" si="7"/>
        <v/>
      </c>
      <c r="Z24" s="40"/>
      <c r="AA24" s="40"/>
      <c r="AB24" s="40"/>
      <c r="AC24" s="90" t="str">
        <f t="shared" si="8"/>
        <v/>
      </c>
      <c r="AD24" s="90" t="str">
        <f t="shared" si="9"/>
        <v/>
      </c>
      <c r="AE24" s="40"/>
      <c r="AF24" s="40"/>
      <c r="AG24" s="40"/>
      <c r="AH24" s="90" t="str">
        <f t="shared" si="10"/>
        <v/>
      </c>
      <c r="AI24" s="90" t="str">
        <f t="shared" si="11"/>
        <v/>
      </c>
      <c r="AJ24" s="40"/>
      <c r="AK24" s="40"/>
      <c r="AL24" s="40"/>
      <c r="AM24" s="90" t="str">
        <f t="shared" si="12"/>
        <v/>
      </c>
      <c r="AN24" s="90" t="str">
        <f t="shared" si="13"/>
        <v/>
      </c>
      <c r="AO24" s="40"/>
      <c r="AP24" s="40"/>
      <c r="AQ24" s="40"/>
      <c r="AR24" s="90" t="str">
        <f t="shared" si="14"/>
        <v/>
      </c>
      <c r="AS24" s="90" t="str">
        <f t="shared" si="15"/>
        <v/>
      </c>
      <c r="AT24" s="40"/>
      <c r="AU24" s="40"/>
      <c r="AV24" s="40"/>
      <c r="AW24" s="90" t="str">
        <f t="shared" si="16"/>
        <v/>
      </c>
      <c r="AX24" s="90" t="str">
        <f t="shared" si="17"/>
        <v/>
      </c>
      <c r="AY24" s="40"/>
      <c r="AZ24" s="40"/>
      <c r="BA24" s="40"/>
      <c r="BB24" s="90" t="str">
        <f t="shared" si="18"/>
        <v/>
      </c>
      <c r="BC24" s="90" t="str">
        <f t="shared" si="19"/>
        <v/>
      </c>
    </row>
    <row r="25" spans="1:55">
      <c r="A25" s="90">
        <f>'DATA SISWA'!A25</f>
        <v>0</v>
      </c>
      <c r="B25" s="90">
        <f>'DATA SISWA'!B25</f>
        <v>0</v>
      </c>
      <c r="C25" s="90">
        <f>'DATA SISWA'!C25</f>
        <v>0</v>
      </c>
      <c r="D25" s="90">
        <f>'DATA SISWA'!D25</f>
        <v>0</v>
      </c>
      <c r="E25" s="90" t="str">
        <f>'DATA SISWA'!E25</f>
        <v>VII</v>
      </c>
      <c r="F25" s="40"/>
      <c r="G25" s="40"/>
      <c r="H25" s="40"/>
      <c r="I25" s="90" t="str">
        <f t="shared" si="0"/>
        <v/>
      </c>
      <c r="J25" s="90" t="str">
        <f t="shared" si="1"/>
        <v/>
      </c>
      <c r="K25" s="40"/>
      <c r="L25" s="40"/>
      <c r="M25" s="40"/>
      <c r="N25" s="90" t="str">
        <f t="shared" si="2"/>
        <v/>
      </c>
      <c r="O25" s="90" t="str">
        <f t="shared" si="3"/>
        <v/>
      </c>
      <c r="P25" s="40"/>
      <c r="Q25" s="40"/>
      <c r="R25" s="40"/>
      <c r="S25" s="90" t="str">
        <f t="shared" si="4"/>
        <v/>
      </c>
      <c r="T25" s="90" t="str">
        <f t="shared" si="5"/>
        <v/>
      </c>
      <c r="U25" s="40"/>
      <c r="V25" s="40"/>
      <c r="W25" s="40"/>
      <c r="X25" s="90" t="str">
        <f t="shared" si="6"/>
        <v/>
      </c>
      <c r="Y25" s="90" t="str">
        <f t="shared" si="7"/>
        <v/>
      </c>
      <c r="Z25" s="40"/>
      <c r="AA25" s="40"/>
      <c r="AB25" s="40"/>
      <c r="AC25" s="90" t="str">
        <f t="shared" si="8"/>
        <v/>
      </c>
      <c r="AD25" s="90" t="str">
        <f t="shared" si="9"/>
        <v/>
      </c>
      <c r="AE25" s="40"/>
      <c r="AF25" s="40"/>
      <c r="AG25" s="40"/>
      <c r="AH25" s="90" t="str">
        <f t="shared" si="10"/>
        <v/>
      </c>
      <c r="AI25" s="90" t="str">
        <f t="shared" si="11"/>
        <v/>
      </c>
      <c r="AJ25" s="40"/>
      <c r="AK25" s="40"/>
      <c r="AL25" s="40"/>
      <c r="AM25" s="90" t="str">
        <f t="shared" si="12"/>
        <v/>
      </c>
      <c r="AN25" s="90" t="str">
        <f t="shared" si="13"/>
        <v/>
      </c>
      <c r="AO25" s="40"/>
      <c r="AP25" s="40"/>
      <c r="AQ25" s="40"/>
      <c r="AR25" s="90" t="str">
        <f t="shared" si="14"/>
        <v/>
      </c>
      <c r="AS25" s="90" t="str">
        <f t="shared" si="15"/>
        <v/>
      </c>
      <c r="AT25" s="40"/>
      <c r="AU25" s="40"/>
      <c r="AV25" s="40"/>
      <c r="AW25" s="90" t="str">
        <f t="shared" si="16"/>
        <v/>
      </c>
      <c r="AX25" s="90" t="str">
        <f t="shared" si="17"/>
        <v/>
      </c>
      <c r="AY25" s="40"/>
      <c r="AZ25" s="40"/>
      <c r="BA25" s="40"/>
      <c r="BB25" s="90" t="str">
        <f t="shared" si="18"/>
        <v/>
      </c>
      <c r="BC25" s="90" t="str">
        <f t="shared" si="19"/>
        <v/>
      </c>
    </row>
    <row r="26" spans="1:55">
      <c r="A26" s="90">
        <f>'DATA SISWA'!A26</f>
        <v>0</v>
      </c>
      <c r="B26" s="90">
        <f>'DATA SISWA'!B26</f>
        <v>0</v>
      </c>
      <c r="C26" s="90">
        <f>'DATA SISWA'!C26</f>
        <v>0</v>
      </c>
      <c r="D26" s="90">
        <f>'DATA SISWA'!D26</f>
        <v>0</v>
      </c>
      <c r="E26" s="90" t="str">
        <f>'DATA SISWA'!E26</f>
        <v>VII</v>
      </c>
      <c r="F26" s="40"/>
      <c r="G26" s="40"/>
      <c r="H26" s="40"/>
      <c r="I26" s="90" t="str">
        <f t="shared" si="0"/>
        <v/>
      </c>
      <c r="J26" s="90" t="str">
        <f t="shared" si="1"/>
        <v/>
      </c>
      <c r="K26" s="40"/>
      <c r="L26" s="40"/>
      <c r="M26" s="40"/>
      <c r="N26" s="90" t="str">
        <f t="shared" si="2"/>
        <v/>
      </c>
      <c r="O26" s="90" t="str">
        <f t="shared" si="3"/>
        <v/>
      </c>
      <c r="P26" s="40"/>
      <c r="Q26" s="40"/>
      <c r="R26" s="40"/>
      <c r="S26" s="90" t="str">
        <f t="shared" si="4"/>
        <v/>
      </c>
      <c r="T26" s="90" t="str">
        <f t="shared" si="5"/>
        <v/>
      </c>
      <c r="U26" s="40"/>
      <c r="V26" s="40"/>
      <c r="W26" s="40"/>
      <c r="X26" s="90" t="str">
        <f t="shared" si="6"/>
        <v/>
      </c>
      <c r="Y26" s="90" t="str">
        <f t="shared" si="7"/>
        <v/>
      </c>
      <c r="Z26" s="40"/>
      <c r="AA26" s="40"/>
      <c r="AB26" s="40"/>
      <c r="AC26" s="90" t="str">
        <f t="shared" si="8"/>
        <v/>
      </c>
      <c r="AD26" s="90" t="str">
        <f t="shared" si="9"/>
        <v/>
      </c>
      <c r="AE26" s="40"/>
      <c r="AF26" s="40"/>
      <c r="AG26" s="40"/>
      <c r="AH26" s="90" t="str">
        <f t="shared" si="10"/>
        <v/>
      </c>
      <c r="AI26" s="90" t="str">
        <f t="shared" si="11"/>
        <v/>
      </c>
      <c r="AJ26" s="40"/>
      <c r="AK26" s="40"/>
      <c r="AL26" s="40"/>
      <c r="AM26" s="90" t="str">
        <f t="shared" si="12"/>
        <v/>
      </c>
      <c r="AN26" s="90" t="str">
        <f t="shared" si="13"/>
        <v/>
      </c>
      <c r="AO26" s="40"/>
      <c r="AP26" s="40"/>
      <c r="AQ26" s="40"/>
      <c r="AR26" s="90" t="str">
        <f t="shared" si="14"/>
        <v/>
      </c>
      <c r="AS26" s="90" t="str">
        <f t="shared" si="15"/>
        <v/>
      </c>
      <c r="AT26" s="40"/>
      <c r="AU26" s="40"/>
      <c r="AV26" s="40"/>
      <c r="AW26" s="90" t="str">
        <f t="shared" si="16"/>
        <v/>
      </c>
      <c r="AX26" s="90" t="str">
        <f t="shared" si="17"/>
        <v/>
      </c>
      <c r="AY26" s="40"/>
      <c r="AZ26" s="40"/>
      <c r="BA26" s="40"/>
      <c r="BB26" s="90" t="str">
        <f t="shared" si="18"/>
        <v/>
      </c>
      <c r="BC26" s="90" t="str">
        <f t="shared" si="19"/>
        <v/>
      </c>
    </row>
    <row r="27" spans="1:55">
      <c r="A27" s="90">
        <f>'DATA SISWA'!A27</f>
        <v>0</v>
      </c>
      <c r="B27" s="90">
        <f>'DATA SISWA'!B27</f>
        <v>0</v>
      </c>
      <c r="C27" s="90">
        <f>'DATA SISWA'!C27</f>
        <v>0</v>
      </c>
      <c r="D27" s="90">
        <f>'DATA SISWA'!D27</f>
        <v>0</v>
      </c>
      <c r="E27" s="90" t="str">
        <f>'DATA SISWA'!E27</f>
        <v>VII</v>
      </c>
      <c r="F27" s="40"/>
      <c r="G27" s="40"/>
      <c r="H27" s="40"/>
      <c r="I27" s="90" t="str">
        <f t="shared" si="0"/>
        <v/>
      </c>
      <c r="J27" s="90" t="str">
        <f t="shared" si="1"/>
        <v/>
      </c>
      <c r="K27" s="40"/>
      <c r="L27" s="40"/>
      <c r="M27" s="40"/>
      <c r="N27" s="90" t="str">
        <f t="shared" si="2"/>
        <v/>
      </c>
      <c r="O27" s="90" t="str">
        <f t="shared" si="3"/>
        <v/>
      </c>
      <c r="P27" s="40"/>
      <c r="Q27" s="40"/>
      <c r="R27" s="40"/>
      <c r="S27" s="90" t="str">
        <f t="shared" si="4"/>
        <v/>
      </c>
      <c r="T27" s="90" t="str">
        <f t="shared" si="5"/>
        <v/>
      </c>
      <c r="U27" s="40"/>
      <c r="V27" s="40"/>
      <c r="W27" s="40"/>
      <c r="X27" s="90" t="str">
        <f t="shared" si="6"/>
        <v/>
      </c>
      <c r="Y27" s="90" t="str">
        <f t="shared" si="7"/>
        <v/>
      </c>
      <c r="Z27" s="40"/>
      <c r="AA27" s="40"/>
      <c r="AB27" s="40"/>
      <c r="AC27" s="90" t="str">
        <f t="shared" si="8"/>
        <v/>
      </c>
      <c r="AD27" s="90" t="str">
        <f t="shared" si="9"/>
        <v/>
      </c>
      <c r="AE27" s="40"/>
      <c r="AF27" s="40"/>
      <c r="AG27" s="40"/>
      <c r="AH27" s="90" t="str">
        <f t="shared" si="10"/>
        <v/>
      </c>
      <c r="AI27" s="90" t="str">
        <f t="shared" si="11"/>
        <v/>
      </c>
      <c r="AJ27" s="40"/>
      <c r="AK27" s="40"/>
      <c r="AL27" s="40"/>
      <c r="AM27" s="90" t="str">
        <f t="shared" si="12"/>
        <v/>
      </c>
      <c r="AN27" s="90" t="str">
        <f t="shared" si="13"/>
        <v/>
      </c>
      <c r="AO27" s="40"/>
      <c r="AP27" s="40"/>
      <c r="AQ27" s="40"/>
      <c r="AR27" s="90" t="str">
        <f t="shared" si="14"/>
        <v/>
      </c>
      <c r="AS27" s="90" t="str">
        <f t="shared" si="15"/>
        <v/>
      </c>
      <c r="AT27" s="40"/>
      <c r="AU27" s="40"/>
      <c r="AV27" s="40"/>
      <c r="AW27" s="90" t="str">
        <f t="shared" si="16"/>
        <v/>
      </c>
      <c r="AX27" s="90" t="str">
        <f t="shared" si="17"/>
        <v/>
      </c>
      <c r="AY27" s="40"/>
      <c r="AZ27" s="40"/>
      <c r="BA27" s="40"/>
      <c r="BB27" s="90" t="str">
        <f t="shared" si="18"/>
        <v/>
      </c>
      <c r="BC27" s="90" t="str">
        <f t="shared" si="19"/>
        <v/>
      </c>
    </row>
    <row r="28" spans="1:55">
      <c r="A28" s="90">
        <f>'DATA SISWA'!A28</f>
        <v>0</v>
      </c>
      <c r="B28" s="90">
        <f>'DATA SISWA'!B28</f>
        <v>0</v>
      </c>
      <c r="C28" s="90">
        <f>'DATA SISWA'!C28</f>
        <v>0</v>
      </c>
      <c r="D28" s="90">
        <f>'DATA SISWA'!D28</f>
        <v>0</v>
      </c>
      <c r="E28" s="90" t="str">
        <f>'DATA SISWA'!E28</f>
        <v>VII</v>
      </c>
      <c r="F28" s="40"/>
      <c r="G28" s="40"/>
      <c r="H28" s="40"/>
      <c r="I28" s="90" t="str">
        <f t="shared" si="0"/>
        <v/>
      </c>
      <c r="J28" s="90" t="str">
        <f t="shared" si="1"/>
        <v/>
      </c>
      <c r="K28" s="40"/>
      <c r="L28" s="40"/>
      <c r="M28" s="40"/>
      <c r="N28" s="90" t="str">
        <f t="shared" si="2"/>
        <v/>
      </c>
      <c r="O28" s="90" t="str">
        <f t="shared" si="3"/>
        <v/>
      </c>
      <c r="P28" s="40"/>
      <c r="Q28" s="40"/>
      <c r="R28" s="40"/>
      <c r="S28" s="90" t="str">
        <f t="shared" si="4"/>
        <v/>
      </c>
      <c r="T28" s="90" t="str">
        <f t="shared" si="5"/>
        <v/>
      </c>
      <c r="U28" s="40"/>
      <c r="V28" s="40"/>
      <c r="W28" s="40"/>
      <c r="X28" s="90" t="str">
        <f t="shared" si="6"/>
        <v/>
      </c>
      <c r="Y28" s="90" t="str">
        <f t="shared" si="7"/>
        <v/>
      </c>
      <c r="Z28" s="40"/>
      <c r="AA28" s="40"/>
      <c r="AB28" s="40"/>
      <c r="AC28" s="90" t="str">
        <f t="shared" si="8"/>
        <v/>
      </c>
      <c r="AD28" s="90" t="str">
        <f t="shared" si="9"/>
        <v/>
      </c>
      <c r="AE28" s="40"/>
      <c r="AF28" s="40"/>
      <c r="AG28" s="40"/>
      <c r="AH28" s="90" t="str">
        <f t="shared" si="10"/>
        <v/>
      </c>
      <c r="AI28" s="90" t="str">
        <f t="shared" si="11"/>
        <v/>
      </c>
      <c r="AJ28" s="40"/>
      <c r="AK28" s="40"/>
      <c r="AL28" s="40"/>
      <c r="AM28" s="90" t="str">
        <f t="shared" si="12"/>
        <v/>
      </c>
      <c r="AN28" s="90" t="str">
        <f t="shared" si="13"/>
        <v/>
      </c>
      <c r="AO28" s="40"/>
      <c r="AP28" s="40"/>
      <c r="AQ28" s="40"/>
      <c r="AR28" s="90" t="str">
        <f t="shared" si="14"/>
        <v/>
      </c>
      <c r="AS28" s="90" t="str">
        <f t="shared" si="15"/>
        <v/>
      </c>
      <c r="AT28" s="40"/>
      <c r="AU28" s="40"/>
      <c r="AV28" s="40"/>
      <c r="AW28" s="90" t="str">
        <f t="shared" si="16"/>
        <v/>
      </c>
      <c r="AX28" s="90" t="str">
        <f t="shared" si="17"/>
        <v/>
      </c>
      <c r="AY28" s="40"/>
      <c r="AZ28" s="40"/>
      <c r="BA28" s="40"/>
      <c r="BB28" s="90" t="str">
        <f t="shared" si="18"/>
        <v/>
      </c>
      <c r="BC28" s="90" t="str">
        <f t="shared" si="19"/>
        <v/>
      </c>
    </row>
    <row r="29" spans="1:55">
      <c r="A29" s="90">
        <f>'DATA SISWA'!A29</f>
        <v>0</v>
      </c>
      <c r="B29" s="90">
        <f>'DATA SISWA'!B29</f>
        <v>0</v>
      </c>
      <c r="C29" s="90">
        <f>'DATA SISWA'!C29</f>
        <v>0</v>
      </c>
      <c r="D29" s="90">
        <f>'DATA SISWA'!D29</f>
        <v>0</v>
      </c>
      <c r="E29" s="90" t="str">
        <f>'DATA SISWA'!E29</f>
        <v>VII</v>
      </c>
      <c r="F29" s="40"/>
      <c r="G29" s="40"/>
      <c r="H29" s="40"/>
      <c r="I29" s="90" t="str">
        <f t="shared" si="0"/>
        <v/>
      </c>
      <c r="J29" s="90" t="str">
        <f t="shared" si="1"/>
        <v/>
      </c>
      <c r="K29" s="40"/>
      <c r="L29" s="40"/>
      <c r="M29" s="40"/>
      <c r="N29" s="90" t="str">
        <f t="shared" si="2"/>
        <v/>
      </c>
      <c r="O29" s="90" t="str">
        <f t="shared" si="3"/>
        <v/>
      </c>
      <c r="P29" s="40"/>
      <c r="Q29" s="40"/>
      <c r="R29" s="40"/>
      <c r="S29" s="90" t="str">
        <f t="shared" si="4"/>
        <v/>
      </c>
      <c r="T29" s="90" t="str">
        <f t="shared" si="5"/>
        <v/>
      </c>
      <c r="U29" s="40"/>
      <c r="V29" s="40"/>
      <c r="W29" s="40"/>
      <c r="X29" s="90" t="str">
        <f t="shared" si="6"/>
        <v/>
      </c>
      <c r="Y29" s="90" t="str">
        <f t="shared" si="7"/>
        <v/>
      </c>
      <c r="Z29" s="40"/>
      <c r="AA29" s="40"/>
      <c r="AB29" s="40"/>
      <c r="AC29" s="90" t="str">
        <f t="shared" si="8"/>
        <v/>
      </c>
      <c r="AD29" s="90" t="str">
        <f t="shared" si="9"/>
        <v/>
      </c>
      <c r="AE29" s="40"/>
      <c r="AF29" s="40"/>
      <c r="AG29" s="40"/>
      <c r="AH29" s="90" t="str">
        <f t="shared" si="10"/>
        <v/>
      </c>
      <c r="AI29" s="90" t="str">
        <f t="shared" si="11"/>
        <v/>
      </c>
      <c r="AJ29" s="40"/>
      <c r="AK29" s="40"/>
      <c r="AL29" s="40"/>
      <c r="AM29" s="90" t="str">
        <f t="shared" si="12"/>
        <v/>
      </c>
      <c r="AN29" s="90" t="str">
        <f t="shared" si="13"/>
        <v/>
      </c>
      <c r="AO29" s="40"/>
      <c r="AP29" s="40"/>
      <c r="AQ29" s="40"/>
      <c r="AR29" s="90" t="str">
        <f t="shared" si="14"/>
        <v/>
      </c>
      <c r="AS29" s="90" t="str">
        <f t="shared" si="15"/>
        <v/>
      </c>
      <c r="AT29" s="40"/>
      <c r="AU29" s="40"/>
      <c r="AV29" s="40"/>
      <c r="AW29" s="90" t="str">
        <f t="shared" si="16"/>
        <v/>
      </c>
      <c r="AX29" s="90" t="str">
        <f t="shared" si="17"/>
        <v/>
      </c>
      <c r="AY29" s="40"/>
      <c r="AZ29" s="40"/>
      <c r="BA29" s="40"/>
      <c r="BB29" s="90" t="str">
        <f t="shared" si="18"/>
        <v/>
      </c>
      <c r="BC29" s="90" t="str">
        <f t="shared" si="19"/>
        <v/>
      </c>
    </row>
    <row r="30" spans="1:55">
      <c r="A30" s="90">
        <f>'DATA SISWA'!A30</f>
        <v>0</v>
      </c>
      <c r="B30" s="90">
        <f>'DATA SISWA'!B30</f>
        <v>0</v>
      </c>
      <c r="C30" s="90">
        <f>'DATA SISWA'!C30</f>
        <v>0</v>
      </c>
      <c r="D30" s="90">
        <f>'DATA SISWA'!D30</f>
        <v>0</v>
      </c>
      <c r="E30" s="90" t="str">
        <f>'DATA SISWA'!E30</f>
        <v>VII</v>
      </c>
      <c r="F30" s="40"/>
      <c r="G30" s="40"/>
      <c r="H30" s="40"/>
      <c r="I30" s="90" t="str">
        <f t="shared" si="0"/>
        <v/>
      </c>
      <c r="J30" s="90" t="str">
        <f t="shared" si="1"/>
        <v/>
      </c>
      <c r="K30" s="40"/>
      <c r="L30" s="40"/>
      <c r="M30" s="40"/>
      <c r="N30" s="90" t="str">
        <f t="shared" si="2"/>
        <v/>
      </c>
      <c r="O30" s="90" t="str">
        <f t="shared" si="3"/>
        <v/>
      </c>
      <c r="P30" s="40"/>
      <c r="Q30" s="40"/>
      <c r="R30" s="40"/>
      <c r="S30" s="90" t="str">
        <f t="shared" si="4"/>
        <v/>
      </c>
      <c r="T30" s="90" t="str">
        <f t="shared" si="5"/>
        <v/>
      </c>
      <c r="U30" s="40"/>
      <c r="V30" s="40"/>
      <c r="W30" s="40"/>
      <c r="X30" s="90" t="str">
        <f t="shared" si="6"/>
        <v/>
      </c>
      <c r="Y30" s="90" t="str">
        <f t="shared" si="7"/>
        <v/>
      </c>
      <c r="Z30" s="40"/>
      <c r="AA30" s="40"/>
      <c r="AB30" s="40"/>
      <c r="AC30" s="90" t="str">
        <f t="shared" si="8"/>
        <v/>
      </c>
      <c r="AD30" s="90" t="str">
        <f t="shared" si="9"/>
        <v/>
      </c>
      <c r="AE30" s="40"/>
      <c r="AF30" s="40"/>
      <c r="AG30" s="40"/>
      <c r="AH30" s="90" t="str">
        <f t="shared" si="10"/>
        <v/>
      </c>
      <c r="AI30" s="90" t="str">
        <f t="shared" si="11"/>
        <v/>
      </c>
      <c r="AJ30" s="40"/>
      <c r="AK30" s="40"/>
      <c r="AL30" s="40"/>
      <c r="AM30" s="90" t="str">
        <f t="shared" si="12"/>
        <v/>
      </c>
      <c r="AN30" s="90" t="str">
        <f t="shared" si="13"/>
        <v/>
      </c>
      <c r="AO30" s="40"/>
      <c r="AP30" s="40"/>
      <c r="AQ30" s="40"/>
      <c r="AR30" s="90" t="str">
        <f t="shared" si="14"/>
        <v/>
      </c>
      <c r="AS30" s="90" t="str">
        <f t="shared" si="15"/>
        <v/>
      </c>
      <c r="AT30" s="40"/>
      <c r="AU30" s="40"/>
      <c r="AV30" s="40"/>
      <c r="AW30" s="90" t="str">
        <f t="shared" si="16"/>
        <v/>
      </c>
      <c r="AX30" s="90" t="str">
        <f t="shared" si="17"/>
        <v/>
      </c>
      <c r="AY30" s="40"/>
      <c r="AZ30" s="40"/>
      <c r="BA30" s="40"/>
      <c r="BB30" s="90" t="str">
        <f t="shared" si="18"/>
        <v/>
      </c>
      <c r="BC30" s="90" t="str">
        <f t="shared" si="19"/>
        <v/>
      </c>
    </row>
    <row r="31" spans="1:55">
      <c r="A31" s="90">
        <f>'DATA SISWA'!A31</f>
        <v>0</v>
      </c>
      <c r="B31" s="90">
        <f>'DATA SISWA'!B31</f>
        <v>0</v>
      </c>
      <c r="C31" s="90">
        <f>'DATA SISWA'!C31</f>
        <v>0</v>
      </c>
      <c r="D31" s="90">
        <f>'DATA SISWA'!D31</f>
        <v>0</v>
      </c>
      <c r="E31" s="90" t="str">
        <f>'DATA SISWA'!E31</f>
        <v>VII</v>
      </c>
      <c r="F31" s="40"/>
      <c r="G31" s="40"/>
      <c r="H31" s="40"/>
      <c r="I31" s="90" t="str">
        <f t="shared" si="0"/>
        <v/>
      </c>
      <c r="J31" s="90" t="str">
        <f t="shared" si="1"/>
        <v/>
      </c>
      <c r="K31" s="40"/>
      <c r="L31" s="40"/>
      <c r="M31" s="40"/>
      <c r="N31" s="90" t="str">
        <f t="shared" si="2"/>
        <v/>
      </c>
      <c r="O31" s="90" t="str">
        <f t="shared" si="3"/>
        <v/>
      </c>
      <c r="P31" s="40"/>
      <c r="Q31" s="40"/>
      <c r="R31" s="40"/>
      <c r="S31" s="90" t="str">
        <f t="shared" si="4"/>
        <v/>
      </c>
      <c r="T31" s="90" t="str">
        <f t="shared" si="5"/>
        <v/>
      </c>
      <c r="U31" s="40"/>
      <c r="V31" s="40"/>
      <c r="W31" s="40"/>
      <c r="X31" s="90" t="str">
        <f t="shared" si="6"/>
        <v/>
      </c>
      <c r="Y31" s="90" t="str">
        <f t="shared" si="7"/>
        <v/>
      </c>
      <c r="Z31" s="40"/>
      <c r="AA31" s="40"/>
      <c r="AB31" s="40"/>
      <c r="AC31" s="90" t="str">
        <f t="shared" si="8"/>
        <v/>
      </c>
      <c r="AD31" s="90" t="str">
        <f t="shared" si="9"/>
        <v/>
      </c>
      <c r="AE31" s="40"/>
      <c r="AF31" s="40"/>
      <c r="AG31" s="40"/>
      <c r="AH31" s="90" t="str">
        <f t="shared" si="10"/>
        <v/>
      </c>
      <c r="AI31" s="90" t="str">
        <f t="shared" si="11"/>
        <v/>
      </c>
      <c r="AJ31" s="40"/>
      <c r="AK31" s="40"/>
      <c r="AL31" s="40"/>
      <c r="AM31" s="90" t="str">
        <f t="shared" si="12"/>
        <v/>
      </c>
      <c r="AN31" s="90" t="str">
        <f t="shared" si="13"/>
        <v/>
      </c>
      <c r="AO31" s="40"/>
      <c r="AP31" s="40"/>
      <c r="AQ31" s="40"/>
      <c r="AR31" s="90" t="str">
        <f t="shared" si="14"/>
        <v/>
      </c>
      <c r="AS31" s="90" t="str">
        <f t="shared" si="15"/>
        <v/>
      </c>
      <c r="AT31" s="40"/>
      <c r="AU31" s="40"/>
      <c r="AV31" s="40"/>
      <c r="AW31" s="90" t="str">
        <f t="shared" si="16"/>
        <v/>
      </c>
      <c r="AX31" s="90" t="str">
        <f t="shared" si="17"/>
        <v/>
      </c>
      <c r="AY31" s="40"/>
      <c r="AZ31" s="40"/>
      <c r="BA31" s="40"/>
      <c r="BB31" s="90" t="str">
        <f t="shared" si="18"/>
        <v/>
      </c>
      <c r="BC31" s="90" t="str">
        <f t="shared" si="19"/>
        <v/>
      </c>
    </row>
    <row r="32" spans="1:55">
      <c r="A32" s="90">
        <f>'DATA SISWA'!A32</f>
        <v>0</v>
      </c>
      <c r="B32" s="90">
        <f>'DATA SISWA'!B32</f>
        <v>0</v>
      </c>
      <c r="C32" s="90">
        <f>'DATA SISWA'!C32</f>
        <v>0</v>
      </c>
      <c r="D32" s="90">
        <f>'DATA SISWA'!D32</f>
        <v>0</v>
      </c>
      <c r="E32" s="90" t="str">
        <f>'DATA SISWA'!E32</f>
        <v>VII</v>
      </c>
      <c r="F32" s="40"/>
      <c r="G32" s="40"/>
      <c r="H32" s="40"/>
      <c r="I32" s="90" t="str">
        <f t="shared" si="0"/>
        <v/>
      </c>
      <c r="J32" s="90" t="str">
        <f t="shared" si="1"/>
        <v/>
      </c>
      <c r="K32" s="40"/>
      <c r="L32" s="40"/>
      <c r="M32" s="40"/>
      <c r="N32" s="90" t="str">
        <f t="shared" si="2"/>
        <v/>
      </c>
      <c r="O32" s="90" t="str">
        <f t="shared" si="3"/>
        <v/>
      </c>
      <c r="P32" s="40"/>
      <c r="Q32" s="40"/>
      <c r="R32" s="40"/>
      <c r="S32" s="90" t="str">
        <f t="shared" si="4"/>
        <v/>
      </c>
      <c r="T32" s="90" t="str">
        <f t="shared" si="5"/>
        <v/>
      </c>
      <c r="U32" s="40"/>
      <c r="V32" s="40"/>
      <c r="W32" s="40"/>
      <c r="X32" s="90" t="str">
        <f t="shared" si="6"/>
        <v/>
      </c>
      <c r="Y32" s="90" t="str">
        <f t="shared" si="7"/>
        <v/>
      </c>
      <c r="Z32" s="40"/>
      <c r="AA32" s="40"/>
      <c r="AB32" s="40"/>
      <c r="AC32" s="90" t="str">
        <f t="shared" si="8"/>
        <v/>
      </c>
      <c r="AD32" s="90" t="str">
        <f t="shared" si="9"/>
        <v/>
      </c>
      <c r="AE32" s="40"/>
      <c r="AF32" s="40"/>
      <c r="AG32" s="40"/>
      <c r="AH32" s="90" t="str">
        <f t="shared" si="10"/>
        <v/>
      </c>
      <c r="AI32" s="90" t="str">
        <f t="shared" si="11"/>
        <v/>
      </c>
      <c r="AJ32" s="40"/>
      <c r="AK32" s="40"/>
      <c r="AL32" s="40"/>
      <c r="AM32" s="90" t="str">
        <f t="shared" si="12"/>
        <v/>
      </c>
      <c r="AN32" s="90" t="str">
        <f t="shared" si="13"/>
        <v/>
      </c>
      <c r="AO32" s="40"/>
      <c r="AP32" s="40"/>
      <c r="AQ32" s="40"/>
      <c r="AR32" s="90" t="str">
        <f t="shared" si="14"/>
        <v/>
      </c>
      <c r="AS32" s="90" t="str">
        <f t="shared" si="15"/>
        <v/>
      </c>
      <c r="AT32" s="40"/>
      <c r="AU32" s="40"/>
      <c r="AV32" s="40"/>
      <c r="AW32" s="90" t="str">
        <f t="shared" si="16"/>
        <v/>
      </c>
      <c r="AX32" s="90" t="str">
        <f t="shared" si="17"/>
        <v/>
      </c>
      <c r="AY32" s="40"/>
      <c r="AZ32" s="40"/>
      <c r="BA32" s="40"/>
      <c r="BB32" s="90" t="str">
        <f t="shared" si="18"/>
        <v/>
      </c>
      <c r="BC32" s="90" t="str">
        <f t="shared" si="19"/>
        <v/>
      </c>
    </row>
    <row r="33" spans="1:55">
      <c r="A33" s="90">
        <f>'DATA SISWA'!A33</f>
        <v>0</v>
      </c>
      <c r="B33" s="90">
        <f>'DATA SISWA'!B33</f>
        <v>0</v>
      </c>
      <c r="C33" s="90">
        <f>'DATA SISWA'!C33</f>
        <v>0</v>
      </c>
      <c r="D33" s="90">
        <f>'DATA SISWA'!D33</f>
        <v>0</v>
      </c>
      <c r="E33" s="90" t="str">
        <f>'DATA SISWA'!E33</f>
        <v>VII</v>
      </c>
      <c r="F33" s="40"/>
      <c r="G33" s="40"/>
      <c r="H33" s="40"/>
      <c r="I33" s="90" t="str">
        <f t="shared" si="0"/>
        <v/>
      </c>
      <c r="J33" s="90" t="str">
        <f t="shared" si="1"/>
        <v/>
      </c>
      <c r="K33" s="40"/>
      <c r="L33" s="40"/>
      <c r="M33" s="40"/>
      <c r="N33" s="90" t="str">
        <f t="shared" si="2"/>
        <v/>
      </c>
      <c r="O33" s="90" t="str">
        <f t="shared" si="3"/>
        <v/>
      </c>
      <c r="P33" s="40"/>
      <c r="Q33" s="40"/>
      <c r="R33" s="40"/>
      <c r="S33" s="90" t="str">
        <f t="shared" si="4"/>
        <v/>
      </c>
      <c r="T33" s="90" t="str">
        <f t="shared" si="5"/>
        <v/>
      </c>
      <c r="U33" s="40"/>
      <c r="V33" s="40"/>
      <c r="W33" s="40"/>
      <c r="X33" s="90" t="str">
        <f t="shared" si="6"/>
        <v/>
      </c>
      <c r="Y33" s="90" t="str">
        <f t="shared" si="7"/>
        <v/>
      </c>
      <c r="Z33" s="40"/>
      <c r="AA33" s="40"/>
      <c r="AB33" s="40"/>
      <c r="AC33" s="90" t="str">
        <f t="shared" si="8"/>
        <v/>
      </c>
      <c r="AD33" s="90" t="str">
        <f t="shared" si="9"/>
        <v/>
      </c>
      <c r="AE33" s="40"/>
      <c r="AF33" s="40"/>
      <c r="AG33" s="40"/>
      <c r="AH33" s="90" t="str">
        <f t="shared" si="10"/>
        <v/>
      </c>
      <c r="AI33" s="90" t="str">
        <f t="shared" si="11"/>
        <v/>
      </c>
      <c r="AJ33" s="40"/>
      <c r="AK33" s="40"/>
      <c r="AL33" s="40"/>
      <c r="AM33" s="90" t="str">
        <f t="shared" si="12"/>
        <v/>
      </c>
      <c r="AN33" s="90" t="str">
        <f t="shared" si="13"/>
        <v/>
      </c>
      <c r="AO33" s="40"/>
      <c r="AP33" s="40"/>
      <c r="AQ33" s="40"/>
      <c r="AR33" s="90" t="str">
        <f t="shared" si="14"/>
        <v/>
      </c>
      <c r="AS33" s="90" t="str">
        <f t="shared" si="15"/>
        <v/>
      </c>
      <c r="AT33" s="40"/>
      <c r="AU33" s="40"/>
      <c r="AV33" s="40"/>
      <c r="AW33" s="90" t="str">
        <f t="shared" si="16"/>
        <v/>
      </c>
      <c r="AX33" s="90" t="str">
        <f t="shared" si="17"/>
        <v/>
      </c>
      <c r="AY33" s="40"/>
      <c r="AZ33" s="40"/>
      <c r="BA33" s="40"/>
      <c r="BB33" s="90" t="str">
        <f t="shared" si="18"/>
        <v/>
      </c>
      <c r="BC33" s="90" t="str">
        <f t="shared" si="19"/>
        <v/>
      </c>
    </row>
    <row r="34" spans="1:55">
      <c r="A34" s="90">
        <f>'DATA SISWA'!A34</f>
        <v>0</v>
      </c>
      <c r="B34" s="90">
        <f>'DATA SISWA'!B34</f>
        <v>0</v>
      </c>
      <c r="C34" s="90">
        <f>'DATA SISWA'!C34</f>
        <v>0</v>
      </c>
      <c r="D34" s="90">
        <f>'DATA SISWA'!D34</f>
        <v>0</v>
      </c>
      <c r="E34" s="90" t="str">
        <f>'DATA SISWA'!E34</f>
        <v>VII</v>
      </c>
      <c r="F34" s="40"/>
      <c r="G34" s="40"/>
      <c r="H34" s="40"/>
      <c r="I34" s="90" t="str">
        <f t="shared" si="0"/>
        <v/>
      </c>
      <c r="J34" s="90" t="str">
        <f t="shared" si="1"/>
        <v/>
      </c>
      <c r="K34" s="40"/>
      <c r="L34" s="40"/>
      <c r="M34" s="40"/>
      <c r="N34" s="90" t="str">
        <f t="shared" si="2"/>
        <v/>
      </c>
      <c r="O34" s="90" t="str">
        <f t="shared" si="3"/>
        <v/>
      </c>
      <c r="P34" s="40"/>
      <c r="Q34" s="40"/>
      <c r="R34" s="40"/>
      <c r="S34" s="90" t="str">
        <f t="shared" si="4"/>
        <v/>
      </c>
      <c r="T34" s="90" t="str">
        <f t="shared" si="5"/>
        <v/>
      </c>
      <c r="U34" s="40"/>
      <c r="V34" s="40"/>
      <c r="W34" s="40"/>
      <c r="X34" s="90" t="str">
        <f t="shared" si="6"/>
        <v/>
      </c>
      <c r="Y34" s="90" t="str">
        <f t="shared" si="7"/>
        <v/>
      </c>
      <c r="Z34" s="40"/>
      <c r="AA34" s="40"/>
      <c r="AB34" s="40"/>
      <c r="AC34" s="90" t="str">
        <f t="shared" si="8"/>
        <v/>
      </c>
      <c r="AD34" s="90" t="str">
        <f t="shared" si="9"/>
        <v/>
      </c>
      <c r="AE34" s="40"/>
      <c r="AF34" s="40"/>
      <c r="AG34" s="40"/>
      <c r="AH34" s="90" t="str">
        <f t="shared" si="10"/>
        <v/>
      </c>
      <c r="AI34" s="90" t="str">
        <f t="shared" si="11"/>
        <v/>
      </c>
      <c r="AJ34" s="40"/>
      <c r="AK34" s="40"/>
      <c r="AL34" s="40"/>
      <c r="AM34" s="90" t="str">
        <f t="shared" si="12"/>
        <v/>
      </c>
      <c r="AN34" s="90" t="str">
        <f t="shared" si="13"/>
        <v/>
      </c>
      <c r="AO34" s="40"/>
      <c r="AP34" s="40"/>
      <c r="AQ34" s="40"/>
      <c r="AR34" s="90" t="str">
        <f t="shared" si="14"/>
        <v/>
      </c>
      <c r="AS34" s="90" t="str">
        <f t="shared" si="15"/>
        <v/>
      </c>
      <c r="AT34" s="40"/>
      <c r="AU34" s="40"/>
      <c r="AV34" s="40"/>
      <c r="AW34" s="90" t="str">
        <f t="shared" si="16"/>
        <v/>
      </c>
      <c r="AX34" s="90" t="str">
        <f t="shared" si="17"/>
        <v/>
      </c>
      <c r="AY34" s="40"/>
      <c r="AZ34" s="40"/>
      <c r="BA34" s="40"/>
      <c r="BB34" s="90" t="str">
        <f t="shared" si="18"/>
        <v/>
      </c>
      <c r="BC34" s="90" t="str">
        <f t="shared" si="19"/>
        <v/>
      </c>
    </row>
    <row r="35" spans="1:55">
      <c r="A35" s="90">
        <f>'DATA SISWA'!A35</f>
        <v>0</v>
      </c>
      <c r="B35" s="90">
        <f>'DATA SISWA'!B35</f>
        <v>0</v>
      </c>
      <c r="C35" s="90">
        <f>'DATA SISWA'!C35</f>
        <v>0</v>
      </c>
      <c r="D35" s="90">
        <f>'DATA SISWA'!D35</f>
        <v>0</v>
      </c>
      <c r="E35" s="90" t="str">
        <f>'DATA SISWA'!E35</f>
        <v>VII</v>
      </c>
      <c r="F35" s="40"/>
      <c r="G35" s="40"/>
      <c r="H35" s="40"/>
      <c r="I35" s="90" t="str">
        <f t="shared" si="0"/>
        <v/>
      </c>
      <c r="J35" s="90" t="str">
        <f t="shared" si="1"/>
        <v/>
      </c>
      <c r="K35" s="40"/>
      <c r="L35" s="40"/>
      <c r="M35" s="40"/>
      <c r="N35" s="90" t="str">
        <f t="shared" si="2"/>
        <v/>
      </c>
      <c r="O35" s="90" t="str">
        <f t="shared" si="3"/>
        <v/>
      </c>
      <c r="P35" s="40"/>
      <c r="Q35" s="40"/>
      <c r="R35" s="40"/>
      <c r="S35" s="90" t="str">
        <f t="shared" si="4"/>
        <v/>
      </c>
      <c r="T35" s="90" t="str">
        <f t="shared" si="5"/>
        <v/>
      </c>
      <c r="U35" s="40"/>
      <c r="V35" s="40"/>
      <c r="W35" s="40"/>
      <c r="X35" s="90" t="str">
        <f t="shared" si="6"/>
        <v/>
      </c>
      <c r="Y35" s="90" t="str">
        <f t="shared" si="7"/>
        <v/>
      </c>
      <c r="Z35" s="40"/>
      <c r="AA35" s="40"/>
      <c r="AB35" s="40"/>
      <c r="AC35" s="90" t="str">
        <f t="shared" si="8"/>
        <v/>
      </c>
      <c r="AD35" s="90" t="str">
        <f t="shared" si="9"/>
        <v/>
      </c>
      <c r="AE35" s="40"/>
      <c r="AF35" s="40"/>
      <c r="AG35" s="40"/>
      <c r="AH35" s="90" t="str">
        <f t="shared" si="10"/>
        <v/>
      </c>
      <c r="AI35" s="90" t="str">
        <f t="shared" si="11"/>
        <v/>
      </c>
      <c r="AJ35" s="40"/>
      <c r="AK35" s="40"/>
      <c r="AL35" s="40"/>
      <c r="AM35" s="90" t="str">
        <f t="shared" si="12"/>
        <v/>
      </c>
      <c r="AN35" s="90" t="str">
        <f t="shared" si="13"/>
        <v/>
      </c>
      <c r="AO35" s="40"/>
      <c r="AP35" s="40"/>
      <c r="AQ35" s="40"/>
      <c r="AR35" s="90" t="str">
        <f t="shared" si="14"/>
        <v/>
      </c>
      <c r="AS35" s="90" t="str">
        <f t="shared" si="15"/>
        <v/>
      </c>
      <c r="AT35" s="40"/>
      <c r="AU35" s="40"/>
      <c r="AV35" s="40"/>
      <c r="AW35" s="90" t="str">
        <f t="shared" si="16"/>
        <v/>
      </c>
      <c r="AX35" s="90" t="str">
        <f t="shared" si="17"/>
        <v/>
      </c>
      <c r="AY35" s="40"/>
      <c r="AZ35" s="40"/>
      <c r="BA35" s="40"/>
      <c r="BB35" s="90" t="str">
        <f t="shared" si="18"/>
        <v/>
      </c>
      <c r="BC35" s="90" t="str">
        <f t="shared" si="19"/>
        <v/>
      </c>
    </row>
    <row r="36" spans="1:55">
      <c r="A36" s="90">
        <f>'DATA SISWA'!A36</f>
        <v>0</v>
      </c>
      <c r="B36" s="90">
        <f>'DATA SISWA'!B36</f>
        <v>0</v>
      </c>
      <c r="C36" s="90">
        <f>'DATA SISWA'!C36</f>
        <v>0</v>
      </c>
      <c r="D36" s="90">
        <f>'DATA SISWA'!D36</f>
        <v>0</v>
      </c>
      <c r="E36" s="90" t="str">
        <f>'DATA SISWA'!E36</f>
        <v>VII</v>
      </c>
      <c r="F36" s="40"/>
      <c r="G36" s="40"/>
      <c r="H36" s="40"/>
      <c r="I36" s="90" t="str">
        <f t="shared" si="0"/>
        <v/>
      </c>
      <c r="J36" s="90" t="str">
        <f t="shared" si="1"/>
        <v/>
      </c>
      <c r="K36" s="40"/>
      <c r="L36" s="40"/>
      <c r="M36" s="40"/>
      <c r="N36" s="90" t="str">
        <f t="shared" si="2"/>
        <v/>
      </c>
      <c r="O36" s="90" t="str">
        <f t="shared" si="3"/>
        <v/>
      </c>
      <c r="P36" s="40"/>
      <c r="Q36" s="40"/>
      <c r="R36" s="40"/>
      <c r="S36" s="90" t="str">
        <f t="shared" si="4"/>
        <v/>
      </c>
      <c r="T36" s="90" t="str">
        <f t="shared" si="5"/>
        <v/>
      </c>
      <c r="U36" s="40"/>
      <c r="V36" s="40"/>
      <c r="W36" s="40"/>
      <c r="X36" s="90" t="str">
        <f t="shared" si="6"/>
        <v/>
      </c>
      <c r="Y36" s="90" t="str">
        <f t="shared" si="7"/>
        <v/>
      </c>
      <c r="Z36" s="40"/>
      <c r="AA36" s="40"/>
      <c r="AB36" s="40"/>
      <c r="AC36" s="90" t="str">
        <f t="shared" si="8"/>
        <v/>
      </c>
      <c r="AD36" s="90" t="str">
        <f t="shared" si="9"/>
        <v/>
      </c>
      <c r="AE36" s="40"/>
      <c r="AF36" s="40"/>
      <c r="AG36" s="40"/>
      <c r="AH36" s="90" t="str">
        <f t="shared" si="10"/>
        <v/>
      </c>
      <c r="AI36" s="90" t="str">
        <f t="shared" si="11"/>
        <v/>
      </c>
      <c r="AJ36" s="40"/>
      <c r="AK36" s="40"/>
      <c r="AL36" s="40"/>
      <c r="AM36" s="90" t="str">
        <f t="shared" si="12"/>
        <v/>
      </c>
      <c r="AN36" s="90" t="str">
        <f t="shared" si="13"/>
        <v/>
      </c>
      <c r="AO36" s="40"/>
      <c r="AP36" s="40"/>
      <c r="AQ36" s="40"/>
      <c r="AR36" s="90" t="str">
        <f t="shared" si="14"/>
        <v/>
      </c>
      <c r="AS36" s="90" t="str">
        <f t="shared" si="15"/>
        <v/>
      </c>
      <c r="AT36" s="40"/>
      <c r="AU36" s="40"/>
      <c r="AV36" s="40"/>
      <c r="AW36" s="90" t="str">
        <f t="shared" si="16"/>
        <v/>
      </c>
      <c r="AX36" s="90" t="str">
        <f t="shared" si="17"/>
        <v/>
      </c>
      <c r="AY36" s="40"/>
      <c r="AZ36" s="40"/>
      <c r="BA36" s="40"/>
      <c r="BB36" s="90" t="str">
        <f t="shared" si="18"/>
        <v/>
      </c>
      <c r="BC36" s="90" t="str">
        <f t="shared" si="19"/>
        <v/>
      </c>
    </row>
    <row r="37" spans="1:55">
      <c r="A37" s="90">
        <f>'DATA SISWA'!A37</f>
        <v>0</v>
      </c>
      <c r="B37" s="90">
        <f>'DATA SISWA'!B37</f>
        <v>0</v>
      </c>
      <c r="C37" s="90">
        <f>'DATA SISWA'!C37</f>
        <v>0</v>
      </c>
      <c r="D37" s="90">
        <f>'DATA SISWA'!D37</f>
        <v>0</v>
      </c>
      <c r="E37" s="90" t="str">
        <f>'DATA SISWA'!E37</f>
        <v>VII</v>
      </c>
      <c r="F37" s="40"/>
      <c r="G37" s="40"/>
      <c r="H37" s="40"/>
      <c r="I37" s="90" t="str">
        <f t="shared" si="0"/>
        <v/>
      </c>
      <c r="J37" s="90" t="str">
        <f t="shared" si="1"/>
        <v/>
      </c>
      <c r="K37" s="40"/>
      <c r="L37" s="40"/>
      <c r="M37" s="40"/>
      <c r="N37" s="90" t="str">
        <f t="shared" si="2"/>
        <v/>
      </c>
      <c r="O37" s="90" t="str">
        <f t="shared" si="3"/>
        <v/>
      </c>
      <c r="P37" s="40"/>
      <c r="Q37" s="40"/>
      <c r="R37" s="40"/>
      <c r="S37" s="90" t="str">
        <f t="shared" si="4"/>
        <v/>
      </c>
      <c r="T37" s="90" t="str">
        <f t="shared" si="5"/>
        <v/>
      </c>
      <c r="U37" s="40"/>
      <c r="V37" s="40"/>
      <c r="W37" s="40"/>
      <c r="X37" s="90" t="str">
        <f t="shared" si="6"/>
        <v/>
      </c>
      <c r="Y37" s="90" t="str">
        <f t="shared" si="7"/>
        <v/>
      </c>
      <c r="Z37" s="40"/>
      <c r="AA37" s="40"/>
      <c r="AB37" s="40"/>
      <c r="AC37" s="90" t="str">
        <f t="shared" si="8"/>
        <v/>
      </c>
      <c r="AD37" s="90" t="str">
        <f t="shared" si="9"/>
        <v/>
      </c>
      <c r="AE37" s="40"/>
      <c r="AF37" s="40"/>
      <c r="AG37" s="40"/>
      <c r="AH37" s="90" t="str">
        <f t="shared" si="10"/>
        <v/>
      </c>
      <c r="AI37" s="90" t="str">
        <f t="shared" si="11"/>
        <v/>
      </c>
      <c r="AJ37" s="40"/>
      <c r="AK37" s="40"/>
      <c r="AL37" s="40"/>
      <c r="AM37" s="90" t="str">
        <f t="shared" si="12"/>
        <v/>
      </c>
      <c r="AN37" s="90" t="str">
        <f t="shared" si="13"/>
        <v/>
      </c>
      <c r="AO37" s="40"/>
      <c r="AP37" s="40"/>
      <c r="AQ37" s="40"/>
      <c r="AR37" s="90" t="str">
        <f t="shared" si="14"/>
        <v/>
      </c>
      <c r="AS37" s="90" t="str">
        <f t="shared" si="15"/>
        <v/>
      </c>
      <c r="AT37" s="40"/>
      <c r="AU37" s="40"/>
      <c r="AV37" s="40"/>
      <c r="AW37" s="90" t="str">
        <f t="shared" si="16"/>
        <v/>
      </c>
      <c r="AX37" s="90" t="str">
        <f t="shared" si="17"/>
        <v/>
      </c>
      <c r="AY37" s="40"/>
      <c r="AZ37" s="40"/>
      <c r="BA37" s="40"/>
      <c r="BB37" s="90" t="str">
        <f t="shared" si="18"/>
        <v/>
      </c>
      <c r="BC37" s="90" t="str">
        <f t="shared" si="19"/>
        <v/>
      </c>
    </row>
    <row r="38" spans="1:55">
      <c r="A38" s="90">
        <f>'DATA SISWA'!A38</f>
        <v>0</v>
      </c>
      <c r="B38" s="90">
        <f>'DATA SISWA'!B38</f>
        <v>0</v>
      </c>
      <c r="C38" s="90">
        <f>'DATA SISWA'!C38</f>
        <v>0</v>
      </c>
      <c r="D38" s="90">
        <f>'DATA SISWA'!D38</f>
        <v>0</v>
      </c>
      <c r="E38" s="90" t="str">
        <f>'DATA SISWA'!E38</f>
        <v>VII</v>
      </c>
      <c r="F38" s="40"/>
      <c r="G38" s="40"/>
      <c r="H38" s="40"/>
      <c r="I38" s="90" t="str">
        <f t="shared" si="0"/>
        <v/>
      </c>
      <c r="J38" s="90" t="str">
        <f t="shared" si="1"/>
        <v/>
      </c>
      <c r="K38" s="40"/>
      <c r="L38" s="40"/>
      <c r="M38" s="40"/>
      <c r="N38" s="90" t="str">
        <f t="shared" si="2"/>
        <v/>
      </c>
      <c r="O38" s="90" t="str">
        <f t="shared" si="3"/>
        <v/>
      </c>
      <c r="P38" s="40"/>
      <c r="Q38" s="40"/>
      <c r="R38" s="40"/>
      <c r="S38" s="90" t="str">
        <f t="shared" si="4"/>
        <v/>
      </c>
      <c r="T38" s="90" t="str">
        <f t="shared" si="5"/>
        <v/>
      </c>
      <c r="U38" s="40"/>
      <c r="V38" s="40"/>
      <c r="W38" s="40"/>
      <c r="X38" s="90" t="str">
        <f t="shared" si="6"/>
        <v/>
      </c>
      <c r="Y38" s="90" t="str">
        <f t="shared" si="7"/>
        <v/>
      </c>
      <c r="Z38" s="40"/>
      <c r="AA38" s="40"/>
      <c r="AB38" s="40"/>
      <c r="AC38" s="90" t="str">
        <f t="shared" si="8"/>
        <v/>
      </c>
      <c r="AD38" s="90" t="str">
        <f t="shared" si="9"/>
        <v/>
      </c>
      <c r="AE38" s="40"/>
      <c r="AF38" s="40"/>
      <c r="AG38" s="40"/>
      <c r="AH38" s="90" t="str">
        <f t="shared" si="10"/>
        <v/>
      </c>
      <c r="AI38" s="90" t="str">
        <f t="shared" si="11"/>
        <v/>
      </c>
      <c r="AJ38" s="40"/>
      <c r="AK38" s="40"/>
      <c r="AL38" s="40"/>
      <c r="AM38" s="90" t="str">
        <f t="shared" si="12"/>
        <v/>
      </c>
      <c r="AN38" s="90" t="str">
        <f t="shared" si="13"/>
        <v/>
      </c>
      <c r="AO38" s="40"/>
      <c r="AP38" s="40"/>
      <c r="AQ38" s="40"/>
      <c r="AR38" s="90" t="str">
        <f t="shared" si="14"/>
        <v/>
      </c>
      <c r="AS38" s="90" t="str">
        <f t="shared" si="15"/>
        <v/>
      </c>
      <c r="AT38" s="40"/>
      <c r="AU38" s="40"/>
      <c r="AV38" s="40"/>
      <c r="AW38" s="90" t="str">
        <f t="shared" si="16"/>
        <v/>
      </c>
      <c r="AX38" s="90" t="str">
        <f t="shared" si="17"/>
        <v/>
      </c>
      <c r="AY38" s="40"/>
      <c r="AZ38" s="40"/>
      <c r="BA38" s="40"/>
      <c r="BB38" s="90" t="str">
        <f t="shared" si="18"/>
        <v/>
      </c>
      <c r="BC38" s="90" t="str">
        <f t="shared" si="19"/>
        <v/>
      </c>
    </row>
    <row r="39" spans="1:55">
      <c r="A39" s="90">
        <f>'DATA SISWA'!A39</f>
        <v>0</v>
      </c>
      <c r="B39" s="90">
        <f>'DATA SISWA'!B39</f>
        <v>0</v>
      </c>
      <c r="C39" s="90">
        <f>'DATA SISWA'!C39</f>
        <v>0</v>
      </c>
      <c r="D39" s="90">
        <f>'DATA SISWA'!D39</f>
        <v>0</v>
      </c>
      <c r="E39" s="90" t="str">
        <f>'DATA SISWA'!E39</f>
        <v>VII</v>
      </c>
      <c r="F39" s="40"/>
      <c r="G39" s="40"/>
      <c r="H39" s="40"/>
      <c r="I39" s="90" t="str">
        <f t="shared" si="0"/>
        <v/>
      </c>
      <c r="J39" s="90" t="str">
        <f t="shared" si="1"/>
        <v/>
      </c>
      <c r="K39" s="40"/>
      <c r="L39" s="40"/>
      <c r="M39" s="40"/>
      <c r="N39" s="90" t="str">
        <f t="shared" si="2"/>
        <v/>
      </c>
      <c r="O39" s="90" t="str">
        <f t="shared" si="3"/>
        <v/>
      </c>
      <c r="P39" s="40"/>
      <c r="Q39" s="40"/>
      <c r="R39" s="40"/>
      <c r="S39" s="90" t="str">
        <f t="shared" si="4"/>
        <v/>
      </c>
      <c r="T39" s="90" t="str">
        <f t="shared" si="5"/>
        <v/>
      </c>
      <c r="U39" s="40"/>
      <c r="V39" s="40"/>
      <c r="W39" s="40"/>
      <c r="X39" s="90" t="str">
        <f t="shared" si="6"/>
        <v/>
      </c>
      <c r="Y39" s="90" t="str">
        <f t="shared" si="7"/>
        <v/>
      </c>
      <c r="Z39" s="40"/>
      <c r="AA39" s="40"/>
      <c r="AB39" s="40"/>
      <c r="AC39" s="90" t="str">
        <f t="shared" si="8"/>
        <v/>
      </c>
      <c r="AD39" s="90" t="str">
        <f t="shared" si="9"/>
        <v/>
      </c>
      <c r="AE39" s="40"/>
      <c r="AF39" s="40"/>
      <c r="AG39" s="40"/>
      <c r="AH39" s="90" t="str">
        <f t="shared" si="10"/>
        <v/>
      </c>
      <c r="AI39" s="90" t="str">
        <f t="shared" si="11"/>
        <v/>
      </c>
      <c r="AJ39" s="40"/>
      <c r="AK39" s="40"/>
      <c r="AL39" s="40"/>
      <c r="AM39" s="90" t="str">
        <f t="shared" si="12"/>
        <v/>
      </c>
      <c r="AN39" s="90" t="str">
        <f t="shared" si="13"/>
        <v/>
      </c>
      <c r="AO39" s="40"/>
      <c r="AP39" s="40"/>
      <c r="AQ39" s="40"/>
      <c r="AR39" s="90" t="str">
        <f t="shared" si="14"/>
        <v/>
      </c>
      <c r="AS39" s="90" t="str">
        <f t="shared" si="15"/>
        <v/>
      </c>
      <c r="AT39" s="40"/>
      <c r="AU39" s="40"/>
      <c r="AV39" s="40"/>
      <c r="AW39" s="90" t="str">
        <f t="shared" si="16"/>
        <v/>
      </c>
      <c r="AX39" s="90" t="str">
        <f t="shared" si="17"/>
        <v/>
      </c>
      <c r="AY39" s="40"/>
      <c r="AZ39" s="40"/>
      <c r="BA39" s="40"/>
      <c r="BB39" s="90" t="str">
        <f t="shared" si="18"/>
        <v/>
      </c>
      <c r="BC39" s="90" t="str">
        <f t="shared" si="19"/>
        <v/>
      </c>
    </row>
    <row r="40" spans="1:55">
      <c r="A40" s="90">
        <f>'DATA SISWA'!A40</f>
        <v>0</v>
      </c>
      <c r="B40" s="90">
        <f>'DATA SISWA'!B40</f>
        <v>0</v>
      </c>
      <c r="C40" s="90">
        <f>'DATA SISWA'!C40</f>
        <v>0</v>
      </c>
      <c r="D40" s="90">
        <f>'DATA SISWA'!D40</f>
        <v>0</v>
      </c>
      <c r="E40" s="90" t="str">
        <f>'DATA SISWA'!E40</f>
        <v>VII</v>
      </c>
      <c r="F40" s="40"/>
      <c r="G40" s="40"/>
      <c r="H40" s="40"/>
      <c r="I40" s="90" t="str">
        <f t="shared" si="0"/>
        <v/>
      </c>
      <c r="J40" s="90" t="str">
        <f t="shared" si="1"/>
        <v/>
      </c>
      <c r="K40" s="40"/>
      <c r="L40" s="40"/>
      <c r="M40" s="40"/>
      <c r="N40" s="90" t="str">
        <f t="shared" si="2"/>
        <v/>
      </c>
      <c r="O40" s="90" t="str">
        <f t="shared" si="3"/>
        <v/>
      </c>
      <c r="P40" s="40"/>
      <c r="Q40" s="40"/>
      <c r="R40" s="40"/>
      <c r="S40" s="90" t="str">
        <f t="shared" si="4"/>
        <v/>
      </c>
      <c r="T40" s="90" t="str">
        <f t="shared" si="5"/>
        <v/>
      </c>
      <c r="U40" s="40"/>
      <c r="V40" s="40"/>
      <c r="W40" s="40"/>
      <c r="X40" s="90" t="str">
        <f t="shared" si="6"/>
        <v/>
      </c>
      <c r="Y40" s="90" t="str">
        <f t="shared" si="7"/>
        <v/>
      </c>
      <c r="Z40" s="40"/>
      <c r="AA40" s="40"/>
      <c r="AB40" s="40"/>
      <c r="AC40" s="90" t="str">
        <f t="shared" si="8"/>
        <v/>
      </c>
      <c r="AD40" s="90" t="str">
        <f t="shared" si="9"/>
        <v/>
      </c>
      <c r="AE40" s="40"/>
      <c r="AF40" s="40"/>
      <c r="AG40" s="40"/>
      <c r="AH40" s="90" t="str">
        <f t="shared" si="10"/>
        <v/>
      </c>
      <c r="AI40" s="90" t="str">
        <f t="shared" si="11"/>
        <v/>
      </c>
      <c r="AJ40" s="40"/>
      <c r="AK40" s="40"/>
      <c r="AL40" s="40"/>
      <c r="AM40" s="90" t="str">
        <f t="shared" si="12"/>
        <v/>
      </c>
      <c r="AN40" s="90" t="str">
        <f t="shared" si="13"/>
        <v/>
      </c>
      <c r="AO40" s="40"/>
      <c r="AP40" s="40"/>
      <c r="AQ40" s="40"/>
      <c r="AR40" s="90" t="str">
        <f t="shared" si="14"/>
        <v/>
      </c>
      <c r="AS40" s="90" t="str">
        <f t="shared" si="15"/>
        <v/>
      </c>
      <c r="AT40" s="40"/>
      <c r="AU40" s="40"/>
      <c r="AV40" s="40"/>
      <c r="AW40" s="90" t="str">
        <f t="shared" si="16"/>
        <v/>
      </c>
      <c r="AX40" s="90" t="str">
        <f t="shared" si="17"/>
        <v/>
      </c>
      <c r="AY40" s="40"/>
      <c r="AZ40" s="40"/>
      <c r="BA40" s="40"/>
      <c r="BB40" s="90" t="str">
        <f t="shared" si="18"/>
        <v/>
      </c>
      <c r="BC40" s="90" t="str">
        <f t="shared" si="19"/>
        <v/>
      </c>
    </row>
    <row r="41" spans="1:55">
      <c r="A41" s="90">
        <f>'DATA SISWA'!A41</f>
        <v>0</v>
      </c>
      <c r="B41" s="90">
        <f>'DATA SISWA'!B41</f>
        <v>0</v>
      </c>
      <c r="C41" s="90">
        <f>'DATA SISWA'!C41</f>
        <v>0</v>
      </c>
      <c r="D41" s="90">
        <f>'DATA SISWA'!D41</f>
        <v>0</v>
      </c>
      <c r="E41" s="90" t="str">
        <f>'DATA SISWA'!E41</f>
        <v>VII</v>
      </c>
      <c r="F41" s="40"/>
      <c r="G41" s="40"/>
      <c r="H41" s="40"/>
      <c r="I41" s="90" t="str">
        <f t="shared" si="0"/>
        <v/>
      </c>
      <c r="J41" s="90" t="str">
        <f t="shared" si="1"/>
        <v/>
      </c>
      <c r="K41" s="40"/>
      <c r="L41" s="40"/>
      <c r="M41" s="40"/>
      <c r="N41" s="90" t="str">
        <f t="shared" si="2"/>
        <v/>
      </c>
      <c r="O41" s="90" t="str">
        <f t="shared" si="3"/>
        <v/>
      </c>
      <c r="P41" s="40"/>
      <c r="Q41" s="40"/>
      <c r="R41" s="40"/>
      <c r="S41" s="90" t="str">
        <f t="shared" si="4"/>
        <v/>
      </c>
      <c r="T41" s="90" t="str">
        <f t="shared" si="5"/>
        <v/>
      </c>
      <c r="U41" s="40"/>
      <c r="V41" s="40"/>
      <c r="W41" s="40"/>
      <c r="X41" s="90" t="str">
        <f t="shared" si="6"/>
        <v/>
      </c>
      <c r="Y41" s="90" t="str">
        <f t="shared" si="7"/>
        <v/>
      </c>
      <c r="Z41" s="40"/>
      <c r="AA41" s="40"/>
      <c r="AB41" s="40"/>
      <c r="AC41" s="90" t="str">
        <f t="shared" si="8"/>
        <v/>
      </c>
      <c r="AD41" s="90" t="str">
        <f t="shared" si="9"/>
        <v/>
      </c>
      <c r="AE41" s="40"/>
      <c r="AF41" s="40"/>
      <c r="AG41" s="40"/>
      <c r="AH41" s="90" t="str">
        <f t="shared" si="10"/>
        <v/>
      </c>
      <c r="AI41" s="90" t="str">
        <f t="shared" si="11"/>
        <v/>
      </c>
      <c r="AJ41" s="40"/>
      <c r="AK41" s="40"/>
      <c r="AL41" s="40"/>
      <c r="AM41" s="90" t="str">
        <f t="shared" si="12"/>
        <v/>
      </c>
      <c r="AN41" s="90" t="str">
        <f t="shared" si="13"/>
        <v/>
      </c>
      <c r="AO41" s="40"/>
      <c r="AP41" s="40"/>
      <c r="AQ41" s="40"/>
      <c r="AR41" s="90" t="str">
        <f t="shared" si="14"/>
        <v/>
      </c>
      <c r="AS41" s="90" t="str">
        <f t="shared" si="15"/>
        <v/>
      </c>
      <c r="AT41" s="40"/>
      <c r="AU41" s="40"/>
      <c r="AV41" s="40"/>
      <c r="AW41" s="90" t="str">
        <f t="shared" si="16"/>
        <v/>
      </c>
      <c r="AX41" s="90" t="str">
        <f t="shared" si="17"/>
        <v/>
      </c>
      <c r="AY41" s="40"/>
      <c r="AZ41" s="40"/>
      <c r="BA41" s="40"/>
      <c r="BB41" s="90" t="str">
        <f t="shared" si="18"/>
        <v/>
      </c>
      <c r="BC41" s="90" t="str">
        <f t="shared" si="19"/>
        <v/>
      </c>
    </row>
    <row r="42" spans="1:55">
      <c r="A42" s="90">
        <f>'DATA SISWA'!A42</f>
        <v>0</v>
      </c>
      <c r="B42" s="90">
        <f>'DATA SISWA'!B42</f>
        <v>0</v>
      </c>
      <c r="C42" s="90">
        <f>'DATA SISWA'!C42</f>
        <v>0</v>
      </c>
      <c r="D42" s="90">
        <f>'DATA SISWA'!D42</f>
        <v>0</v>
      </c>
      <c r="E42" s="90" t="str">
        <f>'DATA SISWA'!E42</f>
        <v>VII</v>
      </c>
      <c r="F42" s="40"/>
      <c r="G42" s="40"/>
      <c r="H42" s="40"/>
      <c r="I42" s="90" t="str">
        <f t="shared" si="0"/>
        <v/>
      </c>
      <c r="J42" s="90" t="str">
        <f t="shared" si="1"/>
        <v/>
      </c>
      <c r="K42" s="40"/>
      <c r="L42" s="40"/>
      <c r="M42" s="40"/>
      <c r="N42" s="90" t="str">
        <f t="shared" si="2"/>
        <v/>
      </c>
      <c r="O42" s="90" t="str">
        <f t="shared" si="3"/>
        <v/>
      </c>
      <c r="P42" s="40"/>
      <c r="Q42" s="40"/>
      <c r="R42" s="40"/>
      <c r="S42" s="90" t="str">
        <f t="shared" si="4"/>
        <v/>
      </c>
      <c r="T42" s="90" t="str">
        <f t="shared" si="5"/>
        <v/>
      </c>
      <c r="U42" s="40"/>
      <c r="V42" s="40"/>
      <c r="W42" s="40"/>
      <c r="X42" s="90" t="str">
        <f t="shared" si="6"/>
        <v/>
      </c>
      <c r="Y42" s="90" t="str">
        <f t="shared" si="7"/>
        <v/>
      </c>
      <c r="Z42" s="40"/>
      <c r="AA42" s="40"/>
      <c r="AB42" s="40"/>
      <c r="AC42" s="90" t="str">
        <f t="shared" si="8"/>
        <v/>
      </c>
      <c r="AD42" s="90" t="str">
        <f t="shared" si="9"/>
        <v/>
      </c>
      <c r="AE42" s="40"/>
      <c r="AF42" s="40"/>
      <c r="AG42" s="40"/>
      <c r="AH42" s="90" t="str">
        <f t="shared" si="10"/>
        <v/>
      </c>
      <c r="AI42" s="90" t="str">
        <f t="shared" si="11"/>
        <v/>
      </c>
      <c r="AJ42" s="40"/>
      <c r="AK42" s="40"/>
      <c r="AL42" s="40"/>
      <c r="AM42" s="90" t="str">
        <f t="shared" si="12"/>
        <v/>
      </c>
      <c r="AN42" s="90" t="str">
        <f t="shared" si="13"/>
        <v/>
      </c>
      <c r="AO42" s="40"/>
      <c r="AP42" s="40"/>
      <c r="AQ42" s="40"/>
      <c r="AR42" s="90" t="str">
        <f t="shared" si="14"/>
        <v/>
      </c>
      <c r="AS42" s="90" t="str">
        <f t="shared" si="15"/>
        <v/>
      </c>
      <c r="AT42" s="40"/>
      <c r="AU42" s="40"/>
      <c r="AV42" s="40"/>
      <c r="AW42" s="90" t="str">
        <f t="shared" si="16"/>
        <v/>
      </c>
      <c r="AX42" s="90" t="str">
        <f t="shared" si="17"/>
        <v/>
      </c>
      <c r="AY42" s="40"/>
      <c r="AZ42" s="40"/>
      <c r="BA42" s="40"/>
      <c r="BB42" s="90" t="str">
        <f t="shared" si="18"/>
        <v/>
      </c>
      <c r="BC42" s="90" t="str">
        <f t="shared" si="19"/>
        <v/>
      </c>
    </row>
    <row r="43" spans="1:55">
      <c r="A43" s="90">
        <f>'DATA SISWA'!A43</f>
        <v>0</v>
      </c>
      <c r="B43" s="90">
        <f>'DATA SISWA'!B43</f>
        <v>0</v>
      </c>
      <c r="C43" s="90">
        <f>'DATA SISWA'!C43</f>
        <v>0</v>
      </c>
      <c r="D43" s="90">
        <f>'DATA SISWA'!D43</f>
        <v>0</v>
      </c>
      <c r="E43" s="90" t="str">
        <f>'DATA SISWA'!E43</f>
        <v>VII</v>
      </c>
      <c r="F43" s="40"/>
      <c r="G43" s="40"/>
      <c r="H43" s="40"/>
      <c r="I43" s="90" t="str">
        <f t="shared" si="0"/>
        <v/>
      </c>
      <c r="J43" s="90" t="str">
        <f t="shared" si="1"/>
        <v/>
      </c>
      <c r="K43" s="40"/>
      <c r="L43" s="40"/>
      <c r="M43" s="40"/>
      <c r="N43" s="90" t="str">
        <f t="shared" si="2"/>
        <v/>
      </c>
      <c r="O43" s="90" t="str">
        <f t="shared" si="3"/>
        <v/>
      </c>
      <c r="P43" s="40"/>
      <c r="Q43" s="40"/>
      <c r="R43" s="40"/>
      <c r="S43" s="90" t="str">
        <f t="shared" si="4"/>
        <v/>
      </c>
      <c r="T43" s="90" t="str">
        <f t="shared" si="5"/>
        <v/>
      </c>
      <c r="U43" s="40"/>
      <c r="V43" s="40"/>
      <c r="W43" s="40"/>
      <c r="X43" s="90" t="str">
        <f t="shared" si="6"/>
        <v/>
      </c>
      <c r="Y43" s="90" t="str">
        <f t="shared" si="7"/>
        <v/>
      </c>
      <c r="Z43" s="40"/>
      <c r="AA43" s="40"/>
      <c r="AB43" s="40"/>
      <c r="AC43" s="90" t="str">
        <f t="shared" si="8"/>
        <v/>
      </c>
      <c r="AD43" s="90" t="str">
        <f t="shared" si="9"/>
        <v/>
      </c>
      <c r="AE43" s="40"/>
      <c r="AF43" s="40"/>
      <c r="AG43" s="40"/>
      <c r="AH43" s="90" t="str">
        <f t="shared" si="10"/>
        <v/>
      </c>
      <c r="AI43" s="90" t="str">
        <f t="shared" si="11"/>
        <v/>
      </c>
      <c r="AJ43" s="40"/>
      <c r="AK43" s="40"/>
      <c r="AL43" s="40"/>
      <c r="AM43" s="90" t="str">
        <f t="shared" si="12"/>
        <v/>
      </c>
      <c r="AN43" s="90" t="str">
        <f t="shared" si="13"/>
        <v/>
      </c>
      <c r="AO43" s="40"/>
      <c r="AP43" s="40"/>
      <c r="AQ43" s="40"/>
      <c r="AR43" s="90" t="str">
        <f t="shared" si="14"/>
        <v/>
      </c>
      <c r="AS43" s="90" t="str">
        <f t="shared" si="15"/>
        <v/>
      </c>
      <c r="AT43" s="40"/>
      <c r="AU43" s="40"/>
      <c r="AV43" s="40"/>
      <c r="AW43" s="90" t="str">
        <f t="shared" si="16"/>
        <v/>
      </c>
      <c r="AX43" s="90" t="str">
        <f t="shared" si="17"/>
        <v/>
      </c>
      <c r="AY43" s="40"/>
      <c r="AZ43" s="40"/>
      <c r="BA43" s="40"/>
      <c r="BB43" s="90" t="str">
        <f t="shared" si="18"/>
        <v/>
      </c>
      <c r="BC43" s="90" t="str">
        <f t="shared" si="19"/>
        <v/>
      </c>
    </row>
    <row r="44" spans="1:55">
      <c r="A44" s="90">
        <f>'DATA SISWA'!A44</f>
        <v>0</v>
      </c>
      <c r="B44" s="90">
        <f>'DATA SISWA'!B44</f>
        <v>0</v>
      </c>
      <c r="C44" s="90">
        <f>'DATA SISWA'!C44</f>
        <v>0</v>
      </c>
      <c r="D44" s="90">
        <f>'DATA SISWA'!D44</f>
        <v>0</v>
      </c>
      <c r="E44" s="90" t="str">
        <f>'DATA SISWA'!E44</f>
        <v>VII</v>
      </c>
      <c r="F44" s="40"/>
      <c r="G44" s="40"/>
      <c r="H44" s="40"/>
      <c r="I44" s="90" t="str">
        <f t="shared" si="0"/>
        <v/>
      </c>
      <c r="J44" s="90" t="str">
        <f t="shared" si="1"/>
        <v/>
      </c>
      <c r="K44" s="40"/>
      <c r="L44" s="40"/>
      <c r="M44" s="40"/>
      <c r="N44" s="90" t="str">
        <f t="shared" si="2"/>
        <v/>
      </c>
      <c r="O44" s="90" t="str">
        <f t="shared" si="3"/>
        <v/>
      </c>
      <c r="P44" s="40"/>
      <c r="Q44" s="40"/>
      <c r="R44" s="40"/>
      <c r="S44" s="90" t="str">
        <f t="shared" si="4"/>
        <v/>
      </c>
      <c r="T44" s="90" t="str">
        <f t="shared" si="5"/>
        <v/>
      </c>
      <c r="U44" s="40"/>
      <c r="V44" s="40"/>
      <c r="W44" s="40"/>
      <c r="X44" s="90" t="str">
        <f t="shared" si="6"/>
        <v/>
      </c>
      <c r="Y44" s="90" t="str">
        <f t="shared" si="7"/>
        <v/>
      </c>
      <c r="Z44" s="40"/>
      <c r="AA44" s="40"/>
      <c r="AB44" s="40"/>
      <c r="AC44" s="90" t="str">
        <f t="shared" si="8"/>
        <v/>
      </c>
      <c r="AD44" s="90" t="str">
        <f t="shared" si="9"/>
        <v/>
      </c>
      <c r="AE44" s="40"/>
      <c r="AF44" s="40"/>
      <c r="AG44" s="40"/>
      <c r="AH44" s="90" t="str">
        <f t="shared" si="10"/>
        <v/>
      </c>
      <c r="AI44" s="90" t="str">
        <f t="shared" si="11"/>
        <v/>
      </c>
      <c r="AJ44" s="40"/>
      <c r="AK44" s="40"/>
      <c r="AL44" s="40"/>
      <c r="AM44" s="90" t="str">
        <f t="shared" si="12"/>
        <v/>
      </c>
      <c r="AN44" s="90" t="str">
        <f t="shared" si="13"/>
        <v/>
      </c>
      <c r="AO44" s="40"/>
      <c r="AP44" s="40"/>
      <c r="AQ44" s="40"/>
      <c r="AR44" s="90" t="str">
        <f t="shared" si="14"/>
        <v/>
      </c>
      <c r="AS44" s="90" t="str">
        <f t="shared" si="15"/>
        <v/>
      </c>
      <c r="AT44" s="40"/>
      <c r="AU44" s="40"/>
      <c r="AV44" s="40"/>
      <c r="AW44" s="90" t="str">
        <f t="shared" si="16"/>
        <v/>
      </c>
      <c r="AX44" s="90" t="str">
        <f t="shared" si="17"/>
        <v/>
      </c>
      <c r="AY44" s="40"/>
      <c r="AZ44" s="40"/>
      <c r="BA44" s="40"/>
      <c r="BB44" s="90" t="str">
        <f t="shared" si="18"/>
        <v/>
      </c>
      <c r="BC44" s="90" t="str">
        <f t="shared" si="19"/>
        <v/>
      </c>
    </row>
    <row r="45" spans="1:55">
      <c r="A45" s="90">
        <f>'DATA SISWA'!A45</f>
        <v>0</v>
      </c>
      <c r="B45" s="90">
        <f>'DATA SISWA'!B45</f>
        <v>0</v>
      </c>
      <c r="C45" s="90">
        <f>'DATA SISWA'!C45</f>
        <v>0</v>
      </c>
      <c r="D45" s="90">
        <f>'DATA SISWA'!D45</f>
        <v>0</v>
      </c>
      <c r="E45" s="90" t="str">
        <f>'DATA SISWA'!E45</f>
        <v>VII</v>
      </c>
      <c r="F45" s="40"/>
      <c r="G45" s="40"/>
      <c r="H45" s="40"/>
      <c r="I45" s="90" t="str">
        <f t="shared" ref="I45:I51" si="20">IF(F45="","",SUM(F45:H45))</f>
        <v/>
      </c>
      <c r="J45" s="90" t="str">
        <f t="shared" ref="J45:J51" si="21">IF(I45="","",((I45/12)*100))</f>
        <v/>
      </c>
      <c r="K45" s="40"/>
      <c r="L45" s="40"/>
      <c r="M45" s="40"/>
      <c r="N45" s="90" t="str">
        <f t="shared" ref="N45:N51" si="22">IF(K45="","",SUM(K45:M45))</f>
        <v/>
      </c>
      <c r="O45" s="90" t="str">
        <f t="shared" ref="O45:O51" si="23">IF(N45="","",((N45/12)*100))</f>
        <v/>
      </c>
      <c r="P45" s="40"/>
      <c r="Q45" s="40"/>
      <c r="R45" s="40"/>
      <c r="S45" s="90" t="str">
        <f t="shared" ref="S45:S51" si="24">IF(P45="","",SUM(P45:R45))</f>
        <v/>
      </c>
      <c r="T45" s="90" t="str">
        <f t="shared" ref="T45:T51" si="25">IF(S45="","",((S45/12)*100))</f>
        <v/>
      </c>
      <c r="U45" s="40"/>
      <c r="V45" s="40"/>
      <c r="W45" s="40"/>
      <c r="X45" s="90" t="str">
        <f t="shared" ref="X45:X51" si="26">IF(U45="","",SUM(U45:W45))</f>
        <v/>
      </c>
      <c r="Y45" s="90" t="str">
        <f t="shared" ref="Y45:Y51" si="27">IF(X45="","",((X45/12)*100))</f>
        <v/>
      </c>
      <c r="Z45" s="40"/>
      <c r="AA45" s="40"/>
      <c r="AB45" s="40"/>
      <c r="AC45" s="90" t="str">
        <f t="shared" ref="AC45:AC51" si="28">IF(Z45="","",SUM(Z45:AB45))</f>
        <v/>
      </c>
      <c r="AD45" s="90" t="str">
        <f t="shared" ref="AD45:AD51" si="29">IF(AC45="","",((AC45/12)*100))</f>
        <v/>
      </c>
      <c r="AE45" s="40"/>
      <c r="AF45" s="40"/>
      <c r="AG45" s="40"/>
      <c r="AH45" s="90" t="str">
        <f t="shared" ref="AH45:AH51" si="30">IF(AE45="","",SUM(AE45:AG45))</f>
        <v/>
      </c>
      <c r="AI45" s="90" t="str">
        <f t="shared" ref="AI45:AI51" si="31">IF(AH45="","",((AH45/12)*100))</f>
        <v/>
      </c>
      <c r="AJ45" s="40"/>
      <c r="AK45" s="40"/>
      <c r="AL45" s="40"/>
      <c r="AM45" s="90" t="str">
        <f t="shared" ref="AM45:AM51" si="32">IF(AJ45="","",SUM(AJ45:AL45))</f>
        <v/>
      </c>
      <c r="AN45" s="90" t="str">
        <f t="shared" ref="AN45:AN51" si="33">IF(AM45="","",((AM45/12)*4))</f>
        <v/>
      </c>
      <c r="AO45" s="40"/>
      <c r="AP45" s="40"/>
      <c r="AQ45" s="40"/>
      <c r="AR45" s="90" t="str">
        <f t="shared" ref="AR45:AR51" si="34">IF(AO45="","",SUM(AO45:AQ45))</f>
        <v/>
      </c>
      <c r="AS45" s="90" t="str">
        <f t="shared" ref="AS45:AS51" si="35">IF(AR45="","",((AR45/12)*100))</f>
        <v/>
      </c>
      <c r="AT45" s="40"/>
      <c r="AU45" s="40"/>
      <c r="AV45" s="40"/>
      <c r="AW45" s="90" t="str">
        <f t="shared" ref="AW45:AW51" si="36">IF(AT45="","",SUM(AT45:AV45))</f>
        <v/>
      </c>
      <c r="AX45" s="90" t="str">
        <f t="shared" ref="AX45:AX51" si="37">IF(AW45="","",((AW45/12)*100))</f>
        <v/>
      </c>
      <c r="AY45" s="40"/>
      <c r="AZ45" s="40"/>
      <c r="BA45" s="40"/>
      <c r="BB45" s="90" t="str">
        <f t="shared" ref="BB45:BB51" si="38">IF(AY45="","",SUM(AY45:BA45))</f>
        <v/>
      </c>
      <c r="BC45" s="90" t="str">
        <f t="shared" si="19"/>
        <v/>
      </c>
    </row>
    <row r="46" spans="1:55">
      <c r="A46" s="90">
        <f>'DATA SISWA'!A46</f>
        <v>0</v>
      </c>
      <c r="B46" s="90">
        <f>'DATA SISWA'!B46</f>
        <v>0</v>
      </c>
      <c r="C46" s="90">
        <f>'DATA SISWA'!C46</f>
        <v>0</v>
      </c>
      <c r="D46" s="90">
        <f>'DATA SISWA'!D46</f>
        <v>0</v>
      </c>
      <c r="E46" s="90" t="str">
        <f>'DATA SISWA'!E46</f>
        <v>VII</v>
      </c>
      <c r="F46" s="40"/>
      <c r="G46" s="40"/>
      <c r="H46" s="40"/>
      <c r="I46" s="90" t="str">
        <f t="shared" si="20"/>
        <v/>
      </c>
      <c r="J46" s="90" t="str">
        <f t="shared" si="21"/>
        <v/>
      </c>
      <c r="K46" s="40"/>
      <c r="L46" s="40"/>
      <c r="M46" s="40"/>
      <c r="N46" s="90" t="str">
        <f t="shared" si="22"/>
        <v/>
      </c>
      <c r="O46" s="90" t="str">
        <f t="shared" si="23"/>
        <v/>
      </c>
      <c r="P46" s="40"/>
      <c r="Q46" s="40"/>
      <c r="R46" s="40"/>
      <c r="S46" s="90" t="str">
        <f t="shared" si="24"/>
        <v/>
      </c>
      <c r="T46" s="90" t="str">
        <f t="shared" si="25"/>
        <v/>
      </c>
      <c r="U46" s="40"/>
      <c r="V46" s="40"/>
      <c r="W46" s="40"/>
      <c r="X46" s="90" t="str">
        <f t="shared" si="26"/>
        <v/>
      </c>
      <c r="Y46" s="90" t="str">
        <f t="shared" si="27"/>
        <v/>
      </c>
      <c r="Z46" s="40"/>
      <c r="AA46" s="40"/>
      <c r="AB46" s="40"/>
      <c r="AC46" s="90" t="str">
        <f t="shared" si="28"/>
        <v/>
      </c>
      <c r="AD46" s="90" t="str">
        <f t="shared" si="29"/>
        <v/>
      </c>
      <c r="AE46" s="40"/>
      <c r="AF46" s="40"/>
      <c r="AG46" s="40"/>
      <c r="AH46" s="90" t="str">
        <f t="shared" si="30"/>
        <v/>
      </c>
      <c r="AI46" s="90" t="str">
        <f t="shared" si="31"/>
        <v/>
      </c>
      <c r="AJ46" s="40"/>
      <c r="AK46" s="40"/>
      <c r="AL46" s="40"/>
      <c r="AM46" s="90" t="str">
        <f t="shared" si="32"/>
        <v/>
      </c>
      <c r="AN46" s="90" t="str">
        <f t="shared" si="33"/>
        <v/>
      </c>
      <c r="AO46" s="40"/>
      <c r="AP46" s="40"/>
      <c r="AQ46" s="40"/>
      <c r="AR46" s="90" t="str">
        <f t="shared" si="34"/>
        <v/>
      </c>
      <c r="AS46" s="90" t="str">
        <f t="shared" si="35"/>
        <v/>
      </c>
      <c r="AT46" s="40"/>
      <c r="AU46" s="40"/>
      <c r="AV46" s="40"/>
      <c r="AW46" s="90" t="str">
        <f t="shared" si="36"/>
        <v/>
      </c>
      <c r="AX46" s="90" t="str">
        <f t="shared" si="37"/>
        <v/>
      </c>
      <c r="AY46" s="40"/>
      <c r="AZ46" s="40"/>
      <c r="BA46" s="40"/>
      <c r="BB46" s="90" t="str">
        <f t="shared" si="38"/>
        <v/>
      </c>
      <c r="BC46" s="90" t="str">
        <f t="shared" si="19"/>
        <v/>
      </c>
    </row>
    <row r="47" spans="1:55">
      <c r="A47" s="90">
        <f>'DATA SISWA'!A47</f>
        <v>0</v>
      </c>
      <c r="B47" s="90">
        <f>'DATA SISWA'!B47</f>
        <v>0</v>
      </c>
      <c r="C47" s="90">
        <f>'DATA SISWA'!C47</f>
        <v>0</v>
      </c>
      <c r="D47" s="90">
        <f>'DATA SISWA'!D47</f>
        <v>0</v>
      </c>
      <c r="E47" s="90" t="str">
        <f>'DATA SISWA'!E47</f>
        <v>VII</v>
      </c>
      <c r="F47" s="40"/>
      <c r="G47" s="40"/>
      <c r="H47" s="40"/>
      <c r="I47" s="90" t="str">
        <f t="shared" si="20"/>
        <v/>
      </c>
      <c r="J47" s="90" t="str">
        <f t="shared" si="21"/>
        <v/>
      </c>
      <c r="K47" s="40"/>
      <c r="L47" s="40"/>
      <c r="M47" s="40"/>
      <c r="N47" s="90" t="str">
        <f t="shared" si="22"/>
        <v/>
      </c>
      <c r="O47" s="90" t="str">
        <f t="shared" si="23"/>
        <v/>
      </c>
      <c r="P47" s="40"/>
      <c r="Q47" s="40"/>
      <c r="R47" s="40"/>
      <c r="S47" s="90" t="str">
        <f t="shared" si="24"/>
        <v/>
      </c>
      <c r="T47" s="90" t="str">
        <f t="shared" si="25"/>
        <v/>
      </c>
      <c r="U47" s="40"/>
      <c r="V47" s="40"/>
      <c r="W47" s="40"/>
      <c r="X47" s="90" t="str">
        <f t="shared" si="26"/>
        <v/>
      </c>
      <c r="Y47" s="90" t="str">
        <f t="shared" si="27"/>
        <v/>
      </c>
      <c r="Z47" s="40"/>
      <c r="AA47" s="40"/>
      <c r="AB47" s="40"/>
      <c r="AC47" s="90" t="str">
        <f t="shared" si="28"/>
        <v/>
      </c>
      <c r="AD47" s="90" t="str">
        <f t="shared" si="29"/>
        <v/>
      </c>
      <c r="AE47" s="40"/>
      <c r="AF47" s="40"/>
      <c r="AG47" s="40"/>
      <c r="AH47" s="90" t="str">
        <f t="shared" si="30"/>
        <v/>
      </c>
      <c r="AI47" s="90" t="str">
        <f t="shared" si="31"/>
        <v/>
      </c>
      <c r="AJ47" s="40"/>
      <c r="AK47" s="40"/>
      <c r="AL47" s="40"/>
      <c r="AM47" s="90" t="str">
        <f t="shared" si="32"/>
        <v/>
      </c>
      <c r="AN47" s="90" t="str">
        <f t="shared" si="33"/>
        <v/>
      </c>
      <c r="AO47" s="40"/>
      <c r="AP47" s="40"/>
      <c r="AQ47" s="40"/>
      <c r="AR47" s="90" t="str">
        <f t="shared" si="34"/>
        <v/>
      </c>
      <c r="AS47" s="90" t="str">
        <f t="shared" si="35"/>
        <v/>
      </c>
      <c r="AT47" s="40"/>
      <c r="AU47" s="40"/>
      <c r="AV47" s="40"/>
      <c r="AW47" s="90" t="str">
        <f t="shared" si="36"/>
        <v/>
      </c>
      <c r="AX47" s="90" t="str">
        <f t="shared" si="37"/>
        <v/>
      </c>
      <c r="AY47" s="40"/>
      <c r="AZ47" s="40"/>
      <c r="BA47" s="40"/>
      <c r="BB47" s="90" t="str">
        <f t="shared" si="38"/>
        <v/>
      </c>
      <c r="BC47" s="90" t="str">
        <f t="shared" si="19"/>
        <v/>
      </c>
    </row>
    <row r="48" spans="1:55">
      <c r="A48" s="90">
        <f>'DATA SISWA'!A48</f>
        <v>0</v>
      </c>
      <c r="B48" s="90">
        <f>'DATA SISWA'!B48</f>
        <v>0</v>
      </c>
      <c r="C48" s="90">
        <f>'DATA SISWA'!C48</f>
        <v>0</v>
      </c>
      <c r="D48" s="90">
        <f>'DATA SISWA'!D48</f>
        <v>0</v>
      </c>
      <c r="E48" s="90" t="str">
        <f>'DATA SISWA'!E48</f>
        <v>VII</v>
      </c>
      <c r="F48" s="40"/>
      <c r="G48" s="40"/>
      <c r="H48" s="40"/>
      <c r="I48" s="90" t="str">
        <f t="shared" si="20"/>
        <v/>
      </c>
      <c r="J48" s="90" t="str">
        <f t="shared" si="21"/>
        <v/>
      </c>
      <c r="K48" s="40"/>
      <c r="L48" s="40"/>
      <c r="M48" s="40"/>
      <c r="N48" s="90" t="str">
        <f t="shared" si="22"/>
        <v/>
      </c>
      <c r="O48" s="90" t="str">
        <f t="shared" si="23"/>
        <v/>
      </c>
      <c r="P48" s="40"/>
      <c r="Q48" s="40"/>
      <c r="R48" s="40"/>
      <c r="S48" s="90" t="str">
        <f t="shared" si="24"/>
        <v/>
      </c>
      <c r="T48" s="90" t="str">
        <f t="shared" si="25"/>
        <v/>
      </c>
      <c r="U48" s="40"/>
      <c r="V48" s="40"/>
      <c r="W48" s="40"/>
      <c r="X48" s="90" t="str">
        <f t="shared" si="26"/>
        <v/>
      </c>
      <c r="Y48" s="90" t="str">
        <f t="shared" si="27"/>
        <v/>
      </c>
      <c r="Z48" s="40"/>
      <c r="AA48" s="40"/>
      <c r="AB48" s="40"/>
      <c r="AC48" s="90" t="str">
        <f t="shared" si="28"/>
        <v/>
      </c>
      <c r="AD48" s="90" t="str">
        <f t="shared" si="29"/>
        <v/>
      </c>
      <c r="AE48" s="40"/>
      <c r="AF48" s="40"/>
      <c r="AG48" s="40"/>
      <c r="AH48" s="90" t="str">
        <f t="shared" si="30"/>
        <v/>
      </c>
      <c r="AI48" s="90" t="str">
        <f t="shared" si="31"/>
        <v/>
      </c>
      <c r="AJ48" s="40"/>
      <c r="AK48" s="40"/>
      <c r="AL48" s="40"/>
      <c r="AM48" s="90" t="str">
        <f t="shared" si="32"/>
        <v/>
      </c>
      <c r="AN48" s="90" t="str">
        <f t="shared" si="33"/>
        <v/>
      </c>
      <c r="AO48" s="40"/>
      <c r="AP48" s="40"/>
      <c r="AQ48" s="40"/>
      <c r="AR48" s="90" t="str">
        <f t="shared" si="34"/>
        <v/>
      </c>
      <c r="AS48" s="90" t="str">
        <f t="shared" si="35"/>
        <v/>
      </c>
      <c r="AT48" s="40"/>
      <c r="AU48" s="40"/>
      <c r="AV48" s="40"/>
      <c r="AW48" s="90" t="str">
        <f t="shared" si="36"/>
        <v/>
      </c>
      <c r="AX48" s="90" t="str">
        <f t="shared" si="37"/>
        <v/>
      </c>
      <c r="AY48" s="40"/>
      <c r="AZ48" s="40"/>
      <c r="BA48" s="40"/>
      <c r="BB48" s="90" t="str">
        <f t="shared" si="38"/>
        <v/>
      </c>
      <c r="BC48" s="90" t="str">
        <f t="shared" si="19"/>
        <v/>
      </c>
    </row>
    <row r="49" spans="1:55">
      <c r="A49" s="90">
        <f>'DATA SISWA'!A49</f>
        <v>0</v>
      </c>
      <c r="B49" s="90">
        <f>'DATA SISWA'!B49</f>
        <v>0</v>
      </c>
      <c r="C49" s="90">
        <f>'DATA SISWA'!C49</f>
        <v>0</v>
      </c>
      <c r="D49" s="90">
        <f>'DATA SISWA'!D49</f>
        <v>0</v>
      </c>
      <c r="E49" s="90" t="str">
        <f>'DATA SISWA'!E49</f>
        <v>VII</v>
      </c>
      <c r="F49" s="40"/>
      <c r="G49" s="40"/>
      <c r="H49" s="40"/>
      <c r="I49" s="90" t="str">
        <f t="shared" si="20"/>
        <v/>
      </c>
      <c r="J49" s="90" t="str">
        <f t="shared" si="21"/>
        <v/>
      </c>
      <c r="K49" s="40"/>
      <c r="L49" s="40"/>
      <c r="M49" s="40"/>
      <c r="N49" s="90" t="str">
        <f t="shared" si="22"/>
        <v/>
      </c>
      <c r="O49" s="90" t="str">
        <f t="shared" si="23"/>
        <v/>
      </c>
      <c r="P49" s="40"/>
      <c r="Q49" s="40"/>
      <c r="R49" s="40"/>
      <c r="S49" s="90" t="str">
        <f t="shared" si="24"/>
        <v/>
      </c>
      <c r="T49" s="90" t="str">
        <f t="shared" si="25"/>
        <v/>
      </c>
      <c r="U49" s="40"/>
      <c r="V49" s="40"/>
      <c r="W49" s="40"/>
      <c r="X49" s="90" t="str">
        <f t="shared" si="26"/>
        <v/>
      </c>
      <c r="Y49" s="90" t="str">
        <f t="shared" si="27"/>
        <v/>
      </c>
      <c r="Z49" s="40"/>
      <c r="AA49" s="40"/>
      <c r="AB49" s="40"/>
      <c r="AC49" s="90" t="str">
        <f t="shared" si="28"/>
        <v/>
      </c>
      <c r="AD49" s="90" t="str">
        <f t="shared" si="29"/>
        <v/>
      </c>
      <c r="AE49" s="40"/>
      <c r="AF49" s="40"/>
      <c r="AG49" s="40"/>
      <c r="AH49" s="90" t="str">
        <f t="shared" si="30"/>
        <v/>
      </c>
      <c r="AI49" s="90" t="str">
        <f t="shared" si="31"/>
        <v/>
      </c>
      <c r="AJ49" s="40"/>
      <c r="AK49" s="40"/>
      <c r="AL49" s="40"/>
      <c r="AM49" s="90" t="str">
        <f t="shared" si="32"/>
        <v/>
      </c>
      <c r="AN49" s="90" t="str">
        <f t="shared" si="33"/>
        <v/>
      </c>
      <c r="AO49" s="40"/>
      <c r="AP49" s="40"/>
      <c r="AQ49" s="40"/>
      <c r="AR49" s="90" t="str">
        <f t="shared" si="34"/>
        <v/>
      </c>
      <c r="AS49" s="90" t="str">
        <f t="shared" si="35"/>
        <v/>
      </c>
      <c r="AT49" s="40"/>
      <c r="AU49" s="40"/>
      <c r="AV49" s="40"/>
      <c r="AW49" s="90" t="str">
        <f t="shared" si="36"/>
        <v/>
      </c>
      <c r="AX49" s="90" t="str">
        <f t="shared" si="37"/>
        <v/>
      </c>
      <c r="AY49" s="40"/>
      <c r="AZ49" s="40"/>
      <c r="BA49" s="40"/>
      <c r="BB49" s="90" t="str">
        <f t="shared" si="38"/>
        <v/>
      </c>
      <c r="BC49" s="90" t="str">
        <f t="shared" si="19"/>
        <v/>
      </c>
    </row>
    <row r="50" spans="1:55">
      <c r="A50" s="90">
        <f>'DATA SISWA'!A50</f>
        <v>0</v>
      </c>
      <c r="B50" s="90">
        <f>'DATA SISWA'!B50</f>
        <v>0</v>
      </c>
      <c r="C50" s="90">
        <f>'DATA SISWA'!C50</f>
        <v>0</v>
      </c>
      <c r="D50" s="90">
        <f>'DATA SISWA'!D50</f>
        <v>0</v>
      </c>
      <c r="E50" s="90" t="str">
        <f>'DATA SISWA'!E50</f>
        <v>VII</v>
      </c>
      <c r="F50" s="40"/>
      <c r="G50" s="40"/>
      <c r="H50" s="40"/>
      <c r="I50" s="90" t="str">
        <f t="shared" si="20"/>
        <v/>
      </c>
      <c r="J50" s="90" t="str">
        <f t="shared" si="21"/>
        <v/>
      </c>
      <c r="K50" s="40"/>
      <c r="L50" s="40"/>
      <c r="M50" s="40"/>
      <c r="N50" s="90" t="str">
        <f t="shared" si="22"/>
        <v/>
      </c>
      <c r="O50" s="90" t="str">
        <f t="shared" si="23"/>
        <v/>
      </c>
      <c r="P50" s="40"/>
      <c r="Q50" s="40"/>
      <c r="R50" s="40"/>
      <c r="S50" s="90" t="str">
        <f t="shared" si="24"/>
        <v/>
      </c>
      <c r="T50" s="90" t="str">
        <f t="shared" si="25"/>
        <v/>
      </c>
      <c r="U50" s="40"/>
      <c r="V50" s="40"/>
      <c r="W50" s="40"/>
      <c r="X50" s="90" t="str">
        <f t="shared" si="26"/>
        <v/>
      </c>
      <c r="Y50" s="90" t="str">
        <f t="shared" si="27"/>
        <v/>
      </c>
      <c r="Z50" s="40"/>
      <c r="AA50" s="40"/>
      <c r="AB50" s="40"/>
      <c r="AC50" s="90" t="str">
        <f t="shared" si="28"/>
        <v/>
      </c>
      <c r="AD50" s="90" t="str">
        <f t="shared" si="29"/>
        <v/>
      </c>
      <c r="AE50" s="40"/>
      <c r="AF50" s="40"/>
      <c r="AG50" s="40"/>
      <c r="AH50" s="90" t="str">
        <f t="shared" si="30"/>
        <v/>
      </c>
      <c r="AI50" s="90" t="str">
        <f t="shared" si="31"/>
        <v/>
      </c>
      <c r="AJ50" s="40"/>
      <c r="AK50" s="40"/>
      <c r="AL50" s="40"/>
      <c r="AM50" s="90" t="str">
        <f t="shared" si="32"/>
        <v/>
      </c>
      <c r="AN50" s="90" t="str">
        <f t="shared" si="33"/>
        <v/>
      </c>
      <c r="AO50" s="40"/>
      <c r="AP50" s="40"/>
      <c r="AQ50" s="40"/>
      <c r="AR50" s="90" t="str">
        <f t="shared" si="34"/>
        <v/>
      </c>
      <c r="AS50" s="90" t="str">
        <f t="shared" si="35"/>
        <v/>
      </c>
      <c r="AT50" s="40"/>
      <c r="AU50" s="40"/>
      <c r="AV50" s="40"/>
      <c r="AW50" s="90" t="str">
        <f t="shared" si="36"/>
        <v/>
      </c>
      <c r="AX50" s="90" t="str">
        <f t="shared" si="37"/>
        <v/>
      </c>
      <c r="AY50" s="40"/>
      <c r="AZ50" s="40"/>
      <c r="BA50" s="40"/>
      <c r="BB50" s="90" t="str">
        <f t="shared" si="38"/>
        <v/>
      </c>
      <c r="BC50" s="90" t="str">
        <f t="shared" si="19"/>
        <v/>
      </c>
    </row>
    <row r="51" spans="1:55">
      <c r="A51" s="90">
        <f>'DATA SISWA'!A51</f>
        <v>0</v>
      </c>
      <c r="B51" s="90">
        <f>'DATA SISWA'!B51</f>
        <v>0</v>
      </c>
      <c r="C51" s="90">
        <f>'DATA SISWA'!C51</f>
        <v>0</v>
      </c>
      <c r="D51" s="90">
        <f>'DATA SISWA'!D51</f>
        <v>0</v>
      </c>
      <c r="E51" s="90" t="str">
        <f>'DATA SISWA'!E51</f>
        <v>VII</v>
      </c>
      <c r="F51" s="40"/>
      <c r="G51" s="40"/>
      <c r="H51" s="40"/>
      <c r="I51" s="90" t="str">
        <f t="shared" si="20"/>
        <v/>
      </c>
      <c r="J51" s="90" t="str">
        <f t="shared" si="21"/>
        <v/>
      </c>
      <c r="K51" s="40"/>
      <c r="L51" s="40"/>
      <c r="M51" s="40"/>
      <c r="N51" s="90" t="str">
        <f t="shared" si="22"/>
        <v/>
      </c>
      <c r="O51" s="90" t="str">
        <f t="shared" si="23"/>
        <v/>
      </c>
      <c r="P51" s="40"/>
      <c r="Q51" s="40"/>
      <c r="R51" s="40"/>
      <c r="S51" s="90" t="str">
        <f t="shared" si="24"/>
        <v/>
      </c>
      <c r="T51" s="90" t="str">
        <f t="shared" si="25"/>
        <v/>
      </c>
      <c r="U51" s="40"/>
      <c r="V51" s="40"/>
      <c r="W51" s="40"/>
      <c r="X51" s="90" t="str">
        <f t="shared" si="26"/>
        <v/>
      </c>
      <c r="Y51" s="90" t="str">
        <f t="shared" si="27"/>
        <v/>
      </c>
      <c r="Z51" s="40"/>
      <c r="AA51" s="40"/>
      <c r="AB51" s="40"/>
      <c r="AC51" s="90" t="str">
        <f t="shared" si="28"/>
        <v/>
      </c>
      <c r="AD51" s="90" t="str">
        <f t="shared" si="29"/>
        <v/>
      </c>
      <c r="AE51" s="40"/>
      <c r="AF51" s="40"/>
      <c r="AG51" s="40"/>
      <c r="AH51" s="90" t="str">
        <f t="shared" si="30"/>
        <v/>
      </c>
      <c r="AI51" s="90" t="str">
        <f t="shared" si="31"/>
        <v/>
      </c>
      <c r="AJ51" s="40"/>
      <c r="AK51" s="40"/>
      <c r="AL51" s="40"/>
      <c r="AM51" s="90" t="str">
        <f t="shared" si="32"/>
        <v/>
      </c>
      <c r="AN51" s="90" t="str">
        <f t="shared" si="33"/>
        <v/>
      </c>
      <c r="AO51" s="40"/>
      <c r="AP51" s="40"/>
      <c r="AQ51" s="40"/>
      <c r="AR51" s="90" t="str">
        <f t="shared" si="34"/>
        <v/>
      </c>
      <c r="AS51" s="90" t="str">
        <f t="shared" si="35"/>
        <v/>
      </c>
      <c r="AT51" s="40"/>
      <c r="AU51" s="40"/>
      <c r="AV51" s="40"/>
      <c r="AW51" s="90" t="str">
        <f t="shared" si="36"/>
        <v/>
      </c>
      <c r="AX51" s="90" t="str">
        <f t="shared" si="37"/>
        <v/>
      </c>
      <c r="AY51" s="40"/>
      <c r="AZ51" s="40"/>
      <c r="BA51" s="40"/>
      <c r="BB51" s="90" t="str">
        <f t="shared" si="38"/>
        <v/>
      </c>
      <c r="BC51" s="90" t="str">
        <f t="shared" si="19"/>
        <v/>
      </c>
    </row>
    <row r="52" spans="1:55">
      <c r="A52" s="90">
        <f>'DATA SISWA'!A52</f>
        <v>0</v>
      </c>
      <c r="B52" s="90">
        <f>'DATA SISWA'!B52</f>
        <v>0</v>
      </c>
      <c r="C52" s="90">
        <f>'DATA SISWA'!C52</f>
        <v>0</v>
      </c>
      <c r="D52" s="90">
        <f>'DATA SISWA'!D52</f>
        <v>0</v>
      </c>
      <c r="E52" s="90" t="str">
        <f>'DATA SISWA'!E52</f>
        <v>VII</v>
      </c>
      <c r="F52" s="40"/>
      <c r="G52" s="40"/>
      <c r="H52" s="40"/>
      <c r="I52" s="90" t="str">
        <f>IF(F52="","",SUM(F52:H52))</f>
        <v/>
      </c>
      <c r="J52" s="90" t="str">
        <f>IF(I52="","",((I52/12)*100))</f>
        <v/>
      </c>
      <c r="K52" s="40"/>
      <c r="L52" s="40"/>
      <c r="M52" s="40"/>
      <c r="N52" s="90" t="str">
        <f>IF(K52="","",SUM(K52:M52))</f>
        <v/>
      </c>
      <c r="O52" s="90" t="str">
        <f>IF(N52="","",((N52/12)*100))</f>
        <v/>
      </c>
      <c r="P52" s="40"/>
      <c r="Q52" s="40"/>
      <c r="R52" s="40"/>
      <c r="S52" s="90" t="str">
        <f>IF(P52="","",SUM(P52:R52))</f>
        <v/>
      </c>
      <c r="T52" s="90" t="str">
        <f>IF(S52="","",((S52/12)*100))</f>
        <v/>
      </c>
      <c r="U52" s="40"/>
      <c r="V52" s="40"/>
      <c r="W52" s="40"/>
      <c r="X52" s="90" t="str">
        <f>IF(U52="","",SUM(U52:W52))</f>
        <v/>
      </c>
      <c r="Y52" s="90" t="str">
        <f>IF(X52="","",((X52/12)*100))</f>
        <v/>
      </c>
      <c r="Z52" s="40"/>
      <c r="AA52" s="40"/>
      <c r="AB52" s="40"/>
      <c r="AC52" s="90" t="str">
        <f>IF(Z52="","",SUM(Z52:AB52))</f>
        <v/>
      </c>
      <c r="AD52" s="90" t="str">
        <f>IF(AC52="","",((AC52/12)*100))</f>
        <v/>
      </c>
      <c r="AE52" s="40"/>
      <c r="AF52" s="40"/>
      <c r="AG52" s="40"/>
      <c r="AH52" s="90" t="str">
        <f>IF(AE52="","",SUM(AE52:AG52))</f>
        <v/>
      </c>
      <c r="AI52" s="90" t="str">
        <f>IF(AH52="","",((AH52/12)*100))</f>
        <v/>
      </c>
      <c r="AJ52" s="40"/>
      <c r="AK52" s="40"/>
      <c r="AL52" s="40"/>
      <c r="AM52" s="90" t="str">
        <f>IF(AJ52="","",SUM(AJ52:AL52))</f>
        <v/>
      </c>
      <c r="AN52" s="90" t="str">
        <f>IF(AM52="","",((AM52/12)*4))</f>
        <v/>
      </c>
      <c r="AO52" s="40"/>
      <c r="AP52" s="40"/>
      <c r="AQ52" s="40"/>
      <c r="AR52" s="90" t="str">
        <f>IF(AO52="","",SUM(AO52:AQ52))</f>
        <v/>
      </c>
      <c r="AS52" s="90" t="str">
        <f>IF(AR52="","",((AR52/12)*100))</f>
        <v/>
      </c>
      <c r="AT52" s="40"/>
      <c r="AU52" s="40"/>
      <c r="AV52" s="40"/>
      <c r="AW52" s="90" t="str">
        <f>IF(AT52="","",SUM(AT52:AV52))</f>
        <v/>
      </c>
      <c r="AX52" s="90" t="str">
        <f>IF(AW52="","",((AW52/12)*100))</f>
        <v/>
      </c>
      <c r="AY52" s="40"/>
      <c r="AZ52" s="40"/>
      <c r="BA52" s="40"/>
      <c r="BB52" s="90" t="str">
        <f>IF(AY52="","",SUM(AY52:BA52))</f>
        <v/>
      </c>
      <c r="BC52" s="90" t="str">
        <f t="shared" si="19"/>
        <v/>
      </c>
    </row>
  </sheetData>
  <sheetProtection password="C2E2" sheet="1" objects="1" scenarios="1" formatCells="0" formatColumns="0" formatRows="0" insertColumns="0" insertRows="0" insertHyperlinks="0" deleteColumns="0" deleteRows="0"/>
  <mergeCells count="35">
    <mergeCell ref="U1:X1"/>
    <mergeCell ref="A1:A3"/>
    <mergeCell ref="B1:B3"/>
    <mergeCell ref="C1:C3"/>
    <mergeCell ref="D1:D3"/>
    <mergeCell ref="E1:E3"/>
    <mergeCell ref="F1:I1"/>
    <mergeCell ref="J1:J3"/>
    <mergeCell ref="K1:N1"/>
    <mergeCell ref="O1:O3"/>
    <mergeCell ref="P1:S1"/>
    <mergeCell ref="T1:T3"/>
    <mergeCell ref="AY2:BB2"/>
    <mergeCell ref="Y1:Y3"/>
    <mergeCell ref="Z1:AC1"/>
    <mergeCell ref="AD1:AD3"/>
    <mergeCell ref="AE1:AH1"/>
    <mergeCell ref="AI1:AI3"/>
    <mergeCell ref="AJ1:AM1"/>
    <mergeCell ref="BC1:BC3"/>
    <mergeCell ref="F2:I2"/>
    <mergeCell ref="K2:N2"/>
    <mergeCell ref="P2:S2"/>
    <mergeCell ref="U2:X2"/>
    <mergeCell ref="Z2:AC2"/>
    <mergeCell ref="AE2:AH2"/>
    <mergeCell ref="AJ2:AM2"/>
    <mergeCell ref="AO2:AR2"/>
    <mergeCell ref="AT2:AW2"/>
    <mergeCell ref="AN1:AN3"/>
    <mergeCell ref="AO1:AR1"/>
    <mergeCell ref="AS1:AS3"/>
    <mergeCell ref="AT1:AW1"/>
    <mergeCell ref="AX1:AX3"/>
    <mergeCell ref="AY1:BB1"/>
  </mergeCells>
  <conditionalFormatting sqref="F5:F52">
    <cfRule type="expression" dxfId="737" priority="80">
      <formula>MOD(COLUMN(),2)=1</formula>
    </cfRule>
  </conditionalFormatting>
  <conditionalFormatting sqref="F5:F52">
    <cfRule type="expression" dxfId="736" priority="79">
      <formula>MOD(COLUMN(),2)=1</formula>
    </cfRule>
  </conditionalFormatting>
  <conditionalFormatting sqref="G5:H52">
    <cfRule type="expression" dxfId="735" priority="78">
      <formula>MOD(COLUMN(),2)=1</formula>
    </cfRule>
  </conditionalFormatting>
  <conditionalFormatting sqref="G5:H52">
    <cfRule type="expression" dxfId="734" priority="77">
      <formula>MOD(COLUMN(),2)=1</formula>
    </cfRule>
  </conditionalFormatting>
  <conditionalFormatting sqref="K5:K52">
    <cfRule type="expression" dxfId="733" priority="72">
      <formula>MOD(COLUMN(),2)=1</formula>
    </cfRule>
  </conditionalFormatting>
  <conditionalFormatting sqref="K5:K52">
    <cfRule type="expression" dxfId="732" priority="71">
      <formula>MOD(COLUMN(),2)=1</formula>
    </cfRule>
  </conditionalFormatting>
  <conditionalFormatting sqref="L5:M52">
    <cfRule type="expression" dxfId="731" priority="70">
      <formula>MOD(COLUMN(),2)=1</formula>
    </cfRule>
  </conditionalFormatting>
  <conditionalFormatting sqref="L5:M52">
    <cfRule type="expression" dxfId="730" priority="69">
      <formula>MOD(COLUMN(),2)=1</formula>
    </cfRule>
  </conditionalFormatting>
  <conditionalFormatting sqref="P5:P52">
    <cfRule type="expression" dxfId="729" priority="64">
      <formula>MOD(COLUMN(),2)=1</formula>
    </cfRule>
  </conditionalFormatting>
  <conditionalFormatting sqref="P5:P52">
    <cfRule type="expression" dxfId="728" priority="63">
      <formula>MOD(COLUMN(),2)=1</formula>
    </cfRule>
  </conditionalFormatting>
  <conditionalFormatting sqref="Q5:R52">
    <cfRule type="expression" dxfId="727" priority="62">
      <formula>MOD(COLUMN(),2)=1</formula>
    </cfRule>
  </conditionalFormatting>
  <conditionalFormatting sqref="Q5:R52">
    <cfRule type="expression" dxfId="726" priority="61">
      <formula>MOD(COLUMN(),2)=1</formula>
    </cfRule>
  </conditionalFormatting>
  <conditionalFormatting sqref="U5:U52">
    <cfRule type="expression" dxfId="725" priority="56">
      <formula>MOD(COLUMN(),2)=1</formula>
    </cfRule>
  </conditionalFormatting>
  <conditionalFormatting sqref="U5:U52">
    <cfRule type="expression" dxfId="724" priority="55">
      <formula>MOD(COLUMN(),2)=1</formula>
    </cfRule>
  </conditionalFormatting>
  <conditionalFormatting sqref="V5:W52">
    <cfRule type="expression" dxfId="723" priority="54">
      <formula>MOD(COLUMN(),2)=1</formula>
    </cfRule>
  </conditionalFormatting>
  <conditionalFormatting sqref="V5:W52">
    <cfRule type="expression" dxfId="722" priority="53">
      <formula>MOD(COLUMN(),2)=1</formula>
    </cfRule>
  </conditionalFormatting>
  <conditionalFormatting sqref="Z5:Z52">
    <cfRule type="expression" dxfId="721" priority="48">
      <formula>MOD(COLUMN(),2)=1</formula>
    </cfRule>
  </conditionalFormatting>
  <conditionalFormatting sqref="Z5:Z52">
    <cfRule type="expression" dxfId="720" priority="47">
      <formula>MOD(COLUMN(),2)=1</formula>
    </cfRule>
  </conditionalFormatting>
  <conditionalFormatting sqref="AA5:AB52">
    <cfRule type="expression" dxfId="719" priority="46">
      <formula>MOD(COLUMN(),2)=1</formula>
    </cfRule>
  </conditionalFormatting>
  <conditionalFormatting sqref="AA5:AB52">
    <cfRule type="expression" dxfId="718" priority="45">
      <formula>MOD(COLUMN(),2)=1</formula>
    </cfRule>
  </conditionalFormatting>
  <conditionalFormatting sqref="AE5">
    <cfRule type="expression" dxfId="717" priority="40">
      <formula>MOD(COLUMN(),2)=1</formula>
    </cfRule>
  </conditionalFormatting>
  <conditionalFormatting sqref="AE5">
    <cfRule type="expression" dxfId="716" priority="39">
      <formula>MOD(COLUMN(),2)=1</formula>
    </cfRule>
  </conditionalFormatting>
  <conditionalFormatting sqref="AF5:AG5">
    <cfRule type="expression" dxfId="715" priority="38">
      <formula>MOD(COLUMN(),2)=1</formula>
    </cfRule>
  </conditionalFormatting>
  <conditionalFormatting sqref="AF5:AG5">
    <cfRule type="expression" dxfId="714" priority="37">
      <formula>MOD(COLUMN(),2)=1</formula>
    </cfRule>
  </conditionalFormatting>
  <conditionalFormatting sqref="AE6:AE52">
    <cfRule type="expression" dxfId="713" priority="36">
      <formula>MOD(COLUMN(),2)=1</formula>
    </cfRule>
  </conditionalFormatting>
  <conditionalFormatting sqref="AE6:AE52">
    <cfRule type="expression" dxfId="712" priority="35">
      <formula>MOD(COLUMN(),2)=1</formula>
    </cfRule>
  </conditionalFormatting>
  <conditionalFormatting sqref="AF6:AG52">
    <cfRule type="expression" dxfId="711" priority="34">
      <formula>MOD(COLUMN(),2)=1</formula>
    </cfRule>
  </conditionalFormatting>
  <conditionalFormatting sqref="AF6:AG52">
    <cfRule type="expression" dxfId="710" priority="33">
      <formula>MOD(COLUMN(),2)=1</formula>
    </cfRule>
  </conditionalFormatting>
  <conditionalFormatting sqref="AJ5">
    <cfRule type="expression" dxfId="709" priority="32">
      <formula>MOD(COLUMN(),2)=1</formula>
    </cfRule>
  </conditionalFormatting>
  <conditionalFormatting sqref="AJ5">
    <cfRule type="expression" dxfId="708" priority="31">
      <formula>MOD(COLUMN(),2)=1</formula>
    </cfRule>
  </conditionalFormatting>
  <conditionalFormatting sqref="AK5:AL5">
    <cfRule type="expression" dxfId="707" priority="30">
      <formula>MOD(COLUMN(),2)=1</formula>
    </cfRule>
  </conditionalFormatting>
  <conditionalFormatting sqref="AK5:AL5">
    <cfRule type="expression" dxfId="706" priority="29">
      <formula>MOD(COLUMN(),2)=1</formula>
    </cfRule>
  </conditionalFormatting>
  <conditionalFormatting sqref="AJ6:AJ52">
    <cfRule type="expression" dxfId="705" priority="28">
      <formula>MOD(COLUMN(),2)=1</formula>
    </cfRule>
  </conditionalFormatting>
  <conditionalFormatting sqref="AJ6:AJ52">
    <cfRule type="expression" dxfId="704" priority="27">
      <formula>MOD(COLUMN(),2)=1</formula>
    </cfRule>
  </conditionalFormatting>
  <conditionalFormatting sqref="AK6:AL52">
    <cfRule type="expression" dxfId="703" priority="26">
      <formula>MOD(COLUMN(),2)=1</formula>
    </cfRule>
  </conditionalFormatting>
  <conditionalFormatting sqref="AK6:AL52">
    <cfRule type="expression" dxfId="702" priority="25">
      <formula>MOD(COLUMN(),2)=1</formula>
    </cfRule>
  </conditionalFormatting>
  <conditionalFormatting sqref="AO5">
    <cfRule type="expression" dxfId="701" priority="24">
      <formula>MOD(COLUMN(),2)=1</formula>
    </cfRule>
  </conditionalFormatting>
  <conditionalFormatting sqref="AO5">
    <cfRule type="expression" dxfId="700" priority="23">
      <formula>MOD(COLUMN(),2)=1</formula>
    </cfRule>
  </conditionalFormatting>
  <conditionalFormatting sqref="AP5:AQ5">
    <cfRule type="expression" dxfId="699" priority="22">
      <formula>MOD(COLUMN(),2)=1</formula>
    </cfRule>
  </conditionalFormatting>
  <conditionalFormatting sqref="AP5:AQ5">
    <cfRule type="expression" dxfId="698" priority="21">
      <formula>MOD(COLUMN(),2)=1</formula>
    </cfRule>
  </conditionalFormatting>
  <conditionalFormatting sqref="AO6:AO52">
    <cfRule type="expression" dxfId="697" priority="20">
      <formula>MOD(COLUMN(),2)=1</formula>
    </cfRule>
  </conditionalFormatting>
  <conditionalFormatting sqref="AO6:AO52">
    <cfRule type="expression" dxfId="696" priority="19">
      <formula>MOD(COLUMN(),2)=1</formula>
    </cfRule>
  </conditionalFormatting>
  <conditionalFormatting sqref="AP6:AQ52">
    <cfRule type="expression" dxfId="695" priority="18">
      <formula>MOD(COLUMN(),2)=1</formula>
    </cfRule>
  </conditionalFormatting>
  <conditionalFormatting sqref="AP6:AQ52">
    <cfRule type="expression" dxfId="694" priority="17">
      <formula>MOD(COLUMN(),2)=1</formula>
    </cfRule>
  </conditionalFormatting>
  <conditionalFormatting sqref="AT5">
    <cfRule type="expression" dxfId="693" priority="16">
      <formula>MOD(COLUMN(),2)=1</formula>
    </cfRule>
  </conditionalFormatting>
  <conditionalFormatting sqref="AT5">
    <cfRule type="expression" dxfId="692" priority="15">
      <formula>MOD(COLUMN(),2)=1</formula>
    </cfRule>
  </conditionalFormatting>
  <conditionalFormatting sqref="AU5:AV5">
    <cfRule type="expression" dxfId="691" priority="14">
      <formula>MOD(COLUMN(),2)=1</formula>
    </cfRule>
  </conditionalFormatting>
  <conditionalFormatting sqref="AU5:AV5">
    <cfRule type="expression" dxfId="690" priority="13">
      <formula>MOD(COLUMN(),2)=1</formula>
    </cfRule>
  </conditionalFormatting>
  <conditionalFormatting sqref="AT6:AT52">
    <cfRule type="expression" dxfId="689" priority="12">
      <formula>MOD(COLUMN(),2)=1</formula>
    </cfRule>
  </conditionalFormatting>
  <conditionalFormatting sqref="AT6:AT52">
    <cfRule type="expression" dxfId="688" priority="11">
      <formula>MOD(COLUMN(),2)=1</formula>
    </cfRule>
  </conditionalFormatting>
  <conditionalFormatting sqref="AU6:AV52">
    <cfRule type="expression" dxfId="687" priority="10">
      <formula>MOD(COLUMN(),2)=1</formula>
    </cfRule>
  </conditionalFormatting>
  <conditionalFormatting sqref="AU6:AV52">
    <cfRule type="expression" dxfId="686" priority="9">
      <formula>MOD(COLUMN(),2)=1</formula>
    </cfRule>
  </conditionalFormatting>
  <conditionalFormatting sqref="AY5">
    <cfRule type="expression" dxfId="685" priority="8">
      <formula>MOD(COLUMN(),2)=1</formula>
    </cfRule>
  </conditionalFormatting>
  <conditionalFormatting sqref="AY5">
    <cfRule type="expression" dxfId="684" priority="7">
      <formula>MOD(COLUMN(),2)=1</formula>
    </cfRule>
  </conditionalFormatting>
  <conditionalFormatting sqref="AZ5:BA5">
    <cfRule type="expression" dxfId="683" priority="6">
      <formula>MOD(COLUMN(),2)=1</formula>
    </cfRule>
  </conditionalFormatting>
  <conditionalFormatting sqref="AZ5:BA5">
    <cfRule type="expression" dxfId="682" priority="5">
      <formula>MOD(COLUMN(),2)=1</formula>
    </cfRule>
  </conditionalFormatting>
  <conditionalFormatting sqref="AY6:AY52">
    <cfRule type="expression" dxfId="681" priority="4">
      <formula>MOD(COLUMN(),2)=1</formula>
    </cfRule>
  </conditionalFormatting>
  <conditionalFormatting sqref="AY6:AY52">
    <cfRule type="expression" dxfId="680" priority="3">
      <formula>MOD(COLUMN(),2)=1</formula>
    </cfRule>
  </conditionalFormatting>
  <conditionalFormatting sqref="AZ6:BA52">
    <cfRule type="expression" dxfId="679" priority="2">
      <formula>MOD(COLUMN(),2)=1</formula>
    </cfRule>
  </conditionalFormatting>
  <conditionalFormatting sqref="AZ6:BA52">
    <cfRule type="expression" dxfId="678" priority="1">
      <formula>MOD(COLUMN(),2)=1</formula>
    </cfRule>
  </conditionalFormatting>
  <dataValidations count="1">
    <dataValidation type="whole" allowBlank="1" showInputMessage="1" showErrorMessage="1" errorTitle="STOP" error="ANGKA YANG DIMASUKAN MELEBIHI 4" prompt="4 =  Selalu&#10;3 = Sering&#10;2 = Kadang2&#10;1 = Tidak Pernah" sqref="F5:H52 K5:M52 P5:R52 U5:W52 Z5:AB52 AE5:AG52 AJ5:AL52 AO5:AQ52 AT5:AV52 AY5:BA52">
      <formula1>1</formula1>
      <formula2>4</formula2>
    </dataValidation>
  </dataValidations>
  <pageMargins left="0.7" right="0.7" top="0.75" bottom="0.75" header="0.3" footer="0.3"/>
  <pageSetup paperSize="14"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10"/>
  <dimension ref="A1:BM53"/>
  <sheetViews>
    <sheetView workbookViewId="0">
      <pane xSplit="4" ySplit="4" topLeftCell="E5" activePane="bottomRight" state="frozen"/>
      <selection pane="topRight" activeCell="E1" sqref="E1"/>
      <selection pane="bottomLeft" activeCell="A5" sqref="A5"/>
      <selection pane="bottomRight" activeCell="F5" sqref="F5:I5"/>
    </sheetView>
  </sheetViews>
  <sheetFormatPr defaultRowHeight="15"/>
  <cols>
    <col min="1" max="1" width="4.85546875" style="85" customWidth="1"/>
    <col min="2" max="2" width="7.140625" style="85" customWidth="1"/>
    <col min="3" max="3" width="32.5703125" style="85" customWidth="1"/>
    <col min="4" max="5" width="5.28515625" style="85" customWidth="1"/>
    <col min="6" max="65" width="5.7109375" style="85" customWidth="1"/>
    <col min="66" max="16384" width="9.140625" style="85"/>
  </cols>
  <sheetData>
    <row r="1" spans="1:65" ht="15" customHeight="1">
      <c r="A1" s="501" t="s">
        <v>15</v>
      </c>
      <c r="B1" s="501" t="s">
        <v>16</v>
      </c>
      <c r="C1" s="504" t="s">
        <v>0</v>
      </c>
      <c r="D1" s="505" t="s">
        <v>1</v>
      </c>
      <c r="E1" s="506" t="s">
        <v>17</v>
      </c>
      <c r="F1" s="505" t="s">
        <v>37</v>
      </c>
      <c r="G1" s="505"/>
      <c r="H1" s="505"/>
      <c r="I1" s="505"/>
      <c r="J1" s="505"/>
      <c r="K1" s="620" t="s">
        <v>43</v>
      </c>
      <c r="L1" s="505" t="s">
        <v>37</v>
      </c>
      <c r="M1" s="505"/>
      <c r="N1" s="505"/>
      <c r="O1" s="505"/>
      <c r="P1" s="505"/>
      <c r="Q1" s="620" t="s">
        <v>43</v>
      </c>
      <c r="R1" s="505" t="s">
        <v>37</v>
      </c>
      <c r="S1" s="505"/>
      <c r="T1" s="505"/>
      <c r="U1" s="505"/>
      <c r="V1" s="505"/>
      <c r="W1" s="620" t="s">
        <v>43</v>
      </c>
      <c r="X1" s="505" t="s">
        <v>37</v>
      </c>
      <c r="Y1" s="505"/>
      <c r="Z1" s="505"/>
      <c r="AA1" s="505"/>
      <c r="AB1" s="505"/>
      <c r="AC1" s="620" t="s">
        <v>43</v>
      </c>
      <c r="AD1" s="505" t="s">
        <v>37</v>
      </c>
      <c r="AE1" s="505"/>
      <c r="AF1" s="505"/>
      <c r="AG1" s="505"/>
      <c r="AH1" s="505"/>
      <c r="AI1" s="620" t="s">
        <v>43</v>
      </c>
      <c r="AJ1" s="505" t="s">
        <v>37</v>
      </c>
      <c r="AK1" s="505"/>
      <c r="AL1" s="505"/>
      <c r="AM1" s="505"/>
      <c r="AN1" s="505"/>
      <c r="AO1" s="620" t="s">
        <v>43</v>
      </c>
      <c r="AP1" s="505" t="s">
        <v>37</v>
      </c>
      <c r="AQ1" s="505"/>
      <c r="AR1" s="505"/>
      <c r="AS1" s="505"/>
      <c r="AT1" s="505"/>
      <c r="AU1" s="620" t="s">
        <v>43</v>
      </c>
      <c r="AV1" s="505" t="s">
        <v>37</v>
      </c>
      <c r="AW1" s="505"/>
      <c r="AX1" s="505"/>
      <c r="AY1" s="505"/>
      <c r="AZ1" s="505"/>
      <c r="BA1" s="620" t="s">
        <v>43</v>
      </c>
      <c r="BB1" s="505" t="s">
        <v>37</v>
      </c>
      <c r="BC1" s="505"/>
      <c r="BD1" s="505"/>
      <c r="BE1" s="505"/>
      <c r="BF1" s="505"/>
      <c r="BG1" s="620" t="s">
        <v>43</v>
      </c>
      <c r="BH1" s="505" t="s">
        <v>37</v>
      </c>
      <c r="BI1" s="505"/>
      <c r="BJ1" s="505"/>
      <c r="BK1" s="505"/>
      <c r="BL1" s="505"/>
      <c r="BM1" s="620" t="s">
        <v>43</v>
      </c>
    </row>
    <row r="2" spans="1:65" ht="15" customHeight="1">
      <c r="A2" s="502"/>
      <c r="B2" s="502"/>
      <c r="C2" s="504"/>
      <c r="D2" s="505"/>
      <c r="E2" s="507"/>
      <c r="F2" s="505">
        <f>'Input Nilai Ketrampilan'!F2:I2</f>
        <v>41</v>
      </c>
      <c r="G2" s="505"/>
      <c r="H2" s="505"/>
      <c r="I2" s="505"/>
      <c r="J2" s="505"/>
      <c r="K2" s="621"/>
      <c r="L2" s="505">
        <f>'Input Nilai Ketrampilan'!K2</f>
        <v>42</v>
      </c>
      <c r="M2" s="505"/>
      <c r="N2" s="505"/>
      <c r="O2" s="505"/>
      <c r="P2" s="505"/>
      <c r="Q2" s="621"/>
      <c r="R2" s="505">
        <f>'Input Nilai Ketrampilan'!P2</f>
        <v>43</v>
      </c>
      <c r="S2" s="505"/>
      <c r="T2" s="505"/>
      <c r="U2" s="505"/>
      <c r="V2" s="505"/>
      <c r="W2" s="621"/>
      <c r="X2" s="505">
        <f>'Input Nilai Ketrampilan'!U2</f>
        <v>44</v>
      </c>
      <c r="Y2" s="505"/>
      <c r="Z2" s="505"/>
      <c r="AA2" s="505"/>
      <c r="AB2" s="505"/>
      <c r="AC2" s="621"/>
      <c r="AD2" s="505">
        <f>'Input Nilai Ketrampilan'!Z2</f>
        <v>45</v>
      </c>
      <c r="AE2" s="505"/>
      <c r="AF2" s="505"/>
      <c r="AG2" s="505"/>
      <c r="AH2" s="505"/>
      <c r="AI2" s="621"/>
      <c r="AJ2" s="505">
        <f>'Input Nilai Ketrampilan'!AE2</f>
        <v>46</v>
      </c>
      <c r="AK2" s="505"/>
      <c r="AL2" s="505"/>
      <c r="AM2" s="505"/>
      <c r="AN2" s="505"/>
      <c r="AO2" s="621"/>
      <c r="AP2" s="505">
        <f>'Input Nilai Ketrampilan'!AJ2</f>
        <v>47</v>
      </c>
      <c r="AQ2" s="505"/>
      <c r="AR2" s="505"/>
      <c r="AS2" s="505"/>
      <c r="AT2" s="505"/>
      <c r="AU2" s="621"/>
      <c r="AV2" s="505">
        <f>'Input Nilai Ketrampilan'!AO2</f>
        <v>48</v>
      </c>
      <c r="AW2" s="505"/>
      <c r="AX2" s="505"/>
      <c r="AY2" s="505"/>
      <c r="AZ2" s="505"/>
      <c r="BA2" s="621"/>
      <c r="BB2" s="505">
        <f>'Input Nilai Ketrampilan'!AT2</f>
        <v>49</v>
      </c>
      <c r="BC2" s="505"/>
      <c r="BD2" s="505"/>
      <c r="BE2" s="505"/>
      <c r="BF2" s="505"/>
      <c r="BG2" s="621"/>
      <c r="BH2" s="505">
        <f>'Input Nilai Ketrampilan'!AY2</f>
        <v>50</v>
      </c>
      <c r="BI2" s="505"/>
      <c r="BJ2" s="505"/>
      <c r="BK2" s="505"/>
      <c r="BL2" s="505"/>
      <c r="BM2" s="621"/>
    </row>
    <row r="3" spans="1:65" ht="102">
      <c r="A3" s="503"/>
      <c r="B3" s="503"/>
      <c r="C3" s="504"/>
      <c r="D3" s="505"/>
      <c r="E3" s="508"/>
      <c r="F3" s="112" t="s">
        <v>38</v>
      </c>
      <c r="G3" s="113" t="s">
        <v>39</v>
      </c>
      <c r="H3" s="113" t="s">
        <v>40</v>
      </c>
      <c r="I3" s="113" t="s">
        <v>41</v>
      </c>
      <c r="J3" s="112" t="s">
        <v>42</v>
      </c>
      <c r="K3" s="622"/>
      <c r="L3" s="112" t="s">
        <v>38</v>
      </c>
      <c r="M3" s="113" t="s">
        <v>39</v>
      </c>
      <c r="N3" s="113" t="s">
        <v>40</v>
      </c>
      <c r="O3" s="113" t="s">
        <v>41</v>
      </c>
      <c r="P3" s="112" t="s">
        <v>42</v>
      </c>
      <c r="Q3" s="622"/>
      <c r="R3" s="112" t="s">
        <v>38</v>
      </c>
      <c r="S3" s="113" t="s">
        <v>39</v>
      </c>
      <c r="T3" s="113" t="s">
        <v>40</v>
      </c>
      <c r="U3" s="113" t="s">
        <v>41</v>
      </c>
      <c r="V3" s="112" t="s">
        <v>42</v>
      </c>
      <c r="W3" s="622"/>
      <c r="X3" s="112" t="s">
        <v>38</v>
      </c>
      <c r="Y3" s="113" t="s">
        <v>39</v>
      </c>
      <c r="Z3" s="113" t="s">
        <v>40</v>
      </c>
      <c r="AA3" s="113" t="s">
        <v>41</v>
      </c>
      <c r="AB3" s="112" t="s">
        <v>42</v>
      </c>
      <c r="AC3" s="622"/>
      <c r="AD3" s="112" t="s">
        <v>38</v>
      </c>
      <c r="AE3" s="113" t="s">
        <v>39</v>
      </c>
      <c r="AF3" s="113" t="s">
        <v>40</v>
      </c>
      <c r="AG3" s="113" t="s">
        <v>41</v>
      </c>
      <c r="AH3" s="112" t="s">
        <v>42</v>
      </c>
      <c r="AI3" s="622"/>
      <c r="AJ3" s="112" t="s">
        <v>38</v>
      </c>
      <c r="AK3" s="113" t="s">
        <v>39</v>
      </c>
      <c r="AL3" s="113" t="s">
        <v>40</v>
      </c>
      <c r="AM3" s="113" t="s">
        <v>41</v>
      </c>
      <c r="AN3" s="112" t="s">
        <v>42</v>
      </c>
      <c r="AO3" s="622"/>
      <c r="AP3" s="112" t="s">
        <v>38</v>
      </c>
      <c r="AQ3" s="113" t="s">
        <v>39</v>
      </c>
      <c r="AR3" s="113" t="s">
        <v>40</v>
      </c>
      <c r="AS3" s="113" t="s">
        <v>41</v>
      </c>
      <c r="AT3" s="112" t="s">
        <v>42</v>
      </c>
      <c r="AU3" s="622"/>
      <c r="AV3" s="112" t="s">
        <v>38</v>
      </c>
      <c r="AW3" s="113" t="s">
        <v>39</v>
      </c>
      <c r="AX3" s="113" t="s">
        <v>40</v>
      </c>
      <c r="AY3" s="113" t="s">
        <v>41</v>
      </c>
      <c r="AZ3" s="112" t="s">
        <v>42</v>
      </c>
      <c r="BA3" s="622"/>
      <c r="BB3" s="112" t="s">
        <v>38</v>
      </c>
      <c r="BC3" s="113" t="s">
        <v>39</v>
      </c>
      <c r="BD3" s="113" t="s">
        <v>40</v>
      </c>
      <c r="BE3" s="113" t="s">
        <v>41</v>
      </c>
      <c r="BF3" s="112" t="s">
        <v>42</v>
      </c>
      <c r="BG3" s="622"/>
      <c r="BH3" s="112" t="s">
        <v>38</v>
      </c>
      <c r="BI3" s="113" t="s">
        <v>39</v>
      </c>
      <c r="BJ3" s="113" t="s">
        <v>40</v>
      </c>
      <c r="BK3" s="113" t="s">
        <v>41</v>
      </c>
      <c r="BL3" s="112" t="s">
        <v>42</v>
      </c>
      <c r="BM3" s="622"/>
    </row>
    <row r="4" spans="1:65">
      <c r="A4" s="99">
        <v>1</v>
      </c>
      <c r="B4" s="99">
        <v>2</v>
      </c>
      <c r="C4" s="99">
        <v>3</v>
      </c>
      <c r="D4" s="99">
        <v>4</v>
      </c>
      <c r="E4" s="99">
        <v>5</v>
      </c>
      <c r="F4" s="99">
        <v>6</v>
      </c>
      <c r="G4" s="99">
        <v>7</v>
      </c>
      <c r="H4" s="99">
        <v>8</v>
      </c>
      <c r="I4" s="99">
        <v>9</v>
      </c>
      <c r="J4" s="99">
        <v>10</v>
      </c>
      <c r="K4" s="99">
        <v>11</v>
      </c>
      <c r="L4" s="99">
        <v>12</v>
      </c>
      <c r="M4" s="99">
        <v>13</v>
      </c>
      <c r="N4" s="99">
        <v>14</v>
      </c>
      <c r="O4" s="99">
        <v>15</v>
      </c>
      <c r="P4" s="99">
        <v>16</v>
      </c>
      <c r="Q4" s="99">
        <v>17</v>
      </c>
      <c r="R4" s="99">
        <v>18</v>
      </c>
      <c r="S4" s="99">
        <v>19</v>
      </c>
      <c r="T4" s="99">
        <v>20</v>
      </c>
      <c r="U4" s="99">
        <v>21</v>
      </c>
      <c r="V4" s="99">
        <v>22</v>
      </c>
      <c r="W4" s="99">
        <v>23</v>
      </c>
      <c r="X4" s="99">
        <v>24</v>
      </c>
      <c r="Y4" s="99">
        <v>25</v>
      </c>
      <c r="Z4" s="99">
        <v>26</v>
      </c>
      <c r="AA4" s="99">
        <v>27</v>
      </c>
      <c r="AB4" s="99">
        <v>28</v>
      </c>
      <c r="AC4" s="99">
        <v>29</v>
      </c>
      <c r="AD4" s="99">
        <v>30</v>
      </c>
      <c r="AE4" s="99">
        <v>31</v>
      </c>
      <c r="AF4" s="99">
        <v>32</v>
      </c>
      <c r="AG4" s="99">
        <v>33</v>
      </c>
      <c r="AH4" s="99">
        <v>34</v>
      </c>
      <c r="AI4" s="99">
        <v>35</v>
      </c>
      <c r="AJ4" s="99">
        <v>36</v>
      </c>
      <c r="AK4" s="99">
        <v>37</v>
      </c>
      <c r="AL4" s="99">
        <v>38</v>
      </c>
      <c r="AM4" s="99">
        <v>39</v>
      </c>
      <c r="AN4" s="99">
        <v>40</v>
      </c>
      <c r="AO4" s="99">
        <v>41</v>
      </c>
      <c r="AP4" s="99">
        <v>42</v>
      </c>
      <c r="AQ4" s="99">
        <v>43</v>
      </c>
      <c r="AR4" s="99">
        <v>44</v>
      </c>
      <c r="AS4" s="99">
        <v>45</v>
      </c>
      <c r="AT4" s="99">
        <v>46</v>
      </c>
      <c r="AU4" s="99">
        <v>47</v>
      </c>
      <c r="AV4" s="99">
        <v>48</v>
      </c>
      <c r="AW4" s="99">
        <v>49</v>
      </c>
      <c r="AX4" s="99">
        <v>50</v>
      </c>
      <c r="AY4" s="99">
        <v>51</v>
      </c>
      <c r="AZ4" s="99">
        <v>52</v>
      </c>
      <c r="BA4" s="99">
        <v>53</v>
      </c>
      <c r="BB4" s="99">
        <v>54</v>
      </c>
      <c r="BC4" s="99">
        <v>55</v>
      </c>
      <c r="BD4" s="99">
        <v>56</v>
      </c>
      <c r="BE4" s="99">
        <v>57</v>
      </c>
      <c r="BF4" s="99">
        <v>58</v>
      </c>
      <c r="BG4" s="99">
        <v>59</v>
      </c>
      <c r="BH4" s="99">
        <v>60</v>
      </c>
      <c r="BI4" s="99">
        <v>61</v>
      </c>
      <c r="BJ4" s="99">
        <v>62</v>
      </c>
      <c r="BK4" s="99">
        <v>63</v>
      </c>
      <c r="BL4" s="99">
        <v>64</v>
      </c>
      <c r="BM4" s="99">
        <v>65</v>
      </c>
    </row>
    <row r="5" spans="1:65">
      <c r="A5" s="90">
        <f>'DATA SISWA'!A5</f>
        <v>1</v>
      </c>
      <c r="B5" s="90" t="str">
        <f>'DATA SISWA'!B5</f>
        <v>`017</v>
      </c>
      <c r="C5" s="90" t="str">
        <f>'DATA SISWA'!C5</f>
        <v>Abd. Muis</v>
      </c>
      <c r="D5" s="90" t="str">
        <f>'DATA SISWA'!D5</f>
        <v>L</v>
      </c>
      <c r="E5" s="90" t="str">
        <f>'DATA SISWA'!E5</f>
        <v>VII</v>
      </c>
      <c r="F5" s="40"/>
      <c r="G5" s="40"/>
      <c r="H5" s="40"/>
      <c r="I5" s="40"/>
      <c r="J5" s="90" t="str">
        <f>IF(F5&gt;0,SUM(F5:I5),"")</f>
        <v/>
      </c>
      <c r="K5" s="90" t="str">
        <f>IF(J5="","",((J5/16)*100))</f>
        <v/>
      </c>
      <c r="L5" s="40"/>
      <c r="M5" s="40"/>
      <c r="N5" s="40"/>
      <c r="O5" s="40"/>
      <c r="P5" s="90" t="str">
        <f>IF(L5&gt;0,SUM(L5:O5),"")</f>
        <v/>
      </c>
      <c r="Q5" s="90" t="str">
        <f t="shared" ref="Q5:Q44" si="0">IF(P5="","",((P5/16)*100))</f>
        <v/>
      </c>
      <c r="R5" s="40"/>
      <c r="S5" s="40"/>
      <c r="T5" s="40"/>
      <c r="U5" s="40"/>
      <c r="V5" s="90" t="str">
        <f>IF(R5&gt;0,SUM(R5:U5),"")</f>
        <v/>
      </c>
      <c r="W5" s="90" t="str">
        <f t="shared" ref="W5:W44" si="1">IF(V5="","",((V5/16)*100))</f>
        <v/>
      </c>
      <c r="X5" s="40"/>
      <c r="Y5" s="40"/>
      <c r="Z5" s="40"/>
      <c r="AA5" s="40"/>
      <c r="AB5" s="90" t="str">
        <f>IF(X5&gt;0,SUM(X5:AA5),"")</f>
        <v/>
      </c>
      <c r="AC5" s="90" t="str">
        <f t="shared" ref="AC5:AC44" si="2">IF(AB5="","",((AB5/16)*100))</f>
        <v/>
      </c>
      <c r="AD5" s="40"/>
      <c r="AE5" s="40"/>
      <c r="AF5" s="40"/>
      <c r="AG5" s="40"/>
      <c r="AH5" s="90" t="str">
        <f>IF(AD5&gt;0,SUM(AD5:AG5),"")</f>
        <v/>
      </c>
      <c r="AI5" s="90" t="str">
        <f t="shared" ref="AI5:AI44" si="3">IF(AH5="","",((AH5/16)*100))</f>
        <v/>
      </c>
      <c r="AJ5" s="40"/>
      <c r="AK5" s="40"/>
      <c r="AL5" s="40"/>
      <c r="AM5" s="40"/>
      <c r="AN5" s="90" t="str">
        <f>IF(AJ5&gt;0,SUM(AJ5:AM5),"")</f>
        <v/>
      </c>
      <c r="AO5" s="90" t="str">
        <f t="shared" ref="AO5:AO44" si="4">IF(AN5="","",((AN5/16)*100))</f>
        <v/>
      </c>
      <c r="AP5" s="40"/>
      <c r="AQ5" s="40"/>
      <c r="AR5" s="40"/>
      <c r="AS5" s="40"/>
      <c r="AT5" s="90" t="str">
        <f>IF(AP5&gt;0,SUM(AP5:AS5),"")</f>
        <v/>
      </c>
      <c r="AU5" s="90" t="str">
        <f t="shared" ref="AU5:AU44" si="5">IF(AT5="","",((AT5/16)*100))</f>
        <v/>
      </c>
      <c r="AV5" s="40"/>
      <c r="AW5" s="40"/>
      <c r="AX5" s="40"/>
      <c r="AY5" s="40"/>
      <c r="AZ5" s="90" t="str">
        <f>IF(AV5&gt;0,SUM(AV5:AY5),"")</f>
        <v/>
      </c>
      <c r="BA5" s="90" t="str">
        <f t="shared" ref="BA5:BA44" si="6">IF(AZ5="","",((AZ5/16)*100))</f>
        <v/>
      </c>
      <c r="BB5" s="40"/>
      <c r="BC5" s="40"/>
      <c r="BD5" s="40"/>
      <c r="BE5" s="40"/>
      <c r="BF5" s="90" t="str">
        <f>IF(BB5&gt;0,SUM(BB5:BE5),"")</f>
        <v/>
      </c>
      <c r="BG5" s="90" t="str">
        <f t="shared" ref="BG5:BG44" si="7">IF(BF5="","",((BF5/16)*100))</f>
        <v/>
      </c>
      <c r="BH5" s="40"/>
      <c r="BI5" s="40"/>
      <c r="BJ5" s="40"/>
      <c r="BK5" s="40"/>
      <c r="BL5" s="90" t="str">
        <f>IF(BH5&gt;0,SUM(BH5:BK5),"")</f>
        <v/>
      </c>
      <c r="BM5" s="90" t="str">
        <f t="shared" ref="BM5:BM44" si="8">IF(BL5="","",((BL5/16)*100))</f>
        <v/>
      </c>
    </row>
    <row r="6" spans="1:65">
      <c r="A6" s="90">
        <f>'DATA SISWA'!A6</f>
        <v>2</v>
      </c>
      <c r="B6" s="90" t="str">
        <f>'DATA SISWA'!B6</f>
        <v>`008</v>
      </c>
      <c r="C6" s="90" t="str">
        <f>'DATA SISWA'!C6</f>
        <v>Achmad Buka</v>
      </c>
      <c r="D6" s="90" t="str">
        <f>'DATA SISWA'!D6</f>
        <v>L</v>
      </c>
      <c r="E6" s="90" t="str">
        <f>'DATA SISWA'!E6</f>
        <v>VII</v>
      </c>
      <c r="F6" s="40"/>
      <c r="G6" s="40"/>
      <c r="H6" s="40"/>
      <c r="I6" s="40"/>
      <c r="J6" s="90" t="str">
        <f t="shared" ref="J6:J44" si="9">IF(F6&gt;0,SUM(F6:I6),"")</f>
        <v/>
      </c>
      <c r="K6" s="90" t="str">
        <f t="shared" ref="K6:K44" si="10">IF(J6="","",((J6/16)*100))</f>
        <v/>
      </c>
      <c r="L6" s="40"/>
      <c r="M6" s="40"/>
      <c r="N6" s="40"/>
      <c r="O6" s="40"/>
      <c r="P6" s="90" t="str">
        <f t="shared" ref="P6:P44" si="11">IF(L6&gt;0,SUM(L6:O6),"")</f>
        <v/>
      </c>
      <c r="Q6" s="90" t="str">
        <f t="shared" si="0"/>
        <v/>
      </c>
      <c r="R6" s="40"/>
      <c r="S6" s="40"/>
      <c r="T6" s="40"/>
      <c r="U6" s="40"/>
      <c r="V6" s="90" t="str">
        <f t="shared" ref="V6:V44" si="12">IF(R6&gt;0,SUM(R6:U6),"")</f>
        <v/>
      </c>
      <c r="W6" s="90" t="str">
        <f t="shared" si="1"/>
        <v/>
      </c>
      <c r="X6" s="40"/>
      <c r="Y6" s="40"/>
      <c r="Z6" s="40"/>
      <c r="AA6" s="40"/>
      <c r="AB6" s="90" t="str">
        <f t="shared" ref="AB6:AB44" si="13">IF(X6&gt;0,SUM(X6:AA6),"")</f>
        <v/>
      </c>
      <c r="AC6" s="90" t="str">
        <f t="shared" si="2"/>
        <v/>
      </c>
      <c r="AD6" s="40"/>
      <c r="AE6" s="40"/>
      <c r="AF6" s="40"/>
      <c r="AG6" s="40"/>
      <c r="AH6" s="90" t="str">
        <f t="shared" ref="AH6:AH44" si="14">IF(AD6&gt;0,SUM(AD6:AG6),"")</f>
        <v/>
      </c>
      <c r="AI6" s="90" t="str">
        <f t="shared" si="3"/>
        <v/>
      </c>
      <c r="AJ6" s="40"/>
      <c r="AK6" s="40"/>
      <c r="AL6" s="40"/>
      <c r="AM6" s="40"/>
      <c r="AN6" s="90" t="str">
        <f t="shared" ref="AN6:AN44" si="15">IF(AJ6&gt;0,SUM(AJ6:AM6),"")</f>
        <v/>
      </c>
      <c r="AO6" s="90" t="str">
        <f t="shared" si="4"/>
        <v/>
      </c>
      <c r="AP6" s="40"/>
      <c r="AQ6" s="40"/>
      <c r="AR6" s="40"/>
      <c r="AS6" s="40"/>
      <c r="AT6" s="90" t="str">
        <f t="shared" ref="AT6:AT44" si="16">IF(AP6&gt;0,SUM(AP6:AS6),"")</f>
        <v/>
      </c>
      <c r="AU6" s="90" t="str">
        <f t="shared" si="5"/>
        <v/>
      </c>
      <c r="AV6" s="40"/>
      <c r="AW6" s="40"/>
      <c r="AX6" s="40"/>
      <c r="AY6" s="40"/>
      <c r="AZ6" s="90" t="str">
        <f t="shared" ref="AZ6:AZ44" si="17">IF(AV6&gt;0,SUM(AV6:AY6),"")</f>
        <v/>
      </c>
      <c r="BA6" s="90" t="str">
        <f t="shared" si="6"/>
        <v/>
      </c>
      <c r="BB6" s="40"/>
      <c r="BC6" s="40"/>
      <c r="BD6" s="40"/>
      <c r="BE6" s="40"/>
      <c r="BF6" s="90" t="str">
        <f t="shared" ref="BF6:BF44" si="18">IF(BB6&gt;0,SUM(BB6:BE6),"")</f>
        <v/>
      </c>
      <c r="BG6" s="90" t="str">
        <f t="shared" si="7"/>
        <v/>
      </c>
      <c r="BH6" s="40"/>
      <c r="BI6" s="40"/>
      <c r="BJ6" s="40"/>
      <c r="BK6" s="40"/>
      <c r="BL6" s="90" t="str">
        <f t="shared" ref="BL6:BL44" si="19">IF(BH6&gt;0,SUM(BH6:BK6),"")</f>
        <v/>
      </c>
      <c r="BM6" s="90" t="str">
        <f t="shared" si="8"/>
        <v/>
      </c>
    </row>
    <row r="7" spans="1:65">
      <c r="A7" s="90">
        <f>'DATA SISWA'!A7</f>
        <v>3</v>
      </c>
      <c r="B7" s="90" t="str">
        <f>'DATA SISWA'!B7</f>
        <v>`014</v>
      </c>
      <c r="C7" s="90" t="str">
        <f>'DATA SISWA'!C7</f>
        <v>Bunami</v>
      </c>
      <c r="D7" s="90" t="str">
        <f>'DATA SISWA'!D7</f>
        <v>P</v>
      </c>
      <c r="E7" s="90" t="str">
        <f>'DATA SISWA'!E7</f>
        <v>VII</v>
      </c>
      <c r="F7" s="40"/>
      <c r="G7" s="40"/>
      <c r="H7" s="40"/>
      <c r="I7" s="40"/>
      <c r="J7" s="90" t="str">
        <f t="shared" si="9"/>
        <v/>
      </c>
      <c r="K7" s="90" t="str">
        <f t="shared" si="10"/>
        <v/>
      </c>
      <c r="L7" s="40"/>
      <c r="M7" s="40"/>
      <c r="N7" s="40"/>
      <c r="O7" s="40"/>
      <c r="P7" s="90" t="str">
        <f t="shared" si="11"/>
        <v/>
      </c>
      <c r="Q7" s="90" t="str">
        <f t="shared" si="0"/>
        <v/>
      </c>
      <c r="R7" s="40"/>
      <c r="S7" s="40"/>
      <c r="T7" s="40"/>
      <c r="U7" s="40"/>
      <c r="V7" s="90" t="str">
        <f t="shared" si="12"/>
        <v/>
      </c>
      <c r="W7" s="90" t="str">
        <f t="shared" si="1"/>
        <v/>
      </c>
      <c r="X7" s="40"/>
      <c r="Y7" s="40"/>
      <c r="Z7" s="40"/>
      <c r="AA7" s="40"/>
      <c r="AB7" s="90" t="str">
        <f t="shared" si="13"/>
        <v/>
      </c>
      <c r="AC7" s="90" t="str">
        <f t="shared" si="2"/>
        <v/>
      </c>
      <c r="AD7" s="40"/>
      <c r="AE7" s="40"/>
      <c r="AF7" s="40"/>
      <c r="AG7" s="40"/>
      <c r="AH7" s="90" t="str">
        <f t="shared" si="14"/>
        <v/>
      </c>
      <c r="AI7" s="90" t="str">
        <f t="shared" si="3"/>
        <v/>
      </c>
      <c r="AJ7" s="40"/>
      <c r="AK7" s="40"/>
      <c r="AL7" s="40"/>
      <c r="AM7" s="40"/>
      <c r="AN7" s="90" t="str">
        <f t="shared" si="15"/>
        <v/>
      </c>
      <c r="AO7" s="90" t="str">
        <f t="shared" si="4"/>
        <v/>
      </c>
      <c r="AP7" s="40"/>
      <c r="AQ7" s="40"/>
      <c r="AR7" s="40"/>
      <c r="AS7" s="40"/>
      <c r="AT7" s="90" t="str">
        <f t="shared" si="16"/>
        <v/>
      </c>
      <c r="AU7" s="90" t="str">
        <f t="shared" si="5"/>
        <v/>
      </c>
      <c r="AV7" s="40"/>
      <c r="AW7" s="40"/>
      <c r="AX7" s="40"/>
      <c r="AY7" s="40"/>
      <c r="AZ7" s="90" t="str">
        <f t="shared" si="17"/>
        <v/>
      </c>
      <c r="BA7" s="90" t="str">
        <f t="shared" si="6"/>
        <v/>
      </c>
      <c r="BB7" s="40"/>
      <c r="BC7" s="40"/>
      <c r="BD7" s="40"/>
      <c r="BE7" s="40"/>
      <c r="BF7" s="90" t="str">
        <f t="shared" si="18"/>
        <v/>
      </c>
      <c r="BG7" s="90" t="str">
        <f t="shared" si="7"/>
        <v/>
      </c>
      <c r="BH7" s="40"/>
      <c r="BI7" s="40"/>
      <c r="BJ7" s="40"/>
      <c r="BK7" s="40"/>
      <c r="BL7" s="90" t="str">
        <f t="shared" si="19"/>
        <v/>
      </c>
      <c r="BM7" s="90" t="str">
        <f t="shared" si="8"/>
        <v/>
      </c>
    </row>
    <row r="8" spans="1:65">
      <c r="A8" s="90">
        <f>'DATA SISWA'!A8</f>
        <v>4</v>
      </c>
      <c r="B8" s="90" t="str">
        <f>'DATA SISWA'!B8</f>
        <v>`009</v>
      </c>
      <c r="C8" s="90" t="str">
        <f>'DATA SISWA'!C8</f>
        <v>Fatimatuz Zahroh</v>
      </c>
      <c r="D8" s="90" t="str">
        <f>'DATA SISWA'!D8</f>
        <v>P</v>
      </c>
      <c r="E8" s="90" t="str">
        <f>'DATA SISWA'!E8</f>
        <v>VII</v>
      </c>
      <c r="F8" s="40"/>
      <c r="G8" s="40"/>
      <c r="H8" s="40"/>
      <c r="I8" s="40"/>
      <c r="J8" s="90" t="str">
        <f t="shared" si="9"/>
        <v/>
      </c>
      <c r="K8" s="90" t="str">
        <f t="shared" si="10"/>
        <v/>
      </c>
      <c r="L8" s="40"/>
      <c r="M8" s="40"/>
      <c r="N8" s="40"/>
      <c r="O8" s="40"/>
      <c r="P8" s="90" t="str">
        <f t="shared" si="11"/>
        <v/>
      </c>
      <c r="Q8" s="90" t="str">
        <f t="shared" si="0"/>
        <v/>
      </c>
      <c r="R8" s="40"/>
      <c r="S8" s="40"/>
      <c r="T8" s="40"/>
      <c r="U8" s="40"/>
      <c r="V8" s="90" t="str">
        <f t="shared" si="12"/>
        <v/>
      </c>
      <c r="W8" s="90" t="str">
        <f t="shared" si="1"/>
        <v/>
      </c>
      <c r="X8" s="40"/>
      <c r="Y8" s="40"/>
      <c r="Z8" s="40"/>
      <c r="AA8" s="40"/>
      <c r="AB8" s="90" t="str">
        <f t="shared" si="13"/>
        <v/>
      </c>
      <c r="AC8" s="90" t="str">
        <f t="shared" si="2"/>
        <v/>
      </c>
      <c r="AD8" s="40"/>
      <c r="AE8" s="40"/>
      <c r="AF8" s="40"/>
      <c r="AG8" s="40"/>
      <c r="AH8" s="90" t="str">
        <f t="shared" si="14"/>
        <v/>
      </c>
      <c r="AI8" s="90" t="str">
        <f t="shared" si="3"/>
        <v/>
      </c>
      <c r="AJ8" s="40"/>
      <c r="AK8" s="40"/>
      <c r="AL8" s="40"/>
      <c r="AM8" s="40"/>
      <c r="AN8" s="90" t="str">
        <f t="shared" si="15"/>
        <v/>
      </c>
      <c r="AO8" s="90" t="str">
        <f t="shared" si="4"/>
        <v/>
      </c>
      <c r="AP8" s="40"/>
      <c r="AQ8" s="40"/>
      <c r="AR8" s="40"/>
      <c r="AS8" s="40"/>
      <c r="AT8" s="90" t="str">
        <f t="shared" si="16"/>
        <v/>
      </c>
      <c r="AU8" s="90" t="str">
        <f t="shared" si="5"/>
        <v/>
      </c>
      <c r="AV8" s="40"/>
      <c r="AW8" s="40"/>
      <c r="AX8" s="40"/>
      <c r="AY8" s="40"/>
      <c r="AZ8" s="90" t="str">
        <f t="shared" si="17"/>
        <v/>
      </c>
      <c r="BA8" s="90" t="str">
        <f t="shared" si="6"/>
        <v/>
      </c>
      <c r="BB8" s="40"/>
      <c r="BC8" s="40"/>
      <c r="BD8" s="40"/>
      <c r="BE8" s="40"/>
      <c r="BF8" s="90" t="str">
        <f t="shared" si="18"/>
        <v/>
      </c>
      <c r="BG8" s="90" t="str">
        <f t="shared" si="7"/>
        <v/>
      </c>
      <c r="BH8" s="40"/>
      <c r="BI8" s="40"/>
      <c r="BJ8" s="40"/>
      <c r="BK8" s="40"/>
      <c r="BL8" s="90" t="str">
        <f t="shared" si="19"/>
        <v/>
      </c>
      <c r="BM8" s="90" t="str">
        <f t="shared" si="8"/>
        <v/>
      </c>
    </row>
    <row r="9" spans="1:65">
      <c r="A9" s="90">
        <f>'DATA SISWA'!A9</f>
        <v>5</v>
      </c>
      <c r="B9" s="90" t="str">
        <f>'DATA SISWA'!B9</f>
        <v>`003</v>
      </c>
      <c r="C9" s="90" t="str">
        <f>'DATA SISWA'!C9</f>
        <v>Fitriadi</v>
      </c>
      <c r="D9" s="90" t="str">
        <f>'DATA SISWA'!D9</f>
        <v>L</v>
      </c>
      <c r="E9" s="90" t="str">
        <f>'DATA SISWA'!E9</f>
        <v>VII</v>
      </c>
      <c r="F9" s="40"/>
      <c r="G9" s="40"/>
      <c r="H9" s="40"/>
      <c r="I9" s="40"/>
      <c r="J9" s="90" t="str">
        <f t="shared" si="9"/>
        <v/>
      </c>
      <c r="K9" s="90" t="str">
        <f t="shared" si="10"/>
        <v/>
      </c>
      <c r="L9" s="40"/>
      <c r="M9" s="40"/>
      <c r="N9" s="40"/>
      <c r="O9" s="40"/>
      <c r="P9" s="90" t="str">
        <f t="shared" si="11"/>
        <v/>
      </c>
      <c r="Q9" s="90" t="str">
        <f t="shared" si="0"/>
        <v/>
      </c>
      <c r="R9" s="40"/>
      <c r="S9" s="40"/>
      <c r="T9" s="40"/>
      <c r="U9" s="40"/>
      <c r="V9" s="90" t="str">
        <f t="shared" si="12"/>
        <v/>
      </c>
      <c r="W9" s="90" t="str">
        <f t="shared" si="1"/>
        <v/>
      </c>
      <c r="X9" s="40"/>
      <c r="Y9" s="40"/>
      <c r="Z9" s="40"/>
      <c r="AA9" s="40"/>
      <c r="AB9" s="90" t="str">
        <f t="shared" si="13"/>
        <v/>
      </c>
      <c r="AC9" s="90" t="str">
        <f t="shared" si="2"/>
        <v/>
      </c>
      <c r="AD9" s="40"/>
      <c r="AE9" s="40"/>
      <c r="AF9" s="40"/>
      <c r="AG9" s="40"/>
      <c r="AH9" s="90" t="str">
        <f t="shared" si="14"/>
        <v/>
      </c>
      <c r="AI9" s="90" t="str">
        <f t="shared" si="3"/>
        <v/>
      </c>
      <c r="AJ9" s="40"/>
      <c r="AK9" s="40"/>
      <c r="AL9" s="40"/>
      <c r="AM9" s="40"/>
      <c r="AN9" s="90" t="str">
        <f t="shared" si="15"/>
        <v/>
      </c>
      <c r="AO9" s="90" t="str">
        <f t="shared" si="4"/>
        <v/>
      </c>
      <c r="AP9" s="40"/>
      <c r="AQ9" s="40"/>
      <c r="AR9" s="40"/>
      <c r="AS9" s="40"/>
      <c r="AT9" s="90" t="str">
        <f t="shared" si="16"/>
        <v/>
      </c>
      <c r="AU9" s="90" t="str">
        <f t="shared" si="5"/>
        <v/>
      </c>
      <c r="AV9" s="40"/>
      <c r="AW9" s="40"/>
      <c r="AX9" s="40"/>
      <c r="AY9" s="40"/>
      <c r="AZ9" s="90" t="str">
        <f t="shared" si="17"/>
        <v/>
      </c>
      <c r="BA9" s="90" t="str">
        <f t="shared" si="6"/>
        <v/>
      </c>
      <c r="BB9" s="40"/>
      <c r="BC9" s="40"/>
      <c r="BD9" s="40"/>
      <c r="BE9" s="40"/>
      <c r="BF9" s="90" t="str">
        <f t="shared" si="18"/>
        <v/>
      </c>
      <c r="BG9" s="90" t="str">
        <f t="shared" si="7"/>
        <v/>
      </c>
      <c r="BH9" s="40"/>
      <c r="BI9" s="40"/>
      <c r="BJ9" s="40"/>
      <c r="BK9" s="40"/>
      <c r="BL9" s="90" t="str">
        <f t="shared" si="19"/>
        <v/>
      </c>
      <c r="BM9" s="90" t="str">
        <f t="shared" si="8"/>
        <v/>
      </c>
    </row>
    <row r="10" spans="1:65">
      <c r="A10" s="90">
        <f>'DATA SISWA'!A10</f>
        <v>6</v>
      </c>
      <c r="B10" s="90" t="str">
        <f>'DATA SISWA'!B10</f>
        <v>`006</v>
      </c>
      <c r="C10" s="90" t="str">
        <f>'DATA SISWA'!C10</f>
        <v>Homsiyah</v>
      </c>
      <c r="D10" s="90" t="str">
        <f>'DATA SISWA'!D10</f>
        <v>P</v>
      </c>
      <c r="E10" s="90" t="str">
        <f>'DATA SISWA'!E10</f>
        <v>VII</v>
      </c>
      <c r="F10" s="40"/>
      <c r="G10" s="40"/>
      <c r="H10" s="40"/>
      <c r="I10" s="40"/>
      <c r="J10" s="90" t="str">
        <f t="shared" si="9"/>
        <v/>
      </c>
      <c r="K10" s="90" t="str">
        <f t="shared" si="10"/>
        <v/>
      </c>
      <c r="L10" s="40"/>
      <c r="M10" s="40"/>
      <c r="N10" s="40"/>
      <c r="O10" s="40"/>
      <c r="P10" s="90" t="str">
        <f t="shared" si="11"/>
        <v/>
      </c>
      <c r="Q10" s="90" t="str">
        <f t="shared" si="0"/>
        <v/>
      </c>
      <c r="R10" s="40"/>
      <c r="S10" s="40"/>
      <c r="T10" s="40"/>
      <c r="U10" s="40"/>
      <c r="V10" s="90" t="str">
        <f t="shared" si="12"/>
        <v/>
      </c>
      <c r="W10" s="90" t="str">
        <f t="shared" si="1"/>
        <v/>
      </c>
      <c r="X10" s="40"/>
      <c r="Y10" s="40"/>
      <c r="Z10" s="40"/>
      <c r="AA10" s="40"/>
      <c r="AB10" s="90" t="str">
        <f t="shared" si="13"/>
        <v/>
      </c>
      <c r="AC10" s="90" t="str">
        <f t="shared" si="2"/>
        <v/>
      </c>
      <c r="AD10" s="40"/>
      <c r="AE10" s="40"/>
      <c r="AF10" s="40"/>
      <c r="AG10" s="40"/>
      <c r="AH10" s="90" t="str">
        <f t="shared" si="14"/>
        <v/>
      </c>
      <c r="AI10" s="90" t="str">
        <f t="shared" si="3"/>
        <v/>
      </c>
      <c r="AJ10" s="40"/>
      <c r="AK10" s="40"/>
      <c r="AL10" s="40"/>
      <c r="AM10" s="40"/>
      <c r="AN10" s="90" t="str">
        <f t="shared" si="15"/>
        <v/>
      </c>
      <c r="AO10" s="90" t="str">
        <f t="shared" si="4"/>
        <v/>
      </c>
      <c r="AP10" s="40"/>
      <c r="AQ10" s="40"/>
      <c r="AR10" s="40"/>
      <c r="AS10" s="40"/>
      <c r="AT10" s="90" t="str">
        <f t="shared" si="16"/>
        <v/>
      </c>
      <c r="AU10" s="90" t="str">
        <f t="shared" si="5"/>
        <v/>
      </c>
      <c r="AV10" s="40"/>
      <c r="AW10" s="40"/>
      <c r="AX10" s="40"/>
      <c r="AY10" s="40"/>
      <c r="AZ10" s="90" t="str">
        <f t="shared" si="17"/>
        <v/>
      </c>
      <c r="BA10" s="90" t="str">
        <f t="shared" si="6"/>
        <v/>
      </c>
      <c r="BB10" s="40"/>
      <c r="BC10" s="40"/>
      <c r="BD10" s="40"/>
      <c r="BE10" s="40"/>
      <c r="BF10" s="90" t="str">
        <f t="shared" si="18"/>
        <v/>
      </c>
      <c r="BG10" s="90" t="str">
        <f t="shared" si="7"/>
        <v/>
      </c>
      <c r="BH10" s="40"/>
      <c r="BI10" s="40"/>
      <c r="BJ10" s="40"/>
      <c r="BK10" s="40"/>
      <c r="BL10" s="90" t="str">
        <f t="shared" si="19"/>
        <v/>
      </c>
      <c r="BM10" s="90" t="str">
        <f t="shared" si="8"/>
        <v/>
      </c>
    </row>
    <row r="11" spans="1:65">
      <c r="A11" s="90">
        <f>'DATA SISWA'!A11</f>
        <v>7</v>
      </c>
      <c r="B11" s="90" t="str">
        <f>'DATA SISWA'!B11</f>
        <v>`002</v>
      </c>
      <c r="C11" s="90" t="str">
        <f>'DATA SISWA'!C11</f>
        <v>Insiyah</v>
      </c>
      <c r="D11" s="90" t="str">
        <f>'DATA SISWA'!D11</f>
        <v>P</v>
      </c>
      <c r="E11" s="90" t="str">
        <f>'DATA SISWA'!E11</f>
        <v>VII</v>
      </c>
      <c r="F11" s="40"/>
      <c r="G11" s="40"/>
      <c r="H11" s="40"/>
      <c r="I11" s="40"/>
      <c r="J11" s="90" t="str">
        <f t="shared" si="9"/>
        <v/>
      </c>
      <c r="K11" s="90" t="str">
        <f t="shared" si="10"/>
        <v/>
      </c>
      <c r="L11" s="40"/>
      <c r="M11" s="40"/>
      <c r="N11" s="40"/>
      <c r="O11" s="40"/>
      <c r="P11" s="90" t="str">
        <f t="shared" si="11"/>
        <v/>
      </c>
      <c r="Q11" s="90" t="str">
        <f t="shared" si="0"/>
        <v/>
      </c>
      <c r="R11" s="40"/>
      <c r="S11" s="40"/>
      <c r="T11" s="40"/>
      <c r="U11" s="40"/>
      <c r="V11" s="90" t="str">
        <f t="shared" si="12"/>
        <v/>
      </c>
      <c r="W11" s="90" t="str">
        <f t="shared" si="1"/>
        <v/>
      </c>
      <c r="X11" s="40"/>
      <c r="Y11" s="40"/>
      <c r="Z11" s="40"/>
      <c r="AA11" s="40"/>
      <c r="AB11" s="90" t="str">
        <f t="shared" si="13"/>
        <v/>
      </c>
      <c r="AC11" s="90" t="str">
        <f t="shared" si="2"/>
        <v/>
      </c>
      <c r="AD11" s="40"/>
      <c r="AE11" s="40"/>
      <c r="AF11" s="40"/>
      <c r="AG11" s="40"/>
      <c r="AH11" s="90" t="str">
        <f t="shared" si="14"/>
        <v/>
      </c>
      <c r="AI11" s="90" t="str">
        <f t="shared" si="3"/>
        <v/>
      </c>
      <c r="AJ11" s="40"/>
      <c r="AK11" s="40"/>
      <c r="AL11" s="40"/>
      <c r="AM11" s="40"/>
      <c r="AN11" s="90" t="str">
        <f t="shared" si="15"/>
        <v/>
      </c>
      <c r="AO11" s="90" t="str">
        <f t="shared" si="4"/>
        <v/>
      </c>
      <c r="AP11" s="40"/>
      <c r="AQ11" s="40"/>
      <c r="AR11" s="40"/>
      <c r="AS11" s="40"/>
      <c r="AT11" s="90" t="str">
        <f t="shared" si="16"/>
        <v/>
      </c>
      <c r="AU11" s="90" t="str">
        <f t="shared" si="5"/>
        <v/>
      </c>
      <c r="AV11" s="40"/>
      <c r="AW11" s="40"/>
      <c r="AX11" s="40"/>
      <c r="AY11" s="40"/>
      <c r="AZ11" s="90" t="str">
        <f t="shared" si="17"/>
        <v/>
      </c>
      <c r="BA11" s="90" t="str">
        <f t="shared" si="6"/>
        <v/>
      </c>
      <c r="BB11" s="40"/>
      <c r="BC11" s="40"/>
      <c r="BD11" s="40"/>
      <c r="BE11" s="40"/>
      <c r="BF11" s="90" t="str">
        <f t="shared" si="18"/>
        <v/>
      </c>
      <c r="BG11" s="90" t="str">
        <f t="shared" si="7"/>
        <v/>
      </c>
      <c r="BH11" s="40"/>
      <c r="BI11" s="40"/>
      <c r="BJ11" s="40"/>
      <c r="BK11" s="40"/>
      <c r="BL11" s="90" t="str">
        <f t="shared" si="19"/>
        <v/>
      </c>
      <c r="BM11" s="90" t="str">
        <f t="shared" si="8"/>
        <v/>
      </c>
    </row>
    <row r="12" spans="1:65">
      <c r="A12" s="90">
        <f>'DATA SISWA'!A12</f>
        <v>8</v>
      </c>
      <c r="B12" s="90" t="str">
        <f>'DATA SISWA'!B12</f>
        <v>`010</v>
      </c>
      <c r="C12" s="90" t="str">
        <f>'DATA SISWA'!C12</f>
        <v>Saiful Jamil</v>
      </c>
      <c r="D12" s="90" t="str">
        <f>'DATA SISWA'!D12</f>
        <v>L</v>
      </c>
      <c r="E12" s="90" t="str">
        <f>'DATA SISWA'!E12</f>
        <v>VII</v>
      </c>
      <c r="F12" s="40"/>
      <c r="G12" s="40"/>
      <c r="H12" s="40"/>
      <c r="I12" s="40"/>
      <c r="J12" s="90" t="str">
        <f t="shared" si="9"/>
        <v/>
      </c>
      <c r="K12" s="90" t="str">
        <f t="shared" si="10"/>
        <v/>
      </c>
      <c r="L12" s="40"/>
      <c r="M12" s="40"/>
      <c r="N12" s="40"/>
      <c r="O12" s="40"/>
      <c r="P12" s="90" t="str">
        <f t="shared" si="11"/>
        <v/>
      </c>
      <c r="Q12" s="90" t="str">
        <f t="shared" si="0"/>
        <v/>
      </c>
      <c r="R12" s="40"/>
      <c r="S12" s="40"/>
      <c r="T12" s="40"/>
      <c r="U12" s="40"/>
      <c r="V12" s="90" t="str">
        <f t="shared" si="12"/>
        <v/>
      </c>
      <c r="W12" s="90" t="str">
        <f t="shared" si="1"/>
        <v/>
      </c>
      <c r="X12" s="40"/>
      <c r="Y12" s="40"/>
      <c r="Z12" s="40"/>
      <c r="AA12" s="40"/>
      <c r="AB12" s="90" t="str">
        <f t="shared" si="13"/>
        <v/>
      </c>
      <c r="AC12" s="90" t="str">
        <f t="shared" si="2"/>
        <v/>
      </c>
      <c r="AD12" s="40"/>
      <c r="AE12" s="40"/>
      <c r="AF12" s="40"/>
      <c r="AG12" s="40"/>
      <c r="AH12" s="90" t="str">
        <f t="shared" si="14"/>
        <v/>
      </c>
      <c r="AI12" s="90" t="str">
        <f t="shared" si="3"/>
        <v/>
      </c>
      <c r="AJ12" s="40"/>
      <c r="AK12" s="40"/>
      <c r="AL12" s="40"/>
      <c r="AM12" s="40"/>
      <c r="AN12" s="90" t="str">
        <f t="shared" si="15"/>
        <v/>
      </c>
      <c r="AO12" s="90" t="str">
        <f t="shared" si="4"/>
        <v/>
      </c>
      <c r="AP12" s="40"/>
      <c r="AQ12" s="40"/>
      <c r="AR12" s="40"/>
      <c r="AS12" s="40"/>
      <c r="AT12" s="90" t="str">
        <f t="shared" si="16"/>
        <v/>
      </c>
      <c r="AU12" s="90" t="str">
        <f t="shared" si="5"/>
        <v/>
      </c>
      <c r="AV12" s="40"/>
      <c r="AW12" s="40"/>
      <c r="AX12" s="40"/>
      <c r="AY12" s="40"/>
      <c r="AZ12" s="90" t="str">
        <f t="shared" si="17"/>
        <v/>
      </c>
      <c r="BA12" s="90" t="str">
        <f t="shared" si="6"/>
        <v/>
      </c>
      <c r="BB12" s="40"/>
      <c r="BC12" s="40"/>
      <c r="BD12" s="40"/>
      <c r="BE12" s="40"/>
      <c r="BF12" s="90" t="str">
        <f t="shared" si="18"/>
        <v/>
      </c>
      <c r="BG12" s="90" t="str">
        <f t="shared" si="7"/>
        <v/>
      </c>
      <c r="BH12" s="40"/>
      <c r="BI12" s="40"/>
      <c r="BJ12" s="40"/>
      <c r="BK12" s="40"/>
      <c r="BL12" s="90" t="str">
        <f t="shared" si="19"/>
        <v/>
      </c>
      <c r="BM12" s="90" t="str">
        <f t="shared" si="8"/>
        <v/>
      </c>
    </row>
    <row r="13" spans="1:65">
      <c r="A13" s="90">
        <f>'DATA SISWA'!A13</f>
        <v>9</v>
      </c>
      <c r="B13" s="90" t="str">
        <f>'DATA SISWA'!B13</f>
        <v>`011</v>
      </c>
      <c r="C13" s="90" t="str">
        <f>'DATA SISWA'!C13</f>
        <v>Khusnun Nisa</v>
      </c>
      <c r="D13" s="90" t="str">
        <f>'DATA SISWA'!D13</f>
        <v>P</v>
      </c>
      <c r="E13" s="90" t="str">
        <f>'DATA SISWA'!E13</f>
        <v>VII</v>
      </c>
      <c r="F13" s="40"/>
      <c r="G13" s="40"/>
      <c r="H13" s="40"/>
      <c r="I13" s="40"/>
      <c r="J13" s="90" t="str">
        <f t="shared" si="9"/>
        <v/>
      </c>
      <c r="K13" s="90" t="str">
        <f t="shared" si="10"/>
        <v/>
      </c>
      <c r="L13" s="40"/>
      <c r="M13" s="40"/>
      <c r="N13" s="40"/>
      <c r="O13" s="40"/>
      <c r="P13" s="90" t="str">
        <f t="shared" si="11"/>
        <v/>
      </c>
      <c r="Q13" s="90" t="str">
        <f t="shared" si="0"/>
        <v/>
      </c>
      <c r="R13" s="40"/>
      <c r="S13" s="40"/>
      <c r="T13" s="40"/>
      <c r="U13" s="40"/>
      <c r="V13" s="90" t="str">
        <f t="shared" si="12"/>
        <v/>
      </c>
      <c r="W13" s="90" t="str">
        <f t="shared" si="1"/>
        <v/>
      </c>
      <c r="X13" s="40"/>
      <c r="Y13" s="40"/>
      <c r="Z13" s="40"/>
      <c r="AA13" s="40"/>
      <c r="AB13" s="90" t="str">
        <f t="shared" si="13"/>
        <v/>
      </c>
      <c r="AC13" s="90" t="str">
        <f t="shared" si="2"/>
        <v/>
      </c>
      <c r="AD13" s="40"/>
      <c r="AE13" s="40"/>
      <c r="AF13" s="40"/>
      <c r="AG13" s="40"/>
      <c r="AH13" s="90" t="str">
        <f t="shared" si="14"/>
        <v/>
      </c>
      <c r="AI13" s="90" t="str">
        <f t="shared" si="3"/>
        <v/>
      </c>
      <c r="AJ13" s="40"/>
      <c r="AK13" s="40"/>
      <c r="AL13" s="40"/>
      <c r="AM13" s="40"/>
      <c r="AN13" s="90" t="str">
        <f t="shared" si="15"/>
        <v/>
      </c>
      <c r="AO13" s="90" t="str">
        <f t="shared" si="4"/>
        <v/>
      </c>
      <c r="AP13" s="40"/>
      <c r="AQ13" s="40"/>
      <c r="AR13" s="40"/>
      <c r="AS13" s="40"/>
      <c r="AT13" s="90" t="str">
        <f t="shared" si="16"/>
        <v/>
      </c>
      <c r="AU13" s="90" t="str">
        <f t="shared" si="5"/>
        <v/>
      </c>
      <c r="AV13" s="40"/>
      <c r="AW13" s="40"/>
      <c r="AX13" s="40"/>
      <c r="AY13" s="40"/>
      <c r="AZ13" s="90" t="str">
        <f t="shared" si="17"/>
        <v/>
      </c>
      <c r="BA13" s="90" t="str">
        <f t="shared" si="6"/>
        <v/>
      </c>
      <c r="BB13" s="40"/>
      <c r="BC13" s="40"/>
      <c r="BD13" s="40"/>
      <c r="BE13" s="40"/>
      <c r="BF13" s="90" t="str">
        <f t="shared" si="18"/>
        <v/>
      </c>
      <c r="BG13" s="90" t="str">
        <f t="shared" si="7"/>
        <v/>
      </c>
      <c r="BH13" s="40"/>
      <c r="BI13" s="40"/>
      <c r="BJ13" s="40"/>
      <c r="BK13" s="40"/>
      <c r="BL13" s="90" t="str">
        <f t="shared" si="19"/>
        <v/>
      </c>
      <c r="BM13" s="90" t="str">
        <f t="shared" si="8"/>
        <v/>
      </c>
    </row>
    <row r="14" spans="1:65">
      <c r="A14" s="90">
        <f>'DATA SISWA'!A14</f>
        <v>10</v>
      </c>
      <c r="B14" s="90" t="str">
        <f>'DATA SISWA'!B14</f>
        <v>`005</v>
      </c>
      <c r="C14" s="90" t="str">
        <f>'DATA SISWA'!C14</f>
        <v>Komariyah</v>
      </c>
      <c r="D14" s="90" t="str">
        <f>'DATA SISWA'!D14</f>
        <v>P</v>
      </c>
      <c r="E14" s="90" t="str">
        <f>'DATA SISWA'!E14</f>
        <v>VII</v>
      </c>
      <c r="F14" s="40"/>
      <c r="G14" s="40"/>
      <c r="H14" s="40"/>
      <c r="I14" s="40"/>
      <c r="J14" s="90" t="str">
        <f t="shared" si="9"/>
        <v/>
      </c>
      <c r="K14" s="90" t="str">
        <f t="shared" si="10"/>
        <v/>
      </c>
      <c r="L14" s="40"/>
      <c r="M14" s="40"/>
      <c r="N14" s="40"/>
      <c r="O14" s="40"/>
      <c r="P14" s="90" t="str">
        <f t="shared" si="11"/>
        <v/>
      </c>
      <c r="Q14" s="90" t="str">
        <f t="shared" si="0"/>
        <v/>
      </c>
      <c r="R14" s="40"/>
      <c r="S14" s="40"/>
      <c r="T14" s="40"/>
      <c r="U14" s="40"/>
      <c r="V14" s="90" t="str">
        <f t="shared" si="12"/>
        <v/>
      </c>
      <c r="W14" s="90" t="str">
        <f t="shared" si="1"/>
        <v/>
      </c>
      <c r="X14" s="40"/>
      <c r="Y14" s="40"/>
      <c r="Z14" s="40"/>
      <c r="AA14" s="40"/>
      <c r="AB14" s="90" t="str">
        <f t="shared" si="13"/>
        <v/>
      </c>
      <c r="AC14" s="90" t="str">
        <f t="shared" si="2"/>
        <v/>
      </c>
      <c r="AD14" s="40"/>
      <c r="AE14" s="40"/>
      <c r="AF14" s="40"/>
      <c r="AG14" s="40"/>
      <c r="AH14" s="90" t="str">
        <f t="shared" si="14"/>
        <v/>
      </c>
      <c r="AI14" s="90" t="str">
        <f t="shared" si="3"/>
        <v/>
      </c>
      <c r="AJ14" s="40"/>
      <c r="AK14" s="40"/>
      <c r="AL14" s="40"/>
      <c r="AM14" s="40"/>
      <c r="AN14" s="90" t="str">
        <f t="shared" si="15"/>
        <v/>
      </c>
      <c r="AO14" s="90" t="str">
        <f t="shared" si="4"/>
        <v/>
      </c>
      <c r="AP14" s="40"/>
      <c r="AQ14" s="40"/>
      <c r="AR14" s="40"/>
      <c r="AS14" s="40"/>
      <c r="AT14" s="90" t="str">
        <f t="shared" si="16"/>
        <v/>
      </c>
      <c r="AU14" s="90" t="str">
        <f t="shared" si="5"/>
        <v/>
      </c>
      <c r="AV14" s="40"/>
      <c r="AW14" s="40"/>
      <c r="AX14" s="40"/>
      <c r="AY14" s="40"/>
      <c r="AZ14" s="90" t="str">
        <f t="shared" si="17"/>
        <v/>
      </c>
      <c r="BA14" s="90" t="str">
        <f t="shared" si="6"/>
        <v/>
      </c>
      <c r="BB14" s="40"/>
      <c r="BC14" s="40"/>
      <c r="BD14" s="40"/>
      <c r="BE14" s="40"/>
      <c r="BF14" s="90" t="str">
        <f t="shared" si="18"/>
        <v/>
      </c>
      <c r="BG14" s="90" t="str">
        <f t="shared" si="7"/>
        <v/>
      </c>
      <c r="BH14" s="40"/>
      <c r="BI14" s="40"/>
      <c r="BJ14" s="40"/>
      <c r="BK14" s="40"/>
      <c r="BL14" s="90" t="str">
        <f t="shared" si="19"/>
        <v/>
      </c>
      <c r="BM14" s="90" t="str">
        <f t="shared" si="8"/>
        <v/>
      </c>
    </row>
    <row r="15" spans="1:65">
      <c r="A15" s="90">
        <f>'DATA SISWA'!A15</f>
        <v>11</v>
      </c>
      <c r="B15" s="90" t="str">
        <f>'DATA SISWA'!B15</f>
        <v>`013</v>
      </c>
      <c r="C15" s="90" t="str">
        <f>'DATA SISWA'!C15</f>
        <v>Latifah</v>
      </c>
      <c r="D15" s="90" t="str">
        <f>'DATA SISWA'!D15</f>
        <v>P</v>
      </c>
      <c r="E15" s="90" t="str">
        <f>'DATA SISWA'!E15</f>
        <v>VII</v>
      </c>
      <c r="F15" s="40"/>
      <c r="G15" s="40"/>
      <c r="H15" s="40"/>
      <c r="I15" s="40"/>
      <c r="J15" s="90" t="str">
        <f t="shared" si="9"/>
        <v/>
      </c>
      <c r="K15" s="90" t="str">
        <f t="shared" si="10"/>
        <v/>
      </c>
      <c r="L15" s="40"/>
      <c r="M15" s="40"/>
      <c r="N15" s="40"/>
      <c r="O15" s="40"/>
      <c r="P15" s="90" t="str">
        <f t="shared" si="11"/>
        <v/>
      </c>
      <c r="Q15" s="90" t="str">
        <f t="shared" si="0"/>
        <v/>
      </c>
      <c r="R15" s="40"/>
      <c r="S15" s="40"/>
      <c r="T15" s="40"/>
      <c r="U15" s="40"/>
      <c r="V15" s="90" t="str">
        <f t="shared" si="12"/>
        <v/>
      </c>
      <c r="W15" s="90" t="str">
        <f t="shared" si="1"/>
        <v/>
      </c>
      <c r="X15" s="40"/>
      <c r="Y15" s="40"/>
      <c r="Z15" s="40"/>
      <c r="AA15" s="40"/>
      <c r="AB15" s="90" t="str">
        <f t="shared" si="13"/>
        <v/>
      </c>
      <c r="AC15" s="90" t="str">
        <f t="shared" si="2"/>
        <v/>
      </c>
      <c r="AD15" s="40"/>
      <c r="AE15" s="40"/>
      <c r="AF15" s="40"/>
      <c r="AG15" s="40"/>
      <c r="AH15" s="90" t="str">
        <f t="shared" si="14"/>
        <v/>
      </c>
      <c r="AI15" s="90" t="str">
        <f t="shared" si="3"/>
        <v/>
      </c>
      <c r="AJ15" s="40"/>
      <c r="AK15" s="40"/>
      <c r="AL15" s="40"/>
      <c r="AM15" s="40"/>
      <c r="AN15" s="90" t="str">
        <f t="shared" si="15"/>
        <v/>
      </c>
      <c r="AO15" s="90" t="str">
        <f t="shared" si="4"/>
        <v/>
      </c>
      <c r="AP15" s="40"/>
      <c r="AQ15" s="40"/>
      <c r="AR15" s="40"/>
      <c r="AS15" s="40"/>
      <c r="AT15" s="90" t="str">
        <f t="shared" si="16"/>
        <v/>
      </c>
      <c r="AU15" s="90" t="str">
        <f t="shared" si="5"/>
        <v/>
      </c>
      <c r="AV15" s="40"/>
      <c r="AW15" s="40"/>
      <c r="AX15" s="40"/>
      <c r="AY15" s="40"/>
      <c r="AZ15" s="90" t="str">
        <f t="shared" si="17"/>
        <v/>
      </c>
      <c r="BA15" s="90" t="str">
        <f t="shared" si="6"/>
        <v/>
      </c>
      <c r="BB15" s="40"/>
      <c r="BC15" s="40"/>
      <c r="BD15" s="40"/>
      <c r="BE15" s="40"/>
      <c r="BF15" s="90" t="str">
        <f t="shared" si="18"/>
        <v/>
      </c>
      <c r="BG15" s="90" t="str">
        <f t="shared" si="7"/>
        <v/>
      </c>
      <c r="BH15" s="40"/>
      <c r="BI15" s="40"/>
      <c r="BJ15" s="40"/>
      <c r="BK15" s="40"/>
      <c r="BL15" s="90" t="str">
        <f t="shared" si="19"/>
        <v/>
      </c>
      <c r="BM15" s="90" t="str">
        <f t="shared" si="8"/>
        <v/>
      </c>
    </row>
    <row r="16" spans="1:65">
      <c r="A16" s="90">
        <f>'DATA SISWA'!A16</f>
        <v>12</v>
      </c>
      <c r="B16" s="90" t="str">
        <f>'DATA SISWA'!B16</f>
        <v>`018</v>
      </c>
      <c r="C16" s="90" t="str">
        <f>'DATA SISWA'!C16</f>
        <v>Maya</v>
      </c>
      <c r="D16" s="90" t="str">
        <f>'DATA SISWA'!D16</f>
        <v>P</v>
      </c>
      <c r="E16" s="90" t="str">
        <f>'DATA SISWA'!E16</f>
        <v>VII</v>
      </c>
      <c r="F16" s="40"/>
      <c r="G16" s="40"/>
      <c r="H16" s="40"/>
      <c r="I16" s="40"/>
      <c r="J16" s="90" t="str">
        <f t="shared" si="9"/>
        <v/>
      </c>
      <c r="K16" s="90" t="str">
        <f t="shared" si="10"/>
        <v/>
      </c>
      <c r="L16" s="40"/>
      <c r="M16" s="40"/>
      <c r="N16" s="40"/>
      <c r="O16" s="40"/>
      <c r="P16" s="90" t="str">
        <f t="shared" si="11"/>
        <v/>
      </c>
      <c r="Q16" s="90" t="str">
        <f t="shared" si="0"/>
        <v/>
      </c>
      <c r="R16" s="40"/>
      <c r="S16" s="40"/>
      <c r="T16" s="40"/>
      <c r="U16" s="40"/>
      <c r="V16" s="90" t="str">
        <f t="shared" si="12"/>
        <v/>
      </c>
      <c r="W16" s="90" t="str">
        <f t="shared" si="1"/>
        <v/>
      </c>
      <c r="X16" s="40"/>
      <c r="Y16" s="40"/>
      <c r="Z16" s="40"/>
      <c r="AA16" s="40"/>
      <c r="AB16" s="90" t="str">
        <f t="shared" si="13"/>
        <v/>
      </c>
      <c r="AC16" s="90" t="str">
        <f t="shared" si="2"/>
        <v/>
      </c>
      <c r="AD16" s="40"/>
      <c r="AE16" s="40"/>
      <c r="AF16" s="40"/>
      <c r="AG16" s="40"/>
      <c r="AH16" s="90" t="str">
        <f t="shared" si="14"/>
        <v/>
      </c>
      <c r="AI16" s="90" t="str">
        <f t="shared" si="3"/>
        <v/>
      </c>
      <c r="AJ16" s="40"/>
      <c r="AK16" s="40"/>
      <c r="AL16" s="40"/>
      <c r="AM16" s="40"/>
      <c r="AN16" s="90" t="str">
        <f t="shared" si="15"/>
        <v/>
      </c>
      <c r="AO16" s="90" t="str">
        <f t="shared" si="4"/>
        <v/>
      </c>
      <c r="AP16" s="40"/>
      <c r="AQ16" s="40"/>
      <c r="AR16" s="40"/>
      <c r="AS16" s="40"/>
      <c r="AT16" s="90" t="str">
        <f t="shared" si="16"/>
        <v/>
      </c>
      <c r="AU16" s="90" t="str">
        <f t="shared" si="5"/>
        <v/>
      </c>
      <c r="AV16" s="40"/>
      <c r="AW16" s="40"/>
      <c r="AX16" s="40"/>
      <c r="AY16" s="40"/>
      <c r="AZ16" s="90" t="str">
        <f t="shared" si="17"/>
        <v/>
      </c>
      <c r="BA16" s="90" t="str">
        <f t="shared" si="6"/>
        <v/>
      </c>
      <c r="BB16" s="40"/>
      <c r="BC16" s="40"/>
      <c r="BD16" s="40"/>
      <c r="BE16" s="40"/>
      <c r="BF16" s="90" t="str">
        <f t="shared" si="18"/>
        <v/>
      </c>
      <c r="BG16" s="90" t="str">
        <f t="shared" si="7"/>
        <v/>
      </c>
      <c r="BH16" s="40"/>
      <c r="BI16" s="40"/>
      <c r="BJ16" s="40"/>
      <c r="BK16" s="40"/>
      <c r="BL16" s="90" t="str">
        <f t="shared" si="19"/>
        <v/>
      </c>
      <c r="BM16" s="90" t="str">
        <f t="shared" si="8"/>
        <v/>
      </c>
    </row>
    <row r="17" spans="1:65">
      <c r="A17" s="90">
        <f>'DATA SISWA'!A17</f>
        <v>13</v>
      </c>
      <c r="B17" s="90" t="str">
        <f>'DATA SISWA'!B17</f>
        <v>`016</v>
      </c>
      <c r="C17" s="90" t="str">
        <f>'DATA SISWA'!C17</f>
        <v>Ma`ruf</v>
      </c>
      <c r="D17" s="90" t="str">
        <f>'DATA SISWA'!D17</f>
        <v>L</v>
      </c>
      <c r="E17" s="90" t="str">
        <f>'DATA SISWA'!E17</f>
        <v>VII</v>
      </c>
      <c r="F17" s="40"/>
      <c r="G17" s="40"/>
      <c r="H17" s="40"/>
      <c r="I17" s="40"/>
      <c r="J17" s="90" t="str">
        <f t="shared" si="9"/>
        <v/>
      </c>
      <c r="K17" s="90" t="str">
        <f t="shared" si="10"/>
        <v/>
      </c>
      <c r="L17" s="40"/>
      <c r="M17" s="40"/>
      <c r="N17" s="40"/>
      <c r="O17" s="40"/>
      <c r="P17" s="90" t="str">
        <f t="shared" si="11"/>
        <v/>
      </c>
      <c r="Q17" s="90" t="str">
        <f t="shared" si="0"/>
        <v/>
      </c>
      <c r="R17" s="40"/>
      <c r="S17" s="40"/>
      <c r="T17" s="40"/>
      <c r="U17" s="40"/>
      <c r="V17" s="90" t="str">
        <f t="shared" si="12"/>
        <v/>
      </c>
      <c r="W17" s="90" t="str">
        <f t="shared" si="1"/>
        <v/>
      </c>
      <c r="X17" s="40"/>
      <c r="Y17" s="40"/>
      <c r="Z17" s="40"/>
      <c r="AA17" s="40"/>
      <c r="AB17" s="90" t="str">
        <f t="shared" si="13"/>
        <v/>
      </c>
      <c r="AC17" s="90" t="str">
        <f t="shared" si="2"/>
        <v/>
      </c>
      <c r="AD17" s="40"/>
      <c r="AE17" s="40"/>
      <c r="AF17" s="40"/>
      <c r="AG17" s="40"/>
      <c r="AH17" s="90" t="str">
        <f t="shared" si="14"/>
        <v/>
      </c>
      <c r="AI17" s="90" t="str">
        <f t="shared" si="3"/>
        <v/>
      </c>
      <c r="AJ17" s="40"/>
      <c r="AK17" s="40"/>
      <c r="AL17" s="40"/>
      <c r="AM17" s="40"/>
      <c r="AN17" s="90" t="str">
        <f t="shared" si="15"/>
        <v/>
      </c>
      <c r="AO17" s="90" t="str">
        <f t="shared" si="4"/>
        <v/>
      </c>
      <c r="AP17" s="40"/>
      <c r="AQ17" s="40"/>
      <c r="AR17" s="40"/>
      <c r="AS17" s="40"/>
      <c r="AT17" s="90" t="str">
        <f t="shared" si="16"/>
        <v/>
      </c>
      <c r="AU17" s="90" t="str">
        <f t="shared" si="5"/>
        <v/>
      </c>
      <c r="AV17" s="40"/>
      <c r="AW17" s="40"/>
      <c r="AX17" s="40"/>
      <c r="AY17" s="40"/>
      <c r="AZ17" s="90" t="str">
        <f t="shared" si="17"/>
        <v/>
      </c>
      <c r="BA17" s="90" t="str">
        <f t="shared" si="6"/>
        <v/>
      </c>
      <c r="BB17" s="40"/>
      <c r="BC17" s="40"/>
      <c r="BD17" s="40"/>
      <c r="BE17" s="40"/>
      <c r="BF17" s="90" t="str">
        <f t="shared" si="18"/>
        <v/>
      </c>
      <c r="BG17" s="90" t="str">
        <f t="shared" si="7"/>
        <v/>
      </c>
      <c r="BH17" s="40"/>
      <c r="BI17" s="40"/>
      <c r="BJ17" s="40"/>
      <c r="BK17" s="40"/>
      <c r="BL17" s="90" t="str">
        <f t="shared" si="19"/>
        <v/>
      </c>
      <c r="BM17" s="90" t="str">
        <f t="shared" si="8"/>
        <v/>
      </c>
    </row>
    <row r="18" spans="1:65">
      <c r="A18" s="90">
        <f>'DATA SISWA'!A18</f>
        <v>14</v>
      </c>
      <c r="B18" s="90" t="str">
        <f>'DATA SISWA'!B18</f>
        <v>`020</v>
      </c>
      <c r="C18" s="90" t="str">
        <f>'DATA SISWA'!C18</f>
        <v>Nia Ramadani</v>
      </c>
      <c r="D18" s="90" t="str">
        <f>'DATA SISWA'!D18</f>
        <v>P</v>
      </c>
      <c r="E18" s="90" t="str">
        <f>'DATA SISWA'!E18</f>
        <v>VII</v>
      </c>
      <c r="F18" s="40"/>
      <c r="G18" s="40"/>
      <c r="H18" s="40"/>
      <c r="I18" s="40"/>
      <c r="J18" s="90" t="str">
        <f t="shared" si="9"/>
        <v/>
      </c>
      <c r="K18" s="90" t="str">
        <f t="shared" si="10"/>
        <v/>
      </c>
      <c r="L18" s="40"/>
      <c r="M18" s="40"/>
      <c r="N18" s="40"/>
      <c r="O18" s="40"/>
      <c r="P18" s="90" t="str">
        <f t="shared" si="11"/>
        <v/>
      </c>
      <c r="Q18" s="90" t="str">
        <f t="shared" si="0"/>
        <v/>
      </c>
      <c r="R18" s="40"/>
      <c r="S18" s="40"/>
      <c r="T18" s="40"/>
      <c r="U18" s="40"/>
      <c r="V18" s="90" t="str">
        <f t="shared" si="12"/>
        <v/>
      </c>
      <c r="W18" s="90" t="str">
        <f t="shared" si="1"/>
        <v/>
      </c>
      <c r="X18" s="40"/>
      <c r="Y18" s="40"/>
      <c r="Z18" s="40"/>
      <c r="AA18" s="40"/>
      <c r="AB18" s="90" t="str">
        <f t="shared" si="13"/>
        <v/>
      </c>
      <c r="AC18" s="90" t="str">
        <f t="shared" si="2"/>
        <v/>
      </c>
      <c r="AD18" s="40"/>
      <c r="AE18" s="40"/>
      <c r="AF18" s="40"/>
      <c r="AG18" s="40"/>
      <c r="AH18" s="90" t="str">
        <f t="shared" si="14"/>
        <v/>
      </c>
      <c r="AI18" s="90" t="str">
        <f t="shared" si="3"/>
        <v/>
      </c>
      <c r="AJ18" s="40"/>
      <c r="AK18" s="40"/>
      <c r="AL18" s="40"/>
      <c r="AM18" s="40"/>
      <c r="AN18" s="90" t="str">
        <f t="shared" si="15"/>
        <v/>
      </c>
      <c r="AO18" s="90" t="str">
        <f t="shared" si="4"/>
        <v/>
      </c>
      <c r="AP18" s="40"/>
      <c r="AQ18" s="40"/>
      <c r="AR18" s="40"/>
      <c r="AS18" s="40"/>
      <c r="AT18" s="90" t="str">
        <f t="shared" si="16"/>
        <v/>
      </c>
      <c r="AU18" s="90" t="str">
        <f t="shared" si="5"/>
        <v/>
      </c>
      <c r="AV18" s="40"/>
      <c r="AW18" s="40"/>
      <c r="AX18" s="40"/>
      <c r="AY18" s="40"/>
      <c r="AZ18" s="90" t="str">
        <f t="shared" si="17"/>
        <v/>
      </c>
      <c r="BA18" s="90" t="str">
        <f t="shared" si="6"/>
        <v/>
      </c>
      <c r="BB18" s="40"/>
      <c r="BC18" s="40"/>
      <c r="BD18" s="40"/>
      <c r="BE18" s="40"/>
      <c r="BF18" s="90" t="str">
        <f t="shared" si="18"/>
        <v/>
      </c>
      <c r="BG18" s="90" t="str">
        <f t="shared" si="7"/>
        <v/>
      </c>
      <c r="BH18" s="40"/>
      <c r="BI18" s="40"/>
      <c r="BJ18" s="40"/>
      <c r="BK18" s="40"/>
      <c r="BL18" s="90" t="str">
        <f t="shared" si="19"/>
        <v/>
      </c>
      <c r="BM18" s="90" t="str">
        <f t="shared" si="8"/>
        <v/>
      </c>
    </row>
    <row r="19" spans="1:65">
      <c r="A19" s="90">
        <f>'DATA SISWA'!A19</f>
        <v>15</v>
      </c>
      <c r="B19" s="90" t="str">
        <f>'DATA SISWA'!B19</f>
        <v>`012</v>
      </c>
      <c r="C19" s="90" t="str">
        <f>'DATA SISWA'!C19</f>
        <v>Ningsih Rahmawati</v>
      </c>
      <c r="D19" s="90" t="str">
        <f>'DATA SISWA'!D19</f>
        <v>P</v>
      </c>
      <c r="E19" s="90" t="str">
        <f>'DATA SISWA'!E19</f>
        <v>VII</v>
      </c>
      <c r="F19" s="40"/>
      <c r="G19" s="40"/>
      <c r="H19" s="40"/>
      <c r="I19" s="40"/>
      <c r="J19" s="90" t="str">
        <f t="shared" si="9"/>
        <v/>
      </c>
      <c r="K19" s="90" t="str">
        <f t="shared" si="10"/>
        <v/>
      </c>
      <c r="L19" s="40"/>
      <c r="M19" s="40"/>
      <c r="N19" s="40"/>
      <c r="O19" s="40"/>
      <c r="P19" s="90" t="str">
        <f t="shared" si="11"/>
        <v/>
      </c>
      <c r="Q19" s="90" t="str">
        <f t="shared" si="0"/>
        <v/>
      </c>
      <c r="R19" s="40"/>
      <c r="S19" s="40"/>
      <c r="T19" s="40"/>
      <c r="U19" s="40"/>
      <c r="V19" s="90" t="str">
        <f t="shared" si="12"/>
        <v/>
      </c>
      <c r="W19" s="90" t="str">
        <f t="shared" si="1"/>
        <v/>
      </c>
      <c r="X19" s="40"/>
      <c r="Y19" s="40"/>
      <c r="Z19" s="40"/>
      <c r="AA19" s="40"/>
      <c r="AB19" s="90" t="str">
        <f t="shared" si="13"/>
        <v/>
      </c>
      <c r="AC19" s="90" t="str">
        <f t="shared" si="2"/>
        <v/>
      </c>
      <c r="AD19" s="40"/>
      <c r="AE19" s="40"/>
      <c r="AF19" s="40"/>
      <c r="AG19" s="40"/>
      <c r="AH19" s="90" t="str">
        <f t="shared" si="14"/>
        <v/>
      </c>
      <c r="AI19" s="90" t="str">
        <f t="shared" si="3"/>
        <v/>
      </c>
      <c r="AJ19" s="40"/>
      <c r="AK19" s="40"/>
      <c r="AL19" s="40"/>
      <c r="AM19" s="40"/>
      <c r="AN19" s="90" t="str">
        <f t="shared" si="15"/>
        <v/>
      </c>
      <c r="AO19" s="90" t="str">
        <f t="shared" si="4"/>
        <v/>
      </c>
      <c r="AP19" s="40"/>
      <c r="AQ19" s="40"/>
      <c r="AR19" s="40"/>
      <c r="AS19" s="40"/>
      <c r="AT19" s="90" t="str">
        <f t="shared" si="16"/>
        <v/>
      </c>
      <c r="AU19" s="90" t="str">
        <f t="shared" si="5"/>
        <v/>
      </c>
      <c r="AV19" s="40"/>
      <c r="AW19" s="40"/>
      <c r="AX19" s="40"/>
      <c r="AY19" s="40"/>
      <c r="AZ19" s="90" t="str">
        <f t="shared" si="17"/>
        <v/>
      </c>
      <c r="BA19" s="90" t="str">
        <f t="shared" si="6"/>
        <v/>
      </c>
      <c r="BB19" s="40"/>
      <c r="BC19" s="40"/>
      <c r="BD19" s="40"/>
      <c r="BE19" s="40"/>
      <c r="BF19" s="90" t="str">
        <f t="shared" si="18"/>
        <v/>
      </c>
      <c r="BG19" s="90" t="str">
        <f t="shared" si="7"/>
        <v/>
      </c>
      <c r="BH19" s="40"/>
      <c r="BI19" s="40"/>
      <c r="BJ19" s="40"/>
      <c r="BK19" s="40"/>
      <c r="BL19" s="90" t="str">
        <f t="shared" si="19"/>
        <v/>
      </c>
      <c r="BM19" s="90" t="str">
        <f t="shared" si="8"/>
        <v/>
      </c>
    </row>
    <row r="20" spans="1:65">
      <c r="A20" s="90">
        <f>'DATA SISWA'!A20</f>
        <v>16</v>
      </c>
      <c r="B20" s="90" t="str">
        <f>'DATA SISWA'!B20</f>
        <v>`007</v>
      </c>
      <c r="C20" s="90" t="str">
        <f>'DATA SISWA'!C20</f>
        <v>Nurhayati</v>
      </c>
      <c r="D20" s="90" t="str">
        <f>'DATA SISWA'!D20</f>
        <v>P</v>
      </c>
      <c r="E20" s="90" t="str">
        <f>'DATA SISWA'!E20</f>
        <v>VII</v>
      </c>
      <c r="F20" s="40"/>
      <c r="G20" s="40"/>
      <c r="H20" s="40"/>
      <c r="I20" s="40"/>
      <c r="J20" s="90" t="str">
        <f t="shared" si="9"/>
        <v/>
      </c>
      <c r="K20" s="90" t="str">
        <f t="shared" si="10"/>
        <v/>
      </c>
      <c r="L20" s="40"/>
      <c r="M20" s="40"/>
      <c r="N20" s="40"/>
      <c r="O20" s="40"/>
      <c r="P20" s="90" t="str">
        <f t="shared" si="11"/>
        <v/>
      </c>
      <c r="Q20" s="90" t="str">
        <f t="shared" si="0"/>
        <v/>
      </c>
      <c r="R20" s="40"/>
      <c r="S20" s="40"/>
      <c r="T20" s="40"/>
      <c r="U20" s="40"/>
      <c r="V20" s="90" t="str">
        <f t="shared" si="12"/>
        <v/>
      </c>
      <c r="W20" s="90" t="str">
        <f t="shared" si="1"/>
        <v/>
      </c>
      <c r="X20" s="40"/>
      <c r="Y20" s="40"/>
      <c r="Z20" s="40"/>
      <c r="AA20" s="40"/>
      <c r="AB20" s="90" t="str">
        <f t="shared" si="13"/>
        <v/>
      </c>
      <c r="AC20" s="90" t="str">
        <f t="shared" si="2"/>
        <v/>
      </c>
      <c r="AD20" s="40"/>
      <c r="AE20" s="40"/>
      <c r="AF20" s="40"/>
      <c r="AG20" s="40"/>
      <c r="AH20" s="90" t="str">
        <f t="shared" si="14"/>
        <v/>
      </c>
      <c r="AI20" s="90" t="str">
        <f t="shared" si="3"/>
        <v/>
      </c>
      <c r="AJ20" s="40"/>
      <c r="AK20" s="40"/>
      <c r="AL20" s="40"/>
      <c r="AM20" s="40"/>
      <c r="AN20" s="90" t="str">
        <f t="shared" si="15"/>
        <v/>
      </c>
      <c r="AO20" s="90" t="str">
        <f t="shared" si="4"/>
        <v/>
      </c>
      <c r="AP20" s="40"/>
      <c r="AQ20" s="40"/>
      <c r="AR20" s="40"/>
      <c r="AS20" s="40"/>
      <c r="AT20" s="90" t="str">
        <f t="shared" si="16"/>
        <v/>
      </c>
      <c r="AU20" s="90" t="str">
        <f t="shared" si="5"/>
        <v/>
      </c>
      <c r="AV20" s="40"/>
      <c r="AW20" s="40"/>
      <c r="AX20" s="40"/>
      <c r="AY20" s="40"/>
      <c r="AZ20" s="90" t="str">
        <f t="shared" si="17"/>
        <v/>
      </c>
      <c r="BA20" s="90" t="str">
        <f t="shared" si="6"/>
        <v/>
      </c>
      <c r="BB20" s="40"/>
      <c r="BC20" s="40"/>
      <c r="BD20" s="40"/>
      <c r="BE20" s="40"/>
      <c r="BF20" s="90" t="str">
        <f t="shared" si="18"/>
        <v/>
      </c>
      <c r="BG20" s="90" t="str">
        <f t="shared" si="7"/>
        <v/>
      </c>
      <c r="BH20" s="40"/>
      <c r="BI20" s="40"/>
      <c r="BJ20" s="40"/>
      <c r="BK20" s="40"/>
      <c r="BL20" s="90" t="str">
        <f t="shared" si="19"/>
        <v/>
      </c>
      <c r="BM20" s="90" t="str">
        <f t="shared" si="8"/>
        <v/>
      </c>
    </row>
    <row r="21" spans="1:65">
      <c r="A21" s="90">
        <f>'DATA SISWA'!A21</f>
        <v>17</v>
      </c>
      <c r="B21" s="90" t="str">
        <f>'DATA SISWA'!B21</f>
        <v>`004</v>
      </c>
      <c r="C21" s="90" t="str">
        <f>'DATA SISWA'!C21</f>
        <v>Nur Aini</v>
      </c>
      <c r="D21" s="90" t="str">
        <f>'DATA SISWA'!D21</f>
        <v>P</v>
      </c>
      <c r="E21" s="90" t="str">
        <f>'DATA SISWA'!E21</f>
        <v>VII</v>
      </c>
      <c r="F21" s="40"/>
      <c r="G21" s="40"/>
      <c r="H21" s="40"/>
      <c r="I21" s="40"/>
      <c r="J21" s="90" t="str">
        <f t="shared" si="9"/>
        <v/>
      </c>
      <c r="K21" s="90" t="str">
        <f t="shared" si="10"/>
        <v/>
      </c>
      <c r="L21" s="40"/>
      <c r="M21" s="40"/>
      <c r="N21" s="40"/>
      <c r="O21" s="40"/>
      <c r="P21" s="90" t="str">
        <f t="shared" si="11"/>
        <v/>
      </c>
      <c r="Q21" s="90" t="str">
        <f t="shared" si="0"/>
        <v/>
      </c>
      <c r="R21" s="40"/>
      <c r="S21" s="40"/>
      <c r="T21" s="40"/>
      <c r="U21" s="40"/>
      <c r="V21" s="90" t="str">
        <f t="shared" si="12"/>
        <v/>
      </c>
      <c r="W21" s="90" t="str">
        <f t="shared" si="1"/>
        <v/>
      </c>
      <c r="X21" s="40"/>
      <c r="Y21" s="40"/>
      <c r="Z21" s="40"/>
      <c r="AA21" s="40"/>
      <c r="AB21" s="90" t="str">
        <f t="shared" si="13"/>
        <v/>
      </c>
      <c r="AC21" s="90" t="str">
        <f t="shared" si="2"/>
        <v/>
      </c>
      <c r="AD21" s="40"/>
      <c r="AE21" s="40"/>
      <c r="AF21" s="40"/>
      <c r="AG21" s="40"/>
      <c r="AH21" s="90" t="str">
        <f t="shared" si="14"/>
        <v/>
      </c>
      <c r="AI21" s="90" t="str">
        <f t="shared" si="3"/>
        <v/>
      </c>
      <c r="AJ21" s="40"/>
      <c r="AK21" s="40"/>
      <c r="AL21" s="40"/>
      <c r="AM21" s="40"/>
      <c r="AN21" s="90" t="str">
        <f t="shared" si="15"/>
        <v/>
      </c>
      <c r="AO21" s="90" t="str">
        <f t="shared" si="4"/>
        <v/>
      </c>
      <c r="AP21" s="40"/>
      <c r="AQ21" s="40"/>
      <c r="AR21" s="40"/>
      <c r="AS21" s="40"/>
      <c r="AT21" s="90" t="str">
        <f t="shared" si="16"/>
        <v/>
      </c>
      <c r="AU21" s="90" t="str">
        <f t="shared" si="5"/>
        <v/>
      </c>
      <c r="AV21" s="40"/>
      <c r="AW21" s="40"/>
      <c r="AX21" s="40"/>
      <c r="AY21" s="40"/>
      <c r="AZ21" s="90" t="str">
        <f t="shared" si="17"/>
        <v/>
      </c>
      <c r="BA21" s="90" t="str">
        <f t="shared" si="6"/>
        <v/>
      </c>
      <c r="BB21" s="40"/>
      <c r="BC21" s="40"/>
      <c r="BD21" s="40"/>
      <c r="BE21" s="40"/>
      <c r="BF21" s="90" t="str">
        <f t="shared" si="18"/>
        <v/>
      </c>
      <c r="BG21" s="90" t="str">
        <f t="shared" si="7"/>
        <v/>
      </c>
      <c r="BH21" s="40"/>
      <c r="BI21" s="40"/>
      <c r="BJ21" s="40"/>
      <c r="BK21" s="40"/>
      <c r="BL21" s="90" t="str">
        <f t="shared" si="19"/>
        <v/>
      </c>
      <c r="BM21" s="90" t="str">
        <f t="shared" si="8"/>
        <v/>
      </c>
    </row>
    <row r="22" spans="1:65">
      <c r="A22" s="90">
        <f>'DATA SISWA'!A22</f>
        <v>18</v>
      </c>
      <c r="B22" s="90" t="str">
        <f>'DATA SISWA'!B22</f>
        <v>`001</v>
      </c>
      <c r="C22" s="90" t="str">
        <f>'DATA SISWA'!C22</f>
        <v>Rofiah</v>
      </c>
      <c r="D22" s="90" t="str">
        <f>'DATA SISWA'!D22</f>
        <v>P</v>
      </c>
      <c r="E22" s="90" t="str">
        <f>'DATA SISWA'!E22</f>
        <v>VII</v>
      </c>
      <c r="F22" s="40"/>
      <c r="G22" s="40"/>
      <c r="H22" s="40"/>
      <c r="I22" s="40"/>
      <c r="J22" s="90" t="str">
        <f t="shared" si="9"/>
        <v/>
      </c>
      <c r="K22" s="90" t="str">
        <f t="shared" si="10"/>
        <v/>
      </c>
      <c r="L22" s="40"/>
      <c r="M22" s="40"/>
      <c r="N22" s="40"/>
      <c r="O22" s="40"/>
      <c r="P22" s="90" t="str">
        <f t="shared" si="11"/>
        <v/>
      </c>
      <c r="Q22" s="90" t="str">
        <f t="shared" si="0"/>
        <v/>
      </c>
      <c r="R22" s="40"/>
      <c r="S22" s="40"/>
      <c r="T22" s="40"/>
      <c r="U22" s="40"/>
      <c r="V22" s="90" t="str">
        <f t="shared" si="12"/>
        <v/>
      </c>
      <c r="W22" s="90" t="str">
        <f t="shared" si="1"/>
        <v/>
      </c>
      <c r="X22" s="40"/>
      <c r="Y22" s="40"/>
      <c r="Z22" s="40"/>
      <c r="AA22" s="40"/>
      <c r="AB22" s="90" t="str">
        <f t="shared" si="13"/>
        <v/>
      </c>
      <c r="AC22" s="90" t="str">
        <f t="shared" si="2"/>
        <v/>
      </c>
      <c r="AD22" s="40"/>
      <c r="AE22" s="40"/>
      <c r="AF22" s="40"/>
      <c r="AG22" s="40"/>
      <c r="AH22" s="90" t="str">
        <f t="shared" si="14"/>
        <v/>
      </c>
      <c r="AI22" s="90" t="str">
        <f t="shared" si="3"/>
        <v/>
      </c>
      <c r="AJ22" s="40"/>
      <c r="AK22" s="40"/>
      <c r="AL22" s="40"/>
      <c r="AM22" s="40"/>
      <c r="AN22" s="90" t="str">
        <f t="shared" si="15"/>
        <v/>
      </c>
      <c r="AO22" s="90" t="str">
        <f t="shared" si="4"/>
        <v/>
      </c>
      <c r="AP22" s="40"/>
      <c r="AQ22" s="40"/>
      <c r="AR22" s="40"/>
      <c r="AS22" s="40"/>
      <c r="AT22" s="90" t="str">
        <f t="shared" si="16"/>
        <v/>
      </c>
      <c r="AU22" s="90" t="str">
        <f t="shared" si="5"/>
        <v/>
      </c>
      <c r="AV22" s="40"/>
      <c r="AW22" s="40"/>
      <c r="AX22" s="40"/>
      <c r="AY22" s="40"/>
      <c r="AZ22" s="90" t="str">
        <f t="shared" si="17"/>
        <v/>
      </c>
      <c r="BA22" s="90" t="str">
        <f t="shared" si="6"/>
        <v/>
      </c>
      <c r="BB22" s="40"/>
      <c r="BC22" s="40"/>
      <c r="BD22" s="40"/>
      <c r="BE22" s="40"/>
      <c r="BF22" s="90" t="str">
        <f t="shared" si="18"/>
        <v/>
      </c>
      <c r="BG22" s="90" t="str">
        <f t="shared" si="7"/>
        <v/>
      </c>
      <c r="BH22" s="40"/>
      <c r="BI22" s="40"/>
      <c r="BJ22" s="40"/>
      <c r="BK22" s="40"/>
      <c r="BL22" s="90" t="str">
        <f t="shared" si="19"/>
        <v/>
      </c>
      <c r="BM22" s="90" t="str">
        <f t="shared" si="8"/>
        <v/>
      </c>
    </row>
    <row r="23" spans="1:65">
      <c r="A23" s="90">
        <f>'DATA SISWA'!A23</f>
        <v>19</v>
      </c>
      <c r="B23" s="90" t="str">
        <f>'DATA SISWA'!B23</f>
        <v>`015</v>
      </c>
      <c r="C23" s="90" t="str">
        <f>'DATA SISWA'!C23</f>
        <v>Romliadi</v>
      </c>
      <c r="D23" s="90" t="str">
        <f>'DATA SISWA'!D23</f>
        <v>L</v>
      </c>
      <c r="E23" s="90" t="str">
        <f>'DATA SISWA'!E23</f>
        <v>VII</v>
      </c>
      <c r="F23" s="40"/>
      <c r="G23" s="40"/>
      <c r="H23" s="40"/>
      <c r="I23" s="40"/>
      <c r="J23" s="90" t="str">
        <f t="shared" si="9"/>
        <v/>
      </c>
      <c r="K23" s="90" t="str">
        <f t="shared" si="10"/>
        <v/>
      </c>
      <c r="L23" s="40"/>
      <c r="M23" s="40"/>
      <c r="N23" s="40"/>
      <c r="O23" s="40"/>
      <c r="P23" s="90" t="str">
        <f t="shared" si="11"/>
        <v/>
      </c>
      <c r="Q23" s="90" t="str">
        <f t="shared" si="0"/>
        <v/>
      </c>
      <c r="R23" s="40"/>
      <c r="S23" s="40"/>
      <c r="T23" s="40"/>
      <c r="U23" s="40"/>
      <c r="V23" s="90" t="str">
        <f t="shared" si="12"/>
        <v/>
      </c>
      <c r="W23" s="90" t="str">
        <f t="shared" si="1"/>
        <v/>
      </c>
      <c r="X23" s="40"/>
      <c r="Y23" s="40"/>
      <c r="Z23" s="40"/>
      <c r="AA23" s="40"/>
      <c r="AB23" s="90" t="str">
        <f t="shared" si="13"/>
        <v/>
      </c>
      <c r="AC23" s="90" t="str">
        <f t="shared" si="2"/>
        <v/>
      </c>
      <c r="AD23" s="40"/>
      <c r="AE23" s="40"/>
      <c r="AF23" s="40"/>
      <c r="AG23" s="40"/>
      <c r="AH23" s="90" t="str">
        <f t="shared" si="14"/>
        <v/>
      </c>
      <c r="AI23" s="90" t="str">
        <f t="shared" si="3"/>
        <v/>
      </c>
      <c r="AJ23" s="40"/>
      <c r="AK23" s="40"/>
      <c r="AL23" s="40"/>
      <c r="AM23" s="40"/>
      <c r="AN23" s="90" t="str">
        <f t="shared" si="15"/>
        <v/>
      </c>
      <c r="AO23" s="90" t="str">
        <f t="shared" si="4"/>
        <v/>
      </c>
      <c r="AP23" s="40"/>
      <c r="AQ23" s="40"/>
      <c r="AR23" s="40"/>
      <c r="AS23" s="40"/>
      <c r="AT23" s="90" t="str">
        <f t="shared" si="16"/>
        <v/>
      </c>
      <c r="AU23" s="90" t="str">
        <f t="shared" si="5"/>
        <v/>
      </c>
      <c r="AV23" s="40"/>
      <c r="AW23" s="40"/>
      <c r="AX23" s="40"/>
      <c r="AY23" s="40"/>
      <c r="AZ23" s="90" t="str">
        <f t="shared" si="17"/>
        <v/>
      </c>
      <c r="BA23" s="90" t="str">
        <f t="shared" si="6"/>
        <v/>
      </c>
      <c r="BB23" s="40"/>
      <c r="BC23" s="40"/>
      <c r="BD23" s="40"/>
      <c r="BE23" s="40"/>
      <c r="BF23" s="90" t="str">
        <f t="shared" si="18"/>
        <v/>
      </c>
      <c r="BG23" s="90" t="str">
        <f t="shared" si="7"/>
        <v/>
      </c>
      <c r="BH23" s="40"/>
      <c r="BI23" s="40"/>
      <c r="BJ23" s="40"/>
      <c r="BK23" s="40"/>
      <c r="BL23" s="90" t="str">
        <f t="shared" si="19"/>
        <v/>
      </c>
      <c r="BM23" s="90" t="str">
        <f t="shared" si="8"/>
        <v/>
      </c>
    </row>
    <row r="24" spans="1:65">
      <c r="A24" s="90">
        <f>'DATA SISWA'!A24</f>
        <v>20</v>
      </c>
      <c r="B24" s="90" t="str">
        <f>'DATA SISWA'!B24</f>
        <v>`019</v>
      </c>
      <c r="C24" s="90" t="str">
        <f>'DATA SISWA'!C24</f>
        <v>Tammimah</v>
      </c>
      <c r="D24" s="90" t="str">
        <f>'DATA SISWA'!D24</f>
        <v>P</v>
      </c>
      <c r="E24" s="90" t="str">
        <f>'DATA SISWA'!E24</f>
        <v>VII</v>
      </c>
      <c r="F24" s="40"/>
      <c r="G24" s="40"/>
      <c r="H24" s="40"/>
      <c r="I24" s="40"/>
      <c r="J24" s="90" t="str">
        <f t="shared" si="9"/>
        <v/>
      </c>
      <c r="K24" s="90" t="str">
        <f t="shared" si="10"/>
        <v/>
      </c>
      <c r="L24" s="40"/>
      <c r="M24" s="40"/>
      <c r="N24" s="40"/>
      <c r="O24" s="40"/>
      <c r="P24" s="90" t="str">
        <f t="shared" si="11"/>
        <v/>
      </c>
      <c r="Q24" s="90" t="str">
        <f t="shared" si="0"/>
        <v/>
      </c>
      <c r="R24" s="40"/>
      <c r="S24" s="40"/>
      <c r="T24" s="40"/>
      <c r="U24" s="40"/>
      <c r="V24" s="90" t="str">
        <f t="shared" si="12"/>
        <v/>
      </c>
      <c r="W24" s="90" t="str">
        <f t="shared" si="1"/>
        <v/>
      </c>
      <c r="X24" s="40"/>
      <c r="Y24" s="40"/>
      <c r="Z24" s="40"/>
      <c r="AA24" s="40"/>
      <c r="AB24" s="90" t="str">
        <f t="shared" si="13"/>
        <v/>
      </c>
      <c r="AC24" s="90" t="str">
        <f t="shared" si="2"/>
        <v/>
      </c>
      <c r="AD24" s="40"/>
      <c r="AE24" s="40"/>
      <c r="AF24" s="40"/>
      <c r="AG24" s="40"/>
      <c r="AH24" s="90" t="str">
        <f t="shared" si="14"/>
        <v/>
      </c>
      <c r="AI24" s="90" t="str">
        <f t="shared" si="3"/>
        <v/>
      </c>
      <c r="AJ24" s="40"/>
      <c r="AK24" s="40"/>
      <c r="AL24" s="40"/>
      <c r="AM24" s="40"/>
      <c r="AN24" s="90" t="str">
        <f t="shared" si="15"/>
        <v/>
      </c>
      <c r="AO24" s="90" t="str">
        <f t="shared" si="4"/>
        <v/>
      </c>
      <c r="AP24" s="40"/>
      <c r="AQ24" s="40"/>
      <c r="AR24" s="40"/>
      <c r="AS24" s="40"/>
      <c r="AT24" s="90" t="str">
        <f t="shared" si="16"/>
        <v/>
      </c>
      <c r="AU24" s="90" t="str">
        <f t="shared" si="5"/>
        <v/>
      </c>
      <c r="AV24" s="40"/>
      <c r="AW24" s="40"/>
      <c r="AX24" s="40"/>
      <c r="AY24" s="40"/>
      <c r="AZ24" s="90" t="str">
        <f t="shared" si="17"/>
        <v/>
      </c>
      <c r="BA24" s="90" t="str">
        <f t="shared" si="6"/>
        <v/>
      </c>
      <c r="BB24" s="40"/>
      <c r="BC24" s="40"/>
      <c r="BD24" s="40"/>
      <c r="BE24" s="40"/>
      <c r="BF24" s="90" t="str">
        <f t="shared" si="18"/>
        <v/>
      </c>
      <c r="BG24" s="90" t="str">
        <f t="shared" si="7"/>
        <v/>
      </c>
      <c r="BH24" s="40"/>
      <c r="BI24" s="40"/>
      <c r="BJ24" s="40"/>
      <c r="BK24" s="40"/>
      <c r="BL24" s="90" t="str">
        <f t="shared" si="19"/>
        <v/>
      </c>
      <c r="BM24" s="90" t="str">
        <f t="shared" si="8"/>
        <v/>
      </c>
    </row>
    <row r="25" spans="1:65">
      <c r="A25" s="90">
        <f>'DATA SISWA'!A25</f>
        <v>0</v>
      </c>
      <c r="B25" s="90">
        <f>'DATA SISWA'!B25</f>
        <v>0</v>
      </c>
      <c r="C25" s="90">
        <f>'DATA SISWA'!C25</f>
        <v>0</v>
      </c>
      <c r="D25" s="90">
        <f>'DATA SISWA'!D25</f>
        <v>0</v>
      </c>
      <c r="E25" s="90" t="str">
        <f>'DATA SISWA'!E25</f>
        <v>VII</v>
      </c>
      <c r="F25" s="40"/>
      <c r="G25" s="40"/>
      <c r="H25" s="40"/>
      <c r="I25" s="40"/>
      <c r="J25" s="90" t="str">
        <f t="shared" si="9"/>
        <v/>
      </c>
      <c r="K25" s="90" t="str">
        <f t="shared" si="10"/>
        <v/>
      </c>
      <c r="L25" s="40"/>
      <c r="M25" s="40"/>
      <c r="N25" s="40"/>
      <c r="O25" s="40"/>
      <c r="P25" s="90" t="str">
        <f t="shared" si="11"/>
        <v/>
      </c>
      <c r="Q25" s="90" t="str">
        <f t="shared" si="0"/>
        <v/>
      </c>
      <c r="R25" s="40"/>
      <c r="S25" s="40"/>
      <c r="T25" s="40"/>
      <c r="U25" s="40"/>
      <c r="V25" s="90" t="str">
        <f t="shared" si="12"/>
        <v/>
      </c>
      <c r="W25" s="90" t="str">
        <f t="shared" si="1"/>
        <v/>
      </c>
      <c r="X25" s="40"/>
      <c r="Y25" s="40"/>
      <c r="Z25" s="40"/>
      <c r="AA25" s="40"/>
      <c r="AB25" s="90" t="str">
        <f t="shared" si="13"/>
        <v/>
      </c>
      <c r="AC25" s="90" t="str">
        <f t="shared" si="2"/>
        <v/>
      </c>
      <c r="AD25" s="40"/>
      <c r="AE25" s="40"/>
      <c r="AF25" s="40"/>
      <c r="AG25" s="40"/>
      <c r="AH25" s="90" t="str">
        <f t="shared" si="14"/>
        <v/>
      </c>
      <c r="AI25" s="90" t="str">
        <f t="shared" si="3"/>
        <v/>
      </c>
      <c r="AJ25" s="40"/>
      <c r="AK25" s="40"/>
      <c r="AL25" s="40"/>
      <c r="AM25" s="40"/>
      <c r="AN25" s="90" t="str">
        <f t="shared" si="15"/>
        <v/>
      </c>
      <c r="AO25" s="90" t="str">
        <f t="shared" si="4"/>
        <v/>
      </c>
      <c r="AP25" s="40"/>
      <c r="AQ25" s="40"/>
      <c r="AR25" s="40"/>
      <c r="AS25" s="40"/>
      <c r="AT25" s="90" t="str">
        <f t="shared" si="16"/>
        <v/>
      </c>
      <c r="AU25" s="90" t="str">
        <f t="shared" si="5"/>
        <v/>
      </c>
      <c r="AV25" s="40"/>
      <c r="AW25" s="40"/>
      <c r="AX25" s="40"/>
      <c r="AY25" s="40"/>
      <c r="AZ25" s="90" t="str">
        <f t="shared" si="17"/>
        <v/>
      </c>
      <c r="BA25" s="90" t="str">
        <f t="shared" si="6"/>
        <v/>
      </c>
      <c r="BB25" s="40"/>
      <c r="BC25" s="40"/>
      <c r="BD25" s="40"/>
      <c r="BE25" s="40"/>
      <c r="BF25" s="90" t="str">
        <f t="shared" si="18"/>
        <v/>
      </c>
      <c r="BG25" s="90" t="str">
        <f t="shared" si="7"/>
        <v/>
      </c>
      <c r="BH25" s="40"/>
      <c r="BI25" s="40"/>
      <c r="BJ25" s="40"/>
      <c r="BK25" s="40"/>
      <c r="BL25" s="90" t="str">
        <f t="shared" si="19"/>
        <v/>
      </c>
      <c r="BM25" s="90" t="str">
        <f t="shared" si="8"/>
        <v/>
      </c>
    </row>
    <row r="26" spans="1:65">
      <c r="A26" s="90">
        <f>'DATA SISWA'!A26</f>
        <v>0</v>
      </c>
      <c r="B26" s="90">
        <f>'DATA SISWA'!B26</f>
        <v>0</v>
      </c>
      <c r="C26" s="90">
        <f>'DATA SISWA'!C26</f>
        <v>0</v>
      </c>
      <c r="D26" s="90">
        <f>'DATA SISWA'!D26</f>
        <v>0</v>
      </c>
      <c r="E26" s="90" t="str">
        <f>'DATA SISWA'!E26</f>
        <v>VII</v>
      </c>
      <c r="F26" s="40"/>
      <c r="G26" s="40"/>
      <c r="H26" s="40"/>
      <c r="I26" s="40"/>
      <c r="J26" s="90" t="str">
        <f t="shared" si="9"/>
        <v/>
      </c>
      <c r="K26" s="90" t="str">
        <f t="shared" si="10"/>
        <v/>
      </c>
      <c r="L26" s="40"/>
      <c r="M26" s="40"/>
      <c r="N26" s="40"/>
      <c r="O26" s="40"/>
      <c r="P26" s="90" t="str">
        <f t="shared" si="11"/>
        <v/>
      </c>
      <c r="Q26" s="90" t="str">
        <f t="shared" si="0"/>
        <v/>
      </c>
      <c r="R26" s="40"/>
      <c r="S26" s="40"/>
      <c r="T26" s="40"/>
      <c r="U26" s="40"/>
      <c r="V26" s="90" t="str">
        <f t="shared" si="12"/>
        <v/>
      </c>
      <c r="W26" s="90" t="str">
        <f t="shared" si="1"/>
        <v/>
      </c>
      <c r="X26" s="40"/>
      <c r="Y26" s="40"/>
      <c r="Z26" s="40"/>
      <c r="AA26" s="40"/>
      <c r="AB26" s="90" t="str">
        <f t="shared" si="13"/>
        <v/>
      </c>
      <c r="AC26" s="90" t="str">
        <f t="shared" si="2"/>
        <v/>
      </c>
      <c r="AD26" s="40"/>
      <c r="AE26" s="40"/>
      <c r="AF26" s="40"/>
      <c r="AG26" s="40"/>
      <c r="AH26" s="90" t="str">
        <f t="shared" si="14"/>
        <v/>
      </c>
      <c r="AI26" s="90" t="str">
        <f t="shared" si="3"/>
        <v/>
      </c>
      <c r="AJ26" s="40"/>
      <c r="AK26" s="40"/>
      <c r="AL26" s="40"/>
      <c r="AM26" s="40"/>
      <c r="AN26" s="90" t="str">
        <f t="shared" si="15"/>
        <v/>
      </c>
      <c r="AO26" s="90" t="str">
        <f t="shared" si="4"/>
        <v/>
      </c>
      <c r="AP26" s="40"/>
      <c r="AQ26" s="40"/>
      <c r="AR26" s="40"/>
      <c r="AS26" s="40"/>
      <c r="AT26" s="90" t="str">
        <f t="shared" si="16"/>
        <v/>
      </c>
      <c r="AU26" s="90" t="str">
        <f t="shared" si="5"/>
        <v/>
      </c>
      <c r="AV26" s="40"/>
      <c r="AW26" s="40"/>
      <c r="AX26" s="40"/>
      <c r="AY26" s="40"/>
      <c r="AZ26" s="90" t="str">
        <f t="shared" si="17"/>
        <v/>
      </c>
      <c r="BA26" s="90" t="str">
        <f t="shared" si="6"/>
        <v/>
      </c>
      <c r="BB26" s="40"/>
      <c r="BC26" s="40"/>
      <c r="BD26" s="40"/>
      <c r="BE26" s="40"/>
      <c r="BF26" s="90" t="str">
        <f t="shared" si="18"/>
        <v/>
      </c>
      <c r="BG26" s="90" t="str">
        <f t="shared" si="7"/>
        <v/>
      </c>
      <c r="BH26" s="40"/>
      <c r="BI26" s="40"/>
      <c r="BJ26" s="40"/>
      <c r="BK26" s="40"/>
      <c r="BL26" s="90" t="str">
        <f t="shared" si="19"/>
        <v/>
      </c>
      <c r="BM26" s="90" t="str">
        <f t="shared" si="8"/>
        <v/>
      </c>
    </row>
    <row r="27" spans="1:65">
      <c r="A27" s="90">
        <f>'DATA SISWA'!A27</f>
        <v>0</v>
      </c>
      <c r="B27" s="90">
        <f>'DATA SISWA'!B27</f>
        <v>0</v>
      </c>
      <c r="C27" s="90">
        <f>'DATA SISWA'!C27</f>
        <v>0</v>
      </c>
      <c r="D27" s="90">
        <f>'DATA SISWA'!D27</f>
        <v>0</v>
      </c>
      <c r="E27" s="90" t="str">
        <f>'DATA SISWA'!E27</f>
        <v>VII</v>
      </c>
      <c r="F27" s="40"/>
      <c r="G27" s="40"/>
      <c r="H27" s="40"/>
      <c r="I27" s="40"/>
      <c r="J27" s="90" t="str">
        <f t="shared" si="9"/>
        <v/>
      </c>
      <c r="K27" s="90" t="str">
        <f t="shared" si="10"/>
        <v/>
      </c>
      <c r="L27" s="40"/>
      <c r="M27" s="40"/>
      <c r="N27" s="40"/>
      <c r="O27" s="40"/>
      <c r="P27" s="90" t="str">
        <f t="shared" si="11"/>
        <v/>
      </c>
      <c r="Q27" s="90" t="str">
        <f t="shared" si="0"/>
        <v/>
      </c>
      <c r="R27" s="40"/>
      <c r="S27" s="40"/>
      <c r="T27" s="40"/>
      <c r="U27" s="40"/>
      <c r="V27" s="90" t="str">
        <f t="shared" si="12"/>
        <v/>
      </c>
      <c r="W27" s="90" t="str">
        <f t="shared" si="1"/>
        <v/>
      </c>
      <c r="X27" s="40"/>
      <c r="Y27" s="40"/>
      <c r="Z27" s="40"/>
      <c r="AA27" s="40"/>
      <c r="AB27" s="90" t="str">
        <f t="shared" si="13"/>
        <v/>
      </c>
      <c r="AC27" s="90" t="str">
        <f t="shared" si="2"/>
        <v/>
      </c>
      <c r="AD27" s="40"/>
      <c r="AE27" s="40"/>
      <c r="AF27" s="40"/>
      <c r="AG27" s="40"/>
      <c r="AH27" s="90" t="str">
        <f t="shared" si="14"/>
        <v/>
      </c>
      <c r="AI27" s="90" t="str">
        <f t="shared" si="3"/>
        <v/>
      </c>
      <c r="AJ27" s="40"/>
      <c r="AK27" s="40"/>
      <c r="AL27" s="40"/>
      <c r="AM27" s="40"/>
      <c r="AN27" s="90" t="str">
        <f t="shared" si="15"/>
        <v/>
      </c>
      <c r="AO27" s="90" t="str">
        <f t="shared" si="4"/>
        <v/>
      </c>
      <c r="AP27" s="40"/>
      <c r="AQ27" s="40"/>
      <c r="AR27" s="40"/>
      <c r="AS27" s="40"/>
      <c r="AT27" s="90" t="str">
        <f t="shared" si="16"/>
        <v/>
      </c>
      <c r="AU27" s="90" t="str">
        <f t="shared" si="5"/>
        <v/>
      </c>
      <c r="AV27" s="40"/>
      <c r="AW27" s="40"/>
      <c r="AX27" s="40"/>
      <c r="AY27" s="40"/>
      <c r="AZ27" s="90" t="str">
        <f t="shared" si="17"/>
        <v/>
      </c>
      <c r="BA27" s="90" t="str">
        <f t="shared" si="6"/>
        <v/>
      </c>
      <c r="BB27" s="40"/>
      <c r="BC27" s="40"/>
      <c r="BD27" s="40"/>
      <c r="BE27" s="40"/>
      <c r="BF27" s="90" t="str">
        <f t="shared" si="18"/>
        <v/>
      </c>
      <c r="BG27" s="90" t="str">
        <f t="shared" si="7"/>
        <v/>
      </c>
      <c r="BH27" s="40"/>
      <c r="BI27" s="40"/>
      <c r="BJ27" s="40"/>
      <c r="BK27" s="40"/>
      <c r="BL27" s="90" t="str">
        <f t="shared" si="19"/>
        <v/>
      </c>
      <c r="BM27" s="90" t="str">
        <f t="shared" si="8"/>
        <v/>
      </c>
    </row>
    <row r="28" spans="1:65">
      <c r="A28" s="90">
        <f>'DATA SISWA'!A28</f>
        <v>0</v>
      </c>
      <c r="B28" s="90">
        <f>'DATA SISWA'!B28</f>
        <v>0</v>
      </c>
      <c r="C28" s="90">
        <f>'DATA SISWA'!C28</f>
        <v>0</v>
      </c>
      <c r="D28" s="90">
        <f>'DATA SISWA'!D28</f>
        <v>0</v>
      </c>
      <c r="E28" s="90" t="str">
        <f>'DATA SISWA'!E28</f>
        <v>VII</v>
      </c>
      <c r="F28" s="40"/>
      <c r="G28" s="40"/>
      <c r="H28" s="40"/>
      <c r="I28" s="40"/>
      <c r="J28" s="90" t="str">
        <f t="shared" si="9"/>
        <v/>
      </c>
      <c r="K28" s="90" t="str">
        <f t="shared" si="10"/>
        <v/>
      </c>
      <c r="L28" s="40"/>
      <c r="M28" s="40"/>
      <c r="N28" s="40"/>
      <c r="O28" s="40"/>
      <c r="P28" s="90" t="str">
        <f t="shared" si="11"/>
        <v/>
      </c>
      <c r="Q28" s="90" t="str">
        <f t="shared" si="0"/>
        <v/>
      </c>
      <c r="R28" s="40"/>
      <c r="S28" s="40"/>
      <c r="T28" s="40"/>
      <c r="U28" s="40"/>
      <c r="V28" s="90" t="str">
        <f t="shared" si="12"/>
        <v/>
      </c>
      <c r="W28" s="90" t="str">
        <f t="shared" si="1"/>
        <v/>
      </c>
      <c r="X28" s="40"/>
      <c r="Y28" s="40"/>
      <c r="Z28" s="40"/>
      <c r="AA28" s="40"/>
      <c r="AB28" s="90" t="str">
        <f t="shared" si="13"/>
        <v/>
      </c>
      <c r="AC28" s="90" t="str">
        <f t="shared" si="2"/>
        <v/>
      </c>
      <c r="AD28" s="40"/>
      <c r="AE28" s="40"/>
      <c r="AF28" s="40"/>
      <c r="AG28" s="40"/>
      <c r="AH28" s="90" t="str">
        <f t="shared" si="14"/>
        <v/>
      </c>
      <c r="AI28" s="90" t="str">
        <f t="shared" si="3"/>
        <v/>
      </c>
      <c r="AJ28" s="40"/>
      <c r="AK28" s="40"/>
      <c r="AL28" s="40"/>
      <c r="AM28" s="40"/>
      <c r="AN28" s="90" t="str">
        <f t="shared" si="15"/>
        <v/>
      </c>
      <c r="AO28" s="90" t="str">
        <f t="shared" si="4"/>
        <v/>
      </c>
      <c r="AP28" s="40"/>
      <c r="AQ28" s="40"/>
      <c r="AR28" s="40"/>
      <c r="AS28" s="40"/>
      <c r="AT28" s="90" t="str">
        <f t="shared" si="16"/>
        <v/>
      </c>
      <c r="AU28" s="90" t="str">
        <f t="shared" si="5"/>
        <v/>
      </c>
      <c r="AV28" s="40"/>
      <c r="AW28" s="40"/>
      <c r="AX28" s="40"/>
      <c r="AY28" s="40"/>
      <c r="AZ28" s="90" t="str">
        <f t="shared" si="17"/>
        <v/>
      </c>
      <c r="BA28" s="90" t="str">
        <f t="shared" si="6"/>
        <v/>
      </c>
      <c r="BB28" s="40"/>
      <c r="BC28" s="40"/>
      <c r="BD28" s="40"/>
      <c r="BE28" s="40"/>
      <c r="BF28" s="90" t="str">
        <f t="shared" si="18"/>
        <v/>
      </c>
      <c r="BG28" s="90" t="str">
        <f t="shared" si="7"/>
        <v/>
      </c>
      <c r="BH28" s="40"/>
      <c r="BI28" s="40"/>
      <c r="BJ28" s="40"/>
      <c r="BK28" s="40"/>
      <c r="BL28" s="90" t="str">
        <f t="shared" si="19"/>
        <v/>
      </c>
      <c r="BM28" s="90" t="str">
        <f t="shared" si="8"/>
        <v/>
      </c>
    </row>
    <row r="29" spans="1:65">
      <c r="A29" s="90">
        <f>'DATA SISWA'!A29</f>
        <v>0</v>
      </c>
      <c r="B29" s="90">
        <f>'DATA SISWA'!B29</f>
        <v>0</v>
      </c>
      <c r="C29" s="90">
        <f>'DATA SISWA'!C29</f>
        <v>0</v>
      </c>
      <c r="D29" s="90">
        <f>'DATA SISWA'!D29</f>
        <v>0</v>
      </c>
      <c r="E29" s="90" t="str">
        <f>'DATA SISWA'!E29</f>
        <v>VII</v>
      </c>
      <c r="F29" s="40"/>
      <c r="G29" s="40"/>
      <c r="H29" s="40"/>
      <c r="I29" s="40"/>
      <c r="J29" s="90" t="str">
        <f t="shared" si="9"/>
        <v/>
      </c>
      <c r="K29" s="90" t="str">
        <f t="shared" si="10"/>
        <v/>
      </c>
      <c r="L29" s="40"/>
      <c r="M29" s="40"/>
      <c r="N29" s="40"/>
      <c r="O29" s="40"/>
      <c r="P29" s="90" t="str">
        <f t="shared" si="11"/>
        <v/>
      </c>
      <c r="Q29" s="90" t="str">
        <f t="shared" si="0"/>
        <v/>
      </c>
      <c r="R29" s="40"/>
      <c r="S29" s="40"/>
      <c r="T29" s="40"/>
      <c r="U29" s="40"/>
      <c r="V29" s="90" t="str">
        <f t="shared" si="12"/>
        <v/>
      </c>
      <c r="W29" s="90" t="str">
        <f t="shared" si="1"/>
        <v/>
      </c>
      <c r="X29" s="40"/>
      <c r="Y29" s="40"/>
      <c r="Z29" s="40"/>
      <c r="AA29" s="40"/>
      <c r="AB29" s="90" t="str">
        <f t="shared" si="13"/>
        <v/>
      </c>
      <c r="AC29" s="90" t="str">
        <f t="shared" si="2"/>
        <v/>
      </c>
      <c r="AD29" s="40"/>
      <c r="AE29" s="40"/>
      <c r="AF29" s="40"/>
      <c r="AG29" s="40"/>
      <c r="AH29" s="90" t="str">
        <f t="shared" si="14"/>
        <v/>
      </c>
      <c r="AI29" s="90" t="str">
        <f t="shared" si="3"/>
        <v/>
      </c>
      <c r="AJ29" s="40"/>
      <c r="AK29" s="40"/>
      <c r="AL29" s="40"/>
      <c r="AM29" s="40"/>
      <c r="AN29" s="90" t="str">
        <f t="shared" si="15"/>
        <v/>
      </c>
      <c r="AO29" s="90" t="str">
        <f t="shared" si="4"/>
        <v/>
      </c>
      <c r="AP29" s="40"/>
      <c r="AQ29" s="40"/>
      <c r="AR29" s="40"/>
      <c r="AS29" s="40"/>
      <c r="AT29" s="90" t="str">
        <f t="shared" si="16"/>
        <v/>
      </c>
      <c r="AU29" s="90" t="str">
        <f t="shared" si="5"/>
        <v/>
      </c>
      <c r="AV29" s="40"/>
      <c r="AW29" s="40"/>
      <c r="AX29" s="40"/>
      <c r="AY29" s="40"/>
      <c r="AZ29" s="90" t="str">
        <f t="shared" si="17"/>
        <v/>
      </c>
      <c r="BA29" s="90" t="str">
        <f t="shared" si="6"/>
        <v/>
      </c>
      <c r="BB29" s="40"/>
      <c r="BC29" s="40"/>
      <c r="BD29" s="40"/>
      <c r="BE29" s="40"/>
      <c r="BF29" s="90" t="str">
        <f t="shared" si="18"/>
        <v/>
      </c>
      <c r="BG29" s="90" t="str">
        <f t="shared" si="7"/>
        <v/>
      </c>
      <c r="BH29" s="40"/>
      <c r="BI29" s="40"/>
      <c r="BJ29" s="40"/>
      <c r="BK29" s="40"/>
      <c r="BL29" s="90" t="str">
        <f t="shared" si="19"/>
        <v/>
      </c>
      <c r="BM29" s="90" t="str">
        <f t="shared" si="8"/>
        <v/>
      </c>
    </row>
    <row r="30" spans="1:65">
      <c r="A30" s="90">
        <f>'DATA SISWA'!A30</f>
        <v>0</v>
      </c>
      <c r="B30" s="90">
        <f>'DATA SISWA'!B30</f>
        <v>0</v>
      </c>
      <c r="C30" s="90">
        <f>'DATA SISWA'!C30</f>
        <v>0</v>
      </c>
      <c r="D30" s="90">
        <f>'DATA SISWA'!D30</f>
        <v>0</v>
      </c>
      <c r="E30" s="90" t="str">
        <f>'DATA SISWA'!E30</f>
        <v>VII</v>
      </c>
      <c r="F30" s="40"/>
      <c r="G30" s="40"/>
      <c r="H30" s="40"/>
      <c r="I30" s="40"/>
      <c r="J30" s="90" t="str">
        <f t="shared" si="9"/>
        <v/>
      </c>
      <c r="K30" s="90" t="str">
        <f t="shared" si="10"/>
        <v/>
      </c>
      <c r="L30" s="40"/>
      <c r="M30" s="40"/>
      <c r="N30" s="40"/>
      <c r="O30" s="40"/>
      <c r="P30" s="90" t="str">
        <f t="shared" si="11"/>
        <v/>
      </c>
      <c r="Q30" s="90" t="str">
        <f t="shared" si="0"/>
        <v/>
      </c>
      <c r="R30" s="40"/>
      <c r="S30" s="40"/>
      <c r="T30" s="40"/>
      <c r="U30" s="40"/>
      <c r="V30" s="90" t="str">
        <f t="shared" si="12"/>
        <v/>
      </c>
      <c r="W30" s="90" t="str">
        <f t="shared" si="1"/>
        <v/>
      </c>
      <c r="X30" s="40"/>
      <c r="Y30" s="40"/>
      <c r="Z30" s="40"/>
      <c r="AA30" s="40"/>
      <c r="AB30" s="90" t="str">
        <f t="shared" si="13"/>
        <v/>
      </c>
      <c r="AC30" s="90" t="str">
        <f t="shared" si="2"/>
        <v/>
      </c>
      <c r="AD30" s="40"/>
      <c r="AE30" s="40"/>
      <c r="AF30" s="40"/>
      <c r="AG30" s="40"/>
      <c r="AH30" s="90" t="str">
        <f t="shared" si="14"/>
        <v/>
      </c>
      <c r="AI30" s="90" t="str">
        <f t="shared" si="3"/>
        <v/>
      </c>
      <c r="AJ30" s="40"/>
      <c r="AK30" s="40"/>
      <c r="AL30" s="40"/>
      <c r="AM30" s="40"/>
      <c r="AN30" s="90" t="str">
        <f t="shared" si="15"/>
        <v/>
      </c>
      <c r="AO30" s="90" t="str">
        <f t="shared" si="4"/>
        <v/>
      </c>
      <c r="AP30" s="40"/>
      <c r="AQ30" s="40"/>
      <c r="AR30" s="40"/>
      <c r="AS30" s="40"/>
      <c r="AT30" s="90" t="str">
        <f t="shared" si="16"/>
        <v/>
      </c>
      <c r="AU30" s="90" t="str">
        <f t="shared" si="5"/>
        <v/>
      </c>
      <c r="AV30" s="40"/>
      <c r="AW30" s="40"/>
      <c r="AX30" s="40"/>
      <c r="AY30" s="40"/>
      <c r="AZ30" s="90" t="str">
        <f t="shared" si="17"/>
        <v/>
      </c>
      <c r="BA30" s="90" t="str">
        <f t="shared" si="6"/>
        <v/>
      </c>
      <c r="BB30" s="40"/>
      <c r="BC30" s="40"/>
      <c r="BD30" s="40"/>
      <c r="BE30" s="40"/>
      <c r="BF30" s="90" t="str">
        <f t="shared" si="18"/>
        <v/>
      </c>
      <c r="BG30" s="90" t="str">
        <f t="shared" si="7"/>
        <v/>
      </c>
      <c r="BH30" s="40"/>
      <c r="BI30" s="40"/>
      <c r="BJ30" s="40"/>
      <c r="BK30" s="40"/>
      <c r="BL30" s="90" t="str">
        <f t="shared" si="19"/>
        <v/>
      </c>
      <c r="BM30" s="90" t="str">
        <f t="shared" si="8"/>
        <v/>
      </c>
    </row>
    <row r="31" spans="1:65">
      <c r="A31" s="90">
        <f>'DATA SISWA'!A31</f>
        <v>0</v>
      </c>
      <c r="B31" s="90">
        <f>'DATA SISWA'!B31</f>
        <v>0</v>
      </c>
      <c r="C31" s="90">
        <f>'DATA SISWA'!C31</f>
        <v>0</v>
      </c>
      <c r="D31" s="90">
        <f>'DATA SISWA'!D31</f>
        <v>0</v>
      </c>
      <c r="E31" s="90" t="str">
        <f>'DATA SISWA'!E31</f>
        <v>VII</v>
      </c>
      <c r="F31" s="40"/>
      <c r="G31" s="40"/>
      <c r="H31" s="40"/>
      <c r="I31" s="40"/>
      <c r="J31" s="90" t="str">
        <f t="shared" si="9"/>
        <v/>
      </c>
      <c r="K31" s="90" t="str">
        <f t="shared" si="10"/>
        <v/>
      </c>
      <c r="L31" s="40"/>
      <c r="M31" s="40"/>
      <c r="N31" s="40"/>
      <c r="O31" s="40"/>
      <c r="P31" s="90" t="str">
        <f t="shared" si="11"/>
        <v/>
      </c>
      <c r="Q31" s="90" t="str">
        <f t="shared" si="0"/>
        <v/>
      </c>
      <c r="R31" s="40"/>
      <c r="S31" s="40"/>
      <c r="T31" s="40"/>
      <c r="U31" s="40"/>
      <c r="V31" s="90" t="str">
        <f t="shared" si="12"/>
        <v/>
      </c>
      <c r="W31" s="90" t="str">
        <f t="shared" si="1"/>
        <v/>
      </c>
      <c r="X31" s="40"/>
      <c r="Y31" s="40"/>
      <c r="Z31" s="40"/>
      <c r="AA31" s="40"/>
      <c r="AB31" s="90" t="str">
        <f t="shared" si="13"/>
        <v/>
      </c>
      <c r="AC31" s="90" t="str">
        <f t="shared" si="2"/>
        <v/>
      </c>
      <c r="AD31" s="40"/>
      <c r="AE31" s="40"/>
      <c r="AF31" s="40"/>
      <c r="AG31" s="40"/>
      <c r="AH31" s="90" t="str">
        <f t="shared" si="14"/>
        <v/>
      </c>
      <c r="AI31" s="90" t="str">
        <f t="shared" si="3"/>
        <v/>
      </c>
      <c r="AJ31" s="40"/>
      <c r="AK31" s="40"/>
      <c r="AL31" s="40"/>
      <c r="AM31" s="40"/>
      <c r="AN31" s="90" t="str">
        <f t="shared" si="15"/>
        <v/>
      </c>
      <c r="AO31" s="90" t="str">
        <f t="shared" si="4"/>
        <v/>
      </c>
      <c r="AP31" s="40"/>
      <c r="AQ31" s="40"/>
      <c r="AR31" s="40"/>
      <c r="AS31" s="40"/>
      <c r="AT31" s="90" t="str">
        <f t="shared" si="16"/>
        <v/>
      </c>
      <c r="AU31" s="90" t="str">
        <f t="shared" si="5"/>
        <v/>
      </c>
      <c r="AV31" s="40"/>
      <c r="AW31" s="40"/>
      <c r="AX31" s="40"/>
      <c r="AY31" s="40"/>
      <c r="AZ31" s="90" t="str">
        <f t="shared" si="17"/>
        <v/>
      </c>
      <c r="BA31" s="90" t="str">
        <f t="shared" si="6"/>
        <v/>
      </c>
      <c r="BB31" s="40"/>
      <c r="BC31" s="40"/>
      <c r="BD31" s="40"/>
      <c r="BE31" s="40"/>
      <c r="BF31" s="90" t="str">
        <f t="shared" si="18"/>
        <v/>
      </c>
      <c r="BG31" s="90" t="str">
        <f t="shared" si="7"/>
        <v/>
      </c>
      <c r="BH31" s="40"/>
      <c r="BI31" s="40"/>
      <c r="BJ31" s="40"/>
      <c r="BK31" s="40"/>
      <c r="BL31" s="90" t="str">
        <f t="shared" si="19"/>
        <v/>
      </c>
      <c r="BM31" s="90" t="str">
        <f t="shared" si="8"/>
        <v/>
      </c>
    </row>
    <row r="32" spans="1:65">
      <c r="A32" s="90">
        <f>'DATA SISWA'!A32</f>
        <v>0</v>
      </c>
      <c r="B32" s="90">
        <f>'DATA SISWA'!B32</f>
        <v>0</v>
      </c>
      <c r="C32" s="90">
        <f>'DATA SISWA'!C32</f>
        <v>0</v>
      </c>
      <c r="D32" s="90">
        <f>'DATA SISWA'!D32</f>
        <v>0</v>
      </c>
      <c r="E32" s="90" t="str">
        <f>'DATA SISWA'!E32</f>
        <v>VII</v>
      </c>
      <c r="F32" s="40"/>
      <c r="G32" s="40"/>
      <c r="H32" s="40"/>
      <c r="I32" s="40"/>
      <c r="J32" s="90" t="str">
        <f t="shared" si="9"/>
        <v/>
      </c>
      <c r="K32" s="90" t="str">
        <f t="shared" si="10"/>
        <v/>
      </c>
      <c r="L32" s="40"/>
      <c r="M32" s="40"/>
      <c r="N32" s="40"/>
      <c r="O32" s="40"/>
      <c r="P32" s="90" t="str">
        <f t="shared" si="11"/>
        <v/>
      </c>
      <c r="Q32" s="90" t="str">
        <f t="shared" si="0"/>
        <v/>
      </c>
      <c r="R32" s="40"/>
      <c r="S32" s="40"/>
      <c r="T32" s="40"/>
      <c r="U32" s="40"/>
      <c r="V32" s="90" t="str">
        <f t="shared" si="12"/>
        <v/>
      </c>
      <c r="W32" s="90" t="str">
        <f t="shared" si="1"/>
        <v/>
      </c>
      <c r="X32" s="40"/>
      <c r="Y32" s="40"/>
      <c r="Z32" s="40"/>
      <c r="AA32" s="40"/>
      <c r="AB32" s="90" t="str">
        <f t="shared" si="13"/>
        <v/>
      </c>
      <c r="AC32" s="90" t="str">
        <f t="shared" si="2"/>
        <v/>
      </c>
      <c r="AD32" s="40"/>
      <c r="AE32" s="40"/>
      <c r="AF32" s="40"/>
      <c r="AG32" s="40"/>
      <c r="AH32" s="90" t="str">
        <f t="shared" si="14"/>
        <v/>
      </c>
      <c r="AI32" s="90" t="str">
        <f t="shared" si="3"/>
        <v/>
      </c>
      <c r="AJ32" s="40"/>
      <c r="AK32" s="40"/>
      <c r="AL32" s="40"/>
      <c r="AM32" s="40"/>
      <c r="AN32" s="90" t="str">
        <f t="shared" si="15"/>
        <v/>
      </c>
      <c r="AO32" s="90" t="str">
        <f t="shared" si="4"/>
        <v/>
      </c>
      <c r="AP32" s="40"/>
      <c r="AQ32" s="40"/>
      <c r="AR32" s="40"/>
      <c r="AS32" s="40"/>
      <c r="AT32" s="90" t="str">
        <f t="shared" si="16"/>
        <v/>
      </c>
      <c r="AU32" s="90" t="str">
        <f t="shared" si="5"/>
        <v/>
      </c>
      <c r="AV32" s="40"/>
      <c r="AW32" s="40"/>
      <c r="AX32" s="40"/>
      <c r="AY32" s="40"/>
      <c r="AZ32" s="90" t="str">
        <f t="shared" si="17"/>
        <v/>
      </c>
      <c r="BA32" s="90" t="str">
        <f t="shared" si="6"/>
        <v/>
      </c>
      <c r="BB32" s="40"/>
      <c r="BC32" s="40"/>
      <c r="BD32" s="40"/>
      <c r="BE32" s="40"/>
      <c r="BF32" s="90" t="str">
        <f t="shared" si="18"/>
        <v/>
      </c>
      <c r="BG32" s="90" t="str">
        <f t="shared" si="7"/>
        <v/>
      </c>
      <c r="BH32" s="40"/>
      <c r="BI32" s="40"/>
      <c r="BJ32" s="40"/>
      <c r="BK32" s="40"/>
      <c r="BL32" s="90" t="str">
        <f t="shared" si="19"/>
        <v/>
      </c>
      <c r="BM32" s="90" t="str">
        <f t="shared" si="8"/>
        <v/>
      </c>
    </row>
    <row r="33" spans="1:65">
      <c r="A33" s="90">
        <f>'DATA SISWA'!A33</f>
        <v>0</v>
      </c>
      <c r="B33" s="90">
        <f>'DATA SISWA'!B33</f>
        <v>0</v>
      </c>
      <c r="C33" s="90">
        <f>'DATA SISWA'!C33</f>
        <v>0</v>
      </c>
      <c r="D33" s="90">
        <f>'DATA SISWA'!D33</f>
        <v>0</v>
      </c>
      <c r="E33" s="90" t="str">
        <f>'DATA SISWA'!E33</f>
        <v>VII</v>
      </c>
      <c r="F33" s="40"/>
      <c r="G33" s="40"/>
      <c r="H33" s="40"/>
      <c r="I33" s="40"/>
      <c r="J33" s="90" t="str">
        <f t="shared" si="9"/>
        <v/>
      </c>
      <c r="K33" s="90" t="str">
        <f t="shared" si="10"/>
        <v/>
      </c>
      <c r="L33" s="40"/>
      <c r="M33" s="40"/>
      <c r="N33" s="40"/>
      <c r="O33" s="40"/>
      <c r="P33" s="90" t="str">
        <f t="shared" si="11"/>
        <v/>
      </c>
      <c r="Q33" s="90" t="str">
        <f t="shared" si="0"/>
        <v/>
      </c>
      <c r="R33" s="40"/>
      <c r="S33" s="40"/>
      <c r="T33" s="40"/>
      <c r="U33" s="40"/>
      <c r="V33" s="90" t="str">
        <f t="shared" si="12"/>
        <v/>
      </c>
      <c r="W33" s="90" t="str">
        <f t="shared" si="1"/>
        <v/>
      </c>
      <c r="X33" s="40"/>
      <c r="Y33" s="40"/>
      <c r="Z33" s="40"/>
      <c r="AA33" s="40"/>
      <c r="AB33" s="90" t="str">
        <f t="shared" si="13"/>
        <v/>
      </c>
      <c r="AC33" s="90" t="str">
        <f t="shared" si="2"/>
        <v/>
      </c>
      <c r="AD33" s="40"/>
      <c r="AE33" s="40"/>
      <c r="AF33" s="40"/>
      <c r="AG33" s="40"/>
      <c r="AH33" s="90" t="str">
        <f t="shared" si="14"/>
        <v/>
      </c>
      <c r="AI33" s="90" t="str">
        <f t="shared" si="3"/>
        <v/>
      </c>
      <c r="AJ33" s="40"/>
      <c r="AK33" s="40"/>
      <c r="AL33" s="40"/>
      <c r="AM33" s="40"/>
      <c r="AN33" s="90" t="str">
        <f t="shared" si="15"/>
        <v/>
      </c>
      <c r="AO33" s="90" t="str">
        <f t="shared" si="4"/>
        <v/>
      </c>
      <c r="AP33" s="40"/>
      <c r="AQ33" s="40"/>
      <c r="AR33" s="40"/>
      <c r="AS33" s="40"/>
      <c r="AT33" s="90" t="str">
        <f t="shared" si="16"/>
        <v/>
      </c>
      <c r="AU33" s="90" t="str">
        <f t="shared" si="5"/>
        <v/>
      </c>
      <c r="AV33" s="40"/>
      <c r="AW33" s="40"/>
      <c r="AX33" s="40"/>
      <c r="AY33" s="40"/>
      <c r="AZ33" s="90" t="str">
        <f t="shared" si="17"/>
        <v/>
      </c>
      <c r="BA33" s="90" t="str">
        <f t="shared" si="6"/>
        <v/>
      </c>
      <c r="BB33" s="40"/>
      <c r="BC33" s="40"/>
      <c r="BD33" s="40"/>
      <c r="BE33" s="40"/>
      <c r="BF33" s="90" t="str">
        <f t="shared" si="18"/>
        <v/>
      </c>
      <c r="BG33" s="90" t="str">
        <f t="shared" si="7"/>
        <v/>
      </c>
      <c r="BH33" s="40"/>
      <c r="BI33" s="40"/>
      <c r="BJ33" s="40"/>
      <c r="BK33" s="40"/>
      <c r="BL33" s="90" t="str">
        <f t="shared" si="19"/>
        <v/>
      </c>
      <c r="BM33" s="90" t="str">
        <f t="shared" si="8"/>
        <v/>
      </c>
    </row>
    <row r="34" spans="1:65">
      <c r="A34" s="90">
        <f>'DATA SISWA'!A34</f>
        <v>0</v>
      </c>
      <c r="B34" s="90">
        <f>'DATA SISWA'!B34</f>
        <v>0</v>
      </c>
      <c r="C34" s="90">
        <f>'DATA SISWA'!C34</f>
        <v>0</v>
      </c>
      <c r="D34" s="90">
        <f>'DATA SISWA'!D34</f>
        <v>0</v>
      </c>
      <c r="E34" s="90" t="str">
        <f>'DATA SISWA'!E34</f>
        <v>VII</v>
      </c>
      <c r="F34" s="40"/>
      <c r="G34" s="40"/>
      <c r="H34" s="40"/>
      <c r="I34" s="40"/>
      <c r="J34" s="90" t="str">
        <f t="shared" si="9"/>
        <v/>
      </c>
      <c r="K34" s="90" t="str">
        <f t="shared" si="10"/>
        <v/>
      </c>
      <c r="L34" s="40"/>
      <c r="M34" s="40"/>
      <c r="N34" s="40"/>
      <c r="O34" s="40"/>
      <c r="P34" s="90" t="str">
        <f t="shared" si="11"/>
        <v/>
      </c>
      <c r="Q34" s="90" t="str">
        <f t="shared" si="0"/>
        <v/>
      </c>
      <c r="R34" s="40"/>
      <c r="S34" s="40"/>
      <c r="T34" s="40"/>
      <c r="U34" s="40"/>
      <c r="V34" s="90" t="str">
        <f t="shared" si="12"/>
        <v/>
      </c>
      <c r="W34" s="90" t="str">
        <f t="shared" si="1"/>
        <v/>
      </c>
      <c r="X34" s="40"/>
      <c r="Y34" s="40"/>
      <c r="Z34" s="40"/>
      <c r="AA34" s="40"/>
      <c r="AB34" s="90" t="str">
        <f t="shared" si="13"/>
        <v/>
      </c>
      <c r="AC34" s="90" t="str">
        <f t="shared" si="2"/>
        <v/>
      </c>
      <c r="AD34" s="40"/>
      <c r="AE34" s="40"/>
      <c r="AF34" s="40"/>
      <c r="AG34" s="40"/>
      <c r="AH34" s="90" t="str">
        <f t="shared" si="14"/>
        <v/>
      </c>
      <c r="AI34" s="90" t="str">
        <f t="shared" si="3"/>
        <v/>
      </c>
      <c r="AJ34" s="40"/>
      <c r="AK34" s="40"/>
      <c r="AL34" s="40"/>
      <c r="AM34" s="40"/>
      <c r="AN34" s="90" t="str">
        <f t="shared" si="15"/>
        <v/>
      </c>
      <c r="AO34" s="90" t="str">
        <f t="shared" si="4"/>
        <v/>
      </c>
      <c r="AP34" s="40"/>
      <c r="AQ34" s="40"/>
      <c r="AR34" s="40"/>
      <c r="AS34" s="40"/>
      <c r="AT34" s="90" t="str">
        <f t="shared" si="16"/>
        <v/>
      </c>
      <c r="AU34" s="90" t="str">
        <f t="shared" si="5"/>
        <v/>
      </c>
      <c r="AV34" s="40"/>
      <c r="AW34" s="40"/>
      <c r="AX34" s="40"/>
      <c r="AY34" s="40"/>
      <c r="AZ34" s="90" t="str">
        <f t="shared" si="17"/>
        <v/>
      </c>
      <c r="BA34" s="90" t="str">
        <f t="shared" si="6"/>
        <v/>
      </c>
      <c r="BB34" s="40"/>
      <c r="BC34" s="40"/>
      <c r="BD34" s="40"/>
      <c r="BE34" s="40"/>
      <c r="BF34" s="90" t="str">
        <f t="shared" si="18"/>
        <v/>
      </c>
      <c r="BG34" s="90" t="str">
        <f t="shared" si="7"/>
        <v/>
      </c>
      <c r="BH34" s="40"/>
      <c r="BI34" s="40"/>
      <c r="BJ34" s="40"/>
      <c r="BK34" s="40"/>
      <c r="BL34" s="90" t="str">
        <f t="shared" si="19"/>
        <v/>
      </c>
      <c r="BM34" s="90" t="str">
        <f t="shared" si="8"/>
        <v/>
      </c>
    </row>
    <row r="35" spans="1:65">
      <c r="A35" s="90">
        <f>'DATA SISWA'!A35</f>
        <v>0</v>
      </c>
      <c r="B35" s="90">
        <f>'DATA SISWA'!B35</f>
        <v>0</v>
      </c>
      <c r="C35" s="90">
        <f>'DATA SISWA'!C35</f>
        <v>0</v>
      </c>
      <c r="D35" s="90">
        <f>'DATA SISWA'!D35</f>
        <v>0</v>
      </c>
      <c r="E35" s="90" t="str">
        <f>'DATA SISWA'!E35</f>
        <v>VII</v>
      </c>
      <c r="F35" s="40"/>
      <c r="G35" s="40"/>
      <c r="H35" s="40"/>
      <c r="I35" s="40"/>
      <c r="J35" s="90" t="str">
        <f t="shared" si="9"/>
        <v/>
      </c>
      <c r="K35" s="90" t="str">
        <f t="shared" si="10"/>
        <v/>
      </c>
      <c r="L35" s="40"/>
      <c r="M35" s="40"/>
      <c r="N35" s="40"/>
      <c r="O35" s="40"/>
      <c r="P35" s="90" t="str">
        <f t="shared" si="11"/>
        <v/>
      </c>
      <c r="Q35" s="90" t="str">
        <f t="shared" si="0"/>
        <v/>
      </c>
      <c r="R35" s="40"/>
      <c r="S35" s="40"/>
      <c r="T35" s="40"/>
      <c r="U35" s="40"/>
      <c r="V35" s="90" t="str">
        <f t="shared" si="12"/>
        <v/>
      </c>
      <c r="W35" s="90" t="str">
        <f t="shared" si="1"/>
        <v/>
      </c>
      <c r="X35" s="40"/>
      <c r="Y35" s="40"/>
      <c r="Z35" s="40"/>
      <c r="AA35" s="40"/>
      <c r="AB35" s="90" t="str">
        <f t="shared" si="13"/>
        <v/>
      </c>
      <c r="AC35" s="90" t="str">
        <f t="shared" si="2"/>
        <v/>
      </c>
      <c r="AD35" s="40"/>
      <c r="AE35" s="40"/>
      <c r="AF35" s="40"/>
      <c r="AG35" s="40"/>
      <c r="AH35" s="90" t="str">
        <f t="shared" si="14"/>
        <v/>
      </c>
      <c r="AI35" s="90" t="str">
        <f t="shared" si="3"/>
        <v/>
      </c>
      <c r="AJ35" s="40"/>
      <c r="AK35" s="40"/>
      <c r="AL35" s="40"/>
      <c r="AM35" s="40"/>
      <c r="AN35" s="90" t="str">
        <f t="shared" si="15"/>
        <v/>
      </c>
      <c r="AO35" s="90" t="str">
        <f t="shared" si="4"/>
        <v/>
      </c>
      <c r="AP35" s="40"/>
      <c r="AQ35" s="40"/>
      <c r="AR35" s="40"/>
      <c r="AS35" s="40"/>
      <c r="AT35" s="90" t="str">
        <f t="shared" si="16"/>
        <v/>
      </c>
      <c r="AU35" s="90" t="str">
        <f t="shared" si="5"/>
        <v/>
      </c>
      <c r="AV35" s="40"/>
      <c r="AW35" s="40"/>
      <c r="AX35" s="40"/>
      <c r="AY35" s="40"/>
      <c r="AZ35" s="90" t="str">
        <f t="shared" si="17"/>
        <v/>
      </c>
      <c r="BA35" s="90" t="str">
        <f t="shared" si="6"/>
        <v/>
      </c>
      <c r="BB35" s="40"/>
      <c r="BC35" s="40"/>
      <c r="BD35" s="40"/>
      <c r="BE35" s="40"/>
      <c r="BF35" s="90" t="str">
        <f t="shared" si="18"/>
        <v/>
      </c>
      <c r="BG35" s="90" t="str">
        <f t="shared" si="7"/>
        <v/>
      </c>
      <c r="BH35" s="40"/>
      <c r="BI35" s="40"/>
      <c r="BJ35" s="40"/>
      <c r="BK35" s="40"/>
      <c r="BL35" s="90" t="str">
        <f t="shared" si="19"/>
        <v/>
      </c>
      <c r="BM35" s="90" t="str">
        <f t="shared" si="8"/>
        <v/>
      </c>
    </row>
    <row r="36" spans="1:65">
      <c r="A36" s="90">
        <f>'DATA SISWA'!A36</f>
        <v>0</v>
      </c>
      <c r="B36" s="90">
        <f>'DATA SISWA'!B36</f>
        <v>0</v>
      </c>
      <c r="C36" s="90">
        <f>'DATA SISWA'!C36</f>
        <v>0</v>
      </c>
      <c r="D36" s="90">
        <f>'DATA SISWA'!D36</f>
        <v>0</v>
      </c>
      <c r="E36" s="90" t="str">
        <f>'DATA SISWA'!E36</f>
        <v>VII</v>
      </c>
      <c r="F36" s="40"/>
      <c r="G36" s="40"/>
      <c r="H36" s="40"/>
      <c r="I36" s="40"/>
      <c r="J36" s="90" t="str">
        <f t="shared" si="9"/>
        <v/>
      </c>
      <c r="K36" s="90" t="str">
        <f t="shared" si="10"/>
        <v/>
      </c>
      <c r="L36" s="40"/>
      <c r="M36" s="40"/>
      <c r="N36" s="40"/>
      <c r="O36" s="40"/>
      <c r="P36" s="90" t="str">
        <f t="shared" si="11"/>
        <v/>
      </c>
      <c r="Q36" s="90" t="str">
        <f t="shared" si="0"/>
        <v/>
      </c>
      <c r="R36" s="40"/>
      <c r="S36" s="40"/>
      <c r="T36" s="40"/>
      <c r="U36" s="40"/>
      <c r="V36" s="90" t="str">
        <f t="shared" si="12"/>
        <v/>
      </c>
      <c r="W36" s="90" t="str">
        <f t="shared" si="1"/>
        <v/>
      </c>
      <c r="X36" s="40"/>
      <c r="Y36" s="40"/>
      <c r="Z36" s="40"/>
      <c r="AA36" s="40"/>
      <c r="AB36" s="90" t="str">
        <f t="shared" si="13"/>
        <v/>
      </c>
      <c r="AC36" s="90" t="str">
        <f t="shared" si="2"/>
        <v/>
      </c>
      <c r="AD36" s="40"/>
      <c r="AE36" s="40"/>
      <c r="AF36" s="40"/>
      <c r="AG36" s="40"/>
      <c r="AH36" s="90" t="str">
        <f t="shared" si="14"/>
        <v/>
      </c>
      <c r="AI36" s="90" t="str">
        <f t="shared" si="3"/>
        <v/>
      </c>
      <c r="AJ36" s="40"/>
      <c r="AK36" s="40"/>
      <c r="AL36" s="40"/>
      <c r="AM36" s="40"/>
      <c r="AN36" s="90" t="str">
        <f t="shared" si="15"/>
        <v/>
      </c>
      <c r="AO36" s="90" t="str">
        <f t="shared" si="4"/>
        <v/>
      </c>
      <c r="AP36" s="40"/>
      <c r="AQ36" s="40"/>
      <c r="AR36" s="40"/>
      <c r="AS36" s="40"/>
      <c r="AT36" s="90" t="str">
        <f t="shared" si="16"/>
        <v/>
      </c>
      <c r="AU36" s="90" t="str">
        <f t="shared" si="5"/>
        <v/>
      </c>
      <c r="AV36" s="40"/>
      <c r="AW36" s="40"/>
      <c r="AX36" s="40"/>
      <c r="AY36" s="40"/>
      <c r="AZ36" s="90" t="str">
        <f t="shared" si="17"/>
        <v/>
      </c>
      <c r="BA36" s="90" t="str">
        <f t="shared" si="6"/>
        <v/>
      </c>
      <c r="BB36" s="40"/>
      <c r="BC36" s="40"/>
      <c r="BD36" s="40"/>
      <c r="BE36" s="40"/>
      <c r="BF36" s="90" t="str">
        <f t="shared" si="18"/>
        <v/>
      </c>
      <c r="BG36" s="90" t="str">
        <f t="shared" si="7"/>
        <v/>
      </c>
      <c r="BH36" s="40"/>
      <c r="BI36" s="40"/>
      <c r="BJ36" s="40"/>
      <c r="BK36" s="40"/>
      <c r="BL36" s="90" t="str">
        <f t="shared" si="19"/>
        <v/>
      </c>
      <c r="BM36" s="90" t="str">
        <f t="shared" si="8"/>
        <v/>
      </c>
    </row>
    <row r="37" spans="1:65">
      <c r="A37" s="90">
        <f>'DATA SISWA'!A37</f>
        <v>0</v>
      </c>
      <c r="B37" s="90">
        <f>'DATA SISWA'!B37</f>
        <v>0</v>
      </c>
      <c r="C37" s="90">
        <f>'DATA SISWA'!C37</f>
        <v>0</v>
      </c>
      <c r="D37" s="90">
        <f>'DATA SISWA'!D37</f>
        <v>0</v>
      </c>
      <c r="E37" s="90" t="str">
        <f>'DATA SISWA'!E37</f>
        <v>VII</v>
      </c>
      <c r="F37" s="40"/>
      <c r="G37" s="40"/>
      <c r="H37" s="40"/>
      <c r="I37" s="40"/>
      <c r="J37" s="90" t="str">
        <f t="shared" si="9"/>
        <v/>
      </c>
      <c r="K37" s="90" t="str">
        <f t="shared" si="10"/>
        <v/>
      </c>
      <c r="L37" s="40"/>
      <c r="M37" s="40"/>
      <c r="N37" s="40"/>
      <c r="O37" s="40"/>
      <c r="P37" s="90" t="str">
        <f t="shared" si="11"/>
        <v/>
      </c>
      <c r="Q37" s="90" t="str">
        <f t="shared" si="0"/>
        <v/>
      </c>
      <c r="R37" s="40"/>
      <c r="S37" s="40"/>
      <c r="T37" s="40"/>
      <c r="U37" s="40"/>
      <c r="V37" s="90" t="str">
        <f t="shared" si="12"/>
        <v/>
      </c>
      <c r="W37" s="90" t="str">
        <f t="shared" si="1"/>
        <v/>
      </c>
      <c r="X37" s="40"/>
      <c r="Y37" s="40"/>
      <c r="Z37" s="40"/>
      <c r="AA37" s="40"/>
      <c r="AB37" s="90" t="str">
        <f t="shared" si="13"/>
        <v/>
      </c>
      <c r="AC37" s="90" t="str">
        <f t="shared" si="2"/>
        <v/>
      </c>
      <c r="AD37" s="40"/>
      <c r="AE37" s="40"/>
      <c r="AF37" s="40"/>
      <c r="AG37" s="40"/>
      <c r="AH37" s="90" t="str">
        <f t="shared" si="14"/>
        <v/>
      </c>
      <c r="AI37" s="90" t="str">
        <f t="shared" si="3"/>
        <v/>
      </c>
      <c r="AJ37" s="40"/>
      <c r="AK37" s="40"/>
      <c r="AL37" s="40"/>
      <c r="AM37" s="40"/>
      <c r="AN37" s="90" t="str">
        <f t="shared" si="15"/>
        <v/>
      </c>
      <c r="AO37" s="90" t="str">
        <f t="shared" si="4"/>
        <v/>
      </c>
      <c r="AP37" s="40"/>
      <c r="AQ37" s="40"/>
      <c r="AR37" s="40"/>
      <c r="AS37" s="40"/>
      <c r="AT37" s="90" t="str">
        <f t="shared" si="16"/>
        <v/>
      </c>
      <c r="AU37" s="90" t="str">
        <f t="shared" si="5"/>
        <v/>
      </c>
      <c r="AV37" s="40"/>
      <c r="AW37" s="40"/>
      <c r="AX37" s="40"/>
      <c r="AY37" s="40"/>
      <c r="AZ37" s="90" t="str">
        <f t="shared" si="17"/>
        <v/>
      </c>
      <c r="BA37" s="90" t="str">
        <f t="shared" si="6"/>
        <v/>
      </c>
      <c r="BB37" s="40"/>
      <c r="BC37" s="40"/>
      <c r="BD37" s="40"/>
      <c r="BE37" s="40"/>
      <c r="BF37" s="90" t="str">
        <f t="shared" si="18"/>
        <v/>
      </c>
      <c r="BG37" s="90" t="str">
        <f t="shared" si="7"/>
        <v/>
      </c>
      <c r="BH37" s="40"/>
      <c r="BI37" s="40"/>
      <c r="BJ37" s="40"/>
      <c r="BK37" s="40"/>
      <c r="BL37" s="90" t="str">
        <f t="shared" si="19"/>
        <v/>
      </c>
      <c r="BM37" s="90" t="str">
        <f t="shared" si="8"/>
        <v/>
      </c>
    </row>
    <row r="38" spans="1:65">
      <c r="A38" s="90">
        <f>'DATA SISWA'!A38</f>
        <v>0</v>
      </c>
      <c r="B38" s="90">
        <f>'DATA SISWA'!B38</f>
        <v>0</v>
      </c>
      <c r="C38" s="90">
        <f>'DATA SISWA'!C38</f>
        <v>0</v>
      </c>
      <c r="D38" s="90">
        <f>'DATA SISWA'!D38</f>
        <v>0</v>
      </c>
      <c r="E38" s="90" t="str">
        <f>'DATA SISWA'!E38</f>
        <v>VII</v>
      </c>
      <c r="F38" s="40"/>
      <c r="G38" s="40"/>
      <c r="H38" s="40"/>
      <c r="I38" s="40"/>
      <c r="J38" s="90" t="str">
        <f t="shared" si="9"/>
        <v/>
      </c>
      <c r="K38" s="90" t="str">
        <f t="shared" si="10"/>
        <v/>
      </c>
      <c r="L38" s="40"/>
      <c r="M38" s="40"/>
      <c r="N38" s="40"/>
      <c r="O38" s="40"/>
      <c r="P38" s="90" t="str">
        <f t="shared" si="11"/>
        <v/>
      </c>
      <c r="Q38" s="90" t="str">
        <f t="shared" si="0"/>
        <v/>
      </c>
      <c r="R38" s="40"/>
      <c r="S38" s="40"/>
      <c r="T38" s="40"/>
      <c r="U38" s="40"/>
      <c r="V38" s="90" t="str">
        <f t="shared" si="12"/>
        <v/>
      </c>
      <c r="W38" s="90" t="str">
        <f t="shared" si="1"/>
        <v/>
      </c>
      <c r="X38" s="40"/>
      <c r="Y38" s="40"/>
      <c r="Z38" s="40"/>
      <c r="AA38" s="40"/>
      <c r="AB38" s="90" t="str">
        <f t="shared" si="13"/>
        <v/>
      </c>
      <c r="AC38" s="90" t="str">
        <f t="shared" si="2"/>
        <v/>
      </c>
      <c r="AD38" s="40"/>
      <c r="AE38" s="40"/>
      <c r="AF38" s="40"/>
      <c r="AG38" s="40"/>
      <c r="AH38" s="90" t="str">
        <f t="shared" si="14"/>
        <v/>
      </c>
      <c r="AI38" s="90" t="str">
        <f t="shared" si="3"/>
        <v/>
      </c>
      <c r="AJ38" s="40"/>
      <c r="AK38" s="40"/>
      <c r="AL38" s="40"/>
      <c r="AM38" s="40"/>
      <c r="AN38" s="90" t="str">
        <f t="shared" si="15"/>
        <v/>
      </c>
      <c r="AO38" s="90" t="str">
        <f t="shared" si="4"/>
        <v/>
      </c>
      <c r="AP38" s="40"/>
      <c r="AQ38" s="40"/>
      <c r="AR38" s="40"/>
      <c r="AS38" s="40"/>
      <c r="AT38" s="90" t="str">
        <f t="shared" si="16"/>
        <v/>
      </c>
      <c r="AU38" s="90" t="str">
        <f t="shared" si="5"/>
        <v/>
      </c>
      <c r="AV38" s="40"/>
      <c r="AW38" s="40"/>
      <c r="AX38" s="40"/>
      <c r="AY38" s="40"/>
      <c r="AZ38" s="90" t="str">
        <f t="shared" si="17"/>
        <v/>
      </c>
      <c r="BA38" s="90" t="str">
        <f t="shared" si="6"/>
        <v/>
      </c>
      <c r="BB38" s="40"/>
      <c r="BC38" s="40"/>
      <c r="BD38" s="40"/>
      <c r="BE38" s="40"/>
      <c r="BF38" s="90" t="str">
        <f t="shared" si="18"/>
        <v/>
      </c>
      <c r="BG38" s="90" t="str">
        <f t="shared" si="7"/>
        <v/>
      </c>
      <c r="BH38" s="40"/>
      <c r="BI38" s="40"/>
      <c r="BJ38" s="40"/>
      <c r="BK38" s="40"/>
      <c r="BL38" s="90" t="str">
        <f t="shared" si="19"/>
        <v/>
      </c>
      <c r="BM38" s="90" t="str">
        <f t="shared" si="8"/>
        <v/>
      </c>
    </row>
    <row r="39" spans="1:65">
      <c r="A39" s="90">
        <f>'DATA SISWA'!A39</f>
        <v>0</v>
      </c>
      <c r="B39" s="90">
        <f>'DATA SISWA'!B39</f>
        <v>0</v>
      </c>
      <c r="C39" s="90">
        <f>'DATA SISWA'!C39</f>
        <v>0</v>
      </c>
      <c r="D39" s="90">
        <f>'DATA SISWA'!D39</f>
        <v>0</v>
      </c>
      <c r="E39" s="90" t="str">
        <f>'DATA SISWA'!E39</f>
        <v>VII</v>
      </c>
      <c r="F39" s="40"/>
      <c r="G39" s="40"/>
      <c r="H39" s="40"/>
      <c r="I39" s="40"/>
      <c r="J39" s="90" t="str">
        <f t="shared" si="9"/>
        <v/>
      </c>
      <c r="K39" s="90" t="str">
        <f t="shared" si="10"/>
        <v/>
      </c>
      <c r="L39" s="40"/>
      <c r="M39" s="40"/>
      <c r="N39" s="40"/>
      <c r="O39" s="40"/>
      <c r="P39" s="90" t="str">
        <f t="shared" si="11"/>
        <v/>
      </c>
      <c r="Q39" s="90" t="str">
        <f t="shared" si="0"/>
        <v/>
      </c>
      <c r="R39" s="40"/>
      <c r="S39" s="40"/>
      <c r="T39" s="40"/>
      <c r="U39" s="40"/>
      <c r="V39" s="90" t="str">
        <f t="shared" si="12"/>
        <v/>
      </c>
      <c r="W39" s="90" t="str">
        <f t="shared" si="1"/>
        <v/>
      </c>
      <c r="X39" s="40"/>
      <c r="Y39" s="40"/>
      <c r="Z39" s="40"/>
      <c r="AA39" s="40"/>
      <c r="AB39" s="90" t="str">
        <f t="shared" si="13"/>
        <v/>
      </c>
      <c r="AC39" s="90" t="str">
        <f t="shared" si="2"/>
        <v/>
      </c>
      <c r="AD39" s="40"/>
      <c r="AE39" s="40"/>
      <c r="AF39" s="40"/>
      <c r="AG39" s="40"/>
      <c r="AH39" s="90" t="str">
        <f t="shared" si="14"/>
        <v/>
      </c>
      <c r="AI39" s="90" t="str">
        <f t="shared" si="3"/>
        <v/>
      </c>
      <c r="AJ39" s="40"/>
      <c r="AK39" s="40"/>
      <c r="AL39" s="40"/>
      <c r="AM39" s="40"/>
      <c r="AN39" s="90" t="str">
        <f t="shared" si="15"/>
        <v/>
      </c>
      <c r="AO39" s="90" t="str">
        <f t="shared" si="4"/>
        <v/>
      </c>
      <c r="AP39" s="40"/>
      <c r="AQ39" s="40"/>
      <c r="AR39" s="40"/>
      <c r="AS39" s="40"/>
      <c r="AT39" s="90" t="str">
        <f t="shared" si="16"/>
        <v/>
      </c>
      <c r="AU39" s="90" t="str">
        <f t="shared" si="5"/>
        <v/>
      </c>
      <c r="AV39" s="40"/>
      <c r="AW39" s="40"/>
      <c r="AX39" s="40"/>
      <c r="AY39" s="40"/>
      <c r="AZ39" s="90" t="str">
        <f t="shared" si="17"/>
        <v/>
      </c>
      <c r="BA39" s="90" t="str">
        <f t="shared" si="6"/>
        <v/>
      </c>
      <c r="BB39" s="40"/>
      <c r="BC39" s="40"/>
      <c r="BD39" s="40"/>
      <c r="BE39" s="40"/>
      <c r="BF39" s="90" t="str">
        <f t="shared" si="18"/>
        <v/>
      </c>
      <c r="BG39" s="90" t="str">
        <f t="shared" si="7"/>
        <v/>
      </c>
      <c r="BH39" s="40"/>
      <c r="BI39" s="40"/>
      <c r="BJ39" s="40"/>
      <c r="BK39" s="40"/>
      <c r="BL39" s="90" t="str">
        <f t="shared" si="19"/>
        <v/>
      </c>
      <c r="BM39" s="90" t="str">
        <f t="shared" si="8"/>
        <v/>
      </c>
    </row>
    <row r="40" spans="1:65">
      <c r="A40" s="90">
        <f>'DATA SISWA'!A40</f>
        <v>0</v>
      </c>
      <c r="B40" s="90">
        <f>'DATA SISWA'!B40</f>
        <v>0</v>
      </c>
      <c r="C40" s="90">
        <f>'DATA SISWA'!C40</f>
        <v>0</v>
      </c>
      <c r="D40" s="90">
        <f>'DATA SISWA'!D40</f>
        <v>0</v>
      </c>
      <c r="E40" s="90" t="str">
        <f>'DATA SISWA'!E40</f>
        <v>VII</v>
      </c>
      <c r="F40" s="40"/>
      <c r="G40" s="40"/>
      <c r="H40" s="40"/>
      <c r="I40" s="40"/>
      <c r="J40" s="90" t="str">
        <f t="shared" si="9"/>
        <v/>
      </c>
      <c r="K40" s="90" t="str">
        <f t="shared" si="10"/>
        <v/>
      </c>
      <c r="L40" s="40"/>
      <c r="M40" s="40"/>
      <c r="N40" s="40"/>
      <c r="O40" s="40"/>
      <c r="P40" s="90" t="str">
        <f t="shared" si="11"/>
        <v/>
      </c>
      <c r="Q40" s="90" t="str">
        <f t="shared" si="0"/>
        <v/>
      </c>
      <c r="R40" s="40"/>
      <c r="S40" s="40"/>
      <c r="T40" s="40"/>
      <c r="U40" s="40"/>
      <c r="V40" s="90" t="str">
        <f t="shared" si="12"/>
        <v/>
      </c>
      <c r="W40" s="90" t="str">
        <f t="shared" si="1"/>
        <v/>
      </c>
      <c r="X40" s="40"/>
      <c r="Y40" s="40"/>
      <c r="Z40" s="40"/>
      <c r="AA40" s="40"/>
      <c r="AB40" s="90" t="str">
        <f t="shared" si="13"/>
        <v/>
      </c>
      <c r="AC40" s="90" t="str">
        <f t="shared" si="2"/>
        <v/>
      </c>
      <c r="AD40" s="40"/>
      <c r="AE40" s="40"/>
      <c r="AF40" s="40"/>
      <c r="AG40" s="40"/>
      <c r="AH40" s="90" t="str">
        <f t="shared" si="14"/>
        <v/>
      </c>
      <c r="AI40" s="90" t="str">
        <f t="shared" si="3"/>
        <v/>
      </c>
      <c r="AJ40" s="40"/>
      <c r="AK40" s="40"/>
      <c r="AL40" s="40"/>
      <c r="AM40" s="40"/>
      <c r="AN40" s="90" t="str">
        <f t="shared" si="15"/>
        <v/>
      </c>
      <c r="AO40" s="90" t="str">
        <f t="shared" si="4"/>
        <v/>
      </c>
      <c r="AP40" s="40"/>
      <c r="AQ40" s="40"/>
      <c r="AR40" s="40"/>
      <c r="AS40" s="40"/>
      <c r="AT40" s="90" t="str">
        <f t="shared" si="16"/>
        <v/>
      </c>
      <c r="AU40" s="90" t="str">
        <f t="shared" si="5"/>
        <v/>
      </c>
      <c r="AV40" s="40"/>
      <c r="AW40" s="40"/>
      <c r="AX40" s="40"/>
      <c r="AY40" s="40"/>
      <c r="AZ40" s="90" t="str">
        <f t="shared" si="17"/>
        <v/>
      </c>
      <c r="BA40" s="90" t="str">
        <f t="shared" si="6"/>
        <v/>
      </c>
      <c r="BB40" s="40"/>
      <c r="BC40" s="40"/>
      <c r="BD40" s="40"/>
      <c r="BE40" s="40"/>
      <c r="BF40" s="90" t="str">
        <f t="shared" si="18"/>
        <v/>
      </c>
      <c r="BG40" s="90" t="str">
        <f t="shared" si="7"/>
        <v/>
      </c>
      <c r="BH40" s="40"/>
      <c r="BI40" s="40"/>
      <c r="BJ40" s="40"/>
      <c r="BK40" s="40"/>
      <c r="BL40" s="90" t="str">
        <f t="shared" si="19"/>
        <v/>
      </c>
      <c r="BM40" s="90" t="str">
        <f t="shared" si="8"/>
        <v/>
      </c>
    </row>
    <row r="41" spans="1:65">
      <c r="A41" s="90">
        <f>'DATA SISWA'!A41</f>
        <v>0</v>
      </c>
      <c r="B41" s="90">
        <f>'DATA SISWA'!B41</f>
        <v>0</v>
      </c>
      <c r="C41" s="90">
        <f>'DATA SISWA'!C41</f>
        <v>0</v>
      </c>
      <c r="D41" s="90">
        <f>'DATA SISWA'!D41</f>
        <v>0</v>
      </c>
      <c r="E41" s="90" t="str">
        <f>'DATA SISWA'!E41</f>
        <v>VII</v>
      </c>
      <c r="F41" s="40"/>
      <c r="G41" s="40"/>
      <c r="H41" s="40"/>
      <c r="I41" s="40"/>
      <c r="J41" s="90" t="str">
        <f t="shared" si="9"/>
        <v/>
      </c>
      <c r="K41" s="90" t="str">
        <f t="shared" si="10"/>
        <v/>
      </c>
      <c r="L41" s="40"/>
      <c r="M41" s="40"/>
      <c r="N41" s="40"/>
      <c r="O41" s="40"/>
      <c r="P41" s="90" t="str">
        <f t="shared" si="11"/>
        <v/>
      </c>
      <c r="Q41" s="90" t="str">
        <f t="shared" si="0"/>
        <v/>
      </c>
      <c r="R41" s="40"/>
      <c r="S41" s="40"/>
      <c r="T41" s="40"/>
      <c r="U41" s="40"/>
      <c r="V41" s="90" t="str">
        <f t="shared" si="12"/>
        <v/>
      </c>
      <c r="W41" s="90" t="str">
        <f t="shared" si="1"/>
        <v/>
      </c>
      <c r="X41" s="40"/>
      <c r="Y41" s="40"/>
      <c r="Z41" s="40"/>
      <c r="AA41" s="40"/>
      <c r="AB41" s="90" t="str">
        <f t="shared" si="13"/>
        <v/>
      </c>
      <c r="AC41" s="90" t="str">
        <f t="shared" si="2"/>
        <v/>
      </c>
      <c r="AD41" s="40"/>
      <c r="AE41" s="40"/>
      <c r="AF41" s="40"/>
      <c r="AG41" s="40"/>
      <c r="AH41" s="90" t="str">
        <f t="shared" si="14"/>
        <v/>
      </c>
      <c r="AI41" s="90" t="str">
        <f t="shared" si="3"/>
        <v/>
      </c>
      <c r="AJ41" s="40"/>
      <c r="AK41" s="40"/>
      <c r="AL41" s="40"/>
      <c r="AM41" s="40"/>
      <c r="AN41" s="90" t="str">
        <f t="shared" si="15"/>
        <v/>
      </c>
      <c r="AO41" s="90" t="str">
        <f t="shared" si="4"/>
        <v/>
      </c>
      <c r="AP41" s="40"/>
      <c r="AQ41" s="40"/>
      <c r="AR41" s="40"/>
      <c r="AS41" s="40"/>
      <c r="AT41" s="90" t="str">
        <f t="shared" si="16"/>
        <v/>
      </c>
      <c r="AU41" s="90" t="str">
        <f t="shared" si="5"/>
        <v/>
      </c>
      <c r="AV41" s="40"/>
      <c r="AW41" s="40"/>
      <c r="AX41" s="40"/>
      <c r="AY41" s="40"/>
      <c r="AZ41" s="90" t="str">
        <f t="shared" si="17"/>
        <v/>
      </c>
      <c r="BA41" s="90" t="str">
        <f t="shared" si="6"/>
        <v/>
      </c>
      <c r="BB41" s="40"/>
      <c r="BC41" s="40"/>
      <c r="BD41" s="40"/>
      <c r="BE41" s="40"/>
      <c r="BF41" s="90" t="str">
        <f t="shared" si="18"/>
        <v/>
      </c>
      <c r="BG41" s="90" t="str">
        <f t="shared" si="7"/>
        <v/>
      </c>
      <c r="BH41" s="40"/>
      <c r="BI41" s="40"/>
      <c r="BJ41" s="40"/>
      <c r="BK41" s="40"/>
      <c r="BL41" s="90" t="str">
        <f t="shared" si="19"/>
        <v/>
      </c>
      <c r="BM41" s="90" t="str">
        <f t="shared" si="8"/>
        <v/>
      </c>
    </row>
    <row r="42" spans="1:65">
      <c r="A42" s="90">
        <f>'DATA SISWA'!A42</f>
        <v>0</v>
      </c>
      <c r="B42" s="90">
        <f>'DATA SISWA'!B42</f>
        <v>0</v>
      </c>
      <c r="C42" s="90">
        <f>'DATA SISWA'!C42</f>
        <v>0</v>
      </c>
      <c r="D42" s="90">
        <f>'DATA SISWA'!D42</f>
        <v>0</v>
      </c>
      <c r="E42" s="90" t="str">
        <f>'DATA SISWA'!E42</f>
        <v>VII</v>
      </c>
      <c r="F42" s="40"/>
      <c r="G42" s="40"/>
      <c r="H42" s="40"/>
      <c r="I42" s="40"/>
      <c r="J42" s="90" t="str">
        <f t="shared" si="9"/>
        <v/>
      </c>
      <c r="K42" s="90" t="str">
        <f t="shared" si="10"/>
        <v/>
      </c>
      <c r="L42" s="40"/>
      <c r="M42" s="40"/>
      <c r="N42" s="40"/>
      <c r="O42" s="40"/>
      <c r="P42" s="90" t="str">
        <f t="shared" si="11"/>
        <v/>
      </c>
      <c r="Q42" s="90" t="str">
        <f t="shared" si="0"/>
        <v/>
      </c>
      <c r="R42" s="40"/>
      <c r="S42" s="40"/>
      <c r="T42" s="40"/>
      <c r="U42" s="40"/>
      <c r="V42" s="90" t="str">
        <f t="shared" si="12"/>
        <v/>
      </c>
      <c r="W42" s="90" t="str">
        <f t="shared" si="1"/>
        <v/>
      </c>
      <c r="X42" s="40"/>
      <c r="Y42" s="40"/>
      <c r="Z42" s="40"/>
      <c r="AA42" s="40"/>
      <c r="AB42" s="90" t="str">
        <f t="shared" si="13"/>
        <v/>
      </c>
      <c r="AC42" s="90" t="str">
        <f t="shared" si="2"/>
        <v/>
      </c>
      <c r="AD42" s="40"/>
      <c r="AE42" s="40"/>
      <c r="AF42" s="40"/>
      <c r="AG42" s="40"/>
      <c r="AH42" s="90" t="str">
        <f t="shared" si="14"/>
        <v/>
      </c>
      <c r="AI42" s="90" t="str">
        <f t="shared" si="3"/>
        <v/>
      </c>
      <c r="AJ42" s="40"/>
      <c r="AK42" s="40"/>
      <c r="AL42" s="40"/>
      <c r="AM42" s="40"/>
      <c r="AN42" s="90" t="str">
        <f t="shared" si="15"/>
        <v/>
      </c>
      <c r="AO42" s="90" t="str">
        <f t="shared" si="4"/>
        <v/>
      </c>
      <c r="AP42" s="40"/>
      <c r="AQ42" s="40"/>
      <c r="AR42" s="40"/>
      <c r="AS42" s="40"/>
      <c r="AT42" s="90" t="str">
        <f t="shared" si="16"/>
        <v/>
      </c>
      <c r="AU42" s="90" t="str">
        <f t="shared" si="5"/>
        <v/>
      </c>
      <c r="AV42" s="40"/>
      <c r="AW42" s="40"/>
      <c r="AX42" s="40"/>
      <c r="AY42" s="40"/>
      <c r="AZ42" s="90" t="str">
        <f t="shared" si="17"/>
        <v/>
      </c>
      <c r="BA42" s="90" t="str">
        <f t="shared" si="6"/>
        <v/>
      </c>
      <c r="BB42" s="40"/>
      <c r="BC42" s="40"/>
      <c r="BD42" s="40"/>
      <c r="BE42" s="40"/>
      <c r="BF42" s="90" t="str">
        <f t="shared" si="18"/>
        <v/>
      </c>
      <c r="BG42" s="90" t="str">
        <f t="shared" si="7"/>
        <v/>
      </c>
      <c r="BH42" s="40"/>
      <c r="BI42" s="40"/>
      <c r="BJ42" s="40"/>
      <c r="BK42" s="40"/>
      <c r="BL42" s="90" t="str">
        <f t="shared" si="19"/>
        <v/>
      </c>
      <c r="BM42" s="90" t="str">
        <f t="shared" si="8"/>
        <v/>
      </c>
    </row>
    <row r="43" spans="1:65">
      <c r="A43" s="90">
        <f>'DATA SISWA'!A43</f>
        <v>0</v>
      </c>
      <c r="B43" s="90">
        <f>'DATA SISWA'!B43</f>
        <v>0</v>
      </c>
      <c r="C43" s="90">
        <f>'DATA SISWA'!C43</f>
        <v>0</v>
      </c>
      <c r="D43" s="90">
        <f>'DATA SISWA'!D43</f>
        <v>0</v>
      </c>
      <c r="E43" s="90" t="str">
        <f>'DATA SISWA'!E43</f>
        <v>VII</v>
      </c>
      <c r="F43" s="40"/>
      <c r="G43" s="40"/>
      <c r="H43" s="40"/>
      <c r="I43" s="40"/>
      <c r="J43" s="90" t="str">
        <f t="shared" si="9"/>
        <v/>
      </c>
      <c r="K43" s="90" t="str">
        <f t="shared" si="10"/>
        <v/>
      </c>
      <c r="L43" s="40"/>
      <c r="M43" s="40"/>
      <c r="N43" s="40"/>
      <c r="O43" s="40"/>
      <c r="P43" s="90" t="str">
        <f t="shared" si="11"/>
        <v/>
      </c>
      <c r="Q43" s="90" t="str">
        <f t="shared" si="0"/>
        <v/>
      </c>
      <c r="R43" s="40"/>
      <c r="S43" s="40"/>
      <c r="T43" s="40"/>
      <c r="U43" s="40"/>
      <c r="V43" s="90" t="str">
        <f t="shared" si="12"/>
        <v/>
      </c>
      <c r="W43" s="90" t="str">
        <f t="shared" si="1"/>
        <v/>
      </c>
      <c r="X43" s="40"/>
      <c r="Y43" s="40"/>
      <c r="Z43" s="40"/>
      <c r="AA43" s="40"/>
      <c r="AB43" s="90" t="str">
        <f t="shared" si="13"/>
        <v/>
      </c>
      <c r="AC43" s="90" t="str">
        <f t="shared" si="2"/>
        <v/>
      </c>
      <c r="AD43" s="40"/>
      <c r="AE43" s="40"/>
      <c r="AF43" s="40"/>
      <c r="AG43" s="40"/>
      <c r="AH43" s="90" t="str">
        <f t="shared" si="14"/>
        <v/>
      </c>
      <c r="AI43" s="90" t="str">
        <f t="shared" si="3"/>
        <v/>
      </c>
      <c r="AJ43" s="40"/>
      <c r="AK43" s="40"/>
      <c r="AL43" s="40"/>
      <c r="AM43" s="40"/>
      <c r="AN43" s="90" t="str">
        <f t="shared" si="15"/>
        <v/>
      </c>
      <c r="AO43" s="90" t="str">
        <f t="shared" si="4"/>
        <v/>
      </c>
      <c r="AP43" s="40"/>
      <c r="AQ43" s="40"/>
      <c r="AR43" s="40"/>
      <c r="AS43" s="40"/>
      <c r="AT43" s="90" t="str">
        <f t="shared" si="16"/>
        <v/>
      </c>
      <c r="AU43" s="90" t="str">
        <f t="shared" si="5"/>
        <v/>
      </c>
      <c r="AV43" s="40"/>
      <c r="AW43" s="40"/>
      <c r="AX43" s="40"/>
      <c r="AY43" s="40"/>
      <c r="AZ43" s="90" t="str">
        <f t="shared" si="17"/>
        <v/>
      </c>
      <c r="BA43" s="90" t="str">
        <f t="shared" si="6"/>
        <v/>
      </c>
      <c r="BB43" s="40"/>
      <c r="BC43" s="40"/>
      <c r="BD43" s="40"/>
      <c r="BE43" s="40"/>
      <c r="BF43" s="90" t="str">
        <f t="shared" si="18"/>
        <v/>
      </c>
      <c r="BG43" s="90" t="str">
        <f t="shared" si="7"/>
        <v/>
      </c>
      <c r="BH43" s="40"/>
      <c r="BI43" s="40"/>
      <c r="BJ43" s="40"/>
      <c r="BK43" s="40"/>
      <c r="BL43" s="90" t="str">
        <f t="shared" si="19"/>
        <v/>
      </c>
      <c r="BM43" s="90" t="str">
        <f t="shared" si="8"/>
        <v/>
      </c>
    </row>
    <row r="44" spans="1:65">
      <c r="A44" s="90">
        <f>'DATA SISWA'!A44</f>
        <v>0</v>
      </c>
      <c r="B44" s="90">
        <f>'DATA SISWA'!B44</f>
        <v>0</v>
      </c>
      <c r="C44" s="90">
        <f>'DATA SISWA'!C44</f>
        <v>0</v>
      </c>
      <c r="D44" s="90">
        <f>'DATA SISWA'!D44</f>
        <v>0</v>
      </c>
      <c r="E44" s="90" t="str">
        <f>'DATA SISWA'!E44</f>
        <v>VII</v>
      </c>
      <c r="F44" s="40"/>
      <c r="G44" s="40"/>
      <c r="H44" s="40"/>
      <c r="I44" s="40"/>
      <c r="J44" s="90" t="str">
        <f t="shared" si="9"/>
        <v/>
      </c>
      <c r="K44" s="90" t="str">
        <f t="shared" si="10"/>
        <v/>
      </c>
      <c r="L44" s="40"/>
      <c r="M44" s="40"/>
      <c r="N44" s="40"/>
      <c r="O44" s="40"/>
      <c r="P44" s="90" t="str">
        <f t="shared" si="11"/>
        <v/>
      </c>
      <c r="Q44" s="90" t="str">
        <f t="shared" si="0"/>
        <v/>
      </c>
      <c r="R44" s="40"/>
      <c r="S44" s="40"/>
      <c r="T44" s="40"/>
      <c r="U44" s="40"/>
      <c r="V44" s="90" t="str">
        <f t="shared" si="12"/>
        <v/>
      </c>
      <c r="W44" s="90" t="str">
        <f t="shared" si="1"/>
        <v/>
      </c>
      <c r="X44" s="40"/>
      <c r="Y44" s="40"/>
      <c r="Z44" s="40"/>
      <c r="AA44" s="40"/>
      <c r="AB44" s="90" t="str">
        <f t="shared" si="13"/>
        <v/>
      </c>
      <c r="AC44" s="90" t="str">
        <f t="shared" si="2"/>
        <v/>
      </c>
      <c r="AD44" s="40"/>
      <c r="AE44" s="40"/>
      <c r="AF44" s="40"/>
      <c r="AG44" s="40"/>
      <c r="AH44" s="90" t="str">
        <f t="shared" si="14"/>
        <v/>
      </c>
      <c r="AI44" s="90" t="str">
        <f t="shared" si="3"/>
        <v/>
      </c>
      <c r="AJ44" s="40"/>
      <c r="AK44" s="40"/>
      <c r="AL44" s="40"/>
      <c r="AM44" s="40"/>
      <c r="AN44" s="90" t="str">
        <f t="shared" si="15"/>
        <v/>
      </c>
      <c r="AO44" s="90" t="str">
        <f t="shared" si="4"/>
        <v/>
      </c>
      <c r="AP44" s="40"/>
      <c r="AQ44" s="40"/>
      <c r="AR44" s="40"/>
      <c r="AS44" s="40"/>
      <c r="AT44" s="90" t="str">
        <f t="shared" si="16"/>
        <v/>
      </c>
      <c r="AU44" s="90" t="str">
        <f t="shared" si="5"/>
        <v/>
      </c>
      <c r="AV44" s="40"/>
      <c r="AW44" s="40"/>
      <c r="AX44" s="40"/>
      <c r="AY44" s="40"/>
      <c r="AZ44" s="90" t="str">
        <f t="shared" si="17"/>
        <v/>
      </c>
      <c r="BA44" s="90" t="str">
        <f t="shared" si="6"/>
        <v/>
      </c>
      <c r="BB44" s="40"/>
      <c r="BC44" s="40"/>
      <c r="BD44" s="40"/>
      <c r="BE44" s="40"/>
      <c r="BF44" s="90" t="str">
        <f t="shared" si="18"/>
        <v/>
      </c>
      <c r="BG44" s="90" t="str">
        <f t="shared" si="7"/>
        <v/>
      </c>
      <c r="BH44" s="40"/>
      <c r="BI44" s="40"/>
      <c r="BJ44" s="40"/>
      <c r="BK44" s="40"/>
      <c r="BL44" s="90" t="str">
        <f t="shared" si="19"/>
        <v/>
      </c>
      <c r="BM44" s="90" t="str">
        <f t="shared" si="8"/>
        <v/>
      </c>
    </row>
    <row r="45" spans="1:65">
      <c r="A45" s="90">
        <f>'DATA SISWA'!A45</f>
        <v>0</v>
      </c>
      <c r="B45" s="90">
        <f>'DATA SISWA'!B45</f>
        <v>0</v>
      </c>
      <c r="C45" s="90">
        <f>'DATA SISWA'!C45</f>
        <v>0</v>
      </c>
      <c r="D45" s="90">
        <f>'DATA SISWA'!D45</f>
        <v>0</v>
      </c>
      <c r="E45" s="90" t="str">
        <f>'DATA SISWA'!E45</f>
        <v>VII</v>
      </c>
      <c r="F45" s="40"/>
      <c r="G45" s="40"/>
      <c r="H45" s="40"/>
      <c r="I45" s="40"/>
      <c r="J45" s="90" t="str">
        <f t="shared" ref="J45:J53" si="20">IF(F45&gt;0,SUM(F45:I45),"")</f>
        <v/>
      </c>
      <c r="K45" s="90" t="str">
        <f t="shared" ref="K45:K53" si="21">IF(J45="","",((J45/16)*100))</f>
        <v/>
      </c>
      <c r="L45" s="40"/>
      <c r="M45" s="40"/>
      <c r="N45" s="40"/>
      <c r="O45" s="40"/>
      <c r="P45" s="90" t="str">
        <f t="shared" ref="P45:P53" si="22">IF(L45&gt;0,SUM(L45:O45),"")</f>
        <v/>
      </c>
      <c r="Q45" s="90" t="str">
        <f t="shared" ref="Q45:Q53" si="23">IF(P45="","",((P45/16)*100))</f>
        <v/>
      </c>
      <c r="R45" s="40"/>
      <c r="S45" s="40"/>
      <c r="T45" s="40"/>
      <c r="U45" s="40"/>
      <c r="V45" s="90" t="str">
        <f t="shared" ref="V45:V53" si="24">IF(R45&gt;0,SUM(R45:U45),"")</f>
        <v/>
      </c>
      <c r="W45" s="90" t="str">
        <f t="shared" ref="W45:W53" si="25">IF(V45="","",((V45/16)*100))</f>
        <v/>
      </c>
      <c r="X45" s="40"/>
      <c r="Y45" s="40"/>
      <c r="Z45" s="40"/>
      <c r="AA45" s="40"/>
      <c r="AB45" s="90" t="str">
        <f t="shared" ref="AB45:AB53" si="26">IF(X45&gt;0,SUM(X45:AA45),"")</f>
        <v/>
      </c>
      <c r="AC45" s="90" t="str">
        <f t="shared" ref="AC45:AC53" si="27">IF(AB45="","",((AB45/16)*100))</f>
        <v/>
      </c>
      <c r="AD45" s="40"/>
      <c r="AE45" s="40"/>
      <c r="AF45" s="40"/>
      <c r="AG45" s="40"/>
      <c r="AH45" s="90" t="str">
        <f t="shared" ref="AH45:AH53" si="28">IF(AD45&gt;0,SUM(AD45:AG45),"")</f>
        <v/>
      </c>
      <c r="AI45" s="90" t="str">
        <f t="shared" ref="AI45:AI53" si="29">IF(AH45="","",((AH45/16)*100))</f>
        <v/>
      </c>
      <c r="AJ45" s="40"/>
      <c r="AK45" s="40"/>
      <c r="AL45" s="40"/>
      <c r="AM45" s="40"/>
      <c r="AN45" s="90" t="str">
        <f t="shared" ref="AN45:AN53" si="30">IF(AJ45&gt;0,SUM(AJ45:AM45),"")</f>
        <v/>
      </c>
      <c r="AO45" s="90" t="str">
        <f t="shared" ref="AO45:AO53" si="31">IF(AN45="","",((AN45/16)*100))</f>
        <v/>
      </c>
      <c r="AP45" s="40"/>
      <c r="AQ45" s="40"/>
      <c r="AR45" s="40"/>
      <c r="AS45" s="40"/>
      <c r="AT45" s="90" t="str">
        <f t="shared" ref="AT45:AT53" si="32">IF(AP45&gt;0,SUM(AP45:AS45),"")</f>
        <v/>
      </c>
      <c r="AU45" s="90" t="str">
        <f t="shared" ref="AU45:AU53" si="33">IF(AT45="","",((AT45/16)*100))</f>
        <v/>
      </c>
      <c r="AV45" s="40"/>
      <c r="AW45" s="40"/>
      <c r="AX45" s="40"/>
      <c r="AY45" s="40"/>
      <c r="AZ45" s="90" t="str">
        <f t="shared" ref="AZ45:AZ53" si="34">IF(AV45&gt;0,SUM(AV45:AY45),"")</f>
        <v/>
      </c>
      <c r="BA45" s="90" t="str">
        <f t="shared" ref="BA45:BA53" si="35">IF(AZ45="","",((AZ45/16)*100))</f>
        <v/>
      </c>
      <c r="BB45" s="40"/>
      <c r="BC45" s="40"/>
      <c r="BD45" s="40"/>
      <c r="BE45" s="40"/>
      <c r="BF45" s="90" t="str">
        <f t="shared" ref="BF45:BF53" si="36">IF(BB45&gt;0,SUM(BB45:BE45),"")</f>
        <v/>
      </c>
      <c r="BG45" s="90" t="str">
        <f t="shared" ref="BG45:BG53" si="37">IF(BF45="","",((BF45/16)*100))</f>
        <v/>
      </c>
      <c r="BH45" s="40"/>
      <c r="BI45" s="40"/>
      <c r="BJ45" s="40"/>
      <c r="BK45" s="40"/>
      <c r="BL45" s="90" t="str">
        <f t="shared" ref="BL45:BL53" si="38">IF(BH45&gt;0,SUM(BH45:BK45),"")</f>
        <v/>
      </c>
      <c r="BM45" s="90" t="str">
        <f t="shared" ref="BM45:BM53" si="39">IF(BL45="","",((BL45/16)*100))</f>
        <v/>
      </c>
    </row>
    <row r="46" spans="1:65">
      <c r="A46" s="90">
        <f>'DATA SISWA'!A46</f>
        <v>0</v>
      </c>
      <c r="B46" s="90">
        <f>'DATA SISWA'!B46</f>
        <v>0</v>
      </c>
      <c r="C46" s="90">
        <f>'DATA SISWA'!C46</f>
        <v>0</v>
      </c>
      <c r="D46" s="90">
        <f>'DATA SISWA'!D46</f>
        <v>0</v>
      </c>
      <c r="E46" s="90" t="str">
        <f>'DATA SISWA'!E46</f>
        <v>VII</v>
      </c>
      <c r="F46" s="40"/>
      <c r="G46" s="40"/>
      <c r="H46" s="40"/>
      <c r="I46" s="40"/>
      <c r="J46" s="90" t="str">
        <f t="shared" si="20"/>
        <v/>
      </c>
      <c r="K46" s="90" t="str">
        <f t="shared" si="21"/>
        <v/>
      </c>
      <c r="L46" s="40"/>
      <c r="M46" s="40"/>
      <c r="N46" s="40"/>
      <c r="O46" s="40"/>
      <c r="P46" s="90" t="str">
        <f t="shared" si="22"/>
        <v/>
      </c>
      <c r="Q46" s="90" t="str">
        <f t="shared" si="23"/>
        <v/>
      </c>
      <c r="R46" s="40"/>
      <c r="S46" s="40"/>
      <c r="T46" s="40"/>
      <c r="U46" s="40"/>
      <c r="V46" s="90" t="str">
        <f t="shared" si="24"/>
        <v/>
      </c>
      <c r="W46" s="90" t="str">
        <f t="shared" si="25"/>
        <v/>
      </c>
      <c r="X46" s="40"/>
      <c r="Y46" s="40"/>
      <c r="Z46" s="40"/>
      <c r="AA46" s="40"/>
      <c r="AB46" s="90" t="str">
        <f t="shared" si="26"/>
        <v/>
      </c>
      <c r="AC46" s="90" t="str">
        <f t="shared" si="27"/>
        <v/>
      </c>
      <c r="AD46" s="40"/>
      <c r="AE46" s="40"/>
      <c r="AF46" s="40"/>
      <c r="AG46" s="40"/>
      <c r="AH46" s="90" t="str">
        <f t="shared" si="28"/>
        <v/>
      </c>
      <c r="AI46" s="90" t="str">
        <f t="shared" si="29"/>
        <v/>
      </c>
      <c r="AJ46" s="40"/>
      <c r="AK46" s="40"/>
      <c r="AL46" s="40"/>
      <c r="AM46" s="40"/>
      <c r="AN46" s="90" t="str">
        <f t="shared" si="30"/>
        <v/>
      </c>
      <c r="AO46" s="90" t="str">
        <f t="shared" si="31"/>
        <v/>
      </c>
      <c r="AP46" s="40"/>
      <c r="AQ46" s="40"/>
      <c r="AR46" s="40"/>
      <c r="AS46" s="40"/>
      <c r="AT46" s="90" t="str">
        <f t="shared" si="32"/>
        <v/>
      </c>
      <c r="AU46" s="90" t="str">
        <f t="shared" si="33"/>
        <v/>
      </c>
      <c r="AV46" s="40"/>
      <c r="AW46" s="40"/>
      <c r="AX46" s="40"/>
      <c r="AY46" s="40"/>
      <c r="AZ46" s="90" t="str">
        <f t="shared" si="34"/>
        <v/>
      </c>
      <c r="BA46" s="90" t="str">
        <f t="shared" si="35"/>
        <v/>
      </c>
      <c r="BB46" s="40"/>
      <c r="BC46" s="40"/>
      <c r="BD46" s="40"/>
      <c r="BE46" s="40"/>
      <c r="BF46" s="90" t="str">
        <f t="shared" si="36"/>
        <v/>
      </c>
      <c r="BG46" s="90" t="str">
        <f t="shared" si="37"/>
        <v/>
      </c>
      <c r="BH46" s="40"/>
      <c r="BI46" s="40"/>
      <c r="BJ46" s="40"/>
      <c r="BK46" s="40"/>
      <c r="BL46" s="90" t="str">
        <f t="shared" si="38"/>
        <v/>
      </c>
      <c r="BM46" s="90" t="str">
        <f t="shared" si="39"/>
        <v/>
      </c>
    </row>
    <row r="47" spans="1:65">
      <c r="A47" s="90">
        <f>'DATA SISWA'!A47</f>
        <v>0</v>
      </c>
      <c r="B47" s="90">
        <f>'DATA SISWA'!B47</f>
        <v>0</v>
      </c>
      <c r="C47" s="90">
        <f>'DATA SISWA'!C47</f>
        <v>0</v>
      </c>
      <c r="D47" s="90">
        <f>'DATA SISWA'!D47</f>
        <v>0</v>
      </c>
      <c r="E47" s="90" t="str">
        <f>'DATA SISWA'!E47</f>
        <v>VII</v>
      </c>
      <c r="F47" s="40"/>
      <c r="G47" s="40"/>
      <c r="H47" s="40"/>
      <c r="I47" s="40"/>
      <c r="J47" s="90" t="str">
        <f t="shared" si="20"/>
        <v/>
      </c>
      <c r="K47" s="90" t="str">
        <f t="shared" si="21"/>
        <v/>
      </c>
      <c r="L47" s="40"/>
      <c r="M47" s="40"/>
      <c r="N47" s="40"/>
      <c r="O47" s="40"/>
      <c r="P47" s="90" t="str">
        <f t="shared" si="22"/>
        <v/>
      </c>
      <c r="Q47" s="90" t="str">
        <f t="shared" si="23"/>
        <v/>
      </c>
      <c r="R47" s="40"/>
      <c r="S47" s="40"/>
      <c r="T47" s="40"/>
      <c r="U47" s="40"/>
      <c r="V47" s="90" t="str">
        <f t="shared" si="24"/>
        <v/>
      </c>
      <c r="W47" s="90" t="str">
        <f t="shared" si="25"/>
        <v/>
      </c>
      <c r="X47" s="40"/>
      <c r="Y47" s="40"/>
      <c r="Z47" s="40"/>
      <c r="AA47" s="40"/>
      <c r="AB47" s="90" t="str">
        <f t="shared" si="26"/>
        <v/>
      </c>
      <c r="AC47" s="90" t="str">
        <f t="shared" si="27"/>
        <v/>
      </c>
      <c r="AD47" s="40"/>
      <c r="AE47" s="40"/>
      <c r="AF47" s="40"/>
      <c r="AG47" s="40"/>
      <c r="AH47" s="90" t="str">
        <f t="shared" si="28"/>
        <v/>
      </c>
      <c r="AI47" s="90" t="str">
        <f t="shared" si="29"/>
        <v/>
      </c>
      <c r="AJ47" s="40"/>
      <c r="AK47" s="40"/>
      <c r="AL47" s="40"/>
      <c r="AM47" s="40"/>
      <c r="AN47" s="90" t="str">
        <f t="shared" si="30"/>
        <v/>
      </c>
      <c r="AO47" s="90" t="str">
        <f t="shared" si="31"/>
        <v/>
      </c>
      <c r="AP47" s="40"/>
      <c r="AQ47" s="40"/>
      <c r="AR47" s="40"/>
      <c r="AS47" s="40"/>
      <c r="AT47" s="90" t="str">
        <f t="shared" si="32"/>
        <v/>
      </c>
      <c r="AU47" s="90" t="str">
        <f t="shared" si="33"/>
        <v/>
      </c>
      <c r="AV47" s="40"/>
      <c r="AW47" s="40"/>
      <c r="AX47" s="40"/>
      <c r="AY47" s="40"/>
      <c r="AZ47" s="90" t="str">
        <f t="shared" si="34"/>
        <v/>
      </c>
      <c r="BA47" s="90" t="str">
        <f t="shared" si="35"/>
        <v/>
      </c>
      <c r="BB47" s="40"/>
      <c r="BC47" s="40"/>
      <c r="BD47" s="40"/>
      <c r="BE47" s="40"/>
      <c r="BF47" s="90" t="str">
        <f t="shared" si="36"/>
        <v/>
      </c>
      <c r="BG47" s="90" t="str">
        <f t="shared" si="37"/>
        <v/>
      </c>
      <c r="BH47" s="40"/>
      <c r="BI47" s="40"/>
      <c r="BJ47" s="40"/>
      <c r="BK47" s="40"/>
      <c r="BL47" s="90" t="str">
        <f t="shared" si="38"/>
        <v/>
      </c>
      <c r="BM47" s="90" t="str">
        <f t="shared" si="39"/>
        <v/>
      </c>
    </row>
    <row r="48" spans="1:65">
      <c r="A48" s="90">
        <f>'DATA SISWA'!A48</f>
        <v>0</v>
      </c>
      <c r="B48" s="90">
        <f>'DATA SISWA'!B48</f>
        <v>0</v>
      </c>
      <c r="C48" s="90">
        <f>'DATA SISWA'!C48</f>
        <v>0</v>
      </c>
      <c r="D48" s="90">
        <f>'DATA SISWA'!D48</f>
        <v>0</v>
      </c>
      <c r="E48" s="90" t="str">
        <f>'DATA SISWA'!E48</f>
        <v>VII</v>
      </c>
      <c r="F48" s="40"/>
      <c r="G48" s="40"/>
      <c r="H48" s="40"/>
      <c r="I48" s="40"/>
      <c r="J48" s="90" t="str">
        <f t="shared" si="20"/>
        <v/>
      </c>
      <c r="K48" s="90" t="str">
        <f t="shared" si="21"/>
        <v/>
      </c>
      <c r="L48" s="40"/>
      <c r="M48" s="40"/>
      <c r="N48" s="40"/>
      <c r="O48" s="40"/>
      <c r="P48" s="90" t="str">
        <f t="shared" si="22"/>
        <v/>
      </c>
      <c r="Q48" s="90" t="str">
        <f t="shared" si="23"/>
        <v/>
      </c>
      <c r="R48" s="40"/>
      <c r="S48" s="40"/>
      <c r="T48" s="40"/>
      <c r="U48" s="40"/>
      <c r="V48" s="90" t="str">
        <f t="shared" si="24"/>
        <v/>
      </c>
      <c r="W48" s="90" t="str">
        <f t="shared" si="25"/>
        <v/>
      </c>
      <c r="X48" s="40"/>
      <c r="Y48" s="40"/>
      <c r="Z48" s="40"/>
      <c r="AA48" s="40"/>
      <c r="AB48" s="90" t="str">
        <f t="shared" si="26"/>
        <v/>
      </c>
      <c r="AC48" s="90" t="str">
        <f t="shared" si="27"/>
        <v/>
      </c>
      <c r="AD48" s="40"/>
      <c r="AE48" s="40"/>
      <c r="AF48" s="40"/>
      <c r="AG48" s="40"/>
      <c r="AH48" s="90" t="str">
        <f t="shared" si="28"/>
        <v/>
      </c>
      <c r="AI48" s="90" t="str">
        <f t="shared" si="29"/>
        <v/>
      </c>
      <c r="AJ48" s="40"/>
      <c r="AK48" s="40"/>
      <c r="AL48" s="40"/>
      <c r="AM48" s="40"/>
      <c r="AN48" s="90" t="str">
        <f t="shared" si="30"/>
        <v/>
      </c>
      <c r="AO48" s="90" t="str">
        <f t="shared" si="31"/>
        <v/>
      </c>
      <c r="AP48" s="40"/>
      <c r="AQ48" s="40"/>
      <c r="AR48" s="40"/>
      <c r="AS48" s="40"/>
      <c r="AT48" s="90" t="str">
        <f t="shared" si="32"/>
        <v/>
      </c>
      <c r="AU48" s="90" t="str">
        <f t="shared" si="33"/>
        <v/>
      </c>
      <c r="AV48" s="40"/>
      <c r="AW48" s="40"/>
      <c r="AX48" s="40"/>
      <c r="AY48" s="40"/>
      <c r="AZ48" s="90" t="str">
        <f t="shared" si="34"/>
        <v/>
      </c>
      <c r="BA48" s="90" t="str">
        <f t="shared" si="35"/>
        <v/>
      </c>
      <c r="BB48" s="40"/>
      <c r="BC48" s="40"/>
      <c r="BD48" s="40"/>
      <c r="BE48" s="40"/>
      <c r="BF48" s="90" t="str">
        <f t="shared" si="36"/>
        <v/>
      </c>
      <c r="BG48" s="90" t="str">
        <f t="shared" si="37"/>
        <v/>
      </c>
      <c r="BH48" s="40"/>
      <c r="BI48" s="40"/>
      <c r="BJ48" s="40"/>
      <c r="BK48" s="40"/>
      <c r="BL48" s="90" t="str">
        <f t="shared" si="38"/>
        <v/>
      </c>
      <c r="BM48" s="90" t="str">
        <f t="shared" si="39"/>
        <v/>
      </c>
    </row>
    <row r="49" spans="1:65">
      <c r="A49" s="90">
        <f>'DATA SISWA'!A49</f>
        <v>0</v>
      </c>
      <c r="B49" s="90">
        <f>'DATA SISWA'!B49</f>
        <v>0</v>
      </c>
      <c r="C49" s="90">
        <f>'DATA SISWA'!C49</f>
        <v>0</v>
      </c>
      <c r="D49" s="90">
        <f>'DATA SISWA'!D49</f>
        <v>0</v>
      </c>
      <c r="E49" s="90" t="str">
        <f>'DATA SISWA'!E49</f>
        <v>VII</v>
      </c>
      <c r="F49" s="40"/>
      <c r="G49" s="40"/>
      <c r="H49" s="40"/>
      <c r="I49" s="40"/>
      <c r="J49" s="90" t="str">
        <f t="shared" si="20"/>
        <v/>
      </c>
      <c r="K49" s="90" t="str">
        <f t="shared" si="21"/>
        <v/>
      </c>
      <c r="L49" s="40"/>
      <c r="M49" s="40"/>
      <c r="N49" s="40"/>
      <c r="O49" s="40"/>
      <c r="P49" s="90" t="str">
        <f t="shared" si="22"/>
        <v/>
      </c>
      <c r="Q49" s="90" t="str">
        <f t="shared" si="23"/>
        <v/>
      </c>
      <c r="R49" s="40"/>
      <c r="S49" s="40"/>
      <c r="T49" s="40"/>
      <c r="U49" s="40"/>
      <c r="V49" s="90" t="str">
        <f t="shared" si="24"/>
        <v/>
      </c>
      <c r="W49" s="90" t="str">
        <f t="shared" si="25"/>
        <v/>
      </c>
      <c r="X49" s="40"/>
      <c r="Y49" s="40"/>
      <c r="Z49" s="40"/>
      <c r="AA49" s="40"/>
      <c r="AB49" s="90" t="str">
        <f t="shared" si="26"/>
        <v/>
      </c>
      <c r="AC49" s="90" t="str">
        <f t="shared" si="27"/>
        <v/>
      </c>
      <c r="AD49" s="40"/>
      <c r="AE49" s="40"/>
      <c r="AF49" s="40"/>
      <c r="AG49" s="40"/>
      <c r="AH49" s="90" t="str">
        <f t="shared" si="28"/>
        <v/>
      </c>
      <c r="AI49" s="90" t="str">
        <f t="shared" si="29"/>
        <v/>
      </c>
      <c r="AJ49" s="40"/>
      <c r="AK49" s="40"/>
      <c r="AL49" s="40"/>
      <c r="AM49" s="40"/>
      <c r="AN49" s="90" t="str">
        <f t="shared" si="30"/>
        <v/>
      </c>
      <c r="AO49" s="90" t="str">
        <f t="shared" si="31"/>
        <v/>
      </c>
      <c r="AP49" s="40"/>
      <c r="AQ49" s="40"/>
      <c r="AR49" s="40"/>
      <c r="AS49" s="40"/>
      <c r="AT49" s="90" t="str">
        <f t="shared" si="32"/>
        <v/>
      </c>
      <c r="AU49" s="90" t="str">
        <f t="shared" si="33"/>
        <v/>
      </c>
      <c r="AV49" s="40"/>
      <c r="AW49" s="40"/>
      <c r="AX49" s="40"/>
      <c r="AY49" s="40"/>
      <c r="AZ49" s="90" t="str">
        <f t="shared" si="34"/>
        <v/>
      </c>
      <c r="BA49" s="90" t="str">
        <f t="shared" si="35"/>
        <v/>
      </c>
      <c r="BB49" s="40"/>
      <c r="BC49" s="40"/>
      <c r="BD49" s="40"/>
      <c r="BE49" s="40"/>
      <c r="BF49" s="90" t="str">
        <f t="shared" si="36"/>
        <v/>
      </c>
      <c r="BG49" s="90" t="str">
        <f t="shared" si="37"/>
        <v/>
      </c>
      <c r="BH49" s="40"/>
      <c r="BI49" s="40"/>
      <c r="BJ49" s="40"/>
      <c r="BK49" s="40"/>
      <c r="BL49" s="90" t="str">
        <f t="shared" si="38"/>
        <v/>
      </c>
      <c r="BM49" s="90" t="str">
        <f t="shared" si="39"/>
        <v/>
      </c>
    </row>
    <row r="50" spans="1:65">
      <c r="A50" s="90">
        <f>'DATA SISWA'!A50</f>
        <v>0</v>
      </c>
      <c r="B50" s="90">
        <f>'DATA SISWA'!B50</f>
        <v>0</v>
      </c>
      <c r="C50" s="90">
        <f>'DATA SISWA'!C50</f>
        <v>0</v>
      </c>
      <c r="D50" s="90">
        <f>'DATA SISWA'!D50</f>
        <v>0</v>
      </c>
      <c r="E50" s="90" t="str">
        <f>'DATA SISWA'!E50</f>
        <v>VII</v>
      </c>
      <c r="F50" s="40"/>
      <c r="G50" s="40"/>
      <c r="H50" s="40"/>
      <c r="I50" s="40"/>
      <c r="J50" s="90" t="str">
        <f t="shared" si="20"/>
        <v/>
      </c>
      <c r="K50" s="90" t="str">
        <f t="shared" si="21"/>
        <v/>
      </c>
      <c r="L50" s="40"/>
      <c r="M50" s="40"/>
      <c r="N50" s="40"/>
      <c r="O50" s="40"/>
      <c r="P50" s="90" t="str">
        <f t="shared" si="22"/>
        <v/>
      </c>
      <c r="Q50" s="90" t="str">
        <f t="shared" si="23"/>
        <v/>
      </c>
      <c r="R50" s="40"/>
      <c r="S50" s="40"/>
      <c r="T50" s="40"/>
      <c r="U50" s="40"/>
      <c r="V50" s="90" t="str">
        <f t="shared" si="24"/>
        <v/>
      </c>
      <c r="W50" s="90" t="str">
        <f t="shared" si="25"/>
        <v/>
      </c>
      <c r="X50" s="40"/>
      <c r="Y50" s="40"/>
      <c r="Z50" s="40"/>
      <c r="AA50" s="40"/>
      <c r="AB50" s="90" t="str">
        <f t="shared" si="26"/>
        <v/>
      </c>
      <c r="AC50" s="90" t="str">
        <f t="shared" si="27"/>
        <v/>
      </c>
      <c r="AD50" s="40"/>
      <c r="AE50" s="40"/>
      <c r="AF50" s="40"/>
      <c r="AG50" s="40"/>
      <c r="AH50" s="90" t="str">
        <f t="shared" si="28"/>
        <v/>
      </c>
      <c r="AI50" s="90" t="str">
        <f t="shared" si="29"/>
        <v/>
      </c>
      <c r="AJ50" s="40"/>
      <c r="AK50" s="40"/>
      <c r="AL50" s="40"/>
      <c r="AM50" s="40"/>
      <c r="AN50" s="90" t="str">
        <f t="shared" si="30"/>
        <v/>
      </c>
      <c r="AO50" s="90" t="str">
        <f t="shared" si="31"/>
        <v/>
      </c>
      <c r="AP50" s="40"/>
      <c r="AQ50" s="40"/>
      <c r="AR50" s="40"/>
      <c r="AS50" s="40"/>
      <c r="AT50" s="90" t="str">
        <f t="shared" si="32"/>
        <v/>
      </c>
      <c r="AU50" s="90" t="str">
        <f t="shared" si="33"/>
        <v/>
      </c>
      <c r="AV50" s="40"/>
      <c r="AW50" s="40"/>
      <c r="AX50" s="40"/>
      <c r="AY50" s="40"/>
      <c r="AZ50" s="90" t="str">
        <f t="shared" si="34"/>
        <v/>
      </c>
      <c r="BA50" s="90" t="str">
        <f t="shared" si="35"/>
        <v/>
      </c>
      <c r="BB50" s="40"/>
      <c r="BC50" s="40"/>
      <c r="BD50" s="40"/>
      <c r="BE50" s="40"/>
      <c r="BF50" s="90" t="str">
        <f t="shared" si="36"/>
        <v/>
      </c>
      <c r="BG50" s="90" t="str">
        <f t="shared" si="37"/>
        <v/>
      </c>
      <c r="BH50" s="40"/>
      <c r="BI50" s="40"/>
      <c r="BJ50" s="40"/>
      <c r="BK50" s="40"/>
      <c r="BL50" s="90" t="str">
        <f t="shared" si="38"/>
        <v/>
      </c>
      <c r="BM50" s="90" t="str">
        <f t="shared" si="39"/>
        <v/>
      </c>
    </row>
    <row r="51" spans="1:65">
      <c r="A51" s="90">
        <f>'DATA SISWA'!A51</f>
        <v>0</v>
      </c>
      <c r="B51" s="90">
        <f>'DATA SISWA'!B51</f>
        <v>0</v>
      </c>
      <c r="C51" s="90">
        <f>'DATA SISWA'!C51</f>
        <v>0</v>
      </c>
      <c r="D51" s="90">
        <f>'DATA SISWA'!D51</f>
        <v>0</v>
      </c>
      <c r="E51" s="90" t="str">
        <f>'DATA SISWA'!E51</f>
        <v>VII</v>
      </c>
      <c r="F51" s="40"/>
      <c r="G51" s="40"/>
      <c r="H51" s="40"/>
      <c r="I51" s="40"/>
      <c r="J51" s="90" t="str">
        <f t="shared" si="20"/>
        <v/>
      </c>
      <c r="K51" s="90" t="str">
        <f t="shared" si="21"/>
        <v/>
      </c>
      <c r="L51" s="40"/>
      <c r="M51" s="40"/>
      <c r="N51" s="40"/>
      <c r="O51" s="40"/>
      <c r="P51" s="90" t="str">
        <f t="shared" si="22"/>
        <v/>
      </c>
      <c r="Q51" s="90" t="str">
        <f t="shared" si="23"/>
        <v/>
      </c>
      <c r="R51" s="40"/>
      <c r="S51" s="40"/>
      <c r="T51" s="40"/>
      <c r="U51" s="40"/>
      <c r="V51" s="90" t="str">
        <f t="shared" si="24"/>
        <v/>
      </c>
      <c r="W51" s="90" t="str">
        <f t="shared" si="25"/>
        <v/>
      </c>
      <c r="X51" s="40"/>
      <c r="Y51" s="40"/>
      <c r="Z51" s="40"/>
      <c r="AA51" s="40"/>
      <c r="AB51" s="90" t="str">
        <f t="shared" si="26"/>
        <v/>
      </c>
      <c r="AC51" s="90" t="str">
        <f t="shared" si="27"/>
        <v/>
      </c>
      <c r="AD51" s="40"/>
      <c r="AE51" s="40"/>
      <c r="AF51" s="40"/>
      <c r="AG51" s="40"/>
      <c r="AH51" s="90" t="str">
        <f t="shared" si="28"/>
        <v/>
      </c>
      <c r="AI51" s="90" t="str">
        <f t="shared" si="29"/>
        <v/>
      </c>
      <c r="AJ51" s="40"/>
      <c r="AK51" s="40"/>
      <c r="AL51" s="40"/>
      <c r="AM51" s="40"/>
      <c r="AN51" s="90" t="str">
        <f t="shared" si="30"/>
        <v/>
      </c>
      <c r="AO51" s="90" t="str">
        <f t="shared" si="31"/>
        <v/>
      </c>
      <c r="AP51" s="40"/>
      <c r="AQ51" s="40"/>
      <c r="AR51" s="40"/>
      <c r="AS51" s="40"/>
      <c r="AT51" s="90" t="str">
        <f t="shared" si="32"/>
        <v/>
      </c>
      <c r="AU51" s="90" t="str">
        <f t="shared" si="33"/>
        <v/>
      </c>
      <c r="AV51" s="40"/>
      <c r="AW51" s="40"/>
      <c r="AX51" s="40"/>
      <c r="AY51" s="40"/>
      <c r="AZ51" s="90" t="str">
        <f t="shared" si="34"/>
        <v/>
      </c>
      <c r="BA51" s="90" t="str">
        <f t="shared" si="35"/>
        <v/>
      </c>
      <c r="BB51" s="40"/>
      <c r="BC51" s="40"/>
      <c r="BD51" s="40"/>
      <c r="BE51" s="40"/>
      <c r="BF51" s="90" t="str">
        <f t="shared" si="36"/>
        <v/>
      </c>
      <c r="BG51" s="90" t="str">
        <f t="shared" si="37"/>
        <v/>
      </c>
      <c r="BH51" s="40"/>
      <c r="BI51" s="40"/>
      <c r="BJ51" s="40"/>
      <c r="BK51" s="40"/>
      <c r="BL51" s="90" t="str">
        <f t="shared" si="38"/>
        <v/>
      </c>
      <c r="BM51" s="90" t="str">
        <f t="shared" si="39"/>
        <v/>
      </c>
    </row>
    <row r="52" spans="1:65">
      <c r="A52" s="90">
        <f>'DATA SISWA'!A52</f>
        <v>0</v>
      </c>
      <c r="B52" s="90">
        <f>'DATA SISWA'!B52</f>
        <v>0</v>
      </c>
      <c r="C52" s="90">
        <f>'DATA SISWA'!C52</f>
        <v>0</v>
      </c>
      <c r="D52" s="90">
        <f>'DATA SISWA'!D52</f>
        <v>0</v>
      </c>
      <c r="E52" s="90" t="str">
        <f>'DATA SISWA'!E52</f>
        <v>VII</v>
      </c>
      <c r="F52" s="40"/>
      <c r="G52" s="40"/>
      <c r="H52" s="40"/>
      <c r="I52" s="40"/>
      <c r="J52" s="90" t="str">
        <f t="shared" si="20"/>
        <v/>
      </c>
      <c r="K52" s="90" t="str">
        <f t="shared" si="21"/>
        <v/>
      </c>
      <c r="L52" s="40"/>
      <c r="M52" s="40"/>
      <c r="N52" s="40"/>
      <c r="O52" s="40"/>
      <c r="P52" s="90" t="str">
        <f t="shared" si="22"/>
        <v/>
      </c>
      <c r="Q52" s="90" t="str">
        <f t="shared" si="23"/>
        <v/>
      </c>
      <c r="R52" s="40"/>
      <c r="S52" s="40"/>
      <c r="T52" s="40"/>
      <c r="U52" s="40"/>
      <c r="V52" s="90" t="str">
        <f t="shared" si="24"/>
        <v/>
      </c>
      <c r="W52" s="90" t="str">
        <f t="shared" si="25"/>
        <v/>
      </c>
      <c r="X52" s="40"/>
      <c r="Y52" s="40"/>
      <c r="Z52" s="40"/>
      <c r="AA52" s="40"/>
      <c r="AB52" s="90" t="str">
        <f t="shared" si="26"/>
        <v/>
      </c>
      <c r="AC52" s="90" t="str">
        <f t="shared" si="27"/>
        <v/>
      </c>
      <c r="AD52" s="40"/>
      <c r="AE52" s="40"/>
      <c r="AF52" s="40"/>
      <c r="AG52" s="40"/>
      <c r="AH52" s="90" t="str">
        <f t="shared" si="28"/>
        <v/>
      </c>
      <c r="AI52" s="90" t="str">
        <f t="shared" si="29"/>
        <v/>
      </c>
      <c r="AJ52" s="40"/>
      <c r="AK52" s="40"/>
      <c r="AL52" s="40"/>
      <c r="AM52" s="40"/>
      <c r="AN52" s="90" t="str">
        <f t="shared" si="30"/>
        <v/>
      </c>
      <c r="AO52" s="90" t="str">
        <f t="shared" si="31"/>
        <v/>
      </c>
      <c r="AP52" s="40"/>
      <c r="AQ52" s="40"/>
      <c r="AR52" s="40"/>
      <c r="AS52" s="40"/>
      <c r="AT52" s="90" t="str">
        <f t="shared" si="32"/>
        <v/>
      </c>
      <c r="AU52" s="90" t="str">
        <f t="shared" si="33"/>
        <v/>
      </c>
      <c r="AV52" s="40"/>
      <c r="AW52" s="40"/>
      <c r="AX52" s="40"/>
      <c r="AY52" s="40"/>
      <c r="AZ52" s="90" t="str">
        <f t="shared" si="34"/>
        <v/>
      </c>
      <c r="BA52" s="90" t="str">
        <f t="shared" si="35"/>
        <v/>
      </c>
      <c r="BB52" s="40"/>
      <c r="BC52" s="40"/>
      <c r="BD52" s="40"/>
      <c r="BE52" s="40"/>
      <c r="BF52" s="90" t="str">
        <f t="shared" si="36"/>
        <v/>
      </c>
      <c r="BG52" s="90" t="str">
        <f t="shared" si="37"/>
        <v/>
      </c>
      <c r="BH52" s="40"/>
      <c r="BI52" s="40"/>
      <c r="BJ52" s="40"/>
      <c r="BK52" s="40"/>
      <c r="BL52" s="90" t="str">
        <f t="shared" si="38"/>
        <v/>
      </c>
      <c r="BM52" s="90" t="str">
        <f t="shared" si="39"/>
        <v/>
      </c>
    </row>
    <row r="53" spans="1:65">
      <c r="A53" s="90">
        <f>'DATA SISWA'!A53</f>
        <v>0</v>
      </c>
      <c r="B53" s="90">
        <f>'DATA SISWA'!B53</f>
        <v>0</v>
      </c>
      <c r="C53" s="90">
        <f>'DATA SISWA'!C53</f>
        <v>0</v>
      </c>
      <c r="D53" s="90">
        <f>'DATA SISWA'!D53</f>
        <v>0</v>
      </c>
      <c r="E53" s="90">
        <f>'DATA SISWA'!E53</f>
        <v>0</v>
      </c>
      <c r="F53" s="40"/>
      <c r="G53" s="40"/>
      <c r="H53" s="40"/>
      <c r="I53" s="40"/>
      <c r="J53" s="90" t="str">
        <f t="shared" si="20"/>
        <v/>
      </c>
      <c r="K53" s="90" t="str">
        <f t="shared" si="21"/>
        <v/>
      </c>
      <c r="L53" s="40"/>
      <c r="M53" s="40"/>
      <c r="N53" s="40"/>
      <c r="O53" s="40"/>
      <c r="P53" s="90" t="str">
        <f t="shared" si="22"/>
        <v/>
      </c>
      <c r="Q53" s="90" t="str">
        <f t="shared" si="23"/>
        <v/>
      </c>
      <c r="R53" s="40"/>
      <c r="S53" s="40"/>
      <c r="T53" s="40"/>
      <c r="U53" s="40"/>
      <c r="V53" s="90" t="str">
        <f t="shared" si="24"/>
        <v/>
      </c>
      <c r="W53" s="90" t="str">
        <f t="shared" si="25"/>
        <v/>
      </c>
      <c r="X53" s="40"/>
      <c r="Y53" s="40"/>
      <c r="Z53" s="40"/>
      <c r="AA53" s="40"/>
      <c r="AB53" s="90" t="str">
        <f t="shared" si="26"/>
        <v/>
      </c>
      <c r="AC53" s="90" t="str">
        <f t="shared" si="27"/>
        <v/>
      </c>
      <c r="AD53" s="40"/>
      <c r="AE53" s="40"/>
      <c r="AF53" s="40"/>
      <c r="AG53" s="40"/>
      <c r="AH53" s="90" t="str">
        <f t="shared" si="28"/>
        <v/>
      </c>
      <c r="AI53" s="90" t="str">
        <f t="shared" si="29"/>
        <v/>
      </c>
      <c r="AJ53" s="40"/>
      <c r="AK53" s="40"/>
      <c r="AL53" s="40"/>
      <c r="AM53" s="40"/>
      <c r="AN53" s="90" t="str">
        <f t="shared" si="30"/>
        <v/>
      </c>
      <c r="AO53" s="90" t="str">
        <f t="shared" si="31"/>
        <v/>
      </c>
      <c r="AP53" s="40"/>
      <c r="AQ53" s="40"/>
      <c r="AR53" s="40"/>
      <c r="AS53" s="40"/>
      <c r="AT53" s="90" t="str">
        <f t="shared" si="32"/>
        <v/>
      </c>
      <c r="AU53" s="90" t="str">
        <f t="shared" si="33"/>
        <v/>
      </c>
      <c r="AV53" s="40"/>
      <c r="AW53" s="40"/>
      <c r="AX53" s="40"/>
      <c r="AY53" s="40"/>
      <c r="AZ53" s="90" t="str">
        <f t="shared" si="34"/>
        <v/>
      </c>
      <c r="BA53" s="90" t="str">
        <f t="shared" si="35"/>
        <v/>
      </c>
      <c r="BB53" s="40"/>
      <c r="BC53" s="40"/>
      <c r="BD53" s="40"/>
      <c r="BE53" s="40"/>
      <c r="BF53" s="90" t="str">
        <f t="shared" si="36"/>
        <v/>
      </c>
      <c r="BG53" s="90" t="str">
        <f t="shared" si="37"/>
        <v/>
      </c>
      <c r="BH53" s="40"/>
      <c r="BI53" s="40"/>
      <c r="BJ53" s="40"/>
      <c r="BK53" s="40"/>
      <c r="BL53" s="90" t="str">
        <f t="shared" si="38"/>
        <v/>
      </c>
      <c r="BM53" s="90" t="str">
        <f t="shared" si="39"/>
        <v/>
      </c>
    </row>
  </sheetData>
  <sheetProtection password="C522" sheet="1" objects="1" scenarios="1" formatCells="0" formatColumns="0" formatRows="0" insertColumns="0" insertRows="0" insertHyperlinks="0" deleteColumns="0" deleteRows="0"/>
  <mergeCells count="35">
    <mergeCell ref="F2:J2"/>
    <mergeCell ref="AI1:AI3"/>
    <mergeCell ref="W1:W3"/>
    <mergeCell ref="K1:K3"/>
    <mergeCell ref="A1:A3"/>
    <mergeCell ref="B1:B3"/>
    <mergeCell ref="C1:C3"/>
    <mergeCell ref="D1:D3"/>
    <mergeCell ref="E1:E3"/>
    <mergeCell ref="F1:J1"/>
    <mergeCell ref="AO1:AO3"/>
    <mergeCell ref="AJ2:AN2"/>
    <mergeCell ref="L1:P1"/>
    <mergeCell ref="Q1:Q3"/>
    <mergeCell ref="L2:P2"/>
    <mergeCell ref="R1:V1"/>
    <mergeCell ref="R2:V2"/>
    <mergeCell ref="X1:AB1"/>
    <mergeCell ref="AC1:AC3"/>
    <mergeCell ref="X2:AB2"/>
    <mergeCell ref="AD1:AH1"/>
    <mergeCell ref="AD2:AH2"/>
    <mergeCell ref="AJ1:AN1"/>
    <mergeCell ref="BB1:BF1"/>
    <mergeCell ref="BG1:BG3"/>
    <mergeCell ref="BB2:BF2"/>
    <mergeCell ref="BH1:BL1"/>
    <mergeCell ref="BM1:BM3"/>
    <mergeCell ref="BH2:BL2"/>
    <mergeCell ref="AP1:AT1"/>
    <mergeCell ref="AU1:AU3"/>
    <mergeCell ref="AP2:AT2"/>
    <mergeCell ref="AV1:AZ1"/>
    <mergeCell ref="BA1:BA3"/>
    <mergeCell ref="AV2:AZ2"/>
  </mergeCells>
  <conditionalFormatting sqref="F26">
    <cfRule type="expression" dxfId="677" priority="79">
      <formula>MOD(COLUMN(),2)=1</formula>
    </cfRule>
  </conditionalFormatting>
  <conditionalFormatting sqref="F26">
    <cfRule type="expression" dxfId="676" priority="78">
      <formula>MOD(COLUMN(),2)=1</formula>
    </cfRule>
  </conditionalFormatting>
  <conditionalFormatting sqref="F5">
    <cfRule type="expression" dxfId="675" priority="77">
      <formula>MOD(COLUMN(),2)=1</formula>
    </cfRule>
  </conditionalFormatting>
  <conditionalFormatting sqref="G5:I5 G29:I29 G33:I33 G37:I37 G41:I41 G45:I45 G49:I49 G53:I53 G9:I9 G13:I13 G17:I17 G21:I21 G25:I25">
    <cfRule type="expression" dxfId="674" priority="76">
      <formula>MOD(COLUMN(),2)=1</formula>
    </cfRule>
  </conditionalFormatting>
  <conditionalFormatting sqref="F6:F53">
    <cfRule type="expression" dxfId="673" priority="75">
      <formula>MOD(COLUMN(),2)=1</formula>
    </cfRule>
  </conditionalFormatting>
  <conditionalFormatting sqref="G6:I53">
    <cfRule type="expression" dxfId="672" priority="74">
      <formula>MOD(COLUMN(),2)=1</formula>
    </cfRule>
  </conditionalFormatting>
  <conditionalFormatting sqref="L26">
    <cfRule type="expression" dxfId="671" priority="73">
      <formula>MOD(COLUMN(),2)=1</formula>
    </cfRule>
  </conditionalFormatting>
  <conditionalFormatting sqref="L26">
    <cfRule type="expression" dxfId="670" priority="72">
      <formula>MOD(COLUMN(),2)=1</formula>
    </cfRule>
  </conditionalFormatting>
  <conditionalFormatting sqref="L5">
    <cfRule type="expression" dxfId="669" priority="71">
      <formula>MOD(COLUMN(),2)=1</formula>
    </cfRule>
  </conditionalFormatting>
  <conditionalFormatting sqref="M5:O5">
    <cfRule type="expression" dxfId="668" priority="70">
      <formula>MOD(COLUMN(),2)=1</formula>
    </cfRule>
  </conditionalFormatting>
  <conditionalFormatting sqref="L6:L53">
    <cfRule type="expression" dxfId="667" priority="69">
      <formula>MOD(COLUMN(),2)=1</formula>
    </cfRule>
  </conditionalFormatting>
  <conditionalFormatting sqref="M6:O53">
    <cfRule type="expression" dxfId="666" priority="68">
      <formula>MOD(COLUMN(),2)=1</formula>
    </cfRule>
  </conditionalFormatting>
  <conditionalFormatting sqref="R26">
    <cfRule type="expression" dxfId="665" priority="67">
      <formula>MOD(COLUMN(),2)=1</formula>
    </cfRule>
  </conditionalFormatting>
  <conditionalFormatting sqref="R26">
    <cfRule type="expression" dxfId="664" priority="66">
      <formula>MOD(COLUMN(),2)=1</formula>
    </cfRule>
  </conditionalFormatting>
  <conditionalFormatting sqref="R5">
    <cfRule type="expression" dxfId="663" priority="65">
      <formula>MOD(COLUMN(),2)=1</formula>
    </cfRule>
  </conditionalFormatting>
  <conditionalFormatting sqref="S5:U5">
    <cfRule type="expression" dxfId="662" priority="64">
      <formula>MOD(COLUMN(),2)=1</formula>
    </cfRule>
  </conditionalFormatting>
  <conditionalFormatting sqref="R6:R53">
    <cfRule type="expression" dxfId="661" priority="63">
      <formula>MOD(COLUMN(),2)=1</formula>
    </cfRule>
  </conditionalFormatting>
  <conditionalFormatting sqref="S6:U53">
    <cfRule type="expression" dxfId="660" priority="62">
      <formula>MOD(COLUMN(),2)=1</formula>
    </cfRule>
  </conditionalFormatting>
  <conditionalFormatting sqref="X26">
    <cfRule type="expression" dxfId="659" priority="61">
      <formula>MOD(COLUMN(),2)=1</formula>
    </cfRule>
  </conditionalFormatting>
  <conditionalFormatting sqref="X26">
    <cfRule type="expression" dxfId="658" priority="60">
      <formula>MOD(COLUMN(),2)=1</formula>
    </cfRule>
  </conditionalFormatting>
  <conditionalFormatting sqref="X5">
    <cfRule type="expression" dxfId="657" priority="59">
      <formula>MOD(COLUMN(),2)=1</formula>
    </cfRule>
  </conditionalFormatting>
  <conditionalFormatting sqref="Y5:AA5">
    <cfRule type="expression" dxfId="656" priority="58">
      <formula>MOD(COLUMN(),2)=1</formula>
    </cfRule>
  </conditionalFormatting>
  <conditionalFormatting sqref="X6:X53">
    <cfRule type="expression" dxfId="655" priority="57">
      <formula>MOD(COLUMN(),2)=1</formula>
    </cfRule>
  </conditionalFormatting>
  <conditionalFormatting sqref="Y6:AA53">
    <cfRule type="expression" dxfId="654" priority="56">
      <formula>MOD(COLUMN(),2)=1</formula>
    </cfRule>
  </conditionalFormatting>
  <conditionalFormatting sqref="AD26">
    <cfRule type="expression" dxfId="653" priority="55">
      <formula>MOD(COLUMN(),2)=1</formula>
    </cfRule>
  </conditionalFormatting>
  <conditionalFormatting sqref="AD26">
    <cfRule type="expression" dxfId="652" priority="54">
      <formula>MOD(COLUMN(),2)=1</formula>
    </cfRule>
  </conditionalFormatting>
  <conditionalFormatting sqref="AD5">
    <cfRule type="expression" dxfId="651" priority="53">
      <formula>MOD(COLUMN(),2)=1</formula>
    </cfRule>
  </conditionalFormatting>
  <conditionalFormatting sqref="AE5:AG5">
    <cfRule type="expression" dxfId="650" priority="52">
      <formula>MOD(COLUMN(),2)=1</formula>
    </cfRule>
  </conditionalFormatting>
  <conditionalFormatting sqref="AD6:AD53">
    <cfRule type="expression" dxfId="649" priority="51">
      <formula>MOD(COLUMN(),2)=1</formula>
    </cfRule>
  </conditionalFormatting>
  <conditionalFormatting sqref="AE6:AG53">
    <cfRule type="expression" dxfId="648" priority="50">
      <formula>MOD(COLUMN(),2)=1</formula>
    </cfRule>
  </conditionalFormatting>
  <conditionalFormatting sqref="AJ26">
    <cfRule type="expression" dxfId="647" priority="49">
      <formula>MOD(COLUMN(),2)=1</formula>
    </cfRule>
  </conditionalFormatting>
  <conditionalFormatting sqref="AJ26">
    <cfRule type="expression" dxfId="646" priority="48">
      <formula>MOD(COLUMN(),2)=1</formula>
    </cfRule>
  </conditionalFormatting>
  <conditionalFormatting sqref="AJ5">
    <cfRule type="expression" dxfId="645" priority="47">
      <formula>MOD(COLUMN(),2)=1</formula>
    </cfRule>
  </conditionalFormatting>
  <conditionalFormatting sqref="AK5:AM5">
    <cfRule type="expression" dxfId="644" priority="46">
      <formula>MOD(COLUMN(),2)=1</formula>
    </cfRule>
  </conditionalFormatting>
  <conditionalFormatting sqref="AJ6:AJ53">
    <cfRule type="expression" dxfId="643" priority="45">
      <formula>MOD(COLUMN(),2)=1</formula>
    </cfRule>
  </conditionalFormatting>
  <conditionalFormatting sqref="AK6:AM53">
    <cfRule type="expression" dxfId="642" priority="44">
      <formula>MOD(COLUMN(),2)=1</formula>
    </cfRule>
  </conditionalFormatting>
  <conditionalFormatting sqref="AP26">
    <cfRule type="expression" dxfId="641" priority="43">
      <formula>MOD(COLUMN(),2)=1</formula>
    </cfRule>
  </conditionalFormatting>
  <conditionalFormatting sqref="AP26">
    <cfRule type="expression" dxfId="640" priority="42">
      <formula>MOD(COLUMN(),2)=1</formula>
    </cfRule>
  </conditionalFormatting>
  <conditionalFormatting sqref="AP5">
    <cfRule type="expression" dxfId="639" priority="41">
      <formula>MOD(COLUMN(),2)=1</formula>
    </cfRule>
  </conditionalFormatting>
  <conditionalFormatting sqref="AQ5:AS5">
    <cfRule type="expression" dxfId="638" priority="40">
      <formula>MOD(COLUMN(),2)=1</formula>
    </cfRule>
  </conditionalFormatting>
  <conditionalFormatting sqref="AP6:AP53">
    <cfRule type="expression" dxfId="637" priority="39">
      <formula>MOD(COLUMN(),2)=1</formula>
    </cfRule>
  </conditionalFormatting>
  <conditionalFormatting sqref="AQ6:AS53">
    <cfRule type="expression" dxfId="636" priority="38">
      <formula>MOD(COLUMN(),2)=1</formula>
    </cfRule>
  </conditionalFormatting>
  <conditionalFormatting sqref="AV26">
    <cfRule type="expression" dxfId="635" priority="37">
      <formula>MOD(COLUMN(),2)=1</formula>
    </cfRule>
  </conditionalFormatting>
  <conditionalFormatting sqref="AV26">
    <cfRule type="expression" dxfId="634" priority="36">
      <formula>MOD(COLUMN(),2)=1</formula>
    </cfRule>
  </conditionalFormatting>
  <conditionalFormatting sqref="AV5">
    <cfRule type="expression" dxfId="633" priority="35">
      <formula>MOD(COLUMN(),2)=1</formula>
    </cfRule>
  </conditionalFormatting>
  <conditionalFormatting sqref="AW5:AY5">
    <cfRule type="expression" dxfId="632" priority="34">
      <formula>MOD(COLUMN(),2)=1</formula>
    </cfRule>
  </conditionalFormatting>
  <conditionalFormatting sqref="AV6:AV53">
    <cfRule type="expression" dxfId="631" priority="33">
      <formula>MOD(COLUMN(),2)=1</formula>
    </cfRule>
  </conditionalFormatting>
  <conditionalFormatting sqref="AW6:AY53">
    <cfRule type="expression" dxfId="630" priority="32">
      <formula>MOD(COLUMN(),2)=1</formula>
    </cfRule>
  </conditionalFormatting>
  <conditionalFormatting sqref="BB26">
    <cfRule type="expression" dxfId="629" priority="31">
      <formula>MOD(COLUMN(),2)=1</formula>
    </cfRule>
  </conditionalFormatting>
  <conditionalFormatting sqref="BB26">
    <cfRule type="expression" dxfId="628" priority="30">
      <formula>MOD(COLUMN(),2)=1</formula>
    </cfRule>
  </conditionalFormatting>
  <conditionalFormatting sqref="BB5">
    <cfRule type="expression" dxfId="627" priority="29">
      <formula>MOD(COLUMN(),2)=1</formula>
    </cfRule>
  </conditionalFormatting>
  <conditionalFormatting sqref="BC5:BE5">
    <cfRule type="expression" dxfId="626" priority="28">
      <formula>MOD(COLUMN(),2)=1</formula>
    </cfRule>
  </conditionalFormatting>
  <conditionalFormatting sqref="BB6:BB53">
    <cfRule type="expression" dxfId="625" priority="27">
      <formula>MOD(COLUMN(),2)=1</formula>
    </cfRule>
  </conditionalFormatting>
  <conditionalFormatting sqref="BC6:BE53">
    <cfRule type="expression" dxfId="624" priority="26">
      <formula>MOD(COLUMN(),2)=1</formula>
    </cfRule>
  </conditionalFormatting>
  <conditionalFormatting sqref="BH26">
    <cfRule type="expression" dxfId="623" priority="25">
      <formula>MOD(COLUMN(),2)=1</formula>
    </cfRule>
  </conditionalFormatting>
  <conditionalFormatting sqref="BH26">
    <cfRule type="expression" dxfId="622" priority="24">
      <formula>MOD(COLUMN(),2)=1</formula>
    </cfRule>
  </conditionalFormatting>
  <conditionalFormatting sqref="BH5">
    <cfRule type="expression" dxfId="621" priority="23">
      <formula>MOD(COLUMN(),2)=1</formula>
    </cfRule>
  </conditionalFormatting>
  <conditionalFormatting sqref="BI5:BK5">
    <cfRule type="expression" dxfId="620" priority="22">
      <formula>MOD(COLUMN(),2)=1</formula>
    </cfRule>
  </conditionalFormatting>
  <conditionalFormatting sqref="BH6:BH53">
    <cfRule type="expression" dxfId="619" priority="21">
      <formula>MOD(COLUMN(),2)=1</formula>
    </cfRule>
  </conditionalFormatting>
  <conditionalFormatting sqref="BI6:BK53">
    <cfRule type="expression" dxfId="618" priority="20">
      <formula>MOD(COLUMN(),2)=1</formula>
    </cfRule>
  </conditionalFormatting>
  <conditionalFormatting sqref="X5">
    <cfRule type="expression" dxfId="617" priority="19">
      <formula>MOD(COLUMN(),2)=1</formula>
    </cfRule>
  </conditionalFormatting>
  <conditionalFormatting sqref="Y5:AA5">
    <cfRule type="expression" dxfId="616" priority="18">
      <formula>MOD(COLUMN(),2)=1</formula>
    </cfRule>
  </conditionalFormatting>
  <conditionalFormatting sqref="AD5">
    <cfRule type="expression" dxfId="615" priority="17">
      <formula>MOD(COLUMN(),2)=1</formula>
    </cfRule>
  </conditionalFormatting>
  <conditionalFormatting sqref="AE5:AG5">
    <cfRule type="expression" dxfId="614" priority="16">
      <formula>MOD(COLUMN(),2)=1</formula>
    </cfRule>
  </conditionalFormatting>
  <conditionalFormatting sqref="AJ5">
    <cfRule type="expression" dxfId="613" priority="15">
      <formula>MOD(COLUMN(),2)=1</formula>
    </cfRule>
  </conditionalFormatting>
  <conditionalFormatting sqref="AK5:AM5">
    <cfRule type="expression" dxfId="612" priority="14">
      <formula>MOD(COLUMN(),2)=1</formula>
    </cfRule>
  </conditionalFormatting>
  <conditionalFormatting sqref="AP5">
    <cfRule type="expression" dxfId="611" priority="13">
      <formula>MOD(COLUMN(),2)=1</formula>
    </cfRule>
  </conditionalFormatting>
  <conditionalFormatting sqref="AQ5:AS5">
    <cfRule type="expression" dxfId="610" priority="12">
      <formula>MOD(COLUMN(),2)=1</formula>
    </cfRule>
  </conditionalFormatting>
  <conditionalFormatting sqref="AV5">
    <cfRule type="expression" dxfId="609" priority="11">
      <formula>MOD(COLUMN(),2)=1</formula>
    </cfRule>
  </conditionalFormatting>
  <conditionalFormatting sqref="AW5:AY5">
    <cfRule type="expression" dxfId="608" priority="10">
      <formula>MOD(COLUMN(),2)=1</formula>
    </cfRule>
  </conditionalFormatting>
  <conditionalFormatting sqref="BB5">
    <cfRule type="expression" dxfId="607" priority="9">
      <formula>MOD(COLUMN(),2)=1</formula>
    </cfRule>
  </conditionalFormatting>
  <conditionalFormatting sqref="BC5:BE5">
    <cfRule type="expression" dxfId="606" priority="8">
      <formula>MOD(COLUMN(),2)=1</formula>
    </cfRule>
  </conditionalFormatting>
  <conditionalFormatting sqref="BH5">
    <cfRule type="expression" dxfId="605" priority="7">
      <formula>MOD(COLUMN(),2)=1</formula>
    </cfRule>
  </conditionalFormatting>
  <conditionalFormatting sqref="BI5:BK5">
    <cfRule type="expression" dxfId="604" priority="6">
      <formula>MOD(COLUMN(),2)=1</formula>
    </cfRule>
  </conditionalFormatting>
  <conditionalFormatting sqref="F9">
    <cfRule type="expression" dxfId="603" priority="5">
      <formula>MOD(COLUMN(),2)=1</formula>
    </cfRule>
  </conditionalFormatting>
  <conditionalFormatting sqref="F13">
    <cfRule type="expression" dxfId="602" priority="4">
      <formula>MOD(COLUMN(),2)=1</formula>
    </cfRule>
  </conditionalFormatting>
  <conditionalFormatting sqref="F17">
    <cfRule type="expression" dxfId="601" priority="3">
      <formula>MOD(COLUMN(),2)=1</formula>
    </cfRule>
  </conditionalFormatting>
  <conditionalFormatting sqref="F21">
    <cfRule type="expression" dxfId="600" priority="2">
      <formula>MOD(COLUMN(),2)=1</formula>
    </cfRule>
  </conditionalFormatting>
  <conditionalFormatting sqref="F25">
    <cfRule type="expression" dxfId="599" priority="1">
      <formula>MOD(COLUMN(),2)=1</formula>
    </cfRule>
  </conditionalFormatting>
  <dataValidations count="1">
    <dataValidation type="whole" allowBlank="1" showInputMessage="1" showErrorMessage="1" errorTitle="STOP" error="ANGKA YANG DIMASUKAN MELEBIHI 4" prompt="4 =  Selalu&#10;3 = Sering&#10;2 = Kadang2&#10;1 = Tidak Pernah" sqref="F5:I53 L5:O53 R5:U53 X5:AA53 AD5:AG53 AJ5:AM53 AP5:AS53 AV5:AY53 BB5:BE53 BH5:BK53">
      <formula1>1</formula1>
      <formula2>4</formula2>
    </dataValidation>
  </dataValidations>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sheetPr codeName="Sheet11"/>
  <dimension ref="A1:F55"/>
  <sheetViews>
    <sheetView workbookViewId="0"/>
  </sheetViews>
  <sheetFormatPr defaultRowHeight="15"/>
  <cols>
    <col min="1" max="1" width="5.28515625" customWidth="1"/>
    <col min="2" max="2" width="69.28515625" customWidth="1"/>
    <col min="3" max="6" width="5.28515625" customWidth="1"/>
  </cols>
  <sheetData>
    <row r="1" spans="1:6" ht="22.5">
      <c r="A1" s="2" t="s">
        <v>52</v>
      </c>
      <c r="B1" s="3"/>
      <c r="C1" s="3"/>
      <c r="D1" s="3"/>
      <c r="E1" s="3"/>
      <c r="F1" s="3"/>
    </row>
    <row r="2" spans="1:6" ht="15.75">
      <c r="A2" s="4"/>
      <c r="B2" s="5"/>
      <c r="C2" s="5"/>
      <c r="D2" s="5"/>
      <c r="E2" s="5"/>
      <c r="F2" s="5"/>
    </row>
    <row r="3" spans="1:6" ht="15.75">
      <c r="A3" s="5"/>
      <c r="B3" s="5"/>
      <c r="C3" s="6"/>
      <c r="D3" s="5" t="s">
        <v>53</v>
      </c>
      <c r="E3" s="5"/>
      <c r="F3" s="5"/>
    </row>
    <row r="4" spans="1:6" ht="15.75">
      <c r="A4" s="5"/>
      <c r="B4" s="5"/>
      <c r="C4" s="6"/>
      <c r="D4" s="5" t="s">
        <v>54</v>
      </c>
      <c r="E4" s="5"/>
      <c r="F4" s="5"/>
    </row>
    <row r="5" spans="1:6" ht="15.75">
      <c r="A5" s="5"/>
      <c r="B5" s="5"/>
      <c r="C5" s="6"/>
      <c r="D5" s="5" t="s">
        <v>55</v>
      </c>
      <c r="E5" s="5"/>
      <c r="F5" s="5"/>
    </row>
    <row r="6" spans="1:6" ht="15.75">
      <c r="A6" s="5"/>
      <c r="B6" s="5"/>
      <c r="C6" s="6"/>
      <c r="D6" s="5" t="s">
        <v>56</v>
      </c>
      <c r="E6" s="5"/>
      <c r="F6" s="5"/>
    </row>
    <row r="7" spans="1:6" ht="15.75">
      <c r="A7" s="5"/>
      <c r="B7" s="5"/>
      <c r="C7" s="6"/>
      <c r="D7" s="5"/>
      <c r="E7" s="5"/>
      <c r="F7" s="5"/>
    </row>
    <row r="8" spans="1:6" ht="15.75">
      <c r="A8" s="7" t="s">
        <v>57</v>
      </c>
      <c r="B8" s="7"/>
      <c r="C8" s="7"/>
      <c r="D8" s="7"/>
      <c r="E8" s="7"/>
      <c r="F8" s="7"/>
    </row>
    <row r="9" spans="1:6" ht="15.75">
      <c r="A9" s="623" t="s">
        <v>58</v>
      </c>
      <c r="B9" s="623" t="s">
        <v>59</v>
      </c>
      <c r="C9" s="623" t="s">
        <v>60</v>
      </c>
      <c r="D9" s="623"/>
      <c r="E9" s="623"/>
      <c r="F9" s="623"/>
    </row>
    <row r="10" spans="1:6" ht="15.75">
      <c r="A10" s="623"/>
      <c r="B10" s="623"/>
      <c r="C10" s="8">
        <v>1</v>
      </c>
      <c r="D10" s="8">
        <v>2</v>
      </c>
      <c r="E10" s="8">
        <v>3</v>
      </c>
      <c r="F10" s="8">
        <v>4</v>
      </c>
    </row>
    <row r="11" spans="1:6" ht="15.75">
      <c r="A11" s="9"/>
      <c r="B11" s="10"/>
      <c r="C11" s="9"/>
      <c r="D11" s="9"/>
      <c r="E11" s="9"/>
      <c r="F11" s="9"/>
    </row>
    <row r="12" spans="1:6" ht="15.75">
      <c r="A12" s="11">
        <v>1</v>
      </c>
      <c r="B12" s="12" t="s">
        <v>61</v>
      </c>
      <c r="C12" s="11"/>
      <c r="D12" s="11"/>
      <c r="E12" s="411" t="s">
        <v>506</v>
      </c>
      <c r="F12" s="11"/>
    </row>
    <row r="13" spans="1:6" ht="31.5">
      <c r="A13" s="11">
        <v>2</v>
      </c>
      <c r="B13" s="13" t="s">
        <v>62</v>
      </c>
      <c r="C13" s="11"/>
      <c r="D13" s="11"/>
      <c r="E13" s="11"/>
      <c r="F13" s="11"/>
    </row>
    <row r="14" spans="1:6" ht="15.75">
      <c r="A14" s="11">
        <v>3</v>
      </c>
      <c r="B14" s="12" t="s">
        <v>63</v>
      </c>
      <c r="C14" s="11"/>
      <c r="D14" s="11"/>
      <c r="E14" s="11"/>
      <c r="F14" s="11"/>
    </row>
    <row r="15" spans="1:6" ht="15.75">
      <c r="A15" s="11">
        <v>4</v>
      </c>
      <c r="B15" s="12" t="s">
        <v>64</v>
      </c>
      <c r="C15" s="11"/>
      <c r="D15" s="11"/>
      <c r="E15" s="11"/>
      <c r="F15" s="11"/>
    </row>
    <row r="16" spans="1:6" ht="15.75">
      <c r="A16" s="11">
        <v>5</v>
      </c>
      <c r="B16" s="12" t="s">
        <v>65</v>
      </c>
      <c r="C16" s="11"/>
      <c r="D16" s="11"/>
      <c r="E16" s="11"/>
      <c r="F16" s="11"/>
    </row>
    <row r="17" spans="1:6" ht="15.75">
      <c r="A17" s="9"/>
      <c r="B17" s="14"/>
      <c r="C17" s="9"/>
      <c r="D17" s="9"/>
      <c r="E17" s="9"/>
      <c r="F17" s="9"/>
    </row>
    <row r="18" spans="1:6" ht="15.75">
      <c r="A18" s="15">
        <v>1</v>
      </c>
      <c r="B18" s="16" t="s">
        <v>66</v>
      </c>
      <c r="C18" s="15"/>
      <c r="D18" s="15"/>
      <c r="E18" s="15"/>
      <c r="F18" s="15"/>
    </row>
    <row r="19" spans="1:6" ht="15.75">
      <c r="A19" s="15">
        <v>2</v>
      </c>
      <c r="B19" s="16" t="s">
        <v>67</v>
      </c>
      <c r="C19" s="15"/>
      <c r="D19" s="15"/>
      <c r="E19" s="15"/>
      <c r="F19" s="15"/>
    </row>
    <row r="20" spans="1:6" ht="15.75">
      <c r="A20" s="15">
        <v>3</v>
      </c>
      <c r="B20" s="16" t="s">
        <v>68</v>
      </c>
      <c r="C20" s="15"/>
      <c r="D20" s="15"/>
      <c r="E20" s="15"/>
      <c r="F20" s="15"/>
    </row>
    <row r="21" spans="1:6" ht="15.75">
      <c r="A21" s="15">
        <v>4</v>
      </c>
      <c r="B21" s="16" t="s">
        <v>69</v>
      </c>
      <c r="C21" s="15"/>
      <c r="D21" s="15"/>
      <c r="E21" s="15"/>
      <c r="F21" s="15"/>
    </row>
    <row r="22" spans="1:6" ht="15.75">
      <c r="A22" s="15">
        <v>5</v>
      </c>
      <c r="B22" s="16" t="s">
        <v>70</v>
      </c>
      <c r="C22" s="15"/>
      <c r="D22" s="15"/>
      <c r="E22" s="15"/>
      <c r="F22" s="15"/>
    </row>
    <row r="23" spans="1:6" ht="15.75">
      <c r="A23" s="15">
        <v>6</v>
      </c>
      <c r="B23" s="16" t="s">
        <v>71</v>
      </c>
      <c r="C23" s="15"/>
      <c r="D23" s="15"/>
      <c r="E23" s="15"/>
      <c r="F23" s="15"/>
    </row>
    <row r="24" spans="1:6" ht="15.75">
      <c r="A24" s="15">
        <v>7</v>
      </c>
      <c r="B24" s="16" t="s">
        <v>72</v>
      </c>
      <c r="C24" s="15"/>
      <c r="D24" s="15"/>
      <c r="E24" s="15"/>
      <c r="F24" s="15"/>
    </row>
    <row r="25" spans="1:6" ht="15.75">
      <c r="A25" s="15">
        <v>8</v>
      </c>
      <c r="B25" s="16" t="s">
        <v>73</v>
      </c>
      <c r="C25" s="15"/>
      <c r="D25" s="15"/>
      <c r="E25" s="15"/>
      <c r="F25" s="15"/>
    </row>
    <row r="26" spans="1:6" ht="15.75">
      <c r="A26" s="9"/>
      <c r="B26" s="14"/>
      <c r="C26" s="9"/>
      <c r="D26" s="9"/>
      <c r="E26" s="9"/>
      <c r="F26" s="9"/>
    </row>
    <row r="27" spans="1:6" ht="15.75">
      <c r="A27" s="11">
        <v>1</v>
      </c>
      <c r="B27" s="12" t="s">
        <v>74</v>
      </c>
      <c r="C27" s="11"/>
      <c r="D27" s="11"/>
      <c r="E27" s="11"/>
      <c r="F27" s="11"/>
    </row>
    <row r="28" spans="1:6" ht="15.75">
      <c r="A28" s="11">
        <v>2</v>
      </c>
      <c r="B28" s="12" t="s">
        <v>75</v>
      </c>
      <c r="C28" s="11"/>
      <c r="D28" s="11"/>
      <c r="E28" s="11"/>
      <c r="F28" s="11"/>
    </row>
    <row r="29" spans="1:6" ht="15.75">
      <c r="A29" s="11">
        <v>3</v>
      </c>
      <c r="B29" s="12" t="s">
        <v>76</v>
      </c>
      <c r="C29" s="11"/>
      <c r="D29" s="11"/>
      <c r="E29" s="11"/>
      <c r="F29" s="11"/>
    </row>
    <row r="30" spans="1:6" ht="15.75">
      <c r="A30" s="11">
        <v>4</v>
      </c>
      <c r="B30" s="12" t="s">
        <v>77</v>
      </c>
      <c r="C30" s="11"/>
      <c r="D30" s="11"/>
      <c r="E30" s="11"/>
      <c r="F30" s="11"/>
    </row>
    <row r="31" spans="1:6" ht="15.75">
      <c r="A31" s="11">
        <v>5</v>
      </c>
      <c r="B31" s="12" t="s">
        <v>78</v>
      </c>
      <c r="C31" s="11"/>
      <c r="D31" s="11"/>
      <c r="E31" s="11"/>
      <c r="F31" s="11"/>
    </row>
    <row r="32" spans="1:6" ht="15.75">
      <c r="A32" s="9"/>
      <c r="B32" s="14"/>
      <c r="C32" s="9"/>
      <c r="D32" s="9"/>
      <c r="E32" s="9"/>
      <c r="F32" s="9"/>
    </row>
    <row r="33" spans="1:6" ht="15.75">
      <c r="A33" s="15">
        <v>1</v>
      </c>
      <c r="B33" s="16" t="s">
        <v>79</v>
      </c>
      <c r="C33" s="15"/>
      <c r="D33" s="15"/>
      <c r="E33" s="15"/>
      <c r="F33" s="15"/>
    </row>
    <row r="34" spans="1:6" ht="15.75">
      <c r="A34" s="15">
        <v>2</v>
      </c>
      <c r="B34" s="16" t="s">
        <v>80</v>
      </c>
      <c r="C34" s="15"/>
      <c r="D34" s="15"/>
      <c r="E34" s="15"/>
      <c r="F34" s="15"/>
    </row>
    <row r="35" spans="1:6" ht="15.75">
      <c r="A35" s="15">
        <v>3</v>
      </c>
      <c r="B35" s="16" t="s">
        <v>81</v>
      </c>
      <c r="C35" s="15"/>
      <c r="D35" s="15"/>
      <c r="E35" s="15"/>
      <c r="F35" s="15"/>
    </row>
    <row r="36" spans="1:6" ht="15.75">
      <c r="A36" s="15">
        <v>4</v>
      </c>
      <c r="B36" s="16" t="s">
        <v>82</v>
      </c>
      <c r="C36" s="15"/>
      <c r="D36" s="15"/>
      <c r="E36" s="15"/>
      <c r="F36" s="15"/>
    </row>
    <row r="37" spans="1:6" ht="15.75">
      <c r="A37" s="15">
        <v>5</v>
      </c>
      <c r="B37" s="16" t="s">
        <v>83</v>
      </c>
      <c r="C37" s="15"/>
      <c r="D37" s="15"/>
      <c r="E37" s="15"/>
      <c r="F37" s="15"/>
    </row>
    <row r="38" spans="1:6" ht="15.75">
      <c r="A38" s="9"/>
      <c r="B38" s="14"/>
      <c r="C38" s="9"/>
      <c r="D38" s="9"/>
      <c r="E38" s="9"/>
      <c r="F38" s="9"/>
    </row>
    <row r="39" spans="1:6" ht="15.75">
      <c r="A39" s="11">
        <v>1</v>
      </c>
      <c r="B39" s="12" t="s">
        <v>84</v>
      </c>
      <c r="C39" s="11"/>
      <c r="D39" s="11"/>
      <c r="E39" s="11"/>
      <c r="F39" s="11"/>
    </row>
    <row r="40" spans="1:6" ht="15.75">
      <c r="A40" s="11">
        <v>2</v>
      </c>
      <c r="B40" s="12" t="s">
        <v>85</v>
      </c>
      <c r="C40" s="11"/>
      <c r="D40" s="11"/>
      <c r="E40" s="11"/>
      <c r="F40" s="11"/>
    </row>
    <row r="41" spans="1:6" ht="15.75">
      <c r="A41" s="11">
        <v>3</v>
      </c>
      <c r="B41" s="12" t="s">
        <v>86</v>
      </c>
      <c r="C41" s="11"/>
      <c r="D41" s="11"/>
      <c r="E41" s="11"/>
      <c r="F41" s="11"/>
    </row>
    <row r="42" spans="1:6" ht="15.75">
      <c r="A42" s="11">
        <v>4</v>
      </c>
      <c r="B42" s="12" t="s">
        <v>87</v>
      </c>
      <c r="C42" s="11"/>
      <c r="D42" s="11"/>
      <c r="E42" s="11"/>
      <c r="F42" s="11"/>
    </row>
    <row r="43" spans="1:6" ht="15.75">
      <c r="A43" s="9"/>
      <c r="B43" s="14"/>
      <c r="C43" s="9"/>
      <c r="D43" s="9"/>
      <c r="E43" s="9"/>
      <c r="F43" s="9"/>
    </row>
    <row r="44" spans="1:6" ht="15.75">
      <c r="A44" s="15">
        <v>1</v>
      </c>
      <c r="B44" s="16" t="s">
        <v>88</v>
      </c>
      <c r="C44" s="15"/>
      <c r="D44" s="15"/>
      <c r="E44" s="15"/>
      <c r="F44" s="15"/>
    </row>
    <row r="45" spans="1:6" ht="15.75">
      <c r="A45" s="15">
        <v>2</v>
      </c>
      <c r="B45" s="16" t="s">
        <v>89</v>
      </c>
      <c r="C45" s="15"/>
      <c r="D45" s="15"/>
      <c r="E45" s="15"/>
      <c r="F45" s="15"/>
    </row>
    <row r="46" spans="1:6" ht="15.75">
      <c r="A46" s="15">
        <v>3</v>
      </c>
      <c r="B46" s="16" t="s">
        <v>90</v>
      </c>
      <c r="C46" s="15"/>
      <c r="D46" s="15"/>
      <c r="E46" s="15"/>
      <c r="F46" s="15"/>
    </row>
    <row r="47" spans="1:6" ht="15.75">
      <c r="A47" s="15">
        <v>4</v>
      </c>
      <c r="B47" s="16" t="s">
        <v>91</v>
      </c>
      <c r="C47" s="15"/>
      <c r="D47" s="15"/>
      <c r="E47" s="15"/>
      <c r="F47" s="15"/>
    </row>
    <row r="48" spans="1:6" ht="15.75">
      <c r="A48" s="15">
        <v>5</v>
      </c>
      <c r="B48" s="16" t="s">
        <v>92</v>
      </c>
      <c r="C48" s="15"/>
      <c r="D48" s="15"/>
      <c r="E48" s="15"/>
      <c r="F48" s="15"/>
    </row>
    <row r="49" spans="1:6" ht="15.75">
      <c r="A49" s="9"/>
      <c r="B49" s="14"/>
      <c r="C49" s="9"/>
      <c r="D49" s="9"/>
      <c r="E49" s="9"/>
      <c r="F49" s="9"/>
    </row>
    <row r="50" spans="1:6" ht="15.75">
      <c r="A50" s="11">
        <v>1</v>
      </c>
      <c r="B50" s="12" t="s">
        <v>93</v>
      </c>
      <c r="C50" s="11"/>
      <c r="D50" s="11"/>
      <c r="E50" s="11"/>
      <c r="F50" s="11"/>
    </row>
    <row r="51" spans="1:6" ht="15.75">
      <c r="A51" s="11">
        <v>2</v>
      </c>
      <c r="B51" s="12" t="s">
        <v>94</v>
      </c>
      <c r="C51" s="11"/>
      <c r="D51" s="11"/>
      <c r="E51" s="11"/>
      <c r="F51" s="11"/>
    </row>
    <row r="52" spans="1:6" ht="15.75">
      <c r="A52" s="11">
        <v>3</v>
      </c>
      <c r="B52" s="12" t="s">
        <v>95</v>
      </c>
      <c r="C52" s="11"/>
      <c r="D52" s="11"/>
      <c r="E52" s="11"/>
      <c r="F52" s="11"/>
    </row>
    <row r="53" spans="1:6" ht="15.75">
      <c r="A53" s="11">
        <v>4</v>
      </c>
      <c r="B53" s="12" t="s">
        <v>96</v>
      </c>
      <c r="C53" s="11"/>
      <c r="D53" s="11"/>
      <c r="E53" s="11"/>
      <c r="F53" s="11"/>
    </row>
    <row r="54" spans="1:6" ht="15.75">
      <c r="A54" s="11">
        <v>5</v>
      </c>
      <c r="B54" s="12" t="s">
        <v>97</v>
      </c>
      <c r="C54" s="11"/>
      <c r="D54" s="11"/>
      <c r="E54" s="11"/>
      <c r="F54" s="11"/>
    </row>
    <row r="55" spans="1:6" ht="15.75">
      <c r="A55" s="17"/>
      <c r="B55" s="17" t="s">
        <v>98</v>
      </c>
      <c r="C55" s="17"/>
      <c r="D55" s="17"/>
      <c r="E55" s="17"/>
      <c r="F55" s="17"/>
    </row>
  </sheetData>
  <mergeCells count="3">
    <mergeCell ref="A9:A10"/>
    <mergeCell ref="B9:B10"/>
    <mergeCell ref="C9:F9"/>
  </mergeCells>
  <pageMargins left="0.7" right="0.7" top="0.75" bottom="0.75" header="0.3" footer="0.3"/>
  <pageSetup paperSize="14" orientation="portrait" r:id="rId1"/>
  <drawing r:id="rId2"/>
</worksheet>
</file>

<file path=xl/worksheets/sheet18.xml><?xml version="1.0" encoding="utf-8"?>
<worksheet xmlns="http://schemas.openxmlformats.org/spreadsheetml/2006/main" xmlns:r="http://schemas.openxmlformats.org/officeDocument/2006/relationships">
  <sheetPr codeName="Sheet12"/>
  <dimension ref="A1:I70"/>
  <sheetViews>
    <sheetView zoomScale="120" zoomScaleNormal="120" workbookViewId="0"/>
  </sheetViews>
  <sheetFormatPr defaultRowHeight="15"/>
  <cols>
    <col min="1" max="1" width="2.85546875" bestFit="1" customWidth="1"/>
    <col min="2" max="2" width="4.85546875" customWidth="1"/>
    <col min="3" max="3" width="62.85546875" customWidth="1"/>
    <col min="4" max="7" width="7.28515625" customWidth="1"/>
  </cols>
  <sheetData>
    <row r="1" spans="1:9" ht="23.25">
      <c r="A1" s="18"/>
      <c r="B1" s="19" t="s">
        <v>99</v>
      </c>
      <c r="C1" s="20"/>
      <c r="D1" s="20"/>
      <c r="E1" s="20"/>
      <c r="F1" s="20"/>
      <c r="G1" s="20"/>
    </row>
    <row r="2" spans="1:9" ht="23.25">
      <c r="A2" s="18"/>
      <c r="B2" s="19"/>
      <c r="C2" s="20"/>
      <c r="D2" s="20"/>
      <c r="E2" s="20"/>
      <c r="F2" s="20"/>
      <c r="G2" s="20"/>
    </row>
    <row r="3" spans="1:9">
      <c r="A3" s="18"/>
      <c r="B3" s="18"/>
      <c r="C3" s="18"/>
      <c r="D3" s="18"/>
      <c r="E3" s="18"/>
      <c r="F3" s="18"/>
      <c r="G3" s="18"/>
    </row>
    <row r="4" spans="1:9">
      <c r="A4" s="18"/>
      <c r="B4" s="18"/>
      <c r="C4" s="18"/>
      <c r="D4" s="18"/>
      <c r="E4" s="18"/>
      <c r="F4" s="18"/>
      <c r="G4" s="18"/>
    </row>
    <row r="5" spans="1:9">
      <c r="A5" s="18"/>
      <c r="B5" s="18"/>
      <c r="C5" s="18"/>
      <c r="D5" s="18"/>
      <c r="E5" s="18"/>
      <c r="F5" s="18"/>
      <c r="G5" s="18"/>
    </row>
    <row r="6" spans="1:9">
      <c r="A6" s="18"/>
      <c r="B6" s="18"/>
      <c r="C6" s="18"/>
      <c r="D6" s="18"/>
      <c r="E6" s="18"/>
      <c r="F6" s="18"/>
      <c r="G6" s="18"/>
    </row>
    <row r="7" spans="1:9">
      <c r="A7" s="18"/>
      <c r="B7" s="18"/>
      <c r="C7" s="18"/>
      <c r="D7" s="18"/>
      <c r="E7" s="18"/>
      <c r="F7" s="18"/>
      <c r="G7" s="18"/>
    </row>
    <row r="8" spans="1:9" ht="15.75" thickBot="1">
      <c r="A8" s="161" t="s">
        <v>14</v>
      </c>
      <c r="B8" s="161" t="s">
        <v>34</v>
      </c>
      <c r="C8" s="161" t="s">
        <v>114</v>
      </c>
      <c r="D8" s="210" t="s">
        <v>100</v>
      </c>
      <c r="E8" s="210" t="s">
        <v>101</v>
      </c>
      <c r="F8" s="210" t="s">
        <v>102</v>
      </c>
      <c r="G8" s="210" t="s">
        <v>103</v>
      </c>
      <c r="I8" s="202"/>
    </row>
    <row r="9" spans="1:9" ht="15.75" thickTop="1">
      <c r="A9" s="626" t="s">
        <v>207</v>
      </c>
      <c r="B9" s="173" t="s">
        <v>208</v>
      </c>
      <c r="C9" s="174" t="s">
        <v>209</v>
      </c>
      <c r="D9" s="211">
        <v>1</v>
      </c>
      <c r="E9" s="211">
        <v>2</v>
      </c>
      <c r="F9" s="211">
        <v>3</v>
      </c>
      <c r="G9" s="211">
        <v>4</v>
      </c>
      <c r="I9" s="203"/>
    </row>
    <row r="10" spans="1:9">
      <c r="A10" s="624"/>
      <c r="B10" s="164" t="s">
        <v>210</v>
      </c>
      <c r="C10" s="165" t="s">
        <v>211</v>
      </c>
      <c r="D10" s="211">
        <v>1</v>
      </c>
      <c r="E10" s="211">
        <v>2</v>
      </c>
      <c r="F10" s="211">
        <v>3</v>
      </c>
      <c r="G10" s="211">
        <v>4</v>
      </c>
      <c r="I10" s="203"/>
    </row>
    <row r="11" spans="1:9">
      <c r="A11" s="624"/>
      <c r="B11" s="164" t="s">
        <v>212</v>
      </c>
      <c r="C11" s="165" t="s">
        <v>213</v>
      </c>
      <c r="D11" s="211">
        <v>1</v>
      </c>
      <c r="E11" s="211">
        <v>2</v>
      </c>
      <c r="F11" s="211">
        <v>3</v>
      </c>
      <c r="G11" s="211">
        <v>4</v>
      </c>
      <c r="I11" s="203"/>
    </row>
    <row r="12" spans="1:9">
      <c r="A12" s="624"/>
      <c r="B12" s="164" t="s">
        <v>214</v>
      </c>
      <c r="C12" s="165" t="s">
        <v>215</v>
      </c>
      <c r="D12" s="211">
        <v>1</v>
      </c>
      <c r="E12" s="211">
        <v>2</v>
      </c>
      <c r="F12" s="211">
        <v>3</v>
      </c>
      <c r="G12" s="211">
        <v>4</v>
      </c>
      <c r="I12" s="203"/>
    </row>
    <row r="13" spans="1:9">
      <c r="A13" s="624"/>
      <c r="B13" s="164" t="s">
        <v>216</v>
      </c>
      <c r="C13" s="165" t="s">
        <v>217</v>
      </c>
      <c r="D13" s="211">
        <v>1</v>
      </c>
      <c r="E13" s="211">
        <v>2</v>
      </c>
      <c r="F13" s="211">
        <v>3</v>
      </c>
      <c r="G13" s="211">
        <v>4</v>
      </c>
      <c r="I13" s="203"/>
    </row>
    <row r="14" spans="1:9">
      <c r="A14" s="624"/>
      <c r="B14" s="214"/>
      <c r="C14" s="215"/>
      <c r="D14" s="216"/>
      <c r="E14" s="216"/>
      <c r="F14" s="216"/>
      <c r="G14" s="216"/>
      <c r="I14" s="202"/>
    </row>
    <row r="15" spans="1:9">
      <c r="A15" s="625" t="s">
        <v>8</v>
      </c>
      <c r="B15" s="164" t="s">
        <v>149</v>
      </c>
      <c r="C15" s="165" t="s">
        <v>150</v>
      </c>
      <c r="D15" s="212">
        <v>1</v>
      </c>
      <c r="E15" s="212">
        <v>2</v>
      </c>
      <c r="F15" s="212">
        <v>3</v>
      </c>
      <c r="G15" s="212">
        <v>4</v>
      </c>
      <c r="I15" s="209"/>
    </row>
    <row r="16" spans="1:9">
      <c r="A16" s="625"/>
      <c r="B16" s="164" t="s">
        <v>151</v>
      </c>
      <c r="C16" s="165" t="s">
        <v>152</v>
      </c>
      <c r="D16" s="212">
        <v>1</v>
      </c>
      <c r="E16" s="212">
        <v>2</v>
      </c>
      <c r="F16" s="212">
        <v>3</v>
      </c>
      <c r="G16" s="212">
        <v>4</v>
      </c>
      <c r="I16" s="202"/>
    </row>
    <row r="17" spans="1:9">
      <c r="A17" s="625"/>
      <c r="B17" s="164" t="s">
        <v>153</v>
      </c>
      <c r="C17" s="165" t="s">
        <v>154</v>
      </c>
      <c r="D17" s="212">
        <v>1</v>
      </c>
      <c r="E17" s="212">
        <v>2</v>
      </c>
      <c r="F17" s="212">
        <v>3</v>
      </c>
      <c r="G17" s="212">
        <v>4</v>
      </c>
      <c r="I17" s="202"/>
    </row>
    <row r="18" spans="1:9">
      <c r="A18" s="625"/>
      <c r="B18" s="164" t="s">
        <v>155</v>
      </c>
      <c r="C18" s="165" t="s">
        <v>64</v>
      </c>
      <c r="D18" s="212">
        <v>1</v>
      </c>
      <c r="E18" s="212">
        <v>2</v>
      </c>
      <c r="F18" s="212">
        <v>3</v>
      </c>
      <c r="G18" s="212">
        <v>4</v>
      </c>
    </row>
    <row r="19" spans="1:9">
      <c r="A19" s="625"/>
      <c r="B19" s="164" t="s">
        <v>156</v>
      </c>
      <c r="C19" s="165" t="s">
        <v>65</v>
      </c>
      <c r="D19" s="213">
        <v>1</v>
      </c>
      <c r="E19" s="213">
        <v>2</v>
      </c>
      <c r="F19" s="213">
        <v>3</v>
      </c>
      <c r="G19" s="213">
        <v>4</v>
      </c>
    </row>
    <row r="20" spans="1:9">
      <c r="A20" s="625"/>
      <c r="B20" s="214"/>
      <c r="C20" s="217"/>
      <c r="D20" s="218"/>
      <c r="E20" s="218"/>
      <c r="F20" s="218"/>
      <c r="G20" s="218"/>
    </row>
    <row r="21" spans="1:9">
      <c r="A21" s="624" t="s">
        <v>9</v>
      </c>
      <c r="B21" s="164" t="s">
        <v>157</v>
      </c>
      <c r="C21" s="208" t="s">
        <v>158</v>
      </c>
      <c r="D21" s="212">
        <v>1</v>
      </c>
      <c r="E21" s="212">
        <v>2</v>
      </c>
      <c r="F21" s="212">
        <v>3</v>
      </c>
      <c r="G21" s="212">
        <v>4</v>
      </c>
    </row>
    <row r="22" spans="1:9" ht="15" customHeight="1">
      <c r="A22" s="624"/>
      <c r="B22" s="164" t="s">
        <v>159</v>
      </c>
      <c r="C22" s="208" t="s">
        <v>67</v>
      </c>
      <c r="D22" s="212">
        <v>1</v>
      </c>
      <c r="E22" s="212">
        <v>2</v>
      </c>
      <c r="F22" s="212">
        <v>3</v>
      </c>
      <c r="G22" s="212">
        <v>4</v>
      </c>
    </row>
    <row r="23" spans="1:9">
      <c r="A23" s="624"/>
      <c r="B23" s="164" t="s">
        <v>160</v>
      </c>
      <c r="C23" s="208" t="s">
        <v>68</v>
      </c>
      <c r="D23" s="212">
        <v>1</v>
      </c>
      <c r="E23" s="212">
        <v>2</v>
      </c>
      <c r="F23" s="212">
        <v>3</v>
      </c>
      <c r="G23" s="212">
        <v>4</v>
      </c>
    </row>
    <row r="24" spans="1:9">
      <c r="A24" s="624"/>
      <c r="B24" s="164" t="s">
        <v>161</v>
      </c>
      <c r="C24" s="208" t="s">
        <v>69</v>
      </c>
      <c r="D24" s="213">
        <v>1</v>
      </c>
      <c r="E24" s="213">
        <v>2</v>
      </c>
      <c r="F24" s="213">
        <v>3</v>
      </c>
      <c r="G24" s="213">
        <v>4</v>
      </c>
    </row>
    <row r="25" spans="1:9">
      <c r="A25" s="624"/>
      <c r="B25" s="164" t="s">
        <v>162</v>
      </c>
      <c r="C25" s="208" t="s">
        <v>70</v>
      </c>
      <c r="D25" s="212">
        <v>1</v>
      </c>
      <c r="E25" s="212">
        <v>2</v>
      </c>
      <c r="F25" s="212">
        <v>3</v>
      </c>
      <c r="G25" s="212">
        <v>4</v>
      </c>
    </row>
    <row r="26" spans="1:9">
      <c r="A26" s="624"/>
      <c r="B26" s="164" t="s">
        <v>163</v>
      </c>
      <c r="C26" s="208" t="s">
        <v>164</v>
      </c>
      <c r="D26" s="212">
        <v>1</v>
      </c>
      <c r="E26" s="212">
        <v>2</v>
      </c>
      <c r="F26" s="212">
        <v>3</v>
      </c>
      <c r="G26" s="212">
        <v>4</v>
      </c>
    </row>
    <row r="27" spans="1:9">
      <c r="A27" s="624"/>
      <c r="B27" s="164" t="s">
        <v>165</v>
      </c>
      <c r="C27" s="208" t="s">
        <v>166</v>
      </c>
      <c r="D27" s="212">
        <v>1</v>
      </c>
      <c r="E27" s="212">
        <v>2</v>
      </c>
      <c r="F27" s="212">
        <v>3</v>
      </c>
      <c r="G27" s="212">
        <v>4</v>
      </c>
    </row>
    <row r="28" spans="1:9">
      <c r="A28" s="624"/>
      <c r="B28" s="164" t="s">
        <v>167</v>
      </c>
      <c r="C28" s="208" t="s">
        <v>168</v>
      </c>
      <c r="D28" s="212">
        <v>1</v>
      </c>
      <c r="E28" s="212">
        <v>2</v>
      </c>
      <c r="F28" s="212">
        <v>3</v>
      </c>
      <c r="G28" s="212">
        <v>4</v>
      </c>
    </row>
    <row r="29" spans="1:9">
      <c r="A29" s="624"/>
      <c r="B29" s="214"/>
      <c r="C29" s="217"/>
      <c r="D29" s="219"/>
      <c r="E29" s="219"/>
      <c r="F29" s="219"/>
      <c r="G29" s="219"/>
    </row>
    <row r="30" spans="1:9">
      <c r="A30" s="625" t="s">
        <v>169</v>
      </c>
      <c r="B30" s="164" t="s">
        <v>170</v>
      </c>
      <c r="C30" s="208" t="s">
        <v>74</v>
      </c>
      <c r="D30" s="212">
        <v>1</v>
      </c>
      <c r="E30" s="212">
        <v>2</v>
      </c>
      <c r="F30" s="212">
        <v>3</v>
      </c>
      <c r="G30" s="212">
        <v>4</v>
      </c>
    </row>
    <row r="31" spans="1:9">
      <c r="A31" s="625"/>
      <c r="B31" s="164" t="s">
        <v>171</v>
      </c>
      <c r="C31" s="208" t="s">
        <v>75</v>
      </c>
      <c r="D31" s="212">
        <v>1</v>
      </c>
      <c r="E31" s="212">
        <v>2</v>
      </c>
      <c r="F31" s="212">
        <v>3</v>
      </c>
      <c r="G31" s="212">
        <v>4</v>
      </c>
    </row>
    <row r="32" spans="1:9">
      <c r="A32" s="625"/>
      <c r="B32" s="164" t="s">
        <v>172</v>
      </c>
      <c r="C32" s="208" t="s">
        <v>173</v>
      </c>
      <c r="D32" s="212">
        <v>1</v>
      </c>
      <c r="E32" s="212">
        <v>2</v>
      </c>
      <c r="F32" s="212">
        <v>3</v>
      </c>
      <c r="G32" s="212">
        <v>4</v>
      </c>
    </row>
    <row r="33" spans="1:7">
      <c r="A33" s="625"/>
      <c r="B33" s="164" t="s">
        <v>174</v>
      </c>
      <c r="C33" s="208" t="s">
        <v>77</v>
      </c>
      <c r="D33" s="212">
        <v>1</v>
      </c>
      <c r="E33" s="212">
        <v>2</v>
      </c>
      <c r="F33" s="212">
        <v>3</v>
      </c>
      <c r="G33" s="212">
        <v>4</v>
      </c>
    </row>
    <row r="34" spans="1:7">
      <c r="A34" s="625"/>
      <c r="B34" s="164" t="s">
        <v>175</v>
      </c>
      <c r="C34" s="208" t="s">
        <v>78</v>
      </c>
      <c r="D34" s="213">
        <v>1</v>
      </c>
      <c r="E34" s="213">
        <v>2</v>
      </c>
      <c r="F34" s="213">
        <v>3</v>
      </c>
      <c r="G34" s="213">
        <v>4</v>
      </c>
    </row>
    <row r="35" spans="1:7">
      <c r="A35" s="625"/>
      <c r="B35" s="214"/>
      <c r="C35" s="217"/>
      <c r="D35" s="218"/>
      <c r="E35" s="218"/>
      <c r="F35" s="218"/>
      <c r="G35" s="218"/>
    </row>
    <row r="36" spans="1:7">
      <c r="A36" s="624" t="s">
        <v>10</v>
      </c>
      <c r="B36" s="164" t="s">
        <v>176</v>
      </c>
      <c r="C36" s="208" t="s">
        <v>177</v>
      </c>
      <c r="D36" s="212">
        <v>1</v>
      </c>
      <c r="E36" s="212">
        <v>2</v>
      </c>
      <c r="F36" s="212">
        <v>3</v>
      </c>
      <c r="G36" s="212">
        <v>4</v>
      </c>
    </row>
    <row r="37" spans="1:7">
      <c r="A37" s="624"/>
      <c r="B37" s="164" t="s">
        <v>178</v>
      </c>
      <c r="C37" s="208" t="s">
        <v>179</v>
      </c>
      <c r="D37" s="212">
        <v>1</v>
      </c>
      <c r="E37" s="212">
        <v>2</v>
      </c>
      <c r="F37" s="212">
        <v>3</v>
      </c>
      <c r="G37" s="212">
        <v>4</v>
      </c>
    </row>
    <row r="38" spans="1:7">
      <c r="A38" s="624"/>
      <c r="B38" s="164" t="s">
        <v>180</v>
      </c>
      <c r="C38" s="208" t="s">
        <v>181</v>
      </c>
      <c r="D38" s="212">
        <v>1</v>
      </c>
      <c r="E38" s="212">
        <v>2</v>
      </c>
      <c r="F38" s="212">
        <v>3</v>
      </c>
      <c r="G38" s="212">
        <v>4</v>
      </c>
    </row>
    <row r="39" spans="1:7">
      <c r="A39" s="624"/>
      <c r="B39" s="164" t="s">
        <v>182</v>
      </c>
      <c r="C39" s="208" t="s">
        <v>82</v>
      </c>
      <c r="D39" s="213">
        <v>1</v>
      </c>
      <c r="E39" s="213">
        <v>2</v>
      </c>
      <c r="F39" s="213">
        <v>3</v>
      </c>
      <c r="G39" s="213">
        <v>4</v>
      </c>
    </row>
    <row r="40" spans="1:7">
      <c r="A40" s="624"/>
      <c r="B40" s="164" t="s">
        <v>183</v>
      </c>
      <c r="C40" s="208" t="s">
        <v>83</v>
      </c>
      <c r="D40" s="212">
        <v>1</v>
      </c>
      <c r="E40" s="212">
        <v>2</v>
      </c>
      <c r="F40" s="212">
        <v>3</v>
      </c>
      <c r="G40" s="212">
        <v>4</v>
      </c>
    </row>
    <row r="41" spans="1:7">
      <c r="A41" s="624"/>
      <c r="B41" s="214"/>
      <c r="C41" s="217"/>
      <c r="D41" s="218"/>
      <c r="E41" s="218"/>
      <c r="F41" s="218"/>
      <c r="G41" s="218"/>
    </row>
    <row r="42" spans="1:7">
      <c r="A42" s="625" t="s">
        <v>184</v>
      </c>
      <c r="B42" s="164" t="s">
        <v>185</v>
      </c>
      <c r="C42" s="208" t="s">
        <v>84</v>
      </c>
      <c r="D42" s="212">
        <v>1</v>
      </c>
      <c r="E42" s="212">
        <v>2</v>
      </c>
      <c r="F42" s="212">
        <v>3</v>
      </c>
      <c r="G42" s="212">
        <v>4</v>
      </c>
    </row>
    <row r="43" spans="1:7">
      <c r="A43" s="625"/>
      <c r="B43" s="164" t="s">
        <v>186</v>
      </c>
      <c r="C43" s="208" t="s">
        <v>187</v>
      </c>
      <c r="D43" s="212">
        <v>1</v>
      </c>
      <c r="E43" s="212">
        <v>2</v>
      </c>
      <c r="F43" s="212">
        <v>3</v>
      </c>
      <c r="G43" s="212">
        <v>4</v>
      </c>
    </row>
    <row r="44" spans="1:7">
      <c r="A44" s="625"/>
      <c r="B44" s="164" t="s">
        <v>188</v>
      </c>
      <c r="C44" s="208" t="s">
        <v>86</v>
      </c>
      <c r="D44" s="213">
        <v>1</v>
      </c>
      <c r="E44" s="213">
        <v>2</v>
      </c>
      <c r="F44" s="213">
        <v>3</v>
      </c>
      <c r="G44" s="213">
        <v>4</v>
      </c>
    </row>
    <row r="45" spans="1:7">
      <c r="A45" s="625"/>
      <c r="B45" s="164" t="s">
        <v>189</v>
      </c>
      <c r="C45" s="208" t="s">
        <v>190</v>
      </c>
      <c r="D45" s="212">
        <v>1</v>
      </c>
      <c r="E45" s="212">
        <v>2</v>
      </c>
      <c r="F45" s="212">
        <v>3</v>
      </c>
      <c r="G45" s="212">
        <v>4</v>
      </c>
    </row>
    <row r="46" spans="1:7">
      <c r="A46" s="625"/>
      <c r="B46" s="214"/>
      <c r="C46" s="217"/>
      <c r="D46" s="218"/>
      <c r="E46" s="218"/>
      <c r="F46" s="218"/>
      <c r="G46" s="218"/>
    </row>
    <row r="47" spans="1:7">
      <c r="A47" s="624" t="s">
        <v>12</v>
      </c>
      <c r="B47" s="164" t="s">
        <v>191</v>
      </c>
      <c r="C47" s="208" t="s">
        <v>88</v>
      </c>
      <c r="D47" s="212">
        <v>1</v>
      </c>
      <c r="E47" s="212">
        <v>2</v>
      </c>
      <c r="F47" s="212">
        <v>3</v>
      </c>
      <c r="G47" s="212">
        <v>4</v>
      </c>
    </row>
    <row r="48" spans="1:7">
      <c r="A48" s="624"/>
      <c r="B48" s="164" t="s">
        <v>192</v>
      </c>
      <c r="C48" s="208" t="s">
        <v>89</v>
      </c>
      <c r="D48" s="212">
        <v>1</v>
      </c>
      <c r="E48" s="212">
        <v>2</v>
      </c>
      <c r="F48" s="212">
        <v>3</v>
      </c>
      <c r="G48" s="212">
        <v>4</v>
      </c>
    </row>
    <row r="49" spans="1:7">
      <c r="A49" s="624"/>
      <c r="B49" s="164" t="s">
        <v>193</v>
      </c>
      <c r="C49" s="208" t="s">
        <v>90</v>
      </c>
      <c r="D49" s="213">
        <v>1</v>
      </c>
      <c r="E49" s="213">
        <v>2</v>
      </c>
      <c r="F49" s="213">
        <v>3</v>
      </c>
      <c r="G49" s="213">
        <v>4</v>
      </c>
    </row>
    <row r="50" spans="1:7">
      <c r="A50" s="624"/>
      <c r="B50" s="164" t="s">
        <v>194</v>
      </c>
      <c r="C50" s="208" t="s">
        <v>195</v>
      </c>
      <c r="D50" s="212">
        <v>1</v>
      </c>
      <c r="E50" s="212">
        <v>2</v>
      </c>
      <c r="F50" s="212">
        <v>3</v>
      </c>
      <c r="G50" s="212">
        <v>4</v>
      </c>
    </row>
    <row r="51" spans="1:7">
      <c r="A51" s="624"/>
      <c r="B51" s="164" t="s">
        <v>196</v>
      </c>
      <c r="C51" s="208" t="s">
        <v>197</v>
      </c>
      <c r="D51" s="212">
        <v>1</v>
      </c>
      <c r="E51" s="212">
        <v>2</v>
      </c>
      <c r="F51" s="212">
        <v>3</v>
      </c>
      <c r="G51" s="212">
        <v>4</v>
      </c>
    </row>
    <row r="52" spans="1:7">
      <c r="A52" s="624"/>
      <c r="B52" s="214"/>
      <c r="C52" s="217"/>
      <c r="D52" s="218"/>
      <c r="E52" s="218"/>
      <c r="F52" s="218"/>
      <c r="G52" s="218"/>
    </row>
    <row r="53" spans="1:7">
      <c r="A53" s="625" t="s">
        <v>13</v>
      </c>
      <c r="B53" s="164" t="s">
        <v>198</v>
      </c>
      <c r="C53" s="208" t="s">
        <v>93</v>
      </c>
      <c r="D53" s="212">
        <v>1</v>
      </c>
      <c r="E53" s="212">
        <v>2</v>
      </c>
      <c r="F53" s="212">
        <v>3</v>
      </c>
      <c r="G53" s="212">
        <v>4</v>
      </c>
    </row>
    <row r="54" spans="1:7">
      <c r="A54" s="625"/>
      <c r="B54" s="164" t="s">
        <v>199</v>
      </c>
      <c r="C54" s="208" t="s">
        <v>94</v>
      </c>
      <c r="D54" s="213">
        <v>1</v>
      </c>
      <c r="E54" s="213">
        <v>2</v>
      </c>
      <c r="F54" s="213">
        <v>3</v>
      </c>
      <c r="G54" s="213">
        <v>4</v>
      </c>
    </row>
    <row r="55" spans="1:7">
      <c r="A55" s="625"/>
      <c r="B55" s="164" t="s">
        <v>200</v>
      </c>
      <c r="C55" s="208" t="s">
        <v>201</v>
      </c>
      <c r="D55" s="212">
        <v>1</v>
      </c>
      <c r="E55" s="212">
        <v>2</v>
      </c>
      <c r="F55" s="212">
        <v>3</v>
      </c>
      <c r="G55" s="212">
        <v>4</v>
      </c>
    </row>
    <row r="56" spans="1:7">
      <c r="A56" s="625"/>
      <c r="B56" s="164" t="s">
        <v>202</v>
      </c>
      <c r="C56" s="208" t="s">
        <v>203</v>
      </c>
      <c r="D56" s="212">
        <v>1</v>
      </c>
      <c r="E56" s="212">
        <v>2</v>
      </c>
      <c r="F56" s="212">
        <v>3</v>
      </c>
      <c r="G56" s="212">
        <v>4</v>
      </c>
    </row>
    <row r="57" spans="1:7">
      <c r="A57" s="625"/>
      <c r="B57" s="164" t="s">
        <v>204</v>
      </c>
      <c r="C57" s="208" t="s">
        <v>205</v>
      </c>
      <c r="D57" s="212">
        <v>1</v>
      </c>
      <c r="E57" s="212">
        <v>2</v>
      </c>
      <c r="F57" s="212">
        <v>3</v>
      </c>
      <c r="G57" s="212">
        <v>4</v>
      </c>
    </row>
    <row r="58" spans="1:7">
      <c r="A58" s="625"/>
      <c r="B58" s="214"/>
      <c r="C58" s="217"/>
      <c r="D58" s="218"/>
      <c r="E58" s="218"/>
      <c r="F58" s="218"/>
      <c r="G58" s="218"/>
    </row>
    <row r="59" spans="1:7">
      <c r="A59" s="18"/>
      <c r="B59" s="22"/>
      <c r="C59" s="23"/>
      <c r="D59" s="22"/>
      <c r="E59" s="22"/>
      <c r="F59" s="22"/>
      <c r="G59" s="22"/>
    </row>
    <row r="60" spans="1:7">
      <c r="A60" s="18"/>
      <c r="B60" s="24" t="s">
        <v>105</v>
      </c>
      <c r="C60" s="18"/>
      <c r="D60" s="18"/>
      <c r="E60" s="18"/>
      <c r="F60" s="18"/>
      <c r="G60" s="18"/>
    </row>
    <row r="61" spans="1:7">
      <c r="A61" s="18"/>
      <c r="B61" s="25" t="s">
        <v>103</v>
      </c>
      <c r="C61" s="26" t="s">
        <v>106</v>
      </c>
      <c r="D61" s="18"/>
      <c r="E61" s="18"/>
      <c r="F61" s="18"/>
      <c r="G61" s="18"/>
    </row>
    <row r="62" spans="1:7">
      <c r="A62" s="18"/>
      <c r="B62" s="25" t="s">
        <v>107</v>
      </c>
      <c r="C62" s="26" t="s">
        <v>108</v>
      </c>
      <c r="D62" s="18"/>
      <c r="E62" s="18"/>
      <c r="F62" s="18"/>
      <c r="G62" s="18"/>
    </row>
    <row r="63" spans="1:7">
      <c r="A63" s="18"/>
      <c r="B63" s="25" t="s">
        <v>109</v>
      </c>
      <c r="C63" s="26" t="s">
        <v>110</v>
      </c>
      <c r="D63" s="18"/>
      <c r="E63" s="18"/>
      <c r="F63" s="18"/>
      <c r="G63" s="18"/>
    </row>
    <row r="64" spans="1:7">
      <c r="A64" s="18"/>
      <c r="B64" s="25" t="s">
        <v>111</v>
      </c>
      <c r="C64" s="26" t="s">
        <v>112</v>
      </c>
      <c r="D64" s="18"/>
      <c r="E64" s="18"/>
      <c r="F64" s="18"/>
      <c r="G64" s="18"/>
    </row>
    <row r="65" spans="1:7">
      <c r="A65" s="18"/>
      <c r="B65" s="18"/>
      <c r="C65" s="18"/>
      <c r="D65" s="18"/>
      <c r="E65" s="18"/>
      <c r="F65" s="18"/>
      <c r="G65" s="18"/>
    </row>
    <row r="66" spans="1:7">
      <c r="A66" s="18"/>
      <c r="B66" s="21"/>
      <c r="C66" s="27"/>
      <c r="D66" s="18"/>
      <c r="E66" s="18"/>
      <c r="F66" s="18"/>
      <c r="G66" s="18"/>
    </row>
    <row r="67" spans="1:7">
      <c r="A67" s="18"/>
      <c r="B67" s="21"/>
      <c r="C67" s="27"/>
      <c r="D67" s="18"/>
      <c r="E67" s="18"/>
      <c r="F67" s="18"/>
      <c r="G67" s="18"/>
    </row>
    <row r="68" spans="1:7">
      <c r="A68" s="18"/>
      <c r="B68" s="21"/>
      <c r="C68" s="27"/>
      <c r="D68" s="18"/>
      <c r="E68" s="18"/>
      <c r="F68" s="18"/>
      <c r="G68" s="18"/>
    </row>
    <row r="69" spans="1:7">
      <c r="A69" s="18"/>
      <c r="B69" s="21"/>
      <c r="C69" s="27"/>
      <c r="D69" s="18"/>
      <c r="E69" s="18"/>
      <c r="F69" s="18"/>
      <c r="G69" s="18"/>
    </row>
    <row r="70" spans="1:7">
      <c r="A70" s="18"/>
      <c r="B70" s="18"/>
      <c r="C70" s="18"/>
      <c r="D70" s="18"/>
      <c r="E70" s="18"/>
      <c r="F70" s="18"/>
      <c r="G70" s="18"/>
    </row>
  </sheetData>
  <mergeCells count="8">
    <mergeCell ref="A47:A52"/>
    <mergeCell ref="A53:A58"/>
    <mergeCell ref="A9:A14"/>
    <mergeCell ref="A21:A29"/>
    <mergeCell ref="A30:A35"/>
    <mergeCell ref="A36:A41"/>
    <mergeCell ref="A42:A46"/>
    <mergeCell ref="A15:A20"/>
  </mergeCells>
  <conditionalFormatting sqref="B14:C14 B20:C20 B52:C52 B58:C58 B41:C41 B35:C35 B29:C29 B46:C46">
    <cfRule type="cellIs" dxfId="598" priority="3" operator="notEqual">
      <formula>$B$2</formula>
    </cfRule>
  </conditionalFormatting>
  <pageMargins left="0.70866141732283472" right="0.6" top="0.39370078740157483" bottom="0.39370078740157483" header="0.31496062992125984" footer="0.31496062992125984"/>
  <pageSetup paperSize="256" scale="90" orientation="portrait" horizontalDpi="4294967294" r:id="rId1"/>
  <drawing r:id="rId2"/>
</worksheet>
</file>

<file path=xl/worksheets/sheet19.xml><?xml version="1.0" encoding="utf-8"?>
<worksheet xmlns="http://schemas.openxmlformats.org/spreadsheetml/2006/main" xmlns:r="http://schemas.openxmlformats.org/officeDocument/2006/relationships">
  <sheetPr codeName="Sheet13"/>
  <dimension ref="A1:BA54"/>
  <sheetViews>
    <sheetView workbookViewId="0">
      <pane xSplit="3" ySplit="2" topLeftCell="D3" activePane="bottomRight" state="frozen"/>
      <selection pane="topRight" activeCell="D1" sqref="D1"/>
      <selection pane="bottomLeft" activeCell="A3" sqref="A3"/>
      <selection pane="bottomRight"/>
    </sheetView>
  </sheetViews>
  <sheetFormatPr defaultColWidth="0" defaultRowHeight="20.100000000000001" customHeight="1" zeroHeight="1"/>
  <cols>
    <col min="1" max="1" width="5.85546875" style="160" customWidth="1"/>
    <col min="2" max="2" width="6.140625" style="160" customWidth="1"/>
    <col min="3" max="3" width="54.85546875" style="160" customWidth="1"/>
    <col min="4" max="34" width="6.42578125" style="169" customWidth="1"/>
    <col min="35" max="52" width="6.42578125" style="160" customWidth="1"/>
    <col min="53" max="53" width="5.28515625" style="160" customWidth="1"/>
    <col min="54" max="16384" width="10.28515625" style="160" hidden="1"/>
  </cols>
  <sheetData>
    <row r="1" spans="1:53" ht="108" customHeight="1">
      <c r="A1" s="157" t="s">
        <v>113</v>
      </c>
      <c r="B1" s="158"/>
      <c r="C1" s="158"/>
      <c r="D1" s="170" t="e">
        <f>#REF!</f>
        <v>#REF!</v>
      </c>
      <c r="E1" s="170" t="e">
        <f>#REF!</f>
        <v>#REF!</v>
      </c>
      <c r="F1" s="170" t="e">
        <f>#REF!</f>
        <v>#REF!</v>
      </c>
      <c r="G1" s="170" t="e">
        <f>#REF!</f>
        <v>#REF!</v>
      </c>
      <c r="H1" s="170" t="e">
        <f>#REF!</f>
        <v>#REF!</v>
      </c>
      <c r="I1" s="170" t="e">
        <f>#REF!</f>
        <v>#REF!</v>
      </c>
      <c r="J1" s="170" t="e">
        <f>#REF!</f>
        <v>#REF!</v>
      </c>
      <c r="K1" s="170" t="e">
        <f>#REF!</f>
        <v>#REF!</v>
      </c>
      <c r="L1" s="170" t="e">
        <f>#REF!</f>
        <v>#REF!</v>
      </c>
      <c r="M1" s="170" t="e">
        <f>#REF!</f>
        <v>#REF!</v>
      </c>
      <c r="N1" s="170" t="e">
        <f>#REF!</f>
        <v>#REF!</v>
      </c>
      <c r="O1" s="170" t="e">
        <f>#REF!</f>
        <v>#REF!</v>
      </c>
      <c r="P1" s="170" t="e">
        <f>#REF!</f>
        <v>#REF!</v>
      </c>
      <c r="Q1" s="170" t="e">
        <f>#REF!</f>
        <v>#REF!</v>
      </c>
      <c r="R1" s="170" t="e">
        <f>#REF!</f>
        <v>#REF!</v>
      </c>
      <c r="S1" s="170" t="e">
        <f>#REF!</f>
        <v>#REF!</v>
      </c>
      <c r="T1" s="170" t="e">
        <f>#REF!</f>
        <v>#REF!</v>
      </c>
      <c r="U1" s="170" t="e">
        <f>#REF!</f>
        <v>#REF!</v>
      </c>
      <c r="V1" s="170" t="e">
        <f>#REF!</f>
        <v>#REF!</v>
      </c>
      <c r="W1" s="170" t="e">
        <f>#REF!</f>
        <v>#REF!</v>
      </c>
      <c r="X1" s="170" t="e">
        <f>#REF!</f>
        <v>#REF!</v>
      </c>
      <c r="Y1" s="170" t="e">
        <f>#REF!</f>
        <v>#REF!</v>
      </c>
      <c r="Z1" s="170" t="e">
        <f>#REF!</f>
        <v>#REF!</v>
      </c>
      <c r="AA1" s="170" t="e">
        <f>#REF!</f>
        <v>#REF!</v>
      </c>
      <c r="AB1" s="170" t="e">
        <f>#REF!</f>
        <v>#REF!</v>
      </c>
      <c r="AC1" s="170" t="e">
        <f>#REF!</f>
        <v>#REF!</v>
      </c>
      <c r="AD1" s="170" t="e">
        <f>#REF!</f>
        <v>#REF!</v>
      </c>
      <c r="AE1" s="170" t="e">
        <f>#REF!</f>
        <v>#REF!</v>
      </c>
      <c r="AF1" s="170" t="e">
        <f>#REF!</f>
        <v>#REF!</v>
      </c>
      <c r="AG1" s="170" t="e">
        <f>#REF!</f>
        <v>#REF!</v>
      </c>
      <c r="AH1" s="170" t="e">
        <f>#REF!</f>
        <v>#REF!</v>
      </c>
      <c r="AI1" s="170" t="e">
        <f>#REF!</f>
        <v>#REF!</v>
      </c>
      <c r="AJ1" s="170" t="e">
        <f>#REF!</f>
        <v>#REF!</v>
      </c>
      <c r="AK1" s="170" t="e">
        <f>#REF!</f>
        <v>#REF!</v>
      </c>
      <c r="AL1" s="170" t="e">
        <f>#REF!</f>
        <v>#REF!</v>
      </c>
      <c r="AM1" s="170" t="e">
        <f>#REF!</f>
        <v>#REF!</v>
      </c>
      <c r="AN1" s="170" t="e">
        <f>#REF!</f>
        <v>#REF!</v>
      </c>
      <c r="AO1" s="170" t="e">
        <f>#REF!</f>
        <v>#REF!</v>
      </c>
      <c r="AP1" s="170" t="e">
        <f>#REF!</f>
        <v>#REF!</v>
      </c>
      <c r="AQ1" s="170" t="e">
        <f>#REF!</f>
        <v>#REF!</v>
      </c>
      <c r="AR1" s="170" t="e">
        <f>#REF!</f>
        <v>#REF!</v>
      </c>
      <c r="AS1" s="170" t="e">
        <f>#REF!</f>
        <v>#REF!</v>
      </c>
      <c r="AT1" s="170" t="e">
        <f>#REF!</f>
        <v>#REF!</v>
      </c>
      <c r="AU1" s="170" t="e">
        <f>#REF!</f>
        <v>#REF!</v>
      </c>
      <c r="AV1" s="170" t="e">
        <f>#REF!</f>
        <v>#REF!</v>
      </c>
      <c r="AW1" s="170" t="e">
        <f>#REF!</f>
        <v>#REF!</v>
      </c>
      <c r="AX1" s="170" t="e">
        <f>#REF!</f>
        <v>#REF!</v>
      </c>
      <c r="AY1" s="170" t="e">
        <f>#REF!</f>
        <v>#REF!</v>
      </c>
      <c r="AZ1" s="159"/>
      <c r="BA1" s="159"/>
    </row>
    <row r="2" spans="1:53" ht="20.100000000000001" customHeight="1"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c r="AZ2" s="163"/>
    </row>
    <row r="3" spans="1:53" ht="20.100000000000001" customHeight="1" thickTop="1">
      <c r="A3" s="625" t="s">
        <v>8</v>
      </c>
      <c r="B3" s="164" t="s">
        <v>149</v>
      </c>
      <c r="C3" s="165" t="s">
        <v>150</v>
      </c>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G3" s="34"/>
      <c r="AH3" s="34"/>
      <c r="AI3" s="34"/>
      <c r="AJ3" s="34"/>
      <c r="AK3" s="34"/>
      <c r="AL3" s="34"/>
      <c r="AM3" s="34"/>
      <c r="AN3" s="34"/>
      <c r="AO3" s="34"/>
      <c r="AP3" s="34"/>
      <c r="AQ3" s="34"/>
      <c r="AR3" s="34"/>
      <c r="AS3" s="34"/>
      <c r="AT3" s="34"/>
      <c r="AU3" s="34"/>
      <c r="AV3" s="34"/>
      <c r="AW3" s="34"/>
      <c r="AX3" s="34"/>
      <c r="AY3" s="34"/>
      <c r="AZ3" s="130"/>
    </row>
    <row r="4" spans="1:53" ht="20.100000000000001" customHeight="1">
      <c r="A4" s="625"/>
      <c r="B4" s="164" t="s">
        <v>151</v>
      </c>
      <c r="C4" s="165" t="s">
        <v>152</v>
      </c>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130"/>
    </row>
    <row r="5" spans="1:53" ht="20.100000000000001" customHeight="1">
      <c r="A5" s="625"/>
      <c r="B5" s="164" t="s">
        <v>153</v>
      </c>
      <c r="C5" s="165" t="s">
        <v>154</v>
      </c>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130"/>
    </row>
    <row r="6" spans="1:53" ht="20.100000000000001" customHeight="1">
      <c r="A6" s="625"/>
      <c r="B6" s="164" t="s">
        <v>155</v>
      </c>
      <c r="C6" s="165" t="s">
        <v>64</v>
      </c>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130"/>
    </row>
    <row r="7" spans="1:53" ht="20.100000000000001" customHeight="1">
      <c r="A7" s="625"/>
      <c r="B7" s="164" t="s">
        <v>156</v>
      </c>
      <c r="C7" s="165" t="s">
        <v>65</v>
      </c>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130"/>
    </row>
    <row r="8" spans="1:53" ht="20.100000000000001" customHeight="1">
      <c r="A8" s="625"/>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c r="AZ8" s="168"/>
    </row>
    <row r="9" spans="1:53" ht="20.100000000000001" customHeight="1">
      <c r="A9" s="624" t="s">
        <v>9</v>
      </c>
      <c r="B9" s="164" t="s">
        <v>157</v>
      </c>
      <c r="C9" s="165" t="s">
        <v>158</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130"/>
    </row>
    <row r="10" spans="1:53" ht="20.100000000000001" customHeight="1">
      <c r="A10" s="624"/>
      <c r="B10" s="164" t="s">
        <v>159</v>
      </c>
      <c r="C10" s="165" t="s">
        <v>67</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130"/>
    </row>
    <row r="11" spans="1:53" ht="15">
      <c r="A11" s="624"/>
      <c r="B11" s="164" t="s">
        <v>160</v>
      </c>
      <c r="C11" s="165" t="s">
        <v>68</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c r="AZ11" s="130"/>
    </row>
    <row r="12" spans="1:53" ht="15">
      <c r="A12" s="624"/>
      <c r="B12" s="164" t="s">
        <v>161</v>
      </c>
      <c r="C12" s="165" t="s">
        <v>69</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c r="AZ12" s="130"/>
    </row>
    <row r="13" spans="1:53" ht="15">
      <c r="A13" s="624"/>
      <c r="B13" s="164" t="s">
        <v>162</v>
      </c>
      <c r="C13" s="165" t="s">
        <v>70</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130"/>
    </row>
    <row r="14" spans="1:53" ht="15">
      <c r="A14" s="624"/>
      <c r="B14" s="164" t="s">
        <v>163</v>
      </c>
      <c r="C14" s="165" t="s">
        <v>164</v>
      </c>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H14" s="34"/>
      <c r="AI14" s="34"/>
      <c r="AJ14" s="34"/>
      <c r="AK14" s="34"/>
      <c r="AL14" s="34"/>
      <c r="AM14" s="34"/>
      <c r="AN14" s="34"/>
      <c r="AO14" s="34"/>
      <c r="AP14" s="34"/>
      <c r="AQ14" s="34"/>
      <c r="AR14" s="34"/>
      <c r="AS14" s="34"/>
      <c r="AT14" s="34"/>
      <c r="AU14" s="34"/>
      <c r="AV14" s="34"/>
      <c r="AW14" s="34"/>
      <c r="AX14" s="34"/>
      <c r="AY14" s="34"/>
      <c r="AZ14" s="130"/>
    </row>
    <row r="15" spans="1:53" ht="15">
      <c r="A15" s="624"/>
      <c r="B15" s="164" t="s">
        <v>165</v>
      </c>
      <c r="C15" s="165" t="s">
        <v>166</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c r="AZ15" s="130"/>
    </row>
    <row r="16" spans="1:53" ht="15">
      <c r="A16" s="624"/>
      <c r="B16" s="164" t="s">
        <v>167</v>
      </c>
      <c r="C16" s="165" t="s">
        <v>168</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c r="AZ16" s="130"/>
    </row>
    <row r="17" spans="1:52" ht="15">
      <c r="A17" s="624"/>
      <c r="B17" s="166"/>
      <c r="C17" s="167"/>
      <c r="D17" s="171" t="str">
        <f>IF(AND(D10="",D10="",D11="",D12="",D13="",D14="",D15="",D16=""),"",AVERAGE(D9:D16))</f>
        <v/>
      </c>
      <c r="E17" s="171" t="str">
        <f t="shared" ref="E17:AY17" si="1">IF(AND(E10="",E10="",E11="",E12="",E13="",E14="",E15="",E16=""),"",AVERAGE(E9:E16))</f>
        <v/>
      </c>
      <c r="F17" s="171" t="str">
        <f t="shared" si="1"/>
        <v/>
      </c>
      <c r="G17" s="171" t="str">
        <f t="shared" si="1"/>
        <v/>
      </c>
      <c r="H17" s="171" t="str">
        <f t="shared" si="1"/>
        <v/>
      </c>
      <c r="I17" s="171" t="str">
        <f t="shared" si="1"/>
        <v/>
      </c>
      <c r="J17" s="171" t="str">
        <f t="shared" si="1"/>
        <v/>
      </c>
      <c r="K17" s="171" t="str">
        <f t="shared" si="1"/>
        <v/>
      </c>
      <c r="L17" s="171" t="str">
        <f t="shared" si="1"/>
        <v/>
      </c>
      <c r="M17" s="171" t="str">
        <f t="shared" si="1"/>
        <v/>
      </c>
      <c r="N17" s="171" t="str">
        <f t="shared" si="1"/>
        <v/>
      </c>
      <c r="O17" s="171" t="str">
        <f t="shared" si="1"/>
        <v/>
      </c>
      <c r="P17" s="171" t="str">
        <f t="shared" si="1"/>
        <v/>
      </c>
      <c r="Q17" s="171" t="str">
        <f t="shared" si="1"/>
        <v/>
      </c>
      <c r="R17" s="171" t="str">
        <f t="shared" si="1"/>
        <v/>
      </c>
      <c r="S17" s="171" t="str">
        <f t="shared" si="1"/>
        <v/>
      </c>
      <c r="T17" s="171" t="str">
        <f t="shared" si="1"/>
        <v/>
      </c>
      <c r="U17" s="171" t="str">
        <f t="shared" si="1"/>
        <v/>
      </c>
      <c r="V17" s="171" t="str">
        <f t="shared" si="1"/>
        <v/>
      </c>
      <c r="W17" s="171" t="str">
        <f t="shared" si="1"/>
        <v/>
      </c>
      <c r="X17" s="171" t="str">
        <f t="shared" si="1"/>
        <v/>
      </c>
      <c r="Y17" s="171" t="str">
        <f t="shared" si="1"/>
        <v/>
      </c>
      <c r="Z17" s="171" t="str">
        <f t="shared" si="1"/>
        <v/>
      </c>
      <c r="AA17" s="171" t="str">
        <f t="shared" si="1"/>
        <v/>
      </c>
      <c r="AB17" s="171" t="str">
        <f t="shared" si="1"/>
        <v/>
      </c>
      <c r="AC17" s="171" t="str">
        <f t="shared" si="1"/>
        <v/>
      </c>
      <c r="AD17" s="171" t="str">
        <f t="shared" si="1"/>
        <v/>
      </c>
      <c r="AE17" s="171" t="str">
        <f t="shared" si="1"/>
        <v/>
      </c>
      <c r="AF17" s="171" t="str">
        <f t="shared" si="1"/>
        <v/>
      </c>
      <c r="AG17" s="171" t="str">
        <f t="shared" si="1"/>
        <v/>
      </c>
      <c r="AH17" s="171" t="str">
        <f t="shared" si="1"/>
        <v/>
      </c>
      <c r="AI17" s="171" t="str">
        <f t="shared" si="1"/>
        <v/>
      </c>
      <c r="AJ17" s="171" t="str">
        <f t="shared" si="1"/>
        <v/>
      </c>
      <c r="AK17" s="171" t="str">
        <f t="shared" si="1"/>
        <v/>
      </c>
      <c r="AL17" s="171" t="str">
        <f t="shared" si="1"/>
        <v/>
      </c>
      <c r="AM17" s="171" t="str">
        <f t="shared" si="1"/>
        <v/>
      </c>
      <c r="AN17" s="171" t="str">
        <f t="shared" si="1"/>
        <v/>
      </c>
      <c r="AO17" s="171" t="str">
        <f t="shared" si="1"/>
        <v/>
      </c>
      <c r="AP17" s="171" t="str">
        <f t="shared" si="1"/>
        <v/>
      </c>
      <c r="AQ17" s="171" t="str">
        <f t="shared" si="1"/>
        <v/>
      </c>
      <c r="AR17" s="171" t="str">
        <f t="shared" si="1"/>
        <v/>
      </c>
      <c r="AS17" s="171" t="str">
        <f t="shared" si="1"/>
        <v/>
      </c>
      <c r="AT17" s="171" t="str">
        <f t="shared" si="1"/>
        <v/>
      </c>
      <c r="AU17" s="171" t="str">
        <f t="shared" si="1"/>
        <v/>
      </c>
      <c r="AV17" s="171" t="str">
        <f t="shared" si="1"/>
        <v/>
      </c>
      <c r="AW17" s="171" t="str">
        <f t="shared" si="1"/>
        <v/>
      </c>
      <c r="AX17" s="171" t="str">
        <f t="shared" si="1"/>
        <v/>
      </c>
      <c r="AY17" s="171" t="str">
        <f t="shared" si="1"/>
        <v/>
      </c>
      <c r="AZ17" s="168"/>
    </row>
    <row r="18" spans="1:52" ht="15">
      <c r="A18" s="625" t="s">
        <v>169</v>
      </c>
      <c r="B18" s="164" t="s">
        <v>170</v>
      </c>
      <c r="C18" s="165" t="s">
        <v>74</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c r="AZ18" s="130"/>
    </row>
    <row r="19" spans="1:52" ht="15">
      <c r="A19" s="625"/>
      <c r="B19" s="164" t="s">
        <v>171</v>
      </c>
      <c r="C19" s="165" t="s">
        <v>75</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130"/>
    </row>
    <row r="20" spans="1:52" ht="15">
      <c r="A20" s="625"/>
      <c r="B20" s="164" t="s">
        <v>172</v>
      </c>
      <c r="C20" s="165" t="s">
        <v>173</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c r="AZ20" s="130"/>
    </row>
    <row r="21" spans="1:52" ht="15">
      <c r="A21" s="625"/>
      <c r="B21" s="164" t="s">
        <v>174</v>
      </c>
      <c r="C21" s="165" t="s">
        <v>77</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c r="AZ21" s="130"/>
    </row>
    <row r="22" spans="1:52" ht="15">
      <c r="A22" s="625"/>
      <c r="B22" s="164" t="s">
        <v>175</v>
      </c>
      <c r="C22" s="165" t="s">
        <v>78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130"/>
    </row>
    <row r="23" spans="1:52" ht="15">
      <c r="A23" s="625"/>
      <c r="B23" s="166"/>
      <c r="C23" s="167"/>
      <c r="D23" s="171" t="str">
        <f>IF(AND(D18="",D19="",D20="",D21="",D22=""),"",AVERAGE(D18:D22))</f>
        <v/>
      </c>
      <c r="E23" s="171" t="str">
        <f t="shared" ref="E23:AY23" si="2">IF(AND(E18="",E19="",E20="",E21="",E22=""),"",AVERAGE(E18:E22))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c r="AZ23" s="168"/>
    </row>
    <row r="24" spans="1:52" ht="15">
      <c r="A24" s="624" t="s">
        <v>10</v>
      </c>
      <c r="B24" s="164" t="s">
        <v>176</v>
      </c>
      <c r="C24" s="165" t="s">
        <v>177</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130"/>
    </row>
    <row r="25" spans="1:52" ht="15">
      <c r="A25" s="624"/>
      <c r="B25" s="164" t="s">
        <v>178</v>
      </c>
      <c r="C25" s="165" t="s">
        <v>179</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130"/>
    </row>
    <row r="26" spans="1:52" ht="15">
      <c r="A26" s="624"/>
      <c r="B26" s="164" t="s">
        <v>180</v>
      </c>
      <c r="C26" s="165" t="s">
        <v>181</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130"/>
    </row>
    <row r="27" spans="1:52" ht="15">
      <c r="A27" s="624"/>
      <c r="B27" s="164" t="s">
        <v>182</v>
      </c>
      <c r="C27" s="165" t="s">
        <v>82</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130"/>
    </row>
    <row r="28" spans="1:52" ht="15">
      <c r="A28" s="624"/>
      <c r="B28" s="164" t="s">
        <v>183</v>
      </c>
      <c r="C28" s="165" t="s">
        <v>83</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130"/>
    </row>
    <row r="29" spans="1:52" ht="15">
      <c r="A29" s="624"/>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c r="AZ29" s="168"/>
    </row>
    <row r="30" spans="1:52" ht="15">
      <c r="A30" s="625" t="s">
        <v>184</v>
      </c>
      <c r="B30" s="164" t="s">
        <v>185</v>
      </c>
      <c r="C30" s="165" t="s">
        <v>84</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130"/>
    </row>
    <row r="31" spans="1:52" ht="15">
      <c r="A31" s="625"/>
      <c r="B31" s="164" t="s">
        <v>186</v>
      </c>
      <c r="C31" s="165" t="s">
        <v>187</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130"/>
    </row>
    <row r="32" spans="1:52" ht="15">
      <c r="A32" s="625"/>
      <c r="B32" s="164" t="s">
        <v>188</v>
      </c>
      <c r="C32" s="165" t="s">
        <v>86</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130"/>
    </row>
    <row r="33" spans="1:52" ht="15">
      <c r="A33" s="625"/>
      <c r="B33" s="164" t="s">
        <v>189</v>
      </c>
      <c r="C33" s="165" t="s">
        <v>190</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130"/>
    </row>
    <row r="34" spans="1:52" ht="15">
      <c r="A34" s="625"/>
      <c r="B34" s="166"/>
      <c r="C34" s="167"/>
      <c r="D34" s="171" t="str">
        <f>IF(AND(D30="",D31="",D32="",D33=""),"",AVERAGE(D30:D33))</f>
        <v/>
      </c>
      <c r="E34" s="171" t="str">
        <f t="shared" ref="E34:AY34" si="4">IF(AND(E30="",E31="",E32="",E33=""),"",AVERAGE(E30:E33))</f>
        <v/>
      </c>
      <c r="F34" s="171" t="str">
        <f t="shared" si="4"/>
        <v/>
      </c>
      <c r="G34" s="171" t="str">
        <f t="shared" si="4"/>
        <v/>
      </c>
      <c r="H34" s="171" t="str">
        <f t="shared" si="4"/>
        <v/>
      </c>
      <c r="I34" s="171" t="str">
        <f t="shared" si="4"/>
        <v/>
      </c>
      <c r="J34" s="171" t="str">
        <f t="shared" si="4"/>
        <v/>
      </c>
      <c r="K34" s="171" t="str">
        <f t="shared" si="4"/>
        <v/>
      </c>
      <c r="L34" s="171" t="str">
        <f t="shared" si="4"/>
        <v/>
      </c>
      <c r="M34" s="171" t="str">
        <f t="shared" si="4"/>
        <v/>
      </c>
      <c r="N34" s="171" t="str">
        <f t="shared" si="4"/>
        <v/>
      </c>
      <c r="O34" s="171" t="str">
        <f t="shared" si="4"/>
        <v/>
      </c>
      <c r="P34" s="171" t="str">
        <f t="shared" si="4"/>
        <v/>
      </c>
      <c r="Q34" s="171" t="str">
        <f t="shared" si="4"/>
        <v/>
      </c>
      <c r="R34" s="171" t="str">
        <f t="shared" si="4"/>
        <v/>
      </c>
      <c r="S34" s="171" t="str">
        <f t="shared" si="4"/>
        <v/>
      </c>
      <c r="T34" s="171" t="str">
        <f t="shared" si="4"/>
        <v/>
      </c>
      <c r="U34" s="171" t="str">
        <f t="shared" si="4"/>
        <v/>
      </c>
      <c r="V34" s="171" t="str">
        <f t="shared" si="4"/>
        <v/>
      </c>
      <c r="W34" s="171" t="str">
        <f t="shared" si="4"/>
        <v/>
      </c>
      <c r="X34" s="171" t="str">
        <f t="shared" si="4"/>
        <v/>
      </c>
      <c r="Y34" s="171" t="str">
        <f t="shared" si="4"/>
        <v/>
      </c>
      <c r="Z34" s="171" t="str">
        <f t="shared" si="4"/>
        <v/>
      </c>
      <c r="AA34" s="171" t="str">
        <f t="shared" si="4"/>
        <v/>
      </c>
      <c r="AB34" s="171" t="str">
        <f t="shared" si="4"/>
        <v/>
      </c>
      <c r="AC34" s="171" t="str">
        <f t="shared" si="4"/>
        <v/>
      </c>
      <c r="AD34" s="171" t="str">
        <f t="shared" si="4"/>
        <v/>
      </c>
      <c r="AE34" s="171" t="str">
        <f t="shared" si="4"/>
        <v/>
      </c>
      <c r="AF34" s="171" t="str">
        <f t="shared" si="4"/>
        <v/>
      </c>
      <c r="AG34" s="171" t="str">
        <f t="shared" si="4"/>
        <v/>
      </c>
      <c r="AH34" s="171" t="str">
        <f t="shared" si="4"/>
        <v/>
      </c>
      <c r="AI34" s="171" t="str">
        <f t="shared" si="4"/>
        <v/>
      </c>
      <c r="AJ34" s="171" t="str">
        <f t="shared" si="4"/>
        <v/>
      </c>
      <c r="AK34" s="171" t="str">
        <f t="shared" si="4"/>
        <v/>
      </c>
      <c r="AL34" s="171" t="str">
        <f t="shared" si="4"/>
        <v/>
      </c>
      <c r="AM34" s="171" t="str">
        <f t="shared" si="4"/>
        <v/>
      </c>
      <c r="AN34" s="171" t="str">
        <f t="shared" si="4"/>
        <v/>
      </c>
      <c r="AO34" s="171" t="str">
        <f t="shared" si="4"/>
        <v/>
      </c>
      <c r="AP34" s="171" t="str">
        <f t="shared" si="4"/>
        <v/>
      </c>
      <c r="AQ34" s="171" t="str">
        <f t="shared" si="4"/>
        <v/>
      </c>
      <c r="AR34" s="171" t="str">
        <f t="shared" si="4"/>
        <v/>
      </c>
      <c r="AS34" s="171" t="str">
        <f t="shared" si="4"/>
        <v/>
      </c>
      <c r="AT34" s="171" t="str">
        <f t="shared" si="4"/>
        <v/>
      </c>
      <c r="AU34" s="171" t="str">
        <f t="shared" si="4"/>
        <v/>
      </c>
      <c r="AV34" s="171" t="str">
        <f t="shared" si="4"/>
        <v/>
      </c>
      <c r="AW34" s="171" t="str">
        <f t="shared" si="4"/>
        <v/>
      </c>
      <c r="AX34" s="171" t="str">
        <f t="shared" si="4"/>
        <v/>
      </c>
      <c r="AY34" s="171" t="str">
        <f t="shared" si="4"/>
        <v/>
      </c>
      <c r="AZ34" s="168"/>
    </row>
    <row r="35" spans="1:52" ht="15">
      <c r="A35" s="624" t="s">
        <v>12</v>
      </c>
      <c r="B35" s="164" t="s">
        <v>191</v>
      </c>
      <c r="C35" s="165" t="s">
        <v>88</v>
      </c>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130"/>
    </row>
    <row r="36" spans="1:52" ht="15">
      <c r="A36" s="624"/>
      <c r="B36" s="164" t="s">
        <v>192</v>
      </c>
      <c r="C36" s="165" t="s">
        <v>89</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130"/>
    </row>
    <row r="37" spans="1:52" ht="15">
      <c r="A37" s="624"/>
      <c r="B37" s="164" t="s">
        <v>193</v>
      </c>
      <c r="C37" s="165" t="s">
        <v>90</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130"/>
    </row>
    <row r="38" spans="1:52" ht="15">
      <c r="A38" s="624"/>
      <c r="B38" s="164" t="s">
        <v>194</v>
      </c>
      <c r="C38" s="165" t="s">
        <v>195</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130"/>
    </row>
    <row r="39" spans="1:52" ht="15">
      <c r="A39" s="624"/>
      <c r="B39" s="164" t="s">
        <v>196</v>
      </c>
      <c r="C39" s="165" t="s">
        <v>197</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130"/>
    </row>
    <row r="40" spans="1:52" ht="15">
      <c r="A40" s="624"/>
      <c r="B40" s="166"/>
      <c r="C40" s="167"/>
      <c r="D40" s="171" t="str">
        <f>IF(AND(D35="",D36="",D37="",D38="",D39=""),"",AVERAGE(D35:D39))</f>
        <v/>
      </c>
      <c r="E40" s="171" t="str">
        <f t="shared" ref="E40:AY40" si="5">IF(AND(E35="",E36="",E37="",E38="",E39=""),"",AVERAGE(E35:E39))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c r="AZ40" s="168"/>
    </row>
    <row r="41" spans="1:52" ht="15">
      <c r="A41" s="625" t="s">
        <v>13</v>
      </c>
      <c r="B41" s="164" t="s">
        <v>198</v>
      </c>
      <c r="C41" s="165" t="s">
        <v>93</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130"/>
    </row>
    <row r="42" spans="1:52" ht="15">
      <c r="A42" s="625"/>
      <c r="B42" s="164" t="s">
        <v>199</v>
      </c>
      <c r="C42" s="165" t="s">
        <v>94</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130"/>
    </row>
    <row r="43" spans="1:52" ht="15">
      <c r="A43" s="625"/>
      <c r="B43" s="164" t="s">
        <v>200</v>
      </c>
      <c r="C43" s="165" t="s">
        <v>201</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130"/>
    </row>
    <row r="44" spans="1:52" ht="15">
      <c r="A44" s="625"/>
      <c r="B44" s="164" t="s">
        <v>202</v>
      </c>
      <c r="C44" s="165" t="s">
        <v>203</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130"/>
    </row>
    <row r="45" spans="1:52" ht="15">
      <c r="A45" s="625"/>
      <c r="B45" s="164" t="s">
        <v>204</v>
      </c>
      <c r="C45" s="165" t="s">
        <v>205</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130"/>
    </row>
    <row r="46" spans="1:52" ht="15">
      <c r="A46" s="625"/>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c r="AZ46" s="168"/>
    </row>
    <row r="47" spans="1:52" ht="15">
      <c r="AI47" s="169"/>
      <c r="AJ47" s="169"/>
      <c r="AK47" s="169"/>
      <c r="AL47" s="169"/>
      <c r="AM47" s="169"/>
      <c r="AN47" s="169"/>
      <c r="AO47" s="169"/>
      <c r="AP47" s="169"/>
      <c r="AQ47" s="169"/>
      <c r="AR47" s="169"/>
      <c r="AS47" s="169"/>
      <c r="AT47" s="169"/>
      <c r="AU47" s="169"/>
      <c r="AV47" s="169"/>
      <c r="AW47" s="169"/>
      <c r="AX47" s="169"/>
      <c r="AY47" s="169"/>
    </row>
    <row r="48" spans="1:52" ht="15">
      <c r="C48" s="169"/>
      <c r="D48" s="172" t="e">
        <f>AVERAGE(D46,D40,D34,D29,D23,D17,D8)</f>
        <v>#DIV/0!</v>
      </c>
      <c r="E48" s="172" t="e">
        <f t="shared" ref="E48:AY48" si="7">AVERAGE(E46,E40,E34,E29,E23,E17,E8)</f>
        <v>#DIV/0!</v>
      </c>
      <c r="F48" s="172" t="e">
        <f t="shared" si="7"/>
        <v>#DIV/0!</v>
      </c>
      <c r="G48" s="172" t="e">
        <f t="shared" si="7"/>
        <v>#DIV/0!</v>
      </c>
      <c r="H48" s="172" t="e">
        <f t="shared" si="7"/>
        <v>#DIV/0!</v>
      </c>
      <c r="I48" s="172" t="e">
        <f t="shared" si="7"/>
        <v>#DIV/0!</v>
      </c>
      <c r="J48" s="172" t="e">
        <f t="shared" si="7"/>
        <v>#DIV/0!</v>
      </c>
      <c r="K48" s="172" t="e">
        <f t="shared" si="7"/>
        <v>#DIV/0!</v>
      </c>
      <c r="L48" s="172" t="e">
        <f t="shared" si="7"/>
        <v>#DIV/0!</v>
      </c>
      <c r="M48" s="172" t="e">
        <f t="shared" si="7"/>
        <v>#DIV/0!</v>
      </c>
      <c r="N48" s="172" t="e">
        <f t="shared" si="7"/>
        <v>#DIV/0!</v>
      </c>
      <c r="O48" s="172" t="e">
        <f t="shared" si="7"/>
        <v>#DIV/0!</v>
      </c>
      <c r="P48" s="172" t="e">
        <f t="shared" si="7"/>
        <v>#DIV/0!</v>
      </c>
      <c r="Q48" s="172" t="e">
        <f t="shared" si="7"/>
        <v>#DIV/0!</v>
      </c>
      <c r="R48" s="172" t="e">
        <f t="shared" si="7"/>
        <v>#DIV/0!</v>
      </c>
      <c r="S48" s="172" t="e">
        <f t="shared" si="7"/>
        <v>#DIV/0!</v>
      </c>
      <c r="T48" s="172" t="e">
        <f t="shared" si="7"/>
        <v>#DIV/0!</v>
      </c>
      <c r="U48" s="172" t="e">
        <f t="shared" si="7"/>
        <v>#DIV/0!</v>
      </c>
      <c r="V48" s="172" t="e">
        <f t="shared" si="7"/>
        <v>#DIV/0!</v>
      </c>
      <c r="W48" s="172" t="e">
        <f t="shared" si="7"/>
        <v>#DIV/0!</v>
      </c>
      <c r="X48" s="172" t="e">
        <f t="shared" si="7"/>
        <v>#DIV/0!</v>
      </c>
      <c r="Y48" s="172" t="e">
        <f t="shared" si="7"/>
        <v>#DIV/0!</v>
      </c>
      <c r="Z48" s="172" t="e">
        <f t="shared" si="7"/>
        <v>#DIV/0!</v>
      </c>
      <c r="AA48" s="172" t="e">
        <f t="shared" si="7"/>
        <v>#DIV/0!</v>
      </c>
      <c r="AB48" s="172" t="e">
        <f t="shared" si="7"/>
        <v>#DIV/0!</v>
      </c>
      <c r="AC48" s="172" t="e">
        <f t="shared" si="7"/>
        <v>#DIV/0!</v>
      </c>
      <c r="AD48" s="172" t="e">
        <f t="shared" si="7"/>
        <v>#DIV/0!</v>
      </c>
      <c r="AE48" s="172" t="e">
        <f t="shared" si="7"/>
        <v>#DIV/0!</v>
      </c>
      <c r="AF48" s="172" t="e">
        <f t="shared" si="7"/>
        <v>#DIV/0!</v>
      </c>
      <c r="AG48" s="172" t="e">
        <f t="shared" si="7"/>
        <v>#DIV/0!</v>
      </c>
      <c r="AH48" s="172" t="e">
        <f t="shared" si="7"/>
        <v>#DIV/0!</v>
      </c>
      <c r="AI48" s="172" t="e">
        <f t="shared" si="7"/>
        <v>#DIV/0!</v>
      </c>
      <c r="AJ48" s="172" t="e">
        <f t="shared" si="7"/>
        <v>#DIV/0!</v>
      </c>
      <c r="AK48" s="172" t="e">
        <f t="shared" si="7"/>
        <v>#DIV/0!</v>
      </c>
      <c r="AL48" s="172" t="e">
        <f t="shared" si="7"/>
        <v>#DIV/0!</v>
      </c>
      <c r="AM48" s="172" t="e">
        <f t="shared" si="7"/>
        <v>#DIV/0!</v>
      </c>
      <c r="AN48" s="172" t="e">
        <f t="shared" si="7"/>
        <v>#DIV/0!</v>
      </c>
      <c r="AO48" s="172" t="e">
        <f t="shared" si="7"/>
        <v>#DIV/0!</v>
      </c>
      <c r="AP48" s="172" t="e">
        <f t="shared" si="7"/>
        <v>#DIV/0!</v>
      </c>
      <c r="AQ48" s="172" t="e">
        <f t="shared" si="7"/>
        <v>#DIV/0!</v>
      </c>
      <c r="AR48" s="172" t="e">
        <f t="shared" si="7"/>
        <v>#DIV/0!</v>
      </c>
      <c r="AS48" s="172" t="e">
        <f t="shared" si="7"/>
        <v>#DIV/0!</v>
      </c>
      <c r="AT48" s="172" t="e">
        <f t="shared" si="7"/>
        <v>#DIV/0!</v>
      </c>
      <c r="AU48" s="172" t="e">
        <f t="shared" si="7"/>
        <v>#DIV/0!</v>
      </c>
      <c r="AV48" s="172" t="e">
        <f t="shared" si="7"/>
        <v>#DIV/0!</v>
      </c>
      <c r="AW48" s="172" t="e">
        <f t="shared" si="7"/>
        <v>#DIV/0!</v>
      </c>
      <c r="AX48" s="172" t="e">
        <f t="shared" si="7"/>
        <v>#DIV/0!</v>
      </c>
      <c r="AY48" s="172" t="e">
        <f t="shared" si="7"/>
        <v>#DIV/0!</v>
      </c>
      <c r="AZ48" s="169"/>
    </row>
    <row r="49" ht="15"/>
    <row r="50" ht="15"/>
    <row r="51" ht="15"/>
    <row r="52" ht="15"/>
    <row r="53" ht="15"/>
    <row r="54" ht="15"/>
  </sheetData>
  <sheetProtection password="C522" sheet="1" objects="1" scenarios="1" formatCells="0" formatColumns="0" formatRows="0" insertColumns="0" insertRows="0" insertHyperlinks="0" deleteColumns="0" deleteRows="0" sort="0"/>
  <mergeCells count="7">
    <mergeCell ref="A41:A46"/>
    <mergeCell ref="A3:A8"/>
    <mergeCell ref="A9:A17"/>
    <mergeCell ref="A18:A23"/>
    <mergeCell ref="A24:A29"/>
    <mergeCell ref="A30:A34"/>
    <mergeCell ref="A35:A40"/>
  </mergeCells>
  <conditionalFormatting sqref="D1:BA1 D2:AZ7 D9:AZ16 AZ8 D18:AZ22 AZ17 D24:AZ28 AZ23 D30:AZ33 AZ29 D35:AZ39 AZ34 D41:AZ45 AZ40 AZ46">
    <cfRule type="expression" dxfId="597" priority="78">
      <formula>MOD(COLUMN(),2)=1</formula>
    </cfRule>
  </conditionalFormatting>
  <conditionalFormatting sqref="B8:C8 B23:C23 B29:C29 B40:C40 B46:C46 AZ8 AZ23 AZ29 AZ40 AZ46">
    <cfRule type="cellIs" dxfId="596" priority="77" operator="notEqual">
      <formula>$B$2</formula>
    </cfRule>
  </conditionalFormatting>
  <conditionalFormatting sqref="B17:C17 AZ17">
    <cfRule type="cellIs" dxfId="595" priority="76" operator="notEqual">
      <formula>$B$2</formula>
    </cfRule>
  </conditionalFormatting>
  <conditionalFormatting sqref="B34:C34 AZ34">
    <cfRule type="cellIs" dxfId="594" priority="75" operator="notEqual">
      <formula>$B$2</formula>
    </cfRule>
  </conditionalFormatting>
  <conditionalFormatting sqref="AZ8 AZ23 AZ29 AZ40 AZ46">
    <cfRule type="cellIs" dxfId="593" priority="74" operator="notEqual">
      <formula>$B$2</formula>
    </cfRule>
  </conditionalFormatting>
  <conditionalFormatting sqref="AZ17">
    <cfRule type="cellIs" dxfId="592" priority="73" operator="notEqual">
      <formula>$B$2</formula>
    </cfRule>
  </conditionalFormatting>
  <conditionalFormatting sqref="AZ34">
    <cfRule type="cellIs" dxfId="591" priority="72" operator="notEqual">
      <formula>$B$2</formula>
    </cfRule>
  </conditionalFormatting>
  <conditionalFormatting sqref="D8:AY8">
    <cfRule type="expression" dxfId="590" priority="64">
      <formula>MOD(COLUMN(),2)=1</formula>
    </cfRule>
  </conditionalFormatting>
  <conditionalFormatting sqref="D8:AY8">
    <cfRule type="cellIs" dxfId="589" priority="63" operator="notEqual">
      <formula>$B$2</formula>
    </cfRule>
  </conditionalFormatting>
  <conditionalFormatting sqref="D8:AY8">
    <cfRule type="expression" dxfId="588" priority="62">
      <formula>MOD(COLUMN(),2)=1</formula>
    </cfRule>
  </conditionalFormatting>
  <conditionalFormatting sqref="D8:AY8">
    <cfRule type="cellIs" dxfId="587" priority="61" operator="notEqual">
      <formula>$B$2</formula>
    </cfRule>
  </conditionalFormatting>
  <conditionalFormatting sqref="D8:AY8">
    <cfRule type="expression" dxfId="586" priority="60">
      <formula>MOD(COLUMN(),2)=1</formula>
    </cfRule>
  </conditionalFormatting>
  <conditionalFormatting sqref="D8:AY8">
    <cfRule type="cellIs" dxfId="585" priority="59" operator="notEqual">
      <formula>$B$2</formula>
    </cfRule>
  </conditionalFormatting>
  <conditionalFormatting sqref="D8:AY8">
    <cfRule type="expression" dxfId="584" priority="58">
      <formula>MOD(COLUMN(),2)=1</formula>
    </cfRule>
  </conditionalFormatting>
  <conditionalFormatting sqref="D8:AY8">
    <cfRule type="cellIs" dxfId="583" priority="57" operator="notEqual">
      <formula>$B$2</formula>
    </cfRule>
  </conditionalFormatting>
  <conditionalFormatting sqref="D17:AY17">
    <cfRule type="expression" dxfId="582" priority="56">
      <formula>MOD(COLUMN(),2)=1</formula>
    </cfRule>
  </conditionalFormatting>
  <conditionalFormatting sqref="D17:AY17">
    <cfRule type="cellIs" dxfId="581" priority="55" operator="notEqual">
      <formula>$B$2</formula>
    </cfRule>
  </conditionalFormatting>
  <conditionalFormatting sqref="D17:AY17">
    <cfRule type="expression" dxfId="580" priority="54">
      <formula>MOD(COLUMN(),2)=1</formula>
    </cfRule>
  </conditionalFormatting>
  <conditionalFormatting sqref="D17:AY17">
    <cfRule type="cellIs" dxfId="579" priority="53" operator="notEqual">
      <formula>$B$2</formula>
    </cfRule>
  </conditionalFormatting>
  <conditionalFormatting sqref="D17:AY17">
    <cfRule type="expression" dxfId="578" priority="52">
      <formula>MOD(COLUMN(),2)=1</formula>
    </cfRule>
  </conditionalFormatting>
  <conditionalFormatting sqref="D17:AY17">
    <cfRule type="cellIs" dxfId="577" priority="51" operator="notEqual">
      <formula>$B$2</formula>
    </cfRule>
  </conditionalFormatting>
  <conditionalFormatting sqref="D17:AY17">
    <cfRule type="expression" dxfId="576" priority="50">
      <formula>MOD(COLUMN(),2)=1</formula>
    </cfRule>
  </conditionalFormatting>
  <conditionalFormatting sqref="D17:AY17">
    <cfRule type="cellIs" dxfId="575" priority="49" operator="notEqual">
      <formula>$B$2</formula>
    </cfRule>
  </conditionalFormatting>
  <conditionalFormatting sqref="D23:AY23">
    <cfRule type="expression" dxfId="574" priority="40">
      <formula>MOD(COLUMN(),2)=1</formula>
    </cfRule>
  </conditionalFormatting>
  <conditionalFormatting sqref="D23:AY23">
    <cfRule type="cellIs" dxfId="573" priority="39" operator="notEqual">
      <formula>$B$2</formula>
    </cfRule>
  </conditionalFormatting>
  <conditionalFormatting sqref="D23:AY23">
    <cfRule type="expression" dxfId="572" priority="38">
      <formula>MOD(COLUMN(),2)=1</formula>
    </cfRule>
  </conditionalFormatting>
  <conditionalFormatting sqref="D23:AY23">
    <cfRule type="cellIs" dxfId="571" priority="37" operator="notEqual">
      <formula>$B$2</formula>
    </cfRule>
  </conditionalFormatting>
  <conditionalFormatting sqref="D23:AY23">
    <cfRule type="expression" dxfId="570" priority="36">
      <formula>MOD(COLUMN(),2)=1</formula>
    </cfRule>
  </conditionalFormatting>
  <conditionalFormatting sqref="D23:AY23">
    <cfRule type="cellIs" dxfId="569" priority="35" operator="notEqual">
      <formula>$B$2</formula>
    </cfRule>
  </conditionalFormatting>
  <conditionalFormatting sqref="D23:AY23">
    <cfRule type="expression" dxfId="568" priority="34">
      <formula>MOD(COLUMN(),2)=1</formula>
    </cfRule>
  </conditionalFormatting>
  <conditionalFormatting sqref="D23:AY23">
    <cfRule type="cellIs" dxfId="567" priority="33" operator="notEqual">
      <formula>$B$2</formula>
    </cfRule>
  </conditionalFormatting>
  <conditionalFormatting sqref="D29:AY29">
    <cfRule type="expression" dxfId="566" priority="32">
      <formula>MOD(COLUMN(),2)=1</formula>
    </cfRule>
  </conditionalFormatting>
  <conditionalFormatting sqref="D29:AY29">
    <cfRule type="cellIs" dxfId="565" priority="31" operator="notEqual">
      <formula>$B$2</formula>
    </cfRule>
  </conditionalFormatting>
  <conditionalFormatting sqref="D29:AY29">
    <cfRule type="expression" dxfId="564" priority="30">
      <formula>MOD(COLUMN(),2)=1</formula>
    </cfRule>
  </conditionalFormatting>
  <conditionalFormatting sqref="D29:AY29">
    <cfRule type="cellIs" dxfId="563" priority="29" operator="notEqual">
      <formula>$B$2</formula>
    </cfRule>
  </conditionalFormatting>
  <conditionalFormatting sqref="D29:AY29">
    <cfRule type="expression" dxfId="562" priority="28">
      <formula>MOD(COLUMN(),2)=1</formula>
    </cfRule>
  </conditionalFormatting>
  <conditionalFormatting sqref="D29:AY29">
    <cfRule type="cellIs" dxfId="561" priority="27" operator="notEqual">
      <formula>$B$2</formula>
    </cfRule>
  </conditionalFormatting>
  <conditionalFormatting sqref="D29:AY29">
    <cfRule type="expression" dxfId="560" priority="26">
      <formula>MOD(COLUMN(),2)=1</formula>
    </cfRule>
  </conditionalFormatting>
  <conditionalFormatting sqref="D29:AY29">
    <cfRule type="cellIs" dxfId="559" priority="25" operator="notEqual">
      <formula>$B$2</formula>
    </cfRule>
  </conditionalFormatting>
  <conditionalFormatting sqref="D34:AY34">
    <cfRule type="expression" dxfId="558" priority="24">
      <formula>MOD(COLUMN(),2)=1</formula>
    </cfRule>
  </conditionalFormatting>
  <conditionalFormatting sqref="D34:AY34">
    <cfRule type="cellIs" dxfId="557" priority="23" operator="notEqual">
      <formula>$B$2</formula>
    </cfRule>
  </conditionalFormatting>
  <conditionalFormatting sqref="D34:AY34">
    <cfRule type="expression" dxfId="556" priority="22">
      <formula>MOD(COLUMN(),2)=1</formula>
    </cfRule>
  </conditionalFormatting>
  <conditionalFormatting sqref="D34:AY34">
    <cfRule type="cellIs" dxfId="555" priority="21" operator="notEqual">
      <formula>$B$2</formula>
    </cfRule>
  </conditionalFormatting>
  <conditionalFormatting sqref="D34:AY34">
    <cfRule type="expression" dxfId="554" priority="20">
      <formula>MOD(COLUMN(),2)=1</formula>
    </cfRule>
  </conditionalFormatting>
  <conditionalFormatting sqref="D34:AY34">
    <cfRule type="cellIs" dxfId="553" priority="19" operator="notEqual">
      <formula>$B$2</formula>
    </cfRule>
  </conditionalFormatting>
  <conditionalFormatting sqref="D34:AY34">
    <cfRule type="expression" dxfId="552" priority="18">
      <formula>MOD(COLUMN(),2)=1</formula>
    </cfRule>
  </conditionalFormatting>
  <conditionalFormatting sqref="D34:AY34">
    <cfRule type="cellIs" dxfId="551" priority="17" operator="notEqual">
      <formula>$B$2</formula>
    </cfRule>
  </conditionalFormatting>
  <conditionalFormatting sqref="D40:AY40">
    <cfRule type="expression" dxfId="550" priority="16">
      <formula>MOD(COLUMN(),2)=1</formula>
    </cfRule>
  </conditionalFormatting>
  <conditionalFormatting sqref="D40:AY40">
    <cfRule type="cellIs" dxfId="549" priority="15" operator="notEqual">
      <formula>$B$2</formula>
    </cfRule>
  </conditionalFormatting>
  <conditionalFormatting sqref="D40:AY40">
    <cfRule type="expression" dxfId="548" priority="14">
      <formula>MOD(COLUMN(),2)=1</formula>
    </cfRule>
  </conditionalFormatting>
  <conditionalFormatting sqref="D40:AY40">
    <cfRule type="cellIs" dxfId="547" priority="13" operator="notEqual">
      <formula>$B$2</formula>
    </cfRule>
  </conditionalFormatting>
  <conditionalFormatting sqref="D40:AY40">
    <cfRule type="expression" dxfId="546" priority="12">
      <formula>MOD(COLUMN(),2)=1</formula>
    </cfRule>
  </conditionalFormatting>
  <conditionalFormatting sqref="D40:AY40">
    <cfRule type="cellIs" dxfId="545" priority="11" operator="notEqual">
      <formula>$B$2</formula>
    </cfRule>
  </conditionalFormatting>
  <conditionalFormatting sqref="D40:AY40">
    <cfRule type="expression" dxfId="544" priority="10">
      <formula>MOD(COLUMN(),2)=1</formula>
    </cfRule>
  </conditionalFormatting>
  <conditionalFormatting sqref="D40:AY40">
    <cfRule type="cellIs" dxfId="543" priority="9" operator="notEqual">
      <formula>$B$2</formula>
    </cfRule>
  </conditionalFormatting>
  <conditionalFormatting sqref="D46:AY46">
    <cfRule type="expression" dxfId="542" priority="8">
      <formula>MOD(COLUMN(),2)=1</formula>
    </cfRule>
  </conditionalFormatting>
  <conditionalFormatting sqref="D46:AY46">
    <cfRule type="cellIs" dxfId="541" priority="7" operator="notEqual">
      <formula>$B$2</formula>
    </cfRule>
  </conditionalFormatting>
  <conditionalFormatting sqref="D46:AY46">
    <cfRule type="expression" dxfId="540" priority="6">
      <formula>MOD(COLUMN(),2)=1</formula>
    </cfRule>
  </conditionalFormatting>
  <conditionalFormatting sqref="D46:AY46">
    <cfRule type="cellIs" dxfId="539" priority="5" operator="notEqual">
      <formula>$B$2</formula>
    </cfRule>
  </conditionalFormatting>
  <conditionalFormatting sqref="D46:AY46">
    <cfRule type="expression" dxfId="538" priority="4">
      <formula>MOD(COLUMN(),2)=1</formula>
    </cfRule>
  </conditionalFormatting>
  <conditionalFormatting sqref="D46:AY46">
    <cfRule type="cellIs" dxfId="537" priority="3" operator="notEqual">
      <formula>$B$2</formula>
    </cfRule>
  </conditionalFormatting>
  <conditionalFormatting sqref="D46:AY46">
    <cfRule type="expression" dxfId="536" priority="2">
      <formula>MOD(COLUMN(),2)=1</formula>
    </cfRule>
  </conditionalFormatting>
  <conditionalFormatting sqref="D46:AY46">
    <cfRule type="cellIs" dxfId="53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41:AZ45 D35:AZ39 D30:AZ33 D24:AZ28 D18:AZ22 D9:AZ16 D3:AZ7">
      <formula1>1</formula1>
      <formula2>4</formula2>
    </dataValidation>
  </dataValidations>
  <pageMargins left="0.7" right="0.7" top="0.75" bottom="0.75" header="0.3" footer="0.3"/>
  <pageSetup paperSize="513" orientation="portrait" horizontalDpi="0" verticalDpi="0" r:id="rId1"/>
  <drawing r:id="rId2"/>
</worksheet>
</file>

<file path=xl/worksheets/sheet20.xml><?xml version="1.0" encoding="utf-8"?>
<worksheet xmlns="http://schemas.openxmlformats.org/spreadsheetml/2006/main" xmlns:r="http://schemas.openxmlformats.org/officeDocument/2006/relationships">
  <sheetPr codeName="Sheet28"/>
  <dimension ref="A1:AR56"/>
  <sheetViews>
    <sheetView view="pageBreakPreview" zoomScaleSheetLayoutView="100" workbookViewId="0">
      <pane xSplit="5" ySplit="8" topLeftCell="F9" activePane="bottomRight" state="frozen"/>
      <selection pane="topRight" activeCell="F1" sqref="F1"/>
      <selection pane="bottomLeft" activeCell="A5" sqref="A5"/>
      <selection pane="bottomRight" activeCell="K12" sqref="K12"/>
    </sheetView>
  </sheetViews>
  <sheetFormatPr defaultRowHeight="15" customHeight="1"/>
  <cols>
    <col min="1" max="1" width="4.85546875" style="95" customWidth="1"/>
    <col min="2" max="2" width="7.140625" style="95" customWidth="1"/>
    <col min="3" max="3" width="32.5703125" style="95" customWidth="1"/>
    <col min="4" max="4" width="5.85546875" style="95" customWidth="1"/>
    <col min="5" max="24" width="5.28515625" style="95" customWidth="1"/>
    <col min="25" max="44" width="5.7109375" style="95" customWidth="1"/>
    <col min="45" max="16384" width="9.140625" style="95"/>
  </cols>
  <sheetData>
    <row r="1" spans="1:44" ht="28.5">
      <c r="A1" s="194" t="str">
        <f>"DAFTAR NILAI"&amp;" "&amp;menu!D14</f>
        <v>DAFTAR NILAI VII</v>
      </c>
      <c r="F1" s="634" t="s">
        <v>318</v>
      </c>
      <c r="G1" s="635"/>
      <c r="H1" s="635"/>
      <c r="I1" s="635"/>
      <c r="J1" s="635"/>
      <c r="K1" s="635"/>
      <c r="L1" s="635"/>
      <c r="M1" s="635"/>
      <c r="Q1" s="196"/>
      <c r="R1" s="196"/>
      <c r="S1" s="196"/>
      <c r="T1" s="196"/>
      <c r="U1" s="196"/>
      <c r="V1" s="196"/>
    </row>
    <row r="2" spans="1:44" ht="21" customHeight="1">
      <c r="A2" s="194">
        <f>menu!E13</f>
        <v>0</v>
      </c>
      <c r="H2" s="186" t="s">
        <v>323</v>
      </c>
      <c r="K2" s="195" t="str">
        <f>menu!D11</f>
        <v>FATHOR ROHMAN, S. Pd</v>
      </c>
    </row>
    <row r="5" spans="1:44" ht="15" customHeight="1">
      <c r="A5" s="501" t="s">
        <v>15</v>
      </c>
      <c r="B5" s="501" t="s">
        <v>16</v>
      </c>
      <c r="C5" s="504" t="s">
        <v>0</v>
      </c>
      <c r="D5" s="505" t="s">
        <v>1</v>
      </c>
      <c r="E5" s="506" t="s">
        <v>17</v>
      </c>
      <c r="F5" s="627" t="s">
        <v>207</v>
      </c>
      <c r="G5" s="627"/>
      <c r="H5" s="627"/>
      <c r="I5" s="601" t="s">
        <v>7</v>
      </c>
      <c r="J5" s="627" t="s">
        <v>8</v>
      </c>
      <c r="K5" s="627"/>
      <c r="L5" s="627"/>
      <c r="M5" s="627"/>
      <c r="N5" s="601" t="s">
        <v>7</v>
      </c>
      <c r="O5" s="627" t="s">
        <v>9</v>
      </c>
      <c r="P5" s="627"/>
      <c r="Q5" s="627"/>
      <c r="R5" s="627"/>
      <c r="S5" s="601" t="s">
        <v>7</v>
      </c>
      <c r="T5" s="627" t="s">
        <v>6</v>
      </c>
      <c r="U5" s="627"/>
      <c r="V5" s="627"/>
      <c r="W5" s="627"/>
      <c r="X5" s="601" t="s">
        <v>7</v>
      </c>
      <c r="Y5" s="628" t="s">
        <v>10</v>
      </c>
      <c r="Z5" s="629"/>
      <c r="AA5" s="629"/>
      <c r="AB5" s="630"/>
      <c r="AC5" s="601" t="s">
        <v>7</v>
      </c>
      <c r="AD5" s="627" t="s">
        <v>11</v>
      </c>
      <c r="AE5" s="627"/>
      <c r="AF5" s="627"/>
      <c r="AG5" s="627"/>
      <c r="AH5" s="601" t="s">
        <v>7</v>
      </c>
      <c r="AI5" s="627" t="s">
        <v>12</v>
      </c>
      <c r="AJ5" s="627"/>
      <c r="AK5" s="627"/>
      <c r="AL5" s="627"/>
      <c r="AM5" s="601" t="s">
        <v>7</v>
      </c>
      <c r="AN5" s="627" t="s">
        <v>236</v>
      </c>
      <c r="AO5" s="627"/>
      <c r="AP5" s="627"/>
      <c r="AQ5" s="627"/>
      <c r="AR5" s="601" t="s">
        <v>7</v>
      </c>
    </row>
    <row r="6" spans="1:44" ht="15" customHeight="1">
      <c r="A6" s="502"/>
      <c r="B6" s="502"/>
      <c r="C6" s="504"/>
      <c r="D6" s="505"/>
      <c r="E6" s="507"/>
      <c r="F6" s="627"/>
      <c r="G6" s="627"/>
      <c r="H6" s="627"/>
      <c r="I6" s="601"/>
      <c r="J6" s="627"/>
      <c r="K6" s="627"/>
      <c r="L6" s="627"/>
      <c r="M6" s="627"/>
      <c r="N6" s="601"/>
      <c r="O6" s="627"/>
      <c r="P6" s="627"/>
      <c r="Q6" s="627"/>
      <c r="R6" s="627"/>
      <c r="S6" s="601"/>
      <c r="T6" s="627"/>
      <c r="U6" s="627"/>
      <c r="V6" s="627"/>
      <c r="W6" s="627"/>
      <c r="X6" s="601"/>
      <c r="Y6" s="631"/>
      <c r="Z6" s="632"/>
      <c r="AA6" s="632"/>
      <c r="AB6" s="633"/>
      <c r="AC6" s="601"/>
      <c r="AD6" s="627"/>
      <c r="AE6" s="627"/>
      <c r="AF6" s="627"/>
      <c r="AG6" s="627"/>
      <c r="AH6" s="601"/>
      <c r="AI6" s="627"/>
      <c r="AJ6" s="627"/>
      <c r="AK6" s="627"/>
      <c r="AL6" s="627"/>
      <c r="AM6" s="601"/>
      <c r="AN6" s="627"/>
      <c r="AO6" s="627"/>
      <c r="AP6" s="627"/>
      <c r="AQ6" s="627"/>
      <c r="AR6" s="601"/>
    </row>
    <row r="7" spans="1:44" s="98" customFormat="1" ht="102.75" customHeight="1">
      <c r="A7" s="503"/>
      <c r="B7" s="503"/>
      <c r="C7" s="504"/>
      <c r="D7" s="505"/>
      <c r="E7" s="508"/>
      <c r="F7" s="187" t="s">
        <v>219</v>
      </c>
      <c r="G7" s="187" t="s">
        <v>238</v>
      </c>
      <c r="H7" s="117" t="s">
        <v>218</v>
      </c>
      <c r="I7" s="601"/>
      <c r="J7" s="187" t="s">
        <v>219</v>
      </c>
      <c r="K7" s="187" t="s">
        <v>220</v>
      </c>
      <c r="L7" s="187" t="s">
        <v>238</v>
      </c>
      <c r="M7" s="117" t="s">
        <v>218</v>
      </c>
      <c r="N7" s="601"/>
      <c r="O7" s="187" t="s">
        <v>219</v>
      </c>
      <c r="P7" s="187" t="s">
        <v>220</v>
      </c>
      <c r="Q7" s="187" t="s">
        <v>238</v>
      </c>
      <c r="R7" s="117" t="s">
        <v>218</v>
      </c>
      <c r="S7" s="601"/>
      <c r="T7" s="187" t="s">
        <v>219</v>
      </c>
      <c r="U7" s="187" t="s">
        <v>220</v>
      </c>
      <c r="V7" s="187" t="s">
        <v>238</v>
      </c>
      <c r="W7" s="117" t="s">
        <v>218</v>
      </c>
      <c r="X7" s="601"/>
      <c r="Y7" s="187" t="s">
        <v>219</v>
      </c>
      <c r="Z7" s="187" t="s">
        <v>220</v>
      </c>
      <c r="AA7" s="187" t="s">
        <v>238</v>
      </c>
      <c r="AB7" s="117" t="s">
        <v>218</v>
      </c>
      <c r="AC7" s="601"/>
      <c r="AD7" s="187" t="s">
        <v>219</v>
      </c>
      <c r="AE7" s="187" t="s">
        <v>220</v>
      </c>
      <c r="AF7" s="187" t="s">
        <v>238</v>
      </c>
      <c r="AG7" s="117" t="s">
        <v>218</v>
      </c>
      <c r="AH7" s="601"/>
      <c r="AI7" s="187" t="s">
        <v>219</v>
      </c>
      <c r="AJ7" s="187" t="s">
        <v>220</v>
      </c>
      <c r="AK7" s="187" t="s">
        <v>238</v>
      </c>
      <c r="AL7" s="117" t="s">
        <v>218</v>
      </c>
      <c r="AM7" s="601"/>
      <c r="AN7" s="187" t="s">
        <v>219</v>
      </c>
      <c r="AO7" s="187" t="s">
        <v>220</v>
      </c>
      <c r="AP7" s="187" t="s">
        <v>238</v>
      </c>
      <c r="AQ7" s="117" t="s">
        <v>218</v>
      </c>
      <c r="AR7" s="601"/>
    </row>
    <row r="8" spans="1:44" ht="15" customHeight="1">
      <c r="A8" s="99">
        <v>1</v>
      </c>
      <c r="B8" s="99">
        <v>2</v>
      </c>
      <c r="C8" s="99">
        <v>3</v>
      </c>
      <c r="D8" s="99">
        <v>4</v>
      </c>
      <c r="E8" s="99">
        <v>5</v>
      </c>
      <c r="F8" s="99">
        <v>6</v>
      </c>
      <c r="G8" s="99">
        <v>7</v>
      </c>
      <c r="H8" s="99">
        <v>8</v>
      </c>
      <c r="I8" s="99">
        <v>9</v>
      </c>
      <c r="J8" s="99">
        <v>10</v>
      </c>
      <c r="K8" s="99">
        <v>11</v>
      </c>
      <c r="L8" s="99">
        <v>12</v>
      </c>
      <c r="M8" s="99">
        <v>13</v>
      </c>
      <c r="N8" s="99">
        <v>14</v>
      </c>
      <c r="O8" s="99">
        <v>15</v>
      </c>
      <c r="P8" s="99">
        <v>16</v>
      </c>
      <c r="Q8" s="99">
        <v>17</v>
      </c>
      <c r="R8" s="99">
        <v>18</v>
      </c>
      <c r="S8" s="99">
        <v>19</v>
      </c>
      <c r="T8" s="99">
        <v>20</v>
      </c>
      <c r="U8" s="99">
        <v>21</v>
      </c>
      <c r="V8" s="99">
        <v>22</v>
      </c>
      <c r="W8" s="99">
        <v>23</v>
      </c>
      <c r="X8" s="99">
        <v>24</v>
      </c>
      <c r="Y8" s="99">
        <v>25</v>
      </c>
      <c r="Z8" s="99">
        <v>26</v>
      </c>
      <c r="AA8" s="99">
        <v>27</v>
      </c>
      <c r="AB8" s="99">
        <v>28</v>
      </c>
      <c r="AC8" s="99">
        <v>29</v>
      </c>
      <c r="AD8" s="99">
        <v>30</v>
      </c>
      <c r="AE8" s="99">
        <v>31</v>
      </c>
      <c r="AF8" s="99">
        <v>32</v>
      </c>
      <c r="AG8" s="99">
        <v>33</v>
      </c>
      <c r="AH8" s="99">
        <v>34</v>
      </c>
      <c r="AI8" s="99">
        <v>35</v>
      </c>
      <c r="AJ8" s="99">
        <v>36</v>
      </c>
      <c r="AK8" s="99">
        <v>37</v>
      </c>
      <c r="AL8" s="99">
        <v>38</v>
      </c>
      <c r="AM8" s="99">
        <v>39</v>
      </c>
      <c r="AN8" s="99">
        <v>40</v>
      </c>
      <c r="AO8" s="99">
        <v>41</v>
      </c>
      <c r="AP8" s="99">
        <v>42</v>
      </c>
      <c r="AQ8" s="99">
        <v>43</v>
      </c>
      <c r="AR8" s="99">
        <v>44</v>
      </c>
    </row>
    <row r="9" spans="1:44" ht="15" customHeight="1">
      <c r="A9" s="107">
        <f>'DATA SISWA'!A5</f>
        <v>1</v>
      </c>
      <c r="B9" s="107" t="str">
        <f>'DATA SISWA'!B5</f>
        <v>`017</v>
      </c>
      <c r="C9" s="116" t="str">
        <f>'DATA SISWA'!C5</f>
        <v>Abd. Muis</v>
      </c>
      <c r="D9" s="116" t="str">
        <f>'DATA SISWA'!D5</f>
        <v>L</v>
      </c>
      <c r="E9" s="107" t="str">
        <f>'DATA SISWA'!E5</f>
        <v>VII</v>
      </c>
      <c r="F9" s="129"/>
      <c r="G9" s="197"/>
      <c r="H9" s="129"/>
      <c r="I9" s="198"/>
      <c r="J9" s="129"/>
      <c r="K9" s="129"/>
      <c r="L9" s="129"/>
      <c r="M9" s="129"/>
      <c r="N9" s="198"/>
      <c r="O9" s="129"/>
      <c r="P9" s="129"/>
      <c r="Q9" s="129"/>
      <c r="R9" s="129"/>
      <c r="S9" s="198"/>
      <c r="T9" s="129"/>
      <c r="U9" s="129"/>
      <c r="V9" s="129"/>
      <c r="W9" s="129"/>
      <c r="X9" s="198"/>
      <c r="Y9" s="129"/>
      <c r="Z9" s="129"/>
      <c r="AA9" s="197"/>
      <c r="AB9" s="129"/>
      <c r="AC9" s="198"/>
      <c r="AD9" s="129"/>
      <c r="AE9" s="197"/>
      <c r="AF9" s="129"/>
      <c r="AG9" s="129"/>
      <c r="AH9" s="199"/>
      <c r="AI9" s="129"/>
      <c r="AJ9" s="129"/>
      <c r="AK9" s="129"/>
      <c r="AL9" s="129"/>
      <c r="AM9" s="199"/>
      <c r="AN9" s="129"/>
      <c r="AO9" s="129"/>
      <c r="AP9" s="129"/>
      <c r="AQ9" s="200"/>
      <c r="AR9" s="199"/>
    </row>
    <row r="10" spans="1:44" ht="15" customHeight="1">
      <c r="A10" s="107">
        <f>'DATA SISWA'!A6</f>
        <v>2</v>
      </c>
      <c r="B10" s="107" t="str">
        <f>'DATA SISWA'!B6</f>
        <v>`008</v>
      </c>
      <c r="C10" s="116" t="str">
        <f>'DATA SISWA'!C6</f>
        <v>Achmad Buka</v>
      </c>
      <c r="D10" s="116" t="str">
        <f>'DATA SISWA'!D6</f>
        <v>L</v>
      </c>
      <c r="E10" s="107" t="str">
        <f>'DATA SISWA'!E6</f>
        <v>VII</v>
      </c>
      <c r="F10" s="129"/>
      <c r="G10" s="129"/>
      <c r="H10" s="129"/>
      <c r="I10" s="198"/>
      <c r="J10" s="129"/>
      <c r="K10" s="129"/>
      <c r="L10" s="129"/>
      <c r="M10" s="129"/>
      <c r="N10" s="198"/>
      <c r="O10" s="129"/>
      <c r="P10" s="129"/>
      <c r="Q10" s="129"/>
      <c r="R10" s="129"/>
      <c r="S10" s="198"/>
      <c r="T10" s="129"/>
      <c r="U10" s="129"/>
      <c r="V10" s="129"/>
      <c r="W10" s="129"/>
      <c r="X10" s="198"/>
      <c r="Y10" s="129"/>
      <c r="Z10" s="129"/>
      <c r="AA10" s="129"/>
      <c r="AB10" s="129"/>
      <c r="AC10" s="198"/>
      <c r="AD10" s="129"/>
      <c r="AE10" s="129"/>
      <c r="AF10" s="129"/>
      <c r="AG10" s="129"/>
      <c r="AH10" s="199"/>
      <c r="AI10" s="129"/>
      <c r="AJ10" s="129"/>
      <c r="AK10" s="129"/>
      <c r="AL10" s="129"/>
      <c r="AM10" s="199"/>
      <c r="AN10" s="129"/>
      <c r="AO10" s="129"/>
      <c r="AP10" s="129"/>
      <c r="AQ10" s="200"/>
      <c r="AR10" s="199"/>
    </row>
    <row r="11" spans="1:44" ht="15" customHeight="1">
      <c r="A11" s="107">
        <f>'DATA SISWA'!A7</f>
        <v>3</v>
      </c>
      <c r="B11" s="107" t="str">
        <f>'DATA SISWA'!B7</f>
        <v>`014</v>
      </c>
      <c r="C11" s="116" t="str">
        <f>'DATA SISWA'!C7</f>
        <v>Bunami</v>
      </c>
      <c r="D11" s="116" t="str">
        <f>'DATA SISWA'!D7</f>
        <v>P</v>
      </c>
      <c r="E11" s="107" t="str">
        <f>'DATA SISWA'!E7</f>
        <v>VII</v>
      </c>
      <c r="F11" s="129"/>
      <c r="G11" s="129"/>
      <c r="H11" s="129"/>
      <c r="I11" s="198"/>
      <c r="J11" s="129"/>
      <c r="K11" s="129"/>
      <c r="L11" s="129"/>
      <c r="M11" s="129"/>
      <c r="N11" s="198"/>
      <c r="O11" s="129"/>
      <c r="P11" s="129"/>
      <c r="Q11" s="129"/>
      <c r="R11" s="129"/>
      <c r="S11" s="198"/>
      <c r="T11" s="129"/>
      <c r="U11" s="129"/>
      <c r="V11" s="129"/>
      <c r="W11" s="129"/>
      <c r="X11" s="198"/>
      <c r="Y11" s="129"/>
      <c r="Z11" s="129"/>
      <c r="AA11" s="129"/>
      <c r="AB11" s="129"/>
      <c r="AC11" s="198"/>
      <c r="AD11" s="129"/>
      <c r="AE11" s="129"/>
      <c r="AF11" s="129"/>
      <c r="AG11" s="129"/>
      <c r="AH11" s="199"/>
      <c r="AI11" s="129"/>
      <c r="AJ11" s="129"/>
      <c r="AK11" s="129"/>
      <c r="AL11" s="129"/>
      <c r="AM11" s="199"/>
      <c r="AN11" s="129"/>
      <c r="AO11" s="129"/>
      <c r="AP11" s="129"/>
      <c r="AQ11" s="200"/>
      <c r="AR11" s="199"/>
    </row>
    <row r="12" spans="1:44" ht="15" customHeight="1">
      <c r="A12" s="107">
        <f>'DATA SISWA'!A8</f>
        <v>4</v>
      </c>
      <c r="B12" s="107" t="str">
        <f>'DATA SISWA'!B8</f>
        <v>`009</v>
      </c>
      <c r="C12" s="116" t="str">
        <f>'DATA SISWA'!C8</f>
        <v>Fatimatuz Zahroh</v>
      </c>
      <c r="D12" s="116" t="str">
        <f>'DATA SISWA'!D8</f>
        <v>P</v>
      </c>
      <c r="E12" s="107" t="str">
        <f>'DATA SISWA'!E8</f>
        <v>VII</v>
      </c>
      <c r="F12" s="129"/>
      <c r="G12" s="129"/>
      <c r="H12" s="129"/>
      <c r="I12" s="198"/>
      <c r="J12" s="129"/>
      <c r="K12" s="129"/>
      <c r="L12" s="129"/>
      <c r="M12" s="129"/>
      <c r="N12" s="198"/>
      <c r="O12" s="129"/>
      <c r="P12" s="129"/>
      <c r="Q12" s="129"/>
      <c r="R12" s="129"/>
      <c r="S12" s="198"/>
      <c r="T12" s="129"/>
      <c r="U12" s="129"/>
      <c r="V12" s="129"/>
      <c r="W12" s="129"/>
      <c r="X12" s="198"/>
      <c r="Y12" s="129"/>
      <c r="Z12" s="129"/>
      <c r="AA12" s="129"/>
      <c r="AB12" s="129"/>
      <c r="AC12" s="198"/>
      <c r="AD12" s="129"/>
      <c r="AE12" s="129"/>
      <c r="AF12" s="129"/>
      <c r="AG12" s="129"/>
      <c r="AH12" s="199"/>
      <c r="AI12" s="129"/>
      <c r="AJ12" s="129"/>
      <c r="AK12" s="129"/>
      <c r="AL12" s="129"/>
      <c r="AM12" s="199"/>
      <c r="AN12" s="129"/>
      <c r="AO12" s="129"/>
      <c r="AP12" s="129"/>
      <c r="AQ12" s="200"/>
      <c r="AR12" s="199"/>
    </row>
    <row r="13" spans="1:44" ht="15" customHeight="1">
      <c r="A13" s="107">
        <f>'DATA SISWA'!A9</f>
        <v>5</v>
      </c>
      <c r="B13" s="107" t="str">
        <f>'DATA SISWA'!B9</f>
        <v>`003</v>
      </c>
      <c r="C13" s="116" t="str">
        <f>'DATA SISWA'!C9</f>
        <v>Fitriadi</v>
      </c>
      <c r="D13" s="116" t="str">
        <f>'DATA SISWA'!D9</f>
        <v>L</v>
      </c>
      <c r="E13" s="107" t="str">
        <f>'DATA SISWA'!E9</f>
        <v>VII</v>
      </c>
      <c r="F13" s="129"/>
      <c r="G13" s="129"/>
      <c r="H13" s="129"/>
      <c r="I13" s="198"/>
      <c r="J13" s="129"/>
      <c r="K13" s="129"/>
      <c r="L13" s="129"/>
      <c r="M13" s="129"/>
      <c r="N13" s="198"/>
      <c r="O13" s="129"/>
      <c r="P13" s="129"/>
      <c r="Q13" s="129"/>
      <c r="R13" s="129"/>
      <c r="S13" s="198"/>
      <c r="T13" s="129"/>
      <c r="U13" s="129"/>
      <c r="V13" s="129"/>
      <c r="W13" s="129"/>
      <c r="X13" s="198"/>
      <c r="Y13" s="129"/>
      <c r="Z13" s="129"/>
      <c r="AA13" s="129"/>
      <c r="AB13" s="129"/>
      <c r="AC13" s="198"/>
      <c r="AD13" s="129"/>
      <c r="AE13" s="129"/>
      <c r="AF13" s="129"/>
      <c r="AG13" s="129"/>
      <c r="AH13" s="199"/>
      <c r="AI13" s="129"/>
      <c r="AJ13" s="129"/>
      <c r="AK13" s="129"/>
      <c r="AL13" s="129"/>
      <c r="AM13" s="199"/>
      <c r="AN13" s="129"/>
      <c r="AO13" s="129"/>
      <c r="AP13" s="129"/>
      <c r="AQ13" s="200"/>
      <c r="AR13" s="199"/>
    </row>
    <row r="14" spans="1:44" ht="15" customHeight="1">
      <c r="A14" s="107">
        <f>'DATA SISWA'!A10</f>
        <v>6</v>
      </c>
      <c r="B14" s="107" t="str">
        <f>'DATA SISWA'!B10</f>
        <v>`006</v>
      </c>
      <c r="C14" s="116" t="str">
        <f>'DATA SISWA'!C10</f>
        <v>Homsiyah</v>
      </c>
      <c r="D14" s="116" t="str">
        <f>'DATA SISWA'!D10</f>
        <v>P</v>
      </c>
      <c r="E14" s="107" t="str">
        <f>'DATA SISWA'!E10</f>
        <v>VII</v>
      </c>
      <c r="F14" s="129"/>
      <c r="G14" s="129"/>
      <c r="H14" s="129"/>
      <c r="I14" s="198"/>
      <c r="J14" s="129"/>
      <c r="K14" s="129"/>
      <c r="L14" s="129"/>
      <c r="M14" s="129"/>
      <c r="N14" s="198"/>
      <c r="O14" s="129"/>
      <c r="P14" s="129"/>
      <c r="Q14" s="129"/>
      <c r="R14" s="129"/>
      <c r="S14" s="198"/>
      <c r="T14" s="129"/>
      <c r="U14" s="129"/>
      <c r="V14" s="129"/>
      <c r="W14" s="129"/>
      <c r="X14" s="198"/>
      <c r="Y14" s="129"/>
      <c r="Z14" s="129"/>
      <c r="AA14" s="129"/>
      <c r="AB14" s="129"/>
      <c r="AC14" s="198"/>
      <c r="AD14" s="129"/>
      <c r="AE14" s="129"/>
      <c r="AF14" s="129"/>
      <c r="AG14" s="129"/>
      <c r="AH14" s="199"/>
      <c r="AI14" s="129"/>
      <c r="AJ14" s="129"/>
      <c r="AK14" s="129"/>
      <c r="AL14" s="129"/>
      <c r="AM14" s="199"/>
      <c r="AN14" s="129"/>
      <c r="AO14" s="129"/>
      <c r="AP14" s="129"/>
      <c r="AQ14" s="200"/>
      <c r="AR14" s="199"/>
    </row>
    <row r="15" spans="1:44" ht="15" customHeight="1">
      <c r="A15" s="107">
        <f>'DATA SISWA'!A11</f>
        <v>7</v>
      </c>
      <c r="B15" s="107" t="str">
        <f>'DATA SISWA'!B11</f>
        <v>`002</v>
      </c>
      <c r="C15" s="116" t="str">
        <f>'DATA SISWA'!C11</f>
        <v>Insiyah</v>
      </c>
      <c r="D15" s="116" t="str">
        <f>'DATA SISWA'!D11</f>
        <v>P</v>
      </c>
      <c r="E15" s="107" t="str">
        <f>'DATA SISWA'!E11</f>
        <v>VII</v>
      </c>
      <c r="F15" s="129"/>
      <c r="G15" s="129"/>
      <c r="H15" s="129"/>
      <c r="I15" s="198"/>
      <c r="J15" s="129"/>
      <c r="K15" s="129"/>
      <c r="L15" s="129"/>
      <c r="M15" s="129"/>
      <c r="N15" s="198"/>
      <c r="O15" s="129"/>
      <c r="P15" s="129"/>
      <c r="Q15" s="129"/>
      <c r="R15" s="129"/>
      <c r="S15" s="198"/>
      <c r="T15" s="129"/>
      <c r="U15" s="129"/>
      <c r="V15" s="129"/>
      <c r="W15" s="129"/>
      <c r="X15" s="198"/>
      <c r="Y15" s="129"/>
      <c r="Z15" s="129"/>
      <c r="AA15" s="129"/>
      <c r="AB15" s="129"/>
      <c r="AC15" s="198"/>
      <c r="AD15" s="129"/>
      <c r="AE15" s="129"/>
      <c r="AF15" s="129"/>
      <c r="AG15" s="129"/>
      <c r="AH15" s="199"/>
      <c r="AI15" s="129"/>
      <c r="AJ15" s="129"/>
      <c r="AK15" s="129"/>
      <c r="AL15" s="129"/>
      <c r="AM15" s="199"/>
      <c r="AN15" s="129"/>
      <c r="AO15" s="129"/>
      <c r="AP15" s="129"/>
      <c r="AQ15" s="200"/>
      <c r="AR15" s="199"/>
    </row>
    <row r="16" spans="1:44" ht="15" customHeight="1">
      <c r="A16" s="107">
        <f>'DATA SISWA'!A12</f>
        <v>8</v>
      </c>
      <c r="B16" s="107" t="str">
        <f>'DATA SISWA'!B12</f>
        <v>`010</v>
      </c>
      <c r="C16" s="116" t="str">
        <f>'DATA SISWA'!C12</f>
        <v>Saiful Jamil</v>
      </c>
      <c r="D16" s="116" t="str">
        <f>'DATA SISWA'!D12</f>
        <v>L</v>
      </c>
      <c r="E16" s="107" t="str">
        <f>'DATA SISWA'!E12</f>
        <v>VII</v>
      </c>
      <c r="F16" s="129"/>
      <c r="G16" s="129"/>
      <c r="H16" s="129"/>
      <c r="I16" s="198"/>
      <c r="J16" s="129"/>
      <c r="K16" s="129"/>
      <c r="L16" s="129"/>
      <c r="M16" s="129"/>
      <c r="N16" s="198"/>
      <c r="O16" s="129"/>
      <c r="P16" s="129"/>
      <c r="Q16" s="129"/>
      <c r="R16" s="129"/>
      <c r="S16" s="198"/>
      <c r="T16" s="129"/>
      <c r="U16" s="129"/>
      <c r="V16" s="129"/>
      <c r="W16" s="129"/>
      <c r="X16" s="198"/>
      <c r="Y16" s="129"/>
      <c r="Z16" s="129"/>
      <c r="AA16" s="129"/>
      <c r="AB16" s="129"/>
      <c r="AC16" s="198"/>
      <c r="AD16" s="129"/>
      <c r="AE16" s="129"/>
      <c r="AF16" s="129"/>
      <c r="AG16" s="129"/>
      <c r="AH16" s="199"/>
      <c r="AI16" s="129"/>
      <c r="AJ16" s="129"/>
      <c r="AK16" s="129"/>
      <c r="AL16" s="129"/>
      <c r="AM16" s="199"/>
      <c r="AN16" s="129"/>
      <c r="AO16" s="129"/>
      <c r="AP16" s="129"/>
      <c r="AQ16" s="200"/>
      <c r="AR16" s="199"/>
    </row>
    <row r="17" spans="1:44" ht="15" customHeight="1">
      <c r="A17" s="107">
        <f>'DATA SISWA'!A13</f>
        <v>9</v>
      </c>
      <c r="B17" s="107" t="str">
        <f>'DATA SISWA'!B13</f>
        <v>`011</v>
      </c>
      <c r="C17" s="116" t="str">
        <f>'DATA SISWA'!C13</f>
        <v>Khusnun Nisa</v>
      </c>
      <c r="D17" s="116" t="str">
        <f>'DATA SISWA'!D13</f>
        <v>P</v>
      </c>
      <c r="E17" s="107" t="str">
        <f>'DATA SISWA'!E13</f>
        <v>VII</v>
      </c>
      <c r="F17" s="129"/>
      <c r="G17" s="129"/>
      <c r="H17" s="129"/>
      <c r="I17" s="198"/>
      <c r="J17" s="129"/>
      <c r="K17" s="129"/>
      <c r="L17" s="129"/>
      <c r="M17" s="129"/>
      <c r="N17" s="198"/>
      <c r="O17" s="129"/>
      <c r="P17" s="129"/>
      <c r="Q17" s="129"/>
      <c r="R17" s="129"/>
      <c r="S17" s="198"/>
      <c r="T17" s="129"/>
      <c r="U17" s="129"/>
      <c r="V17" s="129"/>
      <c r="W17" s="129"/>
      <c r="X17" s="198"/>
      <c r="Y17" s="129"/>
      <c r="Z17" s="129"/>
      <c r="AA17" s="129"/>
      <c r="AB17" s="129"/>
      <c r="AC17" s="198"/>
      <c r="AD17" s="129"/>
      <c r="AE17" s="129"/>
      <c r="AF17" s="129"/>
      <c r="AG17" s="129"/>
      <c r="AH17" s="199"/>
      <c r="AI17" s="129"/>
      <c r="AJ17" s="129"/>
      <c r="AK17" s="129"/>
      <c r="AL17" s="129"/>
      <c r="AM17" s="199"/>
      <c r="AN17" s="129"/>
      <c r="AO17" s="129"/>
      <c r="AP17" s="129"/>
      <c r="AQ17" s="200"/>
      <c r="AR17" s="199"/>
    </row>
    <row r="18" spans="1:44" ht="15" customHeight="1">
      <c r="A18" s="107">
        <f>'DATA SISWA'!A14</f>
        <v>10</v>
      </c>
      <c r="B18" s="107" t="str">
        <f>'DATA SISWA'!B14</f>
        <v>`005</v>
      </c>
      <c r="C18" s="116" t="str">
        <f>'DATA SISWA'!C14</f>
        <v>Komariyah</v>
      </c>
      <c r="D18" s="116" t="str">
        <f>'DATA SISWA'!D14</f>
        <v>P</v>
      </c>
      <c r="E18" s="107" t="str">
        <f>'DATA SISWA'!E14</f>
        <v>VII</v>
      </c>
      <c r="F18" s="129"/>
      <c r="G18" s="129"/>
      <c r="H18" s="129"/>
      <c r="I18" s="198"/>
      <c r="J18" s="129"/>
      <c r="K18" s="129"/>
      <c r="L18" s="129"/>
      <c r="M18" s="129"/>
      <c r="N18" s="198"/>
      <c r="O18" s="129"/>
      <c r="P18" s="129"/>
      <c r="Q18" s="129"/>
      <c r="R18" s="129"/>
      <c r="S18" s="198"/>
      <c r="T18" s="129"/>
      <c r="U18" s="129"/>
      <c r="V18" s="129"/>
      <c r="W18" s="129"/>
      <c r="X18" s="198"/>
      <c r="Y18" s="129"/>
      <c r="Z18" s="129"/>
      <c r="AA18" s="129"/>
      <c r="AB18" s="129"/>
      <c r="AC18" s="198"/>
      <c r="AD18" s="129"/>
      <c r="AE18" s="129"/>
      <c r="AF18" s="129"/>
      <c r="AG18" s="129"/>
      <c r="AH18" s="199"/>
      <c r="AI18" s="129"/>
      <c r="AJ18" s="129"/>
      <c r="AK18" s="129"/>
      <c r="AL18" s="129"/>
      <c r="AM18" s="199"/>
      <c r="AN18" s="129"/>
      <c r="AO18" s="129"/>
      <c r="AP18" s="129"/>
      <c r="AQ18" s="200"/>
      <c r="AR18" s="199"/>
    </row>
    <row r="19" spans="1:44" ht="15" customHeight="1">
      <c r="A19" s="107">
        <f>'DATA SISWA'!A15</f>
        <v>11</v>
      </c>
      <c r="B19" s="107" t="str">
        <f>'DATA SISWA'!B15</f>
        <v>`013</v>
      </c>
      <c r="C19" s="116" t="str">
        <f>'DATA SISWA'!C15</f>
        <v>Latifah</v>
      </c>
      <c r="D19" s="116" t="str">
        <f>'DATA SISWA'!D15</f>
        <v>P</v>
      </c>
      <c r="E19" s="107" t="str">
        <f>'DATA SISWA'!E15</f>
        <v>VII</v>
      </c>
      <c r="F19" s="129"/>
      <c r="G19" s="129"/>
      <c r="H19" s="129"/>
      <c r="I19" s="198"/>
      <c r="J19" s="129"/>
      <c r="K19" s="129"/>
      <c r="L19" s="129"/>
      <c r="M19" s="129"/>
      <c r="N19" s="198"/>
      <c r="O19" s="129"/>
      <c r="P19" s="129"/>
      <c r="Q19" s="129"/>
      <c r="R19" s="129"/>
      <c r="S19" s="198"/>
      <c r="T19" s="129"/>
      <c r="U19" s="129"/>
      <c r="V19" s="129"/>
      <c r="W19" s="129"/>
      <c r="X19" s="198"/>
      <c r="Y19" s="129"/>
      <c r="Z19" s="129"/>
      <c r="AA19" s="129"/>
      <c r="AB19" s="129"/>
      <c r="AC19" s="198"/>
      <c r="AD19" s="129"/>
      <c r="AE19" s="129"/>
      <c r="AF19" s="129"/>
      <c r="AG19" s="129"/>
      <c r="AH19" s="199"/>
      <c r="AI19" s="129"/>
      <c r="AJ19" s="129"/>
      <c r="AK19" s="129"/>
      <c r="AL19" s="129"/>
      <c r="AM19" s="199"/>
      <c r="AN19" s="129"/>
      <c r="AO19" s="129"/>
      <c r="AP19" s="129"/>
      <c r="AQ19" s="200"/>
      <c r="AR19" s="199"/>
    </row>
    <row r="20" spans="1:44" ht="15" customHeight="1">
      <c r="A20" s="107">
        <f>'DATA SISWA'!A16</f>
        <v>12</v>
      </c>
      <c r="B20" s="107" t="str">
        <f>'DATA SISWA'!B16</f>
        <v>`018</v>
      </c>
      <c r="C20" s="116" t="str">
        <f>'DATA SISWA'!C16</f>
        <v>Maya</v>
      </c>
      <c r="D20" s="116" t="str">
        <f>'DATA SISWA'!D16</f>
        <v>P</v>
      </c>
      <c r="E20" s="107" t="str">
        <f>'DATA SISWA'!E16</f>
        <v>VII</v>
      </c>
      <c r="F20" s="129"/>
      <c r="G20" s="129"/>
      <c r="H20" s="129"/>
      <c r="I20" s="198"/>
      <c r="J20" s="129"/>
      <c r="K20" s="129"/>
      <c r="L20" s="129"/>
      <c r="M20" s="129"/>
      <c r="N20" s="198"/>
      <c r="O20" s="129"/>
      <c r="P20" s="129"/>
      <c r="Q20" s="129"/>
      <c r="R20" s="129"/>
      <c r="S20" s="198"/>
      <c r="T20" s="129"/>
      <c r="U20" s="129"/>
      <c r="V20" s="129"/>
      <c r="W20" s="129"/>
      <c r="X20" s="198"/>
      <c r="Y20" s="129"/>
      <c r="Z20" s="129"/>
      <c r="AA20" s="129"/>
      <c r="AB20" s="129"/>
      <c r="AC20" s="198"/>
      <c r="AD20" s="129"/>
      <c r="AE20" s="129"/>
      <c r="AF20" s="129"/>
      <c r="AG20" s="129"/>
      <c r="AH20" s="199"/>
      <c r="AI20" s="129"/>
      <c r="AJ20" s="129"/>
      <c r="AK20" s="129"/>
      <c r="AL20" s="129"/>
      <c r="AM20" s="199"/>
      <c r="AN20" s="129"/>
      <c r="AO20" s="129"/>
      <c r="AP20" s="129"/>
      <c r="AQ20" s="200"/>
      <c r="AR20" s="199"/>
    </row>
    <row r="21" spans="1:44" ht="15" customHeight="1">
      <c r="A21" s="107">
        <f>'DATA SISWA'!A17</f>
        <v>13</v>
      </c>
      <c r="B21" s="107" t="str">
        <f>'DATA SISWA'!B17</f>
        <v>`016</v>
      </c>
      <c r="C21" s="116" t="str">
        <f>'DATA SISWA'!C17</f>
        <v>Ma`ruf</v>
      </c>
      <c r="D21" s="116" t="str">
        <f>'DATA SISWA'!D17</f>
        <v>L</v>
      </c>
      <c r="E21" s="107" t="str">
        <f>'DATA SISWA'!E17</f>
        <v>VII</v>
      </c>
      <c r="F21" s="129"/>
      <c r="G21" s="129"/>
      <c r="H21" s="129"/>
      <c r="I21" s="198"/>
      <c r="J21" s="129"/>
      <c r="K21" s="129"/>
      <c r="L21" s="129"/>
      <c r="M21" s="129"/>
      <c r="N21" s="198"/>
      <c r="O21" s="129"/>
      <c r="P21" s="129"/>
      <c r="Q21" s="129"/>
      <c r="R21" s="129"/>
      <c r="S21" s="198"/>
      <c r="T21" s="129"/>
      <c r="U21" s="129"/>
      <c r="V21" s="129"/>
      <c r="W21" s="129"/>
      <c r="X21" s="198"/>
      <c r="Y21" s="129"/>
      <c r="Z21" s="129"/>
      <c r="AA21" s="129"/>
      <c r="AB21" s="129"/>
      <c r="AC21" s="198"/>
      <c r="AD21" s="129"/>
      <c r="AE21" s="129"/>
      <c r="AF21" s="129"/>
      <c r="AG21" s="129"/>
      <c r="AH21" s="199"/>
      <c r="AI21" s="129"/>
      <c r="AJ21" s="129"/>
      <c r="AK21" s="129"/>
      <c r="AL21" s="129"/>
      <c r="AM21" s="199"/>
      <c r="AN21" s="129"/>
      <c r="AO21" s="129"/>
      <c r="AP21" s="129"/>
      <c r="AQ21" s="200"/>
      <c r="AR21" s="199"/>
    </row>
    <row r="22" spans="1:44" ht="15" customHeight="1">
      <c r="A22" s="107">
        <f>'DATA SISWA'!A18</f>
        <v>14</v>
      </c>
      <c r="B22" s="107" t="str">
        <f>'DATA SISWA'!B18</f>
        <v>`020</v>
      </c>
      <c r="C22" s="116" t="str">
        <f>'DATA SISWA'!C18</f>
        <v>Nia Ramadani</v>
      </c>
      <c r="D22" s="116" t="str">
        <f>'DATA SISWA'!D18</f>
        <v>P</v>
      </c>
      <c r="E22" s="107" t="str">
        <f>'DATA SISWA'!E18</f>
        <v>VII</v>
      </c>
      <c r="F22" s="129"/>
      <c r="G22" s="129"/>
      <c r="H22" s="129"/>
      <c r="I22" s="198"/>
      <c r="J22" s="129"/>
      <c r="K22" s="129"/>
      <c r="L22" s="129"/>
      <c r="M22" s="129"/>
      <c r="N22" s="198"/>
      <c r="O22" s="201"/>
      <c r="P22" s="129"/>
      <c r="Q22" s="129"/>
      <c r="R22" s="129"/>
      <c r="S22" s="198"/>
      <c r="T22" s="129"/>
      <c r="U22" s="129"/>
      <c r="V22" s="129"/>
      <c r="W22" s="129"/>
      <c r="X22" s="198"/>
      <c r="Y22" s="129"/>
      <c r="Z22" s="129"/>
      <c r="AA22" s="129"/>
      <c r="AB22" s="129"/>
      <c r="AC22" s="198"/>
      <c r="AD22" s="129"/>
      <c r="AE22" s="129"/>
      <c r="AF22" s="129"/>
      <c r="AG22" s="129"/>
      <c r="AH22" s="199"/>
      <c r="AI22" s="129"/>
      <c r="AJ22" s="129"/>
      <c r="AK22" s="129"/>
      <c r="AL22" s="129"/>
      <c r="AM22" s="199"/>
      <c r="AN22" s="129"/>
      <c r="AO22" s="129"/>
      <c r="AP22" s="129"/>
      <c r="AQ22" s="200"/>
      <c r="AR22" s="199"/>
    </row>
    <row r="23" spans="1:44" ht="15" customHeight="1">
      <c r="A23" s="107">
        <f>'DATA SISWA'!A19</f>
        <v>15</v>
      </c>
      <c r="B23" s="107" t="str">
        <f>'DATA SISWA'!B19</f>
        <v>`012</v>
      </c>
      <c r="C23" s="116" t="str">
        <f>'DATA SISWA'!C19</f>
        <v>Ningsih Rahmawati</v>
      </c>
      <c r="D23" s="116" t="str">
        <f>'DATA SISWA'!D19</f>
        <v>P</v>
      </c>
      <c r="E23" s="107" t="str">
        <f>'DATA SISWA'!E19</f>
        <v>VII</v>
      </c>
      <c r="F23" s="129"/>
      <c r="G23" s="129"/>
      <c r="H23" s="129"/>
      <c r="I23" s="198"/>
      <c r="J23" s="129"/>
      <c r="K23" s="129"/>
      <c r="L23" s="129"/>
      <c r="M23" s="129"/>
      <c r="N23" s="198"/>
      <c r="O23" s="201"/>
      <c r="P23" s="129"/>
      <c r="Q23" s="129"/>
      <c r="R23" s="129"/>
      <c r="S23" s="198"/>
      <c r="T23" s="129"/>
      <c r="U23" s="129"/>
      <c r="V23" s="129"/>
      <c r="W23" s="129"/>
      <c r="X23" s="198"/>
      <c r="Y23" s="129"/>
      <c r="Z23" s="129"/>
      <c r="AA23" s="129"/>
      <c r="AB23" s="129"/>
      <c r="AC23" s="198"/>
      <c r="AD23" s="129"/>
      <c r="AE23" s="129"/>
      <c r="AF23" s="129"/>
      <c r="AG23" s="129"/>
      <c r="AH23" s="199"/>
      <c r="AI23" s="129"/>
      <c r="AJ23" s="129"/>
      <c r="AK23" s="129"/>
      <c r="AL23" s="129"/>
      <c r="AM23" s="199"/>
      <c r="AN23" s="129"/>
      <c r="AO23" s="129"/>
      <c r="AP23" s="129"/>
      <c r="AQ23" s="200"/>
      <c r="AR23" s="199"/>
    </row>
    <row r="24" spans="1:44" ht="15" customHeight="1">
      <c r="A24" s="107">
        <f>'DATA SISWA'!A20</f>
        <v>16</v>
      </c>
      <c r="B24" s="107" t="str">
        <f>'DATA SISWA'!B20</f>
        <v>`007</v>
      </c>
      <c r="C24" s="116" t="str">
        <f>'DATA SISWA'!C20</f>
        <v>Nurhayati</v>
      </c>
      <c r="D24" s="116" t="str">
        <f>'DATA SISWA'!D20</f>
        <v>P</v>
      </c>
      <c r="E24" s="107" t="str">
        <f>'DATA SISWA'!E20</f>
        <v>VII</v>
      </c>
      <c r="F24" s="129"/>
      <c r="G24" s="129"/>
      <c r="H24" s="129"/>
      <c r="I24" s="198"/>
      <c r="J24" s="129"/>
      <c r="K24" s="129"/>
      <c r="L24" s="129"/>
      <c r="M24" s="129"/>
      <c r="N24" s="198"/>
      <c r="O24" s="201"/>
      <c r="P24" s="129"/>
      <c r="Q24" s="129"/>
      <c r="R24" s="129"/>
      <c r="S24" s="198"/>
      <c r="T24" s="129"/>
      <c r="U24" s="129"/>
      <c r="V24" s="129"/>
      <c r="W24" s="129"/>
      <c r="X24" s="198"/>
      <c r="Y24" s="129"/>
      <c r="Z24" s="129"/>
      <c r="AA24" s="129"/>
      <c r="AB24" s="129"/>
      <c r="AC24" s="198"/>
      <c r="AD24" s="129"/>
      <c r="AE24" s="129"/>
      <c r="AF24" s="129"/>
      <c r="AG24" s="129"/>
      <c r="AH24" s="199"/>
      <c r="AI24" s="129"/>
      <c r="AJ24" s="129"/>
      <c r="AK24" s="129"/>
      <c r="AL24" s="129"/>
      <c r="AM24" s="199"/>
      <c r="AN24" s="129"/>
      <c r="AO24" s="129"/>
      <c r="AP24" s="129"/>
      <c r="AQ24" s="200"/>
      <c r="AR24" s="199"/>
    </row>
    <row r="25" spans="1:44" ht="15" customHeight="1">
      <c r="A25" s="107">
        <f>'DATA SISWA'!A21</f>
        <v>17</v>
      </c>
      <c r="B25" s="107" t="str">
        <f>'DATA SISWA'!B21</f>
        <v>`004</v>
      </c>
      <c r="C25" s="116" t="str">
        <f>'DATA SISWA'!C21</f>
        <v>Nur Aini</v>
      </c>
      <c r="D25" s="116" t="str">
        <f>'DATA SISWA'!D21</f>
        <v>P</v>
      </c>
      <c r="E25" s="107" t="str">
        <f>'DATA SISWA'!E21</f>
        <v>VII</v>
      </c>
      <c r="F25" s="129"/>
      <c r="G25" s="129"/>
      <c r="H25" s="129"/>
      <c r="I25" s="198"/>
      <c r="J25" s="129"/>
      <c r="K25" s="129"/>
      <c r="L25" s="129"/>
      <c r="M25" s="129"/>
      <c r="N25" s="198"/>
      <c r="O25" s="201"/>
      <c r="P25" s="129"/>
      <c r="Q25" s="129"/>
      <c r="R25" s="129"/>
      <c r="S25" s="198"/>
      <c r="T25" s="129"/>
      <c r="U25" s="129"/>
      <c r="V25" s="129"/>
      <c r="W25" s="129"/>
      <c r="X25" s="198"/>
      <c r="Y25" s="129"/>
      <c r="Z25" s="129"/>
      <c r="AA25" s="129"/>
      <c r="AB25" s="129"/>
      <c r="AC25" s="198"/>
      <c r="AD25" s="129"/>
      <c r="AE25" s="129"/>
      <c r="AF25" s="129"/>
      <c r="AG25" s="129"/>
      <c r="AH25" s="199"/>
      <c r="AI25" s="129"/>
      <c r="AJ25" s="129"/>
      <c r="AK25" s="129"/>
      <c r="AL25" s="129"/>
      <c r="AM25" s="199"/>
      <c r="AN25" s="129"/>
      <c r="AO25" s="129"/>
      <c r="AP25" s="129"/>
      <c r="AQ25" s="200"/>
      <c r="AR25" s="199"/>
    </row>
    <row r="26" spans="1:44" ht="15" customHeight="1">
      <c r="A26" s="107">
        <f>'DATA SISWA'!A22</f>
        <v>18</v>
      </c>
      <c r="B26" s="107" t="str">
        <f>'DATA SISWA'!B22</f>
        <v>`001</v>
      </c>
      <c r="C26" s="116" t="str">
        <f>'DATA SISWA'!C22</f>
        <v>Rofiah</v>
      </c>
      <c r="D26" s="116" t="str">
        <f>'DATA SISWA'!D22</f>
        <v>P</v>
      </c>
      <c r="E26" s="107" t="str">
        <f>'DATA SISWA'!E22</f>
        <v>VII</v>
      </c>
      <c r="F26" s="129"/>
      <c r="G26" s="129"/>
      <c r="H26" s="129"/>
      <c r="I26" s="198"/>
      <c r="J26" s="129"/>
      <c r="K26" s="129"/>
      <c r="L26" s="129"/>
      <c r="M26" s="129"/>
      <c r="N26" s="198"/>
      <c r="O26" s="129"/>
      <c r="P26" s="129"/>
      <c r="Q26" s="129"/>
      <c r="R26" s="129"/>
      <c r="S26" s="198"/>
      <c r="T26" s="129"/>
      <c r="U26" s="129"/>
      <c r="V26" s="129"/>
      <c r="W26" s="129"/>
      <c r="X26" s="198"/>
      <c r="Y26" s="129"/>
      <c r="Z26" s="129"/>
      <c r="AA26" s="129"/>
      <c r="AB26" s="129"/>
      <c r="AC26" s="198"/>
      <c r="AD26" s="129"/>
      <c r="AE26" s="129"/>
      <c r="AF26" s="129"/>
      <c r="AG26" s="129"/>
      <c r="AH26" s="199"/>
      <c r="AI26" s="129"/>
      <c r="AJ26" s="129"/>
      <c r="AK26" s="129"/>
      <c r="AL26" s="129"/>
      <c r="AM26" s="199"/>
      <c r="AN26" s="129"/>
      <c r="AO26" s="129"/>
      <c r="AP26" s="129"/>
      <c r="AQ26" s="200"/>
      <c r="AR26" s="199"/>
    </row>
    <row r="27" spans="1:44" ht="15" customHeight="1">
      <c r="A27" s="107">
        <f>'DATA SISWA'!A23</f>
        <v>19</v>
      </c>
      <c r="B27" s="107" t="str">
        <f>'DATA SISWA'!B23</f>
        <v>`015</v>
      </c>
      <c r="C27" s="116" t="str">
        <f>'DATA SISWA'!C23</f>
        <v>Romliadi</v>
      </c>
      <c r="D27" s="116" t="str">
        <f>'DATA SISWA'!D23</f>
        <v>L</v>
      </c>
      <c r="E27" s="107" t="str">
        <f>'DATA SISWA'!E23</f>
        <v>VII</v>
      </c>
      <c r="F27" s="129"/>
      <c r="G27" s="129"/>
      <c r="H27" s="129"/>
      <c r="I27" s="198"/>
      <c r="J27" s="129"/>
      <c r="K27" s="129"/>
      <c r="L27" s="129"/>
      <c r="M27" s="129"/>
      <c r="N27" s="198"/>
      <c r="O27" s="129"/>
      <c r="P27" s="129"/>
      <c r="Q27" s="129"/>
      <c r="R27" s="129"/>
      <c r="S27" s="198"/>
      <c r="T27" s="129"/>
      <c r="U27" s="129"/>
      <c r="V27" s="129"/>
      <c r="W27" s="129"/>
      <c r="X27" s="198"/>
      <c r="Y27" s="129"/>
      <c r="Z27" s="129"/>
      <c r="AA27" s="129"/>
      <c r="AB27" s="129"/>
      <c r="AC27" s="198"/>
      <c r="AD27" s="129"/>
      <c r="AE27" s="129"/>
      <c r="AF27" s="129"/>
      <c r="AG27" s="129"/>
      <c r="AH27" s="199"/>
      <c r="AI27" s="129"/>
      <c r="AJ27" s="129"/>
      <c r="AK27" s="129"/>
      <c r="AL27" s="129"/>
      <c r="AM27" s="199"/>
      <c r="AN27" s="129"/>
      <c r="AO27" s="129"/>
      <c r="AP27" s="129"/>
      <c r="AQ27" s="200"/>
      <c r="AR27" s="199"/>
    </row>
    <row r="28" spans="1:44" ht="15" customHeight="1">
      <c r="A28" s="107">
        <f>'DATA SISWA'!A24</f>
        <v>20</v>
      </c>
      <c r="B28" s="107" t="str">
        <f>'DATA SISWA'!B24</f>
        <v>`019</v>
      </c>
      <c r="C28" s="116" t="str">
        <f>'DATA SISWA'!C24</f>
        <v>Tammimah</v>
      </c>
      <c r="D28" s="116" t="str">
        <f>'DATA SISWA'!D24</f>
        <v>P</v>
      </c>
      <c r="E28" s="107" t="str">
        <f>'DATA SISWA'!E24</f>
        <v>VII</v>
      </c>
      <c r="F28" s="129"/>
      <c r="G28" s="129"/>
      <c r="H28" s="129"/>
      <c r="I28" s="198"/>
      <c r="J28" s="129"/>
      <c r="K28" s="129"/>
      <c r="L28" s="129"/>
      <c r="M28" s="129"/>
      <c r="N28" s="198"/>
      <c r="O28" s="129"/>
      <c r="P28" s="129"/>
      <c r="Q28" s="129"/>
      <c r="R28" s="129"/>
      <c r="S28" s="198"/>
      <c r="T28" s="129"/>
      <c r="U28" s="129"/>
      <c r="V28" s="129"/>
      <c r="W28" s="129"/>
      <c r="X28" s="198"/>
      <c r="Y28" s="129"/>
      <c r="Z28" s="129"/>
      <c r="AA28" s="129"/>
      <c r="AB28" s="129"/>
      <c r="AC28" s="198"/>
      <c r="AD28" s="129"/>
      <c r="AE28" s="129"/>
      <c r="AF28" s="129"/>
      <c r="AG28" s="129"/>
      <c r="AH28" s="199"/>
      <c r="AI28" s="129"/>
      <c r="AJ28" s="129"/>
      <c r="AK28" s="129"/>
      <c r="AL28" s="129"/>
      <c r="AM28" s="199"/>
      <c r="AN28" s="129"/>
      <c r="AO28" s="129"/>
      <c r="AP28" s="129"/>
      <c r="AQ28" s="200"/>
      <c r="AR28" s="199"/>
    </row>
    <row r="29" spans="1:44" ht="15" customHeight="1">
      <c r="A29" s="107">
        <f>'DATA SISWA'!A25</f>
        <v>0</v>
      </c>
      <c r="B29" s="107">
        <f>'DATA SISWA'!B25</f>
        <v>0</v>
      </c>
      <c r="C29" s="116">
        <f>'DATA SISWA'!C25</f>
        <v>0</v>
      </c>
      <c r="D29" s="116">
        <f>'DATA SISWA'!D25</f>
        <v>0</v>
      </c>
      <c r="E29" s="107" t="str">
        <f>'DATA SISWA'!E25</f>
        <v>VII</v>
      </c>
      <c r="F29" s="129"/>
      <c r="G29" s="129"/>
      <c r="H29" s="129"/>
      <c r="I29" s="198"/>
      <c r="J29" s="129"/>
      <c r="K29" s="129"/>
      <c r="L29" s="129"/>
      <c r="M29" s="129"/>
      <c r="N29" s="198"/>
      <c r="O29" s="129"/>
      <c r="P29" s="129"/>
      <c r="Q29" s="129"/>
      <c r="R29" s="129"/>
      <c r="S29" s="198"/>
      <c r="T29" s="129"/>
      <c r="U29" s="129"/>
      <c r="V29" s="129"/>
      <c r="W29" s="129"/>
      <c r="X29" s="198"/>
      <c r="Y29" s="129"/>
      <c r="Z29" s="129"/>
      <c r="AA29" s="129"/>
      <c r="AB29" s="129"/>
      <c r="AC29" s="198"/>
      <c r="AD29" s="129"/>
      <c r="AE29" s="129"/>
      <c r="AF29" s="129"/>
      <c r="AG29" s="129"/>
      <c r="AH29" s="199"/>
      <c r="AI29" s="129"/>
      <c r="AJ29" s="129"/>
      <c r="AK29" s="129"/>
      <c r="AL29" s="129"/>
      <c r="AM29" s="199"/>
      <c r="AN29" s="129"/>
      <c r="AO29" s="129"/>
      <c r="AP29" s="129"/>
      <c r="AQ29" s="200"/>
      <c r="AR29" s="199"/>
    </row>
    <row r="30" spans="1:44" ht="15" customHeight="1">
      <c r="A30" s="107">
        <f>'DATA SISWA'!A26</f>
        <v>0</v>
      </c>
      <c r="B30" s="107">
        <f>'DATA SISWA'!B26</f>
        <v>0</v>
      </c>
      <c r="C30" s="116">
        <f>'DATA SISWA'!C26</f>
        <v>0</v>
      </c>
      <c r="D30" s="116">
        <f>'DATA SISWA'!D26</f>
        <v>0</v>
      </c>
      <c r="E30" s="107" t="str">
        <f>'DATA SISWA'!E26</f>
        <v>VII</v>
      </c>
      <c r="F30" s="129"/>
      <c r="G30" s="129"/>
      <c r="H30" s="129"/>
      <c r="I30" s="198"/>
      <c r="J30" s="129"/>
      <c r="K30" s="129"/>
      <c r="L30" s="129"/>
      <c r="M30" s="129"/>
      <c r="N30" s="198"/>
      <c r="O30" s="129"/>
      <c r="P30" s="129"/>
      <c r="Q30" s="129"/>
      <c r="R30" s="129"/>
      <c r="S30" s="198"/>
      <c r="T30" s="129"/>
      <c r="U30" s="129"/>
      <c r="V30" s="129"/>
      <c r="W30" s="129"/>
      <c r="X30" s="198"/>
      <c r="Y30" s="129"/>
      <c r="Z30" s="129"/>
      <c r="AA30" s="129"/>
      <c r="AB30" s="129"/>
      <c r="AC30" s="198"/>
      <c r="AD30" s="129"/>
      <c r="AE30" s="129"/>
      <c r="AF30" s="129"/>
      <c r="AG30" s="129"/>
      <c r="AH30" s="199"/>
      <c r="AI30" s="129"/>
      <c r="AJ30" s="129"/>
      <c r="AK30" s="129"/>
      <c r="AL30" s="129"/>
      <c r="AM30" s="199"/>
      <c r="AN30" s="129"/>
      <c r="AO30" s="129"/>
      <c r="AP30" s="129"/>
      <c r="AQ30" s="200"/>
      <c r="AR30" s="199"/>
    </row>
    <row r="31" spans="1:44" ht="15" customHeight="1">
      <c r="A31" s="107">
        <f>'DATA SISWA'!A27</f>
        <v>0</v>
      </c>
      <c r="B31" s="107">
        <f>'DATA SISWA'!B27</f>
        <v>0</v>
      </c>
      <c r="C31" s="116">
        <f>'DATA SISWA'!C27</f>
        <v>0</v>
      </c>
      <c r="D31" s="116">
        <f>'DATA SISWA'!D27</f>
        <v>0</v>
      </c>
      <c r="E31" s="107" t="str">
        <f>'DATA SISWA'!E27</f>
        <v>VII</v>
      </c>
      <c r="F31" s="129"/>
      <c r="G31" s="129"/>
      <c r="H31" s="129"/>
      <c r="I31" s="198"/>
      <c r="J31" s="129"/>
      <c r="K31" s="129"/>
      <c r="L31" s="129"/>
      <c r="M31" s="129"/>
      <c r="N31" s="198"/>
      <c r="O31" s="129"/>
      <c r="P31" s="129"/>
      <c r="Q31" s="129"/>
      <c r="R31" s="129"/>
      <c r="S31" s="198"/>
      <c r="T31" s="129"/>
      <c r="U31" s="129"/>
      <c r="V31" s="129"/>
      <c r="W31" s="129"/>
      <c r="X31" s="198"/>
      <c r="Y31" s="129"/>
      <c r="Z31" s="129"/>
      <c r="AA31" s="129"/>
      <c r="AB31" s="129"/>
      <c r="AC31" s="198"/>
      <c r="AD31" s="129"/>
      <c r="AE31" s="129"/>
      <c r="AF31" s="129"/>
      <c r="AG31" s="129"/>
      <c r="AH31" s="199"/>
      <c r="AI31" s="129"/>
      <c r="AJ31" s="129"/>
      <c r="AK31" s="129"/>
      <c r="AL31" s="129"/>
      <c r="AM31" s="199"/>
      <c r="AN31" s="129"/>
      <c r="AO31" s="129"/>
      <c r="AP31" s="129"/>
      <c r="AQ31" s="200"/>
      <c r="AR31" s="199"/>
    </row>
    <row r="32" spans="1:44" ht="15" customHeight="1">
      <c r="A32" s="107">
        <f>'DATA SISWA'!A28</f>
        <v>0</v>
      </c>
      <c r="B32" s="107">
        <f>'DATA SISWA'!B28</f>
        <v>0</v>
      </c>
      <c r="C32" s="116">
        <f>'DATA SISWA'!C28</f>
        <v>0</v>
      </c>
      <c r="D32" s="116">
        <f>'DATA SISWA'!D28</f>
        <v>0</v>
      </c>
      <c r="E32" s="107" t="str">
        <f>'DATA SISWA'!E28</f>
        <v>VII</v>
      </c>
      <c r="F32" s="129"/>
      <c r="G32" s="129"/>
      <c r="H32" s="129"/>
      <c r="I32" s="198"/>
      <c r="J32" s="129"/>
      <c r="K32" s="129"/>
      <c r="L32" s="129"/>
      <c r="M32" s="129"/>
      <c r="N32" s="198"/>
      <c r="O32" s="129"/>
      <c r="P32" s="129"/>
      <c r="Q32" s="129"/>
      <c r="R32" s="129"/>
      <c r="S32" s="198"/>
      <c r="T32" s="129"/>
      <c r="U32" s="129"/>
      <c r="V32" s="129"/>
      <c r="W32" s="129"/>
      <c r="X32" s="198"/>
      <c r="Y32" s="129"/>
      <c r="Z32" s="129"/>
      <c r="AA32" s="129"/>
      <c r="AB32" s="129"/>
      <c r="AC32" s="198"/>
      <c r="AD32" s="129"/>
      <c r="AE32" s="129"/>
      <c r="AF32" s="129"/>
      <c r="AG32" s="129"/>
      <c r="AH32" s="199"/>
      <c r="AI32" s="129"/>
      <c r="AJ32" s="129"/>
      <c r="AK32" s="129"/>
      <c r="AL32" s="129"/>
      <c r="AM32" s="199"/>
      <c r="AN32" s="129"/>
      <c r="AO32" s="129"/>
      <c r="AP32" s="129"/>
      <c r="AQ32" s="200"/>
      <c r="AR32" s="199"/>
    </row>
    <row r="33" spans="1:44" ht="15" customHeight="1">
      <c r="A33" s="107">
        <f>'DATA SISWA'!A29</f>
        <v>0</v>
      </c>
      <c r="B33" s="107">
        <f>'DATA SISWA'!B29</f>
        <v>0</v>
      </c>
      <c r="C33" s="116">
        <f>'DATA SISWA'!C29</f>
        <v>0</v>
      </c>
      <c r="D33" s="116">
        <f>'DATA SISWA'!D29</f>
        <v>0</v>
      </c>
      <c r="E33" s="107" t="str">
        <f>'DATA SISWA'!E29</f>
        <v>VII</v>
      </c>
      <c r="F33" s="129"/>
      <c r="G33" s="129"/>
      <c r="H33" s="129"/>
      <c r="I33" s="198"/>
      <c r="J33" s="129"/>
      <c r="K33" s="129"/>
      <c r="L33" s="129"/>
      <c r="M33" s="129"/>
      <c r="N33" s="198"/>
      <c r="O33" s="129"/>
      <c r="P33" s="129"/>
      <c r="Q33" s="129"/>
      <c r="R33" s="129"/>
      <c r="S33" s="198"/>
      <c r="T33" s="129"/>
      <c r="U33" s="129"/>
      <c r="V33" s="129"/>
      <c r="W33" s="129"/>
      <c r="X33" s="198"/>
      <c r="Y33" s="129"/>
      <c r="Z33" s="129"/>
      <c r="AA33" s="129"/>
      <c r="AB33" s="129"/>
      <c r="AC33" s="198"/>
      <c r="AD33" s="129"/>
      <c r="AE33" s="129"/>
      <c r="AF33" s="129"/>
      <c r="AG33" s="129"/>
      <c r="AH33" s="199"/>
      <c r="AI33" s="129"/>
      <c r="AJ33" s="129"/>
      <c r="AK33" s="129"/>
      <c r="AL33" s="129"/>
      <c r="AM33" s="199"/>
      <c r="AN33" s="129"/>
      <c r="AO33" s="129"/>
      <c r="AP33" s="129"/>
      <c r="AQ33" s="200"/>
      <c r="AR33" s="199"/>
    </row>
    <row r="34" spans="1:44" ht="15" customHeight="1">
      <c r="A34" s="107">
        <f>'DATA SISWA'!A30</f>
        <v>0</v>
      </c>
      <c r="B34" s="107">
        <f>'DATA SISWA'!B30</f>
        <v>0</v>
      </c>
      <c r="C34" s="116">
        <f>'DATA SISWA'!C30</f>
        <v>0</v>
      </c>
      <c r="D34" s="116">
        <f>'DATA SISWA'!D30</f>
        <v>0</v>
      </c>
      <c r="E34" s="107" t="str">
        <f>'DATA SISWA'!E30</f>
        <v>VII</v>
      </c>
      <c r="F34" s="129"/>
      <c r="G34" s="129"/>
      <c r="H34" s="129"/>
      <c r="I34" s="198"/>
      <c r="J34" s="129"/>
      <c r="K34" s="129"/>
      <c r="L34" s="129"/>
      <c r="M34" s="129"/>
      <c r="N34" s="198"/>
      <c r="O34" s="129"/>
      <c r="P34" s="129"/>
      <c r="Q34" s="129"/>
      <c r="R34" s="129"/>
      <c r="S34" s="198"/>
      <c r="T34" s="129"/>
      <c r="U34" s="129"/>
      <c r="V34" s="129"/>
      <c r="W34" s="129"/>
      <c r="X34" s="198"/>
      <c r="Y34" s="129"/>
      <c r="Z34" s="129"/>
      <c r="AA34" s="129"/>
      <c r="AB34" s="129"/>
      <c r="AC34" s="198"/>
      <c r="AD34" s="129"/>
      <c r="AE34" s="129"/>
      <c r="AF34" s="129"/>
      <c r="AG34" s="129"/>
      <c r="AH34" s="199"/>
      <c r="AI34" s="129"/>
      <c r="AJ34" s="129"/>
      <c r="AK34" s="129"/>
      <c r="AL34" s="129"/>
      <c r="AM34" s="199"/>
      <c r="AN34" s="129"/>
      <c r="AO34" s="129"/>
      <c r="AP34" s="129"/>
      <c r="AQ34" s="200"/>
      <c r="AR34" s="199"/>
    </row>
    <row r="35" spans="1:44" ht="15" customHeight="1">
      <c r="A35" s="107">
        <f>'DATA SISWA'!A31</f>
        <v>0</v>
      </c>
      <c r="B35" s="107">
        <f>'DATA SISWA'!B31</f>
        <v>0</v>
      </c>
      <c r="C35" s="116">
        <f>'DATA SISWA'!C31</f>
        <v>0</v>
      </c>
      <c r="D35" s="116">
        <f>'DATA SISWA'!D31</f>
        <v>0</v>
      </c>
      <c r="E35" s="107" t="str">
        <f>'DATA SISWA'!E31</f>
        <v>VII</v>
      </c>
      <c r="F35" s="129"/>
      <c r="G35" s="129"/>
      <c r="H35" s="129"/>
      <c r="I35" s="198"/>
      <c r="J35" s="129"/>
      <c r="K35" s="129"/>
      <c r="L35" s="129"/>
      <c r="M35" s="129"/>
      <c r="N35" s="198"/>
      <c r="O35" s="129"/>
      <c r="P35" s="129"/>
      <c r="Q35" s="129"/>
      <c r="R35" s="129"/>
      <c r="S35" s="198"/>
      <c r="T35" s="129"/>
      <c r="U35" s="129"/>
      <c r="V35" s="129"/>
      <c r="W35" s="129"/>
      <c r="X35" s="198"/>
      <c r="Y35" s="129"/>
      <c r="Z35" s="129"/>
      <c r="AA35" s="129"/>
      <c r="AB35" s="129"/>
      <c r="AC35" s="198"/>
      <c r="AD35" s="129"/>
      <c r="AE35" s="129"/>
      <c r="AF35" s="129"/>
      <c r="AG35" s="129"/>
      <c r="AH35" s="199"/>
      <c r="AI35" s="129"/>
      <c r="AJ35" s="129"/>
      <c r="AK35" s="129"/>
      <c r="AL35" s="129"/>
      <c r="AM35" s="199"/>
      <c r="AN35" s="129"/>
      <c r="AO35" s="129"/>
      <c r="AP35" s="129"/>
      <c r="AQ35" s="200"/>
      <c r="AR35" s="199"/>
    </row>
    <row r="36" spans="1:44" ht="15" customHeight="1">
      <c r="A36" s="107">
        <f>'DATA SISWA'!A32</f>
        <v>0</v>
      </c>
      <c r="B36" s="107">
        <f>'DATA SISWA'!B32</f>
        <v>0</v>
      </c>
      <c r="C36" s="116">
        <f>'DATA SISWA'!C32</f>
        <v>0</v>
      </c>
      <c r="D36" s="116">
        <f>'DATA SISWA'!D32</f>
        <v>0</v>
      </c>
      <c r="E36" s="107" t="str">
        <f>'DATA SISWA'!E32</f>
        <v>VII</v>
      </c>
      <c r="F36" s="129"/>
      <c r="G36" s="129"/>
      <c r="H36" s="129"/>
      <c r="I36" s="198"/>
      <c r="J36" s="129"/>
      <c r="K36" s="129"/>
      <c r="L36" s="129"/>
      <c r="M36" s="129"/>
      <c r="N36" s="198"/>
      <c r="O36" s="129"/>
      <c r="P36" s="129"/>
      <c r="Q36" s="129"/>
      <c r="R36" s="129"/>
      <c r="S36" s="198"/>
      <c r="T36" s="129"/>
      <c r="U36" s="129"/>
      <c r="V36" s="129"/>
      <c r="W36" s="129"/>
      <c r="X36" s="198"/>
      <c r="Y36" s="129"/>
      <c r="Z36" s="129"/>
      <c r="AA36" s="129"/>
      <c r="AB36" s="129"/>
      <c r="AC36" s="198"/>
      <c r="AD36" s="129"/>
      <c r="AE36" s="129"/>
      <c r="AF36" s="129"/>
      <c r="AG36" s="129"/>
      <c r="AH36" s="199"/>
      <c r="AI36" s="129"/>
      <c r="AJ36" s="129"/>
      <c r="AK36" s="129"/>
      <c r="AL36" s="129"/>
      <c r="AM36" s="199"/>
      <c r="AN36" s="129"/>
      <c r="AO36" s="129"/>
      <c r="AP36" s="129"/>
      <c r="AQ36" s="200"/>
      <c r="AR36" s="199"/>
    </row>
    <row r="37" spans="1:44" ht="15" customHeight="1">
      <c r="A37" s="107">
        <f>'DATA SISWA'!A33</f>
        <v>0</v>
      </c>
      <c r="B37" s="107">
        <f>'DATA SISWA'!B33</f>
        <v>0</v>
      </c>
      <c r="C37" s="116">
        <f>'DATA SISWA'!C33</f>
        <v>0</v>
      </c>
      <c r="D37" s="116">
        <f>'DATA SISWA'!D33</f>
        <v>0</v>
      </c>
      <c r="E37" s="107" t="str">
        <f>'DATA SISWA'!E33</f>
        <v>VII</v>
      </c>
      <c r="F37" s="129"/>
      <c r="G37" s="129"/>
      <c r="H37" s="129"/>
      <c r="I37" s="198"/>
      <c r="J37" s="129"/>
      <c r="K37" s="129"/>
      <c r="L37" s="129"/>
      <c r="M37" s="129"/>
      <c r="N37" s="198"/>
      <c r="O37" s="129"/>
      <c r="P37" s="129"/>
      <c r="Q37" s="129"/>
      <c r="R37" s="129"/>
      <c r="S37" s="198"/>
      <c r="T37" s="129"/>
      <c r="U37" s="129"/>
      <c r="V37" s="129"/>
      <c r="W37" s="129"/>
      <c r="X37" s="198"/>
      <c r="Y37" s="129"/>
      <c r="Z37" s="129"/>
      <c r="AA37" s="129"/>
      <c r="AB37" s="129"/>
      <c r="AC37" s="198"/>
      <c r="AD37" s="129"/>
      <c r="AE37" s="129"/>
      <c r="AF37" s="129"/>
      <c r="AG37" s="129"/>
      <c r="AH37" s="199"/>
      <c r="AI37" s="129"/>
      <c r="AJ37" s="129"/>
      <c r="AK37" s="129"/>
      <c r="AL37" s="129"/>
      <c r="AM37" s="199"/>
      <c r="AN37" s="129"/>
      <c r="AO37" s="129"/>
      <c r="AP37" s="129"/>
      <c r="AQ37" s="200"/>
      <c r="AR37" s="199"/>
    </row>
    <row r="38" spans="1:44" ht="15" customHeight="1">
      <c r="A38" s="107">
        <f>'DATA SISWA'!A34</f>
        <v>0</v>
      </c>
      <c r="B38" s="107">
        <f>'DATA SISWA'!B34</f>
        <v>0</v>
      </c>
      <c r="C38" s="116">
        <f>'DATA SISWA'!C34</f>
        <v>0</v>
      </c>
      <c r="D38" s="116">
        <f>'DATA SISWA'!D34</f>
        <v>0</v>
      </c>
      <c r="E38" s="107" t="str">
        <f>'DATA SISWA'!E34</f>
        <v>VII</v>
      </c>
      <c r="F38" s="129"/>
      <c r="G38" s="129"/>
      <c r="H38" s="129"/>
      <c r="I38" s="198"/>
      <c r="J38" s="129"/>
      <c r="K38" s="129"/>
      <c r="L38" s="129"/>
      <c r="M38" s="129"/>
      <c r="N38" s="198"/>
      <c r="O38" s="129"/>
      <c r="P38" s="129"/>
      <c r="Q38" s="129"/>
      <c r="R38" s="129"/>
      <c r="S38" s="198"/>
      <c r="T38" s="129"/>
      <c r="U38" s="129"/>
      <c r="V38" s="129"/>
      <c r="W38" s="129"/>
      <c r="X38" s="198"/>
      <c r="Y38" s="129"/>
      <c r="Z38" s="129"/>
      <c r="AA38" s="129"/>
      <c r="AB38" s="129"/>
      <c r="AC38" s="198"/>
      <c r="AD38" s="129"/>
      <c r="AE38" s="129"/>
      <c r="AF38" s="129"/>
      <c r="AG38" s="129"/>
      <c r="AH38" s="199"/>
      <c r="AI38" s="129"/>
      <c r="AJ38" s="129"/>
      <c r="AK38" s="129"/>
      <c r="AL38" s="129"/>
      <c r="AM38" s="199"/>
      <c r="AN38" s="129"/>
      <c r="AO38" s="129"/>
      <c r="AP38" s="129"/>
      <c r="AQ38" s="200"/>
      <c r="AR38" s="199"/>
    </row>
    <row r="39" spans="1:44" ht="15" customHeight="1">
      <c r="A39" s="107">
        <f>'DATA SISWA'!A35</f>
        <v>0</v>
      </c>
      <c r="B39" s="107">
        <f>'DATA SISWA'!B35</f>
        <v>0</v>
      </c>
      <c r="C39" s="116">
        <f>'DATA SISWA'!C35</f>
        <v>0</v>
      </c>
      <c r="D39" s="116">
        <f>'DATA SISWA'!D35</f>
        <v>0</v>
      </c>
      <c r="E39" s="107" t="str">
        <f>'DATA SISWA'!E35</f>
        <v>VII</v>
      </c>
      <c r="F39" s="129"/>
      <c r="G39" s="129"/>
      <c r="H39" s="129"/>
      <c r="I39" s="198"/>
      <c r="J39" s="129"/>
      <c r="K39" s="129"/>
      <c r="L39" s="129"/>
      <c r="M39" s="129"/>
      <c r="N39" s="198"/>
      <c r="O39" s="129"/>
      <c r="P39" s="129"/>
      <c r="Q39" s="129"/>
      <c r="R39" s="129"/>
      <c r="S39" s="198"/>
      <c r="T39" s="129"/>
      <c r="U39" s="129"/>
      <c r="V39" s="129"/>
      <c r="W39" s="129"/>
      <c r="X39" s="198"/>
      <c r="Y39" s="129"/>
      <c r="Z39" s="129"/>
      <c r="AA39" s="129"/>
      <c r="AB39" s="129"/>
      <c r="AC39" s="198"/>
      <c r="AD39" s="129"/>
      <c r="AE39" s="129"/>
      <c r="AF39" s="129"/>
      <c r="AG39" s="129"/>
      <c r="AH39" s="199"/>
      <c r="AI39" s="129"/>
      <c r="AJ39" s="129"/>
      <c r="AK39" s="129"/>
      <c r="AL39" s="129"/>
      <c r="AM39" s="199"/>
      <c r="AN39" s="129"/>
      <c r="AO39" s="129"/>
      <c r="AP39" s="129"/>
      <c r="AQ39" s="200"/>
      <c r="AR39" s="199"/>
    </row>
    <row r="40" spans="1:44" ht="15" customHeight="1">
      <c r="A40" s="107">
        <f>'DATA SISWA'!A36</f>
        <v>0</v>
      </c>
      <c r="B40" s="107">
        <f>'DATA SISWA'!B36</f>
        <v>0</v>
      </c>
      <c r="C40" s="116">
        <f>'DATA SISWA'!C36</f>
        <v>0</v>
      </c>
      <c r="D40" s="116">
        <f>'DATA SISWA'!D36</f>
        <v>0</v>
      </c>
      <c r="E40" s="107" t="str">
        <f>'DATA SISWA'!E36</f>
        <v>VII</v>
      </c>
      <c r="F40" s="129"/>
      <c r="G40" s="129"/>
      <c r="H40" s="129"/>
      <c r="I40" s="198"/>
      <c r="J40" s="129"/>
      <c r="K40" s="129"/>
      <c r="L40" s="129"/>
      <c r="M40" s="129"/>
      <c r="N40" s="198"/>
      <c r="O40" s="129"/>
      <c r="P40" s="129"/>
      <c r="Q40" s="129"/>
      <c r="R40" s="129"/>
      <c r="S40" s="198"/>
      <c r="T40" s="129"/>
      <c r="U40" s="129"/>
      <c r="V40" s="129"/>
      <c r="W40" s="129"/>
      <c r="X40" s="198"/>
      <c r="Y40" s="129"/>
      <c r="Z40" s="129"/>
      <c r="AA40" s="129"/>
      <c r="AB40" s="129"/>
      <c r="AC40" s="198"/>
      <c r="AD40" s="129"/>
      <c r="AE40" s="129"/>
      <c r="AF40" s="129"/>
      <c r="AG40" s="129"/>
      <c r="AH40" s="199"/>
      <c r="AI40" s="129"/>
      <c r="AJ40" s="129"/>
      <c r="AK40" s="129"/>
      <c r="AL40" s="129"/>
      <c r="AM40" s="199"/>
      <c r="AN40" s="129"/>
      <c r="AO40" s="129"/>
      <c r="AP40" s="129"/>
      <c r="AQ40" s="200"/>
      <c r="AR40" s="199"/>
    </row>
    <row r="41" spans="1:44" ht="15" customHeight="1">
      <c r="A41" s="107">
        <f>'DATA SISWA'!A37</f>
        <v>0</v>
      </c>
      <c r="B41" s="107">
        <f>'DATA SISWA'!B37</f>
        <v>0</v>
      </c>
      <c r="C41" s="116">
        <f>'DATA SISWA'!C37</f>
        <v>0</v>
      </c>
      <c r="D41" s="116">
        <f>'DATA SISWA'!D37</f>
        <v>0</v>
      </c>
      <c r="E41" s="107" t="str">
        <f>'DATA SISWA'!E37</f>
        <v>VII</v>
      </c>
      <c r="F41" s="129"/>
      <c r="G41" s="129"/>
      <c r="H41" s="129"/>
      <c r="I41" s="198"/>
      <c r="J41" s="129"/>
      <c r="K41" s="129"/>
      <c r="L41" s="129"/>
      <c r="M41" s="129"/>
      <c r="N41" s="198"/>
      <c r="O41" s="129"/>
      <c r="P41" s="129"/>
      <c r="Q41" s="129"/>
      <c r="R41" s="129"/>
      <c r="S41" s="198"/>
      <c r="T41" s="129"/>
      <c r="U41" s="129"/>
      <c r="V41" s="129"/>
      <c r="W41" s="129"/>
      <c r="X41" s="198"/>
      <c r="Y41" s="129"/>
      <c r="Z41" s="129"/>
      <c r="AA41" s="129"/>
      <c r="AB41" s="129"/>
      <c r="AC41" s="198"/>
      <c r="AD41" s="129"/>
      <c r="AE41" s="129"/>
      <c r="AF41" s="129"/>
      <c r="AG41" s="129"/>
      <c r="AH41" s="199"/>
      <c r="AI41" s="129"/>
      <c r="AJ41" s="129"/>
      <c r="AK41" s="129"/>
      <c r="AL41" s="129"/>
      <c r="AM41" s="199"/>
      <c r="AN41" s="129"/>
      <c r="AO41" s="129"/>
      <c r="AP41" s="129"/>
      <c r="AQ41" s="200"/>
      <c r="AR41" s="199"/>
    </row>
    <row r="42" spans="1:44" ht="15" customHeight="1">
      <c r="A42" s="107">
        <f>'DATA SISWA'!A38</f>
        <v>0</v>
      </c>
      <c r="B42" s="107">
        <f>'DATA SISWA'!B38</f>
        <v>0</v>
      </c>
      <c r="C42" s="116">
        <f>'DATA SISWA'!C38</f>
        <v>0</v>
      </c>
      <c r="D42" s="116">
        <f>'DATA SISWA'!D38</f>
        <v>0</v>
      </c>
      <c r="E42" s="107" t="str">
        <f>'DATA SISWA'!E38</f>
        <v>VII</v>
      </c>
      <c r="F42" s="129"/>
      <c r="G42" s="129"/>
      <c r="H42" s="129"/>
      <c r="I42" s="198"/>
      <c r="J42" s="129"/>
      <c r="K42" s="129"/>
      <c r="L42" s="129"/>
      <c r="M42" s="129"/>
      <c r="N42" s="198"/>
      <c r="O42" s="129"/>
      <c r="P42" s="129"/>
      <c r="Q42" s="129"/>
      <c r="R42" s="129"/>
      <c r="S42" s="198"/>
      <c r="T42" s="129"/>
      <c r="U42" s="129"/>
      <c r="V42" s="129"/>
      <c r="W42" s="129"/>
      <c r="X42" s="198"/>
      <c r="Y42" s="129"/>
      <c r="Z42" s="129"/>
      <c r="AA42" s="129"/>
      <c r="AB42" s="129"/>
      <c r="AC42" s="198"/>
      <c r="AD42" s="129"/>
      <c r="AE42" s="129"/>
      <c r="AF42" s="129"/>
      <c r="AG42" s="129"/>
      <c r="AH42" s="199"/>
      <c r="AI42" s="129"/>
      <c r="AJ42" s="129"/>
      <c r="AK42" s="129"/>
      <c r="AL42" s="129"/>
      <c r="AM42" s="199"/>
      <c r="AN42" s="129"/>
      <c r="AO42" s="129"/>
      <c r="AP42" s="129"/>
      <c r="AQ42" s="200"/>
      <c r="AR42" s="199"/>
    </row>
    <row r="43" spans="1:44" ht="15" customHeight="1">
      <c r="A43" s="107">
        <f>'DATA SISWA'!A39</f>
        <v>0</v>
      </c>
      <c r="B43" s="107">
        <f>'DATA SISWA'!B39</f>
        <v>0</v>
      </c>
      <c r="C43" s="116">
        <f>'DATA SISWA'!C39</f>
        <v>0</v>
      </c>
      <c r="D43" s="116">
        <f>'DATA SISWA'!D39</f>
        <v>0</v>
      </c>
      <c r="E43" s="107" t="str">
        <f>'DATA SISWA'!E39</f>
        <v>VII</v>
      </c>
      <c r="F43" s="129"/>
      <c r="G43" s="129"/>
      <c r="H43" s="129"/>
      <c r="I43" s="198"/>
      <c r="J43" s="129"/>
      <c r="K43" s="129"/>
      <c r="L43" s="129"/>
      <c r="M43" s="129"/>
      <c r="N43" s="198"/>
      <c r="O43" s="129"/>
      <c r="P43" s="129"/>
      <c r="Q43" s="129"/>
      <c r="R43" s="129"/>
      <c r="S43" s="198"/>
      <c r="T43" s="129"/>
      <c r="U43" s="129"/>
      <c r="V43" s="129"/>
      <c r="W43" s="129"/>
      <c r="X43" s="198"/>
      <c r="Y43" s="129"/>
      <c r="Z43" s="129"/>
      <c r="AA43" s="129"/>
      <c r="AB43" s="129"/>
      <c r="AC43" s="198"/>
      <c r="AD43" s="129"/>
      <c r="AE43" s="129"/>
      <c r="AF43" s="129"/>
      <c r="AG43" s="129"/>
      <c r="AH43" s="199"/>
      <c r="AI43" s="129"/>
      <c r="AJ43" s="129"/>
      <c r="AK43" s="129"/>
      <c r="AL43" s="129"/>
      <c r="AM43" s="199"/>
      <c r="AN43" s="129"/>
      <c r="AO43" s="129"/>
      <c r="AP43" s="129"/>
      <c r="AQ43" s="200"/>
      <c r="AR43" s="199"/>
    </row>
    <row r="44" spans="1:44" ht="15" customHeight="1">
      <c r="A44" s="107">
        <f>'DATA SISWA'!A40</f>
        <v>0</v>
      </c>
      <c r="B44" s="107">
        <f>'DATA SISWA'!B40</f>
        <v>0</v>
      </c>
      <c r="C44" s="116">
        <f>'DATA SISWA'!C40</f>
        <v>0</v>
      </c>
      <c r="D44" s="116">
        <f>'DATA SISWA'!D40</f>
        <v>0</v>
      </c>
      <c r="E44" s="107" t="str">
        <f>'DATA SISWA'!E40</f>
        <v>VII</v>
      </c>
      <c r="F44" s="129"/>
      <c r="G44" s="129"/>
      <c r="H44" s="129"/>
      <c r="I44" s="198"/>
      <c r="J44" s="129"/>
      <c r="K44" s="129"/>
      <c r="L44" s="129"/>
      <c r="M44" s="129"/>
      <c r="N44" s="198"/>
      <c r="O44" s="129"/>
      <c r="P44" s="129"/>
      <c r="Q44" s="129"/>
      <c r="R44" s="129"/>
      <c r="S44" s="198"/>
      <c r="T44" s="129"/>
      <c r="U44" s="129"/>
      <c r="V44" s="129"/>
      <c r="W44" s="129"/>
      <c r="X44" s="198"/>
      <c r="Y44" s="129"/>
      <c r="Z44" s="129"/>
      <c r="AA44" s="129"/>
      <c r="AB44" s="129"/>
      <c r="AC44" s="198"/>
      <c r="AD44" s="129"/>
      <c r="AE44" s="129"/>
      <c r="AF44" s="129"/>
      <c r="AG44" s="129"/>
      <c r="AH44" s="199"/>
      <c r="AI44" s="129"/>
      <c r="AJ44" s="129"/>
      <c r="AK44" s="129"/>
      <c r="AL44" s="129"/>
      <c r="AM44" s="199"/>
      <c r="AN44" s="129"/>
      <c r="AO44" s="129"/>
      <c r="AP44" s="129"/>
      <c r="AQ44" s="200"/>
      <c r="AR44" s="199"/>
    </row>
    <row r="45" spans="1:44" ht="15" customHeight="1">
      <c r="A45" s="107">
        <f>'DATA SISWA'!A41</f>
        <v>0</v>
      </c>
      <c r="B45" s="107">
        <f>'DATA SISWA'!B41</f>
        <v>0</v>
      </c>
      <c r="C45" s="116">
        <f>'DATA SISWA'!C41</f>
        <v>0</v>
      </c>
      <c r="D45" s="116">
        <f>'DATA SISWA'!D41</f>
        <v>0</v>
      </c>
      <c r="E45" s="107" t="str">
        <f>'DATA SISWA'!E41</f>
        <v>VII</v>
      </c>
      <c r="F45" s="129"/>
      <c r="G45" s="129"/>
      <c r="H45" s="129"/>
      <c r="I45" s="198"/>
      <c r="J45" s="129"/>
      <c r="K45" s="129"/>
      <c r="L45" s="129"/>
      <c r="M45" s="129"/>
      <c r="N45" s="198"/>
      <c r="O45" s="129"/>
      <c r="P45" s="129"/>
      <c r="Q45" s="129"/>
      <c r="R45" s="129"/>
      <c r="S45" s="198"/>
      <c r="T45" s="129"/>
      <c r="U45" s="129"/>
      <c r="V45" s="129"/>
      <c r="W45" s="129"/>
      <c r="X45" s="198"/>
      <c r="Y45" s="129"/>
      <c r="Z45" s="129"/>
      <c r="AA45" s="129"/>
      <c r="AB45" s="129"/>
      <c r="AC45" s="198"/>
      <c r="AD45" s="129"/>
      <c r="AE45" s="129"/>
      <c r="AF45" s="129"/>
      <c r="AG45" s="129"/>
      <c r="AH45" s="199"/>
      <c r="AI45" s="129"/>
      <c r="AJ45" s="129"/>
      <c r="AK45" s="129"/>
      <c r="AL45" s="129"/>
      <c r="AM45" s="199"/>
      <c r="AN45" s="129"/>
      <c r="AO45" s="129"/>
      <c r="AP45" s="129"/>
      <c r="AQ45" s="200"/>
      <c r="AR45" s="199"/>
    </row>
    <row r="46" spans="1:44" ht="15" customHeight="1">
      <c r="A46" s="107">
        <f>'DATA SISWA'!A42</f>
        <v>0</v>
      </c>
      <c r="B46" s="107">
        <f>'DATA SISWA'!B42</f>
        <v>0</v>
      </c>
      <c r="C46" s="116">
        <f>'DATA SISWA'!C42</f>
        <v>0</v>
      </c>
      <c r="D46" s="116">
        <f>'DATA SISWA'!D42</f>
        <v>0</v>
      </c>
      <c r="E46" s="107" t="str">
        <f>'DATA SISWA'!E42</f>
        <v>VII</v>
      </c>
      <c r="F46" s="129"/>
      <c r="G46" s="129"/>
      <c r="H46" s="129"/>
      <c r="I46" s="198"/>
      <c r="J46" s="129"/>
      <c r="K46" s="129"/>
      <c r="L46" s="129"/>
      <c r="M46" s="129"/>
      <c r="N46" s="198"/>
      <c r="O46" s="129"/>
      <c r="P46" s="129"/>
      <c r="Q46" s="129"/>
      <c r="R46" s="129"/>
      <c r="S46" s="198"/>
      <c r="T46" s="129"/>
      <c r="U46" s="129"/>
      <c r="V46" s="129"/>
      <c r="W46" s="129"/>
      <c r="X46" s="198"/>
      <c r="Y46" s="129"/>
      <c r="Z46" s="129"/>
      <c r="AA46" s="129"/>
      <c r="AB46" s="129"/>
      <c r="AC46" s="198"/>
      <c r="AD46" s="129"/>
      <c r="AE46" s="129"/>
      <c r="AF46" s="129"/>
      <c r="AG46" s="129"/>
      <c r="AH46" s="199"/>
      <c r="AI46" s="129"/>
      <c r="AJ46" s="129"/>
      <c r="AK46" s="129"/>
      <c r="AL46" s="129"/>
      <c r="AM46" s="199"/>
      <c r="AN46" s="129"/>
      <c r="AO46" s="129"/>
      <c r="AP46" s="129"/>
      <c r="AQ46" s="200"/>
      <c r="AR46" s="199"/>
    </row>
    <row r="47" spans="1:44" ht="15" customHeight="1">
      <c r="A47" s="107">
        <f>'DATA SISWA'!A43</f>
        <v>0</v>
      </c>
      <c r="B47" s="107">
        <f>'DATA SISWA'!B43</f>
        <v>0</v>
      </c>
      <c r="C47" s="116">
        <f>'DATA SISWA'!C43</f>
        <v>0</v>
      </c>
      <c r="D47" s="116">
        <f>'DATA SISWA'!D43</f>
        <v>0</v>
      </c>
      <c r="E47" s="107" t="str">
        <f>'DATA SISWA'!E43</f>
        <v>VII</v>
      </c>
      <c r="F47" s="129"/>
      <c r="G47" s="129"/>
      <c r="H47" s="129"/>
      <c r="I47" s="198"/>
      <c r="J47" s="129"/>
      <c r="K47" s="129"/>
      <c r="L47" s="129"/>
      <c r="M47" s="129"/>
      <c r="N47" s="198"/>
      <c r="O47" s="129"/>
      <c r="P47" s="129"/>
      <c r="Q47" s="129"/>
      <c r="R47" s="129"/>
      <c r="S47" s="198"/>
      <c r="T47" s="129"/>
      <c r="U47" s="129"/>
      <c r="V47" s="129"/>
      <c r="W47" s="129"/>
      <c r="X47" s="198"/>
      <c r="Y47" s="129"/>
      <c r="Z47" s="129"/>
      <c r="AA47" s="129"/>
      <c r="AB47" s="129"/>
      <c r="AC47" s="198"/>
      <c r="AD47" s="129"/>
      <c r="AE47" s="129"/>
      <c r="AF47" s="129"/>
      <c r="AG47" s="129"/>
      <c r="AH47" s="199"/>
      <c r="AI47" s="129"/>
      <c r="AJ47" s="129"/>
      <c r="AK47" s="129"/>
      <c r="AL47" s="129"/>
      <c r="AM47" s="199"/>
      <c r="AN47" s="129"/>
      <c r="AO47" s="129"/>
      <c r="AP47" s="129"/>
      <c r="AQ47" s="200"/>
      <c r="AR47" s="199"/>
    </row>
    <row r="48" spans="1:44" ht="15" customHeight="1">
      <c r="A48" s="107">
        <f>'DATA SISWA'!A44</f>
        <v>0</v>
      </c>
      <c r="B48" s="107">
        <f>'DATA SISWA'!B44</f>
        <v>0</v>
      </c>
      <c r="C48" s="116">
        <f>'DATA SISWA'!C44</f>
        <v>0</v>
      </c>
      <c r="D48" s="116">
        <f>'DATA SISWA'!D44</f>
        <v>0</v>
      </c>
      <c r="E48" s="107" t="str">
        <f>'DATA SISWA'!E44</f>
        <v>VII</v>
      </c>
      <c r="F48" s="129"/>
      <c r="G48" s="129"/>
      <c r="H48" s="129"/>
      <c r="I48" s="198"/>
      <c r="J48" s="129"/>
      <c r="K48" s="129"/>
      <c r="L48" s="129"/>
      <c r="M48" s="129"/>
      <c r="N48" s="198"/>
      <c r="O48" s="129"/>
      <c r="P48" s="129"/>
      <c r="Q48" s="129"/>
      <c r="R48" s="129"/>
      <c r="S48" s="198"/>
      <c r="T48" s="129"/>
      <c r="U48" s="129"/>
      <c r="V48" s="129"/>
      <c r="W48" s="129"/>
      <c r="X48" s="198"/>
      <c r="Y48" s="129"/>
      <c r="Z48" s="129"/>
      <c r="AA48" s="129"/>
      <c r="AB48" s="129"/>
      <c r="AC48" s="198"/>
      <c r="AD48" s="129"/>
      <c r="AE48" s="129"/>
      <c r="AF48" s="129"/>
      <c r="AG48" s="129"/>
      <c r="AH48" s="199"/>
      <c r="AI48" s="129"/>
      <c r="AJ48" s="129"/>
      <c r="AK48" s="129"/>
      <c r="AL48" s="129"/>
      <c r="AM48" s="199"/>
      <c r="AN48" s="129"/>
      <c r="AO48" s="129"/>
      <c r="AP48" s="129"/>
      <c r="AQ48" s="200"/>
      <c r="AR48" s="199"/>
    </row>
    <row r="49" spans="1:44" ht="15" customHeight="1">
      <c r="A49" s="107">
        <f>'DATA SISWA'!A45</f>
        <v>0</v>
      </c>
      <c r="B49" s="107">
        <f>'DATA SISWA'!B45</f>
        <v>0</v>
      </c>
      <c r="C49" s="116">
        <f>'DATA SISWA'!C45</f>
        <v>0</v>
      </c>
      <c r="D49" s="116">
        <f>'DATA SISWA'!D45</f>
        <v>0</v>
      </c>
      <c r="E49" s="107" t="str">
        <f>'DATA SISWA'!E45</f>
        <v>VII</v>
      </c>
      <c r="F49" s="129"/>
      <c r="G49" s="129"/>
      <c r="H49" s="129"/>
      <c r="I49" s="198"/>
      <c r="J49" s="129"/>
      <c r="K49" s="129"/>
      <c r="L49" s="129"/>
      <c r="M49" s="129"/>
      <c r="N49" s="198"/>
      <c r="O49" s="129"/>
      <c r="P49" s="129"/>
      <c r="Q49" s="129"/>
      <c r="R49" s="129"/>
      <c r="S49" s="198"/>
      <c r="T49" s="129"/>
      <c r="U49" s="129"/>
      <c r="V49" s="129"/>
      <c r="W49" s="129"/>
      <c r="X49" s="198"/>
      <c r="Y49" s="129"/>
      <c r="Z49" s="129"/>
      <c r="AA49" s="129"/>
      <c r="AB49" s="129"/>
      <c r="AC49" s="198"/>
      <c r="AD49" s="129"/>
      <c r="AE49" s="129"/>
      <c r="AF49" s="129"/>
      <c r="AG49" s="129"/>
      <c r="AH49" s="199"/>
      <c r="AI49" s="129"/>
      <c r="AJ49" s="129"/>
      <c r="AK49" s="129"/>
      <c r="AL49" s="129"/>
      <c r="AM49" s="199"/>
      <c r="AN49" s="129"/>
      <c r="AO49" s="129"/>
      <c r="AP49" s="129"/>
      <c r="AQ49" s="200"/>
      <c r="AR49" s="199"/>
    </row>
    <row r="50" spans="1:44" ht="15" customHeight="1">
      <c r="A50" s="107">
        <f>'DATA SISWA'!A46</f>
        <v>0</v>
      </c>
      <c r="B50" s="107">
        <f>'DATA SISWA'!B46</f>
        <v>0</v>
      </c>
      <c r="C50" s="116">
        <f>'DATA SISWA'!C46</f>
        <v>0</v>
      </c>
      <c r="D50" s="116">
        <f>'DATA SISWA'!D46</f>
        <v>0</v>
      </c>
      <c r="E50" s="107" t="str">
        <f>'DATA SISWA'!E46</f>
        <v>VII</v>
      </c>
      <c r="F50" s="129"/>
      <c r="G50" s="129"/>
      <c r="H50" s="129"/>
      <c r="I50" s="198"/>
      <c r="J50" s="129"/>
      <c r="K50" s="129"/>
      <c r="L50" s="129"/>
      <c r="M50" s="129"/>
      <c r="N50" s="198"/>
      <c r="O50" s="129"/>
      <c r="P50" s="129"/>
      <c r="Q50" s="129"/>
      <c r="R50" s="129"/>
      <c r="S50" s="198"/>
      <c r="T50" s="129"/>
      <c r="U50" s="129"/>
      <c r="V50" s="129"/>
      <c r="W50" s="129"/>
      <c r="X50" s="198"/>
      <c r="Y50" s="129"/>
      <c r="Z50" s="129"/>
      <c r="AA50" s="129"/>
      <c r="AB50" s="129"/>
      <c r="AC50" s="198"/>
      <c r="AD50" s="129"/>
      <c r="AE50" s="129"/>
      <c r="AF50" s="129"/>
      <c r="AG50" s="129"/>
      <c r="AH50" s="199"/>
      <c r="AI50" s="129"/>
      <c r="AJ50" s="129"/>
      <c r="AK50" s="129"/>
      <c r="AL50" s="129"/>
      <c r="AM50" s="199"/>
      <c r="AN50" s="129"/>
      <c r="AO50" s="129"/>
      <c r="AP50" s="129"/>
      <c r="AQ50" s="200"/>
      <c r="AR50" s="199"/>
    </row>
    <row r="51" spans="1:44" ht="15" customHeight="1">
      <c r="A51" s="107">
        <f>'DATA SISWA'!A47</f>
        <v>0</v>
      </c>
      <c r="B51" s="107">
        <f>'DATA SISWA'!B47</f>
        <v>0</v>
      </c>
      <c r="C51" s="116">
        <f>'DATA SISWA'!C47</f>
        <v>0</v>
      </c>
      <c r="D51" s="116">
        <f>'DATA SISWA'!D47</f>
        <v>0</v>
      </c>
      <c r="E51" s="107" t="str">
        <f>'DATA SISWA'!E47</f>
        <v>VII</v>
      </c>
      <c r="F51" s="129"/>
      <c r="G51" s="129"/>
      <c r="H51" s="129"/>
      <c r="I51" s="198"/>
      <c r="J51" s="129"/>
      <c r="K51" s="129"/>
      <c r="L51" s="129"/>
      <c r="M51" s="129"/>
      <c r="N51" s="198"/>
      <c r="O51" s="129"/>
      <c r="P51" s="129"/>
      <c r="Q51" s="129"/>
      <c r="R51" s="129"/>
      <c r="S51" s="198"/>
      <c r="T51" s="129"/>
      <c r="U51" s="129"/>
      <c r="V51" s="129"/>
      <c r="W51" s="129"/>
      <c r="X51" s="198"/>
      <c r="Y51" s="129"/>
      <c r="Z51" s="129"/>
      <c r="AA51" s="129"/>
      <c r="AB51" s="129"/>
      <c r="AC51" s="198"/>
      <c r="AD51" s="129"/>
      <c r="AE51" s="129"/>
      <c r="AF51" s="129"/>
      <c r="AG51" s="129"/>
      <c r="AH51" s="199"/>
      <c r="AI51" s="129"/>
      <c r="AJ51" s="129"/>
      <c r="AK51" s="129"/>
      <c r="AL51" s="129"/>
      <c r="AM51" s="199"/>
      <c r="AN51" s="129"/>
      <c r="AO51" s="129"/>
      <c r="AP51" s="129"/>
      <c r="AQ51" s="200"/>
      <c r="AR51" s="199"/>
    </row>
    <row r="52" spans="1:44" ht="15" customHeight="1">
      <c r="A52" s="107">
        <f>'DATA SISWA'!A48</f>
        <v>0</v>
      </c>
      <c r="B52" s="107">
        <f>'DATA SISWA'!B48</f>
        <v>0</v>
      </c>
      <c r="C52" s="116">
        <f>'DATA SISWA'!C48</f>
        <v>0</v>
      </c>
      <c r="D52" s="116">
        <f>'DATA SISWA'!D48</f>
        <v>0</v>
      </c>
      <c r="E52" s="107" t="str">
        <f>'DATA SISWA'!E48</f>
        <v>VII</v>
      </c>
      <c r="F52" s="129"/>
      <c r="G52" s="129"/>
      <c r="H52" s="129"/>
      <c r="I52" s="198"/>
      <c r="J52" s="129"/>
      <c r="K52" s="129"/>
      <c r="L52" s="129"/>
      <c r="M52" s="129"/>
      <c r="N52" s="198"/>
      <c r="O52" s="129"/>
      <c r="P52" s="129"/>
      <c r="Q52" s="129"/>
      <c r="R52" s="129"/>
      <c r="S52" s="198"/>
      <c r="T52" s="129"/>
      <c r="U52" s="129"/>
      <c r="V52" s="129"/>
      <c r="W52" s="129"/>
      <c r="X52" s="198"/>
      <c r="Y52" s="129"/>
      <c r="Z52" s="129"/>
      <c r="AA52" s="129"/>
      <c r="AB52" s="129"/>
      <c r="AC52" s="198"/>
      <c r="AD52" s="129"/>
      <c r="AE52" s="129"/>
      <c r="AF52" s="129"/>
      <c r="AG52" s="129"/>
      <c r="AH52" s="199"/>
      <c r="AI52" s="129"/>
      <c r="AJ52" s="129"/>
      <c r="AK52" s="129"/>
      <c r="AL52" s="129"/>
      <c r="AM52" s="199"/>
      <c r="AN52" s="129"/>
      <c r="AO52" s="129"/>
      <c r="AP52" s="129"/>
      <c r="AQ52" s="200"/>
      <c r="AR52" s="199"/>
    </row>
    <row r="53" spans="1:44" ht="15" customHeight="1">
      <c r="A53" s="107">
        <f>'DATA SISWA'!A49</f>
        <v>0</v>
      </c>
      <c r="B53" s="107">
        <f>'DATA SISWA'!B49</f>
        <v>0</v>
      </c>
      <c r="C53" s="116">
        <f>'DATA SISWA'!C49</f>
        <v>0</v>
      </c>
      <c r="D53" s="116">
        <f>'DATA SISWA'!D49</f>
        <v>0</v>
      </c>
      <c r="E53" s="107" t="str">
        <f>'DATA SISWA'!E49</f>
        <v>VII</v>
      </c>
      <c r="F53" s="129"/>
      <c r="G53" s="129"/>
      <c r="H53" s="129"/>
      <c r="I53" s="198"/>
      <c r="J53" s="129"/>
      <c r="K53" s="129"/>
      <c r="L53" s="129"/>
      <c r="M53" s="129"/>
      <c r="N53" s="198"/>
      <c r="O53" s="129"/>
      <c r="P53" s="129"/>
      <c r="Q53" s="129"/>
      <c r="R53" s="129"/>
      <c r="S53" s="198"/>
      <c r="T53" s="129"/>
      <c r="U53" s="129"/>
      <c r="V53" s="129"/>
      <c r="W53" s="129"/>
      <c r="X53" s="198"/>
      <c r="Y53" s="129"/>
      <c r="Z53" s="129"/>
      <c r="AA53" s="129"/>
      <c r="AB53" s="129"/>
      <c r="AC53" s="198"/>
      <c r="AD53" s="129"/>
      <c r="AE53" s="129"/>
      <c r="AF53" s="129"/>
      <c r="AG53" s="129"/>
      <c r="AH53" s="199"/>
      <c r="AI53" s="129"/>
      <c r="AJ53" s="129"/>
      <c r="AK53" s="129"/>
      <c r="AL53" s="129"/>
      <c r="AM53" s="199"/>
      <c r="AN53" s="129"/>
      <c r="AO53" s="129"/>
      <c r="AP53" s="129"/>
      <c r="AQ53" s="200"/>
      <c r="AR53" s="199"/>
    </row>
    <row r="54" spans="1:44" ht="15" customHeight="1">
      <c r="A54" s="107">
        <f>'DATA SISWA'!A50</f>
        <v>0</v>
      </c>
      <c r="B54" s="107">
        <f>'DATA SISWA'!B50</f>
        <v>0</v>
      </c>
      <c r="C54" s="116">
        <f>'DATA SISWA'!C50</f>
        <v>0</v>
      </c>
      <c r="D54" s="116">
        <f>'DATA SISWA'!D50</f>
        <v>0</v>
      </c>
      <c r="E54" s="107" t="str">
        <f>'DATA SISWA'!E50</f>
        <v>VII</v>
      </c>
      <c r="F54" s="129"/>
      <c r="G54" s="129"/>
      <c r="H54" s="129"/>
      <c r="I54" s="198"/>
      <c r="J54" s="129"/>
      <c r="K54" s="129"/>
      <c r="L54" s="129"/>
      <c r="M54" s="129"/>
      <c r="N54" s="198"/>
      <c r="O54" s="129"/>
      <c r="P54" s="129"/>
      <c r="Q54" s="129"/>
      <c r="R54" s="129"/>
      <c r="S54" s="198"/>
      <c r="T54" s="129"/>
      <c r="U54" s="129"/>
      <c r="V54" s="129"/>
      <c r="W54" s="129"/>
      <c r="X54" s="198"/>
      <c r="Y54" s="129"/>
      <c r="Z54" s="129"/>
      <c r="AA54" s="129"/>
      <c r="AB54" s="129"/>
      <c r="AC54" s="198"/>
      <c r="AD54" s="129"/>
      <c r="AE54" s="129"/>
      <c r="AF54" s="129"/>
      <c r="AG54" s="129"/>
      <c r="AH54" s="199"/>
      <c r="AI54" s="129"/>
      <c r="AJ54" s="129"/>
      <c r="AK54" s="129"/>
      <c r="AL54" s="129"/>
      <c r="AM54" s="199"/>
      <c r="AN54" s="129"/>
      <c r="AO54" s="129"/>
      <c r="AP54" s="129"/>
      <c r="AQ54" s="200"/>
      <c r="AR54" s="199"/>
    </row>
    <row r="55" spans="1:44" ht="15" customHeight="1">
      <c r="A55" s="107">
        <f>'DATA SISWA'!A51</f>
        <v>0</v>
      </c>
      <c r="B55" s="107">
        <f>'DATA SISWA'!B51</f>
        <v>0</v>
      </c>
      <c r="C55" s="116">
        <f>'DATA SISWA'!C51</f>
        <v>0</v>
      </c>
      <c r="D55" s="116">
        <f>'DATA SISWA'!D51</f>
        <v>0</v>
      </c>
      <c r="E55" s="107" t="str">
        <f>'DATA SISWA'!E51</f>
        <v>VII</v>
      </c>
      <c r="F55" s="129"/>
      <c r="G55" s="129"/>
      <c r="H55" s="129"/>
      <c r="I55" s="198"/>
      <c r="J55" s="129"/>
      <c r="K55" s="129"/>
      <c r="L55" s="129"/>
      <c r="M55" s="129"/>
      <c r="N55" s="198"/>
      <c r="O55" s="129"/>
      <c r="P55" s="129"/>
      <c r="Q55" s="129"/>
      <c r="R55" s="129"/>
      <c r="S55" s="198"/>
      <c r="T55" s="129"/>
      <c r="U55" s="129"/>
      <c r="V55" s="129"/>
      <c r="W55" s="129"/>
      <c r="X55" s="198"/>
      <c r="Y55" s="129"/>
      <c r="Z55" s="129"/>
      <c r="AA55" s="129"/>
      <c r="AB55" s="129"/>
      <c r="AC55" s="198"/>
      <c r="AD55" s="129"/>
      <c r="AE55" s="129"/>
      <c r="AF55" s="129"/>
      <c r="AG55" s="129"/>
      <c r="AH55" s="199"/>
      <c r="AI55" s="129"/>
      <c r="AJ55" s="129"/>
      <c r="AK55" s="129"/>
      <c r="AL55" s="129"/>
      <c r="AM55" s="199"/>
      <c r="AN55" s="129"/>
      <c r="AO55" s="129"/>
      <c r="AP55" s="129"/>
      <c r="AQ55" s="200"/>
      <c r="AR55" s="199"/>
    </row>
    <row r="56" spans="1:44" ht="15" customHeight="1">
      <c r="A56" s="107">
        <f>'DATA SISWA'!A52</f>
        <v>0</v>
      </c>
      <c r="B56" s="107">
        <f>'DATA SISWA'!B52</f>
        <v>0</v>
      </c>
      <c r="C56" s="116">
        <f>'DATA SISWA'!C52</f>
        <v>0</v>
      </c>
      <c r="D56" s="116">
        <f>'DATA SISWA'!D52</f>
        <v>0</v>
      </c>
      <c r="E56" s="107" t="str">
        <f>'DATA SISWA'!E52</f>
        <v>VII</v>
      </c>
      <c r="F56" s="129"/>
      <c r="G56" s="129"/>
      <c r="H56" s="129"/>
      <c r="I56" s="198"/>
      <c r="J56" s="129"/>
      <c r="K56" s="129"/>
      <c r="L56" s="129"/>
      <c r="M56" s="129"/>
      <c r="N56" s="198"/>
      <c r="O56" s="129"/>
      <c r="P56" s="129"/>
      <c r="Q56" s="129"/>
      <c r="R56" s="129"/>
      <c r="S56" s="198"/>
      <c r="T56" s="129"/>
      <c r="U56" s="129"/>
      <c r="V56" s="129"/>
      <c r="W56" s="129"/>
      <c r="X56" s="198"/>
      <c r="Y56" s="129"/>
      <c r="Z56" s="129"/>
      <c r="AA56" s="129"/>
      <c r="AB56" s="129"/>
      <c r="AC56" s="198"/>
      <c r="AD56" s="129"/>
      <c r="AE56" s="129"/>
      <c r="AF56" s="129"/>
      <c r="AG56" s="129"/>
      <c r="AH56" s="199"/>
      <c r="AI56" s="129"/>
      <c r="AJ56" s="129"/>
      <c r="AK56" s="129"/>
      <c r="AL56" s="129"/>
      <c r="AM56" s="199"/>
      <c r="AN56" s="129"/>
      <c r="AO56" s="129"/>
      <c r="AP56" s="129"/>
      <c r="AQ56" s="200"/>
      <c r="AR56" s="199"/>
    </row>
  </sheetData>
  <sheetProtection password="C522" sheet="1" objects="1" scenarios="1" formatCells="0" formatColumns="0" formatRows="0" insertColumns="0" insertRows="0" insertHyperlinks="0" deleteColumns="0" deleteRows="0" sort="0" autoFilter="0"/>
  <mergeCells count="22">
    <mergeCell ref="F5:H6"/>
    <mergeCell ref="F1:M1"/>
    <mergeCell ref="A5:A7"/>
    <mergeCell ref="B5:B7"/>
    <mergeCell ref="C5:C7"/>
    <mergeCell ref="D5:D7"/>
    <mergeCell ref="E5:E7"/>
    <mergeCell ref="S5:S7"/>
    <mergeCell ref="T5:W6"/>
    <mergeCell ref="X5:X7"/>
    <mergeCell ref="Y5:AB6"/>
    <mergeCell ref="I5:I7"/>
    <mergeCell ref="J5:M6"/>
    <mergeCell ref="N5:N7"/>
    <mergeCell ref="O5:R6"/>
    <mergeCell ref="AM5:AM7"/>
    <mergeCell ref="AN5:AQ6"/>
    <mergeCell ref="AR5:AR7"/>
    <mergeCell ref="AC5:AC7"/>
    <mergeCell ref="AD5:AG6"/>
    <mergeCell ref="AH5:AH7"/>
    <mergeCell ref="AI5:AL6"/>
  </mergeCells>
  <pageMargins left="0.70866141732283472" right="0.70866141732283472" top="0.74803149606299213" bottom="0.74803149606299213" header="0.31496062992125984" footer="0.31496062992125984"/>
  <pageSetup paperSize="768" orientation="portrait" horizontalDpi="300" verticalDpi="300" r:id="rId1"/>
  <drawing r:id="rId2"/>
</worksheet>
</file>

<file path=xl/worksheets/sheet21.xml><?xml version="1.0" encoding="utf-8"?>
<worksheet xmlns="http://schemas.openxmlformats.org/spreadsheetml/2006/main" xmlns:r="http://schemas.openxmlformats.org/officeDocument/2006/relationships">
  <sheetPr codeName="Sheet8"/>
  <dimension ref="A1:AL54"/>
  <sheetViews>
    <sheetView view="pageBreakPreview" zoomScale="55" zoomScaleSheetLayoutView="55" workbookViewId="0">
      <pane xSplit="5" ySplit="6" topLeftCell="O14" activePane="bottomRight" state="frozen"/>
      <selection pane="topRight" activeCell="F1" sqref="F1"/>
      <selection pane="bottomLeft" activeCell="A5" sqref="A5"/>
      <selection pane="bottomRight" activeCell="P18" sqref="P18"/>
    </sheetView>
  </sheetViews>
  <sheetFormatPr defaultRowHeight="15" customHeight="1"/>
  <cols>
    <col min="1" max="1" width="4.85546875" style="95" customWidth="1"/>
    <col min="2" max="2" width="7.140625" style="95" customWidth="1"/>
    <col min="3" max="3" width="32.5703125" style="95" customWidth="1"/>
    <col min="4" max="4" width="10.140625" style="95" customWidth="1"/>
    <col min="5" max="8" width="5.28515625" style="95" customWidth="1"/>
    <col min="9" max="9" width="4.85546875" style="95" customWidth="1"/>
    <col min="10" max="21" width="5.28515625" style="95" customWidth="1"/>
    <col min="22" max="38" width="5.7109375" style="95" customWidth="1"/>
    <col min="39" max="16384" width="9.140625" style="95"/>
  </cols>
  <sheetData>
    <row r="1" spans="1:38" ht="33" customHeight="1">
      <c r="F1" s="636" t="str">
        <f>IF(KDOKE!B3="","",KDOKE!B3)</f>
        <v/>
      </c>
      <c r="G1" s="636"/>
      <c r="H1" s="636"/>
      <c r="I1" s="637"/>
      <c r="J1" s="638" t="str">
        <f>IF(KDOKE!B7="","",KDOKE!B7)</f>
        <v/>
      </c>
      <c r="K1" s="639"/>
      <c r="L1" s="639"/>
      <c r="M1" s="639"/>
      <c r="N1" s="639"/>
      <c r="O1" s="639"/>
      <c r="P1" s="639"/>
      <c r="Q1" s="639"/>
      <c r="R1" s="639"/>
      <c r="S1" s="639"/>
      <c r="T1" s="639"/>
      <c r="U1" s="639"/>
      <c r="V1" s="639"/>
      <c r="W1" s="639"/>
      <c r="X1" s="639"/>
      <c r="Y1" s="639"/>
      <c r="Z1" s="639"/>
      <c r="AA1" s="639"/>
      <c r="AB1" s="639"/>
      <c r="AC1" s="639"/>
      <c r="AD1" s="639"/>
      <c r="AE1" s="639"/>
      <c r="AF1" s="639"/>
      <c r="AG1" s="639"/>
      <c r="AH1" s="639"/>
      <c r="AI1" s="639"/>
      <c r="AJ1" s="640"/>
    </row>
    <row r="2" spans="1:38" ht="13.5" customHeight="1">
      <c r="F2" s="636"/>
      <c r="G2" s="636"/>
      <c r="H2" s="636"/>
      <c r="I2" s="637"/>
      <c r="J2" s="641"/>
      <c r="K2" s="642"/>
      <c r="L2" s="642"/>
      <c r="M2" s="642"/>
      <c r="N2" s="642"/>
      <c r="O2" s="642"/>
      <c r="P2" s="642"/>
      <c r="Q2" s="642"/>
      <c r="R2" s="642"/>
      <c r="S2" s="642"/>
      <c r="T2" s="642"/>
      <c r="U2" s="642"/>
      <c r="V2" s="642"/>
      <c r="W2" s="642"/>
      <c r="X2" s="642"/>
      <c r="Y2" s="642"/>
      <c r="Z2" s="642"/>
      <c r="AA2" s="642"/>
      <c r="AB2" s="642"/>
      <c r="AC2" s="642"/>
      <c r="AD2" s="642"/>
      <c r="AE2" s="642"/>
      <c r="AF2" s="642"/>
      <c r="AG2" s="642"/>
      <c r="AH2" s="642"/>
      <c r="AI2" s="642"/>
      <c r="AJ2" s="643"/>
    </row>
    <row r="3" spans="1:38" ht="15" customHeight="1">
      <c r="A3" s="501" t="s">
        <v>15</v>
      </c>
      <c r="B3" s="501" t="s">
        <v>16</v>
      </c>
      <c r="C3" s="504" t="s">
        <v>0</v>
      </c>
      <c r="D3" s="505" t="s">
        <v>1</v>
      </c>
      <c r="E3" s="506" t="s">
        <v>17</v>
      </c>
      <c r="F3" s="644" t="s">
        <v>207</v>
      </c>
      <c r="G3" s="644"/>
      <c r="H3" s="601" t="s">
        <v>7</v>
      </c>
      <c r="I3" s="645" t="s">
        <v>221</v>
      </c>
      <c r="J3" s="644" t="s">
        <v>8</v>
      </c>
      <c r="K3" s="644"/>
      <c r="L3" s="644"/>
      <c r="M3" s="607" t="s">
        <v>7</v>
      </c>
      <c r="N3" s="644" t="s">
        <v>9</v>
      </c>
      <c r="O3" s="644"/>
      <c r="P3" s="644"/>
      <c r="Q3" s="607" t="s">
        <v>7</v>
      </c>
      <c r="R3" s="644" t="s">
        <v>6</v>
      </c>
      <c r="S3" s="644"/>
      <c r="T3" s="644"/>
      <c r="U3" s="607" t="s">
        <v>7</v>
      </c>
      <c r="V3" s="631" t="s">
        <v>10</v>
      </c>
      <c r="W3" s="632"/>
      <c r="X3" s="632"/>
      <c r="Y3" s="607" t="s">
        <v>7</v>
      </c>
      <c r="Z3" s="644" t="s">
        <v>11</v>
      </c>
      <c r="AA3" s="644"/>
      <c r="AB3" s="644"/>
      <c r="AC3" s="607" t="s">
        <v>7</v>
      </c>
      <c r="AD3" s="644" t="s">
        <v>12</v>
      </c>
      <c r="AE3" s="644"/>
      <c r="AF3" s="644"/>
      <c r="AG3" s="607" t="s">
        <v>7</v>
      </c>
      <c r="AH3" s="644" t="s">
        <v>236</v>
      </c>
      <c r="AI3" s="644"/>
      <c r="AJ3" s="644"/>
      <c r="AK3" s="601" t="s">
        <v>7</v>
      </c>
      <c r="AL3" s="645" t="s">
        <v>221</v>
      </c>
    </row>
    <row r="4" spans="1:38" ht="15" customHeight="1">
      <c r="A4" s="502"/>
      <c r="B4" s="502"/>
      <c r="C4" s="504"/>
      <c r="D4" s="505"/>
      <c r="E4" s="507"/>
      <c r="F4" s="627"/>
      <c r="G4" s="627"/>
      <c r="H4" s="601"/>
      <c r="I4" s="645"/>
      <c r="J4" s="627"/>
      <c r="K4" s="627"/>
      <c r="L4" s="627"/>
      <c r="M4" s="601"/>
      <c r="N4" s="627"/>
      <c r="O4" s="627"/>
      <c r="P4" s="627"/>
      <c r="Q4" s="601"/>
      <c r="R4" s="627"/>
      <c r="S4" s="627"/>
      <c r="T4" s="627"/>
      <c r="U4" s="601"/>
      <c r="V4" s="631"/>
      <c r="W4" s="632"/>
      <c r="X4" s="632"/>
      <c r="Y4" s="601"/>
      <c r="Z4" s="627"/>
      <c r="AA4" s="627"/>
      <c r="AB4" s="627"/>
      <c r="AC4" s="601"/>
      <c r="AD4" s="627"/>
      <c r="AE4" s="627"/>
      <c r="AF4" s="627"/>
      <c r="AG4" s="601"/>
      <c r="AH4" s="627"/>
      <c r="AI4" s="627"/>
      <c r="AJ4" s="627"/>
      <c r="AK4" s="601"/>
      <c r="AL4" s="645"/>
    </row>
    <row r="5" spans="1:38" s="98" customFormat="1" ht="102.75" customHeight="1">
      <c r="A5" s="503"/>
      <c r="B5" s="503"/>
      <c r="C5" s="504"/>
      <c r="D5" s="505"/>
      <c r="E5" s="508"/>
      <c r="F5" s="305" t="s">
        <v>219</v>
      </c>
      <c r="G5" s="305" t="s">
        <v>238</v>
      </c>
      <c r="H5" s="601"/>
      <c r="I5" s="646"/>
      <c r="J5" s="305" t="s">
        <v>219</v>
      </c>
      <c r="K5" s="305" t="s">
        <v>220</v>
      </c>
      <c r="L5" s="305" t="s">
        <v>238</v>
      </c>
      <c r="M5" s="601"/>
      <c r="N5" s="305" t="s">
        <v>219</v>
      </c>
      <c r="O5" s="305" t="s">
        <v>220</v>
      </c>
      <c r="P5" s="305" t="s">
        <v>238</v>
      </c>
      <c r="Q5" s="601"/>
      <c r="R5" s="305" t="s">
        <v>219</v>
      </c>
      <c r="S5" s="305" t="s">
        <v>220</v>
      </c>
      <c r="T5" s="305" t="s">
        <v>238</v>
      </c>
      <c r="U5" s="601"/>
      <c r="V5" s="305" t="s">
        <v>219</v>
      </c>
      <c r="W5" s="305" t="s">
        <v>220</v>
      </c>
      <c r="X5" s="305" t="s">
        <v>238</v>
      </c>
      <c r="Y5" s="601"/>
      <c r="Z5" s="305" t="s">
        <v>219</v>
      </c>
      <c r="AA5" s="305" t="s">
        <v>220</v>
      </c>
      <c r="AB5" s="305" t="s">
        <v>238</v>
      </c>
      <c r="AC5" s="601"/>
      <c r="AD5" s="305" t="s">
        <v>219</v>
      </c>
      <c r="AE5" s="305" t="s">
        <v>220</v>
      </c>
      <c r="AF5" s="305" t="s">
        <v>238</v>
      </c>
      <c r="AG5" s="601"/>
      <c r="AH5" s="305" t="s">
        <v>219</v>
      </c>
      <c r="AI5" s="305" t="s">
        <v>220</v>
      </c>
      <c r="AJ5" s="117" t="s">
        <v>218</v>
      </c>
      <c r="AK5" s="601"/>
      <c r="AL5" s="646"/>
    </row>
    <row r="6" spans="1:38" ht="15" customHeight="1">
      <c r="A6" s="99">
        <v>1</v>
      </c>
      <c r="B6" s="99">
        <v>2</v>
      </c>
      <c r="C6" s="99">
        <v>3</v>
      </c>
      <c r="D6" s="99">
        <v>4</v>
      </c>
      <c r="E6" s="99">
        <v>5</v>
      </c>
      <c r="F6" s="99">
        <v>6</v>
      </c>
      <c r="G6" s="99">
        <v>7</v>
      </c>
      <c r="H6" s="99">
        <v>8</v>
      </c>
      <c r="I6" s="99">
        <v>9</v>
      </c>
      <c r="J6" s="99">
        <v>10</v>
      </c>
      <c r="K6" s="99">
        <v>11</v>
      </c>
      <c r="L6" s="99">
        <v>12</v>
      </c>
      <c r="M6" s="99">
        <v>13</v>
      </c>
      <c r="N6" s="99">
        <v>14</v>
      </c>
      <c r="O6" s="99">
        <v>15</v>
      </c>
      <c r="P6" s="99">
        <v>16</v>
      </c>
      <c r="Q6" s="99">
        <v>17</v>
      </c>
      <c r="R6" s="99">
        <v>18</v>
      </c>
      <c r="S6" s="99">
        <v>19</v>
      </c>
      <c r="T6" s="99">
        <v>20</v>
      </c>
      <c r="U6" s="99">
        <v>21</v>
      </c>
      <c r="V6" s="99">
        <v>22</v>
      </c>
      <c r="W6" s="99">
        <v>23</v>
      </c>
      <c r="X6" s="99">
        <v>24</v>
      </c>
      <c r="Y6" s="99">
        <v>25</v>
      </c>
      <c r="Z6" s="99">
        <v>26</v>
      </c>
      <c r="AA6" s="99">
        <v>27</v>
      </c>
      <c r="AB6" s="99">
        <v>28</v>
      </c>
      <c r="AC6" s="99">
        <v>29</v>
      </c>
      <c r="AD6" s="99">
        <v>30</v>
      </c>
      <c r="AE6" s="99">
        <v>31</v>
      </c>
      <c r="AF6" s="99">
        <v>32</v>
      </c>
      <c r="AG6" s="99">
        <v>33</v>
      </c>
      <c r="AH6" s="99">
        <v>34</v>
      </c>
      <c r="AI6" s="99">
        <v>35</v>
      </c>
      <c r="AJ6" s="99">
        <v>36</v>
      </c>
      <c r="AK6" s="99">
        <v>37</v>
      </c>
      <c r="AL6" s="99">
        <v>38</v>
      </c>
    </row>
    <row r="7" spans="1:38" ht="15" customHeight="1">
      <c r="A7" s="107">
        <f>'DATA SISWA'!A5</f>
        <v>1</v>
      </c>
      <c r="B7" s="107" t="str">
        <f>'DATA SISWA'!B5</f>
        <v>`017</v>
      </c>
      <c r="C7" s="116" t="str">
        <f>'DATA SISWA'!C5</f>
        <v>Abd. Muis</v>
      </c>
      <c r="D7" s="116" t="str">
        <f>'DATA SISWA'!D5</f>
        <v>L</v>
      </c>
      <c r="E7" s="107" t="str">
        <f>'DATA SISWA'!E5</f>
        <v>VII</v>
      </c>
      <c r="F7" s="129">
        <v>3</v>
      </c>
      <c r="G7" s="129">
        <v>3</v>
      </c>
      <c r="H7" s="118">
        <f>IF(AND(F7="",G7=""),"",MAX(F7:G7))</f>
        <v>3</v>
      </c>
      <c r="I7" s="131" t="str">
        <f>IF(OR($F$1="",H7=""),"",$F$1)</f>
        <v/>
      </c>
      <c r="J7" s="129">
        <v>2</v>
      </c>
      <c r="K7" s="129">
        <v>3</v>
      </c>
      <c r="L7" s="129">
        <v>3</v>
      </c>
      <c r="M7" s="118">
        <f>IF(AND(J7="",K7="",L7=""),"",ROUNDUP(AVERAGE(J7:L7),0))</f>
        <v>3</v>
      </c>
      <c r="N7" s="129">
        <v>2</v>
      </c>
      <c r="O7" s="129">
        <v>2</v>
      </c>
      <c r="P7" s="129">
        <v>2</v>
      </c>
      <c r="Q7" s="118">
        <f>IF(AND(N7="",O7="",P7=""),"",ROUNDUP(AVERAGE(N7:P7),0))</f>
        <v>2</v>
      </c>
      <c r="R7" s="129">
        <v>3</v>
      </c>
      <c r="S7" s="129">
        <v>3</v>
      </c>
      <c r="T7" s="129">
        <v>3</v>
      </c>
      <c r="U7" s="118">
        <f>IF(AND(R7="",S7="",T7=""),"",ROUNDUP(AVERAGE(R7:T7),0))</f>
        <v>3</v>
      </c>
      <c r="V7" s="129">
        <v>3</v>
      </c>
      <c r="W7" s="129">
        <v>3</v>
      </c>
      <c r="X7" s="129">
        <v>3</v>
      </c>
      <c r="Y7" s="118">
        <f>IF(AND(V7="",W7="",X7=""),"",ROUNDUP(AVERAGE(V7:X7),0))</f>
        <v>3</v>
      </c>
      <c r="Z7" s="129">
        <v>3</v>
      </c>
      <c r="AA7" s="129">
        <v>3</v>
      </c>
      <c r="AB7" s="129">
        <v>3</v>
      </c>
      <c r="AC7" s="118">
        <f>IF(AND(Z7="",AA7="",AB7=""),"",ROUNDUP(AVERAGE(Z7:AB7),0))</f>
        <v>3</v>
      </c>
      <c r="AD7" s="129">
        <v>3</v>
      </c>
      <c r="AE7" s="129">
        <v>3</v>
      </c>
      <c r="AF7" s="129">
        <v>3</v>
      </c>
      <c r="AG7" s="118">
        <f>IF(AND(AD7="",AE7="",AF7=""),"",ROUNDUP(AVERAGE(AD7:AF7),0))</f>
        <v>3</v>
      </c>
      <c r="AH7" s="129">
        <v>3</v>
      </c>
      <c r="AI7" s="129">
        <v>3</v>
      </c>
      <c r="AJ7" s="129">
        <v>3</v>
      </c>
      <c r="AK7" s="118">
        <f>IF(AND(AH7="",AI7="",AJ7=""),"",ROUNDUP(AVERAGE(AH7:AJ7),0))</f>
        <v>3</v>
      </c>
      <c r="AL7" s="131" t="str">
        <f>IF(OR(AK7="",$J$1=""),"",$J$1)</f>
        <v/>
      </c>
    </row>
    <row r="8" spans="1:38" ht="15" customHeight="1">
      <c r="A8" s="107">
        <f>'DATA SISWA'!A6</f>
        <v>2</v>
      </c>
      <c r="B8" s="107" t="str">
        <f>'DATA SISWA'!B6</f>
        <v>`008</v>
      </c>
      <c r="C8" s="116" t="str">
        <f>'DATA SISWA'!C6</f>
        <v>Achmad Buka</v>
      </c>
      <c r="D8" s="116" t="str">
        <f>'DATA SISWA'!D6</f>
        <v>L</v>
      </c>
      <c r="E8" s="107" t="str">
        <f>'DATA SISWA'!E6</f>
        <v>VII</v>
      </c>
      <c r="F8" s="129">
        <v>3</v>
      </c>
      <c r="G8" s="129">
        <v>3</v>
      </c>
      <c r="H8" s="118">
        <f t="shared" ref="H8:H54" si="0">IF(AND(F8="",G8=""),"",MAX(F8:G8))</f>
        <v>3</v>
      </c>
      <c r="I8" s="131" t="str">
        <f t="shared" ref="I8:I54" si="1">IF(OR($F$1="",H8=""),"",$F$1)</f>
        <v/>
      </c>
      <c r="J8" s="129">
        <v>3</v>
      </c>
      <c r="K8" s="129">
        <v>3</v>
      </c>
      <c r="L8" s="129">
        <v>3</v>
      </c>
      <c r="M8" s="118">
        <f t="shared" ref="M8:M54" si="2">IF(AND(J8="",K8="",L8=""),"",ROUNDUP(AVERAGE(J8:L8),0))</f>
        <v>3</v>
      </c>
      <c r="N8" s="129">
        <v>3</v>
      </c>
      <c r="O8" s="129">
        <v>3</v>
      </c>
      <c r="P8" s="129">
        <v>3</v>
      </c>
      <c r="Q8" s="118">
        <f t="shared" ref="Q8:Q54" si="3">IF(AND(N8="",O8="",P8=""),"",ROUNDUP(AVERAGE(N8:P8),0))</f>
        <v>3</v>
      </c>
      <c r="R8" s="129">
        <v>3</v>
      </c>
      <c r="S8" s="129">
        <v>3</v>
      </c>
      <c r="T8" s="129">
        <v>3</v>
      </c>
      <c r="U8" s="118">
        <f t="shared" ref="U8:U54" si="4">IF(AND(R8="",S8="",T8=""),"",ROUNDUP(AVERAGE(R8:T8),0))</f>
        <v>3</v>
      </c>
      <c r="V8" s="129">
        <v>3</v>
      </c>
      <c r="W8" s="129">
        <v>3</v>
      </c>
      <c r="X8" s="129">
        <v>3</v>
      </c>
      <c r="Y8" s="118">
        <f t="shared" ref="Y8:Y54" si="5">IF(AND(V8="",W8="",X8=""),"",ROUNDUP(AVERAGE(V8:X8),0))</f>
        <v>3</v>
      </c>
      <c r="Z8" s="129">
        <v>3</v>
      </c>
      <c r="AA8" s="129">
        <v>3</v>
      </c>
      <c r="AB8" s="129">
        <v>3</v>
      </c>
      <c r="AC8" s="118">
        <f t="shared" ref="AC8:AC54" si="6">IF(AND(Z8="",AA8="",AB8=""),"",ROUNDUP(AVERAGE(Z8:AB8),0))</f>
        <v>3</v>
      </c>
      <c r="AD8" s="129">
        <v>3</v>
      </c>
      <c r="AE8" s="129">
        <v>3</v>
      </c>
      <c r="AF8" s="129">
        <v>3</v>
      </c>
      <c r="AG8" s="118">
        <f t="shared" ref="AG8:AG54" si="7">IF(AND(AD8="",AE8="",AF8=""),"",ROUNDUP(AVERAGE(AD8:AF8),0))</f>
        <v>3</v>
      </c>
      <c r="AH8" s="129">
        <v>3</v>
      </c>
      <c r="AI8" s="129">
        <v>3</v>
      </c>
      <c r="AJ8" s="129">
        <v>3</v>
      </c>
      <c r="AK8" s="118">
        <f t="shared" ref="AK8:AK54" si="8">IF(AND(AH8="",AI8="",AJ8=""),"",ROUNDUP(AVERAGE(AH8:AJ8),0))</f>
        <v>3</v>
      </c>
      <c r="AL8" s="131" t="str">
        <f t="shared" ref="AL8:AL54" si="9">IF(OR(AK8="",$J$1=""),"",$J$1)</f>
        <v/>
      </c>
    </row>
    <row r="9" spans="1:38" ht="15" customHeight="1">
      <c r="A9" s="107">
        <f>'DATA SISWA'!A7</f>
        <v>3</v>
      </c>
      <c r="B9" s="107" t="str">
        <f>'DATA SISWA'!B7</f>
        <v>`014</v>
      </c>
      <c r="C9" s="116" t="str">
        <f>'DATA SISWA'!C7</f>
        <v>Bunami</v>
      </c>
      <c r="D9" s="116" t="str">
        <f>'DATA SISWA'!D7</f>
        <v>P</v>
      </c>
      <c r="E9" s="107" t="str">
        <f>'DATA SISWA'!E7</f>
        <v>VII</v>
      </c>
      <c r="F9" s="129">
        <v>3</v>
      </c>
      <c r="G9" s="129">
        <v>3</v>
      </c>
      <c r="H9" s="118">
        <f t="shared" si="0"/>
        <v>3</v>
      </c>
      <c r="I9" s="131" t="str">
        <f t="shared" si="1"/>
        <v/>
      </c>
      <c r="J9" s="129">
        <v>3</v>
      </c>
      <c r="K9" s="129">
        <v>3</v>
      </c>
      <c r="L9" s="129">
        <v>3</v>
      </c>
      <c r="M9" s="118">
        <f t="shared" si="2"/>
        <v>3</v>
      </c>
      <c r="N9" s="129">
        <v>3</v>
      </c>
      <c r="O9" s="129">
        <v>3</v>
      </c>
      <c r="P9" s="129">
        <v>3</v>
      </c>
      <c r="Q9" s="118">
        <f t="shared" si="3"/>
        <v>3</v>
      </c>
      <c r="R9" s="129">
        <v>3</v>
      </c>
      <c r="S9" s="129">
        <v>3</v>
      </c>
      <c r="T9" s="129">
        <v>3</v>
      </c>
      <c r="U9" s="118">
        <f t="shared" si="4"/>
        <v>3</v>
      </c>
      <c r="V9" s="129">
        <v>3</v>
      </c>
      <c r="W9" s="129">
        <v>3</v>
      </c>
      <c r="X9" s="129">
        <v>3</v>
      </c>
      <c r="Y9" s="118">
        <f t="shared" si="5"/>
        <v>3</v>
      </c>
      <c r="Z9" s="129">
        <v>3</v>
      </c>
      <c r="AA9" s="129">
        <v>3</v>
      </c>
      <c r="AB9" s="129">
        <v>3</v>
      </c>
      <c r="AC9" s="118">
        <f t="shared" si="6"/>
        <v>3</v>
      </c>
      <c r="AD9" s="129">
        <v>3</v>
      </c>
      <c r="AE9" s="129">
        <v>3</v>
      </c>
      <c r="AF9" s="129">
        <v>3</v>
      </c>
      <c r="AG9" s="118">
        <f t="shared" si="7"/>
        <v>3</v>
      </c>
      <c r="AH9" s="129">
        <v>3</v>
      </c>
      <c r="AI9" s="129">
        <v>3</v>
      </c>
      <c r="AJ9" s="129">
        <v>3</v>
      </c>
      <c r="AK9" s="118">
        <f t="shared" si="8"/>
        <v>3</v>
      </c>
      <c r="AL9" s="131" t="str">
        <f t="shared" si="9"/>
        <v/>
      </c>
    </row>
    <row r="10" spans="1:38" ht="15" customHeight="1">
      <c r="A10" s="107">
        <f>'DATA SISWA'!A8</f>
        <v>4</v>
      </c>
      <c r="B10" s="107" t="str">
        <f>'DATA SISWA'!B8</f>
        <v>`009</v>
      </c>
      <c r="C10" s="116" t="str">
        <f>'DATA SISWA'!C8</f>
        <v>Fatimatuz Zahroh</v>
      </c>
      <c r="D10" s="116" t="str">
        <f>'DATA SISWA'!D8</f>
        <v>P</v>
      </c>
      <c r="E10" s="107" t="str">
        <f>'DATA SISWA'!E8</f>
        <v>VII</v>
      </c>
      <c r="F10" s="129">
        <v>3</v>
      </c>
      <c r="G10" s="129">
        <v>3</v>
      </c>
      <c r="H10" s="118">
        <f t="shared" si="0"/>
        <v>3</v>
      </c>
      <c r="I10" s="131" t="str">
        <f t="shared" si="1"/>
        <v/>
      </c>
      <c r="J10" s="129">
        <v>3</v>
      </c>
      <c r="K10" s="129">
        <v>3</v>
      </c>
      <c r="L10" s="129">
        <v>3</v>
      </c>
      <c r="M10" s="118">
        <f t="shared" si="2"/>
        <v>3</v>
      </c>
      <c r="N10" s="129">
        <v>3</v>
      </c>
      <c r="O10" s="129">
        <v>3</v>
      </c>
      <c r="P10" s="129">
        <v>3</v>
      </c>
      <c r="Q10" s="118">
        <f t="shared" si="3"/>
        <v>3</v>
      </c>
      <c r="R10" s="129">
        <v>3</v>
      </c>
      <c r="S10" s="129">
        <v>3</v>
      </c>
      <c r="T10" s="129">
        <v>3</v>
      </c>
      <c r="U10" s="118">
        <f t="shared" si="4"/>
        <v>3</v>
      </c>
      <c r="V10" s="129">
        <v>3</v>
      </c>
      <c r="W10" s="129">
        <v>3</v>
      </c>
      <c r="X10" s="129">
        <v>3</v>
      </c>
      <c r="Y10" s="118">
        <f t="shared" si="5"/>
        <v>3</v>
      </c>
      <c r="Z10" s="129">
        <v>3</v>
      </c>
      <c r="AA10" s="129">
        <v>3</v>
      </c>
      <c r="AB10" s="129">
        <v>3</v>
      </c>
      <c r="AC10" s="118">
        <f t="shared" si="6"/>
        <v>3</v>
      </c>
      <c r="AD10" s="129">
        <v>3</v>
      </c>
      <c r="AE10" s="129">
        <v>3</v>
      </c>
      <c r="AF10" s="129">
        <v>3</v>
      </c>
      <c r="AG10" s="118">
        <f t="shared" si="7"/>
        <v>3</v>
      </c>
      <c r="AH10" s="129">
        <v>3</v>
      </c>
      <c r="AI10" s="129">
        <v>3</v>
      </c>
      <c r="AJ10" s="129">
        <v>3</v>
      </c>
      <c r="AK10" s="118">
        <f t="shared" si="8"/>
        <v>3</v>
      </c>
      <c r="AL10" s="131" t="str">
        <f t="shared" si="9"/>
        <v/>
      </c>
    </row>
    <row r="11" spans="1:38" ht="15" customHeight="1">
      <c r="A11" s="107">
        <f>'DATA SISWA'!A9</f>
        <v>5</v>
      </c>
      <c r="B11" s="107" t="str">
        <f>'DATA SISWA'!B9</f>
        <v>`003</v>
      </c>
      <c r="C11" s="116" t="str">
        <f>'DATA SISWA'!C9</f>
        <v>Fitriadi</v>
      </c>
      <c r="D11" s="116" t="str">
        <f>'DATA SISWA'!D9</f>
        <v>L</v>
      </c>
      <c r="E11" s="107" t="str">
        <f>'DATA SISWA'!E9</f>
        <v>VII</v>
      </c>
      <c r="F11" s="129">
        <v>3</v>
      </c>
      <c r="G11" s="129">
        <v>3</v>
      </c>
      <c r="H11" s="118">
        <f t="shared" si="0"/>
        <v>3</v>
      </c>
      <c r="I11" s="131" t="str">
        <f t="shared" si="1"/>
        <v/>
      </c>
      <c r="J11" s="129">
        <v>3</v>
      </c>
      <c r="K11" s="129">
        <v>3</v>
      </c>
      <c r="L11" s="129">
        <v>3</v>
      </c>
      <c r="M11" s="118">
        <f t="shared" si="2"/>
        <v>3</v>
      </c>
      <c r="N11" s="129">
        <v>3</v>
      </c>
      <c r="O11" s="129">
        <v>3</v>
      </c>
      <c r="P11" s="129">
        <v>3</v>
      </c>
      <c r="Q11" s="118">
        <f t="shared" si="3"/>
        <v>3</v>
      </c>
      <c r="R11" s="129">
        <v>3</v>
      </c>
      <c r="S11" s="129">
        <v>3</v>
      </c>
      <c r="T11" s="129">
        <v>3</v>
      </c>
      <c r="U11" s="118">
        <f t="shared" si="4"/>
        <v>3</v>
      </c>
      <c r="V11" s="129">
        <v>3</v>
      </c>
      <c r="W11" s="129">
        <v>3</v>
      </c>
      <c r="X11" s="129">
        <v>3</v>
      </c>
      <c r="Y11" s="118">
        <f t="shared" si="5"/>
        <v>3</v>
      </c>
      <c r="Z11" s="129">
        <v>3</v>
      </c>
      <c r="AA11" s="129">
        <v>3</v>
      </c>
      <c r="AB11" s="129">
        <v>3</v>
      </c>
      <c r="AC11" s="118">
        <f t="shared" si="6"/>
        <v>3</v>
      </c>
      <c r="AD11" s="129">
        <v>3</v>
      </c>
      <c r="AE11" s="129">
        <v>3</v>
      </c>
      <c r="AF11" s="129">
        <v>3</v>
      </c>
      <c r="AG11" s="118">
        <f t="shared" si="7"/>
        <v>3</v>
      </c>
      <c r="AH11" s="129">
        <v>3</v>
      </c>
      <c r="AI11" s="129">
        <v>3</v>
      </c>
      <c r="AJ11" s="129">
        <v>3</v>
      </c>
      <c r="AK11" s="118">
        <f t="shared" si="8"/>
        <v>3</v>
      </c>
      <c r="AL11" s="131" t="str">
        <f t="shared" si="9"/>
        <v/>
      </c>
    </row>
    <row r="12" spans="1:38" ht="15" customHeight="1">
      <c r="A12" s="107">
        <f>'DATA SISWA'!A10</f>
        <v>6</v>
      </c>
      <c r="B12" s="107" t="str">
        <f>'DATA SISWA'!B10</f>
        <v>`006</v>
      </c>
      <c r="C12" s="116" t="str">
        <f>'DATA SISWA'!C10</f>
        <v>Homsiyah</v>
      </c>
      <c r="D12" s="116" t="str">
        <f>'DATA SISWA'!D10</f>
        <v>P</v>
      </c>
      <c r="E12" s="107" t="str">
        <f>'DATA SISWA'!E10</f>
        <v>VII</v>
      </c>
      <c r="F12" s="129">
        <v>3</v>
      </c>
      <c r="G12" s="129">
        <v>3</v>
      </c>
      <c r="H12" s="118">
        <f t="shared" si="0"/>
        <v>3</v>
      </c>
      <c r="I12" s="131" t="str">
        <f t="shared" si="1"/>
        <v/>
      </c>
      <c r="J12" s="129">
        <v>3</v>
      </c>
      <c r="K12" s="129">
        <v>3</v>
      </c>
      <c r="L12" s="129">
        <v>3</v>
      </c>
      <c r="M12" s="118">
        <f t="shared" si="2"/>
        <v>3</v>
      </c>
      <c r="N12" s="129">
        <v>3</v>
      </c>
      <c r="O12" s="129">
        <v>3</v>
      </c>
      <c r="P12" s="129">
        <v>3</v>
      </c>
      <c r="Q12" s="118">
        <f t="shared" si="3"/>
        <v>3</v>
      </c>
      <c r="R12" s="129">
        <v>3</v>
      </c>
      <c r="S12" s="129">
        <v>3</v>
      </c>
      <c r="T12" s="129">
        <v>3</v>
      </c>
      <c r="U12" s="118">
        <f t="shared" si="4"/>
        <v>3</v>
      </c>
      <c r="V12" s="129">
        <v>3</v>
      </c>
      <c r="W12" s="129">
        <v>3</v>
      </c>
      <c r="X12" s="129">
        <v>3</v>
      </c>
      <c r="Y12" s="118">
        <f t="shared" si="5"/>
        <v>3</v>
      </c>
      <c r="Z12" s="129">
        <v>3</v>
      </c>
      <c r="AA12" s="129">
        <v>3</v>
      </c>
      <c r="AB12" s="129">
        <v>3</v>
      </c>
      <c r="AC12" s="118">
        <f t="shared" si="6"/>
        <v>3</v>
      </c>
      <c r="AD12" s="129">
        <v>3</v>
      </c>
      <c r="AE12" s="129">
        <v>3</v>
      </c>
      <c r="AF12" s="129">
        <v>3</v>
      </c>
      <c r="AG12" s="118">
        <f t="shared" si="7"/>
        <v>3</v>
      </c>
      <c r="AH12" s="129">
        <v>3</v>
      </c>
      <c r="AI12" s="129">
        <v>3</v>
      </c>
      <c r="AJ12" s="129">
        <v>3</v>
      </c>
      <c r="AK12" s="118">
        <f t="shared" si="8"/>
        <v>3</v>
      </c>
      <c r="AL12" s="131" t="str">
        <f t="shared" si="9"/>
        <v/>
      </c>
    </row>
    <row r="13" spans="1:38" ht="15" customHeight="1">
      <c r="A13" s="107">
        <f>'DATA SISWA'!A11</f>
        <v>7</v>
      </c>
      <c r="B13" s="107" t="str">
        <f>'DATA SISWA'!B11</f>
        <v>`002</v>
      </c>
      <c r="C13" s="116" t="str">
        <f>'DATA SISWA'!C11</f>
        <v>Insiyah</v>
      </c>
      <c r="D13" s="116" t="str">
        <f>'DATA SISWA'!D11</f>
        <v>P</v>
      </c>
      <c r="E13" s="107" t="str">
        <f>'DATA SISWA'!E11</f>
        <v>VII</v>
      </c>
      <c r="F13" s="129">
        <v>3</v>
      </c>
      <c r="G13" s="129">
        <v>3</v>
      </c>
      <c r="H13" s="118">
        <f t="shared" si="0"/>
        <v>3</v>
      </c>
      <c r="I13" s="131" t="str">
        <f t="shared" si="1"/>
        <v/>
      </c>
      <c r="J13" s="129">
        <v>3</v>
      </c>
      <c r="K13" s="129">
        <v>3</v>
      </c>
      <c r="L13" s="129">
        <v>3</v>
      </c>
      <c r="M13" s="118">
        <f t="shared" si="2"/>
        <v>3</v>
      </c>
      <c r="N13" s="129">
        <v>3</v>
      </c>
      <c r="O13" s="129">
        <v>3</v>
      </c>
      <c r="P13" s="129">
        <v>3</v>
      </c>
      <c r="Q13" s="118">
        <f t="shared" si="3"/>
        <v>3</v>
      </c>
      <c r="R13" s="129">
        <v>3</v>
      </c>
      <c r="S13" s="129">
        <v>3</v>
      </c>
      <c r="T13" s="129">
        <v>3</v>
      </c>
      <c r="U13" s="118">
        <f t="shared" si="4"/>
        <v>3</v>
      </c>
      <c r="V13" s="129">
        <v>3</v>
      </c>
      <c r="W13" s="129">
        <v>3</v>
      </c>
      <c r="X13" s="129">
        <v>3</v>
      </c>
      <c r="Y13" s="118">
        <f t="shared" si="5"/>
        <v>3</v>
      </c>
      <c r="Z13" s="129">
        <v>3</v>
      </c>
      <c r="AA13" s="129">
        <v>3</v>
      </c>
      <c r="AB13" s="129">
        <v>3</v>
      </c>
      <c r="AC13" s="118">
        <f t="shared" si="6"/>
        <v>3</v>
      </c>
      <c r="AD13" s="129">
        <v>3</v>
      </c>
      <c r="AE13" s="129">
        <v>3</v>
      </c>
      <c r="AF13" s="129">
        <v>3</v>
      </c>
      <c r="AG13" s="118">
        <f t="shared" si="7"/>
        <v>3</v>
      </c>
      <c r="AH13" s="129">
        <v>3</v>
      </c>
      <c r="AI13" s="129">
        <v>3</v>
      </c>
      <c r="AJ13" s="129">
        <v>3</v>
      </c>
      <c r="AK13" s="118">
        <f t="shared" si="8"/>
        <v>3</v>
      </c>
      <c r="AL13" s="131" t="str">
        <f t="shared" si="9"/>
        <v/>
      </c>
    </row>
    <row r="14" spans="1:38" ht="15" customHeight="1">
      <c r="A14" s="107">
        <f>'DATA SISWA'!A12</f>
        <v>8</v>
      </c>
      <c r="B14" s="107" t="str">
        <f>'DATA SISWA'!B12</f>
        <v>`010</v>
      </c>
      <c r="C14" s="116" t="str">
        <f>'DATA SISWA'!C12</f>
        <v>Saiful Jamil</v>
      </c>
      <c r="D14" s="116" t="str">
        <f>'DATA SISWA'!D12</f>
        <v>L</v>
      </c>
      <c r="E14" s="107" t="str">
        <f>'DATA SISWA'!E12</f>
        <v>VII</v>
      </c>
      <c r="F14" s="129">
        <v>3</v>
      </c>
      <c r="G14" s="129">
        <v>3</v>
      </c>
      <c r="H14" s="118">
        <f t="shared" si="0"/>
        <v>3</v>
      </c>
      <c r="I14" s="131" t="str">
        <f t="shared" si="1"/>
        <v/>
      </c>
      <c r="J14" s="129">
        <v>3</v>
      </c>
      <c r="K14" s="129">
        <v>3</v>
      </c>
      <c r="L14" s="129">
        <v>3</v>
      </c>
      <c r="M14" s="118">
        <f t="shared" si="2"/>
        <v>3</v>
      </c>
      <c r="N14" s="129">
        <v>3</v>
      </c>
      <c r="O14" s="129">
        <v>3</v>
      </c>
      <c r="P14" s="129">
        <v>3</v>
      </c>
      <c r="Q14" s="118">
        <f t="shared" si="3"/>
        <v>3</v>
      </c>
      <c r="R14" s="129">
        <v>3</v>
      </c>
      <c r="S14" s="129">
        <v>3</v>
      </c>
      <c r="T14" s="129">
        <v>3</v>
      </c>
      <c r="U14" s="118">
        <f t="shared" si="4"/>
        <v>3</v>
      </c>
      <c r="V14" s="129">
        <v>3</v>
      </c>
      <c r="W14" s="129">
        <v>3</v>
      </c>
      <c r="X14" s="129">
        <v>3</v>
      </c>
      <c r="Y14" s="118">
        <f t="shared" si="5"/>
        <v>3</v>
      </c>
      <c r="Z14" s="129">
        <v>3</v>
      </c>
      <c r="AA14" s="129">
        <v>3</v>
      </c>
      <c r="AB14" s="129">
        <v>3</v>
      </c>
      <c r="AC14" s="118">
        <f t="shared" si="6"/>
        <v>3</v>
      </c>
      <c r="AD14" s="129">
        <v>3</v>
      </c>
      <c r="AE14" s="129">
        <v>3</v>
      </c>
      <c r="AF14" s="129">
        <v>3</v>
      </c>
      <c r="AG14" s="118">
        <f t="shared" si="7"/>
        <v>3</v>
      </c>
      <c r="AH14" s="129">
        <v>3</v>
      </c>
      <c r="AI14" s="129">
        <v>3</v>
      </c>
      <c r="AJ14" s="129">
        <v>3</v>
      </c>
      <c r="AK14" s="118">
        <f t="shared" si="8"/>
        <v>3</v>
      </c>
      <c r="AL14" s="131" t="str">
        <f t="shared" si="9"/>
        <v/>
      </c>
    </row>
    <row r="15" spans="1:38" ht="15" customHeight="1">
      <c r="A15" s="107">
        <f>'DATA SISWA'!A13</f>
        <v>9</v>
      </c>
      <c r="B15" s="107" t="str">
        <f>'DATA SISWA'!B13</f>
        <v>`011</v>
      </c>
      <c r="C15" s="116" t="str">
        <f>'DATA SISWA'!C13</f>
        <v>Khusnun Nisa</v>
      </c>
      <c r="D15" s="116" t="str">
        <f>'DATA SISWA'!D13</f>
        <v>P</v>
      </c>
      <c r="E15" s="107" t="str">
        <f>'DATA SISWA'!E13</f>
        <v>VII</v>
      </c>
      <c r="F15" s="129">
        <v>3</v>
      </c>
      <c r="G15" s="129">
        <v>3</v>
      </c>
      <c r="H15" s="118">
        <f t="shared" si="0"/>
        <v>3</v>
      </c>
      <c r="I15" s="131" t="str">
        <f t="shared" si="1"/>
        <v/>
      </c>
      <c r="J15" s="129">
        <v>3</v>
      </c>
      <c r="K15" s="129">
        <v>3</v>
      </c>
      <c r="L15" s="129">
        <v>3</v>
      </c>
      <c r="M15" s="118">
        <f t="shared" si="2"/>
        <v>3</v>
      </c>
      <c r="N15" s="129">
        <v>3</v>
      </c>
      <c r="O15" s="129">
        <v>3</v>
      </c>
      <c r="P15" s="129">
        <v>3</v>
      </c>
      <c r="Q15" s="118">
        <f t="shared" si="3"/>
        <v>3</v>
      </c>
      <c r="R15" s="129">
        <v>3</v>
      </c>
      <c r="S15" s="129">
        <v>3</v>
      </c>
      <c r="T15" s="129">
        <v>3</v>
      </c>
      <c r="U15" s="118">
        <f t="shared" si="4"/>
        <v>3</v>
      </c>
      <c r="V15" s="129">
        <v>3</v>
      </c>
      <c r="W15" s="129">
        <v>3</v>
      </c>
      <c r="X15" s="129">
        <v>3</v>
      </c>
      <c r="Y15" s="118">
        <f t="shared" si="5"/>
        <v>3</v>
      </c>
      <c r="Z15" s="129">
        <v>3</v>
      </c>
      <c r="AA15" s="129">
        <v>3</v>
      </c>
      <c r="AB15" s="129">
        <v>3</v>
      </c>
      <c r="AC15" s="118">
        <f t="shared" si="6"/>
        <v>3</v>
      </c>
      <c r="AD15" s="129">
        <v>3</v>
      </c>
      <c r="AE15" s="129">
        <v>3</v>
      </c>
      <c r="AF15" s="129">
        <v>3</v>
      </c>
      <c r="AG15" s="118">
        <f t="shared" si="7"/>
        <v>3</v>
      </c>
      <c r="AH15" s="129">
        <v>3</v>
      </c>
      <c r="AI15" s="129">
        <v>3</v>
      </c>
      <c r="AJ15" s="129">
        <v>3</v>
      </c>
      <c r="AK15" s="118">
        <f t="shared" si="8"/>
        <v>3</v>
      </c>
      <c r="AL15" s="131" t="str">
        <f t="shared" si="9"/>
        <v/>
      </c>
    </row>
    <row r="16" spans="1:38" ht="15" customHeight="1">
      <c r="A16" s="107">
        <f>'DATA SISWA'!A14</f>
        <v>10</v>
      </c>
      <c r="B16" s="107" t="str">
        <f>'DATA SISWA'!B14</f>
        <v>`005</v>
      </c>
      <c r="C16" s="116" t="str">
        <f>'DATA SISWA'!C14</f>
        <v>Komariyah</v>
      </c>
      <c r="D16" s="116" t="str">
        <f>'DATA SISWA'!D14</f>
        <v>P</v>
      </c>
      <c r="E16" s="107" t="str">
        <f>'DATA SISWA'!E14</f>
        <v>VII</v>
      </c>
      <c r="F16" s="129">
        <v>3</v>
      </c>
      <c r="G16" s="129">
        <v>3</v>
      </c>
      <c r="H16" s="118">
        <f t="shared" si="0"/>
        <v>3</v>
      </c>
      <c r="I16" s="131" t="str">
        <f t="shared" si="1"/>
        <v/>
      </c>
      <c r="J16" s="129">
        <v>3</v>
      </c>
      <c r="K16" s="129">
        <v>3</v>
      </c>
      <c r="L16" s="129">
        <v>3</v>
      </c>
      <c r="M16" s="118">
        <f t="shared" si="2"/>
        <v>3</v>
      </c>
      <c r="N16" s="129">
        <v>3</v>
      </c>
      <c r="O16" s="129">
        <v>3</v>
      </c>
      <c r="P16" s="129">
        <v>3</v>
      </c>
      <c r="Q16" s="118">
        <f t="shared" si="3"/>
        <v>3</v>
      </c>
      <c r="R16" s="129">
        <v>3</v>
      </c>
      <c r="S16" s="129">
        <v>3</v>
      </c>
      <c r="T16" s="129">
        <v>3</v>
      </c>
      <c r="U16" s="118">
        <f t="shared" si="4"/>
        <v>3</v>
      </c>
      <c r="V16" s="129">
        <v>3</v>
      </c>
      <c r="W16" s="129">
        <v>3</v>
      </c>
      <c r="X16" s="129">
        <v>3</v>
      </c>
      <c r="Y16" s="118">
        <f t="shared" si="5"/>
        <v>3</v>
      </c>
      <c r="Z16" s="129">
        <v>3</v>
      </c>
      <c r="AA16" s="129">
        <v>3</v>
      </c>
      <c r="AB16" s="129">
        <v>3</v>
      </c>
      <c r="AC16" s="118">
        <f t="shared" si="6"/>
        <v>3</v>
      </c>
      <c r="AD16" s="129">
        <v>3</v>
      </c>
      <c r="AE16" s="129">
        <v>3</v>
      </c>
      <c r="AF16" s="129">
        <v>3</v>
      </c>
      <c r="AG16" s="118">
        <f t="shared" si="7"/>
        <v>3</v>
      </c>
      <c r="AH16" s="129">
        <v>3</v>
      </c>
      <c r="AI16" s="129">
        <v>3</v>
      </c>
      <c r="AJ16" s="129">
        <v>3</v>
      </c>
      <c r="AK16" s="118">
        <f t="shared" si="8"/>
        <v>3</v>
      </c>
      <c r="AL16" s="131" t="str">
        <f t="shared" si="9"/>
        <v/>
      </c>
    </row>
    <row r="17" spans="1:38" ht="15" customHeight="1">
      <c r="A17" s="107">
        <f>'DATA SISWA'!A15</f>
        <v>11</v>
      </c>
      <c r="B17" s="107" t="str">
        <f>'DATA SISWA'!B15</f>
        <v>`013</v>
      </c>
      <c r="C17" s="116" t="str">
        <f>'DATA SISWA'!C15</f>
        <v>Latifah</v>
      </c>
      <c r="D17" s="116" t="str">
        <f>'DATA SISWA'!D15</f>
        <v>P</v>
      </c>
      <c r="E17" s="107" t="str">
        <f>'DATA SISWA'!E15</f>
        <v>VII</v>
      </c>
      <c r="F17" s="129">
        <v>3</v>
      </c>
      <c r="G17" s="129">
        <v>3</v>
      </c>
      <c r="H17" s="118">
        <f t="shared" si="0"/>
        <v>3</v>
      </c>
      <c r="I17" s="131" t="str">
        <f t="shared" si="1"/>
        <v/>
      </c>
      <c r="J17" s="129">
        <v>3</v>
      </c>
      <c r="K17" s="129">
        <v>3</v>
      </c>
      <c r="L17" s="129">
        <v>3</v>
      </c>
      <c r="M17" s="118">
        <f t="shared" si="2"/>
        <v>3</v>
      </c>
      <c r="N17" s="129">
        <v>3</v>
      </c>
      <c r="O17" s="129">
        <v>3</v>
      </c>
      <c r="P17" s="129">
        <v>3</v>
      </c>
      <c r="Q17" s="118">
        <f t="shared" si="3"/>
        <v>3</v>
      </c>
      <c r="R17" s="129">
        <v>3</v>
      </c>
      <c r="S17" s="129">
        <v>3</v>
      </c>
      <c r="T17" s="129">
        <v>3</v>
      </c>
      <c r="U17" s="118">
        <f t="shared" si="4"/>
        <v>3</v>
      </c>
      <c r="V17" s="129">
        <v>3</v>
      </c>
      <c r="W17" s="129">
        <v>3</v>
      </c>
      <c r="X17" s="129">
        <v>3</v>
      </c>
      <c r="Y17" s="118">
        <f t="shared" si="5"/>
        <v>3</v>
      </c>
      <c r="Z17" s="129">
        <v>3</v>
      </c>
      <c r="AA17" s="129">
        <v>3</v>
      </c>
      <c r="AB17" s="129">
        <v>3</v>
      </c>
      <c r="AC17" s="118">
        <f t="shared" si="6"/>
        <v>3</v>
      </c>
      <c r="AD17" s="129">
        <v>3</v>
      </c>
      <c r="AE17" s="129">
        <v>3</v>
      </c>
      <c r="AF17" s="129">
        <v>3</v>
      </c>
      <c r="AG17" s="118">
        <f t="shared" si="7"/>
        <v>3</v>
      </c>
      <c r="AH17" s="129">
        <v>3</v>
      </c>
      <c r="AI17" s="129">
        <v>3</v>
      </c>
      <c r="AJ17" s="129">
        <v>3</v>
      </c>
      <c r="AK17" s="118">
        <f t="shared" si="8"/>
        <v>3</v>
      </c>
      <c r="AL17" s="131" t="str">
        <f t="shared" si="9"/>
        <v/>
      </c>
    </row>
    <row r="18" spans="1:38" ht="15" customHeight="1">
      <c r="A18" s="107">
        <f>'DATA SISWA'!A16</f>
        <v>12</v>
      </c>
      <c r="B18" s="107" t="str">
        <f>'DATA SISWA'!B16</f>
        <v>`018</v>
      </c>
      <c r="C18" s="116" t="str">
        <f>'DATA SISWA'!C16</f>
        <v>Maya</v>
      </c>
      <c r="D18" s="116" t="str">
        <f>'DATA SISWA'!D16</f>
        <v>P</v>
      </c>
      <c r="E18" s="107" t="str">
        <f>'DATA SISWA'!E16</f>
        <v>VII</v>
      </c>
      <c r="F18" s="129">
        <v>3</v>
      </c>
      <c r="G18" s="129">
        <v>3</v>
      </c>
      <c r="H18" s="118">
        <f t="shared" si="0"/>
        <v>3</v>
      </c>
      <c r="I18" s="131" t="str">
        <f t="shared" si="1"/>
        <v/>
      </c>
      <c r="J18" s="129">
        <v>2</v>
      </c>
      <c r="K18" s="129">
        <v>3</v>
      </c>
      <c r="L18" s="129">
        <v>3</v>
      </c>
      <c r="M18" s="118">
        <f t="shared" si="2"/>
        <v>3</v>
      </c>
      <c r="N18" s="129">
        <v>2</v>
      </c>
      <c r="O18" s="129">
        <v>2</v>
      </c>
      <c r="P18" s="129">
        <v>2</v>
      </c>
      <c r="Q18" s="118">
        <f t="shared" si="3"/>
        <v>2</v>
      </c>
      <c r="R18" s="129">
        <v>3</v>
      </c>
      <c r="S18" s="129">
        <v>3</v>
      </c>
      <c r="T18" s="129">
        <v>3</v>
      </c>
      <c r="U18" s="118">
        <f t="shared" si="4"/>
        <v>3</v>
      </c>
      <c r="V18" s="129">
        <v>3</v>
      </c>
      <c r="W18" s="129">
        <v>3</v>
      </c>
      <c r="X18" s="129">
        <v>3</v>
      </c>
      <c r="Y18" s="118">
        <f t="shared" si="5"/>
        <v>3</v>
      </c>
      <c r="Z18" s="129">
        <v>3</v>
      </c>
      <c r="AA18" s="129">
        <v>3</v>
      </c>
      <c r="AB18" s="129">
        <v>3</v>
      </c>
      <c r="AC18" s="118">
        <f t="shared" si="6"/>
        <v>3</v>
      </c>
      <c r="AD18" s="129">
        <v>3</v>
      </c>
      <c r="AE18" s="129">
        <v>3</v>
      </c>
      <c r="AF18" s="129">
        <v>3</v>
      </c>
      <c r="AG18" s="118">
        <f t="shared" si="7"/>
        <v>3</v>
      </c>
      <c r="AH18" s="129">
        <v>3</v>
      </c>
      <c r="AI18" s="129">
        <v>3</v>
      </c>
      <c r="AJ18" s="129">
        <v>3</v>
      </c>
      <c r="AK18" s="118">
        <f t="shared" si="8"/>
        <v>3</v>
      </c>
      <c r="AL18" s="131" t="str">
        <f t="shared" si="9"/>
        <v/>
      </c>
    </row>
    <row r="19" spans="1:38" ht="15" customHeight="1">
      <c r="A19" s="107">
        <f>'DATA SISWA'!A17</f>
        <v>13</v>
      </c>
      <c r="B19" s="107" t="str">
        <f>'DATA SISWA'!B17</f>
        <v>`016</v>
      </c>
      <c r="C19" s="116" t="str">
        <f>'DATA SISWA'!C17</f>
        <v>Ma`ruf</v>
      </c>
      <c r="D19" s="116" t="str">
        <f>'DATA SISWA'!D17</f>
        <v>L</v>
      </c>
      <c r="E19" s="107" t="str">
        <f>'DATA SISWA'!E17</f>
        <v>VII</v>
      </c>
      <c r="F19" s="129">
        <v>3</v>
      </c>
      <c r="G19" s="129">
        <v>3</v>
      </c>
      <c r="H19" s="118">
        <f t="shared" si="0"/>
        <v>3</v>
      </c>
      <c r="I19" s="131" t="str">
        <f t="shared" si="1"/>
        <v/>
      </c>
      <c r="J19" s="129">
        <v>2</v>
      </c>
      <c r="K19" s="129">
        <v>3</v>
      </c>
      <c r="L19" s="129">
        <v>3</v>
      </c>
      <c r="M19" s="118">
        <f t="shared" si="2"/>
        <v>3</v>
      </c>
      <c r="N19" s="129">
        <v>2</v>
      </c>
      <c r="O19" s="129">
        <v>2</v>
      </c>
      <c r="P19" s="129">
        <v>2</v>
      </c>
      <c r="Q19" s="118">
        <f t="shared" si="3"/>
        <v>2</v>
      </c>
      <c r="R19" s="129">
        <v>3</v>
      </c>
      <c r="S19" s="129">
        <v>3</v>
      </c>
      <c r="T19" s="129">
        <v>3</v>
      </c>
      <c r="U19" s="118">
        <f t="shared" si="4"/>
        <v>3</v>
      </c>
      <c r="V19" s="129">
        <v>3</v>
      </c>
      <c r="W19" s="129">
        <v>3</v>
      </c>
      <c r="X19" s="129">
        <v>3</v>
      </c>
      <c r="Y19" s="118">
        <f t="shared" si="5"/>
        <v>3</v>
      </c>
      <c r="Z19" s="129">
        <v>3</v>
      </c>
      <c r="AA19" s="129">
        <v>3</v>
      </c>
      <c r="AB19" s="129">
        <v>3</v>
      </c>
      <c r="AC19" s="118">
        <f t="shared" si="6"/>
        <v>3</v>
      </c>
      <c r="AD19" s="129">
        <v>3</v>
      </c>
      <c r="AE19" s="129">
        <v>3</v>
      </c>
      <c r="AF19" s="129">
        <v>3</v>
      </c>
      <c r="AG19" s="118">
        <f t="shared" si="7"/>
        <v>3</v>
      </c>
      <c r="AH19" s="129">
        <v>3</v>
      </c>
      <c r="AI19" s="129">
        <v>3</v>
      </c>
      <c r="AJ19" s="129">
        <v>3</v>
      </c>
      <c r="AK19" s="118">
        <f t="shared" si="8"/>
        <v>3</v>
      </c>
      <c r="AL19" s="131" t="str">
        <f t="shared" si="9"/>
        <v/>
      </c>
    </row>
    <row r="20" spans="1:38" ht="15" customHeight="1">
      <c r="A20" s="107">
        <f>'DATA SISWA'!A18</f>
        <v>14</v>
      </c>
      <c r="B20" s="107" t="str">
        <f>'DATA SISWA'!B18</f>
        <v>`020</v>
      </c>
      <c r="C20" s="116" t="str">
        <f>'DATA SISWA'!C18</f>
        <v>Nia Ramadani</v>
      </c>
      <c r="D20" s="116" t="str">
        <f>'DATA SISWA'!D18</f>
        <v>P</v>
      </c>
      <c r="E20" s="107" t="str">
        <f>'DATA SISWA'!E18</f>
        <v>VII</v>
      </c>
      <c r="F20" s="129">
        <v>3</v>
      </c>
      <c r="G20" s="129">
        <v>3</v>
      </c>
      <c r="H20" s="118">
        <f t="shared" si="0"/>
        <v>3</v>
      </c>
      <c r="I20" s="131" t="str">
        <f t="shared" si="1"/>
        <v/>
      </c>
      <c r="J20" s="129">
        <v>2</v>
      </c>
      <c r="K20" s="129">
        <v>3</v>
      </c>
      <c r="L20" s="129">
        <v>3</v>
      </c>
      <c r="M20" s="118">
        <f t="shared" si="2"/>
        <v>3</v>
      </c>
      <c r="N20" s="129">
        <v>2</v>
      </c>
      <c r="O20" s="129">
        <v>2</v>
      </c>
      <c r="P20" s="129">
        <v>2</v>
      </c>
      <c r="Q20" s="118">
        <f t="shared" si="3"/>
        <v>2</v>
      </c>
      <c r="R20" s="129">
        <v>3</v>
      </c>
      <c r="S20" s="129">
        <v>3</v>
      </c>
      <c r="T20" s="129">
        <v>3</v>
      </c>
      <c r="U20" s="118">
        <f t="shared" si="4"/>
        <v>3</v>
      </c>
      <c r="V20" s="129">
        <v>3</v>
      </c>
      <c r="W20" s="129">
        <v>3</v>
      </c>
      <c r="X20" s="129">
        <v>3</v>
      </c>
      <c r="Y20" s="118">
        <f t="shared" si="5"/>
        <v>3</v>
      </c>
      <c r="Z20" s="129">
        <v>3</v>
      </c>
      <c r="AA20" s="129">
        <v>3</v>
      </c>
      <c r="AB20" s="129">
        <v>3</v>
      </c>
      <c r="AC20" s="118">
        <f t="shared" si="6"/>
        <v>3</v>
      </c>
      <c r="AD20" s="129">
        <v>3</v>
      </c>
      <c r="AE20" s="129">
        <v>3</v>
      </c>
      <c r="AF20" s="129">
        <v>3</v>
      </c>
      <c r="AG20" s="118">
        <f t="shared" si="7"/>
        <v>3</v>
      </c>
      <c r="AH20" s="129">
        <v>3</v>
      </c>
      <c r="AI20" s="129">
        <v>3</v>
      </c>
      <c r="AJ20" s="129">
        <v>3</v>
      </c>
      <c r="AK20" s="118">
        <f t="shared" si="8"/>
        <v>3</v>
      </c>
      <c r="AL20" s="131" t="str">
        <f t="shared" si="9"/>
        <v/>
      </c>
    </row>
    <row r="21" spans="1:38" ht="15" customHeight="1">
      <c r="A21" s="107">
        <f>'DATA SISWA'!A19</f>
        <v>15</v>
      </c>
      <c r="B21" s="107" t="str">
        <f>'DATA SISWA'!B19</f>
        <v>`012</v>
      </c>
      <c r="C21" s="116" t="str">
        <f>'DATA SISWA'!C19</f>
        <v>Ningsih Rahmawati</v>
      </c>
      <c r="D21" s="116" t="str">
        <f>'DATA SISWA'!D19</f>
        <v>P</v>
      </c>
      <c r="E21" s="107" t="str">
        <f>'DATA SISWA'!E19</f>
        <v>VII</v>
      </c>
      <c r="F21" s="129">
        <v>3</v>
      </c>
      <c r="G21" s="129">
        <v>3</v>
      </c>
      <c r="H21" s="118">
        <f t="shared" si="0"/>
        <v>3</v>
      </c>
      <c r="I21" s="131" t="str">
        <f t="shared" si="1"/>
        <v/>
      </c>
      <c r="J21" s="129">
        <v>3</v>
      </c>
      <c r="K21" s="129">
        <v>3</v>
      </c>
      <c r="L21" s="129">
        <v>3</v>
      </c>
      <c r="M21" s="118">
        <f t="shared" si="2"/>
        <v>3</v>
      </c>
      <c r="N21" s="129">
        <v>3</v>
      </c>
      <c r="O21" s="129">
        <v>3</v>
      </c>
      <c r="P21" s="129">
        <v>3</v>
      </c>
      <c r="Q21" s="118">
        <f t="shared" si="3"/>
        <v>3</v>
      </c>
      <c r="R21" s="129">
        <v>3</v>
      </c>
      <c r="S21" s="129">
        <v>3</v>
      </c>
      <c r="T21" s="129">
        <v>3</v>
      </c>
      <c r="U21" s="118">
        <f t="shared" si="4"/>
        <v>3</v>
      </c>
      <c r="V21" s="129">
        <v>3</v>
      </c>
      <c r="W21" s="129">
        <v>3</v>
      </c>
      <c r="X21" s="129">
        <v>3</v>
      </c>
      <c r="Y21" s="118">
        <f t="shared" si="5"/>
        <v>3</v>
      </c>
      <c r="Z21" s="129">
        <v>3</v>
      </c>
      <c r="AA21" s="129">
        <v>3</v>
      </c>
      <c r="AB21" s="129">
        <v>3</v>
      </c>
      <c r="AC21" s="118">
        <f t="shared" si="6"/>
        <v>3</v>
      </c>
      <c r="AD21" s="129">
        <v>3</v>
      </c>
      <c r="AE21" s="129">
        <v>3</v>
      </c>
      <c r="AF21" s="129">
        <v>3</v>
      </c>
      <c r="AG21" s="118">
        <f t="shared" si="7"/>
        <v>3</v>
      </c>
      <c r="AH21" s="129">
        <v>3</v>
      </c>
      <c r="AI21" s="129">
        <v>3</v>
      </c>
      <c r="AJ21" s="129">
        <v>3</v>
      </c>
      <c r="AK21" s="118">
        <f t="shared" si="8"/>
        <v>3</v>
      </c>
      <c r="AL21" s="131" t="str">
        <f t="shared" si="9"/>
        <v/>
      </c>
    </row>
    <row r="22" spans="1:38" ht="15" customHeight="1">
      <c r="A22" s="107">
        <f>'DATA SISWA'!A20</f>
        <v>16</v>
      </c>
      <c r="B22" s="107" t="str">
        <f>'DATA SISWA'!B20</f>
        <v>`007</v>
      </c>
      <c r="C22" s="116" t="str">
        <f>'DATA SISWA'!C20</f>
        <v>Nurhayati</v>
      </c>
      <c r="D22" s="116" t="str">
        <f>'DATA SISWA'!D20</f>
        <v>P</v>
      </c>
      <c r="E22" s="107" t="str">
        <f>'DATA SISWA'!E20</f>
        <v>VII</v>
      </c>
      <c r="F22" s="129">
        <v>3</v>
      </c>
      <c r="G22" s="129">
        <v>3</v>
      </c>
      <c r="H22" s="118">
        <f t="shared" si="0"/>
        <v>3</v>
      </c>
      <c r="I22" s="131" t="str">
        <f t="shared" si="1"/>
        <v/>
      </c>
      <c r="J22" s="129">
        <v>3</v>
      </c>
      <c r="K22" s="129">
        <v>3</v>
      </c>
      <c r="L22" s="129">
        <v>3</v>
      </c>
      <c r="M22" s="118">
        <f t="shared" si="2"/>
        <v>3</v>
      </c>
      <c r="N22" s="129">
        <v>3</v>
      </c>
      <c r="O22" s="129">
        <v>3</v>
      </c>
      <c r="P22" s="129">
        <v>3</v>
      </c>
      <c r="Q22" s="118">
        <f t="shared" si="3"/>
        <v>3</v>
      </c>
      <c r="R22" s="129">
        <v>3</v>
      </c>
      <c r="S22" s="129">
        <v>3</v>
      </c>
      <c r="T22" s="129">
        <v>3</v>
      </c>
      <c r="U22" s="118">
        <f t="shared" si="4"/>
        <v>3</v>
      </c>
      <c r="V22" s="129">
        <v>3</v>
      </c>
      <c r="W22" s="129">
        <v>3</v>
      </c>
      <c r="X22" s="129">
        <v>3</v>
      </c>
      <c r="Y22" s="118">
        <f t="shared" si="5"/>
        <v>3</v>
      </c>
      <c r="Z22" s="129">
        <v>3</v>
      </c>
      <c r="AA22" s="129">
        <v>3</v>
      </c>
      <c r="AB22" s="129">
        <v>3</v>
      </c>
      <c r="AC22" s="118">
        <f t="shared" si="6"/>
        <v>3</v>
      </c>
      <c r="AD22" s="129">
        <v>3</v>
      </c>
      <c r="AE22" s="129">
        <v>3</v>
      </c>
      <c r="AF22" s="129">
        <v>3</v>
      </c>
      <c r="AG22" s="118">
        <f t="shared" si="7"/>
        <v>3</v>
      </c>
      <c r="AH22" s="129">
        <v>3</v>
      </c>
      <c r="AI22" s="129">
        <v>3</v>
      </c>
      <c r="AJ22" s="129">
        <v>3</v>
      </c>
      <c r="AK22" s="118">
        <f t="shared" si="8"/>
        <v>3</v>
      </c>
      <c r="AL22" s="131" t="str">
        <f t="shared" si="9"/>
        <v/>
      </c>
    </row>
    <row r="23" spans="1:38" ht="15" customHeight="1">
      <c r="A23" s="107">
        <f>'DATA SISWA'!A21</f>
        <v>17</v>
      </c>
      <c r="B23" s="107" t="str">
        <f>'DATA SISWA'!B21</f>
        <v>`004</v>
      </c>
      <c r="C23" s="116" t="str">
        <f>'DATA SISWA'!C21</f>
        <v>Nur Aini</v>
      </c>
      <c r="D23" s="116" t="str">
        <f>'DATA SISWA'!D21</f>
        <v>P</v>
      </c>
      <c r="E23" s="107" t="str">
        <f>'DATA SISWA'!E21</f>
        <v>VII</v>
      </c>
      <c r="F23" s="129">
        <v>3</v>
      </c>
      <c r="G23" s="129">
        <v>3</v>
      </c>
      <c r="H23" s="118">
        <f t="shared" si="0"/>
        <v>3</v>
      </c>
      <c r="I23" s="131" t="str">
        <f t="shared" si="1"/>
        <v/>
      </c>
      <c r="J23" s="129">
        <v>3</v>
      </c>
      <c r="K23" s="129">
        <v>3</v>
      </c>
      <c r="L23" s="129">
        <v>3</v>
      </c>
      <c r="M23" s="118">
        <f t="shared" si="2"/>
        <v>3</v>
      </c>
      <c r="N23" s="129">
        <v>3</v>
      </c>
      <c r="O23" s="129">
        <v>3</v>
      </c>
      <c r="P23" s="129">
        <v>3</v>
      </c>
      <c r="Q23" s="118">
        <f t="shared" si="3"/>
        <v>3</v>
      </c>
      <c r="R23" s="129">
        <v>3</v>
      </c>
      <c r="S23" s="129">
        <v>3</v>
      </c>
      <c r="T23" s="129">
        <v>3</v>
      </c>
      <c r="U23" s="118">
        <f t="shared" si="4"/>
        <v>3</v>
      </c>
      <c r="V23" s="129">
        <v>3</v>
      </c>
      <c r="W23" s="129">
        <v>3</v>
      </c>
      <c r="X23" s="129">
        <v>3</v>
      </c>
      <c r="Y23" s="118">
        <f t="shared" si="5"/>
        <v>3</v>
      </c>
      <c r="Z23" s="129">
        <v>3</v>
      </c>
      <c r="AA23" s="129">
        <v>3</v>
      </c>
      <c r="AB23" s="129">
        <v>3</v>
      </c>
      <c r="AC23" s="118">
        <f t="shared" si="6"/>
        <v>3</v>
      </c>
      <c r="AD23" s="129">
        <v>3</v>
      </c>
      <c r="AE23" s="129">
        <v>3</v>
      </c>
      <c r="AF23" s="129">
        <v>3</v>
      </c>
      <c r="AG23" s="118">
        <f t="shared" si="7"/>
        <v>3</v>
      </c>
      <c r="AH23" s="129">
        <v>3</v>
      </c>
      <c r="AI23" s="129">
        <v>3</v>
      </c>
      <c r="AJ23" s="129">
        <v>3</v>
      </c>
      <c r="AK23" s="118">
        <f t="shared" si="8"/>
        <v>3</v>
      </c>
      <c r="AL23" s="131" t="str">
        <f t="shared" si="9"/>
        <v/>
      </c>
    </row>
    <row r="24" spans="1:38" ht="15" customHeight="1">
      <c r="A24" s="107">
        <f>'DATA SISWA'!A22</f>
        <v>18</v>
      </c>
      <c r="B24" s="107" t="str">
        <f>'DATA SISWA'!B22</f>
        <v>`001</v>
      </c>
      <c r="C24" s="116" t="str">
        <f>'DATA SISWA'!C22</f>
        <v>Rofiah</v>
      </c>
      <c r="D24" s="116" t="str">
        <f>'DATA SISWA'!D22</f>
        <v>P</v>
      </c>
      <c r="E24" s="107" t="str">
        <f>'DATA SISWA'!E22</f>
        <v>VII</v>
      </c>
      <c r="F24" s="129">
        <v>3</v>
      </c>
      <c r="G24" s="129">
        <v>3</v>
      </c>
      <c r="H24" s="118">
        <f t="shared" si="0"/>
        <v>3</v>
      </c>
      <c r="I24" s="131" t="str">
        <f t="shared" si="1"/>
        <v/>
      </c>
      <c r="J24" s="129">
        <v>3</v>
      </c>
      <c r="K24" s="129">
        <v>3</v>
      </c>
      <c r="L24" s="129">
        <v>3</v>
      </c>
      <c r="M24" s="118">
        <f t="shared" si="2"/>
        <v>3</v>
      </c>
      <c r="N24" s="129">
        <v>2</v>
      </c>
      <c r="O24" s="129">
        <v>2</v>
      </c>
      <c r="P24" s="129">
        <v>3</v>
      </c>
      <c r="Q24" s="118">
        <f t="shared" si="3"/>
        <v>3</v>
      </c>
      <c r="R24" s="129">
        <v>3</v>
      </c>
      <c r="S24" s="129">
        <v>3</v>
      </c>
      <c r="T24" s="129">
        <v>3</v>
      </c>
      <c r="U24" s="118">
        <f t="shared" si="4"/>
        <v>3</v>
      </c>
      <c r="V24" s="129">
        <v>3</v>
      </c>
      <c r="W24" s="129">
        <v>3</v>
      </c>
      <c r="X24" s="129">
        <v>3</v>
      </c>
      <c r="Y24" s="118">
        <f t="shared" si="5"/>
        <v>3</v>
      </c>
      <c r="Z24" s="129">
        <v>3</v>
      </c>
      <c r="AA24" s="129">
        <v>3</v>
      </c>
      <c r="AB24" s="129">
        <v>3</v>
      </c>
      <c r="AC24" s="118">
        <f t="shared" si="6"/>
        <v>3</v>
      </c>
      <c r="AD24" s="129">
        <v>3</v>
      </c>
      <c r="AE24" s="129">
        <v>3</v>
      </c>
      <c r="AF24" s="129">
        <v>3</v>
      </c>
      <c r="AG24" s="118">
        <f t="shared" si="7"/>
        <v>3</v>
      </c>
      <c r="AH24" s="129">
        <v>3</v>
      </c>
      <c r="AI24" s="129">
        <v>3</v>
      </c>
      <c r="AJ24" s="129">
        <v>3</v>
      </c>
      <c r="AK24" s="118">
        <f t="shared" si="8"/>
        <v>3</v>
      </c>
      <c r="AL24" s="131" t="str">
        <f t="shared" si="9"/>
        <v/>
      </c>
    </row>
    <row r="25" spans="1:38" ht="15" customHeight="1">
      <c r="A25" s="107">
        <f>'DATA SISWA'!A23</f>
        <v>19</v>
      </c>
      <c r="B25" s="107" t="str">
        <f>'DATA SISWA'!B23</f>
        <v>`015</v>
      </c>
      <c r="C25" s="116" t="str">
        <f>'DATA SISWA'!C23</f>
        <v>Romliadi</v>
      </c>
      <c r="D25" s="116" t="str">
        <f>'DATA SISWA'!D23</f>
        <v>L</v>
      </c>
      <c r="E25" s="107" t="str">
        <f>'DATA SISWA'!E23</f>
        <v>VII</v>
      </c>
      <c r="F25" s="129">
        <v>3</v>
      </c>
      <c r="G25" s="129">
        <v>3</v>
      </c>
      <c r="H25" s="118">
        <f t="shared" si="0"/>
        <v>3</v>
      </c>
      <c r="I25" s="131" t="str">
        <f t="shared" si="1"/>
        <v/>
      </c>
      <c r="J25" s="129">
        <v>2</v>
      </c>
      <c r="K25" s="129">
        <v>3</v>
      </c>
      <c r="L25" s="129">
        <v>3</v>
      </c>
      <c r="M25" s="118">
        <f t="shared" si="2"/>
        <v>3</v>
      </c>
      <c r="N25" s="129">
        <v>2</v>
      </c>
      <c r="O25" s="129">
        <v>2</v>
      </c>
      <c r="P25" s="129">
        <v>3</v>
      </c>
      <c r="Q25" s="118">
        <f t="shared" si="3"/>
        <v>3</v>
      </c>
      <c r="R25" s="129">
        <v>3</v>
      </c>
      <c r="S25" s="129">
        <v>3</v>
      </c>
      <c r="T25" s="129">
        <v>3</v>
      </c>
      <c r="U25" s="118">
        <f t="shared" si="4"/>
        <v>3</v>
      </c>
      <c r="V25" s="129">
        <v>3</v>
      </c>
      <c r="W25" s="129">
        <v>3</v>
      </c>
      <c r="X25" s="129">
        <v>3</v>
      </c>
      <c r="Y25" s="118">
        <f t="shared" si="5"/>
        <v>3</v>
      </c>
      <c r="Z25" s="129">
        <v>3</v>
      </c>
      <c r="AA25" s="129">
        <v>3</v>
      </c>
      <c r="AB25" s="129">
        <v>3</v>
      </c>
      <c r="AC25" s="118">
        <f t="shared" si="6"/>
        <v>3</v>
      </c>
      <c r="AD25" s="129">
        <v>3</v>
      </c>
      <c r="AE25" s="129">
        <v>3</v>
      </c>
      <c r="AF25" s="129">
        <v>3</v>
      </c>
      <c r="AG25" s="118">
        <f t="shared" si="7"/>
        <v>3</v>
      </c>
      <c r="AH25" s="129">
        <v>3</v>
      </c>
      <c r="AI25" s="129">
        <v>3</v>
      </c>
      <c r="AJ25" s="129">
        <v>3</v>
      </c>
      <c r="AK25" s="118">
        <f t="shared" si="8"/>
        <v>3</v>
      </c>
      <c r="AL25" s="131" t="str">
        <f t="shared" si="9"/>
        <v/>
      </c>
    </row>
    <row r="26" spans="1:38" ht="15" customHeight="1">
      <c r="A26" s="107">
        <f>'DATA SISWA'!A24</f>
        <v>20</v>
      </c>
      <c r="B26" s="107" t="str">
        <f>'DATA SISWA'!B24</f>
        <v>`019</v>
      </c>
      <c r="C26" s="116" t="str">
        <f>'DATA SISWA'!C24</f>
        <v>Tammimah</v>
      </c>
      <c r="D26" s="116" t="str">
        <f>'DATA SISWA'!D24</f>
        <v>P</v>
      </c>
      <c r="E26" s="107" t="str">
        <f>'DATA SISWA'!E24</f>
        <v>VII</v>
      </c>
      <c r="F26" s="129"/>
      <c r="G26" s="129"/>
      <c r="H26" s="118" t="str">
        <f t="shared" si="0"/>
        <v/>
      </c>
      <c r="I26" s="131" t="str">
        <f t="shared" si="1"/>
        <v/>
      </c>
      <c r="J26" s="129"/>
      <c r="K26" s="129"/>
      <c r="L26" s="129"/>
      <c r="M26" s="118" t="str">
        <f t="shared" si="2"/>
        <v/>
      </c>
      <c r="N26" s="129"/>
      <c r="O26" s="129"/>
      <c r="P26" s="129"/>
      <c r="Q26" s="118" t="str">
        <f t="shared" si="3"/>
        <v/>
      </c>
      <c r="R26" s="129"/>
      <c r="S26" s="129"/>
      <c r="T26" s="129"/>
      <c r="U26" s="118" t="str">
        <f t="shared" si="4"/>
        <v/>
      </c>
      <c r="V26" s="129"/>
      <c r="W26" s="129"/>
      <c r="X26" s="129"/>
      <c r="Y26" s="118" t="str">
        <f t="shared" si="5"/>
        <v/>
      </c>
      <c r="Z26" s="129"/>
      <c r="AA26" s="129"/>
      <c r="AB26" s="129"/>
      <c r="AC26" s="118" t="str">
        <f t="shared" si="6"/>
        <v/>
      </c>
      <c r="AD26" s="129"/>
      <c r="AE26" s="129"/>
      <c r="AF26" s="129"/>
      <c r="AG26" s="118" t="str">
        <f t="shared" si="7"/>
        <v/>
      </c>
      <c r="AH26" s="129"/>
      <c r="AI26" s="129"/>
      <c r="AJ26" s="129"/>
      <c r="AK26" s="118" t="str">
        <f t="shared" si="8"/>
        <v/>
      </c>
      <c r="AL26" s="131" t="str">
        <f t="shared" si="9"/>
        <v/>
      </c>
    </row>
    <row r="27" spans="1:38" ht="15" customHeight="1">
      <c r="A27" s="107">
        <f>'DATA SISWA'!A25</f>
        <v>0</v>
      </c>
      <c r="B27" s="107">
        <f>'DATA SISWA'!B25</f>
        <v>0</v>
      </c>
      <c r="C27" s="116">
        <f>'DATA SISWA'!C25</f>
        <v>0</v>
      </c>
      <c r="D27" s="116">
        <f>'DATA SISWA'!D25</f>
        <v>0</v>
      </c>
      <c r="E27" s="107" t="str">
        <f>'DATA SISWA'!E25</f>
        <v>VII</v>
      </c>
      <c r="F27" s="129"/>
      <c r="G27" s="129"/>
      <c r="H27" s="118" t="str">
        <f t="shared" si="0"/>
        <v/>
      </c>
      <c r="I27" s="131" t="str">
        <f t="shared" si="1"/>
        <v/>
      </c>
      <c r="J27" s="129"/>
      <c r="K27" s="129"/>
      <c r="L27" s="129"/>
      <c r="M27" s="118" t="str">
        <f t="shared" si="2"/>
        <v/>
      </c>
      <c r="N27" s="129"/>
      <c r="O27" s="129"/>
      <c r="P27" s="129"/>
      <c r="Q27" s="118" t="str">
        <f t="shared" si="3"/>
        <v/>
      </c>
      <c r="R27" s="129"/>
      <c r="S27" s="129"/>
      <c r="T27" s="129"/>
      <c r="U27" s="118" t="str">
        <f t="shared" si="4"/>
        <v/>
      </c>
      <c r="V27" s="129"/>
      <c r="W27" s="129"/>
      <c r="X27" s="129"/>
      <c r="Y27" s="118" t="str">
        <f t="shared" si="5"/>
        <v/>
      </c>
      <c r="Z27" s="129"/>
      <c r="AA27" s="129"/>
      <c r="AB27" s="129"/>
      <c r="AC27" s="118" t="str">
        <f t="shared" si="6"/>
        <v/>
      </c>
      <c r="AD27" s="129"/>
      <c r="AE27" s="129"/>
      <c r="AF27" s="129"/>
      <c r="AG27" s="118" t="str">
        <f t="shared" si="7"/>
        <v/>
      </c>
      <c r="AH27" s="129"/>
      <c r="AI27" s="129"/>
      <c r="AJ27" s="129"/>
      <c r="AK27" s="118" t="str">
        <f t="shared" si="8"/>
        <v/>
      </c>
      <c r="AL27" s="131" t="str">
        <f t="shared" si="9"/>
        <v/>
      </c>
    </row>
    <row r="28" spans="1:38" ht="15" customHeight="1">
      <c r="A28" s="107">
        <f>'DATA SISWA'!A26</f>
        <v>0</v>
      </c>
      <c r="B28" s="107">
        <f>'DATA SISWA'!B26</f>
        <v>0</v>
      </c>
      <c r="C28" s="116">
        <f>'DATA SISWA'!C26</f>
        <v>0</v>
      </c>
      <c r="D28" s="116">
        <f>'DATA SISWA'!D26</f>
        <v>0</v>
      </c>
      <c r="E28" s="107" t="str">
        <f>'DATA SISWA'!E26</f>
        <v>VII</v>
      </c>
      <c r="F28" s="129"/>
      <c r="G28" s="129"/>
      <c r="H28" s="118" t="str">
        <f t="shared" si="0"/>
        <v/>
      </c>
      <c r="I28" s="131" t="str">
        <f t="shared" si="1"/>
        <v/>
      </c>
      <c r="J28" s="129"/>
      <c r="K28" s="129"/>
      <c r="L28" s="129"/>
      <c r="M28" s="118" t="str">
        <f t="shared" si="2"/>
        <v/>
      </c>
      <c r="N28" s="129"/>
      <c r="O28" s="129"/>
      <c r="P28" s="129"/>
      <c r="Q28" s="118" t="str">
        <f t="shared" si="3"/>
        <v/>
      </c>
      <c r="R28" s="129"/>
      <c r="S28" s="129"/>
      <c r="T28" s="129"/>
      <c r="U28" s="118" t="str">
        <f t="shared" si="4"/>
        <v/>
      </c>
      <c r="V28" s="129"/>
      <c r="W28" s="129"/>
      <c r="X28" s="129"/>
      <c r="Y28" s="118" t="str">
        <f t="shared" si="5"/>
        <v/>
      </c>
      <c r="Z28" s="129"/>
      <c r="AA28" s="129"/>
      <c r="AB28" s="129"/>
      <c r="AC28" s="118" t="str">
        <f t="shared" si="6"/>
        <v/>
      </c>
      <c r="AD28" s="129"/>
      <c r="AE28" s="129"/>
      <c r="AF28" s="129"/>
      <c r="AG28" s="118" t="str">
        <f t="shared" si="7"/>
        <v/>
      </c>
      <c r="AH28" s="129"/>
      <c r="AI28" s="129"/>
      <c r="AJ28" s="129"/>
      <c r="AK28" s="118" t="str">
        <f t="shared" si="8"/>
        <v/>
      </c>
      <c r="AL28" s="131" t="str">
        <f t="shared" si="9"/>
        <v/>
      </c>
    </row>
    <row r="29" spans="1:38" ht="15" customHeight="1">
      <c r="A29" s="107">
        <f>'DATA SISWA'!A27</f>
        <v>0</v>
      </c>
      <c r="B29" s="107">
        <f>'DATA SISWA'!B27</f>
        <v>0</v>
      </c>
      <c r="C29" s="116">
        <f>'DATA SISWA'!C27</f>
        <v>0</v>
      </c>
      <c r="D29" s="116">
        <f>'DATA SISWA'!D27</f>
        <v>0</v>
      </c>
      <c r="E29" s="107" t="str">
        <f>'DATA SISWA'!E27</f>
        <v>VII</v>
      </c>
      <c r="F29" s="129"/>
      <c r="G29" s="129"/>
      <c r="H29" s="118" t="str">
        <f t="shared" si="0"/>
        <v/>
      </c>
      <c r="I29" s="131" t="str">
        <f t="shared" si="1"/>
        <v/>
      </c>
      <c r="J29" s="129"/>
      <c r="K29" s="129"/>
      <c r="L29" s="129"/>
      <c r="M29" s="118" t="str">
        <f t="shared" si="2"/>
        <v/>
      </c>
      <c r="N29" s="129"/>
      <c r="O29" s="129"/>
      <c r="P29" s="129"/>
      <c r="Q29" s="118" t="str">
        <f t="shared" si="3"/>
        <v/>
      </c>
      <c r="R29" s="129"/>
      <c r="S29" s="129"/>
      <c r="T29" s="129"/>
      <c r="U29" s="118" t="str">
        <f t="shared" si="4"/>
        <v/>
      </c>
      <c r="V29" s="129"/>
      <c r="W29" s="129"/>
      <c r="X29" s="129"/>
      <c r="Y29" s="118" t="str">
        <f t="shared" si="5"/>
        <v/>
      </c>
      <c r="Z29" s="129"/>
      <c r="AA29" s="129"/>
      <c r="AB29" s="129"/>
      <c r="AC29" s="118" t="str">
        <f t="shared" si="6"/>
        <v/>
      </c>
      <c r="AD29" s="129"/>
      <c r="AE29" s="129"/>
      <c r="AF29" s="129"/>
      <c r="AG29" s="118" t="str">
        <f t="shared" si="7"/>
        <v/>
      </c>
      <c r="AH29" s="129"/>
      <c r="AI29" s="129"/>
      <c r="AJ29" s="129"/>
      <c r="AK29" s="118" t="str">
        <f t="shared" si="8"/>
        <v/>
      </c>
      <c r="AL29" s="131" t="str">
        <f t="shared" si="9"/>
        <v/>
      </c>
    </row>
    <row r="30" spans="1:38" ht="15" customHeight="1">
      <c r="A30" s="107">
        <f>'DATA SISWA'!A28</f>
        <v>0</v>
      </c>
      <c r="B30" s="107">
        <f>'DATA SISWA'!B28</f>
        <v>0</v>
      </c>
      <c r="C30" s="116">
        <f>'DATA SISWA'!C28</f>
        <v>0</v>
      </c>
      <c r="D30" s="116">
        <f>'DATA SISWA'!D28</f>
        <v>0</v>
      </c>
      <c r="E30" s="107" t="str">
        <f>'DATA SISWA'!E28</f>
        <v>VII</v>
      </c>
      <c r="F30" s="129"/>
      <c r="G30" s="129"/>
      <c r="H30" s="118" t="str">
        <f t="shared" si="0"/>
        <v/>
      </c>
      <c r="I30" s="131" t="str">
        <f t="shared" si="1"/>
        <v/>
      </c>
      <c r="J30" s="129"/>
      <c r="K30" s="129"/>
      <c r="L30" s="129"/>
      <c r="M30" s="118" t="str">
        <f t="shared" si="2"/>
        <v/>
      </c>
      <c r="N30" s="129"/>
      <c r="O30" s="129"/>
      <c r="P30" s="129"/>
      <c r="Q30" s="118" t="str">
        <f t="shared" si="3"/>
        <v/>
      </c>
      <c r="R30" s="129"/>
      <c r="S30" s="129"/>
      <c r="T30" s="129"/>
      <c r="U30" s="118" t="str">
        <f t="shared" si="4"/>
        <v/>
      </c>
      <c r="V30" s="129"/>
      <c r="W30" s="129"/>
      <c r="X30" s="129"/>
      <c r="Y30" s="118" t="str">
        <f t="shared" si="5"/>
        <v/>
      </c>
      <c r="Z30" s="129"/>
      <c r="AA30" s="129"/>
      <c r="AB30" s="129"/>
      <c r="AC30" s="118" t="str">
        <f t="shared" si="6"/>
        <v/>
      </c>
      <c r="AD30" s="129"/>
      <c r="AE30" s="129"/>
      <c r="AF30" s="129"/>
      <c r="AG30" s="118" t="str">
        <f t="shared" si="7"/>
        <v/>
      </c>
      <c r="AH30" s="129"/>
      <c r="AI30" s="129"/>
      <c r="AJ30" s="129"/>
      <c r="AK30" s="118" t="str">
        <f t="shared" si="8"/>
        <v/>
      </c>
      <c r="AL30" s="131" t="str">
        <f t="shared" si="9"/>
        <v/>
      </c>
    </row>
    <row r="31" spans="1:38" ht="15" customHeight="1">
      <c r="A31" s="107">
        <f>'DATA SISWA'!A29</f>
        <v>0</v>
      </c>
      <c r="B31" s="107">
        <f>'DATA SISWA'!B29</f>
        <v>0</v>
      </c>
      <c r="C31" s="116">
        <f>'DATA SISWA'!C29</f>
        <v>0</v>
      </c>
      <c r="D31" s="116">
        <f>'DATA SISWA'!D29</f>
        <v>0</v>
      </c>
      <c r="E31" s="107" t="str">
        <f>'DATA SISWA'!E29</f>
        <v>VII</v>
      </c>
      <c r="F31" s="129"/>
      <c r="G31" s="129"/>
      <c r="H31" s="118" t="str">
        <f t="shared" si="0"/>
        <v/>
      </c>
      <c r="I31" s="131" t="str">
        <f t="shared" si="1"/>
        <v/>
      </c>
      <c r="J31" s="129"/>
      <c r="K31" s="129"/>
      <c r="L31" s="129"/>
      <c r="M31" s="118" t="str">
        <f t="shared" si="2"/>
        <v/>
      </c>
      <c r="N31" s="129"/>
      <c r="O31" s="129"/>
      <c r="P31" s="129"/>
      <c r="Q31" s="118" t="str">
        <f t="shared" si="3"/>
        <v/>
      </c>
      <c r="R31" s="129"/>
      <c r="S31" s="129"/>
      <c r="T31" s="129"/>
      <c r="U31" s="118" t="str">
        <f t="shared" si="4"/>
        <v/>
      </c>
      <c r="V31" s="129"/>
      <c r="W31" s="129"/>
      <c r="X31" s="129"/>
      <c r="Y31" s="118" t="str">
        <f t="shared" si="5"/>
        <v/>
      </c>
      <c r="Z31" s="129"/>
      <c r="AA31" s="129"/>
      <c r="AB31" s="129"/>
      <c r="AC31" s="118" t="str">
        <f t="shared" si="6"/>
        <v/>
      </c>
      <c r="AD31" s="129"/>
      <c r="AE31" s="129"/>
      <c r="AF31" s="129"/>
      <c r="AG31" s="118" t="str">
        <f t="shared" si="7"/>
        <v/>
      </c>
      <c r="AH31" s="129"/>
      <c r="AI31" s="129"/>
      <c r="AJ31" s="129"/>
      <c r="AK31" s="118" t="str">
        <f t="shared" si="8"/>
        <v/>
      </c>
      <c r="AL31" s="131" t="str">
        <f t="shared" si="9"/>
        <v/>
      </c>
    </row>
    <row r="32" spans="1:38" ht="15" customHeight="1">
      <c r="A32" s="107">
        <f>'DATA SISWA'!A30</f>
        <v>0</v>
      </c>
      <c r="B32" s="107">
        <f>'DATA SISWA'!B30</f>
        <v>0</v>
      </c>
      <c r="C32" s="116">
        <f>'DATA SISWA'!C30</f>
        <v>0</v>
      </c>
      <c r="D32" s="116">
        <f>'DATA SISWA'!D30</f>
        <v>0</v>
      </c>
      <c r="E32" s="107" t="str">
        <f>'DATA SISWA'!E30</f>
        <v>VII</v>
      </c>
      <c r="F32" s="129"/>
      <c r="G32" s="129"/>
      <c r="H32" s="118" t="str">
        <f t="shared" si="0"/>
        <v/>
      </c>
      <c r="I32" s="131" t="str">
        <f t="shared" si="1"/>
        <v/>
      </c>
      <c r="J32" s="129"/>
      <c r="K32" s="129"/>
      <c r="L32" s="129"/>
      <c r="M32" s="118" t="str">
        <f t="shared" si="2"/>
        <v/>
      </c>
      <c r="N32" s="129"/>
      <c r="O32" s="129"/>
      <c r="P32" s="129"/>
      <c r="Q32" s="118" t="str">
        <f t="shared" si="3"/>
        <v/>
      </c>
      <c r="R32" s="129"/>
      <c r="S32" s="129"/>
      <c r="T32" s="129"/>
      <c r="U32" s="118" t="str">
        <f t="shared" si="4"/>
        <v/>
      </c>
      <c r="V32" s="129"/>
      <c r="W32" s="129"/>
      <c r="X32" s="129"/>
      <c r="Y32" s="118" t="str">
        <f t="shared" si="5"/>
        <v/>
      </c>
      <c r="Z32" s="129"/>
      <c r="AA32" s="129"/>
      <c r="AB32" s="129"/>
      <c r="AC32" s="118" t="str">
        <f t="shared" si="6"/>
        <v/>
      </c>
      <c r="AD32" s="129"/>
      <c r="AE32" s="129"/>
      <c r="AF32" s="129"/>
      <c r="AG32" s="118" t="str">
        <f t="shared" si="7"/>
        <v/>
      </c>
      <c r="AH32" s="129"/>
      <c r="AI32" s="129"/>
      <c r="AJ32" s="129"/>
      <c r="AK32" s="118" t="str">
        <f t="shared" si="8"/>
        <v/>
      </c>
      <c r="AL32" s="131" t="str">
        <f t="shared" si="9"/>
        <v/>
      </c>
    </row>
    <row r="33" spans="1:38" ht="15" customHeight="1">
      <c r="A33" s="107">
        <f>'DATA SISWA'!A31</f>
        <v>0</v>
      </c>
      <c r="B33" s="107">
        <f>'DATA SISWA'!B31</f>
        <v>0</v>
      </c>
      <c r="C33" s="116">
        <f>'DATA SISWA'!C31</f>
        <v>0</v>
      </c>
      <c r="D33" s="116">
        <f>'DATA SISWA'!D31</f>
        <v>0</v>
      </c>
      <c r="E33" s="107" t="str">
        <f>'DATA SISWA'!E31</f>
        <v>VII</v>
      </c>
      <c r="F33" s="129"/>
      <c r="G33" s="129"/>
      <c r="H33" s="118" t="str">
        <f t="shared" si="0"/>
        <v/>
      </c>
      <c r="I33" s="131" t="str">
        <f t="shared" si="1"/>
        <v/>
      </c>
      <c r="J33" s="129"/>
      <c r="K33" s="129"/>
      <c r="L33" s="129"/>
      <c r="M33" s="118" t="str">
        <f t="shared" si="2"/>
        <v/>
      </c>
      <c r="N33" s="129"/>
      <c r="O33" s="129"/>
      <c r="P33" s="129"/>
      <c r="Q33" s="118" t="str">
        <f t="shared" si="3"/>
        <v/>
      </c>
      <c r="R33" s="129"/>
      <c r="S33" s="129"/>
      <c r="T33" s="129"/>
      <c r="U33" s="118" t="str">
        <f t="shared" si="4"/>
        <v/>
      </c>
      <c r="V33" s="129"/>
      <c r="W33" s="129"/>
      <c r="X33" s="129"/>
      <c r="Y33" s="118" t="str">
        <f t="shared" si="5"/>
        <v/>
      </c>
      <c r="Z33" s="129"/>
      <c r="AA33" s="129"/>
      <c r="AB33" s="129"/>
      <c r="AC33" s="118" t="str">
        <f t="shared" si="6"/>
        <v/>
      </c>
      <c r="AD33" s="129"/>
      <c r="AE33" s="129"/>
      <c r="AF33" s="129"/>
      <c r="AG33" s="118" t="str">
        <f t="shared" si="7"/>
        <v/>
      </c>
      <c r="AH33" s="129"/>
      <c r="AI33" s="129"/>
      <c r="AJ33" s="129"/>
      <c r="AK33" s="118" t="str">
        <f t="shared" si="8"/>
        <v/>
      </c>
      <c r="AL33" s="131" t="str">
        <f t="shared" si="9"/>
        <v/>
      </c>
    </row>
    <row r="34" spans="1:38" ht="15" customHeight="1">
      <c r="A34" s="107">
        <f>'DATA SISWA'!A32</f>
        <v>0</v>
      </c>
      <c r="B34" s="107">
        <f>'DATA SISWA'!B32</f>
        <v>0</v>
      </c>
      <c r="C34" s="116">
        <f>'DATA SISWA'!C32</f>
        <v>0</v>
      </c>
      <c r="D34" s="116">
        <f>'DATA SISWA'!D32</f>
        <v>0</v>
      </c>
      <c r="E34" s="107" t="str">
        <f>'DATA SISWA'!E32</f>
        <v>VII</v>
      </c>
      <c r="F34" s="129"/>
      <c r="G34" s="129"/>
      <c r="H34" s="118" t="str">
        <f t="shared" si="0"/>
        <v/>
      </c>
      <c r="I34" s="131" t="str">
        <f t="shared" si="1"/>
        <v/>
      </c>
      <c r="J34" s="129"/>
      <c r="K34" s="129"/>
      <c r="L34" s="129"/>
      <c r="M34" s="118" t="str">
        <f t="shared" si="2"/>
        <v/>
      </c>
      <c r="N34" s="129"/>
      <c r="O34" s="129"/>
      <c r="P34" s="129"/>
      <c r="Q34" s="118" t="str">
        <f t="shared" si="3"/>
        <v/>
      </c>
      <c r="R34" s="129"/>
      <c r="S34" s="129"/>
      <c r="T34" s="129"/>
      <c r="U34" s="118" t="str">
        <f t="shared" si="4"/>
        <v/>
      </c>
      <c r="V34" s="129"/>
      <c r="W34" s="129"/>
      <c r="X34" s="129"/>
      <c r="Y34" s="118" t="str">
        <f t="shared" si="5"/>
        <v/>
      </c>
      <c r="Z34" s="129"/>
      <c r="AA34" s="129"/>
      <c r="AB34" s="129"/>
      <c r="AC34" s="118" t="str">
        <f t="shared" si="6"/>
        <v/>
      </c>
      <c r="AD34" s="129"/>
      <c r="AE34" s="129"/>
      <c r="AF34" s="129"/>
      <c r="AG34" s="118" t="str">
        <f t="shared" si="7"/>
        <v/>
      </c>
      <c r="AH34" s="129"/>
      <c r="AI34" s="129"/>
      <c r="AJ34" s="129"/>
      <c r="AK34" s="118" t="str">
        <f t="shared" si="8"/>
        <v/>
      </c>
      <c r="AL34" s="131" t="str">
        <f t="shared" si="9"/>
        <v/>
      </c>
    </row>
    <row r="35" spans="1:38" ht="15" customHeight="1">
      <c r="A35" s="107">
        <f>'DATA SISWA'!A33</f>
        <v>0</v>
      </c>
      <c r="B35" s="107">
        <f>'DATA SISWA'!B33</f>
        <v>0</v>
      </c>
      <c r="C35" s="116">
        <f>'DATA SISWA'!C33</f>
        <v>0</v>
      </c>
      <c r="D35" s="116">
        <f>'DATA SISWA'!D33</f>
        <v>0</v>
      </c>
      <c r="E35" s="107" t="str">
        <f>'DATA SISWA'!E33</f>
        <v>VII</v>
      </c>
      <c r="F35" s="129"/>
      <c r="G35" s="129"/>
      <c r="H35" s="118" t="str">
        <f t="shared" si="0"/>
        <v/>
      </c>
      <c r="I35" s="131" t="str">
        <f t="shared" si="1"/>
        <v/>
      </c>
      <c r="J35" s="129"/>
      <c r="K35" s="129"/>
      <c r="L35" s="129"/>
      <c r="M35" s="118" t="str">
        <f t="shared" si="2"/>
        <v/>
      </c>
      <c r="N35" s="129"/>
      <c r="O35" s="129"/>
      <c r="P35" s="129"/>
      <c r="Q35" s="118" t="str">
        <f t="shared" si="3"/>
        <v/>
      </c>
      <c r="R35" s="129"/>
      <c r="S35" s="129"/>
      <c r="T35" s="129"/>
      <c r="U35" s="118" t="str">
        <f t="shared" si="4"/>
        <v/>
      </c>
      <c r="V35" s="129"/>
      <c r="W35" s="129"/>
      <c r="X35" s="129"/>
      <c r="Y35" s="118" t="str">
        <f t="shared" si="5"/>
        <v/>
      </c>
      <c r="Z35" s="129"/>
      <c r="AA35" s="129"/>
      <c r="AB35" s="129"/>
      <c r="AC35" s="118" t="str">
        <f t="shared" si="6"/>
        <v/>
      </c>
      <c r="AD35" s="129"/>
      <c r="AE35" s="129"/>
      <c r="AF35" s="129"/>
      <c r="AG35" s="118" t="str">
        <f t="shared" si="7"/>
        <v/>
      </c>
      <c r="AH35" s="129"/>
      <c r="AI35" s="129"/>
      <c r="AJ35" s="129"/>
      <c r="AK35" s="118" t="str">
        <f t="shared" si="8"/>
        <v/>
      </c>
      <c r="AL35" s="131" t="str">
        <f t="shared" si="9"/>
        <v/>
      </c>
    </row>
    <row r="36" spans="1:38" ht="15" customHeight="1">
      <c r="A36" s="107">
        <f>'DATA SISWA'!A34</f>
        <v>0</v>
      </c>
      <c r="B36" s="107">
        <f>'DATA SISWA'!B34</f>
        <v>0</v>
      </c>
      <c r="C36" s="116">
        <f>'DATA SISWA'!C34</f>
        <v>0</v>
      </c>
      <c r="D36" s="116">
        <f>'DATA SISWA'!D34</f>
        <v>0</v>
      </c>
      <c r="E36" s="107" t="str">
        <f>'DATA SISWA'!E34</f>
        <v>VII</v>
      </c>
      <c r="F36" s="129"/>
      <c r="G36" s="129"/>
      <c r="H36" s="118" t="str">
        <f t="shared" si="0"/>
        <v/>
      </c>
      <c r="I36" s="131" t="str">
        <f t="shared" si="1"/>
        <v/>
      </c>
      <c r="J36" s="129"/>
      <c r="K36" s="129"/>
      <c r="L36" s="129"/>
      <c r="M36" s="118" t="str">
        <f t="shared" si="2"/>
        <v/>
      </c>
      <c r="N36" s="129"/>
      <c r="O36" s="129"/>
      <c r="P36" s="129"/>
      <c r="Q36" s="118" t="str">
        <f t="shared" si="3"/>
        <v/>
      </c>
      <c r="R36" s="129"/>
      <c r="S36" s="129"/>
      <c r="T36" s="129"/>
      <c r="U36" s="118" t="str">
        <f t="shared" si="4"/>
        <v/>
      </c>
      <c r="V36" s="129"/>
      <c r="W36" s="129"/>
      <c r="X36" s="129"/>
      <c r="Y36" s="118" t="str">
        <f t="shared" si="5"/>
        <v/>
      </c>
      <c r="Z36" s="129"/>
      <c r="AA36" s="129"/>
      <c r="AB36" s="129"/>
      <c r="AC36" s="118" t="str">
        <f t="shared" si="6"/>
        <v/>
      </c>
      <c r="AD36" s="129"/>
      <c r="AE36" s="129"/>
      <c r="AF36" s="129"/>
      <c r="AG36" s="118" t="str">
        <f t="shared" si="7"/>
        <v/>
      </c>
      <c r="AH36" s="129"/>
      <c r="AI36" s="129"/>
      <c r="AJ36" s="129"/>
      <c r="AK36" s="118" t="str">
        <f t="shared" si="8"/>
        <v/>
      </c>
      <c r="AL36" s="131" t="str">
        <f t="shared" si="9"/>
        <v/>
      </c>
    </row>
    <row r="37" spans="1:38" ht="15" customHeight="1">
      <c r="A37" s="107">
        <f>'DATA SISWA'!A35</f>
        <v>0</v>
      </c>
      <c r="B37" s="107">
        <f>'DATA SISWA'!B35</f>
        <v>0</v>
      </c>
      <c r="C37" s="116">
        <f>'DATA SISWA'!C35</f>
        <v>0</v>
      </c>
      <c r="D37" s="116">
        <f>'DATA SISWA'!D35</f>
        <v>0</v>
      </c>
      <c r="E37" s="107" t="str">
        <f>'DATA SISWA'!E35</f>
        <v>VII</v>
      </c>
      <c r="F37" s="129"/>
      <c r="G37" s="129"/>
      <c r="H37" s="118" t="str">
        <f t="shared" si="0"/>
        <v/>
      </c>
      <c r="I37" s="131" t="str">
        <f t="shared" si="1"/>
        <v/>
      </c>
      <c r="J37" s="129"/>
      <c r="K37" s="129"/>
      <c r="L37" s="129"/>
      <c r="M37" s="118" t="str">
        <f t="shared" si="2"/>
        <v/>
      </c>
      <c r="N37" s="129"/>
      <c r="O37" s="129"/>
      <c r="P37" s="129"/>
      <c r="Q37" s="118" t="str">
        <f t="shared" si="3"/>
        <v/>
      </c>
      <c r="R37" s="129"/>
      <c r="S37" s="129"/>
      <c r="T37" s="129"/>
      <c r="U37" s="118" t="str">
        <f t="shared" si="4"/>
        <v/>
      </c>
      <c r="V37" s="129"/>
      <c r="W37" s="129"/>
      <c r="X37" s="129"/>
      <c r="Y37" s="118" t="str">
        <f t="shared" si="5"/>
        <v/>
      </c>
      <c r="Z37" s="129"/>
      <c r="AA37" s="129"/>
      <c r="AB37" s="129"/>
      <c r="AC37" s="118" t="str">
        <f t="shared" si="6"/>
        <v/>
      </c>
      <c r="AD37" s="129"/>
      <c r="AE37" s="129"/>
      <c r="AF37" s="129"/>
      <c r="AG37" s="118" t="str">
        <f t="shared" si="7"/>
        <v/>
      </c>
      <c r="AH37" s="129"/>
      <c r="AI37" s="129"/>
      <c r="AJ37" s="129"/>
      <c r="AK37" s="118" t="str">
        <f t="shared" si="8"/>
        <v/>
      </c>
      <c r="AL37" s="131" t="str">
        <f t="shared" si="9"/>
        <v/>
      </c>
    </row>
    <row r="38" spans="1:38" ht="15" customHeight="1">
      <c r="A38" s="107">
        <f>'DATA SISWA'!A36</f>
        <v>0</v>
      </c>
      <c r="B38" s="107">
        <f>'DATA SISWA'!B36</f>
        <v>0</v>
      </c>
      <c r="C38" s="116">
        <f>'DATA SISWA'!C36</f>
        <v>0</v>
      </c>
      <c r="D38" s="116">
        <f>'DATA SISWA'!D36</f>
        <v>0</v>
      </c>
      <c r="E38" s="107" t="str">
        <f>'DATA SISWA'!E36</f>
        <v>VII</v>
      </c>
      <c r="F38" s="129"/>
      <c r="G38" s="129"/>
      <c r="H38" s="118" t="str">
        <f t="shared" si="0"/>
        <v/>
      </c>
      <c r="I38" s="131" t="str">
        <f t="shared" si="1"/>
        <v/>
      </c>
      <c r="J38" s="129"/>
      <c r="K38" s="129"/>
      <c r="L38" s="129"/>
      <c r="M38" s="118" t="str">
        <f t="shared" si="2"/>
        <v/>
      </c>
      <c r="N38" s="129"/>
      <c r="O38" s="129"/>
      <c r="P38" s="129"/>
      <c r="Q38" s="118" t="str">
        <f t="shared" si="3"/>
        <v/>
      </c>
      <c r="R38" s="129"/>
      <c r="S38" s="129"/>
      <c r="T38" s="129"/>
      <c r="U38" s="118" t="str">
        <f t="shared" si="4"/>
        <v/>
      </c>
      <c r="V38" s="129"/>
      <c r="W38" s="129"/>
      <c r="X38" s="129"/>
      <c r="Y38" s="118" t="str">
        <f t="shared" si="5"/>
        <v/>
      </c>
      <c r="Z38" s="129"/>
      <c r="AA38" s="129"/>
      <c r="AB38" s="129"/>
      <c r="AC38" s="118" t="str">
        <f t="shared" si="6"/>
        <v/>
      </c>
      <c r="AD38" s="129"/>
      <c r="AE38" s="129"/>
      <c r="AF38" s="129"/>
      <c r="AG38" s="118" t="str">
        <f t="shared" si="7"/>
        <v/>
      </c>
      <c r="AH38" s="129"/>
      <c r="AI38" s="129"/>
      <c r="AJ38" s="129"/>
      <c r="AK38" s="118" t="str">
        <f t="shared" si="8"/>
        <v/>
      </c>
      <c r="AL38" s="131" t="str">
        <f t="shared" si="9"/>
        <v/>
      </c>
    </row>
    <row r="39" spans="1:38" ht="15" customHeight="1">
      <c r="A39" s="107">
        <f>'DATA SISWA'!A37</f>
        <v>0</v>
      </c>
      <c r="B39" s="107">
        <f>'DATA SISWA'!B37</f>
        <v>0</v>
      </c>
      <c r="C39" s="116">
        <f>'DATA SISWA'!C37</f>
        <v>0</v>
      </c>
      <c r="D39" s="116">
        <f>'DATA SISWA'!D37</f>
        <v>0</v>
      </c>
      <c r="E39" s="107" t="str">
        <f>'DATA SISWA'!E37</f>
        <v>VII</v>
      </c>
      <c r="F39" s="129"/>
      <c r="G39" s="129"/>
      <c r="H39" s="118" t="str">
        <f t="shared" si="0"/>
        <v/>
      </c>
      <c r="I39" s="131" t="str">
        <f t="shared" si="1"/>
        <v/>
      </c>
      <c r="J39" s="129"/>
      <c r="K39" s="129"/>
      <c r="L39" s="129"/>
      <c r="M39" s="118" t="str">
        <f t="shared" si="2"/>
        <v/>
      </c>
      <c r="N39" s="129"/>
      <c r="O39" s="129"/>
      <c r="P39" s="129"/>
      <c r="Q39" s="118" t="str">
        <f t="shared" si="3"/>
        <v/>
      </c>
      <c r="R39" s="129"/>
      <c r="S39" s="129"/>
      <c r="T39" s="129"/>
      <c r="U39" s="118" t="str">
        <f t="shared" si="4"/>
        <v/>
      </c>
      <c r="V39" s="129"/>
      <c r="W39" s="129"/>
      <c r="X39" s="129"/>
      <c r="Y39" s="118" t="str">
        <f t="shared" si="5"/>
        <v/>
      </c>
      <c r="Z39" s="129"/>
      <c r="AA39" s="129"/>
      <c r="AB39" s="129"/>
      <c r="AC39" s="118" t="str">
        <f t="shared" si="6"/>
        <v/>
      </c>
      <c r="AD39" s="129"/>
      <c r="AE39" s="129"/>
      <c r="AF39" s="129"/>
      <c r="AG39" s="118" t="str">
        <f t="shared" si="7"/>
        <v/>
      </c>
      <c r="AH39" s="129"/>
      <c r="AI39" s="129"/>
      <c r="AJ39" s="129"/>
      <c r="AK39" s="118" t="str">
        <f t="shared" si="8"/>
        <v/>
      </c>
      <c r="AL39" s="131" t="str">
        <f t="shared" si="9"/>
        <v/>
      </c>
    </row>
    <row r="40" spans="1:38" ht="15" customHeight="1">
      <c r="A40" s="107">
        <f>'DATA SISWA'!A38</f>
        <v>0</v>
      </c>
      <c r="B40" s="107">
        <f>'DATA SISWA'!B38</f>
        <v>0</v>
      </c>
      <c r="C40" s="116">
        <f>'DATA SISWA'!C38</f>
        <v>0</v>
      </c>
      <c r="D40" s="116">
        <f>'DATA SISWA'!D38</f>
        <v>0</v>
      </c>
      <c r="E40" s="107" t="str">
        <f>'DATA SISWA'!E38</f>
        <v>VII</v>
      </c>
      <c r="F40" s="129"/>
      <c r="G40" s="129"/>
      <c r="H40" s="118" t="str">
        <f t="shared" si="0"/>
        <v/>
      </c>
      <c r="I40" s="131" t="str">
        <f t="shared" si="1"/>
        <v/>
      </c>
      <c r="J40" s="129"/>
      <c r="K40" s="129"/>
      <c r="L40" s="129"/>
      <c r="M40" s="118" t="str">
        <f t="shared" si="2"/>
        <v/>
      </c>
      <c r="N40" s="129"/>
      <c r="O40" s="129"/>
      <c r="P40" s="129"/>
      <c r="Q40" s="118" t="str">
        <f t="shared" si="3"/>
        <v/>
      </c>
      <c r="R40" s="129"/>
      <c r="S40" s="129"/>
      <c r="T40" s="129"/>
      <c r="U40" s="118" t="str">
        <f t="shared" si="4"/>
        <v/>
      </c>
      <c r="V40" s="129"/>
      <c r="W40" s="129"/>
      <c r="X40" s="129"/>
      <c r="Y40" s="118" t="str">
        <f t="shared" si="5"/>
        <v/>
      </c>
      <c r="Z40" s="129"/>
      <c r="AA40" s="129"/>
      <c r="AB40" s="129"/>
      <c r="AC40" s="118" t="str">
        <f t="shared" si="6"/>
        <v/>
      </c>
      <c r="AD40" s="129"/>
      <c r="AE40" s="129"/>
      <c r="AF40" s="129"/>
      <c r="AG40" s="118" t="str">
        <f t="shared" si="7"/>
        <v/>
      </c>
      <c r="AH40" s="129"/>
      <c r="AI40" s="129"/>
      <c r="AJ40" s="129"/>
      <c r="AK40" s="118" t="str">
        <f t="shared" si="8"/>
        <v/>
      </c>
      <c r="AL40" s="131" t="str">
        <f t="shared" si="9"/>
        <v/>
      </c>
    </row>
    <row r="41" spans="1:38" ht="15" customHeight="1">
      <c r="A41" s="107">
        <f>'DATA SISWA'!A39</f>
        <v>0</v>
      </c>
      <c r="B41" s="107">
        <f>'DATA SISWA'!B39</f>
        <v>0</v>
      </c>
      <c r="C41" s="116">
        <f>'DATA SISWA'!C39</f>
        <v>0</v>
      </c>
      <c r="D41" s="116">
        <f>'DATA SISWA'!D39</f>
        <v>0</v>
      </c>
      <c r="E41" s="107" t="str">
        <f>'DATA SISWA'!E39</f>
        <v>VII</v>
      </c>
      <c r="F41" s="129"/>
      <c r="G41" s="129"/>
      <c r="H41" s="118" t="str">
        <f t="shared" si="0"/>
        <v/>
      </c>
      <c r="I41" s="131" t="str">
        <f t="shared" si="1"/>
        <v/>
      </c>
      <c r="J41" s="129"/>
      <c r="K41" s="129"/>
      <c r="L41" s="129"/>
      <c r="M41" s="118" t="str">
        <f t="shared" si="2"/>
        <v/>
      </c>
      <c r="N41" s="129"/>
      <c r="O41" s="129"/>
      <c r="P41" s="129"/>
      <c r="Q41" s="118" t="str">
        <f t="shared" si="3"/>
        <v/>
      </c>
      <c r="R41" s="129"/>
      <c r="S41" s="129"/>
      <c r="T41" s="129"/>
      <c r="U41" s="118" t="str">
        <f t="shared" si="4"/>
        <v/>
      </c>
      <c r="V41" s="129"/>
      <c r="W41" s="129"/>
      <c r="X41" s="129"/>
      <c r="Y41" s="118" t="str">
        <f t="shared" si="5"/>
        <v/>
      </c>
      <c r="Z41" s="129"/>
      <c r="AA41" s="129"/>
      <c r="AB41" s="129"/>
      <c r="AC41" s="118" t="str">
        <f t="shared" si="6"/>
        <v/>
      </c>
      <c r="AD41" s="129"/>
      <c r="AE41" s="129"/>
      <c r="AF41" s="129"/>
      <c r="AG41" s="118" t="str">
        <f t="shared" si="7"/>
        <v/>
      </c>
      <c r="AH41" s="129"/>
      <c r="AI41" s="129"/>
      <c r="AJ41" s="129"/>
      <c r="AK41" s="118" t="str">
        <f t="shared" si="8"/>
        <v/>
      </c>
      <c r="AL41" s="131" t="str">
        <f t="shared" si="9"/>
        <v/>
      </c>
    </row>
    <row r="42" spans="1:38" ht="15" customHeight="1">
      <c r="A42" s="107">
        <f>'DATA SISWA'!A40</f>
        <v>0</v>
      </c>
      <c r="B42" s="107">
        <f>'DATA SISWA'!B40</f>
        <v>0</v>
      </c>
      <c r="C42" s="116">
        <f>'DATA SISWA'!C40</f>
        <v>0</v>
      </c>
      <c r="D42" s="116">
        <f>'DATA SISWA'!D40</f>
        <v>0</v>
      </c>
      <c r="E42" s="107" t="str">
        <f>'DATA SISWA'!E40</f>
        <v>VII</v>
      </c>
      <c r="F42" s="129"/>
      <c r="G42" s="129"/>
      <c r="H42" s="118" t="str">
        <f t="shared" si="0"/>
        <v/>
      </c>
      <c r="I42" s="131" t="str">
        <f t="shared" si="1"/>
        <v/>
      </c>
      <c r="J42" s="129"/>
      <c r="K42" s="129"/>
      <c r="L42" s="129"/>
      <c r="M42" s="118" t="str">
        <f t="shared" si="2"/>
        <v/>
      </c>
      <c r="N42" s="129"/>
      <c r="O42" s="129"/>
      <c r="P42" s="129"/>
      <c r="Q42" s="118" t="str">
        <f t="shared" si="3"/>
        <v/>
      </c>
      <c r="R42" s="129"/>
      <c r="S42" s="129"/>
      <c r="T42" s="129"/>
      <c r="U42" s="118" t="str">
        <f t="shared" si="4"/>
        <v/>
      </c>
      <c r="V42" s="129"/>
      <c r="W42" s="129"/>
      <c r="X42" s="129"/>
      <c r="Y42" s="118" t="str">
        <f t="shared" si="5"/>
        <v/>
      </c>
      <c r="Z42" s="129"/>
      <c r="AA42" s="129"/>
      <c r="AB42" s="129"/>
      <c r="AC42" s="118" t="str">
        <f t="shared" si="6"/>
        <v/>
      </c>
      <c r="AD42" s="129"/>
      <c r="AE42" s="129"/>
      <c r="AF42" s="129"/>
      <c r="AG42" s="118" t="str">
        <f t="shared" si="7"/>
        <v/>
      </c>
      <c r="AH42" s="129"/>
      <c r="AI42" s="129"/>
      <c r="AJ42" s="129"/>
      <c r="AK42" s="118" t="str">
        <f t="shared" si="8"/>
        <v/>
      </c>
      <c r="AL42" s="131" t="str">
        <f t="shared" si="9"/>
        <v/>
      </c>
    </row>
    <row r="43" spans="1:38" ht="15" customHeight="1">
      <c r="A43" s="107">
        <f>'DATA SISWA'!A41</f>
        <v>0</v>
      </c>
      <c r="B43" s="107">
        <f>'DATA SISWA'!B41</f>
        <v>0</v>
      </c>
      <c r="C43" s="116">
        <f>'DATA SISWA'!C41</f>
        <v>0</v>
      </c>
      <c r="D43" s="116">
        <f>'DATA SISWA'!D41</f>
        <v>0</v>
      </c>
      <c r="E43" s="107" t="str">
        <f>'DATA SISWA'!E41</f>
        <v>VII</v>
      </c>
      <c r="F43" s="129"/>
      <c r="G43" s="129"/>
      <c r="H43" s="118" t="str">
        <f t="shared" si="0"/>
        <v/>
      </c>
      <c r="I43" s="131" t="str">
        <f t="shared" si="1"/>
        <v/>
      </c>
      <c r="J43" s="129"/>
      <c r="K43" s="129"/>
      <c r="L43" s="129"/>
      <c r="M43" s="118" t="str">
        <f t="shared" si="2"/>
        <v/>
      </c>
      <c r="N43" s="129"/>
      <c r="O43" s="129"/>
      <c r="P43" s="129"/>
      <c r="Q43" s="118" t="str">
        <f t="shared" si="3"/>
        <v/>
      </c>
      <c r="R43" s="129"/>
      <c r="S43" s="129"/>
      <c r="T43" s="129"/>
      <c r="U43" s="118" t="str">
        <f t="shared" si="4"/>
        <v/>
      </c>
      <c r="V43" s="129"/>
      <c r="W43" s="129"/>
      <c r="X43" s="129"/>
      <c r="Y43" s="118" t="str">
        <f t="shared" si="5"/>
        <v/>
      </c>
      <c r="Z43" s="129"/>
      <c r="AA43" s="129"/>
      <c r="AB43" s="129"/>
      <c r="AC43" s="118" t="str">
        <f t="shared" si="6"/>
        <v/>
      </c>
      <c r="AD43" s="129"/>
      <c r="AE43" s="129"/>
      <c r="AF43" s="129"/>
      <c r="AG43" s="118" t="str">
        <f t="shared" si="7"/>
        <v/>
      </c>
      <c r="AH43" s="129"/>
      <c r="AI43" s="129"/>
      <c r="AJ43" s="129"/>
      <c r="AK43" s="118" t="str">
        <f t="shared" si="8"/>
        <v/>
      </c>
      <c r="AL43" s="131" t="str">
        <f t="shared" si="9"/>
        <v/>
      </c>
    </row>
    <row r="44" spans="1:38" ht="15" customHeight="1">
      <c r="A44" s="107">
        <f>'DATA SISWA'!A42</f>
        <v>0</v>
      </c>
      <c r="B44" s="107">
        <f>'DATA SISWA'!B42</f>
        <v>0</v>
      </c>
      <c r="C44" s="116">
        <f>'DATA SISWA'!C42</f>
        <v>0</v>
      </c>
      <c r="D44" s="116">
        <f>'DATA SISWA'!D42</f>
        <v>0</v>
      </c>
      <c r="E44" s="107" t="str">
        <f>'DATA SISWA'!E42</f>
        <v>VII</v>
      </c>
      <c r="F44" s="129"/>
      <c r="G44" s="129"/>
      <c r="H44" s="118" t="str">
        <f t="shared" si="0"/>
        <v/>
      </c>
      <c r="I44" s="131" t="str">
        <f t="shared" si="1"/>
        <v/>
      </c>
      <c r="J44" s="129"/>
      <c r="K44" s="129"/>
      <c r="L44" s="129"/>
      <c r="M44" s="118" t="str">
        <f t="shared" si="2"/>
        <v/>
      </c>
      <c r="N44" s="129"/>
      <c r="O44" s="129"/>
      <c r="P44" s="129"/>
      <c r="Q44" s="118" t="str">
        <f t="shared" si="3"/>
        <v/>
      </c>
      <c r="R44" s="129"/>
      <c r="S44" s="129"/>
      <c r="T44" s="129"/>
      <c r="U44" s="118" t="str">
        <f t="shared" si="4"/>
        <v/>
      </c>
      <c r="V44" s="129"/>
      <c r="W44" s="129"/>
      <c r="X44" s="129"/>
      <c r="Y44" s="118" t="str">
        <f t="shared" si="5"/>
        <v/>
      </c>
      <c r="Z44" s="129"/>
      <c r="AA44" s="129"/>
      <c r="AB44" s="129"/>
      <c r="AC44" s="118" t="str">
        <f t="shared" si="6"/>
        <v/>
      </c>
      <c r="AD44" s="129"/>
      <c r="AE44" s="129"/>
      <c r="AF44" s="129"/>
      <c r="AG44" s="118" t="str">
        <f t="shared" si="7"/>
        <v/>
      </c>
      <c r="AH44" s="129"/>
      <c r="AI44" s="129"/>
      <c r="AJ44" s="129"/>
      <c r="AK44" s="118" t="str">
        <f t="shared" si="8"/>
        <v/>
      </c>
      <c r="AL44" s="131" t="str">
        <f t="shared" si="9"/>
        <v/>
      </c>
    </row>
    <row r="45" spans="1:38" ht="15" customHeight="1">
      <c r="A45" s="107">
        <f>'DATA SISWA'!A43</f>
        <v>0</v>
      </c>
      <c r="B45" s="107">
        <f>'DATA SISWA'!B43</f>
        <v>0</v>
      </c>
      <c r="C45" s="116">
        <f>'DATA SISWA'!C43</f>
        <v>0</v>
      </c>
      <c r="D45" s="116">
        <f>'DATA SISWA'!D43</f>
        <v>0</v>
      </c>
      <c r="E45" s="107" t="str">
        <f>'DATA SISWA'!E43</f>
        <v>VII</v>
      </c>
      <c r="F45" s="129"/>
      <c r="G45" s="129"/>
      <c r="H45" s="118" t="str">
        <f t="shared" si="0"/>
        <v/>
      </c>
      <c r="I45" s="131" t="str">
        <f t="shared" si="1"/>
        <v/>
      </c>
      <c r="J45" s="129"/>
      <c r="K45" s="129"/>
      <c r="L45" s="129"/>
      <c r="M45" s="118" t="str">
        <f t="shared" si="2"/>
        <v/>
      </c>
      <c r="N45" s="129"/>
      <c r="O45" s="129"/>
      <c r="P45" s="129"/>
      <c r="Q45" s="118" t="str">
        <f t="shared" si="3"/>
        <v/>
      </c>
      <c r="R45" s="129"/>
      <c r="S45" s="129"/>
      <c r="T45" s="129"/>
      <c r="U45" s="118" t="str">
        <f t="shared" si="4"/>
        <v/>
      </c>
      <c r="V45" s="129"/>
      <c r="W45" s="129"/>
      <c r="X45" s="129"/>
      <c r="Y45" s="118" t="str">
        <f t="shared" si="5"/>
        <v/>
      </c>
      <c r="Z45" s="129"/>
      <c r="AA45" s="129"/>
      <c r="AB45" s="129"/>
      <c r="AC45" s="118" t="str">
        <f t="shared" si="6"/>
        <v/>
      </c>
      <c r="AD45" s="129"/>
      <c r="AE45" s="129"/>
      <c r="AF45" s="129"/>
      <c r="AG45" s="118" t="str">
        <f t="shared" si="7"/>
        <v/>
      </c>
      <c r="AH45" s="129"/>
      <c r="AI45" s="129"/>
      <c r="AJ45" s="129"/>
      <c r="AK45" s="118" t="str">
        <f t="shared" si="8"/>
        <v/>
      </c>
      <c r="AL45" s="131" t="str">
        <f t="shared" si="9"/>
        <v/>
      </c>
    </row>
    <row r="46" spans="1:38" ht="15" customHeight="1">
      <c r="A46" s="107">
        <f>'DATA SISWA'!A44</f>
        <v>0</v>
      </c>
      <c r="B46" s="107">
        <f>'DATA SISWA'!B44</f>
        <v>0</v>
      </c>
      <c r="C46" s="116">
        <f>'DATA SISWA'!C44</f>
        <v>0</v>
      </c>
      <c r="D46" s="116">
        <f>'DATA SISWA'!D44</f>
        <v>0</v>
      </c>
      <c r="E46" s="107" t="str">
        <f>'DATA SISWA'!E44</f>
        <v>VII</v>
      </c>
      <c r="F46" s="129"/>
      <c r="G46" s="129"/>
      <c r="H46" s="118" t="str">
        <f t="shared" si="0"/>
        <v/>
      </c>
      <c r="I46" s="131" t="str">
        <f t="shared" si="1"/>
        <v/>
      </c>
      <c r="J46" s="129"/>
      <c r="K46" s="129"/>
      <c r="L46" s="129"/>
      <c r="M46" s="118" t="str">
        <f t="shared" si="2"/>
        <v/>
      </c>
      <c r="N46" s="129"/>
      <c r="O46" s="129"/>
      <c r="P46" s="129"/>
      <c r="Q46" s="118" t="str">
        <f t="shared" si="3"/>
        <v/>
      </c>
      <c r="R46" s="129"/>
      <c r="S46" s="129"/>
      <c r="T46" s="129"/>
      <c r="U46" s="118" t="str">
        <f t="shared" si="4"/>
        <v/>
      </c>
      <c r="V46" s="129"/>
      <c r="W46" s="129"/>
      <c r="X46" s="129"/>
      <c r="Y46" s="118" t="str">
        <f t="shared" si="5"/>
        <v/>
      </c>
      <c r="Z46" s="129"/>
      <c r="AA46" s="129"/>
      <c r="AB46" s="129"/>
      <c r="AC46" s="118" t="str">
        <f t="shared" si="6"/>
        <v/>
      </c>
      <c r="AD46" s="129"/>
      <c r="AE46" s="129"/>
      <c r="AF46" s="129"/>
      <c r="AG46" s="118" t="str">
        <f t="shared" si="7"/>
        <v/>
      </c>
      <c r="AH46" s="129"/>
      <c r="AI46" s="129"/>
      <c r="AJ46" s="129"/>
      <c r="AK46" s="118" t="str">
        <f t="shared" si="8"/>
        <v/>
      </c>
      <c r="AL46" s="131" t="str">
        <f t="shared" si="9"/>
        <v/>
      </c>
    </row>
    <row r="47" spans="1:38" ht="15" customHeight="1">
      <c r="A47" s="107">
        <f>'DATA SISWA'!A45</f>
        <v>0</v>
      </c>
      <c r="B47" s="107">
        <f>'DATA SISWA'!B45</f>
        <v>0</v>
      </c>
      <c r="C47" s="116">
        <f>'DATA SISWA'!C45</f>
        <v>0</v>
      </c>
      <c r="D47" s="116">
        <f>'DATA SISWA'!D45</f>
        <v>0</v>
      </c>
      <c r="E47" s="107" t="str">
        <f>'DATA SISWA'!E45</f>
        <v>VII</v>
      </c>
      <c r="F47" s="129"/>
      <c r="G47" s="129"/>
      <c r="H47" s="118" t="str">
        <f t="shared" si="0"/>
        <v/>
      </c>
      <c r="I47" s="131" t="str">
        <f t="shared" si="1"/>
        <v/>
      </c>
      <c r="J47" s="129"/>
      <c r="K47" s="129"/>
      <c r="L47" s="129"/>
      <c r="M47" s="118" t="str">
        <f t="shared" si="2"/>
        <v/>
      </c>
      <c r="N47" s="129"/>
      <c r="O47" s="129"/>
      <c r="P47" s="129"/>
      <c r="Q47" s="118" t="str">
        <f t="shared" si="3"/>
        <v/>
      </c>
      <c r="R47" s="129"/>
      <c r="S47" s="129"/>
      <c r="T47" s="129"/>
      <c r="U47" s="118" t="str">
        <f t="shared" si="4"/>
        <v/>
      </c>
      <c r="V47" s="129"/>
      <c r="W47" s="129"/>
      <c r="X47" s="129"/>
      <c r="Y47" s="118" t="str">
        <f t="shared" si="5"/>
        <v/>
      </c>
      <c r="Z47" s="129"/>
      <c r="AA47" s="129"/>
      <c r="AB47" s="129"/>
      <c r="AC47" s="118" t="str">
        <f t="shared" si="6"/>
        <v/>
      </c>
      <c r="AD47" s="129"/>
      <c r="AE47" s="129"/>
      <c r="AF47" s="129"/>
      <c r="AG47" s="118" t="str">
        <f t="shared" si="7"/>
        <v/>
      </c>
      <c r="AH47" s="129"/>
      <c r="AI47" s="129"/>
      <c r="AJ47" s="129"/>
      <c r="AK47" s="118" t="str">
        <f t="shared" si="8"/>
        <v/>
      </c>
      <c r="AL47" s="131" t="str">
        <f t="shared" si="9"/>
        <v/>
      </c>
    </row>
    <row r="48" spans="1:38" ht="15" customHeight="1">
      <c r="A48" s="107">
        <f>'DATA SISWA'!A46</f>
        <v>0</v>
      </c>
      <c r="B48" s="107">
        <f>'DATA SISWA'!B46</f>
        <v>0</v>
      </c>
      <c r="C48" s="116">
        <f>'DATA SISWA'!C46</f>
        <v>0</v>
      </c>
      <c r="D48" s="116">
        <f>'DATA SISWA'!D46</f>
        <v>0</v>
      </c>
      <c r="E48" s="107" t="str">
        <f>'DATA SISWA'!E46</f>
        <v>VII</v>
      </c>
      <c r="F48" s="129"/>
      <c r="G48" s="129"/>
      <c r="H48" s="118" t="str">
        <f t="shared" si="0"/>
        <v/>
      </c>
      <c r="I48" s="131" t="str">
        <f t="shared" si="1"/>
        <v/>
      </c>
      <c r="J48" s="129"/>
      <c r="K48" s="129"/>
      <c r="L48" s="129"/>
      <c r="M48" s="118" t="str">
        <f t="shared" si="2"/>
        <v/>
      </c>
      <c r="N48" s="129"/>
      <c r="O48" s="129"/>
      <c r="P48" s="129"/>
      <c r="Q48" s="118" t="str">
        <f t="shared" si="3"/>
        <v/>
      </c>
      <c r="R48" s="129"/>
      <c r="S48" s="129"/>
      <c r="T48" s="129"/>
      <c r="U48" s="118" t="str">
        <f t="shared" si="4"/>
        <v/>
      </c>
      <c r="V48" s="129"/>
      <c r="W48" s="129"/>
      <c r="X48" s="129"/>
      <c r="Y48" s="118" t="str">
        <f t="shared" si="5"/>
        <v/>
      </c>
      <c r="Z48" s="129"/>
      <c r="AA48" s="129"/>
      <c r="AB48" s="129"/>
      <c r="AC48" s="118" t="str">
        <f t="shared" si="6"/>
        <v/>
      </c>
      <c r="AD48" s="129"/>
      <c r="AE48" s="129"/>
      <c r="AF48" s="129"/>
      <c r="AG48" s="118" t="str">
        <f t="shared" si="7"/>
        <v/>
      </c>
      <c r="AH48" s="129"/>
      <c r="AI48" s="129"/>
      <c r="AJ48" s="129"/>
      <c r="AK48" s="118" t="str">
        <f t="shared" si="8"/>
        <v/>
      </c>
      <c r="AL48" s="131" t="str">
        <f t="shared" si="9"/>
        <v/>
      </c>
    </row>
    <row r="49" spans="1:38" ht="15" customHeight="1">
      <c r="A49" s="107">
        <f>'DATA SISWA'!A47</f>
        <v>0</v>
      </c>
      <c r="B49" s="107">
        <f>'DATA SISWA'!B47</f>
        <v>0</v>
      </c>
      <c r="C49" s="116">
        <f>'DATA SISWA'!C47</f>
        <v>0</v>
      </c>
      <c r="D49" s="116">
        <f>'DATA SISWA'!D47</f>
        <v>0</v>
      </c>
      <c r="E49" s="107" t="str">
        <f>'DATA SISWA'!E47</f>
        <v>VII</v>
      </c>
      <c r="F49" s="129"/>
      <c r="G49" s="129"/>
      <c r="H49" s="118" t="str">
        <f t="shared" si="0"/>
        <v/>
      </c>
      <c r="I49" s="131" t="str">
        <f t="shared" si="1"/>
        <v/>
      </c>
      <c r="J49" s="129"/>
      <c r="K49" s="129"/>
      <c r="L49" s="129"/>
      <c r="M49" s="118" t="str">
        <f t="shared" si="2"/>
        <v/>
      </c>
      <c r="N49" s="129"/>
      <c r="O49" s="129"/>
      <c r="P49" s="129"/>
      <c r="Q49" s="118" t="str">
        <f t="shared" si="3"/>
        <v/>
      </c>
      <c r="R49" s="129"/>
      <c r="S49" s="129"/>
      <c r="T49" s="129"/>
      <c r="U49" s="118" t="str">
        <f t="shared" si="4"/>
        <v/>
      </c>
      <c r="V49" s="129"/>
      <c r="W49" s="129"/>
      <c r="X49" s="129"/>
      <c r="Y49" s="118" t="str">
        <f t="shared" si="5"/>
        <v/>
      </c>
      <c r="Z49" s="129"/>
      <c r="AA49" s="129"/>
      <c r="AB49" s="129"/>
      <c r="AC49" s="118" t="str">
        <f t="shared" si="6"/>
        <v/>
      </c>
      <c r="AD49" s="129"/>
      <c r="AE49" s="129"/>
      <c r="AF49" s="129"/>
      <c r="AG49" s="118" t="str">
        <f t="shared" si="7"/>
        <v/>
      </c>
      <c r="AH49" s="129"/>
      <c r="AI49" s="129"/>
      <c r="AJ49" s="129"/>
      <c r="AK49" s="118" t="str">
        <f t="shared" si="8"/>
        <v/>
      </c>
      <c r="AL49" s="131" t="str">
        <f t="shared" si="9"/>
        <v/>
      </c>
    </row>
    <row r="50" spans="1:38" ht="15" customHeight="1">
      <c r="A50" s="107">
        <f>'DATA SISWA'!A48</f>
        <v>0</v>
      </c>
      <c r="B50" s="107">
        <f>'DATA SISWA'!B48</f>
        <v>0</v>
      </c>
      <c r="C50" s="116">
        <f>'DATA SISWA'!C48</f>
        <v>0</v>
      </c>
      <c r="D50" s="116">
        <f>'DATA SISWA'!D48</f>
        <v>0</v>
      </c>
      <c r="E50" s="107" t="str">
        <f>'DATA SISWA'!E48</f>
        <v>VII</v>
      </c>
      <c r="F50" s="129"/>
      <c r="G50" s="129"/>
      <c r="H50" s="118" t="str">
        <f t="shared" si="0"/>
        <v/>
      </c>
      <c r="I50" s="131" t="str">
        <f t="shared" si="1"/>
        <v/>
      </c>
      <c r="J50" s="129"/>
      <c r="K50" s="129"/>
      <c r="L50" s="129"/>
      <c r="M50" s="118" t="str">
        <f t="shared" si="2"/>
        <v/>
      </c>
      <c r="N50" s="129"/>
      <c r="O50" s="129"/>
      <c r="P50" s="129"/>
      <c r="Q50" s="118" t="str">
        <f t="shared" si="3"/>
        <v/>
      </c>
      <c r="R50" s="129"/>
      <c r="S50" s="129"/>
      <c r="T50" s="129"/>
      <c r="U50" s="118" t="str">
        <f t="shared" si="4"/>
        <v/>
      </c>
      <c r="V50" s="129"/>
      <c r="W50" s="129"/>
      <c r="X50" s="129"/>
      <c r="Y50" s="118" t="str">
        <f t="shared" si="5"/>
        <v/>
      </c>
      <c r="Z50" s="129"/>
      <c r="AA50" s="129"/>
      <c r="AB50" s="129"/>
      <c r="AC50" s="118" t="str">
        <f t="shared" si="6"/>
        <v/>
      </c>
      <c r="AD50" s="129"/>
      <c r="AE50" s="129"/>
      <c r="AF50" s="129"/>
      <c r="AG50" s="118" t="str">
        <f t="shared" si="7"/>
        <v/>
      </c>
      <c r="AH50" s="129"/>
      <c r="AI50" s="129"/>
      <c r="AJ50" s="129"/>
      <c r="AK50" s="118" t="str">
        <f t="shared" si="8"/>
        <v/>
      </c>
      <c r="AL50" s="131" t="str">
        <f t="shared" si="9"/>
        <v/>
      </c>
    </row>
    <row r="51" spans="1:38" ht="15" customHeight="1">
      <c r="A51" s="107">
        <f>'DATA SISWA'!A49</f>
        <v>0</v>
      </c>
      <c r="B51" s="107">
        <f>'DATA SISWA'!B49</f>
        <v>0</v>
      </c>
      <c r="C51" s="116">
        <f>'DATA SISWA'!C49</f>
        <v>0</v>
      </c>
      <c r="D51" s="116">
        <f>'DATA SISWA'!D49</f>
        <v>0</v>
      </c>
      <c r="E51" s="107" t="str">
        <f>'DATA SISWA'!E49</f>
        <v>VII</v>
      </c>
      <c r="F51" s="129"/>
      <c r="G51" s="129"/>
      <c r="H51" s="118" t="str">
        <f t="shared" si="0"/>
        <v/>
      </c>
      <c r="I51" s="131" t="str">
        <f t="shared" si="1"/>
        <v/>
      </c>
      <c r="J51" s="129"/>
      <c r="K51" s="129"/>
      <c r="L51" s="129"/>
      <c r="M51" s="118" t="str">
        <f t="shared" si="2"/>
        <v/>
      </c>
      <c r="N51" s="129"/>
      <c r="O51" s="129"/>
      <c r="P51" s="129"/>
      <c r="Q51" s="118" t="str">
        <f t="shared" si="3"/>
        <v/>
      </c>
      <c r="R51" s="129"/>
      <c r="S51" s="129"/>
      <c r="T51" s="129"/>
      <c r="U51" s="118" t="str">
        <f t="shared" si="4"/>
        <v/>
      </c>
      <c r="V51" s="129"/>
      <c r="W51" s="129"/>
      <c r="X51" s="129"/>
      <c r="Y51" s="118" t="str">
        <f t="shared" si="5"/>
        <v/>
      </c>
      <c r="Z51" s="129"/>
      <c r="AA51" s="129"/>
      <c r="AB51" s="129"/>
      <c r="AC51" s="118" t="str">
        <f t="shared" si="6"/>
        <v/>
      </c>
      <c r="AD51" s="129"/>
      <c r="AE51" s="129"/>
      <c r="AF51" s="129"/>
      <c r="AG51" s="118" t="str">
        <f t="shared" si="7"/>
        <v/>
      </c>
      <c r="AH51" s="129"/>
      <c r="AI51" s="129"/>
      <c r="AJ51" s="129"/>
      <c r="AK51" s="118" t="str">
        <f t="shared" si="8"/>
        <v/>
      </c>
      <c r="AL51" s="131" t="str">
        <f t="shared" si="9"/>
        <v/>
      </c>
    </row>
    <row r="52" spans="1:38" ht="15" customHeight="1">
      <c r="A52" s="107">
        <f>'DATA SISWA'!A50</f>
        <v>0</v>
      </c>
      <c r="B52" s="107">
        <f>'DATA SISWA'!B50</f>
        <v>0</v>
      </c>
      <c r="C52" s="116">
        <f>'DATA SISWA'!C50</f>
        <v>0</v>
      </c>
      <c r="D52" s="116">
        <f>'DATA SISWA'!D50</f>
        <v>0</v>
      </c>
      <c r="E52" s="107" t="str">
        <f>'DATA SISWA'!E50</f>
        <v>VII</v>
      </c>
      <c r="F52" s="129"/>
      <c r="G52" s="129"/>
      <c r="H52" s="118" t="str">
        <f t="shared" si="0"/>
        <v/>
      </c>
      <c r="I52" s="131" t="str">
        <f t="shared" si="1"/>
        <v/>
      </c>
      <c r="J52" s="129"/>
      <c r="K52" s="129"/>
      <c r="L52" s="129"/>
      <c r="M52" s="118" t="str">
        <f t="shared" si="2"/>
        <v/>
      </c>
      <c r="N52" s="129"/>
      <c r="O52" s="129"/>
      <c r="P52" s="129"/>
      <c r="Q52" s="118" t="str">
        <f t="shared" si="3"/>
        <v/>
      </c>
      <c r="R52" s="129"/>
      <c r="S52" s="129"/>
      <c r="T52" s="129"/>
      <c r="U52" s="118" t="str">
        <f t="shared" si="4"/>
        <v/>
      </c>
      <c r="V52" s="129"/>
      <c r="W52" s="129"/>
      <c r="X52" s="129"/>
      <c r="Y52" s="118" t="str">
        <f t="shared" si="5"/>
        <v/>
      </c>
      <c r="Z52" s="129"/>
      <c r="AA52" s="129"/>
      <c r="AB52" s="129"/>
      <c r="AC52" s="118" t="str">
        <f t="shared" si="6"/>
        <v/>
      </c>
      <c r="AD52" s="129"/>
      <c r="AE52" s="129"/>
      <c r="AF52" s="129"/>
      <c r="AG52" s="118" t="str">
        <f t="shared" si="7"/>
        <v/>
      </c>
      <c r="AH52" s="129"/>
      <c r="AI52" s="129"/>
      <c r="AJ52" s="129"/>
      <c r="AK52" s="118" t="str">
        <f t="shared" si="8"/>
        <v/>
      </c>
      <c r="AL52" s="131" t="str">
        <f t="shared" si="9"/>
        <v/>
      </c>
    </row>
    <row r="53" spans="1:38" ht="15" customHeight="1">
      <c r="A53" s="107">
        <f>'DATA SISWA'!A51</f>
        <v>0</v>
      </c>
      <c r="B53" s="107">
        <f>'DATA SISWA'!B51</f>
        <v>0</v>
      </c>
      <c r="C53" s="116">
        <f>'DATA SISWA'!C51</f>
        <v>0</v>
      </c>
      <c r="D53" s="116">
        <f>'DATA SISWA'!D51</f>
        <v>0</v>
      </c>
      <c r="E53" s="107" t="str">
        <f>'DATA SISWA'!E51</f>
        <v>VII</v>
      </c>
      <c r="F53" s="129"/>
      <c r="G53" s="129"/>
      <c r="H53" s="118" t="str">
        <f t="shared" si="0"/>
        <v/>
      </c>
      <c r="I53" s="131" t="str">
        <f t="shared" si="1"/>
        <v/>
      </c>
      <c r="J53" s="129"/>
      <c r="K53" s="129"/>
      <c r="L53" s="129"/>
      <c r="M53" s="118" t="str">
        <f t="shared" si="2"/>
        <v/>
      </c>
      <c r="N53" s="129"/>
      <c r="O53" s="129"/>
      <c r="P53" s="129"/>
      <c r="Q53" s="118" t="str">
        <f t="shared" si="3"/>
        <v/>
      </c>
      <c r="R53" s="129"/>
      <c r="S53" s="129"/>
      <c r="T53" s="129"/>
      <c r="U53" s="118" t="str">
        <f t="shared" si="4"/>
        <v/>
      </c>
      <c r="V53" s="129"/>
      <c r="W53" s="129"/>
      <c r="X53" s="129"/>
      <c r="Y53" s="118" t="str">
        <f t="shared" si="5"/>
        <v/>
      </c>
      <c r="Z53" s="129"/>
      <c r="AA53" s="129"/>
      <c r="AB53" s="129"/>
      <c r="AC53" s="118" t="str">
        <f t="shared" si="6"/>
        <v/>
      </c>
      <c r="AD53" s="129"/>
      <c r="AE53" s="129"/>
      <c r="AF53" s="129"/>
      <c r="AG53" s="118" t="str">
        <f t="shared" si="7"/>
        <v/>
      </c>
      <c r="AH53" s="129"/>
      <c r="AI53" s="129"/>
      <c r="AJ53" s="129"/>
      <c r="AK53" s="118" t="str">
        <f t="shared" si="8"/>
        <v/>
      </c>
      <c r="AL53" s="131" t="str">
        <f t="shared" si="9"/>
        <v/>
      </c>
    </row>
    <row r="54" spans="1:38" ht="15" customHeight="1">
      <c r="A54" s="107">
        <f>'DATA SISWA'!A52</f>
        <v>0</v>
      </c>
      <c r="B54" s="107">
        <f>'DATA SISWA'!B52</f>
        <v>0</v>
      </c>
      <c r="C54" s="116">
        <f>'DATA SISWA'!C52</f>
        <v>0</v>
      </c>
      <c r="D54" s="116">
        <f>'DATA SISWA'!D52</f>
        <v>0</v>
      </c>
      <c r="E54" s="107" t="str">
        <f>'DATA SISWA'!E52</f>
        <v>VII</v>
      </c>
      <c r="F54" s="129"/>
      <c r="G54" s="129"/>
      <c r="H54" s="118" t="str">
        <f t="shared" si="0"/>
        <v/>
      </c>
      <c r="I54" s="131" t="str">
        <f t="shared" si="1"/>
        <v/>
      </c>
      <c r="J54" s="129"/>
      <c r="K54" s="129"/>
      <c r="L54" s="129"/>
      <c r="M54" s="118" t="str">
        <f t="shared" si="2"/>
        <v/>
      </c>
      <c r="N54" s="129"/>
      <c r="O54" s="129"/>
      <c r="P54" s="129"/>
      <c r="Q54" s="118" t="str">
        <f t="shared" si="3"/>
        <v/>
      </c>
      <c r="R54" s="129"/>
      <c r="S54" s="129"/>
      <c r="T54" s="129"/>
      <c r="U54" s="118" t="str">
        <f t="shared" si="4"/>
        <v/>
      </c>
      <c r="V54" s="129"/>
      <c r="W54" s="129"/>
      <c r="X54" s="129"/>
      <c r="Y54" s="118" t="str">
        <f t="shared" si="5"/>
        <v/>
      </c>
      <c r="Z54" s="129"/>
      <c r="AA54" s="129"/>
      <c r="AB54" s="129"/>
      <c r="AC54" s="118" t="str">
        <f t="shared" si="6"/>
        <v/>
      </c>
      <c r="AD54" s="129"/>
      <c r="AE54" s="129"/>
      <c r="AF54" s="129"/>
      <c r="AG54" s="118" t="str">
        <f t="shared" si="7"/>
        <v/>
      </c>
      <c r="AH54" s="129"/>
      <c r="AI54" s="129"/>
      <c r="AJ54" s="129"/>
      <c r="AK54" s="118" t="str">
        <f t="shared" si="8"/>
        <v/>
      </c>
      <c r="AL54" s="131" t="str">
        <f t="shared" si="9"/>
        <v/>
      </c>
    </row>
  </sheetData>
  <sheetProtection password="CD5A" sheet="1" objects="1" scenarios="1" formatCells="0" formatColumns="0" formatRows="0" insertColumns="0" insertRows="0" insertHyperlinks="0" deleteColumns="0" deleteRows="0" sort="0" autoFilter="0"/>
  <mergeCells count="25">
    <mergeCell ref="V3:X4"/>
    <mergeCell ref="Y3:Y5"/>
    <mergeCell ref="J3:L4"/>
    <mergeCell ref="M3:M5"/>
    <mergeCell ref="A3:A5"/>
    <mergeCell ref="B3:B5"/>
    <mergeCell ref="C3:C5"/>
    <mergeCell ref="D3:D5"/>
    <mergeCell ref="E3:E5"/>
    <mergeCell ref="F1:I2"/>
    <mergeCell ref="J1:AJ2"/>
    <mergeCell ref="R3:T4"/>
    <mergeCell ref="AL3:AL5"/>
    <mergeCell ref="AD3:AF4"/>
    <mergeCell ref="AG3:AG5"/>
    <mergeCell ref="AC3:AC5"/>
    <mergeCell ref="AK3:AK5"/>
    <mergeCell ref="Q3:Q5"/>
    <mergeCell ref="N3:P4"/>
    <mergeCell ref="AH3:AJ4"/>
    <mergeCell ref="Z3:AB4"/>
    <mergeCell ref="F3:G4"/>
    <mergeCell ref="U3:U5"/>
    <mergeCell ref="H3:H5"/>
    <mergeCell ref="I3:I5"/>
  </mergeCells>
  <dataValidations xWindow="343" yWindow="442" count="1">
    <dataValidation type="whole" allowBlank="1" showInputMessage="1" showErrorMessage="1" errorTitle="SALAH" error="NILAI SING OLEH DILEBOKNO 1- 4" promptTitle="NILAI" prompt="1-4" sqref="F7:G54 J7:L54 N7:P54 R7:T54 V7:X54 Z7:AB54 AD7:AF54 AH7:AJ54">
      <formula1>1</formula1>
      <formula2>4</formula2>
    </dataValidation>
  </dataValidations>
  <pageMargins left="0.7" right="0.7" top="0.75" bottom="0.75" header="0.3" footer="0.3"/>
  <pageSetup paperSize="9" orientation="portrait" horizontalDpi="300" verticalDpi="300" r:id="rId1"/>
  <drawing r:id="rId2"/>
</worksheet>
</file>

<file path=xl/worksheets/sheet22.xml><?xml version="1.0" encoding="utf-8"?>
<worksheet xmlns="http://schemas.openxmlformats.org/spreadsheetml/2006/main" xmlns:r="http://schemas.openxmlformats.org/officeDocument/2006/relationships">
  <sheetPr codeName="Sheet22"/>
  <dimension ref="A1:AY54"/>
  <sheetViews>
    <sheetView workbookViewId="0"/>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237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26"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24"/>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24"/>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24"/>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24"/>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24"/>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25"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25"/>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25"/>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25"/>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25"/>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25"/>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24"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24"/>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24"/>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24"/>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24"/>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24"/>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24"/>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24"/>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24"/>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25"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25"/>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25"/>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25"/>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25"/>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25"/>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24"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24"/>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24"/>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24"/>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24"/>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24"/>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25"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25"/>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25"/>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25"/>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25"/>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24"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24"/>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24"/>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24"/>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24"/>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24"/>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25"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25"/>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25"/>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25"/>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25"/>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25"/>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mergeCells count="8">
    <mergeCell ref="A41:A46"/>
    <mergeCell ref="A47:A52"/>
    <mergeCell ref="A3:A8"/>
    <mergeCell ref="A9:A14"/>
    <mergeCell ref="A15:A23"/>
    <mergeCell ref="A24:A29"/>
    <mergeCell ref="A30:A35"/>
    <mergeCell ref="A36:A40"/>
  </mergeCells>
  <conditionalFormatting sqref="AP2:XFD2 D1:AO2">
    <cfRule type="expression" dxfId="534" priority="112">
      <formula>MOD(COLUMN(),2)=1</formula>
    </cfRule>
  </conditionalFormatting>
  <conditionalFormatting sqref="B8:C8 B14:C14 B46:C46 B52:C52 B35:C35 B29:C29">
    <cfRule type="cellIs" dxfId="533" priority="111" operator="notEqual">
      <formula>$B$2</formula>
    </cfRule>
  </conditionalFormatting>
  <conditionalFormatting sqref="B23:C23">
    <cfRule type="cellIs" dxfId="532" priority="110" operator="notEqual">
      <formula>$B$2</formula>
    </cfRule>
  </conditionalFormatting>
  <conditionalFormatting sqref="B40:C40">
    <cfRule type="cellIs" dxfId="531" priority="109" operator="notEqual">
      <formula>$B$2</formula>
    </cfRule>
  </conditionalFormatting>
  <conditionalFormatting sqref="AP2:XFD2 D1:AO2">
    <cfRule type="expression" dxfId="530" priority="108">
      <formula>MOD(COLUMN(),2)=1</formula>
    </cfRule>
  </conditionalFormatting>
  <conditionalFormatting sqref="F1:AY1">
    <cfRule type="expression" dxfId="529" priority="104">
      <formula>MOD(COLUMN(),2)=1</formula>
    </cfRule>
  </conditionalFormatting>
  <conditionalFormatting sqref="D1:E2 F2:AY2">
    <cfRule type="expression" dxfId="528" priority="102">
      <formula>MOD(COLUMN(),2)=1</formula>
    </cfRule>
  </conditionalFormatting>
  <conditionalFormatting sqref="B8:C8 B14:C14 B46:C46 B52:C52 B35:C35 B29:C29">
    <cfRule type="cellIs" dxfId="527" priority="101" operator="notEqual">
      <formula>$B$2</formula>
    </cfRule>
  </conditionalFormatting>
  <conditionalFormatting sqref="B23:C23">
    <cfRule type="cellIs" dxfId="526" priority="100" operator="notEqual">
      <formula>$B$2</formula>
    </cfRule>
  </conditionalFormatting>
  <conditionalFormatting sqref="B40:C40">
    <cfRule type="cellIs" dxfId="525" priority="99" operator="notEqual">
      <formula>$B$2</formula>
    </cfRule>
  </conditionalFormatting>
  <conditionalFormatting sqref="D1:E2 F2:AY2">
    <cfRule type="expression" dxfId="524" priority="98">
      <formula>MOD(COLUMN(),2)=1</formula>
    </cfRule>
  </conditionalFormatting>
  <conditionalFormatting sqref="D3:AY7">
    <cfRule type="expression" dxfId="523" priority="69">
      <formula>MOD(COLUMN(),2)=1</formula>
    </cfRule>
  </conditionalFormatting>
  <conditionalFormatting sqref="D3:AY7">
    <cfRule type="expression" dxfId="522" priority="68">
      <formula>MOD(COLUMN(),2)=1</formula>
    </cfRule>
  </conditionalFormatting>
  <conditionalFormatting sqref="D3:AY7">
    <cfRule type="expression" dxfId="521" priority="67">
      <formula>MOD(COLUMN(),2)=1</formula>
    </cfRule>
  </conditionalFormatting>
  <conditionalFormatting sqref="D3:AY7">
    <cfRule type="expression" dxfId="520" priority="66">
      <formula>MOD(COLUMN(),2)=1</formula>
    </cfRule>
  </conditionalFormatting>
  <conditionalFormatting sqref="D9:AY13 D15:AY22 D24:AY28 D30:AY34 D36:AY39 D41:AY45 D47:AY51">
    <cfRule type="expression" dxfId="519" priority="65">
      <formula>MOD(COLUMN(),2)=1</formula>
    </cfRule>
  </conditionalFormatting>
  <conditionalFormatting sqref="D14:AY14">
    <cfRule type="expression" dxfId="518" priority="64">
      <formula>MOD(COLUMN(),2)=1</formula>
    </cfRule>
  </conditionalFormatting>
  <conditionalFormatting sqref="D14:AY14">
    <cfRule type="cellIs" dxfId="517" priority="63" operator="notEqual">
      <formula>$B$2</formula>
    </cfRule>
  </conditionalFormatting>
  <conditionalFormatting sqref="D14:AY14">
    <cfRule type="expression" dxfId="516" priority="62">
      <formula>MOD(COLUMN(),2)=1</formula>
    </cfRule>
  </conditionalFormatting>
  <conditionalFormatting sqref="D14:AY14">
    <cfRule type="cellIs" dxfId="515" priority="61" operator="notEqual">
      <formula>$B$2</formula>
    </cfRule>
  </conditionalFormatting>
  <conditionalFormatting sqref="D14:AY14">
    <cfRule type="expression" dxfId="514" priority="60">
      <formula>MOD(COLUMN(),2)=1</formula>
    </cfRule>
  </conditionalFormatting>
  <conditionalFormatting sqref="D14:AY14">
    <cfRule type="cellIs" dxfId="513" priority="59" operator="notEqual">
      <formula>$B$2</formula>
    </cfRule>
  </conditionalFormatting>
  <conditionalFormatting sqref="D14:AY14">
    <cfRule type="expression" dxfId="512" priority="58">
      <formula>MOD(COLUMN(),2)=1</formula>
    </cfRule>
  </conditionalFormatting>
  <conditionalFormatting sqref="D14:AY14">
    <cfRule type="cellIs" dxfId="511" priority="57" operator="notEqual">
      <formula>$B$2</formula>
    </cfRule>
  </conditionalFormatting>
  <conditionalFormatting sqref="D23:AY23">
    <cfRule type="expression" dxfId="510" priority="56">
      <formula>MOD(COLUMN(),2)=1</formula>
    </cfRule>
  </conditionalFormatting>
  <conditionalFormatting sqref="D23:AY23">
    <cfRule type="cellIs" dxfId="509" priority="55" operator="notEqual">
      <formula>$B$2</formula>
    </cfRule>
  </conditionalFormatting>
  <conditionalFormatting sqref="D23:AY23">
    <cfRule type="expression" dxfId="508" priority="54">
      <formula>MOD(COLUMN(),2)=1</formula>
    </cfRule>
  </conditionalFormatting>
  <conditionalFormatting sqref="D23:AY23">
    <cfRule type="cellIs" dxfId="507" priority="53" operator="notEqual">
      <formula>$B$2</formula>
    </cfRule>
  </conditionalFormatting>
  <conditionalFormatting sqref="D23:AY23">
    <cfRule type="expression" dxfId="506" priority="52">
      <formula>MOD(COLUMN(),2)=1</formula>
    </cfRule>
  </conditionalFormatting>
  <conditionalFormatting sqref="D23:AY23">
    <cfRule type="cellIs" dxfId="505" priority="51" operator="notEqual">
      <formula>$B$2</formula>
    </cfRule>
  </conditionalFormatting>
  <conditionalFormatting sqref="D23:AY23">
    <cfRule type="expression" dxfId="504" priority="50">
      <formula>MOD(COLUMN(),2)=1</formula>
    </cfRule>
  </conditionalFormatting>
  <conditionalFormatting sqref="D23:AY23">
    <cfRule type="cellIs" dxfId="503" priority="49" operator="notEqual">
      <formula>$B$2</formula>
    </cfRule>
  </conditionalFormatting>
  <conditionalFormatting sqref="D29:AY29">
    <cfRule type="expression" dxfId="502" priority="48">
      <formula>MOD(COLUMN(),2)=1</formula>
    </cfRule>
  </conditionalFormatting>
  <conditionalFormatting sqref="D29:AY29">
    <cfRule type="cellIs" dxfId="501" priority="47" operator="notEqual">
      <formula>$B$2</formula>
    </cfRule>
  </conditionalFormatting>
  <conditionalFormatting sqref="D29:AY29">
    <cfRule type="expression" dxfId="500" priority="46">
      <formula>MOD(COLUMN(),2)=1</formula>
    </cfRule>
  </conditionalFormatting>
  <conditionalFormatting sqref="D29:AY29">
    <cfRule type="cellIs" dxfId="499" priority="45" operator="notEqual">
      <formula>$B$2</formula>
    </cfRule>
  </conditionalFormatting>
  <conditionalFormatting sqref="D29:AY29">
    <cfRule type="expression" dxfId="498" priority="44">
      <formula>MOD(COLUMN(),2)=1</formula>
    </cfRule>
  </conditionalFormatting>
  <conditionalFormatting sqref="D29:AY29">
    <cfRule type="cellIs" dxfId="497" priority="43" operator="notEqual">
      <formula>$B$2</formula>
    </cfRule>
  </conditionalFormatting>
  <conditionalFormatting sqref="D29:AY29">
    <cfRule type="expression" dxfId="496" priority="42">
      <formula>MOD(COLUMN(),2)=1</formula>
    </cfRule>
  </conditionalFormatting>
  <conditionalFormatting sqref="D29:AY29">
    <cfRule type="cellIs" dxfId="495" priority="41" operator="notEqual">
      <formula>$B$2</formula>
    </cfRule>
  </conditionalFormatting>
  <conditionalFormatting sqref="D35:AY35">
    <cfRule type="expression" dxfId="494" priority="40">
      <formula>MOD(COLUMN(),2)=1</formula>
    </cfRule>
  </conditionalFormatting>
  <conditionalFormatting sqref="D35:AY35">
    <cfRule type="cellIs" dxfId="493" priority="39" operator="notEqual">
      <formula>$B$2</formula>
    </cfRule>
  </conditionalFormatting>
  <conditionalFormatting sqref="D35:AY35">
    <cfRule type="expression" dxfId="492" priority="38">
      <formula>MOD(COLUMN(),2)=1</formula>
    </cfRule>
  </conditionalFormatting>
  <conditionalFormatting sqref="D35:AY35">
    <cfRule type="cellIs" dxfId="491" priority="37" operator="notEqual">
      <formula>$B$2</formula>
    </cfRule>
  </conditionalFormatting>
  <conditionalFormatting sqref="D35:AY35">
    <cfRule type="expression" dxfId="490" priority="36">
      <formula>MOD(COLUMN(),2)=1</formula>
    </cfRule>
  </conditionalFormatting>
  <conditionalFormatting sqref="D35:AY35">
    <cfRule type="cellIs" dxfId="489" priority="35" operator="notEqual">
      <formula>$B$2</formula>
    </cfRule>
  </conditionalFormatting>
  <conditionalFormatting sqref="D35:AY35">
    <cfRule type="expression" dxfId="488" priority="34">
      <formula>MOD(COLUMN(),2)=1</formula>
    </cfRule>
  </conditionalFormatting>
  <conditionalFormatting sqref="D35:AY35">
    <cfRule type="cellIs" dxfId="487" priority="33" operator="notEqual">
      <formula>$B$2</formula>
    </cfRule>
  </conditionalFormatting>
  <conditionalFormatting sqref="D40:AY40">
    <cfRule type="expression" dxfId="486" priority="32">
      <formula>MOD(COLUMN(),2)=1</formula>
    </cfRule>
  </conditionalFormatting>
  <conditionalFormatting sqref="D40:AY40">
    <cfRule type="cellIs" dxfId="485" priority="31" operator="notEqual">
      <formula>$B$2</formula>
    </cfRule>
  </conditionalFormatting>
  <conditionalFormatting sqref="D40:AY40">
    <cfRule type="expression" dxfId="484" priority="30">
      <formula>MOD(COLUMN(),2)=1</formula>
    </cfRule>
  </conditionalFormatting>
  <conditionalFormatting sqref="D40:AY40">
    <cfRule type="cellIs" dxfId="483" priority="29" operator="notEqual">
      <formula>$B$2</formula>
    </cfRule>
  </conditionalFormatting>
  <conditionalFormatting sqref="D40:AY40">
    <cfRule type="expression" dxfId="482" priority="28">
      <formula>MOD(COLUMN(),2)=1</formula>
    </cfRule>
  </conditionalFormatting>
  <conditionalFormatting sqref="D40:AY40">
    <cfRule type="cellIs" dxfId="481" priority="27" operator="notEqual">
      <formula>$B$2</formula>
    </cfRule>
  </conditionalFormatting>
  <conditionalFormatting sqref="D40:AY40">
    <cfRule type="expression" dxfId="480" priority="26">
      <formula>MOD(COLUMN(),2)=1</formula>
    </cfRule>
  </conditionalFormatting>
  <conditionalFormatting sqref="D40:AY40">
    <cfRule type="cellIs" dxfId="479" priority="25" operator="notEqual">
      <formula>$B$2</formula>
    </cfRule>
  </conditionalFormatting>
  <conditionalFormatting sqref="D46:AY46">
    <cfRule type="expression" dxfId="478" priority="24">
      <formula>MOD(COLUMN(),2)=1</formula>
    </cfRule>
  </conditionalFormatting>
  <conditionalFormatting sqref="D46:AY46">
    <cfRule type="cellIs" dxfId="477" priority="23" operator="notEqual">
      <formula>$B$2</formula>
    </cfRule>
  </conditionalFormatting>
  <conditionalFormatting sqref="D46:AY46">
    <cfRule type="expression" dxfId="476" priority="22">
      <formula>MOD(COLUMN(),2)=1</formula>
    </cfRule>
  </conditionalFormatting>
  <conditionalFormatting sqref="D46:AY46">
    <cfRule type="cellIs" dxfId="475" priority="21" operator="notEqual">
      <formula>$B$2</formula>
    </cfRule>
  </conditionalFormatting>
  <conditionalFormatting sqref="D46:AY46">
    <cfRule type="expression" dxfId="474" priority="20">
      <formula>MOD(COLUMN(),2)=1</formula>
    </cfRule>
  </conditionalFormatting>
  <conditionalFormatting sqref="D46:AY46">
    <cfRule type="cellIs" dxfId="473" priority="19" operator="notEqual">
      <formula>$B$2</formula>
    </cfRule>
  </conditionalFormatting>
  <conditionalFormatting sqref="D46:AY46">
    <cfRule type="expression" dxfId="472" priority="18">
      <formula>MOD(COLUMN(),2)=1</formula>
    </cfRule>
  </conditionalFormatting>
  <conditionalFormatting sqref="D46:AY46">
    <cfRule type="cellIs" dxfId="471" priority="17" operator="notEqual">
      <formula>$B$2</formula>
    </cfRule>
  </conditionalFormatting>
  <conditionalFormatting sqref="D52:AY52">
    <cfRule type="expression" dxfId="470" priority="16">
      <formula>MOD(COLUMN(),2)=1</formula>
    </cfRule>
  </conditionalFormatting>
  <conditionalFormatting sqref="D52:AY52">
    <cfRule type="cellIs" dxfId="469" priority="15" operator="notEqual">
      <formula>$B$2</formula>
    </cfRule>
  </conditionalFormatting>
  <conditionalFormatting sqref="D52:AY52">
    <cfRule type="expression" dxfId="468" priority="14">
      <formula>MOD(COLUMN(),2)=1</formula>
    </cfRule>
  </conditionalFormatting>
  <conditionalFormatting sqref="D52:AY52">
    <cfRule type="cellIs" dxfId="467" priority="13" operator="notEqual">
      <formula>$B$2</formula>
    </cfRule>
  </conditionalFormatting>
  <conditionalFormatting sqref="D52:AY52">
    <cfRule type="expression" dxfId="466" priority="12">
      <formula>MOD(COLUMN(),2)=1</formula>
    </cfRule>
  </conditionalFormatting>
  <conditionalFormatting sqref="D52:AY52">
    <cfRule type="cellIs" dxfId="465" priority="11" operator="notEqual">
      <formula>$B$2</formula>
    </cfRule>
  </conditionalFormatting>
  <conditionalFormatting sqref="D52:AY52">
    <cfRule type="expression" dxfId="464" priority="10">
      <formula>MOD(COLUMN(),2)=1</formula>
    </cfRule>
  </conditionalFormatting>
  <conditionalFormatting sqref="D52:AY52">
    <cfRule type="cellIs" dxfId="463" priority="9" operator="notEqual">
      <formula>$B$2</formula>
    </cfRule>
  </conditionalFormatting>
  <conditionalFormatting sqref="D8:AY8">
    <cfRule type="expression" dxfId="462" priority="8">
      <formula>MOD(COLUMN(),2)=1</formula>
    </cfRule>
  </conditionalFormatting>
  <conditionalFormatting sqref="D8:AY8">
    <cfRule type="cellIs" dxfId="461" priority="7" operator="notEqual">
      <formula>$B$2</formula>
    </cfRule>
  </conditionalFormatting>
  <conditionalFormatting sqref="D8:AY8">
    <cfRule type="expression" dxfId="460" priority="6">
      <formula>MOD(COLUMN(),2)=1</formula>
    </cfRule>
  </conditionalFormatting>
  <conditionalFormatting sqref="D8:AY8">
    <cfRule type="cellIs" dxfId="459" priority="5" operator="notEqual">
      <formula>$B$2</formula>
    </cfRule>
  </conditionalFormatting>
  <conditionalFormatting sqref="D8:AY8">
    <cfRule type="expression" dxfId="458" priority="4">
      <formula>MOD(COLUMN(),2)=1</formula>
    </cfRule>
  </conditionalFormatting>
  <conditionalFormatting sqref="D8:AY8">
    <cfRule type="cellIs" dxfId="457" priority="3" operator="notEqual">
      <formula>$B$2</formula>
    </cfRule>
  </conditionalFormatting>
  <conditionalFormatting sqref="D8:AY8">
    <cfRule type="expression" dxfId="456" priority="2">
      <formula>MOD(COLUMN(),2)=1</formula>
    </cfRule>
  </conditionalFormatting>
  <conditionalFormatting sqref="D8:AY8">
    <cfRule type="cellIs" dxfId="455"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21"/>
  <dimension ref="A1:AY54"/>
  <sheetViews>
    <sheetView workbookViewId="0">
      <selection activeCell="C13" sqref="C13"/>
    </sheetView>
  </sheetViews>
  <sheetFormatPr defaultRowHeight="15" customHeight="1"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317</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26"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24"/>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24"/>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24"/>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24"/>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24"/>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25" t="s">
        <v>8</v>
      </c>
      <c r="B9" s="164" t="s">
        <v>149</v>
      </c>
      <c r="C9" s="165" t="s">
        <v>150</v>
      </c>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row>
    <row r="10" spans="1:51">
      <c r="A10" s="625"/>
      <c r="B10" s="164" t="s">
        <v>151</v>
      </c>
      <c r="C10" s="165" t="s">
        <v>152</v>
      </c>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row>
    <row r="11" spans="1:51">
      <c r="A11" s="625"/>
      <c r="B11" s="164" t="s">
        <v>153</v>
      </c>
      <c r="C11" s="165" t="s">
        <v>154</v>
      </c>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G11" s="34"/>
      <c r="AH11" s="34"/>
      <c r="AI11" s="34"/>
      <c r="AJ11" s="34"/>
      <c r="AK11" s="34"/>
      <c r="AL11" s="34"/>
      <c r="AM11" s="34"/>
      <c r="AN11" s="34"/>
      <c r="AO11" s="34"/>
      <c r="AP11" s="34"/>
      <c r="AQ11" s="34"/>
      <c r="AR11" s="34"/>
      <c r="AS11" s="34"/>
      <c r="AT11" s="34"/>
      <c r="AU11" s="34"/>
      <c r="AV11" s="34"/>
      <c r="AW11" s="34"/>
      <c r="AX11" s="34"/>
      <c r="AY11" s="34"/>
    </row>
    <row r="12" spans="1:51">
      <c r="A12" s="625"/>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25"/>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25"/>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24" t="s">
        <v>9</v>
      </c>
      <c r="B15" s="164" t="s">
        <v>157</v>
      </c>
      <c r="C15" s="165" t="s">
        <v>158</v>
      </c>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4"/>
      <c r="AO15" s="34"/>
      <c r="AP15" s="34"/>
      <c r="AQ15" s="34"/>
      <c r="AR15" s="34"/>
      <c r="AS15" s="34"/>
      <c r="AT15" s="34"/>
      <c r="AU15" s="34"/>
      <c r="AV15" s="34"/>
      <c r="AW15" s="34"/>
      <c r="AX15" s="34"/>
      <c r="AY15" s="34"/>
    </row>
    <row r="16" spans="1:51">
      <c r="A16" s="624"/>
      <c r="B16" s="164" t="s">
        <v>159</v>
      </c>
      <c r="C16" s="165" t="s">
        <v>67</v>
      </c>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4"/>
      <c r="AM16" s="34"/>
      <c r="AN16" s="34"/>
      <c r="AO16" s="34"/>
      <c r="AP16" s="34"/>
      <c r="AQ16" s="34"/>
      <c r="AR16" s="34"/>
      <c r="AS16" s="34"/>
      <c r="AT16" s="34"/>
      <c r="AU16" s="34"/>
      <c r="AV16" s="34"/>
      <c r="AW16" s="34"/>
      <c r="AX16" s="34"/>
      <c r="AY16" s="34"/>
    </row>
    <row r="17" spans="1:51">
      <c r="A17" s="624"/>
      <c r="B17" s="164" t="s">
        <v>160</v>
      </c>
      <c r="C17" s="165" t="s">
        <v>68</v>
      </c>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1:51">
      <c r="A18" s="624"/>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24"/>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24"/>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24"/>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24"/>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24"/>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25" t="s">
        <v>169</v>
      </c>
      <c r="B24" s="164" t="s">
        <v>170</v>
      </c>
      <c r="C24" s="165" t="s">
        <v>74</v>
      </c>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row>
    <row r="25" spans="1:51">
      <c r="A25" s="625"/>
      <c r="B25" s="164" t="s">
        <v>171</v>
      </c>
      <c r="C25" s="165" t="s">
        <v>75</v>
      </c>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row>
    <row r="26" spans="1:51">
      <c r="A26" s="625"/>
      <c r="B26" s="164" t="s">
        <v>172</v>
      </c>
      <c r="C26" s="165" t="s">
        <v>173</v>
      </c>
      <c r="D26" s="34"/>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row>
    <row r="27" spans="1:51">
      <c r="A27" s="625"/>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25"/>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25"/>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24" t="s">
        <v>10</v>
      </c>
      <c r="B30" s="164" t="s">
        <v>176</v>
      </c>
      <c r="C30" s="165" t="s">
        <v>177</v>
      </c>
      <c r="D30" s="34"/>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row>
    <row r="31" spans="1:51">
      <c r="A31" s="624"/>
      <c r="B31" s="164" t="s">
        <v>178</v>
      </c>
      <c r="C31" s="165" t="s">
        <v>179</v>
      </c>
      <c r="D31" s="34"/>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row>
    <row r="32" spans="1:51">
      <c r="A32" s="624"/>
      <c r="B32" s="164" t="s">
        <v>180</v>
      </c>
      <c r="C32" s="165" t="s">
        <v>181</v>
      </c>
      <c r="D32" s="34"/>
      <c r="E32" s="34"/>
      <c r="F32" s="34"/>
      <c r="G32" s="34"/>
      <c r="H32" s="34"/>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row>
    <row r="33" spans="1:51">
      <c r="A33" s="624"/>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24"/>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24"/>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25" t="s">
        <v>184</v>
      </c>
      <c r="B36" s="164" t="s">
        <v>185</v>
      </c>
      <c r="C36" s="165" t="s">
        <v>84</v>
      </c>
      <c r="D36" s="34"/>
      <c r="E36" s="34"/>
      <c r="F36" s="34"/>
      <c r="G36" s="34"/>
      <c r="H36" s="34"/>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row>
    <row r="37" spans="1:51">
      <c r="A37" s="625"/>
      <c r="B37" s="164" t="s">
        <v>186</v>
      </c>
      <c r="C37" s="165" t="s">
        <v>187</v>
      </c>
      <c r="D37" s="34"/>
      <c r="E37" s="34"/>
      <c r="F37" s="34"/>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row>
    <row r="38" spans="1:51">
      <c r="A38" s="625"/>
      <c r="B38" s="164" t="s">
        <v>188</v>
      </c>
      <c r="C38" s="165" t="s">
        <v>86</v>
      </c>
      <c r="D38" s="34"/>
      <c r="E38" s="34"/>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row>
    <row r="39" spans="1:51">
      <c r="A39" s="625"/>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25"/>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24" t="s">
        <v>12</v>
      </c>
      <c r="B41" s="164" t="s">
        <v>191</v>
      </c>
      <c r="C41" s="165" t="s">
        <v>88</v>
      </c>
      <c r="D41" s="34"/>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row>
    <row r="42" spans="1:51">
      <c r="A42" s="624"/>
      <c r="B42" s="164" t="s">
        <v>192</v>
      </c>
      <c r="C42" s="165" t="s">
        <v>89</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row>
    <row r="43" spans="1:51">
      <c r="A43" s="624"/>
      <c r="B43" s="164" t="s">
        <v>193</v>
      </c>
      <c r="C43" s="165" t="s">
        <v>90</v>
      </c>
      <c r="D43" s="34"/>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row>
    <row r="44" spans="1:51">
      <c r="A44" s="624"/>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24"/>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24"/>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25" t="s">
        <v>13</v>
      </c>
      <c r="B47" s="164" t="s">
        <v>198</v>
      </c>
      <c r="C47" s="165" t="s">
        <v>93</v>
      </c>
      <c r="D47" s="34"/>
      <c r="E47" s="34"/>
      <c r="F47" s="34"/>
      <c r="G47" s="34"/>
      <c r="H47" s="34"/>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row>
    <row r="48" spans="1:51">
      <c r="A48" s="625"/>
      <c r="B48" s="164" t="s">
        <v>199</v>
      </c>
      <c r="C48" s="165" t="s">
        <v>94</v>
      </c>
      <c r="D48" s="34"/>
      <c r="E48" s="34"/>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row>
    <row r="49" spans="1:51">
      <c r="A49" s="625"/>
      <c r="B49" s="164" t="s">
        <v>200</v>
      </c>
      <c r="C49" s="165" t="s">
        <v>201</v>
      </c>
      <c r="D49" s="34"/>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row>
    <row r="50" spans="1:51">
      <c r="A50" s="625"/>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25"/>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25"/>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D52+D46+D40+D35+D29+D23+D14+D8</f>
        <v>#VALUE!</v>
      </c>
      <c r="E54" s="177" t="e">
        <f t="shared" ref="E54:AY54" si="8">E52+E46+E40+E35+E29+E23+E14+E8</f>
        <v>#VALUE!</v>
      </c>
      <c r="F54" s="177" t="e">
        <f t="shared" si="8"/>
        <v>#VALUE!</v>
      </c>
      <c r="G54" s="177" t="e">
        <f t="shared" si="8"/>
        <v>#VALUE!</v>
      </c>
      <c r="H54" s="177" t="e">
        <f t="shared" si="8"/>
        <v>#VALUE!</v>
      </c>
      <c r="I54" s="177" t="e">
        <f t="shared" si="8"/>
        <v>#VALUE!</v>
      </c>
      <c r="J54" s="177" t="e">
        <f t="shared" si="8"/>
        <v>#VALUE!</v>
      </c>
      <c r="K54" s="177" t="e">
        <f t="shared" si="8"/>
        <v>#VALUE!</v>
      </c>
      <c r="L54" s="177" t="e">
        <f t="shared" si="8"/>
        <v>#VALUE!</v>
      </c>
      <c r="M54" s="177" t="e">
        <f t="shared" si="8"/>
        <v>#VALUE!</v>
      </c>
      <c r="N54" s="177" t="e">
        <f t="shared" si="8"/>
        <v>#VALUE!</v>
      </c>
      <c r="O54" s="177" t="e">
        <f t="shared" si="8"/>
        <v>#VALUE!</v>
      </c>
      <c r="P54" s="177" t="e">
        <f t="shared" si="8"/>
        <v>#VALUE!</v>
      </c>
      <c r="Q54" s="177" t="e">
        <f t="shared" si="8"/>
        <v>#VALUE!</v>
      </c>
      <c r="R54" s="177" t="e">
        <f t="shared" si="8"/>
        <v>#VALUE!</v>
      </c>
      <c r="S54" s="177" t="e">
        <f t="shared" si="8"/>
        <v>#VALUE!</v>
      </c>
      <c r="T54" s="177" t="e">
        <f t="shared" si="8"/>
        <v>#VALUE!</v>
      </c>
      <c r="U54" s="177" t="e">
        <f t="shared" si="8"/>
        <v>#VALUE!</v>
      </c>
      <c r="V54" s="177" t="e">
        <f t="shared" si="8"/>
        <v>#VALUE!</v>
      </c>
      <c r="W54" s="177" t="e">
        <f t="shared" si="8"/>
        <v>#VALUE!</v>
      </c>
      <c r="X54" s="177" t="e">
        <f t="shared" si="8"/>
        <v>#VALUE!</v>
      </c>
      <c r="Y54" s="177" t="e">
        <f t="shared" si="8"/>
        <v>#VALUE!</v>
      </c>
      <c r="Z54" s="177" t="e">
        <f t="shared" si="8"/>
        <v>#VALUE!</v>
      </c>
      <c r="AA54" s="177" t="e">
        <f t="shared" si="8"/>
        <v>#VALUE!</v>
      </c>
      <c r="AB54" s="177" t="e">
        <f t="shared" si="8"/>
        <v>#VALUE!</v>
      </c>
      <c r="AC54" s="177" t="e">
        <f t="shared" si="8"/>
        <v>#VALUE!</v>
      </c>
      <c r="AD54" s="177" t="e">
        <f t="shared" si="8"/>
        <v>#VALUE!</v>
      </c>
      <c r="AE54" s="177" t="e">
        <f t="shared" si="8"/>
        <v>#VALUE!</v>
      </c>
      <c r="AF54" s="177" t="e">
        <f t="shared" si="8"/>
        <v>#VALUE!</v>
      </c>
      <c r="AG54" s="177" t="e">
        <f t="shared" si="8"/>
        <v>#VALUE!</v>
      </c>
      <c r="AH54" s="177" t="e">
        <f t="shared" si="8"/>
        <v>#VALUE!</v>
      </c>
      <c r="AI54" s="177" t="e">
        <f t="shared" si="8"/>
        <v>#VALUE!</v>
      </c>
      <c r="AJ54" s="177" t="e">
        <f t="shared" si="8"/>
        <v>#VALUE!</v>
      </c>
      <c r="AK54" s="177" t="e">
        <f t="shared" si="8"/>
        <v>#VALUE!</v>
      </c>
      <c r="AL54" s="177" t="e">
        <f t="shared" si="8"/>
        <v>#VALUE!</v>
      </c>
      <c r="AM54" s="177" t="e">
        <f t="shared" si="8"/>
        <v>#VALUE!</v>
      </c>
      <c r="AN54" s="177" t="e">
        <f t="shared" si="8"/>
        <v>#VALUE!</v>
      </c>
      <c r="AO54" s="177" t="e">
        <f t="shared" si="8"/>
        <v>#VALUE!</v>
      </c>
      <c r="AP54" s="177" t="e">
        <f t="shared" si="8"/>
        <v>#VALUE!</v>
      </c>
      <c r="AQ54" s="177" t="e">
        <f t="shared" si="8"/>
        <v>#VALUE!</v>
      </c>
      <c r="AR54" s="177" t="e">
        <f t="shared" si="8"/>
        <v>#VALUE!</v>
      </c>
      <c r="AS54" s="177" t="e">
        <f t="shared" si="8"/>
        <v>#VALUE!</v>
      </c>
      <c r="AT54" s="177" t="e">
        <f t="shared" si="8"/>
        <v>#VALUE!</v>
      </c>
      <c r="AU54" s="177" t="e">
        <f t="shared" si="8"/>
        <v>#VALUE!</v>
      </c>
      <c r="AV54" s="177" t="e">
        <f t="shared" si="8"/>
        <v>#VALUE!</v>
      </c>
      <c r="AW54" s="177" t="e">
        <f t="shared" si="8"/>
        <v>#VALUE!</v>
      </c>
      <c r="AX54" s="177" t="e">
        <f t="shared" si="8"/>
        <v>#VALUE!</v>
      </c>
      <c r="AY54" s="177" t="e">
        <f t="shared" si="8"/>
        <v>#VALUE!</v>
      </c>
    </row>
  </sheetData>
  <sheetProtection password="C522" sheet="1" objects="1" scenarios="1" formatCells="0" formatColumns="0" formatRows="0" insertColumns="0" insertRows="0" insertHyperlinks="0" deleteColumns="0" deleteRows="0" sort="0" autoFilter="0"/>
  <mergeCells count="8">
    <mergeCell ref="A41:A46"/>
    <mergeCell ref="A47:A52"/>
    <mergeCell ref="A3:A8"/>
    <mergeCell ref="A9:A14"/>
    <mergeCell ref="A15:A23"/>
    <mergeCell ref="A24:A29"/>
    <mergeCell ref="A30:A35"/>
    <mergeCell ref="A36:A40"/>
  </mergeCells>
  <conditionalFormatting sqref="AP2:XFD2 D1:AO2 D3:AY7">
    <cfRule type="expression" dxfId="454" priority="108">
      <formula>MOD(COLUMN(),2)=1</formula>
    </cfRule>
  </conditionalFormatting>
  <conditionalFormatting sqref="B8:C8 B14:C14 B46:C46 B52:C52 B35:C35 B29:C29">
    <cfRule type="cellIs" dxfId="453" priority="107" operator="notEqual">
      <formula>$B$2</formula>
    </cfRule>
  </conditionalFormatting>
  <conditionalFormatting sqref="B23:C23">
    <cfRule type="cellIs" dxfId="452" priority="106" operator="notEqual">
      <formula>$B$2</formula>
    </cfRule>
  </conditionalFormatting>
  <conditionalFormatting sqref="B40:C40">
    <cfRule type="cellIs" dxfId="451" priority="105" operator="notEqual">
      <formula>$B$2</formula>
    </cfRule>
  </conditionalFormatting>
  <conditionalFormatting sqref="AP2:XFD2 D1:AO2 D3:AY7">
    <cfRule type="expression" dxfId="450" priority="104">
      <formula>MOD(COLUMN(),2)=1</formula>
    </cfRule>
  </conditionalFormatting>
  <conditionalFormatting sqref="F1:AY1">
    <cfRule type="expression" dxfId="449" priority="100">
      <formula>MOD(COLUMN(),2)=1</formula>
    </cfRule>
  </conditionalFormatting>
  <conditionalFormatting sqref="D1:E2 F2:AY2 D3:AY7">
    <cfRule type="expression" dxfId="448" priority="98">
      <formula>MOD(COLUMN(),2)=1</formula>
    </cfRule>
  </conditionalFormatting>
  <conditionalFormatting sqref="B8:C8 B14:C14 B46:C46 B52:C52 B35:C35 B29:C29">
    <cfRule type="cellIs" dxfId="447" priority="97" operator="notEqual">
      <formula>$B$2</formula>
    </cfRule>
  </conditionalFormatting>
  <conditionalFormatting sqref="B23:C23">
    <cfRule type="cellIs" dxfId="446" priority="96" operator="notEqual">
      <formula>$B$2</formula>
    </cfRule>
  </conditionalFormatting>
  <conditionalFormatting sqref="B40:C40">
    <cfRule type="cellIs" dxfId="445" priority="95" operator="notEqual">
      <formula>$B$2</formula>
    </cfRule>
  </conditionalFormatting>
  <conditionalFormatting sqref="D1:E2 F2:AY2 D3:AY7">
    <cfRule type="expression" dxfId="444" priority="94">
      <formula>MOD(COLUMN(),2)=1</formula>
    </cfRule>
  </conditionalFormatting>
  <conditionalFormatting sqref="D9:AY13 D15:AY22 D24:AY28 D30:AY34 D36:AY39 D41:AY45 D47:AY51">
    <cfRule type="expression" dxfId="443" priority="65">
      <formula>MOD(COLUMN(),2)=1</formula>
    </cfRule>
  </conditionalFormatting>
  <conditionalFormatting sqref="D14:AY14">
    <cfRule type="expression" dxfId="442" priority="64">
      <formula>MOD(COLUMN(),2)=1</formula>
    </cfRule>
  </conditionalFormatting>
  <conditionalFormatting sqref="D14:AY14">
    <cfRule type="cellIs" dxfId="441" priority="63" operator="notEqual">
      <formula>$B$2</formula>
    </cfRule>
  </conditionalFormatting>
  <conditionalFormatting sqref="D14:AY14">
    <cfRule type="expression" dxfId="440" priority="62">
      <formula>MOD(COLUMN(),2)=1</formula>
    </cfRule>
  </conditionalFormatting>
  <conditionalFormatting sqref="D14:AY14">
    <cfRule type="cellIs" dxfId="439" priority="61" operator="notEqual">
      <formula>$B$2</formula>
    </cfRule>
  </conditionalFormatting>
  <conditionalFormatting sqref="D14:AY14">
    <cfRule type="expression" dxfId="438" priority="60">
      <formula>MOD(COLUMN(),2)=1</formula>
    </cfRule>
  </conditionalFormatting>
  <conditionalFormatting sqref="D14:AY14">
    <cfRule type="cellIs" dxfId="437" priority="59" operator="notEqual">
      <formula>$B$2</formula>
    </cfRule>
  </conditionalFormatting>
  <conditionalFormatting sqref="D14:AY14">
    <cfRule type="expression" dxfId="436" priority="58">
      <formula>MOD(COLUMN(),2)=1</formula>
    </cfRule>
  </conditionalFormatting>
  <conditionalFormatting sqref="D14:AY14">
    <cfRule type="cellIs" dxfId="435" priority="57" operator="notEqual">
      <formula>$B$2</formula>
    </cfRule>
  </conditionalFormatting>
  <conditionalFormatting sqref="D23:AY23">
    <cfRule type="expression" dxfId="434" priority="56">
      <formula>MOD(COLUMN(),2)=1</formula>
    </cfRule>
  </conditionalFormatting>
  <conditionalFormatting sqref="D23:AY23">
    <cfRule type="cellIs" dxfId="433" priority="55" operator="notEqual">
      <formula>$B$2</formula>
    </cfRule>
  </conditionalFormatting>
  <conditionalFormatting sqref="D23:AY23">
    <cfRule type="expression" dxfId="432" priority="54">
      <formula>MOD(COLUMN(),2)=1</formula>
    </cfRule>
  </conditionalFormatting>
  <conditionalFormatting sqref="D23:AY23">
    <cfRule type="cellIs" dxfId="431" priority="53" operator="notEqual">
      <formula>$B$2</formula>
    </cfRule>
  </conditionalFormatting>
  <conditionalFormatting sqref="D23:AY23">
    <cfRule type="expression" dxfId="430" priority="52">
      <formula>MOD(COLUMN(),2)=1</formula>
    </cfRule>
  </conditionalFormatting>
  <conditionalFormatting sqref="D23:AY23">
    <cfRule type="cellIs" dxfId="429" priority="51" operator="notEqual">
      <formula>$B$2</formula>
    </cfRule>
  </conditionalFormatting>
  <conditionalFormatting sqref="D23:AY23">
    <cfRule type="expression" dxfId="428" priority="50">
      <formula>MOD(COLUMN(),2)=1</formula>
    </cfRule>
  </conditionalFormatting>
  <conditionalFormatting sqref="D23:AY23">
    <cfRule type="cellIs" dxfId="427" priority="49" operator="notEqual">
      <formula>$B$2</formula>
    </cfRule>
  </conditionalFormatting>
  <conditionalFormatting sqref="D29:AY29">
    <cfRule type="expression" dxfId="426" priority="48">
      <formula>MOD(COLUMN(),2)=1</formula>
    </cfRule>
  </conditionalFormatting>
  <conditionalFormatting sqref="D29:AY29">
    <cfRule type="cellIs" dxfId="425" priority="47" operator="notEqual">
      <formula>$B$2</formula>
    </cfRule>
  </conditionalFormatting>
  <conditionalFormatting sqref="D29:AY29">
    <cfRule type="expression" dxfId="424" priority="46">
      <formula>MOD(COLUMN(),2)=1</formula>
    </cfRule>
  </conditionalFormatting>
  <conditionalFormatting sqref="D29:AY29">
    <cfRule type="cellIs" dxfId="423" priority="45" operator="notEqual">
      <formula>$B$2</formula>
    </cfRule>
  </conditionalFormatting>
  <conditionalFormatting sqref="D29:AY29">
    <cfRule type="expression" dxfId="422" priority="44">
      <formula>MOD(COLUMN(),2)=1</formula>
    </cfRule>
  </conditionalFormatting>
  <conditionalFormatting sqref="D29:AY29">
    <cfRule type="cellIs" dxfId="421" priority="43" operator="notEqual">
      <formula>$B$2</formula>
    </cfRule>
  </conditionalFormatting>
  <conditionalFormatting sqref="D29:AY29">
    <cfRule type="expression" dxfId="420" priority="42">
      <formula>MOD(COLUMN(),2)=1</formula>
    </cfRule>
  </conditionalFormatting>
  <conditionalFormatting sqref="D29:AY29">
    <cfRule type="cellIs" dxfId="419" priority="41" operator="notEqual">
      <formula>$B$2</formula>
    </cfRule>
  </conditionalFormatting>
  <conditionalFormatting sqref="D35:AY35">
    <cfRule type="expression" dxfId="418" priority="40">
      <formula>MOD(COLUMN(),2)=1</formula>
    </cfRule>
  </conditionalFormatting>
  <conditionalFormatting sqref="D35:AY35">
    <cfRule type="cellIs" dxfId="417" priority="39" operator="notEqual">
      <formula>$B$2</formula>
    </cfRule>
  </conditionalFormatting>
  <conditionalFormatting sqref="D35:AY35">
    <cfRule type="expression" dxfId="416" priority="38">
      <formula>MOD(COLUMN(),2)=1</formula>
    </cfRule>
  </conditionalFormatting>
  <conditionalFormatting sqref="D35:AY35">
    <cfRule type="cellIs" dxfId="415" priority="37" operator="notEqual">
      <formula>$B$2</formula>
    </cfRule>
  </conditionalFormatting>
  <conditionalFormatting sqref="D35:AY35">
    <cfRule type="expression" dxfId="414" priority="36">
      <formula>MOD(COLUMN(),2)=1</formula>
    </cfRule>
  </conditionalFormatting>
  <conditionalFormatting sqref="D35:AY35">
    <cfRule type="cellIs" dxfId="413" priority="35" operator="notEqual">
      <formula>$B$2</formula>
    </cfRule>
  </conditionalFormatting>
  <conditionalFormatting sqref="D35:AY35">
    <cfRule type="expression" dxfId="412" priority="34">
      <formula>MOD(COLUMN(),2)=1</formula>
    </cfRule>
  </conditionalFormatting>
  <conditionalFormatting sqref="D35:AY35">
    <cfRule type="cellIs" dxfId="411" priority="33" operator="notEqual">
      <formula>$B$2</formula>
    </cfRule>
  </conditionalFormatting>
  <conditionalFormatting sqref="D40:AY40">
    <cfRule type="expression" dxfId="410" priority="32">
      <formula>MOD(COLUMN(),2)=1</formula>
    </cfRule>
  </conditionalFormatting>
  <conditionalFormatting sqref="D40:AY40">
    <cfRule type="cellIs" dxfId="409" priority="31" operator="notEqual">
      <formula>$B$2</formula>
    </cfRule>
  </conditionalFormatting>
  <conditionalFormatting sqref="D40:AY40">
    <cfRule type="expression" dxfId="408" priority="30">
      <formula>MOD(COLUMN(),2)=1</formula>
    </cfRule>
  </conditionalFormatting>
  <conditionalFormatting sqref="D40:AY40">
    <cfRule type="cellIs" dxfId="407" priority="29" operator="notEqual">
      <formula>$B$2</formula>
    </cfRule>
  </conditionalFormatting>
  <conditionalFormatting sqref="D40:AY40">
    <cfRule type="expression" dxfId="406" priority="28">
      <formula>MOD(COLUMN(),2)=1</formula>
    </cfRule>
  </conditionalFormatting>
  <conditionalFormatting sqref="D40:AY40">
    <cfRule type="cellIs" dxfId="405" priority="27" operator="notEqual">
      <formula>$B$2</formula>
    </cfRule>
  </conditionalFormatting>
  <conditionalFormatting sqref="D40:AY40">
    <cfRule type="expression" dxfId="404" priority="26">
      <formula>MOD(COLUMN(),2)=1</formula>
    </cfRule>
  </conditionalFormatting>
  <conditionalFormatting sqref="D40:AY40">
    <cfRule type="cellIs" dxfId="403" priority="25" operator="notEqual">
      <formula>$B$2</formula>
    </cfRule>
  </conditionalFormatting>
  <conditionalFormatting sqref="D46:AY46">
    <cfRule type="expression" dxfId="402" priority="24">
      <formula>MOD(COLUMN(),2)=1</formula>
    </cfRule>
  </conditionalFormatting>
  <conditionalFormatting sqref="D46:AY46">
    <cfRule type="cellIs" dxfId="401" priority="23" operator="notEqual">
      <formula>$B$2</formula>
    </cfRule>
  </conditionalFormatting>
  <conditionalFormatting sqref="D46:AY46">
    <cfRule type="expression" dxfId="400" priority="22">
      <formula>MOD(COLUMN(),2)=1</formula>
    </cfRule>
  </conditionalFormatting>
  <conditionalFormatting sqref="D46:AY46">
    <cfRule type="cellIs" dxfId="399" priority="21" operator="notEqual">
      <formula>$B$2</formula>
    </cfRule>
  </conditionalFormatting>
  <conditionalFormatting sqref="D46:AY46">
    <cfRule type="expression" dxfId="398" priority="20">
      <formula>MOD(COLUMN(),2)=1</formula>
    </cfRule>
  </conditionalFormatting>
  <conditionalFormatting sqref="D46:AY46">
    <cfRule type="cellIs" dxfId="397" priority="19" operator="notEqual">
      <formula>$B$2</formula>
    </cfRule>
  </conditionalFormatting>
  <conditionalFormatting sqref="D46:AY46">
    <cfRule type="expression" dxfId="396" priority="18">
      <formula>MOD(COLUMN(),2)=1</formula>
    </cfRule>
  </conditionalFormatting>
  <conditionalFormatting sqref="D46:AY46">
    <cfRule type="cellIs" dxfId="395" priority="17" operator="notEqual">
      <formula>$B$2</formula>
    </cfRule>
  </conditionalFormatting>
  <conditionalFormatting sqref="D52:AY52">
    <cfRule type="expression" dxfId="394" priority="16">
      <formula>MOD(COLUMN(),2)=1</formula>
    </cfRule>
  </conditionalFormatting>
  <conditionalFormatting sqref="D52:AY52">
    <cfRule type="cellIs" dxfId="393" priority="15" operator="notEqual">
      <formula>$B$2</formula>
    </cfRule>
  </conditionalFormatting>
  <conditionalFormatting sqref="D52:AY52">
    <cfRule type="expression" dxfId="392" priority="14">
      <formula>MOD(COLUMN(),2)=1</formula>
    </cfRule>
  </conditionalFormatting>
  <conditionalFormatting sqref="D52:AY52">
    <cfRule type="cellIs" dxfId="391" priority="13" operator="notEqual">
      <formula>$B$2</formula>
    </cfRule>
  </conditionalFormatting>
  <conditionalFormatting sqref="D52:AY52">
    <cfRule type="expression" dxfId="390" priority="12">
      <formula>MOD(COLUMN(),2)=1</formula>
    </cfRule>
  </conditionalFormatting>
  <conditionalFormatting sqref="D52:AY52">
    <cfRule type="cellIs" dxfId="389" priority="11" operator="notEqual">
      <formula>$B$2</formula>
    </cfRule>
  </conditionalFormatting>
  <conditionalFormatting sqref="D52:AY52">
    <cfRule type="expression" dxfId="388" priority="10">
      <formula>MOD(COLUMN(),2)=1</formula>
    </cfRule>
  </conditionalFormatting>
  <conditionalFormatting sqref="D52:AY52">
    <cfRule type="cellIs" dxfId="387" priority="9" operator="notEqual">
      <formula>$B$2</formula>
    </cfRule>
  </conditionalFormatting>
  <conditionalFormatting sqref="D8:AY8">
    <cfRule type="expression" dxfId="386" priority="8">
      <formula>MOD(COLUMN(),2)=1</formula>
    </cfRule>
  </conditionalFormatting>
  <conditionalFormatting sqref="D8:AY8">
    <cfRule type="cellIs" dxfId="385" priority="7" operator="notEqual">
      <formula>$B$2</formula>
    </cfRule>
  </conditionalFormatting>
  <conditionalFormatting sqref="D8:AY8">
    <cfRule type="expression" dxfId="384" priority="6">
      <formula>MOD(COLUMN(),2)=1</formula>
    </cfRule>
  </conditionalFormatting>
  <conditionalFormatting sqref="D8:AY8">
    <cfRule type="cellIs" dxfId="383" priority="5" operator="notEqual">
      <formula>$B$2</formula>
    </cfRule>
  </conditionalFormatting>
  <conditionalFormatting sqref="D8:AY8">
    <cfRule type="expression" dxfId="382" priority="4">
      <formula>MOD(COLUMN(),2)=1</formula>
    </cfRule>
  </conditionalFormatting>
  <conditionalFormatting sqref="D8:AY8">
    <cfRule type="cellIs" dxfId="381" priority="3" operator="notEqual">
      <formula>$B$2</formula>
    </cfRule>
  </conditionalFormatting>
  <conditionalFormatting sqref="D8:AY8">
    <cfRule type="expression" dxfId="380" priority="2">
      <formula>MOD(COLUMN(),2)=1</formula>
    </cfRule>
  </conditionalFormatting>
  <conditionalFormatting sqref="D8:AY8">
    <cfRule type="cellIs" dxfId="379" priority="1"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4"/>
  <dimension ref="A1:AY54"/>
  <sheetViews>
    <sheetView workbookViewId="0"/>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316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79"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26" t="s">
        <v>207</v>
      </c>
      <c r="B3" s="173" t="s">
        <v>208</v>
      </c>
      <c r="C3" s="174" t="s">
        <v>209</v>
      </c>
      <c r="D3" s="178" t="str">
        <f>IF(AND(observasi1!D3="",observasi2!D3=""),"",AVERAGE(observasi1!D3,observasi2!D3))</f>
        <v/>
      </c>
      <c r="E3" s="178" t="str">
        <f>IF(AND(observasi1!E3="",observasi2!E3=""),"",AVERAGE(observasi1!E3,observasi2!E3))</f>
        <v/>
      </c>
      <c r="F3" s="178" t="str">
        <f>IF(AND(observasi1!F3="",observasi2!F3=""),"",AVERAGE(observasi1!F3,observasi2!F3))</f>
        <v/>
      </c>
      <c r="G3" s="178" t="str">
        <f>IF(AND(observasi1!G3="",observasi2!G3=""),"",AVERAGE(observasi1!G3,observasi2!G3))</f>
        <v/>
      </c>
      <c r="H3" s="178" t="str">
        <f>IF(AND(observasi1!H3="",observasi2!H3=""),"",AVERAGE(observasi1!H3,observasi2!H3))</f>
        <v/>
      </c>
      <c r="I3" s="178" t="str">
        <f>IF(AND(observasi1!I3="",observasi2!I3=""),"",AVERAGE(observasi1!I3,observasi2!I3))</f>
        <v/>
      </c>
      <c r="J3" s="178" t="str">
        <f>IF(AND(observasi1!J3="",observasi2!J3=""),"",AVERAGE(observasi1!J3,observasi2!J3))</f>
        <v/>
      </c>
      <c r="K3" s="178" t="str">
        <f>IF(AND(observasi1!K3="",observasi2!K3=""),"",AVERAGE(observasi1!K3,observasi2!K3))</f>
        <v/>
      </c>
      <c r="L3" s="178" t="str">
        <f>IF(AND(observasi1!L3="",observasi2!L3=""),"",AVERAGE(observasi1!L3,observasi2!L3))</f>
        <v/>
      </c>
      <c r="M3" s="178" t="str">
        <f>IF(AND(observasi1!M3="",observasi2!M3=""),"",AVERAGE(observasi1!M3,observasi2!M3))</f>
        <v/>
      </c>
      <c r="N3" s="178" t="str">
        <f>IF(AND(observasi1!N3="",observasi2!N3=""),"",AVERAGE(observasi1!N3,observasi2!N3))</f>
        <v/>
      </c>
      <c r="O3" s="178" t="str">
        <f>IF(AND(observasi1!O3="",observasi2!O3=""),"",AVERAGE(observasi1!O3,observasi2!O3))</f>
        <v/>
      </c>
      <c r="P3" s="178" t="str">
        <f>IF(AND(observasi1!P3="",observasi2!P3=""),"",AVERAGE(observasi1!P3,observasi2!P3))</f>
        <v/>
      </c>
      <c r="Q3" s="178" t="str">
        <f>IF(AND(observasi1!Q3="",observasi2!Q3=""),"",AVERAGE(observasi1!Q3,observasi2!Q3))</f>
        <v/>
      </c>
      <c r="R3" s="178" t="str">
        <f>IF(AND(observasi1!R3="",observasi2!R3=""),"",AVERAGE(observasi1!R3,observasi2!R3))</f>
        <v/>
      </c>
      <c r="S3" s="178" t="str">
        <f>IF(AND(observasi1!S3="",observasi2!S3=""),"",AVERAGE(observasi1!S3,observasi2!S3))</f>
        <v/>
      </c>
      <c r="T3" s="178" t="str">
        <f>IF(AND(observasi1!T3="",observasi2!T3=""),"",AVERAGE(observasi1!T3,observasi2!T3))</f>
        <v/>
      </c>
      <c r="U3" s="178" t="str">
        <f>IF(AND(observasi1!U3="",observasi2!U3=""),"",AVERAGE(observasi1!U3,observasi2!U3))</f>
        <v/>
      </c>
      <c r="V3" s="178" t="str">
        <f>IF(AND(observasi1!V3="",observasi2!V3=""),"",AVERAGE(observasi1!V3,observasi2!V3))</f>
        <v/>
      </c>
      <c r="W3" s="178" t="str">
        <f>IF(AND(observasi1!W3="",observasi2!W3=""),"",AVERAGE(observasi1!W3,observasi2!W3))</f>
        <v/>
      </c>
      <c r="X3" s="178" t="str">
        <f>IF(AND(observasi1!X3="",observasi2!X3=""),"",AVERAGE(observasi1!X3,observasi2!X3))</f>
        <v/>
      </c>
      <c r="Y3" s="178" t="str">
        <f>IF(AND(observasi1!Y3="",observasi2!Y3=""),"",AVERAGE(observasi1!Y3,observasi2!Y3))</f>
        <v/>
      </c>
      <c r="Z3" s="178" t="str">
        <f>IF(AND(observasi1!Z3="",observasi2!Z3=""),"",AVERAGE(observasi1!Z3,observasi2!Z3))</f>
        <v/>
      </c>
      <c r="AA3" s="178" t="str">
        <f>IF(AND(observasi1!AA3="",observasi2!AA3=""),"",AVERAGE(observasi1!AA3,observasi2!AA3))</f>
        <v/>
      </c>
      <c r="AB3" s="178" t="str">
        <f>IF(AND(observasi1!AB3="",observasi2!AB3=""),"",AVERAGE(observasi1!AB3,observasi2!AB3))</f>
        <v/>
      </c>
      <c r="AC3" s="178" t="str">
        <f>IF(AND(observasi1!AC3="",observasi2!AC3=""),"",AVERAGE(observasi1!AC3,observasi2!AC3))</f>
        <v/>
      </c>
      <c r="AD3" s="178" t="str">
        <f>IF(AND(observasi1!AD3="",observasi2!AD3=""),"",AVERAGE(observasi1!AD3,observasi2!AD3))</f>
        <v/>
      </c>
      <c r="AE3" s="178" t="str">
        <f>IF(AND(observasi1!AE3="",observasi2!AE3=""),"",AVERAGE(observasi1!AE3,observasi2!AE3))</f>
        <v/>
      </c>
      <c r="AF3" s="178" t="str">
        <f>IF(AND(observasi1!AF3="",observasi2!AF3=""),"",AVERAGE(observasi1!AF3,observasi2!AF3))</f>
        <v/>
      </c>
      <c r="AG3" s="178" t="str">
        <f>IF(AND(observasi1!AG3="",observasi2!AG3=""),"",AVERAGE(observasi1!AG3,observasi2!AG3))</f>
        <v/>
      </c>
      <c r="AH3" s="178" t="str">
        <f>IF(AND(observasi1!AH3="",observasi2!AH3=""),"",AVERAGE(observasi1!AH3,observasi2!AH3))</f>
        <v/>
      </c>
      <c r="AI3" s="178" t="str">
        <f>IF(AND(observasi1!AI3="",observasi2!AI3=""),"",AVERAGE(observasi1!AI3,observasi2!AI3))</f>
        <v/>
      </c>
      <c r="AJ3" s="178" t="str">
        <f>IF(AND(observasi1!AJ3="",observasi2!AJ3=""),"",AVERAGE(observasi1!AJ3,observasi2!AJ3))</f>
        <v/>
      </c>
      <c r="AK3" s="178" t="str">
        <f>IF(AND(observasi1!AK3="",observasi2!AK3=""),"",AVERAGE(observasi1!AK3,observasi2!AK3))</f>
        <v/>
      </c>
      <c r="AL3" s="178" t="str">
        <f>IF(AND(observasi1!AL3="",observasi2!AL3=""),"",AVERAGE(observasi1!AL3,observasi2!AL3))</f>
        <v/>
      </c>
      <c r="AM3" s="178" t="str">
        <f>IF(AND(observasi1!AM3="",observasi2!AM3=""),"",AVERAGE(observasi1!AM3,observasi2!AM3))</f>
        <v/>
      </c>
      <c r="AN3" s="178" t="str">
        <f>IF(AND(observasi1!AN3="",observasi2!AN3=""),"",AVERAGE(observasi1!AN3,observasi2!AN3))</f>
        <v/>
      </c>
      <c r="AO3" s="178" t="str">
        <f>IF(AND(observasi1!AO3="",observasi2!AO3=""),"",AVERAGE(observasi1!AO3,observasi2!AO3))</f>
        <v/>
      </c>
      <c r="AP3" s="178" t="str">
        <f>IF(AND(observasi1!AP3="",observasi2!AP3=""),"",AVERAGE(observasi1!AP3,observasi2!AP3))</f>
        <v/>
      </c>
      <c r="AQ3" s="178" t="str">
        <f>IF(AND(observasi1!AQ3="",observasi2!AQ3=""),"",AVERAGE(observasi1!AQ3,observasi2!AQ3))</f>
        <v/>
      </c>
      <c r="AR3" s="178" t="str">
        <f>IF(AND(observasi1!AR3="",observasi2!AR3=""),"",AVERAGE(observasi1!AR3,observasi2!AR3))</f>
        <v/>
      </c>
      <c r="AS3" s="178" t="str">
        <f>IF(AND(observasi1!AS3="",observasi2!AS3=""),"",AVERAGE(observasi1!AS3,observasi2!AS3))</f>
        <v/>
      </c>
      <c r="AT3" s="178" t="str">
        <f>IF(AND(observasi1!AT3="",observasi2!AT3=""),"",AVERAGE(observasi1!AT3,observasi2!AT3))</f>
        <v/>
      </c>
      <c r="AU3" s="178" t="str">
        <f>IF(AND(observasi1!AU3="",observasi2!AU3=""),"",AVERAGE(observasi1!AU3,observasi2!AU3))</f>
        <v/>
      </c>
      <c r="AV3" s="178" t="str">
        <f>IF(AND(observasi1!AV3="",observasi2!AV3=""),"",AVERAGE(observasi1!AV3,observasi2!AV3))</f>
        <v/>
      </c>
      <c r="AW3" s="178" t="str">
        <f>IF(AND(observasi1!AW3="",observasi2!AW3=""),"",AVERAGE(observasi1!AW3,observasi2!AW3))</f>
        <v/>
      </c>
      <c r="AX3" s="178" t="str">
        <f>IF(AND(observasi1!AX3="",observasi2!AX3=""),"",AVERAGE(observasi1!AX3,observasi2!AX3))</f>
        <v/>
      </c>
      <c r="AY3" s="178" t="str">
        <f>IF(AND(observasi1!AY3="",observasi2!AY3=""),"",AVERAGE(observasi1!AY3,observasi2!AY3))</f>
        <v/>
      </c>
    </row>
    <row r="4" spans="1:51">
      <c r="A4" s="624"/>
      <c r="B4" s="164" t="s">
        <v>210</v>
      </c>
      <c r="C4" s="165" t="s">
        <v>211</v>
      </c>
      <c r="D4" s="178" t="str">
        <f>IF(AND(observasi1!D4="",observasi2!D4=""),"",AVERAGE(observasi1!D4,observasi2!D4))</f>
        <v/>
      </c>
      <c r="E4" s="178" t="str">
        <f>IF(AND(observasi1!E4="",observasi2!E4=""),"",AVERAGE(observasi1!E4,observasi2!E4))</f>
        <v/>
      </c>
      <c r="F4" s="178" t="str">
        <f>IF(AND(observasi1!F4="",observasi2!F4=""),"",AVERAGE(observasi1!F4,observasi2!F4))</f>
        <v/>
      </c>
      <c r="G4" s="178" t="str">
        <f>IF(AND(observasi1!G4="",observasi2!G4=""),"",AVERAGE(observasi1!G4,observasi2!G4))</f>
        <v/>
      </c>
      <c r="H4" s="178" t="str">
        <f>IF(AND(observasi1!H4="",observasi2!H4=""),"",AVERAGE(observasi1!H4,observasi2!H4))</f>
        <v/>
      </c>
      <c r="I4" s="178" t="str">
        <f>IF(AND(observasi1!I4="",observasi2!I4=""),"",AVERAGE(observasi1!I4,observasi2!I4))</f>
        <v/>
      </c>
      <c r="J4" s="178" t="str">
        <f>IF(AND(observasi1!J4="",observasi2!J4=""),"",AVERAGE(observasi1!J4,observasi2!J4))</f>
        <v/>
      </c>
      <c r="K4" s="178" t="str">
        <f>IF(AND(observasi1!K4="",observasi2!K4=""),"",AVERAGE(observasi1!K4,observasi2!K4))</f>
        <v/>
      </c>
      <c r="L4" s="178" t="str">
        <f>IF(AND(observasi1!L4="",observasi2!L4=""),"",AVERAGE(observasi1!L4,observasi2!L4))</f>
        <v/>
      </c>
      <c r="M4" s="178" t="str">
        <f>IF(AND(observasi1!M4="",observasi2!M4=""),"",AVERAGE(observasi1!M4,observasi2!M4))</f>
        <v/>
      </c>
      <c r="N4" s="178" t="str">
        <f>IF(AND(observasi1!N4="",observasi2!N4=""),"",AVERAGE(observasi1!N4,observasi2!N4))</f>
        <v/>
      </c>
      <c r="O4" s="178" t="str">
        <f>IF(AND(observasi1!O4="",observasi2!O4=""),"",AVERAGE(observasi1!O4,observasi2!O4))</f>
        <v/>
      </c>
      <c r="P4" s="178" t="str">
        <f>IF(AND(observasi1!P4="",observasi2!P4=""),"",AVERAGE(observasi1!P4,observasi2!P4))</f>
        <v/>
      </c>
      <c r="Q4" s="178" t="str">
        <f>IF(AND(observasi1!Q4="",observasi2!Q4=""),"",AVERAGE(observasi1!Q4,observasi2!Q4))</f>
        <v/>
      </c>
      <c r="R4" s="178" t="str">
        <f>IF(AND(observasi1!R4="",observasi2!R4=""),"",AVERAGE(observasi1!R4,observasi2!R4))</f>
        <v/>
      </c>
      <c r="S4" s="178" t="str">
        <f>IF(AND(observasi1!S4="",observasi2!S4=""),"",AVERAGE(observasi1!S4,observasi2!S4))</f>
        <v/>
      </c>
      <c r="T4" s="178" t="str">
        <f>IF(AND(observasi1!T4="",observasi2!T4=""),"",AVERAGE(observasi1!T4,observasi2!T4))</f>
        <v/>
      </c>
      <c r="U4" s="178" t="str">
        <f>IF(AND(observasi1!U4="",observasi2!U4=""),"",AVERAGE(observasi1!U4,observasi2!U4))</f>
        <v/>
      </c>
      <c r="V4" s="178" t="str">
        <f>IF(AND(observasi1!V4="",observasi2!V4=""),"",AVERAGE(observasi1!V4,observasi2!V4))</f>
        <v/>
      </c>
      <c r="W4" s="178" t="str">
        <f>IF(AND(observasi1!W4="",observasi2!W4=""),"",AVERAGE(observasi1!W4,observasi2!W4))</f>
        <v/>
      </c>
      <c r="X4" s="178" t="str">
        <f>IF(AND(observasi1!X4="",observasi2!X4=""),"",AVERAGE(observasi1!X4,observasi2!X4))</f>
        <v/>
      </c>
      <c r="Y4" s="178" t="str">
        <f>IF(AND(observasi1!Y4="",observasi2!Y4=""),"",AVERAGE(observasi1!Y4,observasi2!Y4))</f>
        <v/>
      </c>
      <c r="Z4" s="178" t="str">
        <f>IF(AND(observasi1!Z4="",observasi2!Z4=""),"",AVERAGE(observasi1!Z4,observasi2!Z4))</f>
        <v/>
      </c>
      <c r="AA4" s="178" t="str">
        <f>IF(AND(observasi1!AA4="",observasi2!AA4=""),"",AVERAGE(observasi1!AA4,observasi2!AA4))</f>
        <v/>
      </c>
      <c r="AB4" s="178" t="str">
        <f>IF(AND(observasi1!AB4="",observasi2!AB4=""),"",AVERAGE(observasi1!AB4,observasi2!AB4))</f>
        <v/>
      </c>
      <c r="AC4" s="178" t="str">
        <f>IF(AND(observasi1!AC4="",observasi2!AC4=""),"",AVERAGE(observasi1!AC4,observasi2!AC4))</f>
        <v/>
      </c>
      <c r="AD4" s="178" t="str">
        <f>IF(AND(observasi1!AD4="",observasi2!AD4=""),"",AVERAGE(observasi1!AD4,observasi2!AD4))</f>
        <v/>
      </c>
      <c r="AE4" s="178" t="str">
        <f>IF(AND(observasi1!AE4="",observasi2!AE4=""),"",AVERAGE(observasi1!AE4,observasi2!AE4))</f>
        <v/>
      </c>
      <c r="AF4" s="178" t="str">
        <f>IF(AND(observasi1!AF4="",observasi2!AF4=""),"",AVERAGE(observasi1!AF4,observasi2!AF4))</f>
        <v/>
      </c>
      <c r="AG4" s="178" t="str">
        <f>IF(AND(observasi1!AG4="",observasi2!AG4=""),"",AVERAGE(observasi1!AG4,observasi2!AG4))</f>
        <v/>
      </c>
      <c r="AH4" s="178" t="str">
        <f>IF(AND(observasi1!AH4="",observasi2!AH4=""),"",AVERAGE(observasi1!AH4,observasi2!AH4))</f>
        <v/>
      </c>
      <c r="AI4" s="178" t="str">
        <f>IF(AND(observasi1!AI4="",observasi2!AI4=""),"",AVERAGE(observasi1!AI4,observasi2!AI4))</f>
        <v/>
      </c>
      <c r="AJ4" s="178" t="str">
        <f>IF(AND(observasi1!AJ4="",observasi2!AJ4=""),"",AVERAGE(observasi1!AJ4,observasi2!AJ4))</f>
        <v/>
      </c>
      <c r="AK4" s="178" t="str">
        <f>IF(AND(observasi1!AK4="",observasi2!AK4=""),"",AVERAGE(observasi1!AK4,observasi2!AK4))</f>
        <v/>
      </c>
      <c r="AL4" s="178" t="str">
        <f>IF(AND(observasi1!AL4="",observasi2!AL4=""),"",AVERAGE(observasi1!AL4,observasi2!AL4))</f>
        <v/>
      </c>
      <c r="AM4" s="178" t="str">
        <f>IF(AND(observasi1!AM4="",observasi2!AM4=""),"",AVERAGE(observasi1!AM4,observasi2!AM4))</f>
        <v/>
      </c>
      <c r="AN4" s="178" t="str">
        <f>IF(AND(observasi1!AN4="",observasi2!AN4=""),"",AVERAGE(observasi1!AN4,observasi2!AN4))</f>
        <v/>
      </c>
      <c r="AO4" s="178" t="str">
        <f>IF(AND(observasi1!AO4="",observasi2!AO4=""),"",AVERAGE(observasi1!AO4,observasi2!AO4))</f>
        <v/>
      </c>
      <c r="AP4" s="178" t="str">
        <f>IF(AND(observasi1!AP4="",observasi2!AP4=""),"",AVERAGE(observasi1!AP4,observasi2!AP4))</f>
        <v/>
      </c>
      <c r="AQ4" s="178" t="str">
        <f>IF(AND(observasi1!AQ4="",observasi2!AQ4=""),"",AVERAGE(observasi1!AQ4,observasi2!AQ4))</f>
        <v/>
      </c>
      <c r="AR4" s="178" t="str">
        <f>IF(AND(observasi1!AR4="",observasi2!AR4=""),"",AVERAGE(observasi1!AR4,observasi2!AR4))</f>
        <v/>
      </c>
      <c r="AS4" s="178" t="str">
        <f>IF(AND(observasi1!AS4="",observasi2!AS4=""),"",AVERAGE(observasi1!AS4,observasi2!AS4))</f>
        <v/>
      </c>
      <c r="AT4" s="178" t="str">
        <f>IF(AND(observasi1!AT4="",observasi2!AT4=""),"",AVERAGE(observasi1!AT4,observasi2!AT4))</f>
        <v/>
      </c>
      <c r="AU4" s="178" t="str">
        <f>IF(AND(observasi1!AU4="",observasi2!AU4=""),"",AVERAGE(observasi1!AU4,observasi2!AU4))</f>
        <v/>
      </c>
      <c r="AV4" s="178" t="str">
        <f>IF(AND(observasi1!AV4="",observasi2!AV4=""),"",AVERAGE(observasi1!AV4,observasi2!AV4))</f>
        <v/>
      </c>
      <c r="AW4" s="178" t="str">
        <f>IF(AND(observasi1!AW4="",observasi2!AW4=""),"",AVERAGE(observasi1!AW4,observasi2!AW4))</f>
        <v/>
      </c>
      <c r="AX4" s="178" t="str">
        <f>IF(AND(observasi1!AX4="",observasi2!AX4=""),"",AVERAGE(observasi1!AX4,observasi2!AX4))</f>
        <v/>
      </c>
      <c r="AY4" s="178" t="str">
        <f>IF(AND(observasi1!AY4="",observasi2!AY4=""),"",AVERAGE(observasi1!AY4,observasi2!AY4))</f>
        <v/>
      </c>
    </row>
    <row r="5" spans="1:51">
      <c r="A5" s="624"/>
      <c r="B5" s="164" t="s">
        <v>212</v>
      </c>
      <c r="C5" s="165" t="s">
        <v>213</v>
      </c>
      <c r="D5" s="178" t="str">
        <f>IF(AND(observasi1!D5="",observasi2!D5=""),"",AVERAGE(observasi1!D5,observasi2!D5))</f>
        <v/>
      </c>
      <c r="E5" s="178" t="str">
        <f>IF(AND(observasi1!E5="",observasi2!E5=""),"",AVERAGE(observasi1!E5,observasi2!E5))</f>
        <v/>
      </c>
      <c r="F5" s="178" t="str">
        <f>IF(AND(observasi1!F5="",observasi2!F5=""),"",AVERAGE(observasi1!F5,observasi2!F5))</f>
        <v/>
      </c>
      <c r="G5" s="178" t="str">
        <f>IF(AND(observasi1!G5="",observasi2!G5=""),"",AVERAGE(observasi1!G5,observasi2!G5))</f>
        <v/>
      </c>
      <c r="H5" s="178" t="str">
        <f>IF(AND(observasi1!H5="",observasi2!H5=""),"",AVERAGE(observasi1!H5,observasi2!H5))</f>
        <v/>
      </c>
      <c r="I5" s="178" t="str">
        <f>IF(AND(observasi1!I5="",observasi2!I5=""),"",AVERAGE(observasi1!I5,observasi2!I5))</f>
        <v/>
      </c>
      <c r="J5" s="178" t="str">
        <f>IF(AND(observasi1!J5="",observasi2!J5=""),"",AVERAGE(observasi1!J5,observasi2!J5))</f>
        <v/>
      </c>
      <c r="K5" s="178" t="str">
        <f>IF(AND(observasi1!K5="",observasi2!K5=""),"",AVERAGE(observasi1!K5,observasi2!K5))</f>
        <v/>
      </c>
      <c r="L5" s="178" t="str">
        <f>IF(AND(observasi1!L5="",observasi2!L5=""),"",AVERAGE(observasi1!L5,observasi2!L5))</f>
        <v/>
      </c>
      <c r="M5" s="178" t="str">
        <f>IF(AND(observasi1!M5="",observasi2!M5=""),"",AVERAGE(observasi1!M5,observasi2!M5))</f>
        <v/>
      </c>
      <c r="N5" s="178" t="str">
        <f>IF(AND(observasi1!N5="",observasi2!N5=""),"",AVERAGE(observasi1!N5,observasi2!N5))</f>
        <v/>
      </c>
      <c r="O5" s="178" t="str">
        <f>IF(AND(observasi1!O5="",observasi2!O5=""),"",AVERAGE(observasi1!O5,observasi2!O5))</f>
        <v/>
      </c>
      <c r="P5" s="178" t="str">
        <f>IF(AND(observasi1!P5="",observasi2!P5=""),"",AVERAGE(observasi1!P5,observasi2!P5))</f>
        <v/>
      </c>
      <c r="Q5" s="178" t="str">
        <f>IF(AND(observasi1!Q5="",observasi2!Q5=""),"",AVERAGE(observasi1!Q5,observasi2!Q5))</f>
        <v/>
      </c>
      <c r="R5" s="178" t="str">
        <f>IF(AND(observasi1!R5="",observasi2!R5=""),"",AVERAGE(observasi1!R5,observasi2!R5))</f>
        <v/>
      </c>
      <c r="S5" s="178" t="str">
        <f>IF(AND(observasi1!S5="",observasi2!S5=""),"",AVERAGE(observasi1!S5,observasi2!S5))</f>
        <v/>
      </c>
      <c r="T5" s="178" t="str">
        <f>IF(AND(observasi1!T5="",observasi2!T5=""),"",AVERAGE(observasi1!T5,observasi2!T5))</f>
        <v/>
      </c>
      <c r="U5" s="178" t="str">
        <f>IF(AND(observasi1!U5="",observasi2!U5=""),"",AVERAGE(observasi1!U5,observasi2!U5))</f>
        <v/>
      </c>
      <c r="V5" s="178" t="str">
        <f>IF(AND(observasi1!V5="",observasi2!V5=""),"",AVERAGE(observasi1!V5,observasi2!V5))</f>
        <v/>
      </c>
      <c r="W5" s="178" t="str">
        <f>IF(AND(observasi1!W5="",observasi2!W5=""),"",AVERAGE(observasi1!W5,observasi2!W5))</f>
        <v/>
      </c>
      <c r="X5" s="178" t="str">
        <f>IF(AND(observasi1!X5="",observasi2!X5=""),"",AVERAGE(observasi1!X5,observasi2!X5))</f>
        <v/>
      </c>
      <c r="Y5" s="178" t="str">
        <f>IF(AND(observasi1!Y5="",observasi2!Y5=""),"",AVERAGE(observasi1!Y5,observasi2!Y5))</f>
        <v/>
      </c>
      <c r="Z5" s="178" t="str">
        <f>IF(AND(observasi1!Z5="",observasi2!Z5=""),"",AVERAGE(observasi1!Z5,observasi2!Z5))</f>
        <v/>
      </c>
      <c r="AA5" s="178" t="str">
        <f>IF(AND(observasi1!AA5="",observasi2!AA5=""),"",AVERAGE(observasi1!AA5,observasi2!AA5))</f>
        <v/>
      </c>
      <c r="AB5" s="178" t="str">
        <f>IF(AND(observasi1!AB5="",observasi2!AB5=""),"",AVERAGE(observasi1!AB5,observasi2!AB5))</f>
        <v/>
      </c>
      <c r="AC5" s="178" t="str">
        <f>IF(AND(observasi1!AC5="",observasi2!AC5=""),"",AVERAGE(observasi1!AC5,observasi2!AC5))</f>
        <v/>
      </c>
      <c r="AD5" s="178" t="str">
        <f>IF(AND(observasi1!AD5="",observasi2!AD5=""),"",AVERAGE(observasi1!AD5,observasi2!AD5))</f>
        <v/>
      </c>
      <c r="AE5" s="178" t="str">
        <f>IF(AND(observasi1!AE5="",observasi2!AE5=""),"",AVERAGE(observasi1!AE5,observasi2!AE5))</f>
        <v/>
      </c>
      <c r="AF5" s="178" t="str">
        <f>IF(AND(observasi1!AF5="",observasi2!AF5=""),"",AVERAGE(observasi1!AF5,observasi2!AF5))</f>
        <v/>
      </c>
      <c r="AG5" s="178" t="str">
        <f>IF(AND(observasi1!AG5="",observasi2!AG5=""),"",AVERAGE(observasi1!AG5,observasi2!AG5))</f>
        <v/>
      </c>
      <c r="AH5" s="178" t="str">
        <f>IF(AND(observasi1!AH5="",observasi2!AH5=""),"",AVERAGE(observasi1!AH5,observasi2!AH5))</f>
        <v/>
      </c>
      <c r="AI5" s="178" t="str">
        <f>IF(AND(observasi1!AI5="",observasi2!AI5=""),"",AVERAGE(observasi1!AI5,observasi2!AI5))</f>
        <v/>
      </c>
      <c r="AJ5" s="178" t="str">
        <f>IF(AND(observasi1!AJ5="",observasi2!AJ5=""),"",AVERAGE(observasi1!AJ5,observasi2!AJ5))</f>
        <v/>
      </c>
      <c r="AK5" s="178" t="str">
        <f>IF(AND(observasi1!AK5="",observasi2!AK5=""),"",AVERAGE(observasi1!AK5,observasi2!AK5))</f>
        <v/>
      </c>
      <c r="AL5" s="178" t="str">
        <f>IF(AND(observasi1!AL5="",observasi2!AL5=""),"",AVERAGE(observasi1!AL5,observasi2!AL5))</f>
        <v/>
      </c>
      <c r="AM5" s="178" t="str">
        <f>IF(AND(observasi1!AM5="",observasi2!AM5=""),"",AVERAGE(observasi1!AM5,observasi2!AM5))</f>
        <v/>
      </c>
      <c r="AN5" s="178" t="str">
        <f>IF(AND(observasi1!AN5="",observasi2!AN5=""),"",AVERAGE(observasi1!AN5,observasi2!AN5))</f>
        <v/>
      </c>
      <c r="AO5" s="178" t="str">
        <f>IF(AND(observasi1!AO5="",observasi2!AO5=""),"",AVERAGE(observasi1!AO5,observasi2!AO5))</f>
        <v/>
      </c>
      <c r="AP5" s="178" t="str">
        <f>IF(AND(observasi1!AP5="",observasi2!AP5=""),"",AVERAGE(observasi1!AP5,observasi2!AP5))</f>
        <v/>
      </c>
      <c r="AQ5" s="178" t="str">
        <f>IF(AND(observasi1!AQ5="",observasi2!AQ5=""),"",AVERAGE(observasi1!AQ5,observasi2!AQ5))</f>
        <v/>
      </c>
      <c r="AR5" s="178" t="str">
        <f>IF(AND(observasi1!AR5="",observasi2!AR5=""),"",AVERAGE(observasi1!AR5,observasi2!AR5))</f>
        <v/>
      </c>
      <c r="AS5" s="178" t="str">
        <f>IF(AND(observasi1!AS5="",observasi2!AS5=""),"",AVERAGE(observasi1!AS5,observasi2!AS5))</f>
        <v/>
      </c>
      <c r="AT5" s="178" t="str">
        <f>IF(AND(observasi1!AT5="",observasi2!AT5=""),"",AVERAGE(observasi1!AT5,observasi2!AT5))</f>
        <v/>
      </c>
      <c r="AU5" s="178" t="str">
        <f>IF(AND(observasi1!AU5="",observasi2!AU5=""),"",AVERAGE(observasi1!AU5,observasi2!AU5))</f>
        <v/>
      </c>
      <c r="AV5" s="178" t="str">
        <f>IF(AND(observasi1!AV5="",observasi2!AV5=""),"",AVERAGE(observasi1!AV5,observasi2!AV5))</f>
        <v/>
      </c>
      <c r="AW5" s="178" t="str">
        <f>IF(AND(observasi1!AW5="",observasi2!AW5=""),"",AVERAGE(observasi1!AW5,observasi2!AW5))</f>
        <v/>
      </c>
      <c r="AX5" s="178" t="str">
        <f>IF(AND(observasi1!AX5="",observasi2!AX5=""),"",AVERAGE(observasi1!AX5,observasi2!AX5))</f>
        <v/>
      </c>
      <c r="AY5" s="178" t="str">
        <f>IF(AND(observasi1!AY5="",observasi2!AY5=""),"",AVERAGE(observasi1!AY5,observasi2!AY5))</f>
        <v/>
      </c>
    </row>
    <row r="6" spans="1:51">
      <c r="A6" s="624"/>
      <c r="B6" s="164" t="s">
        <v>214</v>
      </c>
      <c r="C6" s="165" t="s">
        <v>215</v>
      </c>
      <c r="D6" s="178" t="str">
        <f>IF(AND(observasi1!D6="",observasi2!D6=""),"",AVERAGE(observasi1!D6,observasi2!D6))</f>
        <v/>
      </c>
      <c r="E6" s="178" t="str">
        <f>IF(AND(observasi1!E6="",observasi2!E6=""),"",AVERAGE(observasi1!E6,observasi2!E6))</f>
        <v/>
      </c>
      <c r="F6" s="178" t="str">
        <f>IF(AND(observasi1!F6="",observasi2!F6=""),"",AVERAGE(observasi1!F6,observasi2!F6))</f>
        <v/>
      </c>
      <c r="G6" s="178" t="str">
        <f>IF(AND(observasi1!G6="",observasi2!G6=""),"",AVERAGE(observasi1!G6,observasi2!G6))</f>
        <v/>
      </c>
      <c r="H6" s="178" t="str">
        <f>IF(AND(observasi1!H6="",observasi2!H6=""),"",AVERAGE(observasi1!H6,observasi2!H6))</f>
        <v/>
      </c>
      <c r="I6" s="178" t="str">
        <f>IF(AND(observasi1!I6="",observasi2!I6=""),"",AVERAGE(observasi1!I6,observasi2!I6))</f>
        <v/>
      </c>
      <c r="J6" s="178" t="str">
        <f>IF(AND(observasi1!J6="",observasi2!J6=""),"",AVERAGE(observasi1!J6,observasi2!J6))</f>
        <v/>
      </c>
      <c r="K6" s="178" t="str">
        <f>IF(AND(observasi1!K6="",observasi2!K6=""),"",AVERAGE(observasi1!K6,observasi2!K6))</f>
        <v/>
      </c>
      <c r="L6" s="178" t="str">
        <f>IF(AND(observasi1!L6="",observasi2!L6=""),"",AVERAGE(observasi1!L6,observasi2!L6))</f>
        <v/>
      </c>
      <c r="M6" s="178" t="str">
        <f>IF(AND(observasi1!M6="",observasi2!M6=""),"",AVERAGE(observasi1!M6,observasi2!M6))</f>
        <v/>
      </c>
      <c r="N6" s="178" t="str">
        <f>IF(AND(observasi1!N6="",observasi2!N6=""),"",AVERAGE(observasi1!N6,observasi2!N6))</f>
        <v/>
      </c>
      <c r="O6" s="178" t="str">
        <f>IF(AND(observasi1!O6="",observasi2!O6=""),"",AVERAGE(observasi1!O6,observasi2!O6))</f>
        <v/>
      </c>
      <c r="P6" s="178" t="str">
        <f>IF(AND(observasi1!P6="",observasi2!P6=""),"",AVERAGE(observasi1!P6,observasi2!P6))</f>
        <v/>
      </c>
      <c r="Q6" s="178" t="str">
        <f>IF(AND(observasi1!Q6="",observasi2!Q6=""),"",AVERAGE(observasi1!Q6,observasi2!Q6))</f>
        <v/>
      </c>
      <c r="R6" s="178" t="str">
        <f>IF(AND(observasi1!R6="",observasi2!R6=""),"",AVERAGE(observasi1!R6,observasi2!R6))</f>
        <v/>
      </c>
      <c r="S6" s="178" t="str">
        <f>IF(AND(observasi1!S6="",observasi2!S6=""),"",AVERAGE(observasi1!S6,observasi2!S6))</f>
        <v/>
      </c>
      <c r="T6" s="178" t="str">
        <f>IF(AND(observasi1!T6="",observasi2!T6=""),"",AVERAGE(observasi1!T6,observasi2!T6))</f>
        <v/>
      </c>
      <c r="U6" s="178" t="str">
        <f>IF(AND(observasi1!U6="",observasi2!U6=""),"",AVERAGE(observasi1!U6,observasi2!U6))</f>
        <v/>
      </c>
      <c r="V6" s="178" t="str">
        <f>IF(AND(observasi1!V6="",observasi2!V6=""),"",AVERAGE(observasi1!V6,observasi2!V6))</f>
        <v/>
      </c>
      <c r="W6" s="178" t="str">
        <f>IF(AND(observasi1!W6="",observasi2!W6=""),"",AVERAGE(observasi1!W6,observasi2!W6))</f>
        <v/>
      </c>
      <c r="X6" s="178" t="str">
        <f>IF(AND(observasi1!X6="",observasi2!X6=""),"",AVERAGE(observasi1!X6,observasi2!X6))</f>
        <v/>
      </c>
      <c r="Y6" s="178" t="str">
        <f>IF(AND(observasi1!Y6="",observasi2!Y6=""),"",AVERAGE(observasi1!Y6,observasi2!Y6))</f>
        <v/>
      </c>
      <c r="Z6" s="178" t="str">
        <f>IF(AND(observasi1!Z6="",observasi2!Z6=""),"",AVERAGE(observasi1!Z6,observasi2!Z6))</f>
        <v/>
      </c>
      <c r="AA6" s="178" t="str">
        <f>IF(AND(observasi1!AA6="",observasi2!AA6=""),"",AVERAGE(observasi1!AA6,observasi2!AA6))</f>
        <v/>
      </c>
      <c r="AB6" s="178" t="str">
        <f>IF(AND(observasi1!AB6="",observasi2!AB6=""),"",AVERAGE(observasi1!AB6,observasi2!AB6))</f>
        <v/>
      </c>
      <c r="AC6" s="178" t="str">
        <f>IF(AND(observasi1!AC6="",observasi2!AC6=""),"",AVERAGE(observasi1!AC6,observasi2!AC6))</f>
        <v/>
      </c>
      <c r="AD6" s="178" t="str">
        <f>IF(AND(observasi1!AD6="",observasi2!AD6=""),"",AVERAGE(observasi1!AD6,observasi2!AD6))</f>
        <v/>
      </c>
      <c r="AE6" s="178" t="str">
        <f>IF(AND(observasi1!AE6="",observasi2!AE6=""),"",AVERAGE(observasi1!AE6,observasi2!AE6))</f>
        <v/>
      </c>
      <c r="AF6" s="178" t="str">
        <f>IF(AND(observasi1!AF6="",observasi2!AF6=""),"",AVERAGE(observasi1!AF6,observasi2!AF6))</f>
        <v/>
      </c>
      <c r="AG6" s="178" t="str">
        <f>IF(AND(observasi1!AG6="",observasi2!AG6=""),"",AVERAGE(observasi1!AG6,observasi2!AG6))</f>
        <v/>
      </c>
      <c r="AH6" s="178" t="str">
        <f>IF(AND(observasi1!AH6="",observasi2!AH6=""),"",AVERAGE(observasi1!AH6,observasi2!AH6))</f>
        <v/>
      </c>
      <c r="AI6" s="178" t="str">
        <f>IF(AND(observasi1!AI6="",observasi2!AI6=""),"",AVERAGE(observasi1!AI6,observasi2!AI6))</f>
        <v/>
      </c>
      <c r="AJ6" s="178" t="str">
        <f>IF(AND(observasi1!AJ6="",observasi2!AJ6=""),"",AVERAGE(observasi1!AJ6,observasi2!AJ6))</f>
        <v/>
      </c>
      <c r="AK6" s="178" t="str">
        <f>IF(AND(observasi1!AK6="",observasi2!AK6=""),"",AVERAGE(observasi1!AK6,observasi2!AK6))</f>
        <v/>
      </c>
      <c r="AL6" s="178" t="str">
        <f>IF(AND(observasi1!AL6="",observasi2!AL6=""),"",AVERAGE(observasi1!AL6,observasi2!AL6))</f>
        <v/>
      </c>
      <c r="AM6" s="178" t="str">
        <f>IF(AND(observasi1!AM6="",observasi2!AM6=""),"",AVERAGE(observasi1!AM6,observasi2!AM6))</f>
        <v/>
      </c>
      <c r="AN6" s="178" t="str">
        <f>IF(AND(observasi1!AN6="",observasi2!AN6=""),"",AVERAGE(observasi1!AN6,observasi2!AN6))</f>
        <v/>
      </c>
      <c r="AO6" s="178" t="str">
        <f>IF(AND(observasi1!AO6="",observasi2!AO6=""),"",AVERAGE(observasi1!AO6,observasi2!AO6))</f>
        <v/>
      </c>
      <c r="AP6" s="178" t="str">
        <f>IF(AND(observasi1!AP6="",observasi2!AP6=""),"",AVERAGE(observasi1!AP6,observasi2!AP6))</f>
        <v/>
      </c>
      <c r="AQ6" s="178" t="str">
        <f>IF(AND(observasi1!AQ6="",observasi2!AQ6=""),"",AVERAGE(observasi1!AQ6,observasi2!AQ6))</f>
        <v/>
      </c>
      <c r="AR6" s="178" t="str">
        <f>IF(AND(observasi1!AR6="",observasi2!AR6=""),"",AVERAGE(observasi1!AR6,observasi2!AR6))</f>
        <v/>
      </c>
      <c r="AS6" s="178" t="str">
        <f>IF(AND(observasi1!AS6="",observasi2!AS6=""),"",AVERAGE(observasi1!AS6,observasi2!AS6))</f>
        <v/>
      </c>
      <c r="AT6" s="178" t="str">
        <f>IF(AND(observasi1!AT6="",observasi2!AT6=""),"",AVERAGE(observasi1!AT6,observasi2!AT6))</f>
        <v/>
      </c>
      <c r="AU6" s="178" t="str">
        <f>IF(AND(observasi1!AU6="",observasi2!AU6=""),"",AVERAGE(observasi1!AU6,observasi2!AU6))</f>
        <v/>
      </c>
      <c r="AV6" s="178" t="str">
        <f>IF(AND(observasi1!AV6="",observasi2!AV6=""),"",AVERAGE(observasi1!AV6,observasi2!AV6))</f>
        <v/>
      </c>
      <c r="AW6" s="178" t="str">
        <f>IF(AND(observasi1!AW6="",observasi2!AW6=""),"",AVERAGE(observasi1!AW6,observasi2!AW6))</f>
        <v/>
      </c>
      <c r="AX6" s="178" t="str">
        <f>IF(AND(observasi1!AX6="",observasi2!AX6=""),"",AVERAGE(observasi1!AX6,observasi2!AX6))</f>
        <v/>
      </c>
      <c r="AY6" s="178" t="str">
        <f>IF(AND(observasi1!AY6="",observasi2!AY6=""),"",AVERAGE(observasi1!AY6,observasi2!AY6))</f>
        <v/>
      </c>
    </row>
    <row r="7" spans="1:51">
      <c r="A7" s="624"/>
      <c r="B7" s="164" t="s">
        <v>216</v>
      </c>
      <c r="C7" s="165" t="s">
        <v>217</v>
      </c>
      <c r="D7" s="178" t="str">
        <f>IF(AND(observasi1!D7="",observasi2!D7=""),"",AVERAGE(observasi1!D7,observasi2!D7))</f>
        <v/>
      </c>
      <c r="E7" s="178" t="str">
        <f>IF(AND(observasi1!E7="",observasi2!E7=""),"",AVERAGE(observasi1!E7,observasi2!E7))</f>
        <v/>
      </c>
      <c r="F7" s="178" t="str">
        <f>IF(AND(observasi1!F7="",observasi2!F7=""),"",AVERAGE(observasi1!F7,observasi2!F7))</f>
        <v/>
      </c>
      <c r="G7" s="178" t="str">
        <f>IF(AND(observasi1!G7="",observasi2!G7=""),"",AVERAGE(observasi1!G7,observasi2!G7))</f>
        <v/>
      </c>
      <c r="H7" s="178" t="str">
        <f>IF(AND(observasi1!H7="",observasi2!H7=""),"",AVERAGE(observasi1!H7,observasi2!H7))</f>
        <v/>
      </c>
      <c r="I7" s="178" t="str">
        <f>IF(AND(observasi1!I7="",observasi2!I7=""),"",AVERAGE(observasi1!I7,observasi2!I7))</f>
        <v/>
      </c>
      <c r="J7" s="178" t="str">
        <f>IF(AND(observasi1!J7="",observasi2!J7=""),"",AVERAGE(observasi1!J7,observasi2!J7))</f>
        <v/>
      </c>
      <c r="K7" s="178" t="str">
        <f>IF(AND(observasi1!K7="",observasi2!K7=""),"",AVERAGE(observasi1!K7,observasi2!K7))</f>
        <v/>
      </c>
      <c r="L7" s="178" t="str">
        <f>IF(AND(observasi1!L7="",observasi2!L7=""),"",AVERAGE(observasi1!L7,observasi2!L7))</f>
        <v/>
      </c>
      <c r="M7" s="178" t="str">
        <f>IF(AND(observasi1!M7="",observasi2!M7=""),"",AVERAGE(observasi1!M7,observasi2!M7))</f>
        <v/>
      </c>
      <c r="N7" s="178" t="str">
        <f>IF(AND(observasi1!N7="",observasi2!N7=""),"",AVERAGE(observasi1!N7,observasi2!N7))</f>
        <v/>
      </c>
      <c r="O7" s="178" t="str">
        <f>IF(AND(observasi1!O7="",observasi2!O7=""),"",AVERAGE(observasi1!O7,observasi2!O7))</f>
        <v/>
      </c>
      <c r="P7" s="178" t="str">
        <f>IF(AND(observasi1!P7="",observasi2!P7=""),"",AVERAGE(observasi1!P7,observasi2!P7))</f>
        <v/>
      </c>
      <c r="Q7" s="178" t="str">
        <f>IF(AND(observasi1!Q7="",observasi2!Q7=""),"",AVERAGE(observasi1!Q7,observasi2!Q7))</f>
        <v/>
      </c>
      <c r="R7" s="178" t="str">
        <f>IF(AND(observasi1!R7="",observasi2!R7=""),"",AVERAGE(observasi1!R7,observasi2!R7))</f>
        <v/>
      </c>
      <c r="S7" s="178" t="str">
        <f>IF(AND(observasi1!S7="",observasi2!S7=""),"",AVERAGE(observasi1!S7,observasi2!S7))</f>
        <v/>
      </c>
      <c r="T7" s="178" t="str">
        <f>IF(AND(observasi1!T7="",observasi2!T7=""),"",AVERAGE(observasi1!T7,observasi2!T7))</f>
        <v/>
      </c>
      <c r="U7" s="178" t="str">
        <f>IF(AND(observasi1!U7="",observasi2!U7=""),"",AVERAGE(observasi1!U7,observasi2!U7))</f>
        <v/>
      </c>
      <c r="V7" s="178" t="str">
        <f>IF(AND(observasi1!V7="",observasi2!V7=""),"",AVERAGE(observasi1!V7,observasi2!V7))</f>
        <v/>
      </c>
      <c r="W7" s="178" t="str">
        <f>IF(AND(observasi1!W7="",observasi2!W7=""),"",AVERAGE(observasi1!W7,observasi2!W7))</f>
        <v/>
      </c>
      <c r="X7" s="178" t="str">
        <f>IF(AND(observasi1!X7="",observasi2!X7=""),"",AVERAGE(observasi1!X7,observasi2!X7))</f>
        <v/>
      </c>
      <c r="Y7" s="178" t="str">
        <f>IF(AND(observasi1!Y7="",observasi2!Y7=""),"",AVERAGE(observasi1!Y7,observasi2!Y7))</f>
        <v/>
      </c>
      <c r="Z7" s="178" t="str">
        <f>IF(AND(observasi1!Z7="",observasi2!Z7=""),"",AVERAGE(observasi1!Z7,observasi2!Z7))</f>
        <v/>
      </c>
      <c r="AA7" s="178" t="str">
        <f>IF(AND(observasi1!AA7="",observasi2!AA7=""),"",AVERAGE(observasi1!AA7,observasi2!AA7))</f>
        <v/>
      </c>
      <c r="AB7" s="178" t="str">
        <f>IF(AND(observasi1!AB7="",observasi2!AB7=""),"",AVERAGE(observasi1!AB7,observasi2!AB7))</f>
        <v/>
      </c>
      <c r="AC7" s="178" t="str">
        <f>IF(AND(observasi1!AC7="",observasi2!AC7=""),"",AVERAGE(observasi1!AC7,observasi2!AC7))</f>
        <v/>
      </c>
      <c r="AD7" s="178" t="str">
        <f>IF(AND(observasi1!AD7="",observasi2!AD7=""),"",AVERAGE(observasi1!AD7,observasi2!AD7))</f>
        <v/>
      </c>
      <c r="AE7" s="178" t="str">
        <f>IF(AND(observasi1!AE7="",observasi2!AE7=""),"",AVERAGE(observasi1!AE7,observasi2!AE7))</f>
        <v/>
      </c>
      <c r="AF7" s="178" t="str">
        <f>IF(AND(observasi1!AF7="",observasi2!AF7=""),"",AVERAGE(observasi1!AF7,observasi2!AF7))</f>
        <v/>
      </c>
      <c r="AG7" s="178" t="str">
        <f>IF(AND(observasi1!AG7="",observasi2!AG7=""),"",AVERAGE(observasi1!AG7,observasi2!AG7))</f>
        <v/>
      </c>
      <c r="AH7" s="178" t="str">
        <f>IF(AND(observasi1!AH7="",observasi2!AH7=""),"",AVERAGE(observasi1!AH7,observasi2!AH7))</f>
        <v/>
      </c>
      <c r="AI7" s="178" t="str">
        <f>IF(AND(observasi1!AI7="",observasi2!AI7=""),"",AVERAGE(observasi1!AI7,observasi2!AI7))</f>
        <v/>
      </c>
      <c r="AJ7" s="178" t="str">
        <f>IF(AND(observasi1!AJ7="",observasi2!AJ7=""),"",AVERAGE(observasi1!AJ7,observasi2!AJ7))</f>
        <v/>
      </c>
      <c r="AK7" s="178" t="str">
        <f>IF(AND(observasi1!AK7="",observasi2!AK7=""),"",AVERAGE(observasi1!AK7,observasi2!AK7))</f>
        <v/>
      </c>
      <c r="AL7" s="178" t="str">
        <f>IF(AND(observasi1!AL7="",observasi2!AL7=""),"",AVERAGE(observasi1!AL7,observasi2!AL7))</f>
        <v/>
      </c>
      <c r="AM7" s="178" t="str">
        <f>IF(AND(observasi1!AM7="",observasi2!AM7=""),"",AVERAGE(observasi1!AM7,observasi2!AM7))</f>
        <v/>
      </c>
      <c r="AN7" s="178" t="str">
        <f>IF(AND(observasi1!AN7="",observasi2!AN7=""),"",AVERAGE(observasi1!AN7,observasi2!AN7))</f>
        <v/>
      </c>
      <c r="AO7" s="178" t="str">
        <f>IF(AND(observasi1!AO7="",observasi2!AO7=""),"",AVERAGE(observasi1!AO7,observasi2!AO7))</f>
        <v/>
      </c>
      <c r="AP7" s="178" t="str">
        <f>IF(AND(observasi1!AP7="",observasi2!AP7=""),"",AVERAGE(observasi1!AP7,observasi2!AP7))</f>
        <v/>
      </c>
      <c r="AQ7" s="178" t="str">
        <f>IF(AND(observasi1!AQ7="",observasi2!AQ7=""),"",AVERAGE(observasi1!AQ7,observasi2!AQ7))</f>
        <v/>
      </c>
      <c r="AR7" s="178" t="str">
        <f>IF(AND(observasi1!AR7="",observasi2!AR7=""),"",AVERAGE(observasi1!AR7,observasi2!AR7))</f>
        <v/>
      </c>
      <c r="AS7" s="178" t="str">
        <f>IF(AND(observasi1!AS7="",observasi2!AS7=""),"",AVERAGE(observasi1!AS7,observasi2!AS7))</f>
        <v/>
      </c>
      <c r="AT7" s="178" t="str">
        <f>IF(AND(observasi1!AT7="",observasi2!AT7=""),"",AVERAGE(observasi1!AT7,observasi2!AT7))</f>
        <v/>
      </c>
      <c r="AU7" s="178" t="str">
        <f>IF(AND(observasi1!AU7="",observasi2!AU7=""),"",AVERAGE(observasi1!AU7,observasi2!AU7))</f>
        <v/>
      </c>
      <c r="AV7" s="178" t="str">
        <f>IF(AND(observasi1!AV7="",observasi2!AV7=""),"",AVERAGE(observasi1!AV7,observasi2!AV7))</f>
        <v/>
      </c>
      <c r="AW7" s="178" t="str">
        <f>IF(AND(observasi1!AW7="",observasi2!AW7=""),"",AVERAGE(observasi1!AW7,observasi2!AW7))</f>
        <v/>
      </c>
      <c r="AX7" s="178" t="str">
        <f>IF(AND(observasi1!AX7="",observasi2!AX7=""),"",AVERAGE(observasi1!AX7,observasi2!AX7))</f>
        <v/>
      </c>
      <c r="AY7" s="178" t="str">
        <f>IF(AND(observasi1!AY7="",observasi2!AY7=""),"",AVERAGE(observasi1!AY7,observasi2!AY7))</f>
        <v/>
      </c>
    </row>
    <row r="8" spans="1:51">
      <c r="A8" s="624"/>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25" t="s">
        <v>8</v>
      </c>
      <c r="B9" s="164" t="s">
        <v>149</v>
      </c>
      <c r="C9" s="165" t="s">
        <v>150</v>
      </c>
      <c r="D9" s="178" t="str">
        <f>IF(AND(observasi1!D9="",observasi2!D9=""),"",AVERAGE(observasi1!D9,observasi2!D9))</f>
        <v/>
      </c>
      <c r="E9" s="178" t="str">
        <f>IF(AND(observasi1!E9="",observasi2!E9=""),"",AVERAGE(observasi1!E9,observasi2!E9))</f>
        <v/>
      </c>
      <c r="F9" s="178" t="str">
        <f>IF(AND(observasi1!F9="",observasi2!F9=""),"",AVERAGE(observasi1!F9,observasi2!F9))</f>
        <v/>
      </c>
      <c r="G9" s="178" t="str">
        <f>IF(AND(observasi1!G9="",observasi2!G9=""),"",AVERAGE(observasi1!G9,observasi2!G9))</f>
        <v/>
      </c>
      <c r="H9" s="178" t="str">
        <f>IF(AND(observasi1!H9="",observasi2!H9=""),"",AVERAGE(observasi1!H9,observasi2!H9))</f>
        <v/>
      </c>
      <c r="I9" s="178" t="str">
        <f>IF(AND(observasi1!I9="",observasi2!I9=""),"",AVERAGE(observasi1!I9,observasi2!I9))</f>
        <v/>
      </c>
      <c r="J9" s="178" t="str">
        <f>IF(AND(observasi1!J9="",observasi2!J9=""),"",AVERAGE(observasi1!J9,observasi2!J9))</f>
        <v/>
      </c>
      <c r="K9" s="178" t="str">
        <f>IF(AND(observasi1!K9="",observasi2!K9=""),"",AVERAGE(observasi1!K9,observasi2!K9))</f>
        <v/>
      </c>
      <c r="L9" s="178" t="str">
        <f>IF(AND(observasi1!L9="",observasi2!L9=""),"",AVERAGE(observasi1!L9,observasi2!L9))</f>
        <v/>
      </c>
      <c r="M9" s="178" t="str">
        <f>IF(AND(observasi1!M9="",observasi2!M9=""),"",AVERAGE(observasi1!M9,observasi2!M9))</f>
        <v/>
      </c>
      <c r="N9" s="178" t="str">
        <f>IF(AND(observasi1!N9="",observasi2!N9=""),"",AVERAGE(observasi1!N9,observasi2!N9))</f>
        <v/>
      </c>
      <c r="O9" s="178" t="str">
        <f>IF(AND(observasi1!O9="",observasi2!O9=""),"",AVERAGE(observasi1!O9,observasi2!O9))</f>
        <v/>
      </c>
      <c r="P9" s="178" t="str">
        <f>IF(AND(observasi1!P9="",observasi2!P9=""),"",AVERAGE(observasi1!P9,observasi2!P9))</f>
        <v/>
      </c>
      <c r="Q9" s="178" t="str">
        <f>IF(AND(observasi1!Q9="",observasi2!Q9=""),"",AVERAGE(observasi1!Q9,observasi2!Q9))</f>
        <v/>
      </c>
      <c r="R9" s="178" t="str">
        <f>IF(AND(observasi1!R9="",observasi2!R9=""),"",AVERAGE(observasi1!R9,observasi2!R9))</f>
        <v/>
      </c>
      <c r="S9" s="178" t="str">
        <f>IF(AND(observasi1!S9="",observasi2!S9=""),"",AVERAGE(observasi1!S9,observasi2!S9))</f>
        <v/>
      </c>
      <c r="T9" s="178" t="str">
        <f>IF(AND(observasi1!T9="",observasi2!T9=""),"",AVERAGE(observasi1!T9,observasi2!T9))</f>
        <v/>
      </c>
      <c r="U9" s="178" t="str">
        <f>IF(AND(observasi1!U9="",observasi2!U9=""),"",AVERAGE(observasi1!U9,observasi2!U9))</f>
        <v/>
      </c>
      <c r="V9" s="178" t="str">
        <f>IF(AND(observasi1!V9="",observasi2!V9=""),"",AVERAGE(observasi1!V9,observasi2!V9))</f>
        <v/>
      </c>
      <c r="W9" s="178" t="str">
        <f>IF(AND(observasi1!W9="",observasi2!W9=""),"",AVERAGE(observasi1!W9,observasi2!W9))</f>
        <v/>
      </c>
      <c r="X9" s="178" t="str">
        <f>IF(AND(observasi1!X9="",observasi2!X9=""),"",AVERAGE(observasi1!X9,observasi2!X9))</f>
        <v/>
      </c>
      <c r="Y9" s="178" t="str">
        <f>IF(AND(observasi1!Y9="",observasi2!Y9=""),"",AVERAGE(observasi1!Y9,observasi2!Y9))</f>
        <v/>
      </c>
      <c r="Z9" s="178" t="str">
        <f>IF(AND(observasi1!Z9="",observasi2!Z9=""),"",AVERAGE(observasi1!Z9,observasi2!Z9))</f>
        <v/>
      </c>
      <c r="AA9" s="178" t="str">
        <f>IF(AND(observasi1!AA9="",observasi2!AA9=""),"",AVERAGE(observasi1!AA9,observasi2!AA9))</f>
        <v/>
      </c>
      <c r="AB9" s="178" t="str">
        <f>IF(AND(observasi1!AB9="",observasi2!AB9=""),"",AVERAGE(observasi1!AB9,observasi2!AB9))</f>
        <v/>
      </c>
      <c r="AC9" s="178" t="str">
        <f>IF(AND(observasi1!AC9="",observasi2!AC9=""),"",AVERAGE(observasi1!AC9,observasi2!AC9))</f>
        <v/>
      </c>
      <c r="AD9" s="178" t="str">
        <f>IF(AND(observasi1!AD9="",observasi2!AD9=""),"",AVERAGE(observasi1!AD9,observasi2!AD9))</f>
        <v/>
      </c>
      <c r="AE9" s="178" t="str">
        <f>IF(AND(observasi1!AE9="",observasi2!AE9=""),"",AVERAGE(observasi1!AE9,observasi2!AE9))</f>
        <v/>
      </c>
      <c r="AF9" s="178" t="str">
        <f>IF(AND(observasi1!AF9="",observasi2!AF9=""),"",AVERAGE(observasi1!AF9,observasi2!AF9))</f>
        <v/>
      </c>
      <c r="AG9" s="178" t="str">
        <f>IF(AND(observasi1!AG9="",observasi2!AG9=""),"",AVERAGE(observasi1!AG9,observasi2!AG9))</f>
        <v/>
      </c>
      <c r="AH9" s="178" t="str">
        <f>IF(AND(observasi1!AH9="",observasi2!AH9=""),"",AVERAGE(observasi1!AH9,observasi2!AH9))</f>
        <v/>
      </c>
      <c r="AI9" s="178" t="str">
        <f>IF(AND(observasi1!AI9="",observasi2!AI9=""),"",AVERAGE(observasi1!AI9,observasi2!AI9))</f>
        <v/>
      </c>
      <c r="AJ9" s="178" t="str">
        <f>IF(AND(observasi1!AJ9="",observasi2!AJ9=""),"",AVERAGE(observasi1!AJ9,observasi2!AJ9))</f>
        <v/>
      </c>
      <c r="AK9" s="178" t="str">
        <f>IF(AND(observasi1!AK9="",observasi2!AK9=""),"",AVERAGE(observasi1!AK9,observasi2!AK9))</f>
        <v/>
      </c>
      <c r="AL9" s="178" t="str">
        <f>IF(AND(observasi1!AL9="",observasi2!AL9=""),"",AVERAGE(observasi1!AL9,observasi2!AL9))</f>
        <v/>
      </c>
      <c r="AM9" s="178" t="str">
        <f>IF(AND(observasi1!AM9="",observasi2!AM9=""),"",AVERAGE(observasi1!AM9,observasi2!AM9))</f>
        <v/>
      </c>
      <c r="AN9" s="178" t="str">
        <f>IF(AND(observasi1!AN9="",observasi2!AN9=""),"",AVERAGE(observasi1!AN9,observasi2!AN9))</f>
        <v/>
      </c>
      <c r="AO9" s="178" t="str">
        <f>IF(AND(observasi1!AO9="",observasi2!AO9=""),"",AVERAGE(observasi1!AO9,observasi2!AO9))</f>
        <v/>
      </c>
      <c r="AP9" s="178" t="str">
        <f>IF(AND(observasi1!AP9="",observasi2!AP9=""),"",AVERAGE(observasi1!AP9,observasi2!AP9))</f>
        <v/>
      </c>
      <c r="AQ9" s="178" t="str">
        <f>IF(AND(observasi1!AQ9="",observasi2!AQ9=""),"",AVERAGE(observasi1!AQ9,observasi2!AQ9))</f>
        <v/>
      </c>
      <c r="AR9" s="178" t="str">
        <f>IF(AND(observasi1!AR9="",observasi2!AR9=""),"",AVERAGE(observasi1!AR9,observasi2!AR9))</f>
        <v/>
      </c>
      <c r="AS9" s="178" t="str">
        <f>IF(AND(observasi1!AS9="",observasi2!AS9=""),"",AVERAGE(observasi1!AS9,observasi2!AS9))</f>
        <v/>
      </c>
      <c r="AT9" s="178" t="str">
        <f>IF(AND(observasi1!AT9="",observasi2!AT9=""),"",AVERAGE(observasi1!AT9,observasi2!AT9))</f>
        <v/>
      </c>
      <c r="AU9" s="178" t="str">
        <f>IF(AND(observasi1!AU9="",observasi2!AU9=""),"",AVERAGE(observasi1!AU9,observasi2!AU9))</f>
        <v/>
      </c>
      <c r="AV9" s="178" t="str">
        <f>IF(AND(observasi1!AV9="",observasi2!AV9=""),"",AVERAGE(observasi1!AV9,observasi2!AV9))</f>
        <v/>
      </c>
      <c r="AW9" s="178" t="str">
        <f>IF(AND(observasi1!AW9="",observasi2!AW9=""),"",AVERAGE(observasi1!AW9,observasi2!AW9))</f>
        <v/>
      </c>
      <c r="AX9" s="178" t="str">
        <f>IF(AND(observasi1!AX9="",observasi2!AX9=""),"",AVERAGE(observasi1!AX9,observasi2!AX9))</f>
        <v/>
      </c>
      <c r="AY9" s="178" t="str">
        <f>IF(AND(observasi1!AY9="",observasi2!AY9=""),"",AVERAGE(observasi1!AY9,observasi2!AY9))</f>
        <v/>
      </c>
    </row>
    <row r="10" spans="1:51">
      <c r="A10" s="625"/>
      <c r="B10" s="164" t="s">
        <v>151</v>
      </c>
      <c r="C10" s="165" t="s">
        <v>152</v>
      </c>
      <c r="D10" s="178" t="str">
        <f>IF(AND(observasi1!D10="",observasi2!D10=""),"",AVERAGE(observasi1!D10,observasi2!D10))</f>
        <v/>
      </c>
      <c r="E10" s="178" t="str">
        <f>IF(AND(observasi1!E10="",observasi2!E10=""),"",AVERAGE(observasi1!E10,observasi2!E10))</f>
        <v/>
      </c>
      <c r="F10" s="178" t="str">
        <f>IF(AND(observasi1!F10="",observasi2!F10=""),"",AVERAGE(observasi1!F10,observasi2!F10))</f>
        <v/>
      </c>
      <c r="G10" s="178" t="str">
        <f>IF(AND(observasi1!G10="",observasi2!G10=""),"",AVERAGE(observasi1!G10,observasi2!G10))</f>
        <v/>
      </c>
      <c r="H10" s="178" t="str">
        <f>IF(AND(observasi1!H10="",observasi2!H10=""),"",AVERAGE(observasi1!H10,observasi2!H10))</f>
        <v/>
      </c>
      <c r="I10" s="178" t="str">
        <f>IF(AND(observasi1!I10="",observasi2!I10=""),"",AVERAGE(observasi1!I10,observasi2!I10))</f>
        <v/>
      </c>
      <c r="J10" s="178" t="str">
        <f>IF(AND(observasi1!J10="",observasi2!J10=""),"",AVERAGE(observasi1!J10,observasi2!J10))</f>
        <v/>
      </c>
      <c r="K10" s="178" t="str">
        <f>IF(AND(observasi1!K10="",observasi2!K10=""),"",AVERAGE(observasi1!K10,observasi2!K10))</f>
        <v/>
      </c>
      <c r="L10" s="178" t="str">
        <f>IF(AND(observasi1!L10="",observasi2!L10=""),"",AVERAGE(observasi1!L10,observasi2!L10))</f>
        <v/>
      </c>
      <c r="M10" s="178" t="str">
        <f>IF(AND(observasi1!M10="",observasi2!M10=""),"",AVERAGE(observasi1!M10,observasi2!M10))</f>
        <v/>
      </c>
      <c r="N10" s="178" t="str">
        <f>IF(AND(observasi1!N10="",observasi2!N10=""),"",AVERAGE(observasi1!N10,observasi2!N10))</f>
        <v/>
      </c>
      <c r="O10" s="178" t="str">
        <f>IF(AND(observasi1!O10="",observasi2!O10=""),"",AVERAGE(observasi1!O10,observasi2!O10))</f>
        <v/>
      </c>
      <c r="P10" s="178" t="str">
        <f>IF(AND(observasi1!P10="",observasi2!P10=""),"",AVERAGE(observasi1!P10,observasi2!P10))</f>
        <v/>
      </c>
      <c r="Q10" s="178" t="str">
        <f>IF(AND(observasi1!Q10="",observasi2!Q10=""),"",AVERAGE(observasi1!Q10,observasi2!Q10))</f>
        <v/>
      </c>
      <c r="R10" s="178" t="str">
        <f>IF(AND(observasi1!R10="",observasi2!R10=""),"",AVERAGE(observasi1!R10,observasi2!R10))</f>
        <v/>
      </c>
      <c r="S10" s="178" t="str">
        <f>IF(AND(observasi1!S10="",observasi2!S10=""),"",AVERAGE(observasi1!S10,observasi2!S10))</f>
        <v/>
      </c>
      <c r="T10" s="178" t="str">
        <f>IF(AND(observasi1!T10="",observasi2!T10=""),"",AVERAGE(observasi1!T10,observasi2!T10))</f>
        <v/>
      </c>
      <c r="U10" s="178" t="str">
        <f>IF(AND(observasi1!U10="",observasi2!U10=""),"",AVERAGE(observasi1!U10,observasi2!U10))</f>
        <v/>
      </c>
      <c r="V10" s="178" t="str">
        <f>IF(AND(observasi1!V10="",observasi2!V10=""),"",AVERAGE(observasi1!V10,observasi2!V10))</f>
        <v/>
      </c>
      <c r="W10" s="178" t="str">
        <f>IF(AND(observasi1!W10="",observasi2!W10=""),"",AVERAGE(observasi1!W10,observasi2!W10))</f>
        <v/>
      </c>
      <c r="X10" s="178" t="str">
        <f>IF(AND(observasi1!X10="",observasi2!X10=""),"",AVERAGE(observasi1!X10,observasi2!X10))</f>
        <v/>
      </c>
      <c r="Y10" s="178" t="str">
        <f>IF(AND(observasi1!Y10="",observasi2!Y10=""),"",AVERAGE(observasi1!Y10,observasi2!Y10))</f>
        <v/>
      </c>
      <c r="Z10" s="178" t="str">
        <f>IF(AND(observasi1!Z10="",observasi2!Z10=""),"",AVERAGE(observasi1!Z10,observasi2!Z10))</f>
        <v/>
      </c>
      <c r="AA10" s="178" t="str">
        <f>IF(AND(observasi1!AA10="",observasi2!AA10=""),"",AVERAGE(observasi1!AA10,observasi2!AA10))</f>
        <v/>
      </c>
      <c r="AB10" s="178" t="str">
        <f>IF(AND(observasi1!AB10="",observasi2!AB10=""),"",AVERAGE(observasi1!AB10,observasi2!AB10))</f>
        <v/>
      </c>
      <c r="AC10" s="178" t="str">
        <f>IF(AND(observasi1!AC10="",observasi2!AC10=""),"",AVERAGE(observasi1!AC10,observasi2!AC10))</f>
        <v/>
      </c>
      <c r="AD10" s="178" t="str">
        <f>IF(AND(observasi1!AD10="",observasi2!AD10=""),"",AVERAGE(observasi1!AD10,observasi2!AD10))</f>
        <v/>
      </c>
      <c r="AE10" s="178" t="str">
        <f>IF(AND(observasi1!AE10="",observasi2!AE10=""),"",AVERAGE(observasi1!AE10,observasi2!AE10))</f>
        <v/>
      </c>
      <c r="AF10" s="178" t="str">
        <f>IF(AND(observasi1!AF10="",observasi2!AF10=""),"",AVERAGE(observasi1!AF10,observasi2!AF10))</f>
        <v/>
      </c>
      <c r="AG10" s="178" t="str">
        <f>IF(AND(observasi1!AG10="",observasi2!AG10=""),"",AVERAGE(observasi1!AG10,observasi2!AG10))</f>
        <v/>
      </c>
      <c r="AH10" s="178" t="str">
        <f>IF(AND(observasi1!AH10="",observasi2!AH10=""),"",AVERAGE(observasi1!AH10,observasi2!AH10))</f>
        <v/>
      </c>
      <c r="AI10" s="178" t="str">
        <f>IF(AND(observasi1!AI10="",observasi2!AI10=""),"",AVERAGE(observasi1!AI10,observasi2!AI10))</f>
        <v/>
      </c>
      <c r="AJ10" s="178" t="str">
        <f>IF(AND(observasi1!AJ10="",observasi2!AJ10=""),"",AVERAGE(observasi1!AJ10,observasi2!AJ10))</f>
        <v/>
      </c>
      <c r="AK10" s="178" t="str">
        <f>IF(AND(observasi1!AK10="",observasi2!AK10=""),"",AVERAGE(observasi1!AK10,observasi2!AK10))</f>
        <v/>
      </c>
      <c r="AL10" s="178" t="str">
        <f>IF(AND(observasi1!AL10="",observasi2!AL10=""),"",AVERAGE(observasi1!AL10,observasi2!AL10))</f>
        <v/>
      </c>
      <c r="AM10" s="178" t="str">
        <f>IF(AND(observasi1!AM10="",observasi2!AM10=""),"",AVERAGE(observasi1!AM10,observasi2!AM10))</f>
        <v/>
      </c>
      <c r="AN10" s="178" t="str">
        <f>IF(AND(observasi1!AN10="",observasi2!AN10=""),"",AVERAGE(observasi1!AN10,observasi2!AN10))</f>
        <v/>
      </c>
      <c r="AO10" s="178" t="str">
        <f>IF(AND(observasi1!AO10="",observasi2!AO10=""),"",AVERAGE(observasi1!AO10,observasi2!AO10))</f>
        <v/>
      </c>
      <c r="AP10" s="178" t="str">
        <f>IF(AND(observasi1!AP10="",observasi2!AP10=""),"",AVERAGE(observasi1!AP10,observasi2!AP10))</f>
        <v/>
      </c>
      <c r="AQ10" s="178" t="str">
        <f>IF(AND(observasi1!AQ10="",observasi2!AQ10=""),"",AVERAGE(observasi1!AQ10,observasi2!AQ10))</f>
        <v/>
      </c>
      <c r="AR10" s="178" t="str">
        <f>IF(AND(observasi1!AR10="",observasi2!AR10=""),"",AVERAGE(observasi1!AR10,observasi2!AR10))</f>
        <v/>
      </c>
      <c r="AS10" s="178" t="str">
        <f>IF(AND(observasi1!AS10="",observasi2!AS10=""),"",AVERAGE(observasi1!AS10,observasi2!AS10))</f>
        <v/>
      </c>
      <c r="AT10" s="178" t="str">
        <f>IF(AND(observasi1!AT10="",observasi2!AT10=""),"",AVERAGE(observasi1!AT10,observasi2!AT10))</f>
        <v/>
      </c>
      <c r="AU10" s="178" t="str">
        <f>IF(AND(observasi1!AU10="",observasi2!AU10=""),"",AVERAGE(observasi1!AU10,observasi2!AU10))</f>
        <v/>
      </c>
      <c r="AV10" s="178" t="str">
        <f>IF(AND(observasi1!AV10="",observasi2!AV10=""),"",AVERAGE(observasi1!AV10,observasi2!AV10))</f>
        <v/>
      </c>
      <c r="AW10" s="178" t="str">
        <f>IF(AND(observasi1!AW10="",observasi2!AW10=""),"",AVERAGE(observasi1!AW10,observasi2!AW10))</f>
        <v/>
      </c>
      <c r="AX10" s="178" t="str">
        <f>IF(AND(observasi1!AX10="",observasi2!AX10=""),"",AVERAGE(observasi1!AX10,observasi2!AX10))</f>
        <v/>
      </c>
      <c r="AY10" s="178" t="str">
        <f>IF(AND(observasi1!AY10="",observasi2!AY10=""),"",AVERAGE(observasi1!AY10,observasi2!AY10))</f>
        <v/>
      </c>
    </row>
    <row r="11" spans="1:51">
      <c r="A11" s="625"/>
      <c r="B11" s="164" t="s">
        <v>153</v>
      </c>
      <c r="C11" s="165" t="s">
        <v>154</v>
      </c>
      <c r="D11" s="178" t="str">
        <f>IF(AND(observasi1!D11="",observasi2!D11=""),"",AVERAGE(observasi1!D11,observasi2!D11))</f>
        <v/>
      </c>
      <c r="E11" s="178" t="str">
        <f>IF(AND(observasi1!E11="",observasi2!E11=""),"",AVERAGE(observasi1!E11,observasi2!E11))</f>
        <v/>
      </c>
      <c r="F11" s="178" t="str">
        <f>IF(AND(observasi1!F11="",observasi2!F11=""),"",AVERAGE(observasi1!F11,observasi2!F11))</f>
        <v/>
      </c>
      <c r="G11" s="178" t="str">
        <f>IF(AND(observasi1!G11="",observasi2!G11=""),"",AVERAGE(observasi1!G11,observasi2!G11))</f>
        <v/>
      </c>
      <c r="H11" s="178" t="str">
        <f>IF(AND(observasi1!H11="",observasi2!H11=""),"",AVERAGE(observasi1!H11,observasi2!H11))</f>
        <v/>
      </c>
      <c r="I11" s="178" t="str">
        <f>IF(AND(observasi1!I11="",observasi2!I11=""),"",AVERAGE(observasi1!I11,observasi2!I11))</f>
        <v/>
      </c>
      <c r="J11" s="178" t="str">
        <f>IF(AND(observasi1!J11="",observasi2!J11=""),"",AVERAGE(observasi1!J11,observasi2!J11))</f>
        <v/>
      </c>
      <c r="K11" s="178" t="str">
        <f>IF(AND(observasi1!K11="",observasi2!K11=""),"",AVERAGE(observasi1!K11,observasi2!K11))</f>
        <v/>
      </c>
      <c r="L11" s="178" t="str">
        <f>IF(AND(observasi1!L11="",observasi2!L11=""),"",AVERAGE(observasi1!L11,observasi2!L11))</f>
        <v/>
      </c>
      <c r="M11" s="178" t="str">
        <f>IF(AND(observasi1!M11="",observasi2!M11=""),"",AVERAGE(observasi1!M11,observasi2!M11))</f>
        <v/>
      </c>
      <c r="N11" s="178" t="str">
        <f>IF(AND(observasi1!N11="",observasi2!N11=""),"",AVERAGE(observasi1!N11,observasi2!N11))</f>
        <v/>
      </c>
      <c r="O11" s="178" t="str">
        <f>IF(AND(observasi1!O11="",observasi2!O11=""),"",AVERAGE(observasi1!O11,observasi2!O11))</f>
        <v/>
      </c>
      <c r="P11" s="178" t="str">
        <f>IF(AND(observasi1!P11="",observasi2!P11=""),"",AVERAGE(observasi1!P11,observasi2!P11))</f>
        <v/>
      </c>
      <c r="Q11" s="178" t="str">
        <f>IF(AND(observasi1!Q11="",observasi2!Q11=""),"",AVERAGE(observasi1!Q11,observasi2!Q11))</f>
        <v/>
      </c>
      <c r="R11" s="178" t="str">
        <f>IF(AND(observasi1!R11="",observasi2!R11=""),"",AVERAGE(observasi1!R11,observasi2!R11))</f>
        <v/>
      </c>
      <c r="S11" s="178" t="str">
        <f>IF(AND(observasi1!S11="",observasi2!S11=""),"",AVERAGE(observasi1!S11,observasi2!S11))</f>
        <v/>
      </c>
      <c r="T11" s="178" t="str">
        <f>IF(AND(observasi1!T11="",observasi2!T11=""),"",AVERAGE(observasi1!T11,observasi2!T11))</f>
        <v/>
      </c>
      <c r="U11" s="178" t="str">
        <f>IF(AND(observasi1!U11="",observasi2!U11=""),"",AVERAGE(observasi1!U11,observasi2!U11))</f>
        <v/>
      </c>
      <c r="V11" s="178" t="str">
        <f>IF(AND(observasi1!V11="",observasi2!V11=""),"",AVERAGE(observasi1!V11,observasi2!V11))</f>
        <v/>
      </c>
      <c r="W11" s="178" t="str">
        <f>IF(AND(observasi1!W11="",observasi2!W11=""),"",AVERAGE(observasi1!W11,observasi2!W11))</f>
        <v/>
      </c>
      <c r="X11" s="178" t="str">
        <f>IF(AND(observasi1!X11="",observasi2!X11=""),"",AVERAGE(observasi1!X11,observasi2!X11))</f>
        <v/>
      </c>
      <c r="Y11" s="178" t="str">
        <f>IF(AND(observasi1!Y11="",observasi2!Y11=""),"",AVERAGE(observasi1!Y11,observasi2!Y11))</f>
        <v/>
      </c>
      <c r="Z11" s="178" t="str">
        <f>IF(AND(observasi1!Z11="",observasi2!Z11=""),"",AVERAGE(observasi1!Z11,observasi2!Z11))</f>
        <v/>
      </c>
      <c r="AA11" s="178" t="str">
        <f>IF(AND(observasi1!AA11="",observasi2!AA11=""),"",AVERAGE(observasi1!AA11,observasi2!AA11))</f>
        <v/>
      </c>
      <c r="AB11" s="178" t="str">
        <f>IF(AND(observasi1!AB11="",observasi2!AB11=""),"",AVERAGE(observasi1!AB11,observasi2!AB11))</f>
        <v/>
      </c>
      <c r="AC11" s="178" t="str">
        <f>IF(AND(observasi1!AC11="",observasi2!AC11=""),"",AVERAGE(observasi1!AC11,observasi2!AC11))</f>
        <v/>
      </c>
      <c r="AD11" s="178" t="str">
        <f>IF(AND(observasi1!AD11="",observasi2!AD11=""),"",AVERAGE(observasi1!AD11,observasi2!AD11))</f>
        <v/>
      </c>
      <c r="AE11" s="178" t="str">
        <f>IF(AND(observasi1!AE11="",observasi2!AE11=""),"",AVERAGE(observasi1!AE11,observasi2!AE11))</f>
        <v/>
      </c>
      <c r="AF11" s="178" t="str">
        <f>IF(AND(observasi1!AF11="",observasi2!AF11=""),"",AVERAGE(observasi1!AF11,observasi2!AF11))</f>
        <v/>
      </c>
      <c r="AG11" s="178" t="str">
        <f>IF(AND(observasi1!AG11="",observasi2!AG11=""),"",AVERAGE(observasi1!AG11,observasi2!AG11))</f>
        <v/>
      </c>
      <c r="AH11" s="178" t="str">
        <f>IF(AND(observasi1!AH11="",observasi2!AH11=""),"",AVERAGE(observasi1!AH11,observasi2!AH11))</f>
        <v/>
      </c>
      <c r="AI11" s="178" t="str">
        <f>IF(AND(observasi1!AI11="",observasi2!AI11=""),"",AVERAGE(observasi1!AI11,observasi2!AI11))</f>
        <v/>
      </c>
      <c r="AJ11" s="178" t="str">
        <f>IF(AND(observasi1!AJ11="",observasi2!AJ11=""),"",AVERAGE(observasi1!AJ11,observasi2!AJ11))</f>
        <v/>
      </c>
      <c r="AK11" s="178" t="str">
        <f>IF(AND(observasi1!AK11="",observasi2!AK11=""),"",AVERAGE(observasi1!AK11,observasi2!AK11))</f>
        <v/>
      </c>
      <c r="AL11" s="178" t="str">
        <f>IF(AND(observasi1!AL11="",observasi2!AL11=""),"",AVERAGE(observasi1!AL11,observasi2!AL11))</f>
        <v/>
      </c>
      <c r="AM11" s="178" t="str">
        <f>IF(AND(observasi1!AM11="",observasi2!AM11=""),"",AVERAGE(observasi1!AM11,observasi2!AM11))</f>
        <v/>
      </c>
      <c r="AN11" s="178" t="str">
        <f>IF(AND(observasi1!AN11="",observasi2!AN11=""),"",AVERAGE(observasi1!AN11,observasi2!AN11))</f>
        <v/>
      </c>
      <c r="AO11" s="178" t="str">
        <f>IF(AND(observasi1!AO11="",observasi2!AO11=""),"",AVERAGE(observasi1!AO11,observasi2!AO11))</f>
        <v/>
      </c>
      <c r="AP11" s="178" t="str">
        <f>IF(AND(observasi1!AP11="",observasi2!AP11=""),"",AVERAGE(observasi1!AP11,observasi2!AP11))</f>
        <v/>
      </c>
      <c r="AQ11" s="178" t="str">
        <f>IF(AND(observasi1!AQ11="",observasi2!AQ11=""),"",AVERAGE(observasi1!AQ11,observasi2!AQ11))</f>
        <v/>
      </c>
      <c r="AR11" s="178" t="str">
        <f>IF(AND(observasi1!AR11="",observasi2!AR11=""),"",AVERAGE(observasi1!AR11,observasi2!AR11))</f>
        <v/>
      </c>
      <c r="AS11" s="178" t="str">
        <f>IF(AND(observasi1!AS11="",observasi2!AS11=""),"",AVERAGE(observasi1!AS11,observasi2!AS11))</f>
        <v/>
      </c>
      <c r="AT11" s="178" t="str">
        <f>IF(AND(observasi1!AT11="",observasi2!AT11=""),"",AVERAGE(observasi1!AT11,observasi2!AT11))</f>
        <v/>
      </c>
      <c r="AU11" s="178" t="str">
        <f>IF(AND(observasi1!AU11="",observasi2!AU11=""),"",AVERAGE(observasi1!AU11,observasi2!AU11))</f>
        <v/>
      </c>
      <c r="AV11" s="178" t="str">
        <f>IF(AND(observasi1!AV11="",observasi2!AV11=""),"",AVERAGE(observasi1!AV11,observasi2!AV11))</f>
        <v/>
      </c>
      <c r="AW11" s="178" t="str">
        <f>IF(AND(observasi1!AW11="",observasi2!AW11=""),"",AVERAGE(observasi1!AW11,observasi2!AW11))</f>
        <v/>
      </c>
      <c r="AX11" s="178" t="str">
        <f>IF(AND(observasi1!AX11="",observasi2!AX11=""),"",AVERAGE(observasi1!AX11,observasi2!AX11))</f>
        <v/>
      </c>
      <c r="AY11" s="178" t="str">
        <f>IF(AND(observasi1!AY11="",observasi2!AY11=""),"",AVERAGE(observasi1!AY11,observasi2!AY11))</f>
        <v/>
      </c>
    </row>
    <row r="12" spans="1:51">
      <c r="A12" s="625"/>
      <c r="B12" s="164" t="s">
        <v>155</v>
      </c>
      <c r="C12" s="165" t="s">
        <v>64</v>
      </c>
      <c r="D12" s="178" t="str">
        <f>IF(AND(observasi1!D12="",observasi2!D12=""),"",AVERAGE(observasi1!D12,observasi2!D12))</f>
        <v/>
      </c>
      <c r="E12" s="178" t="str">
        <f>IF(AND(observasi1!E12="",observasi2!E12=""),"",AVERAGE(observasi1!E12,observasi2!E12))</f>
        <v/>
      </c>
      <c r="F12" s="178" t="str">
        <f>IF(AND(observasi1!F12="",observasi2!F12=""),"",AVERAGE(observasi1!F12,observasi2!F12))</f>
        <v/>
      </c>
      <c r="G12" s="178" t="str">
        <f>IF(AND(observasi1!G12="",observasi2!G12=""),"",AVERAGE(observasi1!G12,observasi2!G12))</f>
        <v/>
      </c>
      <c r="H12" s="178" t="str">
        <f>IF(AND(observasi1!H12="",observasi2!H12=""),"",AVERAGE(observasi1!H12,observasi2!H12))</f>
        <v/>
      </c>
      <c r="I12" s="178" t="str">
        <f>IF(AND(observasi1!I12="",observasi2!I12=""),"",AVERAGE(observasi1!I12,observasi2!I12))</f>
        <v/>
      </c>
      <c r="J12" s="178" t="str">
        <f>IF(AND(observasi1!J12="",observasi2!J12=""),"",AVERAGE(observasi1!J12,observasi2!J12))</f>
        <v/>
      </c>
      <c r="K12" s="178" t="str">
        <f>IF(AND(observasi1!K12="",observasi2!K12=""),"",AVERAGE(observasi1!K12,observasi2!K12))</f>
        <v/>
      </c>
      <c r="L12" s="178" t="str">
        <f>IF(AND(observasi1!L12="",observasi2!L12=""),"",AVERAGE(observasi1!L12,observasi2!L12))</f>
        <v/>
      </c>
      <c r="M12" s="178" t="str">
        <f>IF(AND(observasi1!M12="",observasi2!M12=""),"",AVERAGE(observasi1!M12,observasi2!M12))</f>
        <v/>
      </c>
      <c r="N12" s="178" t="str">
        <f>IF(AND(observasi1!N12="",observasi2!N12=""),"",AVERAGE(observasi1!N12,observasi2!N12))</f>
        <v/>
      </c>
      <c r="O12" s="178" t="str">
        <f>IF(AND(observasi1!O12="",observasi2!O12=""),"",AVERAGE(observasi1!O12,observasi2!O12))</f>
        <v/>
      </c>
      <c r="P12" s="178" t="str">
        <f>IF(AND(observasi1!P12="",observasi2!P12=""),"",AVERAGE(observasi1!P12,observasi2!P12))</f>
        <v/>
      </c>
      <c r="Q12" s="178" t="str">
        <f>IF(AND(observasi1!Q12="",observasi2!Q12=""),"",AVERAGE(observasi1!Q12,observasi2!Q12))</f>
        <v/>
      </c>
      <c r="R12" s="178" t="str">
        <f>IF(AND(observasi1!R12="",observasi2!R12=""),"",AVERAGE(observasi1!R12,observasi2!R12))</f>
        <v/>
      </c>
      <c r="S12" s="178" t="str">
        <f>IF(AND(observasi1!S12="",observasi2!S12=""),"",AVERAGE(observasi1!S12,observasi2!S12))</f>
        <v/>
      </c>
      <c r="T12" s="178" t="str">
        <f>IF(AND(observasi1!T12="",observasi2!T12=""),"",AVERAGE(observasi1!T12,observasi2!T12))</f>
        <v/>
      </c>
      <c r="U12" s="178" t="str">
        <f>IF(AND(observasi1!U12="",observasi2!U12=""),"",AVERAGE(observasi1!U12,observasi2!U12))</f>
        <v/>
      </c>
      <c r="V12" s="178" t="str">
        <f>IF(AND(observasi1!V12="",observasi2!V12=""),"",AVERAGE(observasi1!V12,observasi2!V12))</f>
        <v/>
      </c>
      <c r="W12" s="178" t="str">
        <f>IF(AND(observasi1!W12="",observasi2!W12=""),"",AVERAGE(observasi1!W12,observasi2!W12))</f>
        <v/>
      </c>
      <c r="X12" s="178" t="str">
        <f>IF(AND(observasi1!X12="",observasi2!X12=""),"",AVERAGE(observasi1!X12,observasi2!X12))</f>
        <v/>
      </c>
      <c r="Y12" s="178" t="str">
        <f>IF(AND(observasi1!Y12="",observasi2!Y12=""),"",AVERAGE(observasi1!Y12,observasi2!Y12))</f>
        <v/>
      </c>
      <c r="Z12" s="178" t="str">
        <f>IF(AND(observasi1!Z12="",observasi2!Z12=""),"",AVERAGE(observasi1!Z12,observasi2!Z12))</f>
        <v/>
      </c>
      <c r="AA12" s="178" t="str">
        <f>IF(AND(observasi1!AA12="",observasi2!AA12=""),"",AVERAGE(observasi1!AA12,observasi2!AA12))</f>
        <v/>
      </c>
      <c r="AB12" s="178" t="str">
        <f>IF(AND(observasi1!AB12="",observasi2!AB12=""),"",AVERAGE(observasi1!AB12,observasi2!AB12))</f>
        <v/>
      </c>
      <c r="AC12" s="178" t="str">
        <f>IF(AND(observasi1!AC12="",observasi2!AC12=""),"",AVERAGE(observasi1!AC12,observasi2!AC12))</f>
        <v/>
      </c>
      <c r="AD12" s="178" t="str">
        <f>IF(AND(observasi1!AD12="",observasi2!AD12=""),"",AVERAGE(observasi1!AD12,observasi2!AD12))</f>
        <v/>
      </c>
      <c r="AE12" s="178" t="str">
        <f>IF(AND(observasi1!AE12="",observasi2!AE12=""),"",AVERAGE(observasi1!AE12,observasi2!AE12))</f>
        <v/>
      </c>
      <c r="AF12" s="178" t="str">
        <f>IF(AND(observasi1!AF12="",observasi2!AF12=""),"",AVERAGE(observasi1!AF12,observasi2!AF12))</f>
        <v/>
      </c>
      <c r="AG12" s="178" t="str">
        <f>IF(AND(observasi1!AG12="",observasi2!AG12=""),"",AVERAGE(observasi1!AG12,observasi2!AG12))</f>
        <v/>
      </c>
      <c r="AH12" s="178" t="str">
        <f>IF(AND(observasi1!AH12="",observasi2!AH12=""),"",AVERAGE(observasi1!AH12,observasi2!AH12))</f>
        <v/>
      </c>
      <c r="AI12" s="178" t="str">
        <f>IF(AND(observasi1!AI12="",observasi2!AI12=""),"",AVERAGE(observasi1!AI12,observasi2!AI12))</f>
        <v/>
      </c>
      <c r="AJ12" s="178" t="str">
        <f>IF(AND(observasi1!AJ12="",observasi2!AJ12=""),"",AVERAGE(observasi1!AJ12,observasi2!AJ12))</f>
        <v/>
      </c>
      <c r="AK12" s="178" t="str">
        <f>IF(AND(observasi1!AK12="",observasi2!AK12=""),"",AVERAGE(observasi1!AK12,observasi2!AK12))</f>
        <v/>
      </c>
      <c r="AL12" s="178" t="str">
        <f>IF(AND(observasi1!AL12="",observasi2!AL12=""),"",AVERAGE(observasi1!AL12,observasi2!AL12))</f>
        <v/>
      </c>
      <c r="AM12" s="178" t="str">
        <f>IF(AND(observasi1!AM12="",observasi2!AM12=""),"",AVERAGE(observasi1!AM12,observasi2!AM12))</f>
        <v/>
      </c>
      <c r="AN12" s="178" t="str">
        <f>IF(AND(observasi1!AN12="",observasi2!AN12=""),"",AVERAGE(observasi1!AN12,observasi2!AN12))</f>
        <v/>
      </c>
      <c r="AO12" s="178" t="str">
        <f>IF(AND(observasi1!AO12="",observasi2!AO12=""),"",AVERAGE(observasi1!AO12,observasi2!AO12))</f>
        <v/>
      </c>
      <c r="AP12" s="178" t="str">
        <f>IF(AND(observasi1!AP12="",observasi2!AP12=""),"",AVERAGE(observasi1!AP12,observasi2!AP12))</f>
        <v/>
      </c>
      <c r="AQ12" s="178" t="str">
        <f>IF(AND(observasi1!AQ12="",observasi2!AQ12=""),"",AVERAGE(observasi1!AQ12,observasi2!AQ12))</f>
        <v/>
      </c>
      <c r="AR12" s="178" t="str">
        <f>IF(AND(observasi1!AR12="",observasi2!AR12=""),"",AVERAGE(observasi1!AR12,observasi2!AR12))</f>
        <v/>
      </c>
      <c r="AS12" s="178" t="str">
        <f>IF(AND(observasi1!AS12="",observasi2!AS12=""),"",AVERAGE(observasi1!AS12,observasi2!AS12))</f>
        <v/>
      </c>
      <c r="AT12" s="178" t="str">
        <f>IF(AND(observasi1!AT12="",observasi2!AT12=""),"",AVERAGE(observasi1!AT12,observasi2!AT12))</f>
        <v/>
      </c>
      <c r="AU12" s="178" t="str">
        <f>IF(AND(observasi1!AU12="",observasi2!AU12=""),"",AVERAGE(observasi1!AU12,observasi2!AU12))</f>
        <v/>
      </c>
      <c r="AV12" s="178" t="str">
        <f>IF(AND(observasi1!AV12="",observasi2!AV12=""),"",AVERAGE(observasi1!AV12,observasi2!AV12))</f>
        <v/>
      </c>
      <c r="AW12" s="178" t="str">
        <f>IF(AND(observasi1!AW12="",observasi2!AW12=""),"",AVERAGE(observasi1!AW12,observasi2!AW12))</f>
        <v/>
      </c>
      <c r="AX12" s="178" t="str">
        <f>IF(AND(observasi1!AX12="",observasi2!AX12=""),"",AVERAGE(observasi1!AX12,observasi2!AX12))</f>
        <v/>
      </c>
      <c r="AY12" s="178" t="str">
        <f>IF(AND(observasi1!AY12="",observasi2!AY12=""),"",AVERAGE(observasi1!AY12,observasi2!AY12))</f>
        <v/>
      </c>
    </row>
    <row r="13" spans="1:51">
      <c r="A13" s="625"/>
      <c r="B13" s="164" t="s">
        <v>156</v>
      </c>
      <c r="C13" s="165" t="s">
        <v>65</v>
      </c>
      <c r="D13" s="178" t="str">
        <f>IF(AND(observasi1!D13="",observasi2!D13=""),"",AVERAGE(observasi1!D13,observasi2!D13))</f>
        <v/>
      </c>
      <c r="E13" s="178" t="str">
        <f>IF(AND(observasi1!E13="",observasi2!E13=""),"",AVERAGE(observasi1!E13,observasi2!E13))</f>
        <v/>
      </c>
      <c r="F13" s="178" t="str">
        <f>IF(AND(observasi1!F13="",observasi2!F13=""),"",AVERAGE(observasi1!F13,observasi2!F13))</f>
        <v/>
      </c>
      <c r="G13" s="178" t="str">
        <f>IF(AND(observasi1!G13="",observasi2!G13=""),"",AVERAGE(observasi1!G13,observasi2!G13))</f>
        <v/>
      </c>
      <c r="H13" s="178" t="str">
        <f>IF(AND(observasi1!H13="",observasi2!H13=""),"",AVERAGE(observasi1!H13,observasi2!H13))</f>
        <v/>
      </c>
      <c r="I13" s="178" t="str">
        <f>IF(AND(observasi1!I13="",observasi2!I13=""),"",AVERAGE(observasi1!I13,observasi2!I13))</f>
        <v/>
      </c>
      <c r="J13" s="178" t="str">
        <f>IF(AND(observasi1!J13="",observasi2!J13=""),"",AVERAGE(observasi1!J13,observasi2!J13))</f>
        <v/>
      </c>
      <c r="K13" s="178" t="str">
        <f>IF(AND(observasi1!K13="",observasi2!K13=""),"",AVERAGE(observasi1!K13,observasi2!K13))</f>
        <v/>
      </c>
      <c r="L13" s="178" t="str">
        <f>IF(AND(observasi1!L13="",observasi2!L13=""),"",AVERAGE(observasi1!L13,observasi2!L13))</f>
        <v/>
      </c>
      <c r="M13" s="178" t="str">
        <f>IF(AND(observasi1!M13="",observasi2!M13=""),"",AVERAGE(observasi1!M13,observasi2!M13))</f>
        <v/>
      </c>
      <c r="N13" s="178" t="str">
        <f>IF(AND(observasi1!N13="",observasi2!N13=""),"",AVERAGE(observasi1!N13,observasi2!N13))</f>
        <v/>
      </c>
      <c r="O13" s="178" t="str">
        <f>IF(AND(observasi1!O13="",observasi2!O13=""),"",AVERAGE(observasi1!O13,observasi2!O13))</f>
        <v/>
      </c>
      <c r="P13" s="178" t="str">
        <f>IF(AND(observasi1!P13="",observasi2!P13=""),"",AVERAGE(observasi1!P13,observasi2!P13))</f>
        <v/>
      </c>
      <c r="Q13" s="178" t="str">
        <f>IF(AND(observasi1!Q13="",observasi2!Q13=""),"",AVERAGE(observasi1!Q13,observasi2!Q13))</f>
        <v/>
      </c>
      <c r="R13" s="178" t="str">
        <f>IF(AND(observasi1!R13="",observasi2!R13=""),"",AVERAGE(observasi1!R13,observasi2!R13))</f>
        <v/>
      </c>
      <c r="S13" s="178" t="str">
        <f>IF(AND(observasi1!S13="",observasi2!S13=""),"",AVERAGE(observasi1!S13,observasi2!S13))</f>
        <v/>
      </c>
      <c r="T13" s="178" t="str">
        <f>IF(AND(observasi1!T13="",observasi2!T13=""),"",AVERAGE(observasi1!T13,observasi2!T13))</f>
        <v/>
      </c>
      <c r="U13" s="178" t="str">
        <f>IF(AND(observasi1!U13="",observasi2!U13=""),"",AVERAGE(observasi1!U13,observasi2!U13))</f>
        <v/>
      </c>
      <c r="V13" s="178" t="str">
        <f>IF(AND(observasi1!V13="",observasi2!V13=""),"",AVERAGE(observasi1!V13,observasi2!V13))</f>
        <v/>
      </c>
      <c r="W13" s="178" t="str">
        <f>IF(AND(observasi1!W13="",observasi2!W13=""),"",AVERAGE(observasi1!W13,observasi2!W13))</f>
        <v/>
      </c>
      <c r="X13" s="178" t="str">
        <f>IF(AND(observasi1!X13="",observasi2!X13=""),"",AVERAGE(observasi1!X13,observasi2!X13))</f>
        <v/>
      </c>
      <c r="Y13" s="178" t="str">
        <f>IF(AND(observasi1!Y13="",observasi2!Y13=""),"",AVERAGE(observasi1!Y13,observasi2!Y13))</f>
        <v/>
      </c>
      <c r="Z13" s="178" t="str">
        <f>IF(AND(observasi1!Z13="",observasi2!Z13=""),"",AVERAGE(observasi1!Z13,observasi2!Z13))</f>
        <v/>
      </c>
      <c r="AA13" s="178" t="str">
        <f>IF(AND(observasi1!AA13="",observasi2!AA13=""),"",AVERAGE(observasi1!AA13,observasi2!AA13))</f>
        <v/>
      </c>
      <c r="AB13" s="178" t="str">
        <f>IF(AND(observasi1!AB13="",observasi2!AB13=""),"",AVERAGE(observasi1!AB13,observasi2!AB13))</f>
        <v/>
      </c>
      <c r="AC13" s="178" t="str">
        <f>IF(AND(observasi1!AC13="",observasi2!AC13=""),"",AVERAGE(observasi1!AC13,observasi2!AC13))</f>
        <v/>
      </c>
      <c r="AD13" s="178" t="str">
        <f>IF(AND(observasi1!AD13="",observasi2!AD13=""),"",AVERAGE(observasi1!AD13,observasi2!AD13))</f>
        <v/>
      </c>
      <c r="AE13" s="178" t="str">
        <f>IF(AND(observasi1!AE13="",observasi2!AE13=""),"",AVERAGE(observasi1!AE13,observasi2!AE13))</f>
        <v/>
      </c>
      <c r="AF13" s="178" t="str">
        <f>IF(AND(observasi1!AF13="",observasi2!AF13=""),"",AVERAGE(observasi1!AF13,observasi2!AF13))</f>
        <v/>
      </c>
      <c r="AG13" s="178" t="str">
        <f>IF(AND(observasi1!AG13="",observasi2!AG13=""),"",AVERAGE(observasi1!AG13,observasi2!AG13))</f>
        <v/>
      </c>
      <c r="AH13" s="178" t="str">
        <f>IF(AND(observasi1!AH13="",observasi2!AH13=""),"",AVERAGE(observasi1!AH13,observasi2!AH13))</f>
        <v/>
      </c>
      <c r="AI13" s="178" t="str">
        <f>IF(AND(observasi1!AI13="",observasi2!AI13=""),"",AVERAGE(observasi1!AI13,observasi2!AI13))</f>
        <v/>
      </c>
      <c r="AJ13" s="178" t="str">
        <f>IF(AND(observasi1!AJ13="",observasi2!AJ13=""),"",AVERAGE(observasi1!AJ13,observasi2!AJ13))</f>
        <v/>
      </c>
      <c r="AK13" s="178" t="str">
        <f>IF(AND(observasi1!AK13="",observasi2!AK13=""),"",AVERAGE(observasi1!AK13,observasi2!AK13))</f>
        <v/>
      </c>
      <c r="AL13" s="178" t="str">
        <f>IF(AND(observasi1!AL13="",observasi2!AL13=""),"",AVERAGE(observasi1!AL13,observasi2!AL13))</f>
        <v/>
      </c>
      <c r="AM13" s="178" t="str">
        <f>IF(AND(observasi1!AM13="",observasi2!AM13=""),"",AVERAGE(observasi1!AM13,observasi2!AM13))</f>
        <v/>
      </c>
      <c r="AN13" s="178" t="str">
        <f>IF(AND(observasi1!AN13="",observasi2!AN13=""),"",AVERAGE(observasi1!AN13,observasi2!AN13))</f>
        <v/>
      </c>
      <c r="AO13" s="178" t="str">
        <f>IF(AND(observasi1!AO13="",observasi2!AO13=""),"",AVERAGE(observasi1!AO13,observasi2!AO13))</f>
        <v/>
      </c>
      <c r="AP13" s="178" t="str">
        <f>IF(AND(observasi1!AP13="",observasi2!AP13=""),"",AVERAGE(observasi1!AP13,observasi2!AP13))</f>
        <v/>
      </c>
      <c r="AQ13" s="178" t="str">
        <f>IF(AND(observasi1!AQ13="",observasi2!AQ13=""),"",AVERAGE(observasi1!AQ13,observasi2!AQ13))</f>
        <v/>
      </c>
      <c r="AR13" s="178" t="str">
        <f>IF(AND(observasi1!AR13="",observasi2!AR13=""),"",AVERAGE(observasi1!AR13,observasi2!AR13))</f>
        <v/>
      </c>
      <c r="AS13" s="178" t="str">
        <f>IF(AND(observasi1!AS13="",observasi2!AS13=""),"",AVERAGE(observasi1!AS13,observasi2!AS13))</f>
        <v/>
      </c>
      <c r="AT13" s="178" t="str">
        <f>IF(AND(observasi1!AT13="",observasi2!AT13=""),"",AVERAGE(observasi1!AT13,observasi2!AT13))</f>
        <v/>
      </c>
      <c r="AU13" s="178" t="str">
        <f>IF(AND(observasi1!AU13="",observasi2!AU13=""),"",AVERAGE(observasi1!AU13,observasi2!AU13))</f>
        <v/>
      </c>
      <c r="AV13" s="178" t="str">
        <f>IF(AND(observasi1!AV13="",observasi2!AV13=""),"",AVERAGE(observasi1!AV13,observasi2!AV13))</f>
        <v/>
      </c>
      <c r="AW13" s="178" t="str">
        <f>IF(AND(observasi1!AW13="",observasi2!AW13=""),"",AVERAGE(observasi1!AW13,observasi2!AW13))</f>
        <v/>
      </c>
      <c r="AX13" s="178" t="str">
        <f>IF(AND(observasi1!AX13="",observasi2!AX13=""),"",AVERAGE(observasi1!AX13,observasi2!AX13))</f>
        <v/>
      </c>
      <c r="AY13" s="178" t="str">
        <f>IF(AND(observasi1!AY13="",observasi2!AY13=""),"",AVERAGE(observasi1!AY13,observasi2!AY13))</f>
        <v/>
      </c>
    </row>
    <row r="14" spans="1:51">
      <c r="A14" s="625"/>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24" t="s">
        <v>9</v>
      </c>
      <c r="B15" s="164" t="s">
        <v>157</v>
      </c>
      <c r="C15" s="165" t="s">
        <v>158</v>
      </c>
      <c r="D15" s="178" t="str">
        <f>IF(AND(observasi1!D15="",observasi2!D15=""),"",AVERAGE(observasi1!D15,observasi2!D15))</f>
        <v/>
      </c>
      <c r="E15" s="178" t="str">
        <f>IF(AND(observasi1!E15="",observasi2!E15=""),"",AVERAGE(observasi1!E15,observasi2!E15))</f>
        <v/>
      </c>
      <c r="F15" s="178" t="str">
        <f>IF(AND(observasi1!F15="",observasi2!F15=""),"",AVERAGE(observasi1!F15,observasi2!F15))</f>
        <v/>
      </c>
      <c r="G15" s="178" t="str">
        <f>IF(AND(observasi1!G15="",observasi2!G15=""),"",AVERAGE(observasi1!G15,observasi2!G15))</f>
        <v/>
      </c>
      <c r="H15" s="178" t="str">
        <f>IF(AND(observasi1!H15="",observasi2!H15=""),"",AVERAGE(observasi1!H15,observasi2!H15))</f>
        <v/>
      </c>
      <c r="I15" s="178" t="str">
        <f>IF(AND(observasi1!I15="",observasi2!I15=""),"",AVERAGE(observasi1!I15,observasi2!I15))</f>
        <v/>
      </c>
      <c r="J15" s="178" t="str">
        <f>IF(AND(observasi1!J15="",observasi2!J15=""),"",AVERAGE(observasi1!J15,observasi2!J15))</f>
        <v/>
      </c>
      <c r="K15" s="178" t="str">
        <f>IF(AND(observasi1!K15="",observasi2!K15=""),"",AVERAGE(observasi1!K15,observasi2!K15))</f>
        <v/>
      </c>
      <c r="L15" s="178" t="str">
        <f>IF(AND(observasi1!L15="",observasi2!L15=""),"",AVERAGE(observasi1!L15,observasi2!L15))</f>
        <v/>
      </c>
      <c r="M15" s="178" t="str">
        <f>IF(AND(observasi1!M15="",observasi2!M15=""),"",AVERAGE(observasi1!M15,observasi2!M15))</f>
        <v/>
      </c>
      <c r="N15" s="178" t="str">
        <f>IF(AND(observasi1!N15="",observasi2!N15=""),"",AVERAGE(observasi1!N15,observasi2!N15))</f>
        <v/>
      </c>
      <c r="O15" s="178" t="str">
        <f>IF(AND(observasi1!O15="",observasi2!O15=""),"",AVERAGE(observasi1!O15,observasi2!O15))</f>
        <v/>
      </c>
      <c r="P15" s="178" t="str">
        <f>IF(AND(observasi1!P15="",observasi2!P15=""),"",AVERAGE(observasi1!P15,observasi2!P15))</f>
        <v/>
      </c>
      <c r="Q15" s="178" t="str">
        <f>IF(AND(observasi1!Q15="",observasi2!Q15=""),"",AVERAGE(observasi1!Q15,observasi2!Q15))</f>
        <v/>
      </c>
      <c r="R15" s="178" t="str">
        <f>IF(AND(observasi1!R15="",observasi2!R15=""),"",AVERAGE(observasi1!R15,observasi2!R15))</f>
        <v/>
      </c>
      <c r="S15" s="178" t="str">
        <f>IF(AND(observasi1!S15="",observasi2!S15=""),"",AVERAGE(observasi1!S15,observasi2!S15))</f>
        <v/>
      </c>
      <c r="T15" s="178" t="str">
        <f>IF(AND(observasi1!T15="",observasi2!T15=""),"",AVERAGE(observasi1!T15,observasi2!T15))</f>
        <v/>
      </c>
      <c r="U15" s="178" t="str">
        <f>IF(AND(observasi1!U15="",observasi2!U15=""),"",AVERAGE(observasi1!U15,observasi2!U15))</f>
        <v/>
      </c>
      <c r="V15" s="178" t="str">
        <f>IF(AND(observasi1!V15="",observasi2!V15=""),"",AVERAGE(observasi1!V15,observasi2!V15))</f>
        <v/>
      </c>
      <c r="W15" s="178" t="str">
        <f>IF(AND(observasi1!W15="",observasi2!W15=""),"",AVERAGE(observasi1!W15,observasi2!W15))</f>
        <v/>
      </c>
      <c r="X15" s="178" t="str">
        <f>IF(AND(observasi1!X15="",observasi2!X15=""),"",AVERAGE(observasi1!X15,observasi2!X15))</f>
        <v/>
      </c>
      <c r="Y15" s="178" t="str">
        <f>IF(AND(observasi1!Y15="",observasi2!Y15=""),"",AVERAGE(observasi1!Y15,observasi2!Y15))</f>
        <v/>
      </c>
      <c r="Z15" s="178" t="str">
        <f>IF(AND(observasi1!Z15="",observasi2!Z15=""),"",AVERAGE(observasi1!Z15,observasi2!Z15))</f>
        <v/>
      </c>
      <c r="AA15" s="178" t="str">
        <f>IF(AND(observasi1!AA15="",observasi2!AA15=""),"",AVERAGE(observasi1!AA15,observasi2!AA15))</f>
        <v/>
      </c>
      <c r="AB15" s="178" t="str">
        <f>IF(AND(observasi1!AB15="",observasi2!AB15=""),"",AVERAGE(observasi1!AB15,observasi2!AB15))</f>
        <v/>
      </c>
      <c r="AC15" s="178" t="str">
        <f>IF(AND(observasi1!AC15="",observasi2!AC15=""),"",AVERAGE(observasi1!AC15,observasi2!AC15))</f>
        <v/>
      </c>
      <c r="AD15" s="178" t="str">
        <f>IF(AND(observasi1!AD15="",observasi2!AD15=""),"",AVERAGE(observasi1!AD15,observasi2!AD15))</f>
        <v/>
      </c>
      <c r="AE15" s="178" t="str">
        <f>IF(AND(observasi1!AE15="",observasi2!AE15=""),"",AVERAGE(observasi1!AE15,observasi2!AE15))</f>
        <v/>
      </c>
      <c r="AF15" s="178" t="str">
        <f>IF(AND(observasi1!AF15="",observasi2!AF15=""),"",AVERAGE(observasi1!AF15,observasi2!AF15))</f>
        <v/>
      </c>
      <c r="AG15" s="178" t="str">
        <f>IF(AND(observasi1!AG15="",observasi2!AG15=""),"",AVERAGE(observasi1!AG15,observasi2!AG15))</f>
        <v/>
      </c>
      <c r="AH15" s="178" t="str">
        <f>IF(AND(observasi1!AH15="",observasi2!AH15=""),"",AVERAGE(observasi1!AH15,observasi2!AH15))</f>
        <v/>
      </c>
      <c r="AI15" s="178" t="str">
        <f>IF(AND(observasi1!AI15="",observasi2!AI15=""),"",AVERAGE(observasi1!AI15,observasi2!AI15))</f>
        <v/>
      </c>
      <c r="AJ15" s="178" t="str">
        <f>IF(AND(observasi1!AJ15="",observasi2!AJ15=""),"",AVERAGE(observasi1!AJ15,observasi2!AJ15))</f>
        <v/>
      </c>
      <c r="AK15" s="178" t="str">
        <f>IF(AND(observasi1!AK15="",observasi2!AK15=""),"",AVERAGE(observasi1!AK15,observasi2!AK15))</f>
        <v/>
      </c>
      <c r="AL15" s="178" t="str">
        <f>IF(AND(observasi1!AL15="",observasi2!AL15=""),"",AVERAGE(observasi1!AL15,observasi2!AL15))</f>
        <v/>
      </c>
      <c r="AM15" s="178" t="str">
        <f>IF(AND(observasi1!AM15="",observasi2!AM15=""),"",AVERAGE(observasi1!AM15,observasi2!AM15))</f>
        <v/>
      </c>
      <c r="AN15" s="178" t="str">
        <f>IF(AND(observasi1!AN15="",observasi2!AN15=""),"",AVERAGE(observasi1!AN15,observasi2!AN15))</f>
        <v/>
      </c>
      <c r="AO15" s="178" t="str">
        <f>IF(AND(observasi1!AO15="",observasi2!AO15=""),"",AVERAGE(observasi1!AO15,observasi2!AO15))</f>
        <v/>
      </c>
      <c r="AP15" s="178" t="str">
        <f>IF(AND(observasi1!AP15="",observasi2!AP15=""),"",AVERAGE(observasi1!AP15,observasi2!AP15))</f>
        <v/>
      </c>
      <c r="AQ15" s="178" t="str">
        <f>IF(AND(observasi1!AQ15="",observasi2!AQ15=""),"",AVERAGE(observasi1!AQ15,observasi2!AQ15))</f>
        <v/>
      </c>
      <c r="AR15" s="178" t="str">
        <f>IF(AND(observasi1!AR15="",observasi2!AR15=""),"",AVERAGE(observasi1!AR15,observasi2!AR15))</f>
        <v/>
      </c>
      <c r="AS15" s="178" t="str">
        <f>IF(AND(observasi1!AS15="",observasi2!AS15=""),"",AVERAGE(observasi1!AS15,observasi2!AS15))</f>
        <v/>
      </c>
      <c r="AT15" s="178" t="str">
        <f>IF(AND(observasi1!AT15="",observasi2!AT15=""),"",AVERAGE(observasi1!AT15,observasi2!AT15))</f>
        <v/>
      </c>
      <c r="AU15" s="178" t="str">
        <f>IF(AND(observasi1!AU15="",observasi2!AU15=""),"",AVERAGE(observasi1!AU15,observasi2!AU15))</f>
        <v/>
      </c>
      <c r="AV15" s="178" t="str">
        <f>IF(AND(observasi1!AV15="",observasi2!AV15=""),"",AVERAGE(observasi1!AV15,observasi2!AV15))</f>
        <v/>
      </c>
      <c r="AW15" s="178" t="str">
        <f>IF(AND(observasi1!AW15="",observasi2!AW15=""),"",AVERAGE(observasi1!AW15,observasi2!AW15))</f>
        <v/>
      </c>
      <c r="AX15" s="178" t="str">
        <f>IF(AND(observasi1!AX15="",observasi2!AX15=""),"",AVERAGE(observasi1!AX15,observasi2!AX15))</f>
        <v/>
      </c>
      <c r="AY15" s="178" t="str">
        <f>IF(AND(observasi1!AY15="",observasi2!AY15=""),"",AVERAGE(observasi1!AY15,observasi2!AY15))</f>
        <v/>
      </c>
    </row>
    <row r="16" spans="1:51">
      <c r="A16" s="624"/>
      <c r="B16" s="164" t="s">
        <v>159</v>
      </c>
      <c r="C16" s="165" t="s">
        <v>67</v>
      </c>
      <c r="D16" s="178" t="str">
        <f>IF(AND(observasi1!D16="",observasi2!D16=""),"",AVERAGE(observasi1!D16,observasi2!D16))</f>
        <v/>
      </c>
      <c r="E16" s="178" t="str">
        <f>IF(AND(observasi1!E16="",observasi2!E16=""),"",AVERAGE(observasi1!E16,observasi2!E16))</f>
        <v/>
      </c>
      <c r="F16" s="178" t="str">
        <f>IF(AND(observasi1!F16="",observasi2!F16=""),"",AVERAGE(observasi1!F16,observasi2!F16))</f>
        <v/>
      </c>
      <c r="G16" s="178" t="str">
        <f>IF(AND(observasi1!G16="",observasi2!G16=""),"",AVERAGE(observasi1!G16,observasi2!G16))</f>
        <v/>
      </c>
      <c r="H16" s="178" t="str">
        <f>IF(AND(observasi1!H16="",observasi2!H16=""),"",AVERAGE(observasi1!H16,observasi2!H16))</f>
        <v/>
      </c>
      <c r="I16" s="178" t="str">
        <f>IF(AND(observasi1!I16="",observasi2!I16=""),"",AVERAGE(observasi1!I16,observasi2!I16))</f>
        <v/>
      </c>
      <c r="J16" s="178" t="str">
        <f>IF(AND(observasi1!J16="",observasi2!J16=""),"",AVERAGE(observasi1!J16,observasi2!J16))</f>
        <v/>
      </c>
      <c r="K16" s="178" t="str">
        <f>IF(AND(observasi1!K16="",observasi2!K16=""),"",AVERAGE(observasi1!K16,observasi2!K16))</f>
        <v/>
      </c>
      <c r="L16" s="178" t="str">
        <f>IF(AND(observasi1!L16="",observasi2!L16=""),"",AVERAGE(observasi1!L16,observasi2!L16))</f>
        <v/>
      </c>
      <c r="M16" s="178" t="str">
        <f>IF(AND(observasi1!M16="",observasi2!M16=""),"",AVERAGE(observasi1!M16,observasi2!M16))</f>
        <v/>
      </c>
      <c r="N16" s="178" t="str">
        <f>IF(AND(observasi1!N16="",observasi2!N16=""),"",AVERAGE(observasi1!N16,observasi2!N16))</f>
        <v/>
      </c>
      <c r="O16" s="178" t="str">
        <f>IF(AND(observasi1!O16="",observasi2!O16=""),"",AVERAGE(observasi1!O16,observasi2!O16))</f>
        <v/>
      </c>
      <c r="P16" s="178" t="str">
        <f>IF(AND(observasi1!P16="",observasi2!P16=""),"",AVERAGE(observasi1!P16,observasi2!P16))</f>
        <v/>
      </c>
      <c r="Q16" s="178" t="str">
        <f>IF(AND(observasi1!Q16="",observasi2!Q16=""),"",AVERAGE(observasi1!Q16,observasi2!Q16))</f>
        <v/>
      </c>
      <c r="R16" s="178" t="str">
        <f>IF(AND(observasi1!R16="",observasi2!R16=""),"",AVERAGE(observasi1!R16,observasi2!R16))</f>
        <v/>
      </c>
      <c r="S16" s="178" t="str">
        <f>IF(AND(observasi1!S16="",observasi2!S16=""),"",AVERAGE(observasi1!S16,observasi2!S16))</f>
        <v/>
      </c>
      <c r="T16" s="178" t="str">
        <f>IF(AND(observasi1!T16="",observasi2!T16=""),"",AVERAGE(observasi1!T16,observasi2!T16))</f>
        <v/>
      </c>
      <c r="U16" s="178" t="str">
        <f>IF(AND(observasi1!U16="",observasi2!U16=""),"",AVERAGE(observasi1!U16,observasi2!U16))</f>
        <v/>
      </c>
      <c r="V16" s="178" t="str">
        <f>IF(AND(observasi1!V16="",observasi2!V16=""),"",AVERAGE(observasi1!V16,observasi2!V16))</f>
        <v/>
      </c>
      <c r="W16" s="178" t="str">
        <f>IF(AND(observasi1!W16="",observasi2!W16=""),"",AVERAGE(observasi1!W16,observasi2!W16))</f>
        <v/>
      </c>
      <c r="X16" s="178" t="str">
        <f>IF(AND(observasi1!X16="",observasi2!X16=""),"",AVERAGE(observasi1!X16,observasi2!X16))</f>
        <v/>
      </c>
      <c r="Y16" s="178" t="str">
        <f>IF(AND(observasi1!Y16="",observasi2!Y16=""),"",AVERAGE(observasi1!Y16,observasi2!Y16))</f>
        <v/>
      </c>
      <c r="Z16" s="178" t="str">
        <f>IF(AND(observasi1!Z16="",observasi2!Z16=""),"",AVERAGE(observasi1!Z16,observasi2!Z16))</f>
        <v/>
      </c>
      <c r="AA16" s="178" t="str">
        <f>IF(AND(observasi1!AA16="",observasi2!AA16=""),"",AVERAGE(observasi1!AA16,observasi2!AA16))</f>
        <v/>
      </c>
      <c r="AB16" s="178" t="str">
        <f>IF(AND(observasi1!AB16="",observasi2!AB16=""),"",AVERAGE(observasi1!AB16,observasi2!AB16))</f>
        <v/>
      </c>
      <c r="AC16" s="178" t="str">
        <f>IF(AND(observasi1!AC16="",observasi2!AC16=""),"",AVERAGE(observasi1!AC16,observasi2!AC16))</f>
        <v/>
      </c>
      <c r="AD16" s="178" t="str">
        <f>IF(AND(observasi1!AD16="",observasi2!AD16=""),"",AVERAGE(observasi1!AD16,observasi2!AD16))</f>
        <v/>
      </c>
      <c r="AE16" s="178" t="str">
        <f>IF(AND(observasi1!AE16="",observasi2!AE16=""),"",AVERAGE(observasi1!AE16,observasi2!AE16))</f>
        <v/>
      </c>
      <c r="AF16" s="178" t="str">
        <f>IF(AND(observasi1!AF16="",observasi2!AF16=""),"",AVERAGE(observasi1!AF16,observasi2!AF16))</f>
        <v/>
      </c>
      <c r="AG16" s="178" t="str">
        <f>IF(AND(observasi1!AG16="",observasi2!AG16=""),"",AVERAGE(observasi1!AG16,observasi2!AG16))</f>
        <v/>
      </c>
      <c r="AH16" s="178" t="str">
        <f>IF(AND(observasi1!AH16="",observasi2!AH16=""),"",AVERAGE(observasi1!AH16,observasi2!AH16))</f>
        <v/>
      </c>
      <c r="AI16" s="178" t="str">
        <f>IF(AND(observasi1!AI16="",observasi2!AI16=""),"",AVERAGE(observasi1!AI16,observasi2!AI16))</f>
        <v/>
      </c>
      <c r="AJ16" s="178" t="str">
        <f>IF(AND(observasi1!AJ16="",observasi2!AJ16=""),"",AVERAGE(observasi1!AJ16,observasi2!AJ16))</f>
        <v/>
      </c>
      <c r="AK16" s="178" t="str">
        <f>IF(AND(observasi1!AK16="",observasi2!AK16=""),"",AVERAGE(observasi1!AK16,observasi2!AK16))</f>
        <v/>
      </c>
      <c r="AL16" s="178" t="str">
        <f>IF(AND(observasi1!AL16="",observasi2!AL16=""),"",AVERAGE(observasi1!AL16,observasi2!AL16))</f>
        <v/>
      </c>
      <c r="AM16" s="178" t="str">
        <f>IF(AND(observasi1!AM16="",observasi2!AM16=""),"",AVERAGE(observasi1!AM16,observasi2!AM16))</f>
        <v/>
      </c>
      <c r="AN16" s="178" t="str">
        <f>IF(AND(observasi1!AN16="",observasi2!AN16=""),"",AVERAGE(observasi1!AN16,observasi2!AN16))</f>
        <v/>
      </c>
      <c r="AO16" s="178" t="str">
        <f>IF(AND(observasi1!AO16="",observasi2!AO16=""),"",AVERAGE(observasi1!AO16,observasi2!AO16))</f>
        <v/>
      </c>
      <c r="AP16" s="178" t="str">
        <f>IF(AND(observasi1!AP16="",observasi2!AP16=""),"",AVERAGE(observasi1!AP16,observasi2!AP16))</f>
        <v/>
      </c>
      <c r="AQ16" s="178" t="str">
        <f>IF(AND(observasi1!AQ16="",observasi2!AQ16=""),"",AVERAGE(observasi1!AQ16,observasi2!AQ16))</f>
        <v/>
      </c>
      <c r="AR16" s="178" t="str">
        <f>IF(AND(observasi1!AR16="",observasi2!AR16=""),"",AVERAGE(observasi1!AR16,observasi2!AR16))</f>
        <v/>
      </c>
      <c r="AS16" s="178" t="str">
        <f>IF(AND(observasi1!AS16="",observasi2!AS16=""),"",AVERAGE(observasi1!AS16,observasi2!AS16))</f>
        <v/>
      </c>
      <c r="AT16" s="178" t="str">
        <f>IF(AND(observasi1!AT16="",observasi2!AT16=""),"",AVERAGE(observasi1!AT16,observasi2!AT16))</f>
        <v/>
      </c>
      <c r="AU16" s="178" t="str">
        <f>IF(AND(observasi1!AU16="",observasi2!AU16=""),"",AVERAGE(observasi1!AU16,observasi2!AU16))</f>
        <v/>
      </c>
      <c r="AV16" s="178" t="str">
        <f>IF(AND(observasi1!AV16="",observasi2!AV16=""),"",AVERAGE(observasi1!AV16,observasi2!AV16))</f>
        <v/>
      </c>
      <c r="AW16" s="178" t="str">
        <f>IF(AND(observasi1!AW16="",observasi2!AW16=""),"",AVERAGE(observasi1!AW16,observasi2!AW16))</f>
        <v/>
      </c>
      <c r="AX16" s="178" t="str">
        <f>IF(AND(observasi1!AX16="",observasi2!AX16=""),"",AVERAGE(observasi1!AX16,observasi2!AX16))</f>
        <v/>
      </c>
      <c r="AY16" s="178" t="str">
        <f>IF(AND(observasi1!AY16="",observasi2!AY16=""),"",AVERAGE(observasi1!AY16,observasi2!AY16))</f>
        <v/>
      </c>
    </row>
    <row r="17" spans="1:51">
      <c r="A17" s="624"/>
      <c r="B17" s="164" t="s">
        <v>160</v>
      </c>
      <c r="C17" s="165" t="s">
        <v>68</v>
      </c>
      <c r="D17" s="178" t="str">
        <f>IF(AND(observasi1!D17="",observasi2!D17=""),"",AVERAGE(observasi1!D17,observasi2!D17))</f>
        <v/>
      </c>
      <c r="E17" s="178" t="str">
        <f>IF(AND(observasi1!E17="",observasi2!E17=""),"",AVERAGE(observasi1!E17,observasi2!E17))</f>
        <v/>
      </c>
      <c r="F17" s="178" t="str">
        <f>IF(AND(observasi1!F17="",observasi2!F17=""),"",AVERAGE(observasi1!F17,observasi2!F17))</f>
        <v/>
      </c>
      <c r="G17" s="178" t="str">
        <f>IF(AND(observasi1!G17="",observasi2!G17=""),"",AVERAGE(observasi1!G17,observasi2!G17))</f>
        <v/>
      </c>
      <c r="H17" s="178" t="str">
        <f>IF(AND(observasi1!H17="",observasi2!H17=""),"",AVERAGE(observasi1!H17,observasi2!H17))</f>
        <v/>
      </c>
      <c r="I17" s="178" t="str">
        <f>IF(AND(observasi1!I17="",observasi2!I17=""),"",AVERAGE(observasi1!I17,observasi2!I17))</f>
        <v/>
      </c>
      <c r="J17" s="178" t="str">
        <f>IF(AND(observasi1!J17="",observasi2!J17=""),"",AVERAGE(observasi1!J17,observasi2!J17))</f>
        <v/>
      </c>
      <c r="K17" s="178" t="str">
        <f>IF(AND(observasi1!K17="",observasi2!K17=""),"",AVERAGE(observasi1!K17,observasi2!K17))</f>
        <v/>
      </c>
      <c r="L17" s="178" t="str">
        <f>IF(AND(observasi1!L17="",observasi2!L17=""),"",AVERAGE(observasi1!L17,observasi2!L17))</f>
        <v/>
      </c>
      <c r="M17" s="178" t="str">
        <f>IF(AND(observasi1!M17="",observasi2!M17=""),"",AVERAGE(observasi1!M17,observasi2!M17))</f>
        <v/>
      </c>
      <c r="N17" s="178" t="str">
        <f>IF(AND(observasi1!N17="",observasi2!N17=""),"",AVERAGE(observasi1!N17,observasi2!N17))</f>
        <v/>
      </c>
      <c r="O17" s="178" t="str">
        <f>IF(AND(observasi1!O17="",observasi2!O17=""),"",AVERAGE(observasi1!O17,observasi2!O17))</f>
        <v/>
      </c>
      <c r="P17" s="178" t="str">
        <f>IF(AND(observasi1!P17="",observasi2!P17=""),"",AVERAGE(observasi1!P17,observasi2!P17))</f>
        <v/>
      </c>
      <c r="Q17" s="178" t="str">
        <f>IF(AND(observasi1!Q17="",observasi2!Q17=""),"",AVERAGE(observasi1!Q17,observasi2!Q17))</f>
        <v/>
      </c>
      <c r="R17" s="178" t="str">
        <f>IF(AND(observasi1!R17="",observasi2!R17=""),"",AVERAGE(observasi1!R17,observasi2!R17))</f>
        <v/>
      </c>
      <c r="S17" s="178" t="str">
        <f>IF(AND(observasi1!S17="",observasi2!S17=""),"",AVERAGE(observasi1!S17,observasi2!S17))</f>
        <v/>
      </c>
      <c r="T17" s="178" t="str">
        <f>IF(AND(observasi1!T17="",observasi2!T17=""),"",AVERAGE(observasi1!T17,observasi2!T17))</f>
        <v/>
      </c>
      <c r="U17" s="178" t="str">
        <f>IF(AND(observasi1!U17="",observasi2!U17=""),"",AVERAGE(observasi1!U17,observasi2!U17))</f>
        <v/>
      </c>
      <c r="V17" s="178" t="str">
        <f>IF(AND(observasi1!V17="",observasi2!V17=""),"",AVERAGE(observasi1!V17,observasi2!V17))</f>
        <v/>
      </c>
      <c r="W17" s="178" t="str">
        <f>IF(AND(observasi1!W17="",observasi2!W17=""),"",AVERAGE(observasi1!W17,observasi2!W17))</f>
        <v/>
      </c>
      <c r="X17" s="178" t="str">
        <f>IF(AND(observasi1!X17="",observasi2!X17=""),"",AVERAGE(observasi1!X17,observasi2!X17))</f>
        <v/>
      </c>
      <c r="Y17" s="178" t="str">
        <f>IF(AND(observasi1!Y17="",observasi2!Y17=""),"",AVERAGE(observasi1!Y17,observasi2!Y17))</f>
        <v/>
      </c>
      <c r="Z17" s="178" t="str">
        <f>IF(AND(observasi1!Z17="",observasi2!Z17=""),"",AVERAGE(observasi1!Z17,observasi2!Z17))</f>
        <v/>
      </c>
      <c r="AA17" s="178" t="str">
        <f>IF(AND(observasi1!AA17="",observasi2!AA17=""),"",AVERAGE(observasi1!AA17,observasi2!AA17))</f>
        <v/>
      </c>
      <c r="AB17" s="178" t="str">
        <f>IF(AND(observasi1!AB17="",observasi2!AB17=""),"",AVERAGE(observasi1!AB17,observasi2!AB17))</f>
        <v/>
      </c>
      <c r="AC17" s="178" t="str">
        <f>IF(AND(observasi1!AC17="",observasi2!AC17=""),"",AVERAGE(observasi1!AC17,observasi2!AC17))</f>
        <v/>
      </c>
      <c r="AD17" s="178" t="str">
        <f>IF(AND(observasi1!AD17="",observasi2!AD17=""),"",AVERAGE(observasi1!AD17,observasi2!AD17))</f>
        <v/>
      </c>
      <c r="AE17" s="178" t="str">
        <f>IF(AND(observasi1!AE17="",observasi2!AE17=""),"",AVERAGE(observasi1!AE17,observasi2!AE17))</f>
        <v/>
      </c>
      <c r="AF17" s="178" t="str">
        <f>IF(AND(observasi1!AF17="",observasi2!AF17=""),"",AVERAGE(observasi1!AF17,observasi2!AF17))</f>
        <v/>
      </c>
      <c r="AG17" s="178" t="str">
        <f>IF(AND(observasi1!AG17="",observasi2!AG17=""),"",AVERAGE(observasi1!AG17,observasi2!AG17))</f>
        <v/>
      </c>
      <c r="AH17" s="178" t="str">
        <f>IF(AND(observasi1!AH17="",observasi2!AH17=""),"",AVERAGE(observasi1!AH17,observasi2!AH17))</f>
        <v/>
      </c>
      <c r="AI17" s="178" t="str">
        <f>IF(AND(observasi1!AI17="",observasi2!AI17=""),"",AVERAGE(observasi1!AI17,observasi2!AI17))</f>
        <v/>
      </c>
      <c r="AJ17" s="178" t="str">
        <f>IF(AND(observasi1!AJ17="",observasi2!AJ17=""),"",AVERAGE(observasi1!AJ17,observasi2!AJ17))</f>
        <v/>
      </c>
      <c r="AK17" s="178" t="str">
        <f>IF(AND(observasi1!AK17="",observasi2!AK17=""),"",AVERAGE(observasi1!AK17,observasi2!AK17))</f>
        <v/>
      </c>
      <c r="AL17" s="178" t="str">
        <f>IF(AND(observasi1!AL17="",observasi2!AL17=""),"",AVERAGE(observasi1!AL17,observasi2!AL17))</f>
        <v/>
      </c>
      <c r="AM17" s="178" t="str">
        <f>IF(AND(observasi1!AM17="",observasi2!AM17=""),"",AVERAGE(observasi1!AM17,observasi2!AM17))</f>
        <v/>
      </c>
      <c r="AN17" s="178" t="str">
        <f>IF(AND(observasi1!AN17="",observasi2!AN17=""),"",AVERAGE(observasi1!AN17,observasi2!AN17))</f>
        <v/>
      </c>
      <c r="AO17" s="178" t="str">
        <f>IF(AND(observasi1!AO17="",observasi2!AO17=""),"",AVERAGE(observasi1!AO17,observasi2!AO17))</f>
        <v/>
      </c>
      <c r="AP17" s="178" t="str">
        <f>IF(AND(observasi1!AP17="",observasi2!AP17=""),"",AVERAGE(observasi1!AP17,observasi2!AP17))</f>
        <v/>
      </c>
      <c r="AQ17" s="178" t="str">
        <f>IF(AND(observasi1!AQ17="",observasi2!AQ17=""),"",AVERAGE(observasi1!AQ17,observasi2!AQ17))</f>
        <v/>
      </c>
      <c r="AR17" s="178" t="str">
        <f>IF(AND(observasi1!AR17="",observasi2!AR17=""),"",AVERAGE(observasi1!AR17,observasi2!AR17))</f>
        <v/>
      </c>
      <c r="AS17" s="178" t="str">
        <f>IF(AND(observasi1!AS17="",observasi2!AS17=""),"",AVERAGE(observasi1!AS17,observasi2!AS17))</f>
        <v/>
      </c>
      <c r="AT17" s="178" t="str">
        <f>IF(AND(observasi1!AT17="",observasi2!AT17=""),"",AVERAGE(observasi1!AT17,observasi2!AT17))</f>
        <v/>
      </c>
      <c r="AU17" s="178" t="str">
        <f>IF(AND(observasi1!AU17="",observasi2!AU17=""),"",AVERAGE(observasi1!AU17,observasi2!AU17))</f>
        <v/>
      </c>
      <c r="AV17" s="178" t="str">
        <f>IF(AND(observasi1!AV17="",observasi2!AV17=""),"",AVERAGE(observasi1!AV17,observasi2!AV17))</f>
        <v/>
      </c>
      <c r="AW17" s="178" t="str">
        <f>IF(AND(observasi1!AW17="",observasi2!AW17=""),"",AVERAGE(observasi1!AW17,observasi2!AW17))</f>
        <v/>
      </c>
      <c r="AX17" s="178" t="str">
        <f>IF(AND(observasi1!AX17="",observasi2!AX17=""),"",AVERAGE(observasi1!AX17,observasi2!AX17))</f>
        <v/>
      </c>
      <c r="AY17" s="178" t="str">
        <f>IF(AND(observasi1!AY17="",observasi2!AY17=""),"",AVERAGE(observasi1!AY17,observasi2!AY17))</f>
        <v/>
      </c>
    </row>
    <row r="18" spans="1:51">
      <c r="A18" s="624"/>
      <c r="B18" s="164" t="s">
        <v>161</v>
      </c>
      <c r="C18" s="165" t="s">
        <v>69</v>
      </c>
      <c r="D18" s="178" t="str">
        <f>IF(AND(observasi1!D18="",observasi2!D18=""),"",AVERAGE(observasi1!D18,observasi2!D18))</f>
        <v/>
      </c>
      <c r="E18" s="178" t="str">
        <f>IF(AND(observasi1!E18="",observasi2!E18=""),"",AVERAGE(observasi1!E18,observasi2!E18))</f>
        <v/>
      </c>
      <c r="F18" s="178" t="str">
        <f>IF(AND(observasi1!F18="",observasi2!F18=""),"",AVERAGE(observasi1!F18,observasi2!F18))</f>
        <v/>
      </c>
      <c r="G18" s="178" t="str">
        <f>IF(AND(observasi1!G18="",observasi2!G18=""),"",AVERAGE(observasi1!G18,observasi2!G18))</f>
        <v/>
      </c>
      <c r="H18" s="178" t="str">
        <f>IF(AND(observasi1!H18="",observasi2!H18=""),"",AVERAGE(observasi1!H18,observasi2!H18))</f>
        <v/>
      </c>
      <c r="I18" s="178" t="str">
        <f>IF(AND(observasi1!I18="",observasi2!I18=""),"",AVERAGE(observasi1!I18,observasi2!I18))</f>
        <v/>
      </c>
      <c r="J18" s="178" t="str">
        <f>IF(AND(observasi1!J18="",observasi2!J18=""),"",AVERAGE(observasi1!J18,observasi2!J18))</f>
        <v/>
      </c>
      <c r="K18" s="178" t="str">
        <f>IF(AND(observasi1!K18="",observasi2!K18=""),"",AVERAGE(observasi1!K18,observasi2!K18))</f>
        <v/>
      </c>
      <c r="L18" s="178" t="str">
        <f>IF(AND(observasi1!L18="",observasi2!L18=""),"",AVERAGE(observasi1!L18,observasi2!L18))</f>
        <v/>
      </c>
      <c r="M18" s="178" t="str">
        <f>IF(AND(observasi1!M18="",observasi2!M18=""),"",AVERAGE(observasi1!M18,observasi2!M18))</f>
        <v/>
      </c>
      <c r="N18" s="178" t="str">
        <f>IF(AND(observasi1!N18="",observasi2!N18=""),"",AVERAGE(observasi1!N18,observasi2!N18))</f>
        <v/>
      </c>
      <c r="O18" s="178" t="str">
        <f>IF(AND(observasi1!O18="",observasi2!O18=""),"",AVERAGE(observasi1!O18,observasi2!O18))</f>
        <v/>
      </c>
      <c r="P18" s="178" t="str">
        <f>IF(AND(observasi1!P18="",observasi2!P18=""),"",AVERAGE(observasi1!P18,observasi2!P18))</f>
        <v/>
      </c>
      <c r="Q18" s="178" t="str">
        <f>IF(AND(observasi1!Q18="",observasi2!Q18=""),"",AVERAGE(observasi1!Q18,observasi2!Q18))</f>
        <v/>
      </c>
      <c r="R18" s="178" t="str">
        <f>IF(AND(observasi1!R18="",observasi2!R18=""),"",AVERAGE(observasi1!R18,observasi2!R18))</f>
        <v/>
      </c>
      <c r="S18" s="178" t="str">
        <f>IF(AND(observasi1!S18="",observasi2!S18=""),"",AVERAGE(observasi1!S18,observasi2!S18))</f>
        <v/>
      </c>
      <c r="T18" s="178" t="str">
        <f>IF(AND(observasi1!T18="",observasi2!T18=""),"",AVERAGE(observasi1!T18,observasi2!T18))</f>
        <v/>
      </c>
      <c r="U18" s="178" t="str">
        <f>IF(AND(observasi1!U18="",observasi2!U18=""),"",AVERAGE(observasi1!U18,observasi2!U18))</f>
        <v/>
      </c>
      <c r="V18" s="178" t="str">
        <f>IF(AND(observasi1!V18="",observasi2!V18=""),"",AVERAGE(observasi1!V18,observasi2!V18))</f>
        <v/>
      </c>
      <c r="W18" s="178" t="str">
        <f>IF(AND(observasi1!W18="",observasi2!W18=""),"",AVERAGE(observasi1!W18,observasi2!W18))</f>
        <v/>
      </c>
      <c r="X18" s="178" t="str">
        <f>IF(AND(observasi1!X18="",observasi2!X18=""),"",AVERAGE(observasi1!X18,observasi2!X18))</f>
        <v/>
      </c>
      <c r="Y18" s="178" t="str">
        <f>IF(AND(observasi1!Y18="",observasi2!Y18=""),"",AVERAGE(observasi1!Y18,observasi2!Y18))</f>
        <v/>
      </c>
      <c r="Z18" s="178" t="str">
        <f>IF(AND(observasi1!Z18="",observasi2!Z18=""),"",AVERAGE(observasi1!Z18,observasi2!Z18))</f>
        <v/>
      </c>
      <c r="AA18" s="178" t="str">
        <f>IF(AND(observasi1!AA18="",observasi2!AA18=""),"",AVERAGE(observasi1!AA18,observasi2!AA18))</f>
        <v/>
      </c>
      <c r="AB18" s="178" t="str">
        <f>IF(AND(observasi1!AB18="",observasi2!AB18=""),"",AVERAGE(observasi1!AB18,observasi2!AB18))</f>
        <v/>
      </c>
      <c r="AC18" s="178" t="str">
        <f>IF(AND(observasi1!AC18="",observasi2!AC18=""),"",AVERAGE(observasi1!AC18,observasi2!AC18))</f>
        <v/>
      </c>
      <c r="AD18" s="178" t="str">
        <f>IF(AND(observasi1!AD18="",observasi2!AD18=""),"",AVERAGE(observasi1!AD18,observasi2!AD18))</f>
        <v/>
      </c>
      <c r="AE18" s="178" t="str">
        <f>IF(AND(observasi1!AE18="",observasi2!AE18=""),"",AVERAGE(observasi1!AE18,observasi2!AE18))</f>
        <v/>
      </c>
      <c r="AF18" s="178" t="str">
        <f>IF(AND(observasi1!AF18="",observasi2!AF18=""),"",AVERAGE(observasi1!AF18,observasi2!AF18))</f>
        <v/>
      </c>
      <c r="AG18" s="178" t="str">
        <f>IF(AND(observasi1!AG18="",observasi2!AG18=""),"",AVERAGE(observasi1!AG18,observasi2!AG18))</f>
        <v/>
      </c>
      <c r="AH18" s="178" t="str">
        <f>IF(AND(observasi1!AH18="",observasi2!AH18=""),"",AVERAGE(observasi1!AH18,observasi2!AH18))</f>
        <v/>
      </c>
      <c r="AI18" s="178" t="str">
        <f>IF(AND(observasi1!AI18="",observasi2!AI18=""),"",AVERAGE(observasi1!AI18,observasi2!AI18))</f>
        <v/>
      </c>
      <c r="AJ18" s="178" t="str">
        <f>IF(AND(observasi1!AJ18="",observasi2!AJ18=""),"",AVERAGE(observasi1!AJ18,observasi2!AJ18))</f>
        <v/>
      </c>
      <c r="AK18" s="178" t="str">
        <f>IF(AND(observasi1!AK18="",observasi2!AK18=""),"",AVERAGE(observasi1!AK18,observasi2!AK18))</f>
        <v/>
      </c>
      <c r="AL18" s="178" t="str">
        <f>IF(AND(observasi1!AL18="",observasi2!AL18=""),"",AVERAGE(observasi1!AL18,observasi2!AL18))</f>
        <v/>
      </c>
      <c r="AM18" s="178" t="str">
        <f>IF(AND(observasi1!AM18="",observasi2!AM18=""),"",AVERAGE(observasi1!AM18,observasi2!AM18))</f>
        <v/>
      </c>
      <c r="AN18" s="178" t="str">
        <f>IF(AND(observasi1!AN18="",observasi2!AN18=""),"",AVERAGE(observasi1!AN18,observasi2!AN18))</f>
        <v/>
      </c>
      <c r="AO18" s="178" t="str">
        <f>IF(AND(observasi1!AO18="",observasi2!AO18=""),"",AVERAGE(observasi1!AO18,observasi2!AO18))</f>
        <v/>
      </c>
      <c r="AP18" s="178" t="str">
        <f>IF(AND(observasi1!AP18="",observasi2!AP18=""),"",AVERAGE(observasi1!AP18,observasi2!AP18))</f>
        <v/>
      </c>
      <c r="AQ18" s="178" t="str">
        <f>IF(AND(observasi1!AQ18="",observasi2!AQ18=""),"",AVERAGE(observasi1!AQ18,observasi2!AQ18))</f>
        <v/>
      </c>
      <c r="AR18" s="178" t="str">
        <f>IF(AND(observasi1!AR18="",observasi2!AR18=""),"",AVERAGE(observasi1!AR18,observasi2!AR18))</f>
        <v/>
      </c>
      <c r="AS18" s="178" t="str">
        <f>IF(AND(observasi1!AS18="",observasi2!AS18=""),"",AVERAGE(observasi1!AS18,observasi2!AS18))</f>
        <v/>
      </c>
      <c r="AT18" s="178" t="str">
        <f>IF(AND(observasi1!AT18="",observasi2!AT18=""),"",AVERAGE(observasi1!AT18,observasi2!AT18))</f>
        <v/>
      </c>
      <c r="AU18" s="178" t="str">
        <f>IF(AND(observasi1!AU18="",observasi2!AU18=""),"",AVERAGE(observasi1!AU18,observasi2!AU18))</f>
        <v/>
      </c>
      <c r="AV18" s="178" t="str">
        <f>IF(AND(observasi1!AV18="",observasi2!AV18=""),"",AVERAGE(observasi1!AV18,observasi2!AV18))</f>
        <v/>
      </c>
      <c r="AW18" s="178" t="str">
        <f>IF(AND(observasi1!AW18="",observasi2!AW18=""),"",AVERAGE(observasi1!AW18,observasi2!AW18))</f>
        <v/>
      </c>
      <c r="AX18" s="178" t="str">
        <f>IF(AND(observasi1!AX18="",observasi2!AX18=""),"",AVERAGE(observasi1!AX18,observasi2!AX18))</f>
        <v/>
      </c>
      <c r="AY18" s="178" t="str">
        <f>IF(AND(observasi1!AY18="",observasi2!AY18=""),"",AVERAGE(observasi1!AY18,observasi2!AY18))</f>
        <v/>
      </c>
    </row>
    <row r="19" spans="1:51">
      <c r="A19" s="624"/>
      <c r="B19" s="164" t="s">
        <v>162</v>
      </c>
      <c r="C19" s="165" t="s">
        <v>70</v>
      </c>
      <c r="D19" s="178" t="str">
        <f>IF(AND(observasi1!D19="",observasi2!D19=""),"",AVERAGE(observasi1!D19,observasi2!D19))</f>
        <v/>
      </c>
      <c r="E19" s="178" t="str">
        <f>IF(AND(observasi1!E19="",observasi2!E19=""),"",AVERAGE(observasi1!E19,observasi2!E19))</f>
        <v/>
      </c>
      <c r="F19" s="178" t="str">
        <f>IF(AND(observasi1!F19="",observasi2!F19=""),"",AVERAGE(observasi1!F19,observasi2!F19))</f>
        <v/>
      </c>
      <c r="G19" s="178" t="str">
        <f>IF(AND(observasi1!G19="",observasi2!G19=""),"",AVERAGE(observasi1!G19,observasi2!G19))</f>
        <v/>
      </c>
      <c r="H19" s="178" t="str">
        <f>IF(AND(observasi1!H19="",observasi2!H19=""),"",AVERAGE(observasi1!H19,observasi2!H19))</f>
        <v/>
      </c>
      <c r="I19" s="178" t="str">
        <f>IF(AND(observasi1!I19="",observasi2!I19=""),"",AVERAGE(observasi1!I19,observasi2!I19))</f>
        <v/>
      </c>
      <c r="J19" s="178" t="str">
        <f>IF(AND(observasi1!J19="",observasi2!J19=""),"",AVERAGE(observasi1!J19,observasi2!J19))</f>
        <v/>
      </c>
      <c r="K19" s="178" t="str">
        <f>IF(AND(observasi1!K19="",observasi2!K19=""),"",AVERAGE(observasi1!K19,observasi2!K19))</f>
        <v/>
      </c>
      <c r="L19" s="178" t="str">
        <f>IF(AND(observasi1!L19="",observasi2!L19=""),"",AVERAGE(observasi1!L19,observasi2!L19))</f>
        <v/>
      </c>
      <c r="M19" s="178" t="str">
        <f>IF(AND(observasi1!M19="",observasi2!M19=""),"",AVERAGE(observasi1!M19,observasi2!M19))</f>
        <v/>
      </c>
      <c r="N19" s="178" t="str">
        <f>IF(AND(observasi1!N19="",observasi2!N19=""),"",AVERAGE(observasi1!N19,observasi2!N19))</f>
        <v/>
      </c>
      <c r="O19" s="178" t="str">
        <f>IF(AND(observasi1!O19="",observasi2!O19=""),"",AVERAGE(observasi1!O19,observasi2!O19))</f>
        <v/>
      </c>
      <c r="P19" s="178" t="str">
        <f>IF(AND(observasi1!P19="",observasi2!P19=""),"",AVERAGE(observasi1!P19,observasi2!P19))</f>
        <v/>
      </c>
      <c r="Q19" s="178" t="str">
        <f>IF(AND(observasi1!Q19="",observasi2!Q19=""),"",AVERAGE(observasi1!Q19,observasi2!Q19))</f>
        <v/>
      </c>
      <c r="R19" s="178" t="str">
        <f>IF(AND(observasi1!R19="",observasi2!R19=""),"",AVERAGE(observasi1!R19,observasi2!R19))</f>
        <v/>
      </c>
      <c r="S19" s="178" t="str">
        <f>IF(AND(observasi1!S19="",observasi2!S19=""),"",AVERAGE(observasi1!S19,observasi2!S19))</f>
        <v/>
      </c>
      <c r="T19" s="178" t="str">
        <f>IF(AND(observasi1!T19="",observasi2!T19=""),"",AVERAGE(observasi1!T19,observasi2!T19))</f>
        <v/>
      </c>
      <c r="U19" s="178" t="str">
        <f>IF(AND(observasi1!U19="",observasi2!U19=""),"",AVERAGE(observasi1!U19,observasi2!U19))</f>
        <v/>
      </c>
      <c r="V19" s="178" t="str">
        <f>IF(AND(observasi1!V19="",observasi2!V19=""),"",AVERAGE(observasi1!V19,observasi2!V19))</f>
        <v/>
      </c>
      <c r="W19" s="178" t="str">
        <f>IF(AND(observasi1!W19="",observasi2!W19=""),"",AVERAGE(observasi1!W19,observasi2!W19))</f>
        <v/>
      </c>
      <c r="X19" s="178" t="str">
        <f>IF(AND(observasi1!X19="",observasi2!X19=""),"",AVERAGE(observasi1!X19,observasi2!X19))</f>
        <v/>
      </c>
      <c r="Y19" s="178" t="str">
        <f>IF(AND(observasi1!Y19="",observasi2!Y19=""),"",AVERAGE(observasi1!Y19,observasi2!Y19))</f>
        <v/>
      </c>
      <c r="Z19" s="178" t="str">
        <f>IF(AND(observasi1!Z19="",observasi2!Z19=""),"",AVERAGE(observasi1!Z19,observasi2!Z19))</f>
        <v/>
      </c>
      <c r="AA19" s="178" t="str">
        <f>IF(AND(observasi1!AA19="",observasi2!AA19=""),"",AVERAGE(observasi1!AA19,observasi2!AA19))</f>
        <v/>
      </c>
      <c r="AB19" s="178" t="str">
        <f>IF(AND(observasi1!AB19="",observasi2!AB19=""),"",AVERAGE(observasi1!AB19,observasi2!AB19))</f>
        <v/>
      </c>
      <c r="AC19" s="178" t="str">
        <f>IF(AND(observasi1!AC19="",observasi2!AC19=""),"",AVERAGE(observasi1!AC19,observasi2!AC19))</f>
        <v/>
      </c>
      <c r="AD19" s="178" t="str">
        <f>IF(AND(observasi1!AD19="",observasi2!AD19=""),"",AVERAGE(observasi1!AD19,observasi2!AD19))</f>
        <v/>
      </c>
      <c r="AE19" s="178" t="str">
        <f>IF(AND(observasi1!AE19="",observasi2!AE19=""),"",AVERAGE(observasi1!AE19,observasi2!AE19))</f>
        <v/>
      </c>
      <c r="AF19" s="178" t="str">
        <f>IF(AND(observasi1!AF19="",observasi2!AF19=""),"",AVERAGE(observasi1!AF19,observasi2!AF19))</f>
        <v/>
      </c>
      <c r="AG19" s="178" t="str">
        <f>IF(AND(observasi1!AG19="",observasi2!AG19=""),"",AVERAGE(observasi1!AG19,observasi2!AG19))</f>
        <v/>
      </c>
      <c r="AH19" s="178" t="str">
        <f>IF(AND(observasi1!AH19="",observasi2!AH19=""),"",AVERAGE(observasi1!AH19,observasi2!AH19))</f>
        <v/>
      </c>
      <c r="AI19" s="178" t="str">
        <f>IF(AND(observasi1!AI19="",observasi2!AI19=""),"",AVERAGE(observasi1!AI19,observasi2!AI19))</f>
        <v/>
      </c>
      <c r="AJ19" s="178" t="str">
        <f>IF(AND(observasi1!AJ19="",observasi2!AJ19=""),"",AVERAGE(observasi1!AJ19,observasi2!AJ19))</f>
        <v/>
      </c>
      <c r="AK19" s="178" t="str">
        <f>IF(AND(observasi1!AK19="",observasi2!AK19=""),"",AVERAGE(observasi1!AK19,observasi2!AK19))</f>
        <v/>
      </c>
      <c r="AL19" s="178" t="str">
        <f>IF(AND(observasi1!AL19="",observasi2!AL19=""),"",AVERAGE(observasi1!AL19,observasi2!AL19))</f>
        <v/>
      </c>
      <c r="AM19" s="178" t="str">
        <f>IF(AND(observasi1!AM19="",observasi2!AM19=""),"",AVERAGE(observasi1!AM19,observasi2!AM19))</f>
        <v/>
      </c>
      <c r="AN19" s="178" t="str">
        <f>IF(AND(observasi1!AN19="",observasi2!AN19=""),"",AVERAGE(observasi1!AN19,observasi2!AN19))</f>
        <v/>
      </c>
      <c r="AO19" s="178" t="str">
        <f>IF(AND(observasi1!AO19="",observasi2!AO19=""),"",AVERAGE(observasi1!AO19,observasi2!AO19))</f>
        <v/>
      </c>
      <c r="AP19" s="178" t="str">
        <f>IF(AND(observasi1!AP19="",observasi2!AP19=""),"",AVERAGE(observasi1!AP19,observasi2!AP19))</f>
        <v/>
      </c>
      <c r="AQ19" s="178" t="str">
        <f>IF(AND(observasi1!AQ19="",observasi2!AQ19=""),"",AVERAGE(observasi1!AQ19,observasi2!AQ19))</f>
        <v/>
      </c>
      <c r="AR19" s="178" t="str">
        <f>IF(AND(observasi1!AR19="",observasi2!AR19=""),"",AVERAGE(observasi1!AR19,observasi2!AR19))</f>
        <v/>
      </c>
      <c r="AS19" s="178" t="str">
        <f>IF(AND(observasi1!AS19="",observasi2!AS19=""),"",AVERAGE(observasi1!AS19,observasi2!AS19))</f>
        <v/>
      </c>
      <c r="AT19" s="178" t="str">
        <f>IF(AND(observasi1!AT19="",observasi2!AT19=""),"",AVERAGE(observasi1!AT19,observasi2!AT19))</f>
        <v/>
      </c>
      <c r="AU19" s="178" t="str">
        <f>IF(AND(observasi1!AU19="",observasi2!AU19=""),"",AVERAGE(observasi1!AU19,observasi2!AU19))</f>
        <v/>
      </c>
      <c r="AV19" s="178" t="str">
        <f>IF(AND(observasi1!AV19="",observasi2!AV19=""),"",AVERAGE(observasi1!AV19,observasi2!AV19))</f>
        <v/>
      </c>
      <c r="AW19" s="178" t="str">
        <f>IF(AND(observasi1!AW19="",observasi2!AW19=""),"",AVERAGE(observasi1!AW19,observasi2!AW19))</f>
        <v/>
      </c>
      <c r="AX19" s="178" t="str">
        <f>IF(AND(observasi1!AX19="",observasi2!AX19=""),"",AVERAGE(observasi1!AX19,observasi2!AX19))</f>
        <v/>
      </c>
      <c r="AY19" s="178" t="str">
        <f>IF(AND(observasi1!AY19="",observasi2!AY19=""),"",AVERAGE(observasi1!AY19,observasi2!AY19))</f>
        <v/>
      </c>
    </row>
    <row r="20" spans="1:51">
      <c r="A20" s="624"/>
      <c r="B20" s="164" t="s">
        <v>163</v>
      </c>
      <c r="C20" s="165" t="s">
        <v>164</v>
      </c>
      <c r="D20" s="178" t="str">
        <f>IF(AND(observasi1!D20="",observasi2!D20=""),"",AVERAGE(observasi1!D20,observasi2!D20))</f>
        <v/>
      </c>
      <c r="E20" s="178" t="str">
        <f>IF(AND(observasi1!E20="",observasi2!E20=""),"",AVERAGE(observasi1!E20,observasi2!E20))</f>
        <v/>
      </c>
      <c r="F20" s="178" t="str">
        <f>IF(AND(observasi1!F20="",observasi2!F20=""),"",AVERAGE(observasi1!F20,observasi2!F20))</f>
        <v/>
      </c>
      <c r="G20" s="178" t="str">
        <f>IF(AND(observasi1!G20="",observasi2!G20=""),"",AVERAGE(observasi1!G20,observasi2!G20))</f>
        <v/>
      </c>
      <c r="H20" s="178" t="str">
        <f>IF(AND(observasi1!H20="",observasi2!H20=""),"",AVERAGE(observasi1!H20,observasi2!H20))</f>
        <v/>
      </c>
      <c r="I20" s="178" t="str">
        <f>IF(AND(observasi1!I20="",observasi2!I20=""),"",AVERAGE(observasi1!I20,observasi2!I20))</f>
        <v/>
      </c>
      <c r="J20" s="178" t="str">
        <f>IF(AND(observasi1!J20="",observasi2!J20=""),"",AVERAGE(observasi1!J20,observasi2!J20))</f>
        <v/>
      </c>
      <c r="K20" s="178" t="str">
        <f>IF(AND(observasi1!K20="",observasi2!K20=""),"",AVERAGE(observasi1!K20,observasi2!K20))</f>
        <v/>
      </c>
      <c r="L20" s="178" t="str">
        <f>IF(AND(observasi1!L20="",observasi2!L20=""),"",AVERAGE(observasi1!L20,observasi2!L20))</f>
        <v/>
      </c>
      <c r="M20" s="178" t="str">
        <f>IF(AND(observasi1!M20="",observasi2!M20=""),"",AVERAGE(observasi1!M20,observasi2!M20))</f>
        <v/>
      </c>
      <c r="N20" s="178" t="str">
        <f>IF(AND(observasi1!N20="",observasi2!N20=""),"",AVERAGE(observasi1!N20,observasi2!N20))</f>
        <v/>
      </c>
      <c r="O20" s="178" t="str">
        <f>IF(AND(observasi1!O20="",observasi2!O20=""),"",AVERAGE(observasi1!O20,observasi2!O20))</f>
        <v/>
      </c>
      <c r="P20" s="178" t="str">
        <f>IF(AND(observasi1!P20="",observasi2!P20=""),"",AVERAGE(observasi1!P20,observasi2!P20))</f>
        <v/>
      </c>
      <c r="Q20" s="178" t="str">
        <f>IF(AND(observasi1!Q20="",observasi2!Q20=""),"",AVERAGE(observasi1!Q20,observasi2!Q20))</f>
        <v/>
      </c>
      <c r="R20" s="178" t="str">
        <f>IF(AND(observasi1!R20="",observasi2!R20=""),"",AVERAGE(observasi1!R20,observasi2!R20))</f>
        <v/>
      </c>
      <c r="S20" s="178" t="str">
        <f>IF(AND(observasi1!S20="",observasi2!S20=""),"",AVERAGE(observasi1!S20,observasi2!S20))</f>
        <v/>
      </c>
      <c r="T20" s="178" t="str">
        <f>IF(AND(observasi1!T20="",observasi2!T20=""),"",AVERAGE(observasi1!T20,observasi2!T20))</f>
        <v/>
      </c>
      <c r="U20" s="178" t="str">
        <f>IF(AND(observasi1!U20="",observasi2!U20=""),"",AVERAGE(observasi1!U20,observasi2!U20))</f>
        <v/>
      </c>
      <c r="V20" s="178" t="str">
        <f>IF(AND(observasi1!V20="",observasi2!V20=""),"",AVERAGE(observasi1!V20,observasi2!V20))</f>
        <v/>
      </c>
      <c r="W20" s="178" t="str">
        <f>IF(AND(observasi1!W20="",observasi2!W20=""),"",AVERAGE(observasi1!W20,observasi2!W20))</f>
        <v/>
      </c>
      <c r="X20" s="178" t="str">
        <f>IF(AND(observasi1!X20="",observasi2!X20=""),"",AVERAGE(observasi1!X20,observasi2!X20))</f>
        <v/>
      </c>
      <c r="Y20" s="178" t="str">
        <f>IF(AND(observasi1!Y20="",observasi2!Y20=""),"",AVERAGE(observasi1!Y20,observasi2!Y20))</f>
        <v/>
      </c>
      <c r="Z20" s="178" t="str">
        <f>IF(AND(observasi1!Z20="",observasi2!Z20=""),"",AVERAGE(observasi1!Z20,observasi2!Z20))</f>
        <v/>
      </c>
      <c r="AA20" s="178" t="str">
        <f>IF(AND(observasi1!AA20="",observasi2!AA20=""),"",AVERAGE(observasi1!AA20,observasi2!AA20))</f>
        <v/>
      </c>
      <c r="AB20" s="178" t="str">
        <f>IF(AND(observasi1!AB20="",observasi2!AB20=""),"",AVERAGE(observasi1!AB20,observasi2!AB20))</f>
        <v/>
      </c>
      <c r="AC20" s="178" t="str">
        <f>IF(AND(observasi1!AC20="",observasi2!AC20=""),"",AVERAGE(observasi1!AC20,observasi2!AC20))</f>
        <v/>
      </c>
      <c r="AD20" s="178" t="str">
        <f>IF(AND(observasi1!AD20="",observasi2!AD20=""),"",AVERAGE(observasi1!AD20,observasi2!AD20))</f>
        <v/>
      </c>
      <c r="AE20" s="178" t="str">
        <f>IF(AND(observasi1!AE20="",observasi2!AE20=""),"",AVERAGE(observasi1!AE20,observasi2!AE20))</f>
        <v/>
      </c>
      <c r="AF20" s="178" t="str">
        <f>IF(AND(observasi1!AF20="",observasi2!AF20=""),"",AVERAGE(observasi1!AF20,observasi2!AF20))</f>
        <v/>
      </c>
      <c r="AG20" s="178" t="str">
        <f>IF(AND(observasi1!AG20="",observasi2!AG20=""),"",AVERAGE(observasi1!AG20,observasi2!AG20))</f>
        <v/>
      </c>
      <c r="AH20" s="178" t="str">
        <f>IF(AND(observasi1!AH20="",observasi2!AH20=""),"",AVERAGE(observasi1!AH20,observasi2!AH20))</f>
        <v/>
      </c>
      <c r="AI20" s="178" t="str">
        <f>IF(AND(observasi1!AI20="",observasi2!AI20=""),"",AVERAGE(observasi1!AI20,observasi2!AI20))</f>
        <v/>
      </c>
      <c r="AJ20" s="178" t="str">
        <f>IF(AND(observasi1!AJ20="",observasi2!AJ20=""),"",AVERAGE(observasi1!AJ20,observasi2!AJ20))</f>
        <v/>
      </c>
      <c r="AK20" s="178" t="str">
        <f>IF(AND(observasi1!AK20="",observasi2!AK20=""),"",AVERAGE(observasi1!AK20,observasi2!AK20))</f>
        <v/>
      </c>
      <c r="AL20" s="178" t="str">
        <f>IF(AND(observasi1!AL20="",observasi2!AL20=""),"",AVERAGE(observasi1!AL20,observasi2!AL20))</f>
        <v/>
      </c>
      <c r="AM20" s="178" t="str">
        <f>IF(AND(observasi1!AM20="",observasi2!AM20=""),"",AVERAGE(observasi1!AM20,observasi2!AM20))</f>
        <v/>
      </c>
      <c r="AN20" s="178" t="str">
        <f>IF(AND(observasi1!AN20="",observasi2!AN20=""),"",AVERAGE(observasi1!AN20,observasi2!AN20))</f>
        <v/>
      </c>
      <c r="AO20" s="178" t="str">
        <f>IF(AND(observasi1!AO20="",observasi2!AO20=""),"",AVERAGE(observasi1!AO20,observasi2!AO20))</f>
        <v/>
      </c>
      <c r="AP20" s="178" t="str">
        <f>IF(AND(observasi1!AP20="",observasi2!AP20=""),"",AVERAGE(observasi1!AP20,observasi2!AP20))</f>
        <v/>
      </c>
      <c r="AQ20" s="178" t="str">
        <f>IF(AND(observasi1!AQ20="",observasi2!AQ20=""),"",AVERAGE(observasi1!AQ20,observasi2!AQ20))</f>
        <v/>
      </c>
      <c r="AR20" s="178" t="str">
        <f>IF(AND(observasi1!AR20="",observasi2!AR20=""),"",AVERAGE(observasi1!AR20,observasi2!AR20))</f>
        <v/>
      </c>
      <c r="AS20" s="178" t="str">
        <f>IF(AND(observasi1!AS20="",observasi2!AS20=""),"",AVERAGE(observasi1!AS20,observasi2!AS20))</f>
        <v/>
      </c>
      <c r="AT20" s="178" t="str">
        <f>IF(AND(observasi1!AT20="",observasi2!AT20=""),"",AVERAGE(observasi1!AT20,observasi2!AT20))</f>
        <v/>
      </c>
      <c r="AU20" s="178" t="str">
        <f>IF(AND(observasi1!AU20="",observasi2!AU20=""),"",AVERAGE(observasi1!AU20,observasi2!AU20))</f>
        <v/>
      </c>
      <c r="AV20" s="178" t="str">
        <f>IF(AND(observasi1!AV20="",observasi2!AV20=""),"",AVERAGE(observasi1!AV20,observasi2!AV20))</f>
        <v/>
      </c>
      <c r="AW20" s="178" t="str">
        <f>IF(AND(observasi1!AW20="",observasi2!AW20=""),"",AVERAGE(observasi1!AW20,observasi2!AW20))</f>
        <v/>
      </c>
      <c r="AX20" s="178" t="str">
        <f>IF(AND(observasi1!AX20="",observasi2!AX20=""),"",AVERAGE(observasi1!AX20,observasi2!AX20))</f>
        <v/>
      </c>
      <c r="AY20" s="178" t="str">
        <f>IF(AND(observasi1!AY20="",observasi2!AY20=""),"",AVERAGE(observasi1!AY20,observasi2!AY20))</f>
        <v/>
      </c>
    </row>
    <row r="21" spans="1:51">
      <c r="A21" s="624"/>
      <c r="B21" s="164" t="s">
        <v>165</v>
      </c>
      <c r="C21" s="165" t="s">
        <v>166</v>
      </c>
      <c r="D21" s="178" t="str">
        <f>IF(AND(observasi1!D21="",observasi2!D21=""),"",AVERAGE(observasi1!D21,observasi2!D21))</f>
        <v/>
      </c>
      <c r="E21" s="178" t="str">
        <f>IF(AND(observasi1!E21="",observasi2!E21=""),"",AVERAGE(observasi1!E21,observasi2!E21))</f>
        <v/>
      </c>
      <c r="F21" s="178" t="str">
        <f>IF(AND(observasi1!F21="",observasi2!F21=""),"",AVERAGE(observasi1!F21,observasi2!F21))</f>
        <v/>
      </c>
      <c r="G21" s="178" t="str">
        <f>IF(AND(observasi1!G21="",observasi2!G21=""),"",AVERAGE(observasi1!G21,observasi2!G21))</f>
        <v/>
      </c>
      <c r="H21" s="178" t="str">
        <f>IF(AND(observasi1!H21="",observasi2!H21=""),"",AVERAGE(observasi1!H21,observasi2!H21))</f>
        <v/>
      </c>
      <c r="I21" s="178" t="str">
        <f>IF(AND(observasi1!I21="",observasi2!I21=""),"",AVERAGE(observasi1!I21,observasi2!I21))</f>
        <v/>
      </c>
      <c r="J21" s="178" t="str">
        <f>IF(AND(observasi1!J21="",observasi2!J21=""),"",AVERAGE(observasi1!J21,observasi2!J21))</f>
        <v/>
      </c>
      <c r="K21" s="178" t="str">
        <f>IF(AND(observasi1!K21="",observasi2!K21=""),"",AVERAGE(observasi1!K21,observasi2!K21))</f>
        <v/>
      </c>
      <c r="L21" s="178" t="str">
        <f>IF(AND(observasi1!L21="",observasi2!L21=""),"",AVERAGE(observasi1!L21,observasi2!L21))</f>
        <v/>
      </c>
      <c r="M21" s="178" t="str">
        <f>IF(AND(observasi1!M21="",observasi2!M21=""),"",AVERAGE(observasi1!M21,observasi2!M21))</f>
        <v/>
      </c>
      <c r="N21" s="178" t="str">
        <f>IF(AND(observasi1!N21="",observasi2!N21=""),"",AVERAGE(observasi1!N21,observasi2!N21))</f>
        <v/>
      </c>
      <c r="O21" s="178" t="str">
        <f>IF(AND(observasi1!O21="",observasi2!O21=""),"",AVERAGE(observasi1!O21,observasi2!O21))</f>
        <v/>
      </c>
      <c r="P21" s="178" t="str">
        <f>IF(AND(observasi1!P21="",observasi2!P21=""),"",AVERAGE(observasi1!P21,observasi2!P21))</f>
        <v/>
      </c>
      <c r="Q21" s="178" t="str">
        <f>IF(AND(observasi1!Q21="",observasi2!Q21=""),"",AVERAGE(observasi1!Q21,observasi2!Q21))</f>
        <v/>
      </c>
      <c r="R21" s="178" t="str">
        <f>IF(AND(observasi1!R21="",observasi2!R21=""),"",AVERAGE(observasi1!R21,observasi2!R21))</f>
        <v/>
      </c>
      <c r="S21" s="178" t="str">
        <f>IF(AND(observasi1!S21="",observasi2!S21=""),"",AVERAGE(observasi1!S21,observasi2!S21))</f>
        <v/>
      </c>
      <c r="T21" s="178" t="str">
        <f>IF(AND(observasi1!T21="",observasi2!T21=""),"",AVERAGE(observasi1!T21,observasi2!T21))</f>
        <v/>
      </c>
      <c r="U21" s="178" t="str">
        <f>IF(AND(observasi1!U21="",observasi2!U21=""),"",AVERAGE(observasi1!U21,observasi2!U21))</f>
        <v/>
      </c>
      <c r="V21" s="178" t="str">
        <f>IF(AND(observasi1!V21="",observasi2!V21=""),"",AVERAGE(observasi1!V21,observasi2!V21))</f>
        <v/>
      </c>
      <c r="W21" s="178" t="str">
        <f>IF(AND(observasi1!W21="",observasi2!W21=""),"",AVERAGE(observasi1!W21,observasi2!W21))</f>
        <v/>
      </c>
      <c r="X21" s="178" t="str">
        <f>IF(AND(observasi1!X21="",observasi2!X21=""),"",AVERAGE(observasi1!X21,observasi2!X21))</f>
        <v/>
      </c>
      <c r="Y21" s="178" t="str">
        <f>IF(AND(observasi1!Y21="",observasi2!Y21=""),"",AVERAGE(observasi1!Y21,observasi2!Y21))</f>
        <v/>
      </c>
      <c r="Z21" s="178" t="str">
        <f>IF(AND(observasi1!Z21="",observasi2!Z21=""),"",AVERAGE(observasi1!Z21,observasi2!Z21))</f>
        <v/>
      </c>
      <c r="AA21" s="178" t="str">
        <f>IF(AND(observasi1!AA21="",observasi2!AA21=""),"",AVERAGE(observasi1!AA21,observasi2!AA21))</f>
        <v/>
      </c>
      <c r="AB21" s="178" t="str">
        <f>IF(AND(observasi1!AB21="",observasi2!AB21=""),"",AVERAGE(observasi1!AB21,observasi2!AB21))</f>
        <v/>
      </c>
      <c r="AC21" s="178" t="str">
        <f>IF(AND(observasi1!AC21="",observasi2!AC21=""),"",AVERAGE(observasi1!AC21,observasi2!AC21))</f>
        <v/>
      </c>
      <c r="AD21" s="178" t="str">
        <f>IF(AND(observasi1!AD21="",observasi2!AD21=""),"",AVERAGE(observasi1!AD21,observasi2!AD21))</f>
        <v/>
      </c>
      <c r="AE21" s="178" t="str">
        <f>IF(AND(observasi1!AE21="",observasi2!AE21=""),"",AVERAGE(observasi1!AE21,observasi2!AE21))</f>
        <v/>
      </c>
      <c r="AF21" s="178" t="str">
        <f>IF(AND(observasi1!AF21="",observasi2!AF21=""),"",AVERAGE(observasi1!AF21,observasi2!AF21))</f>
        <v/>
      </c>
      <c r="AG21" s="178" t="str">
        <f>IF(AND(observasi1!AG21="",observasi2!AG21=""),"",AVERAGE(observasi1!AG21,observasi2!AG21))</f>
        <v/>
      </c>
      <c r="AH21" s="178" t="str">
        <f>IF(AND(observasi1!AH21="",observasi2!AH21=""),"",AVERAGE(observasi1!AH21,observasi2!AH21))</f>
        <v/>
      </c>
      <c r="AI21" s="178" t="str">
        <f>IF(AND(observasi1!AI21="",observasi2!AI21=""),"",AVERAGE(observasi1!AI21,observasi2!AI21))</f>
        <v/>
      </c>
      <c r="AJ21" s="178" t="str">
        <f>IF(AND(observasi1!AJ21="",observasi2!AJ21=""),"",AVERAGE(observasi1!AJ21,observasi2!AJ21))</f>
        <v/>
      </c>
      <c r="AK21" s="178" t="str">
        <f>IF(AND(observasi1!AK21="",observasi2!AK21=""),"",AVERAGE(observasi1!AK21,observasi2!AK21))</f>
        <v/>
      </c>
      <c r="AL21" s="178" t="str">
        <f>IF(AND(observasi1!AL21="",observasi2!AL21=""),"",AVERAGE(observasi1!AL21,observasi2!AL21))</f>
        <v/>
      </c>
      <c r="AM21" s="178" t="str">
        <f>IF(AND(observasi1!AM21="",observasi2!AM21=""),"",AVERAGE(observasi1!AM21,observasi2!AM21))</f>
        <v/>
      </c>
      <c r="AN21" s="178" t="str">
        <f>IF(AND(observasi1!AN21="",observasi2!AN21=""),"",AVERAGE(observasi1!AN21,observasi2!AN21))</f>
        <v/>
      </c>
      <c r="AO21" s="178" t="str">
        <f>IF(AND(observasi1!AO21="",observasi2!AO21=""),"",AVERAGE(observasi1!AO21,observasi2!AO21))</f>
        <v/>
      </c>
      <c r="AP21" s="178" t="str">
        <f>IF(AND(observasi1!AP21="",observasi2!AP21=""),"",AVERAGE(observasi1!AP21,observasi2!AP21))</f>
        <v/>
      </c>
      <c r="AQ21" s="178" t="str">
        <f>IF(AND(observasi1!AQ21="",observasi2!AQ21=""),"",AVERAGE(observasi1!AQ21,observasi2!AQ21))</f>
        <v/>
      </c>
      <c r="AR21" s="178" t="str">
        <f>IF(AND(observasi1!AR21="",observasi2!AR21=""),"",AVERAGE(observasi1!AR21,observasi2!AR21))</f>
        <v/>
      </c>
      <c r="AS21" s="178" t="str">
        <f>IF(AND(observasi1!AS21="",observasi2!AS21=""),"",AVERAGE(observasi1!AS21,observasi2!AS21))</f>
        <v/>
      </c>
      <c r="AT21" s="178" t="str">
        <f>IF(AND(observasi1!AT21="",observasi2!AT21=""),"",AVERAGE(observasi1!AT21,observasi2!AT21))</f>
        <v/>
      </c>
      <c r="AU21" s="178" t="str">
        <f>IF(AND(observasi1!AU21="",observasi2!AU21=""),"",AVERAGE(observasi1!AU21,observasi2!AU21))</f>
        <v/>
      </c>
      <c r="AV21" s="178" t="str">
        <f>IF(AND(observasi1!AV21="",observasi2!AV21=""),"",AVERAGE(observasi1!AV21,observasi2!AV21))</f>
        <v/>
      </c>
      <c r="AW21" s="178" t="str">
        <f>IF(AND(observasi1!AW21="",observasi2!AW21=""),"",AVERAGE(observasi1!AW21,observasi2!AW21))</f>
        <v/>
      </c>
      <c r="AX21" s="178" t="str">
        <f>IF(AND(observasi1!AX21="",observasi2!AX21=""),"",AVERAGE(observasi1!AX21,observasi2!AX21))</f>
        <v/>
      </c>
      <c r="AY21" s="178" t="str">
        <f>IF(AND(observasi1!AY21="",observasi2!AY21=""),"",AVERAGE(observasi1!AY21,observasi2!AY21))</f>
        <v/>
      </c>
    </row>
    <row r="22" spans="1:51">
      <c r="A22" s="624"/>
      <c r="B22" s="164" t="s">
        <v>167</v>
      </c>
      <c r="C22" s="165" t="s">
        <v>168</v>
      </c>
      <c r="D22" s="178" t="str">
        <f>IF(AND(observasi1!D22="",observasi2!D22=""),"",AVERAGE(observasi1!D22,observasi2!D22))</f>
        <v/>
      </c>
      <c r="E22" s="178" t="str">
        <f>IF(AND(observasi1!E22="",observasi2!E22=""),"",AVERAGE(observasi1!E22,observasi2!E22))</f>
        <v/>
      </c>
      <c r="F22" s="178" t="str">
        <f>IF(AND(observasi1!F22="",observasi2!F22=""),"",AVERAGE(observasi1!F22,observasi2!F22))</f>
        <v/>
      </c>
      <c r="G22" s="178" t="str">
        <f>IF(AND(observasi1!G22="",observasi2!G22=""),"",AVERAGE(observasi1!G22,observasi2!G22))</f>
        <v/>
      </c>
      <c r="H22" s="178" t="str">
        <f>IF(AND(observasi1!H22="",observasi2!H22=""),"",AVERAGE(observasi1!H22,observasi2!H22))</f>
        <v/>
      </c>
      <c r="I22" s="178" t="str">
        <f>IF(AND(observasi1!I22="",observasi2!I22=""),"",AVERAGE(observasi1!I22,observasi2!I22))</f>
        <v/>
      </c>
      <c r="J22" s="178" t="str">
        <f>IF(AND(observasi1!J22="",observasi2!J22=""),"",AVERAGE(observasi1!J22,observasi2!J22))</f>
        <v/>
      </c>
      <c r="K22" s="178" t="str">
        <f>IF(AND(observasi1!K22="",observasi2!K22=""),"",AVERAGE(observasi1!K22,observasi2!K22))</f>
        <v/>
      </c>
      <c r="L22" s="178" t="str">
        <f>IF(AND(observasi1!L22="",observasi2!L22=""),"",AVERAGE(observasi1!L22,observasi2!L22))</f>
        <v/>
      </c>
      <c r="M22" s="178" t="str">
        <f>IF(AND(observasi1!M22="",observasi2!M22=""),"",AVERAGE(observasi1!M22,observasi2!M22))</f>
        <v/>
      </c>
      <c r="N22" s="178" t="str">
        <f>IF(AND(observasi1!N22="",observasi2!N22=""),"",AVERAGE(observasi1!N22,observasi2!N22))</f>
        <v/>
      </c>
      <c r="O22" s="178" t="str">
        <f>IF(AND(observasi1!O22="",observasi2!O22=""),"",AVERAGE(observasi1!O22,observasi2!O22))</f>
        <v/>
      </c>
      <c r="P22" s="178" t="str">
        <f>IF(AND(observasi1!P22="",observasi2!P22=""),"",AVERAGE(observasi1!P22,observasi2!P22))</f>
        <v/>
      </c>
      <c r="Q22" s="178" t="str">
        <f>IF(AND(observasi1!Q22="",observasi2!Q22=""),"",AVERAGE(observasi1!Q22,observasi2!Q22))</f>
        <v/>
      </c>
      <c r="R22" s="178" t="str">
        <f>IF(AND(observasi1!R22="",observasi2!R22=""),"",AVERAGE(observasi1!R22,observasi2!R22))</f>
        <v/>
      </c>
      <c r="S22" s="178" t="str">
        <f>IF(AND(observasi1!S22="",observasi2!S22=""),"",AVERAGE(observasi1!S22,observasi2!S22))</f>
        <v/>
      </c>
      <c r="T22" s="178" t="str">
        <f>IF(AND(observasi1!T22="",observasi2!T22=""),"",AVERAGE(observasi1!T22,observasi2!T22))</f>
        <v/>
      </c>
      <c r="U22" s="178" t="str">
        <f>IF(AND(observasi1!U22="",observasi2!U22=""),"",AVERAGE(observasi1!U22,observasi2!U22))</f>
        <v/>
      </c>
      <c r="V22" s="178" t="str">
        <f>IF(AND(observasi1!V22="",observasi2!V22=""),"",AVERAGE(observasi1!V22,observasi2!V22))</f>
        <v/>
      </c>
      <c r="W22" s="178" t="str">
        <f>IF(AND(observasi1!W22="",observasi2!W22=""),"",AVERAGE(observasi1!W22,observasi2!W22))</f>
        <v/>
      </c>
      <c r="X22" s="178" t="str">
        <f>IF(AND(observasi1!X22="",observasi2!X22=""),"",AVERAGE(observasi1!X22,observasi2!X22))</f>
        <v/>
      </c>
      <c r="Y22" s="178" t="str">
        <f>IF(AND(observasi1!Y22="",observasi2!Y22=""),"",AVERAGE(observasi1!Y22,observasi2!Y22))</f>
        <v/>
      </c>
      <c r="Z22" s="178" t="str">
        <f>IF(AND(observasi1!Z22="",observasi2!Z22=""),"",AVERAGE(observasi1!Z22,observasi2!Z22))</f>
        <v/>
      </c>
      <c r="AA22" s="178" t="str">
        <f>IF(AND(observasi1!AA22="",observasi2!AA22=""),"",AVERAGE(observasi1!AA22,observasi2!AA22))</f>
        <v/>
      </c>
      <c r="AB22" s="178" t="str">
        <f>IF(AND(observasi1!AB22="",observasi2!AB22=""),"",AVERAGE(observasi1!AB22,observasi2!AB22))</f>
        <v/>
      </c>
      <c r="AC22" s="178" t="str">
        <f>IF(AND(observasi1!AC22="",observasi2!AC22=""),"",AVERAGE(observasi1!AC22,observasi2!AC22))</f>
        <v/>
      </c>
      <c r="AD22" s="178" t="str">
        <f>IF(AND(observasi1!AD22="",observasi2!AD22=""),"",AVERAGE(observasi1!AD22,observasi2!AD22))</f>
        <v/>
      </c>
      <c r="AE22" s="178" t="str">
        <f>IF(AND(observasi1!AE22="",observasi2!AE22=""),"",AVERAGE(observasi1!AE22,observasi2!AE22))</f>
        <v/>
      </c>
      <c r="AF22" s="178" t="str">
        <f>IF(AND(observasi1!AF22="",observasi2!AF22=""),"",AVERAGE(observasi1!AF22,observasi2!AF22))</f>
        <v/>
      </c>
      <c r="AG22" s="178" t="str">
        <f>IF(AND(observasi1!AG22="",observasi2!AG22=""),"",AVERAGE(observasi1!AG22,observasi2!AG22))</f>
        <v/>
      </c>
      <c r="AH22" s="178" t="str">
        <f>IF(AND(observasi1!AH22="",observasi2!AH22=""),"",AVERAGE(observasi1!AH22,observasi2!AH22))</f>
        <v/>
      </c>
      <c r="AI22" s="178" t="str">
        <f>IF(AND(observasi1!AI22="",observasi2!AI22=""),"",AVERAGE(observasi1!AI22,observasi2!AI22))</f>
        <v/>
      </c>
      <c r="AJ22" s="178" t="str">
        <f>IF(AND(observasi1!AJ22="",observasi2!AJ22=""),"",AVERAGE(observasi1!AJ22,observasi2!AJ22))</f>
        <v/>
      </c>
      <c r="AK22" s="178" t="str">
        <f>IF(AND(observasi1!AK22="",observasi2!AK22=""),"",AVERAGE(observasi1!AK22,observasi2!AK22))</f>
        <v/>
      </c>
      <c r="AL22" s="178" t="str">
        <f>IF(AND(observasi1!AL22="",observasi2!AL22=""),"",AVERAGE(observasi1!AL22,observasi2!AL22))</f>
        <v/>
      </c>
      <c r="AM22" s="178" t="str">
        <f>IF(AND(observasi1!AM22="",observasi2!AM22=""),"",AVERAGE(observasi1!AM22,observasi2!AM22))</f>
        <v/>
      </c>
      <c r="AN22" s="178" t="str">
        <f>IF(AND(observasi1!AN22="",observasi2!AN22=""),"",AVERAGE(observasi1!AN22,observasi2!AN22))</f>
        <v/>
      </c>
      <c r="AO22" s="178" t="str">
        <f>IF(AND(observasi1!AO22="",observasi2!AO22=""),"",AVERAGE(observasi1!AO22,observasi2!AO22))</f>
        <v/>
      </c>
      <c r="AP22" s="178" t="str">
        <f>IF(AND(observasi1!AP22="",observasi2!AP22=""),"",AVERAGE(observasi1!AP22,observasi2!AP22))</f>
        <v/>
      </c>
      <c r="AQ22" s="178" t="str">
        <f>IF(AND(observasi1!AQ22="",observasi2!AQ22=""),"",AVERAGE(observasi1!AQ22,observasi2!AQ22))</f>
        <v/>
      </c>
      <c r="AR22" s="178" t="str">
        <f>IF(AND(observasi1!AR22="",observasi2!AR22=""),"",AVERAGE(observasi1!AR22,observasi2!AR22))</f>
        <v/>
      </c>
      <c r="AS22" s="178" t="str">
        <f>IF(AND(observasi1!AS22="",observasi2!AS22=""),"",AVERAGE(observasi1!AS22,observasi2!AS22))</f>
        <v/>
      </c>
      <c r="AT22" s="178" t="str">
        <f>IF(AND(observasi1!AT22="",observasi2!AT22=""),"",AVERAGE(observasi1!AT22,observasi2!AT22))</f>
        <v/>
      </c>
      <c r="AU22" s="178" t="str">
        <f>IF(AND(observasi1!AU22="",observasi2!AU22=""),"",AVERAGE(observasi1!AU22,observasi2!AU22))</f>
        <v/>
      </c>
      <c r="AV22" s="178" t="str">
        <f>IF(AND(observasi1!AV22="",observasi2!AV22=""),"",AVERAGE(observasi1!AV22,observasi2!AV22))</f>
        <v/>
      </c>
      <c r="AW22" s="178" t="str">
        <f>IF(AND(observasi1!AW22="",observasi2!AW22=""),"",AVERAGE(observasi1!AW22,observasi2!AW22))</f>
        <v/>
      </c>
      <c r="AX22" s="178" t="str">
        <f>IF(AND(observasi1!AX22="",observasi2!AX22=""),"",AVERAGE(observasi1!AX22,observasi2!AX22))</f>
        <v/>
      </c>
      <c r="AY22" s="178" t="str">
        <f>IF(AND(observasi1!AY22="",observasi2!AY22=""),"",AVERAGE(observasi1!AY22,observasi2!AY22))</f>
        <v/>
      </c>
    </row>
    <row r="23" spans="1:51">
      <c r="A23" s="624"/>
      <c r="B23" s="166"/>
      <c r="C23" s="167"/>
      <c r="D23" s="171" t="str">
        <f>IF(AND(D15="",D16="",D17="",D18="",D19="",D20="",D21="",D22=""),"",AVERAGE(D15:D22))</f>
        <v/>
      </c>
      <c r="E23" s="171" t="str">
        <f t="shared" ref="E23:AY23" si="2">IF(AND(E15="",E16="",E17="",E18="",E19="",E20="",E21="",E22=""),"",AVERAGE(E15:E22))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25" t="s">
        <v>169</v>
      </c>
      <c r="B24" s="164" t="s">
        <v>170</v>
      </c>
      <c r="C24" s="165" t="s">
        <v>74</v>
      </c>
      <c r="D24" s="178" t="str">
        <f>IF(AND(observasi1!D24="",observasi2!D24=""),"",AVERAGE(observasi1!D24,observasi2!D24))</f>
        <v/>
      </c>
      <c r="E24" s="178" t="str">
        <f>IF(AND(observasi1!E24="",observasi2!E24=""),"",AVERAGE(observasi1!E24,observasi2!E24))</f>
        <v/>
      </c>
      <c r="F24" s="178" t="str">
        <f>IF(AND(observasi1!F24="",observasi2!F24=""),"",AVERAGE(observasi1!F24,observasi2!F24))</f>
        <v/>
      </c>
      <c r="G24" s="178" t="str">
        <f>IF(AND(observasi1!G24="",observasi2!G24=""),"",AVERAGE(observasi1!G24,observasi2!G24))</f>
        <v/>
      </c>
      <c r="H24" s="178" t="str">
        <f>IF(AND(observasi1!H24="",observasi2!H24=""),"",AVERAGE(observasi1!H24,observasi2!H24))</f>
        <v/>
      </c>
      <c r="I24" s="178" t="str">
        <f>IF(AND(observasi1!I24="",observasi2!I24=""),"",AVERAGE(observasi1!I24,observasi2!I24))</f>
        <v/>
      </c>
      <c r="J24" s="178" t="str">
        <f>IF(AND(observasi1!J24="",observasi2!J24=""),"",AVERAGE(observasi1!J24,observasi2!J24))</f>
        <v/>
      </c>
      <c r="K24" s="178" t="str">
        <f>IF(AND(observasi1!K24="",observasi2!K24=""),"",AVERAGE(observasi1!K24,observasi2!K24))</f>
        <v/>
      </c>
      <c r="L24" s="178" t="str">
        <f>IF(AND(observasi1!L24="",observasi2!L24=""),"",AVERAGE(observasi1!L24,observasi2!L24))</f>
        <v/>
      </c>
      <c r="M24" s="178" t="str">
        <f>IF(AND(observasi1!M24="",observasi2!M24=""),"",AVERAGE(observasi1!M24,observasi2!M24))</f>
        <v/>
      </c>
      <c r="N24" s="178" t="str">
        <f>IF(AND(observasi1!N24="",observasi2!N24=""),"",AVERAGE(observasi1!N24,observasi2!N24))</f>
        <v/>
      </c>
      <c r="O24" s="178" t="str">
        <f>IF(AND(observasi1!O24="",observasi2!O24=""),"",AVERAGE(observasi1!O24,observasi2!O24))</f>
        <v/>
      </c>
      <c r="P24" s="178" t="str">
        <f>IF(AND(observasi1!P24="",observasi2!P24=""),"",AVERAGE(observasi1!P24,observasi2!P24))</f>
        <v/>
      </c>
      <c r="Q24" s="178" t="str">
        <f>IF(AND(observasi1!Q24="",observasi2!Q24=""),"",AVERAGE(observasi1!Q24,observasi2!Q24))</f>
        <v/>
      </c>
      <c r="R24" s="178" t="str">
        <f>IF(AND(observasi1!R24="",observasi2!R24=""),"",AVERAGE(observasi1!R24,observasi2!R24))</f>
        <v/>
      </c>
      <c r="S24" s="178" t="str">
        <f>IF(AND(observasi1!S24="",observasi2!S24=""),"",AVERAGE(observasi1!S24,observasi2!S24))</f>
        <v/>
      </c>
      <c r="T24" s="178" t="str">
        <f>IF(AND(observasi1!T24="",observasi2!T24=""),"",AVERAGE(observasi1!T24,observasi2!T24))</f>
        <v/>
      </c>
      <c r="U24" s="178" t="str">
        <f>IF(AND(observasi1!U24="",observasi2!U24=""),"",AVERAGE(observasi1!U24,observasi2!U24))</f>
        <v/>
      </c>
      <c r="V24" s="178" t="str">
        <f>IF(AND(observasi1!V24="",observasi2!V24=""),"",AVERAGE(observasi1!V24,observasi2!V24))</f>
        <v/>
      </c>
      <c r="W24" s="178" t="str">
        <f>IF(AND(observasi1!W24="",observasi2!W24=""),"",AVERAGE(observasi1!W24,observasi2!W24))</f>
        <v/>
      </c>
      <c r="X24" s="178" t="str">
        <f>IF(AND(observasi1!X24="",observasi2!X24=""),"",AVERAGE(observasi1!X24,observasi2!X24))</f>
        <v/>
      </c>
      <c r="Y24" s="178" t="str">
        <f>IF(AND(observasi1!Y24="",observasi2!Y24=""),"",AVERAGE(observasi1!Y24,observasi2!Y24))</f>
        <v/>
      </c>
      <c r="Z24" s="178" t="str">
        <f>IF(AND(observasi1!Z24="",observasi2!Z24=""),"",AVERAGE(observasi1!Z24,observasi2!Z24))</f>
        <v/>
      </c>
      <c r="AA24" s="178" t="str">
        <f>IF(AND(observasi1!AA24="",observasi2!AA24=""),"",AVERAGE(observasi1!AA24,observasi2!AA24))</f>
        <v/>
      </c>
      <c r="AB24" s="178" t="str">
        <f>IF(AND(observasi1!AB24="",observasi2!AB24=""),"",AVERAGE(observasi1!AB24,observasi2!AB24))</f>
        <v/>
      </c>
      <c r="AC24" s="178" t="str">
        <f>IF(AND(observasi1!AC24="",observasi2!AC24=""),"",AVERAGE(observasi1!AC24,observasi2!AC24))</f>
        <v/>
      </c>
      <c r="AD24" s="178" t="str">
        <f>IF(AND(observasi1!AD24="",observasi2!AD24=""),"",AVERAGE(observasi1!AD24,observasi2!AD24))</f>
        <v/>
      </c>
      <c r="AE24" s="178" t="str">
        <f>IF(AND(observasi1!AE24="",observasi2!AE24=""),"",AVERAGE(observasi1!AE24,observasi2!AE24))</f>
        <v/>
      </c>
      <c r="AF24" s="178" t="str">
        <f>IF(AND(observasi1!AF24="",observasi2!AF24=""),"",AVERAGE(observasi1!AF24,observasi2!AF24))</f>
        <v/>
      </c>
      <c r="AG24" s="178" t="str">
        <f>IF(AND(observasi1!AG24="",observasi2!AG24=""),"",AVERAGE(observasi1!AG24,observasi2!AG24))</f>
        <v/>
      </c>
      <c r="AH24" s="178" t="str">
        <f>IF(AND(observasi1!AH24="",observasi2!AH24=""),"",AVERAGE(observasi1!AH24,observasi2!AH24))</f>
        <v/>
      </c>
      <c r="AI24" s="178" t="str">
        <f>IF(AND(observasi1!AI24="",observasi2!AI24=""),"",AVERAGE(observasi1!AI24,observasi2!AI24))</f>
        <v/>
      </c>
      <c r="AJ24" s="178" t="str">
        <f>IF(AND(observasi1!AJ24="",observasi2!AJ24=""),"",AVERAGE(observasi1!AJ24,observasi2!AJ24))</f>
        <v/>
      </c>
      <c r="AK24" s="178" t="str">
        <f>IF(AND(observasi1!AK24="",observasi2!AK24=""),"",AVERAGE(observasi1!AK24,observasi2!AK24))</f>
        <v/>
      </c>
      <c r="AL24" s="178" t="str">
        <f>IF(AND(observasi1!AL24="",observasi2!AL24=""),"",AVERAGE(observasi1!AL24,observasi2!AL24))</f>
        <v/>
      </c>
      <c r="AM24" s="178" t="str">
        <f>IF(AND(observasi1!AM24="",observasi2!AM24=""),"",AVERAGE(observasi1!AM24,observasi2!AM24))</f>
        <v/>
      </c>
      <c r="AN24" s="178" t="str">
        <f>IF(AND(observasi1!AN24="",observasi2!AN24=""),"",AVERAGE(observasi1!AN24,observasi2!AN24))</f>
        <v/>
      </c>
      <c r="AO24" s="178" t="str">
        <f>IF(AND(observasi1!AO24="",observasi2!AO24=""),"",AVERAGE(observasi1!AO24,observasi2!AO24))</f>
        <v/>
      </c>
      <c r="AP24" s="178" t="str">
        <f>IF(AND(observasi1!AP24="",observasi2!AP24=""),"",AVERAGE(observasi1!AP24,observasi2!AP24))</f>
        <v/>
      </c>
      <c r="AQ24" s="178" t="str">
        <f>IF(AND(observasi1!AQ24="",observasi2!AQ24=""),"",AVERAGE(observasi1!AQ24,observasi2!AQ24))</f>
        <v/>
      </c>
      <c r="AR24" s="178" t="str">
        <f>IF(AND(observasi1!AR24="",observasi2!AR24=""),"",AVERAGE(observasi1!AR24,observasi2!AR24))</f>
        <v/>
      </c>
      <c r="AS24" s="178" t="str">
        <f>IF(AND(observasi1!AS24="",observasi2!AS24=""),"",AVERAGE(observasi1!AS24,observasi2!AS24))</f>
        <v/>
      </c>
      <c r="AT24" s="178" t="str">
        <f>IF(AND(observasi1!AT24="",observasi2!AT24=""),"",AVERAGE(observasi1!AT24,observasi2!AT24))</f>
        <v/>
      </c>
      <c r="AU24" s="178" t="str">
        <f>IF(AND(observasi1!AU24="",observasi2!AU24=""),"",AVERAGE(observasi1!AU24,observasi2!AU24))</f>
        <v/>
      </c>
      <c r="AV24" s="178" t="str">
        <f>IF(AND(observasi1!AV24="",observasi2!AV24=""),"",AVERAGE(observasi1!AV24,observasi2!AV24))</f>
        <v/>
      </c>
      <c r="AW24" s="178" t="str">
        <f>IF(AND(observasi1!AW24="",observasi2!AW24=""),"",AVERAGE(observasi1!AW24,observasi2!AW24))</f>
        <v/>
      </c>
      <c r="AX24" s="178" t="str">
        <f>IF(AND(observasi1!AX24="",observasi2!AX24=""),"",AVERAGE(observasi1!AX24,observasi2!AX24))</f>
        <v/>
      </c>
      <c r="AY24" s="178" t="str">
        <f>IF(AND(observasi1!AY24="",observasi2!AY24=""),"",AVERAGE(observasi1!AY24,observasi2!AY24))</f>
        <v/>
      </c>
    </row>
    <row r="25" spans="1:51">
      <c r="A25" s="625"/>
      <c r="B25" s="164" t="s">
        <v>171</v>
      </c>
      <c r="C25" s="165" t="s">
        <v>75</v>
      </c>
      <c r="D25" s="178" t="str">
        <f>IF(AND(observasi1!D25="",observasi2!D25=""),"",AVERAGE(observasi1!D25,observasi2!D25))</f>
        <v/>
      </c>
      <c r="E25" s="178" t="str">
        <f>IF(AND(observasi1!E25="",observasi2!E25=""),"",AVERAGE(observasi1!E25,observasi2!E25))</f>
        <v/>
      </c>
      <c r="F25" s="178" t="str">
        <f>IF(AND(observasi1!F25="",observasi2!F25=""),"",AVERAGE(observasi1!F25,observasi2!F25))</f>
        <v/>
      </c>
      <c r="G25" s="178" t="str">
        <f>IF(AND(observasi1!G25="",observasi2!G25=""),"",AVERAGE(observasi1!G25,observasi2!G25))</f>
        <v/>
      </c>
      <c r="H25" s="178" t="str">
        <f>IF(AND(observasi1!H25="",observasi2!H25=""),"",AVERAGE(observasi1!H25,observasi2!H25))</f>
        <v/>
      </c>
      <c r="I25" s="178" t="str">
        <f>IF(AND(observasi1!I25="",observasi2!I25=""),"",AVERAGE(observasi1!I25,observasi2!I25))</f>
        <v/>
      </c>
      <c r="J25" s="178" t="str">
        <f>IF(AND(observasi1!J25="",observasi2!J25=""),"",AVERAGE(observasi1!J25,observasi2!J25))</f>
        <v/>
      </c>
      <c r="K25" s="178" t="str">
        <f>IF(AND(observasi1!K25="",observasi2!K25=""),"",AVERAGE(observasi1!K25,observasi2!K25))</f>
        <v/>
      </c>
      <c r="L25" s="178" t="str">
        <f>IF(AND(observasi1!L25="",observasi2!L25=""),"",AVERAGE(observasi1!L25,observasi2!L25))</f>
        <v/>
      </c>
      <c r="M25" s="178" t="str">
        <f>IF(AND(observasi1!M25="",observasi2!M25=""),"",AVERAGE(observasi1!M25,observasi2!M25))</f>
        <v/>
      </c>
      <c r="N25" s="178" t="str">
        <f>IF(AND(observasi1!N25="",observasi2!N25=""),"",AVERAGE(observasi1!N25,observasi2!N25))</f>
        <v/>
      </c>
      <c r="O25" s="178" t="str">
        <f>IF(AND(observasi1!O25="",observasi2!O25=""),"",AVERAGE(observasi1!O25,observasi2!O25))</f>
        <v/>
      </c>
      <c r="P25" s="178" t="str">
        <f>IF(AND(observasi1!P25="",observasi2!P25=""),"",AVERAGE(observasi1!P25,observasi2!P25))</f>
        <v/>
      </c>
      <c r="Q25" s="178" t="str">
        <f>IF(AND(observasi1!Q25="",observasi2!Q25=""),"",AVERAGE(observasi1!Q25,observasi2!Q25))</f>
        <v/>
      </c>
      <c r="R25" s="178" t="str">
        <f>IF(AND(observasi1!R25="",observasi2!R25=""),"",AVERAGE(observasi1!R25,observasi2!R25))</f>
        <v/>
      </c>
      <c r="S25" s="178" t="str">
        <f>IF(AND(observasi1!S25="",observasi2!S25=""),"",AVERAGE(observasi1!S25,observasi2!S25))</f>
        <v/>
      </c>
      <c r="T25" s="178" t="str">
        <f>IF(AND(observasi1!T25="",observasi2!T25=""),"",AVERAGE(observasi1!T25,observasi2!T25))</f>
        <v/>
      </c>
      <c r="U25" s="178" t="str">
        <f>IF(AND(observasi1!U25="",observasi2!U25=""),"",AVERAGE(observasi1!U25,observasi2!U25))</f>
        <v/>
      </c>
      <c r="V25" s="178" t="str">
        <f>IF(AND(observasi1!V25="",observasi2!V25=""),"",AVERAGE(observasi1!V25,observasi2!V25))</f>
        <v/>
      </c>
      <c r="W25" s="178" t="str">
        <f>IF(AND(observasi1!W25="",observasi2!W25=""),"",AVERAGE(observasi1!W25,observasi2!W25))</f>
        <v/>
      </c>
      <c r="X25" s="178" t="str">
        <f>IF(AND(observasi1!X25="",observasi2!X25=""),"",AVERAGE(observasi1!X25,observasi2!X25))</f>
        <v/>
      </c>
      <c r="Y25" s="178" t="str">
        <f>IF(AND(observasi1!Y25="",observasi2!Y25=""),"",AVERAGE(observasi1!Y25,observasi2!Y25))</f>
        <v/>
      </c>
      <c r="Z25" s="178" t="str">
        <f>IF(AND(observasi1!Z25="",observasi2!Z25=""),"",AVERAGE(observasi1!Z25,observasi2!Z25))</f>
        <v/>
      </c>
      <c r="AA25" s="178" t="str">
        <f>IF(AND(observasi1!AA25="",observasi2!AA25=""),"",AVERAGE(observasi1!AA25,observasi2!AA25))</f>
        <v/>
      </c>
      <c r="AB25" s="178" t="str">
        <f>IF(AND(observasi1!AB25="",observasi2!AB25=""),"",AVERAGE(observasi1!AB25,observasi2!AB25))</f>
        <v/>
      </c>
      <c r="AC25" s="178" t="str">
        <f>IF(AND(observasi1!AC25="",observasi2!AC25=""),"",AVERAGE(observasi1!AC25,observasi2!AC25))</f>
        <v/>
      </c>
      <c r="AD25" s="178" t="str">
        <f>IF(AND(observasi1!AD25="",observasi2!AD25=""),"",AVERAGE(observasi1!AD25,observasi2!AD25))</f>
        <v/>
      </c>
      <c r="AE25" s="178" t="str">
        <f>IF(AND(observasi1!AE25="",observasi2!AE25=""),"",AVERAGE(observasi1!AE25,observasi2!AE25))</f>
        <v/>
      </c>
      <c r="AF25" s="178" t="str">
        <f>IF(AND(observasi1!AF25="",observasi2!AF25=""),"",AVERAGE(observasi1!AF25,observasi2!AF25))</f>
        <v/>
      </c>
      <c r="AG25" s="178" t="str">
        <f>IF(AND(observasi1!AG25="",observasi2!AG25=""),"",AVERAGE(observasi1!AG25,observasi2!AG25))</f>
        <v/>
      </c>
      <c r="AH25" s="178" t="str">
        <f>IF(AND(observasi1!AH25="",observasi2!AH25=""),"",AVERAGE(observasi1!AH25,observasi2!AH25))</f>
        <v/>
      </c>
      <c r="AI25" s="178" t="str">
        <f>IF(AND(observasi1!AI25="",observasi2!AI25=""),"",AVERAGE(observasi1!AI25,observasi2!AI25))</f>
        <v/>
      </c>
      <c r="AJ25" s="178" t="str">
        <f>IF(AND(observasi1!AJ25="",observasi2!AJ25=""),"",AVERAGE(observasi1!AJ25,observasi2!AJ25))</f>
        <v/>
      </c>
      <c r="AK25" s="178" t="str">
        <f>IF(AND(observasi1!AK25="",observasi2!AK25=""),"",AVERAGE(observasi1!AK25,observasi2!AK25))</f>
        <v/>
      </c>
      <c r="AL25" s="178" t="str">
        <f>IF(AND(observasi1!AL25="",observasi2!AL25=""),"",AVERAGE(observasi1!AL25,observasi2!AL25))</f>
        <v/>
      </c>
      <c r="AM25" s="178" t="str">
        <f>IF(AND(observasi1!AM25="",observasi2!AM25=""),"",AVERAGE(observasi1!AM25,observasi2!AM25))</f>
        <v/>
      </c>
      <c r="AN25" s="178" t="str">
        <f>IF(AND(observasi1!AN25="",observasi2!AN25=""),"",AVERAGE(observasi1!AN25,observasi2!AN25))</f>
        <v/>
      </c>
      <c r="AO25" s="178" t="str">
        <f>IF(AND(observasi1!AO25="",observasi2!AO25=""),"",AVERAGE(observasi1!AO25,observasi2!AO25))</f>
        <v/>
      </c>
      <c r="AP25" s="178" t="str">
        <f>IF(AND(observasi1!AP25="",observasi2!AP25=""),"",AVERAGE(observasi1!AP25,observasi2!AP25))</f>
        <v/>
      </c>
      <c r="AQ25" s="178" t="str">
        <f>IF(AND(observasi1!AQ25="",observasi2!AQ25=""),"",AVERAGE(observasi1!AQ25,observasi2!AQ25))</f>
        <v/>
      </c>
      <c r="AR25" s="178" t="str">
        <f>IF(AND(observasi1!AR25="",observasi2!AR25=""),"",AVERAGE(observasi1!AR25,observasi2!AR25))</f>
        <v/>
      </c>
      <c r="AS25" s="178" t="str">
        <f>IF(AND(observasi1!AS25="",observasi2!AS25=""),"",AVERAGE(observasi1!AS25,observasi2!AS25))</f>
        <v/>
      </c>
      <c r="AT25" s="178" t="str">
        <f>IF(AND(observasi1!AT25="",observasi2!AT25=""),"",AVERAGE(observasi1!AT25,observasi2!AT25))</f>
        <v/>
      </c>
      <c r="AU25" s="178" t="str">
        <f>IF(AND(observasi1!AU25="",observasi2!AU25=""),"",AVERAGE(observasi1!AU25,observasi2!AU25))</f>
        <v/>
      </c>
      <c r="AV25" s="178" t="str">
        <f>IF(AND(observasi1!AV25="",observasi2!AV25=""),"",AVERAGE(observasi1!AV25,observasi2!AV25))</f>
        <v/>
      </c>
      <c r="AW25" s="178" t="str">
        <f>IF(AND(observasi1!AW25="",observasi2!AW25=""),"",AVERAGE(observasi1!AW25,observasi2!AW25))</f>
        <v/>
      </c>
      <c r="AX25" s="178" t="str">
        <f>IF(AND(observasi1!AX25="",observasi2!AX25=""),"",AVERAGE(observasi1!AX25,observasi2!AX25))</f>
        <v/>
      </c>
      <c r="AY25" s="178" t="str">
        <f>IF(AND(observasi1!AY25="",observasi2!AY25=""),"",AVERAGE(observasi1!AY25,observasi2!AY25))</f>
        <v/>
      </c>
    </row>
    <row r="26" spans="1:51">
      <c r="A26" s="625"/>
      <c r="B26" s="164" t="s">
        <v>172</v>
      </c>
      <c r="C26" s="165" t="s">
        <v>173</v>
      </c>
      <c r="D26" s="178" t="str">
        <f>IF(AND(observasi1!D26="",observasi2!D26=""),"",AVERAGE(observasi1!D26,observasi2!D26))</f>
        <v/>
      </c>
      <c r="E26" s="178" t="str">
        <f>IF(AND(observasi1!E26="",observasi2!E26=""),"",AVERAGE(observasi1!E26,observasi2!E26))</f>
        <v/>
      </c>
      <c r="F26" s="178" t="str">
        <f>IF(AND(observasi1!F26="",observasi2!F26=""),"",AVERAGE(observasi1!F26,observasi2!F26))</f>
        <v/>
      </c>
      <c r="G26" s="178" t="str">
        <f>IF(AND(observasi1!G26="",observasi2!G26=""),"",AVERAGE(observasi1!G26,observasi2!G26))</f>
        <v/>
      </c>
      <c r="H26" s="178" t="str">
        <f>IF(AND(observasi1!H26="",observasi2!H26=""),"",AVERAGE(observasi1!H26,observasi2!H26))</f>
        <v/>
      </c>
      <c r="I26" s="178" t="str">
        <f>IF(AND(observasi1!I26="",observasi2!I26=""),"",AVERAGE(observasi1!I26,observasi2!I26))</f>
        <v/>
      </c>
      <c r="J26" s="178" t="str">
        <f>IF(AND(observasi1!J26="",observasi2!J26=""),"",AVERAGE(observasi1!J26,observasi2!J26))</f>
        <v/>
      </c>
      <c r="K26" s="178" t="str">
        <f>IF(AND(observasi1!K26="",observasi2!K26=""),"",AVERAGE(observasi1!K26,observasi2!K26))</f>
        <v/>
      </c>
      <c r="L26" s="178" t="str">
        <f>IF(AND(observasi1!L26="",observasi2!L26=""),"",AVERAGE(observasi1!L26,observasi2!L26))</f>
        <v/>
      </c>
      <c r="M26" s="178" t="str">
        <f>IF(AND(observasi1!M26="",observasi2!M26=""),"",AVERAGE(observasi1!M26,observasi2!M26))</f>
        <v/>
      </c>
      <c r="N26" s="178" t="str">
        <f>IF(AND(observasi1!N26="",observasi2!N26=""),"",AVERAGE(observasi1!N26,observasi2!N26))</f>
        <v/>
      </c>
      <c r="O26" s="178" t="str">
        <f>IF(AND(observasi1!O26="",observasi2!O26=""),"",AVERAGE(observasi1!O26,observasi2!O26))</f>
        <v/>
      </c>
      <c r="P26" s="178" t="str">
        <f>IF(AND(observasi1!P26="",observasi2!P26=""),"",AVERAGE(observasi1!P26,observasi2!P26))</f>
        <v/>
      </c>
      <c r="Q26" s="178" t="str">
        <f>IF(AND(observasi1!Q26="",observasi2!Q26=""),"",AVERAGE(observasi1!Q26,observasi2!Q26))</f>
        <v/>
      </c>
      <c r="R26" s="178" t="str">
        <f>IF(AND(observasi1!R26="",observasi2!R26=""),"",AVERAGE(observasi1!R26,observasi2!R26))</f>
        <v/>
      </c>
      <c r="S26" s="178" t="str">
        <f>IF(AND(observasi1!S26="",observasi2!S26=""),"",AVERAGE(observasi1!S26,observasi2!S26))</f>
        <v/>
      </c>
      <c r="T26" s="178" t="str">
        <f>IF(AND(observasi1!T26="",observasi2!T26=""),"",AVERAGE(observasi1!T26,observasi2!T26))</f>
        <v/>
      </c>
      <c r="U26" s="178" t="str">
        <f>IF(AND(observasi1!U26="",observasi2!U26=""),"",AVERAGE(observasi1!U26,observasi2!U26))</f>
        <v/>
      </c>
      <c r="V26" s="178" t="str">
        <f>IF(AND(observasi1!V26="",observasi2!V26=""),"",AVERAGE(observasi1!V26,observasi2!V26))</f>
        <v/>
      </c>
      <c r="W26" s="178" t="str">
        <f>IF(AND(observasi1!W26="",observasi2!W26=""),"",AVERAGE(observasi1!W26,observasi2!W26))</f>
        <v/>
      </c>
      <c r="X26" s="178" t="str">
        <f>IF(AND(observasi1!X26="",observasi2!X26=""),"",AVERAGE(observasi1!X26,observasi2!X26))</f>
        <v/>
      </c>
      <c r="Y26" s="178" t="str">
        <f>IF(AND(observasi1!Y26="",observasi2!Y26=""),"",AVERAGE(observasi1!Y26,observasi2!Y26))</f>
        <v/>
      </c>
      <c r="Z26" s="178" t="str">
        <f>IF(AND(observasi1!Z26="",observasi2!Z26=""),"",AVERAGE(observasi1!Z26,observasi2!Z26))</f>
        <v/>
      </c>
      <c r="AA26" s="178" t="str">
        <f>IF(AND(observasi1!AA26="",observasi2!AA26=""),"",AVERAGE(observasi1!AA26,observasi2!AA26))</f>
        <v/>
      </c>
      <c r="AB26" s="178" t="str">
        <f>IF(AND(observasi1!AB26="",observasi2!AB26=""),"",AVERAGE(observasi1!AB26,observasi2!AB26))</f>
        <v/>
      </c>
      <c r="AC26" s="178" t="str">
        <f>IF(AND(observasi1!AC26="",observasi2!AC26=""),"",AVERAGE(observasi1!AC26,observasi2!AC26))</f>
        <v/>
      </c>
      <c r="AD26" s="178" t="str">
        <f>IF(AND(observasi1!AD26="",observasi2!AD26=""),"",AVERAGE(observasi1!AD26,observasi2!AD26))</f>
        <v/>
      </c>
      <c r="AE26" s="178" t="str">
        <f>IF(AND(observasi1!AE26="",observasi2!AE26=""),"",AVERAGE(observasi1!AE26,observasi2!AE26))</f>
        <v/>
      </c>
      <c r="AF26" s="178" t="str">
        <f>IF(AND(observasi1!AF26="",observasi2!AF26=""),"",AVERAGE(observasi1!AF26,observasi2!AF26))</f>
        <v/>
      </c>
      <c r="AG26" s="178" t="str">
        <f>IF(AND(observasi1!AG26="",observasi2!AG26=""),"",AVERAGE(observasi1!AG26,observasi2!AG26))</f>
        <v/>
      </c>
      <c r="AH26" s="178" t="str">
        <f>IF(AND(observasi1!AH26="",observasi2!AH26=""),"",AVERAGE(observasi1!AH26,observasi2!AH26))</f>
        <v/>
      </c>
      <c r="AI26" s="178" t="str">
        <f>IF(AND(observasi1!AI26="",observasi2!AI26=""),"",AVERAGE(observasi1!AI26,observasi2!AI26))</f>
        <v/>
      </c>
      <c r="AJ26" s="178" t="str">
        <f>IF(AND(observasi1!AJ26="",observasi2!AJ26=""),"",AVERAGE(observasi1!AJ26,observasi2!AJ26))</f>
        <v/>
      </c>
      <c r="AK26" s="178" t="str">
        <f>IF(AND(observasi1!AK26="",observasi2!AK26=""),"",AVERAGE(observasi1!AK26,observasi2!AK26))</f>
        <v/>
      </c>
      <c r="AL26" s="178" t="str">
        <f>IF(AND(observasi1!AL26="",observasi2!AL26=""),"",AVERAGE(observasi1!AL26,observasi2!AL26))</f>
        <v/>
      </c>
      <c r="AM26" s="178" t="str">
        <f>IF(AND(observasi1!AM26="",observasi2!AM26=""),"",AVERAGE(observasi1!AM26,observasi2!AM26))</f>
        <v/>
      </c>
      <c r="AN26" s="178" t="str">
        <f>IF(AND(observasi1!AN26="",observasi2!AN26=""),"",AVERAGE(observasi1!AN26,observasi2!AN26))</f>
        <v/>
      </c>
      <c r="AO26" s="178" t="str">
        <f>IF(AND(observasi1!AO26="",observasi2!AO26=""),"",AVERAGE(observasi1!AO26,observasi2!AO26))</f>
        <v/>
      </c>
      <c r="AP26" s="178" t="str">
        <f>IF(AND(observasi1!AP26="",observasi2!AP26=""),"",AVERAGE(observasi1!AP26,observasi2!AP26))</f>
        <v/>
      </c>
      <c r="AQ26" s="178" t="str">
        <f>IF(AND(observasi1!AQ26="",observasi2!AQ26=""),"",AVERAGE(observasi1!AQ26,observasi2!AQ26))</f>
        <v/>
      </c>
      <c r="AR26" s="178" t="str">
        <f>IF(AND(observasi1!AR26="",observasi2!AR26=""),"",AVERAGE(observasi1!AR26,observasi2!AR26))</f>
        <v/>
      </c>
      <c r="AS26" s="178" t="str">
        <f>IF(AND(observasi1!AS26="",observasi2!AS26=""),"",AVERAGE(observasi1!AS26,observasi2!AS26))</f>
        <v/>
      </c>
      <c r="AT26" s="178" t="str">
        <f>IF(AND(observasi1!AT26="",observasi2!AT26=""),"",AVERAGE(observasi1!AT26,observasi2!AT26))</f>
        <v/>
      </c>
      <c r="AU26" s="178" t="str">
        <f>IF(AND(observasi1!AU26="",observasi2!AU26=""),"",AVERAGE(observasi1!AU26,observasi2!AU26))</f>
        <v/>
      </c>
      <c r="AV26" s="178" t="str">
        <f>IF(AND(observasi1!AV26="",observasi2!AV26=""),"",AVERAGE(observasi1!AV26,observasi2!AV26))</f>
        <v/>
      </c>
      <c r="AW26" s="178" t="str">
        <f>IF(AND(observasi1!AW26="",observasi2!AW26=""),"",AVERAGE(observasi1!AW26,observasi2!AW26))</f>
        <v/>
      </c>
      <c r="AX26" s="178" t="str">
        <f>IF(AND(observasi1!AX26="",observasi2!AX26=""),"",AVERAGE(observasi1!AX26,observasi2!AX26))</f>
        <v/>
      </c>
      <c r="AY26" s="178" t="str">
        <f>IF(AND(observasi1!AY26="",observasi2!AY26=""),"",AVERAGE(observasi1!AY26,observasi2!AY26))</f>
        <v/>
      </c>
    </row>
    <row r="27" spans="1:51">
      <c r="A27" s="625"/>
      <c r="B27" s="164" t="s">
        <v>174</v>
      </c>
      <c r="C27" s="165" t="s">
        <v>77</v>
      </c>
      <c r="D27" s="178" t="str">
        <f>IF(AND(observasi1!D27="",observasi2!D27=""),"",AVERAGE(observasi1!D27,observasi2!D27))</f>
        <v/>
      </c>
      <c r="E27" s="178" t="str">
        <f>IF(AND(observasi1!E27="",observasi2!E27=""),"",AVERAGE(observasi1!E27,observasi2!E27))</f>
        <v/>
      </c>
      <c r="F27" s="178" t="str">
        <f>IF(AND(observasi1!F27="",observasi2!F27=""),"",AVERAGE(observasi1!F27,observasi2!F27))</f>
        <v/>
      </c>
      <c r="G27" s="178" t="str">
        <f>IF(AND(observasi1!G27="",observasi2!G27=""),"",AVERAGE(observasi1!G27,observasi2!G27))</f>
        <v/>
      </c>
      <c r="H27" s="178" t="str">
        <f>IF(AND(observasi1!H27="",observasi2!H27=""),"",AVERAGE(observasi1!H27,observasi2!H27))</f>
        <v/>
      </c>
      <c r="I27" s="178" t="str">
        <f>IF(AND(observasi1!I27="",observasi2!I27=""),"",AVERAGE(observasi1!I27,observasi2!I27))</f>
        <v/>
      </c>
      <c r="J27" s="178" t="str">
        <f>IF(AND(observasi1!J27="",observasi2!J27=""),"",AVERAGE(observasi1!J27,observasi2!J27))</f>
        <v/>
      </c>
      <c r="K27" s="178" t="str">
        <f>IF(AND(observasi1!K27="",observasi2!K27=""),"",AVERAGE(observasi1!K27,observasi2!K27))</f>
        <v/>
      </c>
      <c r="L27" s="178" t="str">
        <f>IF(AND(observasi1!L27="",observasi2!L27=""),"",AVERAGE(observasi1!L27,observasi2!L27))</f>
        <v/>
      </c>
      <c r="M27" s="178" t="str">
        <f>IF(AND(observasi1!M27="",observasi2!M27=""),"",AVERAGE(observasi1!M27,observasi2!M27))</f>
        <v/>
      </c>
      <c r="N27" s="178" t="str">
        <f>IF(AND(observasi1!N27="",observasi2!N27=""),"",AVERAGE(observasi1!N27,observasi2!N27))</f>
        <v/>
      </c>
      <c r="O27" s="178" t="str">
        <f>IF(AND(observasi1!O27="",observasi2!O27=""),"",AVERAGE(observasi1!O27,observasi2!O27))</f>
        <v/>
      </c>
      <c r="P27" s="178" t="str">
        <f>IF(AND(observasi1!P27="",observasi2!P27=""),"",AVERAGE(observasi1!P27,observasi2!P27))</f>
        <v/>
      </c>
      <c r="Q27" s="178" t="str">
        <f>IF(AND(observasi1!Q27="",observasi2!Q27=""),"",AVERAGE(observasi1!Q27,observasi2!Q27))</f>
        <v/>
      </c>
      <c r="R27" s="178" t="str">
        <f>IF(AND(observasi1!R27="",observasi2!R27=""),"",AVERAGE(observasi1!R27,observasi2!R27))</f>
        <v/>
      </c>
      <c r="S27" s="178" t="str">
        <f>IF(AND(observasi1!S27="",observasi2!S27=""),"",AVERAGE(observasi1!S27,observasi2!S27))</f>
        <v/>
      </c>
      <c r="T27" s="178" t="str">
        <f>IF(AND(observasi1!T27="",observasi2!T27=""),"",AVERAGE(observasi1!T27,observasi2!T27))</f>
        <v/>
      </c>
      <c r="U27" s="178" t="str">
        <f>IF(AND(observasi1!U27="",observasi2!U27=""),"",AVERAGE(observasi1!U27,observasi2!U27))</f>
        <v/>
      </c>
      <c r="V27" s="178" t="str">
        <f>IF(AND(observasi1!V27="",observasi2!V27=""),"",AVERAGE(observasi1!V27,observasi2!V27))</f>
        <v/>
      </c>
      <c r="W27" s="178" t="str">
        <f>IF(AND(observasi1!W27="",observasi2!W27=""),"",AVERAGE(observasi1!W27,observasi2!W27))</f>
        <v/>
      </c>
      <c r="X27" s="178" t="str">
        <f>IF(AND(observasi1!X27="",observasi2!X27=""),"",AVERAGE(observasi1!X27,observasi2!X27))</f>
        <v/>
      </c>
      <c r="Y27" s="178" t="str">
        <f>IF(AND(observasi1!Y27="",observasi2!Y27=""),"",AVERAGE(observasi1!Y27,observasi2!Y27))</f>
        <v/>
      </c>
      <c r="Z27" s="178" t="str">
        <f>IF(AND(observasi1!Z27="",observasi2!Z27=""),"",AVERAGE(observasi1!Z27,observasi2!Z27))</f>
        <v/>
      </c>
      <c r="AA27" s="178" t="str">
        <f>IF(AND(observasi1!AA27="",observasi2!AA27=""),"",AVERAGE(observasi1!AA27,observasi2!AA27))</f>
        <v/>
      </c>
      <c r="AB27" s="178" t="str">
        <f>IF(AND(observasi1!AB27="",observasi2!AB27=""),"",AVERAGE(observasi1!AB27,observasi2!AB27))</f>
        <v/>
      </c>
      <c r="AC27" s="178" t="str">
        <f>IF(AND(observasi1!AC27="",observasi2!AC27=""),"",AVERAGE(observasi1!AC27,observasi2!AC27))</f>
        <v/>
      </c>
      <c r="AD27" s="178" t="str">
        <f>IF(AND(observasi1!AD27="",observasi2!AD27=""),"",AVERAGE(observasi1!AD27,observasi2!AD27))</f>
        <v/>
      </c>
      <c r="AE27" s="178" t="str">
        <f>IF(AND(observasi1!AE27="",observasi2!AE27=""),"",AVERAGE(observasi1!AE27,observasi2!AE27))</f>
        <v/>
      </c>
      <c r="AF27" s="178" t="str">
        <f>IF(AND(observasi1!AF27="",observasi2!AF27=""),"",AVERAGE(observasi1!AF27,observasi2!AF27))</f>
        <v/>
      </c>
      <c r="AG27" s="178" t="str">
        <f>IF(AND(observasi1!AG27="",observasi2!AG27=""),"",AVERAGE(observasi1!AG27,observasi2!AG27))</f>
        <v/>
      </c>
      <c r="AH27" s="178" t="str">
        <f>IF(AND(observasi1!AH27="",observasi2!AH27=""),"",AVERAGE(observasi1!AH27,observasi2!AH27))</f>
        <v/>
      </c>
      <c r="AI27" s="178" t="str">
        <f>IF(AND(observasi1!AI27="",observasi2!AI27=""),"",AVERAGE(observasi1!AI27,observasi2!AI27))</f>
        <v/>
      </c>
      <c r="AJ27" s="178" t="str">
        <f>IF(AND(observasi1!AJ27="",observasi2!AJ27=""),"",AVERAGE(observasi1!AJ27,observasi2!AJ27))</f>
        <v/>
      </c>
      <c r="AK27" s="178" t="str">
        <f>IF(AND(observasi1!AK27="",observasi2!AK27=""),"",AVERAGE(observasi1!AK27,observasi2!AK27))</f>
        <v/>
      </c>
      <c r="AL27" s="178" t="str">
        <f>IF(AND(observasi1!AL27="",observasi2!AL27=""),"",AVERAGE(observasi1!AL27,observasi2!AL27))</f>
        <v/>
      </c>
      <c r="AM27" s="178" t="str">
        <f>IF(AND(observasi1!AM27="",observasi2!AM27=""),"",AVERAGE(observasi1!AM27,observasi2!AM27))</f>
        <v/>
      </c>
      <c r="AN27" s="178" t="str">
        <f>IF(AND(observasi1!AN27="",observasi2!AN27=""),"",AVERAGE(observasi1!AN27,observasi2!AN27))</f>
        <v/>
      </c>
      <c r="AO27" s="178" t="str">
        <f>IF(AND(observasi1!AO27="",observasi2!AO27=""),"",AVERAGE(observasi1!AO27,observasi2!AO27))</f>
        <v/>
      </c>
      <c r="AP27" s="178" t="str">
        <f>IF(AND(observasi1!AP27="",observasi2!AP27=""),"",AVERAGE(observasi1!AP27,observasi2!AP27))</f>
        <v/>
      </c>
      <c r="AQ27" s="178" t="str">
        <f>IF(AND(observasi1!AQ27="",observasi2!AQ27=""),"",AVERAGE(observasi1!AQ27,observasi2!AQ27))</f>
        <v/>
      </c>
      <c r="AR27" s="178" t="str">
        <f>IF(AND(observasi1!AR27="",observasi2!AR27=""),"",AVERAGE(observasi1!AR27,observasi2!AR27))</f>
        <v/>
      </c>
      <c r="AS27" s="178" t="str">
        <f>IF(AND(observasi1!AS27="",observasi2!AS27=""),"",AVERAGE(observasi1!AS27,observasi2!AS27))</f>
        <v/>
      </c>
      <c r="AT27" s="178" t="str">
        <f>IF(AND(observasi1!AT27="",observasi2!AT27=""),"",AVERAGE(observasi1!AT27,observasi2!AT27))</f>
        <v/>
      </c>
      <c r="AU27" s="178" t="str">
        <f>IF(AND(observasi1!AU27="",observasi2!AU27=""),"",AVERAGE(observasi1!AU27,observasi2!AU27))</f>
        <v/>
      </c>
      <c r="AV27" s="178" t="str">
        <f>IF(AND(observasi1!AV27="",observasi2!AV27=""),"",AVERAGE(observasi1!AV27,observasi2!AV27))</f>
        <v/>
      </c>
      <c r="AW27" s="178" t="str">
        <f>IF(AND(observasi1!AW27="",observasi2!AW27=""),"",AVERAGE(observasi1!AW27,observasi2!AW27))</f>
        <v/>
      </c>
      <c r="AX27" s="178" t="str">
        <f>IF(AND(observasi1!AX27="",observasi2!AX27=""),"",AVERAGE(observasi1!AX27,observasi2!AX27))</f>
        <v/>
      </c>
      <c r="AY27" s="178" t="str">
        <f>IF(AND(observasi1!AY27="",observasi2!AY27=""),"",AVERAGE(observasi1!AY27,observasi2!AY27))</f>
        <v/>
      </c>
    </row>
    <row r="28" spans="1:51">
      <c r="A28" s="625"/>
      <c r="B28" s="164" t="s">
        <v>175</v>
      </c>
      <c r="C28" s="165" t="s">
        <v>78</v>
      </c>
      <c r="D28" s="178" t="str">
        <f>IF(AND(observasi1!D28="",observasi2!D28=""),"",AVERAGE(observasi1!D28,observasi2!D28))</f>
        <v/>
      </c>
      <c r="E28" s="178" t="str">
        <f>IF(AND(observasi1!E28="",observasi2!E28=""),"",AVERAGE(observasi1!E28,observasi2!E28))</f>
        <v/>
      </c>
      <c r="F28" s="178" t="str">
        <f>IF(AND(observasi1!F28="",observasi2!F28=""),"",AVERAGE(observasi1!F28,observasi2!F28))</f>
        <v/>
      </c>
      <c r="G28" s="178" t="str">
        <f>IF(AND(observasi1!G28="",observasi2!G28=""),"",AVERAGE(observasi1!G28,observasi2!G28))</f>
        <v/>
      </c>
      <c r="H28" s="178" t="str">
        <f>IF(AND(observasi1!H28="",observasi2!H28=""),"",AVERAGE(observasi1!H28,observasi2!H28))</f>
        <v/>
      </c>
      <c r="I28" s="178" t="str">
        <f>IF(AND(observasi1!I28="",observasi2!I28=""),"",AVERAGE(observasi1!I28,observasi2!I28))</f>
        <v/>
      </c>
      <c r="J28" s="178" t="str">
        <f>IF(AND(observasi1!J28="",observasi2!J28=""),"",AVERAGE(observasi1!J28,observasi2!J28))</f>
        <v/>
      </c>
      <c r="K28" s="178" t="str">
        <f>IF(AND(observasi1!K28="",observasi2!K28=""),"",AVERAGE(observasi1!K28,observasi2!K28))</f>
        <v/>
      </c>
      <c r="L28" s="178" t="str">
        <f>IF(AND(observasi1!L28="",observasi2!L28=""),"",AVERAGE(observasi1!L28,observasi2!L28))</f>
        <v/>
      </c>
      <c r="M28" s="178" t="str">
        <f>IF(AND(observasi1!M28="",observasi2!M28=""),"",AVERAGE(observasi1!M28,observasi2!M28))</f>
        <v/>
      </c>
      <c r="N28" s="178" t="str">
        <f>IF(AND(observasi1!N28="",observasi2!N28=""),"",AVERAGE(observasi1!N28,observasi2!N28))</f>
        <v/>
      </c>
      <c r="O28" s="178" t="str">
        <f>IF(AND(observasi1!O28="",observasi2!O28=""),"",AVERAGE(observasi1!O28,observasi2!O28))</f>
        <v/>
      </c>
      <c r="P28" s="178" t="str">
        <f>IF(AND(observasi1!P28="",observasi2!P28=""),"",AVERAGE(observasi1!P28,observasi2!P28))</f>
        <v/>
      </c>
      <c r="Q28" s="178" t="str">
        <f>IF(AND(observasi1!Q28="",observasi2!Q28=""),"",AVERAGE(observasi1!Q28,observasi2!Q28))</f>
        <v/>
      </c>
      <c r="R28" s="178" t="str">
        <f>IF(AND(observasi1!R28="",observasi2!R28=""),"",AVERAGE(observasi1!R28,observasi2!R28))</f>
        <v/>
      </c>
      <c r="S28" s="178" t="str">
        <f>IF(AND(observasi1!S28="",observasi2!S28=""),"",AVERAGE(observasi1!S28,observasi2!S28))</f>
        <v/>
      </c>
      <c r="T28" s="178" t="str">
        <f>IF(AND(observasi1!T28="",observasi2!T28=""),"",AVERAGE(observasi1!T28,observasi2!T28))</f>
        <v/>
      </c>
      <c r="U28" s="178" t="str">
        <f>IF(AND(observasi1!U28="",observasi2!U28=""),"",AVERAGE(observasi1!U28,observasi2!U28))</f>
        <v/>
      </c>
      <c r="V28" s="178" t="str">
        <f>IF(AND(observasi1!V28="",observasi2!V28=""),"",AVERAGE(observasi1!V28,observasi2!V28))</f>
        <v/>
      </c>
      <c r="W28" s="178" t="str">
        <f>IF(AND(observasi1!W28="",observasi2!W28=""),"",AVERAGE(observasi1!W28,observasi2!W28))</f>
        <v/>
      </c>
      <c r="X28" s="178" t="str">
        <f>IF(AND(observasi1!X28="",observasi2!X28=""),"",AVERAGE(observasi1!X28,observasi2!X28))</f>
        <v/>
      </c>
      <c r="Y28" s="178" t="str">
        <f>IF(AND(observasi1!Y28="",observasi2!Y28=""),"",AVERAGE(observasi1!Y28,observasi2!Y28))</f>
        <v/>
      </c>
      <c r="Z28" s="178" t="str">
        <f>IF(AND(observasi1!Z28="",observasi2!Z28=""),"",AVERAGE(observasi1!Z28,observasi2!Z28))</f>
        <v/>
      </c>
      <c r="AA28" s="178" t="str">
        <f>IF(AND(observasi1!AA28="",observasi2!AA28=""),"",AVERAGE(observasi1!AA28,observasi2!AA28))</f>
        <v/>
      </c>
      <c r="AB28" s="178" t="str">
        <f>IF(AND(observasi1!AB28="",observasi2!AB28=""),"",AVERAGE(observasi1!AB28,observasi2!AB28))</f>
        <v/>
      </c>
      <c r="AC28" s="178" t="str">
        <f>IF(AND(observasi1!AC28="",observasi2!AC28=""),"",AVERAGE(observasi1!AC28,observasi2!AC28))</f>
        <v/>
      </c>
      <c r="AD28" s="178" t="str">
        <f>IF(AND(observasi1!AD28="",observasi2!AD28=""),"",AVERAGE(observasi1!AD28,observasi2!AD28))</f>
        <v/>
      </c>
      <c r="AE28" s="178" t="str">
        <f>IF(AND(observasi1!AE28="",observasi2!AE28=""),"",AVERAGE(observasi1!AE28,observasi2!AE28))</f>
        <v/>
      </c>
      <c r="AF28" s="178" t="str">
        <f>IF(AND(observasi1!AF28="",observasi2!AF28=""),"",AVERAGE(observasi1!AF28,observasi2!AF28))</f>
        <v/>
      </c>
      <c r="AG28" s="178" t="str">
        <f>IF(AND(observasi1!AG28="",observasi2!AG28=""),"",AVERAGE(observasi1!AG28,observasi2!AG28))</f>
        <v/>
      </c>
      <c r="AH28" s="178" t="str">
        <f>IF(AND(observasi1!AH28="",observasi2!AH28=""),"",AVERAGE(observasi1!AH28,observasi2!AH28))</f>
        <v/>
      </c>
      <c r="AI28" s="178" t="str">
        <f>IF(AND(observasi1!AI28="",observasi2!AI28=""),"",AVERAGE(observasi1!AI28,observasi2!AI28))</f>
        <v/>
      </c>
      <c r="AJ28" s="178" t="str">
        <f>IF(AND(observasi1!AJ28="",observasi2!AJ28=""),"",AVERAGE(observasi1!AJ28,observasi2!AJ28))</f>
        <v/>
      </c>
      <c r="AK28" s="178" t="str">
        <f>IF(AND(observasi1!AK28="",observasi2!AK28=""),"",AVERAGE(observasi1!AK28,observasi2!AK28))</f>
        <v/>
      </c>
      <c r="AL28" s="178" t="str">
        <f>IF(AND(observasi1!AL28="",observasi2!AL28=""),"",AVERAGE(observasi1!AL28,observasi2!AL28))</f>
        <v/>
      </c>
      <c r="AM28" s="178" t="str">
        <f>IF(AND(observasi1!AM28="",observasi2!AM28=""),"",AVERAGE(observasi1!AM28,observasi2!AM28))</f>
        <v/>
      </c>
      <c r="AN28" s="178" t="str">
        <f>IF(AND(observasi1!AN28="",observasi2!AN28=""),"",AVERAGE(observasi1!AN28,observasi2!AN28))</f>
        <v/>
      </c>
      <c r="AO28" s="178" t="str">
        <f>IF(AND(observasi1!AO28="",observasi2!AO28=""),"",AVERAGE(observasi1!AO28,observasi2!AO28))</f>
        <v/>
      </c>
      <c r="AP28" s="178" t="str">
        <f>IF(AND(observasi1!AP28="",observasi2!AP28=""),"",AVERAGE(observasi1!AP28,observasi2!AP28))</f>
        <v/>
      </c>
      <c r="AQ28" s="178" t="str">
        <f>IF(AND(observasi1!AQ28="",observasi2!AQ28=""),"",AVERAGE(observasi1!AQ28,observasi2!AQ28))</f>
        <v/>
      </c>
      <c r="AR28" s="178" t="str">
        <f>IF(AND(observasi1!AR28="",observasi2!AR28=""),"",AVERAGE(observasi1!AR28,observasi2!AR28))</f>
        <v/>
      </c>
      <c r="AS28" s="178" t="str">
        <f>IF(AND(observasi1!AS28="",observasi2!AS28=""),"",AVERAGE(observasi1!AS28,observasi2!AS28))</f>
        <v/>
      </c>
      <c r="AT28" s="178" t="str">
        <f>IF(AND(observasi1!AT28="",observasi2!AT28=""),"",AVERAGE(observasi1!AT28,observasi2!AT28))</f>
        <v/>
      </c>
      <c r="AU28" s="178" t="str">
        <f>IF(AND(observasi1!AU28="",observasi2!AU28=""),"",AVERAGE(observasi1!AU28,observasi2!AU28))</f>
        <v/>
      </c>
      <c r="AV28" s="178" t="str">
        <f>IF(AND(observasi1!AV28="",observasi2!AV28=""),"",AVERAGE(observasi1!AV28,observasi2!AV28))</f>
        <v/>
      </c>
      <c r="AW28" s="178" t="str">
        <f>IF(AND(observasi1!AW28="",observasi2!AW28=""),"",AVERAGE(observasi1!AW28,observasi2!AW28))</f>
        <v/>
      </c>
      <c r="AX28" s="178" t="str">
        <f>IF(AND(observasi1!AX28="",observasi2!AX28=""),"",AVERAGE(observasi1!AX28,observasi2!AX28))</f>
        <v/>
      </c>
      <c r="AY28" s="178" t="str">
        <f>IF(AND(observasi1!AY28="",observasi2!AY28=""),"",AVERAGE(observasi1!AY28,observasi2!AY28))</f>
        <v/>
      </c>
    </row>
    <row r="29" spans="1:51">
      <c r="A29" s="625"/>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24" t="s">
        <v>10</v>
      </c>
      <c r="B30" s="164" t="s">
        <v>176</v>
      </c>
      <c r="C30" s="165" t="s">
        <v>177</v>
      </c>
      <c r="D30" s="178" t="str">
        <f>IF(AND(observasi1!D30="",observasi2!D30=""),"",AVERAGE(observasi1!D30,observasi2!D30))</f>
        <v/>
      </c>
      <c r="E30" s="178" t="str">
        <f>IF(AND(observasi1!E30="",observasi2!E30=""),"",AVERAGE(observasi1!E30,observasi2!E30))</f>
        <v/>
      </c>
      <c r="F30" s="178" t="str">
        <f>IF(AND(observasi1!F30="",observasi2!F30=""),"",AVERAGE(observasi1!F30,observasi2!F30))</f>
        <v/>
      </c>
      <c r="G30" s="178" t="str">
        <f>IF(AND(observasi1!G30="",observasi2!G30=""),"",AVERAGE(observasi1!G30,observasi2!G30))</f>
        <v/>
      </c>
      <c r="H30" s="178" t="str">
        <f>IF(AND(observasi1!H30="",observasi2!H30=""),"",AVERAGE(observasi1!H30,observasi2!H30))</f>
        <v/>
      </c>
      <c r="I30" s="178" t="str">
        <f>IF(AND(observasi1!I30="",observasi2!I30=""),"",AVERAGE(observasi1!I30,observasi2!I30))</f>
        <v/>
      </c>
      <c r="J30" s="178" t="str">
        <f>IF(AND(observasi1!J30="",observasi2!J30=""),"",AVERAGE(observasi1!J30,observasi2!J30))</f>
        <v/>
      </c>
      <c r="K30" s="178" t="str">
        <f>IF(AND(observasi1!K30="",observasi2!K30=""),"",AVERAGE(observasi1!K30,observasi2!K30))</f>
        <v/>
      </c>
      <c r="L30" s="178" t="str">
        <f>IF(AND(observasi1!L30="",observasi2!L30=""),"",AVERAGE(observasi1!L30,observasi2!L30))</f>
        <v/>
      </c>
      <c r="M30" s="178" t="str">
        <f>IF(AND(observasi1!M30="",observasi2!M30=""),"",AVERAGE(observasi1!M30,observasi2!M30))</f>
        <v/>
      </c>
      <c r="N30" s="178" t="str">
        <f>IF(AND(observasi1!N30="",observasi2!N30=""),"",AVERAGE(observasi1!N30,observasi2!N30))</f>
        <v/>
      </c>
      <c r="O30" s="178" t="str">
        <f>IF(AND(observasi1!O30="",observasi2!O30=""),"",AVERAGE(observasi1!O30,observasi2!O30))</f>
        <v/>
      </c>
      <c r="P30" s="178" t="str">
        <f>IF(AND(observasi1!P30="",observasi2!P30=""),"",AVERAGE(observasi1!P30,observasi2!P30))</f>
        <v/>
      </c>
      <c r="Q30" s="178" t="str">
        <f>IF(AND(observasi1!Q30="",observasi2!Q30=""),"",AVERAGE(observasi1!Q30,observasi2!Q30))</f>
        <v/>
      </c>
      <c r="R30" s="178" t="str">
        <f>IF(AND(observasi1!R30="",observasi2!R30=""),"",AVERAGE(observasi1!R30,observasi2!R30))</f>
        <v/>
      </c>
      <c r="S30" s="178" t="str">
        <f>IF(AND(observasi1!S30="",observasi2!S30=""),"",AVERAGE(observasi1!S30,observasi2!S30))</f>
        <v/>
      </c>
      <c r="T30" s="178" t="str">
        <f>IF(AND(observasi1!T30="",observasi2!T30=""),"",AVERAGE(observasi1!T30,observasi2!T30))</f>
        <v/>
      </c>
      <c r="U30" s="178" t="str">
        <f>IF(AND(observasi1!U30="",observasi2!U30=""),"",AVERAGE(observasi1!U30,observasi2!U30))</f>
        <v/>
      </c>
      <c r="V30" s="178" t="str">
        <f>IF(AND(observasi1!V30="",observasi2!V30=""),"",AVERAGE(observasi1!V30,observasi2!V30))</f>
        <v/>
      </c>
      <c r="W30" s="178" t="str">
        <f>IF(AND(observasi1!W30="",observasi2!W30=""),"",AVERAGE(observasi1!W30,observasi2!W30))</f>
        <v/>
      </c>
      <c r="X30" s="178" t="str">
        <f>IF(AND(observasi1!X30="",observasi2!X30=""),"",AVERAGE(observasi1!X30,observasi2!X30))</f>
        <v/>
      </c>
      <c r="Y30" s="178" t="str">
        <f>IF(AND(observasi1!Y30="",observasi2!Y30=""),"",AVERAGE(observasi1!Y30,observasi2!Y30))</f>
        <v/>
      </c>
      <c r="Z30" s="178" t="str">
        <f>IF(AND(observasi1!Z30="",observasi2!Z30=""),"",AVERAGE(observasi1!Z30,observasi2!Z30))</f>
        <v/>
      </c>
      <c r="AA30" s="178" t="str">
        <f>IF(AND(observasi1!AA30="",observasi2!AA30=""),"",AVERAGE(observasi1!AA30,observasi2!AA30))</f>
        <v/>
      </c>
      <c r="AB30" s="178" t="str">
        <f>IF(AND(observasi1!AB30="",observasi2!AB30=""),"",AVERAGE(observasi1!AB30,observasi2!AB30))</f>
        <v/>
      </c>
      <c r="AC30" s="178" t="str">
        <f>IF(AND(observasi1!AC30="",observasi2!AC30=""),"",AVERAGE(observasi1!AC30,observasi2!AC30))</f>
        <v/>
      </c>
      <c r="AD30" s="178" t="str">
        <f>IF(AND(observasi1!AD30="",observasi2!AD30=""),"",AVERAGE(observasi1!AD30,observasi2!AD30))</f>
        <v/>
      </c>
      <c r="AE30" s="178" t="str">
        <f>IF(AND(observasi1!AE30="",observasi2!AE30=""),"",AVERAGE(observasi1!AE30,observasi2!AE30))</f>
        <v/>
      </c>
      <c r="AF30" s="178" t="str">
        <f>IF(AND(observasi1!AF30="",observasi2!AF30=""),"",AVERAGE(observasi1!AF30,observasi2!AF30))</f>
        <v/>
      </c>
      <c r="AG30" s="178" t="str">
        <f>IF(AND(observasi1!AG30="",observasi2!AG30=""),"",AVERAGE(observasi1!AG30,observasi2!AG30))</f>
        <v/>
      </c>
      <c r="AH30" s="178" t="str">
        <f>IF(AND(observasi1!AH30="",observasi2!AH30=""),"",AVERAGE(observasi1!AH30,observasi2!AH30))</f>
        <v/>
      </c>
      <c r="AI30" s="178" t="str">
        <f>IF(AND(observasi1!AI30="",observasi2!AI30=""),"",AVERAGE(observasi1!AI30,observasi2!AI30))</f>
        <v/>
      </c>
      <c r="AJ30" s="178" t="str">
        <f>IF(AND(observasi1!AJ30="",observasi2!AJ30=""),"",AVERAGE(observasi1!AJ30,observasi2!AJ30))</f>
        <v/>
      </c>
      <c r="AK30" s="178" t="str">
        <f>IF(AND(observasi1!AK30="",observasi2!AK30=""),"",AVERAGE(observasi1!AK30,observasi2!AK30))</f>
        <v/>
      </c>
      <c r="AL30" s="178" t="str">
        <f>IF(AND(observasi1!AL30="",observasi2!AL30=""),"",AVERAGE(observasi1!AL30,observasi2!AL30))</f>
        <v/>
      </c>
      <c r="AM30" s="178" t="str">
        <f>IF(AND(observasi1!AM30="",observasi2!AM30=""),"",AVERAGE(observasi1!AM30,observasi2!AM30))</f>
        <v/>
      </c>
      <c r="AN30" s="178" t="str">
        <f>IF(AND(observasi1!AN30="",observasi2!AN30=""),"",AVERAGE(observasi1!AN30,observasi2!AN30))</f>
        <v/>
      </c>
      <c r="AO30" s="178" t="str">
        <f>IF(AND(observasi1!AO30="",observasi2!AO30=""),"",AVERAGE(observasi1!AO30,observasi2!AO30))</f>
        <v/>
      </c>
      <c r="AP30" s="178" t="str">
        <f>IF(AND(observasi1!AP30="",observasi2!AP30=""),"",AVERAGE(observasi1!AP30,observasi2!AP30))</f>
        <v/>
      </c>
      <c r="AQ30" s="178" t="str">
        <f>IF(AND(observasi1!AQ30="",observasi2!AQ30=""),"",AVERAGE(observasi1!AQ30,observasi2!AQ30))</f>
        <v/>
      </c>
      <c r="AR30" s="178" t="str">
        <f>IF(AND(observasi1!AR30="",observasi2!AR30=""),"",AVERAGE(observasi1!AR30,observasi2!AR30))</f>
        <v/>
      </c>
      <c r="AS30" s="178" t="str">
        <f>IF(AND(observasi1!AS30="",observasi2!AS30=""),"",AVERAGE(observasi1!AS30,observasi2!AS30))</f>
        <v/>
      </c>
      <c r="AT30" s="178" t="str">
        <f>IF(AND(observasi1!AT30="",observasi2!AT30=""),"",AVERAGE(observasi1!AT30,observasi2!AT30))</f>
        <v/>
      </c>
      <c r="AU30" s="178" t="str">
        <f>IF(AND(observasi1!AU30="",observasi2!AU30=""),"",AVERAGE(observasi1!AU30,observasi2!AU30))</f>
        <v/>
      </c>
      <c r="AV30" s="178" t="str">
        <f>IF(AND(observasi1!AV30="",observasi2!AV30=""),"",AVERAGE(observasi1!AV30,observasi2!AV30))</f>
        <v/>
      </c>
      <c r="AW30" s="178" t="str">
        <f>IF(AND(observasi1!AW30="",observasi2!AW30=""),"",AVERAGE(observasi1!AW30,observasi2!AW30))</f>
        <v/>
      </c>
      <c r="AX30" s="178" t="str">
        <f>IF(AND(observasi1!AX30="",observasi2!AX30=""),"",AVERAGE(observasi1!AX30,observasi2!AX30))</f>
        <v/>
      </c>
      <c r="AY30" s="178" t="str">
        <f>IF(AND(observasi1!AY30="",observasi2!AY30=""),"",AVERAGE(observasi1!AY30,observasi2!AY30))</f>
        <v/>
      </c>
    </row>
    <row r="31" spans="1:51">
      <c r="A31" s="624"/>
      <c r="B31" s="164" t="s">
        <v>178</v>
      </c>
      <c r="C31" s="165" t="s">
        <v>179</v>
      </c>
      <c r="D31" s="178" t="str">
        <f>IF(AND(observasi1!D31="",observasi2!D31=""),"",AVERAGE(observasi1!D31,observasi2!D31))</f>
        <v/>
      </c>
      <c r="E31" s="178" t="str">
        <f>IF(AND(observasi1!E31="",observasi2!E31=""),"",AVERAGE(observasi1!E31,observasi2!E31))</f>
        <v/>
      </c>
      <c r="F31" s="178" t="str">
        <f>IF(AND(observasi1!F31="",observasi2!F31=""),"",AVERAGE(observasi1!F31,observasi2!F31))</f>
        <v/>
      </c>
      <c r="G31" s="178" t="str">
        <f>IF(AND(observasi1!G31="",observasi2!G31=""),"",AVERAGE(observasi1!G31,observasi2!G31))</f>
        <v/>
      </c>
      <c r="H31" s="178" t="str">
        <f>IF(AND(observasi1!H31="",observasi2!H31=""),"",AVERAGE(observasi1!H31,observasi2!H31))</f>
        <v/>
      </c>
      <c r="I31" s="178" t="str">
        <f>IF(AND(observasi1!I31="",observasi2!I31=""),"",AVERAGE(observasi1!I31,observasi2!I31))</f>
        <v/>
      </c>
      <c r="J31" s="178" t="str">
        <f>IF(AND(observasi1!J31="",observasi2!J31=""),"",AVERAGE(observasi1!J31,observasi2!J31))</f>
        <v/>
      </c>
      <c r="K31" s="178" t="str">
        <f>IF(AND(observasi1!K31="",observasi2!K31=""),"",AVERAGE(observasi1!K31,observasi2!K31))</f>
        <v/>
      </c>
      <c r="L31" s="178" t="str">
        <f>IF(AND(observasi1!L31="",observasi2!L31=""),"",AVERAGE(observasi1!L31,observasi2!L31))</f>
        <v/>
      </c>
      <c r="M31" s="178" t="str">
        <f>IF(AND(observasi1!M31="",observasi2!M31=""),"",AVERAGE(observasi1!M31,observasi2!M31))</f>
        <v/>
      </c>
      <c r="N31" s="178" t="str">
        <f>IF(AND(observasi1!N31="",observasi2!N31=""),"",AVERAGE(observasi1!N31,observasi2!N31))</f>
        <v/>
      </c>
      <c r="O31" s="178" t="str">
        <f>IF(AND(observasi1!O31="",observasi2!O31=""),"",AVERAGE(observasi1!O31,observasi2!O31))</f>
        <v/>
      </c>
      <c r="P31" s="178" t="str">
        <f>IF(AND(observasi1!P31="",observasi2!P31=""),"",AVERAGE(observasi1!P31,observasi2!P31))</f>
        <v/>
      </c>
      <c r="Q31" s="178" t="str">
        <f>IF(AND(observasi1!Q31="",observasi2!Q31=""),"",AVERAGE(observasi1!Q31,observasi2!Q31))</f>
        <v/>
      </c>
      <c r="R31" s="178" t="str">
        <f>IF(AND(observasi1!R31="",observasi2!R31=""),"",AVERAGE(observasi1!R31,observasi2!R31))</f>
        <v/>
      </c>
      <c r="S31" s="178" t="str">
        <f>IF(AND(observasi1!S31="",observasi2!S31=""),"",AVERAGE(observasi1!S31,observasi2!S31))</f>
        <v/>
      </c>
      <c r="T31" s="178" t="str">
        <f>IF(AND(observasi1!T31="",observasi2!T31=""),"",AVERAGE(observasi1!T31,observasi2!T31))</f>
        <v/>
      </c>
      <c r="U31" s="178" t="str">
        <f>IF(AND(observasi1!U31="",observasi2!U31=""),"",AVERAGE(observasi1!U31,observasi2!U31))</f>
        <v/>
      </c>
      <c r="V31" s="178" t="str">
        <f>IF(AND(observasi1!V31="",observasi2!V31=""),"",AVERAGE(observasi1!V31,observasi2!V31))</f>
        <v/>
      </c>
      <c r="W31" s="178" t="str">
        <f>IF(AND(observasi1!W31="",observasi2!W31=""),"",AVERAGE(observasi1!W31,observasi2!W31))</f>
        <v/>
      </c>
      <c r="X31" s="178" t="str">
        <f>IF(AND(observasi1!X31="",observasi2!X31=""),"",AVERAGE(observasi1!X31,observasi2!X31))</f>
        <v/>
      </c>
      <c r="Y31" s="178" t="str">
        <f>IF(AND(observasi1!Y31="",observasi2!Y31=""),"",AVERAGE(observasi1!Y31,observasi2!Y31))</f>
        <v/>
      </c>
      <c r="Z31" s="178" t="str">
        <f>IF(AND(observasi1!Z31="",observasi2!Z31=""),"",AVERAGE(observasi1!Z31,observasi2!Z31))</f>
        <v/>
      </c>
      <c r="AA31" s="178" t="str">
        <f>IF(AND(observasi1!AA31="",observasi2!AA31=""),"",AVERAGE(observasi1!AA31,observasi2!AA31))</f>
        <v/>
      </c>
      <c r="AB31" s="178" t="str">
        <f>IF(AND(observasi1!AB31="",observasi2!AB31=""),"",AVERAGE(observasi1!AB31,observasi2!AB31))</f>
        <v/>
      </c>
      <c r="AC31" s="178" t="str">
        <f>IF(AND(observasi1!AC31="",observasi2!AC31=""),"",AVERAGE(observasi1!AC31,observasi2!AC31))</f>
        <v/>
      </c>
      <c r="AD31" s="178" t="str">
        <f>IF(AND(observasi1!AD31="",observasi2!AD31=""),"",AVERAGE(observasi1!AD31,observasi2!AD31))</f>
        <v/>
      </c>
      <c r="AE31" s="178" t="str">
        <f>IF(AND(observasi1!AE31="",observasi2!AE31=""),"",AVERAGE(observasi1!AE31,observasi2!AE31))</f>
        <v/>
      </c>
      <c r="AF31" s="178" t="str">
        <f>IF(AND(observasi1!AF31="",observasi2!AF31=""),"",AVERAGE(observasi1!AF31,observasi2!AF31))</f>
        <v/>
      </c>
      <c r="AG31" s="178" t="str">
        <f>IF(AND(observasi1!AG31="",observasi2!AG31=""),"",AVERAGE(observasi1!AG31,observasi2!AG31))</f>
        <v/>
      </c>
      <c r="AH31" s="178" t="str">
        <f>IF(AND(observasi1!AH31="",observasi2!AH31=""),"",AVERAGE(observasi1!AH31,observasi2!AH31))</f>
        <v/>
      </c>
      <c r="AI31" s="178" t="str">
        <f>IF(AND(observasi1!AI31="",observasi2!AI31=""),"",AVERAGE(observasi1!AI31,observasi2!AI31))</f>
        <v/>
      </c>
      <c r="AJ31" s="178" t="str">
        <f>IF(AND(observasi1!AJ31="",observasi2!AJ31=""),"",AVERAGE(observasi1!AJ31,observasi2!AJ31))</f>
        <v/>
      </c>
      <c r="AK31" s="178" t="str">
        <f>IF(AND(observasi1!AK31="",observasi2!AK31=""),"",AVERAGE(observasi1!AK31,observasi2!AK31))</f>
        <v/>
      </c>
      <c r="AL31" s="178" t="str">
        <f>IF(AND(observasi1!AL31="",observasi2!AL31=""),"",AVERAGE(observasi1!AL31,observasi2!AL31))</f>
        <v/>
      </c>
      <c r="AM31" s="178" t="str">
        <f>IF(AND(observasi1!AM31="",observasi2!AM31=""),"",AVERAGE(observasi1!AM31,observasi2!AM31))</f>
        <v/>
      </c>
      <c r="AN31" s="178" t="str">
        <f>IF(AND(observasi1!AN31="",observasi2!AN31=""),"",AVERAGE(observasi1!AN31,observasi2!AN31))</f>
        <v/>
      </c>
      <c r="AO31" s="178" t="str">
        <f>IF(AND(observasi1!AO31="",observasi2!AO31=""),"",AVERAGE(observasi1!AO31,observasi2!AO31))</f>
        <v/>
      </c>
      <c r="AP31" s="178" t="str">
        <f>IF(AND(observasi1!AP31="",observasi2!AP31=""),"",AVERAGE(observasi1!AP31,observasi2!AP31))</f>
        <v/>
      </c>
      <c r="AQ31" s="178" t="str">
        <f>IF(AND(observasi1!AQ31="",observasi2!AQ31=""),"",AVERAGE(observasi1!AQ31,observasi2!AQ31))</f>
        <v/>
      </c>
      <c r="AR31" s="178" t="str">
        <f>IF(AND(observasi1!AR31="",observasi2!AR31=""),"",AVERAGE(observasi1!AR31,observasi2!AR31))</f>
        <v/>
      </c>
      <c r="AS31" s="178" t="str">
        <f>IF(AND(observasi1!AS31="",observasi2!AS31=""),"",AVERAGE(observasi1!AS31,observasi2!AS31))</f>
        <v/>
      </c>
      <c r="AT31" s="178" t="str">
        <f>IF(AND(observasi1!AT31="",observasi2!AT31=""),"",AVERAGE(observasi1!AT31,observasi2!AT31))</f>
        <v/>
      </c>
      <c r="AU31" s="178" t="str">
        <f>IF(AND(observasi1!AU31="",observasi2!AU31=""),"",AVERAGE(observasi1!AU31,observasi2!AU31))</f>
        <v/>
      </c>
      <c r="AV31" s="178" t="str">
        <f>IF(AND(observasi1!AV31="",observasi2!AV31=""),"",AVERAGE(observasi1!AV31,observasi2!AV31))</f>
        <v/>
      </c>
      <c r="AW31" s="178" t="str">
        <f>IF(AND(observasi1!AW31="",observasi2!AW31=""),"",AVERAGE(observasi1!AW31,observasi2!AW31))</f>
        <v/>
      </c>
      <c r="AX31" s="178" t="str">
        <f>IF(AND(observasi1!AX31="",observasi2!AX31=""),"",AVERAGE(observasi1!AX31,observasi2!AX31))</f>
        <v/>
      </c>
      <c r="AY31" s="178" t="str">
        <f>IF(AND(observasi1!AY31="",observasi2!AY31=""),"",AVERAGE(observasi1!AY31,observasi2!AY31))</f>
        <v/>
      </c>
    </row>
    <row r="32" spans="1:51">
      <c r="A32" s="624"/>
      <c r="B32" s="164" t="s">
        <v>180</v>
      </c>
      <c r="C32" s="165" t="s">
        <v>181</v>
      </c>
      <c r="D32" s="178" t="str">
        <f>IF(AND(observasi1!D32="",observasi2!D32=""),"",AVERAGE(observasi1!D32,observasi2!D32))</f>
        <v/>
      </c>
      <c r="E32" s="178" t="str">
        <f>IF(AND(observasi1!E32="",observasi2!E32=""),"",AVERAGE(observasi1!E32,observasi2!E32))</f>
        <v/>
      </c>
      <c r="F32" s="178" t="str">
        <f>IF(AND(observasi1!F32="",observasi2!F32=""),"",AVERAGE(observasi1!F32,observasi2!F32))</f>
        <v/>
      </c>
      <c r="G32" s="178" t="str">
        <f>IF(AND(observasi1!G32="",observasi2!G32=""),"",AVERAGE(observasi1!G32,observasi2!G32))</f>
        <v/>
      </c>
      <c r="H32" s="178" t="str">
        <f>IF(AND(observasi1!H32="",observasi2!H32=""),"",AVERAGE(observasi1!H32,observasi2!H32))</f>
        <v/>
      </c>
      <c r="I32" s="178" t="str">
        <f>IF(AND(observasi1!I32="",observasi2!I32=""),"",AVERAGE(observasi1!I32,observasi2!I32))</f>
        <v/>
      </c>
      <c r="J32" s="178" t="str">
        <f>IF(AND(observasi1!J32="",observasi2!J32=""),"",AVERAGE(observasi1!J32,observasi2!J32))</f>
        <v/>
      </c>
      <c r="K32" s="178" t="str">
        <f>IF(AND(observasi1!K32="",observasi2!K32=""),"",AVERAGE(observasi1!K32,observasi2!K32))</f>
        <v/>
      </c>
      <c r="L32" s="178" t="str">
        <f>IF(AND(observasi1!L32="",observasi2!L32=""),"",AVERAGE(observasi1!L32,observasi2!L32))</f>
        <v/>
      </c>
      <c r="M32" s="178" t="str">
        <f>IF(AND(observasi1!M32="",observasi2!M32=""),"",AVERAGE(observasi1!M32,observasi2!M32))</f>
        <v/>
      </c>
      <c r="N32" s="178" t="str">
        <f>IF(AND(observasi1!N32="",observasi2!N32=""),"",AVERAGE(observasi1!N32,observasi2!N32))</f>
        <v/>
      </c>
      <c r="O32" s="178" t="str">
        <f>IF(AND(observasi1!O32="",observasi2!O32=""),"",AVERAGE(observasi1!O32,observasi2!O32))</f>
        <v/>
      </c>
      <c r="P32" s="178" t="str">
        <f>IF(AND(observasi1!P32="",observasi2!P32=""),"",AVERAGE(observasi1!P32,observasi2!P32))</f>
        <v/>
      </c>
      <c r="Q32" s="178" t="str">
        <f>IF(AND(observasi1!Q32="",observasi2!Q32=""),"",AVERAGE(observasi1!Q32,observasi2!Q32))</f>
        <v/>
      </c>
      <c r="R32" s="178" t="str">
        <f>IF(AND(observasi1!R32="",observasi2!R32=""),"",AVERAGE(observasi1!R32,observasi2!R32))</f>
        <v/>
      </c>
      <c r="S32" s="178" t="str">
        <f>IF(AND(observasi1!S32="",observasi2!S32=""),"",AVERAGE(observasi1!S32,observasi2!S32))</f>
        <v/>
      </c>
      <c r="T32" s="178" t="str">
        <f>IF(AND(observasi1!T32="",observasi2!T32=""),"",AVERAGE(observasi1!T32,observasi2!T32))</f>
        <v/>
      </c>
      <c r="U32" s="178" t="str">
        <f>IF(AND(observasi1!U32="",observasi2!U32=""),"",AVERAGE(observasi1!U32,observasi2!U32))</f>
        <v/>
      </c>
      <c r="V32" s="178" t="str">
        <f>IF(AND(observasi1!V32="",observasi2!V32=""),"",AVERAGE(observasi1!V32,observasi2!V32))</f>
        <v/>
      </c>
      <c r="W32" s="178" t="str">
        <f>IF(AND(observasi1!W32="",observasi2!W32=""),"",AVERAGE(observasi1!W32,observasi2!W32))</f>
        <v/>
      </c>
      <c r="X32" s="178" t="str">
        <f>IF(AND(observasi1!X32="",observasi2!X32=""),"",AVERAGE(observasi1!X32,observasi2!X32))</f>
        <v/>
      </c>
      <c r="Y32" s="178" t="str">
        <f>IF(AND(observasi1!Y32="",observasi2!Y32=""),"",AVERAGE(observasi1!Y32,observasi2!Y32))</f>
        <v/>
      </c>
      <c r="Z32" s="178" t="str">
        <f>IF(AND(observasi1!Z32="",observasi2!Z32=""),"",AVERAGE(observasi1!Z32,observasi2!Z32))</f>
        <v/>
      </c>
      <c r="AA32" s="178" t="str">
        <f>IF(AND(observasi1!AA32="",observasi2!AA32=""),"",AVERAGE(observasi1!AA32,observasi2!AA32))</f>
        <v/>
      </c>
      <c r="AB32" s="178" t="str">
        <f>IF(AND(observasi1!AB32="",observasi2!AB32=""),"",AVERAGE(observasi1!AB32,observasi2!AB32))</f>
        <v/>
      </c>
      <c r="AC32" s="178" t="str">
        <f>IF(AND(observasi1!AC32="",observasi2!AC32=""),"",AVERAGE(observasi1!AC32,observasi2!AC32))</f>
        <v/>
      </c>
      <c r="AD32" s="178" t="str">
        <f>IF(AND(observasi1!AD32="",observasi2!AD32=""),"",AVERAGE(observasi1!AD32,observasi2!AD32))</f>
        <v/>
      </c>
      <c r="AE32" s="178" t="str">
        <f>IF(AND(observasi1!AE32="",observasi2!AE32=""),"",AVERAGE(observasi1!AE32,observasi2!AE32))</f>
        <v/>
      </c>
      <c r="AF32" s="178" t="str">
        <f>IF(AND(observasi1!AF32="",observasi2!AF32=""),"",AVERAGE(observasi1!AF32,observasi2!AF32))</f>
        <v/>
      </c>
      <c r="AG32" s="178" t="str">
        <f>IF(AND(observasi1!AG32="",observasi2!AG32=""),"",AVERAGE(observasi1!AG32,observasi2!AG32))</f>
        <v/>
      </c>
      <c r="AH32" s="178" t="str">
        <f>IF(AND(observasi1!AH32="",observasi2!AH32=""),"",AVERAGE(observasi1!AH32,observasi2!AH32))</f>
        <v/>
      </c>
      <c r="AI32" s="178" t="str">
        <f>IF(AND(observasi1!AI32="",observasi2!AI32=""),"",AVERAGE(observasi1!AI32,observasi2!AI32))</f>
        <v/>
      </c>
      <c r="AJ32" s="178" t="str">
        <f>IF(AND(observasi1!AJ32="",observasi2!AJ32=""),"",AVERAGE(observasi1!AJ32,observasi2!AJ32))</f>
        <v/>
      </c>
      <c r="AK32" s="178" t="str">
        <f>IF(AND(observasi1!AK32="",observasi2!AK32=""),"",AVERAGE(observasi1!AK32,observasi2!AK32))</f>
        <v/>
      </c>
      <c r="AL32" s="178" t="str">
        <f>IF(AND(observasi1!AL32="",observasi2!AL32=""),"",AVERAGE(observasi1!AL32,observasi2!AL32))</f>
        <v/>
      </c>
      <c r="AM32" s="178" t="str">
        <f>IF(AND(observasi1!AM32="",observasi2!AM32=""),"",AVERAGE(observasi1!AM32,observasi2!AM32))</f>
        <v/>
      </c>
      <c r="AN32" s="178" t="str">
        <f>IF(AND(observasi1!AN32="",observasi2!AN32=""),"",AVERAGE(observasi1!AN32,observasi2!AN32))</f>
        <v/>
      </c>
      <c r="AO32" s="178" t="str">
        <f>IF(AND(observasi1!AO32="",observasi2!AO32=""),"",AVERAGE(observasi1!AO32,observasi2!AO32))</f>
        <v/>
      </c>
      <c r="AP32" s="178" t="str">
        <f>IF(AND(observasi1!AP32="",observasi2!AP32=""),"",AVERAGE(observasi1!AP32,observasi2!AP32))</f>
        <v/>
      </c>
      <c r="AQ32" s="178" t="str">
        <f>IF(AND(observasi1!AQ32="",observasi2!AQ32=""),"",AVERAGE(observasi1!AQ32,observasi2!AQ32))</f>
        <v/>
      </c>
      <c r="AR32" s="178" t="str">
        <f>IF(AND(observasi1!AR32="",observasi2!AR32=""),"",AVERAGE(observasi1!AR32,observasi2!AR32))</f>
        <v/>
      </c>
      <c r="AS32" s="178" t="str">
        <f>IF(AND(observasi1!AS32="",observasi2!AS32=""),"",AVERAGE(observasi1!AS32,observasi2!AS32))</f>
        <v/>
      </c>
      <c r="AT32" s="178" t="str">
        <f>IF(AND(observasi1!AT32="",observasi2!AT32=""),"",AVERAGE(observasi1!AT32,observasi2!AT32))</f>
        <v/>
      </c>
      <c r="AU32" s="178" t="str">
        <f>IF(AND(observasi1!AU32="",observasi2!AU32=""),"",AVERAGE(observasi1!AU32,observasi2!AU32))</f>
        <v/>
      </c>
      <c r="AV32" s="178" t="str">
        <f>IF(AND(observasi1!AV32="",observasi2!AV32=""),"",AVERAGE(observasi1!AV32,observasi2!AV32))</f>
        <v/>
      </c>
      <c r="AW32" s="178" t="str">
        <f>IF(AND(observasi1!AW32="",observasi2!AW32=""),"",AVERAGE(observasi1!AW32,observasi2!AW32))</f>
        <v/>
      </c>
      <c r="AX32" s="178" t="str">
        <f>IF(AND(observasi1!AX32="",observasi2!AX32=""),"",AVERAGE(observasi1!AX32,observasi2!AX32))</f>
        <v/>
      </c>
      <c r="AY32" s="178" t="str">
        <f>IF(AND(observasi1!AY32="",observasi2!AY32=""),"",AVERAGE(observasi1!AY32,observasi2!AY32))</f>
        <v/>
      </c>
    </row>
    <row r="33" spans="1:51">
      <c r="A33" s="624"/>
      <c r="B33" s="164" t="s">
        <v>182</v>
      </c>
      <c r="C33" s="165" t="s">
        <v>82</v>
      </c>
      <c r="D33" s="178" t="str">
        <f>IF(AND(observasi1!D33="",observasi2!D33=""),"",AVERAGE(observasi1!D33,observasi2!D33))</f>
        <v/>
      </c>
      <c r="E33" s="178" t="str">
        <f>IF(AND(observasi1!E33="",observasi2!E33=""),"",AVERAGE(observasi1!E33,observasi2!E33))</f>
        <v/>
      </c>
      <c r="F33" s="178" t="str">
        <f>IF(AND(observasi1!F33="",observasi2!F33=""),"",AVERAGE(observasi1!F33,observasi2!F33))</f>
        <v/>
      </c>
      <c r="G33" s="178" t="str">
        <f>IF(AND(observasi1!G33="",observasi2!G33=""),"",AVERAGE(observasi1!G33,observasi2!G33))</f>
        <v/>
      </c>
      <c r="H33" s="178" t="str">
        <f>IF(AND(observasi1!H33="",observasi2!H33=""),"",AVERAGE(observasi1!H33,observasi2!H33))</f>
        <v/>
      </c>
      <c r="I33" s="178" t="str">
        <f>IF(AND(observasi1!I33="",observasi2!I33=""),"",AVERAGE(observasi1!I33,observasi2!I33))</f>
        <v/>
      </c>
      <c r="J33" s="178" t="str">
        <f>IF(AND(observasi1!J33="",observasi2!J33=""),"",AVERAGE(observasi1!J33,observasi2!J33))</f>
        <v/>
      </c>
      <c r="K33" s="178" t="str">
        <f>IF(AND(observasi1!K33="",observasi2!K33=""),"",AVERAGE(observasi1!K33,observasi2!K33))</f>
        <v/>
      </c>
      <c r="L33" s="178" t="str">
        <f>IF(AND(observasi1!L33="",observasi2!L33=""),"",AVERAGE(observasi1!L33,observasi2!L33))</f>
        <v/>
      </c>
      <c r="M33" s="178" t="str">
        <f>IF(AND(observasi1!M33="",observasi2!M33=""),"",AVERAGE(observasi1!M33,observasi2!M33))</f>
        <v/>
      </c>
      <c r="N33" s="178" t="str">
        <f>IF(AND(observasi1!N33="",observasi2!N33=""),"",AVERAGE(observasi1!N33,observasi2!N33))</f>
        <v/>
      </c>
      <c r="O33" s="178" t="str">
        <f>IF(AND(observasi1!O33="",observasi2!O33=""),"",AVERAGE(observasi1!O33,observasi2!O33))</f>
        <v/>
      </c>
      <c r="P33" s="178" t="str">
        <f>IF(AND(observasi1!P33="",observasi2!P33=""),"",AVERAGE(observasi1!P33,observasi2!P33))</f>
        <v/>
      </c>
      <c r="Q33" s="178" t="str">
        <f>IF(AND(observasi1!Q33="",observasi2!Q33=""),"",AVERAGE(observasi1!Q33,observasi2!Q33))</f>
        <v/>
      </c>
      <c r="R33" s="178" t="str">
        <f>IF(AND(observasi1!R33="",observasi2!R33=""),"",AVERAGE(observasi1!R33,observasi2!R33))</f>
        <v/>
      </c>
      <c r="S33" s="178" t="str">
        <f>IF(AND(observasi1!S33="",observasi2!S33=""),"",AVERAGE(observasi1!S33,observasi2!S33))</f>
        <v/>
      </c>
      <c r="T33" s="178" t="str">
        <f>IF(AND(observasi1!T33="",observasi2!T33=""),"",AVERAGE(observasi1!T33,observasi2!T33))</f>
        <v/>
      </c>
      <c r="U33" s="178" t="str">
        <f>IF(AND(observasi1!U33="",observasi2!U33=""),"",AVERAGE(observasi1!U33,observasi2!U33))</f>
        <v/>
      </c>
      <c r="V33" s="178" t="str">
        <f>IF(AND(observasi1!V33="",observasi2!V33=""),"",AVERAGE(observasi1!V33,observasi2!V33))</f>
        <v/>
      </c>
      <c r="W33" s="178" t="str">
        <f>IF(AND(observasi1!W33="",observasi2!W33=""),"",AVERAGE(observasi1!W33,observasi2!W33))</f>
        <v/>
      </c>
      <c r="X33" s="178" t="str">
        <f>IF(AND(observasi1!X33="",observasi2!X33=""),"",AVERAGE(observasi1!X33,observasi2!X33))</f>
        <v/>
      </c>
      <c r="Y33" s="178" t="str">
        <f>IF(AND(observasi1!Y33="",observasi2!Y33=""),"",AVERAGE(observasi1!Y33,observasi2!Y33))</f>
        <v/>
      </c>
      <c r="Z33" s="178" t="str">
        <f>IF(AND(observasi1!Z33="",observasi2!Z33=""),"",AVERAGE(observasi1!Z33,observasi2!Z33))</f>
        <v/>
      </c>
      <c r="AA33" s="178" t="str">
        <f>IF(AND(observasi1!AA33="",observasi2!AA33=""),"",AVERAGE(observasi1!AA33,observasi2!AA33))</f>
        <v/>
      </c>
      <c r="AB33" s="178" t="str">
        <f>IF(AND(observasi1!AB33="",observasi2!AB33=""),"",AVERAGE(observasi1!AB33,observasi2!AB33))</f>
        <v/>
      </c>
      <c r="AC33" s="178" t="str">
        <f>IF(AND(observasi1!AC33="",observasi2!AC33=""),"",AVERAGE(observasi1!AC33,observasi2!AC33))</f>
        <v/>
      </c>
      <c r="AD33" s="178" t="str">
        <f>IF(AND(observasi1!AD33="",observasi2!AD33=""),"",AVERAGE(observasi1!AD33,observasi2!AD33))</f>
        <v/>
      </c>
      <c r="AE33" s="178" t="str">
        <f>IF(AND(observasi1!AE33="",observasi2!AE33=""),"",AVERAGE(observasi1!AE33,observasi2!AE33))</f>
        <v/>
      </c>
      <c r="AF33" s="178" t="str">
        <f>IF(AND(observasi1!AF33="",observasi2!AF33=""),"",AVERAGE(observasi1!AF33,observasi2!AF33))</f>
        <v/>
      </c>
      <c r="AG33" s="178" t="str">
        <f>IF(AND(observasi1!AG33="",observasi2!AG33=""),"",AVERAGE(observasi1!AG33,observasi2!AG33))</f>
        <v/>
      </c>
      <c r="AH33" s="178" t="str">
        <f>IF(AND(observasi1!AH33="",observasi2!AH33=""),"",AVERAGE(observasi1!AH33,observasi2!AH33))</f>
        <v/>
      </c>
      <c r="AI33" s="178" t="str">
        <f>IF(AND(observasi1!AI33="",observasi2!AI33=""),"",AVERAGE(observasi1!AI33,observasi2!AI33))</f>
        <v/>
      </c>
      <c r="AJ33" s="178" t="str">
        <f>IF(AND(observasi1!AJ33="",observasi2!AJ33=""),"",AVERAGE(observasi1!AJ33,observasi2!AJ33))</f>
        <v/>
      </c>
      <c r="AK33" s="178" t="str">
        <f>IF(AND(observasi1!AK33="",observasi2!AK33=""),"",AVERAGE(observasi1!AK33,observasi2!AK33))</f>
        <v/>
      </c>
      <c r="AL33" s="178" t="str">
        <f>IF(AND(observasi1!AL33="",observasi2!AL33=""),"",AVERAGE(observasi1!AL33,observasi2!AL33))</f>
        <v/>
      </c>
      <c r="AM33" s="178" t="str">
        <f>IF(AND(observasi1!AM33="",observasi2!AM33=""),"",AVERAGE(observasi1!AM33,observasi2!AM33))</f>
        <v/>
      </c>
      <c r="AN33" s="178" t="str">
        <f>IF(AND(observasi1!AN33="",observasi2!AN33=""),"",AVERAGE(observasi1!AN33,observasi2!AN33))</f>
        <v/>
      </c>
      <c r="AO33" s="178" t="str">
        <f>IF(AND(observasi1!AO33="",observasi2!AO33=""),"",AVERAGE(observasi1!AO33,observasi2!AO33))</f>
        <v/>
      </c>
      <c r="AP33" s="178" t="str">
        <f>IF(AND(observasi1!AP33="",observasi2!AP33=""),"",AVERAGE(observasi1!AP33,observasi2!AP33))</f>
        <v/>
      </c>
      <c r="AQ33" s="178" t="str">
        <f>IF(AND(observasi1!AQ33="",observasi2!AQ33=""),"",AVERAGE(observasi1!AQ33,observasi2!AQ33))</f>
        <v/>
      </c>
      <c r="AR33" s="178" t="str">
        <f>IF(AND(observasi1!AR33="",observasi2!AR33=""),"",AVERAGE(observasi1!AR33,observasi2!AR33))</f>
        <v/>
      </c>
      <c r="AS33" s="178" t="str">
        <f>IF(AND(observasi1!AS33="",observasi2!AS33=""),"",AVERAGE(observasi1!AS33,observasi2!AS33))</f>
        <v/>
      </c>
      <c r="AT33" s="178" t="str">
        <f>IF(AND(observasi1!AT33="",observasi2!AT33=""),"",AVERAGE(observasi1!AT33,observasi2!AT33))</f>
        <v/>
      </c>
      <c r="AU33" s="178" t="str">
        <f>IF(AND(observasi1!AU33="",observasi2!AU33=""),"",AVERAGE(observasi1!AU33,observasi2!AU33))</f>
        <v/>
      </c>
      <c r="AV33" s="178" t="str">
        <f>IF(AND(observasi1!AV33="",observasi2!AV33=""),"",AVERAGE(observasi1!AV33,observasi2!AV33))</f>
        <v/>
      </c>
      <c r="AW33" s="178" t="str">
        <f>IF(AND(observasi1!AW33="",observasi2!AW33=""),"",AVERAGE(observasi1!AW33,observasi2!AW33))</f>
        <v/>
      </c>
      <c r="AX33" s="178" t="str">
        <f>IF(AND(observasi1!AX33="",observasi2!AX33=""),"",AVERAGE(observasi1!AX33,observasi2!AX33))</f>
        <v/>
      </c>
      <c r="AY33" s="178" t="str">
        <f>IF(AND(observasi1!AY33="",observasi2!AY33=""),"",AVERAGE(observasi1!AY33,observasi2!AY33))</f>
        <v/>
      </c>
    </row>
    <row r="34" spans="1:51">
      <c r="A34" s="624"/>
      <c r="B34" s="164" t="s">
        <v>183</v>
      </c>
      <c r="C34" s="165" t="s">
        <v>83</v>
      </c>
      <c r="D34" s="178" t="str">
        <f>IF(AND(observasi1!D34="",observasi2!D34=""),"",AVERAGE(observasi1!D34,observasi2!D34))</f>
        <v/>
      </c>
      <c r="E34" s="178" t="str">
        <f>IF(AND(observasi1!E34="",observasi2!E34=""),"",AVERAGE(observasi1!E34,observasi2!E34))</f>
        <v/>
      </c>
      <c r="F34" s="178" t="str">
        <f>IF(AND(observasi1!F34="",observasi2!F34=""),"",AVERAGE(observasi1!F34,observasi2!F34))</f>
        <v/>
      </c>
      <c r="G34" s="178" t="str">
        <f>IF(AND(observasi1!G34="",observasi2!G34=""),"",AVERAGE(observasi1!G34,observasi2!G34))</f>
        <v/>
      </c>
      <c r="H34" s="178" t="str">
        <f>IF(AND(observasi1!H34="",observasi2!H34=""),"",AVERAGE(observasi1!H34,observasi2!H34))</f>
        <v/>
      </c>
      <c r="I34" s="178" t="str">
        <f>IF(AND(observasi1!I34="",observasi2!I34=""),"",AVERAGE(observasi1!I34,observasi2!I34))</f>
        <v/>
      </c>
      <c r="J34" s="178" t="str">
        <f>IF(AND(observasi1!J34="",observasi2!J34=""),"",AVERAGE(observasi1!J34,observasi2!J34))</f>
        <v/>
      </c>
      <c r="K34" s="178" t="str">
        <f>IF(AND(observasi1!K34="",observasi2!K34=""),"",AVERAGE(observasi1!K34,observasi2!K34))</f>
        <v/>
      </c>
      <c r="L34" s="178" t="str">
        <f>IF(AND(observasi1!L34="",observasi2!L34=""),"",AVERAGE(observasi1!L34,observasi2!L34))</f>
        <v/>
      </c>
      <c r="M34" s="178" t="str">
        <f>IF(AND(observasi1!M34="",observasi2!M34=""),"",AVERAGE(observasi1!M34,observasi2!M34))</f>
        <v/>
      </c>
      <c r="N34" s="178" t="str">
        <f>IF(AND(observasi1!N34="",observasi2!N34=""),"",AVERAGE(observasi1!N34,observasi2!N34))</f>
        <v/>
      </c>
      <c r="O34" s="178" t="str">
        <f>IF(AND(observasi1!O34="",observasi2!O34=""),"",AVERAGE(observasi1!O34,observasi2!O34))</f>
        <v/>
      </c>
      <c r="P34" s="178" t="str">
        <f>IF(AND(observasi1!P34="",observasi2!P34=""),"",AVERAGE(observasi1!P34,observasi2!P34))</f>
        <v/>
      </c>
      <c r="Q34" s="178" t="str">
        <f>IF(AND(observasi1!Q34="",observasi2!Q34=""),"",AVERAGE(observasi1!Q34,observasi2!Q34))</f>
        <v/>
      </c>
      <c r="R34" s="178" t="str">
        <f>IF(AND(observasi1!R34="",observasi2!R34=""),"",AVERAGE(observasi1!R34,observasi2!R34))</f>
        <v/>
      </c>
      <c r="S34" s="178" t="str">
        <f>IF(AND(observasi1!S34="",observasi2!S34=""),"",AVERAGE(observasi1!S34,observasi2!S34))</f>
        <v/>
      </c>
      <c r="T34" s="178" t="str">
        <f>IF(AND(observasi1!T34="",observasi2!T34=""),"",AVERAGE(observasi1!T34,observasi2!T34))</f>
        <v/>
      </c>
      <c r="U34" s="178" t="str">
        <f>IF(AND(observasi1!U34="",observasi2!U34=""),"",AVERAGE(observasi1!U34,observasi2!U34))</f>
        <v/>
      </c>
      <c r="V34" s="178" t="str">
        <f>IF(AND(observasi1!V34="",observasi2!V34=""),"",AVERAGE(observasi1!V34,observasi2!V34))</f>
        <v/>
      </c>
      <c r="W34" s="178" t="str">
        <f>IF(AND(observasi1!W34="",observasi2!W34=""),"",AVERAGE(observasi1!W34,observasi2!W34))</f>
        <v/>
      </c>
      <c r="X34" s="178" t="str">
        <f>IF(AND(observasi1!X34="",observasi2!X34=""),"",AVERAGE(observasi1!X34,observasi2!X34))</f>
        <v/>
      </c>
      <c r="Y34" s="178" t="str">
        <f>IF(AND(observasi1!Y34="",observasi2!Y34=""),"",AVERAGE(observasi1!Y34,observasi2!Y34))</f>
        <v/>
      </c>
      <c r="Z34" s="178" t="str">
        <f>IF(AND(observasi1!Z34="",observasi2!Z34=""),"",AVERAGE(observasi1!Z34,observasi2!Z34))</f>
        <v/>
      </c>
      <c r="AA34" s="178" t="str">
        <f>IF(AND(observasi1!AA34="",observasi2!AA34=""),"",AVERAGE(observasi1!AA34,observasi2!AA34))</f>
        <v/>
      </c>
      <c r="AB34" s="178" t="str">
        <f>IF(AND(observasi1!AB34="",observasi2!AB34=""),"",AVERAGE(observasi1!AB34,observasi2!AB34))</f>
        <v/>
      </c>
      <c r="AC34" s="178" t="str">
        <f>IF(AND(observasi1!AC34="",observasi2!AC34=""),"",AVERAGE(observasi1!AC34,observasi2!AC34))</f>
        <v/>
      </c>
      <c r="AD34" s="178" t="str">
        <f>IF(AND(observasi1!AD34="",observasi2!AD34=""),"",AVERAGE(observasi1!AD34,observasi2!AD34))</f>
        <v/>
      </c>
      <c r="AE34" s="178" t="str">
        <f>IF(AND(observasi1!AE34="",observasi2!AE34=""),"",AVERAGE(observasi1!AE34,observasi2!AE34))</f>
        <v/>
      </c>
      <c r="AF34" s="178" t="str">
        <f>IF(AND(observasi1!AF34="",observasi2!AF34=""),"",AVERAGE(observasi1!AF34,observasi2!AF34))</f>
        <v/>
      </c>
      <c r="AG34" s="178" t="str">
        <f>IF(AND(observasi1!AG34="",observasi2!AG34=""),"",AVERAGE(observasi1!AG34,observasi2!AG34))</f>
        <v/>
      </c>
      <c r="AH34" s="178" t="str">
        <f>IF(AND(observasi1!AH34="",observasi2!AH34=""),"",AVERAGE(observasi1!AH34,observasi2!AH34))</f>
        <v/>
      </c>
      <c r="AI34" s="178" t="str">
        <f>IF(AND(observasi1!AI34="",observasi2!AI34=""),"",AVERAGE(observasi1!AI34,observasi2!AI34))</f>
        <v/>
      </c>
      <c r="AJ34" s="178" t="str">
        <f>IF(AND(observasi1!AJ34="",observasi2!AJ34=""),"",AVERAGE(observasi1!AJ34,observasi2!AJ34))</f>
        <v/>
      </c>
      <c r="AK34" s="178" t="str">
        <f>IF(AND(observasi1!AK34="",observasi2!AK34=""),"",AVERAGE(observasi1!AK34,observasi2!AK34))</f>
        <v/>
      </c>
      <c r="AL34" s="178" t="str">
        <f>IF(AND(observasi1!AL34="",observasi2!AL34=""),"",AVERAGE(observasi1!AL34,observasi2!AL34))</f>
        <v/>
      </c>
      <c r="AM34" s="178" t="str">
        <f>IF(AND(observasi1!AM34="",observasi2!AM34=""),"",AVERAGE(observasi1!AM34,observasi2!AM34))</f>
        <v/>
      </c>
      <c r="AN34" s="178" t="str">
        <f>IF(AND(observasi1!AN34="",observasi2!AN34=""),"",AVERAGE(observasi1!AN34,observasi2!AN34))</f>
        <v/>
      </c>
      <c r="AO34" s="178" t="str">
        <f>IF(AND(observasi1!AO34="",observasi2!AO34=""),"",AVERAGE(observasi1!AO34,observasi2!AO34))</f>
        <v/>
      </c>
      <c r="AP34" s="178" t="str">
        <f>IF(AND(observasi1!AP34="",observasi2!AP34=""),"",AVERAGE(observasi1!AP34,observasi2!AP34))</f>
        <v/>
      </c>
      <c r="AQ34" s="178" t="str">
        <f>IF(AND(observasi1!AQ34="",observasi2!AQ34=""),"",AVERAGE(observasi1!AQ34,observasi2!AQ34))</f>
        <v/>
      </c>
      <c r="AR34" s="178" t="str">
        <f>IF(AND(observasi1!AR34="",observasi2!AR34=""),"",AVERAGE(observasi1!AR34,observasi2!AR34))</f>
        <v/>
      </c>
      <c r="AS34" s="178" t="str">
        <f>IF(AND(observasi1!AS34="",observasi2!AS34=""),"",AVERAGE(observasi1!AS34,observasi2!AS34))</f>
        <v/>
      </c>
      <c r="AT34" s="178" t="str">
        <f>IF(AND(observasi1!AT34="",observasi2!AT34=""),"",AVERAGE(observasi1!AT34,observasi2!AT34))</f>
        <v/>
      </c>
      <c r="AU34" s="178" t="str">
        <f>IF(AND(observasi1!AU34="",observasi2!AU34=""),"",AVERAGE(observasi1!AU34,observasi2!AU34))</f>
        <v/>
      </c>
      <c r="AV34" s="178" t="str">
        <f>IF(AND(observasi1!AV34="",observasi2!AV34=""),"",AVERAGE(observasi1!AV34,observasi2!AV34))</f>
        <v/>
      </c>
      <c r="AW34" s="178" t="str">
        <f>IF(AND(observasi1!AW34="",observasi2!AW34=""),"",AVERAGE(observasi1!AW34,observasi2!AW34))</f>
        <v/>
      </c>
      <c r="AX34" s="178" t="str">
        <f>IF(AND(observasi1!AX34="",observasi2!AX34=""),"",AVERAGE(observasi1!AX34,observasi2!AX34))</f>
        <v/>
      </c>
      <c r="AY34" s="178" t="str">
        <f>IF(AND(observasi1!AY34="",observasi2!AY34=""),"",AVERAGE(observasi1!AY34,observasi2!AY34))</f>
        <v/>
      </c>
    </row>
    <row r="35" spans="1:51">
      <c r="A35" s="624"/>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25" t="s">
        <v>184</v>
      </c>
      <c r="B36" s="164" t="s">
        <v>185</v>
      </c>
      <c r="C36" s="165" t="s">
        <v>84</v>
      </c>
      <c r="D36" s="178" t="str">
        <f>IF(AND(observasi1!D36="",observasi2!D36=""),"",AVERAGE(observasi1!D36,observasi2!D36))</f>
        <v/>
      </c>
      <c r="E36" s="178" t="str">
        <f>IF(AND(observasi1!E36="",observasi2!E36=""),"",AVERAGE(observasi1!E36,observasi2!E36))</f>
        <v/>
      </c>
      <c r="F36" s="178" t="str">
        <f>IF(AND(observasi1!F36="",observasi2!F36=""),"",AVERAGE(observasi1!F36,observasi2!F36))</f>
        <v/>
      </c>
      <c r="G36" s="178" t="str">
        <f>IF(AND(observasi1!G36="",observasi2!G36=""),"",AVERAGE(observasi1!G36,observasi2!G36))</f>
        <v/>
      </c>
      <c r="H36" s="178" t="str">
        <f>IF(AND(observasi1!H36="",observasi2!H36=""),"",AVERAGE(observasi1!H36,observasi2!H36))</f>
        <v/>
      </c>
      <c r="I36" s="178" t="str">
        <f>IF(AND(observasi1!I36="",observasi2!I36=""),"",AVERAGE(observasi1!I36,observasi2!I36))</f>
        <v/>
      </c>
      <c r="J36" s="178" t="str">
        <f>IF(AND(observasi1!J36="",observasi2!J36=""),"",AVERAGE(observasi1!J36,observasi2!J36))</f>
        <v/>
      </c>
      <c r="K36" s="178" t="str">
        <f>IF(AND(observasi1!K36="",observasi2!K36=""),"",AVERAGE(observasi1!K36,observasi2!K36))</f>
        <v/>
      </c>
      <c r="L36" s="178" t="str">
        <f>IF(AND(observasi1!L36="",observasi2!L36=""),"",AVERAGE(observasi1!L36,observasi2!L36))</f>
        <v/>
      </c>
      <c r="M36" s="178" t="str">
        <f>IF(AND(observasi1!M36="",observasi2!M36=""),"",AVERAGE(observasi1!M36,observasi2!M36))</f>
        <v/>
      </c>
      <c r="N36" s="178" t="str">
        <f>IF(AND(observasi1!N36="",observasi2!N36=""),"",AVERAGE(observasi1!N36,observasi2!N36))</f>
        <v/>
      </c>
      <c r="O36" s="178" t="str">
        <f>IF(AND(observasi1!O36="",observasi2!O36=""),"",AVERAGE(observasi1!O36,observasi2!O36))</f>
        <v/>
      </c>
      <c r="P36" s="178" t="str">
        <f>IF(AND(observasi1!P36="",observasi2!P36=""),"",AVERAGE(observasi1!P36,observasi2!P36))</f>
        <v/>
      </c>
      <c r="Q36" s="178" t="str">
        <f>IF(AND(observasi1!Q36="",observasi2!Q36=""),"",AVERAGE(observasi1!Q36,observasi2!Q36))</f>
        <v/>
      </c>
      <c r="R36" s="178" t="str">
        <f>IF(AND(observasi1!R36="",observasi2!R36=""),"",AVERAGE(observasi1!R36,observasi2!R36))</f>
        <v/>
      </c>
      <c r="S36" s="178" t="str">
        <f>IF(AND(observasi1!S36="",observasi2!S36=""),"",AVERAGE(observasi1!S36,observasi2!S36))</f>
        <v/>
      </c>
      <c r="T36" s="178" t="str">
        <f>IF(AND(observasi1!T36="",observasi2!T36=""),"",AVERAGE(observasi1!T36,observasi2!T36))</f>
        <v/>
      </c>
      <c r="U36" s="178" t="str">
        <f>IF(AND(observasi1!U36="",observasi2!U36=""),"",AVERAGE(observasi1!U36,observasi2!U36))</f>
        <v/>
      </c>
      <c r="V36" s="178" t="str">
        <f>IF(AND(observasi1!V36="",observasi2!V36=""),"",AVERAGE(observasi1!V36,observasi2!V36))</f>
        <v/>
      </c>
      <c r="W36" s="178" t="str">
        <f>IF(AND(observasi1!W36="",observasi2!W36=""),"",AVERAGE(observasi1!W36,observasi2!W36))</f>
        <v/>
      </c>
      <c r="X36" s="178" t="str">
        <f>IF(AND(observasi1!X36="",observasi2!X36=""),"",AVERAGE(observasi1!X36,observasi2!X36))</f>
        <v/>
      </c>
      <c r="Y36" s="178" t="str">
        <f>IF(AND(observasi1!Y36="",observasi2!Y36=""),"",AVERAGE(observasi1!Y36,observasi2!Y36))</f>
        <v/>
      </c>
      <c r="Z36" s="178" t="str">
        <f>IF(AND(observasi1!Z36="",observasi2!Z36=""),"",AVERAGE(observasi1!Z36,observasi2!Z36))</f>
        <v/>
      </c>
      <c r="AA36" s="178" t="str">
        <f>IF(AND(observasi1!AA36="",observasi2!AA36=""),"",AVERAGE(observasi1!AA36,observasi2!AA36))</f>
        <v/>
      </c>
      <c r="AB36" s="178" t="str">
        <f>IF(AND(observasi1!AB36="",observasi2!AB36=""),"",AVERAGE(observasi1!AB36,observasi2!AB36))</f>
        <v/>
      </c>
      <c r="AC36" s="178" t="str">
        <f>IF(AND(observasi1!AC36="",observasi2!AC36=""),"",AVERAGE(observasi1!AC36,observasi2!AC36))</f>
        <v/>
      </c>
      <c r="AD36" s="178" t="str">
        <f>IF(AND(observasi1!AD36="",observasi2!AD36=""),"",AVERAGE(observasi1!AD36,observasi2!AD36))</f>
        <v/>
      </c>
      <c r="AE36" s="178" t="str">
        <f>IF(AND(observasi1!AE36="",observasi2!AE36=""),"",AVERAGE(observasi1!AE36,observasi2!AE36))</f>
        <v/>
      </c>
      <c r="AF36" s="178" t="str">
        <f>IF(AND(observasi1!AF36="",observasi2!AF36=""),"",AVERAGE(observasi1!AF36,observasi2!AF36))</f>
        <v/>
      </c>
      <c r="AG36" s="178" t="str">
        <f>IF(AND(observasi1!AG36="",observasi2!AG36=""),"",AVERAGE(observasi1!AG36,observasi2!AG36))</f>
        <v/>
      </c>
      <c r="AH36" s="178" t="str">
        <f>IF(AND(observasi1!AH36="",observasi2!AH36=""),"",AVERAGE(observasi1!AH36,observasi2!AH36))</f>
        <v/>
      </c>
      <c r="AI36" s="178" t="str">
        <f>IF(AND(observasi1!AI36="",observasi2!AI36=""),"",AVERAGE(observasi1!AI36,observasi2!AI36))</f>
        <v/>
      </c>
      <c r="AJ36" s="178" t="str">
        <f>IF(AND(observasi1!AJ36="",observasi2!AJ36=""),"",AVERAGE(observasi1!AJ36,observasi2!AJ36))</f>
        <v/>
      </c>
      <c r="AK36" s="178" t="str">
        <f>IF(AND(observasi1!AK36="",observasi2!AK36=""),"",AVERAGE(observasi1!AK36,observasi2!AK36))</f>
        <v/>
      </c>
      <c r="AL36" s="178" t="str">
        <f>IF(AND(observasi1!AL36="",observasi2!AL36=""),"",AVERAGE(observasi1!AL36,observasi2!AL36))</f>
        <v/>
      </c>
      <c r="AM36" s="178" t="str">
        <f>IF(AND(observasi1!AM36="",observasi2!AM36=""),"",AVERAGE(observasi1!AM36,observasi2!AM36))</f>
        <v/>
      </c>
      <c r="AN36" s="178" t="str">
        <f>IF(AND(observasi1!AN36="",observasi2!AN36=""),"",AVERAGE(observasi1!AN36,observasi2!AN36))</f>
        <v/>
      </c>
      <c r="AO36" s="178" t="str">
        <f>IF(AND(observasi1!AO36="",observasi2!AO36=""),"",AVERAGE(observasi1!AO36,observasi2!AO36))</f>
        <v/>
      </c>
      <c r="AP36" s="178" t="str">
        <f>IF(AND(observasi1!AP36="",observasi2!AP36=""),"",AVERAGE(observasi1!AP36,observasi2!AP36))</f>
        <v/>
      </c>
      <c r="AQ36" s="178" t="str">
        <f>IF(AND(observasi1!AQ36="",observasi2!AQ36=""),"",AVERAGE(observasi1!AQ36,observasi2!AQ36))</f>
        <v/>
      </c>
      <c r="AR36" s="178" t="str">
        <f>IF(AND(observasi1!AR36="",observasi2!AR36=""),"",AVERAGE(observasi1!AR36,observasi2!AR36))</f>
        <v/>
      </c>
      <c r="AS36" s="178" t="str">
        <f>IF(AND(observasi1!AS36="",observasi2!AS36=""),"",AVERAGE(observasi1!AS36,observasi2!AS36))</f>
        <v/>
      </c>
      <c r="AT36" s="178" t="str">
        <f>IF(AND(observasi1!AT36="",observasi2!AT36=""),"",AVERAGE(observasi1!AT36,observasi2!AT36))</f>
        <v/>
      </c>
      <c r="AU36" s="178" t="str">
        <f>IF(AND(observasi1!AU36="",observasi2!AU36=""),"",AVERAGE(observasi1!AU36,observasi2!AU36))</f>
        <v/>
      </c>
      <c r="AV36" s="178" t="str">
        <f>IF(AND(observasi1!AV36="",observasi2!AV36=""),"",AVERAGE(observasi1!AV36,observasi2!AV36))</f>
        <v/>
      </c>
      <c r="AW36" s="178" t="str">
        <f>IF(AND(observasi1!AW36="",observasi2!AW36=""),"",AVERAGE(observasi1!AW36,observasi2!AW36))</f>
        <v/>
      </c>
      <c r="AX36" s="178" t="str">
        <f>IF(AND(observasi1!AX36="",observasi2!AX36=""),"",AVERAGE(observasi1!AX36,observasi2!AX36))</f>
        <v/>
      </c>
      <c r="AY36" s="178" t="str">
        <f>IF(AND(observasi1!AY36="",observasi2!AY36=""),"",AVERAGE(observasi1!AY36,observasi2!AY36))</f>
        <v/>
      </c>
    </row>
    <row r="37" spans="1:51">
      <c r="A37" s="625"/>
      <c r="B37" s="164" t="s">
        <v>186</v>
      </c>
      <c r="C37" s="165" t="s">
        <v>187</v>
      </c>
      <c r="D37" s="178" t="str">
        <f>IF(AND(observasi1!D37="",observasi2!D37=""),"",AVERAGE(observasi1!D37,observasi2!D37))</f>
        <v/>
      </c>
      <c r="E37" s="178" t="str">
        <f>IF(AND(observasi1!E37="",observasi2!E37=""),"",AVERAGE(observasi1!E37,observasi2!E37))</f>
        <v/>
      </c>
      <c r="F37" s="178" t="str">
        <f>IF(AND(observasi1!F37="",observasi2!F37=""),"",AVERAGE(observasi1!F37,observasi2!F37))</f>
        <v/>
      </c>
      <c r="G37" s="178" t="str">
        <f>IF(AND(observasi1!G37="",observasi2!G37=""),"",AVERAGE(observasi1!G37,observasi2!G37))</f>
        <v/>
      </c>
      <c r="H37" s="178" t="str">
        <f>IF(AND(observasi1!H37="",observasi2!H37=""),"",AVERAGE(observasi1!H37,observasi2!H37))</f>
        <v/>
      </c>
      <c r="I37" s="178" t="str">
        <f>IF(AND(observasi1!I37="",observasi2!I37=""),"",AVERAGE(observasi1!I37,observasi2!I37))</f>
        <v/>
      </c>
      <c r="J37" s="178" t="str">
        <f>IF(AND(observasi1!J37="",observasi2!J37=""),"",AVERAGE(observasi1!J37,observasi2!J37))</f>
        <v/>
      </c>
      <c r="K37" s="178" t="str">
        <f>IF(AND(observasi1!K37="",observasi2!K37=""),"",AVERAGE(observasi1!K37,observasi2!K37))</f>
        <v/>
      </c>
      <c r="L37" s="178" t="str">
        <f>IF(AND(observasi1!L37="",observasi2!L37=""),"",AVERAGE(observasi1!L37,observasi2!L37))</f>
        <v/>
      </c>
      <c r="M37" s="178" t="str">
        <f>IF(AND(observasi1!M37="",observasi2!M37=""),"",AVERAGE(observasi1!M37,observasi2!M37))</f>
        <v/>
      </c>
      <c r="N37" s="178" t="str">
        <f>IF(AND(observasi1!N37="",observasi2!N37=""),"",AVERAGE(observasi1!N37,observasi2!N37))</f>
        <v/>
      </c>
      <c r="O37" s="178" t="str">
        <f>IF(AND(observasi1!O37="",observasi2!O37=""),"",AVERAGE(observasi1!O37,observasi2!O37))</f>
        <v/>
      </c>
      <c r="P37" s="178" t="str">
        <f>IF(AND(observasi1!P37="",observasi2!P37=""),"",AVERAGE(observasi1!P37,observasi2!P37))</f>
        <v/>
      </c>
      <c r="Q37" s="178" t="str">
        <f>IF(AND(observasi1!Q37="",observasi2!Q37=""),"",AVERAGE(observasi1!Q37,observasi2!Q37))</f>
        <v/>
      </c>
      <c r="R37" s="178" t="str">
        <f>IF(AND(observasi1!R37="",observasi2!R37=""),"",AVERAGE(observasi1!R37,observasi2!R37))</f>
        <v/>
      </c>
      <c r="S37" s="178" t="str">
        <f>IF(AND(observasi1!S37="",observasi2!S37=""),"",AVERAGE(observasi1!S37,observasi2!S37))</f>
        <v/>
      </c>
      <c r="T37" s="178" t="str">
        <f>IF(AND(observasi1!T37="",observasi2!T37=""),"",AVERAGE(observasi1!T37,observasi2!T37))</f>
        <v/>
      </c>
      <c r="U37" s="178" t="str">
        <f>IF(AND(observasi1!U37="",observasi2!U37=""),"",AVERAGE(observasi1!U37,observasi2!U37))</f>
        <v/>
      </c>
      <c r="V37" s="178" t="str">
        <f>IF(AND(observasi1!V37="",observasi2!V37=""),"",AVERAGE(observasi1!V37,observasi2!V37))</f>
        <v/>
      </c>
      <c r="W37" s="178" t="str">
        <f>IF(AND(observasi1!W37="",observasi2!W37=""),"",AVERAGE(observasi1!W37,observasi2!W37))</f>
        <v/>
      </c>
      <c r="X37" s="178" t="str">
        <f>IF(AND(observasi1!X37="",observasi2!X37=""),"",AVERAGE(observasi1!X37,observasi2!X37))</f>
        <v/>
      </c>
      <c r="Y37" s="178" t="str">
        <f>IF(AND(observasi1!Y37="",observasi2!Y37=""),"",AVERAGE(observasi1!Y37,observasi2!Y37))</f>
        <v/>
      </c>
      <c r="Z37" s="178" t="str">
        <f>IF(AND(observasi1!Z37="",observasi2!Z37=""),"",AVERAGE(observasi1!Z37,observasi2!Z37))</f>
        <v/>
      </c>
      <c r="AA37" s="178" t="str">
        <f>IF(AND(observasi1!AA37="",observasi2!AA37=""),"",AVERAGE(observasi1!AA37,observasi2!AA37))</f>
        <v/>
      </c>
      <c r="AB37" s="178" t="str">
        <f>IF(AND(observasi1!AB37="",observasi2!AB37=""),"",AVERAGE(observasi1!AB37,observasi2!AB37))</f>
        <v/>
      </c>
      <c r="AC37" s="178" t="str">
        <f>IF(AND(observasi1!AC37="",observasi2!AC37=""),"",AVERAGE(observasi1!AC37,observasi2!AC37))</f>
        <v/>
      </c>
      <c r="AD37" s="178" t="str">
        <f>IF(AND(observasi1!AD37="",observasi2!AD37=""),"",AVERAGE(observasi1!AD37,observasi2!AD37))</f>
        <v/>
      </c>
      <c r="AE37" s="178" t="str">
        <f>IF(AND(observasi1!AE37="",observasi2!AE37=""),"",AVERAGE(observasi1!AE37,observasi2!AE37))</f>
        <v/>
      </c>
      <c r="AF37" s="178" t="str">
        <f>IF(AND(observasi1!AF37="",observasi2!AF37=""),"",AVERAGE(observasi1!AF37,observasi2!AF37))</f>
        <v/>
      </c>
      <c r="AG37" s="178" t="str">
        <f>IF(AND(observasi1!AG37="",observasi2!AG37=""),"",AVERAGE(observasi1!AG37,observasi2!AG37))</f>
        <v/>
      </c>
      <c r="AH37" s="178" t="str">
        <f>IF(AND(observasi1!AH37="",observasi2!AH37=""),"",AVERAGE(observasi1!AH37,observasi2!AH37))</f>
        <v/>
      </c>
      <c r="AI37" s="178" t="str">
        <f>IF(AND(observasi1!AI37="",observasi2!AI37=""),"",AVERAGE(observasi1!AI37,observasi2!AI37))</f>
        <v/>
      </c>
      <c r="AJ37" s="178" t="str">
        <f>IF(AND(observasi1!AJ37="",observasi2!AJ37=""),"",AVERAGE(observasi1!AJ37,observasi2!AJ37))</f>
        <v/>
      </c>
      <c r="AK37" s="178" t="str">
        <f>IF(AND(observasi1!AK37="",observasi2!AK37=""),"",AVERAGE(observasi1!AK37,observasi2!AK37))</f>
        <v/>
      </c>
      <c r="AL37" s="178" t="str">
        <f>IF(AND(observasi1!AL37="",observasi2!AL37=""),"",AVERAGE(observasi1!AL37,observasi2!AL37))</f>
        <v/>
      </c>
      <c r="AM37" s="178" t="str">
        <f>IF(AND(observasi1!AM37="",observasi2!AM37=""),"",AVERAGE(observasi1!AM37,observasi2!AM37))</f>
        <v/>
      </c>
      <c r="AN37" s="178" t="str">
        <f>IF(AND(observasi1!AN37="",observasi2!AN37=""),"",AVERAGE(observasi1!AN37,observasi2!AN37))</f>
        <v/>
      </c>
      <c r="AO37" s="178" t="str">
        <f>IF(AND(observasi1!AO37="",observasi2!AO37=""),"",AVERAGE(observasi1!AO37,observasi2!AO37))</f>
        <v/>
      </c>
      <c r="AP37" s="178" t="str">
        <f>IF(AND(observasi1!AP37="",observasi2!AP37=""),"",AVERAGE(observasi1!AP37,observasi2!AP37))</f>
        <v/>
      </c>
      <c r="AQ37" s="178" t="str">
        <f>IF(AND(observasi1!AQ37="",observasi2!AQ37=""),"",AVERAGE(observasi1!AQ37,observasi2!AQ37))</f>
        <v/>
      </c>
      <c r="AR37" s="178" t="str">
        <f>IF(AND(observasi1!AR37="",observasi2!AR37=""),"",AVERAGE(observasi1!AR37,observasi2!AR37))</f>
        <v/>
      </c>
      <c r="AS37" s="178" t="str">
        <f>IF(AND(observasi1!AS37="",observasi2!AS37=""),"",AVERAGE(observasi1!AS37,observasi2!AS37))</f>
        <v/>
      </c>
      <c r="AT37" s="178" t="str">
        <f>IF(AND(observasi1!AT37="",observasi2!AT37=""),"",AVERAGE(observasi1!AT37,observasi2!AT37))</f>
        <v/>
      </c>
      <c r="AU37" s="178" t="str">
        <f>IF(AND(observasi1!AU37="",observasi2!AU37=""),"",AVERAGE(observasi1!AU37,observasi2!AU37))</f>
        <v/>
      </c>
      <c r="AV37" s="178" t="str">
        <f>IF(AND(observasi1!AV37="",observasi2!AV37=""),"",AVERAGE(observasi1!AV37,observasi2!AV37))</f>
        <v/>
      </c>
      <c r="AW37" s="178" t="str">
        <f>IF(AND(observasi1!AW37="",observasi2!AW37=""),"",AVERAGE(observasi1!AW37,observasi2!AW37))</f>
        <v/>
      </c>
      <c r="AX37" s="178" t="str">
        <f>IF(AND(observasi1!AX37="",observasi2!AX37=""),"",AVERAGE(observasi1!AX37,observasi2!AX37))</f>
        <v/>
      </c>
      <c r="AY37" s="178" t="str">
        <f>IF(AND(observasi1!AY37="",observasi2!AY37=""),"",AVERAGE(observasi1!AY37,observasi2!AY37))</f>
        <v/>
      </c>
    </row>
    <row r="38" spans="1:51">
      <c r="A38" s="625"/>
      <c r="B38" s="164" t="s">
        <v>188</v>
      </c>
      <c r="C38" s="165" t="s">
        <v>86</v>
      </c>
      <c r="D38" s="178" t="str">
        <f>IF(AND(observasi1!D38="",observasi2!D38=""),"",AVERAGE(observasi1!D38,observasi2!D38))</f>
        <v/>
      </c>
      <c r="E38" s="178" t="str">
        <f>IF(AND(observasi1!E38="",observasi2!E38=""),"",AVERAGE(observasi1!E38,observasi2!E38))</f>
        <v/>
      </c>
      <c r="F38" s="178" t="str">
        <f>IF(AND(observasi1!F38="",observasi2!F38=""),"",AVERAGE(observasi1!F38,observasi2!F38))</f>
        <v/>
      </c>
      <c r="G38" s="178" t="str">
        <f>IF(AND(observasi1!G38="",observasi2!G38=""),"",AVERAGE(observasi1!G38,observasi2!G38))</f>
        <v/>
      </c>
      <c r="H38" s="178" t="str">
        <f>IF(AND(observasi1!H38="",observasi2!H38=""),"",AVERAGE(observasi1!H38,observasi2!H38))</f>
        <v/>
      </c>
      <c r="I38" s="178" t="str">
        <f>IF(AND(observasi1!I38="",observasi2!I38=""),"",AVERAGE(observasi1!I38,observasi2!I38))</f>
        <v/>
      </c>
      <c r="J38" s="178" t="str">
        <f>IF(AND(observasi1!J38="",observasi2!J38=""),"",AVERAGE(observasi1!J38,observasi2!J38))</f>
        <v/>
      </c>
      <c r="K38" s="178" t="str">
        <f>IF(AND(observasi1!K38="",observasi2!K38=""),"",AVERAGE(observasi1!K38,observasi2!K38))</f>
        <v/>
      </c>
      <c r="L38" s="178" t="str">
        <f>IF(AND(observasi1!L38="",observasi2!L38=""),"",AVERAGE(observasi1!L38,observasi2!L38))</f>
        <v/>
      </c>
      <c r="M38" s="178" t="str">
        <f>IF(AND(observasi1!M38="",observasi2!M38=""),"",AVERAGE(observasi1!M38,observasi2!M38))</f>
        <v/>
      </c>
      <c r="N38" s="178" t="str">
        <f>IF(AND(observasi1!N38="",observasi2!N38=""),"",AVERAGE(observasi1!N38,observasi2!N38))</f>
        <v/>
      </c>
      <c r="O38" s="178" t="str">
        <f>IF(AND(observasi1!O38="",observasi2!O38=""),"",AVERAGE(observasi1!O38,observasi2!O38))</f>
        <v/>
      </c>
      <c r="P38" s="178" t="str">
        <f>IF(AND(observasi1!P38="",observasi2!P38=""),"",AVERAGE(observasi1!P38,observasi2!P38))</f>
        <v/>
      </c>
      <c r="Q38" s="178" t="str">
        <f>IF(AND(observasi1!Q38="",observasi2!Q38=""),"",AVERAGE(observasi1!Q38,observasi2!Q38))</f>
        <v/>
      </c>
      <c r="R38" s="178" t="str">
        <f>IF(AND(observasi1!R38="",observasi2!R38=""),"",AVERAGE(observasi1!R38,observasi2!R38))</f>
        <v/>
      </c>
      <c r="S38" s="178" t="str">
        <f>IF(AND(observasi1!S38="",observasi2!S38=""),"",AVERAGE(observasi1!S38,observasi2!S38))</f>
        <v/>
      </c>
      <c r="T38" s="178" t="str">
        <f>IF(AND(observasi1!T38="",observasi2!T38=""),"",AVERAGE(observasi1!T38,observasi2!T38))</f>
        <v/>
      </c>
      <c r="U38" s="178" t="str">
        <f>IF(AND(observasi1!U38="",observasi2!U38=""),"",AVERAGE(observasi1!U38,observasi2!U38))</f>
        <v/>
      </c>
      <c r="V38" s="178" t="str">
        <f>IF(AND(observasi1!V38="",observasi2!V38=""),"",AVERAGE(observasi1!V38,observasi2!V38))</f>
        <v/>
      </c>
      <c r="W38" s="178" t="str">
        <f>IF(AND(observasi1!W38="",observasi2!W38=""),"",AVERAGE(observasi1!W38,observasi2!W38))</f>
        <v/>
      </c>
      <c r="X38" s="178" t="str">
        <f>IF(AND(observasi1!X38="",observasi2!X38=""),"",AVERAGE(observasi1!X38,observasi2!X38))</f>
        <v/>
      </c>
      <c r="Y38" s="178" t="str">
        <f>IF(AND(observasi1!Y38="",observasi2!Y38=""),"",AVERAGE(observasi1!Y38,observasi2!Y38))</f>
        <v/>
      </c>
      <c r="Z38" s="178" t="str">
        <f>IF(AND(observasi1!Z38="",observasi2!Z38=""),"",AVERAGE(observasi1!Z38,observasi2!Z38))</f>
        <v/>
      </c>
      <c r="AA38" s="178" t="str">
        <f>IF(AND(observasi1!AA38="",observasi2!AA38=""),"",AVERAGE(observasi1!AA38,observasi2!AA38))</f>
        <v/>
      </c>
      <c r="AB38" s="178" t="str">
        <f>IF(AND(observasi1!AB38="",observasi2!AB38=""),"",AVERAGE(observasi1!AB38,observasi2!AB38))</f>
        <v/>
      </c>
      <c r="AC38" s="178" t="str">
        <f>IF(AND(observasi1!AC38="",observasi2!AC38=""),"",AVERAGE(observasi1!AC38,observasi2!AC38))</f>
        <v/>
      </c>
      <c r="AD38" s="178" t="str">
        <f>IF(AND(observasi1!AD38="",observasi2!AD38=""),"",AVERAGE(observasi1!AD38,observasi2!AD38))</f>
        <v/>
      </c>
      <c r="AE38" s="178" t="str">
        <f>IF(AND(observasi1!AE38="",observasi2!AE38=""),"",AVERAGE(observasi1!AE38,observasi2!AE38))</f>
        <v/>
      </c>
      <c r="AF38" s="178" t="str">
        <f>IF(AND(observasi1!AF38="",observasi2!AF38=""),"",AVERAGE(observasi1!AF38,observasi2!AF38))</f>
        <v/>
      </c>
      <c r="AG38" s="178" t="str">
        <f>IF(AND(observasi1!AG38="",observasi2!AG38=""),"",AVERAGE(observasi1!AG38,observasi2!AG38))</f>
        <v/>
      </c>
      <c r="AH38" s="178" t="str">
        <f>IF(AND(observasi1!AH38="",observasi2!AH38=""),"",AVERAGE(observasi1!AH38,observasi2!AH38))</f>
        <v/>
      </c>
      <c r="AI38" s="178" t="str">
        <f>IF(AND(observasi1!AI38="",observasi2!AI38=""),"",AVERAGE(observasi1!AI38,observasi2!AI38))</f>
        <v/>
      </c>
      <c r="AJ38" s="178" t="str">
        <f>IF(AND(observasi1!AJ38="",observasi2!AJ38=""),"",AVERAGE(observasi1!AJ38,observasi2!AJ38))</f>
        <v/>
      </c>
      <c r="AK38" s="178" t="str">
        <f>IF(AND(observasi1!AK38="",observasi2!AK38=""),"",AVERAGE(observasi1!AK38,observasi2!AK38))</f>
        <v/>
      </c>
      <c r="AL38" s="178" t="str">
        <f>IF(AND(observasi1!AL38="",observasi2!AL38=""),"",AVERAGE(observasi1!AL38,observasi2!AL38))</f>
        <v/>
      </c>
      <c r="AM38" s="178" t="str">
        <f>IF(AND(observasi1!AM38="",observasi2!AM38=""),"",AVERAGE(observasi1!AM38,observasi2!AM38))</f>
        <v/>
      </c>
      <c r="AN38" s="178" t="str">
        <f>IF(AND(observasi1!AN38="",observasi2!AN38=""),"",AVERAGE(observasi1!AN38,observasi2!AN38))</f>
        <v/>
      </c>
      <c r="AO38" s="178" t="str">
        <f>IF(AND(observasi1!AO38="",observasi2!AO38=""),"",AVERAGE(observasi1!AO38,observasi2!AO38))</f>
        <v/>
      </c>
      <c r="AP38" s="178" t="str">
        <f>IF(AND(observasi1!AP38="",observasi2!AP38=""),"",AVERAGE(observasi1!AP38,observasi2!AP38))</f>
        <v/>
      </c>
      <c r="AQ38" s="178" t="str">
        <f>IF(AND(observasi1!AQ38="",observasi2!AQ38=""),"",AVERAGE(observasi1!AQ38,observasi2!AQ38))</f>
        <v/>
      </c>
      <c r="AR38" s="178" t="str">
        <f>IF(AND(observasi1!AR38="",observasi2!AR38=""),"",AVERAGE(observasi1!AR38,observasi2!AR38))</f>
        <v/>
      </c>
      <c r="AS38" s="178" t="str">
        <f>IF(AND(observasi1!AS38="",observasi2!AS38=""),"",AVERAGE(observasi1!AS38,observasi2!AS38))</f>
        <v/>
      </c>
      <c r="AT38" s="178" t="str">
        <f>IF(AND(observasi1!AT38="",observasi2!AT38=""),"",AVERAGE(observasi1!AT38,observasi2!AT38))</f>
        <v/>
      </c>
      <c r="AU38" s="178" t="str">
        <f>IF(AND(observasi1!AU38="",observasi2!AU38=""),"",AVERAGE(observasi1!AU38,observasi2!AU38))</f>
        <v/>
      </c>
      <c r="AV38" s="178" t="str">
        <f>IF(AND(observasi1!AV38="",observasi2!AV38=""),"",AVERAGE(observasi1!AV38,observasi2!AV38))</f>
        <v/>
      </c>
      <c r="AW38" s="178" t="str">
        <f>IF(AND(observasi1!AW38="",observasi2!AW38=""),"",AVERAGE(observasi1!AW38,observasi2!AW38))</f>
        <v/>
      </c>
      <c r="AX38" s="178" t="str">
        <f>IF(AND(observasi1!AX38="",observasi2!AX38=""),"",AVERAGE(observasi1!AX38,observasi2!AX38))</f>
        <v/>
      </c>
      <c r="AY38" s="178" t="str">
        <f>IF(AND(observasi1!AY38="",observasi2!AY38=""),"",AVERAGE(observasi1!AY38,observasi2!AY38))</f>
        <v/>
      </c>
    </row>
    <row r="39" spans="1:51">
      <c r="A39" s="625"/>
      <c r="B39" s="164" t="s">
        <v>189</v>
      </c>
      <c r="C39" s="165" t="s">
        <v>190</v>
      </c>
      <c r="D39" s="178" t="str">
        <f>IF(AND(observasi1!D39="",observasi2!D39=""),"",AVERAGE(observasi1!D39,observasi2!D39))</f>
        <v/>
      </c>
      <c r="E39" s="178" t="str">
        <f>IF(AND(observasi1!E39="",observasi2!E39=""),"",AVERAGE(observasi1!E39,observasi2!E39))</f>
        <v/>
      </c>
      <c r="F39" s="178" t="str">
        <f>IF(AND(observasi1!F39="",observasi2!F39=""),"",AVERAGE(observasi1!F39,observasi2!F39))</f>
        <v/>
      </c>
      <c r="G39" s="178" t="str">
        <f>IF(AND(observasi1!G39="",observasi2!G39=""),"",AVERAGE(observasi1!G39,observasi2!G39))</f>
        <v/>
      </c>
      <c r="H39" s="178" t="str">
        <f>IF(AND(observasi1!H39="",observasi2!H39=""),"",AVERAGE(observasi1!H39,observasi2!H39))</f>
        <v/>
      </c>
      <c r="I39" s="178" t="str">
        <f>IF(AND(observasi1!I39="",observasi2!I39=""),"",AVERAGE(observasi1!I39,observasi2!I39))</f>
        <v/>
      </c>
      <c r="J39" s="178" t="str">
        <f>IF(AND(observasi1!J39="",observasi2!J39=""),"",AVERAGE(observasi1!J39,observasi2!J39))</f>
        <v/>
      </c>
      <c r="K39" s="178" t="str">
        <f>IF(AND(observasi1!K39="",observasi2!K39=""),"",AVERAGE(observasi1!K39,observasi2!K39))</f>
        <v/>
      </c>
      <c r="L39" s="178" t="str">
        <f>IF(AND(observasi1!L39="",observasi2!L39=""),"",AVERAGE(observasi1!L39,observasi2!L39))</f>
        <v/>
      </c>
      <c r="M39" s="178" t="str">
        <f>IF(AND(observasi1!M39="",observasi2!M39=""),"",AVERAGE(observasi1!M39,observasi2!M39))</f>
        <v/>
      </c>
      <c r="N39" s="178" t="str">
        <f>IF(AND(observasi1!N39="",observasi2!N39=""),"",AVERAGE(observasi1!N39,observasi2!N39))</f>
        <v/>
      </c>
      <c r="O39" s="178" t="str">
        <f>IF(AND(observasi1!O39="",observasi2!O39=""),"",AVERAGE(observasi1!O39,observasi2!O39))</f>
        <v/>
      </c>
      <c r="P39" s="178" t="str">
        <f>IF(AND(observasi1!P39="",observasi2!P39=""),"",AVERAGE(observasi1!P39,observasi2!P39))</f>
        <v/>
      </c>
      <c r="Q39" s="178" t="str">
        <f>IF(AND(observasi1!Q39="",observasi2!Q39=""),"",AVERAGE(observasi1!Q39,observasi2!Q39))</f>
        <v/>
      </c>
      <c r="R39" s="178" t="str">
        <f>IF(AND(observasi1!R39="",observasi2!R39=""),"",AVERAGE(observasi1!R39,observasi2!R39))</f>
        <v/>
      </c>
      <c r="S39" s="178" t="str">
        <f>IF(AND(observasi1!S39="",observasi2!S39=""),"",AVERAGE(observasi1!S39,observasi2!S39))</f>
        <v/>
      </c>
      <c r="T39" s="178" t="str">
        <f>IF(AND(observasi1!T39="",observasi2!T39=""),"",AVERAGE(observasi1!T39,observasi2!T39))</f>
        <v/>
      </c>
      <c r="U39" s="178" t="str">
        <f>IF(AND(observasi1!U39="",observasi2!U39=""),"",AVERAGE(observasi1!U39,observasi2!U39))</f>
        <v/>
      </c>
      <c r="V39" s="178" t="str">
        <f>IF(AND(observasi1!V39="",observasi2!V39=""),"",AVERAGE(observasi1!V39,observasi2!V39))</f>
        <v/>
      </c>
      <c r="W39" s="178" t="str">
        <f>IF(AND(observasi1!W39="",observasi2!W39=""),"",AVERAGE(observasi1!W39,observasi2!W39))</f>
        <v/>
      </c>
      <c r="X39" s="178" t="str">
        <f>IF(AND(observasi1!X39="",observasi2!X39=""),"",AVERAGE(observasi1!X39,observasi2!X39))</f>
        <v/>
      </c>
      <c r="Y39" s="178" t="str">
        <f>IF(AND(observasi1!Y39="",observasi2!Y39=""),"",AVERAGE(observasi1!Y39,observasi2!Y39))</f>
        <v/>
      </c>
      <c r="Z39" s="178" t="str">
        <f>IF(AND(observasi1!Z39="",observasi2!Z39=""),"",AVERAGE(observasi1!Z39,observasi2!Z39))</f>
        <v/>
      </c>
      <c r="AA39" s="178" t="str">
        <f>IF(AND(observasi1!AA39="",observasi2!AA39=""),"",AVERAGE(observasi1!AA39,observasi2!AA39))</f>
        <v/>
      </c>
      <c r="AB39" s="178" t="str">
        <f>IF(AND(observasi1!AB39="",observasi2!AB39=""),"",AVERAGE(observasi1!AB39,observasi2!AB39))</f>
        <v/>
      </c>
      <c r="AC39" s="178" t="str">
        <f>IF(AND(observasi1!AC39="",observasi2!AC39=""),"",AVERAGE(observasi1!AC39,observasi2!AC39))</f>
        <v/>
      </c>
      <c r="AD39" s="178" t="str">
        <f>IF(AND(observasi1!AD39="",observasi2!AD39=""),"",AVERAGE(observasi1!AD39,observasi2!AD39))</f>
        <v/>
      </c>
      <c r="AE39" s="178" t="str">
        <f>IF(AND(observasi1!AE39="",observasi2!AE39=""),"",AVERAGE(observasi1!AE39,observasi2!AE39))</f>
        <v/>
      </c>
      <c r="AF39" s="178" t="str">
        <f>IF(AND(observasi1!AF39="",observasi2!AF39=""),"",AVERAGE(observasi1!AF39,observasi2!AF39))</f>
        <v/>
      </c>
      <c r="AG39" s="178" t="str">
        <f>IF(AND(observasi1!AG39="",observasi2!AG39=""),"",AVERAGE(observasi1!AG39,observasi2!AG39))</f>
        <v/>
      </c>
      <c r="AH39" s="178" t="str">
        <f>IF(AND(observasi1!AH39="",observasi2!AH39=""),"",AVERAGE(observasi1!AH39,observasi2!AH39))</f>
        <v/>
      </c>
      <c r="AI39" s="178" t="str">
        <f>IF(AND(observasi1!AI39="",observasi2!AI39=""),"",AVERAGE(observasi1!AI39,observasi2!AI39))</f>
        <v/>
      </c>
      <c r="AJ39" s="178" t="str">
        <f>IF(AND(observasi1!AJ39="",observasi2!AJ39=""),"",AVERAGE(observasi1!AJ39,observasi2!AJ39))</f>
        <v/>
      </c>
      <c r="AK39" s="178" t="str">
        <f>IF(AND(observasi1!AK39="",observasi2!AK39=""),"",AVERAGE(observasi1!AK39,observasi2!AK39))</f>
        <v/>
      </c>
      <c r="AL39" s="178" t="str">
        <f>IF(AND(observasi1!AL39="",observasi2!AL39=""),"",AVERAGE(observasi1!AL39,observasi2!AL39))</f>
        <v/>
      </c>
      <c r="AM39" s="178" t="str">
        <f>IF(AND(observasi1!AM39="",observasi2!AM39=""),"",AVERAGE(observasi1!AM39,observasi2!AM39))</f>
        <v/>
      </c>
      <c r="AN39" s="178" t="str">
        <f>IF(AND(observasi1!AN39="",observasi2!AN39=""),"",AVERAGE(observasi1!AN39,observasi2!AN39))</f>
        <v/>
      </c>
      <c r="AO39" s="178" t="str">
        <f>IF(AND(observasi1!AO39="",observasi2!AO39=""),"",AVERAGE(observasi1!AO39,observasi2!AO39))</f>
        <v/>
      </c>
      <c r="AP39" s="178" t="str">
        <f>IF(AND(observasi1!AP39="",observasi2!AP39=""),"",AVERAGE(observasi1!AP39,observasi2!AP39))</f>
        <v/>
      </c>
      <c r="AQ39" s="178" t="str">
        <f>IF(AND(observasi1!AQ39="",observasi2!AQ39=""),"",AVERAGE(observasi1!AQ39,observasi2!AQ39))</f>
        <v/>
      </c>
      <c r="AR39" s="178" t="str">
        <f>IF(AND(observasi1!AR39="",observasi2!AR39=""),"",AVERAGE(observasi1!AR39,observasi2!AR39))</f>
        <v/>
      </c>
      <c r="AS39" s="178" t="str">
        <f>IF(AND(observasi1!AS39="",observasi2!AS39=""),"",AVERAGE(observasi1!AS39,observasi2!AS39))</f>
        <v/>
      </c>
      <c r="AT39" s="178" t="str">
        <f>IF(AND(observasi1!AT39="",observasi2!AT39=""),"",AVERAGE(observasi1!AT39,observasi2!AT39))</f>
        <v/>
      </c>
      <c r="AU39" s="178" t="str">
        <f>IF(AND(observasi1!AU39="",observasi2!AU39=""),"",AVERAGE(observasi1!AU39,observasi2!AU39))</f>
        <v/>
      </c>
      <c r="AV39" s="178" t="str">
        <f>IF(AND(observasi1!AV39="",observasi2!AV39=""),"",AVERAGE(observasi1!AV39,observasi2!AV39))</f>
        <v/>
      </c>
      <c r="AW39" s="178" t="str">
        <f>IF(AND(observasi1!AW39="",observasi2!AW39=""),"",AVERAGE(observasi1!AW39,observasi2!AW39))</f>
        <v/>
      </c>
      <c r="AX39" s="178" t="str">
        <f>IF(AND(observasi1!AX39="",observasi2!AX39=""),"",AVERAGE(observasi1!AX39,observasi2!AX39))</f>
        <v/>
      </c>
      <c r="AY39" s="178" t="str">
        <f>IF(AND(observasi1!AY39="",observasi2!AY39=""),"",AVERAGE(observasi1!AY39,observasi2!AY39))</f>
        <v/>
      </c>
    </row>
    <row r="40" spans="1:51">
      <c r="A40" s="625"/>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24" t="s">
        <v>12</v>
      </c>
      <c r="B41" s="164" t="s">
        <v>191</v>
      </c>
      <c r="C41" s="165" t="s">
        <v>88</v>
      </c>
      <c r="D41" s="178" t="str">
        <f>IF(AND(observasi1!D41="",observasi2!D41=""),"",AVERAGE(observasi1!D41,observasi2!D41))</f>
        <v/>
      </c>
      <c r="E41" s="178" t="str">
        <f>IF(AND(observasi1!E41="",observasi2!E41=""),"",AVERAGE(observasi1!E41,observasi2!E41))</f>
        <v/>
      </c>
      <c r="F41" s="178" t="str">
        <f>IF(AND(observasi1!F41="",observasi2!F41=""),"",AVERAGE(observasi1!F41,observasi2!F41))</f>
        <v/>
      </c>
      <c r="G41" s="178" t="str">
        <f>IF(AND(observasi1!G41="",observasi2!G41=""),"",AVERAGE(observasi1!G41,observasi2!G41))</f>
        <v/>
      </c>
      <c r="H41" s="178" t="str">
        <f>IF(AND(observasi1!H41="",observasi2!H41=""),"",AVERAGE(observasi1!H41,observasi2!H41))</f>
        <v/>
      </c>
      <c r="I41" s="178" t="str">
        <f>IF(AND(observasi1!I41="",observasi2!I41=""),"",AVERAGE(observasi1!I41,observasi2!I41))</f>
        <v/>
      </c>
      <c r="J41" s="178" t="str">
        <f>IF(AND(observasi1!J41="",observasi2!J41=""),"",AVERAGE(observasi1!J41,observasi2!J41))</f>
        <v/>
      </c>
      <c r="K41" s="178" t="str">
        <f>IF(AND(observasi1!K41="",observasi2!K41=""),"",AVERAGE(observasi1!K41,observasi2!K41))</f>
        <v/>
      </c>
      <c r="L41" s="178" t="str">
        <f>IF(AND(observasi1!L41="",observasi2!L41=""),"",AVERAGE(observasi1!L41,observasi2!L41))</f>
        <v/>
      </c>
      <c r="M41" s="178" t="str">
        <f>IF(AND(observasi1!M41="",observasi2!M41=""),"",AVERAGE(observasi1!M41,observasi2!M41))</f>
        <v/>
      </c>
      <c r="N41" s="178" t="str">
        <f>IF(AND(observasi1!N41="",observasi2!N41=""),"",AVERAGE(observasi1!N41,observasi2!N41))</f>
        <v/>
      </c>
      <c r="O41" s="178" t="str">
        <f>IF(AND(observasi1!O41="",observasi2!O41=""),"",AVERAGE(observasi1!O41,observasi2!O41))</f>
        <v/>
      </c>
      <c r="P41" s="178" t="str">
        <f>IF(AND(observasi1!P41="",observasi2!P41=""),"",AVERAGE(observasi1!P41,observasi2!P41))</f>
        <v/>
      </c>
      <c r="Q41" s="178" t="str">
        <f>IF(AND(observasi1!Q41="",observasi2!Q41=""),"",AVERAGE(observasi1!Q41,observasi2!Q41))</f>
        <v/>
      </c>
      <c r="R41" s="178" t="str">
        <f>IF(AND(observasi1!R41="",observasi2!R41=""),"",AVERAGE(observasi1!R41,observasi2!R41))</f>
        <v/>
      </c>
      <c r="S41" s="178" t="str">
        <f>IF(AND(observasi1!S41="",observasi2!S41=""),"",AVERAGE(observasi1!S41,observasi2!S41))</f>
        <v/>
      </c>
      <c r="T41" s="178" t="str">
        <f>IF(AND(observasi1!T41="",observasi2!T41=""),"",AVERAGE(observasi1!T41,observasi2!T41))</f>
        <v/>
      </c>
      <c r="U41" s="178" t="str">
        <f>IF(AND(observasi1!U41="",observasi2!U41=""),"",AVERAGE(observasi1!U41,observasi2!U41))</f>
        <v/>
      </c>
      <c r="V41" s="178" t="str">
        <f>IF(AND(observasi1!V41="",observasi2!V41=""),"",AVERAGE(observasi1!V41,observasi2!V41))</f>
        <v/>
      </c>
      <c r="W41" s="178" t="str">
        <f>IF(AND(observasi1!W41="",observasi2!W41=""),"",AVERAGE(observasi1!W41,observasi2!W41))</f>
        <v/>
      </c>
      <c r="X41" s="178" t="str">
        <f>IF(AND(observasi1!X41="",observasi2!X41=""),"",AVERAGE(observasi1!X41,observasi2!X41))</f>
        <v/>
      </c>
      <c r="Y41" s="178" t="str">
        <f>IF(AND(observasi1!Y41="",observasi2!Y41=""),"",AVERAGE(observasi1!Y41,observasi2!Y41))</f>
        <v/>
      </c>
      <c r="Z41" s="178" t="str">
        <f>IF(AND(observasi1!Z41="",observasi2!Z41=""),"",AVERAGE(observasi1!Z41,observasi2!Z41))</f>
        <v/>
      </c>
      <c r="AA41" s="178" t="str">
        <f>IF(AND(observasi1!AA41="",observasi2!AA41=""),"",AVERAGE(observasi1!AA41,observasi2!AA41))</f>
        <v/>
      </c>
      <c r="AB41" s="178" t="str">
        <f>IF(AND(observasi1!AB41="",observasi2!AB41=""),"",AVERAGE(observasi1!AB41,observasi2!AB41))</f>
        <v/>
      </c>
      <c r="AC41" s="178" t="str">
        <f>IF(AND(observasi1!AC41="",observasi2!AC41=""),"",AVERAGE(observasi1!AC41,observasi2!AC41))</f>
        <v/>
      </c>
      <c r="AD41" s="178" t="str">
        <f>IF(AND(observasi1!AD41="",observasi2!AD41=""),"",AVERAGE(observasi1!AD41,observasi2!AD41))</f>
        <v/>
      </c>
      <c r="AE41" s="178" t="str">
        <f>IF(AND(observasi1!AE41="",observasi2!AE41=""),"",AVERAGE(observasi1!AE41,observasi2!AE41))</f>
        <v/>
      </c>
      <c r="AF41" s="178" t="str">
        <f>IF(AND(observasi1!AF41="",observasi2!AF41=""),"",AVERAGE(observasi1!AF41,observasi2!AF41))</f>
        <v/>
      </c>
      <c r="AG41" s="178" t="str">
        <f>IF(AND(observasi1!AG41="",observasi2!AG41=""),"",AVERAGE(observasi1!AG41,observasi2!AG41))</f>
        <v/>
      </c>
      <c r="AH41" s="178" t="str">
        <f>IF(AND(observasi1!AH41="",observasi2!AH41=""),"",AVERAGE(observasi1!AH41,observasi2!AH41))</f>
        <v/>
      </c>
      <c r="AI41" s="178" t="str">
        <f>IF(AND(observasi1!AI41="",observasi2!AI41=""),"",AVERAGE(observasi1!AI41,observasi2!AI41))</f>
        <v/>
      </c>
      <c r="AJ41" s="178" t="str">
        <f>IF(AND(observasi1!AJ41="",observasi2!AJ41=""),"",AVERAGE(observasi1!AJ41,observasi2!AJ41))</f>
        <v/>
      </c>
      <c r="AK41" s="178" t="str">
        <f>IF(AND(observasi1!AK41="",observasi2!AK41=""),"",AVERAGE(observasi1!AK41,observasi2!AK41))</f>
        <v/>
      </c>
      <c r="AL41" s="178" t="str">
        <f>IF(AND(observasi1!AL41="",observasi2!AL41=""),"",AVERAGE(observasi1!AL41,observasi2!AL41))</f>
        <v/>
      </c>
      <c r="AM41" s="178" t="str">
        <f>IF(AND(observasi1!AM41="",observasi2!AM41=""),"",AVERAGE(observasi1!AM41,observasi2!AM41))</f>
        <v/>
      </c>
      <c r="AN41" s="178" t="str">
        <f>IF(AND(observasi1!AN41="",observasi2!AN41=""),"",AVERAGE(observasi1!AN41,observasi2!AN41))</f>
        <v/>
      </c>
      <c r="AO41" s="178" t="str">
        <f>IF(AND(observasi1!AO41="",observasi2!AO41=""),"",AVERAGE(observasi1!AO41,observasi2!AO41))</f>
        <v/>
      </c>
      <c r="AP41" s="178" t="str">
        <f>IF(AND(observasi1!AP41="",observasi2!AP41=""),"",AVERAGE(observasi1!AP41,observasi2!AP41))</f>
        <v/>
      </c>
      <c r="AQ41" s="178" t="str">
        <f>IF(AND(observasi1!AQ41="",observasi2!AQ41=""),"",AVERAGE(observasi1!AQ41,observasi2!AQ41))</f>
        <v/>
      </c>
      <c r="AR41" s="178" t="str">
        <f>IF(AND(observasi1!AR41="",observasi2!AR41=""),"",AVERAGE(observasi1!AR41,observasi2!AR41))</f>
        <v/>
      </c>
      <c r="AS41" s="178" t="str">
        <f>IF(AND(observasi1!AS41="",observasi2!AS41=""),"",AVERAGE(observasi1!AS41,observasi2!AS41))</f>
        <v/>
      </c>
      <c r="AT41" s="178" t="str">
        <f>IF(AND(observasi1!AT41="",observasi2!AT41=""),"",AVERAGE(observasi1!AT41,observasi2!AT41))</f>
        <v/>
      </c>
      <c r="AU41" s="178" t="str">
        <f>IF(AND(observasi1!AU41="",observasi2!AU41=""),"",AVERAGE(observasi1!AU41,observasi2!AU41))</f>
        <v/>
      </c>
      <c r="AV41" s="178" t="str">
        <f>IF(AND(observasi1!AV41="",observasi2!AV41=""),"",AVERAGE(observasi1!AV41,observasi2!AV41))</f>
        <v/>
      </c>
      <c r="AW41" s="178" t="str">
        <f>IF(AND(observasi1!AW41="",observasi2!AW41=""),"",AVERAGE(observasi1!AW41,observasi2!AW41))</f>
        <v/>
      </c>
      <c r="AX41" s="178" t="str">
        <f>IF(AND(observasi1!AX41="",observasi2!AX41=""),"",AVERAGE(observasi1!AX41,observasi2!AX41))</f>
        <v/>
      </c>
      <c r="AY41" s="178" t="str">
        <f>IF(AND(observasi1!AY41="",observasi2!AY41=""),"",AVERAGE(observasi1!AY41,observasi2!AY41))</f>
        <v/>
      </c>
    </row>
    <row r="42" spans="1:51">
      <c r="A42" s="624"/>
      <c r="B42" s="164" t="s">
        <v>192</v>
      </c>
      <c r="C42" s="165" t="s">
        <v>89</v>
      </c>
      <c r="D42" s="178" t="str">
        <f>IF(AND(observasi1!D42="",observasi2!D42=""),"",AVERAGE(observasi1!D42,observasi2!D42))</f>
        <v/>
      </c>
      <c r="E42" s="178" t="str">
        <f>IF(AND(observasi1!E42="",observasi2!E42=""),"",AVERAGE(observasi1!E42,observasi2!E42))</f>
        <v/>
      </c>
      <c r="F42" s="178" t="str">
        <f>IF(AND(observasi1!F42="",observasi2!F42=""),"",AVERAGE(observasi1!F42,observasi2!F42))</f>
        <v/>
      </c>
      <c r="G42" s="178" t="str">
        <f>IF(AND(observasi1!G42="",observasi2!G42=""),"",AVERAGE(observasi1!G42,observasi2!G42))</f>
        <v/>
      </c>
      <c r="H42" s="178" t="str">
        <f>IF(AND(observasi1!H42="",observasi2!H42=""),"",AVERAGE(observasi1!H42,observasi2!H42))</f>
        <v/>
      </c>
      <c r="I42" s="178" t="str">
        <f>IF(AND(observasi1!I42="",observasi2!I42=""),"",AVERAGE(observasi1!I42,observasi2!I42))</f>
        <v/>
      </c>
      <c r="J42" s="178" t="str">
        <f>IF(AND(observasi1!J42="",observasi2!J42=""),"",AVERAGE(observasi1!J42,observasi2!J42))</f>
        <v/>
      </c>
      <c r="K42" s="178" t="str">
        <f>IF(AND(observasi1!K42="",observasi2!K42=""),"",AVERAGE(observasi1!K42,observasi2!K42))</f>
        <v/>
      </c>
      <c r="L42" s="178" t="str">
        <f>IF(AND(observasi1!L42="",observasi2!L42=""),"",AVERAGE(observasi1!L42,observasi2!L42))</f>
        <v/>
      </c>
      <c r="M42" s="178" t="str">
        <f>IF(AND(observasi1!M42="",observasi2!M42=""),"",AVERAGE(observasi1!M42,observasi2!M42))</f>
        <v/>
      </c>
      <c r="N42" s="178" t="str">
        <f>IF(AND(observasi1!N42="",observasi2!N42=""),"",AVERAGE(observasi1!N42,observasi2!N42))</f>
        <v/>
      </c>
      <c r="O42" s="178" t="str">
        <f>IF(AND(observasi1!O42="",observasi2!O42=""),"",AVERAGE(observasi1!O42,observasi2!O42))</f>
        <v/>
      </c>
      <c r="P42" s="178" t="str">
        <f>IF(AND(observasi1!P42="",observasi2!P42=""),"",AVERAGE(observasi1!P42,observasi2!P42))</f>
        <v/>
      </c>
      <c r="Q42" s="178" t="str">
        <f>IF(AND(observasi1!Q42="",observasi2!Q42=""),"",AVERAGE(observasi1!Q42,observasi2!Q42))</f>
        <v/>
      </c>
      <c r="R42" s="178" t="str">
        <f>IF(AND(observasi1!R42="",observasi2!R42=""),"",AVERAGE(observasi1!R42,observasi2!R42))</f>
        <v/>
      </c>
      <c r="S42" s="178" t="str">
        <f>IF(AND(observasi1!S42="",observasi2!S42=""),"",AVERAGE(observasi1!S42,observasi2!S42))</f>
        <v/>
      </c>
      <c r="T42" s="178" t="str">
        <f>IF(AND(observasi1!T42="",observasi2!T42=""),"",AVERAGE(observasi1!T42,observasi2!T42))</f>
        <v/>
      </c>
      <c r="U42" s="178" t="str">
        <f>IF(AND(observasi1!U42="",observasi2!U42=""),"",AVERAGE(observasi1!U42,observasi2!U42))</f>
        <v/>
      </c>
      <c r="V42" s="178" t="str">
        <f>IF(AND(observasi1!V42="",observasi2!V42=""),"",AVERAGE(observasi1!V42,observasi2!V42))</f>
        <v/>
      </c>
      <c r="W42" s="178" t="str">
        <f>IF(AND(observasi1!W42="",observasi2!W42=""),"",AVERAGE(observasi1!W42,observasi2!W42))</f>
        <v/>
      </c>
      <c r="X42" s="178" t="str">
        <f>IF(AND(observasi1!X42="",observasi2!X42=""),"",AVERAGE(observasi1!X42,observasi2!X42))</f>
        <v/>
      </c>
      <c r="Y42" s="178" t="str">
        <f>IF(AND(observasi1!Y42="",observasi2!Y42=""),"",AVERAGE(observasi1!Y42,observasi2!Y42))</f>
        <v/>
      </c>
      <c r="Z42" s="178" t="str">
        <f>IF(AND(observasi1!Z42="",observasi2!Z42=""),"",AVERAGE(observasi1!Z42,observasi2!Z42))</f>
        <v/>
      </c>
      <c r="AA42" s="178" t="str">
        <f>IF(AND(observasi1!AA42="",observasi2!AA42=""),"",AVERAGE(observasi1!AA42,observasi2!AA42))</f>
        <v/>
      </c>
      <c r="AB42" s="178" t="str">
        <f>IF(AND(observasi1!AB42="",observasi2!AB42=""),"",AVERAGE(observasi1!AB42,observasi2!AB42))</f>
        <v/>
      </c>
      <c r="AC42" s="178" t="str">
        <f>IF(AND(observasi1!AC42="",observasi2!AC42=""),"",AVERAGE(observasi1!AC42,observasi2!AC42))</f>
        <v/>
      </c>
      <c r="AD42" s="178" t="str">
        <f>IF(AND(observasi1!AD42="",observasi2!AD42=""),"",AVERAGE(observasi1!AD42,observasi2!AD42))</f>
        <v/>
      </c>
      <c r="AE42" s="178" t="str">
        <f>IF(AND(observasi1!AE42="",observasi2!AE42=""),"",AVERAGE(observasi1!AE42,observasi2!AE42))</f>
        <v/>
      </c>
      <c r="AF42" s="178" t="str">
        <f>IF(AND(observasi1!AF42="",observasi2!AF42=""),"",AVERAGE(observasi1!AF42,observasi2!AF42))</f>
        <v/>
      </c>
      <c r="AG42" s="178" t="str">
        <f>IF(AND(observasi1!AG42="",observasi2!AG42=""),"",AVERAGE(observasi1!AG42,observasi2!AG42))</f>
        <v/>
      </c>
      <c r="AH42" s="178" t="str">
        <f>IF(AND(observasi1!AH42="",observasi2!AH42=""),"",AVERAGE(observasi1!AH42,observasi2!AH42))</f>
        <v/>
      </c>
      <c r="AI42" s="178" t="str">
        <f>IF(AND(observasi1!AI42="",observasi2!AI42=""),"",AVERAGE(observasi1!AI42,observasi2!AI42))</f>
        <v/>
      </c>
      <c r="AJ42" s="178" t="str">
        <f>IF(AND(observasi1!AJ42="",observasi2!AJ42=""),"",AVERAGE(observasi1!AJ42,observasi2!AJ42))</f>
        <v/>
      </c>
      <c r="AK42" s="178" t="str">
        <f>IF(AND(observasi1!AK42="",observasi2!AK42=""),"",AVERAGE(observasi1!AK42,observasi2!AK42))</f>
        <v/>
      </c>
      <c r="AL42" s="178" t="str">
        <f>IF(AND(observasi1!AL42="",observasi2!AL42=""),"",AVERAGE(observasi1!AL42,observasi2!AL42))</f>
        <v/>
      </c>
      <c r="AM42" s="178" t="str">
        <f>IF(AND(observasi1!AM42="",observasi2!AM42=""),"",AVERAGE(observasi1!AM42,observasi2!AM42))</f>
        <v/>
      </c>
      <c r="AN42" s="178" t="str">
        <f>IF(AND(observasi1!AN42="",observasi2!AN42=""),"",AVERAGE(observasi1!AN42,observasi2!AN42))</f>
        <v/>
      </c>
      <c r="AO42" s="178" t="str">
        <f>IF(AND(observasi1!AO42="",observasi2!AO42=""),"",AVERAGE(observasi1!AO42,observasi2!AO42))</f>
        <v/>
      </c>
      <c r="AP42" s="178" t="str">
        <f>IF(AND(observasi1!AP42="",observasi2!AP42=""),"",AVERAGE(observasi1!AP42,observasi2!AP42))</f>
        <v/>
      </c>
      <c r="AQ42" s="178" t="str">
        <f>IF(AND(observasi1!AQ42="",observasi2!AQ42=""),"",AVERAGE(observasi1!AQ42,observasi2!AQ42))</f>
        <v/>
      </c>
      <c r="AR42" s="178" t="str">
        <f>IF(AND(observasi1!AR42="",observasi2!AR42=""),"",AVERAGE(observasi1!AR42,observasi2!AR42))</f>
        <v/>
      </c>
      <c r="AS42" s="178" t="str">
        <f>IF(AND(observasi1!AS42="",observasi2!AS42=""),"",AVERAGE(observasi1!AS42,observasi2!AS42))</f>
        <v/>
      </c>
      <c r="AT42" s="178" t="str">
        <f>IF(AND(observasi1!AT42="",observasi2!AT42=""),"",AVERAGE(observasi1!AT42,observasi2!AT42))</f>
        <v/>
      </c>
      <c r="AU42" s="178" t="str">
        <f>IF(AND(observasi1!AU42="",observasi2!AU42=""),"",AVERAGE(observasi1!AU42,observasi2!AU42))</f>
        <v/>
      </c>
      <c r="AV42" s="178" t="str">
        <f>IF(AND(observasi1!AV42="",observasi2!AV42=""),"",AVERAGE(observasi1!AV42,observasi2!AV42))</f>
        <v/>
      </c>
      <c r="AW42" s="178" t="str">
        <f>IF(AND(observasi1!AW42="",observasi2!AW42=""),"",AVERAGE(observasi1!AW42,observasi2!AW42))</f>
        <v/>
      </c>
      <c r="AX42" s="178" t="str">
        <f>IF(AND(observasi1!AX42="",observasi2!AX42=""),"",AVERAGE(observasi1!AX42,observasi2!AX42))</f>
        <v/>
      </c>
      <c r="AY42" s="178" t="str">
        <f>IF(AND(observasi1!AY42="",observasi2!AY42=""),"",AVERAGE(observasi1!AY42,observasi2!AY42))</f>
        <v/>
      </c>
    </row>
    <row r="43" spans="1:51">
      <c r="A43" s="624"/>
      <c r="B43" s="164" t="s">
        <v>193</v>
      </c>
      <c r="C43" s="165" t="s">
        <v>90</v>
      </c>
      <c r="D43" s="178" t="str">
        <f>IF(AND(observasi1!D43="",observasi2!D43=""),"",AVERAGE(observasi1!D43,observasi2!D43))</f>
        <v/>
      </c>
      <c r="E43" s="178" t="str">
        <f>IF(AND(observasi1!E43="",observasi2!E43=""),"",AVERAGE(observasi1!E43,observasi2!E43))</f>
        <v/>
      </c>
      <c r="F43" s="178" t="str">
        <f>IF(AND(observasi1!F43="",observasi2!F43=""),"",AVERAGE(observasi1!F43,observasi2!F43))</f>
        <v/>
      </c>
      <c r="G43" s="178" t="str">
        <f>IF(AND(observasi1!G43="",observasi2!G43=""),"",AVERAGE(observasi1!G43,observasi2!G43))</f>
        <v/>
      </c>
      <c r="H43" s="178" t="str">
        <f>IF(AND(observasi1!H43="",observasi2!H43=""),"",AVERAGE(observasi1!H43,observasi2!H43))</f>
        <v/>
      </c>
      <c r="I43" s="178" t="str">
        <f>IF(AND(observasi1!I43="",observasi2!I43=""),"",AVERAGE(observasi1!I43,observasi2!I43))</f>
        <v/>
      </c>
      <c r="J43" s="178" t="str">
        <f>IF(AND(observasi1!J43="",observasi2!J43=""),"",AVERAGE(observasi1!J43,observasi2!J43))</f>
        <v/>
      </c>
      <c r="K43" s="178" t="str">
        <f>IF(AND(observasi1!K43="",observasi2!K43=""),"",AVERAGE(observasi1!K43,observasi2!K43))</f>
        <v/>
      </c>
      <c r="L43" s="178" t="str">
        <f>IF(AND(observasi1!L43="",observasi2!L43=""),"",AVERAGE(observasi1!L43,observasi2!L43))</f>
        <v/>
      </c>
      <c r="M43" s="178" t="str">
        <f>IF(AND(observasi1!M43="",observasi2!M43=""),"",AVERAGE(observasi1!M43,observasi2!M43))</f>
        <v/>
      </c>
      <c r="N43" s="178" t="str">
        <f>IF(AND(observasi1!N43="",observasi2!N43=""),"",AVERAGE(observasi1!N43,observasi2!N43))</f>
        <v/>
      </c>
      <c r="O43" s="178" t="str">
        <f>IF(AND(observasi1!O43="",observasi2!O43=""),"",AVERAGE(observasi1!O43,observasi2!O43))</f>
        <v/>
      </c>
      <c r="P43" s="178" t="str">
        <f>IF(AND(observasi1!P43="",observasi2!P43=""),"",AVERAGE(observasi1!P43,observasi2!P43))</f>
        <v/>
      </c>
      <c r="Q43" s="178" t="str">
        <f>IF(AND(observasi1!Q43="",observasi2!Q43=""),"",AVERAGE(observasi1!Q43,observasi2!Q43))</f>
        <v/>
      </c>
      <c r="R43" s="178" t="str">
        <f>IF(AND(observasi1!R43="",observasi2!R43=""),"",AVERAGE(observasi1!R43,observasi2!R43))</f>
        <v/>
      </c>
      <c r="S43" s="178" t="str">
        <f>IF(AND(observasi1!S43="",observasi2!S43=""),"",AVERAGE(observasi1!S43,observasi2!S43))</f>
        <v/>
      </c>
      <c r="T43" s="178" t="str">
        <f>IF(AND(observasi1!T43="",observasi2!T43=""),"",AVERAGE(observasi1!T43,observasi2!T43))</f>
        <v/>
      </c>
      <c r="U43" s="178" t="str">
        <f>IF(AND(observasi1!U43="",observasi2!U43=""),"",AVERAGE(observasi1!U43,observasi2!U43))</f>
        <v/>
      </c>
      <c r="V43" s="178" t="str">
        <f>IF(AND(observasi1!V43="",observasi2!V43=""),"",AVERAGE(observasi1!V43,observasi2!V43))</f>
        <v/>
      </c>
      <c r="W43" s="178" t="str">
        <f>IF(AND(observasi1!W43="",observasi2!W43=""),"",AVERAGE(observasi1!W43,observasi2!W43))</f>
        <v/>
      </c>
      <c r="X43" s="178" t="str">
        <f>IF(AND(observasi1!X43="",observasi2!X43=""),"",AVERAGE(observasi1!X43,observasi2!X43))</f>
        <v/>
      </c>
      <c r="Y43" s="178" t="str">
        <f>IF(AND(observasi1!Y43="",observasi2!Y43=""),"",AVERAGE(observasi1!Y43,observasi2!Y43))</f>
        <v/>
      </c>
      <c r="Z43" s="178" t="str">
        <f>IF(AND(observasi1!Z43="",observasi2!Z43=""),"",AVERAGE(observasi1!Z43,observasi2!Z43))</f>
        <v/>
      </c>
      <c r="AA43" s="178" t="str">
        <f>IF(AND(observasi1!AA43="",observasi2!AA43=""),"",AVERAGE(observasi1!AA43,observasi2!AA43))</f>
        <v/>
      </c>
      <c r="AB43" s="178" t="str">
        <f>IF(AND(observasi1!AB43="",observasi2!AB43=""),"",AVERAGE(observasi1!AB43,observasi2!AB43))</f>
        <v/>
      </c>
      <c r="AC43" s="178" t="str">
        <f>IF(AND(observasi1!AC43="",observasi2!AC43=""),"",AVERAGE(observasi1!AC43,observasi2!AC43))</f>
        <v/>
      </c>
      <c r="AD43" s="178" t="str">
        <f>IF(AND(observasi1!AD43="",observasi2!AD43=""),"",AVERAGE(observasi1!AD43,observasi2!AD43))</f>
        <v/>
      </c>
      <c r="AE43" s="178" t="str">
        <f>IF(AND(observasi1!AE43="",observasi2!AE43=""),"",AVERAGE(observasi1!AE43,observasi2!AE43))</f>
        <v/>
      </c>
      <c r="AF43" s="178" t="str">
        <f>IF(AND(observasi1!AF43="",observasi2!AF43=""),"",AVERAGE(observasi1!AF43,observasi2!AF43))</f>
        <v/>
      </c>
      <c r="AG43" s="178" t="str">
        <f>IF(AND(observasi1!AG43="",observasi2!AG43=""),"",AVERAGE(observasi1!AG43,observasi2!AG43))</f>
        <v/>
      </c>
      <c r="AH43" s="178" t="str">
        <f>IF(AND(observasi1!AH43="",observasi2!AH43=""),"",AVERAGE(observasi1!AH43,observasi2!AH43))</f>
        <v/>
      </c>
      <c r="AI43" s="178" t="str">
        <f>IF(AND(observasi1!AI43="",observasi2!AI43=""),"",AVERAGE(observasi1!AI43,observasi2!AI43))</f>
        <v/>
      </c>
      <c r="AJ43" s="178" t="str">
        <f>IF(AND(observasi1!AJ43="",observasi2!AJ43=""),"",AVERAGE(observasi1!AJ43,observasi2!AJ43))</f>
        <v/>
      </c>
      <c r="AK43" s="178" t="str">
        <f>IF(AND(observasi1!AK43="",observasi2!AK43=""),"",AVERAGE(observasi1!AK43,observasi2!AK43))</f>
        <v/>
      </c>
      <c r="AL43" s="178" t="str">
        <f>IF(AND(observasi1!AL43="",observasi2!AL43=""),"",AVERAGE(observasi1!AL43,observasi2!AL43))</f>
        <v/>
      </c>
      <c r="AM43" s="178" t="str">
        <f>IF(AND(observasi1!AM43="",observasi2!AM43=""),"",AVERAGE(observasi1!AM43,observasi2!AM43))</f>
        <v/>
      </c>
      <c r="AN43" s="178" t="str">
        <f>IF(AND(observasi1!AN43="",observasi2!AN43=""),"",AVERAGE(observasi1!AN43,observasi2!AN43))</f>
        <v/>
      </c>
      <c r="AO43" s="178" t="str">
        <f>IF(AND(observasi1!AO43="",observasi2!AO43=""),"",AVERAGE(observasi1!AO43,observasi2!AO43))</f>
        <v/>
      </c>
      <c r="AP43" s="178" t="str">
        <f>IF(AND(observasi1!AP43="",observasi2!AP43=""),"",AVERAGE(observasi1!AP43,observasi2!AP43))</f>
        <v/>
      </c>
      <c r="AQ43" s="178" t="str">
        <f>IF(AND(observasi1!AQ43="",observasi2!AQ43=""),"",AVERAGE(observasi1!AQ43,observasi2!AQ43))</f>
        <v/>
      </c>
      <c r="AR43" s="178" t="str">
        <f>IF(AND(observasi1!AR43="",observasi2!AR43=""),"",AVERAGE(observasi1!AR43,observasi2!AR43))</f>
        <v/>
      </c>
      <c r="AS43" s="178" t="str">
        <f>IF(AND(observasi1!AS43="",observasi2!AS43=""),"",AVERAGE(observasi1!AS43,observasi2!AS43))</f>
        <v/>
      </c>
      <c r="AT43" s="178" t="str">
        <f>IF(AND(observasi1!AT43="",observasi2!AT43=""),"",AVERAGE(observasi1!AT43,observasi2!AT43))</f>
        <v/>
      </c>
      <c r="AU43" s="178" t="str">
        <f>IF(AND(observasi1!AU43="",observasi2!AU43=""),"",AVERAGE(observasi1!AU43,observasi2!AU43))</f>
        <v/>
      </c>
      <c r="AV43" s="178" t="str">
        <f>IF(AND(observasi1!AV43="",observasi2!AV43=""),"",AVERAGE(observasi1!AV43,observasi2!AV43))</f>
        <v/>
      </c>
      <c r="AW43" s="178" t="str">
        <f>IF(AND(observasi1!AW43="",observasi2!AW43=""),"",AVERAGE(observasi1!AW43,observasi2!AW43))</f>
        <v/>
      </c>
      <c r="AX43" s="178" t="str">
        <f>IF(AND(observasi1!AX43="",observasi2!AX43=""),"",AVERAGE(observasi1!AX43,observasi2!AX43))</f>
        <v/>
      </c>
      <c r="AY43" s="178" t="str">
        <f>IF(AND(observasi1!AY43="",observasi2!AY43=""),"",AVERAGE(observasi1!AY43,observasi2!AY43))</f>
        <v/>
      </c>
    </row>
    <row r="44" spans="1:51">
      <c r="A44" s="624"/>
      <c r="B44" s="164" t="s">
        <v>194</v>
      </c>
      <c r="C44" s="165" t="s">
        <v>195</v>
      </c>
      <c r="D44" s="178" t="str">
        <f>IF(AND(observasi1!D44="",observasi2!D44=""),"",AVERAGE(observasi1!D44,observasi2!D44))</f>
        <v/>
      </c>
      <c r="E44" s="178" t="str">
        <f>IF(AND(observasi1!E44="",observasi2!E44=""),"",AVERAGE(observasi1!E44,observasi2!E44))</f>
        <v/>
      </c>
      <c r="F44" s="178" t="str">
        <f>IF(AND(observasi1!F44="",observasi2!F44=""),"",AVERAGE(observasi1!F44,observasi2!F44))</f>
        <v/>
      </c>
      <c r="G44" s="178" t="str">
        <f>IF(AND(observasi1!G44="",observasi2!G44=""),"",AVERAGE(observasi1!G44,observasi2!G44))</f>
        <v/>
      </c>
      <c r="H44" s="178" t="str">
        <f>IF(AND(observasi1!H44="",observasi2!H44=""),"",AVERAGE(observasi1!H44,observasi2!H44))</f>
        <v/>
      </c>
      <c r="I44" s="178" t="str">
        <f>IF(AND(observasi1!I44="",observasi2!I44=""),"",AVERAGE(observasi1!I44,observasi2!I44))</f>
        <v/>
      </c>
      <c r="J44" s="178" t="str">
        <f>IF(AND(observasi1!J44="",observasi2!J44=""),"",AVERAGE(observasi1!J44,observasi2!J44))</f>
        <v/>
      </c>
      <c r="K44" s="178" t="str">
        <f>IF(AND(observasi1!K44="",observasi2!K44=""),"",AVERAGE(observasi1!K44,observasi2!K44))</f>
        <v/>
      </c>
      <c r="L44" s="178" t="str">
        <f>IF(AND(observasi1!L44="",observasi2!L44=""),"",AVERAGE(observasi1!L44,observasi2!L44))</f>
        <v/>
      </c>
      <c r="M44" s="178" t="str">
        <f>IF(AND(observasi1!M44="",observasi2!M44=""),"",AVERAGE(observasi1!M44,observasi2!M44))</f>
        <v/>
      </c>
      <c r="N44" s="178" t="str">
        <f>IF(AND(observasi1!N44="",observasi2!N44=""),"",AVERAGE(observasi1!N44,observasi2!N44))</f>
        <v/>
      </c>
      <c r="O44" s="178" t="str">
        <f>IF(AND(observasi1!O44="",observasi2!O44=""),"",AVERAGE(observasi1!O44,observasi2!O44))</f>
        <v/>
      </c>
      <c r="P44" s="178" t="str">
        <f>IF(AND(observasi1!P44="",observasi2!P44=""),"",AVERAGE(observasi1!P44,observasi2!P44))</f>
        <v/>
      </c>
      <c r="Q44" s="178" t="str">
        <f>IF(AND(observasi1!Q44="",observasi2!Q44=""),"",AVERAGE(observasi1!Q44,observasi2!Q44))</f>
        <v/>
      </c>
      <c r="R44" s="178" t="str">
        <f>IF(AND(observasi1!R44="",observasi2!R44=""),"",AVERAGE(observasi1!R44,observasi2!R44))</f>
        <v/>
      </c>
      <c r="S44" s="178" t="str">
        <f>IF(AND(observasi1!S44="",observasi2!S44=""),"",AVERAGE(observasi1!S44,observasi2!S44))</f>
        <v/>
      </c>
      <c r="T44" s="178" t="str">
        <f>IF(AND(observasi1!T44="",observasi2!T44=""),"",AVERAGE(observasi1!T44,observasi2!T44))</f>
        <v/>
      </c>
      <c r="U44" s="178" t="str">
        <f>IF(AND(observasi1!U44="",observasi2!U44=""),"",AVERAGE(observasi1!U44,observasi2!U44))</f>
        <v/>
      </c>
      <c r="V44" s="178" t="str">
        <f>IF(AND(observasi1!V44="",observasi2!V44=""),"",AVERAGE(observasi1!V44,observasi2!V44))</f>
        <v/>
      </c>
      <c r="W44" s="178" t="str">
        <f>IF(AND(observasi1!W44="",observasi2!W44=""),"",AVERAGE(observasi1!W44,observasi2!W44))</f>
        <v/>
      </c>
      <c r="X44" s="178" t="str">
        <f>IF(AND(observasi1!X44="",observasi2!X44=""),"",AVERAGE(observasi1!X44,observasi2!X44))</f>
        <v/>
      </c>
      <c r="Y44" s="178" t="str">
        <f>IF(AND(observasi1!Y44="",observasi2!Y44=""),"",AVERAGE(observasi1!Y44,observasi2!Y44))</f>
        <v/>
      </c>
      <c r="Z44" s="178" t="str">
        <f>IF(AND(observasi1!Z44="",observasi2!Z44=""),"",AVERAGE(observasi1!Z44,observasi2!Z44))</f>
        <v/>
      </c>
      <c r="AA44" s="178" t="str">
        <f>IF(AND(observasi1!AA44="",observasi2!AA44=""),"",AVERAGE(observasi1!AA44,observasi2!AA44))</f>
        <v/>
      </c>
      <c r="AB44" s="178" t="str">
        <f>IF(AND(observasi1!AB44="",observasi2!AB44=""),"",AVERAGE(observasi1!AB44,observasi2!AB44))</f>
        <v/>
      </c>
      <c r="AC44" s="178" t="str">
        <f>IF(AND(observasi1!AC44="",observasi2!AC44=""),"",AVERAGE(observasi1!AC44,observasi2!AC44))</f>
        <v/>
      </c>
      <c r="AD44" s="178" t="str">
        <f>IF(AND(observasi1!AD44="",observasi2!AD44=""),"",AVERAGE(observasi1!AD44,observasi2!AD44))</f>
        <v/>
      </c>
      <c r="AE44" s="178" t="str">
        <f>IF(AND(observasi1!AE44="",observasi2!AE44=""),"",AVERAGE(observasi1!AE44,observasi2!AE44))</f>
        <v/>
      </c>
      <c r="AF44" s="178" t="str">
        <f>IF(AND(observasi1!AF44="",observasi2!AF44=""),"",AVERAGE(observasi1!AF44,observasi2!AF44))</f>
        <v/>
      </c>
      <c r="AG44" s="178" t="str">
        <f>IF(AND(observasi1!AG44="",observasi2!AG44=""),"",AVERAGE(observasi1!AG44,observasi2!AG44))</f>
        <v/>
      </c>
      <c r="AH44" s="178" t="str">
        <f>IF(AND(observasi1!AH44="",observasi2!AH44=""),"",AVERAGE(observasi1!AH44,observasi2!AH44))</f>
        <v/>
      </c>
      <c r="AI44" s="178" t="str">
        <f>IF(AND(observasi1!AI44="",observasi2!AI44=""),"",AVERAGE(observasi1!AI44,observasi2!AI44))</f>
        <v/>
      </c>
      <c r="AJ44" s="178" t="str">
        <f>IF(AND(observasi1!AJ44="",observasi2!AJ44=""),"",AVERAGE(observasi1!AJ44,observasi2!AJ44))</f>
        <v/>
      </c>
      <c r="AK44" s="178" t="str">
        <f>IF(AND(observasi1!AK44="",observasi2!AK44=""),"",AVERAGE(observasi1!AK44,observasi2!AK44))</f>
        <v/>
      </c>
      <c r="AL44" s="178" t="str">
        <f>IF(AND(observasi1!AL44="",observasi2!AL44=""),"",AVERAGE(observasi1!AL44,observasi2!AL44))</f>
        <v/>
      </c>
      <c r="AM44" s="178" t="str">
        <f>IF(AND(observasi1!AM44="",observasi2!AM44=""),"",AVERAGE(observasi1!AM44,observasi2!AM44))</f>
        <v/>
      </c>
      <c r="AN44" s="178" t="str">
        <f>IF(AND(observasi1!AN44="",observasi2!AN44=""),"",AVERAGE(observasi1!AN44,observasi2!AN44))</f>
        <v/>
      </c>
      <c r="AO44" s="178" t="str">
        <f>IF(AND(observasi1!AO44="",observasi2!AO44=""),"",AVERAGE(observasi1!AO44,observasi2!AO44))</f>
        <v/>
      </c>
      <c r="AP44" s="178" t="str">
        <f>IF(AND(observasi1!AP44="",observasi2!AP44=""),"",AVERAGE(observasi1!AP44,observasi2!AP44))</f>
        <v/>
      </c>
      <c r="AQ44" s="178" t="str">
        <f>IF(AND(observasi1!AQ44="",observasi2!AQ44=""),"",AVERAGE(observasi1!AQ44,observasi2!AQ44))</f>
        <v/>
      </c>
      <c r="AR44" s="178" t="str">
        <f>IF(AND(observasi1!AR44="",observasi2!AR44=""),"",AVERAGE(observasi1!AR44,observasi2!AR44))</f>
        <v/>
      </c>
      <c r="AS44" s="178" t="str">
        <f>IF(AND(observasi1!AS44="",observasi2!AS44=""),"",AVERAGE(observasi1!AS44,observasi2!AS44))</f>
        <v/>
      </c>
      <c r="AT44" s="178" t="str">
        <f>IF(AND(observasi1!AT44="",observasi2!AT44=""),"",AVERAGE(observasi1!AT44,observasi2!AT44))</f>
        <v/>
      </c>
      <c r="AU44" s="178" t="str">
        <f>IF(AND(observasi1!AU44="",observasi2!AU44=""),"",AVERAGE(observasi1!AU44,observasi2!AU44))</f>
        <v/>
      </c>
      <c r="AV44" s="178" t="str">
        <f>IF(AND(observasi1!AV44="",observasi2!AV44=""),"",AVERAGE(observasi1!AV44,observasi2!AV44))</f>
        <v/>
      </c>
      <c r="AW44" s="178" t="str">
        <f>IF(AND(observasi1!AW44="",observasi2!AW44=""),"",AVERAGE(observasi1!AW44,observasi2!AW44))</f>
        <v/>
      </c>
      <c r="AX44" s="178" t="str">
        <f>IF(AND(observasi1!AX44="",observasi2!AX44=""),"",AVERAGE(observasi1!AX44,observasi2!AX44))</f>
        <v/>
      </c>
      <c r="AY44" s="178" t="str">
        <f>IF(AND(observasi1!AY44="",observasi2!AY44=""),"",AVERAGE(observasi1!AY44,observasi2!AY44))</f>
        <v/>
      </c>
    </row>
    <row r="45" spans="1:51">
      <c r="A45" s="624"/>
      <c r="B45" s="164" t="s">
        <v>196</v>
      </c>
      <c r="C45" s="165" t="s">
        <v>197</v>
      </c>
      <c r="D45" s="178" t="str">
        <f>IF(AND(observasi1!D45="",observasi2!D45=""),"",AVERAGE(observasi1!D45,observasi2!D45))</f>
        <v/>
      </c>
      <c r="E45" s="178" t="str">
        <f>IF(AND(observasi1!E45="",observasi2!E45=""),"",AVERAGE(observasi1!E45,observasi2!E45))</f>
        <v/>
      </c>
      <c r="F45" s="178" t="str">
        <f>IF(AND(observasi1!F45="",observasi2!F45=""),"",AVERAGE(observasi1!F45,observasi2!F45))</f>
        <v/>
      </c>
      <c r="G45" s="178" t="str">
        <f>IF(AND(observasi1!G45="",observasi2!G45=""),"",AVERAGE(observasi1!G45,observasi2!G45))</f>
        <v/>
      </c>
      <c r="H45" s="178" t="str">
        <f>IF(AND(observasi1!H45="",observasi2!H45=""),"",AVERAGE(observasi1!H45,observasi2!H45))</f>
        <v/>
      </c>
      <c r="I45" s="178" t="str">
        <f>IF(AND(observasi1!I45="",observasi2!I45=""),"",AVERAGE(observasi1!I45,observasi2!I45))</f>
        <v/>
      </c>
      <c r="J45" s="178" t="str">
        <f>IF(AND(observasi1!J45="",observasi2!J45=""),"",AVERAGE(observasi1!J45,observasi2!J45))</f>
        <v/>
      </c>
      <c r="K45" s="178" t="str">
        <f>IF(AND(observasi1!K45="",observasi2!K45=""),"",AVERAGE(observasi1!K45,observasi2!K45))</f>
        <v/>
      </c>
      <c r="L45" s="178" t="str">
        <f>IF(AND(observasi1!L45="",observasi2!L45=""),"",AVERAGE(observasi1!L45,observasi2!L45))</f>
        <v/>
      </c>
      <c r="M45" s="178" t="str">
        <f>IF(AND(observasi1!M45="",observasi2!M45=""),"",AVERAGE(observasi1!M45,observasi2!M45))</f>
        <v/>
      </c>
      <c r="N45" s="178" t="str">
        <f>IF(AND(observasi1!N45="",observasi2!N45=""),"",AVERAGE(observasi1!N45,observasi2!N45))</f>
        <v/>
      </c>
      <c r="O45" s="178" t="str">
        <f>IF(AND(observasi1!O45="",observasi2!O45=""),"",AVERAGE(observasi1!O45,observasi2!O45))</f>
        <v/>
      </c>
      <c r="P45" s="178" t="str">
        <f>IF(AND(observasi1!P45="",observasi2!P45=""),"",AVERAGE(observasi1!P45,observasi2!P45))</f>
        <v/>
      </c>
      <c r="Q45" s="178" t="str">
        <f>IF(AND(observasi1!Q45="",observasi2!Q45=""),"",AVERAGE(observasi1!Q45,observasi2!Q45))</f>
        <v/>
      </c>
      <c r="R45" s="178" t="str">
        <f>IF(AND(observasi1!R45="",observasi2!R45=""),"",AVERAGE(observasi1!R45,observasi2!R45))</f>
        <v/>
      </c>
      <c r="S45" s="178" t="str">
        <f>IF(AND(observasi1!S45="",observasi2!S45=""),"",AVERAGE(observasi1!S45,observasi2!S45))</f>
        <v/>
      </c>
      <c r="T45" s="178" t="str">
        <f>IF(AND(observasi1!T45="",observasi2!T45=""),"",AVERAGE(observasi1!T45,observasi2!T45))</f>
        <v/>
      </c>
      <c r="U45" s="178" t="str">
        <f>IF(AND(observasi1!U45="",observasi2!U45=""),"",AVERAGE(observasi1!U45,observasi2!U45))</f>
        <v/>
      </c>
      <c r="V45" s="178" t="str">
        <f>IF(AND(observasi1!V45="",observasi2!V45=""),"",AVERAGE(observasi1!V45,observasi2!V45))</f>
        <v/>
      </c>
      <c r="W45" s="178" t="str">
        <f>IF(AND(observasi1!W45="",observasi2!W45=""),"",AVERAGE(observasi1!W45,observasi2!W45))</f>
        <v/>
      </c>
      <c r="X45" s="178" t="str">
        <f>IF(AND(observasi1!X45="",observasi2!X45=""),"",AVERAGE(observasi1!X45,observasi2!X45))</f>
        <v/>
      </c>
      <c r="Y45" s="178" t="str">
        <f>IF(AND(observasi1!Y45="",observasi2!Y45=""),"",AVERAGE(observasi1!Y45,observasi2!Y45))</f>
        <v/>
      </c>
      <c r="Z45" s="178" t="str">
        <f>IF(AND(observasi1!Z45="",observasi2!Z45=""),"",AVERAGE(observasi1!Z45,observasi2!Z45))</f>
        <v/>
      </c>
      <c r="AA45" s="178" t="str">
        <f>IF(AND(observasi1!AA45="",observasi2!AA45=""),"",AVERAGE(observasi1!AA45,observasi2!AA45))</f>
        <v/>
      </c>
      <c r="AB45" s="178" t="str">
        <f>IF(AND(observasi1!AB45="",observasi2!AB45=""),"",AVERAGE(observasi1!AB45,observasi2!AB45))</f>
        <v/>
      </c>
      <c r="AC45" s="178" t="str">
        <f>IF(AND(observasi1!AC45="",observasi2!AC45=""),"",AVERAGE(observasi1!AC45,observasi2!AC45))</f>
        <v/>
      </c>
      <c r="AD45" s="178" t="str">
        <f>IF(AND(observasi1!AD45="",observasi2!AD45=""),"",AVERAGE(observasi1!AD45,observasi2!AD45))</f>
        <v/>
      </c>
      <c r="AE45" s="178" t="str">
        <f>IF(AND(observasi1!AE45="",observasi2!AE45=""),"",AVERAGE(observasi1!AE45,observasi2!AE45))</f>
        <v/>
      </c>
      <c r="AF45" s="178" t="str">
        <f>IF(AND(observasi1!AF45="",observasi2!AF45=""),"",AVERAGE(observasi1!AF45,observasi2!AF45))</f>
        <v/>
      </c>
      <c r="AG45" s="178" t="str">
        <f>IF(AND(observasi1!AG45="",observasi2!AG45=""),"",AVERAGE(observasi1!AG45,observasi2!AG45))</f>
        <v/>
      </c>
      <c r="AH45" s="178" t="str">
        <f>IF(AND(observasi1!AH45="",observasi2!AH45=""),"",AVERAGE(observasi1!AH45,observasi2!AH45))</f>
        <v/>
      </c>
      <c r="AI45" s="178" t="str">
        <f>IF(AND(observasi1!AI45="",observasi2!AI45=""),"",AVERAGE(observasi1!AI45,observasi2!AI45))</f>
        <v/>
      </c>
      <c r="AJ45" s="178" t="str">
        <f>IF(AND(observasi1!AJ45="",observasi2!AJ45=""),"",AVERAGE(observasi1!AJ45,observasi2!AJ45))</f>
        <v/>
      </c>
      <c r="AK45" s="178" t="str">
        <f>IF(AND(observasi1!AK45="",observasi2!AK45=""),"",AVERAGE(observasi1!AK45,observasi2!AK45))</f>
        <v/>
      </c>
      <c r="AL45" s="178" t="str">
        <f>IF(AND(observasi1!AL45="",observasi2!AL45=""),"",AVERAGE(observasi1!AL45,observasi2!AL45))</f>
        <v/>
      </c>
      <c r="AM45" s="178" t="str">
        <f>IF(AND(observasi1!AM45="",observasi2!AM45=""),"",AVERAGE(observasi1!AM45,observasi2!AM45))</f>
        <v/>
      </c>
      <c r="AN45" s="178" t="str">
        <f>IF(AND(observasi1!AN45="",observasi2!AN45=""),"",AVERAGE(observasi1!AN45,observasi2!AN45))</f>
        <v/>
      </c>
      <c r="AO45" s="178" t="str">
        <f>IF(AND(observasi1!AO45="",observasi2!AO45=""),"",AVERAGE(observasi1!AO45,observasi2!AO45))</f>
        <v/>
      </c>
      <c r="AP45" s="178" t="str">
        <f>IF(AND(observasi1!AP45="",observasi2!AP45=""),"",AVERAGE(observasi1!AP45,observasi2!AP45))</f>
        <v/>
      </c>
      <c r="AQ45" s="178" t="str">
        <f>IF(AND(observasi1!AQ45="",observasi2!AQ45=""),"",AVERAGE(observasi1!AQ45,observasi2!AQ45))</f>
        <v/>
      </c>
      <c r="AR45" s="178" t="str">
        <f>IF(AND(observasi1!AR45="",observasi2!AR45=""),"",AVERAGE(observasi1!AR45,observasi2!AR45))</f>
        <v/>
      </c>
      <c r="AS45" s="178" t="str">
        <f>IF(AND(observasi1!AS45="",observasi2!AS45=""),"",AVERAGE(observasi1!AS45,observasi2!AS45))</f>
        <v/>
      </c>
      <c r="AT45" s="178" t="str">
        <f>IF(AND(observasi1!AT45="",observasi2!AT45=""),"",AVERAGE(observasi1!AT45,observasi2!AT45))</f>
        <v/>
      </c>
      <c r="AU45" s="178" t="str">
        <f>IF(AND(observasi1!AU45="",observasi2!AU45=""),"",AVERAGE(observasi1!AU45,observasi2!AU45))</f>
        <v/>
      </c>
      <c r="AV45" s="178" t="str">
        <f>IF(AND(observasi1!AV45="",observasi2!AV45=""),"",AVERAGE(observasi1!AV45,observasi2!AV45))</f>
        <v/>
      </c>
      <c r="AW45" s="178" t="str">
        <f>IF(AND(observasi1!AW45="",observasi2!AW45=""),"",AVERAGE(observasi1!AW45,observasi2!AW45))</f>
        <v/>
      </c>
      <c r="AX45" s="178" t="str">
        <f>IF(AND(observasi1!AX45="",observasi2!AX45=""),"",AVERAGE(observasi1!AX45,observasi2!AX45))</f>
        <v/>
      </c>
      <c r="AY45" s="178" t="str">
        <f>IF(AND(observasi1!AY45="",observasi2!AY45=""),"",AVERAGE(observasi1!AY45,observasi2!AY45))</f>
        <v/>
      </c>
    </row>
    <row r="46" spans="1:51">
      <c r="A46" s="624"/>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25" t="s">
        <v>13</v>
      </c>
      <c r="B47" s="164" t="s">
        <v>198</v>
      </c>
      <c r="C47" s="165" t="s">
        <v>93</v>
      </c>
      <c r="D47" s="178" t="str">
        <f>IF(AND(observasi1!D47="",observasi2!D47=""),"",AVERAGE(observasi1!D47,observasi2!D47))</f>
        <v/>
      </c>
      <c r="E47" s="178" t="str">
        <f>IF(AND(observasi1!E47="",observasi2!E47=""),"",AVERAGE(observasi1!E47,observasi2!E47))</f>
        <v/>
      </c>
      <c r="F47" s="178" t="str">
        <f>IF(AND(observasi1!F47="",observasi2!F47=""),"",AVERAGE(observasi1!F47,observasi2!F47))</f>
        <v/>
      </c>
      <c r="G47" s="178" t="str">
        <f>IF(AND(observasi1!G47="",observasi2!G47=""),"",AVERAGE(observasi1!G47,observasi2!G47))</f>
        <v/>
      </c>
      <c r="H47" s="178" t="str">
        <f>IF(AND(observasi1!H47="",observasi2!H47=""),"",AVERAGE(observasi1!H47,observasi2!H47))</f>
        <v/>
      </c>
      <c r="I47" s="178" t="str">
        <f>IF(AND(observasi1!I47="",observasi2!I47=""),"",AVERAGE(observasi1!I47,observasi2!I47))</f>
        <v/>
      </c>
      <c r="J47" s="178" t="str">
        <f>IF(AND(observasi1!J47="",observasi2!J47=""),"",AVERAGE(observasi1!J47,observasi2!J47))</f>
        <v/>
      </c>
      <c r="K47" s="178" t="str">
        <f>IF(AND(observasi1!K47="",observasi2!K47=""),"",AVERAGE(observasi1!K47,observasi2!K47))</f>
        <v/>
      </c>
      <c r="L47" s="178" t="str">
        <f>IF(AND(observasi1!L47="",observasi2!L47=""),"",AVERAGE(observasi1!L47,observasi2!L47))</f>
        <v/>
      </c>
      <c r="M47" s="178" t="str">
        <f>IF(AND(observasi1!M47="",observasi2!M47=""),"",AVERAGE(observasi1!M47,observasi2!M47))</f>
        <v/>
      </c>
      <c r="N47" s="178" t="str">
        <f>IF(AND(observasi1!N47="",observasi2!N47=""),"",AVERAGE(observasi1!N47,observasi2!N47))</f>
        <v/>
      </c>
      <c r="O47" s="178" t="str">
        <f>IF(AND(observasi1!O47="",observasi2!O47=""),"",AVERAGE(observasi1!O47,observasi2!O47))</f>
        <v/>
      </c>
      <c r="P47" s="178" t="str">
        <f>IF(AND(observasi1!P47="",observasi2!P47=""),"",AVERAGE(observasi1!P47,observasi2!P47))</f>
        <v/>
      </c>
      <c r="Q47" s="178" t="str">
        <f>IF(AND(observasi1!Q47="",observasi2!Q47=""),"",AVERAGE(observasi1!Q47,observasi2!Q47))</f>
        <v/>
      </c>
      <c r="R47" s="178" t="str">
        <f>IF(AND(observasi1!R47="",observasi2!R47=""),"",AVERAGE(observasi1!R47,observasi2!R47))</f>
        <v/>
      </c>
      <c r="S47" s="178" t="str">
        <f>IF(AND(observasi1!S47="",observasi2!S47=""),"",AVERAGE(observasi1!S47,observasi2!S47))</f>
        <v/>
      </c>
      <c r="T47" s="178" t="str">
        <f>IF(AND(observasi1!T47="",observasi2!T47=""),"",AVERAGE(observasi1!T47,observasi2!T47))</f>
        <v/>
      </c>
      <c r="U47" s="178" t="str">
        <f>IF(AND(observasi1!U47="",observasi2!U47=""),"",AVERAGE(observasi1!U47,observasi2!U47))</f>
        <v/>
      </c>
      <c r="V47" s="178" t="str">
        <f>IF(AND(observasi1!V47="",observasi2!V47=""),"",AVERAGE(observasi1!V47,observasi2!V47))</f>
        <v/>
      </c>
      <c r="W47" s="178" t="str">
        <f>IF(AND(observasi1!W47="",observasi2!W47=""),"",AVERAGE(observasi1!W47,observasi2!W47))</f>
        <v/>
      </c>
      <c r="X47" s="178" t="str">
        <f>IF(AND(observasi1!X47="",observasi2!X47=""),"",AVERAGE(observasi1!X47,observasi2!X47))</f>
        <v/>
      </c>
      <c r="Y47" s="178" t="str">
        <f>IF(AND(observasi1!Y47="",observasi2!Y47=""),"",AVERAGE(observasi1!Y47,observasi2!Y47))</f>
        <v/>
      </c>
      <c r="Z47" s="178" t="str">
        <f>IF(AND(observasi1!Z47="",observasi2!Z47=""),"",AVERAGE(observasi1!Z47,observasi2!Z47))</f>
        <v/>
      </c>
      <c r="AA47" s="178" t="str">
        <f>IF(AND(observasi1!AA47="",observasi2!AA47=""),"",AVERAGE(observasi1!AA47,observasi2!AA47))</f>
        <v/>
      </c>
      <c r="AB47" s="178" t="str">
        <f>IF(AND(observasi1!AB47="",observasi2!AB47=""),"",AVERAGE(observasi1!AB47,observasi2!AB47))</f>
        <v/>
      </c>
      <c r="AC47" s="178" t="str">
        <f>IF(AND(observasi1!AC47="",observasi2!AC47=""),"",AVERAGE(observasi1!AC47,observasi2!AC47))</f>
        <v/>
      </c>
      <c r="AD47" s="178" t="str">
        <f>IF(AND(observasi1!AD47="",observasi2!AD47=""),"",AVERAGE(observasi1!AD47,observasi2!AD47))</f>
        <v/>
      </c>
      <c r="AE47" s="178" t="str">
        <f>IF(AND(observasi1!AE47="",observasi2!AE47=""),"",AVERAGE(observasi1!AE47,observasi2!AE47))</f>
        <v/>
      </c>
      <c r="AF47" s="178" t="str">
        <f>IF(AND(observasi1!AF47="",observasi2!AF47=""),"",AVERAGE(observasi1!AF47,observasi2!AF47))</f>
        <v/>
      </c>
      <c r="AG47" s="178" t="str">
        <f>IF(AND(observasi1!AG47="",observasi2!AG47=""),"",AVERAGE(observasi1!AG47,observasi2!AG47))</f>
        <v/>
      </c>
      <c r="AH47" s="178" t="str">
        <f>IF(AND(observasi1!AH47="",observasi2!AH47=""),"",AVERAGE(observasi1!AH47,observasi2!AH47))</f>
        <v/>
      </c>
      <c r="AI47" s="178" t="str">
        <f>IF(AND(observasi1!AI47="",observasi2!AI47=""),"",AVERAGE(observasi1!AI47,observasi2!AI47))</f>
        <v/>
      </c>
      <c r="AJ47" s="178" t="str">
        <f>IF(AND(observasi1!AJ47="",observasi2!AJ47=""),"",AVERAGE(observasi1!AJ47,observasi2!AJ47))</f>
        <v/>
      </c>
      <c r="AK47" s="178" t="str">
        <f>IF(AND(observasi1!AK47="",observasi2!AK47=""),"",AVERAGE(observasi1!AK47,observasi2!AK47))</f>
        <v/>
      </c>
      <c r="AL47" s="178" t="str">
        <f>IF(AND(observasi1!AL47="",observasi2!AL47=""),"",AVERAGE(observasi1!AL47,observasi2!AL47))</f>
        <v/>
      </c>
      <c r="AM47" s="178" t="str">
        <f>IF(AND(observasi1!AM47="",observasi2!AM47=""),"",AVERAGE(observasi1!AM47,observasi2!AM47))</f>
        <v/>
      </c>
      <c r="AN47" s="178" t="str">
        <f>IF(AND(observasi1!AN47="",observasi2!AN47=""),"",AVERAGE(observasi1!AN47,observasi2!AN47))</f>
        <v/>
      </c>
      <c r="AO47" s="178" t="str">
        <f>IF(AND(observasi1!AO47="",observasi2!AO47=""),"",AVERAGE(observasi1!AO47,observasi2!AO47))</f>
        <v/>
      </c>
      <c r="AP47" s="178" t="str">
        <f>IF(AND(observasi1!AP47="",observasi2!AP47=""),"",AVERAGE(observasi1!AP47,observasi2!AP47))</f>
        <v/>
      </c>
      <c r="AQ47" s="178" t="str">
        <f>IF(AND(observasi1!AQ47="",observasi2!AQ47=""),"",AVERAGE(observasi1!AQ47,observasi2!AQ47))</f>
        <v/>
      </c>
      <c r="AR47" s="178" t="str">
        <f>IF(AND(observasi1!AR47="",observasi2!AR47=""),"",AVERAGE(observasi1!AR47,observasi2!AR47))</f>
        <v/>
      </c>
      <c r="AS47" s="178" t="str">
        <f>IF(AND(observasi1!AS47="",observasi2!AS47=""),"",AVERAGE(observasi1!AS47,observasi2!AS47))</f>
        <v/>
      </c>
      <c r="AT47" s="178" t="str">
        <f>IF(AND(observasi1!AT47="",observasi2!AT47=""),"",AVERAGE(observasi1!AT47,observasi2!AT47))</f>
        <v/>
      </c>
      <c r="AU47" s="178" t="str">
        <f>IF(AND(observasi1!AU47="",observasi2!AU47=""),"",AVERAGE(observasi1!AU47,observasi2!AU47))</f>
        <v/>
      </c>
      <c r="AV47" s="178" t="str">
        <f>IF(AND(observasi1!AV47="",observasi2!AV47=""),"",AVERAGE(observasi1!AV47,observasi2!AV47))</f>
        <v/>
      </c>
      <c r="AW47" s="178" t="str">
        <f>IF(AND(observasi1!AW47="",observasi2!AW47=""),"",AVERAGE(observasi1!AW47,observasi2!AW47))</f>
        <v/>
      </c>
      <c r="AX47" s="178" t="str">
        <f>IF(AND(observasi1!AX47="",observasi2!AX47=""),"",AVERAGE(observasi1!AX47,observasi2!AX47))</f>
        <v/>
      </c>
      <c r="AY47" s="178" t="str">
        <f>IF(AND(observasi1!AY47="",observasi2!AY47=""),"",AVERAGE(observasi1!AY47,observasi2!AY47))</f>
        <v/>
      </c>
    </row>
    <row r="48" spans="1:51">
      <c r="A48" s="625"/>
      <c r="B48" s="164" t="s">
        <v>199</v>
      </c>
      <c r="C48" s="165" t="s">
        <v>94</v>
      </c>
      <c r="D48" s="178" t="str">
        <f>IF(AND(observasi1!D48="",observasi2!D48=""),"",AVERAGE(observasi1!D48,observasi2!D48))</f>
        <v/>
      </c>
      <c r="E48" s="178" t="str">
        <f>IF(AND(observasi1!E48="",observasi2!E48=""),"",AVERAGE(observasi1!E48,observasi2!E48))</f>
        <v/>
      </c>
      <c r="F48" s="178" t="str">
        <f>IF(AND(observasi1!F48="",observasi2!F48=""),"",AVERAGE(observasi1!F48,observasi2!F48))</f>
        <v/>
      </c>
      <c r="G48" s="178" t="str">
        <f>IF(AND(observasi1!G48="",observasi2!G48=""),"",AVERAGE(observasi1!G48,observasi2!G48))</f>
        <v/>
      </c>
      <c r="H48" s="178" t="str">
        <f>IF(AND(observasi1!H48="",observasi2!H48=""),"",AVERAGE(observasi1!H48,observasi2!H48))</f>
        <v/>
      </c>
      <c r="I48" s="178" t="str">
        <f>IF(AND(observasi1!I48="",observasi2!I48=""),"",AVERAGE(observasi1!I48,observasi2!I48))</f>
        <v/>
      </c>
      <c r="J48" s="178" t="str">
        <f>IF(AND(observasi1!J48="",observasi2!J48=""),"",AVERAGE(observasi1!J48,observasi2!J48))</f>
        <v/>
      </c>
      <c r="K48" s="178" t="str">
        <f>IF(AND(observasi1!K48="",observasi2!K48=""),"",AVERAGE(observasi1!K48,observasi2!K48))</f>
        <v/>
      </c>
      <c r="L48" s="178" t="str">
        <f>IF(AND(observasi1!L48="",observasi2!L48=""),"",AVERAGE(observasi1!L48,observasi2!L48))</f>
        <v/>
      </c>
      <c r="M48" s="178" t="str">
        <f>IF(AND(observasi1!M48="",observasi2!M48=""),"",AVERAGE(observasi1!M48,observasi2!M48))</f>
        <v/>
      </c>
      <c r="N48" s="178" t="str">
        <f>IF(AND(observasi1!N48="",observasi2!N48=""),"",AVERAGE(observasi1!N48,observasi2!N48))</f>
        <v/>
      </c>
      <c r="O48" s="178" t="str">
        <f>IF(AND(observasi1!O48="",observasi2!O48=""),"",AVERAGE(observasi1!O48,observasi2!O48))</f>
        <v/>
      </c>
      <c r="P48" s="178" t="str">
        <f>IF(AND(observasi1!P48="",observasi2!P48=""),"",AVERAGE(observasi1!P48,observasi2!P48))</f>
        <v/>
      </c>
      <c r="Q48" s="178" t="str">
        <f>IF(AND(observasi1!Q48="",observasi2!Q48=""),"",AVERAGE(observasi1!Q48,observasi2!Q48))</f>
        <v/>
      </c>
      <c r="R48" s="178" t="str">
        <f>IF(AND(observasi1!R48="",observasi2!R48=""),"",AVERAGE(observasi1!R48,observasi2!R48))</f>
        <v/>
      </c>
      <c r="S48" s="178" t="str">
        <f>IF(AND(observasi1!S48="",observasi2!S48=""),"",AVERAGE(observasi1!S48,observasi2!S48))</f>
        <v/>
      </c>
      <c r="T48" s="178" t="str">
        <f>IF(AND(observasi1!T48="",observasi2!T48=""),"",AVERAGE(observasi1!T48,observasi2!T48))</f>
        <v/>
      </c>
      <c r="U48" s="178" t="str">
        <f>IF(AND(observasi1!U48="",observasi2!U48=""),"",AVERAGE(observasi1!U48,observasi2!U48))</f>
        <v/>
      </c>
      <c r="V48" s="178" t="str">
        <f>IF(AND(observasi1!V48="",observasi2!V48=""),"",AVERAGE(observasi1!V48,observasi2!V48))</f>
        <v/>
      </c>
      <c r="W48" s="178" t="str">
        <f>IF(AND(observasi1!W48="",observasi2!W48=""),"",AVERAGE(observasi1!W48,observasi2!W48))</f>
        <v/>
      </c>
      <c r="X48" s="178" t="str">
        <f>IF(AND(observasi1!X48="",observasi2!X48=""),"",AVERAGE(observasi1!X48,observasi2!X48))</f>
        <v/>
      </c>
      <c r="Y48" s="178" t="str">
        <f>IF(AND(observasi1!Y48="",observasi2!Y48=""),"",AVERAGE(observasi1!Y48,observasi2!Y48))</f>
        <v/>
      </c>
      <c r="Z48" s="178" t="str">
        <f>IF(AND(observasi1!Z48="",observasi2!Z48=""),"",AVERAGE(observasi1!Z48,observasi2!Z48))</f>
        <v/>
      </c>
      <c r="AA48" s="178" t="str">
        <f>IF(AND(observasi1!AA48="",observasi2!AA48=""),"",AVERAGE(observasi1!AA48,observasi2!AA48))</f>
        <v/>
      </c>
      <c r="AB48" s="178" t="str">
        <f>IF(AND(observasi1!AB48="",observasi2!AB48=""),"",AVERAGE(observasi1!AB48,observasi2!AB48))</f>
        <v/>
      </c>
      <c r="AC48" s="178" t="str">
        <f>IF(AND(observasi1!AC48="",observasi2!AC48=""),"",AVERAGE(observasi1!AC48,observasi2!AC48))</f>
        <v/>
      </c>
      <c r="AD48" s="178" t="str">
        <f>IF(AND(observasi1!AD48="",observasi2!AD48=""),"",AVERAGE(observasi1!AD48,observasi2!AD48))</f>
        <v/>
      </c>
      <c r="AE48" s="178" t="str">
        <f>IF(AND(observasi1!AE48="",observasi2!AE48=""),"",AVERAGE(observasi1!AE48,observasi2!AE48))</f>
        <v/>
      </c>
      <c r="AF48" s="178" t="str">
        <f>IF(AND(observasi1!AF48="",observasi2!AF48=""),"",AVERAGE(observasi1!AF48,observasi2!AF48))</f>
        <v/>
      </c>
      <c r="AG48" s="178" t="str">
        <f>IF(AND(observasi1!AG48="",observasi2!AG48=""),"",AVERAGE(observasi1!AG48,observasi2!AG48))</f>
        <v/>
      </c>
      <c r="AH48" s="178" t="str">
        <f>IF(AND(observasi1!AH48="",observasi2!AH48=""),"",AVERAGE(observasi1!AH48,observasi2!AH48))</f>
        <v/>
      </c>
      <c r="AI48" s="178" t="str">
        <f>IF(AND(observasi1!AI48="",observasi2!AI48=""),"",AVERAGE(observasi1!AI48,observasi2!AI48))</f>
        <v/>
      </c>
      <c r="AJ48" s="178" t="str">
        <f>IF(AND(observasi1!AJ48="",observasi2!AJ48=""),"",AVERAGE(observasi1!AJ48,observasi2!AJ48))</f>
        <v/>
      </c>
      <c r="AK48" s="178" t="str">
        <f>IF(AND(observasi1!AK48="",observasi2!AK48=""),"",AVERAGE(observasi1!AK48,observasi2!AK48))</f>
        <v/>
      </c>
      <c r="AL48" s="178" t="str">
        <f>IF(AND(observasi1!AL48="",observasi2!AL48=""),"",AVERAGE(observasi1!AL48,observasi2!AL48))</f>
        <v/>
      </c>
      <c r="AM48" s="178" t="str">
        <f>IF(AND(observasi1!AM48="",observasi2!AM48=""),"",AVERAGE(observasi1!AM48,observasi2!AM48))</f>
        <v/>
      </c>
      <c r="AN48" s="178" t="str">
        <f>IF(AND(observasi1!AN48="",observasi2!AN48=""),"",AVERAGE(observasi1!AN48,observasi2!AN48))</f>
        <v/>
      </c>
      <c r="AO48" s="178" t="str">
        <f>IF(AND(observasi1!AO48="",observasi2!AO48=""),"",AVERAGE(observasi1!AO48,observasi2!AO48))</f>
        <v/>
      </c>
      <c r="AP48" s="178" t="str">
        <f>IF(AND(observasi1!AP48="",observasi2!AP48=""),"",AVERAGE(observasi1!AP48,observasi2!AP48))</f>
        <v/>
      </c>
      <c r="AQ48" s="178" t="str">
        <f>IF(AND(observasi1!AQ48="",observasi2!AQ48=""),"",AVERAGE(observasi1!AQ48,observasi2!AQ48))</f>
        <v/>
      </c>
      <c r="AR48" s="178" t="str">
        <f>IF(AND(observasi1!AR48="",observasi2!AR48=""),"",AVERAGE(observasi1!AR48,observasi2!AR48))</f>
        <v/>
      </c>
      <c r="AS48" s="178" t="str">
        <f>IF(AND(observasi1!AS48="",observasi2!AS48=""),"",AVERAGE(observasi1!AS48,observasi2!AS48))</f>
        <v/>
      </c>
      <c r="AT48" s="178" t="str">
        <f>IF(AND(observasi1!AT48="",observasi2!AT48=""),"",AVERAGE(observasi1!AT48,observasi2!AT48))</f>
        <v/>
      </c>
      <c r="AU48" s="178" t="str">
        <f>IF(AND(observasi1!AU48="",observasi2!AU48=""),"",AVERAGE(observasi1!AU48,observasi2!AU48))</f>
        <v/>
      </c>
      <c r="AV48" s="178" t="str">
        <f>IF(AND(observasi1!AV48="",observasi2!AV48=""),"",AVERAGE(observasi1!AV48,observasi2!AV48))</f>
        <v/>
      </c>
      <c r="AW48" s="178" t="str">
        <f>IF(AND(observasi1!AW48="",observasi2!AW48=""),"",AVERAGE(observasi1!AW48,observasi2!AW48))</f>
        <v/>
      </c>
      <c r="AX48" s="178" t="str">
        <f>IF(AND(observasi1!AX48="",observasi2!AX48=""),"",AVERAGE(observasi1!AX48,observasi2!AX48))</f>
        <v/>
      </c>
      <c r="AY48" s="178" t="str">
        <f>IF(AND(observasi1!AY48="",observasi2!AY48=""),"",AVERAGE(observasi1!AY48,observasi2!AY48))</f>
        <v/>
      </c>
    </row>
    <row r="49" spans="1:51">
      <c r="A49" s="625"/>
      <c r="B49" s="164" t="s">
        <v>200</v>
      </c>
      <c r="C49" s="165" t="s">
        <v>201</v>
      </c>
      <c r="D49" s="178" t="str">
        <f>IF(AND(observasi1!D49="",observasi2!D49=""),"",AVERAGE(observasi1!D49,observasi2!D49))</f>
        <v/>
      </c>
      <c r="E49" s="178" t="str">
        <f>IF(AND(observasi1!E49="",observasi2!E49=""),"",AVERAGE(observasi1!E49,observasi2!E49))</f>
        <v/>
      </c>
      <c r="F49" s="178" t="str">
        <f>IF(AND(observasi1!F49="",observasi2!F49=""),"",AVERAGE(observasi1!F49,observasi2!F49))</f>
        <v/>
      </c>
      <c r="G49" s="178" t="str">
        <f>IF(AND(observasi1!G49="",observasi2!G49=""),"",AVERAGE(observasi1!G49,observasi2!G49))</f>
        <v/>
      </c>
      <c r="H49" s="178" t="str">
        <f>IF(AND(observasi1!H49="",observasi2!H49=""),"",AVERAGE(observasi1!H49,observasi2!H49))</f>
        <v/>
      </c>
      <c r="I49" s="178" t="str">
        <f>IF(AND(observasi1!I49="",observasi2!I49=""),"",AVERAGE(observasi1!I49,observasi2!I49))</f>
        <v/>
      </c>
      <c r="J49" s="178" t="str">
        <f>IF(AND(observasi1!J49="",observasi2!J49=""),"",AVERAGE(observasi1!J49,observasi2!J49))</f>
        <v/>
      </c>
      <c r="K49" s="178" t="str">
        <f>IF(AND(observasi1!K49="",observasi2!K49=""),"",AVERAGE(observasi1!K49,observasi2!K49))</f>
        <v/>
      </c>
      <c r="L49" s="178" t="str">
        <f>IF(AND(observasi1!L49="",observasi2!L49=""),"",AVERAGE(observasi1!L49,observasi2!L49))</f>
        <v/>
      </c>
      <c r="M49" s="178" t="str">
        <f>IF(AND(observasi1!M49="",observasi2!M49=""),"",AVERAGE(observasi1!M49,observasi2!M49))</f>
        <v/>
      </c>
      <c r="N49" s="178" t="str">
        <f>IF(AND(observasi1!N49="",observasi2!N49=""),"",AVERAGE(observasi1!N49,observasi2!N49))</f>
        <v/>
      </c>
      <c r="O49" s="178" t="str">
        <f>IF(AND(observasi1!O49="",observasi2!O49=""),"",AVERAGE(observasi1!O49,observasi2!O49))</f>
        <v/>
      </c>
      <c r="P49" s="178" t="str">
        <f>IF(AND(observasi1!P49="",observasi2!P49=""),"",AVERAGE(observasi1!P49,observasi2!P49))</f>
        <v/>
      </c>
      <c r="Q49" s="178" t="str">
        <f>IF(AND(observasi1!Q49="",observasi2!Q49=""),"",AVERAGE(observasi1!Q49,observasi2!Q49))</f>
        <v/>
      </c>
      <c r="R49" s="178" t="str">
        <f>IF(AND(observasi1!R49="",observasi2!R49=""),"",AVERAGE(observasi1!R49,observasi2!R49))</f>
        <v/>
      </c>
      <c r="S49" s="178" t="str">
        <f>IF(AND(observasi1!S49="",observasi2!S49=""),"",AVERAGE(observasi1!S49,observasi2!S49))</f>
        <v/>
      </c>
      <c r="T49" s="178" t="str">
        <f>IF(AND(observasi1!T49="",observasi2!T49=""),"",AVERAGE(observasi1!T49,observasi2!T49))</f>
        <v/>
      </c>
      <c r="U49" s="178" t="str">
        <f>IF(AND(observasi1!U49="",observasi2!U49=""),"",AVERAGE(observasi1!U49,observasi2!U49))</f>
        <v/>
      </c>
      <c r="V49" s="178" t="str">
        <f>IF(AND(observasi1!V49="",observasi2!V49=""),"",AVERAGE(observasi1!V49,observasi2!V49))</f>
        <v/>
      </c>
      <c r="W49" s="178" t="str">
        <f>IF(AND(observasi1!W49="",observasi2!W49=""),"",AVERAGE(observasi1!W49,observasi2!W49))</f>
        <v/>
      </c>
      <c r="X49" s="178" t="str">
        <f>IF(AND(observasi1!X49="",observasi2!X49=""),"",AVERAGE(observasi1!X49,observasi2!X49))</f>
        <v/>
      </c>
      <c r="Y49" s="178" t="str">
        <f>IF(AND(observasi1!Y49="",observasi2!Y49=""),"",AVERAGE(observasi1!Y49,observasi2!Y49))</f>
        <v/>
      </c>
      <c r="Z49" s="178" t="str">
        <f>IF(AND(observasi1!Z49="",observasi2!Z49=""),"",AVERAGE(observasi1!Z49,observasi2!Z49))</f>
        <v/>
      </c>
      <c r="AA49" s="178" t="str">
        <f>IF(AND(observasi1!AA49="",observasi2!AA49=""),"",AVERAGE(observasi1!AA49,observasi2!AA49))</f>
        <v/>
      </c>
      <c r="AB49" s="178" t="str">
        <f>IF(AND(observasi1!AB49="",observasi2!AB49=""),"",AVERAGE(observasi1!AB49,observasi2!AB49))</f>
        <v/>
      </c>
      <c r="AC49" s="178" t="str">
        <f>IF(AND(observasi1!AC49="",observasi2!AC49=""),"",AVERAGE(observasi1!AC49,observasi2!AC49))</f>
        <v/>
      </c>
      <c r="AD49" s="178" t="str">
        <f>IF(AND(observasi1!AD49="",observasi2!AD49=""),"",AVERAGE(observasi1!AD49,observasi2!AD49))</f>
        <v/>
      </c>
      <c r="AE49" s="178" t="str">
        <f>IF(AND(observasi1!AE49="",observasi2!AE49=""),"",AVERAGE(observasi1!AE49,observasi2!AE49))</f>
        <v/>
      </c>
      <c r="AF49" s="178" t="str">
        <f>IF(AND(observasi1!AF49="",observasi2!AF49=""),"",AVERAGE(observasi1!AF49,observasi2!AF49))</f>
        <v/>
      </c>
      <c r="AG49" s="178" t="str">
        <f>IF(AND(observasi1!AG49="",observasi2!AG49=""),"",AVERAGE(observasi1!AG49,observasi2!AG49))</f>
        <v/>
      </c>
      <c r="AH49" s="178" t="str">
        <f>IF(AND(observasi1!AH49="",observasi2!AH49=""),"",AVERAGE(observasi1!AH49,observasi2!AH49))</f>
        <v/>
      </c>
      <c r="AI49" s="178" t="str">
        <f>IF(AND(observasi1!AI49="",observasi2!AI49=""),"",AVERAGE(observasi1!AI49,observasi2!AI49))</f>
        <v/>
      </c>
      <c r="AJ49" s="178" t="str">
        <f>IF(AND(observasi1!AJ49="",observasi2!AJ49=""),"",AVERAGE(observasi1!AJ49,observasi2!AJ49))</f>
        <v/>
      </c>
      <c r="AK49" s="178" t="str">
        <f>IF(AND(observasi1!AK49="",observasi2!AK49=""),"",AVERAGE(observasi1!AK49,observasi2!AK49))</f>
        <v/>
      </c>
      <c r="AL49" s="178" t="str">
        <f>IF(AND(observasi1!AL49="",observasi2!AL49=""),"",AVERAGE(observasi1!AL49,observasi2!AL49))</f>
        <v/>
      </c>
      <c r="AM49" s="178" t="str">
        <f>IF(AND(observasi1!AM49="",observasi2!AM49=""),"",AVERAGE(observasi1!AM49,observasi2!AM49))</f>
        <v/>
      </c>
      <c r="AN49" s="178" t="str">
        <f>IF(AND(observasi1!AN49="",observasi2!AN49=""),"",AVERAGE(observasi1!AN49,observasi2!AN49))</f>
        <v/>
      </c>
      <c r="AO49" s="178" t="str">
        <f>IF(AND(observasi1!AO49="",observasi2!AO49=""),"",AVERAGE(observasi1!AO49,observasi2!AO49))</f>
        <v/>
      </c>
      <c r="AP49" s="178" t="str">
        <f>IF(AND(observasi1!AP49="",observasi2!AP49=""),"",AVERAGE(observasi1!AP49,observasi2!AP49))</f>
        <v/>
      </c>
      <c r="AQ49" s="178" t="str">
        <f>IF(AND(observasi1!AQ49="",observasi2!AQ49=""),"",AVERAGE(observasi1!AQ49,observasi2!AQ49))</f>
        <v/>
      </c>
      <c r="AR49" s="178" t="str">
        <f>IF(AND(observasi1!AR49="",observasi2!AR49=""),"",AVERAGE(observasi1!AR49,observasi2!AR49))</f>
        <v/>
      </c>
      <c r="AS49" s="178" t="str">
        <f>IF(AND(observasi1!AS49="",observasi2!AS49=""),"",AVERAGE(observasi1!AS49,observasi2!AS49))</f>
        <v/>
      </c>
      <c r="AT49" s="178" t="str">
        <f>IF(AND(observasi1!AT49="",observasi2!AT49=""),"",AVERAGE(observasi1!AT49,observasi2!AT49))</f>
        <v/>
      </c>
      <c r="AU49" s="178" t="str">
        <f>IF(AND(observasi1!AU49="",observasi2!AU49=""),"",AVERAGE(observasi1!AU49,observasi2!AU49))</f>
        <v/>
      </c>
      <c r="AV49" s="178" t="str">
        <f>IF(AND(observasi1!AV49="",observasi2!AV49=""),"",AVERAGE(observasi1!AV49,observasi2!AV49))</f>
        <v/>
      </c>
      <c r="AW49" s="178" t="str">
        <f>IF(AND(observasi1!AW49="",observasi2!AW49=""),"",AVERAGE(observasi1!AW49,observasi2!AW49))</f>
        <v/>
      </c>
      <c r="AX49" s="178" t="str">
        <f>IF(AND(observasi1!AX49="",observasi2!AX49=""),"",AVERAGE(observasi1!AX49,observasi2!AX49))</f>
        <v/>
      </c>
      <c r="AY49" s="178" t="str">
        <f>IF(AND(observasi1!AY49="",observasi2!AY49=""),"",AVERAGE(observasi1!AY49,observasi2!AY49))</f>
        <v/>
      </c>
    </row>
    <row r="50" spans="1:51">
      <c r="A50" s="625"/>
      <c r="B50" s="164" t="s">
        <v>202</v>
      </c>
      <c r="C50" s="165" t="s">
        <v>203</v>
      </c>
      <c r="D50" s="178" t="str">
        <f>IF(AND(observasi1!D50="",observasi2!D50=""),"",AVERAGE(observasi1!D50,observasi2!D50))</f>
        <v/>
      </c>
      <c r="E50" s="178" t="str">
        <f>IF(AND(observasi1!E50="",observasi2!E50=""),"",AVERAGE(observasi1!E50,observasi2!E50))</f>
        <v/>
      </c>
      <c r="F50" s="178" t="str">
        <f>IF(AND(observasi1!F50="",observasi2!F50=""),"",AVERAGE(observasi1!F50,observasi2!F50))</f>
        <v/>
      </c>
      <c r="G50" s="178" t="str">
        <f>IF(AND(observasi1!G50="",observasi2!G50=""),"",AVERAGE(observasi1!G50,observasi2!G50))</f>
        <v/>
      </c>
      <c r="H50" s="178" t="str">
        <f>IF(AND(observasi1!H50="",observasi2!H50=""),"",AVERAGE(observasi1!H50,observasi2!H50))</f>
        <v/>
      </c>
      <c r="I50" s="178" t="str">
        <f>IF(AND(observasi1!I50="",observasi2!I50=""),"",AVERAGE(observasi1!I50,observasi2!I50))</f>
        <v/>
      </c>
      <c r="J50" s="178" t="str">
        <f>IF(AND(observasi1!J50="",observasi2!J50=""),"",AVERAGE(observasi1!J50,observasi2!J50))</f>
        <v/>
      </c>
      <c r="K50" s="178" t="str">
        <f>IF(AND(observasi1!K50="",observasi2!K50=""),"",AVERAGE(observasi1!K50,observasi2!K50))</f>
        <v/>
      </c>
      <c r="L50" s="178" t="str">
        <f>IF(AND(observasi1!L50="",observasi2!L50=""),"",AVERAGE(observasi1!L50,observasi2!L50))</f>
        <v/>
      </c>
      <c r="M50" s="178" t="str">
        <f>IF(AND(observasi1!M50="",observasi2!M50=""),"",AVERAGE(observasi1!M50,observasi2!M50))</f>
        <v/>
      </c>
      <c r="N50" s="178" t="str">
        <f>IF(AND(observasi1!N50="",observasi2!N50=""),"",AVERAGE(observasi1!N50,observasi2!N50))</f>
        <v/>
      </c>
      <c r="O50" s="178" t="str">
        <f>IF(AND(observasi1!O50="",observasi2!O50=""),"",AVERAGE(observasi1!O50,observasi2!O50))</f>
        <v/>
      </c>
      <c r="P50" s="178" t="str">
        <f>IF(AND(observasi1!P50="",observasi2!P50=""),"",AVERAGE(observasi1!P50,observasi2!P50))</f>
        <v/>
      </c>
      <c r="Q50" s="178" t="str">
        <f>IF(AND(observasi1!Q50="",observasi2!Q50=""),"",AVERAGE(observasi1!Q50,observasi2!Q50))</f>
        <v/>
      </c>
      <c r="R50" s="178" t="str">
        <f>IF(AND(observasi1!R50="",observasi2!R50=""),"",AVERAGE(observasi1!R50,observasi2!R50))</f>
        <v/>
      </c>
      <c r="S50" s="178" t="str">
        <f>IF(AND(observasi1!S50="",observasi2!S50=""),"",AVERAGE(observasi1!S50,observasi2!S50))</f>
        <v/>
      </c>
      <c r="T50" s="178" t="str">
        <f>IF(AND(observasi1!T50="",observasi2!T50=""),"",AVERAGE(observasi1!T50,observasi2!T50))</f>
        <v/>
      </c>
      <c r="U50" s="178" t="str">
        <f>IF(AND(observasi1!U50="",observasi2!U50=""),"",AVERAGE(observasi1!U50,observasi2!U50))</f>
        <v/>
      </c>
      <c r="V50" s="178" t="str">
        <f>IF(AND(observasi1!V50="",observasi2!V50=""),"",AVERAGE(observasi1!V50,observasi2!V50))</f>
        <v/>
      </c>
      <c r="W50" s="178" t="str">
        <f>IF(AND(observasi1!W50="",observasi2!W50=""),"",AVERAGE(observasi1!W50,observasi2!W50))</f>
        <v/>
      </c>
      <c r="X50" s="178" t="str">
        <f>IF(AND(observasi1!X50="",observasi2!X50=""),"",AVERAGE(observasi1!X50,observasi2!X50))</f>
        <v/>
      </c>
      <c r="Y50" s="178" t="str">
        <f>IF(AND(observasi1!Y50="",observasi2!Y50=""),"",AVERAGE(observasi1!Y50,observasi2!Y50))</f>
        <v/>
      </c>
      <c r="Z50" s="178" t="str">
        <f>IF(AND(observasi1!Z50="",observasi2!Z50=""),"",AVERAGE(observasi1!Z50,observasi2!Z50))</f>
        <v/>
      </c>
      <c r="AA50" s="178" t="str">
        <f>IF(AND(observasi1!AA50="",observasi2!AA50=""),"",AVERAGE(observasi1!AA50,observasi2!AA50))</f>
        <v/>
      </c>
      <c r="AB50" s="178" t="str">
        <f>IF(AND(observasi1!AB50="",observasi2!AB50=""),"",AVERAGE(observasi1!AB50,observasi2!AB50))</f>
        <v/>
      </c>
      <c r="AC50" s="178" t="str">
        <f>IF(AND(observasi1!AC50="",observasi2!AC50=""),"",AVERAGE(observasi1!AC50,observasi2!AC50))</f>
        <v/>
      </c>
      <c r="AD50" s="178" t="str">
        <f>IF(AND(observasi1!AD50="",observasi2!AD50=""),"",AVERAGE(observasi1!AD50,observasi2!AD50))</f>
        <v/>
      </c>
      <c r="AE50" s="178" t="str">
        <f>IF(AND(observasi1!AE50="",observasi2!AE50=""),"",AVERAGE(observasi1!AE50,observasi2!AE50))</f>
        <v/>
      </c>
      <c r="AF50" s="178" t="str">
        <f>IF(AND(observasi1!AF50="",observasi2!AF50=""),"",AVERAGE(observasi1!AF50,observasi2!AF50))</f>
        <v/>
      </c>
      <c r="AG50" s="178" t="str">
        <f>IF(AND(observasi1!AG50="",observasi2!AG50=""),"",AVERAGE(observasi1!AG50,observasi2!AG50))</f>
        <v/>
      </c>
      <c r="AH50" s="178" t="str">
        <f>IF(AND(observasi1!AH50="",observasi2!AH50=""),"",AVERAGE(observasi1!AH50,observasi2!AH50))</f>
        <v/>
      </c>
      <c r="AI50" s="178" t="str">
        <f>IF(AND(observasi1!AI50="",observasi2!AI50=""),"",AVERAGE(observasi1!AI50,observasi2!AI50))</f>
        <v/>
      </c>
      <c r="AJ50" s="178" t="str">
        <f>IF(AND(observasi1!AJ50="",observasi2!AJ50=""),"",AVERAGE(observasi1!AJ50,observasi2!AJ50))</f>
        <v/>
      </c>
      <c r="AK50" s="178" t="str">
        <f>IF(AND(observasi1!AK50="",observasi2!AK50=""),"",AVERAGE(observasi1!AK50,observasi2!AK50))</f>
        <v/>
      </c>
      <c r="AL50" s="178" t="str">
        <f>IF(AND(observasi1!AL50="",observasi2!AL50=""),"",AVERAGE(observasi1!AL50,observasi2!AL50))</f>
        <v/>
      </c>
      <c r="AM50" s="178" t="str">
        <f>IF(AND(observasi1!AM50="",observasi2!AM50=""),"",AVERAGE(observasi1!AM50,observasi2!AM50))</f>
        <v/>
      </c>
      <c r="AN50" s="178" t="str">
        <f>IF(AND(observasi1!AN50="",observasi2!AN50=""),"",AVERAGE(observasi1!AN50,observasi2!AN50))</f>
        <v/>
      </c>
      <c r="AO50" s="178" t="str">
        <f>IF(AND(observasi1!AO50="",observasi2!AO50=""),"",AVERAGE(observasi1!AO50,observasi2!AO50))</f>
        <v/>
      </c>
      <c r="AP50" s="178" t="str">
        <f>IF(AND(observasi1!AP50="",observasi2!AP50=""),"",AVERAGE(observasi1!AP50,observasi2!AP50))</f>
        <v/>
      </c>
      <c r="AQ50" s="178" t="str">
        <f>IF(AND(observasi1!AQ50="",observasi2!AQ50=""),"",AVERAGE(observasi1!AQ50,observasi2!AQ50))</f>
        <v/>
      </c>
      <c r="AR50" s="178" t="str">
        <f>IF(AND(observasi1!AR50="",observasi2!AR50=""),"",AVERAGE(observasi1!AR50,observasi2!AR50))</f>
        <v/>
      </c>
      <c r="AS50" s="178" t="str">
        <f>IF(AND(observasi1!AS50="",observasi2!AS50=""),"",AVERAGE(observasi1!AS50,observasi2!AS50))</f>
        <v/>
      </c>
      <c r="AT50" s="178" t="str">
        <f>IF(AND(observasi1!AT50="",observasi2!AT50=""),"",AVERAGE(observasi1!AT50,observasi2!AT50))</f>
        <v/>
      </c>
      <c r="AU50" s="178" t="str">
        <f>IF(AND(observasi1!AU50="",observasi2!AU50=""),"",AVERAGE(observasi1!AU50,observasi2!AU50))</f>
        <v/>
      </c>
      <c r="AV50" s="178" t="str">
        <f>IF(AND(observasi1!AV50="",observasi2!AV50=""),"",AVERAGE(observasi1!AV50,observasi2!AV50))</f>
        <v/>
      </c>
      <c r="AW50" s="178" t="str">
        <f>IF(AND(observasi1!AW50="",observasi2!AW50=""),"",AVERAGE(observasi1!AW50,observasi2!AW50))</f>
        <v/>
      </c>
      <c r="AX50" s="178" t="str">
        <f>IF(AND(observasi1!AX50="",observasi2!AX50=""),"",AVERAGE(observasi1!AX50,observasi2!AX50))</f>
        <v/>
      </c>
      <c r="AY50" s="178" t="str">
        <f>IF(AND(observasi1!AY50="",observasi2!AY50=""),"",AVERAGE(observasi1!AY50,observasi2!AY50))</f>
        <v/>
      </c>
    </row>
    <row r="51" spans="1:51">
      <c r="A51" s="625"/>
      <c r="B51" s="164" t="s">
        <v>204</v>
      </c>
      <c r="C51" s="165" t="s">
        <v>205</v>
      </c>
      <c r="D51" s="178" t="str">
        <f>IF(AND(observasi1!D51="",observasi2!D51=""),"",AVERAGE(observasi1!D51,observasi2!D51))</f>
        <v/>
      </c>
      <c r="E51" s="178" t="str">
        <f>IF(AND(observasi1!E51="",observasi2!E51=""),"",AVERAGE(observasi1!E51,observasi2!E51))</f>
        <v/>
      </c>
      <c r="F51" s="178" t="str">
        <f>IF(AND(observasi1!F51="",observasi2!F51=""),"",AVERAGE(observasi1!F51,observasi2!F51))</f>
        <v/>
      </c>
      <c r="G51" s="178" t="str">
        <f>IF(AND(observasi1!G51="",observasi2!G51=""),"",AVERAGE(observasi1!G51,observasi2!G51))</f>
        <v/>
      </c>
      <c r="H51" s="178" t="str">
        <f>IF(AND(observasi1!H51="",observasi2!H51=""),"",AVERAGE(observasi1!H51,observasi2!H51))</f>
        <v/>
      </c>
      <c r="I51" s="178" t="str">
        <f>IF(AND(observasi1!I51="",observasi2!I51=""),"",AVERAGE(observasi1!I51,observasi2!I51))</f>
        <v/>
      </c>
      <c r="J51" s="178" t="str">
        <f>IF(AND(observasi1!J51="",observasi2!J51=""),"",AVERAGE(observasi1!J51,observasi2!J51))</f>
        <v/>
      </c>
      <c r="K51" s="178" t="str">
        <f>IF(AND(observasi1!K51="",observasi2!K51=""),"",AVERAGE(observasi1!K51,observasi2!K51))</f>
        <v/>
      </c>
      <c r="L51" s="178" t="str">
        <f>IF(AND(observasi1!L51="",observasi2!L51=""),"",AVERAGE(observasi1!L51,observasi2!L51))</f>
        <v/>
      </c>
      <c r="M51" s="178" t="str">
        <f>IF(AND(observasi1!M51="",observasi2!M51=""),"",AVERAGE(observasi1!M51,observasi2!M51))</f>
        <v/>
      </c>
      <c r="N51" s="178" t="str">
        <f>IF(AND(observasi1!N51="",observasi2!N51=""),"",AVERAGE(observasi1!N51,observasi2!N51))</f>
        <v/>
      </c>
      <c r="O51" s="178" t="str">
        <f>IF(AND(observasi1!O51="",observasi2!O51=""),"",AVERAGE(observasi1!O51,observasi2!O51))</f>
        <v/>
      </c>
      <c r="P51" s="178" t="str">
        <f>IF(AND(observasi1!P51="",observasi2!P51=""),"",AVERAGE(observasi1!P51,observasi2!P51))</f>
        <v/>
      </c>
      <c r="Q51" s="178" t="str">
        <f>IF(AND(observasi1!Q51="",observasi2!Q51=""),"",AVERAGE(observasi1!Q51,observasi2!Q51))</f>
        <v/>
      </c>
      <c r="R51" s="178" t="str">
        <f>IF(AND(observasi1!R51="",observasi2!R51=""),"",AVERAGE(observasi1!R51,observasi2!R51))</f>
        <v/>
      </c>
      <c r="S51" s="178" t="str">
        <f>IF(AND(observasi1!S51="",observasi2!S51=""),"",AVERAGE(observasi1!S51,observasi2!S51))</f>
        <v/>
      </c>
      <c r="T51" s="178" t="str">
        <f>IF(AND(observasi1!T51="",observasi2!T51=""),"",AVERAGE(observasi1!T51,observasi2!T51))</f>
        <v/>
      </c>
      <c r="U51" s="178" t="str">
        <f>IF(AND(observasi1!U51="",observasi2!U51=""),"",AVERAGE(observasi1!U51,observasi2!U51))</f>
        <v/>
      </c>
      <c r="V51" s="178" t="str">
        <f>IF(AND(observasi1!V51="",observasi2!V51=""),"",AVERAGE(observasi1!V51,observasi2!V51))</f>
        <v/>
      </c>
      <c r="W51" s="178" t="str">
        <f>IF(AND(observasi1!W51="",observasi2!W51=""),"",AVERAGE(observasi1!W51,observasi2!W51))</f>
        <v/>
      </c>
      <c r="X51" s="178" t="str">
        <f>IF(AND(observasi1!X51="",observasi2!X51=""),"",AVERAGE(observasi1!X51,observasi2!X51))</f>
        <v/>
      </c>
      <c r="Y51" s="178" t="str">
        <f>IF(AND(observasi1!Y51="",observasi2!Y51=""),"",AVERAGE(observasi1!Y51,observasi2!Y51))</f>
        <v/>
      </c>
      <c r="Z51" s="178" t="str">
        <f>IF(AND(observasi1!Z51="",observasi2!Z51=""),"",AVERAGE(observasi1!Z51,observasi2!Z51))</f>
        <v/>
      </c>
      <c r="AA51" s="178" t="str">
        <f>IF(AND(observasi1!AA51="",observasi2!AA51=""),"",AVERAGE(observasi1!AA51,observasi2!AA51))</f>
        <v/>
      </c>
      <c r="AB51" s="178" t="str">
        <f>IF(AND(observasi1!AB51="",observasi2!AB51=""),"",AVERAGE(observasi1!AB51,observasi2!AB51))</f>
        <v/>
      </c>
      <c r="AC51" s="178" t="str">
        <f>IF(AND(observasi1!AC51="",observasi2!AC51=""),"",AVERAGE(observasi1!AC51,observasi2!AC51))</f>
        <v/>
      </c>
      <c r="AD51" s="178" t="str">
        <f>IF(AND(observasi1!AD51="",observasi2!AD51=""),"",AVERAGE(observasi1!AD51,observasi2!AD51))</f>
        <v/>
      </c>
      <c r="AE51" s="178" t="str">
        <f>IF(AND(observasi1!AE51="",observasi2!AE51=""),"",AVERAGE(observasi1!AE51,observasi2!AE51))</f>
        <v/>
      </c>
      <c r="AF51" s="178" t="str">
        <f>IF(AND(observasi1!AF51="",observasi2!AF51=""),"",AVERAGE(observasi1!AF51,observasi2!AF51))</f>
        <v/>
      </c>
      <c r="AG51" s="178" t="str">
        <f>IF(AND(observasi1!AG51="",observasi2!AG51=""),"",AVERAGE(observasi1!AG51,observasi2!AG51))</f>
        <v/>
      </c>
      <c r="AH51" s="178" t="str">
        <f>IF(AND(observasi1!AH51="",observasi2!AH51=""),"",AVERAGE(observasi1!AH51,observasi2!AH51))</f>
        <v/>
      </c>
      <c r="AI51" s="178" t="str">
        <f>IF(AND(observasi1!AI51="",observasi2!AI51=""),"",AVERAGE(observasi1!AI51,observasi2!AI51))</f>
        <v/>
      </c>
      <c r="AJ51" s="178" t="str">
        <f>IF(AND(observasi1!AJ51="",observasi2!AJ51=""),"",AVERAGE(observasi1!AJ51,observasi2!AJ51))</f>
        <v/>
      </c>
      <c r="AK51" s="178" t="str">
        <f>IF(AND(observasi1!AK51="",observasi2!AK51=""),"",AVERAGE(observasi1!AK51,observasi2!AK51))</f>
        <v/>
      </c>
      <c r="AL51" s="178" t="str">
        <f>IF(AND(observasi1!AL51="",observasi2!AL51=""),"",AVERAGE(observasi1!AL51,observasi2!AL51))</f>
        <v/>
      </c>
      <c r="AM51" s="178" t="str">
        <f>IF(AND(observasi1!AM51="",observasi2!AM51=""),"",AVERAGE(observasi1!AM51,observasi2!AM51))</f>
        <v/>
      </c>
      <c r="AN51" s="178" t="str">
        <f>IF(AND(observasi1!AN51="",observasi2!AN51=""),"",AVERAGE(observasi1!AN51,observasi2!AN51))</f>
        <v/>
      </c>
      <c r="AO51" s="178" t="str">
        <f>IF(AND(observasi1!AO51="",observasi2!AO51=""),"",AVERAGE(observasi1!AO51,observasi2!AO51))</f>
        <v/>
      </c>
      <c r="AP51" s="178" t="str">
        <f>IF(AND(observasi1!AP51="",observasi2!AP51=""),"",AVERAGE(observasi1!AP51,observasi2!AP51))</f>
        <v/>
      </c>
      <c r="AQ51" s="178" t="str">
        <f>IF(AND(observasi1!AQ51="",observasi2!AQ51=""),"",AVERAGE(observasi1!AQ51,observasi2!AQ51))</f>
        <v/>
      </c>
      <c r="AR51" s="178" t="str">
        <f>IF(AND(observasi1!AR51="",observasi2!AR51=""),"",AVERAGE(observasi1!AR51,observasi2!AR51))</f>
        <v/>
      </c>
      <c r="AS51" s="178" t="str">
        <f>IF(AND(observasi1!AS51="",observasi2!AS51=""),"",AVERAGE(observasi1!AS51,observasi2!AS51))</f>
        <v/>
      </c>
      <c r="AT51" s="178" t="str">
        <f>IF(AND(observasi1!AT51="",observasi2!AT51=""),"",AVERAGE(observasi1!AT51,observasi2!AT51))</f>
        <v/>
      </c>
      <c r="AU51" s="178" t="str">
        <f>IF(AND(observasi1!AU51="",observasi2!AU51=""),"",AVERAGE(observasi1!AU51,observasi2!AU51))</f>
        <v/>
      </c>
      <c r="AV51" s="178" t="str">
        <f>IF(AND(observasi1!AV51="",observasi2!AV51=""),"",AVERAGE(observasi1!AV51,observasi2!AV51))</f>
        <v/>
      </c>
      <c r="AW51" s="178" t="str">
        <f>IF(AND(observasi1!AW51="",observasi2!AW51=""),"",AVERAGE(observasi1!AW51,observasi2!AW51))</f>
        <v/>
      </c>
      <c r="AX51" s="178" t="str">
        <f>IF(AND(observasi1!AX51="",observasi2!AX51=""),"",AVERAGE(observasi1!AX51,observasi2!AX51))</f>
        <v/>
      </c>
      <c r="AY51" s="178" t="str">
        <f>IF(AND(observasi1!AY51="",observasi2!AY51=""),"",AVERAGE(observasi1!AY51,observasi2!AY51))</f>
        <v/>
      </c>
    </row>
    <row r="52" spans="1:51">
      <c r="A52" s="625"/>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91"/>
      <c r="G53" s="91"/>
      <c r="H53" s="91"/>
      <c r="I53" s="91"/>
      <c r="J53" s="91"/>
      <c r="K53" s="91"/>
      <c r="L53" s="91"/>
      <c r="M53" s="91"/>
      <c r="N53" s="91"/>
      <c r="O53" s="91"/>
      <c r="P53" s="91"/>
      <c r="Q53" s="91"/>
      <c r="R53" s="91"/>
      <c r="S53" s="91"/>
      <c r="T53" s="91"/>
      <c r="U53" s="91"/>
      <c r="V53" s="91"/>
      <c r="W53" s="91"/>
      <c r="X53" s="91"/>
      <c r="Y53" s="91"/>
      <c r="Z53" s="91"/>
      <c r="AA53" s="91"/>
      <c r="AB53" s="91"/>
      <c r="AC53" s="91"/>
      <c r="AD53" s="91"/>
      <c r="AE53" s="91"/>
      <c r="AF53" s="91"/>
      <c r="AG53" s="91"/>
      <c r="AH53" s="91"/>
      <c r="AI53" s="91"/>
      <c r="AJ53" s="91"/>
      <c r="AK53" s="91"/>
      <c r="AL53" s="91"/>
      <c r="AM53" s="91"/>
      <c r="AN53" s="91"/>
      <c r="AO53" s="91"/>
      <c r="AP53" s="91"/>
      <c r="AQ53" s="91"/>
      <c r="AR53" s="91"/>
      <c r="AS53" s="91"/>
      <c r="AT53" s="91"/>
      <c r="AU53" s="91"/>
      <c r="AV53" s="91"/>
      <c r="AW53" s="91"/>
      <c r="AX53" s="91"/>
      <c r="AY53" s="91"/>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522"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AP2:XFD2 D1:AO2 D8">
    <cfRule type="expression" dxfId="378" priority="271">
      <formula>MOD(COLUMN(),2)=1</formula>
    </cfRule>
  </conditionalFormatting>
  <conditionalFormatting sqref="B14:C14 B29:C29 B35:C35 B46:C46 B52:C52 B8:D8">
    <cfRule type="cellIs" dxfId="377" priority="270" operator="notEqual">
      <formula>$B$2</formula>
    </cfRule>
  </conditionalFormatting>
  <conditionalFormatting sqref="B23:C23">
    <cfRule type="cellIs" dxfId="376" priority="269" operator="notEqual">
      <formula>$B$2</formula>
    </cfRule>
  </conditionalFormatting>
  <conditionalFormatting sqref="B40:C40">
    <cfRule type="cellIs" dxfId="375" priority="268" operator="notEqual">
      <formula>$B$2</formula>
    </cfRule>
  </conditionalFormatting>
  <conditionalFormatting sqref="AP2:XFD2 D1:AO2 D8">
    <cfRule type="expression" dxfId="374" priority="267">
      <formula>MOD(COLUMN(),2)=1</formula>
    </cfRule>
  </conditionalFormatting>
  <conditionalFormatting sqref="D8">
    <cfRule type="cellIs" dxfId="373" priority="266" operator="notEqual">
      <formula>$B$2</formula>
    </cfRule>
  </conditionalFormatting>
  <conditionalFormatting sqref="F1:AY1">
    <cfRule type="expression" dxfId="372" priority="263">
      <formula>MOD(COLUMN(),2)=1</formula>
    </cfRule>
  </conditionalFormatting>
  <conditionalFormatting sqref="F2:AY2 D1:E2 D8">
    <cfRule type="expression" dxfId="371" priority="261">
      <formula>MOD(COLUMN(),2)=1</formula>
    </cfRule>
  </conditionalFormatting>
  <conditionalFormatting sqref="B14:C14 B29:C29 B35:C35 B46:C46 B52:C52 B8:D8">
    <cfRule type="cellIs" dxfId="370" priority="260" operator="notEqual">
      <formula>$B$2</formula>
    </cfRule>
  </conditionalFormatting>
  <conditionalFormatting sqref="B23:C23">
    <cfRule type="cellIs" dxfId="369" priority="259" operator="notEqual">
      <formula>$B$2</formula>
    </cfRule>
  </conditionalFormatting>
  <conditionalFormatting sqref="B40:C40">
    <cfRule type="cellIs" dxfId="368" priority="258" operator="notEqual">
      <formula>$B$2</formula>
    </cfRule>
  </conditionalFormatting>
  <conditionalFormatting sqref="F2:AY2 D1:E2 D8">
    <cfRule type="expression" dxfId="367" priority="257">
      <formula>MOD(COLUMN(),2)=1</formula>
    </cfRule>
  </conditionalFormatting>
  <conditionalFormatting sqref="D8">
    <cfRule type="cellIs" dxfId="366" priority="256" operator="notEqual">
      <formula>$B$2</formula>
    </cfRule>
  </conditionalFormatting>
  <conditionalFormatting sqref="D3">
    <cfRule type="expression" dxfId="365" priority="208">
      <formula>MOD(COLUMN(),2)=1</formula>
    </cfRule>
  </conditionalFormatting>
  <conditionalFormatting sqref="D3">
    <cfRule type="expression" dxfId="364" priority="207">
      <formula>MOD(COLUMN(),2)=1</formula>
    </cfRule>
  </conditionalFormatting>
  <conditionalFormatting sqref="D3">
    <cfRule type="expression" dxfId="363" priority="206">
      <formula>MOD(COLUMN(),2)=1</formula>
    </cfRule>
  </conditionalFormatting>
  <conditionalFormatting sqref="D3">
    <cfRule type="expression" dxfId="362" priority="205">
      <formula>MOD(COLUMN(),2)=1</formula>
    </cfRule>
  </conditionalFormatting>
  <conditionalFormatting sqref="D4:D7">
    <cfRule type="expression" dxfId="361" priority="204">
      <formula>MOD(COLUMN(),2)=1</formula>
    </cfRule>
  </conditionalFormatting>
  <conditionalFormatting sqref="D4:D7">
    <cfRule type="expression" dxfId="360" priority="203">
      <formula>MOD(COLUMN(),2)=1</formula>
    </cfRule>
  </conditionalFormatting>
  <conditionalFormatting sqref="D4:D7">
    <cfRule type="expression" dxfId="359" priority="202">
      <formula>MOD(COLUMN(),2)=1</formula>
    </cfRule>
  </conditionalFormatting>
  <conditionalFormatting sqref="D4:D7">
    <cfRule type="expression" dxfId="358" priority="201">
      <formula>MOD(COLUMN(),2)=1</formula>
    </cfRule>
  </conditionalFormatting>
  <conditionalFormatting sqref="D9:D13">
    <cfRule type="expression" dxfId="357" priority="184">
      <formula>MOD(COLUMN(),2)=1</formula>
    </cfRule>
  </conditionalFormatting>
  <conditionalFormatting sqref="D9:D13">
    <cfRule type="expression" dxfId="356" priority="183">
      <formula>MOD(COLUMN(),2)=1</formula>
    </cfRule>
  </conditionalFormatting>
  <conditionalFormatting sqref="D9:D13">
    <cfRule type="expression" dxfId="355" priority="182">
      <formula>MOD(COLUMN(),2)=1</formula>
    </cfRule>
  </conditionalFormatting>
  <conditionalFormatting sqref="D9:D13">
    <cfRule type="expression" dxfId="354" priority="181">
      <formula>MOD(COLUMN(),2)=1</formula>
    </cfRule>
  </conditionalFormatting>
  <conditionalFormatting sqref="D14">
    <cfRule type="expression" dxfId="353" priority="180">
      <formula>MOD(COLUMN(),2)=1</formula>
    </cfRule>
  </conditionalFormatting>
  <conditionalFormatting sqref="D14">
    <cfRule type="cellIs" dxfId="352" priority="179" operator="notEqual">
      <formula>$B$2</formula>
    </cfRule>
  </conditionalFormatting>
  <conditionalFormatting sqref="D14">
    <cfRule type="expression" dxfId="351" priority="178">
      <formula>MOD(COLUMN(),2)=1</formula>
    </cfRule>
  </conditionalFormatting>
  <conditionalFormatting sqref="D14">
    <cfRule type="cellIs" dxfId="350" priority="177" operator="notEqual">
      <formula>$B$2</formula>
    </cfRule>
  </conditionalFormatting>
  <conditionalFormatting sqref="D14">
    <cfRule type="expression" dxfId="349" priority="176">
      <formula>MOD(COLUMN(),2)=1</formula>
    </cfRule>
  </conditionalFormatting>
  <conditionalFormatting sqref="D14">
    <cfRule type="cellIs" dxfId="348" priority="175" operator="notEqual">
      <formula>$B$2</formula>
    </cfRule>
  </conditionalFormatting>
  <conditionalFormatting sqref="D14">
    <cfRule type="expression" dxfId="347" priority="174">
      <formula>MOD(COLUMN(),2)=1</formula>
    </cfRule>
  </conditionalFormatting>
  <conditionalFormatting sqref="D14">
    <cfRule type="cellIs" dxfId="346" priority="173" operator="notEqual">
      <formula>$B$2</formula>
    </cfRule>
  </conditionalFormatting>
  <conditionalFormatting sqref="D23">
    <cfRule type="expression" dxfId="345" priority="172">
      <formula>MOD(COLUMN(),2)=1</formula>
    </cfRule>
  </conditionalFormatting>
  <conditionalFormatting sqref="D23">
    <cfRule type="cellIs" dxfId="344" priority="171" operator="notEqual">
      <formula>$B$2</formula>
    </cfRule>
  </conditionalFormatting>
  <conditionalFormatting sqref="D23">
    <cfRule type="expression" dxfId="343" priority="170">
      <formula>MOD(COLUMN(),2)=1</formula>
    </cfRule>
  </conditionalFormatting>
  <conditionalFormatting sqref="D23">
    <cfRule type="cellIs" dxfId="342" priority="169" operator="notEqual">
      <formula>$B$2</formula>
    </cfRule>
  </conditionalFormatting>
  <conditionalFormatting sqref="D23">
    <cfRule type="expression" dxfId="341" priority="168">
      <formula>MOD(COLUMN(),2)=1</formula>
    </cfRule>
  </conditionalFormatting>
  <conditionalFormatting sqref="D23">
    <cfRule type="cellIs" dxfId="340" priority="167" operator="notEqual">
      <formula>$B$2</formula>
    </cfRule>
  </conditionalFormatting>
  <conditionalFormatting sqref="D23">
    <cfRule type="expression" dxfId="339" priority="166">
      <formula>MOD(COLUMN(),2)=1</formula>
    </cfRule>
  </conditionalFormatting>
  <conditionalFormatting sqref="D23">
    <cfRule type="cellIs" dxfId="338" priority="165" operator="notEqual">
      <formula>$B$2</formula>
    </cfRule>
  </conditionalFormatting>
  <conditionalFormatting sqref="D29">
    <cfRule type="expression" dxfId="337" priority="164">
      <formula>MOD(COLUMN(),2)=1</formula>
    </cfRule>
  </conditionalFormatting>
  <conditionalFormatting sqref="D29">
    <cfRule type="cellIs" dxfId="336" priority="163" operator="notEqual">
      <formula>$B$2</formula>
    </cfRule>
  </conditionalFormatting>
  <conditionalFormatting sqref="D29">
    <cfRule type="expression" dxfId="335" priority="162">
      <formula>MOD(COLUMN(),2)=1</formula>
    </cfRule>
  </conditionalFormatting>
  <conditionalFormatting sqref="D29">
    <cfRule type="cellIs" dxfId="334" priority="161" operator="notEqual">
      <formula>$B$2</formula>
    </cfRule>
  </conditionalFormatting>
  <conditionalFormatting sqref="D29">
    <cfRule type="expression" dxfId="333" priority="160">
      <formula>MOD(COLUMN(),2)=1</formula>
    </cfRule>
  </conditionalFormatting>
  <conditionalFormatting sqref="D29">
    <cfRule type="cellIs" dxfId="332" priority="159" operator="notEqual">
      <formula>$B$2</formula>
    </cfRule>
  </conditionalFormatting>
  <conditionalFormatting sqref="D29">
    <cfRule type="expression" dxfId="331" priority="158">
      <formula>MOD(COLUMN(),2)=1</formula>
    </cfRule>
  </conditionalFormatting>
  <conditionalFormatting sqref="D29">
    <cfRule type="cellIs" dxfId="330" priority="157" operator="notEqual">
      <formula>$B$2</formula>
    </cfRule>
  </conditionalFormatting>
  <conditionalFormatting sqref="D35">
    <cfRule type="expression" dxfId="329" priority="156">
      <formula>MOD(COLUMN(),2)=1</formula>
    </cfRule>
  </conditionalFormatting>
  <conditionalFormatting sqref="D35">
    <cfRule type="cellIs" dxfId="328" priority="155" operator="notEqual">
      <formula>$B$2</formula>
    </cfRule>
  </conditionalFormatting>
  <conditionalFormatting sqref="D35">
    <cfRule type="expression" dxfId="327" priority="154">
      <formula>MOD(COLUMN(),2)=1</formula>
    </cfRule>
  </conditionalFormatting>
  <conditionalFormatting sqref="D35">
    <cfRule type="cellIs" dxfId="326" priority="153" operator="notEqual">
      <formula>$B$2</formula>
    </cfRule>
  </conditionalFormatting>
  <conditionalFormatting sqref="D35">
    <cfRule type="expression" dxfId="325" priority="152">
      <formula>MOD(COLUMN(),2)=1</formula>
    </cfRule>
  </conditionalFormatting>
  <conditionalFormatting sqref="D35">
    <cfRule type="cellIs" dxfId="324" priority="151" operator="notEqual">
      <formula>$B$2</formula>
    </cfRule>
  </conditionalFormatting>
  <conditionalFormatting sqref="D35">
    <cfRule type="expression" dxfId="323" priority="150">
      <formula>MOD(COLUMN(),2)=1</formula>
    </cfRule>
  </conditionalFormatting>
  <conditionalFormatting sqref="D35">
    <cfRule type="cellIs" dxfId="322" priority="149" operator="notEqual">
      <formula>$B$2</formula>
    </cfRule>
  </conditionalFormatting>
  <conditionalFormatting sqref="D40">
    <cfRule type="expression" dxfId="321" priority="148">
      <formula>MOD(COLUMN(),2)=1</formula>
    </cfRule>
  </conditionalFormatting>
  <conditionalFormatting sqref="D40">
    <cfRule type="cellIs" dxfId="320" priority="147" operator="notEqual">
      <formula>$B$2</formula>
    </cfRule>
  </conditionalFormatting>
  <conditionalFormatting sqref="D40">
    <cfRule type="expression" dxfId="319" priority="146">
      <formula>MOD(COLUMN(),2)=1</formula>
    </cfRule>
  </conditionalFormatting>
  <conditionalFormatting sqref="D40">
    <cfRule type="cellIs" dxfId="318" priority="145" operator="notEqual">
      <formula>$B$2</formula>
    </cfRule>
  </conditionalFormatting>
  <conditionalFormatting sqref="D40">
    <cfRule type="cellIs" dxfId="317" priority="144" operator="notEqual">
      <formula>$B$2</formula>
    </cfRule>
  </conditionalFormatting>
  <conditionalFormatting sqref="D40">
    <cfRule type="expression" dxfId="316" priority="143">
      <formula>MOD(COLUMN(),2)=1</formula>
    </cfRule>
  </conditionalFormatting>
  <conditionalFormatting sqref="D40">
    <cfRule type="cellIs" dxfId="315" priority="142" operator="notEqual">
      <formula>$B$2</formula>
    </cfRule>
  </conditionalFormatting>
  <conditionalFormatting sqref="D40">
    <cfRule type="expression" dxfId="314" priority="141">
      <formula>MOD(COLUMN(),2)=1</formula>
    </cfRule>
  </conditionalFormatting>
  <conditionalFormatting sqref="D46">
    <cfRule type="expression" dxfId="313" priority="140">
      <formula>MOD(COLUMN(),2)=1</formula>
    </cfRule>
  </conditionalFormatting>
  <conditionalFormatting sqref="D46">
    <cfRule type="cellIs" dxfId="312" priority="139" operator="notEqual">
      <formula>$B$2</formula>
    </cfRule>
  </conditionalFormatting>
  <conditionalFormatting sqref="D46">
    <cfRule type="expression" dxfId="311" priority="138">
      <formula>MOD(COLUMN(),2)=1</formula>
    </cfRule>
  </conditionalFormatting>
  <conditionalFormatting sqref="D46">
    <cfRule type="cellIs" dxfId="310" priority="137" operator="notEqual">
      <formula>$B$2</formula>
    </cfRule>
  </conditionalFormatting>
  <conditionalFormatting sqref="D46">
    <cfRule type="expression" dxfId="309" priority="136">
      <formula>MOD(COLUMN(),2)=1</formula>
    </cfRule>
  </conditionalFormatting>
  <conditionalFormatting sqref="D46">
    <cfRule type="cellIs" dxfId="308" priority="135" operator="notEqual">
      <formula>$B$2</formula>
    </cfRule>
  </conditionalFormatting>
  <conditionalFormatting sqref="D46">
    <cfRule type="expression" dxfId="307" priority="134">
      <formula>MOD(COLUMN(),2)=1</formula>
    </cfRule>
  </conditionalFormatting>
  <conditionalFormatting sqref="D46">
    <cfRule type="cellIs" dxfId="306" priority="133" operator="notEqual">
      <formula>$B$2</formula>
    </cfRule>
  </conditionalFormatting>
  <conditionalFormatting sqref="D52">
    <cfRule type="expression" dxfId="305" priority="132">
      <formula>MOD(COLUMN(),2)=1</formula>
    </cfRule>
  </conditionalFormatting>
  <conditionalFormatting sqref="D52">
    <cfRule type="cellIs" dxfId="304" priority="131" operator="notEqual">
      <formula>$B$2</formula>
    </cfRule>
  </conditionalFormatting>
  <conditionalFormatting sqref="D52">
    <cfRule type="expression" dxfId="303" priority="130">
      <formula>MOD(COLUMN(),2)=1</formula>
    </cfRule>
  </conditionalFormatting>
  <conditionalFormatting sqref="D52">
    <cfRule type="cellIs" dxfId="302" priority="129" operator="notEqual">
      <formula>$B$2</formula>
    </cfRule>
  </conditionalFormatting>
  <conditionalFormatting sqref="D52">
    <cfRule type="expression" dxfId="301" priority="128">
      <formula>MOD(COLUMN(),2)=1</formula>
    </cfRule>
  </conditionalFormatting>
  <conditionalFormatting sqref="D52">
    <cfRule type="cellIs" dxfId="300" priority="127" operator="notEqual">
      <formula>$B$2</formula>
    </cfRule>
  </conditionalFormatting>
  <conditionalFormatting sqref="D52">
    <cfRule type="expression" dxfId="299" priority="126">
      <formula>MOD(COLUMN(),2)=1</formula>
    </cfRule>
  </conditionalFormatting>
  <conditionalFormatting sqref="D52">
    <cfRule type="cellIs" dxfId="298" priority="125" operator="notEqual">
      <formula>$B$2</formula>
    </cfRule>
  </conditionalFormatting>
  <conditionalFormatting sqref="D15:D22">
    <cfRule type="expression" dxfId="297" priority="124">
      <formula>MOD(COLUMN(),2)=1</formula>
    </cfRule>
  </conditionalFormatting>
  <conditionalFormatting sqref="D15:D22">
    <cfRule type="expression" dxfId="296" priority="123">
      <formula>MOD(COLUMN(),2)=1</formula>
    </cfRule>
  </conditionalFormatting>
  <conditionalFormatting sqref="D15:D22">
    <cfRule type="expression" dxfId="295" priority="122">
      <formula>MOD(COLUMN(),2)=1</formula>
    </cfRule>
  </conditionalFormatting>
  <conditionalFormatting sqref="D15:D22">
    <cfRule type="expression" dxfId="294" priority="121">
      <formula>MOD(COLUMN(),2)=1</formula>
    </cfRule>
  </conditionalFormatting>
  <conditionalFormatting sqref="D24:D28">
    <cfRule type="expression" dxfId="293" priority="120">
      <formula>MOD(COLUMN(),2)=1</formula>
    </cfRule>
  </conditionalFormatting>
  <conditionalFormatting sqref="D24:D28">
    <cfRule type="expression" dxfId="292" priority="119">
      <formula>MOD(COLUMN(),2)=1</formula>
    </cfRule>
  </conditionalFormatting>
  <conditionalFormatting sqref="D24:D28">
    <cfRule type="expression" dxfId="291" priority="118">
      <formula>MOD(COLUMN(),2)=1</formula>
    </cfRule>
  </conditionalFormatting>
  <conditionalFormatting sqref="D24:D28">
    <cfRule type="expression" dxfId="290" priority="117">
      <formula>MOD(COLUMN(),2)=1</formula>
    </cfRule>
  </conditionalFormatting>
  <conditionalFormatting sqref="D30:D34">
    <cfRule type="expression" dxfId="289" priority="116">
      <formula>MOD(COLUMN(),2)=1</formula>
    </cfRule>
  </conditionalFormatting>
  <conditionalFormatting sqref="D30:D34">
    <cfRule type="expression" dxfId="288" priority="115">
      <formula>MOD(COLUMN(),2)=1</formula>
    </cfRule>
  </conditionalFormatting>
  <conditionalFormatting sqref="D30:D34">
    <cfRule type="expression" dxfId="287" priority="114">
      <formula>MOD(COLUMN(),2)=1</formula>
    </cfRule>
  </conditionalFormatting>
  <conditionalFormatting sqref="D30:D34">
    <cfRule type="expression" dxfId="286" priority="113">
      <formula>MOD(COLUMN(),2)=1</formula>
    </cfRule>
  </conditionalFormatting>
  <conditionalFormatting sqref="D36:D39">
    <cfRule type="expression" dxfId="285" priority="112">
      <formula>MOD(COLUMN(),2)=1</formula>
    </cfRule>
  </conditionalFormatting>
  <conditionalFormatting sqref="D36:D39">
    <cfRule type="expression" dxfId="284" priority="111">
      <formula>MOD(COLUMN(),2)=1</formula>
    </cfRule>
  </conditionalFormatting>
  <conditionalFormatting sqref="D36:D39">
    <cfRule type="expression" dxfId="283" priority="110">
      <formula>MOD(COLUMN(),2)=1</formula>
    </cfRule>
  </conditionalFormatting>
  <conditionalFormatting sqref="D36:D39">
    <cfRule type="expression" dxfId="282" priority="109">
      <formula>MOD(COLUMN(),2)=1</formula>
    </cfRule>
  </conditionalFormatting>
  <conditionalFormatting sqref="D41:D45">
    <cfRule type="expression" dxfId="281" priority="108">
      <formula>MOD(COLUMN(),2)=1</formula>
    </cfRule>
  </conditionalFormatting>
  <conditionalFormatting sqref="D41:D45">
    <cfRule type="expression" dxfId="280" priority="107">
      <formula>MOD(COLUMN(),2)=1</formula>
    </cfRule>
  </conditionalFormatting>
  <conditionalFormatting sqref="D41:D45">
    <cfRule type="expression" dxfId="279" priority="106">
      <formula>MOD(COLUMN(),2)=1</formula>
    </cfRule>
  </conditionalFormatting>
  <conditionalFormatting sqref="D41:D45">
    <cfRule type="expression" dxfId="278" priority="105">
      <formula>MOD(COLUMN(),2)=1</formula>
    </cfRule>
  </conditionalFormatting>
  <conditionalFormatting sqref="D47:D51">
    <cfRule type="expression" dxfId="277" priority="104">
      <formula>MOD(COLUMN(),2)=1</formula>
    </cfRule>
  </conditionalFormatting>
  <conditionalFormatting sqref="D47:D51">
    <cfRule type="expression" dxfId="276" priority="103">
      <formula>MOD(COLUMN(),2)=1</formula>
    </cfRule>
  </conditionalFormatting>
  <conditionalFormatting sqref="D47:D51">
    <cfRule type="expression" dxfId="275" priority="102">
      <formula>MOD(COLUMN(),2)=1</formula>
    </cfRule>
  </conditionalFormatting>
  <conditionalFormatting sqref="D47:D51">
    <cfRule type="expression" dxfId="274" priority="101">
      <formula>MOD(COLUMN(),2)=1</formula>
    </cfRule>
  </conditionalFormatting>
  <conditionalFormatting sqref="E9:AY13">
    <cfRule type="expression" dxfId="273" priority="100">
      <formula>MOD(COLUMN(),2)=1</formula>
    </cfRule>
  </conditionalFormatting>
  <conditionalFormatting sqref="E9:AY13">
    <cfRule type="expression" dxfId="272" priority="99">
      <formula>MOD(COLUMN(),2)=1</formula>
    </cfRule>
  </conditionalFormatting>
  <conditionalFormatting sqref="E9:AY13">
    <cfRule type="expression" dxfId="271" priority="98">
      <formula>MOD(COLUMN(),2)=1</formula>
    </cfRule>
  </conditionalFormatting>
  <conditionalFormatting sqref="E9:AY13">
    <cfRule type="expression" dxfId="270" priority="97">
      <formula>MOD(COLUMN(),2)=1</formula>
    </cfRule>
  </conditionalFormatting>
  <conditionalFormatting sqref="E14:AY14">
    <cfRule type="expression" dxfId="269" priority="96">
      <formula>MOD(COLUMN(),2)=1</formula>
    </cfRule>
  </conditionalFormatting>
  <conditionalFormatting sqref="E14:AY14">
    <cfRule type="cellIs" dxfId="268" priority="95" operator="notEqual">
      <formula>$B$2</formula>
    </cfRule>
  </conditionalFormatting>
  <conditionalFormatting sqref="E14:AY14">
    <cfRule type="expression" dxfId="267" priority="94">
      <formula>MOD(COLUMN(),2)=1</formula>
    </cfRule>
  </conditionalFormatting>
  <conditionalFormatting sqref="E14:AY14">
    <cfRule type="cellIs" dxfId="266" priority="93" operator="notEqual">
      <formula>$B$2</formula>
    </cfRule>
  </conditionalFormatting>
  <conditionalFormatting sqref="E14:AY14">
    <cfRule type="expression" dxfId="265" priority="92">
      <formula>MOD(COLUMN(),2)=1</formula>
    </cfRule>
  </conditionalFormatting>
  <conditionalFormatting sqref="E14:AY14">
    <cfRule type="cellIs" dxfId="264" priority="91" operator="notEqual">
      <formula>$B$2</formula>
    </cfRule>
  </conditionalFormatting>
  <conditionalFormatting sqref="E14:AY14">
    <cfRule type="expression" dxfId="263" priority="90">
      <formula>MOD(COLUMN(),2)=1</formula>
    </cfRule>
  </conditionalFormatting>
  <conditionalFormatting sqref="E14:AY14">
    <cfRule type="cellIs" dxfId="262" priority="89" operator="notEqual">
      <formula>$B$2</formula>
    </cfRule>
  </conditionalFormatting>
  <conditionalFormatting sqref="E23:AY23">
    <cfRule type="expression" dxfId="261" priority="88">
      <formula>MOD(COLUMN(),2)=1</formula>
    </cfRule>
  </conditionalFormatting>
  <conditionalFormatting sqref="E23:AY23">
    <cfRule type="cellIs" dxfId="260" priority="87" operator="notEqual">
      <formula>$B$2</formula>
    </cfRule>
  </conditionalFormatting>
  <conditionalFormatting sqref="E23:AY23">
    <cfRule type="expression" dxfId="259" priority="86">
      <formula>MOD(COLUMN(),2)=1</formula>
    </cfRule>
  </conditionalFormatting>
  <conditionalFormatting sqref="E23:AY23">
    <cfRule type="cellIs" dxfId="258" priority="85" operator="notEqual">
      <formula>$B$2</formula>
    </cfRule>
  </conditionalFormatting>
  <conditionalFormatting sqref="E23:AY23">
    <cfRule type="expression" dxfId="257" priority="84">
      <formula>MOD(COLUMN(),2)=1</formula>
    </cfRule>
  </conditionalFormatting>
  <conditionalFormatting sqref="E23:AY23">
    <cfRule type="cellIs" dxfId="256" priority="83" operator="notEqual">
      <formula>$B$2</formula>
    </cfRule>
  </conditionalFormatting>
  <conditionalFormatting sqref="E23:AY23">
    <cfRule type="expression" dxfId="255" priority="82">
      <formula>MOD(COLUMN(),2)=1</formula>
    </cfRule>
  </conditionalFormatting>
  <conditionalFormatting sqref="E23:AY23">
    <cfRule type="cellIs" dxfId="254" priority="81" operator="notEqual">
      <formula>$B$2</formula>
    </cfRule>
  </conditionalFormatting>
  <conditionalFormatting sqref="E29:AY29">
    <cfRule type="expression" dxfId="253" priority="80">
      <formula>MOD(COLUMN(),2)=1</formula>
    </cfRule>
  </conditionalFormatting>
  <conditionalFormatting sqref="E29:AY29">
    <cfRule type="cellIs" dxfId="252" priority="79" operator="notEqual">
      <formula>$B$2</formula>
    </cfRule>
  </conditionalFormatting>
  <conditionalFormatting sqref="E29:AY29">
    <cfRule type="expression" dxfId="251" priority="78">
      <formula>MOD(COLUMN(),2)=1</formula>
    </cfRule>
  </conditionalFormatting>
  <conditionalFormatting sqref="E29:AY29">
    <cfRule type="cellIs" dxfId="250" priority="77" operator="notEqual">
      <formula>$B$2</formula>
    </cfRule>
  </conditionalFormatting>
  <conditionalFormatting sqref="E29:AY29">
    <cfRule type="expression" dxfId="249" priority="76">
      <formula>MOD(COLUMN(),2)=1</formula>
    </cfRule>
  </conditionalFormatting>
  <conditionalFormatting sqref="E29:AY29">
    <cfRule type="cellIs" dxfId="248" priority="75" operator="notEqual">
      <formula>$B$2</formula>
    </cfRule>
  </conditionalFormatting>
  <conditionalFormatting sqref="E29:AY29">
    <cfRule type="expression" dxfId="247" priority="74">
      <formula>MOD(COLUMN(),2)=1</formula>
    </cfRule>
  </conditionalFormatting>
  <conditionalFormatting sqref="E29:AY29">
    <cfRule type="cellIs" dxfId="246" priority="73" operator="notEqual">
      <formula>$B$2</formula>
    </cfRule>
  </conditionalFormatting>
  <conditionalFormatting sqref="E35:AY35">
    <cfRule type="expression" dxfId="245" priority="72">
      <formula>MOD(COLUMN(),2)=1</formula>
    </cfRule>
  </conditionalFormatting>
  <conditionalFormatting sqref="E35:AY35">
    <cfRule type="cellIs" dxfId="244" priority="71" operator="notEqual">
      <formula>$B$2</formula>
    </cfRule>
  </conditionalFormatting>
  <conditionalFormatting sqref="E35:AY35">
    <cfRule type="expression" dxfId="243" priority="70">
      <formula>MOD(COLUMN(),2)=1</formula>
    </cfRule>
  </conditionalFormatting>
  <conditionalFormatting sqref="E35:AY35">
    <cfRule type="cellIs" dxfId="242" priority="69" operator="notEqual">
      <formula>$B$2</formula>
    </cfRule>
  </conditionalFormatting>
  <conditionalFormatting sqref="E35:AY35">
    <cfRule type="expression" dxfId="241" priority="68">
      <formula>MOD(COLUMN(),2)=1</formula>
    </cfRule>
  </conditionalFormatting>
  <conditionalFormatting sqref="E35:AY35">
    <cfRule type="cellIs" dxfId="240" priority="67" operator="notEqual">
      <formula>$B$2</formula>
    </cfRule>
  </conditionalFormatting>
  <conditionalFormatting sqref="E35:AY35">
    <cfRule type="expression" dxfId="239" priority="66">
      <formula>MOD(COLUMN(),2)=1</formula>
    </cfRule>
  </conditionalFormatting>
  <conditionalFormatting sqref="E35:AY35">
    <cfRule type="cellIs" dxfId="238" priority="65" operator="notEqual">
      <formula>$B$2</formula>
    </cfRule>
  </conditionalFormatting>
  <conditionalFormatting sqref="E40:AY40">
    <cfRule type="expression" dxfId="237" priority="64">
      <formula>MOD(COLUMN(),2)=1</formula>
    </cfRule>
  </conditionalFormatting>
  <conditionalFormatting sqref="E40:AY40">
    <cfRule type="cellIs" dxfId="236" priority="63" operator="notEqual">
      <formula>$B$2</formula>
    </cfRule>
  </conditionalFormatting>
  <conditionalFormatting sqref="E40:AY40">
    <cfRule type="expression" dxfId="235" priority="62">
      <formula>MOD(COLUMN(),2)=1</formula>
    </cfRule>
  </conditionalFormatting>
  <conditionalFormatting sqref="E40:AY40">
    <cfRule type="cellIs" dxfId="234" priority="61" operator="notEqual">
      <formula>$B$2</formula>
    </cfRule>
  </conditionalFormatting>
  <conditionalFormatting sqref="E40:AY40">
    <cfRule type="cellIs" dxfId="233" priority="60" operator="notEqual">
      <formula>$B$2</formula>
    </cfRule>
  </conditionalFormatting>
  <conditionalFormatting sqref="E40:AY40">
    <cfRule type="expression" dxfId="232" priority="59">
      <formula>MOD(COLUMN(),2)=1</formula>
    </cfRule>
  </conditionalFormatting>
  <conditionalFormatting sqref="E40:AY40">
    <cfRule type="cellIs" dxfId="231" priority="58" operator="notEqual">
      <formula>$B$2</formula>
    </cfRule>
  </conditionalFormatting>
  <conditionalFormatting sqref="E40:AY40">
    <cfRule type="expression" dxfId="230" priority="57">
      <formula>MOD(COLUMN(),2)=1</formula>
    </cfRule>
  </conditionalFormatting>
  <conditionalFormatting sqref="E46:AY46">
    <cfRule type="expression" dxfId="229" priority="56">
      <formula>MOD(COLUMN(),2)=1</formula>
    </cfRule>
  </conditionalFormatting>
  <conditionalFormatting sqref="E46:AY46">
    <cfRule type="cellIs" dxfId="228" priority="55" operator="notEqual">
      <formula>$B$2</formula>
    </cfRule>
  </conditionalFormatting>
  <conditionalFormatting sqref="E46:AY46">
    <cfRule type="expression" dxfId="227" priority="54">
      <formula>MOD(COLUMN(),2)=1</formula>
    </cfRule>
  </conditionalFormatting>
  <conditionalFormatting sqref="E46:AY46">
    <cfRule type="cellIs" dxfId="226" priority="53" operator="notEqual">
      <formula>$B$2</formula>
    </cfRule>
  </conditionalFormatting>
  <conditionalFormatting sqref="E46:AY46">
    <cfRule type="expression" dxfId="225" priority="52">
      <formula>MOD(COLUMN(),2)=1</formula>
    </cfRule>
  </conditionalFormatting>
  <conditionalFormatting sqref="E46:AY46">
    <cfRule type="cellIs" dxfId="224" priority="51" operator="notEqual">
      <formula>$B$2</formula>
    </cfRule>
  </conditionalFormatting>
  <conditionalFormatting sqref="E46:AY46">
    <cfRule type="expression" dxfId="223" priority="50">
      <formula>MOD(COLUMN(),2)=1</formula>
    </cfRule>
  </conditionalFormatting>
  <conditionalFormatting sqref="E46:AY46">
    <cfRule type="cellIs" dxfId="222" priority="49" operator="notEqual">
      <formula>$B$2</formula>
    </cfRule>
  </conditionalFormatting>
  <conditionalFormatting sqref="E52:AY52">
    <cfRule type="expression" dxfId="221" priority="48">
      <formula>MOD(COLUMN(),2)=1</formula>
    </cfRule>
  </conditionalFormatting>
  <conditionalFormatting sqref="E52:AY52">
    <cfRule type="cellIs" dxfId="220" priority="47" operator="notEqual">
      <formula>$B$2</formula>
    </cfRule>
  </conditionalFormatting>
  <conditionalFormatting sqref="E52:AY52">
    <cfRule type="expression" dxfId="219" priority="46">
      <formula>MOD(COLUMN(),2)=1</formula>
    </cfRule>
  </conditionalFormatting>
  <conditionalFormatting sqref="E52:AY52">
    <cfRule type="cellIs" dxfId="218" priority="45" operator="notEqual">
      <formula>$B$2</formula>
    </cfRule>
  </conditionalFormatting>
  <conditionalFormatting sqref="E52:AY52">
    <cfRule type="expression" dxfId="217" priority="44">
      <formula>MOD(COLUMN(),2)=1</formula>
    </cfRule>
  </conditionalFormatting>
  <conditionalFormatting sqref="E52:AY52">
    <cfRule type="cellIs" dxfId="216" priority="43" operator="notEqual">
      <formula>$B$2</formula>
    </cfRule>
  </conditionalFormatting>
  <conditionalFormatting sqref="E52:AY52">
    <cfRule type="expression" dxfId="215" priority="42">
      <formula>MOD(COLUMN(),2)=1</formula>
    </cfRule>
  </conditionalFormatting>
  <conditionalFormatting sqref="E52:AY52">
    <cfRule type="cellIs" dxfId="214" priority="41" operator="notEqual">
      <formula>$B$2</formula>
    </cfRule>
  </conditionalFormatting>
  <conditionalFormatting sqref="E15:AY22">
    <cfRule type="expression" dxfId="213" priority="40">
      <formula>MOD(COLUMN(),2)=1</formula>
    </cfRule>
  </conditionalFormatting>
  <conditionalFormatting sqref="E15:AY22">
    <cfRule type="expression" dxfId="212" priority="39">
      <formula>MOD(COLUMN(),2)=1</formula>
    </cfRule>
  </conditionalFormatting>
  <conditionalFormatting sqref="E15:AY22">
    <cfRule type="expression" dxfId="211" priority="38">
      <formula>MOD(COLUMN(),2)=1</formula>
    </cfRule>
  </conditionalFormatting>
  <conditionalFormatting sqref="E15:AY22">
    <cfRule type="expression" dxfId="210" priority="37">
      <formula>MOD(COLUMN(),2)=1</formula>
    </cfRule>
  </conditionalFormatting>
  <conditionalFormatting sqref="E24:AY28">
    <cfRule type="expression" dxfId="209" priority="36">
      <formula>MOD(COLUMN(),2)=1</formula>
    </cfRule>
  </conditionalFormatting>
  <conditionalFormatting sqref="E24:AY28">
    <cfRule type="expression" dxfId="208" priority="35">
      <formula>MOD(COLUMN(),2)=1</formula>
    </cfRule>
  </conditionalFormatting>
  <conditionalFormatting sqref="E24:AY28">
    <cfRule type="expression" dxfId="207" priority="34">
      <formula>MOD(COLUMN(),2)=1</formula>
    </cfRule>
  </conditionalFormatting>
  <conditionalFormatting sqref="E24:AY28">
    <cfRule type="expression" dxfId="206" priority="33">
      <formula>MOD(COLUMN(),2)=1</formula>
    </cfRule>
  </conditionalFormatting>
  <conditionalFormatting sqref="E30:AY34">
    <cfRule type="expression" dxfId="205" priority="32">
      <formula>MOD(COLUMN(),2)=1</formula>
    </cfRule>
  </conditionalFormatting>
  <conditionalFormatting sqref="E30:AY34">
    <cfRule type="expression" dxfId="204" priority="31">
      <formula>MOD(COLUMN(),2)=1</formula>
    </cfRule>
  </conditionalFormatting>
  <conditionalFormatting sqref="E30:AY34">
    <cfRule type="expression" dxfId="203" priority="30">
      <formula>MOD(COLUMN(),2)=1</formula>
    </cfRule>
  </conditionalFormatting>
  <conditionalFormatting sqref="E30:AY34">
    <cfRule type="expression" dxfId="202" priority="29">
      <formula>MOD(COLUMN(),2)=1</formula>
    </cfRule>
  </conditionalFormatting>
  <conditionalFormatting sqref="E36:AY39">
    <cfRule type="expression" dxfId="201" priority="28">
      <formula>MOD(COLUMN(),2)=1</formula>
    </cfRule>
  </conditionalFormatting>
  <conditionalFormatting sqref="E36:AY39">
    <cfRule type="expression" dxfId="200" priority="27">
      <formula>MOD(COLUMN(),2)=1</formula>
    </cfRule>
  </conditionalFormatting>
  <conditionalFormatting sqref="E36:AY39">
    <cfRule type="expression" dxfId="199" priority="26">
      <formula>MOD(COLUMN(),2)=1</formula>
    </cfRule>
  </conditionalFormatting>
  <conditionalFormatting sqref="E36:AY39">
    <cfRule type="expression" dxfId="198" priority="25">
      <formula>MOD(COLUMN(),2)=1</formula>
    </cfRule>
  </conditionalFormatting>
  <conditionalFormatting sqref="E41:AY45">
    <cfRule type="expression" dxfId="197" priority="24">
      <formula>MOD(COLUMN(),2)=1</formula>
    </cfRule>
  </conditionalFormatting>
  <conditionalFormatting sqref="E41:AY45">
    <cfRule type="expression" dxfId="196" priority="23">
      <formula>MOD(COLUMN(),2)=1</formula>
    </cfRule>
  </conditionalFormatting>
  <conditionalFormatting sqref="E41:AY45">
    <cfRule type="expression" dxfId="195" priority="22">
      <formula>MOD(COLUMN(),2)=1</formula>
    </cfRule>
  </conditionalFormatting>
  <conditionalFormatting sqref="E41:AY45">
    <cfRule type="expression" dxfId="194" priority="21">
      <formula>MOD(COLUMN(),2)=1</formula>
    </cfRule>
  </conditionalFormatting>
  <conditionalFormatting sqref="E47:AY51">
    <cfRule type="expression" dxfId="193" priority="20">
      <formula>MOD(COLUMN(),2)=1</formula>
    </cfRule>
  </conditionalFormatting>
  <conditionalFormatting sqref="E47:AY51">
    <cfRule type="expression" dxfId="192" priority="19">
      <formula>MOD(COLUMN(),2)=1</formula>
    </cfRule>
  </conditionalFormatting>
  <conditionalFormatting sqref="E47:AY51">
    <cfRule type="expression" dxfId="191" priority="18">
      <formula>MOD(COLUMN(),2)=1</formula>
    </cfRule>
  </conditionalFormatting>
  <conditionalFormatting sqref="E47:AY51">
    <cfRule type="expression" dxfId="190" priority="17">
      <formula>MOD(COLUMN(),2)=1</formula>
    </cfRule>
  </conditionalFormatting>
  <conditionalFormatting sqref="E8:AY8">
    <cfRule type="expression" dxfId="189" priority="16">
      <formula>MOD(COLUMN(),2)=1</formula>
    </cfRule>
  </conditionalFormatting>
  <conditionalFormatting sqref="E8:AY8">
    <cfRule type="cellIs" dxfId="188" priority="15" operator="notEqual">
      <formula>$B$2</formula>
    </cfRule>
  </conditionalFormatting>
  <conditionalFormatting sqref="E8:AY8">
    <cfRule type="expression" dxfId="187" priority="14">
      <formula>MOD(COLUMN(),2)=1</formula>
    </cfRule>
  </conditionalFormatting>
  <conditionalFormatting sqref="E8:AY8">
    <cfRule type="cellIs" dxfId="186" priority="13" operator="notEqual">
      <formula>$B$2</formula>
    </cfRule>
  </conditionalFormatting>
  <conditionalFormatting sqref="E8:AY8">
    <cfRule type="expression" dxfId="185" priority="12">
      <formula>MOD(COLUMN(),2)=1</formula>
    </cfRule>
  </conditionalFormatting>
  <conditionalFormatting sqref="E8:AY8">
    <cfRule type="cellIs" dxfId="184" priority="11" operator="notEqual">
      <formula>$B$2</formula>
    </cfRule>
  </conditionalFormatting>
  <conditionalFormatting sqref="E8:AY8">
    <cfRule type="expression" dxfId="183" priority="10">
      <formula>MOD(COLUMN(),2)=1</formula>
    </cfRule>
  </conditionalFormatting>
  <conditionalFormatting sqref="E8:AY8">
    <cfRule type="cellIs" dxfId="182" priority="9" operator="notEqual">
      <formula>$B$2</formula>
    </cfRule>
  </conditionalFormatting>
  <conditionalFormatting sqref="E3:AY3">
    <cfRule type="expression" dxfId="181" priority="8">
      <formula>MOD(COLUMN(),2)=1</formula>
    </cfRule>
  </conditionalFormatting>
  <conditionalFormatting sqref="E3:AY3">
    <cfRule type="expression" dxfId="180" priority="7">
      <formula>MOD(COLUMN(),2)=1</formula>
    </cfRule>
  </conditionalFormatting>
  <conditionalFormatting sqref="E3:AY3">
    <cfRule type="expression" dxfId="179" priority="6">
      <formula>MOD(COLUMN(),2)=1</formula>
    </cfRule>
  </conditionalFormatting>
  <conditionalFormatting sqref="E3:AY3">
    <cfRule type="expression" dxfId="178" priority="5">
      <formula>MOD(COLUMN(),2)=1</formula>
    </cfRule>
  </conditionalFormatting>
  <conditionalFormatting sqref="E4:AY7">
    <cfRule type="expression" dxfId="177" priority="4">
      <formula>MOD(COLUMN(),2)=1</formula>
    </cfRule>
  </conditionalFormatting>
  <conditionalFormatting sqref="E4:AY7">
    <cfRule type="expression" dxfId="176" priority="3">
      <formula>MOD(COLUMN(),2)=1</formula>
    </cfRule>
  </conditionalFormatting>
  <conditionalFormatting sqref="E4:AY7">
    <cfRule type="expression" dxfId="175" priority="2">
      <formula>MOD(COLUMN(),2)=1</formula>
    </cfRule>
  </conditionalFormatting>
  <conditionalFormatting sqref="E4:AY7">
    <cfRule type="expression" dxfId="174" priority="1">
      <formula>MOD(COLUMN(),2)=1</formula>
    </cfRule>
  </conditionalFormatting>
  <dataValidations count="1">
    <dataValidation type="whole" allowBlank="1" showInputMessage="1" showErrorMessage="1" errorTitle="STOP" error="ANGKA YANG DIMASUKAN MELEBIHI 4" prompt="4 =  Selalu&#10;3 = Sering&#10;2 = Kadang2&#10;1 = Tidak Pernah" sqref="D9:AY13 D41:AY45 D15:AY22 D24:AY28 D30:AY34 D36:AY39 D47:AY51 D3:AY7">
      <formula1>1</formula1>
      <formula2>4</formula2>
    </dataValidation>
  </dataValidation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24"/>
  <dimension ref="A1:AY54"/>
  <sheetViews>
    <sheetView topLeftCell="H11" workbookViewId="0">
      <selection activeCell="AZ62" sqref="AZ62"/>
    </sheetView>
  </sheetViews>
  <sheetFormatPr defaultRowHeight="15"/>
  <cols>
    <col min="1" max="1" width="5.85546875" customWidth="1"/>
    <col min="2" max="2" width="6.140625" customWidth="1"/>
    <col min="3" max="3" width="54.85546875" customWidth="1"/>
    <col min="4" max="5" width="6.42578125" customWidth="1"/>
    <col min="6" max="6" width="6.5703125" customWidth="1"/>
    <col min="7" max="51" width="6.7109375" customWidth="1"/>
  </cols>
  <sheetData>
    <row r="1" spans="1:51" ht="25.5">
      <c r="A1" s="28" t="s">
        <v>206</v>
      </c>
      <c r="B1" s="29"/>
      <c r="C1" s="29"/>
      <c r="D1" s="126" t="e">
        <f>#REF!</f>
        <v>#REF!</v>
      </c>
      <c r="E1" s="126" t="e">
        <f>#REF!</f>
        <v>#REF!</v>
      </c>
      <c r="F1" s="126" t="e">
        <f>#REF!</f>
        <v>#REF!</v>
      </c>
      <c r="G1" s="126" t="e">
        <f>#REF!</f>
        <v>#REF!</v>
      </c>
      <c r="H1" s="126" t="e">
        <f>#REF!</f>
        <v>#REF!</v>
      </c>
      <c r="I1" s="126" t="e">
        <f>#REF!</f>
        <v>#REF!</v>
      </c>
      <c r="J1" s="126" t="e">
        <f>#REF!</f>
        <v>#REF!</v>
      </c>
      <c r="K1" s="126" t="e">
        <f>#REF!</f>
        <v>#REF!</v>
      </c>
      <c r="L1" s="126" t="e">
        <f>#REF!</f>
        <v>#REF!</v>
      </c>
      <c r="M1" s="126" t="e">
        <f>#REF!</f>
        <v>#REF!</v>
      </c>
      <c r="N1" s="126" t="e">
        <f>#REF!</f>
        <v>#REF!</v>
      </c>
      <c r="O1" s="126" t="e">
        <f>#REF!</f>
        <v>#REF!</v>
      </c>
      <c r="P1" s="126" t="e">
        <f>#REF!</f>
        <v>#REF!</v>
      </c>
      <c r="Q1" s="126" t="e">
        <f>#REF!</f>
        <v>#REF!</v>
      </c>
      <c r="R1" s="126" t="e">
        <f>#REF!</f>
        <v>#REF!</v>
      </c>
      <c r="S1" s="126" t="e">
        <f>#REF!</f>
        <v>#REF!</v>
      </c>
      <c r="T1" s="126" t="e">
        <f>#REF!</f>
        <v>#REF!</v>
      </c>
      <c r="U1" s="126" t="e">
        <f>#REF!</f>
        <v>#REF!</v>
      </c>
      <c r="V1" s="126" t="e">
        <f>#REF!</f>
        <v>#REF!</v>
      </c>
      <c r="W1" s="126" t="e">
        <f>#REF!</f>
        <v>#REF!</v>
      </c>
      <c r="X1" s="126" t="e">
        <f>#REF!</f>
        <v>#REF!</v>
      </c>
      <c r="Y1" s="126" t="e">
        <f>#REF!</f>
        <v>#REF!</v>
      </c>
      <c r="Z1" s="126" t="e">
        <f>#REF!</f>
        <v>#REF!</v>
      </c>
      <c r="AA1" s="126" t="e">
        <f>#REF!</f>
        <v>#REF!</v>
      </c>
      <c r="AB1" s="126" t="e">
        <f>#REF!</f>
        <v>#REF!</v>
      </c>
      <c r="AC1" s="126" t="e">
        <f>#REF!</f>
        <v>#REF!</v>
      </c>
      <c r="AD1" s="126" t="e">
        <f>#REF!</f>
        <v>#REF!</v>
      </c>
      <c r="AE1" s="126" t="e">
        <f>#REF!</f>
        <v>#REF!</v>
      </c>
      <c r="AF1" s="126" t="e">
        <f>#REF!</f>
        <v>#REF!</v>
      </c>
      <c r="AG1" s="126" t="e">
        <f>#REF!</f>
        <v>#REF!</v>
      </c>
      <c r="AH1" s="126" t="e">
        <f>#REF!</f>
        <v>#REF!</v>
      </c>
      <c r="AI1" s="126" t="e">
        <f>#REF!</f>
        <v>#REF!</v>
      </c>
      <c r="AJ1" s="126" t="e">
        <f>#REF!</f>
        <v>#REF!</v>
      </c>
      <c r="AK1" s="126" t="e">
        <f>#REF!</f>
        <v>#REF!</v>
      </c>
      <c r="AL1" s="126" t="e">
        <f>#REF!</f>
        <v>#REF!</v>
      </c>
      <c r="AM1" s="126" t="e">
        <f>#REF!</f>
        <v>#REF!</v>
      </c>
      <c r="AN1" s="126" t="e">
        <f>#REF!</f>
        <v>#REF!</v>
      </c>
      <c r="AO1" s="126" t="e">
        <f>#REF!</f>
        <v>#REF!</v>
      </c>
      <c r="AP1" s="126" t="e">
        <f>#REF!</f>
        <v>#REF!</v>
      </c>
      <c r="AQ1" s="126" t="e">
        <f>#REF!</f>
        <v>#REF!</v>
      </c>
      <c r="AR1" s="126" t="e">
        <f>#REF!</f>
        <v>#REF!</v>
      </c>
      <c r="AS1" s="126" t="e">
        <f>#REF!</f>
        <v>#REF!</v>
      </c>
      <c r="AT1" s="126" t="e">
        <f>#REF!</f>
        <v>#REF!</v>
      </c>
      <c r="AU1" s="126" t="e">
        <f>#REF!</f>
        <v>#REF!</v>
      </c>
      <c r="AV1" s="126" t="e">
        <f>#REF!</f>
        <v>#REF!</v>
      </c>
      <c r="AW1" s="126" t="e">
        <f>#REF!</f>
        <v>#REF!</v>
      </c>
      <c r="AX1" s="126" t="e">
        <f>#REF!</f>
        <v>#REF!</v>
      </c>
      <c r="AY1" s="126" t="e">
        <f>#REF!</f>
        <v>#REF!</v>
      </c>
    </row>
    <row r="2" spans="1:51" ht="15.75" thickBot="1">
      <c r="A2" s="30" t="s">
        <v>14</v>
      </c>
      <c r="B2" s="30" t="s">
        <v>34</v>
      </c>
      <c r="C2" s="30" t="s">
        <v>114</v>
      </c>
      <c r="D2" s="31" t="s">
        <v>115</v>
      </c>
      <c r="E2" s="31" t="s">
        <v>116</v>
      </c>
      <c r="F2" s="31" t="s">
        <v>117</v>
      </c>
      <c r="G2" s="31" t="s">
        <v>118</v>
      </c>
      <c r="H2" s="31" t="s">
        <v>119</v>
      </c>
      <c r="I2" s="31" t="s">
        <v>120</v>
      </c>
      <c r="J2" s="31" t="s">
        <v>121</v>
      </c>
      <c r="K2" s="31" t="s">
        <v>122</v>
      </c>
      <c r="L2" s="31" t="s">
        <v>123</v>
      </c>
      <c r="M2" s="31" t="s">
        <v>124</v>
      </c>
      <c r="N2" s="31" t="s">
        <v>125</v>
      </c>
      <c r="O2" s="31" t="s">
        <v>126</v>
      </c>
      <c r="P2" s="31" t="s">
        <v>127</v>
      </c>
      <c r="Q2" s="31" t="s">
        <v>128</v>
      </c>
      <c r="R2" s="31" t="s">
        <v>129</v>
      </c>
      <c r="S2" s="31" t="s">
        <v>130</v>
      </c>
      <c r="T2" s="31" t="s">
        <v>131</v>
      </c>
      <c r="U2" s="31" t="s">
        <v>132</v>
      </c>
      <c r="V2" s="31" t="s">
        <v>133</v>
      </c>
      <c r="W2" s="31" t="s">
        <v>134</v>
      </c>
      <c r="X2" s="31" t="s">
        <v>135</v>
      </c>
      <c r="Y2" s="31" t="s">
        <v>136</v>
      </c>
      <c r="Z2" s="31" t="s">
        <v>137</v>
      </c>
      <c r="AA2" s="31" t="s">
        <v>138</v>
      </c>
      <c r="AB2" s="31" t="s">
        <v>139</v>
      </c>
      <c r="AC2" s="31" t="s">
        <v>140</v>
      </c>
      <c r="AD2" s="31" t="s">
        <v>141</v>
      </c>
      <c r="AE2" s="31" t="s">
        <v>142</v>
      </c>
      <c r="AF2" s="31" t="s">
        <v>143</v>
      </c>
      <c r="AG2" s="31" t="s">
        <v>144</v>
      </c>
      <c r="AH2" s="31" t="s">
        <v>145</v>
      </c>
      <c r="AI2" s="31" t="s">
        <v>146</v>
      </c>
      <c r="AJ2" s="31" t="s">
        <v>147</v>
      </c>
      <c r="AK2" s="31" t="s">
        <v>148</v>
      </c>
      <c r="AL2" s="31" t="s">
        <v>222</v>
      </c>
      <c r="AM2" s="31" t="s">
        <v>223</v>
      </c>
      <c r="AN2" s="31" t="s">
        <v>224</v>
      </c>
      <c r="AO2" s="31" t="s">
        <v>225</v>
      </c>
      <c r="AP2" s="31" t="s">
        <v>226</v>
      </c>
      <c r="AQ2" s="31" t="s">
        <v>227</v>
      </c>
      <c r="AR2" s="31" t="s">
        <v>228</v>
      </c>
      <c r="AS2" s="31" t="s">
        <v>229</v>
      </c>
      <c r="AT2" s="31" t="s">
        <v>230</v>
      </c>
      <c r="AU2" s="31" t="s">
        <v>231</v>
      </c>
      <c r="AV2" s="31" t="s">
        <v>232</v>
      </c>
      <c r="AW2" s="31" t="s">
        <v>233</v>
      </c>
      <c r="AX2" s="31" t="s">
        <v>234</v>
      </c>
      <c r="AY2" s="31" t="s">
        <v>235</v>
      </c>
    </row>
    <row r="3" spans="1:51" ht="15.75" thickTop="1">
      <c r="A3" s="649" t="s">
        <v>207</v>
      </c>
      <c r="B3" s="38" t="s">
        <v>208</v>
      </c>
      <c r="C3" s="39" t="s">
        <v>209</v>
      </c>
      <c r="D3" s="40">
        <v>4</v>
      </c>
      <c r="E3" s="40"/>
      <c r="F3" s="40">
        <v>4</v>
      </c>
      <c r="G3" s="40"/>
      <c r="H3" s="40">
        <v>4</v>
      </c>
      <c r="I3" s="40"/>
      <c r="J3" s="40">
        <v>4</v>
      </c>
      <c r="K3" s="40"/>
      <c r="L3" s="40">
        <v>4</v>
      </c>
      <c r="M3" s="40"/>
      <c r="N3" s="40">
        <v>4</v>
      </c>
      <c r="O3" s="40"/>
      <c r="P3" s="40">
        <v>4</v>
      </c>
      <c r="Q3" s="40"/>
      <c r="R3" s="40">
        <v>4</v>
      </c>
      <c r="S3" s="40"/>
      <c r="T3" s="40">
        <v>4</v>
      </c>
      <c r="U3" s="40"/>
      <c r="V3" s="40">
        <v>4</v>
      </c>
      <c r="W3" s="40"/>
      <c r="X3" s="40">
        <v>4</v>
      </c>
      <c r="Y3" s="40"/>
      <c r="Z3" s="40">
        <v>4</v>
      </c>
      <c r="AA3" s="40"/>
      <c r="AB3" s="40">
        <v>4</v>
      </c>
      <c r="AC3" s="40"/>
      <c r="AD3" s="40">
        <v>4</v>
      </c>
      <c r="AE3" s="40"/>
      <c r="AF3" s="40">
        <v>4</v>
      </c>
      <c r="AG3" s="40"/>
      <c r="AH3" s="40">
        <v>4</v>
      </c>
      <c r="AI3" s="40"/>
      <c r="AJ3" s="40">
        <v>4</v>
      </c>
      <c r="AK3" s="40"/>
      <c r="AL3" s="40">
        <v>4</v>
      </c>
      <c r="AM3" s="40"/>
      <c r="AN3" s="40">
        <v>4</v>
      </c>
      <c r="AO3" s="40"/>
      <c r="AP3" s="40">
        <v>4</v>
      </c>
      <c r="AQ3" s="40"/>
      <c r="AR3" s="40">
        <v>4</v>
      </c>
      <c r="AS3" s="40"/>
      <c r="AT3" s="40">
        <v>4</v>
      </c>
      <c r="AU3" s="40"/>
      <c r="AV3" s="40">
        <v>4</v>
      </c>
      <c r="AW3" s="40"/>
      <c r="AX3" s="40">
        <v>4</v>
      </c>
      <c r="AY3" s="40"/>
    </row>
    <row r="4" spans="1:51">
      <c r="A4" s="647"/>
      <c r="B4" s="32" t="s">
        <v>210</v>
      </c>
      <c r="C4" s="33" t="s">
        <v>211</v>
      </c>
      <c r="D4" s="40">
        <v>4</v>
      </c>
      <c r="E4" s="34"/>
      <c r="F4" s="40">
        <v>4</v>
      </c>
      <c r="G4" s="34"/>
      <c r="H4" s="40">
        <v>4</v>
      </c>
      <c r="I4" s="34"/>
      <c r="J4" s="40">
        <v>4</v>
      </c>
      <c r="K4" s="34"/>
      <c r="L4" s="40">
        <v>4</v>
      </c>
      <c r="M4" s="34"/>
      <c r="N4" s="40">
        <v>4</v>
      </c>
      <c r="O4" s="34"/>
      <c r="P4" s="40">
        <v>4</v>
      </c>
      <c r="Q4" s="34"/>
      <c r="R4" s="40">
        <v>4</v>
      </c>
      <c r="S4" s="34"/>
      <c r="T4" s="40">
        <v>4</v>
      </c>
      <c r="U4" s="34"/>
      <c r="V4" s="40">
        <v>4</v>
      </c>
      <c r="W4" s="34"/>
      <c r="X4" s="40">
        <v>4</v>
      </c>
      <c r="Y4" s="34"/>
      <c r="Z4" s="40">
        <v>4</v>
      </c>
      <c r="AA4" s="34"/>
      <c r="AB4" s="40">
        <v>4</v>
      </c>
      <c r="AC4" s="34"/>
      <c r="AD4" s="40">
        <v>4</v>
      </c>
      <c r="AE4" s="34"/>
      <c r="AF4" s="40">
        <v>4</v>
      </c>
      <c r="AG4" s="34"/>
      <c r="AH4" s="40">
        <v>4</v>
      </c>
      <c r="AI4" s="34"/>
      <c r="AJ4" s="40">
        <v>4</v>
      </c>
      <c r="AK4" s="34"/>
      <c r="AL4" s="40">
        <v>4</v>
      </c>
      <c r="AM4" s="34"/>
      <c r="AN4" s="40">
        <v>4</v>
      </c>
      <c r="AO4" s="34"/>
      <c r="AP4" s="40">
        <v>4</v>
      </c>
      <c r="AQ4" s="34"/>
      <c r="AR4" s="40">
        <v>4</v>
      </c>
      <c r="AS4" s="34"/>
      <c r="AT4" s="40">
        <v>4</v>
      </c>
      <c r="AU4" s="34"/>
      <c r="AV4" s="40">
        <v>4</v>
      </c>
      <c r="AW4" s="34"/>
      <c r="AX4" s="40">
        <v>4</v>
      </c>
      <c r="AY4" s="34"/>
    </row>
    <row r="5" spans="1:51">
      <c r="A5" s="647"/>
      <c r="B5" s="32" t="s">
        <v>212</v>
      </c>
      <c r="C5" s="33" t="s">
        <v>213</v>
      </c>
      <c r="D5" s="40">
        <v>4</v>
      </c>
      <c r="E5" s="34"/>
      <c r="F5" s="40">
        <v>4</v>
      </c>
      <c r="G5" s="34"/>
      <c r="H5" s="40">
        <v>4</v>
      </c>
      <c r="I5" s="34"/>
      <c r="J5" s="40">
        <v>4</v>
      </c>
      <c r="K5" s="34"/>
      <c r="L5" s="40">
        <v>4</v>
      </c>
      <c r="M5" s="34"/>
      <c r="N5" s="40">
        <v>4</v>
      </c>
      <c r="O5" s="34"/>
      <c r="P5" s="40">
        <v>4</v>
      </c>
      <c r="Q5" s="34"/>
      <c r="R5" s="40">
        <v>4</v>
      </c>
      <c r="S5" s="34"/>
      <c r="T5" s="40">
        <v>4</v>
      </c>
      <c r="U5" s="34"/>
      <c r="V5" s="40">
        <v>4</v>
      </c>
      <c r="W5" s="34"/>
      <c r="X5" s="40">
        <v>4</v>
      </c>
      <c r="Y5" s="34"/>
      <c r="Z5" s="40">
        <v>4</v>
      </c>
      <c r="AA5" s="34"/>
      <c r="AB5" s="40">
        <v>4</v>
      </c>
      <c r="AC5" s="34"/>
      <c r="AD5" s="40">
        <v>4</v>
      </c>
      <c r="AE5" s="34"/>
      <c r="AF5" s="40">
        <v>4</v>
      </c>
      <c r="AG5" s="34"/>
      <c r="AH5" s="40">
        <v>4</v>
      </c>
      <c r="AI5" s="34"/>
      <c r="AJ5" s="40">
        <v>4</v>
      </c>
      <c r="AK5" s="34"/>
      <c r="AL5" s="40">
        <v>4</v>
      </c>
      <c r="AM5" s="34"/>
      <c r="AN5" s="40">
        <v>4</v>
      </c>
      <c r="AO5" s="34"/>
      <c r="AP5" s="40">
        <v>4</v>
      </c>
      <c r="AQ5" s="34"/>
      <c r="AR5" s="40">
        <v>4</v>
      </c>
      <c r="AS5" s="34"/>
      <c r="AT5" s="40">
        <v>4</v>
      </c>
      <c r="AU5" s="34"/>
      <c r="AV5" s="40">
        <v>4</v>
      </c>
      <c r="AW5" s="34"/>
      <c r="AX5" s="40">
        <v>4</v>
      </c>
      <c r="AY5" s="34"/>
    </row>
    <row r="6" spans="1:51">
      <c r="A6" s="647"/>
      <c r="B6" s="32" t="s">
        <v>214</v>
      </c>
      <c r="C6" s="33" t="s">
        <v>215</v>
      </c>
      <c r="D6" s="40">
        <v>4</v>
      </c>
      <c r="E6" s="34"/>
      <c r="F6" s="40">
        <v>4</v>
      </c>
      <c r="G6" s="34"/>
      <c r="H6" s="40">
        <v>4</v>
      </c>
      <c r="I6" s="34"/>
      <c r="J6" s="40">
        <v>4</v>
      </c>
      <c r="K6" s="34"/>
      <c r="L6" s="40">
        <v>4</v>
      </c>
      <c r="M6" s="34"/>
      <c r="N6" s="40">
        <v>4</v>
      </c>
      <c r="O6" s="34"/>
      <c r="P6" s="40">
        <v>4</v>
      </c>
      <c r="Q6" s="34"/>
      <c r="R6" s="40">
        <v>4</v>
      </c>
      <c r="S6" s="34"/>
      <c r="T6" s="40">
        <v>4</v>
      </c>
      <c r="U6" s="34"/>
      <c r="V6" s="40">
        <v>4</v>
      </c>
      <c r="W6" s="34"/>
      <c r="X6" s="40">
        <v>4</v>
      </c>
      <c r="Y6" s="34"/>
      <c r="Z6" s="40">
        <v>4</v>
      </c>
      <c r="AA6" s="34"/>
      <c r="AB6" s="40">
        <v>4</v>
      </c>
      <c r="AC6" s="34"/>
      <c r="AD6" s="40">
        <v>4</v>
      </c>
      <c r="AE6" s="34"/>
      <c r="AF6" s="40">
        <v>4</v>
      </c>
      <c r="AG6" s="34"/>
      <c r="AH6" s="40">
        <v>4</v>
      </c>
      <c r="AI6" s="34"/>
      <c r="AJ6" s="40">
        <v>4</v>
      </c>
      <c r="AK6" s="34"/>
      <c r="AL6" s="40">
        <v>4</v>
      </c>
      <c r="AM6" s="34"/>
      <c r="AN6" s="40">
        <v>4</v>
      </c>
      <c r="AO6" s="34"/>
      <c r="AP6" s="40">
        <v>4</v>
      </c>
      <c r="AQ6" s="34"/>
      <c r="AR6" s="40">
        <v>4</v>
      </c>
      <c r="AS6" s="34"/>
      <c r="AT6" s="40">
        <v>4</v>
      </c>
      <c r="AU6" s="34"/>
      <c r="AV6" s="40">
        <v>4</v>
      </c>
      <c r="AW6" s="34"/>
      <c r="AX6" s="40">
        <v>4</v>
      </c>
      <c r="AY6" s="34"/>
    </row>
    <row r="7" spans="1:51">
      <c r="A7" s="647"/>
      <c r="B7" s="32" t="s">
        <v>216</v>
      </c>
      <c r="C7" s="33" t="s">
        <v>217</v>
      </c>
      <c r="D7" s="40">
        <v>4</v>
      </c>
      <c r="E7" s="34"/>
      <c r="F7" s="40">
        <v>4</v>
      </c>
      <c r="G7" s="34"/>
      <c r="H7" s="40">
        <v>4</v>
      </c>
      <c r="I7" s="34"/>
      <c r="J7" s="40">
        <v>4</v>
      </c>
      <c r="K7" s="34"/>
      <c r="L7" s="40">
        <v>4</v>
      </c>
      <c r="M7" s="34"/>
      <c r="N7" s="40">
        <v>4</v>
      </c>
      <c r="O7" s="34"/>
      <c r="P7" s="40">
        <v>4</v>
      </c>
      <c r="Q7" s="34"/>
      <c r="R7" s="40">
        <v>4</v>
      </c>
      <c r="S7" s="34"/>
      <c r="T7" s="40">
        <v>4</v>
      </c>
      <c r="U7" s="34"/>
      <c r="V7" s="40">
        <v>4</v>
      </c>
      <c r="W7" s="34"/>
      <c r="X7" s="40">
        <v>4</v>
      </c>
      <c r="Y7" s="34"/>
      <c r="Z7" s="40">
        <v>4</v>
      </c>
      <c r="AA7" s="34"/>
      <c r="AB7" s="40">
        <v>4</v>
      </c>
      <c r="AC7" s="34"/>
      <c r="AD7" s="40">
        <v>4</v>
      </c>
      <c r="AE7" s="34"/>
      <c r="AF7" s="40">
        <v>4</v>
      </c>
      <c r="AG7" s="34"/>
      <c r="AH7" s="40">
        <v>4</v>
      </c>
      <c r="AI7" s="34"/>
      <c r="AJ7" s="40">
        <v>4</v>
      </c>
      <c r="AK7" s="34"/>
      <c r="AL7" s="40">
        <v>4</v>
      </c>
      <c r="AM7" s="34"/>
      <c r="AN7" s="40">
        <v>4</v>
      </c>
      <c r="AO7" s="34"/>
      <c r="AP7" s="40">
        <v>4</v>
      </c>
      <c r="AQ7" s="34"/>
      <c r="AR7" s="40">
        <v>4</v>
      </c>
      <c r="AS7" s="34"/>
      <c r="AT7" s="40">
        <v>4</v>
      </c>
      <c r="AU7" s="34"/>
      <c r="AV7" s="40">
        <v>4</v>
      </c>
      <c r="AW7" s="34"/>
      <c r="AX7" s="40">
        <v>4</v>
      </c>
      <c r="AY7" s="34"/>
    </row>
    <row r="8" spans="1:51">
      <c r="A8" s="647"/>
      <c r="B8" s="35"/>
      <c r="C8" s="36"/>
      <c r="D8" s="37">
        <f>SUM(D3:D7)</f>
        <v>20</v>
      </c>
      <c r="E8" s="37">
        <f>SUM(E3:E7)</f>
        <v>0</v>
      </c>
      <c r="F8" s="37">
        <f>SUM(F3:F7)</f>
        <v>20</v>
      </c>
      <c r="G8" s="37">
        <f>SUM(G3:G7)</f>
        <v>0</v>
      </c>
      <c r="H8" s="37">
        <f>SUM(H3:H7)</f>
        <v>20</v>
      </c>
      <c r="I8" s="37">
        <f t="shared" ref="I8:AY8" si="0">SUM(I3:I7)</f>
        <v>0</v>
      </c>
      <c r="J8" s="37">
        <f t="shared" si="0"/>
        <v>20</v>
      </c>
      <c r="K8" s="37">
        <f t="shared" si="0"/>
        <v>0</v>
      </c>
      <c r="L8" s="37">
        <f t="shared" si="0"/>
        <v>20</v>
      </c>
      <c r="M8" s="37">
        <f t="shared" si="0"/>
        <v>0</v>
      </c>
      <c r="N8" s="37">
        <f t="shared" si="0"/>
        <v>20</v>
      </c>
      <c r="O8" s="37">
        <f t="shared" si="0"/>
        <v>0</v>
      </c>
      <c r="P8" s="37">
        <f t="shared" si="0"/>
        <v>20</v>
      </c>
      <c r="Q8" s="37">
        <f t="shared" si="0"/>
        <v>0</v>
      </c>
      <c r="R8" s="37">
        <f t="shared" si="0"/>
        <v>20</v>
      </c>
      <c r="S8" s="37">
        <f t="shared" si="0"/>
        <v>0</v>
      </c>
      <c r="T8" s="37">
        <f t="shared" si="0"/>
        <v>20</v>
      </c>
      <c r="U8" s="37">
        <f t="shared" si="0"/>
        <v>0</v>
      </c>
      <c r="V8" s="37">
        <f t="shared" si="0"/>
        <v>20</v>
      </c>
      <c r="W8" s="37">
        <f t="shared" si="0"/>
        <v>0</v>
      </c>
      <c r="X8" s="37">
        <f t="shared" si="0"/>
        <v>20</v>
      </c>
      <c r="Y8" s="37">
        <f t="shared" si="0"/>
        <v>0</v>
      </c>
      <c r="Z8" s="37">
        <f t="shared" si="0"/>
        <v>20</v>
      </c>
      <c r="AA8" s="37">
        <f t="shared" si="0"/>
        <v>0</v>
      </c>
      <c r="AB8" s="37">
        <f t="shared" si="0"/>
        <v>20</v>
      </c>
      <c r="AC8" s="37">
        <f t="shared" si="0"/>
        <v>0</v>
      </c>
      <c r="AD8" s="37">
        <f t="shared" si="0"/>
        <v>20</v>
      </c>
      <c r="AE8" s="37">
        <f t="shared" si="0"/>
        <v>0</v>
      </c>
      <c r="AF8" s="37">
        <f t="shared" si="0"/>
        <v>20</v>
      </c>
      <c r="AG8" s="37">
        <f t="shared" si="0"/>
        <v>0</v>
      </c>
      <c r="AH8" s="37">
        <f t="shared" si="0"/>
        <v>20</v>
      </c>
      <c r="AI8" s="37">
        <f t="shared" si="0"/>
        <v>0</v>
      </c>
      <c r="AJ8" s="37">
        <f t="shared" si="0"/>
        <v>20</v>
      </c>
      <c r="AK8" s="37">
        <f t="shared" si="0"/>
        <v>0</v>
      </c>
      <c r="AL8" s="37">
        <f t="shared" si="0"/>
        <v>20</v>
      </c>
      <c r="AM8" s="37">
        <f t="shared" si="0"/>
        <v>0</v>
      </c>
      <c r="AN8" s="37">
        <f t="shared" si="0"/>
        <v>20</v>
      </c>
      <c r="AO8" s="37">
        <f t="shared" si="0"/>
        <v>0</v>
      </c>
      <c r="AP8" s="37">
        <f t="shared" si="0"/>
        <v>20</v>
      </c>
      <c r="AQ8" s="37">
        <f t="shared" si="0"/>
        <v>0</v>
      </c>
      <c r="AR8" s="37">
        <f t="shared" si="0"/>
        <v>20</v>
      </c>
      <c r="AS8" s="37">
        <f t="shared" si="0"/>
        <v>0</v>
      </c>
      <c r="AT8" s="37">
        <f t="shared" si="0"/>
        <v>20</v>
      </c>
      <c r="AU8" s="37">
        <f t="shared" si="0"/>
        <v>0</v>
      </c>
      <c r="AV8" s="37">
        <f t="shared" si="0"/>
        <v>20</v>
      </c>
      <c r="AW8" s="37">
        <f t="shared" si="0"/>
        <v>0</v>
      </c>
      <c r="AX8" s="37">
        <f t="shared" si="0"/>
        <v>20</v>
      </c>
      <c r="AY8" s="37">
        <f t="shared" si="0"/>
        <v>0</v>
      </c>
    </row>
    <row r="9" spans="1:51">
      <c r="A9" s="648" t="s">
        <v>8</v>
      </c>
      <c r="B9" s="32" t="s">
        <v>149</v>
      </c>
      <c r="C9" s="33" t="s">
        <v>150</v>
      </c>
      <c r="D9" s="34">
        <v>4</v>
      </c>
      <c r="E9" s="34"/>
      <c r="F9" s="34">
        <v>4</v>
      </c>
      <c r="G9" s="34"/>
      <c r="H9" s="34">
        <v>4</v>
      </c>
      <c r="I9" s="34"/>
      <c r="J9" s="34">
        <v>4</v>
      </c>
      <c r="K9" s="34"/>
      <c r="L9" s="34">
        <v>4</v>
      </c>
      <c r="M9" s="34"/>
      <c r="N9" s="34">
        <v>4</v>
      </c>
      <c r="O9" s="34"/>
      <c r="P9" s="34">
        <v>4</v>
      </c>
      <c r="Q9" s="34"/>
      <c r="R9" s="34">
        <v>4</v>
      </c>
      <c r="S9" s="34"/>
      <c r="T9" s="34">
        <v>4</v>
      </c>
      <c r="U9" s="34"/>
      <c r="V9" s="34">
        <v>4</v>
      </c>
      <c r="W9" s="34"/>
      <c r="X9" s="34">
        <v>4</v>
      </c>
      <c r="Y9" s="34"/>
      <c r="Z9" s="34">
        <v>4</v>
      </c>
      <c r="AA9" s="34"/>
      <c r="AB9" s="34">
        <v>4</v>
      </c>
      <c r="AC9" s="34"/>
      <c r="AD9" s="34">
        <v>4</v>
      </c>
      <c r="AE9" s="34"/>
      <c r="AF9" s="34">
        <v>4</v>
      </c>
      <c r="AG9" s="34"/>
      <c r="AH9" s="34">
        <v>4</v>
      </c>
      <c r="AI9" s="34"/>
      <c r="AJ9" s="34">
        <v>4</v>
      </c>
      <c r="AK9" s="34"/>
      <c r="AL9" s="34">
        <v>4</v>
      </c>
      <c r="AM9" s="34"/>
      <c r="AN9" s="34">
        <v>4</v>
      </c>
      <c r="AO9" s="34"/>
      <c r="AP9" s="34">
        <v>4</v>
      </c>
      <c r="AQ9" s="34"/>
      <c r="AR9" s="34">
        <v>4</v>
      </c>
      <c r="AS9" s="34"/>
      <c r="AT9" s="34">
        <v>4</v>
      </c>
      <c r="AU9" s="34"/>
      <c r="AV9" s="34">
        <v>4</v>
      </c>
      <c r="AW9" s="34"/>
      <c r="AX9" s="34">
        <v>4</v>
      </c>
      <c r="AY9" s="34"/>
    </row>
    <row r="10" spans="1:51">
      <c r="A10" s="648"/>
      <c r="B10" s="32" t="s">
        <v>151</v>
      </c>
      <c r="C10" s="33" t="s">
        <v>152</v>
      </c>
      <c r="D10" s="34">
        <v>4</v>
      </c>
      <c r="E10" s="34"/>
      <c r="F10" s="34">
        <v>4</v>
      </c>
      <c r="G10" s="34"/>
      <c r="H10" s="34">
        <v>4</v>
      </c>
      <c r="I10" s="34"/>
      <c r="J10" s="34">
        <v>4</v>
      </c>
      <c r="K10" s="34"/>
      <c r="L10" s="34">
        <v>4</v>
      </c>
      <c r="M10" s="34"/>
      <c r="N10" s="34">
        <v>4</v>
      </c>
      <c r="O10" s="34"/>
      <c r="P10" s="34">
        <v>4</v>
      </c>
      <c r="Q10" s="34"/>
      <c r="R10" s="34">
        <v>4</v>
      </c>
      <c r="S10" s="34"/>
      <c r="T10" s="34">
        <v>4</v>
      </c>
      <c r="U10" s="34"/>
      <c r="V10" s="34">
        <v>4</v>
      </c>
      <c r="W10" s="34"/>
      <c r="X10" s="34">
        <v>4</v>
      </c>
      <c r="Y10" s="34"/>
      <c r="Z10" s="34">
        <v>4</v>
      </c>
      <c r="AA10" s="34"/>
      <c r="AB10" s="34">
        <v>4</v>
      </c>
      <c r="AC10" s="34"/>
      <c r="AD10" s="34">
        <v>4</v>
      </c>
      <c r="AE10" s="34"/>
      <c r="AF10" s="34">
        <v>4</v>
      </c>
      <c r="AG10" s="34"/>
      <c r="AH10" s="34">
        <v>4</v>
      </c>
      <c r="AI10" s="34"/>
      <c r="AJ10" s="34">
        <v>4</v>
      </c>
      <c r="AK10" s="34"/>
      <c r="AL10" s="34">
        <v>4</v>
      </c>
      <c r="AM10" s="34"/>
      <c r="AN10" s="34">
        <v>4</v>
      </c>
      <c r="AO10" s="34"/>
      <c r="AP10" s="34">
        <v>4</v>
      </c>
      <c r="AQ10" s="34"/>
      <c r="AR10" s="34">
        <v>4</v>
      </c>
      <c r="AS10" s="34"/>
      <c r="AT10" s="34">
        <v>4</v>
      </c>
      <c r="AU10" s="34"/>
      <c r="AV10" s="34">
        <v>4</v>
      </c>
      <c r="AW10" s="34"/>
      <c r="AX10" s="34">
        <v>4</v>
      </c>
      <c r="AY10" s="34"/>
    </row>
    <row r="11" spans="1:51">
      <c r="A11" s="648"/>
      <c r="B11" s="32" t="s">
        <v>153</v>
      </c>
      <c r="C11" s="33" t="s">
        <v>154</v>
      </c>
      <c r="D11" s="34">
        <v>4</v>
      </c>
      <c r="E11" s="34"/>
      <c r="F11" s="34">
        <v>4</v>
      </c>
      <c r="G11" s="34"/>
      <c r="H11" s="34">
        <v>4</v>
      </c>
      <c r="I11" s="34"/>
      <c r="J11" s="34">
        <v>4</v>
      </c>
      <c r="K11" s="34"/>
      <c r="L11" s="34">
        <v>4</v>
      </c>
      <c r="M11" s="34"/>
      <c r="N11" s="34">
        <v>4</v>
      </c>
      <c r="O11" s="34"/>
      <c r="P11" s="34">
        <v>4</v>
      </c>
      <c r="Q11" s="34"/>
      <c r="R11" s="34">
        <v>4</v>
      </c>
      <c r="S11" s="34"/>
      <c r="T11" s="34">
        <v>4</v>
      </c>
      <c r="U11" s="34"/>
      <c r="V11" s="34">
        <v>4</v>
      </c>
      <c r="W11" s="34"/>
      <c r="X11" s="34">
        <v>4</v>
      </c>
      <c r="Y11" s="34"/>
      <c r="Z11" s="34">
        <v>4</v>
      </c>
      <c r="AA11" s="34"/>
      <c r="AB11" s="34">
        <v>4</v>
      </c>
      <c r="AC11" s="34"/>
      <c r="AD11" s="34">
        <v>4</v>
      </c>
      <c r="AE11" s="34"/>
      <c r="AF11" s="34">
        <v>4</v>
      </c>
      <c r="AG11" s="34"/>
      <c r="AH11" s="34">
        <v>4</v>
      </c>
      <c r="AI11" s="34"/>
      <c r="AJ11" s="34">
        <v>4</v>
      </c>
      <c r="AK11" s="34"/>
      <c r="AL11" s="34">
        <v>4</v>
      </c>
      <c r="AM11" s="34"/>
      <c r="AN11" s="34">
        <v>4</v>
      </c>
      <c r="AO11" s="34"/>
      <c r="AP11" s="34">
        <v>4</v>
      </c>
      <c r="AQ11" s="34"/>
      <c r="AR11" s="34">
        <v>4</v>
      </c>
      <c r="AS11" s="34"/>
      <c r="AT11" s="34">
        <v>4</v>
      </c>
      <c r="AU11" s="34"/>
      <c r="AV11" s="34">
        <v>4</v>
      </c>
      <c r="AW11" s="34"/>
      <c r="AX11" s="34">
        <v>4</v>
      </c>
      <c r="AY11" s="34"/>
    </row>
    <row r="12" spans="1:51">
      <c r="A12" s="648"/>
      <c r="B12" s="32" t="s">
        <v>155</v>
      </c>
      <c r="C12" s="33" t="s">
        <v>64</v>
      </c>
      <c r="D12" s="34">
        <v>4</v>
      </c>
      <c r="E12" s="34"/>
      <c r="F12" s="34">
        <v>4</v>
      </c>
      <c r="G12" s="34"/>
      <c r="H12" s="34">
        <v>4</v>
      </c>
      <c r="I12" s="34"/>
      <c r="J12" s="34">
        <v>4</v>
      </c>
      <c r="K12" s="34"/>
      <c r="L12" s="34">
        <v>4</v>
      </c>
      <c r="M12" s="34"/>
      <c r="N12" s="34">
        <v>4</v>
      </c>
      <c r="O12" s="34"/>
      <c r="P12" s="34">
        <v>4</v>
      </c>
      <c r="Q12" s="34"/>
      <c r="R12" s="34">
        <v>4</v>
      </c>
      <c r="S12" s="34"/>
      <c r="T12" s="34">
        <v>4</v>
      </c>
      <c r="U12" s="34"/>
      <c r="V12" s="34">
        <v>4</v>
      </c>
      <c r="W12" s="34"/>
      <c r="X12" s="34">
        <v>4</v>
      </c>
      <c r="Y12" s="34"/>
      <c r="Z12" s="34">
        <v>4</v>
      </c>
      <c r="AA12" s="34"/>
      <c r="AB12" s="34">
        <v>4</v>
      </c>
      <c r="AC12" s="34"/>
      <c r="AD12" s="34">
        <v>4</v>
      </c>
      <c r="AE12" s="34"/>
      <c r="AF12" s="34">
        <v>4</v>
      </c>
      <c r="AG12" s="34"/>
      <c r="AH12" s="34">
        <v>4</v>
      </c>
      <c r="AI12" s="34"/>
      <c r="AJ12" s="34">
        <v>4</v>
      </c>
      <c r="AK12" s="34"/>
      <c r="AL12" s="34">
        <v>4</v>
      </c>
      <c r="AM12" s="34"/>
      <c r="AN12" s="34">
        <v>4</v>
      </c>
      <c r="AO12" s="34"/>
      <c r="AP12" s="34">
        <v>4</v>
      </c>
      <c r="AQ12" s="34"/>
      <c r="AR12" s="34">
        <v>4</v>
      </c>
      <c r="AS12" s="34"/>
      <c r="AT12" s="34">
        <v>4</v>
      </c>
      <c r="AU12" s="34"/>
      <c r="AV12" s="34">
        <v>4</v>
      </c>
      <c r="AW12" s="34"/>
      <c r="AX12" s="34">
        <v>4</v>
      </c>
      <c r="AY12" s="34"/>
    </row>
    <row r="13" spans="1:51">
      <c r="A13" s="648"/>
      <c r="B13" s="32" t="s">
        <v>156</v>
      </c>
      <c r="C13" s="33" t="s">
        <v>65</v>
      </c>
      <c r="D13" s="34">
        <v>4</v>
      </c>
      <c r="E13" s="34"/>
      <c r="F13" s="34">
        <v>4</v>
      </c>
      <c r="G13" s="34"/>
      <c r="H13" s="34">
        <v>4</v>
      </c>
      <c r="I13" s="34"/>
      <c r="J13" s="34">
        <v>4</v>
      </c>
      <c r="K13" s="34"/>
      <c r="L13" s="34">
        <v>4</v>
      </c>
      <c r="M13" s="34"/>
      <c r="N13" s="34">
        <v>4</v>
      </c>
      <c r="O13" s="34"/>
      <c r="P13" s="34">
        <v>4</v>
      </c>
      <c r="Q13" s="34"/>
      <c r="R13" s="34">
        <v>4</v>
      </c>
      <c r="S13" s="34"/>
      <c r="T13" s="34">
        <v>4</v>
      </c>
      <c r="U13" s="34"/>
      <c r="V13" s="34">
        <v>4</v>
      </c>
      <c r="W13" s="34"/>
      <c r="X13" s="34">
        <v>4</v>
      </c>
      <c r="Y13" s="34"/>
      <c r="Z13" s="34">
        <v>4</v>
      </c>
      <c r="AA13" s="34"/>
      <c r="AB13" s="34">
        <v>4</v>
      </c>
      <c r="AC13" s="34"/>
      <c r="AD13" s="34">
        <v>4</v>
      </c>
      <c r="AE13" s="34"/>
      <c r="AF13" s="34">
        <v>4</v>
      </c>
      <c r="AG13" s="34"/>
      <c r="AH13" s="34">
        <v>4</v>
      </c>
      <c r="AI13" s="34"/>
      <c r="AJ13" s="34">
        <v>4</v>
      </c>
      <c r="AK13" s="34"/>
      <c r="AL13" s="34">
        <v>4</v>
      </c>
      <c r="AM13" s="34"/>
      <c r="AN13" s="34">
        <v>4</v>
      </c>
      <c r="AO13" s="34"/>
      <c r="AP13" s="34">
        <v>4</v>
      </c>
      <c r="AQ13" s="34"/>
      <c r="AR13" s="34">
        <v>4</v>
      </c>
      <c r="AS13" s="34"/>
      <c r="AT13" s="34">
        <v>4</v>
      </c>
      <c r="AU13" s="34"/>
      <c r="AV13" s="34">
        <v>4</v>
      </c>
      <c r="AW13" s="34"/>
      <c r="AX13" s="34">
        <v>4</v>
      </c>
      <c r="AY13" s="34"/>
    </row>
    <row r="14" spans="1:51">
      <c r="A14" s="648"/>
      <c r="B14" s="35"/>
      <c r="C14" s="36"/>
      <c r="D14" s="37">
        <f>SUM(D9:D13)</f>
        <v>20</v>
      </c>
      <c r="E14" s="37">
        <f>SUM(E9:E13)</f>
        <v>0</v>
      </c>
      <c r="F14" s="37">
        <f>SUM(F9:F13)</f>
        <v>20</v>
      </c>
      <c r="G14" s="37">
        <f>SUM(G9:G13)</f>
        <v>0</v>
      </c>
      <c r="H14" s="37">
        <f>SUM(H9:H13)</f>
        <v>20</v>
      </c>
      <c r="I14" s="37">
        <f t="shared" ref="I14:AY14" si="1">SUM(I9:I13)</f>
        <v>0</v>
      </c>
      <c r="J14" s="37">
        <f t="shared" si="1"/>
        <v>20</v>
      </c>
      <c r="K14" s="37">
        <f t="shared" si="1"/>
        <v>0</v>
      </c>
      <c r="L14" s="37">
        <f t="shared" si="1"/>
        <v>20</v>
      </c>
      <c r="M14" s="37">
        <f t="shared" si="1"/>
        <v>0</v>
      </c>
      <c r="N14" s="37">
        <f t="shared" si="1"/>
        <v>20</v>
      </c>
      <c r="O14" s="37">
        <f t="shared" si="1"/>
        <v>0</v>
      </c>
      <c r="P14" s="37">
        <f t="shared" si="1"/>
        <v>20</v>
      </c>
      <c r="Q14" s="37">
        <f t="shared" si="1"/>
        <v>0</v>
      </c>
      <c r="R14" s="37">
        <f t="shared" si="1"/>
        <v>20</v>
      </c>
      <c r="S14" s="37">
        <f t="shared" si="1"/>
        <v>0</v>
      </c>
      <c r="T14" s="37">
        <f t="shared" si="1"/>
        <v>20</v>
      </c>
      <c r="U14" s="37">
        <f t="shared" si="1"/>
        <v>0</v>
      </c>
      <c r="V14" s="37">
        <f t="shared" si="1"/>
        <v>20</v>
      </c>
      <c r="W14" s="37">
        <f t="shared" si="1"/>
        <v>0</v>
      </c>
      <c r="X14" s="37">
        <f t="shared" si="1"/>
        <v>20</v>
      </c>
      <c r="Y14" s="37">
        <f t="shared" si="1"/>
        <v>0</v>
      </c>
      <c r="Z14" s="37">
        <f t="shared" si="1"/>
        <v>20</v>
      </c>
      <c r="AA14" s="37">
        <f t="shared" si="1"/>
        <v>0</v>
      </c>
      <c r="AB14" s="37">
        <f t="shared" si="1"/>
        <v>20</v>
      </c>
      <c r="AC14" s="37">
        <f t="shared" si="1"/>
        <v>0</v>
      </c>
      <c r="AD14" s="37">
        <f t="shared" si="1"/>
        <v>20</v>
      </c>
      <c r="AE14" s="37">
        <f t="shared" si="1"/>
        <v>0</v>
      </c>
      <c r="AF14" s="37">
        <f t="shared" si="1"/>
        <v>20</v>
      </c>
      <c r="AG14" s="37">
        <f t="shared" si="1"/>
        <v>0</v>
      </c>
      <c r="AH14" s="37">
        <f t="shared" si="1"/>
        <v>20</v>
      </c>
      <c r="AI14" s="37">
        <f t="shared" si="1"/>
        <v>0</v>
      </c>
      <c r="AJ14" s="37">
        <f t="shared" si="1"/>
        <v>20</v>
      </c>
      <c r="AK14" s="37">
        <f t="shared" si="1"/>
        <v>0</v>
      </c>
      <c r="AL14" s="37">
        <f t="shared" si="1"/>
        <v>20</v>
      </c>
      <c r="AM14" s="37">
        <f t="shared" si="1"/>
        <v>0</v>
      </c>
      <c r="AN14" s="37">
        <f t="shared" si="1"/>
        <v>20</v>
      </c>
      <c r="AO14" s="37">
        <f t="shared" si="1"/>
        <v>0</v>
      </c>
      <c r="AP14" s="37">
        <f t="shared" si="1"/>
        <v>20</v>
      </c>
      <c r="AQ14" s="37">
        <f t="shared" si="1"/>
        <v>0</v>
      </c>
      <c r="AR14" s="37">
        <f t="shared" si="1"/>
        <v>20</v>
      </c>
      <c r="AS14" s="37">
        <f t="shared" si="1"/>
        <v>0</v>
      </c>
      <c r="AT14" s="37">
        <f t="shared" si="1"/>
        <v>20</v>
      </c>
      <c r="AU14" s="37">
        <f t="shared" si="1"/>
        <v>0</v>
      </c>
      <c r="AV14" s="37">
        <f t="shared" si="1"/>
        <v>20</v>
      </c>
      <c r="AW14" s="37">
        <f t="shared" si="1"/>
        <v>0</v>
      </c>
      <c r="AX14" s="37">
        <f t="shared" si="1"/>
        <v>20</v>
      </c>
      <c r="AY14" s="37">
        <f t="shared" si="1"/>
        <v>0</v>
      </c>
    </row>
    <row r="15" spans="1:51">
      <c r="A15" s="647" t="s">
        <v>9</v>
      </c>
      <c r="B15" s="32" t="s">
        <v>157</v>
      </c>
      <c r="C15" s="33" t="s">
        <v>158</v>
      </c>
      <c r="D15" s="34">
        <v>4</v>
      </c>
      <c r="E15" s="34"/>
      <c r="F15" s="34">
        <v>4</v>
      </c>
      <c r="G15" s="34"/>
      <c r="H15" s="34">
        <v>4</v>
      </c>
      <c r="I15" s="34"/>
      <c r="J15" s="34">
        <v>4</v>
      </c>
      <c r="K15" s="34"/>
      <c r="L15" s="34">
        <v>4</v>
      </c>
      <c r="M15" s="34"/>
      <c r="N15" s="34">
        <v>4</v>
      </c>
      <c r="O15" s="34"/>
      <c r="P15" s="34">
        <v>4</v>
      </c>
      <c r="Q15" s="34"/>
      <c r="R15" s="34">
        <v>4</v>
      </c>
      <c r="S15" s="34"/>
      <c r="T15" s="34">
        <v>4</v>
      </c>
      <c r="U15" s="34"/>
      <c r="V15" s="34">
        <v>4</v>
      </c>
      <c r="W15" s="34"/>
      <c r="X15" s="34">
        <v>4</v>
      </c>
      <c r="Y15" s="34"/>
      <c r="Z15" s="34">
        <v>4</v>
      </c>
      <c r="AA15" s="34"/>
      <c r="AB15" s="34">
        <v>4</v>
      </c>
      <c r="AC15" s="34"/>
      <c r="AD15" s="34">
        <v>4</v>
      </c>
      <c r="AE15" s="34"/>
      <c r="AF15" s="34">
        <v>4</v>
      </c>
      <c r="AG15" s="34"/>
      <c r="AH15" s="34">
        <v>4</v>
      </c>
      <c r="AI15" s="34"/>
      <c r="AJ15" s="34">
        <v>4</v>
      </c>
      <c r="AK15" s="34"/>
      <c r="AL15" s="34">
        <v>4</v>
      </c>
      <c r="AM15" s="34"/>
      <c r="AN15" s="34">
        <v>4</v>
      </c>
      <c r="AO15" s="34"/>
      <c r="AP15" s="34">
        <v>4</v>
      </c>
      <c r="AQ15" s="34"/>
      <c r="AR15" s="34">
        <v>4</v>
      </c>
      <c r="AS15" s="34"/>
      <c r="AT15" s="34">
        <v>4</v>
      </c>
      <c r="AU15" s="34"/>
      <c r="AV15" s="34">
        <v>4</v>
      </c>
      <c r="AW15" s="34"/>
      <c r="AX15" s="34">
        <v>4</v>
      </c>
      <c r="AY15" s="34"/>
    </row>
    <row r="16" spans="1:51">
      <c r="A16" s="647"/>
      <c r="B16" s="32" t="s">
        <v>159</v>
      </c>
      <c r="C16" s="33" t="s">
        <v>67</v>
      </c>
      <c r="D16" s="34">
        <v>4</v>
      </c>
      <c r="E16" s="34"/>
      <c r="F16" s="34">
        <v>4</v>
      </c>
      <c r="G16" s="34"/>
      <c r="H16" s="34">
        <v>4</v>
      </c>
      <c r="I16" s="34"/>
      <c r="J16" s="34">
        <v>4</v>
      </c>
      <c r="K16" s="34"/>
      <c r="L16" s="34">
        <v>4</v>
      </c>
      <c r="M16" s="34"/>
      <c r="N16" s="34">
        <v>4</v>
      </c>
      <c r="O16" s="34"/>
      <c r="P16" s="34">
        <v>4</v>
      </c>
      <c r="Q16" s="34"/>
      <c r="R16" s="34">
        <v>4</v>
      </c>
      <c r="S16" s="34"/>
      <c r="T16" s="34">
        <v>4</v>
      </c>
      <c r="U16" s="34"/>
      <c r="V16" s="34">
        <v>4</v>
      </c>
      <c r="W16" s="34"/>
      <c r="X16" s="34">
        <v>4</v>
      </c>
      <c r="Y16" s="34"/>
      <c r="Z16" s="34">
        <v>4</v>
      </c>
      <c r="AA16" s="34"/>
      <c r="AB16" s="34">
        <v>4</v>
      </c>
      <c r="AC16" s="34"/>
      <c r="AD16" s="34">
        <v>4</v>
      </c>
      <c r="AE16" s="34"/>
      <c r="AF16" s="34">
        <v>4</v>
      </c>
      <c r="AG16" s="34"/>
      <c r="AH16" s="34">
        <v>4</v>
      </c>
      <c r="AI16" s="34"/>
      <c r="AJ16" s="34">
        <v>4</v>
      </c>
      <c r="AK16" s="34"/>
      <c r="AL16" s="34">
        <v>4</v>
      </c>
      <c r="AM16" s="34"/>
      <c r="AN16" s="34">
        <v>4</v>
      </c>
      <c r="AO16" s="34"/>
      <c r="AP16" s="34">
        <v>4</v>
      </c>
      <c r="AQ16" s="34"/>
      <c r="AR16" s="34">
        <v>4</v>
      </c>
      <c r="AS16" s="34"/>
      <c r="AT16" s="34">
        <v>4</v>
      </c>
      <c r="AU16" s="34"/>
      <c r="AV16" s="34">
        <v>4</v>
      </c>
      <c r="AW16" s="34"/>
      <c r="AX16" s="34">
        <v>4</v>
      </c>
      <c r="AY16" s="34"/>
    </row>
    <row r="17" spans="1:51">
      <c r="A17" s="647"/>
      <c r="B17" s="32" t="s">
        <v>160</v>
      </c>
      <c r="C17" s="33" t="s">
        <v>68</v>
      </c>
      <c r="D17" s="34">
        <v>4</v>
      </c>
      <c r="E17" s="34"/>
      <c r="F17" s="34">
        <v>4</v>
      </c>
      <c r="G17" s="34"/>
      <c r="H17" s="34">
        <v>4</v>
      </c>
      <c r="I17" s="34"/>
      <c r="J17" s="34">
        <v>4</v>
      </c>
      <c r="K17" s="34"/>
      <c r="L17" s="34">
        <v>4</v>
      </c>
      <c r="M17" s="34"/>
      <c r="N17" s="34">
        <v>4</v>
      </c>
      <c r="O17" s="34"/>
      <c r="P17" s="34">
        <v>4</v>
      </c>
      <c r="Q17" s="34"/>
      <c r="R17" s="34">
        <v>4</v>
      </c>
      <c r="S17" s="34"/>
      <c r="T17" s="34">
        <v>4</v>
      </c>
      <c r="U17" s="34"/>
      <c r="V17" s="34">
        <v>4</v>
      </c>
      <c r="W17" s="34"/>
      <c r="X17" s="34">
        <v>4</v>
      </c>
      <c r="Y17" s="34"/>
      <c r="Z17" s="34">
        <v>4</v>
      </c>
      <c r="AA17" s="34"/>
      <c r="AB17" s="34">
        <v>4</v>
      </c>
      <c r="AC17" s="34"/>
      <c r="AD17" s="34">
        <v>4</v>
      </c>
      <c r="AE17" s="34"/>
      <c r="AF17" s="34">
        <v>4</v>
      </c>
      <c r="AG17" s="34"/>
      <c r="AH17" s="34">
        <v>4</v>
      </c>
      <c r="AI17" s="34"/>
      <c r="AJ17" s="34">
        <v>4</v>
      </c>
      <c r="AK17" s="34"/>
      <c r="AL17" s="34">
        <v>4</v>
      </c>
      <c r="AM17" s="34"/>
      <c r="AN17" s="34">
        <v>4</v>
      </c>
      <c r="AO17" s="34"/>
      <c r="AP17" s="34">
        <v>4</v>
      </c>
      <c r="AQ17" s="34"/>
      <c r="AR17" s="34">
        <v>4</v>
      </c>
      <c r="AS17" s="34"/>
      <c r="AT17" s="34">
        <v>4</v>
      </c>
      <c r="AU17" s="34"/>
      <c r="AV17" s="34">
        <v>4</v>
      </c>
      <c r="AW17" s="34"/>
      <c r="AX17" s="34">
        <v>4</v>
      </c>
      <c r="AY17" s="34"/>
    </row>
    <row r="18" spans="1:51">
      <c r="A18" s="647"/>
      <c r="B18" s="32" t="s">
        <v>161</v>
      </c>
      <c r="C18" s="33" t="s">
        <v>69</v>
      </c>
      <c r="D18" s="34">
        <v>4</v>
      </c>
      <c r="E18" s="34"/>
      <c r="F18" s="34">
        <v>4</v>
      </c>
      <c r="G18" s="34"/>
      <c r="H18" s="34">
        <v>4</v>
      </c>
      <c r="I18" s="34"/>
      <c r="J18" s="34">
        <v>4</v>
      </c>
      <c r="K18" s="34"/>
      <c r="L18" s="34">
        <v>4</v>
      </c>
      <c r="M18" s="34"/>
      <c r="N18" s="34">
        <v>4</v>
      </c>
      <c r="O18" s="34"/>
      <c r="P18" s="34">
        <v>4</v>
      </c>
      <c r="Q18" s="34"/>
      <c r="R18" s="34">
        <v>4</v>
      </c>
      <c r="S18" s="34"/>
      <c r="T18" s="34">
        <v>4</v>
      </c>
      <c r="U18" s="34"/>
      <c r="V18" s="34">
        <v>4</v>
      </c>
      <c r="W18" s="34"/>
      <c r="X18" s="34">
        <v>4</v>
      </c>
      <c r="Y18" s="34"/>
      <c r="Z18" s="34">
        <v>4</v>
      </c>
      <c r="AA18" s="34"/>
      <c r="AB18" s="34">
        <v>4</v>
      </c>
      <c r="AC18" s="34"/>
      <c r="AD18" s="34">
        <v>4</v>
      </c>
      <c r="AE18" s="34"/>
      <c r="AF18" s="34">
        <v>4</v>
      </c>
      <c r="AG18" s="34"/>
      <c r="AH18" s="34">
        <v>4</v>
      </c>
      <c r="AI18" s="34"/>
      <c r="AJ18" s="34">
        <v>4</v>
      </c>
      <c r="AK18" s="34"/>
      <c r="AL18" s="34">
        <v>4</v>
      </c>
      <c r="AM18" s="34"/>
      <c r="AN18" s="34">
        <v>4</v>
      </c>
      <c r="AO18" s="34"/>
      <c r="AP18" s="34">
        <v>4</v>
      </c>
      <c r="AQ18" s="34"/>
      <c r="AR18" s="34">
        <v>4</v>
      </c>
      <c r="AS18" s="34"/>
      <c r="AT18" s="34">
        <v>4</v>
      </c>
      <c r="AU18" s="34"/>
      <c r="AV18" s="34">
        <v>4</v>
      </c>
      <c r="AW18" s="34"/>
      <c r="AX18" s="34">
        <v>4</v>
      </c>
      <c r="AY18" s="34"/>
    </row>
    <row r="19" spans="1:51">
      <c r="A19" s="647"/>
      <c r="B19" s="32" t="s">
        <v>162</v>
      </c>
      <c r="C19" s="33" t="s">
        <v>70</v>
      </c>
      <c r="D19" s="34">
        <v>4</v>
      </c>
      <c r="E19" s="34"/>
      <c r="F19" s="34">
        <v>4</v>
      </c>
      <c r="G19" s="34"/>
      <c r="H19" s="34">
        <v>4</v>
      </c>
      <c r="I19" s="34"/>
      <c r="J19" s="34">
        <v>4</v>
      </c>
      <c r="K19" s="34"/>
      <c r="L19" s="34">
        <v>4</v>
      </c>
      <c r="M19" s="34"/>
      <c r="N19" s="34">
        <v>4</v>
      </c>
      <c r="O19" s="34"/>
      <c r="P19" s="34">
        <v>4</v>
      </c>
      <c r="Q19" s="34"/>
      <c r="R19" s="34">
        <v>4</v>
      </c>
      <c r="S19" s="34"/>
      <c r="T19" s="34">
        <v>4</v>
      </c>
      <c r="U19" s="34"/>
      <c r="V19" s="34">
        <v>4</v>
      </c>
      <c r="W19" s="34"/>
      <c r="X19" s="34">
        <v>4</v>
      </c>
      <c r="Y19" s="34"/>
      <c r="Z19" s="34">
        <v>4</v>
      </c>
      <c r="AA19" s="34"/>
      <c r="AB19" s="34">
        <v>4</v>
      </c>
      <c r="AC19" s="34"/>
      <c r="AD19" s="34">
        <v>4</v>
      </c>
      <c r="AE19" s="34"/>
      <c r="AF19" s="34">
        <v>4</v>
      </c>
      <c r="AG19" s="34"/>
      <c r="AH19" s="34">
        <v>4</v>
      </c>
      <c r="AI19" s="34"/>
      <c r="AJ19" s="34">
        <v>4</v>
      </c>
      <c r="AK19" s="34"/>
      <c r="AL19" s="34">
        <v>4</v>
      </c>
      <c r="AM19" s="34"/>
      <c r="AN19" s="34">
        <v>4</v>
      </c>
      <c r="AO19" s="34"/>
      <c r="AP19" s="34">
        <v>4</v>
      </c>
      <c r="AQ19" s="34"/>
      <c r="AR19" s="34">
        <v>4</v>
      </c>
      <c r="AS19" s="34"/>
      <c r="AT19" s="34">
        <v>4</v>
      </c>
      <c r="AU19" s="34"/>
      <c r="AV19" s="34">
        <v>4</v>
      </c>
      <c r="AW19" s="34"/>
      <c r="AX19" s="34">
        <v>4</v>
      </c>
      <c r="AY19" s="34"/>
    </row>
    <row r="20" spans="1:51">
      <c r="A20" s="647"/>
      <c r="B20" s="32" t="s">
        <v>163</v>
      </c>
      <c r="C20" s="33" t="s">
        <v>164</v>
      </c>
      <c r="D20" s="34">
        <v>4</v>
      </c>
      <c r="E20" s="34"/>
      <c r="F20" s="34">
        <v>4</v>
      </c>
      <c r="G20" s="34"/>
      <c r="H20" s="34">
        <v>4</v>
      </c>
      <c r="I20" s="34"/>
      <c r="J20" s="34">
        <v>4</v>
      </c>
      <c r="K20" s="34"/>
      <c r="L20" s="34">
        <v>4</v>
      </c>
      <c r="M20" s="34"/>
      <c r="N20" s="34">
        <v>4</v>
      </c>
      <c r="O20" s="34"/>
      <c r="P20" s="34">
        <v>4</v>
      </c>
      <c r="Q20" s="34"/>
      <c r="R20" s="34">
        <v>4</v>
      </c>
      <c r="S20" s="34"/>
      <c r="T20" s="34">
        <v>4</v>
      </c>
      <c r="U20" s="34"/>
      <c r="V20" s="34">
        <v>4</v>
      </c>
      <c r="W20" s="34"/>
      <c r="X20" s="34">
        <v>4</v>
      </c>
      <c r="Y20" s="34"/>
      <c r="Z20" s="34">
        <v>4</v>
      </c>
      <c r="AA20" s="34"/>
      <c r="AB20" s="34">
        <v>4</v>
      </c>
      <c r="AC20" s="34"/>
      <c r="AD20" s="34">
        <v>4</v>
      </c>
      <c r="AE20" s="34"/>
      <c r="AF20" s="34">
        <v>4</v>
      </c>
      <c r="AG20" s="34"/>
      <c r="AH20" s="34">
        <v>4</v>
      </c>
      <c r="AI20" s="34"/>
      <c r="AJ20" s="34">
        <v>4</v>
      </c>
      <c r="AK20" s="34"/>
      <c r="AL20" s="34">
        <v>4</v>
      </c>
      <c r="AM20" s="34"/>
      <c r="AN20" s="34">
        <v>4</v>
      </c>
      <c r="AO20" s="34"/>
      <c r="AP20" s="34">
        <v>4</v>
      </c>
      <c r="AQ20" s="34"/>
      <c r="AR20" s="34">
        <v>4</v>
      </c>
      <c r="AS20" s="34"/>
      <c r="AT20" s="34">
        <v>4</v>
      </c>
      <c r="AU20" s="34"/>
      <c r="AV20" s="34">
        <v>4</v>
      </c>
      <c r="AW20" s="34"/>
      <c r="AX20" s="34">
        <v>4</v>
      </c>
      <c r="AY20" s="34"/>
    </row>
    <row r="21" spans="1:51">
      <c r="A21" s="647"/>
      <c r="B21" s="32" t="s">
        <v>165</v>
      </c>
      <c r="C21" s="33" t="s">
        <v>166</v>
      </c>
      <c r="D21" s="34">
        <v>4</v>
      </c>
      <c r="E21" s="34"/>
      <c r="F21" s="34">
        <v>4</v>
      </c>
      <c r="G21" s="34"/>
      <c r="H21" s="34">
        <v>4</v>
      </c>
      <c r="I21" s="34"/>
      <c r="J21" s="34">
        <v>4</v>
      </c>
      <c r="K21" s="34"/>
      <c r="L21" s="34">
        <v>4</v>
      </c>
      <c r="M21" s="34"/>
      <c r="N21" s="34">
        <v>4</v>
      </c>
      <c r="O21" s="34"/>
      <c r="P21" s="34">
        <v>4</v>
      </c>
      <c r="Q21" s="34"/>
      <c r="R21" s="34">
        <v>4</v>
      </c>
      <c r="S21" s="34"/>
      <c r="T21" s="34">
        <v>4</v>
      </c>
      <c r="U21" s="34"/>
      <c r="V21" s="34">
        <v>4</v>
      </c>
      <c r="W21" s="34"/>
      <c r="X21" s="34">
        <v>4</v>
      </c>
      <c r="Y21" s="34"/>
      <c r="Z21" s="34">
        <v>4</v>
      </c>
      <c r="AA21" s="34"/>
      <c r="AB21" s="34">
        <v>4</v>
      </c>
      <c r="AC21" s="34"/>
      <c r="AD21" s="34">
        <v>4</v>
      </c>
      <c r="AE21" s="34"/>
      <c r="AF21" s="34">
        <v>4</v>
      </c>
      <c r="AG21" s="34"/>
      <c r="AH21" s="34">
        <v>4</v>
      </c>
      <c r="AI21" s="34"/>
      <c r="AJ21" s="34">
        <v>4</v>
      </c>
      <c r="AK21" s="34"/>
      <c r="AL21" s="34">
        <v>4</v>
      </c>
      <c r="AM21" s="34"/>
      <c r="AN21" s="34">
        <v>4</v>
      </c>
      <c r="AO21" s="34"/>
      <c r="AP21" s="34">
        <v>4</v>
      </c>
      <c r="AQ21" s="34"/>
      <c r="AR21" s="34">
        <v>4</v>
      </c>
      <c r="AS21" s="34"/>
      <c r="AT21" s="34">
        <v>4</v>
      </c>
      <c r="AU21" s="34"/>
      <c r="AV21" s="34">
        <v>4</v>
      </c>
      <c r="AW21" s="34"/>
      <c r="AX21" s="34">
        <v>4</v>
      </c>
      <c r="AY21" s="34"/>
    </row>
    <row r="22" spans="1:51">
      <c r="A22" s="647"/>
      <c r="B22" s="32" t="s">
        <v>167</v>
      </c>
      <c r="C22" s="33" t="s">
        <v>168</v>
      </c>
      <c r="D22" s="34">
        <v>4</v>
      </c>
      <c r="E22" s="34"/>
      <c r="F22" s="34">
        <v>4</v>
      </c>
      <c r="G22" s="34"/>
      <c r="H22" s="34">
        <v>4</v>
      </c>
      <c r="I22" s="34"/>
      <c r="J22" s="34">
        <v>4</v>
      </c>
      <c r="K22" s="34"/>
      <c r="L22" s="34">
        <v>4</v>
      </c>
      <c r="M22" s="34"/>
      <c r="N22" s="34">
        <v>4</v>
      </c>
      <c r="O22" s="34"/>
      <c r="P22" s="34">
        <v>4</v>
      </c>
      <c r="Q22" s="34"/>
      <c r="R22" s="34">
        <v>4</v>
      </c>
      <c r="S22" s="34"/>
      <c r="T22" s="34">
        <v>4</v>
      </c>
      <c r="U22" s="34"/>
      <c r="V22" s="34">
        <v>4</v>
      </c>
      <c r="W22" s="34"/>
      <c r="X22" s="34">
        <v>4</v>
      </c>
      <c r="Y22" s="34"/>
      <c r="Z22" s="34">
        <v>4</v>
      </c>
      <c r="AA22" s="34"/>
      <c r="AB22" s="34">
        <v>4</v>
      </c>
      <c r="AC22" s="34"/>
      <c r="AD22" s="34">
        <v>4</v>
      </c>
      <c r="AE22" s="34"/>
      <c r="AF22" s="34">
        <v>4</v>
      </c>
      <c r="AG22" s="34"/>
      <c r="AH22" s="34">
        <v>4</v>
      </c>
      <c r="AI22" s="34"/>
      <c r="AJ22" s="34">
        <v>4</v>
      </c>
      <c r="AK22" s="34"/>
      <c r="AL22" s="34">
        <v>4</v>
      </c>
      <c r="AM22" s="34"/>
      <c r="AN22" s="34">
        <v>4</v>
      </c>
      <c r="AO22" s="34"/>
      <c r="AP22" s="34">
        <v>4</v>
      </c>
      <c r="AQ22" s="34"/>
      <c r="AR22" s="34">
        <v>4</v>
      </c>
      <c r="AS22" s="34"/>
      <c r="AT22" s="34">
        <v>4</v>
      </c>
      <c r="AU22" s="34"/>
      <c r="AV22" s="34">
        <v>4</v>
      </c>
      <c r="AW22" s="34"/>
      <c r="AX22" s="34">
        <v>4</v>
      </c>
      <c r="AY22" s="34"/>
    </row>
    <row r="23" spans="1:51">
      <c r="A23" s="647"/>
      <c r="B23" s="35"/>
      <c r="C23" s="36"/>
      <c r="D23" s="37">
        <f>SUM(D15:D22)</f>
        <v>32</v>
      </c>
      <c r="E23" s="37">
        <f>SUM(E15:E22)</f>
        <v>0</v>
      </c>
      <c r="F23" s="37">
        <f>SUM(F15:F22)</f>
        <v>32</v>
      </c>
      <c r="G23" s="37">
        <f>SUM(G15:G22)</f>
        <v>0</v>
      </c>
      <c r="H23" s="37">
        <f>SUM(H15:H22)</f>
        <v>32</v>
      </c>
      <c r="I23" s="37">
        <f t="shared" ref="I23:AY23" si="2">SUM(I15:I22)</f>
        <v>0</v>
      </c>
      <c r="J23" s="37">
        <f t="shared" si="2"/>
        <v>32</v>
      </c>
      <c r="K23" s="37">
        <f t="shared" si="2"/>
        <v>0</v>
      </c>
      <c r="L23" s="37">
        <f t="shared" si="2"/>
        <v>32</v>
      </c>
      <c r="M23" s="37">
        <f t="shared" si="2"/>
        <v>0</v>
      </c>
      <c r="N23" s="37">
        <f t="shared" si="2"/>
        <v>32</v>
      </c>
      <c r="O23" s="37">
        <f t="shared" si="2"/>
        <v>0</v>
      </c>
      <c r="P23" s="37">
        <f t="shared" si="2"/>
        <v>32</v>
      </c>
      <c r="Q23" s="37">
        <f t="shared" si="2"/>
        <v>0</v>
      </c>
      <c r="R23" s="37">
        <f t="shared" si="2"/>
        <v>32</v>
      </c>
      <c r="S23" s="37">
        <f t="shared" si="2"/>
        <v>0</v>
      </c>
      <c r="T23" s="37">
        <f t="shared" si="2"/>
        <v>32</v>
      </c>
      <c r="U23" s="37">
        <f t="shared" si="2"/>
        <v>0</v>
      </c>
      <c r="V23" s="37">
        <f t="shared" si="2"/>
        <v>32</v>
      </c>
      <c r="W23" s="37">
        <f t="shared" si="2"/>
        <v>0</v>
      </c>
      <c r="X23" s="37">
        <f t="shared" si="2"/>
        <v>32</v>
      </c>
      <c r="Y23" s="37">
        <f t="shared" si="2"/>
        <v>0</v>
      </c>
      <c r="Z23" s="37">
        <f t="shared" si="2"/>
        <v>32</v>
      </c>
      <c r="AA23" s="37">
        <f t="shared" si="2"/>
        <v>0</v>
      </c>
      <c r="AB23" s="37">
        <f t="shared" si="2"/>
        <v>32</v>
      </c>
      <c r="AC23" s="37">
        <f t="shared" si="2"/>
        <v>0</v>
      </c>
      <c r="AD23" s="37">
        <f t="shared" si="2"/>
        <v>32</v>
      </c>
      <c r="AE23" s="37">
        <f t="shared" si="2"/>
        <v>0</v>
      </c>
      <c r="AF23" s="37">
        <f t="shared" si="2"/>
        <v>32</v>
      </c>
      <c r="AG23" s="37">
        <f t="shared" si="2"/>
        <v>0</v>
      </c>
      <c r="AH23" s="37">
        <f t="shared" si="2"/>
        <v>32</v>
      </c>
      <c r="AI23" s="37">
        <f t="shared" si="2"/>
        <v>0</v>
      </c>
      <c r="AJ23" s="37">
        <f t="shared" si="2"/>
        <v>32</v>
      </c>
      <c r="AK23" s="37">
        <f t="shared" si="2"/>
        <v>0</v>
      </c>
      <c r="AL23" s="37">
        <f t="shared" si="2"/>
        <v>32</v>
      </c>
      <c r="AM23" s="37">
        <f t="shared" si="2"/>
        <v>0</v>
      </c>
      <c r="AN23" s="37">
        <f t="shared" si="2"/>
        <v>32</v>
      </c>
      <c r="AO23" s="37">
        <f t="shared" si="2"/>
        <v>0</v>
      </c>
      <c r="AP23" s="37">
        <f t="shared" si="2"/>
        <v>32</v>
      </c>
      <c r="AQ23" s="37">
        <f t="shared" si="2"/>
        <v>0</v>
      </c>
      <c r="AR23" s="37">
        <f t="shared" si="2"/>
        <v>32</v>
      </c>
      <c r="AS23" s="37">
        <f t="shared" si="2"/>
        <v>0</v>
      </c>
      <c r="AT23" s="37">
        <f t="shared" si="2"/>
        <v>32</v>
      </c>
      <c r="AU23" s="37">
        <f t="shared" si="2"/>
        <v>0</v>
      </c>
      <c r="AV23" s="37">
        <f t="shared" si="2"/>
        <v>32</v>
      </c>
      <c r="AW23" s="37">
        <f t="shared" si="2"/>
        <v>0</v>
      </c>
      <c r="AX23" s="37">
        <f t="shared" si="2"/>
        <v>32</v>
      </c>
      <c r="AY23" s="37">
        <f t="shared" si="2"/>
        <v>0</v>
      </c>
    </row>
    <row r="24" spans="1:51">
      <c r="A24" s="648" t="s">
        <v>169</v>
      </c>
      <c r="B24" s="32" t="s">
        <v>170</v>
      </c>
      <c r="C24" s="33" t="s">
        <v>74</v>
      </c>
      <c r="D24" s="34">
        <v>4</v>
      </c>
      <c r="E24" s="34"/>
      <c r="F24" s="34">
        <v>4</v>
      </c>
      <c r="G24" s="34"/>
      <c r="H24" s="34">
        <v>4</v>
      </c>
      <c r="I24" s="34"/>
      <c r="J24" s="34">
        <v>4</v>
      </c>
      <c r="K24" s="34"/>
      <c r="L24" s="34">
        <v>4</v>
      </c>
      <c r="M24" s="34"/>
      <c r="N24" s="34">
        <v>4</v>
      </c>
      <c r="O24" s="34"/>
      <c r="P24" s="34">
        <v>4</v>
      </c>
      <c r="Q24" s="34"/>
      <c r="R24" s="34">
        <v>4</v>
      </c>
      <c r="S24" s="34"/>
      <c r="T24" s="34">
        <v>4</v>
      </c>
      <c r="U24" s="34"/>
      <c r="V24" s="34">
        <v>4</v>
      </c>
      <c r="W24" s="34"/>
      <c r="X24" s="34">
        <v>4</v>
      </c>
      <c r="Y24" s="34"/>
      <c r="Z24" s="34">
        <v>4</v>
      </c>
      <c r="AA24" s="34"/>
      <c r="AB24" s="34">
        <v>4</v>
      </c>
      <c r="AC24" s="34"/>
      <c r="AD24" s="34">
        <v>4</v>
      </c>
      <c r="AE24" s="34"/>
      <c r="AF24" s="34">
        <v>4</v>
      </c>
      <c r="AG24" s="34"/>
      <c r="AH24" s="34">
        <v>4</v>
      </c>
      <c r="AI24" s="34"/>
      <c r="AJ24" s="34">
        <v>4</v>
      </c>
      <c r="AK24" s="34"/>
      <c r="AL24" s="34">
        <v>4</v>
      </c>
      <c r="AM24" s="34"/>
      <c r="AN24" s="34">
        <v>4</v>
      </c>
      <c r="AO24" s="34"/>
      <c r="AP24" s="34">
        <v>4</v>
      </c>
      <c r="AQ24" s="34"/>
      <c r="AR24" s="34">
        <v>4</v>
      </c>
      <c r="AS24" s="34"/>
      <c r="AT24" s="34">
        <v>4</v>
      </c>
      <c r="AU24" s="34"/>
      <c r="AV24" s="34">
        <v>4</v>
      </c>
      <c r="AW24" s="34"/>
      <c r="AX24" s="34">
        <v>4</v>
      </c>
      <c r="AY24" s="34"/>
    </row>
    <row r="25" spans="1:51">
      <c r="A25" s="648"/>
      <c r="B25" s="32" t="s">
        <v>171</v>
      </c>
      <c r="C25" s="33" t="s">
        <v>75</v>
      </c>
      <c r="D25" s="34">
        <v>4</v>
      </c>
      <c r="E25" s="34"/>
      <c r="F25" s="34">
        <v>4</v>
      </c>
      <c r="G25" s="34"/>
      <c r="H25" s="34">
        <v>4</v>
      </c>
      <c r="I25" s="34"/>
      <c r="J25" s="34">
        <v>4</v>
      </c>
      <c r="K25" s="34"/>
      <c r="L25" s="34">
        <v>4</v>
      </c>
      <c r="M25" s="34"/>
      <c r="N25" s="34">
        <v>4</v>
      </c>
      <c r="O25" s="34"/>
      <c r="P25" s="34">
        <v>4</v>
      </c>
      <c r="Q25" s="34"/>
      <c r="R25" s="34">
        <v>4</v>
      </c>
      <c r="S25" s="34"/>
      <c r="T25" s="34">
        <v>4</v>
      </c>
      <c r="U25" s="34"/>
      <c r="V25" s="34">
        <v>4</v>
      </c>
      <c r="W25" s="34"/>
      <c r="X25" s="34">
        <v>4</v>
      </c>
      <c r="Y25" s="34"/>
      <c r="Z25" s="34">
        <v>4</v>
      </c>
      <c r="AA25" s="34"/>
      <c r="AB25" s="34">
        <v>4</v>
      </c>
      <c r="AC25" s="34"/>
      <c r="AD25" s="34">
        <v>4</v>
      </c>
      <c r="AE25" s="34"/>
      <c r="AF25" s="34">
        <v>4</v>
      </c>
      <c r="AG25" s="34"/>
      <c r="AH25" s="34">
        <v>4</v>
      </c>
      <c r="AI25" s="34"/>
      <c r="AJ25" s="34">
        <v>4</v>
      </c>
      <c r="AK25" s="34"/>
      <c r="AL25" s="34">
        <v>4</v>
      </c>
      <c r="AM25" s="34"/>
      <c r="AN25" s="34">
        <v>4</v>
      </c>
      <c r="AO25" s="34"/>
      <c r="AP25" s="34">
        <v>4</v>
      </c>
      <c r="AQ25" s="34"/>
      <c r="AR25" s="34">
        <v>4</v>
      </c>
      <c r="AS25" s="34"/>
      <c r="AT25" s="34">
        <v>4</v>
      </c>
      <c r="AU25" s="34"/>
      <c r="AV25" s="34">
        <v>4</v>
      </c>
      <c r="AW25" s="34"/>
      <c r="AX25" s="34">
        <v>4</v>
      </c>
      <c r="AY25" s="34"/>
    </row>
    <row r="26" spans="1:51">
      <c r="A26" s="648"/>
      <c r="B26" s="32" t="s">
        <v>172</v>
      </c>
      <c r="C26" s="33" t="s">
        <v>173</v>
      </c>
      <c r="D26" s="34">
        <v>4</v>
      </c>
      <c r="E26" s="34"/>
      <c r="F26" s="34">
        <v>4</v>
      </c>
      <c r="G26" s="34"/>
      <c r="H26" s="34">
        <v>4</v>
      </c>
      <c r="I26" s="34"/>
      <c r="J26" s="34">
        <v>4</v>
      </c>
      <c r="K26" s="34"/>
      <c r="L26" s="34">
        <v>4</v>
      </c>
      <c r="M26" s="34"/>
      <c r="N26" s="34">
        <v>4</v>
      </c>
      <c r="O26" s="34"/>
      <c r="P26" s="34">
        <v>4</v>
      </c>
      <c r="Q26" s="34"/>
      <c r="R26" s="34">
        <v>4</v>
      </c>
      <c r="S26" s="34"/>
      <c r="T26" s="34">
        <v>4</v>
      </c>
      <c r="U26" s="34"/>
      <c r="V26" s="34">
        <v>4</v>
      </c>
      <c r="W26" s="34"/>
      <c r="X26" s="34">
        <v>4</v>
      </c>
      <c r="Y26" s="34"/>
      <c r="Z26" s="34">
        <v>4</v>
      </c>
      <c r="AA26" s="34"/>
      <c r="AB26" s="34">
        <v>4</v>
      </c>
      <c r="AC26" s="34"/>
      <c r="AD26" s="34">
        <v>4</v>
      </c>
      <c r="AE26" s="34"/>
      <c r="AF26" s="34">
        <v>4</v>
      </c>
      <c r="AG26" s="34"/>
      <c r="AH26" s="34">
        <v>4</v>
      </c>
      <c r="AI26" s="34"/>
      <c r="AJ26" s="34">
        <v>4</v>
      </c>
      <c r="AK26" s="34"/>
      <c r="AL26" s="34">
        <v>4</v>
      </c>
      <c r="AM26" s="34"/>
      <c r="AN26" s="34">
        <v>4</v>
      </c>
      <c r="AO26" s="34"/>
      <c r="AP26" s="34">
        <v>4</v>
      </c>
      <c r="AQ26" s="34"/>
      <c r="AR26" s="34">
        <v>4</v>
      </c>
      <c r="AS26" s="34"/>
      <c r="AT26" s="34">
        <v>4</v>
      </c>
      <c r="AU26" s="34"/>
      <c r="AV26" s="34">
        <v>4</v>
      </c>
      <c r="AW26" s="34"/>
      <c r="AX26" s="34">
        <v>4</v>
      </c>
      <c r="AY26" s="34"/>
    </row>
    <row r="27" spans="1:51">
      <c r="A27" s="648"/>
      <c r="B27" s="32" t="s">
        <v>174</v>
      </c>
      <c r="C27" s="33" t="s">
        <v>77</v>
      </c>
      <c r="D27" s="34">
        <v>4</v>
      </c>
      <c r="E27" s="34"/>
      <c r="F27" s="34">
        <v>4</v>
      </c>
      <c r="G27" s="34"/>
      <c r="H27" s="34">
        <v>4</v>
      </c>
      <c r="I27" s="34"/>
      <c r="J27" s="34">
        <v>4</v>
      </c>
      <c r="K27" s="34"/>
      <c r="L27" s="34">
        <v>4</v>
      </c>
      <c r="M27" s="34"/>
      <c r="N27" s="34">
        <v>4</v>
      </c>
      <c r="O27" s="34"/>
      <c r="P27" s="34">
        <v>4</v>
      </c>
      <c r="Q27" s="34"/>
      <c r="R27" s="34">
        <v>4</v>
      </c>
      <c r="S27" s="34"/>
      <c r="T27" s="34">
        <v>4</v>
      </c>
      <c r="U27" s="34"/>
      <c r="V27" s="34">
        <v>4</v>
      </c>
      <c r="W27" s="34"/>
      <c r="X27" s="34">
        <v>4</v>
      </c>
      <c r="Y27" s="34"/>
      <c r="Z27" s="34">
        <v>4</v>
      </c>
      <c r="AA27" s="34"/>
      <c r="AB27" s="34">
        <v>4</v>
      </c>
      <c r="AC27" s="34"/>
      <c r="AD27" s="34">
        <v>4</v>
      </c>
      <c r="AE27" s="34"/>
      <c r="AF27" s="34">
        <v>4</v>
      </c>
      <c r="AG27" s="34"/>
      <c r="AH27" s="34">
        <v>4</v>
      </c>
      <c r="AI27" s="34"/>
      <c r="AJ27" s="34">
        <v>4</v>
      </c>
      <c r="AK27" s="34"/>
      <c r="AL27" s="34">
        <v>4</v>
      </c>
      <c r="AM27" s="34"/>
      <c r="AN27" s="34">
        <v>4</v>
      </c>
      <c r="AO27" s="34"/>
      <c r="AP27" s="34">
        <v>4</v>
      </c>
      <c r="AQ27" s="34"/>
      <c r="AR27" s="34">
        <v>4</v>
      </c>
      <c r="AS27" s="34"/>
      <c r="AT27" s="34">
        <v>4</v>
      </c>
      <c r="AU27" s="34"/>
      <c r="AV27" s="34">
        <v>4</v>
      </c>
      <c r="AW27" s="34"/>
      <c r="AX27" s="34">
        <v>4</v>
      </c>
      <c r="AY27" s="34"/>
    </row>
    <row r="28" spans="1:51">
      <c r="A28" s="648"/>
      <c r="B28" s="32" t="s">
        <v>175</v>
      </c>
      <c r="C28" s="33" t="s">
        <v>78</v>
      </c>
      <c r="D28" s="34">
        <v>4</v>
      </c>
      <c r="E28" s="34"/>
      <c r="F28" s="34">
        <v>4</v>
      </c>
      <c r="G28" s="34"/>
      <c r="H28" s="34">
        <v>4</v>
      </c>
      <c r="I28" s="34"/>
      <c r="J28" s="34">
        <v>4</v>
      </c>
      <c r="K28" s="34"/>
      <c r="L28" s="34">
        <v>4</v>
      </c>
      <c r="M28" s="34"/>
      <c r="N28" s="34">
        <v>4</v>
      </c>
      <c r="O28" s="34"/>
      <c r="P28" s="34">
        <v>4</v>
      </c>
      <c r="Q28" s="34"/>
      <c r="R28" s="34">
        <v>4</v>
      </c>
      <c r="S28" s="34"/>
      <c r="T28" s="34">
        <v>4</v>
      </c>
      <c r="U28" s="34"/>
      <c r="V28" s="34">
        <v>4</v>
      </c>
      <c r="W28" s="34"/>
      <c r="X28" s="34">
        <v>4</v>
      </c>
      <c r="Y28" s="34"/>
      <c r="Z28" s="34">
        <v>4</v>
      </c>
      <c r="AA28" s="34"/>
      <c r="AB28" s="34">
        <v>4</v>
      </c>
      <c r="AC28" s="34"/>
      <c r="AD28" s="34">
        <v>4</v>
      </c>
      <c r="AE28" s="34"/>
      <c r="AF28" s="34">
        <v>4</v>
      </c>
      <c r="AG28" s="34"/>
      <c r="AH28" s="34">
        <v>4</v>
      </c>
      <c r="AI28" s="34"/>
      <c r="AJ28" s="34">
        <v>4</v>
      </c>
      <c r="AK28" s="34"/>
      <c r="AL28" s="34">
        <v>4</v>
      </c>
      <c r="AM28" s="34"/>
      <c r="AN28" s="34">
        <v>4</v>
      </c>
      <c r="AO28" s="34"/>
      <c r="AP28" s="34">
        <v>4</v>
      </c>
      <c r="AQ28" s="34"/>
      <c r="AR28" s="34">
        <v>4</v>
      </c>
      <c r="AS28" s="34"/>
      <c r="AT28" s="34">
        <v>4</v>
      </c>
      <c r="AU28" s="34"/>
      <c r="AV28" s="34">
        <v>4</v>
      </c>
      <c r="AW28" s="34"/>
      <c r="AX28" s="34">
        <v>4</v>
      </c>
      <c r="AY28" s="34"/>
    </row>
    <row r="29" spans="1:51">
      <c r="A29" s="648"/>
      <c r="B29" s="35"/>
      <c r="C29" s="36"/>
      <c r="D29" s="37">
        <f>SUM(D24:D28)</f>
        <v>20</v>
      </c>
      <c r="E29" s="37">
        <f>SUM(E24:E28)</f>
        <v>0</v>
      </c>
      <c r="F29" s="37">
        <f>SUM(F24:F28)</f>
        <v>20</v>
      </c>
      <c r="G29" s="37">
        <f>SUM(G24:G28)</f>
        <v>0</v>
      </c>
      <c r="H29" s="37">
        <f>SUM(H24:H28)</f>
        <v>20</v>
      </c>
      <c r="I29" s="37">
        <f t="shared" ref="I29:AY29" si="3">SUM(I24:I28)</f>
        <v>0</v>
      </c>
      <c r="J29" s="37">
        <f t="shared" si="3"/>
        <v>20</v>
      </c>
      <c r="K29" s="37">
        <f t="shared" si="3"/>
        <v>0</v>
      </c>
      <c r="L29" s="37">
        <f t="shared" si="3"/>
        <v>20</v>
      </c>
      <c r="M29" s="37">
        <f t="shared" si="3"/>
        <v>0</v>
      </c>
      <c r="N29" s="37">
        <f t="shared" si="3"/>
        <v>20</v>
      </c>
      <c r="O29" s="37">
        <f t="shared" si="3"/>
        <v>0</v>
      </c>
      <c r="P29" s="37">
        <f t="shared" si="3"/>
        <v>20</v>
      </c>
      <c r="Q29" s="37">
        <f t="shared" si="3"/>
        <v>0</v>
      </c>
      <c r="R29" s="37">
        <f t="shared" si="3"/>
        <v>20</v>
      </c>
      <c r="S29" s="37">
        <f t="shared" si="3"/>
        <v>0</v>
      </c>
      <c r="T29" s="37">
        <f t="shared" si="3"/>
        <v>20</v>
      </c>
      <c r="U29" s="37">
        <f t="shared" si="3"/>
        <v>0</v>
      </c>
      <c r="V29" s="37">
        <f t="shared" si="3"/>
        <v>20</v>
      </c>
      <c r="W29" s="37">
        <f t="shared" si="3"/>
        <v>0</v>
      </c>
      <c r="X29" s="37">
        <f t="shared" si="3"/>
        <v>20</v>
      </c>
      <c r="Y29" s="37">
        <f t="shared" si="3"/>
        <v>0</v>
      </c>
      <c r="Z29" s="37">
        <f t="shared" si="3"/>
        <v>20</v>
      </c>
      <c r="AA29" s="37">
        <f t="shared" si="3"/>
        <v>0</v>
      </c>
      <c r="AB29" s="37">
        <f t="shared" si="3"/>
        <v>20</v>
      </c>
      <c r="AC29" s="37">
        <f t="shared" si="3"/>
        <v>0</v>
      </c>
      <c r="AD29" s="37">
        <f t="shared" si="3"/>
        <v>20</v>
      </c>
      <c r="AE29" s="37">
        <f t="shared" si="3"/>
        <v>0</v>
      </c>
      <c r="AF29" s="37">
        <f t="shared" si="3"/>
        <v>20</v>
      </c>
      <c r="AG29" s="37">
        <f t="shared" si="3"/>
        <v>0</v>
      </c>
      <c r="AH29" s="37">
        <f t="shared" si="3"/>
        <v>20</v>
      </c>
      <c r="AI29" s="37">
        <f t="shared" si="3"/>
        <v>0</v>
      </c>
      <c r="AJ29" s="37">
        <f t="shared" si="3"/>
        <v>20</v>
      </c>
      <c r="AK29" s="37">
        <f t="shared" si="3"/>
        <v>0</v>
      </c>
      <c r="AL29" s="37">
        <f t="shared" si="3"/>
        <v>20</v>
      </c>
      <c r="AM29" s="37">
        <f t="shared" si="3"/>
        <v>0</v>
      </c>
      <c r="AN29" s="37">
        <f t="shared" si="3"/>
        <v>20</v>
      </c>
      <c r="AO29" s="37">
        <f t="shared" si="3"/>
        <v>0</v>
      </c>
      <c r="AP29" s="37">
        <f t="shared" si="3"/>
        <v>20</v>
      </c>
      <c r="AQ29" s="37">
        <f t="shared" si="3"/>
        <v>0</v>
      </c>
      <c r="AR29" s="37">
        <f t="shared" si="3"/>
        <v>20</v>
      </c>
      <c r="AS29" s="37">
        <f t="shared" si="3"/>
        <v>0</v>
      </c>
      <c r="AT29" s="37">
        <f t="shared" si="3"/>
        <v>20</v>
      </c>
      <c r="AU29" s="37">
        <f t="shared" si="3"/>
        <v>0</v>
      </c>
      <c r="AV29" s="37">
        <f t="shared" si="3"/>
        <v>20</v>
      </c>
      <c r="AW29" s="37">
        <f t="shared" si="3"/>
        <v>0</v>
      </c>
      <c r="AX29" s="37">
        <f t="shared" si="3"/>
        <v>20</v>
      </c>
      <c r="AY29" s="37">
        <f t="shared" si="3"/>
        <v>0</v>
      </c>
    </row>
    <row r="30" spans="1:51">
      <c r="A30" s="647" t="s">
        <v>10</v>
      </c>
      <c r="B30" s="32" t="s">
        <v>176</v>
      </c>
      <c r="C30" s="33" t="s">
        <v>177</v>
      </c>
      <c r="D30" s="34">
        <v>4</v>
      </c>
      <c r="E30" s="34"/>
      <c r="F30" s="34">
        <v>4</v>
      </c>
      <c r="G30" s="34"/>
      <c r="H30" s="34">
        <v>4</v>
      </c>
      <c r="I30" s="34"/>
      <c r="J30" s="34">
        <v>4</v>
      </c>
      <c r="K30" s="34"/>
      <c r="L30" s="34">
        <v>4</v>
      </c>
      <c r="M30" s="34"/>
      <c r="N30" s="34">
        <v>4</v>
      </c>
      <c r="O30" s="34"/>
      <c r="P30" s="34">
        <v>4</v>
      </c>
      <c r="Q30" s="34"/>
      <c r="R30" s="34">
        <v>4</v>
      </c>
      <c r="S30" s="34"/>
      <c r="T30" s="34">
        <v>4</v>
      </c>
      <c r="U30" s="34"/>
      <c r="V30" s="34">
        <v>4</v>
      </c>
      <c r="W30" s="34"/>
      <c r="X30" s="34">
        <v>4</v>
      </c>
      <c r="Y30" s="34"/>
      <c r="Z30" s="34">
        <v>4</v>
      </c>
      <c r="AA30" s="34"/>
      <c r="AB30" s="34">
        <v>4</v>
      </c>
      <c r="AC30" s="34"/>
      <c r="AD30" s="34">
        <v>4</v>
      </c>
      <c r="AE30" s="34"/>
      <c r="AF30" s="34">
        <v>4</v>
      </c>
      <c r="AG30" s="34"/>
      <c r="AH30" s="34">
        <v>4</v>
      </c>
      <c r="AI30" s="34"/>
      <c r="AJ30" s="34">
        <v>4</v>
      </c>
      <c r="AK30" s="34"/>
      <c r="AL30" s="34">
        <v>4</v>
      </c>
      <c r="AM30" s="34"/>
      <c r="AN30" s="34">
        <v>4</v>
      </c>
      <c r="AO30" s="34"/>
      <c r="AP30" s="34">
        <v>4</v>
      </c>
      <c r="AQ30" s="34"/>
      <c r="AR30" s="34">
        <v>4</v>
      </c>
      <c r="AS30" s="34"/>
      <c r="AT30" s="34">
        <v>4</v>
      </c>
      <c r="AU30" s="34"/>
      <c r="AV30" s="34">
        <v>4</v>
      </c>
      <c r="AW30" s="34"/>
      <c r="AX30" s="34">
        <v>4</v>
      </c>
      <c r="AY30" s="34"/>
    </row>
    <row r="31" spans="1:51">
      <c r="A31" s="647"/>
      <c r="B31" s="32" t="s">
        <v>178</v>
      </c>
      <c r="C31" s="33" t="s">
        <v>179</v>
      </c>
      <c r="D31" s="34">
        <v>4</v>
      </c>
      <c r="E31" s="34"/>
      <c r="F31" s="34">
        <v>4</v>
      </c>
      <c r="G31" s="34"/>
      <c r="H31" s="34">
        <v>4</v>
      </c>
      <c r="I31" s="34"/>
      <c r="J31" s="34">
        <v>4</v>
      </c>
      <c r="K31" s="34"/>
      <c r="L31" s="34">
        <v>4</v>
      </c>
      <c r="M31" s="34"/>
      <c r="N31" s="34">
        <v>4</v>
      </c>
      <c r="O31" s="34"/>
      <c r="P31" s="34">
        <v>4</v>
      </c>
      <c r="Q31" s="34"/>
      <c r="R31" s="34">
        <v>4</v>
      </c>
      <c r="S31" s="34"/>
      <c r="T31" s="34">
        <v>4</v>
      </c>
      <c r="U31" s="34"/>
      <c r="V31" s="34">
        <v>4</v>
      </c>
      <c r="W31" s="34"/>
      <c r="X31" s="34">
        <v>4</v>
      </c>
      <c r="Y31" s="34"/>
      <c r="Z31" s="34">
        <v>4</v>
      </c>
      <c r="AA31" s="34"/>
      <c r="AB31" s="34">
        <v>4</v>
      </c>
      <c r="AC31" s="34"/>
      <c r="AD31" s="34">
        <v>4</v>
      </c>
      <c r="AE31" s="34"/>
      <c r="AF31" s="34">
        <v>4</v>
      </c>
      <c r="AG31" s="34"/>
      <c r="AH31" s="34">
        <v>4</v>
      </c>
      <c r="AI31" s="34"/>
      <c r="AJ31" s="34">
        <v>4</v>
      </c>
      <c r="AK31" s="34"/>
      <c r="AL31" s="34">
        <v>4</v>
      </c>
      <c r="AM31" s="34"/>
      <c r="AN31" s="34">
        <v>4</v>
      </c>
      <c r="AO31" s="34"/>
      <c r="AP31" s="34">
        <v>4</v>
      </c>
      <c r="AQ31" s="34"/>
      <c r="AR31" s="34">
        <v>4</v>
      </c>
      <c r="AS31" s="34"/>
      <c r="AT31" s="34">
        <v>4</v>
      </c>
      <c r="AU31" s="34"/>
      <c r="AV31" s="34">
        <v>4</v>
      </c>
      <c r="AW31" s="34"/>
      <c r="AX31" s="34">
        <v>4</v>
      </c>
      <c r="AY31" s="34"/>
    </row>
    <row r="32" spans="1:51">
      <c r="A32" s="647"/>
      <c r="B32" s="32" t="s">
        <v>180</v>
      </c>
      <c r="C32" s="33" t="s">
        <v>181</v>
      </c>
      <c r="D32" s="34">
        <v>4</v>
      </c>
      <c r="E32" s="34"/>
      <c r="F32" s="34">
        <v>4</v>
      </c>
      <c r="G32" s="34"/>
      <c r="H32" s="34">
        <v>4</v>
      </c>
      <c r="I32" s="34"/>
      <c r="J32" s="34">
        <v>4</v>
      </c>
      <c r="K32" s="34"/>
      <c r="L32" s="34">
        <v>4</v>
      </c>
      <c r="M32" s="34"/>
      <c r="N32" s="34">
        <v>4</v>
      </c>
      <c r="O32" s="34"/>
      <c r="P32" s="34">
        <v>4</v>
      </c>
      <c r="Q32" s="34"/>
      <c r="R32" s="34">
        <v>4</v>
      </c>
      <c r="S32" s="34"/>
      <c r="T32" s="34">
        <v>4</v>
      </c>
      <c r="U32" s="34"/>
      <c r="V32" s="34">
        <v>4</v>
      </c>
      <c r="W32" s="34"/>
      <c r="X32" s="34">
        <v>4</v>
      </c>
      <c r="Y32" s="34"/>
      <c r="Z32" s="34">
        <v>4</v>
      </c>
      <c r="AA32" s="34"/>
      <c r="AB32" s="34">
        <v>4</v>
      </c>
      <c r="AC32" s="34"/>
      <c r="AD32" s="34">
        <v>4</v>
      </c>
      <c r="AE32" s="34"/>
      <c r="AF32" s="34">
        <v>4</v>
      </c>
      <c r="AG32" s="34"/>
      <c r="AH32" s="34">
        <v>4</v>
      </c>
      <c r="AI32" s="34"/>
      <c r="AJ32" s="34">
        <v>4</v>
      </c>
      <c r="AK32" s="34"/>
      <c r="AL32" s="34">
        <v>4</v>
      </c>
      <c r="AM32" s="34"/>
      <c r="AN32" s="34">
        <v>4</v>
      </c>
      <c r="AO32" s="34"/>
      <c r="AP32" s="34">
        <v>4</v>
      </c>
      <c r="AQ32" s="34"/>
      <c r="AR32" s="34">
        <v>4</v>
      </c>
      <c r="AS32" s="34"/>
      <c r="AT32" s="34">
        <v>4</v>
      </c>
      <c r="AU32" s="34"/>
      <c r="AV32" s="34">
        <v>4</v>
      </c>
      <c r="AW32" s="34"/>
      <c r="AX32" s="34">
        <v>4</v>
      </c>
      <c r="AY32" s="34"/>
    </row>
    <row r="33" spans="1:51">
      <c r="A33" s="647"/>
      <c r="B33" s="32" t="s">
        <v>182</v>
      </c>
      <c r="C33" s="33" t="s">
        <v>82</v>
      </c>
      <c r="D33" s="34">
        <v>4</v>
      </c>
      <c r="E33" s="34"/>
      <c r="F33" s="34">
        <v>4</v>
      </c>
      <c r="G33" s="34"/>
      <c r="H33" s="34">
        <v>4</v>
      </c>
      <c r="I33" s="34"/>
      <c r="J33" s="34">
        <v>4</v>
      </c>
      <c r="K33" s="34"/>
      <c r="L33" s="34">
        <v>4</v>
      </c>
      <c r="M33" s="34"/>
      <c r="N33" s="34">
        <v>4</v>
      </c>
      <c r="O33" s="34"/>
      <c r="P33" s="34">
        <v>4</v>
      </c>
      <c r="Q33" s="34"/>
      <c r="R33" s="34">
        <v>4</v>
      </c>
      <c r="S33" s="34"/>
      <c r="T33" s="34">
        <v>4</v>
      </c>
      <c r="U33" s="34"/>
      <c r="V33" s="34">
        <v>4</v>
      </c>
      <c r="W33" s="34"/>
      <c r="X33" s="34">
        <v>4</v>
      </c>
      <c r="Y33" s="34"/>
      <c r="Z33" s="34">
        <v>4</v>
      </c>
      <c r="AA33" s="34"/>
      <c r="AB33" s="34">
        <v>4</v>
      </c>
      <c r="AC33" s="34"/>
      <c r="AD33" s="34">
        <v>4</v>
      </c>
      <c r="AE33" s="34"/>
      <c r="AF33" s="34">
        <v>4</v>
      </c>
      <c r="AG33" s="34"/>
      <c r="AH33" s="34">
        <v>4</v>
      </c>
      <c r="AI33" s="34"/>
      <c r="AJ33" s="34">
        <v>4</v>
      </c>
      <c r="AK33" s="34"/>
      <c r="AL33" s="34">
        <v>4</v>
      </c>
      <c r="AM33" s="34"/>
      <c r="AN33" s="34">
        <v>4</v>
      </c>
      <c r="AO33" s="34"/>
      <c r="AP33" s="34">
        <v>4</v>
      </c>
      <c r="AQ33" s="34"/>
      <c r="AR33" s="34">
        <v>4</v>
      </c>
      <c r="AS33" s="34"/>
      <c r="AT33" s="34">
        <v>4</v>
      </c>
      <c r="AU33" s="34"/>
      <c r="AV33" s="34">
        <v>4</v>
      </c>
      <c r="AW33" s="34"/>
      <c r="AX33" s="34">
        <v>4</v>
      </c>
      <c r="AY33" s="34"/>
    </row>
    <row r="34" spans="1:51">
      <c r="A34" s="647"/>
      <c r="B34" s="32" t="s">
        <v>183</v>
      </c>
      <c r="C34" s="33" t="s">
        <v>83</v>
      </c>
      <c r="D34" s="34">
        <v>4</v>
      </c>
      <c r="E34" s="34"/>
      <c r="F34" s="34">
        <v>4</v>
      </c>
      <c r="G34" s="34"/>
      <c r="H34" s="34">
        <v>4</v>
      </c>
      <c r="I34" s="34"/>
      <c r="J34" s="34">
        <v>4</v>
      </c>
      <c r="K34" s="34"/>
      <c r="L34" s="34">
        <v>4</v>
      </c>
      <c r="M34" s="34"/>
      <c r="N34" s="34">
        <v>4</v>
      </c>
      <c r="O34" s="34"/>
      <c r="P34" s="34">
        <v>4</v>
      </c>
      <c r="Q34" s="34"/>
      <c r="R34" s="34">
        <v>4</v>
      </c>
      <c r="S34" s="34"/>
      <c r="T34" s="34">
        <v>4</v>
      </c>
      <c r="U34" s="34"/>
      <c r="V34" s="34">
        <v>4</v>
      </c>
      <c r="W34" s="34"/>
      <c r="X34" s="34">
        <v>4</v>
      </c>
      <c r="Y34" s="34"/>
      <c r="Z34" s="34">
        <v>4</v>
      </c>
      <c r="AA34" s="34"/>
      <c r="AB34" s="34">
        <v>4</v>
      </c>
      <c r="AC34" s="34"/>
      <c r="AD34" s="34">
        <v>4</v>
      </c>
      <c r="AE34" s="34"/>
      <c r="AF34" s="34">
        <v>4</v>
      </c>
      <c r="AG34" s="34"/>
      <c r="AH34" s="34">
        <v>4</v>
      </c>
      <c r="AI34" s="34"/>
      <c r="AJ34" s="34">
        <v>4</v>
      </c>
      <c r="AK34" s="34"/>
      <c r="AL34" s="34">
        <v>4</v>
      </c>
      <c r="AM34" s="34"/>
      <c r="AN34" s="34">
        <v>4</v>
      </c>
      <c r="AO34" s="34"/>
      <c r="AP34" s="34">
        <v>4</v>
      </c>
      <c r="AQ34" s="34"/>
      <c r="AR34" s="34">
        <v>4</v>
      </c>
      <c r="AS34" s="34"/>
      <c r="AT34" s="34">
        <v>4</v>
      </c>
      <c r="AU34" s="34"/>
      <c r="AV34" s="34">
        <v>4</v>
      </c>
      <c r="AW34" s="34"/>
      <c r="AX34" s="34">
        <v>4</v>
      </c>
      <c r="AY34" s="34"/>
    </row>
    <row r="35" spans="1:51">
      <c r="A35" s="647"/>
      <c r="B35" s="35"/>
      <c r="C35" s="36"/>
      <c r="D35" s="37">
        <f>SUM(D30:D34)</f>
        <v>20</v>
      </c>
      <c r="E35" s="37">
        <f>SUM(E30:E34)</f>
        <v>0</v>
      </c>
      <c r="F35" s="37">
        <f>SUM(F30:F34)</f>
        <v>20</v>
      </c>
      <c r="G35" s="37">
        <f>SUM(G30:G34)</f>
        <v>0</v>
      </c>
      <c r="H35" s="37">
        <f>SUM(H30:H34)</f>
        <v>20</v>
      </c>
      <c r="I35" s="37">
        <f t="shared" ref="I35:AY35" si="4">SUM(I30:I34)</f>
        <v>0</v>
      </c>
      <c r="J35" s="37">
        <f t="shared" si="4"/>
        <v>20</v>
      </c>
      <c r="K35" s="37">
        <f t="shared" si="4"/>
        <v>0</v>
      </c>
      <c r="L35" s="37">
        <f t="shared" si="4"/>
        <v>20</v>
      </c>
      <c r="M35" s="37">
        <f t="shared" si="4"/>
        <v>0</v>
      </c>
      <c r="N35" s="37">
        <f t="shared" si="4"/>
        <v>20</v>
      </c>
      <c r="O35" s="37">
        <f t="shared" si="4"/>
        <v>0</v>
      </c>
      <c r="P35" s="37">
        <f t="shared" si="4"/>
        <v>20</v>
      </c>
      <c r="Q35" s="37">
        <f t="shared" si="4"/>
        <v>0</v>
      </c>
      <c r="R35" s="37">
        <f t="shared" si="4"/>
        <v>20</v>
      </c>
      <c r="S35" s="37">
        <f t="shared" si="4"/>
        <v>0</v>
      </c>
      <c r="T35" s="37">
        <f t="shared" si="4"/>
        <v>20</v>
      </c>
      <c r="U35" s="37">
        <f t="shared" si="4"/>
        <v>0</v>
      </c>
      <c r="V35" s="37">
        <f t="shared" si="4"/>
        <v>20</v>
      </c>
      <c r="W35" s="37">
        <f t="shared" si="4"/>
        <v>0</v>
      </c>
      <c r="X35" s="37">
        <f t="shared" si="4"/>
        <v>20</v>
      </c>
      <c r="Y35" s="37">
        <f t="shared" si="4"/>
        <v>0</v>
      </c>
      <c r="Z35" s="37">
        <f t="shared" si="4"/>
        <v>20</v>
      </c>
      <c r="AA35" s="37">
        <f t="shared" si="4"/>
        <v>0</v>
      </c>
      <c r="AB35" s="37">
        <f t="shared" si="4"/>
        <v>20</v>
      </c>
      <c r="AC35" s="37">
        <f t="shared" si="4"/>
        <v>0</v>
      </c>
      <c r="AD35" s="37">
        <f t="shared" si="4"/>
        <v>20</v>
      </c>
      <c r="AE35" s="37">
        <f t="shared" si="4"/>
        <v>0</v>
      </c>
      <c r="AF35" s="37">
        <f t="shared" si="4"/>
        <v>20</v>
      </c>
      <c r="AG35" s="37">
        <f t="shared" si="4"/>
        <v>0</v>
      </c>
      <c r="AH35" s="37">
        <f t="shared" si="4"/>
        <v>20</v>
      </c>
      <c r="AI35" s="37">
        <f t="shared" si="4"/>
        <v>0</v>
      </c>
      <c r="AJ35" s="37">
        <f t="shared" si="4"/>
        <v>20</v>
      </c>
      <c r="AK35" s="37">
        <f t="shared" si="4"/>
        <v>0</v>
      </c>
      <c r="AL35" s="37">
        <f t="shared" si="4"/>
        <v>20</v>
      </c>
      <c r="AM35" s="37">
        <f t="shared" si="4"/>
        <v>0</v>
      </c>
      <c r="AN35" s="37">
        <f t="shared" si="4"/>
        <v>20</v>
      </c>
      <c r="AO35" s="37">
        <f t="shared" si="4"/>
        <v>0</v>
      </c>
      <c r="AP35" s="37">
        <f t="shared" si="4"/>
        <v>20</v>
      </c>
      <c r="AQ35" s="37">
        <f t="shared" si="4"/>
        <v>0</v>
      </c>
      <c r="AR35" s="37">
        <f t="shared" si="4"/>
        <v>20</v>
      </c>
      <c r="AS35" s="37">
        <f t="shared" si="4"/>
        <v>0</v>
      </c>
      <c r="AT35" s="37">
        <f t="shared" si="4"/>
        <v>20</v>
      </c>
      <c r="AU35" s="37">
        <f t="shared" si="4"/>
        <v>0</v>
      </c>
      <c r="AV35" s="37">
        <f t="shared" si="4"/>
        <v>20</v>
      </c>
      <c r="AW35" s="37">
        <f t="shared" si="4"/>
        <v>0</v>
      </c>
      <c r="AX35" s="37">
        <f t="shared" si="4"/>
        <v>20</v>
      </c>
      <c r="AY35" s="37">
        <f t="shared" si="4"/>
        <v>0</v>
      </c>
    </row>
    <row r="36" spans="1:51">
      <c r="A36" s="648" t="s">
        <v>184</v>
      </c>
      <c r="B36" s="32" t="s">
        <v>185</v>
      </c>
      <c r="C36" s="33" t="s">
        <v>84</v>
      </c>
      <c r="D36" s="34">
        <v>4</v>
      </c>
      <c r="E36" s="34"/>
      <c r="F36" s="34">
        <v>4</v>
      </c>
      <c r="G36" s="34"/>
      <c r="H36" s="34">
        <v>4</v>
      </c>
      <c r="I36" s="34"/>
      <c r="J36" s="34">
        <v>4</v>
      </c>
      <c r="K36" s="34"/>
      <c r="L36" s="34">
        <v>4</v>
      </c>
      <c r="M36" s="34"/>
      <c r="N36" s="34">
        <v>4</v>
      </c>
      <c r="O36" s="34"/>
      <c r="P36" s="34">
        <v>4</v>
      </c>
      <c r="Q36" s="34"/>
      <c r="R36" s="34">
        <v>4</v>
      </c>
      <c r="S36" s="34"/>
      <c r="T36" s="34">
        <v>4</v>
      </c>
      <c r="U36" s="34"/>
      <c r="V36" s="34">
        <v>4</v>
      </c>
      <c r="W36" s="34"/>
      <c r="X36" s="34">
        <v>4</v>
      </c>
      <c r="Y36" s="34"/>
      <c r="Z36" s="34">
        <v>4</v>
      </c>
      <c r="AA36" s="34"/>
      <c r="AB36" s="34">
        <v>4</v>
      </c>
      <c r="AC36" s="34"/>
      <c r="AD36" s="34">
        <v>4</v>
      </c>
      <c r="AE36" s="34"/>
      <c r="AF36" s="34">
        <v>4</v>
      </c>
      <c r="AG36" s="34"/>
      <c r="AH36" s="34">
        <v>4</v>
      </c>
      <c r="AI36" s="34"/>
      <c r="AJ36" s="34">
        <v>4</v>
      </c>
      <c r="AK36" s="34"/>
      <c r="AL36" s="34">
        <v>4</v>
      </c>
      <c r="AM36" s="34"/>
      <c r="AN36" s="34">
        <v>4</v>
      </c>
      <c r="AO36" s="34"/>
      <c r="AP36" s="34">
        <v>4</v>
      </c>
      <c r="AQ36" s="34"/>
      <c r="AR36" s="34">
        <v>4</v>
      </c>
      <c r="AS36" s="34"/>
      <c r="AT36" s="34">
        <v>4</v>
      </c>
      <c r="AU36" s="34"/>
      <c r="AV36" s="34">
        <v>4</v>
      </c>
      <c r="AW36" s="34"/>
      <c r="AX36" s="34">
        <v>4</v>
      </c>
      <c r="AY36" s="34"/>
    </row>
    <row r="37" spans="1:51">
      <c r="A37" s="648"/>
      <c r="B37" s="32" t="s">
        <v>186</v>
      </c>
      <c r="C37" s="33" t="s">
        <v>187</v>
      </c>
      <c r="D37" s="34">
        <v>4</v>
      </c>
      <c r="E37" s="34"/>
      <c r="F37" s="34">
        <v>4</v>
      </c>
      <c r="G37" s="34"/>
      <c r="H37" s="34">
        <v>4</v>
      </c>
      <c r="I37" s="34"/>
      <c r="J37" s="34">
        <v>4</v>
      </c>
      <c r="K37" s="34"/>
      <c r="L37" s="34">
        <v>4</v>
      </c>
      <c r="M37" s="34"/>
      <c r="N37" s="34">
        <v>4</v>
      </c>
      <c r="O37" s="34"/>
      <c r="P37" s="34">
        <v>4</v>
      </c>
      <c r="Q37" s="34"/>
      <c r="R37" s="34">
        <v>4</v>
      </c>
      <c r="S37" s="34"/>
      <c r="T37" s="34">
        <v>4</v>
      </c>
      <c r="U37" s="34"/>
      <c r="V37" s="34">
        <v>4</v>
      </c>
      <c r="W37" s="34"/>
      <c r="X37" s="34">
        <v>4</v>
      </c>
      <c r="Y37" s="34"/>
      <c r="Z37" s="34">
        <v>4</v>
      </c>
      <c r="AA37" s="34"/>
      <c r="AB37" s="34">
        <v>4</v>
      </c>
      <c r="AC37" s="34"/>
      <c r="AD37" s="34">
        <v>4</v>
      </c>
      <c r="AE37" s="34"/>
      <c r="AF37" s="34">
        <v>4</v>
      </c>
      <c r="AG37" s="34"/>
      <c r="AH37" s="34">
        <v>4</v>
      </c>
      <c r="AI37" s="34"/>
      <c r="AJ37" s="34">
        <v>4</v>
      </c>
      <c r="AK37" s="34"/>
      <c r="AL37" s="34">
        <v>4</v>
      </c>
      <c r="AM37" s="34"/>
      <c r="AN37" s="34">
        <v>4</v>
      </c>
      <c r="AO37" s="34"/>
      <c r="AP37" s="34">
        <v>4</v>
      </c>
      <c r="AQ37" s="34"/>
      <c r="AR37" s="34">
        <v>4</v>
      </c>
      <c r="AS37" s="34"/>
      <c r="AT37" s="34">
        <v>4</v>
      </c>
      <c r="AU37" s="34"/>
      <c r="AV37" s="34">
        <v>4</v>
      </c>
      <c r="AW37" s="34"/>
      <c r="AX37" s="34">
        <v>4</v>
      </c>
      <c r="AY37" s="34"/>
    </row>
    <row r="38" spans="1:51">
      <c r="A38" s="648"/>
      <c r="B38" s="32" t="s">
        <v>188</v>
      </c>
      <c r="C38" s="33" t="s">
        <v>86</v>
      </c>
      <c r="D38" s="34">
        <v>4</v>
      </c>
      <c r="E38" s="34"/>
      <c r="F38" s="34">
        <v>4</v>
      </c>
      <c r="G38" s="34"/>
      <c r="H38" s="34">
        <v>4</v>
      </c>
      <c r="I38" s="34"/>
      <c r="J38" s="34">
        <v>4</v>
      </c>
      <c r="K38" s="34"/>
      <c r="L38" s="34">
        <v>4</v>
      </c>
      <c r="M38" s="34"/>
      <c r="N38" s="34">
        <v>4</v>
      </c>
      <c r="O38" s="34"/>
      <c r="P38" s="34">
        <v>4</v>
      </c>
      <c r="Q38" s="34"/>
      <c r="R38" s="34">
        <v>4</v>
      </c>
      <c r="S38" s="34"/>
      <c r="T38" s="34">
        <v>4</v>
      </c>
      <c r="U38" s="34"/>
      <c r="V38" s="34">
        <v>4</v>
      </c>
      <c r="W38" s="34"/>
      <c r="X38" s="34">
        <v>4</v>
      </c>
      <c r="Y38" s="34"/>
      <c r="Z38" s="34">
        <v>4</v>
      </c>
      <c r="AA38" s="34"/>
      <c r="AB38" s="34">
        <v>4</v>
      </c>
      <c r="AC38" s="34"/>
      <c r="AD38" s="34">
        <v>4</v>
      </c>
      <c r="AE38" s="34"/>
      <c r="AF38" s="34">
        <v>4</v>
      </c>
      <c r="AG38" s="34"/>
      <c r="AH38" s="34">
        <v>4</v>
      </c>
      <c r="AI38" s="34"/>
      <c r="AJ38" s="34">
        <v>4</v>
      </c>
      <c r="AK38" s="34"/>
      <c r="AL38" s="34">
        <v>4</v>
      </c>
      <c r="AM38" s="34"/>
      <c r="AN38" s="34">
        <v>4</v>
      </c>
      <c r="AO38" s="34"/>
      <c r="AP38" s="34">
        <v>4</v>
      </c>
      <c r="AQ38" s="34"/>
      <c r="AR38" s="34">
        <v>4</v>
      </c>
      <c r="AS38" s="34"/>
      <c r="AT38" s="34">
        <v>4</v>
      </c>
      <c r="AU38" s="34"/>
      <c r="AV38" s="34">
        <v>4</v>
      </c>
      <c r="AW38" s="34"/>
      <c r="AX38" s="34">
        <v>4</v>
      </c>
      <c r="AY38" s="34"/>
    </row>
    <row r="39" spans="1:51">
      <c r="A39" s="648"/>
      <c r="B39" s="32" t="s">
        <v>189</v>
      </c>
      <c r="C39" s="33" t="s">
        <v>190</v>
      </c>
      <c r="D39" s="34">
        <v>4</v>
      </c>
      <c r="E39" s="34"/>
      <c r="F39" s="34">
        <v>4</v>
      </c>
      <c r="G39" s="34"/>
      <c r="H39" s="34">
        <v>4</v>
      </c>
      <c r="I39" s="34"/>
      <c r="J39" s="34">
        <v>4</v>
      </c>
      <c r="K39" s="34"/>
      <c r="L39" s="34">
        <v>4</v>
      </c>
      <c r="M39" s="34"/>
      <c r="N39" s="34">
        <v>4</v>
      </c>
      <c r="O39" s="34"/>
      <c r="P39" s="34">
        <v>4</v>
      </c>
      <c r="Q39" s="34"/>
      <c r="R39" s="34">
        <v>4</v>
      </c>
      <c r="S39" s="34"/>
      <c r="T39" s="34">
        <v>4</v>
      </c>
      <c r="U39" s="34"/>
      <c r="V39" s="34">
        <v>4</v>
      </c>
      <c r="W39" s="34"/>
      <c r="X39" s="34">
        <v>4</v>
      </c>
      <c r="Y39" s="34"/>
      <c r="Z39" s="34">
        <v>4</v>
      </c>
      <c r="AA39" s="34"/>
      <c r="AB39" s="34">
        <v>4</v>
      </c>
      <c r="AC39" s="34"/>
      <c r="AD39" s="34">
        <v>4</v>
      </c>
      <c r="AE39" s="34"/>
      <c r="AF39" s="34">
        <v>4</v>
      </c>
      <c r="AG39" s="34"/>
      <c r="AH39" s="34">
        <v>4</v>
      </c>
      <c r="AI39" s="34"/>
      <c r="AJ39" s="34">
        <v>4</v>
      </c>
      <c r="AK39" s="34"/>
      <c r="AL39" s="34">
        <v>4</v>
      </c>
      <c r="AM39" s="34"/>
      <c r="AN39" s="34">
        <v>4</v>
      </c>
      <c r="AO39" s="34"/>
      <c r="AP39" s="34">
        <v>4</v>
      </c>
      <c r="AQ39" s="34"/>
      <c r="AR39" s="34">
        <v>4</v>
      </c>
      <c r="AS39" s="34"/>
      <c r="AT39" s="34">
        <v>4</v>
      </c>
      <c r="AU39" s="34"/>
      <c r="AV39" s="34">
        <v>4</v>
      </c>
      <c r="AW39" s="34"/>
      <c r="AX39" s="34">
        <v>4</v>
      </c>
      <c r="AY39" s="34"/>
    </row>
    <row r="40" spans="1:51">
      <c r="A40" s="648"/>
      <c r="B40" s="35"/>
      <c r="C40" s="36"/>
      <c r="D40" s="37">
        <f>SUM(D36:D39)</f>
        <v>16</v>
      </c>
      <c r="E40" s="37">
        <f>SUM(E36:E39)</f>
        <v>0</v>
      </c>
      <c r="F40" s="37">
        <f>SUM(F36:F39)</f>
        <v>16</v>
      </c>
      <c r="G40" s="37">
        <f>SUM(G36:G39)</f>
        <v>0</v>
      </c>
      <c r="H40" s="37">
        <f>SUM(H36:H39)</f>
        <v>16</v>
      </c>
      <c r="I40" s="37">
        <f t="shared" ref="I40:AY40" si="5">SUM(I36:I39)</f>
        <v>0</v>
      </c>
      <c r="J40" s="37">
        <f t="shared" si="5"/>
        <v>16</v>
      </c>
      <c r="K40" s="37">
        <f t="shared" si="5"/>
        <v>0</v>
      </c>
      <c r="L40" s="37">
        <f t="shared" si="5"/>
        <v>16</v>
      </c>
      <c r="M40" s="37">
        <f t="shared" si="5"/>
        <v>0</v>
      </c>
      <c r="N40" s="37">
        <f t="shared" si="5"/>
        <v>16</v>
      </c>
      <c r="O40" s="37">
        <f t="shared" si="5"/>
        <v>0</v>
      </c>
      <c r="P40" s="37">
        <f t="shared" si="5"/>
        <v>16</v>
      </c>
      <c r="Q40" s="37">
        <f t="shared" si="5"/>
        <v>0</v>
      </c>
      <c r="R40" s="37">
        <f t="shared" si="5"/>
        <v>16</v>
      </c>
      <c r="S40" s="37">
        <f t="shared" si="5"/>
        <v>0</v>
      </c>
      <c r="T40" s="37">
        <f t="shared" si="5"/>
        <v>16</v>
      </c>
      <c r="U40" s="37">
        <f t="shared" si="5"/>
        <v>0</v>
      </c>
      <c r="V40" s="37">
        <f t="shared" si="5"/>
        <v>16</v>
      </c>
      <c r="W40" s="37">
        <f t="shared" si="5"/>
        <v>0</v>
      </c>
      <c r="X40" s="37">
        <f t="shared" si="5"/>
        <v>16</v>
      </c>
      <c r="Y40" s="37">
        <f t="shared" si="5"/>
        <v>0</v>
      </c>
      <c r="Z40" s="37">
        <f t="shared" si="5"/>
        <v>16</v>
      </c>
      <c r="AA40" s="37">
        <f t="shared" si="5"/>
        <v>0</v>
      </c>
      <c r="AB40" s="37">
        <f t="shared" si="5"/>
        <v>16</v>
      </c>
      <c r="AC40" s="37">
        <f t="shared" si="5"/>
        <v>0</v>
      </c>
      <c r="AD40" s="37">
        <f t="shared" si="5"/>
        <v>16</v>
      </c>
      <c r="AE40" s="37">
        <f t="shared" si="5"/>
        <v>0</v>
      </c>
      <c r="AF40" s="37">
        <f t="shared" si="5"/>
        <v>16</v>
      </c>
      <c r="AG40" s="37">
        <f t="shared" si="5"/>
        <v>0</v>
      </c>
      <c r="AH40" s="37">
        <f t="shared" si="5"/>
        <v>16</v>
      </c>
      <c r="AI40" s="37">
        <f t="shared" si="5"/>
        <v>0</v>
      </c>
      <c r="AJ40" s="37">
        <f t="shared" si="5"/>
        <v>16</v>
      </c>
      <c r="AK40" s="37">
        <f t="shared" si="5"/>
        <v>0</v>
      </c>
      <c r="AL40" s="37">
        <f t="shared" si="5"/>
        <v>16</v>
      </c>
      <c r="AM40" s="37">
        <f t="shared" si="5"/>
        <v>0</v>
      </c>
      <c r="AN40" s="37">
        <f t="shared" si="5"/>
        <v>16</v>
      </c>
      <c r="AO40" s="37">
        <f t="shared" si="5"/>
        <v>0</v>
      </c>
      <c r="AP40" s="37">
        <f t="shared" si="5"/>
        <v>16</v>
      </c>
      <c r="AQ40" s="37">
        <f t="shared" si="5"/>
        <v>0</v>
      </c>
      <c r="AR40" s="37">
        <f t="shared" si="5"/>
        <v>16</v>
      </c>
      <c r="AS40" s="37">
        <f t="shared" si="5"/>
        <v>0</v>
      </c>
      <c r="AT40" s="37">
        <f t="shared" si="5"/>
        <v>16</v>
      </c>
      <c r="AU40" s="37">
        <f t="shared" si="5"/>
        <v>0</v>
      </c>
      <c r="AV40" s="37">
        <f t="shared" si="5"/>
        <v>16</v>
      </c>
      <c r="AW40" s="37">
        <f t="shared" si="5"/>
        <v>0</v>
      </c>
      <c r="AX40" s="37">
        <f t="shared" si="5"/>
        <v>16</v>
      </c>
      <c r="AY40" s="37">
        <f t="shared" si="5"/>
        <v>0</v>
      </c>
    </row>
    <row r="41" spans="1:51">
      <c r="A41" s="647" t="s">
        <v>12</v>
      </c>
      <c r="B41" s="32" t="s">
        <v>191</v>
      </c>
      <c r="C41" s="33" t="s">
        <v>88</v>
      </c>
      <c r="D41" s="34">
        <v>4</v>
      </c>
      <c r="E41" s="34"/>
      <c r="F41" s="34">
        <v>4</v>
      </c>
      <c r="G41" s="34"/>
      <c r="H41" s="34">
        <v>4</v>
      </c>
      <c r="I41" s="34"/>
      <c r="J41" s="34">
        <v>4</v>
      </c>
      <c r="K41" s="34"/>
      <c r="L41" s="34">
        <v>4</v>
      </c>
      <c r="M41" s="34"/>
      <c r="N41" s="34">
        <v>4</v>
      </c>
      <c r="O41" s="34"/>
      <c r="P41" s="34">
        <v>4</v>
      </c>
      <c r="Q41" s="34"/>
      <c r="R41" s="34">
        <v>4</v>
      </c>
      <c r="S41" s="34"/>
      <c r="T41" s="34">
        <v>4</v>
      </c>
      <c r="U41" s="34"/>
      <c r="V41" s="34">
        <v>4</v>
      </c>
      <c r="W41" s="34"/>
      <c r="X41" s="34">
        <v>4</v>
      </c>
      <c r="Y41" s="34"/>
      <c r="Z41" s="34">
        <v>4</v>
      </c>
      <c r="AA41" s="34"/>
      <c r="AB41" s="34">
        <v>4</v>
      </c>
      <c r="AC41" s="34"/>
      <c r="AD41" s="34">
        <v>4</v>
      </c>
      <c r="AE41" s="34"/>
      <c r="AF41" s="34">
        <v>4</v>
      </c>
      <c r="AG41" s="34"/>
      <c r="AH41" s="34">
        <v>4</v>
      </c>
      <c r="AI41" s="34"/>
      <c r="AJ41" s="34">
        <v>4</v>
      </c>
      <c r="AK41" s="34"/>
      <c r="AL41" s="34">
        <v>4</v>
      </c>
      <c r="AM41" s="34"/>
      <c r="AN41" s="34">
        <v>4</v>
      </c>
      <c r="AO41" s="34"/>
      <c r="AP41" s="34">
        <v>4</v>
      </c>
      <c r="AQ41" s="34"/>
      <c r="AR41" s="34">
        <v>4</v>
      </c>
      <c r="AS41" s="34"/>
      <c r="AT41" s="34">
        <v>4</v>
      </c>
      <c r="AU41" s="34"/>
      <c r="AV41" s="34">
        <v>4</v>
      </c>
      <c r="AW41" s="34"/>
      <c r="AX41" s="34">
        <v>4</v>
      </c>
      <c r="AY41" s="34"/>
    </row>
    <row r="42" spans="1:51">
      <c r="A42" s="647"/>
      <c r="B42" s="32" t="s">
        <v>192</v>
      </c>
      <c r="C42" s="33" t="s">
        <v>89</v>
      </c>
      <c r="D42" s="34">
        <v>4</v>
      </c>
      <c r="E42" s="34"/>
      <c r="F42" s="34">
        <v>4</v>
      </c>
      <c r="G42" s="34"/>
      <c r="H42" s="34">
        <v>4</v>
      </c>
      <c r="I42" s="34"/>
      <c r="J42" s="34">
        <v>4</v>
      </c>
      <c r="K42" s="34"/>
      <c r="L42" s="34">
        <v>4</v>
      </c>
      <c r="M42" s="34"/>
      <c r="N42" s="34">
        <v>4</v>
      </c>
      <c r="O42" s="34"/>
      <c r="P42" s="34">
        <v>4</v>
      </c>
      <c r="Q42" s="34"/>
      <c r="R42" s="34">
        <v>4</v>
      </c>
      <c r="S42" s="34"/>
      <c r="T42" s="34">
        <v>4</v>
      </c>
      <c r="U42" s="34"/>
      <c r="V42" s="34">
        <v>4</v>
      </c>
      <c r="W42" s="34"/>
      <c r="X42" s="34">
        <v>4</v>
      </c>
      <c r="Y42" s="34"/>
      <c r="Z42" s="34">
        <v>4</v>
      </c>
      <c r="AA42" s="34"/>
      <c r="AB42" s="34">
        <v>4</v>
      </c>
      <c r="AC42" s="34"/>
      <c r="AD42" s="34">
        <v>4</v>
      </c>
      <c r="AE42" s="34"/>
      <c r="AF42" s="34">
        <v>4</v>
      </c>
      <c r="AG42" s="34"/>
      <c r="AH42" s="34">
        <v>4</v>
      </c>
      <c r="AI42" s="34"/>
      <c r="AJ42" s="34">
        <v>4</v>
      </c>
      <c r="AK42" s="34"/>
      <c r="AL42" s="34">
        <v>4</v>
      </c>
      <c r="AM42" s="34"/>
      <c r="AN42" s="34">
        <v>4</v>
      </c>
      <c r="AO42" s="34"/>
      <c r="AP42" s="34">
        <v>4</v>
      </c>
      <c r="AQ42" s="34"/>
      <c r="AR42" s="34">
        <v>4</v>
      </c>
      <c r="AS42" s="34"/>
      <c r="AT42" s="34">
        <v>4</v>
      </c>
      <c r="AU42" s="34"/>
      <c r="AV42" s="34">
        <v>4</v>
      </c>
      <c r="AW42" s="34"/>
      <c r="AX42" s="34">
        <v>4</v>
      </c>
      <c r="AY42" s="34"/>
    </row>
    <row r="43" spans="1:51">
      <c r="A43" s="647"/>
      <c r="B43" s="32" t="s">
        <v>193</v>
      </c>
      <c r="C43" s="33" t="s">
        <v>90</v>
      </c>
      <c r="D43" s="34">
        <v>4</v>
      </c>
      <c r="E43" s="34"/>
      <c r="F43" s="34">
        <v>4</v>
      </c>
      <c r="G43" s="34"/>
      <c r="H43" s="34">
        <v>4</v>
      </c>
      <c r="I43" s="34"/>
      <c r="J43" s="34">
        <v>4</v>
      </c>
      <c r="K43" s="34"/>
      <c r="L43" s="34">
        <v>4</v>
      </c>
      <c r="M43" s="34"/>
      <c r="N43" s="34">
        <v>4</v>
      </c>
      <c r="O43" s="34"/>
      <c r="P43" s="34">
        <v>4</v>
      </c>
      <c r="Q43" s="34"/>
      <c r="R43" s="34">
        <v>4</v>
      </c>
      <c r="S43" s="34"/>
      <c r="T43" s="34">
        <v>4</v>
      </c>
      <c r="U43" s="34"/>
      <c r="V43" s="34">
        <v>4</v>
      </c>
      <c r="W43" s="34"/>
      <c r="X43" s="34">
        <v>4</v>
      </c>
      <c r="Y43" s="34"/>
      <c r="Z43" s="34">
        <v>4</v>
      </c>
      <c r="AA43" s="34"/>
      <c r="AB43" s="34">
        <v>4</v>
      </c>
      <c r="AC43" s="34"/>
      <c r="AD43" s="34">
        <v>4</v>
      </c>
      <c r="AE43" s="34"/>
      <c r="AF43" s="34">
        <v>4</v>
      </c>
      <c r="AG43" s="34"/>
      <c r="AH43" s="34">
        <v>4</v>
      </c>
      <c r="AI43" s="34"/>
      <c r="AJ43" s="34">
        <v>4</v>
      </c>
      <c r="AK43" s="34"/>
      <c r="AL43" s="34">
        <v>4</v>
      </c>
      <c r="AM43" s="34"/>
      <c r="AN43" s="34">
        <v>4</v>
      </c>
      <c r="AO43" s="34"/>
      <c r="AP43" s="34">
        <v>4</v>
      </c>
      <c r="AQ43" s="34"/>
      <c r="AR43" s="34">
        <v>4</v>
      </c>
      <c r="AS43" s="34"/>
      <c r="AT43" s="34">
        <v>4</v>
      </c>
      <c r="AU43" s="34"/>
      <c r="AV43" s="34">
        <v>4</v>
      </c>
      <c r="AW43" s="34"/>
      <c r="AX43" s="34">
        <v>4</v>
      </c>
      <c r="AY43" s="34"/>
    </row>
    <row r="44" spans="1:51">
      <c r="A44" s="647"/>
      <c r="B44" s="32" t="s">
        <v>194</v>
      </c>
      <c r="C44" s="33" t="s">
        <v>195</v>
      </c>
      <c r="D44" s="34">
        <v>4</v>
      </c>
      <c r="E44" s="34"/>
      <c r="F44" s="34">
        <v>4</v>
      </c>
      <c r="G44" s="34"/>
      <c r="H44" s="34">
        <v>4</v>
      </c>
      <c r="I44" s="34"/>
      <c r="J44" s="34">
        <v>4</v>
      </c>
      <c r="K44" s="34"/>
      <c r="L44" s="34">
        <v>4</v>
      </c>
      <c r="M44" s="34"/>
      <c r="N44" s="34">
        <v>4</v>
      </c>
      <c r="O44" s="34"/>
      <c r="P44" s="34">
        <v>4</v>
      </c>
      <c r="Q44" s="34"/>
      <c r="R44" s="34">
        <v>4</v>
      </c>
      <c r="S44" s="34"/>
      <c r="T44" s="34">
        <v>4</v>
      </c>
      <c r="U44" s="34"/>
      <c r="V44" s="34">
        <v>4</v>
      </c>
      <c r="W44" s="34"/>
      <c r="X44" s="34">
        <v>4</v>
      </c>
      <c r="Y44" s="34"/>
      <c r="Z44" s="34">
        <v>4</v>
      </c>
      <c r="AA44" s="34"/>
      <c r="AB44" s="34">
        <v>4</v>
      </c>
      <c r="AC44" s="34"/>
      <c r="AD44" s="34">
        <v>4</v>
      </c>
      <c r="AE44" s="34"/>
      <c r="AF44" s="34">
        <v>4</v>
      </c>
      <c r="AG44" s="34"/>
      <c r="AH44" s="34">
        <v>4</v>
      </c>
      <c r="AI44" s="34"/>
      <c r="AJ44" s="34">
        <v>4</v>
      </c>
      <c r="AK44" s="34"/>
      <c r="AL44" s="34">
        <v>4</v>
      </c>
      <c r="AM44" s="34"/>
      <c r="AN44" s="34">
        <v>4</v>
      </c>
      <c r="AO44" s="34"/>
      <c r="AP44" s="34">
        <v>4</v>
      </c>
      <c r="AQ44" s="34"/>
      <c r="AR44" s="34">
        <v>4</v>
      </c>
      <c r="AS44" s="34"/>
      <c r="AT44" s="34">
        <v>4</v>
      </c>
      <c r="AU44" s="34"/>
      <c r="AV44" s="34">
        <v>4</v>
      </c>
      <c r="AW44" s="34"/>
      <c r="AX44" s="34">
        <v>4</v>
      </c>
      <c r="AY44" s="34"/>
    </row>
    <row r="45" spans="1:51">
      <c r="A45" s="647"/>
      <c r="B45" s="32" t="s">
        <v>196</v>
      </c>
      <c r="C45" s="33" t="s">
        <v>197</v>
      </c>
      <c r="D45" s="34">
        <v>4</v>
      </c>
      <c r="E45" s="34"/>
      <c r="F45" s="34">
        <v>4</v>
      </c>
      <c r="G45" s="34"/>
      <c r="H45" s="34">
        <v>4</v>
      </c>
      <c r="I45" s="34"/>
      <c r="J45" s="34">
        <v>4</v>
      </c>
      <c r="K45" s="34"/>
      <c r="L45" s="34">
        <v>4</v>
      </c>
      <c r="M45" s="34"/>
      <c r="N45" s="34">
        <v>4</v>
      </c>
      <c r="O45" s="34"/>
      <c r="P45" s="34">
        <v>4</v>
      </c>
      <c r="Q45" s="34"/>
      <c r="R45" s="34">
        <v>4</v>
      </c>
      <c r="S45" s="34"/>
      <c r="T45" s="34">
        <v>4</v>
      </c>
      <c r="U45" s="34"/>
      <c r="V45" s="34">
        <v>4</v>
      </c>
      <c r="W45" s="34"/>
      <c r="X45" s="34">
        <v>4</v>
      </c>
      <c r="Y45" s="34"/>
      <c r="Z45" s="34">
        <v>4</v>
      </c>
      <c r="AA45" s="34"/>
      <c r="AB45" s="34">
        <v>4</v>
      </c>
      <c r="AC45" s="34"/>
      <c r="AD45" s="34">
        <v>4</v>
      </c>
      <c r="AE45" s="34"/>
      <c r="AF45" s="34">
        <v>4</v>
      </c>
      <c r="AG45" s="34"/>
      <c r="AH45" s="34">
        <v>4</v>
      </c>
      <c r="AI45" s="34"/>
      <c r="AJ45" s="34">
        <v>4</v>
      </c>
      <c r="AK45" s="34"/>
      <c r="AL45" s="34">
        <v>4</v>
      </c>
      <c r="AM45" s="34"/>
      <c r="AN45" s="34">
        <v>4</v>
      </c>
      <c r="AO45" s="34"/>
      <c r="AP45" s="34">
        <v>4</v>
      </c>
      <c r="AQ45" s="34"/>
      <c r="AR45" s="34">
        <v>4</v>
      </c>
      <c r="AS45" s="34"/>
      <c r="AT45" s="34">
        <v>4</v>
      </c>
      <c r="AU45" s="34"/>
      <c r="AV45" s="34">
        <v>4</v>
      </c>
      <c r="AW45" s="34"/>
      <c r="AX45" s="34">
        <v>4</v>
      </c>
      <c r="AY45" s="34"/>
    </row>
    <row r="46" spans="1:51">
      <c r="A46" s="647"/>
      <c r="B46" s="35"/>
      <c r="C46" s="36"/>
      <c r="D46" s="37">
        <f>SUM(D41:D45)</f>
        <v>20</v>
      </c>
      <c r="E46" s="37">
        <f>SUM(E41:E45)</f>
        <v>0</v>
      </c>
      <c r="F46" s="37">
        <f>SUM(F41:F45)</f>
        <v>20</v>
      </c>
      <c r="G46" s="37">
        <f>SUM(G41:G45)</f>
        <v>0</v>
      </c>
      <c r="H46" s="37">
        <f>SUM(H41:H45)</f>
        <v>20</v>
      </c>
      <c r="I46" s="37">
        <f t="shared" ref="I46:AY46" si="6">SUM(I41:I45)</f>
        <v>0</v>
      </c>
      <c r="J46" s="37">
        <f t="shared" si="6"/>
        <v>20</v>
      </c>
      <c r="K46" s="37">
        <f t="shared" si="6"/>
        <v>0</v>
      </c>
      <c r="L46" s="37">
        <f t="shared" si="6"/>
        <v>20</v>
      </c>
      <c r="M46" s="37">
        <f t="shared" si="6"/>
        <v>0</v>
      </c>
      <c r="N46" s="37">
        <f t="shared" si="6"/>
        <v>20</v>
      </c>
      <c r="O46" s="37">
        <f t="shared" si="6"/>
        <v>0</v>
      </c>
      <c r="P46" s="37">
        <f t="shared" si="6"/>
        <v>20</v>
      </c>
      <c r="Q46" s="37">
        <f t="shared" si="6"/>
        <v>0</v>
      </c>
      <c r="R46" s="37">
        <f t="shared" si="6"/>
        <v>20</v>
      </c>
      <c r="S46" s="37">
        <f t="shared" si="6"/>
        <v>0</v>
      </c>
      <c r="T46" s="37">
        <f t="shared" si="6"/>
        <v>20</v>
      </c>
      <c r="U46" s="37">
        <f t="shared" si="6"/>
        <v>0</v>
      </c>
      <c r="V46" s="37">
        <f t="shared" si="6"/>
        <v>20</v>
      </c>
      <c r="W46" s="37">
        <f t="shared" si="6"/>
        <v>0</v>
      </c>
      <c r="X46" s="37">
        <f t="shared" si="6"/>
        <v>20</v>
      </c>
      <c r="Y46" s="37">
        <f t="shared" si="6"/>
        <v>0</v>
      </c>
      <c r="Z46" s="37">
        <f t="shared" si="6"/>
        <v>20</v>
      </c>
      <c r="AA46" s="37">
        <f t="shared" si="6"/>
        <v>0</v>
      </c>
      <c r="AB46" s="37">
        <f t="shared" si="6"/>
        <v>20</v>
      </c>
      <c r="AC46" s="37">
        <f t="shared" si="6"/>
        <v>0</v>
      </c>
      <c r="AD46" s="37">
        <f t="shared" si="6"/>
        <v>20</v>
      </c>
      <c r="AE46" s="37">
        <f t="shared" si="6"/>
        <v>0</v>
      </c>
      <c r="AF46" s="37">
        <f t="shared" si="6"/>
        <v>20</v>
      </c>
      <c r="AG46" s="37">
        <f t="shared" si="6"/>
        <v>0</v>
      </c>
      <c r="AH46" s="37">
        <f t="shared" si="6"/>
        <v>20</v>
      </c>
      <c r="AI46" s="37">
        <f t="shared" si="6"/>
        <v>0</v>
      </c>
      <c r="AJ46" s="37">
        <f t="shared" si="6"/>
        <v>20</v>
      </c>
      <c r="AK46" s="37">
        <f t="shared" si="6"/>
        <v>0</v>
      </c>
      <c r="AL46" s="37">
        <f t="shared" si="6"/>
        <v>20</v>
      </c>
      <c r="AM46" s="37">
        <f t="shared" si="6"/>
        <v>0</v>
      </c>
      <c r="AN46" s="37">
        <f t="shared" si="6"/>
        <v>20</v>
      </c>
      <c r="AO46" s="37">
        <f t="shared" si="6"/>
        <v>0</v>
      </c>
      <c r="AP46" s="37">
        <f t="shared" si="6"/>
        <v>20</v>
      </c>
      <c r="AQ46" s="37">
        <f t="shared" si="6"/>
        <v>0</v>
      </c>
      <c r="AR46" s="37">
        <f t="shared" si="6"/>
        <v>20</v>
      </c>
      <c r="AS46" s="37">
        <f t="shared" si="6"/>
        <v>0</v>
      </c>
      <c r="AT46" s="37">
        <f t="shared" si="6"/>
        <v>20</v>
      </c>
      <c r="AU46" s="37">
        <f t="shared" si="6"/>
        <v>0</v>
      </c>
      <c r="AV46" s="37">
        <f t="shared" si="6"/>
        <v>20</v>
      </c>
      <c r="AW46" s="37">
        <f t="shared" si="6"/>
        <v>0</v>
      </c>
      <c r="AX46" s="37">
        <f t="shared" si="6"/>
        <v>20</v>
      </c>
      <c r="AY46" s="37">
        <f t="shared" si="6"/>
        <v>0</v>
      </c>
    </row>
    <row r="47" spans="1:51">
      <c r="A47" s="648" t="s">
        <v>13</v>
      </c>
      <c r="B47" s="32" t="s">
        <v>198</v>
      </c>
      <c r="C47" s="33" t="s">
        <v>93</v>
      </c>
      <c r="D47" s="34">
        <v>4</v>
      </c>
      <c r="E47" s="34"/>
      <c r="F47" s="34">
        <v>4</v>
      </c>
      <c r="G47" s="34"/>
      <c r="H47" s="34">
        <v>4</v>
      </c>
      <c r="I47" s="34"/>
      <c r="J47" s="34">
        <v>4</v>
      </c>
      <c r="K47" s="34"/>
      <c r="L47" s="34">
        <v>4</v>
      </c>
      <c r="M47" s="34"/>
      <c r="N47" s="34">
        <v>4</v>
      </c>
      <c r="O47" s="34"/>
      <c r="P47" s="34">
        <v>4</v>
      </c>
      <c r="Q47" s="34"/>
      <c r="R47" s="34">
        <v>4</v>
      </c>
      <c r="S47" s="34"/>
      <c r="T47" s="34">
        <v>4</v>
      </c>
      <c r="U47" s="34"/>
      <c r="V47" s="34">
        <v>4</v>
      </c>
      <c r="W47" s="34"/>
      <c r="X47" s="34">
        <v>4</v>
      </c>
      <c r="Y47" s="34"/>
      <c r="Z47" s="34">
        <v>4</v>
      </c>
      <c r="AA47" s="34"/>
      <c r="AB47" s="34">
        <v>4</v>
      </c>
      <c r="AC47" s="34"/>
      <c r="AD47" s="34">
        <v>4</v>
      </c>
      <c r="AE47" s="34"/>
      <c r="AF47" s="34">
        <v>4</v>
      </c>
      <c r="AG47" s="34"/>
      <c r="AH47" s="34">
        <v>4</v>
      </c>
      <c r="AI47" s="34"/>
      <c r="AJ47" s="34">
        <v>4</v>
      </c>
      <c r="AK47" s="34"/>
      <c r="AL47" s="34">
        <v>4</v>
      </c>
      <c r="AM47" s="34"/>
      <c r="AN47" s="34">
        <v>4</v>
      </c>
      <c r="AO47" s="34"/>
      <c r="AP47" s="34">
        <v>4</v>
      </c>
      <c r="AQ47" s="34"/>
      <c r="AR47" s="34">
        <v>4</v>
      </c>
      <c r="AS47" s="34"/>
      <c r="AT47" s="34">
        <v>4</v>
      </c>
      <c r="AU47" s="34"/>
      <c r="AV47" s="34">
        <v>4</v>
      </c>
      <c r="AW47" s="34"/>
      <c r="AX47" s="34">
        <v>4</v>
      </c>
      <c r="AY47" s="34"/>
    </row>
    <row r="48" spans="1:51">
      <c r="A48" s="648"/>
      <c r="B48" s="32" t="s">
        <v>199</v>
      </c>
      <c r="C48" s="33" t="s">
        <v>94</v>
      </c>
      <c r="D48" s="34">
        <v>4</v>
      </c>
      <c r="E48" s="34"/>
      <c r="F48" s="34">
        <v>4</v>
      </c>
      <c r="G48" s="34"/>
      <c r="H48" s="34">
        <v>4</v>
      </c>
      <c r="I48" s="34"/>
      <c r="J48" s="34">
        <v>4</v>
      </c>
      <c r="K48" s="34"/>
      <c r="L48" s="34">
        <v>4</v>
      </c>
      <c r="M48" s="34"/>
      <c r="N48" s="34">
        <v>4</v>
      </c>
      <c r="O48" s="34"/>
      <c r="P48" s="34">
        <v>4</v>
      </c>
      <c r="Q48" s="34"/>
      <c r="R48" s="34">
        <v>4</v>
      </c>
      <c r="S48" s="34"/>
      <c r="T48" s="34">
        <v>4</v>
      </c>
      <c r="U48" s="34"/>
      <c r="V48" s="34">
        <v>4</v>
      </c>
      <c r="W48" s="34"/>
      <c r="X48" s="34">
        <v>4</v>
      </c>
      <c r="Y48" s="34"/>
      <c r="Z48" s="34">
        <v>4</v>
      </c>
      <c r="AA48" s="34"/>
      <c r="AB48" s="34">
        <v>4</v>
      </c>
      <c r="AC48" s="34"/>
      <c r="AD48" s="34">
        <v>4</v>
      </c>
      <c r="AE48" s="34"/>
      <c r="AF48" s="34">
        <v>4</v>
      </c>
      <c r="AG48" s="34"/>
      <c r="AH48" s="34">
        <v>4</v>
      </c>
      <c r="AI48" s="34"/>
      <c r="AJ48" s="34">
        <v>4</v>
      </c>
      <c r="AK48" s="34"/>
      <c r="AL48" s="34">
        <v>4</v>
      </c>
      <c r="AM48" s="34"/>
      <c r="AN48" s="34">
        <v>4</v>
      </c>
      <c r="AO48" s="34"/>
      <c r="AP48" s="34">
        <v>4</v>
      </c>
      <c r="AQ48" s="34"/>
      <c r="AR48" s="34">
        <v>4</v>
      </c>
      <c r="AS48" s="34"/>
      <c r="AT48" s="34">
        <v>4</v>
      </c>
      <c r="AU48" s="34"/>
      <c r="AV48" s="34">
        <v>4</v>
      </c>
      <c r="AW48" s="34"/>
      <c r="AX48" s="34">
        <v>4</v>
      </c>
      <c r="AY48" s="34"/>
    </row>
    <row r="49" spans="1:51">
      <c r="A49" s="648"/>
      <c r="B49" s="32" t="s">
        <v>200</v>
      </c>
      <c r="C49" s="33" t="s">
        <v>201</v>
      </c>
      <c r="D49" s="34">
        <v>4</v>
      </c>
      <c r="E49" s="34"/>
      <c r="F49" s="34">
        <v>4</v>
      </c>
      <c r="G49" s="34"/>
      <c r="H49" s="34">
        <v>4</v>
      </c>
      <c r="I49" s="34"/>
      <c r="J49" s="34">
        <v>4</v>
      </c>
      <c r="K49" s="34"/>
      <c r="L49" s="34">
        <v>4</v>
      </c>
      <c r="M49" s="34"/>
      <c r="N49" s="34">
        <v>4</v>
      </c>
      <c r="O49" s="34"/>
      <c r="P49" s="34">
        <v>4</v>
      </c>
      <c r="Q49" s="34"/>
      <c r="R49" s="34">
        <v>4</v>
      </c>
      <c r="S49" s="34"/>
      <c r="T49" s="34">
        <v>4</v>
      </c>
      <c r="U49" s="34"/>
      <c r="V49" s="34">
        <v>4</v>
      </c>
      <c r="W49" s="34"/>
      <c r="X49" s="34">
        <v>4</v>
      </c>
      <c r="Y49" s="34"/>
      <c r="Z49" s="34">
        <v>4</v>
      </c>
      <c r="AA49" s="34"/>
      <c r="AB49" s="34">
        <v>4</v>
      </c>
      <c r="AC49" s="34"/>
      <c r="AD49" s="34">
        <v>4</v>
      </c>
      <c r="AE49" s="34"/>
      <c r="AF49" s="34">
        <v>4</v>
      </c>
      <c r="AG49" s="34"/>
      <c r="AH49" s="34">
        <v>4</v>
      </c>
      <c r="AI49" s="34"/>
      <c r="AJ49" s="34">
        <v>4</v>
      </c>
      <c r="AK49" s="34"/>
      <c r="AL49" s="34">
        <v>4</v>
      </c>
      <c r="AM49" s="34"/>
      <c r="AN49" s="34">
        <v>4</v>
      </c>
      <c r="AO49" s="34"/>
      <c r="AP49" s="34">
        <v>4</v>
      </c>
      <c r="AQ49" s="34"/>
      <c r="AR49" s="34">
        <v>4</v>
      </c>
      <c r="AS49" s="34"/>
      <c r="AT49" s="34">
        <v>4</v>
      </c>
      <c r="AU49" s="34"/>
      <c r="AV49" s="34">
        <v>4</v>
      </c>
      <c r="AW49" s="34"/>
      <c r="AX49" s="34">
        <v>4</v>
      </c>
      <c r="AY49" s="34"/>
    </row>
    <row r="50" spans="1:51">
      <c r="A50" s="648"/>
      <c r="B50" s="32" t="s">
        <v>202</v>
      </c>
      <c r="C50" s="33" t="s">
        <v>203</v>
      </c>
      <c r="D50" s="34">
        <v>4</v>
      </c>
      <c r="E50" s="34"/>
      <c r="F50" s="34">
        <v>4</v>
      </c>
      <c r="G50" s="34"/>
      <c r="H50" s="34">
        <v>4</v>
      </c>
      <c r="I50" s="34"/>
      <c r="J50" s="34">
        <v>4</v>
      </c>
      <c r="K50" s="34"/>
      <c r="L50" s="34">
        <v>4</v>
      </c>
      <c r="M50" s="34"/>
      <c r="N50" s="34">
        <v>4</v>
      </c>
      <c r="O50" s="34"/>
      <c r="P50" s="34">
        <v>4</v>
      </c>
      <c r="Q50" s="34"/>
      <c r="R50" s="34">
        <v>4</v>
      </c>
      <c r="S50" s="34"/>
      <c r="T50" s="34">
        <v>4</v>
      </c>
      <c r="U50" s="34"/>
      <c r="V50" s="34">
        <v>4</v>
      </c>
      <c r="W50" s="34"/>
      <c r="X50" s="34">
        <v>4</v>
      </c>
      <c r="Y50" s="34"/>
      <c r="Z50" s="34">
        <v>4</v>
      </c>
      <c r="AA50" s="34"/>
      <c r="AB50" s="34">
        <v>4</v>
      </c>
      <c r="AC50" s="34"/>
      <c r="AD50" s="34">
        <v>4</v>
      </c>
      <c r="AE50" s="34"/>
      <c r="AF50" s="34">
        <v>4</v>
      </c>
      <c r="AG50" s="34"/>
      <c r="AH50" s="34">
        <v>4</v>
      </c>
      <c r="AI50" s="34"/>
      <c r="AJ50" s="34">
        <v>4</v>
      </c>
      <c r="AK50" s="34"/>
      <c r="AL50" s="34">
        <v>4</v>
      </c>
      <c r="AM50" s="34"/>
      <c r="AN50" s="34">
        <v>4</v>
      </c>
      <c r="AO50" s="34"/>
      <c r="AP50" s="34">
        <v>4</v>
      </c>
      <c r="AQ50" s="34"/>
      <c r="AR50" s="34">
        <v>4</v>
      </c>
      <c r="AS50" s="34"/>
      <c r="AT50" s="34">
        <v>4</v>
      </c>
      <c r="AU50" s="34"/>
      <c r="AV50" s="34">
        <v>4</v>
      </c>
      <c r="AW50" s="34"/>
      <c r="AX50" s="34">
        <v>4</v>
      </c>
      <c r="AY50" s="34"/>
    </row>
    <row r="51" spans="1:51">
      <c r="A51" s="648"/>
      <c r="B51" s="32" t="s">
        <v>204</v>
      </c>
      <c r="C51" s="33" t="s">
        <v>205</v>
      </c>
      <c r="D51" s="34">
        <v>4</v>
      </c>
      <c r="E51" s="34"/>
      <c r="F51" s="34">
        <v>4</v>
      </c>
      <c r="G51" s="34"/>
      <c r="H51" s="34">
        <v>4</v>
      </c>
      <c r="I51" s="34"/>
      <c r="J51" s="34">
        <v>4</v>
      </c>
      <c r="K51" s="34"/>
      <c r="L51" s="34">
        <v>4</v>
      </c>
      <c r="M51" s="34"/>
      <c r="N51" s="34">
        <v>4</v>
      </c>
      <c r="O51" s="34"/>
      <c r="P51" s="34">
        <v>4</v>
      </c>
      <c r="Q51" s="34"/>
      <c r="R51" s="34">
        <v>4</v>
      </c>
      <c r="S51" s="34"/>
      <c r="T51" s="34">
        <v>4</v>
      </c>
      <c r="U51" s="34"/>
      <c r="V51" s="34">
        <v>4</v>
      </c>
      <c r="W51" s="34"/>
      <c r="X51" s="34">
        <v>4</v>
      </c>
      <c r="Y51" s="34"/>
      <c r="Z51" s="34">
        <v>4</v>
      </c>
      <c r="AA51" s="34"/>
      <c r="AB51" s="34">
        <v>4</v>
      </c>
      <c r="AC51" s="34"/>
      <c r="AD51" s="34">
        <v>4</v>
      </c>
      <c r="AE51" s="34"/>
      <c r="AF51" s="34">
        <v>4</v>
      </c>
      <c r="AG51" s="34"/>
      <c r="AH51" s="34">
        <v>4</v>
      </c>
      <c r="AI51" s="34"/>
      <c r="AJ51" s="34">
        <v>4</v>
      </c>
      <c r="AK51" s="34"/>
      <c r="AL51" s="34">
        <v>4</v>
      </c>
      <c r="AM51" s="34"/>
      <c r="AN51" s="34">
        <v>4</v>
      </c>
      <c r="AO51" s="34"/>
      <c r="AP51" s="34">
        <v>4</v>
      </c>
      <c r="AQ51" s="34"/>
      <c r="AR51" s="34">
        <v>4</v>
      </c>
      <c r="AS51" s="34"/>
      <c r="AT51" s="34">
        <v>4</v>
      </c>
      <c r="AU51" s="34"/>
      <c r="AV51" s="34">
        <v>4</v>
      </c>
      <c r="AW51" s="34"/>
      <c r="AX51" s="34">
        <v>4</v>
      </c>
      <c r="AY51" s="34"/>
    </row>
    <row r="52" spans="1:51">
      <c r="A52" s="648"/>
      <c r="B52" s="35"/>
      <c r="C52" s="36"/>
      <c r="D52" s="37">
        <f>SUM(D47:D51)</f>
        <v>20</v>
      </c>
      <c r="E52" s="37">
        <f>SUM(E47:E51)</f>
        <v>0</v>
      </c>
      <c r="F52" s="37">
        <f>SUM(F47:F51)</f>
        <v>20</v>
      </c>
      <c r="G52" s="37">
        <f>SUM(G47:G51)</f>
        <v>0</v>
      </c>
      <c r="H52" s="37">
        <f>SUM(H47:H51)</f>
        <v>20</v>
      </c>
      <c r="I52" s="37">
        <f t="shared" ref="I52:AY52" si="7">SUM(I47:I51)</f>
        <v>0</v>
      </c>
      <c r="J52" s="37">
        <f t="shared" si="7"/>
        <v>20</v>
      </c>
      <c r="K52" s="37">
        <f t="shared" si="7"/>
        <v>0</v>
      </c>
      <c r="L52" s="37">
        <f t="shared" si="7"/>
        <v>20</v>
      </c>
      <c r="M52" s="37">
        <f t="shared" si="7"/>
        <v>0</v>
      </c>
      <c r="N52" s="37">
        <f t="shared" si="7"/>
        <v>20</v>
      </c>
      <c r="O52" s="37">
        <f t="shared" si="7"/>
        <v>0</v>
      </c>
      <c r="P52" s="37">
        <f t="shared" si="7"/>
        <v>20</v>
      </c>
      <c r="Q52" s="37">
        <f t="shared" si="7"/>
        <v>0</v>
      </c>
      <c r="R52" s="37">
        <f t="shared" si="7"/>
        <v>20</v>
      </c>
      <c r="S52" s="37">
        <f t="shared" si="7"/>
        <v>0</v>
      </c>
      <c r="T52" s="37">
        <f t="shared" si="7"/>
        <v>20</v>
      </c>
      <c r="U52" s="37">
        <f t="shared" si="7"/>
        <v>0</v>
      </c>
      <c r="V52" s="37">
        <f t="shared" si="7"/>
        <v>20</v>
      </c>
      <c r="W52" s="37">
        <f t="shared" si="7"/>
        <v>0</v>
      </c>
      <c r="X52" s="37">
        <f t="shared" si="7"/>
        <v>20</v>
      </c>
      <c r="Y52" s="37">
        <f t="shared" si="7"/>
        <v>0</v>
      </c>
      <c r="Z52" s="37">
        <f t="shared" si="7"/>
        <v>20</v>
      </c>
      <c r="AA52" s="37">
        <f t="shared" si="7"/>
        <v>0</v>
      </c>
      <c r="AB52" s="37">
        <f t="shared" si="7"/>
        <v>20</v>
      </c>
      <c r="AC52" s="37">
        <f t="shared" si="7"/>
        <v>0</v>
      </c>
      <c r="AD52" s="37">
        <f t="shared" si="7"/>
        <v>20</v>
      </c>
      <c r="AE52" s="37">
        <f t="shared" si="7"/>
        <v>0</v>
      </c>
      <c r="AF52" s="37">
        <f t="shared" si="7"/>
        <v>20</v>
      </c>
      <c r="AG52" s="37">
        <f t="shared" si="7"/>
        <v>0</v>
      </c>
      <c r="AH52" s="37">
        <f t="shared" si="7"/>
        <v>20</v>
      </c>
      <c r="AI52" s="37">
        <f t="shared" si="7"/>
        <v>0</v>
      </c>
      <c r="AJ52" s="37">
        <f t="shared" si="7"/>
        <v>20</v>
      </c>
      <c r="AK52" s="37">
        <f t="shared" si="7"/>
        <v>0</v>
      </c>
      <c r="AL52" s="37">
        <f t="shared" si="7"/>
        <v>20</v>
      </c>
      <c r="AM52" s="37">
        <f t="shared" si="7"/>
        <v>0</v>
      </c>
      <c r="AN52" s="37">
        <f t="shared" si="7"/>
        <v>20</v>
      </c>
      <c r="AO52" s="37">
        <f t="shared" si="7"/>
        <v>0</v>
      </c>
      <c r="AP52" s="37">
        <f t="shared" si="7"/>
        <v>20</v>
      </c>
      <c r="AQ52" s="37">
        <f t="shared" si="7"/>
        <v>0</v>
      </c>
      <c r="AR52" s="37">
        <f t="shared" si="7"/>
        <v>20</v>
      </c>
      <c r="AS52" s="37">
        <f t="shared" si="7"/>
        <v>0</v>
      </c>
      <c r="AT52" s="37">
        <f t="shared" si="7"/>
        <v>20</v>
      </c>
      <c r="AU52" s="37">
        <f t="shared" si="7"/>
        <v>0</v>
      </c>
      <c r="AV52" s="37">
        <f t="shared" si="7"/>
        <v>20</v>
      </c>
      <c r="AW52" s="37">
        <f t="shared" si="7"/>
        <v>0</v>
      </c>
      <c r="AX52" s="37">
        <f t="shared" si="7"/>
        <v>20</v>
      </c>
      <c r="AY52" s="37">
        <f t="shared" si="7"/>
        <v>0</v>
      </c>
    </row>
    <row r="53" spans="1:51">
      <c r="A53" s="127"/>
      <c r="B53" s="127"/>
      <c r="C53" s="127"/>
      <c r="D53" s="128"/>
      <c r="E53" s="128"/>
      <c r="F53" s="119"/>
      <c r="G53" s="119"/>
      <c r="H53" s="119"/>
      <c r="I53" s="119"/>
      <c r="J53" s="119"/>
      <c r="K53" s="119"/>
      <c r="L53" s="119"/>
      <c r="M53" s="119"/>
      <c r="N53" s="119"/>
      <c r="O53" s="119"/>
      <c r="P53" s="119"/>
      <c r="Q53" s="119"/>
      <c r="R53" s="119"/>
      <c r="S53" s="119"/>
      <c r="T53" s="119"/>
      <c r="U53" s="119"/>
      <c r="V53" s="119"/>
      <c r="W53" s="119"/>
      <c r="X53" s="119"/>
      <c r="Y53" s="119"/>
      <c r="Z53" s="119"/>
      <c r="AA53" s="119"/>
      <c r="AB53" s="119"/>
      <c r="AC53" s="119"/>
      <c r="AD53" s="119"/>
      <c r="AE53" s="119"/>
      <c r="AF53" s="119"/>
      <c r="AG53" s="119"/>
      <c r="AH53" s="119"/>
      <c r="AI53" s="119"/>
      <c r="AJ53" s="119"/>
      <c r="AK53" s="119"/>
      <c r="AL53" s="119"/>
      <c r="AM53" s="119"/>
      <c r="AN53" s="119"/>
      <c r="AO53" s="119"/>
      <c r="AP53" s="119"/>
      <c r="AQ53" s="119"/>
      <c r="AR53" s="119"/>
      <c r="AS53" s="119"/>
      <c r="AT53" s="119"/>
      <c r="AU53" s="119"/>
      <c r="AV53" s="119"/>
      <c r="AW53" s="119"/>
      <c r="AX53" s="119"/>
      <c r="AY53" s="119"/>
    </row>
    <row r="54" spans="1:51">
      <c r="A54" s="119"/>
      <c r="B54" s="119"/>
      <c r="C54" s="119"/>
      <c r="D54" s="128">
        <f>D52+D46+D40+D35+D29+D23+D14+D8</f>
        <v>168</v>
      </c>
      <c r="E54" s="128">
        <f t="shared" ref="E54:AY54" si="8">E52+E46+E40+E35+E29+E23+E14+E8</f>
        <v>0</v>
      </c>
      <c r="F54" s="128">
        <f t="shared" si="8"/>
        <v>168</v>
      </c>
      <c r="G54" s="128">
        <f t="shared" si="8"/>
        <v>0</v>
      </c>
      <c r="H54" s="128">
        <f t="shared" si="8"/>
        <v>168</v>
      </c>
      <c r="I54" s="128">
        <f t="shared" si="8"/>
        <v>0</v>
      </c>
      <c r="J54" s="128">
        <f t="shared" si="8"/>
        <v>168</v>
      </c>
      <c r="K54" s="128">
        <f t="shared" si="8"/>
        <v>0</v>
      </c>
      <c r="L54" s="128">
        <f t="shared" si="8"/>
        <v>168</v>
      </c>
      <c r="M54" s="128">
        <f t="shared" si="8"/>
        <v>0</v>
      </c>
      <c r="N54" s="128">
        <f t="shared" si="8"/>
        <v>168</v>
      </c>
      <c r="O54" s="128">
        <f t="shared" si="8"/>
        <v>0</v>
      </c>
      <c r="P54" s="128">
        <f t="shared" si="8"/>
        <v>168</v>
      </c>
      <c r="Q54" s="128">
        <f t="shared" si="8"/>
        <v>0</v>
      </c>
      <c r="R54" s="128">
        <f t="shared" si="8"/>
        <v>168</v>
      </c>
      <c r="S54" s="128">
        <f t="shared" si="8"/>
        <v>0</v>
      </c>
      <c r="T54" s="128">
        <f t="shared" si="8"/>
        <v>168</v>
      </c>
      <c r="U54" s="128">
        <f t="shared" si="8"/>
        <v>0</v>
      </c>
      <c r="V54" s="128">
        <f t="shared" si="8"/>
        <v>168</v>
      </c>
      <c r="W54" s="128">
        <f t="shared" si="8"/>
        <v>0</v>
      </c>
      <c r="X54" s="128">
        <f t="shared" si="8"/>
        <v>168</v>
      </c>
      <c r="Y54" s="128">
        <f t="shared" si="8"/>
        <v>0</v>
      </c>
      <c r="Z54" s="128">
        <f t="shared" si="8"/>
        <v>168</v>
      </c>
      <c r="AA54" s="128">
        <f t="shared" si="8"/>
        <v>0</v>
      </c>
      <c r="AB54" s="128">
        <f t="shared" si="8"/>
        <v>168</v>
      </c>
      <c r="AC54" s="128">
        <f t="shared" si="8"/>
        <v>0</v>
      </c>
      <c r="AD54" s="128">
        <f t="shared" si="8"/>
        <v>168</v>
      </c>
      <c r="AE54" s="128">
        <f t="shared" si="8"/>
        <v>0</v>
      </c>
      <c r="AF54" s="128">
        <f t="shared" si="8"/>
        <v>168</v>
      </c>
      <c r="AG54" s="128">
        <f t="shared" si="8"/>
        <v>0</v>
      </c>
      <c r="AH54" s="128">
        <f t="shared" si="8"/>
        <v>168</v>
      </c>
      <c r="AI54" s="128">
        <f t="shared" si="8"/>
        <v>0</v>
      </c>
      <c r="AJ54" s="128">
        <f t="shared" si="8"/>
        <v>168</v>
      </c>
      <c r="AK54" s="128">
        <f t="shared" si="8"/>
        <v>0</v>
      </c>
      <c r="AL54" s="128">
        <f t="shared" si="8"/>
        <v>168</v>
      </c>
      <c r="AM54" s="128">
        <f t="shared" si="8"/>
        <v>0</v>
      </c>
      <c r="AN54" s="128">
        <f t="shared" si="8"/>
        <v>168</v>
      </c>
      <c r="AO54" s="128">
        <f t="shared" si="8"/>
        <v>0</v>
      </c>
      <c r="AP54" s="128">
        <f t="shared" si="8"/>
        <v>168</v>
      </c>
      <c r="AQ54" s="128">
        <f t="shared" si="8"/>
        <v>0</v>
      </c>
      <c r="AR54" s="128">
        <f t="shared" si="8"/>
        <v>168</v>
      </c>
      <c r="AS54" s="128">
        <f t="shared" si="8"/>
        <v>0</v>
      </c>
      <c r="AT54" s="128">
        <f t="shared" si="8"/>
        <v>168</v>
      </c>
      <c r="AU54" s="128">
        <f t="shared" si="8"/>
        <v>0</v>
      </c>
      <c r="AV54" s="128">
        <f t="shared" si="8"/>
        <v>168</v>
      </c>
      <c r="AW54" s="128">
        <f t="shared" si="8"/>
        <v>0</v>
      </c>
      <c r="AX54" s="128">
        <f t="shared" si="8"/>
        <v>168</v>
      </c>
      <c r="AY54" s="128">
        <f t="shared" si="8"/>
        <v>0</v>
      </c>
    </row>
  </sheetData>
  <mergeCells count="8">
    <mergeCell ref="A41:A46"/>
    <mergeCell ref="A47:A52"/>
    <mergeCell ref="A3:A8"/>
    <mergeCell ref="A9:A14"/>
    <mergeCell ref="A15:A23"/>
    <mergeCell ref="A24:A29"/>
    <mergeCell ref="A30:A35"/>
    <mergeCell ref="A36:A40"/>
  </mergeCells>
  <conditionalFormatting sqref="F1:AY1">
    <cfRule type="expression" dxfId="173" priority="27">
      <formula>MOD(COLUMN(),2)=1</formula>
    </cfRule>
  </conditionalFormatting>
  <conditionalFormatting sqref="D40:E40">
    <cfRule type="cellIs" dxfId="172" priority="28" operator="notEqual">
      <formula>$B$2</formula>
    </cfRule>
  </conditionalFormatting>
  <conditionalFormatting sqref="D1:E52 F2:AY2">
    <cfRule type="expression" dxfId="171" priority="34">
      <formula>MOD(COLUMN(),2)=1</formula>
    </cfRule>
  </conditionalFormatting>
  <conditionalFormatting sqref="B8:E8 B14:E14 B46:E46 B52:E52 B35:E35 B29:E29">
    <cfRule type="cellIs" dxfId="170" priority="33" operator="notEqual">
      <formula>$B$2</formula>
    </cfRule>
  </conditionalFormatting>
  <conditionalFormatting sqref="B23:E23">
    <cfRule type="cellIs" dxfId="169" priority="32" operator="notEqual">
      <formula>$B$2</formula>
    </cfRule>
  </conditionalFormatting>
  <conditionalFormatting sqref="B40:E40">
    <cfRule type="cellIs" dxfId="168" priority="31" operator="notEqual">
      <formula>$B$2</formula>
    </cfRule>
  </conditionalFormatting>
  <conditionalFormatting sqref="D1:E52 F2:AY2">
    <cfRule type="expression" dxfId="167" priority="30">
      <formula>MOD(COLUMN(),2)=1</formula>
    </cfRule>
  </conditionalFormatting>
  <conditionalFormatting sqref="D8:E8 D14:E14 D46:E46 D52:E52 D35:E35 D29:E29">
    <cfRule type="cellIs" dxfId="166" priority="29" operator="notEqual">
      <formula>$B$2</formula>
    </cfRule>
  </conditionalFormatting>
  <conditionalFormatting sqref="D23:E23">
    <cfRule type="cellIs" dxfId="165" priority="35" operator="notEqual">
      <formula>$B$2</formula>
    </cfRule>
  </conditionalFormatting>
  <conditionalFormatting sqref="F40:G40">
    <cfRule type="cellIs" dxfId="164" priority="19" operator="notEqual">
      <formula>$B$2</formula>
    </cfRule>
  </conditionalFormatting>
  <conditionalFormatting sqref="F3:G52">
    <cfRule type="expression" dxfId="163" priority="26">
      <formula>MOD(COLUMN(),2)=1</formula>
    </cfRule>
  </conditionalFormatting>
  <conditionalFormatting sqref="F8:G8 F14:G14 F46:G46 F52:G52 F35:G35 F29:G29">
    <cfRule type="cellIs" dxfId="162" priority="25" operator="notEqual">
      <formula>$B$2</formula>
    </cfRule>
  </conditionalFormatting>
  <conditionalFormatting sqref="F23:G23">
    <cfRule type="cellIs" dxfId="161" priority="24" operator="notEqual">
      <formula>$B$2</formula>
    </cfRule>
  </conditionalFormatting>
  <conditionalFormatting sqref="F40:G40">
    <cfRule type="cellIs" dxfId="160" priority="23" operator="notEqual">
      <formula>$B$2</formula>
    </cfRule>
  </conditionalFormatting>
  <conditionalFormatting sqref="F3:G52">
    <cfRule type="expression" dxfId="159" priority="22">
      <formula>MOD(COLUMN(),2)=1</formula>
    </cfRule>
  </conditionalFormatting>
  <conditionalFormatting sqref="F8:G8 F14:G14 F46:G46 F52:G52 F35:G35 F29:G29">
    <cfRule type="cellIs" dxfId="158" priority="21" operator="notEqual">
      <formula>$B$2</formula>
    </cfRule>
  </conditionalFormatting>
  <conditionalFormatting sqref="F23:G23">
    <cfRule type="cellIs" dxfId="157" priority="20" operator="notEqual">
      <formula>$B$2</formula>
    </cfRule>
  </conditionalFormatting>
  <conditionalFormatting sqref="H3:AY7">
    <cfRule type="expression" dxfId="156" priority="18">
      <formula>MOD(COLUMN(),2)=1</formula>
    </cfRule>
  </conditionalFormatting>
  <conditionalFormatting sqref="H3:AY7">
    <cfRule type="expression" dxfId="155" priority="17">
      <formula>MOD(COLUMN(),2)=1</formula>
    </cfRule>
  </conditionalFormatting>
  <conditionalFormatting sqref="H40:I40 L40:M40 P40:Q40 T40:U40 X40:Y40 AB40:AC40 AF40:AG40 AJ40:AK40 AN40:AO40 AR40:AS40 AV40:AW40">
    <cfRule type="cellIs" dxfId="154" priority="9" operator="notEqual">
      <formula>$B$2</formula>
    </cfRule>
  </conditionalFormatting>
  <conditionalFormatting sqref="H8:I52 L8:M52 P8:Q52 T8:U52 X8:Y52 AB8:AC52 AF8:AG52 AJ8:AK52 AN8:AO52 AR8:AS52 AV8:AW52">
    <cfRule type="expression" dxfId="153" priority="16">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52" priority="15" operator="notEqual">
      <formula>$B$2</formula>
    </cfRule>
  </conditionalFormatting>
  <conditionalFormatting sqref="H23:I23 L23:M23 P23:Q23 T23:U23 X23:Y23 AB23:AC23 AF23:AG23 AJ23:AK23 AN23:AO23 AR23:AS23 AV23:AW23">
    <cfRule type="cellIs" dxfId="151" priority="14" operator="notEqual">
      <formula>$B$2</formula>
    </cfRule>
  </conditionalFormatting>
  <conditionalFormatting sqref="H40:I40 L40:M40 P40:Q40 T40:U40 X40:Y40 AB40:AC40 AF40:AG40 AJ40:AK40 AN40:AO40 AR40:AS40 AV40:AW40">
    <cfRule type="cellIs" dxfId="150" priority="13" operator="notEqual">
      <formula>$B$2</formula>
    </cfRule>
  </conditionalFormatting>
  <conditionalFormatting sqref="H8:I52 L8:M52 P8:Q52 T8:U52 X8:Y52 AB8:AC52 AF8:AG52 AJ8:AK52 AN8:AO52 AR8:AS52 AV8:AW52">
    <cfRule type="expression" dxfId="149" priority="12">
      <formula>MOD(COLUMN(),2)=1</formula>
    </cfRule>
  </conditionalFormatting>
  <conditionalFormatting sqref="H8:I8 L8:M8 P8:Q8 T8:U8 X8:Y8 AB8:AC8 AF8:AG8 AJ8:AK8 AN8:AO8 AR8:AS8 AV8:AW8 H14:I14 L14:M14 P14:Q14 T14:U14 X14:Y14 AB14:AC14 AF14:AG14 AJ14:AK14 AN14:AO14 AR14:AS14 AV14:AW14 H46:I46 L46:M46 P46:Q46 T46:U46 X46:Y46 AB46:AC46 AF46:AG46 AJ46:AK46 AN46:AO46 AR46:AS46 AV46:AW46 H52:I52 L52:M52 P52:Q52 T52:U52 X52:Y52 AB52:AC52 AF52:AG52 AJ52:AK52 AN52:AO52 AR52:AS52 AV52:AW52 H35:I35 L35:M35 P35:Q35 T35:U35 X35:Y35 AB35:AC35 AF35:AG35 AJ35:AK35 AN35:AO35 AR35:AS35 AV35:AW35 H29:I29 L29:M29 P29:Q29 T29:U29 X29:Y29 AB29:AC29 AF29:AG29 AJ29:AK29 AN29:AO29 AR29:AS29 AV29:AW29">
    <cfRule type="cellIs" dxfId="148" priority="11" operator="notEqual">
      <formula>$B$2</formula>
    </cfRule>
  </conditionalFormatting>
  <conditionalFormatting sqref="H23:I23 L23:M23 P23:Q23 T23:U23 X23:Y23 AB23:AC23 AF23:AG23 AJ23:AK23 AN23:AO23 AR23:AS23 AV23:AW23">
    <cfRule type="cellIs" dxfId="147" priority="10" operator="notEqual">
      <formula>$B$2</formula>
    </cfRule>
  </conditionalFormatting>
  <conditionalFormatting sqref="J40:K40 N40:O40 R40:S40 V40:W40 Z40:AA40 AD40:AE40 AH40:AI40 AL40:AM40 AP40:AQ40 AT40:AU40 AX40:AY40">
    <cfRule type="cellIs" dxfId="146" priority="1" operator="notEqual">
      <formula>$B$2</formula>
    </cfRule>
  </conditionalFormatting>
  <conditionalFormatting sqref="J8:K52 N8:O52 R8:S52 V8:W52 Z8:AA52 AD8:AE52 AH8:AI52 AL8:AM52 AP8:AQ52 AT8:AU52 AX8:AY52">
    <cfRule type="expression" dxfId="145" priority="8">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4" priority="7" operator="notEqual">
      <formula>$B$2</formula>
    </cfRule>
  </conditionalFormatting>
  <conditionalFormatting sqref="J23:K23 N23:O23 R23:S23 V23:W23 Z23:AA23 AD23:AE23 AH23:AI23 AL23:AM23 AP23:AQ23 AT23:AU23 AX23:AY23">
    <cfRule type="cellIs" dxfId="143" priority="6" operator="notEqual">
      <formula>$B$2</formula>
    </cfRule>
  </conditionalFormatting>
  <conditionalFormatting sqref="J40:K40 N40:O40 R40:S40 V40:W40 Z40:AA40 AD40:AE40 AH40:AI40 AL40:AM40 AP40:AQ40 AT40:AU40 AX40:AY40">
    <cfRule type="cellIs" dxfId="142" priority="5" operator="notEqual">
      <formula>$B$2</formula>
    </cfRule>
  </conditionalFormatting>
  <conditionalFormatting sqref="J8:K52 N8:O52 R8:S52 V8:W52 Z8:AA52 AD8:AE52 AH8:AI52 AL8:AM52 AP8:AQ52 AT8:AU52 AX8:AY52">
    <cfRule type="expression" dxfId="141" priority="4">
      <formula>MOD(COLUMN(),2)=1</formula>
    </cfRule>
  </conditionalFormatting>
  <conditionalFormatting sqref="J8:K8 N8:O8 R8:S8 V8:W8 Z8:AA8 AD8:AE8 AH8:AI8 AL8:AM8 AP8:AQ8 AT8:AU8 AX8:AY8 J14:K14 N14:O14 R14:S14 V14:W14 Z14:AA14 AD14:AE14 AH14:AI14 AL14:AM14 AP14:AQ14 AT14:AU14 AX14:AY14 J46:K46 N46:O46 R46:S46 V46:W46 Z46:AA46 AD46:AE46 AH46:AI46 AL46:AM46 AP46:AQ46 AT46:AU46 AX46:AY46 J52:K52 N52:O52 R52:S52 V52:W52 Z52:AA52 AD52:AE52 AH52:AI52 AL52:AM52 AP52:AQ52 AT52:AU52 AX52:AY52 J35:K35 N35:O35 R35:S35 V35:W35 Z35:AA35 AD35:AE35 AH35:AI35 AL35:AM35 AP35:AQ35 AT35:AU35 AX35:AY35 J29:K29 N29:O29 R29:S29 V29:W29 Z29:AA29 AD29:AE29 AH29:AI29 AL29:AM29 AP29:AQ29 AT29:AU29 AX29:AY29">
    <cfRule type="cellIs" dxfId="140" priority="3" operator="notEqual">
      <formula>$B$2</formula>
    </cfRule>
  </conditionalFormatting>
  <conditionalFormatting sqref="J23:K23 N23:O23 R23:S23 V23:W23 Z23:AA23 AD23:AE23 AH23:AI23 AL23:AM23 AP23:AQ23 AT23:AU23 AX23:AY23">
    <cfRule type="cellIs" dxfId="139" priority="2" operator="notEqual">
      <formula>$B$2</formula>
    </cfRule>
  </conditionalFormatting>
  <dataValidations count="1">
    <dataValidation type="whole" allowBlank="1" showInputMessage="1" showErrorMessage="1" errorTitle="STOP" error="ANGKA YANG DIMASUKAN MELEBIHI 4" prompt="4 =  Selalu&#10;3 = Sering&#10;2 = Kadang2&#10;1 = Tidak Pernah" sqref="D3:AY7 D9:AY13 D15:AY22 D24:AY28 D30:AY34 D36:AY39 D41:AY45 D47:AY51">
      <formula1>1</formula1>
      <formula2>4</formula2>
    </dataValidation>
  </dataValidation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17"/>
  <dimension ref="A1:AY54"/>
  <sheetViews>
    <sheetView workbookViewId="0">
      <pane xSplit="3" ySplit="2" topLeftCell="D3" activePane="bottomRight" state="frozen"/>
      <selection pane="topRight" activeCell="D1" sqref="D1"/>
      <selection pane="bottomLeft" activeCell="A3" sqref="A3"/>
      <selection pane="bottomRight"/>
    </sheetView>
  </sheetViews>
  <sheetFormatPr defaultRowHeight="15" zeroHeight="1"/>
  <cols>
    <col min="1" max="1" width="5.85546875" style="85" customWidth="1"/>
    <col min="2" max="2" width="6.140625" style="85" customWidth="1"/>
    <col min="3" max="3" width="54.85546875" style="85" customWidth="1"/>
    <col min="4" max="5" width="6.42578125" style="85" customWidth="1"/>
    <col min="6" max="6" width="6.5703125" style="85" customWidth="1"/>
    <col min="7" max="51" width="6.7109375" style="85" customWidth="1"/>
    <col min="52" max="16384" width="9.140625" style="85"/>
  </cols>
  <sheetData>
    <row r="1" spans="1:51" ht="25.5">
      <c r="A1" s="157" t="s">
        <v>206</v>
      </c>
      <c r="B1" s="158"/>
      <c r="C1" s="158"/>
      <c r="D1" s="176" t="e">
        <f>#REF!</f>
        <v>#REF!</v>
      </c>
      <c r="E1" s="176" t="e">
        <f>#REF!</f>
        <v>#REF!</v>
      </c>
      <c r="F1" s="176" t="e">
        <f>#REF!</f>
        <v>#REF!</v>
      </c>
      <c r="G1" s="176" t="e">
        <f>#REF!</f>
        <v>#REF!</v>
      </c>
      <c r="H1" s="176" t="e">
        <f>#REF!</f>
        <v>#REF!</v>
      </c>
      <c r="I1" s="176" t="e">
        <f>#REF!</f>
        <v>#REF!</v>
      </c>
      <c r="J1" s="176" t="e">
        <f>#REF!</f>
        <v>#REF!</v>
      </c>
      <c r="K1" s="176" t="e">
        <f>#REF!</f>
        <v>#REF!</v>
      </c>
      <c r="L1" s="176" t="e">
        <f>#REF!</f>
        <v>#REF!</v>
      </c>
      <c r="M1" s="176" t="e">
        <f>#REF!</f>
        <v>#REF!</v>
      </c>
      <c r="N1" s="176" t="e">
        <f>#REF!</f>
        <v>#REF!</v>
      </c>
      <c r="O1" s="176" t="e">
        <f>#REF!</f>
        <v>#REF!</v>
      </c>
      <c r="P1" s="176" t="e">
        <f>#REF!</f>
        <v>#REF!</v>
      </c>
      <c r="Q1" s="176" t="e">
        <f>#REF!</f>
        <v>#REF!</v>
      </c>
      <c r="R1" s="176" t="e">
        <f>#REF!</f>
        <v>#REF!</v>
      </c>
      <c r="S1" s="176" t="e">
        <f>#REF!</f>
        <v>#REF!</v>
      </c>
      <c r="T1" s="176" t="e">
        <f>#REF!</f>
        <v>#REF!</v>
      </c>
      <c r="U1" s="176" t="e">
        <f>#REF!</f>
        <v>#REF!</v>
      </c>
      <c r="V1" s="176" t="e">
        <f>#REF!</f>
        <v>#REF!</v>
      </c>
      <c r="W1" s="176" t="e">
        <f>#REF!</f>
        <v>#REF!</v>
      </c>
      <c r="X1" s="176" t="e">
        <f>#REF!</f>
        <v>#REF!</v>
      </c>
      <c r="Y1" s="176" t="e">
        <f>#REF!</f>
        <v>#REF!</v>
      </c>
      <c r="Z1" s="176" t="e">
        <f>#REF!</f>
        <v>#REF!</v>
      </c>
      <c r="AA1" s="176" t="e">
        <f>#REF!</f>
        <v>#REF!</v>
      </c>
      <c r="AB1" s="176" t="e">
        <f>#REF!</f>
        <v>#REF!</v>
      </c>
      <c r="AC1" s="176" t="e">
        <f>#REF!</f>
        <v>#REF!</v>
      </c>
      <c r="AD1" s="176" t="e">
        <f>#REF!</f>
        <v>#REF!</v>
      </c>
      <c r="AE1" s="176" t="e">
        <f>#REF!</f>
        <v>#REF!</v>
      </c>
      <c r="AF1" s="176" t="e">
        <f>#REF!</f>
        <v>#REF!</v>
      </c>
      <c r="AG1" s="176" t="e">
        <f>#REF!</f>
        <v>#REF!</v>
      </c>
      <c r="AH1" s="176" t="e">
        <f>#REF!</f>
        <v>#REF!</v>
      </c>
      <c r="AI1" s="176" t="e">
        <f>#REF!</f>
        <v>#REF!</v>
      </c>
      <c r="AJ1" s="176" t="e">
        <f>#REF!</f>
        <v>#REF!</v>
      </c>
      <c r="AK1" s="176" t="e">
        <f>#REF!</f>
        <v>#REF!</v>
      </c>
      <c r="AL1" s="176" t="e">
        <f>#REF!</f>
        <v>#REF!</v>
      </c>
      <c r="AM1" s="176" t="e">
        <f>#REF!</f>
        <v>#REF!</v>
      </c>
      <c r="AN1" s="176" t="e">
        <f>#REF!</f>
        <v>#REF!</v>
      </c>
      <c r="AO1" s="176" t="e">
        <f>#REF!</f>
        <v>#REF!</v>
      </c>
      <c r="AP1" s="176" t="e">
        <f>#REF!</f>
        <v>#REF!</v>
      </c>
      <c r="AQ1" s="176" t="e">
        <f>#REF!</f>
        <v>#REF!</v>
      </c>
      <c r="AR1" s="176" t="e">
        <f>#REF!</f>
        <v>#REF!</v>
      </c>
      <c r="AS1" s="176" t="e">
        <f>#REF!</f>
        <v>#REF!</v>
      </c>
      <c r="AT1" s="176" t="e">
        <f>#REF!</f>
        <v>#REF!</v>
      </c>
      <c r="AU1" s="176" t="e">
        <f>#REF!</f>
        <v>#REF!</v>
      </c>
      <c r="AV1" s="176" t="e">
        <f>#REF!</f>
        <v>#REF!</v>
      </c>
      <c r="AW1" s="176" t="e">
        <f>#REF!</f>
        <v>#REF!</v>
      </c>
      <c r="AX1" s="176" t="e">
        <f>#REF!</f>
        <v>#REF!</v>
      </c>
      <c r="AY1" s="176" t="e">
        <f>#REF!</f>
        <v>#REF!</v>
      </c>
    </row>
    <row r="2" spans="1:51" ht="15.75" thickBot="1">
      <c r="A2" s="161" t="s">
        <v>14</v>
      </c>
      <c r="B2" s="161" t="s">
        <v>34</v>
      </c>
      <c r="C2" s="161" t="s">
        <v>114</v>
      </c>
      <c r="D2" s="162" t="s">
        <v>115</v>
      </c>
      <c r="E2" s="162" t="s">
        <v>116</v>
      </c>
      <c r="F2" s="162" t="s">
        <v>117</v>
      </c>
      <c r="G2" s="162" t="s">
        <v>118</v>
      </c>
      <c r="H2" s="162" t="s">
        <v>119</v>
      </c>
      <c r="I2" s="162" t="s">
        <v>120</v>
      </c>
      <c r="J2" s="162" t="s">
        <v>121</v>
      </c>
      <c r="K2" s="162" t="s">
        <v>122</v>
      </c>
      <c r="L2" s="162" t="s">
        <v>123</v>
      </c>
      <c r="M2" s="162" t="s">
        <v>124</v>
      </c>
      <c r="N2" s="162" t="s">
        <v>125</v>
      </c>
      <c r="O2" s="162" t="s">
        <v>126</v>
      </c>
      <c r="P2" s="162" t="s">
        <v>127</v>
      </c>
      <c r="Q2" s="162" t="s">
        <v>128</v>
      </c>
      <c r="R2" s="162" t="s">
        <v>129</v>
      </c>
      <c r="S2" s="162" t="s">
        <v>130</v>
      </c>
      <c r="T2" s="162" t="s">
        <v>131</v>
      </c>
      <c r="U2" s="162" t="s">
        <v>132</v>
      </c>
      <c r="V2" s="162" t="s">
        <v>133</v>
      </c>
      <c r="W2" s="162" t="s">
        <v>134</v>
      </c>
      <c r="X2" s="162" t="s">
        <v>135</v>
      </c>
      <c r="Y2" s="162" t="s">
        <v>136</v>
      </c>
      <c r="Z2" s="162" t="s">
        <v>137</v>
      </c>
      <c r="AA2" s="162" t="s">
        <v>138</v>
      </c>
      <c r="AB2" s="162" t="s">
        <v>139</v>
      </c>
      <c r="AC2" s="162" t="s">
        <v>140</v>
      </c>
      <c r="AD2" s="162" t="s">
        <v>141</v>
      </c>
      <c r="AE2" s="162" t="s">
        <v>142</v>
      </c>
      <c r="AF2" s="162" t="s">
        <v>143</v>
      </c>
      <c r="AG2" s="162" t="s">
        <v>144</v>
      </c>
      <c r="AH2" s="162" t="s">
        <v>145</v>
      </c>
      <c r="AI2" s="162" t="s">
        <v>146</v>
      </c>
      <c r="AJ2" s="162" t="s">
        <v>147</v>
      </c>
      <c r="AK2" s="162" t="s">
        <v>148</v>
      </c>
      <c r="AL2" s="162" t="s">
        <v>222</v>
      </c>
      <c r="AM2" s="162" t="s">
        <v>223</v>
      </c>
      <c r="AN2" s="162" t="s">
        <v>224</v>
      </c>
      <c r="AO2" s="162" t="s">
        <v>225</v>
      </c>
      <c r="AP2" s="162" t="s">
        <v>226</v>
      </c>
      <c r="AQ2" s="162" t="s">
        <v>227</v>
      </c>
      <c r="AR2" s="162" t="s">
        <v>228</v>
      </c>
      <c r="AS2" s="162" t="s">
        <v>229</v>
      </c>
      <c r="AT2" s="162" t="s">
        <v>230</v>
      </c>
      <c r="AU2" s="162" t="s">
        <v>231</v>
      </c>
      <c r="AV2" s="162" t="s">
        <v>232</v>
      </c>
      <c r="AW2" s="162" t="s">
        <v>233</v>
      </c>
      <c r="AX2" s="162" t="s">
        <v>234</v>
      </c>
      <c r="AY2" s="162" t="s">
        <v>235</v>
      </c>
    </row>
    <row r="3" spans="1:51" ht="15.75" thickTop="1">
      <c r="A3" s="626" t="s">
        <v>207</v>
      </c>
      <c r="B3" s="173" t="s">
        <v>208</v>
      </c>
      <c r="C3" s="174" t="s">
        <v>209</v>
      </c>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row>
    <row r="4" spans="1:51">
      <c r="A4" s="624"/>
      <c r="B4" s="164" t="s">
        <v>210</v>
      </c>
      <c r="C4" s="165" t="s">
        <v>211</v>
      </c>
      <c r="D4" s="40"/>
      <c r="E4" s="40"/>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row>
    <row r="5" spans="1:51">
      <c r="A5" s="624"/>
      <c r="B5" s="164" t="s">
        <v>212</v>
      </c>
      <c r="C5" s="165" t="s">
        <v>213</v>
      </c>
      <c r="D5" s="40"/>
      <c r="E5" s="40"/>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row>
    <row r="6" spans="1:51">
      <c r="A6" s="624"/>
      <c r="B6" s="164" t="s">
        <v>214</v>
      </c>
      <c r="C6" s="165" t="s">
        <v>215</v>
      </c>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row>
    <row r="7" spans="1:51">
      <c r="A7" s="624"/>
      <c r="B7" s="164" t="s">
        <v>216</v>
      </c>
      <c r="C7" s="165" t="s">
        <v>217</v>
      </c>
      <c r="D7" s="40"/>
      <c r="E7" s="40"/>
      <c r="F7" s="40"/>
      <c r="G7" s="40"/>
      <c r="H7" s="40"/>
      <c r="I7" s="40"/>
      <c r="J7" s="40"/>
      <c r="K7" s="40"/>
      <c r="L7" s="40"/>
      <c r="M7" s="40"/>
      <c r="N7" s="40"/>
      <c r="O7" s="40"/>
      <c r="P7" s="40"/>
      <c r="Q7" s="40"/>
      <c r="R7" s="40"/>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row>
    <row r="8" spans="1:51">
      <c r="A8" s="624"/>
      <c r="B8" s="166"/>
      <c r="C8" s="167"/>
      <c r="D8" s="171" t="str">
        <f>IF(AND(D3="",D4="",D5="",D6="",D7=""),"",AVERAGE(D3:D7))</f>
        <v/>
      </c>
      <c r="E8" s="171" t="str">
        <f t="shared" ref="E8:AY8" si="0">IF(AND(E3="",E4="",E5="",E6="",E7=""),"",AVERAGE(E3:E7))</f>
        <v/>
      </c>
      <c r="F8" s="171" t="str">
        <f t="shared" si="0"/>
        <v/>
      </c>
      <c r="G8" s="171" t="str">
        <f t="shared" si="0"/>
        <v/>
      </c>
      <c r="H8" s="171" t="str">
        <f t="shared" si="0"/>
        <v/>
      </c>
      <c r="I8" s="171" t="str">
        <f t="shared" si="0"/>
        <v/>
      </c>
      <c r="J8" s="171" t="str">
        <f t="shared" si="0"/>
        <v/>
      </c>
      <c r="K8" s="171" t="str">
        <f t="shared" si="0"/>
        <v/>
      </c>
      <c r="L8" s="171" t="str">
        <f t="shared" si="0"/>
        <v/>
      </c>
      <c r="M8" s="171" t="str">
        <f t="shared" si="0"/>
        <v/>
      </c>
      <c r="N8" s="171" t="str">
        <f t="shared" si="0"/>
        <v/>
      </c>
      <c r="O8" s="171" t="str">
        <f t="shared" si="0"/>
        <v/>
      </c>
      <c r="P8" s="171" t="str">
        <f t="shared" si="0"/>
        <v/>
      </c>
      <c r="Q8" s="171" t="str">
        <f t="shared" si="0"/>
        <v/>
      </c>
      <c r="R8" s="171" t="str">
        <f t="shared" si="0"/>
        <v/>
      </c>
      <c r="S8" s="171" t="str">
        <f t="shared" si="0"/>
        <v/>
      </c>
      <c r="T8" s="171" t="str">
        <f t="shared" si="0"/>
        <v/>
      </c>
      <c r="U8" s="171" t="str">
        <f t="shared" si="0"/>
        <v/>
      </c>
      <c r="V8" s="171" t="str">
        <f t="shared" si="0"/>
        <v/>
      </c>
      <c r="W8" s="171" t="str">
        <f t="shared" si="0"/>
        <v/>
      </c>
      <c r="X8" s="171" t="str">
        <f t="shared" si="0"/>
        <v/>
      </c>
      <c r="Y8" s="171" t="str">
        <f t="shared" si="0"/>
        <v/>
      </c>
      <c r="Z8" s="171" t="str">
        <f t="shared" si="0"/>
        <v/>
      </c>
      <c r="AA8" s="171" t="str">
        <f t="shared" si="0"/>
        <v/>
      </c>
      <c r="AB8" s="171" t="str">
        <f t="shared" si="0"/>
        <v/>
      </c>
      <c r="AC8" s="171" t="str">
        <f t="shared" si="0"/>
        <v/>
      </c>
      <c r="AD8" s="171" t="str">
        <f t="shared" si="0"/>
        <v/>
      </c>
      <c r="AE8" s="171" t="str">
        <f t="shared" si="0"/>
        <v/>
      </c>
      <c r="AF8" s="171" t="str">
        <f t="shared" si="0"/>
        <v/>
      </c>
      <c r="AG8" s="171" t="str">
        <f t="shared" si="0"/>
        <v/>
      </c>
      <c r="AH8" s="171" t="str">
        <f t="shared" si="0"/>
        <v/>
      </c>
      <c r="AI8" s="171" t="str">
        <f t="shared" si="0"/>
        <v/>
      </c>
      <c r="AJ8" s="171" t="str">
        <f t="shared" si="0"/>
        <v/>
      </c>
      <c r="AK8" s="171" t="str">
        <f t="shared" si="0"/>
        <v/>
      </c>
      <c r="AL8" s="171" t="str">
        <f t="shared" si="0"/>
        <v/>
      </c>
      <c r="AM8" s="171" t="str">
        <f t="shared" si="0"/>
        <v/>
      </c>
      <c r="AN8" s="171" t="str">
        <f t="shared" si="0"/>
        <v/>
      </c>
      <c r="AO8" s="171" t="str">
        <f t="shared" si="0"/>
        <v/>
      </c>
      <c r="AP8" s="171" t="str">
        <f t="shared" si="0"/>
        <v/>
      </c>
      <c r="AQ8" s="171" t="str">
        <f t="shared" si="0"/>
        <v/>
      </c>
      <c r="AR8" s="171" t="str">
        <f t="shared" si="0"/>
        <v/>
      </c>
      <c r="AS8" s="171" t="str">
        <f t="shared" si="0"/>
        <v/>
      </c>
      <c r="AT8" s="171" t="str">
        <f t="shared" si="0"/>
        <v/>
      </c>
      <c r="AU8" s="171" t="str">
        <f t="shared" si="0"/>
        <v/>
      </c>
      <c r="AV8" s="171" t="str">
        <f t="shared" si="0"/>
        <v/>
      </c>
      <c r="AW8" s="171" t="str">
        <f t="shared" si="0"/>
        <v/>
      </c>
      <c r="AX8" s="171" t="str">
        <f t="shared" si="0"/>
        <v/>
      </c>
      <c r="AY8" s="171" t="str">
        <f t="shared" si="0"/>
        <v/>
      </c>
    </row>
    <row r="9" spans="1:51">
      <c r="A9" s="625" t="s">
        <v>8</v>
      </c>
      <c r="B9" s="164" t="s">
        <v>149</v>
      </c>
      <c r="C9" s="165" t="s">
        <v>150</v>
      </c>
      <c r="D9" s="40"/>
      <c r="E9" s="40"/>
      <c r="F9" s="40"/>
      <c r="G9" s="40"/>
      <c r="H9" s="40"/>
      <c r="I9" s="40"/>
      <c r="J9" s="40"/>
      <c r="K9" s="40"/>
      <c r="L9" s="40"/>
      <c r="M9" s="40"/>
      <c r="N9" s="40"/>
      <c r="O9" s="40"/>
      <c r="P9" s="40"/>
      <c r="Q9" s="40"/>
      <c r="R9" s="40"/>
      <c r="S9" s="40"/>
      <c r="T9" s="40"/>
      <c r="U9" s="40"/>
      <c r="V9" s="40"/>
      <c r="W9" s="40"/>
      <c r="X9" s="40"/>
      <c r="Y9" s="40"/>
      <c r="Z9" s="40"/>
      <c r="AA9" s="40"/>
      <c r="AB9" s="40"/>
      <c r="AC9" s="40"/>
      <c r="AD9" s="40"/>
      <c r="AE9" s="40"/>
      <c r="AF9" s="40"/>
      <c r="AG9" s="40"/>
      <c r="AH9" s="40"/>
      <c r="AI9" s="40"/>
      <c r="AJ9" s="40"/>
      <c r="AK9" s="40"/>
      <c r="AL9" s="40"/>
      <c r="AM9" s="40"/>
      <c r="AN9" s="40"/>
      <c r="AO9" s="40"/>
      <c r="AP9" s="40"/>
      <c r="AQ9" s="40"/>
      <c r="AR9" s="40"/>
      <c r="AS9" s="40"/>
      <c r="AT9" s="40"/>
      <c r="AU9" s="40"/>
      <c r="AV9" s="40"/>
      <c r="AW9" s="40"/>
      <c r="AX9" s="40"/>
      <c r="AY9" s="40"/>
    </row>
    <row r="10" spans="1:51">
      <c r="A10" s="625"/>
      <c r="B10" s="164" t="s">
        <v>151</v>
      </c>
      <c r="C10" s="165" t="s">
        <v>152</v>
      </c>
      <c r="D10" s="40"/>
      <c r="E10" s="40"/>
      <c r="F10" s="40"/>
      <c r="G10" s="40"/>
      <c r="H10" s="40"/>
      <c r="I10" s="40"/>
      <c r="J10" s="40"/>
      <c r="K10" s="40"/>
      <c r="L10" s="40"/>
      <c r="M10" s="40"/>
      <c r="N10" s="40"/>
      <c r="O10" s="40"/>
      <c r="P10" s="40"/>
      <c r="Q10" s="40"/>
      <c r="R10" s="40"/>
      <c r="S10" s="40"/>
      <c r="T10" s="40"/>
      <c r="U10" s="40"/>
      <c r="V10" s="40"/>
      <c r="W10" s="40"/>
      <c r="X10" s="40"/>
      <c r="Y10" s="40"/>
      <c r="Z10" s="40"/>
      <c r="AA10" s="40"/>
      <c r="AB10" s="40"/>
      <c r="AC10" s="40"/>
      <c r="AD10" s="40"/>
      <c r="AE10" s="40"/>
      <c r="AF10" s="40"/>
      <c r="AG10" s="40"/>
      <c r="AH10" s="40"/>
      <c r="AI10" s="40"/>
      <c r="AJ10" s="40"/>
      <c r="AK10" s="40"/>
      <c r="AL10" s="40"/>
      <c r="AM10" s="40"/>
      <c r="AN10" s="40"/>
      <c r="AO10" s="40"/>
      <c r="AP10" s="40"/>
      <c r="AQ10" s="40"/>
      <c r="AR10" s="40"/>
      <c r="AS10" s="40"/>
      <c r="AT10" s="40"/>
      <c r="AU10" s="40"/>
      <c r="AV10" s="40"/>
      <c r="AW10" s="40"/>
      <c r="AX10" s="40"/>
      <c r="AY10" s="40"/>
    </row>
    <row r="11" spans="1:51">
      <c r="A11" s="625"/>
      <c r="B11" s="164" t="s">
        <v>153</v>
      </c>
      <c r="C11" s="165" t="s">
        <v>154</v>
      </c>
      <c r="D11" s="40"/>
      <c r="E11" s="40"/>
      <c r="F11" s="40"/>
      <c r="G11" s="40"/>
      <c r="H11" s="40"/>
      <c r="I11" s="40"/>
      <c r="J11" s="40"/>
      <c r="K11" s="40"/>
      <c r="L11" s="40"/>
      <c r="M11" s="40"/>
      <c r="N11" s="40"/>
      <c r="O11" s="40"/>
      <c r="P11" s="40"/>
      <c r="Q11" s="40"/>
      <c r="R11" s="40"/>
      <c r="S11" s="40"/>
      <c r="T11" s="40"/>
      <c r="U11" s="40"/>
      <c r="V11" s="40"/>
      <c r="W11" s="40"/>
      <c r="X11" s="40"/>
      <c r="Y11" s="40"/>
      <c r="Z11" s="40"/>
      <c r="AA11" s="40"/>
      <c r="AB11" s="40"/>
      <c r="AC11" s="40"/>
      <c r="AD11" s="40"/>
      <c r="AE11" s="40"/>
      <c r="AF11" s="40"/>
      <c r="AG11" s="40"/>
      <c r="AH11" s="40"/>
      <c r="AI11" s="40"/>
      <c r="AJ11" s="40"/>
      <c r="AK11" s="40"/>
      <c r="AL11" s="40"/>
      <c r="AM11" s="40"/>
      <c r="AN11" s="40"/>
      <c r="AO11" s="40"/>
      <c r="AP11" s="40"/>
      <c r="AQ11" s="40"/>
      <c r="AR11" s="40"/>
      <c r="AS11" s="40"/>
      <c r="AT11" s="40"/>
      <c r="AU11" s="40"/>
      <c r="AV11" s="40"/>
      <c r="AW11" s="40"/>
      <c r="AX11" s="40"/>
      <c r="AY11" s="40"/>
    </row>
    <row r="12" spans="1:51">
      <c r="A12" s="625"/>
      <c r="B12" s="164" t="s">
        <v>155</v>
      </c>
      <c r="C12" s="165" t="s">
        <v>64</v>
      </c>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G12" s="34"/>
      <c r="AH12" s="34"/>
      <c r="AI12" s="34"/>
      <c r="AJ12" s="34"/>
      <c r="AK12" s="34"/>
      <c r="AL12" s="34"/>
      <c r="AM12" s="34"/>
      <c r="AN12" s="34"/>
      <c r="AO12" s="34"/>
      <c r="AP12" s="34"/>
      <c r="AQ12" s="34"/>
      <c r="AR12" s="34"/>
      <c r="AS12" s="34"/>
      <c r="AT12" s="34"/>
      <c r="AU12" s="34"/>
      <c r="AV12" s="34"/>
      <c r="AW12" s="34"/>
      <c r="AX12" s="34"/>
      <c r="AY12" s="34"/>
    </row>
    <row r="13" spans="1:51">
      <c r="A13" s="625"/>
      <c r="B13" s="164" t="s">
        <v>156</v>
      </c>
      <c r="C13" s="165" t="s">
        <v>65</v>
      </c>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row>
    <row r="14" spans="1:51">
      <c r="A14" s="625"/>
      <c r="B14" s="166"/>
      <c r="C14" s="167"/>
      <c r="D14" s="171" t="str">
        <f>IF(AND(D9="",D10="",D11="",D12="",D13=""),"",AVERAGE(D9:D13))</f>
        <v/>
      </c>
      <c r="E14" s="171" t="str">
        <f t="shared" ref="E14:AY14" si="1">IF(AND(E9="",E10="",E11="",E12="",E13=""),"",AVERAGE(E9:E13))</f>
        <v/>
      </c>
      <c r="F14" s="171" t="str">
        <f t="shared" si="1"/>
        <v/>
      </c>
      <c r="G14" s="171" t="str">
        <f t="shared" si="1"/>
        <v/>
      </c>
      <c r="H14" s="171" t="str">
        <f t="shared" si="1"/>
        <v/>
      </c>
      <c r="I14" s="171" t="str">
        <f t="shared" si="1"/>
        <v/>
      </c>
      <c r="J14" s="171" t="str">
        <f t="shared" si="1"/>
        <v/>
      </c>
      <c r="K14" s="171" t="str">
        <f t="shared" si="1"/>
        <v/>
      </c>
      <c r="L14" s="171" t="str">
        <f t="shared" si="1"/>
        <v/>
      </c>
      <c r="M14" s="171" t="str">
        <f t="shared" si="1"/>
        <v/>
      </c>
      <c r="N14" s="171" t="str">
        <f t="shared" si="1"/>
        <v/>
      </c>
      <c r="O14" s="171" t="str">
        <f t="shared" si="1"/>
        <v/>
      </c>
      <c r="P14" s="171" t="str">
        <f t="shared" si="1"/>
        <v/>
      </c>
      <c r="Q14" s="171" t="str">
        <f t="shared" si="1"/>
        <v/>
      </c>
      <c r="R14" s="171" t="str">
        <f t="shared" si="1"/>
        <v/>
      </c>
      <c r="S14" s="171" t="str">
        <f t="shared" si="1"/>
        <v/>
      </c>
      <c r="T14" s="171" t="str">
        <f t="shared" si="1"/>
        <v/>
      </c>
      <c r="U14" s="171" t="str">
        <f t="shared" si="1"/>
        <v/>
      </c>
      <c r="V14" s="171" t="str">
        <f t="shared" si="1"/>
        <v/>
      </c>
      <c r="W14" s="171" t="str">
        <f t="shared" si="1"/>
        <v/>
      </c>
      <c r="X14" s="171" t="str">
        <f t="shared" si="1"/>
        <v/>
      </c>
      <c r="Y14" s="171" t="str">
        <f t="shared" si="1"/>
        <v/>
      </c>
      <c r="Z14" s="171" t="str">
        <f t="shared" si="1"/>
        <v/>
      </c>
      <c r="AA14" s="171" t="str">
        <f t="shared" si="1"/>
        <v/>
      </c>
      <c r="AB14" s="171" t="str">
        <f t="shared" si="1"/>
        <v/>
      </c>
      <c r="AC14" s="171" t="str">
        <f t="shared" si="1"/>
        <v/>
      </c>
      <c r="AD14" s="171" t="str">
        <f t="shared" si="1"/>
        <v/>
      </c>
      <c r="AE14" s="171" t="str">
        <f t="shared" si="1"/>
        <v/>
      </c>
      <c r="AF14" s="171" t="str">
        <f t="shared" si="1"/>
        <v/>
      </c>
      <c r="AG14" s="171" t="str">
        <f t="shared" si="1"/>
        <v/>
      </c>
      <c r="AH14" s="171" t="str">
        <f t="shared" si="1"/>
        <v/>
      </c>
      <c r="AI14" s="171" t="str">
        <f t="shared" si="1"/>
        <v/>
      </c>
      <c r="AJ14" s="171" t="str">
        <f t="shared" si="1"/>
        <v/>
      </c>
      <c r="AK14" s="171" t="str">
        <f t="shared" si="1"/>
        <v/>
      </c>
      <c r="AL14" s="171" t="str">
        <f t="shared" si="1"/>
        <v/>
      </c>
      <c r="AM14" s="171" t="str">
        <f t="shared" si="1"/>
        <v/>
      </c>
      <c r="AN14" s="171" t="str">
        <f t="shared" si="1"/>
        <v/>
      </c>
      <c r="AO14" s="171" t="str">
        <f t="shared" si="1"/>
        <v/>
      </c>
      <c r="AP14" s="171" t="str">
        <f t="shared" si="1"/>
        <v/>
      </c>
      <c r="AQ14" s="171" t="str">
        <f t="shared" si="1"/>
        <v/>
      </c>
      <c r="AR14" s="171" t="str">
        <f t="shared" si="1"/>
        <v/>
      </c>
      <c r="AS14" s="171" t="str">
        <f t="shared" si="1"/>
        <v/>
      </c>
      <c r="AT14" s="171" t="str">
        <f t="shared" si="1"/>
        <v/>
      </c>
      <c r="AU14" s="171" t="str">
        <f t="shared" si="1"/>
        <v/>
      </c>
      <c r="AV14" s="171" t="str">
        <f t="shared" si="1"/>
        <v/>
      </c>
      <c r="AW14" s="171" t="str">
        <f t="shared" si="1"/>
        <v/>
      </c>
      <c r="AX14" s="171" t="str">
        <f t="shared" si="1"/>
        <v/>
      </c>
      <c r="AY14" s="171" t="str">
        <f t="shared" si="1"/>
        <v/>
      </c>
    </row>
    <row r="15" spans="1:51">
      <c r="A15" s="624" t="s">
        <v>9</v>
      </c>
      <c r="B15" s="164" t="s">
        <v>157</v>
      </c>
      <c r="C15" s="165" t="s">
        <v>158</v>
      </c>
      <c r="D15" s="40"/>
      <c r="E15" s="40"/>
      <c r="F15" s="40"/>
      <c r="G15" s="40"/>
      <c r="H15" s="40"/>
      <c r="I15" s="40"/>
      <c r="J15" s="40"/>
      <c r="K15" s="40"/>
      <c r="L15" s="40"/>
      <c r="M15" s="40"/>
      <c r="N15" s="40"/>
      <c r="O15" s="40"/>
      <c r="P15" s="40"/>
      <c r="Q15" s="40"/>
      <c r="R15" s="40"/>
      <c r="S15" s="40"/>
      <c r="T15" s="40"/>
      <c r="U15" s="40"/>
      <c r="V15" s="40"/>
      <c r="W15" s="40"/>
      <c r="X15" s="40"/>
      <c r="Y15" s="40"/>
      <c r="Z15" s="40"/>
      <c r="AA15" s="40"/>
      <c r="AB15" s="40"/>
      <c r="AC15" s="40"/>
      <c r="AD15" s="40"/>
      <c r="AE15" s="40"/>
      <c r="AF15" s="40"/>
      <c r="AG15" s="40"/>
      <c r="AH15" s="40"/>
      <c r="AI15" s="40"/>
      <c r="AJ15" s="40"/>
      <c r="AK15" s="40"/>
      <c r="AL15" s="40"/>
      <c r="AM15" s="40"/>
      <c r="AN15" s="40"/>
      <c r="AO15" s="40"/>
      <c r="AP15" s="40"/>
      <c r="AQ15" s="40"/>
      <c r="AR15" s="40"/>
      <c r="AS15" s="40"/>
      <c r="AT15" s="40"/>
      <c r="AU15" s="40"/>
      <c r="AV15" s="40"/>
      <c r="AW15" s="40"/>
      <c r="AX15" s="40"/>
      <c r="AY15" s="40"/>
    </row>
    <row r="16" spans="1:51">
      <c r="A16" s="624"/>
      <c r="B16" s="164" t="s">
        <v>159</v>
      </c>
      <c r="C16" s="165" t="s">
        <v>67</v>
      </c>
      <c r="D16" s="40"/>
      <c r="E16" s="40"/>
      <c r="F16" s="40"/>
      <c r="G16" s="40"/>
      <c r="H16" s="40"/>
      <c r="I16" s="40"/>
      <c r="J16" s="40"/>
      <c r="K16" s="40"/>
      <c r="L16" s="40"/>
      <c r="M16" s="40"/>
      <c r="N16" s="40"/>
      <c r="O16" s="40"/>
      <c r="P16" s="40"/>
      <c r="Q16" s="40"/>
      <c r="R16" s="40"/>
      <c r="S16" s="40"/>
      <c r="T16" s="40"/>
      <c r="U16" s="40"/>
      <c r="V16" s="40"/>
      <c r="W16" s="40"/>
      <c r="X16" s="40"/>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40"/>
      <c r="AX16" s="40"/>
      <c r="AY16" s="40"/>
    </row>
    <row r="17" spans="1:51">
      <c r="A17" s="624"/>
      <c r="B17" s="164" t="s">
        <v>160</v>
      </c>
      <c r="C17" s="165" t="s">
        <v>68</v>
      </c>
      <c r="D17" s="40"/>
      <c r="E17" s="40"/>
      <c r="F17" s="40"/>
      <c r="G17" s="40"/>
      <c r="H17" s="40"/>
      <c r="I17" s="40"/>
      <c r="J17" s="40"/>
      <c r="K17" s="40"/>
      <c r="L17" s="40"/>
      <c r="M17" s="40"/>
      <c r="N17" s="40"/>
      <c r="O17" s="40"/>
      <c r="P17" s="40"/>
      <c r="Q17" s="40"/>
      <c r="R17" s="40"/>
      <c r="S17" s="40"/>
      <c r="T17" s="40"/>
      <c r="U17" s="40"/>
      <c r="V17" s="40"/>
      <c r="W17" s="40"/>
      <c r="X17" s="40"/>
      <c r="Y17" s="40"/>
      <c r="Z17" s="40"/>
      <c r="AA17" s="40"/>
      <c r="AB17" s="40"/>
      <c r="AC17" s="40"/>
      <c r="AD17" s="40"/>
      <c r="AE17" s="40"/>
      <c r="AF17" s="40"/>
      <c r="AG17" s="40"/>
      <c r="AH17" s="40"/>
      <c r="AI17" s="40"/>
      <c r="AJ17" s="40"/>
      <c r="AK17" s="40"/>
      <c r="AL17" s="40"/>
      <c r="AM17" s="40"/>
      <c r="AN17" s="40"/>
      <c r="AO17" s="40"/>
      <c r="AP17" s="40"/>
      <c r="AQ17" s="40"/>
      <c r="AR17" s="40"/>
      <c r="AS17" s="40"/>
      <c r="AT17" s="40"/>
      <c r="AU17" s="40"/>
      <c r="AV17" s="40"/>
      <c r="AW17" s="40"/>
      <c r="AX17" s="40"/>
      <c r="AY17" s="40"/>
    </row>
    <row r="18" spans="1:51">
      <c r="A18" s="624"/>
      <c r="B18" s="164" t="s">
        <v>161</v>
      </c>
      <c r="C18" s="165" t="s">
        <v>69</v>
      </c>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4"/>
      <c r="AM18" s="34"/>
      <c r="AN18" s="34"/>
      <c r="AO18" s="34"/>
      <c r="AP18" s="34"/>
      <c r="AQ18" s="34"/>
      <c r="AR18" s="34"/>
      <c r="AS18" s="34"/>
      <c r="AT18" s="34"/>
      <c r="AU18" s="34"/>
      <c r="AV18" s="34"/>
      <c r="AW18" s="34"/>
      <c r="AX18" s="34"/>
      <c r="AY18" s="34"/>
    </row>
    <row r="19" spans="1:51">
      <c r="A19" s="624"/>
      <c r="B19" s="164" t="s">
        <v>162</v>
      </c>
      <c r="C19" s="165" t="s">
        <v>70</v>
      </c>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row>
    <row r="20" spans="1:51">
      <c r="A20" s="624"/>
      <c r="B20" s="164" t="s">
        <v>163</v>
      </c>
      <c r="C20" s="165" t="s">
        <v>164</v>
      </c>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4"/>
      <c r="AR20" s="34"/>
      <c r="AS20" s="34"/>
      <c r="AT20" s="34"/>
      <c r="AU20" s="34"/>
      <c r="AV20" s="34"/>
      <c r="AW20" s="34"/>
      <c r="AX20" s="34"/>
      <c r="AY20" s="34"/>
    </row>
    <row r="21" spans="1:51">
      <c r="A21" s="624"/>
      <c r="B21" s="164" t="s">
        <v>165</v>
      </c>
      <c r="C21" s="165" t="s">
        <v>166</v>
      </c>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4"/>
      <c r="AR21" s="34"/>
      <c r="AS21" s="34"/>
      <c r="AT21" s="34"/>
      <c r="AU21" s="34"/>
      <c r="AV21" s="34"/>
      <c r="AW21" s="34"/>
      <c r="AX21" s="34"/>
      <c r="AY21" s="34"/>
    </row>
    <row r="22" spans="1:51">
      <c r="A22" s="624"/>
      <c r="B22" s="164" t="s">
        <v>167</v>
      </c>
      <c r="C22" s="165" t="s">
        <v>168</v>
      </c>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row>
    <row r="23" spans="1:51">
      <c r="A23" s="624"/>
      <c r="B23" s="166"/>
      <c r="C23" s="167"/>
      <c r="D23" s="171" t="str">
        <f>IF(AND(D16="",D16="",D17="",D18="",D19="",D20="",D21="",D22=""),"",AVERAGE(D15:D22))</f>
        <v/>
      </c>
      <c r="E23" s="171" t="str">
        <f t="shared" ref="E23:AY23" si="2">IF(AND(E16="",E16="",E17="",E18="",E19="",E20="",E21="",E22=""),"",AVERAGE(E15:E22))</f>
        <v/>
      </c>
      <c r="F23" s="171" t="str">
        <f t="shared" si="2"/>
        <v/>
      </c>
      <c r="G23" s="171" t="str">
        <f t="shared" si="2"/>
        <v/>
      </c>
      <c r="H23" s="171" t="str">
        <f t="shared" si="2"/>
        <v/>
      </c>
      <c r="I23" s="171" t="str">
        <f t="shared" si="2"/>
        <v/>
      </c>
      <c r="J23" s="171" t="str">
        <f t="shared" si="2"/>
        <v/>
      </c>
      <c r="K23" s="171" t="str">
        <f t="shared" si="2"/>
        <v/>
      </c>
      <c r="L23" s="171" t="str">
        <f t="shared" si="2"/>
        <v/>
      </c>
      <c r="M23" s="171" t="str">
        <f t="shared" si="2"/>
        <v/>
      </c>
      <c r="N23" s="171" t="str">
        <f t="shared" si="2"/>
        <v/>
      </c>
      <c r="O23" s="171" t="str">
        <f t="shared" si="2"/>
        <v/>
      </c>
      <c r="P23" s="171" t="str">
        <f t="shared" si="2"/>
        <v/>
      </c>
      <c r="Q23" s="171" t="str">
        <f t="shared" si="2"/>
        <v/>
      </c>
      <c r="R23" s="171" t="str">
        <f t="shared" si="2"/>
        <v/>
      </c>
      <c r="S23" s="171" t="str">
        <f t="shared" si="2"/>
        <v/>
      </c>
      <c r="T23" s="171" t="str">
        <f t="shared" si="2"/>
        <v/>
      </c>
      <c r="U23" s="171" t="str">
        <f t="shared" si="2"/>
        <v/>
      </c>
      <c r="V23" s="171" t="str">
        <f t="shared" si="2"/>
        <v/>
      </c>
      <c r="W23" s="171" t="str">
        <f t="shared" si="2"/>
        <v/>
      </c>
      <c r="X23" s="171" t="str">
        <f t="shared" si="2"/>
        <v/>
      </c>
      <c r="Y23" s="171" t="str">
        <f t="shared" si="2"/>
        <v/>
      </c>
      <c r="Z23" s="171" t="str">
        <f t="shared" si="2"/>
        <v/>
      </c>
      <c r="AA23" s="171" t="str">
        <f t="shared" si="2"/>
        <v/>
      </c>
      <c r="AB23" s="171" t="str">
        <f t="shared" si="2"/>
        <v/>
      </c>
      <c r="AC23" s="171" t="str">
        <f t="shared" si="2"/>
        <v/>
      </c>
      <c r="AD23" s="171" t="str">
        <f t="shared" si="2"/>
        <v/>
      </c>
      <c r="AE23" s="171" t="str">
        <f t="shared" si="2"/>
        <v/>
      </c>
      <c r="AF23" s="171" t="str">
        <f t="shared" si="2"/>
        <v/>
      </c>
      <c r="AG23" s="171" t="str">
        <f t="shared" si="2"/>
        <v/>
      </c>
      <c r="AH23" s="171" t="str">
        <f t="shared" si="2"/>
        <v/>
      </c>
      <c r="AI23" s="171" t="str">
        <f t="shared" si="2"/>
        <v/>
      </c>
      <c r="AJ23" s="171" t="str">
        <f t="shared" si="2"/>
        <v/>
      </c>
      <c r="AK23" s="171" t="str">
        <f t="shared" si="2"/>
        <v/>
      </c>
      <c r="AL23" s="171" t="str">
        <f t="shared" si="2"/>
        <v/>
      </c>
      <c r="AM23" s="171" t="str">
        <f t="shared" si="2"/>
        <v/>
      </c>
      <c r="AN23" s="171" t="str">
        <f t="shared" si="2"/>
        <v/>
      </c>
      <c r="AO23" s="171" t="str">
        <f t="shared" si="2"/>
        <v/>
      </c>
      <c r="AP23" s="171" t="str">
        <f t="shared" si="2"/>
        <v/>
      </c>
      <c r="AQ23" s="171" t="str">
        <f t="shared" si="2"/>
        <v/>
      </c>
      <c r="AR23" s="171" t="str">
        <f t="shared" si="2"/>
        <v/>
      </c>
      <c r="AS23" s="171" t="str">
        <f t="shared" si="2"/>
        <v/>
      </c>
      <c r="AT23" s="171" t="str">
        <f t="shared" si="2"/>
        <v/>
      </c>
      <c r="AU23" s="171" t="str">
        <f t="shared" si="2"/>
        <v/>
      </c>
      <c r="AV23" s="171" t="str">
        <f t="shared" si="2"/>
        <v/>
      </c>
      <c r="AW23" s="171" t="str">
        <f t="shared" si="2"/>
        <v/>
      </c>
      <c r="AX23" s="171" t="str">
        <f t="shared" si="2"/>
        <v/>
      </c>
      <c r="AY23" s="171" t="str">
        <f t="shared" si="2"/>
        <v/>
      </c>
    </row>
    <row r="24" spans="1:51" ht="15" customHeight="1">
      <c r="A24" s="625" t="s">
        <v>169</v>
      </c>
      <c r="B24" s="164" t="s">
        <v>170</v>
      </c>
      <c r="C24" s="165" t="s">
        <v>74</v>
      </c>
      <c r="D24" s="40"/>
      <c r="E24" s="40"/>
      <c r="F24" s="40"/>
      <c r="G24" s="40"/>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row>
    <row r="25" spans="1:51">
      <c r="A25" s="625"/>
      <c r="B25" s="164" t="s">
        <v>171</v>
      </c>
      <c r="C25" s="165" t="s">
        <v>75</v>
      </c>
      <c r="D25" s="40"/>
      <c r="E25" s="40"/>
      <c r="F25" s="40"/>
      <c r="G25" s="40"/>
      <c r="H25" s="40"/>
      <c r="I25" s="40"/>
      <c r="J25" s="40"/>
      <c r="K25" s="40"/>
      <c r="L25" s="40"/>
      <c r="M25" s="40"/>
      <c r="N25" s="40"/>
      <c r="O25" s="40"/>
      <c r="P25" s="40"/>
      <c r="Q25" s="40"/>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row>
    <row r="26" spans="1:51">
      <c r="A26" s="625"/>
      <c r="B26" s="164" t="s">
        <v>172</v>
      </c>
      <c r="C26" s="165" t="s">
        <v>173</v>
      </c>
      <c r="D26" s="40"/>
      <c r="E26" s="40"/>
      <c r="F26" s="40"/>
      <c r="G26" s="40"/>
      <c r="H26" s="40"/>
      <c r="I26" s="40"/>
      <c r="J26" s="40"/>
      <c r="K26" s="40"/>
      <c r="L26" s="40"/>
      <c r="M26" s="40"/>
      <c r="N26" s="40"/>
      <c r="O26" s="40"/>
      <c r="P26" s="40"/>
      <c r="Q26" s="40"/>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row>
    <row r="27" spans="1:51">
      <c r="A27" s="625"/>
      <c r="B27" s="164" t="s">
        <v>174</v>
      </c>
      <c r="C27" s="165" t="s">
        <v>77</v>
      </c>
      <c r="D27" s="34"/>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row>
    <row r="28" spans="1:51">
      <c r="A28" s="625"/>
      <c r="B28" s="164" t="s">
        <v>175</v>
      </c>
      <c r="C28" s="165" t="s">
        <v>78</v>
      </c>
      <c r="D28" s="34"/>
      <c r="E28" s="34"/>
      <c r="F28" s="34"/>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row>
    <row r="29" spans="1:51">
      <c r="A29" s="625"/>
      <c r="B29" s="166"/>
      <c r="C29" s="167"/>
      <c r="D29" s="171" t="str">
        <f>IF(AND(D24="",D25="",D26="",D27="",D28=""),"",AVERAGE(D24:D28))</f>
        <v/>
      </c>
      <c r="E29" s="171" t="str">
        <f t="shared" ref="E29:AY29" si="3">IF(AND(E24="",E25="",E26="",E27="",E28=""),"",AVERAGE(E24:E28))</f>
        <v/>
      </c>
      <c r="F29" s="171" t="str">
        <f t="shared" si="3"/>
        <v/>
      </c>
      <c r="G29" s="171" t="str">
        <f t="shared" si="3"/>
        <v/>
      </c>
      <c r="H29" s="171" t="str">
        <f t="shared" si="3"/>
        <v/>
      </c>
      <c r="I29" s="171" t="str">
        <f t="shared" si="3"/>
        <v/>
      </c>
      <c r="J29" s="171" t="str">
        <f t="shared" si="3"/>
        <v/>
      </c>
      <c r="K29" s="171" t="str">
        <f t="shared" si="3"/>
        <v/>
      </c>
      <c r="L29" s="171" t="str">
        <f t="shared" si="3"/>
        <v/>
      </c>
      <c r="M29" s="171" t="str">
        <f t="shared" si="3"/>
        <v/>
      </c>
      <c r="N29" s="171" t="str">
        <f t="shared" si="3"/>
        <v/>
      </c>
      <c r="O29" s="171" t="str">
        <f t="shared" si="3"/>
        <v/>
      </c>
      <c r="P29" s="171" t="str">
        <f t="shared" si="3"/>
        <v/>
      </c>
      <c r="Q29" s="171" t="str">
        <f t="shared" si="3"/>
        <v/>
      </c>
      <c r="R29" s="171" t="str">
        <f t="shared" si="3"/>
        <v/>
      </c>
      <c r="S29" s="171" t="str">
        <f t="shared" si="3"/>
        <v/>
      </c>
      <c r="T29" s="171" t="str">
        <f t="shared" si="3"/>
        <v/>
      </c>
      <c r="U29" s="171" t="str">
        <f t="shared" si="3"/>
        <v/>
      </c>
      <c r="V29" s="171" t="str">
        <f t="shared" si="3"/>
        <v/>
      </c>
      <c r="W29" s="171" t="str">
        <f t="shared" si="3"/>
        <v/>
      </c>
      <c r="X29" s="171" t="str">
        <f t="shared" si="3"/>
        <v/>
      </c>
      <c r="Y29" s="171" t="str">
        <f t="shared" si="3"/>
        <v/>
      </c>
      <c r="Z29" s="171" t="str">
        <f t="shared" si="3"/>
        <v/>
      </c>
      <c r="AA29" s="171" t="str">
        <f t="shared" si="3"/>
        <v/>
      </c>
      <c r="AB29" s="171" t="str">
        <f t="shared" si="3"/>
        <v/>
      </c>
      <c r="AC29" s="171" t="str">
        <f t="shared" si="3"/>
        <v/>
      </c>
      <c r="AD29" s="171" t="str">
        <f t="shared" si="3"/>
        <v/>
      </c>
      <c r="AE29" s="171" t="str">
        <f t="shared" si="3"/>
        <v/>
      </c>
      <c r="AF29" s="171" t="str">
        <f t="shared" si="3"/>
        <v/>
      </c>
      <c r="AG29" s="171" t="str">
        <f t="shared" si="3"/>
        <v/>
      </c>
      <c r="AH29" s="171" t="str">
        <f t="shared" si="3"/>
        <v/>
      </c>
      <c r="AI29" s="171" t="str">
        <f t="shared" si="3"/>
        <v/>
      </c>
      <c r="AJ29" s="171" t="str">
        <f t="shared" si="3"/>
        <v/>
      </c>
      <c r="AK29" s="171" t="str">
        <f t="shared" si="3"/>
        <v/>
      </c>
      <c r="AL29" s="171" t="str">
        <f t="shared" si="3"/>
        <v/>
      </c>
      <c r="AM29" s="171" t="str">
        <f t="shared" si="3"/>
        <v/>
      </c>
      <c r="AN29" s="171" t="str">
        <f t="shared" si="3"/>
        <v/>
      </c>
      <c r="AO29" s="171" t="str">
        <f t="shared" si="3"/>
        <v/>
      </c>
      <c r="AP29" s="171" t="str">
        <f t="shared" si="3"/>
        <v/>
      </c>
      <c r="AQ29" s="171" t="str">
        <f t="shared" si="3"/>
        <v/>
      </c>
      <c r="AR29" s="171" t="str">
        <f t="shared" si="3"/>
        <v/>
      </c>
      <c r="AS29" s="171" t="str">
        <f t="shared" si="3"/>
        <v/>
      </c>
      <c r="AT29" s="171" t="str">
        <f t="shared" si="3"/>
        <v/>
      </c>
      <c r="AU29" s="171" t="str">
        <f t="shared" si="3"/>
        <v/>
      </c>
      <c r="AV29" s="171" t="str">
        <f t="shared" si="3"/>
        <v/>
      </c>
      <c r="AW29" s="171" t="str">
        <f t="shared" si="3"/>
        <v/>
      </c>
      <c r="AX29" s="171" t="str">
        <f t="shared" si="3"/>
        <v/>
      </c>
      <c r="AY29" s="171" t="str">
        <f t="shared" si="3"/>
        <v/>
      </c>
    </row>
    <row r="30" spans="1:51" ht="15" customHeight="1">
      <c r="A30" s="624" t="s">
        <v>10</v>
      </c>
      <c r="B30" s="164" t="s">
        <v>176</v>
      </c>
      <c r="C30" s="165" t="s">
        <v>177</v>
      </c>
      <c r="D30" s="40"/>
      <c r="E30" s="40"/>
      <c r="F30" s="40"/>
      <c r="G30" s="40"/>
      <c r="H30" s="40"/>
      <c r="I30" s="40"/>
      <c r="J30" s="40"/>
      <c r="K30" s="40"/>
      <c r="L30" s="40"/>
      <c r="M30" s="40"/>
      <c r="N30" s="40"/>
      <c r="O30" s="40"/>
      <c r="P30" s="40"/>
      <c r="Q30" s="40"/>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row>
    <row r="31" spans="1:51">
      <c r="A31" s="624"/>
      <c r="B31" s="164" t="s">
        <v>178</v>
      </c>
      <c r="C31" s="165" t="s">
        <v>179</v>
      </c>
      <c r="D31" s="40"/>
      <c r="E31" s="40"/>
      <c r="F31" s="40"/>
      <c r="G31" s="40"/>
      <c r="H31" s="40"/>
      <c r="I31" s="40"/>
      <c r="J31" s="40"/>
      <c r="K31" s="40"/>
      <c r="L31" s="40"/>
      <c r="M31" s="40"/>
      <c r="N31" s="40"/>
      <c r="O31" s="40"/>
      <c r="P31" s="40"/>
      <c r="Q31" s="40"/>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row>
    <row r="32" spans="1:51">
      <c r="A32" s="624"/>
      <c r="B32" s="164" t="s">
        <v>180</v>
      </c>
      <c r="C32" s="165" t="s">
        <v>181</v>
      </c>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row>
    <row r="33" spans="1:51">
      <c r="A33" s="624"/>
      <c r="B33" s="164" t="s">
        <v>182</v>
      </c>
      <c r="C33" s="165" t="s">
        <v>82</v>
      </c>
      <c r="D33" s="34"/>
      <c r="E33" s="34"/>
      <c r="F33" s="34"/>
      <c r="G33" s="34"/>
      <c r="H33" s="34"/>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row>
    <row r="34" spans="1:51">
      <c r="A34" s="624"/>
      <c r="B34" s="164" t="s">
        <v>183</v>
      </c>
      <c r="C34" s="165" t="s">
        <v>83</v>
      </c>
      <c r="D34" s="34"/>
      <c r="E34" s="34"/>
      <c r="F34" s="34"/>
      <c r="G34" s="34"/>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row>
    <row r="35" spans="1:51">
      <c r="A35" s="624"/>
      <c r="B35" s="166"/>
      <c r="C35" s="167"/>
      <c r="D35" s="171" t="str">
        <f>IF(AND(D30="",D31="",D32="",D33="",D34=""),"",AVERAGE(D30:D34))</f>
        <v/>
      </c>
      <c r="E35" s="171" t="str">
        <f t="shared" ref="E35:AY35" si="4">IF(AND(E30="",E31="",E32="",E33="",E34=""),"",AVERAGE(E30:E34))</f>
        <v/>
      </c>
      <c r="F35" s="171" t="str">
        <f t="shared" si="4"/>
        <v/>
      </c>
      <c r="G35" s="171" t="str">
        <f t="shared" si="4"/>
        <v/>
      </c>
      <c r="H35" s="171" t="str">
        <f t="shared" si="4"/>
        <v/>
      </c>
      <c r="I35" s="171" t="str">
        <f t="shared" si="4"/>
        <v/>
      </c>
      <c r="J35" s="171" t="str">
        <f t="shared" si="4"/>
        <v/>
      </c>
      <c r="K35" s="171" t="str">
        <f t="shared" si="4"/>
        <v/>
      </c>
      <c r="L35" s="171" t="str">
        <f t="shared" si="4"/>
        <v/>
      </c>
      <c r="M35" s="171" t="str">
        <f t="shared" si="4"/>
        <v/>
      </c>
      <c r="N35" s="171" t="str">
        <f t="shared" si="4"/>
        <v/>
      </c>
      <c r="O35" s="171" t="str">
        <f t="shared" si="4"/>
        <v/>
      </c>
      <c r="P35" s="171" t="str">
        <f t="shared" si="4"/>
        <v/>
      </c>
      <c r="Q35" s="171" t="str">
        <f t="shared" si="4"/>
        <v/>
      </c>
      <c r="R35" s="171" t="str">
        <f t="shared" si="4"/>
        <v/>
      </c>
      <c r="S35" s="171" t="str">
        <f t="shared" si="4"/>
        <v/>
      </c>
      <c r="T35" s="171" t="str">
        <f t="shared" si="4"/>
        <v/>
      </c>
      <c r="U35" s="171" t="str">
        <f t="shared" si="4"/>
        <v/>
      </c>
      <c r="V35" s="171" t="str">
        <f t="shared" si="4"/>
        <v/>
      </c>
      <c r="W35" s="171" t="str">
        <f t="shared" si="4"/>
        <v/>
      </c>
      <c r="X35" s="171" t="str">
        <f t="shared" si="4"/>
        <v/>
      </c>
      <c r="Y35" s="171" t="str">
        <f t="shared" si="4"/>
        <v/>
      </c>
      <c r="Z35" s="171" t="str">
        <f t="shared" si="4"/>
        <v/>
      </c>
      <c r="AA35" s="171" t="str">
        <f t="shared" si="4"/>
        <v/>
      </c>
      <c r="AB35" s="171" t="str">
        <f t="shared" si="4"/>
        <v/>
      </c>
      <c r="AC35" s="171" t="str">
        <f t="shared" si="4"/>
        <v/>
      </c>
      <c r="AD35" s="171" t="str">
        <f t="shared" si="4"/>
        <v/>
      </c>
      <c r="AE35" s="171" t="str">
        <f t="shared" si="4"/>
        <v/>
      </c>
      <c r="AF35" s="171" t="str">
        <f t="shared" si="4"/>
        <v/>
      </c>
      <c r="AG35" s="171" t="str">
        <f t="shared" si="4"/>
        <v/>
      </c>
      <c r="AH35" s="171" t="str">
        <f t="shared" si="4"/>
        <v/>
      </c>
      <c r="AI35" s="171" t="str">
        <f t="shared" si="4"/>
        <v/>
      </c>
      <c r="AJ35" s="171" t="str">
        <f t="shared" si="4"/>
        <v/>
      </c>
      <c r="AK35" s="171" t="str">
        <f t="shared" si="4"/>
        <v/>
      </c>
      <c r="AL35" s="171" t="str">
        <f t="shared" si="4"/>
        <v/>
      </c>
      <c r="AM35" s="171" t="str">
        <f t="shared" si="4"/>
        <v/>
      </c>
      <c r="AN35" s="171" t="str">
        <f t="shared" si="4"/>
        <v/>
      </c>
      <c r="AO35" s="171" t="str">
        <f t="shared" si="4"/>
        <v/>
      </c>
      <c r="AP35" s="171" t="str">
        <f t="shared" si="4"/>
        <v/>
      </c>
      <c r="AQ35" s="171" t="str">
        <f t="shared" si="4"/>
        <v/>
      </c>
      <c r="AR35" s="171" t="str">
        <f t="shared" si="4"/>
        <v/>
      </c>
      <c r="AS35" s="171" t="str">
        <f t="shared" si="4"/>
        <v/>
      </c>
      <c r="AT35" s="171" t="str">
        <f t="shared" si="4"/>
        <v/>
      </c>
      <c r="AU35" s="171" t="str">
        <f t="shared" si="4"/>
        <v/>
      </c>
      <c r="AV35" s="171" t="str">
        <f t="shared" si="4"/>
        <v/>
      </c>
      <c r="AW35" s="171" t="str">
        <f t="shared" si="4"/>
        <v/>
      </c>
      <c r="AX35" s="171" t="str">
        <f t="shared" si="4"/>
        <v/>
      </c>
      <c r="AY35" s="171" t="str">
        <f t="shared" si="4"/>
        <v/>
      </c>
    </row>
    <row r="36" spans="1:51" ht="15" customHeight="1">
      <c r="A36" s="625" t="s">
        <v>184</v>
      </c>
      <c r="B36" s="164" t="s">
        <v>185</v>
      </c>
      <c r="C36" s="165" t="s">
        <v>84</v>
      </c>
      <c r="D36" s="40"/>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0"/>
      <c r="AG36" s="40"/>
      <c r="AH36" s="40"/>
      <c r="AI36" s="40"/>
      <c r="AJ36" s="40"/>
      <c r="AK36" s="40"/>
      <c r="AL36" s="40"/>
      <c r="AM36" s="40"/>
      <c r="AN36" s="40"/>
      <c r="AO36" s="40"/>
      <c r="AP36" s="40"/>
      <c r="AQ36" s="40"/>
      <c r="AR36" s="40"/>
      <c r="AS36" s="40"/>
      <c r="AT36" s="40"/>
      <c r="AU36" s="40"/>
      <c r="AV36" s="40"/>
      <c r="AW36" s="40"/>
      <c r="AX36" s="40"/>
      <c r="AY36" s="40"/>
    </row>
    <row r="37" spans="1:51">
      <c r="A37" s="625"/>
      <c r="B37" s="164" t="s">
        <v>186</v>
      </c>
      <c r="C37" s="165" t="s">
        <v>187</v>
      </c>
      <c r="D37" s="40"/>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0"/>
      <c r="AG37" s="40"/>
      <c r="AH37" s="40"/>
      <c r="AI37" s="40"/>
      <c r="AJ37" s="40"/>
      <c r="AK37" s="40"/>
      <c r="AL37" s="40"/>
      <c r="AM37" s="40"/>
      <c r="AN37" s="40"/>
      <c r="AO37" s="40"/>
      <c r="AP37" s="40"/>
      <c r="AQ37" s="40"/>
      <c r="AR37" s="40"/>
      <c r="AS37" s="40"/>
      <c r="AT37" s="40"/>
      <c r="AU37" s="40"/>
      <c r="AV37" s="40"/>
      <c r="AW37" s="40"/>
      <c r="AX37" s="40"/>
      <c r="AY37" s="40"/>
    </row>
    <row r="38" spans="1:51">
      <c r="A38" s="625"/>
      <c r="B38" s="164" t="s">
        <v>188</v>
      </c>
      <c r="C38" s="165" t="s">
        <v>86</v>
      </c>
      <c r="D38" s="40"/>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0"/>
      <c r="AG38" s="40"/>
      <c r="AH38" s="40"/>
      <c r="AI38" s="40"/>
      <c r="AJ38" s="40"/>
      <c r="AK38" s="40"/>
      <c r="AL38" s="40"/>
      <c r="AM38" s="40"/>
      <c r="AN38" s="40"/>
      <c r="AO38" s="40"/>
      <c r="AP38" s="40"/>
      <c r="AQ38" s="40"/>
      <c r="AR38" s="40"/>
      <c r="AS38" s="40"/>
      <c r="AT38" s="40"/>
      <c r="AU38" s="40"/>
      <c r="AV38" s="40"/>
      <c r="AW38" s="40"/>
      <c r="AX38" s="40"/>
      <c r="AY38" s="40"/>
    </row>
    <row r="39" spans="1:51">
      <c r="A39" s="625"/>
      <c r="B39" s="164" t="s">
        <v>189</v>
      </c>
      <c r="C39" s="165" t="s">
        <v>190</v>
      </c>
      <c r="D39" s="34"/>
      <c r="E39" s="34"/>
      <c r="F39" s="34"/>
      <c r="G39" s="34"/>
      <c r="H39" s="34"/>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row>
    <row r="40" spans="1:51">
      <c r="A40" s="625"/>
      <c r="B40" s="166"/>
      <c r="C40" s="167"/>
      <c r="D40" s="171" t="str">
        <f>IF(AND(D36="",D37="",D38="",D39=""),"",AVERAGE(D36:D39))</f>
        <v/>
      </c>
      <c r="E40" s="171" t="str">
        <f t="shared" ref="E40:AY40" si="5">IF(AND(E36="",E37="",E38="",E39=""),"",AVERAGE(E36:E39))</f>
        <v/>
      </c>
      <c r="F40" s="171" t="str">
        <f t="shared" si="5"/>
        <v/>
      </c>
      <c r="G40" s="171" t="str">
        <f t="shared" si="5"/>
        <v/>
      </c>
      <c r="H40" s="171" t="str">
        <f t="shared" si="5"/>
        <v/>
      </c>
      <c r="I40" s="171" t="str">
        <f t="shared" si="5"/>
        <v/>
      </c>
      <c r="J40" s="171" t="str">
        <f t="shared" si="5"/>
        <v/>
      </c>
      <c r="K40" s="171" t="str">
        <f t="shared" si="5"/>
        <v/>
      </c>
      <c r="L40" s="171" t="str">
        <f t="shared" si="5"/>
        <v/>
      </c>
      <c r="M40" s="171" t="str">
        <f t="shared" si="5"/>
        <v/>
      </c>
      <c r="N40" s="171" t="str">
        <f t="shared" si="5"/>
        <v/>
      </c>
      <c r="O40" s="171" t="str">
        <f t="shared" si="5"/>
        <v/>
      </c>
      <c r="P40" s="171" t="str">
        <f t="shared" si="5"/>
        <v/>
      </c>
      <c r="Q40" s="171" t="str">
        <f t="shared" si="5"/>
        <v/>
      </c>
      <c r="R40" s="171" t="str">
        <f t="shared" si="5"/>
        <v/>
      </c>
      <c r="S40" s="171" t="str">
        <f t="shared" si="5"/>
        <v/>
      </c>
      <c r="T40" s="171" t="str">
        <f t="shared" si="5"/>
        <v/>
      </c>
      <c r="U40" s="171" t="str">
        <f t="shared" si="5"/>
        <v/>
      </c>
      <c r="V40" s="171" t="str">
        <f t="shared" si="5"/>
        <v/>
      </c>
      <c r="W40" s="171" t="str">
        <f t="shared" si="5"/>
        <v/>
      </c>
      <c r="X40" s="171" t="str">
        <f t="shared" si="5"/>
        <v/>
      </c>
      <c r="Y40" s="171" t="str">
        <f t="shared" si="5"/>
        <v/>
      </c>
      <c r="Z40" s="171" t="str">
        <f t="shared" si="5"/>
        <v/>
      </c>
      <c r="AA40" s="171" t="str">
        <f t="shared" si="5"/>
        <v/>
      </c>
      <c r="AB40" s="171" t="str">
        <f t="shared" si="5"/>
        <v/>
      </c>
      <c r="AC40" s="171" t="str">
        <f t="shared" si="5"/>
        <v/>
      </c>
      <c r="AD40" s="171" t="str">
        <f t="shared" si="5"/>
        <v/>
      </c>
      <c r="AE40" s="171" t="str">
        <f t="shared" si="5"/>
        <v/>
      </c>
      <c r="AF40" s="171" t="str">
        <f t="shared" si="5"/>
        <v/>
      </c>
      <c r="AG40" s="171" t="str">
        <f t="shared" si="5"/>
        <v/>
      </c>
      <c r="AH40" s="171" t="str">
        <f t="shared" si="5"/>
        <v/>
      </c>
      <c r="AI40" s="171" t="str">
        <f t="shared" si="5"/>
        <v/>
      </c>
      <c r="AJ40" s="171" t="str">
        <f t="shared" si="5"/>
        <v/>
      </c>
      <c r="AK40" s="171" t="str">
        <f t="shared" si="5"/>
        <v/>
      </c>
      <c r="AL40" s="171" t="str">
        <f t="shared" si="5"/>
        <v/>
      </c>
      <c r="AM40" s="171" t="str">
        <f t="shared" si="5"/>
        <v/>
      </c>
      <c r="AN40" s="171" t="str">
        <f t="shared" si="5"/>
        <v/>
      </c>
      <c r="AO40" s="171" t="str">
        <f t="shared" si="5"/>
        <v/>
      </c>
      <c r="AP40" s="171" t="str">
        <f t="shared" si="5"/>
        <v/>
      </c>
      <c r="AQ40" s="171" t="str">
        <f t="shared" si="5"/>
        <v/>
      </c>
      <c r="AR40" s="171" t="str">
        <f t="shared" si="5"/>
        <v/>
      </c>
      <c r="AS40" s="171" t="str">
        <f t="shared" si="5"/>
        <v/>
      </c>
      <c r="AT40" s="171" t="str">
        <f t="shared" si="5"/>
        <v/>
      </c>
      <c r="AU40" s="171" t="str">
        <f t="shared" si="5"/>
        <v/>
      </c>
      <c r="AV40" s="171" t="str">
        <f t="shared" si="5"/>
        <v/>
      </c>
      <c r="AW40" s="171" t="str">
        <f t="shared" si="5"/>
        <v/>
      </c>
      <c r="AX40" s="171" t="str">
        <f t="shared" si="5"/>
        <v/>
      </c>
      <c r="AY40" s="171" t="str">
        <f t="shared" si="5"/>
        <v/>
      </c>
    </row>
    <row r="41" spans="1:51" ht="15" customHeight="1">
      <c r="A41" s="624" t="s">
        <v>12</v>
      </c>
      <c r="B41" s="164" t="s">
        <v>191</v>
      </c>
      <c r="C41" s="165" t="s">
        <v>88</v>
      </c>
      <c r="D41" s="40"/>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0"/>
      <c r="AG41" s="40"/>
      <c r="AH41" s="40"/>
      <c r="AI41" s="40"/>
      <c r="AJ41" s="40"/>
      <c r="AK41" s="40"/>
      <c r="AL41" s="40"/>
      <c r="AM41" s="40"/>
      <c r="AN41" s="40"/>
      <c r="AO41" s="40"/>
      <c r="AP41" s="40"/>
      <c r="AQ41" s="40"/>
      <c r="AR41" s="40"/>
      <c r="AS41" s="40"/>
      <c r="AT41" s="40"/>
      <c r="AU41" s="40"/>
      <c r="AV41" s="40"/>
      <c r="AW41" s="40"/>
      <c r="AX41" s="40"/>
      <c r="AY41" s="40"/>
    </row>
    <row r="42" spans="1:51">
      <c r="A42" s="624"/>
      <c r="B42" s="164" t="s">
        <v>192</v>
      </c>
      <c r="C42" s="165" t="s">
        <v>89</v>
      </c>
      <c r="D42" s="40"/>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0"/>
      <c r="AG42" s="40"/>
      <c r="AH42" s="40"/>
      <c r="AI42" s="40"/>
      <c r="AJ42" s="40"/>
      <c r="AK42" s="40"/>
      <c r="AL42" s="40"/>
      <c r="AM42" s="40"/>
      <c r="AN42" s="40"/>
      <c r="AO42" s="40"/>
      <c r="AP42" s="40"/>
      <c r="AQ42" s="40"/>
      <c r="AR42" s="40"/>
      <c r="AS42" s="40"/>
      <c r="AT42" s="40"/>
      <c r="AU42" s="40"/>
      <c r="AV42" s="40"/>
      <c r="AW42" s="40"/>
      <c r="AX42" s="40"/>
      <c r="AY42" s="40"/>
    </row>
    <row r="43" spans="1:51">
      <c r="A43" s="624"/>
      <c r="B43" s="164" t="s">
        <v>193</v>
      </c>
      <c r="C43" s="165" t="s">
        <v>90</v>
      </c>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row>
    <row r="44" spans="1:51">
      <c r="A44" s="624"/>
      <c r="B44" s="164" t="s">
        <v>194</v>
      </c>
      <c r="C44" s="165" t="s">
        <v>195</v>
      </c>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row>
    <row r="45" spans="1:51">
      <c r="A45" s="624"/>
      <c r="B45" s="164" t="s">
        <v>196</v>
      </c>
      <c r="C45" s="165" t="s">
        <v>197</v>
      </c>
      <c r="D45" s="34"/>
      <c r="E45" s="34"/>
      <c r="F45" s="34"/>
      <c r="G45" s="34"/>
      <c r="H45" s="34"/>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row>
    <row r="46" spans="1:51">
      <c r="A46" s="624"/>
      <c r="B46" s="166"/>
      <c r="C46" s="167"/>
      <c r="D46" s="171" t="str">
        <f>IF(AND(D41="",D42="",D43="",D44="",D45=""),"",AVERAGE(D41:D45))</f>
        <v/>
      </c>
      <c r="E46" s="171" t="str">
        <f t="shared" ref="E46:AY46" si="6">IF(AND(E41="",E42="",E43="",E44="",E45=""),"",AVERAGE(E41:E45))</f>
        <v/>
      </c>
      <c r="F46" s="171" t="str">
        <f t="shared" si="6"/>
        <v/>
      </c>
      <c r="G46" s="171" t="str">
        <f t="shared" si="6"/>
        <v/>
      </c>
      <c r="H46" s="171" t="str">
        <f t="shared" si="6"/>
        <v/>
      </c>
      <c r="I46" s="171" t="str">
        <f t="shared" si="6"/>
        <v/>
      </c>
      <c r="J46" s="171" t="str">
        <f t="shared" si="6"/>
        <v/>
      </c>
      <c r="K46" s="171" t="str">
        <f t="shared" si="6"/>
        <v/>
      </c>
      <c r="L46" s="171" t="str">
        <f t="shared" si="6"/>
        <v/>
      </c>
      <c r="M46" s="171" t="str">
        <f t="shared" si="6"/>
        <v/>
      </c>
      <c r="N46" s="171" t="str">
        <f t="shared" si="6"/>
        <v/>
      </c>
      <c r="O46" s="171" t="str">
        <f t="shared" si="6"/>
        <v/>
      </c>
      <c r="P46" s="171" t="str">
        <f t="shared" si="6"/>
        <v/>
      </c>
      <c r="Q46" s="171" t="str">
        <f t="shared" si="6"/>
        <v/>
      </c>
      <c r="R46" s="171" t="str">
        <f t="shared" si="6"/>
        <v/>
      </c>
      <c r="S46" s="171" t="str">
        <f t="shared" si="6"/>
        <v/>
      </c>
      <c r="T46" s="171" t="str">
        <f t="shared" si="6"/>
        <v/>
      </c>
      <c r="U46" s="171" t="str">
        <f t="shared" si="6"/>
        <v/>
      </c>
      <c r="V46" s="171" t="str">
        <f t="shared" si="6"/>
        <v/>
      </c>
      <c r="W46" s="171" t="str">
        <f t="shared" si="6"/>
        <v/>
      </c>
      <c r="X46" s="171" t="str">
        <f t="shared" si="6"/>
        <v/>
      </c>
      <c r="Y46" s="171" t="str">
        <f t="shared" si="6"/>
        <v/>
      </c>
      <c r="Z46" s="171" t="str">
        <f t="shared" si="6"/>
        <v/>
      </c>
      <c r="AA46" s="171" t="str">
        <f t="shared" si="6"/>
        <v/>
      </c>
      <c r="AB46" s="171" t="str">
        <f t="shared" si="6"/>
        <v/>
      </c>
      <c r="AC46" s="171" t="str">
        <f t="shared" si="6"/>
        <v/>
      </c>
      <c r="AD46" s="171" t="str">
        <f t="shared" si="6"/>
        <v/>
      </c>
      <c r="AE46" s="171" t="str">
        <f t="shared" si="6"/>
        <v/>
      </c>
      <c r="AF46" s="171" t="str">
        <f t="shared" si="6"/>
        <v/>
      </c>
      <c r="AG46" s="171" t="str">
        <f t="shared" si="6"/>
        <v/>
      </c>
      <c r="AH46" s="171" t="str">
        <f t="shared" si="6"/>
        <v/>
      </c>
      <c r="AI46" s="171" t="str">
        <f t="shared" si="6"/>
        <v/>
      </c>
      <c r="AJ46" s="171" t="str">
        <f t="shared" si="6"/>
        <v/>
      </c>
      <c r="AK46" s="171" t="str">
        <f t="shared" si="6"/>
        <v/>
      </c>
      <c r="AL46" s="171" t="str">
        <f t="shared" si="6"/>
        <v/>
      </c>
      <c r="AM46" s="171" t="str">
        <f t="shared" si="6"/>
        <v/>
      </c>
      <c r="AN46" s="171" t="str">
        <f t="shared" si="6"/>
        <v/>
      </c>
      <c r="AO46" s="171" t="str">
        <f t="shared" si="6"/>
        <v/>
      </c>
      <c r="AP46" s="171" t="str">
        <f t="shared" si="6"/>
        <v/>
      </c>
      <c r="AQ46" s="171" t="str">
        <f t="shared" si="6"/>
        <v/>
      </c>
      <c r="AR46" s="171" t="str">
        <f t="shared" si="6"/>
        <v/>
      </c>
      <c r="AS46" s="171" t="str">
        <f t="shared" si="6"/>
        <v/>
      </c>
      <c r="AT46" s="171" t="str">
        <f t="shared" si="6"/>
        <v/>
      </c>
      <c r="AU46" s="171" t="str">
        <f t="shared" si="6"/>
        <v/>
      </c>
      <c r="AV46" s="171" t="str">
        <f t="shared" si="6"/>
        <v/>
      </c>
      <c r="AW46" s="171" t="str">
        <f t="shared" si="6"/>
        <v/>
      </c>
      <c r="AX46" s="171" t="str">
        <f t="shared" si="6"/>
        <v/>
      </c>
      <c r="AY46" s="171" t="str">
        <f t="shared" si="6"/>
        <v/>
      </c>
    </row>
    <row r="47" spans="1:51" ht="15" customHeight="1">
      <c r="A47" s="625" t="s">
        <v>13</v>
      </c>
      <c r="B47" s="164" t="s">
        <v>198</v>
      </c>
      <c r="C47" s="165" t="s">
        <v>93</v>
      </c>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c r="AW47" s="40"/>
      <c r="AX47" s="40"/>
      <c r="AY47" s="40"/>
    </row>
    <row r="48" spans="1:51">
      <c r="A48" s="625"/>
      <c r="B48" s="164" t="s">
        <v>199</v>
      </c>
      <c r="C48" s="165" t="s">
        <v>94</v>
      </c>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row>
    <row r="49" spans="1:51">
      <c r="A49" s="625"/>
      <c r="B49" s="164" t="s">
        <v>200</v>
      </c>
      <c r="C49" s="165" t="s">
        <v>201</v>
      </c>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c r="AW49" s="40"/>
      <c r="AX49" s="40"/>
      <c r="AY49" s="40"/>
    </row>
    <row r="50" spans="1:51">
      <c r="A50" s="625"/>
      <c r="B50" s="164" t="s">
        <v>202</v>
      </c>
      <c r="C50" s="165" t="s">
        <v>203</v>
      </c>
      <c r="D50" s="34"/>
      <c r="E50" s="34"/>
      <c r="F50" s="34"/>
      <c r="G50" s="34"/>
      <c r="H50" s="34"/>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row>
    <row r="51" spans="1:51">
      <c r="A51" s="625"/>
      <c r="B51" s="164" t="s">
        <v>204</v>
      </c>
      <c r="C51" s="165" t="s">
        <v>205</v>
      </c>
      <c r="D51" s="34"/>
      <c r="E51" s="34"/>
      <c r="F51" s="34"/>
      <c r="G51" s="34"/>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row>
    <row r="52" spans="1:51">
      <c r="A52" s="625"/>
      <c r="B52" s="166"/>
      <c r="C52" s="167"/>
      <c r="D52" s="171" t="str">
        <f>IF(AND(D47="",D48="",D49="",D50="",D51=""),"",AVERAGE(D47:D51))</f>
        <v/>
      </c>
      <c r="E52" s="171" t="str">
        <f t="shared" ref="E52:AY52" si="7">IF(AND(E47="",E48="",E49="",E50="",E51=""),"",AVERAGE(E47:E51))</f>
        <v/>
      </c>
      <c r="F52" s="171" t="str">
        <f t="shared" si="7"/>
        <v/>
      </c>
      <c r="G52" s="171" t="str">
        <f t="shared" si="7"/>
        <v/>
      </c>
      <c r="H52" s="171" t="str">
        <f t="shared" si="7"/>
        <v/>
      </c>
      <c r="I52" s="171" t="str">
        <f t="shared" si="7"/>
        <v/>
      </c>
      <c r="J52" s="171" t="str">
        <f t="shared" si="7"/>
        <v/>
      </c>
      <c r="K52" s="171" t="str">
        <f t="shared" si="7"/>
        <v/>
      </c>
      <c r="L52" s="171" t="str">
        <f t="shared" si="7"/>
        <v/>
      </c>
      <c r="M52" s="171" t="str">
        <f t="shared" si="7"/>
        <v/>
      </c>
      <c r="N52" s="171" t="str">
        <f t="shared" si="7"/>
        <v/>
      </c>
      <c r="O52" s="171" t="str">
        <f t="shared" si="7"/>
        <v/>
      </c>
      <c r="P52" s="171" t="str">
        <f t="shared" si="7"/>
        <v/>
      </c>
      <c r="Q52" s="171" t="str">
        <f t="shared" si="7"/>
        <v/>
      </c>
      <c r="R52" s="171" t="str">
        <f t="shared" si="7"/>
        <v/>
      </c>
      <c r="S52" s="171" t="str">
        <f t="shared" si="7"/>
        <v/>
      </c>
      <c r="T52" s="171" t="str">
        <f t="shared" si="7"/>
        <v/>
      </c>
      <c r="U52" s="171" t="str">
        <f t="shared" si="7"/>
        <v/>
      </c>
      <c r="V52" s="171" t="str">
        <f t="shared" si="7"/>
        <v/>
      </c>
      <c r="W52" s="171" t="str">
        <f t="shared" si="7"/>
        <v/>
      </c>
      <c r="X52" s="171" t="str">
        <f t="shared" si="7"/>
        <v/>
      </c>
      <c r="Y52" s="171" t="str">
        <f t="shared" si="7"/>
        <v/>
      </c>
      <c r="Z52" s="171" t="str">
        <f t="shared" si="7"/>
        <v/>
      </c>
      <c r="AA52" s="171" t="str">
        <f t="shared" si="7"/>
        <v/>
      </c>
      <c r="AB52" s="171" t="str">
        <f t="shared" si="7"/>
        <v/>
      </c>
      <c r="AC52" s="171" t="str">
        <f t="shared" si="7"/>
        <v/>
      </c>
      <c r="AD52" s="171" t="str">
        <f t="shared" si="7"/>
        <v/>
      </c>
      <c r="AE52" s="171" t="str">
        <f t="shared" si="7"/>
        <v/>
      </c>
      <c r="AF52" s="171" t="str">
        <f t="shared" si="7"/>
        <v/>
      </c>
      <c r="AG52" s="171" t="str">
        <f t="shared" si="7"/>
        <v/>
      </c>
      <c r="AH52" s="171" t="str">
        <f t="shared" si="7"/>
        <v/>
      </c>
      <c r="AI52" s="171" t="str">
        <f t="shared" si="7"/>
        <v/>
      </c>
      <c r="AJ52" s="171" t="str">
        <f t="shared" si="7"/>
        <v/>
      </c>
      <c r="AK52" s="171" t="str">
        <f t="shared" si="7"/>
        <v/>
      </c>
      <c r="AL52" s="171" t="str">
        <f t="shared" si="7"/>
        <v/>
      </c>
      <c r="AM52" s="171" t="str">
        <f t="shared" si="7"/>
        <v/>
      </c>
      <c r="AN52" s="171" t="str">
        <f t="shared" si="7"/>
        <v/>
      </c>
      <c r="AO52" s="171" t="str">
        <f t="shared" si="7"/>
        <v/>
      </c>
      <c r="AP52" s="171" t="str">
        <f t="shared" si="7"/>
        <v/>
      </c>
      <c r="AQ52" s="171" t="str">
        <f t="shared" si="7"/>
        <v/>
      </c>
      <c r="AR52" s="171" t="str">
        <f t="shared" si="7"/>
        <v/>
      </c>
      <c r="AS52" s="171" t="str">
        <f t="shared" si="7"/>
        <v/>
      </c>
      <c r="AT52" s="171" t="str">
        <f t="shared" si="7"/>
        <v/>
      </c>
      <c r="AU52" s="171" t="str">
        <f t="shared" si="7"/>
        <v/>
      </c>
      <c r="AV52" s="171" t="str">
        <f t="shared" si="7"/>
        <v/>
      </c>
      <c r="AW52" s="171" t="str">
        <f t="shared" si="7"/>
        <v/>
      </c>
      <c r="AX52" s="171" t="str">
        <f t="shared" si="7"/>
        <v/>
      </c>
      <c r="AY52" s="171" t="str">
        <f t="shared" si="7"/>
        <v/>
      </c>
    </row>
    <row r="53" spans="1:51">
      <c r="A53" s="175"/>
      <c r="B53" s="175"/>
      <c r="C53" s="175"/>
      <c r="D53" s="34"/>
      <c r="E53" s="34"/>
      <c r="F53" s="34"/>
      <c r="G53" s="34"/>
      <c r="H53" s="34"/>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row>
    <row r="54" spans="1:51">
      <c r="A54" s="91"/>
      <c r="B54" s="91"/>
      <c r="C54" s="91"/>
      <c r="D54" s="177" t="e">
        <f>AVERAGE(D52,D46,D40,D35,D29,D23,D14,D8)</f>
        <v>#DIV/0!</v>
      </c>
      <c r="E54" s="177" t="e">
        <f t="shared" ref="E54:AY54" si="8">AVERAGE(E52,E46,E40,E35,E29,E23,E14,E8)</f>
        <v>#DIV/0!</v>
      </c>
      <c r="F54" s="177" t="e">
        <f t="shared" si="8"/>
        <v>#DIV/0!</v>
      </c>
      <c r="G54" s="177" t="e">
        <f t="shared" si="8"/>
        <v>#DIV/0!</v>
      </c>
      <c r="H54" s="177" t="e">
        <f t="shared" si="8"/>
        <v>#DIV/0!</v>
      </c>
      <c r="I54" s="177" t="e">
        <f t="shared" si="8"/>
        <v>#DIV/0!</v>
      </c>
      <c r="J54" s="177" t="e">
        <f t="shared" si="8"/>
        <v>#DIV/0!</v>
      </c>
      <c r="K54" s="177" t="e">
        <f t="shared" si="8"/>
        <v>#DIV/0!</v>
      </c>
      <c r="L54" s="177" t="e">
        <f t="shared" si="8"/>
        <v>#DIV/0!</v>
      </c>
      <c r="M54" s="177" t="e">
        <f t="shared" si="8"/>
        <v>#DIV/0!</v>
      </c>
      <c r="N54" s="177" t="e">
        <f t="shared" si="8"/>
        <v>#DIV/0!</v>
      </c>
      <c r="O54" s="177" t="e">
        <f t="shared" si="8"/>
        <v>#DIV/0!</v>
      </c>
      <c r="P54" s="177" t="e">
        <f t="shared" si="8"/>
        <v>#DIV/0!</v>
      </c>
      <c r="Q54" s="177" t="e">
        <f t="shared" si="8"/>
        <v>#DIV/0!</v>
      </c>
      <c r="R54" s="177" t="e">
        <f t="shared" si="8"/>
        <v>#DIV/0!</v>
      </c>
      <c r="S54" s="177" t="e">
        <f t="shared" si="8"/>
        <v>#DIV/0!</v>
      </c>
      <c r="T54" s="177" t="e">
        <f t="shared" si="8"/>
        <v>#DIV/0!</v>
      </c>
      <c r="U54" s="177" t="e">
        <f t="shared" si="8"/>
        <v>#DIV/0!</v>
      </c>
      <c r="V54" s="177" t="e">
        <f t="shared" si="8"/>
        <v>#DIV/0!</v>
      </c>
      <c r="W54" s="177" t="e">
        <f t="shared" si="8"/>
        <v>#DIV/0!</v>
      </c>
      <c r="X54" s="177" t="e">
        <f t="shared" si="8"/>
        <v>#DIV/0!</v>
      </c>
      <c r="Y54" s="177" t="e">
        <f t="shared" si="8"/>
        <v>#DIV/0!</v>
      </c>
      <c r="Z54" s="177" t="e">
        <f t="shared" si="8"/>
        <v>#DIV/0!</v>
      </c>
      <c r="AA54" s="177" t="e">
        <f t="shared" si="8"/>
        <v>#DIV/0!</v>
      </c>
      <c r="AB54" s="177" t="e">
        <f t="shared" si="8"/>
        <v>#DIV/0!</v>
      </c>
      <c r="AC54" s="177" t="e">
        <f t="shared" si="8"/>
        <v>#DIV/0!</v>
      </c>
      <c r="AD54" s="177" t="e">
        <f t="shared" si="8"/>
        <v>#DIV/0!</v>
      </c>
      <c r="AE54" s="177" t="e">
        <f t="shared" si="8"/>
        <v>#DIV/0!</v>
      </c>
      <c r="AF54" s="177" t="e">
        <f t="shared" si="8"/>
        <v>#DIV/0!</v>
      </c>
      <c r="AG54" s="177" t="e">
        <f t="shared" si="8"/>
        <v>#DIV/0!</v>
      </c>
      <c r="AH54" s="177" t="e">
        <f t="shared" si="8"/>
        <v>#DIV/0!</v>
      </c>
      <c r="AI54" s="177" t="e">
        <f t="shared" si="8"/>
        <v>#DIV/0!</v>
      </c>
      <c r="AJ54" s="177" t="e">
        <f t="shared" si="8"/>
        <v>#DIV/0!</v>
      </c>
      <c r="AK54" s="177" t="e">
        <f t="shared" si="8"/>
        <v>#DIV/0!</v>
      </c>
      <c r="AL54" s="177" t="e">
        <f t="shared" si="8"/>
        <v>#DIV/0!</v>
      </c>
      <c r="AM54" s="177" t="e">
        <f t="shared" si="8"/>
        <v>#DIV/0!</v>
      </c>
      <c r="AN54" s="177" t="e">
        <f t="shared" si="8"/>
        <v>#DIV/0!</v>
      </c>
      <c r="AO54" s="177" t="e">
        <f t="shared" si="8"/>
        <v>#DIV/0!</v>
      </c>
      <c r="AP54" s="177" t="e">
        <f t="shared" si="8"/>
        <v>#DIV/0!</v>
      </c>
      <c r="AQ54" s="177" t="e">
        <f t="shared" si="8"/>
        <v>#DIV/0!</v>
      </c>
      <c r="AR54" s="177" t="e">
        <f t="shared" si="8"/>
        <v>#DIV/0!</v>
      </c>
      <c r="AS54" s="177" t="e">
        <f t="shared" si="8"/>
        <v>#DIV/0!</v>
      </c>
      <c r="AT54" s="177" t="e">
        <f t="shared" si="8"/>
        <v>#DIV/0!</v>
      </c>
      <c r="AU54" s="177" t="e">
        <f t="shared" si="8"/>
        <v>#DIV/0!</v>
      </c>
      <c r="AV54" s="177" t="e">
        <f t="shared" si="8"/>
        <v>#DIV/0!</v>
      </c>
      <c r="AW54" s="177" t="e">
        <f t="shared" si="8"/>
        <v>#DIV/0!</v>
      </c>
      <c r="AX54" s="177" t="e">
        <f t="shared" si="8"/>
        <v>#DIV/0!</v>
      </c>
      <c r="AY54" s="177" t="e">
        <f t="shared" si="8"/>
        <v>#DIV/0!</v>
      </c>
    </row>
  </sheetData>
  <sheetProtection password="C718" sheet="1" objects="1" scenarios="1" formatCells="0" formatColumns="0" formatRows="0" insertColumns="0" insertRows="0" insertHyperlinks="0" deleteColumns="0" deleteRows="0" sort="0"/>
  <mergeCells count="8">
    <mergeCell ref="A41:A46"/>
    <mergeCell ref="A47:A52"/>
    <mergeCell ref="A3:A8"/>
    <mergeCell ref="A9:A14"/>
    <mergeCell ref="A15:A23"/>
    <mergeCell ref="A24:A29"/>
    <mergeCell ref="A30:A35"/>
    <mergeCell ref="A36:A40"/>
  </mergeCells>
  <conditionalFormatting sqref="F1:AY1">
    <cfRule type="expression" dxfId="138" priority="160">
      <formula>MOD(COLUMN(),2)=1</formula>
    </cfRule>
  </conditionalFormatting>
  <conditionalFormatting sqref="D1:E2 F2:AY2">
    <cfRule type="expression" dxfId="137" priority="167">
      <formula>MOD(COLUMN(),2)=1</formula>
    </cfRule>
  </conditionalFormatting>
  <conditionalFormatting sqref="B8:C8 B14:C14 B46:C46 B52:C52 B35:C35 B29:C29">
    <cfRule type="cellIs" dxfId="136" priority="166" operator="notEqual">
      <formula>$B$2</formula>
    </cfRule>
  </conditionalFormatting>
  <conditionalFormatting sqref="B23:C23">
    <cfRule type="cellIs" dxfId="135" priority="165" operator="notEqual">
      <formula>$B$2</formula>
    </cfRule>
  </conditionalFormatting>
  <conditionalFormatting sqref="B40:C40">
    <cfRule type="cellIs" dxfId="134" priority="164" operator="notEqual">
      <formula>$B$2</formula>
    </cfRule>
  </conditionalFormatting>
  <conditionalFormatting sqref="D1:E2 F2:AY2">
    <cfRule type="expression" dxfId="133" priority="163">
      <formula>MOD(COLUMN(),2)=1</formula>
    </cfRule>
  </conditionalFormatting>
  <conditionalFormatting sqref="D3:AY7">
    <cfRule type="expression" dxfId="132" priority="133">
      <formula>MOD(COLUMN(),2)=1</formula>
    </cfRule>
  </conditionalFormatting>
  <conditionalFormatting sqref="D3:AY7">
    <cfRule type="expression" dxfId="131" priority="132">
      <formula>MOD(COLUMN(),2)=1</formula>
    </cfRule>
  </conditionalFormatting>
  <conditionalFormatting sqref="D3:AY7">
    <cfRule type="expression" dxfId="130" priority="131">
      <formula>MOD(COLUMN(),2)=1</formula>
    </cfRule>
  </conditionalFormatting>
  <conditionalFormatting sqref="D3:AY7">
    <cfRule type="expression" dxfId="129" priority="130">
      <formula>MOD(COLUMN(),2)=1</formula>
    </cfRule>
  </conditionalFormatting>
  <conditionalFormatting sqref="D12:AY13 D18:AY22 D27:AY28 D33:AY34 D39:AY39 D44:AY45 E47:AY49 E9:AY13 E15:AY22 E24:AY28 E30:AY34 E36:AY39 E41:AY45 D50:AY51">
    <cfRule type="expression" dxfId="128" priority="129">
      <formula>MOD(COLUMN(),2)=1</formula>
    </cfRule>
  </conditionalFormatting>
  <conditionalFormatting sqref="D14:AY14">
    <cfRule type="expression" dxfId="127" priority="128">
      <formula>MOD(COLUMN(),2)=1</formula>
    </cfRule>
  </conditionalFormatting>
  <conditionalFormatting sqref="D14:AY14">
    <cfRule type="cellIs" dxfId="126" priority="127" operator="notEqual">
      <formula>$B$2</formula>
    </cfRule>
  </conditionalFormatting>
  <conditionalFormatting sqref="D14:AY14">
    <cfRule type="expression" dxfId="125" priority="126">
      <formula>MOD(COLUMN(),2)=1</formula>
    </cfRule>
  </conditionalFormatting>
  <conditionalFormatting sqref="D14:AY14">
    <cfRule type="cellIs" dxfId="124" priority="125" operator="notEqual">
      <formula>$B$2</formula>
    </cfRule>
  </conditionalFormatting>
  <conditionalFormatting sqref="D14:AY14">
    <cfRule type="expression" dxfId="123" priority="124">
      <formula>MOD(COLUMN(),2)=1</formula>
    </cfRule>
  </conditionalFormatting>
  <conditionalFormatting sqref="D14:AY14">
    <cfRule type="cellIs" dxfId="122" priority="123" operator="notEqual">
      <formula>$B$2</formula>
    </cfRule>
  </conditionalFormatting>
  <conditionalFormatting sqref="D14:AY14">
    <cfRule type="expression" dxfId="121" priority="122">
      <formula>MOD(COLUMN(),2)=1</formula>
    </cfRule>
  </conditionalFormatting>
  <conditionalFormatting sqref="D14:AY14">
    <cfRule type="cellIs" dxfId="120" priority="121" operator="notEqual">
      <formula>$B$2</formula>
    </cfRule>
  </conditionalFormatting>
  <conditionalFormatting sqref="D23:AY23">
    <cfRule type="expression" dxfId="119" priority="120">
      <formula>MOD(COLUMN(),2)=1</formula>
    </cfRule>
  </conditionalFormatting>
  <conditionalFormatting sqref="D23:AY23">
    <cfRule type="cellIs" dxfId="118" priority="119" operator="notEqual">
      <formula>$B$2</formula>
    </cfRule>
  </conditionalFormatting>
  <conditionalFormatting sqref="D23:AY23">
    <cfRule type="expression" dxfId="117" priority="118">
      <formula>MOD(COLUMN(),2)=1</formula>
    </cfRule>
  </conditionalFormatting>
  <conditionalFormatting sqref="D23:AY23">
    <cfRule type="cellIs" dxfId="116" priority="117" operator="notEqual">
      <formula>$B$2</formula>
    </cfRule>
  </conditionalFormatting>
  <conditionalFormatting sqref="D23:AY23">
    <cfRule type="expression" dxfId="115" priority="116">
      <formula>MOD(COLUMN(),2)=1</formula>
    </cfRule>
  </conditionalFormatting>
  <conditionalFormatting sqref="D23:AY23">
    <cfRule type="cellIs" dxfId="114" priority="115" operator="notEqual">
      <formula>$B$2</formula>
    </cfRule>
  </conditionalFormatting>
  <conditionalFormatting sqref="D23:AY23">
    <cfRule type="expression" dxfId="113" priority="114">
      <formula>MOD(COLUMN(),2)=1</formula>
    </cfRule>
  </conditionalFormatting>
  <conditionalFormatting sqref="D23:AY23">
    <cfRule type="cellIs" dxfId="112" priority="113" operator="notEqual">
      <formula>$B$2</formula>
    </cfRule>
  </conditionalFormatting>
  <conditionalFormatting sqref="D29:AY29">
    <cfRule type="expression" dxfId="111" priority="112">
      <formula>MOD(COLUMN(),2)=1</formula>
    </cfRule>
  </conditionalFormatting>
  <conditionalFormatting sqref="D29:AY29">
    <cfRule type="cellIs" dxfId="110" priority="111" operator="notEqual">
      <formula>$B$2</formula>
    </cfRule>
  </conditionalFormatting>
  <conditionalFormatting sqref="D29:AY29">
    <cfRule type="expression" dxfId="109" priority="110">
      <formula>MOD(COLUMN(),2)=1</formula>
    </cfRule>
  </conditionalFormatting>
  <conditionalFormatting sqref="D29:AY29">
    <cfRule type="cellIs" dxfId="108" priority="109" operator="notEqual">
      <formula>$B$2</formula>
    </cfRule>
  </conditionalFormatting>
  <conditionalFormatting sqref="D29:AY29">
    <cfRule type="expression" dxfId="107" priority="108">
      <formula>MOD(COLUMN(),2)=1</formula>
    </cfRule>
  </conditionalFormatting>
  <conditionalFormatting sqref="D29:AY29">
    <cfRule type="cellIs" dxfId="106" priority="107" operator="notEqual">
      <formula>$B$2</formula>
    </cfRule>
  </conditionalFormatting>
  <conditionalFormatting sqref="D29:AY29">
    <cfRule type="expression" dxfId="105" priority="106">
      <formula>MOD(COLUMN(),2)=1</formula>
    </cfRule>
  </conditionalFormatting>
  <conditionalFormatting sqref="D29:AY29">
    <cfRule type="cellIs" dxfId="104" priority="105" operator="notEqual">
      <formula>$B$2</formula>
    </cfRule>
  </conditionalFormatting>
  <conditionalFormatting sqref="D35:AY35">
    <cfRule type="expression" dxfId="103" priority="104">
      <formula>MOD(COLUMN(),2)=1</formula>
    </cfRule>
  </conditionalFormatting>
  <conditionalFormatting sqref="D35:AY35">
    <cfRule type="cellIs" dxfId="102" priority="103" operator="notEqual">
      <formula>$B$2</formula>
    </cfRule>
  </conditionalFormatting>
  <conditionalFormatting sqref="D35:AY35">
    <cfRule type="expression" dxfId="101" priority="102">
      <formula>MOD(COLUMN(),2)=1</formula>
    </cfRule>
  </conditionalFormatting>
  <conditionalFormatting sqref="D35:AY35">
    <cfRule type="cellIs" dxfId="100" priority="101" operator="notEqual">
      <formula>$B$2</formula>
    </cfRule>
  </conditionalFormatting>
  <conditionalFormatting sqref="D35:AY35">
    <cfRule type="expression" dxfId="99" priority="100">
      <formula>MOD(COLUMN(),2)=1</formula>
    </cfRule>
  </conditionalFormatting>
  <conditionalFormatting sqref="D35:AY35">
    <cfRule type="cellIs" dxfId="98" priority="99" operator="notEqual">
      <formula>$B$2</formula>
    </cfRule>
  </conditionalFormatting>
  <conditionalFormatting sqref="D35:AY35">
    <cfRule type="expression" dxfId="97" priority="98">
      <formula>MOD(COLUMN(),2)=1</formula>
    </cfRule>
  </conditionalFormatting>
  <conditionalFormatting sqref="D35:AY35">
    <cfRule type="cellIs" dxfId="96" priority="97" operator="notEqual">
      <formula>$B$2</formula>
    </cfRule>
  </conditionalFormatting>
  <conditionalFormatting sqref="D40:AY40">
    <cfRule type="expression" dxfId="95" priority="96">
      <formula>MOD(COLUMN(),2)=1</formula>
    </cfRule>
  </conditionalFormatting>
  <conditionalFormatting sqref="D40:AY40">
    <cfRule type="cellIs" dxfId="94" priority="95" operator="notEqual">
      <formula>$B$2</formula>
    </cfRule>
  </conditionalFormatting>
  <conditionalFormatting sqref="D40:AY40">
    <cfRule type="expression" dxfId="93" priority="94">
      <formula>MOD(COLUMN(),2)=1</formula>
    </cfRule>
  </conditionalFormatting>
  <conditionalFormatting sqref="D40:AY40">
    <cfRule type="cellIs" dxfId="92" priority="93" operator="notEqual">
      <formula>$B$2</formula>
    </cfRule>
  </conditionalFormatting>
  <conditionalFormatting sqref="D40:AY40">
    <cfRule type="expression" dxfId="91" priority="92">
      <formula>MOD(COLUMN(),2)=1</formula>
    </cfRule>
  </conditionalFormatting>
  <conditionalFormatting sqref="D40:AY40">
    <cfRule type="cellIs" dxfId="90" priority="91" operator="notEqual">
      <formula>$B$2</formula>
    </cfRule>
  </conditionalFormatting>
  <conditionalFormatting sqref="D40:AY40">
    <cfRule type="expression" dxfId="89" priority="90">
      <formula>MOD(COLUMN(),2)=1</formula>
    </cfRule>
  </conditionalFormatting>
  <conditionalFormatting sqref="D40:AY40">
    <cfRule type="cellIs" dxfId="88" priority="89" operator="notEqual">
      <formula>$B$2</formula>
    </cfRule>
  </conditionalFormatting>
  <conditionalFormatting sqref="D46:AY46">
    <cfRule type="expression" dxfId="87" priority="88">
      <formula>MOD(COLUMN(),2)=1</formula>
    </cfRule>
  </conditionalFormatting>
  <conditionalFormatting sqref="D46:AY46">
    <cfRule type="cellIs" dxfId="86" priority="87" operator="notEqual">
      <formula>$B$2</formula>
    </cfRule>
  </conditionalFormatting>
  <conditionalFormatting sqref="D46:AY46">
    <cfRule type="expression" dxfId="85" priority="86">
      <formula>MOD(COLUMN(),2)=1</formula>
    </cfRule>
  </conditionalFormatting>
  <conditionalFormatting sqref="D46:AY46">
    <cfRule type="cellIs" dxfId="84" priority="85" operator="notEqual">
      <formula>$B$2</formula>
    </cfRule>
  </conditionalFormatting>
  <conditionalFormatting sqref="D46:AY46">
    <cfRule type="expression" dxfId="83" priority="84">
      <formula>MOD(COLUMN(),2)=1</formula>
    </cfRule>
  </conditionalFormatting>
  <conditionalFormatting sqref="D46:AY46">
    <cfRule type="cellIs" dxfId="82" priority="83" operator="notEqual">
      <formula>$B$2</formula>
    </cfRule>
  </conditionalFormatting>
  <conditionalFormatting sqref="D46:AY46">
    <cfRule type="expression" dxfId="81" priority="82">
      <formula>MOD(COLUMN(),2)=1</formula>
    </cfRule>
  </conditionalFormatting>
  <conditionalFormatting sqref="D46:AY46">
    <cfRule type="cellIs" dxfId="80" priority="81" operator="notEqual">
      <formula>$B$2</formula>
    </cfRule>
  </conditionalFormatting>
  <conditionalFormatting sqref="D52:AY52">
    <cfRule type="expression" dxfId="79" priority="80">
      <formula>MOD(COLUMN(),2)=1</formula>
    </cfRule>
  </conditionalFormatting>
  <conditionalFormatting sqref="D52:AY52">
    <cfRule type="cellIs" dxfId="78" priority="79" operator="notEqual">
      <formula>$B$2</formula>
    </cfRule>
  </conditionalFormatting>
  <conditionalFormatting sqref="D52:AY52">
    <cfRule type="expression" dxfId="77" priority="78">
      <formula>MOD(COLUMN(),2)=1</formula>
    </cfRule>
  </conditionalFormatting>
  <conditionalFormatting sqref="D52:AY52">
    <cfRule type="cellIs" dxfId="76" priority="77" operator="notEqual">
      <formula>$B$2</formula>
    </cfRule>
  </conditionalFormatting>
  <conditionalFormatting sqref="D52:AY52">
    <cfRule type="expression" dxfId="75" priority="76">
      <formula>MOD(COLUMN(),2)=1</formula>
    </cfRule>
  </conditionalFormatting>
  <conditionalFormatting sqref="D52:AY52">
    <cfRule type="cellIs" dxfId="74" priority="75" operator="notEqual">
      <formula>$B$2</formula>
    </cfRule>
  </conditionalFormatting>
  <conditionalFormatting sqref="D52:AY52">
    <cfRule type="expression" dxfId="73" priority="74">
      <formula>MOD(COLUMN(),2)=1</formula>
    </cfRule>
  </conditionalFormatting>
  <conditionalFormatting sqref="D52:AY52">
    <cfRule type="cellIs" dxfId="72" priority="73" operator="notEqual">
      <formula>$B$2</formula>
    </cfRule>
  </conditionalFormatting>
  <conditionalFormatting sqref="D8:AY8">
    <cfRule type="expression" dxfId="71" priority="72">
      <formula>MOD(COLUMN(),2)=1</formula>
    </cfRule>
  </conditionalFormatting>
  <conditionalFormatting sqref="D8:AY8">
    <cfRule type="cellIs" dxfId="70" priority="71" operator="notEqual">
      <formula>$B$2</formula>
    </cfRule>
  </conditionalFormatting>
  <conditionalFormatting sqref="D8:AY8">
    <cfRule type="expression" dxfId="69" priority="70">
      <formula>MOD(COLUMN(),2)=1</formula>
    </cfRule>
  </conditionalFormatting>
  <conditionalFormatting sqref="D8:AY8">
    <cfRule type="cellIs" dxfId="68" priority="69" operator="notEqual">
      <formula>$B$2</formula>
    </cfRule>
  </conditionalFormatting>
  <conditionalFormatting sqref="D8:AY8">
    <cfRule type="expression" dxfId="67" priority="68">
      <formula>MOD(COLUMN(),2)=1</formula>
    </cfRule>
  </conditionalFormatting>
  <conditionalFormatting sqref="D8:AY8">
    <cfRule type="cellIs" dxfId="66" priority="67" operator="notEqual">
      <formula>$B$2</formula>
    </cfRule>
  </conditionalFormatting>
  <conditionalFormatting sqref="D8:AY8">
    <cfRule type="expression" dxfId="65" priority="66">
      <formula>MOD(COLUMN(),2)=1</formula>
    </cfRule>
  </conditionalFormatting>
  <conditionalFormatting sqref="D8:AY8">
    <cfRule type="cellIs" dxfId="64" priority="65" operator="notEqual">
      <formula>$B$2</formula>
    </cfRule>
  </conditionalFormatting>
  <conditionalFormatting sqref="D9:D11">
    <cfRule type="expression" dxfId="63" priority="64">
      <formula>MOD(COLUMN(),2)=1</formula>
    </cfRule>
  </conditionalFormatting>
  <conditionalFormatting sqref="D9:D11">
    <cfRule type="expression" dxfId="62" priority="63">
      <formula>MOD(COLUMN(),2)=1</formula>
    </cfRule>
  </conditionalFormatting>
  <conditionalFormatting sqref="D9:D11">
    <cfRule type="expression" dxfId="61" priority="62">
      <formula>MOD(COLUMN(),2)=1</formula>
    </cfRule>
  </conditionalFormatting>
  <conditionalFormatting sqref="D9:D11">
    <cfRule type="expression" dxfId="60" priority="61">
      <formula>MOD(COLUMN(),2)=1</formula>
    </cfRule>
  </conditionalFormatting>
  <conditionalFormatting sqref="D15:D17">
    <cfRule type="expression" dxfId="59" priority="60">
      <formula>MOD(COLUMN(),2)=1</formula>
    </cfRule>
  </conditionalFormatting>
  <conditionalFormatting sqref="D15:D17">
    <cfRule type="expression" dxfId="58" priority="59">
      <formula>MOD(COLUMN(),2)=1</formula>
    </cfRule>
  </conditionalFormatting>
  <conditionalFormatting sqref="D15:D17">
    <cfRule type="expression" dxfId="57" priority="58">
      <formula>MOD(COLUMN(),2)=1</formula>
    </cfRule>
  </conditionalFormatting>
  <conditionalFormatting sqref="D15:D17">
    <cfRule type="expression" dxfId="56" priority="57">
      <formula>MOD(COLUMN(),2)=1</formula>
    </cfRule>
  </conditionalFormatting>
  <conditionalFormatting sqref="D24:D26">
    <cfRule type="expression" dxfId="55" priority="56">
      <formula>MOD(COLUMN(),2)=1</formula>
    </cfRule>
  </conditionalFormatting>
  <conditionalFormatting sqref="D24:D26">
    <cfRule type="expression" dxfId="54" priority="55">
      <formula>MOD(COLUMN(),2)=1</formula>
    </cfRule>
  </conditionalFormatting>
  <conditionalFormatting sqref="D24:D26">
    <cfRule type="expression" dxfId="53" priority="54">
      <formula>MOD(COLUMN(),2)=1</formula>
    </cfRule>
  </conditionalFormatting>
  <conditionalFormatting sqref="D24:D26">
    <cfRule type="expression" dxfId="52" priority="53">
      <formula>MOD(COLUMN(),2)=1</formula>
    </cfRule>
  </conditionalFormatting>
  <conditionalFormatting sqref="D30:D32">
    <cfRule type="expression" dxfId="51" priority="52">
      <formula>MOD(COLUMN(),2)=1</formula>
    </cfRule>
  </conditionalFormatting>
  <conditionalFormatting sqref="D30:D32">
    <cfRule type="expression" dxfId="50" priority="51">
      <formula>MOD(COLUMN(),2)=1</formula>
    </cfRule>
  </conditionalFormatting>
  <conditionalFormatting sqref="D30:D32">
    <cfRule type="expression" dxfId="49" priority="50">
      <formula>MOD(COLUMN(),2)=1</formula>
    </cfRule>
  </conditionalFormatting>
  <conditionalFormatting sqref="D30:D32">
    <cfRule type="expression" dxfId="48" priority="49">
      <formula>MOD(COLUMN(),2)=1</formula>
    </cfRule>
  </conditionalFormatting>
  <conditionalFormatting sqref="D36:D38">
    <cfRule type="expression" dxfId="47" priority="48">
      <formula>MOD(COLUMN(),2)=1</formula>
    </cfRule>
  </conditionalFormatting>
  <conditionalFormatting sqref="D36:D38">
    <cfRule type="expression" dxfId="46" priority="47">
      <formula>MOD(COLUMN(),2)=1</formula>
    </cfRule>
  </conditionalFormatting>
  <conditionalFormatting sqref="D36:D38">
    <cfRule type="expression" dxfId="45" priority="46">
      <formula>MOD(COLUMN(),2)=1</formula>
    </cfRule>
  </conditionalFormatting>
  <conditionalFormatting sqref="D36:D38">
    <cfRule type="expression" dxfId="44" priority="45">
      <formula>MOD(COLUMN(),2)=1</formula>
    </cfRule>
  </conditionalFormatting>
  <conditionalFormatting sqref="D41:D43">
    <cfRule type="expression" dxfId="43" priority="44">
      <formula>MOD(COLUMN(),2)=1</formula>
    </cfRule>
  </conditionalFormatting>
  <conditionalFormatting sqref="D41:D43">
    <cfRule type="expression" dxfId="42" priority="43">
      <formula>MOD(COLUMN(),2)=1</formula>
    </cfRule>
  </conditionalFormatting>
  <conditionalFormatting sqref="D41:D43">
    <cfRule type="expression" dxfId="41" priority="42">
      <formula>MOD(COLUMN(),2)=1</formula>
    </cfRule>
  </conditionalFormatting>
  <conditionalFormatting sqref="D41:D43">
    <cfRule type="expression" dxfId="40" priority="41">
      <formula>MOD(COLUMN(),2)=1</formula>
    </cfRule>
  </conditionalFormatting>
  <conditionalFormatting sqref="D47:D49">
    <cfRule type="expression" dxfId="39" priority="40">
      <formula>MOD(COLUMN(),2)=1</formula>
    </cfRule>
  </conditionalFormatting>
  <conditionalFormatting sqref="D47:D49">
    <cfRule type="expression" dxfId="38" priority="39">
      <formula>MOD(COLUMN(),2)=1</formula>
    </cfRule>
  </conditionalFormatting>
  <conditionalFormatting sqref="D47:D49">
    <cfRule type="expression" dxfId="37" priority="38">
      <formula>MOD(COLUMN(),2)=1</formula>
    </cfRule>
  </conditionalFormatting>
  <conditionalFormatting sqref="D47:D49">
    <cfRule type="expression" dxfId="36" priority="37">
      <formula>MOD(COLUMN(),2)=1</formula>
    </cfRule>
  </conditionalFormatting>
  <conditionalFormatting sqref="E9:E13">
    <cfRule type="expression" dxfId="35" priority="36">
      <formula>MOD(COLUMN(),2)=1</formula>
    </cfRule>
  </conditionalFormatting>
  <conditionalFormatting sqref="E9:E13">
    <cfRule type="expression" dxfId="34" priority="35">
      <formula>MOD(COLUMN(),2)=1</formula>
    </cfRule>
  </conditionalFormatting>
  <conditionalFormatting sqref="E9:E13">
    <cfRule type="expression" dxfId="33" priority="34">
      <formula>MOD(COLUMN(),2)=1</formula>
    </cfRule>
  </conditionalFormatting>
  <conditionalFormatting sqref="E9:E13">
    <cfRule type="expression" dxfId="32" priority="33">
      <formula>MOD(COLUMN(),2)=1</formula>
    </cfRule>
  </conditionalFormatting>
  <conditionalFormatting sqref="E9:AY11">
    <cfRule type="expression" dxfId="31" priority="32">
      <formula>MOD(COLUMN(),2)=1</formula>
    </cfRule>
  </conditionalFormatting>
  <conditionalFormatting sqref="E9:AY11">
    <cfRule type="expression" dxfId="30" priority="31">
      <formula>MOD(COLUMN(),2)=1</formula>
    </cfRule>
  </conditionalFormatting>
  <conditionalFormatting sqref="E9:AY11">
    <cfRule type="expression" dxfId="29" priority="30">
      <formula>MOD(COLUMN(),2)=1</formula>
    </cfRule>
  </conditionalFormatting>
  <conditionalFormatting sqref="E9:AY11">
    <cfRule type="expression" dxfId="28" priority="29">
      <formula>MOD(COLUMN(),2)=1</formula>
    </cfRule>
  </conditionalFormatting>
  <conditionalFormatting sqref="E15:AY17">
    <cfRule type="expression" dxfId="27" priority="28">
      <formula>MOD(COLUMN(),2)=1</formula>
    </cfRule>
  </conditionalFormatting>
  <conditionalFormatting sqref="E15:AY17">
    <cfRule type="expression" dxfId="26" priority="27">
      <formula>MOD(COLUMN(),2)=1</formula>
    </cfRule>
  </conditionalFormatting>
  <conditionalFormatting sqref="E15:AY17">
    <cfRule type="expression" dxfId="25" priority="26">
      <formula>MOD(COLUMN(),2)=1</formula>
    </cfRule>
  </conditionalFormatting>
  <conditionalFormatting sqref="E15:AY17">
    <cfRule type="expression" dxfId="24" priority="25">
      <formula>MOD(COLUMN(),2)=1</formula>
    </cfRule>
  </conditionalFormatting>
  <conditionalFormatting sqref="E24:AY26">
    <cfRule type="expression" dxfId="23" priority="24">
      <formula>MOD(COLUMN(),2)=1</formula>
    </cfRule>
  </conditionalFormatting>
  <conditionalFormatting sqref="E24:AY26">
    <cfRule type="expression" dxfId="22" priority="23">
      <formula>MOD(COLUMN(),2)=1</formula>
    </cfRule>
  </conditionalFormatting>
  <conditionalFormatting sqref="E24:AY26">
    <cfRule type="expression" dxfId="21" priority="22">
      <formula>MOD(COLUMN(),2)=1</formula>
    </cfRule>
  </conditionalFormatting>
  <conditionalFormatting sqref="E24:AY26">
    <cfRule type="expression" dxfId="20" priority="21">
      <formula>MOD(COLUMN(),2)=1</formula>
    </cfRule>
  </conditionalFormatting>
  <conditionalFormatting sqref="E30:AY32">
    <cfRule type="expression" dxfId="19" priority="20">
      <formula>MOD(COLUMN(),2)=1</formula>
    </cfRule>
  </conditionalFormatting>
  <conditionalFormatting sqref="E30:AY32">
    <cfRule type="expression" dxfId="18" priority="19">
      <formula>MOD(COLUMN(),2)=1</formula>
    </cfRule>
  </conditionalFormatting>
  <conditionalFormatting sqref="E30:AY32">
    <cfRule type="expression" dxfId="17" priority="18">
      <formula>MOD(COLUMN(),2)=1</formula>
    </cfRule>
  </conditionalFormatting>
  <conditionalFormatting sqref="E30:AY32">
    <cfRule type="expression" dxfId="16" priority="17">
      <formula>MOD(COLUMN(),2)=1</formula>
    </cfRule>
  </conditionalFormatting>
  <conditionalFormatting sqref="E36:AY38">
    <cfRule type="expression" dxfId="15" priority="16">
      <formula>MOD(COLUMN(),2)=1</formula>
    </cfRule>
  </conditionalFormatting>
  <conditionalFormatting sqref="E36:AY38">
    <cfRule type="expression" dxfId="14" priority="15">
      <formula>MOD(COLUMN(),2)=1</formula>
    </cfRule>
  </conditionalFormatting>
  <conditionalFormatting sqref="E36:AY38">
    <cfRule type="expression" dxfId="13" priority="14">
      <formula>MOD(COLUMN(),2)=1</formula>
    </cfRule>
  </conditionalFormatting>
  <conditionalFormatting sqref="E36:AY38">
    <cfRule type="expression" dxfId="12" priority="13">
      <formula>MOD(COLUMN(),2)=1</formula>
    </cfRule>
  </conditionalFormatting>
  <conditionalFormatting sqref="E41:AY43">
    <cfRule type="expression" dxfId="11" priority="12">
      <formula>MOD(COLUMN(),2)=1</formula>
    </cfRule>
  </conditionalFormatting>
  <conditionalFormatting sqref="E41:AY43">
    <cfRule type="expression" dxfId="10" priority="11">
      <formula>MOD(COLUMN(),2)=1</formula>
    </cfRule>
  </conditionalFormatting>
  <conditionalFormatting sqref="E41:AY43">
    <cfRule type="expression" dxfId="9" priority="10">
      <formula>MOD(COLUMN(),2)=1</formula>
    </cfRule>
  </conditionalFormatting>
  <conditionalFormatting sqref="E41:AY43">
    <cfRule type="expression" dxfId="8" priority="9">
      <formula>MOD(COLUMN(),2)=1</formula>
    </cfRule>
  </conditionalFormatting>
  <conditionalFormatting sqref="D47:D49">
    <cfRule type="expression" dxfId="7" priority="8">
      <formula>MOD(COLUMN(),2)=1</formula>
    </cfRule>
  </conditionalFormatting>
  <conditionalFormatting sqref="D47:D49">
    <cfRule type="expression" dxfId="6" priority="7">
      <formula>MOD(COLUMN(),2)=1</formula>
    </cfRule>
  </conditionalFormatting>
  <conditionalFormatting sqref="D47:D49">
    <cfRule type="expression" dxfId="5" priority="6">
      <formula>MOD(COLUMN(),2)=1</formula>
    </cfRule>
  </conditionalFormatting>
  <conditionalFormatting sqref="D47:D49">
    <cfRule type="expression" dxfId="4" priority="5">
      <formula>MOD(COLUMN(),2)=1</formula>
    </cfRule>
  </conditionalFormatting>
  <conditionalFormatting sqref="E47:AY49">
    <cfRule type="expression" dxfId="3" priority="4">
      <formula>MOD(COLUMN(),2)=1</formula>
    </cfRule>
  </conditionalFormatting>
  <conditionalFormatting sqref="E47:AY49">
    <cfRule type="expression" dxfId="2" priority="3">
      <formula>MOD(COLUMN(),2)=1</formula>
    </cfRule>
  </conditionalFormatting>
  <conditionalFormatting sqref="E47:AY49">
    <cfRule type="expression" dxfId="1" priority="2">
      <formula>MOD(COLUMN(),2)=1</formula>
    </cfRule>
  </conditionalFormatting>
  <conditionalFormatting sqref="E47:AY49">
    <cfRule type="expression" dxfId="0" priority="1">
      <formula>MOD(COLUMN(),2)=1</formula>
    </cfRule>
  </conditionalFormatting>
  <dataValidations count="1">
    <dataValidation type="whole" allowBlank="1" showInputMessage="1" showErrorMessage="1" errorTitle="STOP" error="ANGKA YANG DIMASUKAN MELEBIHI 4" prompt="4 =  Selalu&#10;3 = Sering&#10;2 = Kadang2&#10;1 = Tidak Pernah" sqref="D3:AY7 D47:AY51 D41:AY45 D36:AY39 D30:AY34 D24:AY28 D15:AY22 D9:AY13">
      <formula1>1</formula1>
      <formula2>4</formula2>
    </dataValidation>
  </dataValidation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18"/>
  <dimension ref="A1:I52"/>
  <sheetViews>
    <sheetView workbookViewId="0">
      <pane xSplit="5" ySplit="4" topLeftCell="F5" activePane="bottomRight" state="frozen"/>
      <selection pane="topRight" activeCell="F1" sqref="F1"/>
      <selection pane="bottomLeft" activeCell="A5" sqref="A5"/>
      <selection pane="bottomRight" sqref="A1:A3"/>
    </sheetView>
  </sheetViews>
  <sheetFormatPr defaultRowHeight="15"/>
  <cols>
    <col min="1" max="1" width="4.85546875" style="95" customWidth="1"/>
    <col min="2" max="2" width="7.140625" style="95" customWidth="1"/>
    <col min="3" max="3" width="32.5703125" style="95" customWidth="1"/>
    <col min="4" max="5" width="5.28515625" style="95" customWidth="1"/>
    <col min="6" max="6" width="8.85546875" style="95" customWidth="1"/>
    <col min="7" max="7" width="47.140625" style="95" customWidth="1"/>
    <col min="8" max="8" width="20.5703125" style="95" customWidth="1"/>
    <col min="9" max="9" width="15.28515625" style="95" customWidth="1"/>
    <col min="10" max="16384" width="9.140625" style="95"/>
  </cols>
  <sheetData>
    <row r="1" spans="1:9" ht="15" customHeight="1">
      <c r="A1" s="501" t="s">
        <v>15</v>
      </c>
      <c r="B1" s="501" t="s">
        <v>16</v>
      </c>
      <c r="C1" s="504" t="s">
        <v>0</v>
      </c>
      <c r="D1" s="505" t="s">
        <v>1</v>
      </c>
      <c r="E1" s="651" t="s">
        <v>17</v>
      </c>
      <c r="F1" s="650" t="s">
        <v>469</v>
      </c>
      <c r="G1" s="650"/>
      <c r="H1" s="650"/>
      <c r="I1" s="650"/>
    </row>
    <row r="2" spans="1:9" ht="15" customHeight="1">
      <c r="A2" s="502"/>
      <c r="B2" s="502"/>
      <c r="C2" s="504"/>
      <c r="D2" s="505"/>
      <c r="E2" s="652"/>
      <c r="F2" s="650"/>
      <c r="G2" s="650"/>
      <c r="H2" s="650"/>
      <c r="I2" s="650"/>
    </row>
    <row r="3" spans="1:9" s="98" customFormat="1" ht="63.75" customHeight="1">
      <c r="A3" s="503"/>
      <c r="B3" s="503"/>
      <c r="C3" s="504"/>
      <c r="D3" s="505"/>
      <c r="E3" s="653"/>
      <c r="F3" s="330" t="s">
        <v>470</v>
      </c>
      <c r="G3" s="330" t="s">
        <v>466</v>
      </c>
      <c r="H3" s="330" t="s">
        <v>467</v>
      </c>
      <c r="I3" s="330" t="s">
        <v>468</v>
      </c>
    </row>
    <row r="4" spans="1:9">
      <c r="A4" s="99">
        <v>1</v>
      </c>
      <c r="B4" s="99">
        <v>2</v>
      </c>
      <c r="C4" s="99">
        <v>3</v>
      </c>
      <c r="D4" s="99">
        <v>4</v>
      </c>
      <c r="E4" s="156">
        <v>5</v>
      </c>
      <c r="F4" s="99">
        <v>6</v>
      </c>
      <c r="G4" s="99">
        <v>7</v>
      </c>
      <c r="H4" s="99">
        <v>8</v>
      </c>
      <c r="I4" s="99">
        <v>9</v>
      </c>
    </row>
    <row r="5" spans="1:9" ht="17.25" customHeight="1">
      <c r="A5" s="107">
        <f>'DATA SISWA'!A5</f>
        <v>1</v>
      </c>
      <c r="B5" s="107" t="str">
        <f>'DATA SISWA'!B5</f>
        <v>`017</v>
      </c>
      <c r="C5" s="116" t="str">
        <f>'DATA SISWA'!C5</f>
        <v>Abd. Muis</v>
      </c>
      <c r="D5" s="107" t="str">
        <f>'DATA SISWA'!D5</f>
        <v>L</v>
      </c>
      <c r="E5" s="329" t="str">
        <f>'DATA SISWA'!E5</f>
        <v>VII</v>
      </c>
      <c r="F5" s="129"/>
      <c r="G5" s="129"/>
      <c r="H5" s="101"/>
      <c r="I5" s="101"/>
    </row>
    <row r="6" spans="1:9" ht="18" customHeight="1">
      <c r="A6" s="107">
        <f>'DATA SISWA'!A6</f>
        <v>2</v>
      </c>
      <c r="B6" s="107" t="str">
        <f>'DATA SISWA'!B6</f>
        <v>`008</v>
      </c>
      <c r="C6" s="116" t="str">
        <f>'DATA SISWA'!C6</f>
        <v>Achmad Buka</v>
      </c>
      <c r="D6" s="107" t="str">
        <f>'DATA SISWA'!D6</f>
        <v>L</v>
      </c>
      <c r="E6" s="329" t="str">
        <f>'DATA SISWA'!E6</f>
        <v>VII</v>
      </c>
      <c r="F6" s="129"/>
      <c r="G6" s="129"/>
      <c r="H6" s="101"/>
      <c r="I6" s="101"/>
    </row>
    <row r="7" spans="1:9">
      <c r="A7" s="107">
        <f>'DATA SISWA'!A7</f>
        <v>3</v>
      </c>
      <c r="B7" s="107" t="str">
        <f>'DATA SISWA'!B7</f>
        <v>`014</v>
      </c>
      <c r="C7" s="116" t="str">
        <f>'DATA SISWA'!C7</f>
        <v>Bunami</v>
      </c>
      <c r="D7" s="107" t="str">
        <f>'DATA SISWA'!D7</f>
        <v>P</v>
      </c>
      <c r="E7" s="329" t="str">
        <f>'DATA SISWA'!E7</f>
        <v>VII</v>
      </c>
      <c r="F7" s="129"/>
      <c r="G7" s="129"/>
      <c r="H7" s="101"/>
      <c r="I7" s="101"/>
    </row>
    <row r="8" spans="1:9">
      <c r="A8" s="107">
        <f>'DATA SISWA'!A8</f>
        <v>4</v>
      </c>
      <c r="B8" s="107" t="str">
        <f>'DATA SISWA'!B8</f>
        <v>`009</v>
      </c>
      <c r="C8" s="116" t="str">
        <f>'DATA SISWA'!C8</f>
        <v>Fatimatuz Zahroh</v>
      </c>
      <c r="D8" s="107" t="str">
        <f>'DATA SISWA'!D8</f>
        <v>P</v>
      </c>
      <c r="E8" s="329" t="str">
        <f>'DATA SISWA'!E8</f>
        <v>VII</v>
      </c>
      <c r="F8" s="129"/>
      <c r="G8" s="129"/>
      <c r="H8" s="101"/>
      <c r="I8" s="101"/>
    </row>
    <row r="9" spans="1:9">
      <c r="A9" s="107">
        <f>'DATA SISWA'!A9</f>
        <v>5</v>
      </c>
      <c r="B9" s="107" t="str">
        <f>'DATA SISWA'!B9</f>
        <v>`003</v>
      </c>
      <c r="C9" s="116" t="str">
        <f>'DATA SISWA'!C9</f>
        <v>Fitriadi</v>
      </c>
      <c r="D9" s="107" t="str">
        <f>'DATA SISWA'!D9</f>
        <v>L</v>
      </c>
      <c r="E9" s="329" t="str">
        <f>'DATA SISWA'!E9</f>
        <v>VII</v>
      </c>
      <c r="F9" s="129"/>
      <c r="G9" s="129"/>
      <c r="H9" s="101"/>
      <c r="I9" s="101"/>
    </row>
    <row r="10" spans="1:9">
      <c r="A10" s="107">
        <f>'DATA SISWA'!A10</f>
        <v>6</v>
      </c>
      <c r="B10" s="107" t="str">
        <f>'DATA SISWA'!B10</f>
        <v>`006</v>
      </c>
      <c r="C10" s="116" t="str">
        <f>'DATA SISWA'!C10</f>
        <v>Homsiyah</v>
      </c>
      <c r="D10" s="107" t="str">
        <f>'DATA SISWA'!D10</f>
        <v>P</v>
      </c>
      <c r="E10" s="329" t="str">
        <f>'DATA SISWA'!E10</f>
        <v>VII</v>
      </c>
      <c r="F10" s="129"/>
      <c r="G10" s="129"/>
      <c r="H10" s="101"/>
      <c r="I10" s="101"/>
    </row>
    <row r="11" spans="1:9">
      <c r="A11" s="107">
        <f>'DATA SISWA'!A11</f>
        <v>7</v>
      </c>
      <c r="B11" s="107" t="str">
        <f>'DATA SISWA'!B11</f>
        <v>`002</v>
      </c>
      <c r="C11" s="116" t="str">
        <f>'DATA SISWA'!C11</f>
        <v>Insiyah</v>
      </c>
      <c r="D11" s="107" t="str">
        <f>'DATA SISWA'!D11</f>
        <v>P</v>
      </c>
      <c r="E11" s="329" t="str">
        <f>'DATA SISWA'!E11</f>
        <v>VII</v>
      </c>
      <c r="F11" s="129"/>
      <c r="G11" s="129"/>
      <c r="H11" s="101"/>
      <c r="I11" s="101"/>
    </row>
    <row r="12" spans="1:9">
      <c r="A12" s="107">
        <f>'DATA SISWA'!A12</f>
        <v>8</v>
      </c>
      <c r="B12" s="107" t="str">
        <f>'DATA SISWA'!B12</f>
        <v>`010</v>
      </c>
      <c r="C12" s="116" t="str">
        <f>'DATA SISWA'!C12</f>
        <v>Saiful Jamil</v>
      </c>
      <c r="D12" s="107" t="str">
        <f>'DATA SISWA'!D12</f>
        <v>L</v>
      </c>
      <c r="E12" s="329" t="str">
        <f>'DATA SISWA'!E12</f>
        <v>VII</v>
      </c>
      <c r="F12" s="129"/>
      <c r="G12" s="129"/>
      <c r="H12" s="101"/>
      <c r="I12" s="101"/>
    </row>
    <row r="13" spans="1:9">
      <c r="A13" s="107">
        <f>'DATA SISWA'!A13</f>
        <v>9</v>
      </c>
      <c r="B13" s="107" t="str">
        <f>'DATA SISWA'!B13</f>
        <v>`011</v>
      </c>
      <c r="C13" s="116" t="str">
        <f>'DATA SISWA'!C13</f>
        <v>Khusnun Nisa</v>
      </c>
      <c r="D13" s="107" t="str">
        <f>'DATA SISWA'!D13</f>
        <v>P</v>
      </c>
      <c r="E13" s="329" t="str">
        <f>'DATA SISWA'!E13</f>
        <v>VII</v>
      </c>
      <c r="F13" s="129"/>
      <c r="G13" s="129"/>
      <c r="H13" s="101"/>
      <c r="I13" s="101"/>
    </row>
    <row r="14" spans="1:9">
      <c r="A14" s="107">
        <f>'DATA SISWA'!A14</f>
        <v>10</v>
      </c>
      <c r="B14" s="107" t="str">
        <f>'DATA SISWA'!B14</f>
        <v>`005</v>
      </c>
      <c r="C14" s="116" t="str">
        <f>'DATA SISWA'!C14</f>
        <v>Komariyah</v>
      </c>
      <c r="D14" s="107" t="str">
        <f>'DATA SISWA'!D14</f>
        <v>P</v>
      </c>
      <c r="E14" s="329" t="str">
        <f>'DATA SISWA'!E14</f>
        <v>VII</v>
      </c>
      <c r="F14" s="129"/>
      <c r="G14" s="129"/>
      <c r="H14" s="101"/>
      <c r="I14" s="101"/>
    </row>
    <row r="15" spans="1:9">
      <c r="A15" s="107">
        <f>'DATA SISWA'!A15</f>
        <v>11</v>
      </c>
      <c r="B15" s="107" t="str">
        <f>'DATA SISWA'!B15</f>
        <v>`013</v>
      </c>
      <c r="C15" s="116" t="str">
        <f>'DATA SISWA'!C15</f>
        <v>Latifah</v>
      </c>
      <c r="D15" s="107" t="str">
        <f>'DATA SISWA'!D15</f>
        <v>P</v>
      </c>
      <c r="E15" s="329" t="str">
        <f>'DATA SISWA'!E15</f>
        <v>VII</v>
      </c>
      <c r="F15" s="129"/>
      <c r="G15" s="129"/>
      <c r="H15" s="101"/>
      <c r="I15" s="101"/>
    </row>
    <row r="16" spans="1:9">
      <c r="A16" s="107">
        <f>'DATA SISWA'!A16</f>
        <v>12</v>
      </c>
      <c r="B16" s="107" t="str">
        <f>'DATA SISWA'!B16</f>
        <v>`018</v>
      </c>
      <c r="C16" s="116" t="str">
        <f>'DATA SISWA'!C16</f>
        <v>Maya</v>
      </c>
      <c r="D16" s="107" t="str">
        <f>'DATA SISWA'!D16</f>
        <v>P</v>
      </c>
      <c r="E16" s="329" t="str">
        <f>'DATA SISWA'!E16</f>
        <v>VII</v>
      </c>
      <c r="F16" s="129"/>
      <c r="G16" s="129"/>
      <c r="H16" s="101"/>
      <c r="I16" s="101"/>
    </row>
    <row r="17" spans="1:9">
      <c r="A17" s="107">
        <f>'DATA SISWA'!A17</f>
        <v>13</v>
      </c>
      <c r="B17" s="107" t="str">
        <f>'DATA SISWA'!B17</f>
        <v>`016</v>
      </c>
      <c r="C17" s="116" t="str">
        <f>'DATA SISWA'!C17</f>
        <v>Ma`ruf</v>
      </c>
      <c r="D17" s="107" t="str">
        <f>'DATA SISWA'!D17</f>
        <v>L</v>
      </c>
      <c r="E17" s="329" t="str">
        <f>'DATA SISWA'!E17</f>
        <v>VII</v>
      </c>
      <c r="F17" s="129"/>
      <c r="G17" s="129"/>
      <c r="H17" s="101"/>
      <c r="I17" s="101"/>
    </row>
    <row r="18" spans="1:9">
      <c r="A18" s="107">
        <f>'DATA SISWA'!A18</f>
        <v>14</v>
      </c>
      <c r="B18" s="107" t="str">
        <f>'DATA SISWA'!B18</f>
        <v>`020</v>
      </c>
      <c r="C18" s="116" t="str">
        <f>'DATA SISWA'!C18</f>
        <v>Nia Ramadani</v>
      </c>
      <c r="D18" s="107" t="str">
        <f>'DATA SISWA'!D18</f>
        <v>P</v>
      </c>
      <c r="E18" s="329" t="str">
        <f>'DATA SISWA'!E18</f>
        <v>VII</v>
      </c>
      <c r="F18" s="129"/>
      <c r="G18" s="129"/>
      <c r="H18" s="101"/>
      <c r="I18" s="101"/>
    </row>
    <row r="19" spans="1:9">
      <c r="A19" s="107">
        <f>'DATA SISWA'!A19</f>
        <v>15</v>
      </c>
      <c r="B19" s="107" t="str">
        <f>'DATA SISWA'!B19</f>
        <v>`012</v>
      </c>
      <c r="C19" s="116" t="str">
        <f>'DATA SISWA'!C19</f>
        <v>Ningsih Rahmawati</v>
      </c>
      <c r="D19" s="107" t="str">
        <f>'DATA SISWA'!D19</f>
        <v>P</v>
      </c>
      <c r="E19" s="329" t="str">
        <f>'DATA SISWA'!E19</f>
        <v>VII</v>
      </c>
      <c r="F19" s="129"/>
      <c r="G19" s="129"/>
      <c r="H19" s="101"/>
      <c r="I19" s="101"/>
    </row>
    <row r="20" spans="1:9">
      <c r="A20" s="107">
        <f>'DATA SISWA'!A20</f>
        <v>16</v>
      </c>
      <c r="B20" s="107" t="str">
        <f>'DATA SISWA'!B20</f>
        <v>`007</v>
      </c>
      <c r="C20" s="116" t="str">
        <f>'DATA SISWA'!C20</f>
        <v>Nurhayati</v>
      </c>
      <c r="D20" s="107" t="str">
        <f>'DATA SISWA'!D20</f>
        <v>P</v>
      </c>
      <c r="E20" s="329" t="str">
        <f>'DATA SISWA'!E20</f>
        <v>VII</v>
      </c>
      <c r="F20" s="129"/>
      <c r="G20" s="129"/>
      <c r="H20" s="101"/>
      <c r="I20" s="101"/>
    </row>
    <row r="21" spans="1:9">
      <c r="A21" s="107">
        <f>'DATA SISWA'!A21</f>
        <v>17</v>
      </c>
      <c r="B21" s="107" t="str">
        <f>'DATA SISWA'!B21</f>
        <v>`004</v>
      </c>
      <c r="C21" s="116" t="str">
        <f>'DATA SISWA'!C21</f>
        <v>Nur Aini</v>
      </c>
      <c r="D21" s="107" t="str">
        <f>'DATA SISWA'!D21</f>
        <v>P</v>
      </c>
      <c r="E21" s="329" t="str">
        <f>'DATA SISWA'!E21</f>
        <v>VII</v>
      </c>
      <c r="F21" s="129"/>
      <c r="G21" s="129"/>
      <c r="H21" s="101"/>
      <c r="I21" s="101"/>
    </row>
    <row r="22" spans="1:9">
      <c r="A22" s="107">
        <f>'DATA SISWA'!A22</f>
        <v>18</v>
      </c>
      <c r="B22" s="107" t="str">
        <f>'DATA SISWA'!B22</f>
        <v>`001</v>
      </c>
      <c r="C22" s="116" t="str">
        <f>'DATA SISWA'!C22</f>
        <v>Rofiah</v>
      </c>
      <c r="D22" s="107" t="str">
        <f>'DATA SISWA'!D22</f>
        <v>P</v>
      </c>
      <c r="E22" s="329" t="str">
        <f>'DATA SISWA'!E22</f>
        <v>VII</v>
      </c>
      <c r="F22" s="129"/>
      <c r="G22" s="129"/>
      <c r="H22" s="101"/>
      <c r="I22" s="101"/>
    </row>
    <row r="23" spans="1:9">
      <c r="A23" s="107">
        <f>'DATA SISWA'!A23</f>
        <v>19</v>
      </c>
      <c r="B23" s="107" t="str">
        <f>'DATA SISWA'!B23</f>
        <v>`015</v>
      </c>
      <c r="C23" s="116" t="str">
        <f>'DATA SISWA'!C23</f>
        <v>Romliadi</v>
      </c>
      <c r="D23" s="107" t="str">
        <f>'DATA SISWA'!D23</f>
        <v>L</v>
      </c>
      <c r="E23" s="329" t="str">
        <f>'DATA SISWA'!E23</f>
        <v>VII</v>
      </c>
      <c r="F23" s="129"/>
      <c r="G23" s="129"/>
      <c r="H23" s="101"/>
      <c r="I23" s="101"/>
    </row>
    <row r="24" spans="1:9">
      <c r="A24" s="107">
        <f>'DATA SISWA'!A24</f>
        <v>20</v>
      </c>
      <c r="B24" s="107" t="str">
        <f>'DATA SISWA'!B24</f>
        <v>`019</v>
      </c>
      <c r="C24" s="116" t="str">
        <f>'DATA SISWA'!C24</f>
        <v>Tammimah</v>
      </c>
      <c r="D24" s="107" t="str">
        <f>'DATA SISWA'!D24</f>
        <v>P</v>
      </c>
      <c r="E24" s="329" t="str">
        <f>'DATA SISWA'!E24</f>
        <v>VII</v>
      </c>
      <c r="F24" s="129"/>
      <c r="G24" s="129"/>
      <c r="H24" s="101"/>
      <c r="I24" s="101"/>
    </row>
    <row r="25" spans="1:9">
      <c r="A25" s="107">
        <f>'DATA SISWA'!A25</f>
        <v>0</v>
      </c>
      <c r="B25" s="107">
        <f>'DATA SISWA'!B25</f>
        <v>0</v>
      </c>
      <c r="C25" s="116">
        <f>'DATA SISWA'!C25</f>
        <v>0</v>
      </c>
      <c r="D25" s="107">
        <f>'DATA SISWA'!D25</f>
        <v>0</v>
      </c>
      <c r="E25" s="329" t="str">
        <f>'DATA SISWA'!E25</f>
        <v>VII</v>
      </c>
      <c r="F25" s="129"/>
      <c r="G25" s="129"/>
      <c r="H25" s="101"/>
      <c r="I25" s="101"/>
    </row>
    <row r="26" spans="1:9">
      <c r="A26" s="107">
        <f>'DATA SISWA'!A26</f>
        <v>0</v>
      </c>
      <c r="B26" s="107">
        <f>'DATA SISWA'!B26</f>
        <v>0</v>
      </c>
      <c r="C26" s="116">
        <f>'DATA SISWA'!C26</f>
        <v>0</v>
      </c>
      <c r="D26" s="107">
        <f>'DATA SISWA'!D26</f>
        <v>0</v>
      </c>
      <c r="E26" s="329" t="str">
        <f>'DATA SISWA'!E26</f>
        <v>VII</v>
      </c>
      <c r="F26" s="129"/>
      <c r="G26" s="129"/>
      <c r="H26" s="101"/>
      <c r="I26" s="101"/>
    </row>
    <row r="27" spans="1:9">
      <c r="A27" s="107">
        <f>'DATA SISWA'!A27</f>
        <v>0</v>
      </c>
      <c r="B27" s="107">
        <f>'DATA SISWA'!B27</f>
        <v>0</v>
      </c>
      <c r="C27" s="116">
        <f>'DATA SISWA'!C27</f>
        <v>0</v>
      </c>
      <c r="D27" s="107">
        <f>'DATA SISWA'!D27</f>
        <v>0</v>
      </c>
      <c r="E27" s="329" t="str">
        <f>'DATA SISWA'!E27</f>
        <v>VII</v>
      </c>
      <c r="F27" s="129"/>
      <c r="G27" s="129"/>
      <c r="H27" s="101"/>
      <c r="I27" s="101"/>
    </row>
    <row r="28" spans="1:9">
      <c r="A28" s="107">
        <f>'DATA SISWA'!A28</f>
        <v>0</v>
      </c>
      <c r="B28" s="107">
        <f>'DATA SISWA'!B28</f>
        <v>0</v>
      </c>
      <c r="C28" s="116">
        <f>'DATA SISWA'!C28</f>
        <v>0</v>
      </c>
      <c r="D28" s="107">
        <f>'DATA SISWA'!D28</f>
        <v>0</v>
      </c>
      <c r="E28" s="329" t="str">
        <f>'DATA SISWA'!E28</f>
        <v>VII</v>
      </c>
      <c r="F28" s="129"/>
      <c r="G28" s="129"/>
      <c r="H28" s="101"/>
      <c r="I28" s="101"/>
    </row>
    <row r="29" spans="1:9">
      <c r="A29" s="107">
        <f>'DATA SISWA'!A29</f>
        <v>0</v>
      </c>
      <c r="B29" s="107">
        <f>'DATA SISWA'!B29</f>
        <v>0</v>
      </c>
      <c r="C29" s="116">
        <f>'DATA SISWA'!C29</f>
        <v>0</v>
      </c>
      <c r="D29" s="107">
        <f>'DATA SISWA'!D29</f>
        <v>0</v>
      </c>
      <c r="E29" s="329" t="str">
        <f>'DATA SISWA'!E29</f>
        <v>VII</v>
      </c>
      <c r="F29" s="129"/>
      <c r="G29" s="129"/>
      <c r="H29" s="101"/>
      <c r="I29" s="101"/>
    </row>
    <row r="30" spans="1:9">
      <c r="A30" s="107">
        <f>'DATA SISWA'!A30</f>
        <v>0</v>
      </c>
      <c r="B30" s="107">
        <f>'DATA SISWA'!B30</f>
        <v>0</v>
      </c>
      <c r="C30" s="116">
        <f>'DATA SISWA'!C30</f>
        <v>0</v>
      </c>
      <c r="D30" s="107">
        <f>'DATA SISWA'!D30</f>
        <v>0</v>
      </c>
      <c r="E30" s="329" t="str">
        <f>'DATA SISWA'!E30</f>
        <v>VII</v>
      </c>
      <c r="F30" s="129"/>
      <c r="G30" s="129"/>
      <c r="H30" s="101"/>
      <c r="I30" s="101"/>
    </row>
    <row r="31" spans="1:9">
      <c r="A31" s="107">
        <f>'DATA SISWA'!A31</f>
        <v>0</v>
      </c>
      <c r="B31" s="107">
        <f>'DATA SISWA'!B31</f>
        <v>0</v>
      </c>
      <c r="C31" s="116">
        <f>'DATA SISWA'!C31</f>
        <v>0</v>
      </c>
      <c r="D31" s="107">
        <f>'DATA SISWA'!D31</f>
        <v>0</v>
      </c>
      <c r="E31" s="329" t="str">
        <f>'DATA SISWA'!E31</f>
        <v>VII</v>
      </c>
      <c r="F31" s="129"/>
      <c r="G31" s="129"/>
      <c r="H31" s="101"/>
      <c r="I31" s="101"/>
    </row>
    <row r="32" spans="1:9">
      <c r="A32" s="107">
        <f>'DATA SISWA'!A32</f>
        <v>0</v>
      </c>
      <c r="B32" s="107">
        <f>'DATA SISWA'!B32</f>
        <v>0</v>
      </c>
      <c r="C32" s="116">
        <f>'DATA SISWA'!C32</f>
        <v>0</v>
      </c>
      <c r="D32" s="107">
        <f>'DATA SISWA'!D32</f>
        <v>0</v>
      </c>
      <c r="E32" s="329" t="str">
        <f>'DATA SISWA'!E32</f>
        <v>VII</v>
      </c>
      <c r="F32" s="129"/>
      <c r="G32" s="129"/>
      <c r="H32" s="101"/>
      <c r="I32" s="101"/>
    </row>
    <row r="33" spans="1:9">
      <c r="A33" s="107">
        <f>'DATA SISWA'!A33</f>
        <v>0</v>
      </c>
      <c r="B33" s="107">
        <f>'DATA SISWA'!B33</f>
        <v>0</v>
      </c>
      <c r="C33" s="116">
        <f>'DATA SISWA'!C33</f>
        <v>0</v>
      </c>
      <c r="D33" s="107">
        <f>'DATA SISWA'!D33</f>
        <v>0</v>
      </c>
      <c r="E33" s="329" t="str">
        <f>'DATA SISWA'!E33</f>
        <v>VII</v>
      </c>
      <c r="F33" s="129"/>
      <c r="G33" s="129"/>
      <c r="H33" s="101"/>
      <c r="I33" s="101"/>
    </row>
    <row r="34" spans="1:9">
      <c r="A34" s="107">
        <f>'DATA SISWA'!A34</f>
        <v>0</v>
      </c>
      <c r="B34" s="107">
        <f>'DATA SISWA'!B34</f>
        <v>0</v>
      </c>
      <c r="C34" s="116">
        <f>'DATA SISWA'!C34</f>
        <v>0</v>
      </c>
      <c r="D34" s="107">
        <f>'DATA SISWA'!D34</f>
        <v>0</v>
      </c>
      <c r="E34" s="329" t="str">
        <f>'DATA SISWA'!E34</f>
        <v>VII</v>
      </c>
      <c r="F34" s="129"/>
      <c r="G34" s="129"/>
      <c r="H34" s="101"/>
      <c r="I34" s="101"/>
    </row>
    <row r="35" spans="1:9">
      <c r="A35" s="107">
        <f>'DATA SISWA'!A35</f>
        <v>0</v>
      </c>
      <c r="B35" s="107">
        <f>'DATA SISWA'!B35</f>
        <v>0</v>
      </c>
      <c r="C35" s="116">
        <f>'DATA SISWA'!C35</f>
        <v>0</v>
      </c>
      <c r="D35" s="107">
        <f>'DATA SISWA'!D35</f>
        <v>0</v>
      </c>
      <c r="E35" s="329" t="str">
        <f>'DATA SISWA'!E35</f>
        <v>VII</v>
      </c>
      <c r="F35" s="129"/>
      <c r="G35" s="129"/>
      <c r="H35" s="101"/>
      <c r="I35" s="101"/>
    </row>
    <row r="36" spans="1:9">
      <c r="A36" s="107">
        <f>'DATA SISWA'!A36</f>
        <v>0</v>
      </c>
      <c r="B36" s="107">
        <f>'DATA SISWA'!B36</f>
        <v>0</v>
      </c>
      <c r="C36" s="116">
        <f>'DATA SISWA'!C36</f>
        <v>0</v>
      </c>
      <c r="D36" s="107">
        <f>'DATA SISWA'!D36</f>
        <v>0</v>
      </c>
      <c r="E36" s="329" t="str">
        <f>'DATA SISWA'!E36</f>
        <v>VII</v>
      </c>
      <c r="F36" s="129"/>
      <c r="G36" s="129"/>
      <c r="H36" s="101"/>
      <c r="I36" s="101"/>
    </row>
    <row r="37" spans="1:9">
      <c r="A37" s="107">
        <f>'DATA SISWA'!A37</f>
        <v>0</v>
      </c>
      <c r="B37" s="107">
        <f>'DATA SISWA'!B37</f>
        <v>0</v>
      </c>
      <c r="C37" s="116">
        <f>'DATA SISWA'!C37</f>
        <v>0</v>
      </c>
      <c r="D37" s="107">
        <f>'DATA SISWA'!D37</f>
        <v>0</v>
      </c>
      <c r="E37" s="329" t="str">
        <f>'DATA SISWA'!E37</f>
        <v>VII</v>
      </c>
      <c r="F37" s="129"/>
      <c r="G37" s="129"/>
      <c r="H37" s="101"/>
      <c r="I37" s="101"/>
    </row>
    <row r="38" spans="1:9">
      <c r="A38" s="107">
        <f>'DATA SISWA'!A38</f>
        <v>0</v>
      </c>
      <c r="B38" s="107">
        <f>'DATA SISWA'!B38</f>
        <v>0</v>
      </c>
      <c r="C38" s="116">
        <f>'DATA SISWA'!C38</f>
        <v>0</v>
      </c>
      <c r="D38" s="107">
        <f>'DATA SISWA'!D38</f>
        <v>0</v>
      </c>
      <c r="E38" s="329" t="str">
        <f>'DATA SISWA'!E38</f>
        <v>VII</v>
      </c>
      <c r="F38" s="129"/>
      <c r="G38" s="129"/>
      <c r="H38" s="101"/>
      <c r="I38" s="101"/>
    </row>
    <row r="39" spans="1:9">
      <c r="A39" s="107">
        <f>'DATA SISWA'!A39</f>
        <v>0</v>
      </c>
      <c r="B39" s="107">
        <f>'DATA SISWA'!B39</f>
        <v>0</v>
      </c>
      <c r="C39" s="116">
        <f>'DATA SISWA'!C39</f>
        <v>0</v>
      </c>
      <c r="D39" s="107">
        <f>'DATA SISWA'!D39</f>
        <v>0</v>
      </c>
      <c r="E39" s="329" t="str">
        <f>'DATA SISWA'!E39</f>
        <v>VII</v>
      </c>
      <c r="F39" s="129"/>
      <c r="G39" s="129"/>
      <c r="H39" s="101"/>
      <c r="I39" s="101"/>
    </row>
    <row r="40" spans="1:9">
      <c r="A40" s="107">
        <f>'DATA SISWA'!A40</f>
        <v>0</v>
      </c>
      <c r="B40" s="107">
        <f>'DATA SISWA'!B40</f>
        <v>0</v>
      </c>
      <c r="C40" s="116">
        <f>'DATA SISWA'!C40</f>
        <v>0</v>
      </c>
      <c r="D40" s="107">
        <f>'DATA SISWA'!D40</f>
        <v>0</v>
      </c>
      <c r="E40" s="329" t="str">
        <f>'DATA SISWA'!E40</f>
        <v>VII</v>
      </c>
      <c r="F40" s="129"/>
      <c r="G40" s="129"/>
      <c r="H40" s="101"/>
      <c r="I40" s="101"/>
    </row>
    <row r="41" spans="1:9">
      <c r="A41" s="107">
        <f>'DATA SISWA'!A41</f>
        <v>0</v>
      </c>
      <c r="B41" s="107">
        <f>'DATA SISWA'!B41</f>
        <v>0</v>
      </c>
      <c r="C41" s="116">
        <f>'DATA SISWA'!C41</f>
        <v>0</v>
      </c>
      <c r="D41" s="107">
        <f>'DATA SISWA'!D41</f>
        <v>0</v>
      </c>
      <c r="E41" s="329" t="str">
        <f>'DATA SISWA'!E41</f>
        <v>VII</v>
      </c>
      <c r="F41" s="129"/>
      <c r="G41" s="129"/>
      <c r="H41" s="101"/>
      <c r="I41" s="101"/>
    </row>
    <row r="42" spans="1:9">
      <c r="A42" s="107">
        <f>'DATA SISWA'!A42</f>
        <v>0</v>
      </c>
      <c r="B42" s="107">
        <f>'DATA SISWA'!B42</f>
        <v>0</v>
      </c>
      <c r="C42" s="116">
        <f>'DATA SISWA'!C42</f>
        <v>0</v>
      </c>
      <c r="D42" s="107">
        <f>'DATA SISWA'!D42</f>
        <v>0</v>
      </c>
      <c r="E42" s="329" t="str">
        <f>'DATA SISWA'!E42</f>
        <v>VII</v>
      </c>
      <c r="F42" s="129"/>
      <c r="G42" s="129"/>
      <c r="H42" s="101"/>
      <c r="I42" s="101"/>
    </row>
    <row r="43" spans="1:9">
      <c r="A43" s="107">
        <f>'DATA SISWA'!A43</f>
        <v>0</v>
      </c>
      <c r="B43" s="107">
        <f>'DATA SISWA'!B43</f>
        <v>0</v>
      </c>
      <c r="C43" s="116">
        <f>'DATA SISWA'!C43</f>
        <v>0</v>
      </c>
      <c r="D43" s="107">
        <f>'DATA SISWA'!D43</f>
        <v>0</v>
      </c>
      <c r="E43" s="329" t="str">
        <f>'DATA SISWA'!E43</f>
        <v>VII</v>
      </c>
      <c r="F43" s="129"/>
      <c r="G43" s="129"/>
      <c r="H43" s="101"/>
      <c r="I43" s="101"/>
    </row>
    <row r="44" spans="1:9">
      <c r="A44" s="107">
        <f>'DATA SISWA'!A44</f>
        <v>0</v>
      </c>
      <c r="B44" s="107">
        <f>'DATA SISWA'!B44</f>
        <v>0</v>
      </c>
      <c r="C44" s="116">
        <f>'DATA SISWA'!C44</f>
        <v>0</v>
      </c>
      <c r="D44" s="107">
        <f>'DATA SISWA'!D44</f>
        <v>0</v>
      </c>
      <c r="E44" s="329" t="str">
        <f>'DATA SISWA'!E44</f>
        <v>VII</v>
      </c>
      <c r="F44" s="129"/>
      <c r="G44" s="129"/>
      <c r="H44" s="101"/>
      <c r="I44" s="101"/>
    </row>
    <row r="45" spans="1:9">
      <c r="A45" s="107">
        <f>'DATA SISWA'!A45</f>
        <v>0</v>
      </c>
      <c r="B45" s="107">
        <f>'DATA SISWA'!B45</f>
        <v>0</v>
      </c>
      <c r="C45" s="116">
        <f>'DATA SISWA'!C45</f>
        <v>0</v>
      </c>
      <c r="D45" s="107">
        <f>'DATA SISWA'!D45</f>
        <v>0</v>
      </c>
      <c r="E45" s="329" t="str">
        <f>'DATA SISWA'!E45</f>
        <v>VII</v>
      </c>
      <c r="F45" s="129"/>
      <c r="G45" s="129"/>
      <c r="H45" s="101"/>
      <c r="I45" s="101"/>
    </row>
    <row r="46" spans="1:9">
      <c r="A46" s="107">
        <f>'DATA SISWA'!A46</f>
        <v>0</v>
      </c>
      <c r="B46" s="107">
        <f>'DATA SISWA'!B46</f>
        <v>0</v>
      </c>
      <c r="C46" s="116">
        <f>'DATA SISWA'!C46</f>
        <v>0</v>
      </c>
      <c r="D46" s="107">
        <f>'DATA SISWA'!D46</f>
        <v>0</v>
      </c>
      <c r="E46" s="329" t="str">
        <f>'DATA SISWA'!E46</f>
        <v>VII</v>
      </c>
      <c r="F46" s="129"/>
      <c r="G46" s="129"/>
      <c r="H46" s="101"/>
      <c r="I46" s="101"/>
    </row>
    <row r="47" spans="1:9">
      <c r="A47" s="107">
        <f>'DATA SISWA'!A47</f>
        <v>0</v>
      </c>
      <c r="B47" s="107">
        <f>'DATA SISWA'!B47</f>
        <v>0</v>
      </c>
      <c r="C47" s="116">
        <f>'DATA SISWA'!C47</f>
        <v>0</v>
      </c>
      <c r="D47" s="107">
        <f>'DATA SISWA'!D47</f>
        <v>0</v>
      </c>
      <c r="E47" s="329" t="str">
        <f>'DATA SISWA'!E47</f>
        <v>VII</v>
      </c>
      <c r="F47" s="129"/>
      <c r="G47" s="129"/>
      <c r="H47" s="101"/>
      <c r="I47" s="101"/>
    </row>
    <row r="48" spans="1:9">
      <c r="A48" s="107">
        <f>'DATA SISWA'!A48</f>
        <v>0</v>
      </c>
      <c r="B48" s="107">
        <f>'DATA SISWA'!B48</f>
        <v>0</v>
      </c>
      <c r="C48" s="116">
        <f>'DATA SISWA'!C48</f>
        <v>0</v>
      </c>
      <c r="D48" s="107">
        <f>'DATA SISWA'!D48</f>
        <v>0</v>
      </c>
      <c r="E48" s="329" t="str">
        <f>'DATA SISWA'!E48</f>
        <v>VII</v>
      </c>
      <c r="F48" s="129"/>
      <c r="G48" s="129"/>
      <c r="H48" s="101"/>
      <c r="I48" s="101"/>
    </row>
    <row r="49" spans="1:9">
      <c r="A49" s="107">
        <f>'DATA SISWA'!A49</f>
        <v>0</v>
      </c>
      <c r="B49" s="107">
        <f>'DATA SISWA'!B49</f>
        <v>0</v>
      </c>
      <c r="C49" s="116">
        <f>'DATA SISWA'!C49</f>
        <v>0</v>
      </c>
      <c r="D49" s="107">
        <f>'DATA SISWA'!D49</f>
        <v>0</v>
      </c>
      <c r="E49" s="329" t="str">
        <f>'DATA SISWA'!E49</f>
        <v>VII</v>
      </c>
      <c r="F49" s="129"/>
      <c r="G49" s="129"/>
      <c r="H49" s="101"/>
      <c r="I49" s="101"/>
    </row>
    <row r="50" spans="1:9">
      <c r="A50" s="107">
        <f>'DATA SISWA'!A50</f>
        <v>0</v>
      </c>
      <c r="B50" s="107">
        <f>'DATA SISWA'!B50</f>
        <v>0</v>
      </c>
      <c r="C50" s="116">
        <f>'DATA SISWA'!C50</f>
        <v>0</v>
      </c>
      <c r="D50" s="107">
        <f>'DATA SISWA'!D50</f>
        <v>0</v>
      </c>
      <c r="E50" s="329" t="str">
        <f>'DATA SISWA'!E50</f>
        <v>VII</v>
      </c>
      <c r="F50" s="129"/>
      <c r="G50" s="129"/>
      <c r="H50" s="101"/>
      <c r="I50" s="101"/>
    </row>
    <row r="51" spans="1:9">
      <c r="A51" s="107">
        <f>'DATA SISWA'!A51</f>
        <v>0</v>
      </c>
      <c r="B51" s="107">
        <f>'DATA SISWA'!B51</f>
        <v>0</v>
      </c>
      <c r="C51" s="116">
        <f>'DATA SISWA'!C51</f>
        <v>0</v>
      </c>
      <c r="D51" s="107">
        <f>'DATA SISWA'!D51</f>
        <v>0</v>
      </c>
      <c r="E51" s="329" t="str">
        <f>'DATA SISWA'!E51</f>
        <v>VII</v>
      </c>
      <c r="F51" s="129"/>
      <c r="G51" s="129"/>
      <c r="H51" s="101"/>
      <c r="I51" s="101"/>
    </row>
    <row r="52" spans="1:9">
      <c r="A52" s="107">
        <f>'DATA SISWA'!A52</f>
        <v>0</v>
      </c>
      <c r="B52" s="107">
        <f>'DATA SISWA'!B52</f>
        <v>0</v>
      </c>
      <c r="C52" s="116">
        <f>'DATA SISWA'!C52</f>
        <v>0</v>
      </c>
      <c r="D52" s="107">
        <f>'DATA SISWA'!D52</f>
        <v>0</v>
      </c>
      <c r="E52" s="329" t="str">
        <f>'DATA SISWA'!E52</f>
        <v>VII</v>
      </c>
      <c r="F52" s="129"/>
      <c r="G52" s="129"/>
      <c r="H52" s="101"/>
      <c r="I52" s="101"/>
    </row>
  </sheetData>
  <sheetProtection formatCells="0" formatColumns="0" formatRows="0" insertColumns="0" insertRows="0" insertHyperlinks="0" deleteColumns="0" deleteRows="0"/>
  <mergeCells count="6">
    <mergeCell ref="F1:I2"/>
    <mergeCell ref="A1:A3"/>
    <mergeCell ref="B1:B3"/>
    <mergeCell ref="C1:C3"/>
    <mergeCell ref="D1:D3"/>
    <mergeCell ref="E1:E3"/>
  </mergeCells>
  <pageMargins left="0.70866141732283472" right="0.70866141732283472" top="0.74803149606299213" bottom="0.74803149606299213" header="0.31496062992125984" footer="0.31496062992125984"/>
  <pageSetup paperSize="14" orientation="landscape" horizontalDpi="4294967292" verticalDpi="0" r:id="rId1"/>
  <drawing r:id="rId2"/>
  <legacyDrawing r:id="rId3"/>
</worksheet>
</file>

<file path=xl/worksheets/sheet28.xml><?xml version="1.0" encoding="utf-8"?>
<worksheet xmlns="http://schemas.openxmlformats.org/spreadsheetml/2006/main" xmlns:r="http://schemas.openxmlformats.org/officeDocument/2006/relationships">
  <sheetPr codeName="Sheet19"/>
  <dimension ref="A1:DR74"/>
  <sheetViews>
    <sheetView workbookViewId="0">
      <pane xSplit="2" ySplit="16" topLeftCell="C17" activePane="bottomRight" state="frozen"/>
      <selection pane="topRight" activeCell="C1" sqref="C1"/>
      <selection pane="bottomLeft" activeCell="A17" sqref="A17"/>
      <selection pane="bottomRight"/>
    </sheetView>
  </sheetViews>
  <sheetFormatPr defaultRowHeight="15"/>
  <cols>
    <col min="1" max="1" width="4.5703125" style="85" bestFit="1" customWidth="1"/>
    <col min="2" max="2" width="27.42578125" style="85" customWidth="1"/>
    <col min="3" max="10" width="5.28515625" style="85" customWidth="1"/>
    <col min="11" max="12" width="6.42578125" style="85" customWidth="1"/>
    <col min="13" max="13" width="8.85546875" style="85" customWidth="1"/>
    <col min="14" max="14" width="16.5703125" style="85" customWidth="1"/>
    <col min="15" max="22" width="5.28515625" style="85" customWidth="1"/>
    <col min="23" max="24" width="6.42578125" style="85" customWidth="1"/>
    <col min="25" max="25" width="8.85546875" style="85" customWidth="1"/>
    <col min="26" max="26" width="16.5703125" style="85" customWidth="1"/>
    <col min="27" max="34" width="5.28515625" style="85" customWidth="1"/>
    <col min="35" max="36" width="6.42578125" style="85" customWidth="1"/>
    <col min="37" max="37" width="8.85546875" style="85" customWidth="1"/>
    <col min="38" max="38" width="16.5703125" style="85" customWidth="1"/>
    <col min="39" max="46" width="5.28515625" style="85" customWidth="1"/>
    <col min="47" max="48" width="6.42578125" style="85" customWidth="1"/>
    <col min="49" max="49" width="8.85546875" style="85" customWidth="1"/>
    <col min="50" max="50" width="16.5703125" style="85" customWidth="1"/>
    <col min="51" max="58" width="5.28515625" style="85" customWidth="1"/>
    <col min="59" max="60" width="6.42578125" style="85" customWidth="1"/>
    <col min="61" max="61" width="8.85546875" style="85" customWidth="1"/>
    <col min="62" max="62" width="16.5703125" style="85" customWidth="1"/>
    <col min="63" max="70" width="5.28515625" style="85" customWidth="1"/>
    <col min="71" max="72" width="6.42578125" style="85" customWidth="1"/>
    <col min="73" max="73" width="8.85546875" style="85" customWidth="1"/>
    <col min="74" max="74" width="16.5703125" style="85" customWidth="1"/>
    <col min="75" max="82" width="5.28515625" style="85" customWidth="1"/>
    <col min="83" max="84" width="6.42578125" style="85" customWidth="1"/>
    <col min="85" max="85" width="8.85546875" style="85" customWidth="1"/>
    <col min="86" max="86" width="16.5703125" style="85" customWidth="1"/>
    <col min="87" max="94" width="5.28515625" style="85" customWidth="1"/>
    <col min="95" max="96" width="6.42578125" style="85" customWidth="1"/>
    <col min="97" max="97" width="8.85546875" style="85" customWidth="1"/>
    <col min="98" max="98" width="16.5703125" style="85" customWidth="1"/>
    <col min="99" max="106" width="5.28515625" style="85" customWidth="1"/>
    <col min="107" max="108" width="6.42578125" style="85" customWidth="1"/>
    <col min="109" max="109" width="8.85546875" style="85" customWidth="1"/>
    <col min="110" max="110" width="16.5703125" style="85" customWidth="1"/>
    <col min="111" max="118" width="5.28515625" style="85" customWidth="1"/>
    <col min="119" max="120" width="6.42578125" style="85" customWidth="1"/>
    <col min="121" max="121" width="8.85546875" style="85" customWidth="1"/>
    <col min="122" max="122" width="16.5703125" style="85" customWidth="1"/>
    <col min="123" max="16384" width="9.140625" style="85"/>
  </cols>
  <sheetData>
    <row r="1" spans="1:122" ht="16.5">
      <c r="A1" s="132"/>
      <c r="B1" s="133" t="s">
        <v>245</v>
      </c>
      <c r="C1" s="683">
        <f>menu!E13</f>
        <v>0</v>
      </c>
      <c r="D1" s="683"/>
      <c r="E1" s="683"/>
      <c r="F1" s="683"/>
      <c r="G1" s="684" t="s">
        <v>246</v>
      </c>
      <c r="H1" s="684"/>
      <c r="I1" s="685">
        <f>menu!D15</f>
        <v>1</v>
      </c>
      <c r="J1" s="685"/>
      <c r="K1" s="686" t="s">
        <v>247</v>
      </c>
      <c r="L1" s="687"/>
      <c r="M1" s="46">
        <f>menu!D19</f>
        <v>0</v>
      </c>
      <c r="N1" s="134"/>
    </row>
    <row r="2" spans="1:122" ht="16.5">
      <c r="A2" s="132"/>
      <c r="B2" s="133" t="s">
        <v>248</v>
      </c>
      <c r="C2" s="688" t="str">
        <f>menu!D14</f>
        <v>VII</v>
      </c>
      <c r="D2" s="688"/>
      <c r="E2" s="135"/>
      <c r="F2" s="684" t="s">
        <v>249</v>
      </c>
      <c r="G2" s="684"/>
      <c r="H2" s="684"/>
      <c r="I2" s="689" t="str">
        <f>menu!D16</f>
        <v>2017-2018</v>
      </c>
      <c r="J2" s="689"/>
      <c r="K2" s="686" t="s">
        <v>250</v>
      </c>
      <c r="L2" s="686"/>
      <c r="M2" s="690"/>
      <c r="N2" s="690"/>
    </row>
    <row r="3" spans="1:122">
      <c r="A3" s="132"/>
      <c r="B3" s="192" t="s">
        <v>251</v>
      </c>
      <c r="C3" s="682" t="s">
        <v>252</v>
      </c>
      <c r="D3" s="682"/>
      <c r="E3" s="682"/>
      <c r="F3" s="682"/>
      <c r="G3" s="682"/>
      <c r="H3" s="682"/>
      <c r="I3" s="682"/>
      <c r="J3" s="132"/>
      <c r="K3" s="132"/>
      <c r="L3" s="132"/>
      <c r="M3" s="132"/>
      <c r="N3" s="132"/>
    </row>
    <row r="4" spans="1:122">
      <c r="A4" s="132"/>
      <c r="B4" s="192"/>
      <c r="C4" s="136"/>
      <c r="D4" s="136"/>
      <c r="E4" s="136"/>
      <c r="F4" s="136"/>
      <c r="G4" s="137"/>
      <c r="H4" s="132"/>
      <c r="I4" s="132"/>
      <c r="J4" s="132"/>
      <c r="K4" s="132"/>
      <c r="L4" s="132"/>
      <c r="M4" s="132" t="s">
        <v>328</v>
      </c>
      <c r="N4" s="132"/>
    </row>
    <row r="5" spans="1:122">
      <c r="A5" s="132"/>
      <c r="B5" s="138"/>
      <c r="C5" s="656" t="s">
        <v>253</v>
      </c>
      <c r="D5" s="657"/>
      <c r="E5" s="657"/>
      <c r="F5" s="657"/>
      <c r="G5" s="657"/>
      <c r="H5" s="657"/>
      <c r="I5" s="657"/>
      <c r="J5" s="658"/>
      <c r="K5" s="139" t="s">
        <v>254</v>
      </c>
      <c r="L5" s="139"/>
      <c r="M5" s="139"/>
      <c r="N5" s="140"/>
      <c r="O5" s="656" t="s">
        <v>253</v>
      </c>
      <c r="P5" s="657"/>
      <c r="Q5" s="657"/>
      <c r="R5" s="657"/>
      <c r="S5" s="657"/>
      <c r="T5" s="657"/>
      <c r="U5" s="657"/>
      <c r="V5" s="658"/>
      <c r="W5" s="139" t="s">
        <v>254</v>
      </c>
      <c r="X5" s="139"/>
      <c r="Y5" s="139"/>
      <c r="Z5" s="140"/>
      <c r="AA5" s="656" t="s">
        <v>253</v>
      </c>
      <c r="AB5" s="657"/>
      <c r="AC5" s="657"/>
      <c r="AD5" s="657"/>
      <c r="AE5" s="657"/>
      <c r="AF5" s="657"/>
      <c r="AG5" s="657"/>
      <c r="AH5" s="658"/>
      <c r="AI5" s="139" t="s">
        <v>254</v>
      </c>
      <c r="AJ5" s="139"/>
      <c r="AK5" s="139"/>
      <c r="AL5" s="140"/>
      <c r="AM5" s="656" t="s">
        <v>253</v>
      </c>
      <c r="AN5" s="657"/>
      <c r="AO5" s="657"/>
      <c r="AP5" s="657"/>
      <c r="AQ5" s="657"/>
      <c r="AR5" s="657"/>
      <c r="AS5" s="657"/>
      <c r="AT5" s="658"/>
      <c r="AU5" s="139" t="s">
        <v>254</v>
      </c>
      <c r="AV5" s="139"/>
      <c r="AW5" s="139"/>
      <c r="AX5" s="140"/>
      <c r="AY5" s="656" t="s">
        <v>253</v>
      </c>
      <c r="AZ5" s="657"/>
      <c r="BA5" s="657"/>
      <c r="BB5" s="657"/>
      <c r="BC5" s="657"/>
      <c r="BD5" s="657"/>
      <c r="BE5" s="657"/>
      <c r="BF5" s="658"/>
      <c r="BG5" s="139" t="s">
        <v>254</v>
      </c>
      <c r="BH5" s="139"/>
      <c r="BI5" s="139"/>
      <c r="BJ5" s="140"/>
      <c r="BK5" s="656" t="s">
        <v>253</v>
      </c>
      <c r="BL5" s="657"/>
      <c r="BM5" s="657"/>
      <c r="BN5" s="657"/>
      <c r="BO5" s="657"/>
      <c r="BP5" s="657"/>
      <c r="BQ5" s="657"/>
      <c r="BR5" s="658"/>
      <c r="BS5" s="139" t="s">
        <v>254</v>
      </c>
      <c r="BT5" s="139"/>
      <c r="BU5" s="139"/>
      <c r="BV5" s="140"/>
      <c r="BW5" s="656" t="s">
        <v>253</v>
      </c>
      <c r="BX5" s="657"/>
      <c r="BY5" s="657"/>
      <c r="BZ5" s="657"/>
      <c r="CA5" s="657"/>
      <c r="CB5" s="657"/>
      <c r="CC5" s="657"/>
      <c r="CD5" s="658"/>
      <c r="CE5" s="139" t="s">
        <v>254</v>
      </c>
      <c r="CF5" s="139"/>
      <c r="CG5" s="139"/>
      <c r="CH5" s="140"/>
      <c r="CI5" s="656" t="s">
        <v>253</v>
      </c>
      <c r="CJ5" s="657"/>
      <c r="CK5" s="657"/>
      <c r="CL5" s="657"/>
      <c r="CM5" s="657"/>
      <c r="CN5" s="657"/>
      <c r="CO5" s="657"/>
      <c r="CP5" s="658"/>
      <c r="CQ5" s="139" t="s">
        <v>254</v>
      </c>
      <c r="CR5" s="139"/>
      <c r="CS5" s="139"/>
      <c r="CT5" s="140"/>
      <c r="CU5" s="656" t="s">
        <v>253</v>
      </c>
      <c r="CV5" s="657"/>
      <c r="CW5" s="657"/>
      <c r="CX5" s="657"/>
      <c r="CY5" s="657"/>
      <c r="CZ5" s="657"/>
      <c r="DA5" s="657"/>
      <c r="DB5" s="658"/>
      <c r="DC5" s="139" t="s">
        <v>254</v>
      </c>
      <c r="DD5" s="139"/>
      <c r="DE5" s="139"/>
      <c r="DF5" s="140"/>
      <c r="DG5" s="656" t="s">
        <v>253</v>
      </c>
      <c r="DH5" s="657"/>
      <c r="DI5" s="657"/>
      <c r="DJ5" s="657"/>
      <c r="DK5" s="657"/>
      <c r="DL5" s="657"/>
      <c r="DM5" s="657"/>
      <c r="DN5" s="658"/>
      <c r="DO5" s="139" t="s">
        <v>254</v>
      </c>
      <c r="DP5" s="139"/>
      <c r="DQ5" s="139"/>
      <c r="DR5" s="140"/>
    </row>
    <row r="6" spans="1:122">
      <c r="A6" s="132"/>
      <c r="B6" s="141" t="s">
        <v>255</v>
      </c>
      <c r="C6" s="659"/>
      <c r="D6" s="660"/>
      <c r="E6" s="660"/>
      <c r="F6" s="660"/>
      <c r="G6" s="660"/>
      <c r="H6" s="660"/>
      <c r="I6" s="660"/>
      <c r="J6" s="661"/>
      <c r="K6" s="142" t="s">
        <v>255</v>
      </c>
      <c r="L6" s="78"/>
      <c r="M6" s="78"/>
      <c r="N6" s="79"/>
      <c r="O6" s="659"/>
      <c r="P6" s="660"/>
      <c r="Q6" s="660"/>
      <c r="R6" s="660"/>
      <c r="S6" s="660"/>
      <c r="T6" s="660"/>
      <c r="U6" s="660"/>
      <c r="V6" s="661"/>
      <c r="W6" s="142" t="s">
        <v>255</v>
      </c>
      <c r="X6" s="78"/>
      <c r="Y6" s="78"/>
      <c r="Z6" s="79"/>
      <c r="AA6" s="659"/>
      <c r="AB6" s="660"/>
      <c r="AC6" s="660"/>
      <c r="AD6" s="660"/>
      <c r="AE6" s="660"/>
      <c r="AF6" s="660"/>
      <c r="AG6" s="660"/>
      <c r="AH6" s="661"/>
      <c r="AI6" s="142" t="s">
        <v>255</v>
      </c>
      <c r="AJ6" s="78"/>
      <c r="AK6" s="78"/>
      <c r="AL6" s="79"/>
      <c r="AM6" s="659"/>
      <c r="AN6" s="660"/>
      <c r="AO6" s="660"/>
      <c r="AP6" s="660"/>
      <c r="AQ6" s="660"/>
      <c r="AR6" s="660"/>
      <c r="AS6" s="660"/>
      <c r="AT6" s="661"/>
      <c r="AU6" s="142" t="s">
        <v>255</v>
      </c>
      <c r="AV6" s="78"/>
      <c r="AW6" s="78"/>
      <c r="AX6" s="79"/>
      <c r="AY6" s="659"/>
      <c r="AZ6" s="660"/>
      <c r="BA6" s="660"/>
      <c r="BB6" s="660"/>
      <c r="BC6" s="660"/>
      <c r="BD6" s="660"/>
      <c r="BE6" s="660"/>
      <c r="BF6" s="661"/>
      <c r="BG6" s="142" t="s">
        <v>255</v>
      </c>
      <c r="BH6" s="78"/>
      <c r="BI6" s="78"/>
      <c r="BJ6" s="79"/>
      <c r="BK6" s="659"/>
      <c r="BL6" s="660"/>
      <c r="BM6" s="660"/>
      <c r="BN6" s="660"/>
      <c r="BO6" s="660"/>
      <c r="BP6" s="660"/>
      <c r="BQ6" s="660"/>
      <c r="BR6" s="661"/>
      <c r="BS6" s="142" t="s">
        <v>255</v>
      </c>
      <c r="BT6" s="78"/>
      <c r="BU6" s="78"/>
      <c r="BV6" s="79"/>
      <c r="BW6" s="659"/>
      <c r="BX6" s="660"/>
      <c r="BY6" s="660"/>
      <c r="BZ6" s="660"/>
      <c r="CA6" s="660"/>
      <c r="CB6" s="660"/>
      <c r="CC6" s="660"/>
      <c r="CD6" s="661"/>
      <c r="CE6" s="142" t="s">
        <v>255</v>
      </c>
      <c r="CF6" s="78"/>
      <c r="CG6" s="78"/>
      <c r="CH6" s="79"/>
      <c r="CI6" s="659"/>
      <c r="CJ6" s="660"/>
      <c r="CK6" s="660"/>
      <c r="CL6" s="660"/>
      <c r="CM6" s="660"/>
      <c r="CN6" s="660"/>
      <c r="CO6" s="660"/>
      <c r="CP6" s="661"/>
      <c r="CQ6" s="142" t="s">
        <v>255</v>
      </c>
      <c r="CR6" s="78"/>
      <c r="CS6" s="78"/>
      <c r="CT6" s="79"/>
      <c r="CU6" s="659"/>
      <c r="CV6" s="660"/>
      <c r="CW6" s="660"/>
      <c r="CX6" s="660"/>
      <c r="CY6" s="660"/>
      <c r="CZ6" s="660"/>
      <c r="DA6" s="660"/>
      <c r="DB6" s="661"/>
      <c r="DC6" s="142" t="s">
        <v>255</v>
      </c>
      <c r="DD6" s="78"/>
      <c r="DE6" s="78"/>
      <c r="DF6" s="79"/>
      <c r="DG6" s="659"/>
      <c r="DH6" s="660"/>
      <c r="DI6" s="660"/>
      <c r="DJ6" s="660"/>
      <c r="DK6" s="660"/>
      <c r="DL6" s="660"/>
      <c r="DM6" s="660"/>
      <c r="DN6" s="661"/>
      <c r="DO6" s="142" t="s">
        <v>255</v>
      </c>
      <c r="DP6" s="78"/>
      <c r="DQ6" s="78"/>
      <c r="DR6" s="79"/>
    </row>
    <row r="7" spans="1:122">
      <c r="A7" s="132"/>
      <c r="B7" s="141" t="s">
        <v>256</v>
      </c>
      <c r="C7" s="662"/>
      <c r="D7" s="663"/>
      <c r="E7" s="663"/>
      <c r="F7" s="663"/>
      <c r="G7" s="663"/>
      <c r="H7" s="663"/>
      <c r="I7" s="663"/>
      <c r="J7" s="664"/>
      <c r="K7" s="142" t="s">
        <v>256</v>
      </c>
      <c r="L7" s="80"/>
      <c r="M7" s="80"/>
      <c r="N7" s="81"/>
      <c r="O7" s="662"/>
      <c r="P7" s="663"/>
      <c r="Q7" s="663"/>
      <c r="R7" s="663"/>
      <c r="S7" s="663"/>
      <c r="T7" s="663"/>
      <c r="U7" s="663"/>
      <c r="V7" s="664"/>
      <c r="W7" s="142" t="s">
        <v>256</v>
      </c>
      <c r="X7" s="80"/>
      <c r="Y7" s="80"/>
      <c r="Z7" s="81"/>
      <c r="AA7" s="662"/>
      <c r="AB7" s="663"/>
      <c r="AC7" s="663"/>
      <c r="AD7" s="663"/>
      <c r="AE7" s="663"/>
      <c r="AF7" s="663"/>
      <c r="AG7" s="663"/>
      <c r="AH7" s="664"/>
      <c r="AI7" s="142" t="s">
        <v>256</v>
      </c>
      <c r="AJ7" s="80"/>
      <c r="AK7" s="80"/>
      <c r="AL7" s="81"/>
      <c r="AM7" s="662"/>
      <c r="AN7" s="663"/>
      <c r="AO7" s="663"/>
      <c r="AP7" s="663"/>
      <c r="AQ7" s="663"/>
      <c r="AR7" s="663"/>
      <c r="AS7" s="663"/>
      <c r="AT7" s="664"/>
      <c r="AU7" s="142" t="s">
        <v>256</v>
      </c>
      <c r="AV7" s="80"/>
      <c r="AW7" s="80"/>
      <c r="AX7" s="81"/>
      <c r="AY7" s="662"/>
      <c r="AZ7" s="663"/>
      <c r="BA7" s="663"/>
      <c r="BB7" s="663"/>
      <c r="BC7" s="663"/>
      <c r="BD7" s="663"/>
      <c r="BE7" s="663"/>
      <c r="BF7" s="664"/>
      <c r="BG7" s="142" t="s">
        <v>256</v>
      </c>
      <c r="BH7" s="80"/>
      <c r="BI7" s="80"/>
      <c r="BJ7" s="81"/>
      <c r="BK7" s="662"/>
      <c r="BL7" s="663"/>
      <c r="BM7" s="663"/>
      <c r="BN7" s="663"/>
      <c r="BO7" s="663"/>
      <c r="BP7" s="663"/>
      <c r="BQ7" s="663"/>
      <c r="BR7" s="664"/>
      <c r="BS7" s="142" t="s">
        <v>256</v>
      </c>
      <c r="BT7" s="80"/>
      <c r="BU7" s="80"/>
      <c r="BV7" s="81"/>
      <c r="BW7" s="662"/>
      <c r="BX7" s="663"/>
      <c r="BY7" s="663"/>
      <c r="BZ7" s="663"/>
      <c r="CA7" s="663"/>
      <c r="CB7" s="663"/>
      <c r="CC7" s="663"/>
      <c r="CD7" s="664"/>
      <c r="CE7" s="142" t="s">
        <v>256</v>
      </c>
      <c r="CF7" s="80"/>
      <c r="CG7" s="80"/>
      <c r="CH7" s="81"/>
      <c r="CI7" s="662"/>
      <c r="CJ7" s="663"/>
      <c r="CK7" s="663"/>
      <c r="CL7" s="663"/>
      <c r="CM7" s="663"/>
      <c r="CN7" s="663"/>
      <c r="CO7" s="663"/>
      <c r="CP7" s="664"/>
      <c r="CQ7" s="142" t="s">
        <v>256</v>
      </c>
      <c r="CR7" s="80"/>
      <c r="CS7" s="80"/>
      <c r="CT7" s="81"/>
      <c r="CU7" s="662"/>
      <c r="CV7" s="663"/>
      <c r="CW7" s="663"/>
      <c r="CX7" s="663"/>
      <c r="CY7" s="663"/>
      <c r="CZ7" s="663"/>
      <c r="DA7" s="663"/>
      <c r="DB7" s="664"/>
      <c r="DC7" s="142" t="s">
        <v>256</v>
      </c>
      <c r="DD7" s="80"/>
      <c r="DE7" s="80"/>
      <c r="DF7" s="81"/>
      <c r="DG7" s="662"/>
      <c r="DH7" s="663"/>
      <c r="DI7" s="663"/>
      <c r="DJ7" s="663"/>
      <c r="DK7" s="663"/>
      <c r="DL7" s="663"/>
      <c r="DM7" s="663"/>
      <c r="DN7" s="664"/>
      <c r="DO7" s="142" t="s">
        <v>256</v>
      </c>
      <c r="DP7" s="80"/>
      <c r="DQ7" s="80"/>
      <c r="DR7" s="81"/>
    </row>
    <row r="8" spans="1:122">
      <c r="A8" s="132"/>
      <c r="B8" s="141" t="s">
        <v>257</v>
      </c>
      <c r="C8" s="659"/>
      <c r="D8" s="660"/>
      <c r="E8" s="660"/>
      <c r="F8" s="660"/>
      <c r="G8" s="660"/>
      <c r="H8" s="660"/>
      <c r="I8" s="660"/>
      <c r="J8" s="661"/>
      <c r="K8" s="142" t="s">
        <v>257</v>
      </c>
      <c r="L8" s="78"/>
      <c r="M8" s="78"/>
      <c r="N8" s="79"/>
      <c r="O8" s="659"/>
      <c r="P8" s="660"/>
      <c r="Q8" s="660"/>
      <c r="R8" s="660"/>
      <c r="S8" s="660"/>
      <c r="T8" s="660"/>
      <c r="U8" s="660"/>
      <c r="V8" s="661"/>
      <c r="W8" s="142" t="s">
        <v>257</v>
      </c>
      <c r="X8" s="78"/>
      <c r="Y8" s="78"/>
      <c r="Z8" s="79"/>
      <c r="AA8" s="659"/>
      <c r="AB8" s="660"/>
      <c r="AC8" s="660"/>
      <c r="AD8" s="660"/>
      <c r="AE8" s="660"/>
      <c r="AF8" s="660"/>
      <c r="AG8" s="660"/>
      <c r="AH8" s="661"/>
      <c r="AI8" s="142" t="s">
        <v>257</v>
      </c>
      <c r="AJ8" s="78"/>
      <c r="AK8" s="78"/>
      <c r="AL8" s="79"/>
      <c r="AM8" s="659"/>
      <c r="AN8" s="660"/>
      <c r="AO8" s="660"/>
      <c r="AP8" s="660"/>
      <c r="AQ8" s="660"/>
      <c r="AR8" s="660"/>
      <c r="AS8" s="660"/>
      <c r="AT8" s="661"/>
      <c r="AU8" s="142" t="s">
        <v>257</v>
      </c>
      <c r="AV8" s="78"/>
      <c r="AW8" s="78"/>
      <c r="AX8" s="79"/>
      <c r="AY8" s="659"/>
      <c r="AZ8" s="660"/>
      <c r="BA8" s="660"/>
      <c r="BB8" s="660"/>
      <c r="BC8" s="660"/>
      <c r="BD8" s="660"/>
      <c r="BE8" s="660"/>
      <c r="BF8" s="661"/>
      <c r="BG8" s="142" t="s">
        <v>257</v>
      </c>
      <c r="BH8" s="78"/>
      <c r="BI8" s="78"/>
      <c r="BJ8" s="79"/>
      <c r="BK8" s="659"/>
      <c r="BL8" s="660"/>
      <c r="BM8" s="660"/>
      <c r="BN8" s="660"/>
      <c r="BO8" s="660"/>
      <c r="BP8" s="660"/>
      <c r="BQ8" s="660"/>
      <c r="BR8" s="661"/>
      <c r="BS8" s="142" t="s">
        <v>257</v>
      </c>
      <c r="BT8" s="78"/>
      <c r="BU8" s="78"/>
      <c r="BV8" s="79"/>
      <c r="BW8" s="659"/>
      <c r="BX8" s="660"/>
      <c r="BY8" s="660"/>
      <c r="BZ8" s="660"/>
      <c r="CA8" s="660"/>
      <c r="CB8" s="660"/>
      <c r="CC8" s="660"/>
      <c r="CD8" s="661"/>
      <c r="CE8" s="142" t="s">
        <v>257</v>
      </c>
      <c r="CF8" s="78"/>
      <c r="CG8" s="78"/>
      <c r="CH8" s="79"/>
      <c r="CI8" s="659"/>
      <c r="CJ8" s="660"/>
      <c r="CK8" s="660"/>
      <c r="CL8" s="660"/>
      <c r="CM8" s="660"/>
      <c r="CN8" s="660"/>
      <c r="CO8" s="660"/>
      <c r="CP8" s="661"/>
      <c r="CQ8" s="142" t="s">
        <v>257</v>
      </c>
      <c r="CR8" s="78"/>
      <c r="CS8" s="78"/>
      <c r="CT8" s="79"/>
      <c r="CU8" s="659"/>
      <c r="CV8" s="660"/>
      <c r="CW8" s="660"/>
      <c r="CX8" s="660"/>
      <c r="CY8" s="660"/>
      <c r="CZ8" s="660"/>
      <c r="DA8" s="660"/>
      <c r="DB8" s="661"/>
      <c r="DC8" s="142" t="s">
        <v>257</v>
      </c>
      <c r="DD8" s="78"/>
      <c r="DE8" s="78"/>
      <c r="DF8" s="79"/>
      <c r="DG8" s="659"/>
      <c r="DH8" s="660"/>
      <c r="DI8" s="660"/>
      <c r="DJ8" s="660"/>
      <c r="DK8" s="660"/>
      <c r="DL8" s="660"/>
      <c r="DM8" s="660"/>
      <c r="DN8" s="661"/>
      <c r="DO8" s="142" t="s">
        <v>257</v>
      </c>
      <c r="DP8" s="78"/>
      <c r="DQ8" s="78"/>
      <c r="DR8" s="79"/>
    </row>
    <row r="9" spans="1:122">
      <c r="A9" s="132"/>
      <c r="B9" s="141" t="s">
        <v>258</v>
      </c>
      <c r="C9" s="662"/>
      <c r="D9" s="663"/>
      <c r="E9" s="663"/>
      <c r="F9" s="663"/>
      <c r="G9" s="663"/>
      <c r="H9" s="663"/>
      <c r="I9" s="663"/>
      <c r="J9" s="664"/>
      <c r="K9" s="143" t="s">
        <v>258</v>
      </c>
      <c r="L9" s="82"/>
      <c r="M9" s="82"/>
      <c r="N9" s="83"/>
      <c r="O9" s="662"/>
      <c r="P9" s="663"/>
      <c r="Q9" s="663"/>
      <c r="R9" s="663"/>
      <c r="S9" s="663"/>
      <c r="T9" s="663"/>
      <c r="U9" s="663"/>
      <c r="V9" s="664"/>
      <c r="W9" s="143" t="s">
        <v>258</v>
      </c>
      <c r="X9" s="82"/>
      <c r="Y9" s="82"/>
      <c r="Z9" s="83"/>
      <c r="AA9" s="662"/>
      <c r="AB9" s="663"/>
      <c r="AC9" s="663"/>
      <c r="AD9" s="663"/>
      <c r="AE9" s="663"/>
      <c r="AF9" s="663"/>
      <c r="AG9" s="663"/>
      <c r="AH9" s="664"/>
      <c r="AI9" s="143" t="s">
        <v>258</v>
      </c>
      <c r="AJ9" s="82"/>
      <c r="AK9" s="82"/>
      <c r="AL9" s="83"/>
      <c r="AM9" s="662"/>
      <c r="AN9" s="663"/>
      <c r="AO9" s="663"/>
      <c r="AP9" s="663"/>
      <c r="AQ9" s="663"/>
      <c r="AR9" s="663"/>
      <c r="AS9" s="663"/>
      <c r="AT9" s="664"/>
      <c r="AU9" s="143" t="s">
        <v>258</v>
      </c>
      <c r="AV9" s="82"/>
      <c r="AW9" s="82"/>
      <c r="AX9" s="83"/>
      <c r="AY9" s="662"/>
      <c r="AZ9" s="663"/>
      <c r="BA9" s="663"/>
      <c r="BB9" s="663"/>
      <c r="BC9" s="663"/>
      <c r="BD9" s="663"/>
      <c r="BE9" s="663"/>
      <c r="BF9" s="664"/>
      <c r="BG9" s="143" t="s">
        <v>258</v>
      </c>
      <c r="BH9" s="82"/>
      <c r="BI9" s="82"/>
      <c r="BJ9" s="83"/>
      <c r="BK9" s="662"/>
      <c r="BL9" s="663"/>
      <c r="BM9" s="663"/>
      <c r="BN9" s="663"/>
      <c r="BO9" s="663"/>
      <c r="BP9" s="663"/>
      <c r="BQ9" s="663"/>
      <c r="BR9" s="664"/>
      <c r="BS9" s="143" t="s">
        <v>258</v>
      </c>
      <c r="BT9" s="82"/>
      <c r="BU9" s="82"/>
      <c r="BV9" s="83"/>
      <c r="BW9" s="662"/>
      <c r="BX9" s="663"/>
      <c r="BY9" s="663"/>
      <c r="BZ9" s="663"/>
      <c r="CA9" s="663"/>
      <c r="CB9" s="663"/>
      <c r="CC9" s="663"/>
      <c r="CD9" s="664"/>
      <c r="CE9" s="143" t="s">
        <v>258</v>
      </c>
      <c r="CF9" s="82"/>
      <c r="CG9" s="82"/>
      <c r="CH9" s="83"/>
      <c r="CI9" s="662"/>
      <c r="CJ9" s="663"/>
      <c r="CK9" s="663"/>
      <c r="CL9" s="663"/>
      <c r="CM9" s="663"/>
      <c r="CN9" s="663"/>
      <c r="CO9" s="663"/>
      <c r="CP9" s="664"/>
      <c r="CQ9" s="143" t="s">
        <v>258</v>
      </c>
      <c r="CR9" s="82"/>
      <c r="CS9" s="82"/>
      <c r="CT9" s="83"/>
      <c r="CU9" s="662"/>
      <c r="CV9" s="663"/>
      <c r="CW9" s="663"/>
      <c r="CX9" s="663"/>
      <c r="CY9" s="663"/>
      <c r="CZ9" s="663"/>
      <c r="DA9" s="663"/>
      <c r="DB9" s="664"/>
      <c r="DC9" s="143" t="s">
        <v>258</v>
      </c>
      <c r="DD9" s="82"/>
      <c r="DE9" s="82"/>
      <c r="DF9" s="83"/>
      <c r="DG9" s="662"/>
      <c r="DH9" s="663"/>
      <c r="DI9" s="663"/>
      <c r="DJ9" s="663"/>
      <c r="DK9" s="663"/>
      <c r="DL9" s="663"/>
      <c r="DM9" s="663"/>
      <c r="DN9" s="664"/>
      <c r="DO9" s="143" t="s">
        <v>258</v>
      </c>
      <c r="DP9" s="82"/>
      <c r="DQ9" s="82"/>
      <c r="DR9" s="83"/>
    </row>
    <row r="10" spans="1:122">
      <c r="A10" s="132"/>
      <c r="B10" s="141" t="s">
        <v>259</v>
      </c>
      <c r="C10" s="659"/>
      <c r="D10" s="660"/>
      <c r="E10" s="660"/>
      <c r="F10" s="660"/>
      <c r="G10" s="660"/>
      <c r="H10" s="660"/>
      <c r="I10" s="660"/>
      <c r="J10" s="661"/>
      <c r="K10" s="132"/>
      <c r="L10" s="188"/>
      <c r="M10" s="144"/>
      <c r="N10" s="144"/>
      <c r="O10" s="659"/>
      <c r="P10" s="660"/>
      <c r="Q10" s="660"/>
      <c r="R10" s="660"/>
      <c r="S10" s="660"/>
      <c r="T10" s="660"/>
      <c r="U10" s="660"/>
      <c r="V10" s="661"/>
      <c r="W10" s="132"/>
      <c r="X10" s="188"/>
      <c r="Y10" s="144"/>
      <c r="Z10" s="144"/>
      <c r="AA10" s="659"/>
      <c r="AB10" s="660"/>
      <c r="AC10" s="660"/>
      <c r="AD10" s="660"/>
      <c r="AE10" s="660"/>
      <c r="AF10" s="660"/>
      <c r="AG10" s="660"/>
      <c r="AH10" s="661"/>
      <c r="AI10" s="132"/>
      <c r="AJ10" s="188"/>
      <c r="AK10" s="144"/>
      <c r="AL10" s="144"/>
      <c r="AM10" s="659"/>
      <c r="AN10" s="660"/>
      <c r="AO10" s="660"/>
      <c r="AP10" s="660"/>
      <c r="AQ10" s="660"/>
      <c r="AR10" s="660"/>
      <c r="AS10" s="660"/>
      <c r="AT10" s="661"/>
      <c r="AU10" s="132"/>
      <c r="AV10" s="188"/>
      <c r="AW10" s="144"/>
      <c r="AX10" s="144"/>
      <c r="AY10" s="659"/>
      <c r="AZ10" s="660"/>
      <c r="BA10" s="660"/>
      <c r="BB10" s="660"/>
      <c r="BC10" s="660"/>
      <c r="BD10" s="660"/>
      <c r="BE10" s="660"/>
      <c r="BF10" s="661"/>
      <c r="BG10" s="132"/>
      <c r="BH10" s="188"/>
      <c r="BI10" s="144"/>
      <c r="BJ10" s="144"/>
      <c r="BK10" s="659"/>
      <c r="BL10" s="660"/>
      <c r="BM10" s="660"/>
      <c r="BN10" s="660"/>
      <c r="BO10" s="660"/>
      <c r="BP10" s="660"/>
      <c r="BQ10" s="660"/>
      <c r="BR10" s="661"/>
      <c r="BS10" s="132"/>
      <c r="BT10" s="188"/>
      <c r="BU10" s="144"/>
      <c r="BV10" s="144"/>
      <c r="BW10" s="659"/>
      <c r="BX10" s="660"/>
      <c r="BY10" s="660"/>
      <c r="BZ10" s="660"/>
      <c r="CA10" s="660"/>
      <c r="CB10" s="660"/>
      <c r="CC10" s="660"/>
      <c r="CD10" s="661"/>
      <c r="CE10" s="132"/>
      <c r="CF10" s="188"/>
      <c r="CG10" s="144"/>
      <c r="CH10" s="144"/>
      <c r="CI10" s="659"/>
      <c r="CJ10" s="660"/>
      <c r="CK10" s="660"/>
      <c r="CL10" s="660"/>
      <c r="CM10" s="660"/>
      <c r="CN10" s="660"/>
      <c r="CO10" s="660"/>
      <c r="CP10" s="661"/>
      <c r="CQ10" s="132"/>
      <c r="CR10" s="188"/>
      <c r="CS10" s="144"/>
      <c r="CT10" s="144"/>
      <c r="CU10" s="659"/>
      <c r="CV10" s="660"/>
      <c r="CW10" s="660"/>
      <c r="CX10" s="660"/>
      <c r="CY10" s="660"/>
      <c r="CZ10" s="660"/>
      <c r="DA10" s="660"/>
      <c r="DB10" s="661"/>
      <c r="DC10" s="132"/>
      <c r="DD10" s="188"/>
      <c r="DE10" s="144"/>
      <c r="DF10" s="144"/>
      <c r="DG10" s="659"/>
      <c r="DH10" s="660"/>
      <c r="DI10" s="660"/>
      <c r="DJ10" s="660"/>
      <c r="DK10" s="660"/>
      <c r="DL10" s="660"/>
      <c r="DM10" s="660"/>
      <c r="DN10" s="661"/>
      <c r="DO10" s="132"/>
      <c r="DP10" s="188"/>
      <c r="DQ10" s="144"/>
      <c r="DR10" s="144"/>
    </row>
    <row r="11" spans="1:122">
      <c r="A11" s="132"/>
      <c r="B11" s="141" t="s">
        <v>260</v>
      </c>
      <c r="C11" s="662"/>
      <c r="D11" s="663"/>
      <c r="E11" s="663"/>
      <c r="F11" s="663"/>
      <c r="G11" s="663"/>
      <c r="H11" s="663"/>
      <c r="I11" s="663"/>
      <c r="J11" s="664"/>
      <c r="K11" s="132"/>
      <c r="L11" s="188"/>
      <c r="M11" s="144"/>
      <c r="N11" s="144"/>
      <c r="O11" s="662"/>
      <c r="P11" s="663"/>
      <c r="Q11" s="663"/>
      <c r="R11" s="663"/>
      <c r="S11" s="663"/>
      <c r="T11" s="663"/>
      <c r="U11" s="663"/>
      <c r="V11" s="664"/>
      <c r="W11" s="132"/>
      <c r="X11" s="188"/>
      <c r="Y11" s="144"/>
      <c r="Z11" s="144"/>
      <c r="AA11" s="662"/>
      <c r="AB11" s="663"/>
      <c r="AC11" s="663"/>
      <c r="AD11" s="663"/>
      <c r="AE11" s="663"/>
      <c r="AF11" s="663"/>
      <c r="AG11" s="663"/>
      <c r="AH11" s="664"/>
      <c r="AI11" s="132"/>
      <c r="AJ11" s="188"/>
      <c r="AK11" s="144"/>
      <c r="AL11" s="144"/>
      <c r="AM11" s="662"/>
      <c r="AN11" s="663"/>
      <c r="AO11" s="663"/>
      <c r="AP11" s="663"/>
      <c r="AQ11" s="663"/>
      <c r="AR11" s="663"/>
      <c r="AS11" s="663"/>
      <c r="AT11" s="664"/>
      <c r="AU11" s="132"/>
      <c r="AV11" s="188"/>
      <c r="AW11" s="144"/>
      <c r="AX11" s="144"/>
      <c r="AY11" s="662"/>
      <c r="AZ11" s="663"/>
      <c r="BA11" s="663"/>
      <c r="BB11" s="663"/>
      <c r="BC11" s="663"/>
      <c r="BD11" s="663"/>
      <c r="BE11" s="663"/>
      <c r="BF11" s="664"/>
      <c r="BG11" s="132"/>
      <c r="BH11" s="188"/>
      <c r="BI11" s="144"/>
      <c r="BJ11" s="144"/>
      <c r="BK11" s="662"/>
      <c r="BL11" s="663"/>
      <c r="BM11" s="663"/>
      <c r="BN11" s="663"/>
      <c r="BO11" s="663"/>
      <c r="BP11" s="663"/>
      <c r="BQ11" s="663"/>
      <c r="BR11" s="664"/>
      <c r="BS11" s="132"/>
      <c r="BT11" s="188"/>
      <c r="BU11" s="144"/>
      <c r="BV11" s="144"/>
      <c r="BW11" s="662"/>
      <c r="BX11" s="663"/>
      <c r="BY11" s="663"/>
      <c r="BZ11" s="663"/>
      <c r="CA11" s="663"/>
      <c r="CB11" s="663"/>
      <c r="CC11" s="663"/>
      <c r="CD11" s="664"/>
      <c r="CE11" s="132"/>
      <c r="CF11" s="188"/>
      <c r="CG11" s="144"/>
      <c r="CH11" s="144"/>
      <c r="CI11" s="662"/>
      <c r="CJ11" s="663"/>
      <c r="CK11" s="663"/>
      <c r="CL11" s="663"/>
      <c r="CM11" s="663"/>
      <c r="CN11" s="663"/>
      <c r="CO11" s="663"/>
      <c r="CP11" s="664"/>
      <c r="CQ11" s="132"/>
      <c r="CR11" s="188"/>
      <c r="CS11" s="144"/>
      <c r="CT11" s="144"/>
      <c r="CU11" s="662"/>
      <c r="CV11" s="663"/>
      <c r="CW11" s="663"/>
      <c r="CX11" s="663"/>
      <c r="CY11" s="663"/>
      <c r="CZ11" s="663"/>
      <c r="DA11" s="663"/>
      <c r="DB11" s="664"/>
      <c r="DC11" s="132"/>
      <c r="DD11" s="188"/>
      <c r="DE11" s="144"/>
      <c r="DF11" s="144"/>
      <c r="DG11" s="662"/>
      <c r="DH11" s="663"/>
      <c r="DI11" s="663"/>
      <c r="DJ11" s="663"/>
      <c r="DK11" s="663"/>
      <c r="DL11" s="663"/>
      <c r="DM11" s="663"/>
      <c r="DN11" s="664"/>
      <c r="DO11" s="132"/>
      <c r="DP11" s="188"/>
      <c r="DQ11" s="144"/>
      <c r="DR11" s="144"/>
    </row>
    <row r="12" spans="1:122">
      <c r="A12" s="132"/>
      <c r="B12" s="141" t="s">
        <v>261</v>
      </c>
      <c r="C12" s="659"/>
      <c r="D12" s="660"/>
      <c r="E12" s="660"/>
      <c r="F12" s="660"/>
      <c r="G12" s="660"/>
      <c r="H12" s="660"/>
      <c r="I12" s="660"/>
      <c r="J12" s="661"/>
      <c r="K12" s="132"/>
      <c r="L12" s="654"/>
      <c r="M12" s="654"/>
      <c r="N12" s="144"/>
      <c r="O12" s="659"/>
      <c r="P12" s="660"/>
      <c r="Q12" s="660"/>
      <c r="R12" s="660"/>
      <c r="S12" s="660"/>
      <c r="T12" s="660"/>
      <c r="U12" s="660"/>
      <c r="V12" s="661"/>
      <c r="W12" s="132"/>
      <c r="X12" s="654"/>
      <c r="Y12" s="654"/>
      <c r="Z12" s="144"/>
      <c r="AA12" s="659"/>
      <c r="AB12" s="660"/>
      <c r="AC12" s="660"/>
      <c r="AD12" s="660"/>
      <c r="AE12" s="660"/>
      <c r="AF12" s="660"/>
      <c r="AG12" s="660"/>
      <c r="AH12" s="661"/>
      <c r="AI12" s="132"/>
      <c r="AJ12" s="654"/>
      <c r="AK12" s="654"/>
      <c r="AL12" s="144"/>
      <c r="AM12" s="659"/>
      <c r="AN12" s="660"/>
      <c r="AO12" s="660"/>
      <c r="AP12" s="660"/>
      <c r="AQ12" s="660"/>
      <c r="AR12" s="660"/>
      <c r="AS12" s="660"/>
      <c r="AT12" s="661"/>
      <c r="AU12" s="132"/>
      <c r="AV12" s="654"/>
      <c r="AW12" s="654"/>
      <c r="AX12" s="144"/>
      <c r="AY12" s="659"/>
      <c r="AZ12" s="660"/>
      <c r="BA12" s="660"/>
      <c r="BB12" s="660"/>
      <c r="BC12" s="660"/>
      <c r="BD12" s="660"/>
      <c r="BE12" s="660"/>
      <c r="BF12" s="661"/>
      <c r="BG12" s="132"/>
      <c r="BH12" s="654"/>
      <c r="BI12" s="654"/>
      <c r="BJ12" s="144"/>
      <c r="BK12" s="659"/>
      <c r="BL12" s="660"/>
      <c r="BM12" s="660"/>
      <c r="BN12" s="660"/>
      <c r="BO12" s="660"/>
      <c r="BP12" s="660"/>
      <c r="BQ12" s="660"/>
      <c r="BR12" s="661"/>
      <c r="BS12" s="132"/>
      <c r="BT12" s="654"/>
      <c r="BU12" s="654"/>
      <c r="BV12" s="144"/>
      <c r="BW12" s="659"/>
      <c r="BX12" s="660"/>
      <c r="BY12" s="660"/>
      <c r="BZ12" s="660"/>
      <c r="CA12" s="660"/>
      <c r="CB12" s="660"/>
      <c r="CC12" s="660"/>
      <c r="CD12" s="661"/>
      <c r="CE12" s="132"/>
      <c r="CF12" s="654"/>
      <c r="CG12" s="654"/>
      <c r="CH12" s="144"/>
      <c r="CI12" s="659"/>
      <c r="CJ12" s="660"/>
      <c r="CK12" s="660"/>
      <c r="CL12" s="660"/>
      <c r="CM12" s="660"/>
      <c r="CN12" s="660"/>
      <c r="CO12" s="660"/>
      <c r="CP12" s="661"/>
      <c r="CQ12" s="132"/>
      <c r="CR12" s="654"/>
      <c r="CS12" s="654"/>
      <c r="CT12" s="144"/>
      <c r="CU12" s="659"/>
      <c r="CV12" s="660"/>
      <c r="CW12" s="660"/>
      <c r="CX12" s="660"/>
      <c r="CY12" s="660"/>
      <c r="CZ12" s="660"/>
      <c r="DA12" s="660"/>
      <c r="DB12" s="661"/>
      <c r="DC12" s="132"/>
      <c r="DD12" s="654"/>
      <c r="DE12" s="654"/>
      <c r="DF12" s="144"/>
      <c r="DG12" s="659"/>
      <c r="DH12" s="660"/>
      <c r="DI12" s="660"/>
      <c r="DJ12" s="660"/>
      <c r="DK12" s="660"/>
      <c r="DL12" s="660"/>
      <c r="DM12" s="660"/>
      <c r="DN12" s="661"/>
      <c r="DO12" s="132"/>
      <c r="DP12" s="654"/>
      <c r="DQ12" s="654"/>
      <c r="DR12" s="144"/>
    </row>
    <row r="13" spans="1:122" ht="15.75" thickBot="1">
      <c r="A13" s="132"/>
      <c r="B13" s="192"/>
      <c r="C13" s="655"/>
      <c r="D13" s="655"/>
      <c r="E13" s="655"/>
      <c r="F13" s="655"/>
      <c r="G13" s="655"/>
      <c r="H13" s="655"/>
      <c r="I13" s="655"/>
      <c r="J13" s="655"/>
      <c r="K13" s="132"/>
      <c r="L13" s="654"/>
      <c r="M13" s="654"/>
      <c r="N13" s="145"/>
      <c r="O13" s="655"/>
      <c r="P13" s="655"/>
      <c r="Q13" s="655"/>
      <c r="R13" s="655"/>
      <c r="S13" s="655"/>
      <c r="T13" s="655"/>
      <c r="U13" s="655"/>
      <c r="V13" s="655"/>
      <c r="W13" s="132"/>
      <c r="X13" s="654"/>
      <c r="Y13" s="654"/>
      <c r="Z13" s="145"/>
      <c r="AA13" s="655"/>
      <c r="AB13" s="655"/>
      <c r="AC13" s="655"/>
      <c r="AD13" s="655"/>
      <c r="AE13" s="655"/>
      <c r="AF13" s="655"/>
      <c r="AG13" s="655"/>
      <c r="AH13" s="655"/>
      <c r="AI13" s="132"/>
      <c r="AJ13" s="654"/>
      <c r="AK13" s="654"/>
      <c r="AL13" s="145"/>
      <c r="AM13" s="655"/>
      <c r="AN13" s="655"/>
      <c r="AO13" s="655"/>
      <c r="AP13" s="655"/>
      <c r="AQ13" s="655"/>
      <c r="AR13" s="655"/>
      <c r="AS13" s="655"/>
      <c r="AT13" s="655"/>
      <c r="AU13" s="132"/>
      <c r="AV13" s="654"/>
      <c r="AW13" s="654"/>
      <c r="AX13" s="145"/>
      <c r="AY13" s="655"/>
      <c r="AZ13" s="655"/>
      <c r="BA13" s="655"/>
      <c r="BB13" s="655"/>
      <c r="BC13" s="655"/>
      <c r="BD13" s="655"/>
      <c r="BE13" s="655"/>
      <c r="BF13" s="655"/>
      <c r="BG13" s="132"/>
      <c r="BH13" s="654"/>
      <c r="BI13" s="654"/>
      <c r="BJ13" s="145"/>
      <c r="BK13" s="655"/>
      <c r="BL13" s="655"/>
      <c r="BM13" s="655"/>
      <c r="BN13" s="655"/>
      <c r="BO13" s="655"/>
      <c r="BP13" s="655"/>
      <c r="BQ13" s="655"/>
      <c r="BR13" s="655"/>
      <c r="BS13" s="132"/>
      <c r="BT13" s="654"/>
      <c r="BU13" s="654"/>
      <c r="BV13" s="145"/>
      <c r="BW13" s="655"/>
      <c r="BX13" s="655"/>
      <c r="BY13" s="655"/>
      <c r="BZ13" s="655"/>
      <c r="CA13" s="655"/>
      <c r="CB13" s="655"/>
      <c r="CC13" s="655"/>
      <c r="CD13" s="655"/>
      <c r="CE13" s="132"/>
      <c r="CF13" s="654"/>
      <c r="CG13" s="654"/>
      <c r="CH13" s="145"/>
      <c r="CI13" s="655"/>
      <c r="CJ13" s="655"/>
      <c r="CK13" s="655"/>
      <c r="CL13" s="655"/>
      <c r="CM13" s="655"/>
      <c r="CN13" s="655"/>
      <c r="CO13" s="655"/>
      <c r="CP13" s="655"/>
      <c r="CQ13" s="132"/>
      <c r="CR13" s="654"/>
      <c r="CS13" s="654"/>
      <c r="CT13" s="145"/>
      <c r="CU13" s="655"/>
      <c r="CV13" s="655"/>
      <c r="CW13" s="655"/>
      <c r="CX13" s="655"/>
      <c r="CY13" s="655"/>
      <c r="CZ13" s="655"/>
      <c r="DA13" s="655"/>
      <c r="DB13" s="655"/>
      <c r="DC13" s="132"/>
      <c r="DD13" s="654"/>
      <c r="DE13" s="654"/>
      <c r="DF13" s="145"/>
      <c r="DG13" s="655"/>
      <c r="DH13" s="655"/>
      <c r="DI13" s="655"/>
      <c r="DJ13" s="655"/>
      <c r="DK13" s="655"/>
      <c r="DL13" s="655"/>
      <c r="DM13" s="655"/>
      <c r="DN13" s="655"/>
      <c r="DO13" s="132"/>
      <c r="DP13" s="654"/>
      <c r="DQ13" s="654"/>
      <c r="DR13" s="145"/>
    </row>
    <row r="14" spans="1:122" ht="15.75" thickBot="1">
      <c r="A14" s="132"/>
      <c r="B14" s="132"/>
      <c r="C14" s="665">
        <f>IF('Input Nilai Ketrampilan'!F2="","",'Input Nilai Ketrampilan'!F2)</f>
        <v>41</v>
      </c>
      <c r="D14" s="666"/>
      <c r="E14" s="666"/>
      <c r="F14" s="666"/>
      <c r="G14" s="666"/>
      <c r="H14" s="666"/>
      <c r="I14" s="666"/>
      <c r="J14" s="666"/>
      <c r="K14" s="666"/>
      <c r="L14" s="666"/>
      <c r="M14" s="666"/>
      <c r="N14" s="667"/>
      <c r="O14" s="665">
        <f>IF('Input Nilai Ketrampilan'!K2="","",'Input Nilai Ketrampilan'!K2)</f>
        <v>42</v>
      </c>
      <c r="P14" s="666"/>
      <c r="Q14" s="666"/>
      <c r="R14" s="666"/>
      <c r="S14" s="666"/>
      <c r="T14" s="666"/>
      <c r="U14" s="666"/>
      <c r="V14" s="666"/>
      <c r="W14" s="666"/>
      <c r="X14" s="666"/>
      <c r="Y14" s="666"/>
      <c r="Z14" s="667"/>
      <c r="AA14" s="665">
        <f>IF('Input Nilai Ketrampilan'!P2="","",'Input Nilai Ketrampilan'!P2)</f>
        <v>43</v>
      </c>
      <c r="AB14" s="666"/>
      <c r="AC14" s="666"/>
      <c r="AD14" s="666"/>
      <c r="AE14" s="666"/>
      <c r="AF14" s="666"/>
      <c r="AG14" s="666"/>
      <c r="AH14" s="666"/>
      <c r="AI14" s="666"/>
      <c r="AJ14" s="666"/>
      <c r="AK14" s="666"/>
      <c r="AL14" s="667"/>
      <c r="AM14" s="665">
        <f>IF('Input Nilai Ketrampilan'!U2="","",'Input Nilai Ketrampilan'!U2)</f>
        <v>44</v>
      </c>
      <c r="AN14" s="666"/>
      <c r="AO14" s="666"/>
      <c r="AP14" s="666"/>
      <c r="AQ14" s="666"/>
      <c r="AR14" s="666"/>
      <c r="AS14" s="666"/>
      <c r="AT14" s="666"/>
      <c r="AU14" s="666"/>
      <c r="AV14" s="666"/>
      <c r="AW14" s="666"/>
      <c r="AX14" s="667"/>
      <c r="AY14" s="665">
        <f>IF('Input Nilai Ketrampilan'!Z2="","",'Input Nilai Ketrampilan'!Z2)</f>
        <v>45</v>
      </c>
      <c r="AZ14" s="666"/>
      <c r="BA14" s="666"/>
      <c r="BB14" s="666"/>
      <c r="BC14" s="666"/>
      <c r="BD14" s="666"/>
      <c r="BE14" s="666"/>
      <c r="BF14" s="666"/>
      <c r="BG14" s="666"/>
      <c r="BH14" s="666"/>
      <c r="BI14" s="666"/>
      <c r="BJ14" s="667"/>
      <c r="BK14" s="665">
        <f>IF('Input Nilai Ketrampilan'!AE2="","",'Input Nilai Ketrampilan'!AE2)</f>
        <v>46</v>
      </c>
      <c r="BL14" s="666"/>
      <c r="BM14" s="666"/>
      <c r="BN14" s="666"/>
      <c r="BO14" s="666"/>
      <c r="BP14" s="666"/>
      <c r="BQ14" s="666"/>
      <c r="BR14" s="666"/>
      <c r="BS14" s="666"/>
      <c r="BT14" s="666"/>
      <c r="BU14" s="666"/>
      <c r="BV14" s="667"/>
      <c r="BW14" s="665">
        <f>IF('Input Nilai Ketrampilan'!AJ2="","",'Input Nilai Ketrampilan'!AJ2)</f>
        <v>47</v>
      </c>
      <c r="BX14" s="666"/>
      <c r="BY14" s="666"/>
      <c r="BZ14" s="666"/>
      <c r="CA14" s="666"/>
      <c r="CB14" s="666"/>
      <c r="CC14" s="666"/>
      <c r="CD14" s="666"/>
      <c r="CE14" s="666"/>
      <c r="CF14" s="666"/>
      <c r="CG14" s="666"/>
      <c r="CH14" s="667"/>
      <c r="CI14" s="665">
        <f>IF('Input Nilai Ketrampilan'!AO2="","",'Input Nilai Ketrampilan'!AO2)</f>
        <v>48</v>
      </c>
      <c r="CJ14" s="666"/>
      <c r="CK14" s="666"/>
      <c r="CL14" s="666"/>
      <c r="CM14" s="666"/>
      <c r="CN14" s="666"/>
      <c r="CO14" s="666"/>
      <c r="CP14" s="666"/>
      <c r="CQ14" s="666"/>
      <c r="CR14" s="666"/>
      <c r="CS14" s="666"/>
      <c r="CT14" s="667"/>
      <c r="CU14" s="665">
        <f>IF('Input Nilai Ketrampilan'!AT2="","",'Input Nilai Ketrampilan'!AT2)</f>
        <v>49</v>
      </c>
      <c r="CV14" s="666"/>
      <c r="CW14" s="666"/>
      <c r="CX14" s="666"/>
      <c r="CY14" s="666"/>
      <c r="CZ14" s="666"/>
      <c r="DA14" s="666"/>
      <c r="DB14" s="666"/>
      <c r="DC14" s="666"/>
      <c r="DD14" s="666"/>
      <c r="DE14" s="666"/>
      <c r="DF14" s="667"/>
      <c r="DG14" s="665" t="e">
        <f>IF('Input Nilai Ketrampilan'!#REF!="","",'Input Nilai Ketrampilan'!#REF!)</f>
        <v>#REF!</v>
      </c>
      <c r="DH14" s="666"/>
      <c r="DI14" s="666"/>
      <c r="DJ14" s="666"/>
      <c r="DK14" s="666"/>
      <c r="DL14" s="666"/>
      <c r="DM14" s="666"/>
      <c r="DN14" s="666"/>
      <c r="DO14" s="666"/>
      <c r="DP14" s="666"/>
      <c r="DQ14" s="666"/>
      <c r="DR14" s="667"/>
    </row>
    <row r="15" spans="1:122">
      <c r="A15" s="679" t="s">
        <v>262</v>
      </c>
      <c r="B15" s="146" t="s">
        <v>263</v>
      </c>
      <c r="C15" s="668" t="s">
        <v>264</v>
      </c>
      <c r="D15" s="670" t="s">
        <v>265</v>
      </c>
      <c r="E15" s="668" t="s">
        <v>266</v>
      </c>
      <c r="F15" s="668" t="s">
        <v>267</v>
      </c>
      <c r="G15" s="668" t="s">
        <v>268</v>
      </c>
      <c r="H15" s="668" t="s">
        <v>269</v>
      </c>
      <c r="I15" s="670" t="s">
        <v>270</v>
      </c>
      <c r="J15" s="672" t="s">
        <v>271</v>
      </c>
      <c r="K15" s="674" t="s">
        <v>272</v>
      </c>
      <c r="L15" s="674" t="s">
        <v>273</v>
      </c>
      <c r="M15" s="677" t="s">
        <v>274</v>
      </c>
      <c r="N15" s="677" t="s">
        <v>104</v>
      </c>
      <c r="O15" s="668" t="s">
        <v>264</v>
      </c>
      <c r="P15" s="670" t="s">
        <v>265</v>
      </c>
      <c r="Q15" s="668" t="s">
        <v>266</v>
      </c>
      <c r="R15" s="668" t="s">
        <v>267</v>
      </c>
      <c r="S15" s="668" t="s">
        <v>268</v>
      </c>
      <c r="T15" s="668" t="s">
        <v>269</v>
      </c>
      <c r="U15" s="670" t="s">
        <v>270</v>
      </c>
      <c r="V15" s="672" t="s">
        <v>271</v>
      </c>
      <c r="W15" s="674" t="s">
        <v>272</v>
      </c>
      <c r="X15" s="674" t="s">
        <v>273</v>
      </c>
      <c r="Y15" s="677" t="s">
        <v>274</v>
      </c>
      <c r="Z15" s="677" t="s">
        <v>104</v>
      </c>
      <c r="AA15" s="668" t="s">
        <v>264</v>
      </c>
      <c r="AB15" s="670" t="s">
        <v>265</v>
      </c>
      <c r="AC15" s="668" t="s">
        <v>266</v>
      </c>
      <c r="AD15" s="668" t="s">
        <v>267</v>
      </c>
      <c r="AE15" s="668" t="s">
        <v>268</v>
      </c>
      <c r="AF15" s="668" t="s">
        <v>269</v>
      </c>
      <c r="AG15" s="670" t="s">
        <v>270</v>
      </c>
      <c r="AH15" s="672" t="s">
        <v>271</v>
      </c>
      <c r="AI15" s="674" t="s">
        <v>272</v>
      </c>
      <c r="AJ15" s="674" t="s">
        <v>273</v>
      </c>
      <c r="AK15" s="677" t="s">
        <v>274</v>
      </c>
      <c r="AL15" s="677" t="s">
        <v>104</v>
      </c>
      <c r="AM15" s="668" t="s">
        <v>264</v>
      </c>
      <c r="AN15" s="670" t="s">
        <v>265</v>
      </c>
      <c r="AO15" s="668" t="s">
        <v>266</v>
      </c>
      <c r="AP15" s="668" t="s">
        <v>267</v>
      </c>
      <c r="AQ15" s="668" t="s">
        <v>268</v>
      </c>
      <c r="AR15" s="668" t="s">
        <v>269</v>
      </c>
      <c r="AS15" s="670" t="s">
        <v>270</v>
      </c>
      <c r="AT15" s="672" t="s">
        <v>271</v>
      </c>
      <c r="AU15" s="674" t="s">
        <v>272</v>
      </c>
      <c r="AV15" s="674" t="s">
        <v>273</v>
      </c>
      <c r="AW15" s="677" t="s">
        <v>274</v>
      </c>
      <c r="AX15" s="677" t="s">
        <v>104</v>
      </c>
      <c r="AY15" s="668" t="s">
        <v>264</v>
      </c>
      <c r="AZ15" s="670" t="s">
        <v>265</v>
      </c>
      <c r="BA15" s="668" t="s">
        <v>266</v>
      </c>
      <c r="BB15" s="668" t="s">
        <v>267</v>
      </c>
      <c r="BC15" s="668" t="s">
        <v>268</v>
      </c>
      <c r="BD15" s="668" t="s">
        <v>269</v>
      </c>
      <c r="BE15" s="670" t="s">
        <v>270</v>
      </c>
      <c r="BF15" s="672" t="s">
        <v>271</v>
      </c>
      <c r="BG15" s="674" t="s">
        <v>272</v>
      </c>
      <c r="BH15" s="674" t="s">
        <v>273</v>
      </c>
      <c r="BI15" s="677" t="s">
        <v>274</v>
      </c>
      <c r="BJ15" s="677" t="s">
        <v>104</v>
      </c>
      <c r="BK15" s="668" t="s">
        <v>264</v>
      </c>
      <c r="BL15" s="670" t="s">
        <v>265</v>
      </c>
      <c r="BM15" s="668" t="s">
        <v>266</v>
      </c>
      <c r="BN15" s="668" t="s">
        <v>267</v>
      </c>
      <c r="BO15" s="668" t="s">
        <v>268</v>
      </c>
      <c r="BP15" s="668" t="s">
        <v>269</v>
      </c>
      <c r="BQ15" s="670" t="s">
        <v>270</v>
      </c>
      <c r="BR15" s="672" t="s">
        <v>271</v>
      </c>
      <c r="BS15" s="674" t="s">
        <v>272</v>
      </c>
      <c r="BT15" s="674" t="s">
        <v>273</v>
      </c>
      <c r="BU15" s="677" t="s">
        <v>274</v>
      </c>
      <c r="BV15" s="677" t="s">
        <v>104</v>
      </c>
      <c r="BW15" s="668" t="s">
        <v>264</v>
      </c>
      <c r="BX15" s="670" t="s">
        <v>265</v>
      </c>
      <c r="BY15" s="668" t="s">
        <v>266</v>
      </c>
      <c r="BZ15" s="668" t="s">
        <v>267</v>
      </c>
      <c r="CA15" s="668" t="s">
        <v>268</v>
      </c>
      <c r="CB15" s="668" t="s">
        <v>269</v>
      </c>
      <c r="CC15" s="670" t="s">
        <v>270</v>
      </c>
      <c r="CD15" s="672" t="s">
        <v>271</v>
      </c>
      <c r="CE15" s="674" t="s">
        <v>272</v>
      </c>
      <c r="CF15" s="674" t="s">
        <v>273</v>
      </c>
      <c r="CG15" s="677" t="s">
        <v>274</v>
      </c>
      <c r="CH15" s="677" t="s">
        <v>104</v>
      </c>
      <c r="CI15" s="668" t="s">
        <v>264</v>
      </c>
      <c r="CJ15" s="670" t="s">
        <v>265</v>
      </c>
      <c r="CK15" s="668" t="s">
        <v>266</v>
      </c>
      <c r="CL15" s="668" t="s">
        <v>267</v>
      </c>
      <c r="CM15" s="668" t="s">
        <v>268</v>
      </c>
      <c r="CN15" s="668" t="s">
        <v>269</v>
      </c>
      <c r="CO15" s="670" t="s">
        <v>270</v>
      </c>
      <c r="CP15" s="672" t="s">
        <v>271</v>
      </c>
      <c r="CQ15" s="674" t="s">
        <v>272</v>
      </c>
      <c r="CR15" s="674" t="s">
        <v>273</v>
      </c>
      <c r="CS15" s="677" t="s">
        <v>274</v>
      </c>
      <c r="CT15" s="677" t="s">
        <v>104</v>
      </c>
      <c r="CU15" s="668" t="s">
        <v>264</v>
      </c>
      <c r="CV15" s="670" t="s">
        <v>265</v>
      </c>
      <c r="CW15" s="668" t="s">
        <v>266</v>
      </c>
      <c r="CX15" s="668" t="s">
        <v>267</v>
      </c>
      <c r="CY15" s="668" t="s">
        <v>268</v>
      </c>
      <c r="CZ15" s="668" t="s">
        <v>269</v>
      </c>
      <c r="DA15" s="670" t="s">
        <v>270</v>
      </c>
      <c r="DB15" s="672" t="s">
        <v>271</v>
      </c>
      <c r="DC15" s="674" t="s">
        <v>272</v>
      </c>
      <c r="DD15" s="674" t="s">
        <v>273</v>
      </c>
      <c r="DE15" s="677" t="s">
        <v>274</v>
      </c>
      <c r="DF15" s="677" t="s">
        <v>104</v>
      </c>
      <c r="DG15" s="668" t="s">
        <v>264</v>
      </c>
      <c r="DH15" s="670" t="s">
        <v>265</v>
      </c>
      <c r="DI15" s="668" t="s">
        <v>266</v>
      </c>
      <c r="DJ15" s="668" t="s">
        <v>267</v>
      </c>
      <c r="DK15" s="668" t="s">
        <v>268</v>
      </c>
      <c r="DL15" s="668" t="s">
        <v>269</v>
      </c>
      <c r="DM15" s="670" t="s">
        <v>270</v>
      </c>
      <c r="DN15" s="672" t="s">
        <v>271</v>
      </c>
      <c r="DO15" s="674" t="s">
        <v>272</v>
      </c>
      <c r="DP15" s="674" t="s">
        <v>273</v>
      </c>
      <c r="DQ15" s="677" t="s">
        <v>274</v>
      </c>
      <c r="DR15" s="677" t="s">
        <v>104</v>
      </c>
    </row>
    <row r="16" spans="1:122" ht="24.75" customHeight="1">
      <c r="A16" s="680"/>
      <c r="C16" s="669"/>
      <c r="D16" s="668"/>
      <c r="E16" s="671"/>
      <c r="F16" s="669"/>
      <c r="G16" s="669"/>
      <c r="H16" s="669"/>
      <c r="I16" s="668"/>
      <c r="J16" s="673"/>
      <c r="K16" s="675"/>
      <c r="L16" s="676"/>
      <c r="M16" s="678"/>
      <c r="N16" s="678"/>
      <c r="O16" s="669"/>
      <c r="P16" s="668"/>
      <c r="Q16" s="671"/>
      <c r="R16" s="669"/>
      <c r="S16" s="669"/>
      <c r="T16" s="669"/>
      <c r="U16" s="668"/>
      <c r="V16" s="673"/>
      <c r="W16" s="675"/>
      <c r="X16" s="676"/>
      <c r="Y16" s="678"/>
      <c r="Z16" s="678"/>
      <c r="AA16" s="669"/>
      <c r="AB16" s="668"/>
      <c r="AC16" s="671"/>
      <c r="AD16" s="669"/>
      <c r="AE16" s="669"/>
      <c r="AF16" s="669"/>
      <c r="AG16" s="668"/>
      <c r="AH16" s="673"/>
      <c r="AI16" s="675"/>
      <c r="AJ16" s="676"/>
      <c r="AK16" s="678"/>
      <c r="AL16" s="678"/>
      <c r="AM16" s="669"/>
      <c r="AN16" s="668"/>
      <c r="AO16" s="671"/>
      <c r="AP16" s="669"/>
      <c r="AQ16" s="669"/>
      <c r="AR16" s="669"/>
      <c r="AS16" s="668"/>
      <c r="AT16" s="673"/>
      <c r="AU16" s="675"/>
      <c r="AV16" s="676"/>
      <c r="AW16" s="678"/>
      <c r="AX16" s="678"/>
      <c r="AY16" s="669"/>
      <c r="AZ16" s="668"/>
      <c r="BA16" s="671"/>
      <c r="BB16" s="669"/>
      <c r="BC16" s="669"/>
      <c r="BD16" s="669"/>
      <c r="BE16" s="668"/>
      <c r="BF16" s="673"/>
      <c r="BG16" s="675"/>
      <c r="BH16" s="676"/>
      <c r="BI16" s="678"/>
      <c r="BJ16" s="678"/>
      <c r="BK16" s="669"/>
      <c r="BL16" s="668"/>
      <c r="BM16" s="671"/>
      <c r="BN16" s="669"/>
      <c r="BO16" s="669"/>
      <c r="BP16" s="669"/>
      <c r="BQ16" s="668"/>
      <c r="BR16" s="673"/>
      <c r="BS16" s="675"/>
      <c r="BT16" s="676"/>
      <c r="BU16" s="678"/>
      <c r="BV16" s="678"/>
      <c r="BW16" s="669"/>
      <c r="BX16" s="668"/>
      <c r="BY16" s="671"/>
      <c r="BZ16" s="669"/>
      <c r="CA16" s="669"/>
      <c r="CB16" s="669"/>
      <c r="CC16" s="668"/>
      <c r="CD16" s="673"/>
      <c r="CE16" s="675"/>
      <c r="CF16" s="676"/>
      <c r="CG16" s="678"/>
      <c r="CH16" s="678"/>
      <c r="CI16" s="669"/>
      <c r="CJ16" s="668"/>
      <c r="CK16" s="671"/>
      <c r="CL16" s="669"/>
      <c r="CM16" s="669"/>
      <c r="CN16" s="669"/>
      <c r="CO16" s="668"/>
      <c r="CP16" s="673"/>
      <c r="CQ16" s="675"/>
      <c r="CR16" s="676"/>
      <c r="CS16" s="678"/>
      <c r="CT16" s="678"/>
      <c r="CU16" s="669"/>
      <c r="CV16" s="668"/>
      <c r="CW16" s="671"/>
      <c r="CX16" s="669"/>
      <c r="CY16" s="669"/>
      <c r="CZ16" s="669"/>
      <c r="DA16" s="668"/>
      <c r="DB16" s="673"/>
      <c r="DC16" s="675"/>
      <c r="DD16" s="676"/>
      <c r="DE16" s="678"/>
      <c r="DF16" s="678"/>
      <c r="DG16" s="669"/>
      <c r="DH16" s="668"/>
      <c r="DI16" s="671"/>
      <c r="DJ16" s="669"/>
      <c r="DK16" s="669"/>
      <c r="DL16" s="669"/>
      <c r="DM16" s="668"/>
      <c r="DN16" s="673"/>
      <c r="DO16" s="675"/>
      <c r="DP16" s="676"/>
      <c r="DQ16" s="678"/>
      <c r="DR16" s="678"/>
    </row>
    <row r="17" spans="1:122" ht="15.75">
      <c r="A17" s="681"/>
      <c r="B17" s="192" t="s">
        <v>275</v>
      </c>
      <c r="C17" s="58">
        <v>4</v>
      </c>
      <c r="D17" s="58"/>
      <c r="E17" s="58"/>
      <c r="F17" s="58"/>
      <c r="G17" s="58"/>
      <c r="H17" s="58"/>
      <c r="I17" s="58"/>
      <c r="J17" s="59">
        <f>SUM(C17:I17)</f>
        <v>4</v>
      </c>
      <c r="K17" s="147"/>
      <c r="L17" s="189"/>
      <c r="M17" s="190"/>
      <c r="N17" s="190"/>
      <c r="O17" s="58">
        <v>4</v>
      </c>
      <c r="P17" s="58"/>
      <c r="Q17" s="58"/>
      <c r="R17" s="58"/>
      <c r="S17" s="58"/>
      <c r="T17" s="58"/>
      <c r="U17" s="58"/>
      <c r="V17" s="59">
        <f>SUM(O17:U17)</f>
        <v>4</v>
      </c>
      <c r="W17" s="147"/>
      <c r="X17" s="189"/>
      <c r="Y17" s="190"/>
      <c r="Z17" s="190"/>
      <c r="AA17" s="58">
        <v>4</v>
      </c>
      <c r="AB17" s="58"/>
      <c r="AC17" s="58"/>
      <c r="AD17" s="58"/>
      <c r="AE17" s="58"/>
      <c r="AF17" s="58"/>
      <c r="AG17" s="58"/>
      <c r="AH17" s="59">
        <f>SUM(AA17:AG17)</f>
        <v>4</v>
      </c>
      <c r="AI17" s="147"/>
      <c r="AJ17" s="189"/>
      <c r="AK17" s="190"/>
      <c r="AL17" s="190"/>
      <c r="AM17" s="58">
        <v>4</v>
      </c>
      <c r="AN17" s="58"/>
      <c r="AO17" s="58"/>
      <c r="AP17" s="58"/>
      <c r="AQ17" s="58"/>
      <c r="AR17" s="58"/>
      <c r="AS17" s="58"/>
      <c r="AT17" s="59">
        <f>SUM(AM17:AS17)</f>
        <v>4</v>
      </c>
      <c r="AU17" s="147"/>
      <c r="AV17" s="189"/>
      <c r="AW17" s="190"/>
      <c r="AX17" s="190"/>
      <c r="AY17" s="58">
        <v>4</v>
      </c>
      <c r="AZ17" s="58"/>
      <c r="BA17" s="58"/>
      <c r="BB17" s="58"/>
      <c r="BC17" s="58"/>
      <c r="BD17" s="58"/>
      <c r="BE17" s="58"/>
      <c r="BF17" s="59">
        <f>SUM(AY17:BE17)</f>
        <v>4</v>
      </c>
      <c r="BG17" s="147"/>
      <c r="BH17" s="189"/>
      <c r="BI17" s="190"/>
      <c r="BJ17" s="190"/>
      <c r="BK17" s="58">
        <v>4</v>
      </c>
      <c r="BL17" s="58"/>
      <c r="BM17" s="58"/>
      <c r="BN17" s="58"/>
      <c r="BO17" s="58"/>
      <c r="BP17" s="58"/>
      <c r="BQ17" s="58"/>
      <c r="BR17" s="59">
        <f>SUM(BK17:BQ17)</f>
        <v>4</v>
      </c>
      <c r="BS17" s="147"/>
      <c r="BT17" s="189"/>
      <c r="BU17" s="190"/>
      <c r="BV17" s="190"/>
      <c r="BW17" s="58">
        <v>4</v>
      </c>
      <c r="BX17" s="58"/>
      <c r="BY17" s="58"/>
      <c r="BZ17" s="58"/>
      <c r="CA17" s="58"/>
      <c r="CB17" s="58"/>
      <c r="CC17" s="58"/>
      <c r="CD17" s="59">
        <f>SUM(BW17:CC17)</f>
        <v>4</v>
      </c>
      <c r="CE17" s="147"/>
      <c r="CF17" s="189"/>
      <c r="CG17" s="190"/>
      <c r="CH17" s="190"/>
      <c r="CI17" s="58">
        <v>4</v>
      </c>
      <c r="CJ17" s="58"/>
      <c r="CK17" s="58"/>
      <c r="CL17" s="58"/>
      <c r="CM17" s="58"/>
      <c r="CN17" s="58"/>
      <c r="CO17" s="58"/>
      <c r="CP17" s="59">
        <f>SUM(CI17:CO17)</f>
        <v>4</v>
      </c>
      <c r="CQ17" s="147"/>
      <c r="CR17" s="189"/>
      <c r="CS17" s="190"/>
      <c r="CT17" s="190"/>
      <c r="CU17" s="58">
        <v>4</v>
      </c>
      <c r="CV17" s="58"/>
      <c r="CW17" s="58"/>
      <c r="CX17" s="58"/>
      <c r="CY17" s="58"/>
      <c r="CZ17" s="58"/>
      <c r="DA17" s="58"/>
      <c r="DB17" s="59">
        <f>SUM(CU17:DA17)</f>
        <v>4</v>
      </c>
      <c r="DC17" s="147"/>
      <c r="DD17" s="189"/>
      <c r="DE17" s="190"/>
      <c r="DF17" s="190"/>
      <c r="DG17" s="58">
        <v>4</v>
      </c>
      <c r="DH17" s="58"/>
      <c r="DI17" s="58"/>
      <c r="DJ17" s="58"/>
      <c r="DK17" s="58"/>
      <c r="DL17" s="58"/>
      <c r="DM17" s="58"/>
      <c r="DN17" s="59">
        <f>SUM(DG17:DM17)</f>
        <v>4</v>
      </c>
      <c r="DO17" s="147"/>
      <c r="DP17" s="189"/>
      <c r="DQ17" s="190"/>
      <c r="DR17" s="190"/>
    </row>
    <row r="18" spans="1:122" ht="15.75">
      <c r="A18" s="148"/>
      <c r="B18" s="148" t="s">
        <v>239</v>
      </c>
      <c r="C18" s="149"/>
      <c r="D18" s="150"/>
      <c r="E18" s="151"/>
      <c r="F18" s="149"/>
      <c r="G18" s="149"/>
      <c r="H18" s="149"/>
      <c r="I18" s="150"/>
      <c r="J18" s="150"/>
      <c r="K18" s="150"/>
      <c r="L18" s="189"/>
      <c r="M18" s="190"/>
      <c r="N18" s="190"/>
      <c r="O18" s="149"/>
      <c r="P18" s="150"/>
      <c r="Q18" s="151"/>
      <c r="R18" s="149"/>
      <c r="S18" s="149"/>
      <c r="T18" s="149"/>
      <c r="U18" s="150"/>
      <c r="V18" s="150"/>
      <c r="W18" s="150"/>
      <c r="X18" s="189"/>
      <c r="Y18" s="190"/>
      <c r="Z18" s="190"/>
      <c r="AA18" s="149"/>
      <c r="AB18" s="150"/>
      <c r="AC18" s="151"/>
      <c r="AD18" s="149"/>
      <c r="AE18" s="149"/>
      <c r="AF18" s="149"/>
      <c r="AG18" s="150"/>
      <c r="AH18" s="150"/>
      <c r="AI18" s="150"/>
      <c r="AJ18" s="189"/>
      <c r="AK18" s="190"/>
      <c r="AL18" s="190"/>
      <c r="AM18" s="149"/>
      <c r="AN18" s="150"/>
      <c r="AO18" s="151"/>
      <c r="AP18" s="149"/>
      <c r="AQ18" s="149"/>
      <c r="AR18" s="149"/>
      <c r="AS18" s="150"/>
      <c r="AT18" s="150"/>
      <c r="AU18" s="150"/>
      <c r="AV18" s="189"/>
      <c r="AW18" s="190"/>
      <c r="AX18" s="190"/>
      <c r="AY18" s="149"/>
      <c r="AZ18" s="150"/>
      <c r="BA18" s="151"/>
      <c r="BB18" s="149"/>
      <c r="BC18" s="149"/>
      <c r="BD18" s="149"/>
      <c r="BE18" s="150"/>
      <c r="BF18" s="150"/>
      <c r="BG18" s="150"/>
      <c r="BH18" s="189"/>
      <c r="BI18" s="190"/>
      <c r="BJ18" s="190"/>
      <c r="BK18" s="149"/>
      <c r="BL18" s="150"/>
      <c r="BM18" s="151"/>
      <c r="BN18" s="149"/>
      <c r="BO18" s="149"/>
      <c r="BP18" s="149"/>
      <c r="BQ18" s="150"/>
      <c r="BR18" s="150"/>
      <c r="BS18" s="150"/>
      <c r="BT18" s="189"/>
      <c r="BU18" s="190"/>
      <c r="BV18" s="190"/>
      <c r="BW18" s="149"/>
      <c r="BX18" s="150"/>
      <c r="BY18" s="151"/>
      <c r="BZ18" s="149"/>
      <c r="CA18" s="149"/>
      <c r="CB18" s="149"/>
      <c r="CC18" s="150"/>
      <c r="CD18" s="150"/>
      <c r="CE18" s="150"/>
      <c r="CF18" s="189"/>
      <c r="CG18" s="190"/>
      <c r="CH18" s="190"/>
      <c r="CI18" s="149"/>
      <c r="CJ18" s="150"/>
      <c r="CK18" s="151"/>
      <c r="CL18" s="149"/>
      <c r="CM18" s="149"/>
      <c r="CN18" s="149"/>
      <c r="CO18" s="150"/>
      <c r="CP18" s="150"/>
      <c r="CQ18" s="150"/>
      <c r="CR18" s="189"/>
      <c r="CS18" s="190"/>
      <c r="CT18" s="190"/>
      <c r="CU18" s="149"/>
      <c r="CV18" s="150"/>
      <c r="CW18" s="151"/>
      <c r="CX18" s="149"/>
      <c r="CY18" s="149"/>
      <c r="CZ18" s="149"/>
      <c r="DA18" s="150"/>
      <c r="DB18" s="150"/>
      <c r="DC18" s="150"/>
      <c r="DD18" s="189"/>
      <c r="DE18" s="190"/>
      <c r="DF18" s="190"/>
      <c r="DG18" s="149"/>
      <c r="DH18" s="150"/>
      <c r="DI18" s="151"/>
      <c r="DJ18" s="149"/>
      <c r="DK18" s="149"/>
      <c r="DL18" s="149"/>
      <c r="DM18" s="150"/>
      <c r="DN18" s="150"/>
      <c r="DO18" s="150"/>
      <c r="DP18" s="189"/>
      <c r="DQ18" s="190"/>
      <c r="DR18" s="190"/>
    </row>
    <row r="19" spans="1:122">
      <c r="A19" s="64">
        <f>'DATA SISWA'!A5</f>
        <v>1</v>
      </c>
      <c r="B19" s="76" t="str">
        <f>'DATA SISWA'!C5</f>
        <v>Abd. Muis</v>
      </c>
      <c r="C19" s="65"/>
      <c r="D19" s="65"/>
      <c r="E19" s="65"/>
      <c r="F19" s="66"/>
      <c r="G19" s="65"/>
      <c r="H19" s="65"/>
      <c r="I19" s="65"/>
      <c r="J19" s="67">
        <f>SUM(C19:I19)</f>
        <v>0</v>
      </c>
      <c r="K19" s="68">
        <f>IFERROR((J19/$J$17)*100," ")</f>
        <v>0</v>
      </c>
      <c r="L19" s="68">
        <f>IFERROR((K19/100)*4,"  ")</f>
        <v>0</v>
      </c>
      <c r="M19" s="69" t="str">
        <f t="shared" ref="M19:M58" si="0">IF(L19="  ","  ",IF(L19&gt;3.66,"A",IF(L19&gt;3.33,"A-",IF(L19&gt;3,"B+",IF(L19&gt;2.66,"B",IF(L19&gt;2.33,"B-",IF(L19&gt;2,"C+",IF(L19&gt;1.66,"C",IF(L19&gt;1.33,"C-",IF(L19&gt;1,"D+","D"))))))))))</f>
        <v>D</v>
      </c>
      <c r="N19" s="70" t="str">
        <f>IF(L19="  ","  ",IF(L19&gt;=menu!$D$19,"Tuntas","Tidak Tuntas"))</f>
        <v>Tuntas</v>
      </c>
      <c r="O19" s="65"/>
      <c r="P19" s="65"/>
      <c r="Q19" s="65"/>
      <c r="R19" s="66"/>
      <c r="S19" s="65"/>
      <c r="T19" s="65"/>
      <c r="U19" s="65"/>
      <c r="V19" s="67">
        <f>SUM(O19:U19)</f>
        <v>0</v>
      </c>
      <c r="W19" s="68">
        <f>IFERROR((V19/$J$17)*100," ")</f>
        <v>0</v>
      </c>
      <c r="X19" s="68">
        <f>IFERROR((W19/100)*4,"  ")</f>
        <v>0</v>
      </c>
      <c r="Y19" s="69" t="str">
        <f t="shared" ref="Y19:Y58" si="1">IF(X19="  ","  ",IF(X19&gt;3.66,"A",IF(X19&gt;3.33,"A-",IF(X19&gt;3,"B+",IF(X19&gt;2.66,"B",IF(X19&gt;2.33,"B-",IF(X19&gt;2,"C+",IF(X19&gt;1.66,"C",IF(X19&gt;1.33,"C-",IF(X19&gt;1,"D+","D"))))))))))</f>
        <v>D</v>
      </c>
      <c r="Z19" s="70" t="str">
        <f>IF(X19="  ","  ",IF(X19&gt;=menu!$D$19,"Tuntas","Tidak Tuntas"))</f>
        <v>Tuntas</v>
      </c>
      <c r="AA19" s="65"/>
      <c r="AB19" s="65"/>
      <c r="AC19" s="65"/>
      <c r="AD19" s="66"/>
      <c r="AE19" s="65"/>
      <c r="AF19" s="65"/>
      <c r="AG19" s="65"/>
      <c r="AH19" s="67">
        <f>SUM(AA19:AG19)</f>
        <v>0</v>
      </c>
      <c r="AI19" s="68">
        <f>IFERROR((AH19/$J$17)*100," ")</f>
        <v>0</v>
      </c>
      <c r="AJ19" s="68">
        <f>IFERROR((AI19/100)*4,"  ")</f>
        <v>0</v>
      </c>
      <c r="AK19" s="69" t="str">
        <f t="shared" ref="AK19:AK58" si="2">IF(AJ19="  ","  ",IF(AJ19&gt;3.66,"A",IF(AJ19&gt;3.33,"A-",IF(AJ19&gt;3,"B+",IF(AJ19&gt;2.66,"B",IF(AJ19&gt;2.33,"B-",IF(AJ19&gt;2,"C+",IF(AJ19&gt;1.66,"C",IF(AJ19&gt;1.33,"C-",IF(AJ19&gt;1,"D+","D"))))))))))</f>
        <v>D</v>
      </c>
      <c r="AL19" s="70" t="str">
        <f>IF(AJ19="  ","  ",IF(AJ19&gt;=menu!$D$19,"Tuntas","Tidak Tuntas"))</f>
        <v>Tuntas</v>
      </c>
      <c r="AM19" s="65"/>
      <c r="AN19" s="65"/>
      <c r="AO19" s="65"/>
      <c r="AP19" s="66"/>
      <c r="AQ19" s="65"/>
      <c r="AR19" s="65"/>
      <c r="AS19" s="65"/>
      <c r="AT19" s="67">
        <f>SUM(AM19:AS19)</f>
        <v>0</v>
      </c>
      <c r="AU19" s="68">
        <f>IFERROR((AT19/$J$17)*100," ")</f>
        <v>0</v>
      </c>
      <c r="AV19" s="68">
        <f>IFERROR((AU19/100)*4,"  ")</f>
        <v>0</v>
      </c>
      <c r="AW19" s="69" t="str">
        <f t="shared" ref="AW19:AW58" si="3">IF(AV19="  ","  ",IF(AV19&gt;3.66,"A",IF(AV19&gt;3.33,"A-",IF(AV19&gt;3,"B+",IF(AV19&gt;2.66,"B",IF(AV19&gt;2.33,"B-",IF(AV19&gt;2,"C+",IF(AV19&gt;1.66,"C",IF(AV19&gt;1.33,"C-",IF(AV19&gt;1,"D+","D"))))))))))</f>
        <v>D</v>
      </c>
      <c r="AX19" s="70" t="str">
        <f>IF(AV19="  ","  ",IF(AV19&gt;=menu!$D$19,"Tuntas","Tidak Tuntas"))</f>
        <v>Tuntas</v>
      </c>
      <c r="AY19" s="65"/>
      <c r="AZ19" s="65"/>
      <c r="BA19" s="65"/>
      <c r="BB19" s="66"/>
      <c r="BC19" s="65"/>
      <c r="BD19" s="65"/>
      <c r="BE19" s="65"/>
      <c r="BF19" s="67">
        <f>SUM(AY19:BE19)</f>
        <v>0</v>
      </c>
      <c r="BG19" s="68">
        <f>IFERROR((BF19/$J$17)*100," ")</f>
        <v>0</v>
      </c>
      <c r="BH19" s="68">
        <f>IFERROR((BG19/100)*4,"  ")</f>
        <v>0</v>
      </c>
      <c r="BI19" s="69" t="str">
        <f t="shared" ref="BI19:BI58" si="4">IF(BH19="  ","  ",IF(BH19&gt;3.66,"A",IF(BH19&gt;3.33,"A-",IF(BH19&gt;3,"B+",IF(BH19&gt;2.66,"B",IF(BH19&gt;2.33,"B-",IF(BH19&gt;2,"C+",IF(BH19&gt;1.66,"C",IF(BH19&gt;1.33,"C-",IF(BH19&gt;1,"D+","D"))))))))))</f>
        <v>D</v>
      </c>
      <c r="BJ19" s="70" t="str">
        <f>IF(BH19="  ","  ",IF(BH19&gt;=menu!$D$19,"Tuntas","Tidak Tuntas"))</f>
        <v>Tuntas</v>
      </c>
      <c r="BK19" s="65"/>
      <c r="BL19" s="65"/>
      <c r="BM19" s="65"/>
      <c r="BN19" s="66"/>
      <c r="BO19" s="65"/>
      <c r="BP19" s="65"/>
      <c r="BQ19" s="65"/>
      <c r="BR19" s="67">
        <f>SUM(BK19:BQ19)</f>
        <v>0</v>
      </c>
      <c r="BS19" s="68">
        <f>IFERROR((BR19/$J$17)*100," ")</f>
        <v>0</v>
      </c>
      <c r="BT19" s="68">
        <f>IFERROR((BS19/100)*4,"  ")</f>
        <v>0</v>
      </c>
      <c r="BU19" s="69" t="str">
        <f t="shared" ref="BU19:BU58" si="5">IF(BT19="  ","  ",IF(BT19&gt;3.66,"A",IF(BT19&gt;3.33,"A-",IF(BT19&gt;3,"B+",IF(BT19&gt;2.66,"B",IF(BT19&gt;2.33,"B-",IF(BT19&gt;2,"C+",IF(BT19&gt;1.66,"C",IF(BT19&gt;1.33,"C-",IF(BT19&gt;1,"D+","D"))))))))))</f>
        <v>D</v>
      </c>
      <c r="BV19" s="70" t="str">
        <f>IF(BT19="  ","  ",IF(BT19&gt;=menu!$D$19,"Tuntas","Tidak Tuntas"))</f>
        <v>Tuntas</v>
      </c>
      <c r="BW19" s="65"/>
      <c r="BX19" s="65"/>
      <c r="BY19" s="65"/>
      <c r="BZ19" s="66"/>
      <c r="CA19" s="65"/>
      <c r="CB19" s="65"/>
      <c r="CC19" s="65"/>
      <c r="CD19" s="67">
        <f>SUM(BW19:CC19)</f>
        <v>0</v>
      </c>
      <c r="CE19" s="68">
        <f>IFERROR((CD19/$J$17)*100," ")</f>
        <v>0</v>
      </c>
      <c r="CF19" s="68">
        <f>IFERROR((CE19/100)*4,"  ")</f>
        <v>0</v>
      </c>
      <c r="CG19" s="69" t="str">
        <f t="shared" ref="CG19:CG58" si="6">IF(CF19="  ","  ",IF(CF19&gt;3.66,"A",IF(CF19&gt;3.33,"A-",IF(CF19&gt;3,"B+",IF(CF19&gt;2.66,"B",IF(CF19&gt;2.33,"B-",IF(CF19&gt;2,"C+",IF(CF19&gt;1.66,"C",IF(CF19&gt;1.33,"C-",IF(CF19&gt;1,"D+","D"))))))))))</f>
        <v>D</v>
      </c>
      <c r="CH19" s="70" t="str">
        <f>IF(CF19="  ","  ",IF(CF19&gt;=menu!$D$19,"Tuntas","Tidak Tuntas"))</f>
        <v>Tuntas</v>
      </c>
      <c r="CI19" s="65"/>
      <c r="CJ19" s="65"/>
      <c r="CK19" s="65"/>
      <c r="CL19" s="66"/>
      <c r="CM19" s="65"/>
      <c r="CN19" s="65"/>
      <c r="CO19" s="65"/>
      <c r="CP19" s="67">
        <f>SUM(CI19:CO19)</f>
        <v>0</v>
      </c>
      <c r="CQ19" s="68">
        <f>IFERROR((CP19/$J$17)*100," ")</f>
        <v>0</v>
      </c>
      <c r="CR19" s="68">
        <f>IFERROR((CQ19/100)*4,"  ")</f>
        <v>0</v>
      </c>
      <c r="CS19" s="69" t="str">
        <f t="shared" ref="CS19:CS58" si="7">IF(CR19="  ","  ",IF(CR19&gt;3.66,"A",IF(CR19&gt;3.33,"A-",IF(CR19&gt;3,"B+",IF(CR19&gt;2.66,"B",IF(CR19&gt;2.33,"B-",IF(CR19&gt;2,"C+",IF(CR19&gt;1.66,"C",IF(CR19&gt;1.33,"C-",IF(CR19&gt;1,"D+","D"))))))))))</f>
        <v>D</v>
      </c>
      <c r="CT19" s="70" t="str">
        <f>IF(CR19="  ","  ",IF(CR19&gt;=menu!$D$19,"Tuntas","Tidak Tuntas"))</f>
        <v>Tuntas</v>
      </c>
      <c r="CU19" s="65"/>
      <c r="CV19" s="65"/>
      <c r="CW19" s="65"/>
      <c r="CX19" s="66"/>
      <c r="CY19" s="65"/>
      <c r="CZ19" s="65"/>
      <c r="DA19" s="65"/>
      <c r="DB19" s="67">
        <f>SUM(CU19:DA19)</f>
        <v>0</v>
      </c>
      <c r="DC19" s="68">
        <f>IFERROR((DB19/$J$17)*100," ")</f>
        <v>0</v>
      </c>
      <c r="DD19" s="68">
        <f>IFERROR((DC19/100)*4,"  ")</f>
        <v>0</v>
      </c>
      <c r="DE19" s="69" t="str">
        <f t="shared" ref="DE19:DE58" si="8">IF(DD19="  ","  ",IF(DD19&gt;3.66,"A",IF(DD19&gt;3.33,"A-",IF(DD19&gt;3,"B+",IF(DD19&gt;2.66,"B",IF(DD19&gt;2.33,"B-",IF(DD19&gt;2,"C+",IF(DD19&gt;1.66,"C",IF(DD19&gt;1.33,"C-",IF(DD19&gt;1,"D+","D"))))))))))</f>
        <v>D</v>
      </c>
      <c r="DF19" s="70" t="str">
        <f>IF(DD19="  ","  ",IF(DD19&gt;=menu!$D$19,"Tuntas","Tidak Tuntas"))</f>
        <v>Tuntas</v>
      </c>
      <c r="DG19" s="65"/>
      <c r="DH19" s="65"/>
      <c r="DI19" s="65"/>
      <c r="DJ19" s="66"/>
      <c r="DK19" s="65"/>
      <c r="DL19" s="65"/>
      <c r="DM19" s="65"/>
      <c r="DN19" s="67">
        <f>SUM(DG19:DM19)</f>
        <v>0</v>
      </c>
      <c r="DO19" s="68">
        <f>IFERROR((DN19/$J$17)*100," ")</f>
        <v>0</v>
      </c>
      <c r="DP19" s="68">
        <f>IFERROR((DO19/100)*4,"  ")</f>
        <v>0</v>
      </c>
      <c r="DQ19" s="69" t="str">
        <f t="shared" ref="DQ19:DQ58" si="9">IF(DP19="  ","  ",IF(DP19&gt;3.66,"A",IF(DP19&gt;3.33,"A-",IF(DP19&gt;3,"B+",IF(DP19&gt;2.66,"B",IF(DP19&gt;2.33,"B-",IF(DP19&gt;2,"C+",IF(DP19&gt;1.66,"C",IF(DP19&gt;1.33,"C-",IF(DP19&gt;1,"D+","D"))))))))))</f>
        <v>D</v>
      </c>
      <c r="DR19" s="70" t="str">
        <f>IF(DP19="  ","  ",IF(DP19&gt;=menu!$D$19,"Tuntas","Tidak Tuntas"))</f>
        <v>Tuntas</v>
      </c>
    </row>
    <row r="20" spans="1:122">
      <c r="A20" s="64">
        <f>'DATA SISWA'!A6</f>
        <v>2</v>
      </c>
      <c r="B20" s="76" t="str">
        <f>'DATA SISWA'!C6</f>
        <v>Achmad Buka</v>
      </c>
      <c r="C20" s="65"/>
      <c r="D20" s="65"/>
      <c r="E20" s="65"/>
      <c r="F20" s="66"/>
      <c r="G20" s="65"/>
      <c r="H20" s="65"/>
      <c r="I20" s="65"/>
      <c r="J20" s="67">
        <f t="shared" ref="J20:J58" si="10">SUM(C20:I20)</f>
        <v>0</v>
      </c>
      <c r="K20" s="68">
        <f t="shared" ref="K20:K66" si="11">IFERROR((J20/$J$17)*100," ")</f>
        <v>0</v>
      </c>
      <c r="L20" s="68">
        <f t="shared" ref="L20:L58" si="12">IFERROR((K20/100)*4,"  ")</f>
        <v>0</v>
      </c>
      <c r="M20" s="69" t="str">
        <f t="shared" si="0"/>
        <v>D</v>
      </c>
      <c r="N20" s="70" t="str">
        <f>IF(L20="  ","  ",IF(L20&gt;=menu!$D$19,"Tuntas","Tidak Tuntas"))</f>
        <v>Tuntas</v>
      </c>
      <c r="O20" s="65"/>
      <c r="P20" s="65"/>
      <c r="Q20" s="65"/>
      <c r="R20" s="66"/>
      <c r="S20" s="65"/>
      <c r="T20" s="65"/>
      <c r="U20" s="65"/>
      <c r="V20" s="67">
        <f t="shared" ref="V20:V58" si="13">SUM(O20:U20)</f>
        <v>0</v>
      </c>
      <c r="W20" s="68">
        <f t="shared" ref="W20:W66" si="14">IFERROR((V20/$J$17)*100," ")</f>
        <v>0</v>
      </c>
      <c r="X20" s="68">
        <f t="shared" ref="X20:X58" si="15">IFERROR((W20/100)*4,"  ")</f>
        <v>0</v>
      </c>
      <c r="Y20" s="69" t="str">
        <f t="shared" si="1"/>
        <v>D</v>
      </c>
      <c r="Z20" s="70" t="str">
        <f>IF(X20="  ","  ",IF(X20&gt;=menu!$D$19,"Tuntas","Tidak Tuntas"))</f>
        <v>Tuntas</v>
      </c>
      <c r="AA20" s="65"/>
      <c r="AB20" s="65"/>
      <c r="AC20" s="65"/>
      <c r="AD20" s="66"/>
      <c r="AE20" s="65"/>
      <c r="AF20" s="65"/>
      <c r="AG20" s="65"/>
      <c r="AH20" s="67">
        <f t="shared" ref="AH20:AH58" si="16">SUM(AA20:AG20)</f>
        <v>0</v>
      </c>
      <c r="AI20" s="68">
        <f t="shared" ref="AI20:AI66" si="17">IFERROR((AH20/$J$17)*100," ")</f>
        <v>0</v>
      </c>
      <c r="AJ20" s="68">
        <f t="shared" ref="AJ20:AJ58" si="18">IFERROR((AI20/100)*4,"  ")</f>
        <v>0</v>
      </c>
      <c r="AK20" s="69" t="str">
        <f t="shared" si="2"/>
        <v>D</v>
      </c>
      <c r="AL20" s="70" t="str">
        <f>IF(AJ20="  ","  ",IF(AJ20&gt;=menu!$D$19,"Tuntas","Tidak Tuntas"))</f>
        <v>Tuntas</v>
      </c>
      <c r="AM20" s="65"/>
      <c r="AN20" s="65"/>
      <c r="AO20" s="65"/>
      <c r="AP20" s="66"/>
      <c r="AQ20" s="65"/>
      <c r="AR20" s="65"/>
      <c r="AS20" s="65"/>
      <c r="AT20" s="67">
        <f t="shared" ref="AT20:AT58" si="19">SUM(AM20:AS20)</f>
        <v>0</v>
      </c>
      <c r="AU20" s="68">
        <f t="shared" ref="AU20:AU66" si="20">IFERROR((AT20/$J$17)*100," ")</f>
        <v>0</v>
      </c>
      <c r="AV20" s="68">
        <f t="shared" ref="AV20:AV58" si="21">IFERROR((AU20/100)*4,"  ")</f>
        <v>0</v>
      </c>
      <c r="AW20" s="69" t="str">
        <f t="shared" si="3"/>
        <v>D</v>
      </c>
      <c r="AX20" s="70" t="str">
        <f>IF(AV20="  ","  ",IF(AV20&gt;=menu!$D$19,"Tuntas","Tidak Tuntas"))</f>
        <v>Tuntas</v>
      </c>
      <c r="AY20" s="65"/>
      <c r="AZ20" s="65"/>
      <c r="BA20" s="65"/>
      <c r="BB20" s="66"/>
      <c r="BC20" s="65"/>
      <c r="BD20" s="65"/>
      <c r="BE20" s="65"/>
      <c r="BF20" s="67">
        <f t="shared" ref="BF20:BF58" si="22">SUM(AY20:BE20)</f>
        <v>0</v>
      </c>
      <c r="BG20" s="68">
        <f t="shared" ref="BG20:BG66" si="23">IFERROR((BF20/$J$17)*100," ")</f>
        <v>0</v>
      </c>
      <c r="BH20" s="68">
        <f t="shared" ref="BH20:BH58" si="24">IFERROR((BG20/100)*4,"  ")</f>
        <v>0</v>
      </c>
      <c r="BI20" s="69" t="str">
        <f t="shared" si="4"/>
        <v>D</v>
      </c>
      <c r="BJ20" s="70" t="str">
        <f>IF(BH20="  ","  ",IF(BH20&gt;=menu!$D$19,"Tuntas","Tidak Tuntas"))</f>
        <v>Tuntas</v>
      </c>
      <c r="BK20" s="65"/>
      <c r="BL20" s="65"/>
      <c r="BM20" s="65"/>
      <c r="BN20" s="66"/>
      <c r="BO20" s="65"/>
      <c r="BP20" s="65"/>
      <c r="BQ20" s="65"/>
      <c r="BR20" s="67">
        <f t="shared" ref="BR20:BR58" si="25">SUM(BK20:BQ20)</f>
        <v>0</v>
      </c>
      <c r="BS20" s="68">
        <f t="shared" ref="BS20:BS66" si="26">IFERROR((BR20/$J$17)*100," ")</f>
        <v>0</v>
      </c>
      <c r="BT20" s="68">
        <f t="shared" ref="BT20:BT58" si="27">IFERROR((BS20/100)*4,"  ")</f>
        <v>0</v>
      </c>
      <c r="BU20" s="69" t="str">
        <f t="shared" si="5"/>
        <v>D</v>
      </c>
      <c r="BV20" s="70" t="str">
        <f>IF(BT20="  ","  ",IF(BT20&gt;=menu!$D$19,"Tuntas","Tidak Tuntas"))</f>
        <v>Tuntas</v>
      </c>
      <c r="BW20" s="65"/>
      <c r="BX20" s="65"/>
      <c r="BY20" s="65"/>
      <c r="BZ20" s="66"/>
      <c r="CA20" s="65"/>
      <c r="CB20" s="65"/>
      <c r="CC20" s="65"/>
      <c r="CD20" s="67">
        <f t="shared" ref="CD20:CD58" si="28">SUM(BW20:CC20)</f>
        <v>0</v>
      </c>
      <c r="CE20" s="68">
        <f t="shared" ref="CE20:CE66" si="29">IFERROR((CD20/$J$17)*100," ")</f>
        <v>0</v>
      </c>
      <c r="CF20" s="68">
        <f t="shared" ref="CF20:CF58" si="30">IFERROR((CE20/100)*4,"  ")</f>
        <v>0</v>
      </c>
      <c r="CG20" s="69" t="str">
        <f t="shared" si="6"/>
        <v>D</v>
      </c>
      <c r="CH20" s="70" t="str">
        <f>IF(CF20="  ","  ",IF(CF20&gt;=menu!$D$19,"Tuntas","Tidak Tuntas"))</f>
        <v>Tuntas</v>
      </c>
      <c r="CI20" s="65"/>
      <c r="CJ20" s="65"/>
      <c r="CK20" s="65"/>
      <c r="CL20" s="66"/>
      <c r="CM20" s="65"/>
      <c r="CN20" s="65"/>
      <c r="CO20" s="65"/>
      <c r="CP20" s="67">
        <f t="shared" ref="CP20:CP58" si="31">SUM(CI20:CO20)</f>
        <v>0</v>
      </c>
      <c r="CQ20" s="68">
        <f t="shared" ref="CQ20:CQ66" si="32">IFERROR((CP20/$J$17)*100," ")</f>
        <v>0</v>
      </c>
      <c r="CR20" s="68">
        <f t="shared" ref="CR20:CR58" si="33">IFERROR((CQ20/100)*4,"  ")</f>
        <v>0</v>
      </c>
      <c r="CS20" s="69" t="str">
        <f t="shared" si="7"/>
        <v>D</v>
      </c>
      <c r="CT20" s="70" t="str">
        <f>IF(CR20="  ","  ",IF(CR20&gt;=menu!$D$19,"Tuntas","Tidak Tuntas"))</f>
        <v>Tuntas</v>
      </c>
      <c r="CU20" s="65"/>
      <c r="CV20" s="65"/>
      <c r="CW20" s="65"/>
      <c r="CX20" s="66"/>
      <c r="CY20" s="65"/>
      <c r="CZ20" s="65"/>
      <c r="DA20" s="65"/>
      <c r="DB20" s="67">
        <f t="shared" ref="DB20:DB58" si="34">SUM(CU20:DA20)</f>
        <v>0</v>
      </c>
      <c r="DC20" s="68">
        <f t="shared" ref="DC20:DC66" si="35">IFERROR((DB20/$J$17)*100," ")</f>
        <v>0</v>
      </c>
      <c r="DD20" s="68">
        <f t="shared" ref="DD20:DD58" si="36">IFERROR((DC20/100)*4,"  ")</f>
        <v>0</v>
      </c>
      <c r="DE20" s="69" t="str">
        <f t="shared" si="8"/>
        <v>D</v>
      </c>
      <c r="DF20" s="70" t="str">
        <f>IF(DD20="  ","  ",IF(DD20&gt;=menu!$D$19,"Tuntas","Tidak Tuntas"))</f>
        <v>Tuntas</v>
      </c>
      <c r="DG20" s="65"/>
      <c r="DH20" s="65"/>
      <c r="DI20" s="65"/>
      <c r="DJ20" s="66"/>
      <c r="DK20" s="65"/>
      <c r="DL20" s="65"/>
      <c r="DM20" s="65"/>
      <c r="DN20" s="67">
        <f t="shared" ref="DN20:DN58" si="37">SUM(DG20:DM20)</f>
        <v>0</v>
      </c>
      <c r="DO20" s="68">
        <f t="shared" ref="DO20:DO66" si="38">IFERROR((DN20/$J$17)*100," ")</f>
        <v>0</v>
      </c>
      <c r="DP20" s="68">
        <f t="shared" ref="DP20:DP58" si="39">IFERROR((DO20/100)*4,"  ")</f>
        <v>0</v>
      </c>
      <c r="DQ20" s="69" t="str">
        <f t="shared" si="9"/>
        <v>D</v>
      </c>
      <c r="DR20" s="70" t="str">
        <f>IF(DP20="  ","  ",IF(DP20&gt;=menu!$D$19,"Tuntas","Tidak Tuntas"))</f>
        <v>Tuntas</v>
      </c>
    </row>
    <row r="21" spans="1:122">
      <c r="A21" s="64">
        <f>'DATA SISWA'!A7</f>
        <v>3</v>
      </c>
      <c r="B21" s="76" t="str">
        <f>'DATA SISWA'!C7</f>
        <v>Bunami</v>
      </c>
      <c r="C21" s="65"/>
      <c r="D21" s="65"/>
      <c r="E21" s="65"/>
      <c r="F21" s="66"/>
      <c r="G21" s="65"/>
      <c r="H21" s="65"/>
      <c r="I21" s="65"/>
      <c r="J21" s="67">
        <f t="shared" si="10"/>
        <v>0</v>
      </c>
      <c r="K21" s="68">
        <f t="shared" si="11"/>
        <v>0</v>
      </c>
      <c r="L21" s="68">
        <f t="shared" si="12"/>
        <v>0</v>
      </c>
      <c r="M21" s="69" t="str">
        <f t="shared" si="0"/>
        <v>D</v>
      </c>
      <c r="N21" s="70" t="str">
        <f>IF(L21="  ","  ",IF(L21&gt;=menu!$D$19,"Tuntas","Tidak Tuntas"))</f>
        <v>Tuntas</v>
      </c>
      <c r="O21" s="65"/>
      <c r="P21" s="65"/>
      <c r="Q21" s="65"/>
      <c r="R21" s="66"/>
      <c r="S21" s="65"/>
      <c r="T21" s="65"/>
      <c r="U21" s="65"/>
      <c r="V21" s="67">
        <f t="shared" si="13"/>
        <v>0</v>
      </c>
      <c r="W21" s="68">
        <f t="shared" si="14"/>
        <v>0</v>
      </c>
      <c r="X21" s="68">
        <f t="shared" si="15"/>
        <v>0</v>
      </c>
      <c r="Y21" s="69" t="str">
        <f t="shared" si="1"/>
        <v>D</v>
      </c>
      <c r="Z21" s="70" t="str">
        <f>IF(X21="  ","  ",IF(X21&gt;=menu!$D$19,"Tuntas","Tidak Tuntas"))</f>
        <v>Tuntas</v>
      </c>
      <c r="AA21" s="65"/>
      <c r="AB21" s="65"/>
      <c r="AC21" s="65"/>
      <c r="AD21" s="66"/>
      <c r="AE21" s="65"/>
      <c r="AF21" s="65"/>
      <c r="AG21" s="65"/>
      <c r="AH21" s="67">
        <f t="shared" si="16"/>
        <v>0</v>
      </c>
      <c r="AI21" s="68">
        <f t="shared" si="17"/>
        <v>0</v>
      </c>
      <c r="AJ21" s="68">
        <f t="shared" si="18"/>
        <v>0</v>
      </c>
      <c r="AK21" s="69" t="str">
        <f t="shared" si="2"/>
        <v>D</v>
      </c>
      <c r="AL21" s="70" t="str">
        <f>IF(AJ21="  ","  ",IF(AJ21&gt;=menu!$D$19,"Tuntas","Tidak Tuntas"))</f>
        <v>Tuntas</v>
      </c>
      <c r="AM21" s="65"/>
      <c r="AN21" s="65"/>
      <c r="AO21" s="65"/>
      <c r="AP21" s="66"/>
      <c r="AQ21" s="65"/>
      <c r="AR21" s="65"/>
      <c r="AS21" s="65"/>
      <c r="AT21" s="67">
        <f t="shared" si="19"/>
        <v>0</v>
      </c>
      <c r="AU21" s="68">
        <f t="shared" si="20"/>
        <v>0</v>
      </c>
      <c r="AV21" s="68">
        <f t="shared" si="21"/>
        <v>0</v>
      </c>
      <c r="AW21" s="69" t="str">
        <f t="shared" si="3"/>
        <v>D</v>
      </c>
      <c r="AX21" s="70" t="str">
        <f>IF(AV21="  ","  ",IF(AV21&gt;=menu!$D$19,"Tuntas","Tidak Tuntas"))</f>
        <v>Tuntas</v>
      </c>
      <c r="AY21" s="65"/>
      <c r="AZ21" s="65"/>
      <c r="BA21" s="65"/>
      <c r="BB21" s="66"/>
      <c r="BC21" s="65"/>
      <c r="BD21" s="65"/>
      <c r="BE21" s="65"/>
      <c r="BF21" s="67">
        <f t="shared" si="22"/>
        <v>0</v>
      </c>
      <c r="BG21" s="68">
        <f t="shared" si="23"/>
        <v>0</v>
      </c>
      <c r="BH21" s="68">
        <f t="shared" si="24"/>
        <v>0</v>
      </c>
      <c r="BI21" s="69" t="str">
        <f t="shared" si="4"/>
        <v>D</v>
      </c>
      <c r="BJ21" s="70" t="str">
        <f>IF(BH21="  ","  ",IF(BH21&gt;=menu!$D$19,"Tuntas","Tidak Tuntas"))</f>
        <v>Tuntas</v>
      </c>
      <c r="BK21" s="65"/>
      <c r="BL21" s="65"/>
      <c r="BM21" s="65"/>
      <c r="BN21" s="66"/>
      <c r="BO21" s="65"/>
      <c r="BP21" s="65"/>
      <c r="BQ21" s="65"/>
      <c r="BR21" s="67">
        <f t="shared" si="25"/>
        <v>0</v>
      </c>
      <c r="BS21" s="68">
        <f t="shared" si="26"/>
        <v>0</v>
      </c>
      <c r="BT21" s="68">
        <f t="shared" si="27"/>
        <v>0</v>
      </c>
      <c r="BU21" s="69" t="str">
        <f t="shared" si="5"/>
        <v>D</v>
      </c>
      <c r="BV21" s="70" t="str">
        <f>IF(BT21="  ","  ",IF(BT21&gt;=menu!$D$19,"Tuntas","Tidak Tuntas"))</f>
        <v>Tuntas</v>
      </c>
      <c r="BW21" s="65"/>
      <c r="BX21" s="65"/>
      <c r="BY21" s="65"/>
      <c r="BZ21" s="66"/>
      <c r="CA21" s="65"/>
      <c r="CB21" s="65"/>
      <c r="CC21" s="65"/>
      <c r="CD21" s="67">
        <f t="shared" si="28"/>
        <v>0</v>
      </c>
      <c r="CE21" s="68">
        <f t="shared" si="29"/>
        <v>0</v>
      </c>
      <c r="CF21" s="68">
        <f t="shared" si="30"/>
        <v>0</v>
      </c>
      <c r="CG21" s="69" t="str">
        <f t="shared" si="6"/>
        <v>D</v>
      </c>
      <c r="CH21" s="70" t="str">
        <f>IF(CF21="  ","  ",IF(CF21&gt;=menu!$D$19,"Tuntas","Tidak Tuntas"))</f>
        <v>Tuntas</v>
      </c>
      <c r="CI21" s="65"/>
      <c r="CJ21" s="65"/>
      <c r="CK21" s="65"/>
      <c r="CL21" s="66"/>
      <c r="CM21" s="65"/>
      <c r="CN21" s="65"/>
      <c r="CO21" s="65"/>
      <c r="CP21" s="67">
        <f t="shared" si="31"/>
        <v>0</v>
      </c>
      <c r="CQ21" s="68">
        <f t="shared" si="32"/>
        <v>0</v>
      </c>
      <c r="CR21" s="68">
        <f t="shared" si="33"/>
        <v>0</v>
      </c>
      <c r="CS21" s="69" t="str">
        <f t="shared" si="7"/>
        <v>D</v>
      </c>
      <c r="CT21" s="70" t="str">
        <f>IF(CR21="  ","  ",IF(CR21&gt;=menu!$D$19,"Tuntas","Tidak Tuntas"))</f>
        <v>Tuntas</v>
      </c>
      <c r="CU21" s="65"/>
      <c r="CV21" s="65"/>
      <c r="CW21" s="65"/>
      <c r="CX21" s="66"/>
      <c r="CY21" s="65"/>
      <c r="CZ21" s="65"/>
      <c r="DA21" s="65"/>
      <c r="DB21" s="67">
        <f t="shared" si="34"/>
        <v>0</v>
      </c>
      <c r="DC21" s="68">
        <f t="shared" si="35"/>
        <v>0</v>
      </c>
      <c r="DD21" s="68">
        <f t="shared" si="36"/>
        <v>0</v>
      </c>
      <c r="DE21" s="69" t="str">
        <f t="shared" si="8"/>
        <v>D</v>
      </c>
      <c r="DF21" s="70" t="str">
        <f>IF(DD21="  ","  ",IF(DD21&gt;=menu!$D$19,"Tuntas","Tidak Tuntas"))</f>
        <v>Tuntas</v>
      </c>
      <c r="DG21" s="65"/>
      <c r="DH21" s="65"/>
      <c r="DI21" s="65"/>
      <c r="DJ21" s="66"/>
      <c r="DK21" s="65"/>
      <c r="DL21" s="65"/>
      <c r="DM21" s="65"/>
      <c r="DN21" s="67">
        <f t="shared" si="37"/>
        <v>0</v>
      </c>
      <c r="DO21" s="68">
        <f t="shared" si="38"/>
        <v>0</v>
      </c>
      <c r="DP21" s="68">
        <f t="shared" si="39"/>
        <v>0</v>
      </c>
      <c r="DQ21" s="69" t="str">
        <f t="shared" si="9"/>
        <v>D</v>
      </c>
      <c r="DR21" s="70" t="str">
        <f>IF(DP21="  ","  ",IF(DP21&gt;=menu!$D$19,"Tuntas","Tidak Tuntas"))</f>
        <v>Tuntas</v>
      </c>
    </row>
    <row r="22" spans="1:122">
      <c r="A22" s="64">
        <f>'DATA SISWA'!A8</f>
        <v>4</v>
      </c>
      <c r="B22" s="76" t="str">
        <f>'DATA SISWA'!C8</f>
        <v>Fatimatuz Zahroh</v>
      </c>
      <c r="C22" s="65"/>
      <c r="D22" s="65"/>
      <c r="E22" s="65"/>
      <c r="F22" s="66"/>
      <c r="G22" s="65"/>
      <c r="H22" s="65"/>
      <c r="I22" s="65"/>
      <c r="J22" s="67">
        <f t="shared" si="10"/>
        <v>0</v>
      </c>
      <c r="K22" s="68">
        <f t="shared" si="11"/>
        <v>0</v>
      </c>
      <c r="L22" s="68">
        <f t="shared" si="12"/>
        <v>0</v>
      </c>
      <c r="M22" s="69" t="str">
        <f t="shared" si="0"/>
        <v>D</v>
      </c>
      <c r="N22" s="70" t="str">
        <f>IF(L22="  ","  ",IF(L22&gt;=menu!$D$19,"Tuntas","Tidak Tuntas"))</f>
        <v>Tuntas</v>
      </c>
      <c r="O22" s="65"/>
      <c r="P22" s="65"/>
      <c r="Q22" s="65"/>
      <c r="R22" s="66"/>
      <c r="S22" s="65"/>
      <c r="T22" s="65"/>
      <c r="U22" s="65"/>
      <c r="V22" s="67">
        <f t="shared" si="13"/>
        <v>0</v>
      </c>
      <c r="W22" s="68">
        <f t="shared" si="14"/>
        <v>0</v>
      </c>
      <c r="X22" s="68">
        <f t="shared" si="15"/>
        <v>0</v>
      </c>
      <c r="Y22" s="69" t="str">
        <f t="shared" si="1"/>
        <v>D</v>
      </c>
      <c r="Z22" s="70" t="str">
        <f>IF(X22="  ","  ",IF(X22&gt;=menu!$D$19,"Tuntas","Tidak Tuntas"))</f>
        <v>Tuntas</v>
      </c>
      <c r="AA22" s="65"/>
      <c r="AB22" s="65"/>
      <c r="AC22" s="65"/>
      <c r="AD22" s="66"/>
      <c r="AE22" s="65"/>
      <c r="AF22" s="65"/>
      <c r="AG22" s="65"/>
      <c r="AH22" s="67">
        <f t="shared" si="16"/>
        <v>0</v>
      </c>
      <c r="AI22" s="68">
        <f t="shared" si="17"/>
        <v>0</v>
      </c>
      <c r="AJ22" s="68">
        <f t="shared" si="18"/>
        <v>0</v>
      </c>
      <c r="AK22" s="69" t="str">
        <f t="shared" si="2"/>
        <v>D</v>
      </c>
      <c r="AL22" s="70" t="str">
        <f>IF(AJ22="  ","  ",IF(AJ22&gt;=menu!$D$19,"Tuntas","Tidak Tuntas"))</f>
        <v>Tuntas</v>
      </c>
      <c r="AM22" s="65"/>
      <c r="AN22" s="65"/>
      <c r="AO22" s="65"/>
      <c r="AP22" s="66"/>
      <c r="AQ22" s="65"/>
      <c r="AR22" s="65"/>
      <c r="AS22" s="65"/>
      <c r="AT22" s="67">
        <f t="shared" si="19"/>
        <v>0</v>
      </c>
      <c r="AU22" s="68">
        <f t="shared" si="20"/>
        <v>0</v>
      </c>
      <c r="AV22" s="68">
        <f t="shared" si="21"/>
        <v>0</v>
      </c>
      <c r="AW22" s="69" t="str">
        <f t="shared" si="3"/>
        <v>D</v>
      </c>
      <c r="AX22" s="70" t="str">
        <f>IF(AV22="  ","  ",IF(AV22&gt;=menu!$D$19,"Tuntas","Tidak Tuntas"))</f>
        <v>Tuntas</v>
      </c>
      <c r="AY22" s="65"/>
      <c r="AZ22" s="65"/>
      <c r="BA22" s="65"/>
      <c r="BB22" s="66"/>
      <c r="BC22" s="65"/>
      <c r="BD22" s="65"/>
      <c r="BE22" s="65"/>
      <c r="BF22" s="67">
        <f t="shared" si="22"/>
        <v>0</v>
      </c>
      <c r="BG22" s="68">
        <f t="shared" si="23"/>
        <v>0</v>
      </c>
      <c r="BH22" s="68">
        <f t="shared" si="24"/>
        <v>0</v>
      </c>
      <c r="BI22" s="69" t="str">
        <f t="shared" si="4"/>
        <v>D</v>
      </c>
      <c r="BJ22" s="70" t="str">
        <f>IF(BH22="  ","  ",IF(BH22&gt;=menu!$D$19,"Tuntas","Tidak Tuntas"))</f>
        <v>Tuntas</v>
      </c>
      <c r="BK22" s="65"/>
      <c r="BL22" s="65"/>
      <c r="BM22" s="65"/>
      <c r="BN22" s="66"/>
      <c r="BO22" s="65"/>
      <c r="BP22" s="65"/>
      <c r="BQ22" s="65"/>
      <c r="BR22" s="67">
        <f t="shared" si="25"/>
        <v>0</v>
      </c>
      <c r="BS22" s="68">
        <f t="shared" si="26"/>
        <v>0</v>
      </c>
      <c r="BT22" s="68">
        <f t="shared" si="27"/>
        <v>0</v>
      </c>
      <c r="BU22" s="69" t="str">
        <f t="shared" si="5"/>
        <v>D</v>
      </c>
      <c r="BV22" s="70" t="str">
        <f>IF(BT22="  ","  ",IF(BT22&gt;=menu!$D$19,"Tuntas","Tidak Tuntas"))</f>
        <v>Tuntas</v>
      </c>
      <c r="BW22" s="65"/>
      <c r="BX22" s="65"/>
      <c r="BY22" s="65"/>
      <c r="BZ22" s="66"/>
      <c r="CA22" s="65"/>
      <c r="CB22" s="65"/>
      <c r="CC22" s="65"/>
      <c r="CD22" s="67">
        <f t="shared" si="28"/>
        <v>0</v>
      </c>
      <c r="CE22" s="68">
        <f t="shared" si="29"/>
        <v>0</v>
      </c>
      <c r="CF22" s="68">
        <f t="shared" si="30"/>
        <v>0</v>
      </c>
      <c r="CG22" s="69" t="str">
        <f t="shared" si="6"/>
        <v>D</v>
      </c>
      <c r="CH22" s="70" t="str">
        <f>IF(CF22="  ","  ",IF(CF22&gt;=menu!$D$19,"Tuntas","Tidak Tuntas"))</f>
        <v>Tuntas</v>
      </c>
      <c r="CI22" s="65"/>
      <c r="CJ22" s="65"/>
      <c r="CK22" s="65"/>
      <c r="CL22" s="66"/>
      <c r="CM22" s="65"/>
      <c r="CN22" s="65"/>
      <c r="CO22" s="65"/>
      <c r="CP22" s="67">
        <f t="shared" si="31"/>
        <v>0</v>
      </c>
      <c r="CQ22" s="68">
        <f t="shared" si="32"/>
        <v>0</v>
      </c>
      <c r="CR22" s="68">
        <f t="shared" si="33"/>
        <v>0</v>
      </c>
      <c r="CS22" s="69" t="str">
        <f t="shared" si="7"/>
        <v>D</v>
      </c>
      <c r="CT22" s="70" t="str">
        <f>IF(CR22="  ","  ",IF(CR22&gt;=menu!$D$19,"Tuntas","Tidak Tuntas"))</f>
        <v>Tuntas</v>
      </c>
      <c r="CU22" s="65"/>
      <c r="CV22" s="65"/>
      <c r="CW22" s="65"/>
      <c r="CX22" s="66"/>
      <c r="CY22" s="65"/>
      <c r="CZ22" s="65"/>
      <c r="DA22" s="65"/>
      <c r="DB22" s="67">
        <f t="shared" si="34"/>
        <v>0</v>
      </c>
      <c r="DC22" s="68">
        <f t="shared" si="35"/>
        <v>0</v>
      </c>
      <c r="DD22" s="68">
        <f t="shared" si="36"/>
        <v>0</v>
      </c>
      <c r="DE22" s="69" t="str">
        <f t="shared" si="8"/>
        <v>D</v>
      </c>
      <c r="DF22" s="70" t="str">
        <f>IF(DD22="  ","  ",IF(DD22&gt;=menu!$D$19,"Tuntas","Tidak Tuntas"))</f>
        <v>Tuntas</v>
      </c>
      <c r="DG22" s="65"/>
      <c r="DH22" s="65"/>
      <c r="DI22" s="65"/>
      <c r="DJ22" s="66"/>
      <c r="DK22" s="65"/>
      <c r="DL22" s="65"/>
      <c r="DM22" s="65"/>
      <c r="DN22" s="67">
        <f t="shared" si="37"/>
        <v>0</v>
      </c>
      <c r="DO22" s="68">
        <f t="shared" si="38"/>
        <v>0</v>
      </c>
      <c r="DP22" s="68">
        <f t="shared" si="39"/>
        <v>0</v>
      </c>
      <c r="DQ22" s="69" t="str">
        <f t="shared" si="9"/>
        <v>D</v>
      </c>
      <c r="DR22" s="70" t="str">
        <f>IF(DP22="  ","  ",IF(DP22&gt;=menu!$D$19,"Tuntas","Tidak Tuntas"))</f>
        <v>Tuntas</v>
      </c>
    </row>
    <row r="23" spans="1:122">
      <c r="A23" s="64">
        <f>'DATA SISWA'!A9</f>
        <v>5</v>
      </c>
      <c r="B23" s="76" t="str">
        <f>'DATA SISWA'!C9</f>
        <v>Fitriadi</v>
      </c>
      <c r="C23" s="65"/>
      <c r="D23" s="65"/>
      <c r="E23" s="65"/>
      <c r="F23" s="66"/>
      <c r="G23" s="65"/>
      <c r="H23" s="65"/>
      <c r="I23" s="65"/>
      <c r="J23" s="67">
        <f t="shared" si="10"/>
        <v>0</v>
      </c>
      <c r="K23" s="68">
        <f t="shared" si="11"/>
        <v>0</v>
      </c>
      <c r="L23" s="68">
        <f t="shared" si="12"/>
        <v>0</v>
      </c>
      <c r="M23" s="69" t="str">
        <f t="shared" si="0"/>
        <v>D</v>
      </c>
      <c r="N23" s="70" t="str">
        <f>IF(L23="  ","  ",IF(L23&gt;=menu!$D$19,"Tuntas","Tidak Tuntas"))</f>
        <v>Tuntas</v>
      </c>
      <c r="O23" s="65"/>
      <c r="P23" s="65"/>
      <c r="Q23" s="65"/>
      <c r="R23" s="66"/>
      <c r="S23" s="65"/>
      <c r="T23" s="65"/>
      <c r="U23" s="65"/>
      <c r="V23" s="67">
        <f t="shared" si="13"/>
        <v>0</v>
      </c>
      <c r="W23" s="68">
        <f t="shared" si="14"/>
        <v>0</v>
      </c>
      <c r="X23" s="68">
        <f t="shared" si="15"/>
        <v>0</v>
      </c>
      <c r="Y23" s="69" t="str">
        <f t="shared" si="1"/>
        <v>D</v>
      </c>
      <c r="Z23" s="70" t="str">
        <f>IF(X23="  ","  ",IF(X23&gt;=menu!$D$19,"Tuntas","Tidak Tuntas"))</f>
        <v>Tuntas</v>
      </c>
      <c r="AA23" s="65"/>
      <c r="AB23" s="65"/>
      <c r="AC23" s="65"/>
      <c r="AD23" s="66"/>
      <c r="AE23" s="65"/>
      <c r="AF23" s="65"/>
      <c r="AG23" s="65"/>
      <c r="AH23" s="67">
        <f t="shared" si="16"/>
        <v>0</v>
      </c>
      <c r="AI23" s="68">
        <f t="shared" si="17"/>
        <v>0</v>
      </c>
      <c r="AJ23" s="68">
        <f t="shared" si="18"/>
        <v>0</v>
      </c>
      <c r="AK23" s="69" t="str">
        <f t="shared" si="2"/>
        <v>D</v>
      </c>
      <c r="AL23" s="70" t="str">
        <f>IF(AJ23="  ","  ",IF(AJ23&gt;=menu!$D$19,"Tuntas","Tidak Tuntas"))</f>
        <v>Tuntas</v>
      </c>
      <c r="AM23" s="65"/>
      <c r="AN23" s="65"/>
      <c r="AO23" s="65"/>
      <c r="AP23" s="66"/>
      <c r="AQ23" s="65"/>
      <c r="AR23" s="65"/>
      <c r="AS23" s="65"/>
      <c r="AT23" s="67">
        <f t="shared" si="19"/>
        <v>0</v>
      </c>
      <c r="AU23" s="68">
        <f t="shared" si="20"/>
        <v>0</v>
      </c>
      <c r="AV23" s="68">
        <f t="shared" si="21"/>
        <v>0</v>
      </c>
      <c r="AW23" s="69" t="str">
        <f t="shared" si="3"/>
        <v>D</v>
      </c>
      <c r="AX23" s="70" t="str">
        <f>IF(AV23="  ","  ",IF(AV23&gt;=menu!$D$19,"Tuntas","Tidak Tuntas"))</f>
        <v>Tuntas</v>
      </c>
      <c r="AY23" s="65"/>
      <c r="AZ23" s="65"/>
      <c r="BA23" s="65"/>
      <c r="BB23" s="66"/>
      <c r="BC23" s="65"/>
      <c r="BD23" s="65"/>
      <c r="BE23" s="65"/>
      <c r="BF23" s="67">
        <f t="shared" si="22"/>
        <v>0</v>
      </c>
      <c r="BG23" s="68">
        <f t="shared" si="23"/>
        <v>0</v>
      </c>
      <c r="BH23" s="68">
        <f t="shared" si="24"/>
        <v>0</v>
      </c>
      <c r="BI23" s="69" t="str">
        <f t="shared" si="4"/>
        <v>D</v>
      </c>
      <c r="BJ23" s="70" t="str">
        <f>IF(BH23="  ","  ",IF(BH23&gt;=menu!$D$19,"Tuntas","Tidak Tuntas"))</f>
        <v>Tuntas</v>
      </c>
      <c r="BK23" s="65"/>
      <c r="BL23" s="65"/>
      <c r="BM23" s="65"/>
      <c r="BN23" s="66"/>
      <c r="BO23" s="65"/>
      <c r="BP23" s="65"/>
      <c r="BQ23" s="65"/>
      <c r="BR23" s="67">
        <f t="shared" si="25"/>
        <v>0</v>
      </c>
      <c r="BS23" s="68">
        <f t="shared" si="26"/>
        <v>0</v>
      </c>
      <c r="BT23" s="68">
        <f t="shared" si="27"/>
        <v>0</v>
      </c>
      <c r="BU23" s="69" t="str">
        <f t="shared" si="5"/>
        <v>D</v>
      </c>
      <c r="BV23" s="70" t="str">
        <f>IF(BT23="  ","  ",IF(BT23&gt;=menu!$D$19,"Tuntas","Tidak Tuntas"))</f>
        <v>Tuntas</v>
      </c>
      <c r="BW23" s="65"/>
      <c r="BX23" s="65"/>
      <c r="BY23" s="65"/>
      <c r="BZ23" s="66"/>
      <c r="CA23" s="65"/>
      <c r="CB23" s="65"/>
      <c r="CC23" s="65"/>
      <c r="CD23" s="67">
        <f t="shared" si="28"/>
        <v>0</v>
      </c>
      <c r="CE23" s="68">
        <f t="shared" si="29"/>
        <v>0</v>
      </c>
      <c r="CF23" s="68">
        <f t="shared" si="30"/>
        <v>0</v>
      </c>
      <c r="CG23" s="69" t="str">
        <f t="shared" si="6"/>
        <v>D</v>
      </c>
      <c r="CH23" s="70" t="str">
        <f>IF(CF23="  ","  ",IF(CF23&gt;=menu!$D$19,"Tuntas","Tidak Tuntas"))</f>
        <v>Tuntas</v>
      </c>
      <c r="CI23" s="65"/>
      <c r="CJ23" s="65"/>
      <c r="CK23" s="65"/>
      <c r="CL23" s="66"/>
      <c r="CM23" s="65"/>
      <c r="CN23" s="65"/>
      <c r="CO23" s="65"/>
      <c r="CP23" s="67">
        <f t="shared" si="31"/>
        <v>0</v>
      </c>
      <c r="CQ23" s="68">
        <f t="shared" si="32"/>
        <v>0</v>
      </c>
      <c r="CR23" s="68">
        <f t="shared" si="33"/>
        <v>0</v>
      </c>
      <c r="CS23" s="69" t="str">
        <f t="shared" si="7"/>
        <v>D</v>
      </c>
      <c r="CT23" s="70" t="str">
        <f>IF(CR23="  ","  ",IF(CR23&gt;=menu!$D$19,"Tuntas","Tidak Tuntas"))</f>
        <v>Tuntas</v>
      </c>
      <c r="CU23" s="65"/>
      <c r="CV23" s="65"/>
      <c r="CW23" s="65"/>
      <c r="CX23" s="66"/>
      <c r="CY23" s="65"/>
      <c r="CZ23" s="65"/>
      <c r="DA23" s="65"/>
      <c r="DB23" s="67">
        <f t="shared" si="34"/>
        <v>0</v>
      </c>
      <c r="DC23" s="68">
        <f t="shared" si="35"/>
        <v>0</v>
      </c>
      <c r="DD23" s="68">
        <f t="shared" si="36"/>
        <v>0</v>
      </c>
      <c r="DE23" s="69" t="str">
        <f t="shared" si="8"/>
        <v>D</v>
      </c>
      <c r="DF23" s="70" t="str">
        <f>IF(DD23="  ","  ",IF(DD23&gt;=menu!$D$19,"Tuntas","Tidak Tuntas"))</f>
        <v>Tuntas</v>
      </c>
      <c r="DG23" s="65"/>
      <c r="DH23" s="65"/>
      <c r="DI23" s="65"/>
      <c r="DJ23" s="66"/>
      <c r="DK23" s="65"/>
      <c r="DL23" s="65"/>
      <c r="DM23" s="65"/>
      <c r="DN23" s="67">
        <f t="shared" si="37"/>
        <v>0</v>
      </c>
      <c r="DO23" s="68">
        <f t="shared" si="38"/>
        <v>0</v>
      </c>
      <c r="DP23" s="68">
        <f t="shared" si="39"/>
        <v>0</v>
      </c>
      <c r="DQ23" s="69" t="str">
        <f t="shared" si="9"/>
        <v>D</v>
      </c>
      <c r="DR23" s="70" t="str">
        <f>IF(DP23="  ","  ",IF(DP23&gt;=menu!$D$19,"Tuntas","Tidak Tuntas"))</f>
        <v>Tuntas</v>
      </c>
    </row>
    <row r="24" spans="1:122">
      <c r="A24" s="64">
        <f>'DATA SISWA'!A10</f>
        <v>6</v>
      </c>
      <c r="B24" s="76" t="str">
        <f>'DATA SISWA'!C10</f>
        <v>Homsiyah</v>
      </c>
      <c r="C24" s="65"/>
      <c r="D24" s="65"/>
      <c r="E24" s="65"/>
      <c r="F24" s="66"/>
      <c r="G24" s="65"/>
      <c r="H24" s="65"/>
      <c r="I24" s="65"/>
      <c r="J24" s="67">
        <f t="shared" si="10"/>
        <v>0</v>
      </c>
      <c r="K24" s="68">
        <f t="shared" si="11"/>
        <v>0</v>
      </c>
      <c r="L24" s="68">
        <f t="shared" si="12"/>
        <v>0</v>
      </c>
      <c r="M24" s="69" t="str">
        <f t="shared" si="0"/>
        <v>D</v>
      </c>
      <c r="N24" s="70" t="str">
        <f>IF(L24="  ","  ",IF(L24&gt;=menu!$D$19,"Tuntas","Tidak Tuntas"))</f>
        <v>Tuntas</v>
      </c>
      <c r="O24" s="65"/>
      <c r="P24" s="65"/>
      <c r="Q24" s="65"/>
      <c r="R24" s="66"/>
      <c r="S24" s="65"/>
      <c r="T24" s="65"/>
      <c r="U24" s="65"/>
      <c r="V24" s="67">
        <f t="shared" si="13"/>
        <v>0</v>
      </c>
      <c r="W24" s="68">
        <f t="shared" si="14"/>
        <v>0</v>
      </c>
      <c r="X24" s="68">
        <f t="shared" si="15"/>
        <v>0</v>
      </c>
      <c r="Y24" s="69" t="str">
        <f t="shared" si="1"/>
        <v>D</v>
      </c>
      <c r="Z24" s="70" t="str">
        <f>IF(X24="  ","  ",IF(X24&gt;=menu!$D$19,"Tuntas","Tidak Tuntas"))</f>
        <v>Tuntas</v>
      </c>
      <c r="AA24" s="65"/>
      <c r="AB24" s="65"/>
      <c r="AC24" s="65"/>
      <c r="AD24" s="66"/>
      <c r="AE24" s="65"/>
      <c r="AF24" s="65"/>
      <c r="AG24" s="65"/>
      <c r="AH24" s="67">
        <f t="shared" si="16"/>
        <v>0</v>
      </c>
      <c r="AI24" s="68">
        <f t="shared" si="17"/>
        <v>0</v>
      </c>
      <c r="AJ24" s="68">
        <f t="shared" si="18"/>
        <v>0</v>
      </c>
      <c r="AK24" s="69" t="str">
        <f t="shared" si="2"/>
        <v>D</v>
      </c>
      <c r="AL24" s="70" t="str">
        <f>IF(AJ24="  ","  ",IF(AJ24&gt;=menu!$D$19,"Tuntas","Tidak Tuntas"))</f>
        <v>Tuntas</v>
      </c>
      <c r="AM24" s="65"/>
      <c r="AN24" s="65"/>
      <c r="AO24" s="65"/>
      <c r="AP24" s="66"/>
      <c r="AQ24" s="65"/>
      <c r="AR24" s="65"/>
      <c r="AS24" s="65"/>
      <c r="AT24" s="67">
        <f t="shared" si="19"/>
        <v>0</v>
      </c>
      <c r="AU24" s="68">
        <f t="shared" si="20"/>
        <v>0</v>
      </c>
      <c r="AV24" s="68">
        <f t="shared" si="21"/>
        <v>0</v>
      </c>
      <c r="AW24" s="69" t="str">
        <f t="shared" si="3"/>
        <v>D</v>
      </c>
      <c r="AX24" s="70" t="str">
        <f>IF(AV24="  ","  ",IF(AV24&gt;=menu!$D$19,"Tuntas","Tidak Tuntas"))</f>
        <v>Tuntas</v>
      </c>
      <c r="AY24" s="65"/>
      <c r="AZ24" s="65"/>
      <c r="BA24" s="65"/>
      <c r="BB24" s="66"/>
      <c r="BC24" s="65"/>
      <c r="BD24" s="65"/>
      <c r="BE24" s="65"/>
      <c r="BF24" s="67">
        <f t="shared" si="22"/>
        <v>0</v>
      </c>
      <c r="BG24" s="68">
        <f t="shared" si="23"/>
        <v>0</v>
      </c>
      <c r="BH24" s="68">
        <f t="shared" si="24"/>
        <v>0</v>
      </c>
      <c r="BI24" s="69" t="str">
        <f t="shared" si="4"/>
        <v>D</v>
      </c>
      <c r="BJ24" s="70" t="str">
        <f>IF(BH24="  ","  ",IF(BH24&gt;=menu!$D$19,"Tuntas","Tidak Tuntas"))</f>
        <v>Tuntas</v>
      </c>
      <c r="BK24" s="65"/>
      <c r="BL24" s="65"/>
      <c r="BM24" s="65"/>
      <c r="BN24" s="66"/>
      <c r="BO24" s="65"/>
      <c r="BP24" s="65"/>
      <c r="BQ24" s="65"/>
      <c r="BR24" s="67">
        <f t="shared" si="25"/>
        <v>0</v>
      </c>
      <c r="BS24" s="68">
        <f t="shared" si="26"/>
        <v>0</v>
      </c>
      <c r="BT24" s="68">
        <f t="shared" si="27"/>
        <v>0</v>
      </c>
      <c r="BU24" s="69" t="str">
        <f t="shared" si="5"/>
        <v>D</v>
      </c>
      <c r="BV24" s="70" t="str">
        <f>IF(BT24="  ","  ",IF(BT24&gt;=menu!$D$19,"Tuntas","Tidak Tuntas"))</f>
        <v>Tuntas</v>
      </c>
      <c r="BW24" s="65"/>
      <c r="BX24" s="65"/>
      <c r="BY24" s="65"/>
      <c r="BZ24" s="66"/>
      <c r="CA24" s="65"/>
      <c r="CB24" s="65"/>
      <c r="CC24" s="65"/>
      <c r="CD24" s="67">
        <f t="shared" si="28"/>
        <v>0</v>
      </c>
      <c r="CE24" s="68">
        <f t="shared" si="29"/>
        <v>0</v>
      </c>
      <c r="CF24" s="68">
        <f t="shared" si="30"/>
        <v>0</v>
      </c>
      <c r="CG24" s="69" t="str">
        <f t="shared" si="6"/>
        <v>D</v>
      </c>
      <c r="CH24" s="70" t="str">
        <f>IF(CF24="  ","  ",IF(CF24&gt;=menu!$D$19,"Tuntas","Tidak Tuntas"))</f>
        <v>Tuntas</v>
      </c>
      <c r="CI24" s="65"/>
      <c r="CJ24" s="65"/>
      <c r="CK24" s="65"/>
      <c r="CL24" s="66"/>
      <c r="CM24" s="65"/>
      <c r="CN24" s="65"/>
      <c r="CO24" s="65"/>
      <c r="CP24" s="67">
        <f t="shared" si="31"/>
        <v>0</v>
      </c>
      <c r="CQ24" s="68">
        <f t="shared" si="32"/>
        <v>0</v>
      </c>
      <c r="CR24" s="68">
        <f t="shared" si="33"/>
        <v>0</v>
      </c>
      <c r="CS24" s="69" t="str">
        <f t="shared" si="7"/>
        <v>D</v>
      </c>
      <c r="CT24" s="70" t="str">
        <f>IF(CR24="  ","  ",IF(CR24&gt;=menu!$D$19,"Tuntas","Tidak Tuntas"))</f>
        <v>Tuntas</v>
      </c>
      <c r="CU24" s="65"/>
      <c r="CV24" s="65"/>
      <c r="CW24" s="65"/>
      <c r="CX24" s="66"/>
      <c r="CY24" s="65"/>
      <c r="CZ24" s="65"/>
      <c r="DA24" s="65"/>
      <c r="DB24" s="67">
        <f t="shared" si="34"/>
        <v>0</v>
      </c>
      <c r="DC24" s="68">
        <f t="shared" si="35"/>
        <v>0</v>
      </c>
      <c r="DD24" s="68">
        <f t="shared" si="36"/>
        <v>0</v>
      </c>
      <c r="DE24" s="69" t="str">
        <f t="shared" si="8"/>
        <v>D</v>
      </c>
      <c r="DF24" s="70" t="str">
        <f>IF(DD24="  ","  ",IF(DD24&gt;=menu!$D$19,"Tuntas","Tidak Tuntas"))</f>
        <v>Tuntas</v>
      </c>
      <c r="DG24" s="65"/>
      <c r="DH24" s="65"/>
      <c r="DI24" s="65"/>
      <c r="DJ24" s="66"/>
      <c r="DK24" s="65"/>
      <c r="DL24" s="65"/>
      <c r="DM24" s="65"/>
      <c r="DN24" s="67">
        <f t="shared" si="37"/>
        <v>0</v>
      </c>
      <c r="DO24" s="68">
        <f t="shared" si="38"/>
        <v>0</v>
      </c>
      <c r="DP24" s="68">
        <f t="shared" si="39"/>
        <v>0</v>
      </c>
      <c r="DQ24" s="69" t="str">
        <f t="shared" si="9"/>
        <v>D</v>
      </c>
      <c r="DR24" s="70" t="str">
        <f>IF(DP24="  ","  ",IF(DP24&gt;=menu!$D$19,"Tuntas","Tidak Tuntas"))</f>
        <v>Tuntas</v>
      </c>
    </row>
    <row r="25" spans="1:122">
      <c r="A25" s="64">
        <f>'DATA SISWA'!A11</f>
        <v>7</v>
      </c>
      <c r="B25" s="76" t="str">
        <f>'DATA SISWA'!C11</f>
        <v>Insiyah</v>
      </c>
      <c r="C25" s="65"/>
      <c r="D25" s="65"/>
      <c r="E25" s="65"/>
      <c r="F25" s="66"/>
      <c r="G25" s="65"/>
      <c r="H25" s="65"/>
      <c r="I25" s="65"/>
      <c r="J25" s="67">
        <f t="shared" si="10"/>
        <v>0</v>
      </c>
      <c r="K25" s="68">
        <f t="shared" si="11"/>
        <v>0</v>
      </c>
      <c r="L25" s="68">
        <f t="shared" si="12"/>
        <v>0</v>
      </c>
      <c r="M25" s="69" t="str">
        <f t="shared" si="0"/>
        <v>D</v>
      </c>
      <c r="N25" s="70" t="str">
        <f>IF(L25="  ","  ",IF(L25&gt;=menu!$D$19,"Tuntas","Tidak Tuntas"))</f>
        <v>Tuntas</v>
      </c>
      <c r="O25" s="65"/>
      <c r="P25" s="65"/>
      <c r="Q25" s="65"/>
      <c r="R25" s="66"/>
      <c r="S25" s="65"/>
      <c r="T25" s="65"/>
      <c r="U25" s="65"/>
      <c r="V25" s="67">
        <f t="shared" si="13"/>
        <v>0</v>
      </c>
      <c r="W25" s="68">
        <f t="shared" si="14"/>
        <v>0</v>
      </c>
      <c r="X25" s="68">
        <f t="shared" si="15"/>
        <v>0</v>
      </c>
      <c r="Y25" s="69" t="str">
        <f t="shared" si="1"/>
        <v>D</v>
      </c>
      <c r="Z25" s="70" t="str">
        <f>IF(X25="  ","  ",IF(X25&gt;=menu!$D$19,"Tuntas","Tidak Tuntas"))</f>
        <v>Tuntas</v>
      </c>
      <c r="AA25" s="65"/>
      <c r="AB25" s="65"/>
      <c r="AC25" s="65"/>
      <c r="AD25" s="66"/>
      <c r="AE25" s="65"/>
      <c r="AF25" s="65"/>
      <c r="AG25" s="65"/>
      <c r="AH25" s="67">
        <f t="shared" si="16"/>
        <v>0</v>
      </c>
      <c r="AI25" s="68">
        <f t="shared" si="17"/>
        <v>0</v>
      </c>
      <c r="AJ25" s="68">
        <f t="shared" si="18"/>
        <v>0</v>
      </c>
      <c r="AK25" s="69" t="str">
        <f t="shared" si="2"/>
        <v>D</v>
      </c>
      <c r="AL25" s="70" t="str">
        <f>IF(AJ25="  ","  ",IF(AJ25&gt;=menu!$D$19,"Tuntas","Tidak Tuntas"))</f>
        <v>Tuntas</v>
      </c>
      <c r="AM25" s="65"/>
      <c r="AN25" s="65"/>
      <c r="AO25" s="65"/>
      <c r="AP25" s="66"/>
      <c r="AQ25" s="65"/>
      <c r="AR25" s="65"/>
      <c r="AS25" s="65"/>
      <c r="AT25" s="67">
        <f t="shared" si="19"/>
        <v>0</v>
      </c>
      <c r="AU25" s="68">
        <f t="shared" si="20"/>
        <v>0</v>
      </c>
      <c r="AV25" s="68">
        <f t="shared" si="21"/>
        <v>0</v>
      </c>
      <c r="AW25" s="69" t="str">
        <f t="shared" si="3"/>
        <v>D</v>
      </c>
      <c r="AX25" s="70" t="str">
        <f>IF(AV25="  ","  ",IF(AV25&gt;=menu!$D$19,"Tuntas","Tidak Tuntas"))</f>
        <v>Tuntas</v>
      </c>
      <c r="AY25" s="65"/>
      <c r="AZ25" s="65"/>
      <c r="BA25" s="65"/>
      <c r="BB25" s="66"/>
      <c r="BC25" s="65"/>
      <c r="BD25" s="65"/>
      <c r="BE25" s="65"/>
      <c r="BF25" s="67">
        <f t="shared" si="22"/>
        <v>0</v>
      </c>
      <c r="BG25" s="68">
        <f t="shared" si="23"/>
        <v>0</v>
      </c>
      <c r="BH25" s="68">
        <f t="shared" si="24"/>
        <v>0</v>
      </c>
      <c r="BI25" s="69" t="str">
        <f t="shared" si="4"/>
        <v>D</v>
      </c>
      <c r="BJ25" s="70" t="str">
        <f>IF(BH25="  ","  ",IF(BH25&gt;=menu!$D$19,"Tuntas","Tidak Tuntas"))</f>
        <v>Tuntas</v>
      </c>
      <c r="BK25" s="65"/>
      <c r="BL25" s="65"/>
      <c r="BM25" s="65"/>
      <c r="BN25" s="66"/>
      <c r="BO25" s="65"/>
      <c r="BP25" s="65"/>
      <c r="BQ25" s="65"/>
      <c r="BR25" s="67">
        <f t="shared" si="25"/>
        <v>0</v>
      </c>
      <c r="BS25" s="68">
        <f t="shared" si="26"/>
        <v>0</v>
      </c>
      <c r="BT25" s="68">
        <f t="shared" si="27"/>
        <v>0</v>
      </c>
      <c r="BU25" s="69" t="str">
        <f t="shared" si="5"/>
        <v>D</v>
      </c>
      <c r="BV25" s="70" t="str">
        <f>IF(BT25="  ","  ",IF(BT25&gt;=menu!$D$19,"Tuntas","Tidak Tuntas"))</f>
        <v>Tuntas</v>
      </c>
      <c r="BW25" s="65"/>
      <c r="BX25" s="65"/>
      <c r="BY25" s="65"/>
      <c r="BZ25" s="66"/>
      <c r="CA25" s="65"/>
      <c r="CB25" s="65"/>
      <c r="CC25" s="65"/>
      <c r="CD25" s="67">
        <f t="shared" si="28"/>
        <v>0</v>
      </c>
      <c r="CE25" s="68">
        <f t="shared" si="29"/>
        <v>0</v>
      </c>
      <c r="CF25" s="68">
        <f t="shared" si="30"/>
        <v>0</v>
      </c>
      <c r="CG25" s="69" t="str">
        <f t="shared" si="6"/>
        <v>D</v>
      </c>
      <c r="CH25" s="70" t="str">
        <f>IF(CF25="  ","  ",IF(CF25&gt;=menu!$D$19,"Tuntas","Tidak Tuntas"))</f>
        <v>Tuntas</v>
      </c>
      <c r="CI25" s="65"/>
      <c r="CJ25" s="65"/>
      <c r="CK25" s="65"/>
      <c r="CL25" s="66"/>
      <c r="CM25" s="65"/>
      <c r="CN25" s="65"/>
      <c r="CO25" s="65"/>
      <c r="CP25" s="67">
        <f t="shared" si="31"/>
        <v>0</v>
      </c>
      <c r="CQ25" s="68">
        <f t="shared" si="32"/>
        <v>0</v>
      </c>
      <c r="CR25" s="68">
        <f t="shared" si="33"/>
        <v>0</v>
      </c>
      <c r="CS25" s="69" t="str">
        <f t="shared" si="7"/>
        <v>D</v>
      </c>
      <c r="CT25" s="70" t="str">
        <f>IF(CR25="  ","  ",IF(CR25&gt;=menu!$D$19,"Tuntas","Tidak Tuntas"))</f>
        <v>Tuntas</v>
      </c>
      <c r="CU25" s="65"/>
      <c r="CV25" s="65"/>
      <c r="CW25" s="65"/>
      <c r="CX25" s="66"/>
      <c r="CY25" s="65"/>
      <c r="CZ25" s="65"/>
      <c r="DA25" s="65"/>
      <c r="DB25" s="67">
        <f t="shared" si="34"/>
        <v>0</v>
      </c>
      <c r="DC25" s="68">
        <f t="shared" si="35"/>
        <v>0</v>
      </c>
      <c r="DD25" s="68">
        <f t="shared" si="36"/>
        <v>0</v>
      </c>
      <c r="DE25" s="69" t="str">
        <f t="shared" si="8"/>
        <v>D</v>
      </c>
      <c r="DF25" s="70" t="str">
        <f>IF(DD25="  ","  ",IF(DD25&gt;=menu!$D$19,"Tuntas","Tidak Tuntas"))</f>
        <v>Tuntas</v>
      </c>
      <c r="DG25" s="65"/>
      <c r="DH25" s="65"/>
      <c r="DI25" s="65"/>
      <c r="DJ25" s="66"/>
      <c r="DK25" s="65"/>
      <c r="DL25" s="65"/>
      <c r="DM25" s="65"/>
      <c r="DN25" s="67">
        <f t="shared" si="37"/>
        <v>0</v>
      </c>
      <c r="DO25" s="68">
        <f t="shared" si="38"/>
        <v>0</v>
      </c>
      <c r="DP25" s="68">
        <f t="shared" si="39"/>
        <v>0</v>
      </c>
      <c r="DQ25" s="69" t="str">
        <f t="shared" si="9"/>
        <v>D</v>
      </c>
      <c r="DR25" s="70" t="str">
        <f>IF(DP25="  ","  ",IF(DP25&gt;=menu!$D$19,"Tuntas","Tidak Tuntas"))</f>
        <v>Tuntas</v>
      </c>
    </row>
    <row r="26" spans="1:122">
      <c r="A26" s="64">
        <f>'DATA SISWA'!A12</f>
        <v>8</v>
      </c>
      <c r="B26" s="76" t="str">
        <f>'DATA SISWA'!C12</f>
        <v>Saiful Jamil</v>
      </c>
      <c r="C26" s="65"/>
      <c r="D26" s="65"/>
      <c r="E26" s="65"/>
      <c r="F26" s="66"/>
      <c r="G26" s="65"/>
      <c r="H26" s="65"/>
      <c r="I26" s="65"/>
      <c r="J26" s="67">
        <f t="shared" si="10"/>
        <v>0</v>
      </c>
      <c r="K26" s="68">
        <f t="shared" si="11"/>
        <v>0</v>
      </c>
      <c r="L26" s="68">
        <f t="shared" si="12"/>
        <v>0</v>
      </c>
      <c r="M26" s="69" t="str">
        <f t="shared" si="0"/>
        <v>D</v>
      </c>
      <c r="N26" s="70" t="str">
        <f>IF(L26="  ","  ",IF(L26&gt;=menu!$D$19,"Tuntas","Tidak Tuntas"))</f>
        <v>Tuntas</v>
      </c>
      <c r="O26" s="65"/>
      <c r="P26" s="65"/>
      <c r="Q26" s="65"/>
      <c r="R26" s="66"/>
      <c r="S26" s="65"/>
      <c r="T26" s="65"/>
      <c r="U26" s="65"/>
      <c r="V26" s="67">
        <f t="shared" si="13"/>
        <v>0</v>
      </c>
      <c r="W26" s="68">
        <f t="shared" si="14"/>
        <v>0</v>
      </c>
      <c r="X26" s="68">
        <f t="shared" si="15"/>
        <v>0</v>
      </c>
      <c r="Y26" s="69" t="str">
        <f t="shared" si="1"/>
        <v>D</v>
      </c>
      <c r="Z26" s="70" t="str">
        <f>IF(X26="  ","  ",IF(X26&gt;=menu!$D$19,"Tuntas","Tidak Tuntas"))</f>
        <v>Tuntas</v>
      </c>
      <c r="AA26" s="65"/>
      <c r="AB26" s="65"/>
      <c r="AC26" s="65"/>
      <c r="AD26" s="66"/>
      <c r="AE26" s="65"/>
      <c r="AF26" s="65"/>
      <c r="AG26" s="65"/>
      <c r="AH26" s="67">
        <f t="shared" si="16"/>
        <v>0</v>
      </c>
      <c r="AI26" s="68">
        <f t="shared" si="17"/>
        <v>0</v>
      </c>
      <c r="AJ26" s="68">
        <f t="shared" si="18"/>
        <v>0</v>
      </c>
      <c r="AK26" s="69" t="str">
        <f t="shared" si="2"/>
        <v>D</v>
      </c>
      <c r="AL26" s="70" t="str">
        <f>IF(AJ26="  ","  ",IF(AJ26&gt;=menu!$D$19,"Tuntas","Tidak Tuntas"))</f>
        <v>Tuntas</v>
      </c>
      <c r="AM26" s="65"/>
      <c r="AN26" s="65"/>
      <c r="AO26" s="65"/>
      <c r="AP26" s="66"/>
      <c r="AQ26" s="65"/>
      <c r="AR26" s="65"/>
      <c r="AS26" s="65"/>
      <c r="AT26" s="67">
        <f t="shared" si="19"/>
        <v>0</v>
      </c>
      <c r="AU26" s="68">
        <f t="shared" si="20"/>
        <v>0</v>
      </c>
      <c r="AV26" s="68">
        <f t="shared" si="21"/>
        <v>0</v>
      </c>
      <c r="AW26" s="69" t="str">
        <f t="shared" si="3"/>
        <v>D</v>
      </c>
      <c r="AX26" s="70" t="str">
        <f>IF(AV26="  ","  ",IF(AV26&gt;=menu!$D$19,"Tuntas","Tidak Tuntas"))</f>
        <v>Tuntas</v>
      </c>
      <c r="AY26" s="65"/>
      <c r="AZ26" s="65"/>
      <c r="BA26" s="65"/>
      <c r="BB26" s="66"/>
      <c r="BC26" s="65"/>
      <c r="BD26" s="65"/>
      <c r="BE26" s="65"/>
      <c r="BF26" s="67">
        <f t="shared" si="22"/>
        <v>0</v>
      </c>
      <c r="BG26" s="68">
        <f t="shared" si="23"/>
        <v>0</v>
      </c>
      <c r="BH26" s="68">
        <f t="shared" si="24"/>
        <v>0</v>
      </c>
      <c r="BI26" s="69" t="str">
        <f t="shared" si="4"/>
        <v>D</v>
      </c>
      <c r="BJ26" s="70" t="str">
        <f>IF(BH26="  ","  ",IF(BH26&gt;=menu!$D$19,"Tuntas","Tidak Tuntas"))</f>
        <v>Tuntas</v>
      </c>
      <c r="BK26" s="65"/>
      <c r="BL26" s="65"/>
      <c r="BM26" s="65"/>
      <c r="BN26" s="66"/>
      <c r="BO26" s="65"/>
      <c r="BP26" s="65"/>
      <c r="BQ26" s="65"/>
      <c r="BR26" s="67">
        <f t="shared" si="25"/>
        <v>0</v>
      </c>
      <c r="BS26" s="68">
        <f t="shared" si="26"/>
        <v>0</v>
      </c>
      <c r="BT26" s="68">
        <f t="shared" si="27"/>
        <v>0</v>
      </c>
      <c r="BU26" s="69" t="str">
        <f t="shared" si="5"/>
        <v>D</v>
      </c>
      <c r="BV26" s="70" t="str">
        <f>IF(BT26="  ","  ",IF(BT26&gt;=menu!$D$19,"Tuntas","Tidak Tuntas"))</f>
        <v>Tuntas</v>
      </c>
      <c r="BW26" s="65"/>
      <c r="BX26" s="65"/>
      <c r="BY26" s="65"/>
      <c r="BZ26" s="66"/>
      <c r="CA26" s="65"/>
      <c r="CB26" s="65"/>
      <c r="CC26" s="65"/>
      <c r="CD26" s="67">
        <f t="shared" si="28"/>
        <v>0</v>
      </c>
      <c r="CE26" s="68">
        <f t="shared" si="29"/>
        <v>0</v>
      </c>
      <c r="CF26" s="68">
        <f t="shared" si="30"/>
        <v>0</v>
      </c>
      <c r="CG26" s="69" t="str">
        <f t="shared" si="6"/>
        <v>D</v>
      </c>
      <c r="CH26" s="70" t="str">
        <f>IF(CF26="  ","  ",IF(CF26&gt;=menu!$D$19,"Tuntas","Tidak Tuntas"))</f>
        <v>Tuntas</v>
      </c>
      <c r="CI26" s="65"/>
      <c r="CJ26" s="65"/>
      <c r="CK26" s="65"/>
      <c r="CL26" s="66"/>
      <c r="CM26" s="65"/>
      <c r="CN26" s="65"/>
      <c r="CO26" s="65"/>
      <c r="CP26" s="67">
        <f t="shared" si="31"/>
        <v>0</v>
      </c>
      <c r="CQ26" s="68">
        <f t="shared" si="32"/>
        <v>0</v>
      </c>
      <c r="CR26" s="68">
        <f t="shared" si="33"/>
        <v>0</v>
      </c>
      <c r="CS26" s="69" t="str">
        <f t="shared" si="7"/>
        <v>D</v>
      </c>
      <c r="CT26" s="70" t="str">
        <f>IF(CR26="  ","  ",IF(CR26&gt;=menu!$D$19,"Tuntas","Tidak Tuntas"))</f>
        <v>Tuntas</v>
      </c>
      <c r="CU26" s="65"/>
      <c r="CV26" s="65"/>
      <c r="CW26" s="65"/>
      <c r="CX26" s="66"/>
      <c r="CY26" s="65"/>
      <c r="CZ26" s="65"/>
      <c r="DA26" s="65"/>
      <c r="DB26" s="67">
        <f t="shared" si="34"/>
        <v>0</v>
      </c>
      <c r="DC26" s="68">
        <f t="shared" si="35"/>
        <v>0</v>
      </c>
      <c r="DD26" s="68">
        <f t="shared" si="36"/>
        <v>0</v>
      </c>
      <c r="DE26" s="69" t="str">
        <f t="shared" si="8"/>
        <v>D</v>
      </c>
      <c r="DF26" s="70" t="str">
        <f>IF(DD26="  ","  ",IF(DD26&gt;=menu!$D$19,"Tuntas","Tidak Tuntas"))</f>
        <v>Tuntas</v>
      </c>
      <c r="DG26" s="65"/>
      <c r="DH26" s="65"/>
      <c r="DI26" s="65"/>
      <c r="DJ26" s="66"/>
      <c r="DK26" s="65"/>
      <c r="DL26" s="65"/>
      <c r="DM26" s="65"/>
      <c r="DN26" s="67">
        <f t="shared" si="37"/>
        <v>0</v>
      </c>
      <c r="DO26" s="68">
        <f t="shared" si="38"/>
        <v>0</v>
      </c>
      <c r="DP26" s="68">
        <f t="shared" si="39"/>
        <v>0</v>
      </c>
      <c r="DQ26" s="69" t="str">
        <f t="shared" si="9"/>
        <v>D</v>
      </c>
      <c r="DR26" s="70" t="str">
        <f>IF(DP26="  ","  ",IF(DP26&gt;=menu!$D$19,"Tuntas","Tidak Tuntas"))</f>
        <v>Tuntas</v>
      </c>
    </row>
    <row r="27" spans="1:122">
      <c r="A27" s="64">
        <f>'DATA SISWA'!A13</f>
        <v>9</v>
      </c>
      <c r="B27" s="76" t="str">
        <f>'DATA SISWA'!C13</f>
        <v>Khusnun Nisa</v>
      </c>
      <c r="C27" s="65"/>
      <c r="D27" s="65"/>
      <c r="E27" s="65"/>
      <c r="F27" s="66"/>
      <c r="G27" s="65"/>
      <c r="H27" s="65"/>
      <c r="I27" s="65"/>
      <c r="J27" s="67">
        <f t="shared" si="10"/>
        <v>0</v>
      </c>
      <c r="K27" s="68">
        <f t="shared" si="11"/>
        <v>0</v>
      </c>
      <c r="L27" s="68">
        <f t="shared" si="12"/>
        <v>0</v>
      </c>
      <c r="M27" s="69" t="str">
        <f t="shared" si="0"/>
        <v>D</v>
      </c>
      <c r="N27" s="70" t="str">
        <f>IF(L27="  ","  ",IF(L27&gt;=menu!$D$19,"Tuntas","Tidak Tuntas"))</f>
        <v>Tuntas</v>
      </c>
      <c r="O27" s="65"/>
      <c r="P27" s="65"/>
      <c r="Q27" s="65"/>
      <c r="R27" s="66"/>
      <c r="S27" s="65"/>
      <c r="T27" s="65"/>
      <c r="U27" s="65"/>
      <c r="V27" s="67">
        <f t="shared" si="13"/>
        <v>0</v>
      </c>
      <c r="W27" s="68">
        <f t="shared" si="14"/>
        <v>0</v>
      </c>
      <c r="X27" s="68">
        <f t="shared" si="15"/>
        <v>0</v>
      </c>
      <c r="Y27" s="69" t="str">
        <f t="shared" si="1"/>
        <v>D</v>
      </c>
      <c r="Z27" s="70" t="str">
        <f>IF(X27="  ","  ",IF(X27&gt;=menu!$D$19,"Tuntas","Tidak Tuntas"))</f>
        <v>Tuntas</v>
      </c>
      <c r="AA27" s="65"/>
      <c r="AB27" s="65"/>
      <c r="AC27" s="65"/>
      <c r="AD27" s="66"/>
      <c r="AE27" s="65"/>
      <c r="AF27" s="65"/>
      <c r="AG27" s="65"/>
      <c r="AH27" s="67">
        <f t="shared" si="16"/>
        <v>0</v>
      </c>
      <c r="AI27" s="68">
        <f t="shared" si="17"/>
        <v>0</v>
      </c>
      <c r="AJ27" s="68">
        <f t="shared" si="18"/>
        <v>0</v>
      </c>
      <c r="AK27" s="69" t="str">
        <f t="shared" si="2"/>
        <v>D</v>
      </c>
      <c r="AL27" s="70" t="str">
        <f>IF(AJ27="  ","  ",IF(AJ27&gt;=menu!$D$19,"Tuntas","Tidak Tuntas"))</f>
        <v>Tuntas</v>
      </c>
      <c r="AM27" s="65"/>
      <c r="AN27" s="65"/>
      <c r="AO27" s="65"/>
      <c r="AP27" s="66"/>
      <c r="AQ27" s="65"/>
      <c r="AR27" s="65"/>
      <c r="AS27" s="65"/>
      <c r="AT27" s="67">
        <f t="shared" si="19"/>
        <v>0</v>
      </c>
      <c r="AU27" s="68">
        <f t="shared" si="20"/>
        <v>0</v>
      </c>
      <c r="AV27" s="68">
        <f t="shared" si="21"/>
        <v>0</v>
      </c>
      <c r="AW27" s="69" t="str">
        <f t="shared" si="3"/>
        <v>D</v>
      </c>
      <c r="AX27" s="70" t="str">
        <f>IF(AV27="  ","  ",IF(AV27&gt;=menu!$D$19,"Tuntas","Tidak Tuntas"))</f>
        <v>Tuntas</v>
      </c>
      <c r="AY27" s="65"/>
      <c r="AZ27" s="65"/>
      <c r="BA27" s="65"/>
      <c r="BB27" s="66"/>
      <c r="BC27" s="65"/>
      <c r="BD27" s="65"/>
      <c r="BE27" s="65"/>
      <c r="BF27" s="67">
        <f t="shared" si="22"/>
        <v>0</v>
      </c>
      <c r="BG27" s="68">
        <f t="shared" si="23"/>
        <v>0</v>
      </c>
      <c r="BH27" s="68">
        <f t="shared" si="24"/>
        <v>0</v>
      </c>
      <c r="BI27" s="69" t="str">
        <f t="shared" si="4"/>
        <v>D</v>
      </c>
      <c r="BJ27" s="70" t="str">
        <f>IF(BH27="  ","  ",IF(BH27&gt;=menu!$D$19,"Tuntas","Tidak Tuntas"))</f>
        <v>Tuntas</v>
      </c>
      <c r="BK27" s="65"/>
      <c r="BL27" s="65"/>
      <c r="BM27" s="65"/>
      <c r="BN27" s="66"/>
      <c r="BO27" s="65"/>
      <c r="BP27" s="65"/>
      <c r="BQ27" s="65"/>
      <c r="BR27" s="67">
        <f t="shared" si="25"/>
        <v>0</v>
      </c>
      <c r="BS27" s="68">
        <f t="shared" si="26"/>
        <v>0</v>
      </c>
      <c r="BT27" s="68">
        <f t="shared" si="27"/>
        <v>0</v>
      </c>
      <c r="BU27" s="69" t="str">
        <f t="shared" si="5"/>
        <v>D</v>
      </c>
      <c r="BV27" s="70" t="str">
        <f>IF(BT27="  ","  ",IF(BT27&gt;=menu!$D$19,"Tuntas","Tidak Tuntas"))</f>
        <v>Tuntas</v>
      </c>
      <c r="BW27" s="65"/>
      <c r="BX27" s="65"/>
      <c r="BY27" s="65"/>
      <c r="BZ27" s="66"/>
      <c r="CA27" s="65"/>
      <c r="CB27" s="65"/>
      <c r="CC27" s="65"/>
      <c r="CD27" s="67">
        <f t="shared" si="28"/>
        <v>0</v>
      </c>
      <c r="CE27" s="68">
        <f t="shared" si="29"/>
        <v>0</v>
      </c>
      <c r="CF27" s="68">
        <f t="shared" si="30"/>
        <v>0</v>
      </c>
      <c r="CG27" s="69" t="str">
        <f t="shared" si="6"/>
        <v>D</v>
      </c>
      <c r="CH27" s="70" t="str">
        <f>IF(CF27="  ","  ",IF(CF27&gt;=menu!$D$19,"Tuntas","Tidak Tuntas"))</f>
        <v>Tuntas</v>
      </c>
      <c r="CI27" s="65"/>
      <c r="CJ27" s="65"/>
      <c r="CK27" s="65"/>
      <c r="CL27" s="66"/>
      <c r="CM27" s="65"/>
      <c r="CN27" s="65"/>
      <c r="CO27" s="65"/>
      <c r="CP27" s="67">
        <f t="shared" si="31"/>
        <v>0</v>
      </c>
      <c r="CQ27" s="68">
        <f t="shared" si="32"/>
        <v>0</v>
      </c>
      <c r="CR27" s="68">
        <f t="shared" si="33"/>
        <v>0</v>
      </c>
      <c r="CS27" s="69" t="str">
        <f t="shared" si="7"/>
        <v>D</v>
      </c>
      <c r="CT27" s="70" t="str">
        <f>IF(CR27="  ","  ",IF(CR27&gt;=menu!$D$19,"Tuntas","Tidak Tuntas"))</f>
        <v>Tuntas</v>
      </c>
      <c r="CU27" s="65"/>
      <c r="CV27" s="65"/>
      <c r="CW27" s="65"/>
      <c r="CX27" s="66"/>
      <c r="CY27" s="65"/>
      <c r="CZ27" s="65"/>
      <c r="DA27" s="65"/>
      <c r="DB27" s="67">
        <f t="shared" si="34"/>
        <v>0</v>
      </c>
      <c r="DC27" s="68">
        <f t="shared" si="35"/>
        <v>0</v>
      </c>
      <c r="DD27" s="68">
        <f t="shared" si="36"/>
        <v>0</v>
      </c>
      <c r="DE27" s="69" t="str">
        <f t="shared" si="8"/>
        <v>D</v>
      </c>
      <c r="DF27" s="70" t="str">
        <f>IF(DD27="  ","  ",IF(DD27&gt;=menu!$D$19,"Tuntas","Tidak Tuntas"))</f>
        <v>Tuntas</v>
      </c>
      <c r="DG27" s="65"/>
      <c r="DH27" s="65"/>
      <c r="DI27" s="65"/>
      <c r="DJ27" s="66"/>
      <c r="DK27" s="65"/>
      <c r="DL27" s="65"/>
      <c r="DM27" s="65"/>
      <c r="DN27" s="67">
        <f t="shared" si="37"/>
        <v>0</v>
      </c>
      <c r="DO27" s="68">
        <f t="shared" si="38"/>
        <v>0</v>
      </c>
      <c r="DP27" s="68">
        <f t="shared" si="39"/>
        <v>0</v>
      </c>
      <c r="DQ27" s="69" t="str">
        <f t="shared" si="9"/>
        <v>D</v>
      </c>
      <c r="DR27" s="70" t="str">
        <f>IF(DP27="  ","  ",IF(DP27&gt;=menu!$D$19,"Tuntas","Tidak Tuntas"))</f>
        <v>Tuntas</v>
      </c>
    </row>
    <row r="28" spans="1:122">
      <c r="A28" s="64">
        <f>'DATA SISWA'!A14</f>
        <v>10</v>
      </c>
      <c r="B28" s="76" t="str">
        <f>'DATA SISWA'!C14</f>
        <v>Komariyah</v>
      </c>
      <c r="C28" s="65"/>
      <c r="D28" s="65"/>
      <c r="E28" s="65"/>
      <c r="F28" s="66"/>
      <c r="G28" s="65"/>
      <c r="H28" s="65"/>
      <c r="I28" s="65"/>
      <c r="J28" s="67">
        <f t="shared" si="10"/>
        <v>0</v>
      </c>
      <c r="K28" s="68">
        <f t="shared" si="11"/>
        <v>0</v>
      </c>
      <c r="L28" s="68">
        <f t="shared" si="12"/>
        <v>0</v>
      </c>
      <c r="M28" s="69" t="str">
        <f t="shared" si="0"/>
        <v>D</v>
      </c>
      <c r="N28" s="70" t="str">
        <f>IF(L28="  ","  ",IF(L28&gt;=menu!$D$19,"Tuntas","Tidak Tuntas"))</f>
        <v>Tuntas</v>
      </c>
      <c r="O28" s="65"/>
      <c r="P28" s="65"/>
      <c r="Q28" s="65"/>
      <c r="R28" s="66"/>
      <c r="S28" s="65"/>
      <c r="T28" s="65"/>
      <c r="U28" s="65"/>
      <c r="V28" s="67">
        <f t="shared" si="13"/>
        <v>0</v>
      </c>
      <c r="W28" s="68">
        <f t="shared" si="14"/>
        <v>0</v>
      </c>
      <c r="X28" s="68">
        <f t="shared" si="15"/>
        <v>0</v>
      </c>
      <c r="Y28" s="69" t="str">
        <f t="shared" si="1"/>
        <v>D</v>
      </c>
      <c r="Z28" s="70" t="str">
        <f>IF(X28="  ","  ",IF(X28&gt;=menu!$D$19,"Tuntas","Tidak Tuntas"))</f>
        <v>Tuntas</v>
      </c>
      <c r="AA28" s="65"/>
      <c r="AB28" s="65"/>
      <c r="AC28" s="65"/>
      <c r="AD28" s="66"/>
      <c r="AE28" s="65"/>
      <c r="AF28" s="65"/>
      <c r="AG28" s="65"/>
      <c r="AH28" s="67">
        <f t="shared" si="16"/>
        <v>0</v>
      </c>
      <c r="AI28" s="68">
        <f t="shared" si="17"/>
        <v>0</v>
      </c>
      <c r="AJ28" s="68">
        <f t="shared" si="18"/>
        <v>0</v>
      </c>
      <c r="AK28" s="69" t="str">
        <f t="shared" si="2"/>
        <v>D</v>
      </c>
      <c r="AL28" s="70" t="str">
        <f>IF(AJ28="  ","  ",IF(AJ28&gt;=menu!$D$19,"Tuntas","Tidak Tuntas"))</f>
        <v>Tuntas</v>
      </c>
      <c r="AM28" s="65"/>
      <c r="AN28" s="65"/>
      <c r="AO28" s="65"/>
      <c r="AP28" s="66"/>
      <c r="AQ28" s="65"/>
      <c r="AR28" s="65"/>
      <c r="AS28" s="65"/>
      <c r="AT28" s="67">
        <f t="shared" si="19"/>
        <v>0</v>
      </c>
      <c r="AU28" s="68">
        <f t="shared" si="20"/>
        <v>0</v>
      </c>
      <c r="AV28" s="68">
        <f t="shared" si="21"/>
        <v>0</v>
      </c>
      <c r="AW28" s="69" t="str">
        <f t="shared" si="3"/>
        <v>D</v>
      </c>
      <c r="AX28" s="70" t="str">
        <f>IF(AV28="  ","  ",IF(AV28&gt;=menu!$D$19,"Tuntas","Tidak Tuntas"))</f>
        <v>Tuntas</v>
      </c>
      <c r="AY28" s="65"/>
      <c r="AZ28" s="65"/>
      <c r="BA28" s="65"/>
      <c r="BB28" s="66"/>
      <c r="BC28" s="65"/>
      <c r="BD28" s="65"/>
      <c r="BE28" s="65"/>
      <c r="BF28" s="67">
        <f t="shared" si="22"/>
        <v>0</v>
      </c>
      <c r="BG28" s="68">
        <f t="shared" si="23"/>
        <v>0</v>
      </c>
      <c r="BH28" s="68">
        <f t="shared" si="24"/>
        <v>0</v>
      </c>
      <c r="BI28" s="69" t="str">
        <f t="shared" si="4"/>
        <v>D</v>
      </c>
      <c r="BJ28" s="70" t="str">
        <f>IF(BH28="  ","  ",IF(BH28&gt;=menu!$D$19,"Tuntas","Tidak Tuntas"))</f>
        <v>Tuntas</v>
      </c>
      <c r="BK28" s="65"/>
      <c r="BL28" s="65"/>
      <c r="BM28" s="65"/>
      <c r="BN28" s="66"/>
      <c r="BO28" s="65"/>
      <c r="BP28" s="65"/>
      <c r="BQ28" s="65"/>
      <c r="BR28" s="67">
        <f t="shared" si="25"/>
        <v>0</v>
      </c>
      <c r="BS28" s="68">
        <f t="shared" si="26"/>
        <v>0</v>
      </c>
      <c r="BT28" s="68">
        <f t="shared" si="27"/>
        <v>0</v>
      </c>
      <c r="BU28" s="69" t="str">
        <f t="shared" si="5"/>
        <v>D</v>
      </c>
      <c r="BV28" s="70" t="str">
        <f>IF(BT28="  ","  ",IF(BT28&gt;=menu!$D$19,"Tuntas","Tidak Tuntas"))</f>
        <v>Tuntas</v>
      </c>
      <c r="BW28" s="65"/>
      <c r="BX28" s="65"/>
      <c r="BY28" s="65"/>
      <c r="BZ28" s="66"/>
      <c r="CA28" s="65"/>
      <c r="CB28" s="65"/>
      <c r="CC28" s="65"/>
      <c r="CD28" s="67">
        <f t="shared" si="28"/>
        <v>0</v>
      </c>
      <c r="CE28" s="68">
        <f t="shared" si="29"/>
        <v>0</v>
      </c>
      <c r="CF28" s="68">
        <f t="shared" si="30"/>
        <v>0</v>
      </c>
      <c r="CG28" s="69" t="str">
        <f t="shared" si="6"/>
        <v>D</v>
      </c>
      <c r="CH28" s="70" t="str">
        <f>IF(CF28="  ","  ",IF(CF28&gt;=menu!$D$19,"Tuntas","Tidak Tuntas"))</f>
        <v>Tuntas</v>
      </c>
      <c r="CI28" s="65"/>
      <c r="CJ28" s="65"/>
      <c r="CK28" s="65"/>
      <c r="CL28" s="66"/>
      <c r="CM28" s="65"/>
      <c r="CN28" s="65"/>
      <c r="CO28" s="65"/>
      <c r="CP28" s="67">
        <f t="shared" si="31"/>
        <v>0</v>
      </c>
      <c r="CQ28" s="68">
        <f t="shared" si="32"/>
        <v>0</v>
      </c>
      <c r="CR28" s="68">
        <f t="shared" si="33"/>
        <v>0</v>
      </c>
      <c r="CS28" s="69" t="str">
        <f t="shared" si="7"/>
        <v>D</v>
      </c>
      <c r="CT28" s="70" t="str">
        <f>IF(CR28="  ","  ",IF(CR28&gt;=menu!$D$19,"Tuntas","Tidak Tuntas"))</f>
        <v>Tuntas</v>
      </c>
      <c r="CU28" s="65"/>
      <c r="CV28" s="65"/>
      <c r="CW28" s="65"/>
      <c r="CX28" s="66"/>
      <c r="CY28" s="65"/>
      <c r="CZ28" s="65"/>
      <c r="DA28" s="65"/>
      <c r="DB28" s="67">
        <f t="shared" si="34"/>
        <v>0</v>
      </c>
      <c r="DC28" s="68">
        <f t="shared" si="35"/>
        <v>0</v>
      </c>
      <c r="DD28" s="68">
        <f t="shared" si="36"/>
        <v>0</v>
      </c>
      <c r="DE28" s="69" t="str">
        <f t="shared" si="8"/>
        <v>D</v>
      </c>
      <c r="DF28" s="70" t="str">
        <f>IF(DD28="  ","  ",IF(DD28&gt;=menu!$D$19,"Tuntas","Tidak Tuntas"))</f>
        <v>Tuntas</v>
      </c>
      <c r="DG28" s="65"/>
      <c r="DH28" s="65"/>
      <c r="DI28" s="65"/>
      <c r="DJ28" s="66"/>
      <c r="DK28" s="65"/>
      <c r="DL28" s="65"/>
      <c r="DM28" s="65"/>
      <c r="DN28" s="67">
        <f t="shared" si="37"/>
        <v>0</v>
      </c>
      <c r="DO28" s="68">
        <f t="shared" si="38"/>
        <v>0</v>
      </c>
      <c r="DP28" s="68">
        <f t="shared" si="39"/>
        <v>0</v>
      </c>
      <c r="DQ28" s="69" t="str">
        <f t="shared" si="9"/>
        <v>D</v>
      </c>
      <c r="DR28" s="70" t="str">
        <f>IF(DP28="  ","  ",IF(DP28&gt;=menu!$D$19,"Tuntas","Tidak Tuntas"))</f>
        <v>Tuntas</v>
      </c>
    </row>
    <row r="29" spans="1:122">
      <c r="A29" s="64">
        <f>'DATA SISWA'!A15</f>
        <v>11</v>
      </c>
      <c r="B29" s="76" t="str">
        <f>'DATA SISWA'!C15</f>
        <v>Latifah</v>
      </c>
      <c r="C29" s="65"/>
      <c r="D29" s="65"/>
      <c r="E29" s="65"/>
      <c r="F29" s="66"/>
      <c r="G29" s="65"/>
      <c r="H29" s="65"/>
      <c r="I29" s="65"/>
      <c r="J29" s="67">
        <f t="shared" si="10"/>
        <v>0</v>
      </c>
      <c r="K29" s="68">
        <f t="shared" si="11"/>
        <v>0</v>
      </c>
      <c r="L29" s="68">
        <f t="shared" si="12"/>
        <v>0</v>
      </c>
      <c r="M29" s="69" t="str">
        <f t="shared" si="0"/>
        <v>D</v>
      </c>
      <c r="N29" s="70" t="str">
        <f>IF(L29="  ","  ",IF(L29&gt;=menu!$D$19,"Tuntas","Tidak Tuntas"))</f>
        <v>Tuntas</v>
      </c>
      <c r="O29" s="65"/>
      <c r="P29" s="65"/>
      <c r="Q29" s="65"/>
      <c r="R29" s="66"/>
      <c r="S29" s="65"/>
      <c r="T29" s="65"/>
      <c r="U29" s="65"/>
      <c r="V29" s="67">
        <f t="shared" si="13"/>
        <v>0</v>
      </c>
      <c r="W29" s="68">
        <f t="shared" si="14"/>
        <v>0</v>
      </c>
      <c r="X29" s="68">
        <f t="shared" si="15"/>
        <v>0</v>
      </c>
      <c r="Y29" s="69" t="str">
        <f t="shared" si="1"/>
        <v>D</v>
      </c>
      <c r="Z29" s="70" t="str">
        <f>IF(X29="  ","  ",IF(X29&gt;=menu!$D$19,"Tuntas","Tidak Tuntas"))</f>
        <v>Tuntas</v>
      </c>
      <c r="AA29" s="65"/>
      <c r="AB29" s="65"/>
      <c r="AC29" s="65"/>
      <c r="AD29" s="66"/>
      <c r="AE29" s="65"/>
      <c r="AF29" s="65"/>
      <c r="AG29" s="65"/>
      <c r="AH29" s="67">
        <f t="shared" si="16"/>
        <v>0</v>
      </c>
      <c r="AI29" s="68">
        <f t="shared" si="17"/>
        <v>0</v>
      </c>
      <c r="AJ29" s="68">
        <f t="shared" si="18"/>
        <v>0</v>
      </c>
      <c r="AK29" s="69" t="str">
        <f t="shared" si="2"/>
        <v>D</v>
      </c>
      <c r="AL29" s="70" t="str">
        <f>IF(AJ29="  ","  ",IF(AJ29&gt;=menu!$D$19,"Tuntas","Tidak Tuntas"))</f>
        <v>Tuntas</v>
      </c>
      <c r="AM29" s="65"/>
      <c r="AN29" s="65"/>
      <c r="AO29" s="65"/>
      <c r="AP29" s="66"/>
      <c r="AQ29" s="65"/>
      <c r="AR29" s="65"/>
      <c r="AS29" s="65"/>
      <c r="AT29" s="67">
        <f t="shared" si="19"/>
        <v>0</v>
      </c>
      <c r="AU29" s="68">
        <f t="shared" si="20"/>
        <v>0</v>
      </c>
      <c r="AV29" s="68">
        <f t="shared" si="21"/>
        <v>0</v>
      </c>
      <c r="AW29" s="69" t="str">
        <f t="shared" si="3"/>
        <v>D</v>
      </c>
      <c r="AX29" s="70" t="str">
        <f>IF(AV29="  ","  ",IF(AV29&gt;=menu!$D$19,"Tuntas","Tidak Tuntas"))</f>
        <v>Tuntas</v>
      </c>
      <c r="AY29" s="65"/>
      <c r="AZ29" s="65"/>
      <c r="BA29" s="65"/>
      <c r="BB29" s="66"/>
      <c r="BC29" s="65"/>
      <c r="BD29" s="65"/>
      <c r="BE29" s="65"/>
      <c r="BF29" s="67">
        <f t="shared" si="22"/>
        <v>0</v>
      </c>
      <c r="BG29" s="68">
        <f t="shared" si="23"/>
        <v>0</v>
      </c>
      <c r="BH29" s="68">
        <f t="shared" si="24"/>
        <v>0</v>
      </c>
      <c r="BI29" s="69" t="str">
        <f t="shared" si="4"/>
        <v>D</v>
      </c>
      <c r="BJ29" s="70" t="str">
        <f>IF(BH29="  ","  ",IF(BH29&gt;=menu!$D$19,"Tuntas","Tidak Tuntas"))</f>
        <v>Tuntas</v>
      </c>
      <c r="BK29" s="65"/>
      <c r="BL29" s="65"/>
      <c r="BM29" s="65"/>
      <c r="BN29" s="66"/>
      <c r="BO29" s="65"/>
      <c r="BP29" s="65"/>
      <c r="BQ29" s="65"/>
      <c r="BR29" s="67">
        <f t="shared" si="25"/>
        <v>0</v>
      </c>
      <c r="BS29" s="68">
        <f t="shared" si="26"/>
        <v>0</v>
      </c>
      <c r="BT29" s="68">
        <f t="shared" si="27"/>
        <v>0</v>
      </c>
      <c r="BU29" s="69" t="str">
        <f t="shared" si="5"/>
        <v>D</v>
      </c>
      <c r="BV29" s="70" t="str">
        <f>IF(BT29="  ","  ",IF(BT29&gt;=menu!$D$19,"Tuntas","Tidak Tuntas"))</f>
        <v>Tuntas</v>
      </c>
      <c r="BW29" s="65"/>
      <c r="BX29" s="65"/>
      <c r="BY29" s="65"/>
      <c r="BZ29" s="66"/>
      <c r="CA29" s="65"/>
      <c r="CB29" s="65"/>
      <c r="CC29" s="65"/>
      <c r="CD29" s="67">
        <f t="shared" si="28"/>
        <v>0</v>
      </c>
      <c r="CE29" s="68">
        <f t="shared" si="29"/>
        <v>0</v>
      </c>
      <c r="CF29" s="68">
        <f t="shared" si="30"/>
        <v>0</v>
      </c>
      <c r="CG29" s="69" t="str">
        <f t="shared" si="6"/>
        <v>D</v>
      </c>
      <c r="CH29" s="70" t="str">
        <f>IF(CF29="  ","  ",IF(CF29&gt;=menu!$D$19,"Tuntas","Tidak Tuntas"))</f>
        <v>Tuntas</v>
      </c>
      <c r="CI29" s="65"/>
      <c r="CJ29" s="65"/>
      <c r="CK29" s="65"/>
      <c r="CL29" s="66"/>
      <c r="CM29" s="65"/>
      <c r="CN29" s="65"/>
      <c r="CO29" s="65"/>
      <c r="CP29" s="67">
        <f t="shared" si="31"/>
        <v>0</v>
      </c>
      <c r="CQ29" s="68">
        <f t="shared" si="32"/>
        <v>0</v>
      </c>
      <c r="CR29" s="68">
        <f t="shared" si="33"/>
        <v>0</v>
      </c>
      <c r="CS29" s="69" t="str">
        <f t="shared" si="7"/>
        <v>D</v>
      </c>
      <c r="CT29" s="70" t="str">
        <f>IF(CR29="  ","  ",IF(CR29&gt;=menu!$D$19,"Tuntas","Tidak Tuntas"))</f>
        <v>Tuntas</v>
      </c>
      <c r="CU29" s="65"/>
      <c r="CV29" s="65"/>
      <c r="CW29" s="65"/>
      <c r="CX29" s="66"/>
      <c r="CY29" s="65"/>
      <c r="CZ29" s="65"/>
      <c r="DA29" s="65"/>
      <c r="DB29" s="67">
        <f t="shared" si="34"/>
        <v>0</v>
      </c>
      <c r="DC29" s="68">
        <f t="shared" si="35"/>
        <v>0</v>
      </c>
      <c r="DD29" s="68">
        <f t="shared" si="36"/>
        <v>0</v>
      </c>
      <c r="DE29" s="69" t="str">
        <f t="shared" si="8"/>
        <v>D</v>
      </c>
      <c r="DF29" s="70" t="str">
        <f>IF(DD29="  ","  ",IF(DD29&gt;=menu!$D$19,"Tuntas","Tidak Tuntas"))</f>
        <v>Tuntas</v>
      </c>
      <c r="DG29" s="65"/>
      <c r="DH29" s="65"/>
      <c r="DI29" s="65"/>
      <c r="DJ29" s="66"/>
      <c r="DK29" s="65"/>
      <c r="DL29" s="65"/>
      <c r="DM29" s="65"/>
      <c r="DN29" s="67">
        <f t="shared" si="37"/>
        <v>0</v>
      </c>
      <c r="DO29" s="68">
        <f t="shared" si="38"/>
        <v>0</v>
      </c>
      <c r="DP29" s="68">
        <f t="shared" si="39"/>
        <v>0</v>
      </c>
      <c r="DQ29" s="69" t="str">
        <f t="shared" si="9"/>
        <v>D</v>
      </c>
      <c r="DR29" s="70" t="str">
        <f>IF(DP29="  ","  ",IF(DP29&gt;=menu!$D$19,"Tuntas","Tidak Tuntas"))</f>
        <v>Tuntas</v>
      </c>
    </row>
    <row r="30" spans="1:122">
      <c r="A30" s="64">
        <f>'DATA SISWA'!A16</f>
        <v>12</v>
      </c>
      <c r="B30" s="76" t="str">
        <f>'DATA SISWA'!C16</f>
        <v>Maya</v>
      </c>
      <c r="C30" s="65"/>
      <c r="D30" s="65"/>
      <c r="E30" s="65"/>
      <c r="F30" s="66"/>
      <c r="G30" s="65"/>
      <c r="H30" s="65"/>
      <c r="I30" s="65"/>
      <c r="J30" s="67">
        <f t="shared" si="10"/>
        <v>0</v>
      </c>
      <c r="K30" s="68">
        <f t="shared" si="11"/>
        <v>0</v>
      </c>
      <c r="L30" s="68">
        <f t="shared" si="12"/>
        <v>0</v>
      </c>
      <c r="M30" s="69" t="str">
        <f t="shared" si="0"/>
        <v>D</v>
      </c>
      <c r="N30" s="70" t="str">
        <f>IF(L30="  ","  ",IF(L30&gt;=menu!$D$19,"Tuntas","Tidak Tuntas"))</f>
        <v>Tuntas</v>
      </c>
      <c r="O30" s="65"/>
      <c r="P30" s="65"/>
      <c r="Q30" s="65"/>
      <c r="R30" s="66"/>
      <c r="S30" s="65"/>
      <c r="T30" s="65"/>
      <c r="U30" s="65"/>
      <c r="V30" s="67">
        <f t="shared" si="13"/>
        <v>0</v>
      </c>
      <c r="W30" s="68">
        <f t="shared" si="14"/>
        <v>0</v>
      </c>
      <c r="X30" s="68">
        <f t="shared" si="15"/>
        <v>0</v>
      </c>
      <c r="Y30" s="69" t="str">
        <f t="shared" si="1"/>
        <v>D</v>
      </c>
      <c r="Z30" s="70" t="str">
        <f>IF(X30="  ","  ",IF(X30&gt;=menu!$D$19,"Tuntas","Tidak Tuntas"))</f>
        <v>Tuntas</v>
      </c>
      <c r="AA30" s="65"/>
      <c r="AB30" s="65"/>
      <c r="AC30" s="65"/>
      <c r="AD30" s="66"/>
      <c r="AE30" s="65"/>
      <c r="AF30" s="65"/>
      <c r="AG30" s="65"/>
      <c r="AH30" s="67">
        <f t="shared" si="16"/>
        <v>0</v>
      </c>
      <c r="AI30" s="68">
        <f t="shared" si="17"/>
        <v>0</v>
      </c>
      <c r="AJ30" s="68">
        <f t="shared" si="18"/>
        <v>0</v>
      </c>
      <c r="AK30" s="69" t="str">
        <f t="shared" si="2"/>
        <v>D</v>
      </c>
      <c r="AL30" s="70" t="str">
        <f>IF(AJ30="  ","  ",IF(AJ30&gt;=menu!$D$19,"Tuntas","Tidak Tuntas"))</f>
        <v>Tuntas</v>
      </c>
      <c r="AM30" s="65"/>
      <c r="AN30" s="65"/>
      <c r="AO30" s="65"/>
      <c r="AP30" s="66"/>
      <c r="AQ30" s="65"/>
      <c r="AR30" s="65"/>
      <c r="AS30" s="65"/>
      <c r="AT30" s="67">
        <f t="shared" si="19"/>
        <v>0</v>
      </c>
      <c r="AU30" s="68">
        <f t="shared" si="20"/>
        <v>0</v>
      </c>
      <c r="AV30" s="68">
        <f t="shared" si="21"/>
        <v>0</v>
      </c>
      <c r="AW30" s="69" t="str">
        <f t="shared" si="3"/>
        <v>D</v>
      </c>
      <c r="AX30" s="70" t="str">
        <f>IF(AV30="  ","  ",IF(AV30&gt;=menu!$D$19,"Tuntas","Tidak Tuntas"))</f>
        <v>Tuntas</v>
      </c>
      <c r="AY30" s="65"/>
      <c r="AZ30" s="65"/>
      <c r="BA30" s="65"/>
      <c r="BB30" s="66"/>
      <c r="BC30" s="65"/>
      <c r="BD30" s="65"/>
      <c r="BE30" s="65"/>
      <c r="BF30" s="67">
        <f t="shared" si="22"/>
        <v>0</v>
      </c>
      <c r="BG30" s="68">
        <f t="shared" si="23"/>
        <v>0</v>
      </c>
      <c r="BH30" s="68">
        <f t="shared" si="24"/>
        <v>0</v>
      </c>
      <c r="BI30" s="69" t="str">
        <f t="shared" si="4"/>
        <v>D</v>
      </c>
      <c r="BJ30" s="70" t="str">
        <f>IF(BH30="  ","  ",IF(BH30&gt;=menu!$D$19,"Tuntas","Tidak Tuntas"))</f>
        <v>Tuntas</v>
      </c>
      <c r="BK30" s="65"/>
      <c r="BL30" s="65"/>
      <c r="BM30" s="65"/>
      <c r="BN30" s="66"/>
      <c r="BO30" s="65"/>
      <c r="BP30" s="65"/>
      <c r="BQ30" s="65"/>
      <c r="BR30" s="67">
        <f t="shared" si="25"/>
        <v>0</v>
      </c>
      <c r="BS30" s="68">
        <f t="shared" si="26"/>
        <v>0</v>
      </c>
      <c r="BT30" s="68">
        <f t="shared" si="27"/>
        <v>0</v>
      </c>
      <c r="BU30" s="69" t="str">
        <f t="shared" si="5"/>
        <v>D</v>
      </c>
      <c r="BV30" s="70" t="str">
        <f>IF(BT30="  ","  ",IF(BT30&gt;=menu!$D$19,"Tuntas","Tidak Tuntas"))</f>
        <v>Tuntas</v>
      </c>
      <c r="BW30" s="65"/>
      <c r="BX30" s="65"/>
      <c r="BY30" s="65"/>
      <c r="BZ30" s="66"/>
      <c r="CA30" s="65"/>
      <c r="CB30" s="65"/>
      <c r="CC30" s="65"/>
      <c r="CD30" s="67">
        <f t="shared" si="28"/>
        <v>0</v>
      </c>
      <c r="CE30" s="68">
        <f t="shared" si="29"/>
        <v>0</v>
      </c>
      <c r="CF30" s="68">
        <f t="shared" si="30"/>
        <v>0</v>
      </c>
      <c r="CG30" s="69" t="str">
        <f t="shared" si="6"/>
        <v>D</v>
      </c>
      <c r="CH30" s="70" t="str">
        <f>IF(CF30="  ","  ",IF(CF30&gt;=menu!$D$19,"Tuntas","Tidak Tuntas"))</f>
        <v>Tuntas</v>
      </c>
      <c r="CI30" s="65"/>
      <c r="CJ30" s="65"/>
      <c r="CK30" s="65"/>
      <c r="CL30" s="66"/>
      <c r="CM30" s="65"/>
      <c r="CN30" s="65"/>
      <c r="CO30" s="65"/>
      <c r="CP30" s="67">
        <f t="shared" si="31"/>
        <v>0</v>
      </c>
      <c r="CQ30" s="68">
        <f t="shared" si="32"/>
        <v>0</v>
      </c>
      <c r="CR30" s="68">
        <f t="shared" si="33"/>
        <v>0</v>
      </c>
      <c r="CS30" s="69" t="str">
        <f t="shared" si="7"/>
        <v>D</v>
      </c>
      <c r="CT30" s="70" t="str">
        <f>IF(CR30="  ","  ",IF(CR30&gt;=menu!$D$19,"Tuntas","Tidak Tuntas"))</f>
        <v>Tuntas</v>
      </c>
      <c r="CU30" s="65"/>
      <c r="CV30" s="65"/>
      <c r="CW30" s="65"/>
      <c r="CX30" s="66"/>
      <c r="CY30" s="65"/>
      <c r="CZ30" s="65"/>
      <c r="DA30" s="65"/>
      <c r="DB30" s="67">
        <f t="shared" si="34"/>
        <v>0</v>
      </c>
      <c r="DC30" s="68">
        <f t="shared" si="35"/>
        <v>0</v>
      </c>
      <c r="DD30" s="68">
        <f t="shared" si="36"/>
        <v>0</v>
      </c>
      <c r="DE30" s="69" t="str">
        <f t="shared" si="8"/>
        <v>D</v>
      </c>
      <c r="DF30" s="70" t="str">
        <f>IF(DD30="  ","  ",IF(DD30&gt;=menu!$D$19,"Tuntas","Tidak Tuntas"))</f>
        <v>Tuntas</v>
      </c>
      <c r="DG30" s="65"/>
      <c r="DH30" s="65"/>
      <c r="DI30" s="65"/>
      <c r="DJ30" s="66"/>
      <c r="DK30" s="65"/>
      <c r="DL30" s="65"/>
      <c r="DM30" s="65"/>
      <c r="DN30" s="67">
        <f t="shared" si="37"/>
        <v>0</v>
      </c>
      <c r="DO30" s="68">
        <f t="shared" si="38"/>
        <v>0</v>
      </c>
      <c r="DP30" s="68">
        <f t="shared" si="39"/>
        <v>0</v>
      </c>
      <c r="DQ30" s="69" t="str">
        <f t="shared" si="9"/>
        <v>D</v>
      </c>
      <c r="DR30" s="70" t="str">
        <f>IF(DP30="  ","  ",IF(DP30&gt;=menu!$D$19,"Tuntas","Tidak Tuntas"))</f>
        <v>Tuntas</v>
      </c>
    </row>
    <row r="31" spans="1:122">
      <c r="A31" s="64">
        <f>'DATA SISWA'!A17</f>
        <v>13</v>
      </c>
      <c r="B31" s="76" t="str">
        <f>'DATA SISWA'!C17</f>
        <v>Ma`ruf</v>
      </c>
      <c r="C31" s="65"/>
      <c r="D31" s="65"/>
      <c r="E31" s="65"/>
      <c r="F31" s="66"/>
      <c r="G31" s="65"/>
      <c r="H31" s="65"/>
      <c r="I31" s="65"/>
      <c r="J31" s="67">
        <f t="shared" si="10"/>
        <v>0</v>
      </c>
      <c r="K31" s="68">
        <f t="shared" si="11"/>
        <v>0</v>
      </c>
      <c r="L31" s="68">
        <f t="shared" si="12"/>
        <v>0</v>
      </c>
      <c r="M31" s="69" t="str">
        <f t="shared" si="0"/>
        <v>D</v>
      </c>
      <c r="N31" s="70" t="str">
        <f>IF(L31="  ","  ",IF(L31&gt;=menu!$D$19,"Tuntas","Tidak Tuntas"))</f>
        <v>Tuntas</v>
      </c>
      <c r="O31" s="65"/>
      <c r="P31" s="65"/>
      <c r="Q31" s="65"/>
      <c r="R31" s="66"/>
      <c r="S31" s="65"/>
      <c r="T31" s="65"/>
      <c r="U31" s="65"/>
      <c r="V31" s="67">
        <f t="shared" si="13"/>
        <v>0</v>
      </c>
      <c r="W31" s="68">
        <f t="shared" si="14"/>
        <v>0</v>
      </c>
      <c r="X31" s="68">
        <f t="shared" si="15"/>
        <v>0</v>
      </c>
      <c r="Y31" s="69" t="str">
        <f t="shared" si="1"/>
        <v>D</v>
      </c>
      <c r="Z31" s="70" t="str">
        <f>IF(X31="  ","  ",IF(X31&gt;=menu!$D$19,"Tuntas","Tidak Tuntas"))</f>
        <v>Tuntas</v>
      </c>
      <c r="AA31" s="65"/>
      <c r="AB31" s="65"/>
      <c r="AC31" s="65"/>
      <c r="AD31" s="66"/>
      <c r="AE31" s="65"/>
      <c r="AF31" s="65"/>
      <c r="AG31" s="65"/>
      <c r="AH31" s="67">
        <f t="shared" si="16"/>
        <v>0</v>
      </c>
      <c r="AI31" s="68">
        <f t="shared" si="17"/>
        <v>0</v>
      </c>
      <c r="AJ31" s="68">
        <f t="shared" si="18"/>
        <v>0</v>
      </c>
      <c r="AK31" s="69" t="str">
        <f t="shared" si="2"/>
        <v>D</v>
      </c>
      <c r="AL31" s="70" t="str">
        <f>IF(AJ31="  ","  ",IF(AJ31&gt;=menu!$D$19,"Tuntas","Tidak Tuntas"))</f>
        <v>Tuntas</v>
      </c>
      <c r="AM31" s="65"/>
      <c r="AN31" s="65"/>
      <c r="AO31" s="65"/>
      <c r="AP31" s="66"/>
      <c r="AQ31" s="65"/>
      <c r="AR31" s="65"/>
      <c r="AS31" s="65"/>
      <c r="AT31" s="67">
        <f t="shared" si="19"/>
        <v>0</v>
      </c>
      <c r="AU31" s="68">
        <f t="shared" si="20"/>
        <v>0</v>
      </c>
      <c r="AV31" s="68">
        <f t="shared" si="21"/>
        <v>0</v>
      </c>
      <c r="AW31" s="69" t="str">
        <f t="shared" si="3"/>
        <v>D</v>
      </c>
      <c r="AX31" s="70" t="str">
        <f>IF(AV31="  ","  ",IF(AV31&gt;=menu!$D$19,"Tuntas","Tidak Tuntas"))</f>
        <v>Tuntas</v>
      </c>
      <c r="AY31" s="65"/>
      <c r="AZ31" s="65"/>
      <c r="BA31" s="65"/>
      <c r="BB31" s="66"/>
      <c r="BC31" s="65"/>
      <c r="BD31" s="65"/>
      <c r="BE31" s="65"/>
      <c r="BF31" s="67">
        <f t="shared" si="22"/>
        <v>0</v>
      </c>
      <c r="BG31" s="68">
        <f t="shared" si="23"/>
        <v>0</v>
      </c>
      <c r="BH31" s="68">
        <f t="shared" si="24"/>
        <v>0</v>
      </c>
      <c r="BI31" s="69" t="str">
        <f t="shared" si="4"/>
        <v>D</v>
      </c>
      <c r="BJ31" s="70" t="str">
        <f>IF(BH31="  ","  ",IF(BH31&gt;=menu!$D$19,"Tuntas","Tidak Tuntas"))</f>
        <v>Tuntas</v>
      </c>
      <c r="BK31" s="65"/>
      <c r="BL31" s="65"/>
      <c r="BM31" s="65"/>
      <c r="BN31" s="66"/>
      <c r="BO31" s="65"/>
      <c r="BP31" s="65"/>
      <c r="BQ31" s="65"/>
      <c r="BR31" s="67">
        <f t="shared" si="25"/>
        <v>0</v>
      </c>
      <c r="BS31" s="68">
        <f t="shared" si="26"/>
        <v>0</v>
      </c>
      <c r="BT31" s="68">
        <f t="shared" si="27"/>
        <v>0</v>
      </c>
      <c r="BU31" s="69" t="str">
        <f t="shared" si="5"/>
        <v>D</v>
      </c>
      <c r="BV31" s="70" t="str">
        <f>IF(BT31="  ","  ",IF(BT31&gt;=menu!$D$19,"Tuntas","Tidak Tuntas"))</f>
        <v>Tuntas</v>
      </c>
      <c r="BW31" s="65"/>
      <c r="BX31" s="65"/>
      <c r="BY31" s="65"/>
      <c r="BZ31" s="66"/>
      <c r="CA31" s="65"/>
      <c r="CB31" s="65"/>
      <c r="CC31" s="65"/>
      <c r="CD31" s="67">
        <f t="shared" si="28"/>
        <v>0</v>
      </c>
      <c r="CE31" s="68">
        <f t="shared" si="29"/>
        <v>0</v>
      </c>
      <c r="CF31" s="68">
        <f t="shared" si="30"/>
        <v>0</v>
      </c>
      <c r="CG31" s="69" t="str">
        <f t="shared" si="6"/>
        <v>D</v>
      </c>
      <c r="CH31" s="70" t="str">
        <f>IF(CF31="  ","  ",IF(CF31&gt;=menu!$D$19,"Tuntas","Tidak Tuntas"))</f>
        <v>Tuntas</v>
      </c>
      <c r="CI31" s="65"/>
      <c r="CJ31" s="65"/>
      <c r="CK31" s="65"/>
      <c r="CL31" s="66"/>
      <c r="CM31" s="65"/>
      <c r="CN31" s="65"/>
      <c r="CO31" s="65"/>
      <c r="CP31" s="67">
        <f t="shared" si="31"/>
        <v>0</v>
      </c>
      <c r="CQ31" s="68">
        <f t="shared" si="32"/>
        <v>0</v>
      </c>
      <c r="CR31" s="68">
        <f t="shared" si="33"/>
        <v>0</v>
      </c>
      <c r="CS31" s="69" t="str">
        <f t="shared" si="7"/>
        <v>D</v>
      </c>
      <c r="CT31" s="70" t="str">
        <f>IF(CR31="  ","  ",IF(CR31&gt;=menu!$D$19,"Tuntas","Tidak Tuntas"))</f>
        <v>Tuntas</v>
      </c>
      <c r="CU31" s="65"/>
      <c r="CV31" s="65"/>
      <c r="CW31" s="65"/>
      <c r="CX31" s="66"/>
      <c r="CY31" s="65"/>
      <c r="CZ31" s="65"/>
      <c r="DA31" s="65"/>
      <c r="DB31" s="67">
        <f t="shared" si="34"/>
        <v>0</v>
      </c>
      <c r="DC31" s="68">
        <f t="shared" si="35"/>
        <v>0</v>
      </c>
      <c r="DD31" s="68">
        <f t="shared" si="36"/>
        <v>0</v>
      </c>
      <c r="DE31" s="69" t="str">
        <f t="shared" si="8"/>
        <v>D</v>
      </c>
      <c r="DF31" s="70" t="str">
        <f>IF(DD31="  ","  ",IF(DD31&gt;=menu!$D$19,"Tuntas","Tidak Tuntas"))</f>
        <v>Tuntas</v>
      </c>
      <c r="DG31" s="65"/>
      <c r="DH31" s="65"/>
      <c r="DI31" s="65"/>
      <c r="DJ31" s="66"/>
      <c r="DK31" s="65"/>
      <c r="DL31" s="65"/>
      <c r="DM31" s="65"/>
      <c r="DN31" s="67">
        <f t="shared" si="37"/>
        <v>0</v>
      </c>
      <c r="DO31" s="68">
        <f t="shared" si="38"/>
        <v>0</v>
      </c>
      <c r="DP31" s="68">
        <f t="shared" si="39"/>
        <v>0</v>
      </c>
      <c r="DQ31" s="69" t="str">
        <f t="shared" si="9"/>
        <v>D</v>
      </c>
      <c r="DR31" s="70" t="str">
        <f>IF(DP31="  ","  ",IF(DP31&gt;=menu!$D$19,"Tuntas","Tidak Tuntas"))</f>
        <v>Tuntas</v>
      </c>
    </row>
    <row r="32" spans="1:122">
      <c r="A32" s="64">
        <f>'DATA SISWA'!A18</f>
        <v>14</v>
      </c>
      <c r="B32" s="76" t="str">
        <f>'DATA SISWA'!C18</f>
        <v>Nia Ramadani</v>
      </c>
      <c r="C32" s="65"/>
      <c r="D32" s="65"/>
      <c r="E32" s="65"/>
      <c r="F32" s="66"/>
      <c r="G32" s="65"/>
      <c r="H32" s="65"/>
      <c r="I32" s="65"/>
      <c r="J32" s="67">
        <f t="shared" si="10"/>
        <v>0</v>
      </c>
      <c r="K32" s="68">
        <f t="shared" si="11"/>
        <v>0</v>
      </c>
      <c r="L32" s="68">
        <f t="shared" si="12"/>
        <v>0</v>
      </c>
      <c r="M32" s="69" t="str">
        <f t="shared" si="0"/>
        <v>D</v>
      </c>
      <c r="N32" s="70" t="str">
        <f>IF(L32="  ","  ",IF(L32&gt;=menu!$D$19,"Tuntas","Tidak Tuntas"))</f>
        <v>Tuntas</v>
      </c>
      <c r="O32" s="65"/>
      <c r="P32" s="65"/>
      <c r="Q32" s="65"/>
      <c r="R32" s="66"/>
      <c r="S32" s="65"/>
      <c r="T32" s="65"/>
      <c r="U32" s="65"/>
      <c r="V32" s="67">
        <f t="shared" si="13"/>
        <v>0</v>
      </c>
      <c r="W32" s="68">
        <f t="shared" si="14"/>
        <v>0</v>
      </c>
      <c r="X32" s="68">
        <f t="shared" si="15"/>
        <v>0</v>
      </c>
      <c r="Y32" s="69" t="str">
        <f t="shared" si="1"/>
        <v>D</v>
      </c>
      <c r="Z32" s="70" t="str">
        <f>IF(X32="  ","  ",IF(X32&gt;=menu!$D$19,"Tuntas","Tidak Tuntas"))</f>
        <v>Tuntas</v>
      </c>
      <c r="AA32" s="65"/>
      <c r="AB32" s="65"/>
      <c r="AC32" s="65"/>
      <c r="AD32" s="66"/>
      <c r="AE32" s="65"/>
      <c r="AF32" s="65"/>
      <c r="AG32" s="65"/>
      <c r="AH32" s="67">
        <f t="shared" si="16"/>
        <v>0</v>
      </c>
      <c r="AI32" s="68">
        <f t="shared" si="17"/>
        <v>0</v>
      </c>
      <c r="AJ32" s="68">
        <f t="shared" si="18"/>
        <v>0</v>
      </c>
      <c r="AK32" s="69" t="str">
        <f t="shared" si="2"/>
        <v>D</v>
      </c>
      <c r="AL32" s="70" t="str">
        <f>IF(AJ32="  ","  ",IF(AJ32&gt;=menu!$D$19,"Tuntas","Tidak Tuntas"))</f>
        <v>Tuntas</v>
      </c>
      <c r="AM32" s="65"/>
      <c r="AN32" s="65"/>
      <c r="AO32" s="65"/>
      <c r="AP32" s="66"/>
      <c r="AQ32" s="65"/>
      <c r="AR32" s="65"/>
      <c r="AS32" s="65"/>
      <c r="AT32" s="67">
        <f t="shared" si="19"/>
        <v>0</v>
      </c>
      <c r="AU32" s="68">
        <f t="shared" si="20"/>
        <v>0</v>
      </c>
      <c r="AV32" s="68">
        <f t="shared" si="21"/>
        <v>0</v>
      </c>
      <c r="AW32" s="69" t="str">
        <f t="shared" si="3"/>
        <v>D</v>
      </c>
      <c r="AX32" s="70" t="str">
        <f>IF(AV32="  ","  ",IF(AV32&gt;=menu!$D$19,"Tuntas","Tidak Tuntas"))</f>
        <v>Tuntas</v>
      </c>
      <c r="AY32" s="65"/>
      <c r="AZ32" s="65"/>
      <c r="BA32" s="65"/>
      <c r="BB32" s="66"/>
      <c r="BC32" s="65"/>
      <c r="BD32" s="65"/>
      <c r="BE32" s="65"/>
      <c r="BF32" s="67">
        <f t="shared" si="22"/>
        <v>0</v>
      </c>
      <c r="BG32" s="68">
        <f t="shared" si="23"/>
        <v>0</v>
      </c>
      <c r="BH32" s="68">
        <f t="shared" si="24"/>
        <v>0</v>
      </c>
      <c r="BI32" s="69" t="str">
        <f t="shared" si="4"/>
        <v>D</v>
      </c>
      <c r="BJ32" s="70" t="str">
        <f>IF(BH32="  ","  ",IF(BH32&gt;=menu!$D$19,"Tuntas","Tidak Tuntas"))</f>
        <v>Tuntas</v>
      </c>
      <c r="BK32" s="65"/>
      <c r="BL32" s="65"/>
      <c r="BM32" s="65"/>
      <c r="BN32" s="66"/>
      <c r="BO32" s="65"/>
      <c r="BP32" s="65"/>
      <c r="BQ32" s="65"/>
      <c r="BR32" s="67">
        <f t="shared" si="25"/>
        <v>0</v>
      </c>
      <c r="BS32" s="68">
        <f t="shared" si="26"/>
        <v>0</v>
      </c>
      <c r="BT32" s="68">
        <f t="shared" si="27"/>
        <v>0</v>
      </c>
      <c r="BU32" s="69" t="str">
        <f t="shared" si="5"/>
        <v>D</v>
      </c>
      <c r="BV32" s="70" t="str">
        <f>IF(BT32="  ","  ",IF(BT32&gt;=menu!$D$19,"Tuntas","Tidak Tuntas"))</f>
        <v>Tuntas</v>
      </c>
      <c r="BW32" s="65"/>
      <c r="BX32" s="65"/>
      <c r="BY32" s="65"/>
      <c r="BZ32" s="66"/>
      <c r="CA32" s="65"/>
      <c r="CB32" s="65"/>
      <c r="CC32" s="65"/>
      <c r="CD32" s="67">
        <f t="shared" si="28"/>
        <v>0</v>
      </c>
      <c r="CE32" s="68">
        <f t="shared" si="29"/>
        <v>0</v>
      </c>
      <c r="CF32" s="68">
        <f t="shared" si="30"/>
        <v>0</v>
      </c>
      <c r="CG32" s="69" t="str">
        <f t="shared" si="6"/>
        <v>D</v>
      </c>
      <c r="CH32" s="70" t="str">
        <f>IF(CF32="  ","  ",IF(CF32&gt;=menu!$D$19,"Tuntas","Tidak Tuntas"))</f>
        <v>Tuntas</v>
      </c>
      <c r="CI32" s="65"/>
      <c r="CJ32" s="65"/>
      <c r="CK32" s="65"/>
      <c r="CL32" s="66"/>
      <c r="CM32" s="65"/>
      <c r="CN32" s="65"/>
      <c r="CO32" s="65"/>
      <c r="CP32" s="67">
        <f t="shared" si="31"/>
        <v>0</v>
      </c>
      <c r="CQ32" s="68">
        <f t="shared" si="32"/>
        <v>0</v>
      </c>
      <c r="CR32" s="68">
        <f t="shared" si="33"/>
        <v>0</v>
      </c>
      <c r="CS32" s="69" t="str">
        <f t="shared" si="7"/>
        <v>D</v>
      </c>
      <c r="CT32" s="70" t="str">
        <f>IF(CR32="  ","  ",IF(CR32&gt;=menu!$D$19,"Tuntas","Tidak Tuntas"))</f>
        <v>Tuntas</v>
      </c>
      <c r="CU32" s="65"/>
      <c r="CV32" s="65"/>
      <c r="CW32" s="65"/>
      <c r="CX32" s="66"/>
      <c r="CY32" s="65"/>
      <c r="CZ32" s="65"/>
      <c r="DA32" s="65"/>
      <c r="DB32" s="67">
        <f t="shared" si="34"/>
        <v>0</v>
      </c>
      <c r="DC32" s="68">
        <f t="shared" si="35"/>
        <v>0</v>
      </c>
      <c r="DD32" s="68">
        <f t="shared" si="36"/>
        <v>0</v>
      </c>
      <c r="DE32" s="69" t="str">
        <f t="shared" si="8"/>
        <v>D</v>
      </c>
      <c r="DF32" s="70" t="str">
        <f>IF(DD32="  ","  ",IF(DD32&gt;=menu!$D$19,"Tuntas","Tidak Tuntas"))</f>
        <v>Tuntas</v>
      </c>
      <c r="DG32" s="65"/>
      <c r="DH32" s="65"/>
      <c r="DI32" s="65"/>
      <c r="DJ32" s="66"/>
      <c r="DK32" s="65"/>
      <c r="DL32" s="65"/>
      <c r="DM32" s="65"/>
      <c r="DN32" s="67">
        <f t="shared" si="37"/>
        <v>0</v>
      </c>
      <c r="DO32" s="68">
        <f t="shared" si="38"/>
        <v>0</v>
      </c>
      <c r="DP32" s="68">
        <f t="shared" si="39"/>
        <v>0</v>
      </c>
      <c r="DQ32" s="69" t="str">
        <f t="shared" si="9"/>
        <v>D</v>
      </c>
      <c r="DR32" s="70" t="str">
        <f>IF(DP32="  ","  ",IF(DP32&gt;=menu!$D$19,"Tuntas","Tidak Tuntas"))</f>
        <v>Tuntas</v>
      </c>
    </row>
    <row r="33" spans="1:122">
      <c r="A33" s="64">
        <f>'DATA SISWA'!A19</f>
        <v>15</v>
      </c>
      <c r="B33" s="76" t="str">
        <f>'DATA SISWA'!C19</f>
        <v>Ningsih Rahmawati</v>
      </c>
      <c r="C33" s="65"/>
      <c r="D33" s="65"/>
      <c r="E33" s="65"/>
      <c r="F33" s="66"/>
      <c r="G33" s="65"/>
      <c r="H33" s="65"/>
      <c r="I33" s="65"/>
      <c r="J33" s="67">
        <f t="shared" si="10"/>
        <v>0</v>
      </c>
      <c r="K33" s="68">
        <f t="shared" si="11"/>
        <v>0</v>
      </c>
      <c r="L33" s="68">
        <f t="shared" si="12"/>
        <v>0</v>
      </c>
      <c r="M33" s="69" t="str">
        <f t="shared" si="0"/>
        <v>D</v>
      </c>
      <c r="N33" s="70" t="str">
        <f>IF(L33="  ","  ",IF(L33&gt;=menu!$D$19,"Tuntas","Tidak Tuntas"))</f>
        <v>Tuntas</v>
      </c>
      <c r="O33" s="65"/>
      <c r="P33" s="65"/>
      <c r="Q33" s="65"/>
      <c r="R33" s="66"/>
      <c r="S33" s="65"/>
      <c r="T33" s="65"/>
      <c r="U33" s="65"/>
      <c r="V33" s="67">
        <f t="shared" si="13"/>
        <v>0</v>
      </c>
      <c r="W33" s="68">
        <f t="shared" si="14"/>
        <v>0</v>
      </c>
      <c r="X33" s="68">
        <f t="shared" si="15"/>
        <v>0</v>
      </c>
      <c r="Y33" s="69" t="str">
        <f t="shared" si="1"/>
        <v>D</v>
      </c>
      <c r="Z33" s="70" t="str">
        <f>IF(X33="  ","  ",IF(X33&gt;=menu!$D$19,"Tuntas","Tidak Tuntas"))</f>
        <v>Tuntas</v>
      </c>
      <c r="AA33" s="65"/>
      <c r="AB33" s="65"/>
      <c r="AC33" s="65"/>
      <c r="AD33" s="66"/>
      <c r="AE33" s="65"/>
      <c r="AF33" s="65"/>
      <c r="AG33" s="65"/>
      <c r="AH33" s="67">
        <f t="shared" si="16"/>
        <v>0</v>
      </c>
      <c r="AI33" s="68">
        <f t="shared" si="17"/>
        <v>0</v>
      </c>
      <c r="AJ33" s="68">
        <f t="shared" si="18"/>
        <v>0</v>
      </c>
      <c r="AK33" s="69" t="str">
        <f t="shared" si="2"/>
        <v>D</v>
      </c>
      <c r="AL33" s="70" t="str">
        <f>IF(AJ33="  ","  ",IF(AJ33&gt;=menu!$D$19,"Tuntas","Tidak Tuntas"))</f>
        <v>Tuntas</v>
      </c>
      <c r="AM33" s="65"/>
      <c r="AN33" s="65"/>
      <c r="AO33" s="65"/>
      <c r="AP33" s="66"/>
      <c r="AQ33" s="65"/>
      <c r="AR33" s="65"/>
      <c r="AS33" s="65"/>
      <c r="AT33" s="67">
        <f t="shared" si="19"/>
        <v>0</v>
      </c>
      <c r="AU33" s="68">
        <f t="shared" si="20"/>
        <v>0</v>
      </c>
      <c r="AV33" s="68">
        <f t="shared" si="21"/>
        <v>0</v>
      </c>
      <c r="AW33" s="69" t="str">
        <f t="shared" si="3"/>
        <v>D</v>
      </c>
      <c r="AX33" s="70" t="str">
        <f>IF(AV33="  ","  ",IF(AV33&gt;=menu!$D$19,"Tuntas","Tidak Tuntas"))</f>
        <v>Tuntas</v>
      </c>
      <c r="AY33" s="65"/>
      <c r="AZ33" s="65"/>
      <c r="BA33" s="65"/>
      <c r="BB33" s="66"/>
      <c r="BC33" s="65"/>
      <c r="BD33" s="65"/>
      <c r="BE33" s="65"/>
      <c r="BF33" s="67">
        <f t="shared" si="22"/>
        <v>0</v>
      </c>
      <c r="BG33" s="68">
        <f t="shared" si="23"/>
        <v>0</v>
      </c>
      <c r="BH33" s="68">
        <f t="shared" si="24"/>
        <v>0</v>
      </c>
      <c r="BI33" s="69" t="str">
        <f t="shared" si="4"/>
        <v>D</v>
      </c>
      <c r="BJ33" s="70" t="str">
        <f>IF(BH33="  ","  ",IF(BH33&gt;=menu!$D$19,"Tuntas","Tidak Tuntas"))</f>
        <v>Tuntas</v>
      </c>
      <c r="BK33" s="65"/>
      <c r="BL33" s="65"/>
      <c r="BM33" s="65"/>
      <c r="BN33" s="66"/>
      <c r="BO33" s="65"/>
      <c r="BP33" s="65"/>
      <c r="BQ33" s="65"/>
      <c r="BR33" s="67">
        <f t="shared" si="25"/>
        <v>0</v>
      </c>
      <c r="BS33" s="68">
        <f t="shared" si="26"/>
        <v>0</v>
      </c>
      <c r="BT33" s="68">
        <f t="shared" si="27"/>
        <v>0</v>
      </c>
      <c r="BU33" s="69" t="str">
        <f t="shared" si="5"/>
        <v>D</v>
      </c>
      <c r="BV33" s="70" t="str">
        <f>IF(BT33="  ","  ",IF(BT33&gt;=menu!$D$19,"Tuntas","Tidak Tuntas"))</f>
        <v>Tuntas</v>
      </c>
      <c r="BW33" s="65"/>
      <c r="BX33" s="65"/>
      <c r="BY33" s="65"/>
      <c r="BZ33" s="66"/>
      <c r="CA33" s="65"/>
      <c r="CB33" s="65"/>
      <c r="CC33" s="65"/>
      <c r="CD33" s="67">
        <f t="shared" si="28"/>
        <v>0</v>
      </c>
      <c r="CE33" s="68">
        <f t="shared" si="29"/>
        <v>0</v>
      </c>
      <c r="CF33" s="68">
        <f t="shared" si="30"/>
        <v>0</v>
      </c>
      <c r="CG33" s="69" t="str">
        <f t="shared" si="6"/>
        <v>D</v>
      </c>
      <c r="CH33" s="70" t="str">
        <f>IF(CF33="  ","  ",IF(CF33&gt;=menu!$D$19,"Tuntas","Tidak Tuntas"))</f>
        <v>Tuntas</v>
      </c>
      <c r="CI33" s="65"/>
      <c r="CJ33" s="65"/>
      <c r="CK33" s="65"/>
      <c r="CL33" s="66"/>
      <c r="CM33" s="65"/>
      <c r="CN33" s="65"/>
      <c r="CO33" s="65"/>
      <c r="CP33" s="67">
        <f t="shared" si="31"/>
        <v>0</v>
      </c>
      <c r="CQ33" s="68">
        <f t="shared" si="32"/>
        <v>0</v>
      </c>
      <c r="CR33" s="68">
        <f t="shared" si="33"/>
        <v>0</v>
      </c>
      <c r="CS33" s="69" t="str">
        <f t="shared" si="7"/>
        <v>D</v>
      </c>
      <c r="CT33" s="70" t="str">
        <f>IF(CR33="  ","  ",IF(CR33&gt;=menu!$D$19,"Tuntas","Tidak Tuntas"))</f>
        <v>Tuntas</v>
      </c>
      <c r="CU33" s="65"/>
      <c r="CV33" s="65"/>
      <c r="CW33" s="65"/>
      <c r="CX33" s="66"/>
      <c r="CY33" s="65"/>
      <c r="CZ33" s="65"/>
      <c r="DA33" s="65"/>
      <c r="DB33" s="67">
        <f t="shared" si="34"/>
        <v>0</v>
      </c>
      <c r="DC33" s="68">
        <f t="shared" si="35"/>
        <v>0</v>
      </c>
      <c r="DD33" s="68">
        <f t="shared" si="36"/>
        <v>0</v>
      </c>
      <c r="DE33" s="69" t="str">
        <f t="shared" si="8"/>
        <v>D</v>
      </c>
      <c r="DF33" s="70" t="str">
        <f>IF(DD33="  ","  ",IF(DD33&gt;=menu!$D$19,"Tuntas","Tidak Tuntas"))</f>
        <v>Tuntas</v>
      </c>
      <c r="DG33" s="65"/>
      <c r="DH33" s="65"/>
      <c r="DI33" s="65"/>
      <c r="DJ33" s="66"/>
      <c r="DK33" s="65"/>
      <c r="DL33" s="65"/>
      <c r="DM33" s="65"/>
      <c r="DN33" s="67">
        <f t="shared" si="37"/>
        <v>0</v>
      </c>
      <c r="DO33" s="68">
        <f t="shared" si="38"/>
        <v>0</v>
      </c>
      <c r="DP33" s="68">
        <f t="shared" si="39"/>
        <v>0</v>
      </c>
      <c r="DQ33" s="69" t="str">
        <f t="shared" si="9"/>
        <v>D</v>
      </c>
      <c r="DR33" s="70" t="str">
        <f>IF(DP33="  ","  ",IF(DP33&gt;=menu!$D$19,"Tuntas","Tidak Tuntas"))</f>
        <v>Tuntas</v>
      </c>
    </row>
    <row r="34" spans="1:122">
      <c r="A34" s="64">
        <f>'DATA SISWA'!A20</f>
        <v>16</v>
      </c>
      <c r="B34" s="76" t="str">
        <f>'DATA SISWA'!C20</f>
        <v>Nurhayati</v>
      </c>
      <c r="C34" s="65"/>
      <c r="D34" s="65"/>
      <c r="E34" s="65"/>
      <c r="F34" s="66"/>
      <c r="G34" s="65"/>
      <c r="H34" s="65"/>
      <c r="I34" s="65"/>
      <c r="J34" s="67">
        <f t="shared" si="10"/>
        <v>0</v>
      </c>
      <c r="K34" s="68">
        <f t="shared" si="11"/>
        <v>0</v>
      </c>
      <c r="L34" s="68">
        <f t="shared" si="12"/>
        <v>0</v>
      </c>
      <c r="M34" s="69" t="str">
        <f t="shared" si="0"/>
        <v>D</v>
      </c>
      <c r="N34" s="70" t="str">
        <f>IF(L34="  ","  ",IF(L34&gt;=menu!$D$19,"Tuntas","Tidak Tuntas"))</f>
        <v>Tuntas</v>
      </c>
      <c r="O34" s="65"/>
      <c r="P34" s="65"/>
      <c r="Q34" s="65"/>
      <c r="R34" s="66"/>
      <c r="S34" s="65"/>
      <c r="T34" s="65"/>
      <c r="U34" s="65"/>
      <c r="V34" s="67">
        <f t="shared" si="13"/>
        <v>0</v>
      </c>
      <c r="W34" s="68">
        <f t="shared" si="14"/>
        <v>0</v>
      </c>
      <c r="X34" s="68">
        <f t="shared" si="15"/>
        <v>0</v>
      </c>
      <c r="Y34" s="69" t="str">
        <f t="shared" si="1"/>
        <v>D</v>
      </c>
      <c r="Z34" s="70" t="str">
        <f>IF(X34="  ","  ",IF(X34&gt;=menu!$D$19,"Tuntas","Tidak Tuntas"))</f>
        <v>Tuntas</v>
      </c>
      <c r="AA34" s="65"/>
      <c r="AB34" s="65"/>
      <c r="AC34" s="65"/>
      <c r="AD34" s="66"/>
      <c r="AE34" s="65"/>
      <c r="AF34" s="65"/>
      <c r="AG34" s="65"/>
      <c r="AH34" s="67">
        <f t="shared" si="16"/>
        <v>0</v>
      </c>
      <c r="AI34" s="68">
        <f t="shared" si="17"/>
        <v>0</v>
      </c>
      <c r="AJ34" s="68">
        <f t="shared" si="18"/>
        <v>0</v>
      </c>
      <c r="AK34" s="69" t="str">
        <f t="shared" si="2"/>
        <v>D</v>
      </c>
      <c r="AL34" s="70" t="str">
        <f>IF(AJ34="  ","  ",IF(AJ34&gt;=menu!$D$19,"Tuntas","Tidak Tuntas"))</f>
        <v>Tuntas</v>
      </c>
      <c r="AM34" s="65"/>
      <c r="AN34" s="65"/>
      <c r="AO34" s="65"/>
      <c r="AP34" s="66"/>
      <c r="AQ34" s="65"/>
      <c r="AR34" s="65"/>
      <c r="AS34" s="65"/>
      <c r="AT34" s="67">
        <f t="shared" si="19"/>
        <v>0</v>
      </c>
      <c r="AU34" s="68">
        <f t="shared" si="20"/>
        <v>0</v>
      </c>
      <c r="AV34" s="68">
        <f t="shared" si="21"/>
        <v>0</v>
      </c>
      <c r="AW34" s="69" t="str">
        <f t="shared" si="3"/>
        <v>D</v>
      </c>
      <c r="AX34" s="70" t="str">
        <f>IF(AV34="  ","  ",IF(AV34&gt;=menu!$D$19,"Tuntas","Tidak Tuntas"))</f>
        <v>Tuntas</v>
      </c>
      <c r="AY34" s="65"/>
      <c r="AZ34" s="65"/>
      <c r="BA34" s="65"/>
      <c r="BB34" s="66"/>
      <c r="BC34" s="65"/>
      <c r="BD34" s="65"/>
      <c r="BE34" s="65"/>
      <c r="BF34" s="67">
        <f t="shared" si="22"/>
        <v>0</v>
      </c>
      <c r="BG34" s="68">
        <f t="shared" si="23"/>
        <v>0</v>
      </c>
      <c r="BH34" s="68">
        <f t="shared" si="24"/>
        <v>0</v>
      </c>
      <c r="BI34" s="69" t="str">
        <f t="shared" si="4"/>
        <v>D</v>
      </c>
      <c r="BJ34" s="70" t="str">
        <f>IF(BH34="  ","  ",IF(BH34&gt;=menu!$D$19,"Tuntas","Tidak Tuntas"))</f>
        <v>Tuntas</v>
      </c>
      <c r="BK34" s="65"/>
      <c r="BL34" s="65"/>
      <c r="BM34" s="65"/>
      <c r="BN34" s="66"/>
      <c r="BO34" s="65"/>
      <c r="BP34" s="65"/>
      <c r="BQ34" s="65"/>
      <c r="BR34" s="67">
        <f t="shared" si="25"/>
        <v>0</v>
      </c>
      <c r="BS34" s="68">
        <f t="shared" si="26"/>
        <v>0</v>
      </c>
      <c r="BT34" s="68">
        <f t="shared" si="27"/>
        <v>0</v>
      </c>
      <c r="BU34" s="69" t="str">
        <f t="shared" si="5"/>
        <v>D</v>
      </c>
      <c r="BV34" s="70" t="str">
        <f>IF(BT34="  ","  ",IF(BT34&gt;=menu!$D$19,"Tuntas","Tidak Tuntas"))</f>
        <v>Tuntas</v>
      </c>
      <c r="BW34" s="65"/>
      <c r="BX34" s="65"/>
      <c r="BY34" s="65"/>
      <c r="BZ34" s="66"/>
      <c r="CA34" s="65"/>
      <c r="CB34" s="65"/>
      <c r="CC34" s="65"/>
      <c r="CD34" s="67">
        <f t="shared" si="28"/>
        <v>0</v>
      </c>
      <c r="CE34" s="68">
        <f t="shared" si="29"/>
        <v>0</v>
      </c>
      <c r="CF34" s="68">
        <f t="shared" si="30"/>
        <v>0</v>
      </c>
      <c r="CG34" s="69" t="str">
        <f t="shared" si="6"/>
        <v>D</v>
      </c>
      <c r="CH34" s="70" t="str">
        <f>IF(CF34="  ","  ",IF(CF34&gt;=menu!$D$19,"Tuntas","Tidak Tuntas"))</f>
        <v>Tuntas</v>
      </c>
      <c r="CI34" s="65"/>
      <c r="CJ34" s="65"/>
      <c r="CK34" s="65"/>
      <c r="CL34" s="66"/>
      <c r="CM34" s="65"/>
      <c r="CN34" s="65"/>
      <c r="CO34" s="65"/>
      <c r="CP34" s="67">
        <f t="shared" si="31"/>
        <v>0</v>
      </c>
      <c r="CQ34" s="68">
        <f t="shared" si="32"/>
        <v>0</v>
      </c>
      <c r="CR34" s="68">
        <f t="shared" si="33"/>
        <v>0</v>
      </c>
      <c r="CS34" s="69" t="str">
        <f t="shared" si="7"/>
        <v>D</v>
      </c>
      <c r="CT34" s="70" t="str">
        <f>IF(CR34="  ","  ",IF(CR34&gt;=menu!$D$19,"Tuntas","Tidak Tuntas"))</f>
        <v>Tuntas</v>
      </c>
      <c r="CU34" s="65"/>
      <c r="CV34" s="65"/>
      <c r="CW34" s="65"/>
      <c r="CX34" s="66"/>
      <c r="CY34" s="65"/>
      <c r="CZ34" s="65"/>
      <c r="DA34" s="65"/>
      <c r="DB34" s="67">
        <f t="shared" si="34"/>
        <v>0</v>
      </c>
      <c r="DC34" s="68">
        <f t="shared" si="35"/>
        <v>0</v>
      </c>
      <c r="DD34" s="68">
        <f t="shared" si="36"/>
        <v>0</v>
      </c>
      <c r="DE34" s="69" t="str">
        <f t="shared" si="8"/>
        <v>D</v>
      </c>
      <c r="DF34" s="70" t="str">
        <f>IF(DD34="  ","  ",IF(DD34&gt;=menu!$D$19,"Tuntas","Tidak Tuntas"))</f>
        <v>Tuntas</v>
      </c>
      <c r="DG34" s="65"/>
      <c r="DH34" s="65"/>
      <c r="DI34" s="65"/>
      <c r="DJ34" s="66"/>
      <c r="DK34" s="65"/>
      <c r="DL34" s="65"/>
      <c r="DM34" s="65"/>
      <c r="DN34" s="67">
        <f t="shared" si="37"/>
        <v>0</v>
      </c>
      <c r="DO34" s="68">
        <f t="shared" si="38"/>
        <v>0</v>
      </c>
      <c r="DP34" s="68">
        <f t="shared" si="39"/>
        <v>0</v>
      </c>
      <c r="DQ34" s="69" t="str">
        <f t="shared" si="9"/>
        <v>D</v>
      </c>
      <c r="DR34" s="70" t="str">
        <f>IF(DP34="  ","  ",IF(DP34&gt;=menu!$D$19,"Tuntas","Tidak Tuntas"))</f>
        <v>Tuntas</v>
      </c>
    </row>
    <row r="35" spans="1:122">
      <c r="A35" s="64">
        <f>'DATA SISWA'!A21</f>
        <v>17</v>
      </c>
      <c r="B35" s="76" t="str">
        <f>'DATA SISWA'!C21</f>
        <v>Nur Aini</v>
      </c>
      <c r="C35" s="65"/>
      <c r="D35" s="65"/>
      <c r="E35" s="65"/>
      <c r="F35" s="66"/>
      <c r="G35" s="65"/>
      <c r="H35" s="65"/>
      <c r="I35" s="65"/>
      <c r="J35" s="67">
        <f t="shared" si="10"/>
        <v>0</v>
      </c>
      <c r="K35" s="68">
        <f t="shared" si="11"/>
        <v>0</v>
      </c>
      <c r="L35" s="68">
        <f t="shared" si="12"/>
        <v>0</v>
      </c>
      <c r="M35" s="69" t="str">
        <f t="shared" si="0"/>
        <v>D</v>
      </c>
      <c r="N35" s="70" t="str">
        <f>IF(L35="  ","  ",IF(L35&gt;=menu!$D$19,"Tuntas","Tidak Tuntas"))</f>
        <v>Tuntas</v>
      </c>
      <c r="O35" s="65"/>
      <c r="P35" s="65"/>
      <c r="Q35" s="65"/>
      <c r="R35" s="66"/>
      <c r="S35" s="65"/>
      <c r="T35" s="65"/>
      <c r="U35" s="65"/>
      <c r="V35" s="67">
        <f t="shared" si="13"/>
        <v>0</v>
      </c>
      <c r="W35" s="68">
        <f t="shared" si="14"/>
        <v>0</v>
      </c>
      <c r="X35" s="68">
        <f t="shared" si="15"/>
        <v>0</v>
      </c>
      <c r="Y35" s="69" t="str">
        <f t="shared" si="1"/>
        <v>D</v>
      </c>
      <c r="Z35" s="70" t="str">
        <f>IF(X35="  ","  ",IF(X35&gt;=menu!$D$19,"Tuntas","Tidak Tuntas"))</f>
        <v>Tuntas</v>
      </c>
      <c r="AA35" s="65"/>
      <c r="AB35" s="65"/>
      <c r="AC35" s="65"/>
      <c r="AD35" s="66"/>
      <c r="AE35" s="65"/>
      <c r="AF35" s="65"/>
      <c r="AG35" s="65"/>
      <c r="AH35" s="67">
        <f t="shared" si="16"/>
        <v>0</v>
      </c>
      <c r="AI35" s="68">
        <f t="shared" si="17"/>
        <v>0</v>
      </c>
      <c r="AJ35" s="68">
        <f t="shared" si="18"/>
        <v>0</v>
      </c>
      <c r="AK35" s="69" t="str">
        <f t="shared" si="2"/>
        <v>D</v>
      </c>
      <c r="AL35" s="70" t="str">
        <f>IF(AJ35="  ","  ",IF(AJ35&gt;=menu!$D$19,"Tuntas","Tidak Tuntas"))</f>
        <v>Tuntas</v>
      </c>
      <c r="AM35" s="65"/>
      <c r="AN35" s="65"/>
      <c r="AO35" s="65"/>
      <c r="AP35" s="66"/>
      <c r="AQ35" s="65"/>
      <c r="AR35" s="65"/>
      <c r="AS35" s="65"/>
      <c r="AT35" s="67">
        <f t="shared" si="19"/>
        <v>0</v>
      </c>
      <c r="AU35" s="68">
        <f t="shared" si="20"/>
        <v>0</v>
      </c>
      <c r="AV35" s="68">
        <f t="shared" si="21"/>
        <v>0</v>
      </c>
      <c r="AW35" s="69" t="str">
        <f t="shared" si="3"/>
        <v>D</v>
      </c>
      <c r="AX35" s="70" t="str">
        <f>IF(AV35="  ","  ",IF(AV35&gt;=menu!$D$19,"Tuntas","Tidak Tuntas"))</f>
        <v>Tuntas</v>
      </c>
      <c r="AY35" s="65"/>
      <c r="AZ35" s="65"/>
      <c r="BA35" s="65"/>
      <c r="BB35" s="66"/>
      <c r="BC35" s="65"/>
      <c r="BD35" s="65"/>
      <c r="BE35" s="65"/>
      <c r="BF35" s="67">
        <f t="shared" si="22"/>
        <v>0</v>
      </c>
      <c r="BG35" s="68">
        <f t="shared" si="23"/>
        <v>0</v>
      </c>
      <c r="BH35" s="68">
        <f t="shared" si="24"/>
        <v>0</v>
      </c>
      <c r="BI35" s="69" t="str">
        <f t="shared" si="4"/>
        <v>D</v>
      </c>
      <c r="BJ35" s="70" t="str">
        <f>IF(BH35="  ","  ",IF(BH35&gt;=menu!$D$19,"Tuntas","Tidak Tuntas"))</f>
        <v>Tuntas</v>
      </c>
      <c r="BK35" s="65"/>
      <c r="BL35" s="65"/>
      <c r="BM35" s="65"/>
      <c r="BN35" s="66"/>
      <c r="BO35" s="65"/>
      <c r="BP35" s="65"/>
      <c r="BQ35" s="65"/>
      <c r="BR35" s="67">
        <f t="shared" si="25"/>
        <v>0</v>
      </c>
      <c r="BS35" s="68">
        <f t="shared" si="26"/>
        <v>0</v>
      </c>
      <c r="BT35" s="68">
        <f t="shared" si="27"/>
        <v>0</v>
      </c>
      <c r="BU35" s="69" t="str">
        <f t="shared" si="5"/>
        <v>D</v>
      </c>
      <c r="BV35" s="70" t="str">
        <f>IF(BT35="  ","  ",IF(BT35&gt;=menu!$D$19,"Tuntas","Tidak Tuntas"))</f>
        <v>Tuntas</v>
      </c>
      <c r="BW35" s="65"/>
      <c r="BX35" s="65"/>
      <c r="BY35" s="65"/>
      <c r="BZ35" s="66"/>
      <c r="CA35" s="65"/>
      <c r="CB35" s="65"/>
      <c r="CC35" s="65"/>
      <c r="CD35" s="67">
        <f t="shared" si="28"/>
        <v>0</v>
      </c>
      <c r="CE35" s="68">
        <f t="shared" si="29"/>
        <v>0</v>
      </c>
      <c r="CF35" s="68">
        <f t="shared" si="30"/>
        <v>0</v>
      </c>
      <c r="CG35" s="69" t="str">
        <f t="shared" si="6"/>
        <v>D</v>
      </c>
      <c r="CH35" s="70" t="str">
        <f>IF(CF35="  ","  ",IF(CF35&gt;=menu!$D$19,"Tuntas","Tidak Tuntas"))</f>
        <v>Tuntas</v>
      </c>
      <c r="CI35" s="65"/>
      <c r="CJ35" s="65"/>
      <c r="CK35" s="65"/>
      <c r="CL35" s="66"/>
      <c r="CM35" s="65"/>
      <c r="CN35" s="65"/>
      <c r="CO35" s="65"/>
      <c r="CP35" s="67">
        <f t="shared" si="31"/>
        <v>0</v>
      </c>
      <c r="CQ35" s="68">
        <f t="shared" si="32"/>
        <v>0</v>
      </c>
      <c r="CR35" s="68">
        <f t="shared" si="33"/>
        <v>0</v>
      </c>
      <c r="CS35" s="69" t="str">
        <f t="shared" si="7"/>
        <v>D</v>
      </c>
      <c r="CT35" s="70" t="str">
        <f>IF(CR35="  ","  ",IF(CR35&gt;=menu!$D$19,"Tuntas","Tidak Tuntas"))</f>
        <v>Tuntas</v>
      </c>
      <c r="CU35" s="65"/>
      <c r="CV35" s="65"/>
      <c r="CW35" s="65"/>
      <c r="CX35" s="66"/>
      <c r="CY35" s="65"/>
      <c r="CZ35" s="65"/>
      <c r="DA35" s="65"/>
      <c r="DB35" s="67">
        <f t="shared" si="34"/>
        <v>0</v>
      </c>
      <c r="DC35" s="68">
        <f t="shared" si="35"/>
        <v>0</v>
      </c>
      <c r="DD35" s="68">
        <f t="shared" si="36"/>
        <v>0</v>
      </c>
      <c r="DE35" s="69" t="str">
        <f t="shared" si="8"/>
        <v>D</v>
      </c>
      <c r="DF35" s="70" t="str">
        <f>IF(DD35="  ","  ",IF(DD35&gt;=menu!$D$19,"Tuntas","Tidak Tuntas"))</f>
        <v>Tuntas</v>
      </c>
      <c r="DG35" s="65"/>
      <c r="DH35" s="65"/>
      <c r="DI35" s="65"/>
      <c r="DJ35" s="66"/>
      <c r="DK35" s="65"/>
      <c r="DL35" s="65"/>
      <c r="DM35" s="65"/>
      <c r="DN35" s="67">
        <f t="shared" si="37"/>
        <v>0</v>
      </c>
      <c r="DO35" s="68">
        <f t="shared" si="38"/>
        <v>0</v>
      </c>
      <c r="DP35" s="68">
        <f t="shared" si="39"/>
        <v>0</v>
      </c>
      <c r="DQ35" s="69" t="str">
        <f t="shared" si="9"/>
        <v>D</v>
      </c>
      <c r="DR35" s="70" t="str">
        <f>IF(DP35="  ","  ",IF(DP35&gt;=menu!$D$19,"Tuntas","Tidak Tuntas"))</f>
        <v>Tuntas</v>
      </c>
    </row>
    <row r="36" spans="1:122">
      <c r="A36" s="64">
        <f>'DATA SISWA'!A22</f>
        <v>18</v>
      </c>
      <c r="B36" s="76" t="str">
        <f>'DATA SISWA'!C22</f>
        <v>Rofiah</v>
      </c>
      <c r="C36" s="65"/>
      <c r="D36" s="65"/>
      <c r="E36" s="65"/>
      <c r="F36" s="66"/>
      <c r="G36" s="65"/>
      <c r="H36" s="65"/>
      <c r="I36" s="65"/>
      <c r="J36" s="67">
        <f t="shared" si="10"/>
        <v>0</v>
      </c>
      <c r="K36" s="68">
        <f t="shared" si="11"/>
        <v>0</v>
      </c>
      <c r="L36" s="68">
        <f t="shared" si="12"/>
        <v>0</v>
      </c>
      <c r="M36" s="69" t="str">
        <f t="shared" si="0"/>
        <v>D</v>
      </c>
      <c r="N36" s="70" t="str">
        <f>IF(L36="  ","  ",IF(L36&gt;=menu!$D$19,"Tuntas","Tidak Tuntas"))</f>
        <v>Tuntas</v>
      </c>
      <c r="O36" s="65"/>
      <c r="P36" s="65"/>
      <c r="Q36" s="65"/>
      <c r="R36" s="66"/>
      <c r="S36" s="65"/>
      <c r="T36" s="65"/>
      <c r="U36" s="65"/>
      <c r="V36" s="67">
        <f t="shared" si="13"/>
        <v>0</v>
      </c>
      <c r="W36" s="68">
        <f t="shared" si="14"/>
        <v>0</v>
      </c>
      <c r="X36" s="68">
        <f t="shared" si="15"/>
        <v>0</v>
      </c>
      <c r="Y36" s="69" t="str">
        <f t="shared" si="1"/>
        <v>D</v>
      </c>
      <c r="Z36" s="70" t="str">
        <f>IF(X36="  ","  ",IF(X36&gt;=menu!$D$19,"Tuntas","Tidak Tuntas"))</f>
        <v>Tuntas</v>
      </c>
      <c r="AA36" s="65"/>
      <c r="AB36" s="65"/>
      <c r="AC36" s="65"/>
      <c r="AD36" s="66"/>
      <c r="AE36" s="65"/>
      <c r="AF36" s="65"/>
      <c r="AG36" s="65"/>
      <c r="AH36" s="67">
        <f t="shared" si="16"/>
        <v>0</v>
      </c>
      <c r="AI36" s="68">
        <f t="shared" si="17"/>
        <v>0</v>
      </c>
      <c r="AJ36" s="68">
        <f t="shared" si="18"/>
        <v>0</v>
      </c>
      <c r="AK36" s="69" t="str">
        <f t="shared" si="2"/>
        <v>D</v>
      </c>
      <c r="AL36" s="70" t="str">
        <f>IF(AJ36="  ","  ",IF(AJ36&gt;=menu!$D$19,"Tuntas","Tidak Tuntas"))</f>
        <v>Tuntas</v>
      </c>
      <c r="AM36" s="65"/>
      <c r="AN36" s="65"/>
      <c r="AO36" s="65"/>
      <c r="AP36" s="66"/>
      <c r="AQ36" s="65"/>
      <c r="AR36" s="65"/>
      <c r="AS36" s="65"/>
      <c r="AT36" s="67">
        <f t="shared" si="19"/>
        <v>0</v>
      </c>
      <c r="AU36" s="68">
        <f t="shared" si="20"/>
        <v>0</v>
      </c>
      <c r="AV36" s="68">
        <f t="shared" si="21"/>
        <v>0</v>
      </c>
      <c r="AW36" s="69" t="str">
        <f t="shared" si="3"/>
        <v>D</v>
      </c>
      <c r="AX36" s="70" t="str">
        <f>IF(AV36="  ","  ",IF(AV36&gt;=menu!$D$19,"Tuntas","Tidak Tuntas"))</f>
        <v>Tuntas</v>
      </c>
      <c r="AY36" s="65"/>
      <c r="AZ36" s="65"/>
      <c r="BA36" s="65"/>
      <c r="BB36" s="66"/>
      <c r="BC36" s="65"/>
      <c r="BD36" s="65"/>
      <c r="BE36" s="65"/>
      <c r="BF36" s="67">
        <f t="shared" si="22"/>
        <v>0</v>
      </c>
      <c r="BG36" s="68">
        <f t="shared" si="23"/>
        <v>0</v>
      </c>
      <c r="BH36" s="68">
        <f t="shared" si="24"/>
        <v>0</v>
      </c>
      <c r="BI36" s="69" t="str">
        <f t="shared" si="4"/>
        <v>D</v>
      </c>
      <c r="BJ36" s="70" t="str">
        <f>IF(BH36="  ","  ",IF(BH36&gt;=menu!$D$19,"Tuntas","Tidak Tuntas"))</f>
        <v>Tuntas</v>
      </c>
      <c r="BK36" s="65"/>
      <c r="BL36" s="65"/>
      <c r="BM36" s="65"/>
      <c r="BN36" s="66"/>
      <c r="BO36" s="65"/>
      <c r="BP36" s="65"/>
      <c r="BQ36" s="65"/>
      <c r="BR36" s="67">
        <f t="shared" si="25"/>
        <v>0</v>
      </c>
      <c r="BS36" s="68">
        <f t="shared" si="26"/>
        <v>0</v>
      </c>
      <c r="BT36" s="68">
        <f t="shared" si="27"/>
        <v>0</v>
      </c>
      <c r="BU36" s="69" t="str">
        <f t="shared" si="5"/>
        <v>D</v>
      </c>
      <c r="BV36" s="70" t="str">
        <f>IF(BT36="  ","  ",IF(BT36&gt;=menu!$D$19,"Tuntas","Tidak Tuntas"))</f>
        <v>Tuntas</v>
      </c>
      <c r="BW36" s="65"/>
      <c r="BX36" s="65"/>
      <c r="BY36" s="65"/>
      <c r="BZ36" s="66"/>
      <c r="CA36" s="65"/>
      <c r="CB36" s="65"/>
      <c r="CC36" s="65"/>
      <c r="CD36" s="67">
        <f t="shared" si="28"/>
        <v>0</v>
      </c>
      <c r="CE36" s="68">
        <f t="shared" si="29"/>
        <v>0</v>
      </c>
      <c r="CF36" s="68">
        <f t="shared" si="30"/>
        <v>0</v>
      </c>
      <c r="CG36" s="69" t="str">
        <f t="shared" si="6"/>
        <v>D</v>
      </c>
      <c r="CH36" s="70" t="str">
        <f>IF(CF36="  ","  ",IF(CF36&gt;=menu!$D$19,"Tuntas","Tidak Tuntas"))</f>
        <v>Tuntas</v>
      </c>
      <c r="CI36" s="65"/>
      <c r="CJ36" s="65"/>
      <c r="CK36" s="65"/>
      <c r="CL36" s="66"/>
      <c r="CM36" s="65"/>
      <c r="CN36" s="65"/>
      <c r="CO36" s="65"/>
      <c r="CP36" s="67">
        <f t="shared" si="31"/>
        <v>0</v>
      </c>
      <c r="CQ36" s="68">
        <f t="shared" si="32"/>
        <v>0</v>
      </c>
      <c r="CR36" s="68">
        <f t="shared" si="33"/>
        <v>0</v>
      </c>
      <c r="CS36" s="69" t="str">
        <f t="shared" si="7"/>
        <v>D</v>
      </c>
      <c r="CT36" s="70" t="str">
        <f>IF(CR36="  ","  ",IF(CR36&gt;=menu!$D$19,"Tuntas","Tidak Tuntas"))</f>
        <v>Tuntas</v>
      </c>
      <c r="CU36" s="65"/>
      <c r="CV36" s="65"/>
      <c r="CW36" s="65"/>
      <c r="CX36" s="66"/>
      <c r="CY36" s="65"/>
      <c r="CZ36" s="65"/>
      <c r="DA36" s="65"/>
      <c r="DB36" s="67">
        <f t="shared" si="34"/>
        <v>0</v>
      </c>
      <c r="DC36" s="68">
        <f t="shared" si="35"/>
        <v>0</v>
      </c>
      <c r="DD36" s="68">
        <f t="shared" si="36"/>
        <v>0</v>
      </c>
      <c r="DE36" s="69" t="str">
        <f t="shared" si="8"/>
        <v>D</v>
      </c>
      <c r="DF36" s="70" t="str">
        <f>IF(DD36="  ","  ",IF(DD36&gt;=menu!$D$19,"Tuntas","Tidak Tuntas"))</f>
        <v>Tuntas</v>
      </c>
      <c r="DG36" s="65"/>
      <c r="DH36" s="65"/>
      <c r="DI36" s="65"/>
      <c r="DJ36" s="66"/>
      <c r="DK36" s="65"/>
      <c r="DL36" s="65"/>
      <c r="DM36" s="65"/>
      <c r="DN36" s="67">
        <f t="shared" si="37"/>
        <v>0</v>
      </c>
      <c r="DO36" s="68">
        <f t="shared" si="38"/>
        <v>0</v>
      </c>
      <c r="DP36" s="68">
        <f t="shared" si="39"/>
        <v>0</v>
      </c>
      <c r="DQ36" s="69" t="str">
        <f t="shared" si="9"/>
        <v>D</v>
      </c>
      <c r="DR36" s="70" t="str">
        <f>IF(DP36="  ","  ",IF(DP36&gt;=menu!$D$19,"Tuntas","Tidak Tuntas"))</f>
        <v>Tuntas</v>
      </c>
    </row>
    <row r="37" spans="1:122">
      <c r="A37" s="64">
        <f>'DATA SISWA'!A23</f>
        <v>19</v>
      </c>
      <c r="B37" s="76" t="str">
        <f>'DATA SISWA'!C23</f>
        <v>Romliadi</v>
      </c>
      <c r="C37" s="65"/>
      <c r="D37" s="65"/>
      <c r="E37" s="65"/>
      <c r="F37" s="66"/>
      <c r="G37" s="65"/>
      <c r="H37" s="65"/>
      <c r="I37" s="65"/>
      <c r="J37" s="67">
        <f t="shared" si="10"/>
        <v>0</v>
      </c>
      <c r="K37" s="68">
        <f t="shared" si="11"/>
        <v>0</v>
      </c>
      <c r="L37" s="68">
        <f t="shared" si="12"/>
        <v>0</v>
      </c>
      <c r="M37" s="69" t="str">
        <f t="shared" si="0"/>
        <v>D</v>
      </c>
      <c r="N37" s="70" t="str">
        <f>IF(L37="  ","  ",IF(L37&gt;=menu!$D$19,"Tuntas","Tidak Tuntas"))</f>
        <v>Tuntas</v>
      </c>
      <c r="O37" s="65"/>
      <c r="P37" s="65"/>
      <c r="Q37" s="65"/>
      <c r="R37" s="66"/>
      <c r="S37" s="65"/>
      <c r="T37" s="65"/>
      <c r="U37" s="65"/>
      <c r="V37" s="67">
        <f t="shared" si="13"/>
        <v>0</v>
      </c>
      <c r="W37" s="68">
        <f t="shared" si="14"/>
        <v>0</v>
      </c>
      <c r="X37" s="68">
        <f t="shared" si="15"/>
        <v>0</v>
      </c>
      <c r="Y37" s="69" t="str">
        <f t="shared" si="1"/>
        <v>D</v>
      </c>
      <c r="Z37" s="70" t="str">
        <f>IF(X37="  ","  ",IF(X37&gt;=menu!$D$19,"Tuntas","Tidak Tuntas"))</f>
        <v>Tuntas</v>
      </c>
      <c r="AA37" s="65"/>
      <c r="AB37" s="65"/>
      <c r="AC37" s="65"/>
      <c r="AD37" s="66"/>
      <c r="AE37" s="65"/>
      <c r="AF37" s="65"/>
      <c r="AG37" s="65"/>
      <c r="AH37" s="67">
        <f t="shared" si="16"/>
        <v>0</v>
      </c>
      <c r="AI37" s="68">
        <f t="shared" si="17"/>
        <v>0</v>
      </c>
      <c r="AJ37" s="68">
        <f t="shared" si="18"/>
        <v>0</v>
      </c>
      <c r="AK37" s="69" t="str">
        <f t="shared" si="2"/>
        <v>D</v>
      </c>
      <c r="AL37" s="70" t="str">
        <f>IF(AJ37="  ","  ",IF(AJ37&gt;=menu!$D$19,"Tuntas","Tidak Tuntas"))</f>
        <v>Tuntas</v>
      </c>
      <c r="AM37" s="65"/>
      <c r="AN37" s="65"/>
      <c r="AO37" s="65"/>
      <c r="AP37" s="66"/>
      <c r="AQ37" s="65"/>
      <c r="AR37" s="65"/>
      <c r="AS37" s="65"/>
      <c r="AT37" s="67">
        <f t="shared" si="19"/>
        <v>0</v>
      </c>
      <c r="AU37" s="68">
        <f t="shared" si="20"/>
        <v>0</v>
      </c>
      <c r="AV37" s="68">
        <f t="shared" si="21"/>
        <v>0</v>
      </c>
      <c r="AW37" s="69" t="str">
        <f t="shared" si="3"/>
        <v>D</v>
      </c>
      <c r="AX37" s="70" t="str">
        <f>IF(AV37="  ","  ",IF(AV37&gt;=menu!$D$19,"Tuntas","Tidak Tuntas"))</f>
        <v>Tuntas</v>
      </c>
      <c r="AY37" s="65"/>
      <c r="AZ37" s="65"/>
      <c r="BA37" s="65"/>
      <c r="BB37" s="66"/>
      <c r="BC37" s="65"/>
      <c r="BD37" s="65"/>
      <c r="BE37" s="65"/>
      <c r="BF37" s="67">
        <f t="shared" si="22"/>
        <v>0</v>
      </c>
      <c r="BG37" s="68">
        <f t="shared" si="23"/>
        <v>0</v>
      </c>
      <c r="BH37" s="68">
        <f t="shared" si="24"/>
        <v>0</v>
      </c>
      <c r="BI37" s="69" t="str">
        <f t="shared" si="4"/>
        <v>D</v>
      </c>
      <c r="BJ37" s="70" t="str">
        <f>IF(BH37="  ","  ",IF(BH37&gt;=menu!$D$19,"Tuntas","Tidak Tuntas"))</f>
        <v>Tuntas</v>
      </c>
      <c r="BK37" s="65"/>
      <c r="BL37" s="65"/>
      <c r="BM37" s="65"/>
      <c r="BN37" s="66"/>
      <c r="BO37" s="65"/>
      <c r="BP37" s="65"/>
      <c r="BQ37" s="65"/>
      <c r="BR37" s="67">
        <f t="shared" si="25"/>
        <v>0</v>
      </c>
      <c r="BS37" s="68">
        <f t="shared" si="26"/>
        <v>0</v>
      </c>
      <c r="BT37" s="68">
        <f t="shared" si="27"/>
        <v>0</v>
      </c>
      <c r="BU37" s="69" t="str">
        <f t="shared" si="5"/>
        <v>D</v>
      </c>
      <c r="BV37" s="70" t="str">
        <f>IF(BT37="  ","  ",IF(BT37&gt;=menu!$D$19,"Tuntas","Tidak Tuntas"))</f>
        <v>Tuntas</v>
      </c>
      <c r="BW37" s="65"/>
      <c r="BX37" s="65"/>
      <c r="BY37" s="65"/>
      <c r="BZ37" s="66"/>
      <c r="CA37" s="65"/>
      <c r="CB37" s="65"/>
      <c r="CC37" s="65"/>
      <c r="CD37" s="67">
        <f t="shared" si="28"/>
        <v>0</v>
      </c>
      <c r="CE37" s="68">
        <f t="shared" si="29"/>
        <v>0</v>
      </c>
      <c r="CF37" s="68">
        <f t="shared" si="30"/>
        <v>0</v>
      </c>
      <c r="CG37" s="69" t="str">
        <f t="shared" si="6"/>
        <v>D</v>
      </c>
      <c r="CH37" s="70" t="str">
        <f>IF(CF37="  ","  ",IF(CF37&gt;=menu!$D$19,"Tuntas","Tidak Tuntas"))</f>
        <v>Tuntas</v>
      </c>
      <c r="CI37" s="65"/>
      <c r="CJ37" s="65"/>
      <c r="CK37" s="65"/>
      <c r="CL37" s="66"/>
      <c r="CM37" s="65"/>
      <c r="CN37" s="65"/>
      <c r="CO37" s="65"/>
      <c r="CP37" s="67">
        <f t="shared" si="31"/>
        <v>0</v>
      </c>
      <c r="CQ37" s="68">
        <f t="shared" si="32"/>
        <v>0</v>
      </c>
      <c r="CR37" s="68">
        <f t="shared" si="33"/>
        <v>0</v>
      </c>
      <c r="CS37" s="69" t="str">
        <f t="shared" si="7"/>
        <v>D</v>
      </c>
      <c r="CT37" s="70" t="str">
        <f>IF(CR37="  ","  ",IF(CR37&gt;=menu!$D$19,"Tuntas","Tidak Tuntas"))</f>
        <v>Tuntas</v>
      </c>
      <c r="CU37" s="65"/>
      <c r="CV37" s="65"/>
      <c r="CW37" s="65"/>
      <c r="CX37" s="66"/>
      <c r="CY37" s="65"/>
      <c r="CZ37" s="65"/>
      <c r="DA37" s="65"/>
      <c r="DB37" s="67">
        <f t="shared" si="34"/>
        <v>0</v>
      </c>
      <c r="DC37" s="68">
        <f t="shared" si="35"/>
        <v>0</v>
      </c>
      <c r="DD37" s="68">
        <f t="shared" si="36"/>
        <v>0</v>
      </c>
      <c r="DE37" s="69" t="str">
        <f t="shared" si="8"/>
        <v>D</v>
      </c>
      <c r="DF37" s="70" t="str">
        <f>IF(DD37="  ","  ",IF(DD37&gt;=menu!$D$19,"Tuntas","Tidak Tuntas"))</f>
        <v>Tuntas</v>
      </c>
      <c r="DG37" s="65"/>
      <c r="DH37" s="65"/>
      <c r="DI37" s="65"/>
      <c r="DJ37" s="66"/>
      <c r="DK37" s="65"/>
      <c r="DL37" s="65"/>
      <c r="DM37" s="65"/>
      <c r="DN37" s="67">
        <f t="shared" si="37"/>
        <v>0</v>
      </c>
      <c r="DO37" s="68">
        <f t="shared" si="38"/>
        <v>0</v>
      </c>
      <c r="DP37" s="68">
        <f t="shared" si="39"/>
        <v>0</v>
      </c>
      <c r="DQ37" s="69" t="str">
        <f t="shared" si="9"/>
        <v>D</v>
      </c>
      <c r="DR37" s="70" t="str">
        <f>IF(DP37="  ","  ",IF(DP37&gt;=menu!$D$19,"Tuntas","Tidak Tuntas"))</f>
        <v>Tuntas</v>
      </c>
    </row>
    <row r="38" spans="1:122">
      <c r="A38" s="64">
        <f>'DATA SISWA'!A24</f>
        <v>20</v>
      </c>
      <c r="B38" s="76" t="str">
        <f>'DATA SISWA'!C24</f>
        <v>Tammimah</v>
      </c>
      <c r="C38" s="65"/>
      <c r="D38" s="65"/>
      <c r="E38" s="65"/>
      <c r="F38" s="66"/>
      <c r="G38" s="65"/>
      <c r="H38" s="65"/>
      <c r="I38" s="65"/>
      <c r="J38" s="67">
        <f t="shared" si="10"/>
        <v>0</v>
      </c>
      <c r="K38" s="68">
        <f t="shared" si="11"/>
        <v>0</v>
      </c>
      <c r="L38" s="68">
        <f t="shared" si="12"/>
        <v>0</v>
      </c>
      <c r="M38" s="69" t="str">
        <f t="shared" si="0"/>
        <v>D</v>
      </c>
      <c r="N38" s="70" t="str">
        <f>IF(L38="  ","  ",IF(L38&gt;=menu!$D$19,"Tuntas","Tidak Tuntas"))</f>
        <v>Tuntas</v>
      </c>
      <c r="O38" s="65"/>
      <c r="P38" s="65"/>
      <c r="Q38" s="65"/>
      <c r="R38" s="66"/>
      <c r="S38" s="65"/>
      <c r="T38" s="65"/>
      <c r="U38" s="65"/>
      <c r="V38" s="67">
        <f t="shared" si="13"/>
        <v>0</v>
      </c>
      <c r="W38" s="68">
        <f t="shared" si="14"/>
        <v>0</v>
      </c>
      <c r="X38" s="68">
        <f t="shared" si="15"/>
        <v>0</v>
      </c>
      <c r="Y38" s="69" t="str">
        <f t="shared" si="1"/>
        <v>D</v>
      </c>
      <c r="Z38" s="70" t="str">
        <f>IF(X38="  ","  ",IF(X38&gt;=menu!$D$19,"Tuntas","Tidak Tuntas"))</f>
        <v>Tuntas</v>
      </c>
      <c r="AA38" s="65"/>
      <c r="AB38" s="65"/>
      <c r="AC38" s="65"/>
      <c r="AD38" s="66"/>
      <c r="AE38" s="65"/>
      <c r="AF38" s="65"/>
      <c r="AG38" s="65"/>
      <c r="AH38" s="67">
        <f t="shared" si="16"/>
        <v>0</v>
      </c>
      <c r="AI38" s="68">
        <f t="shared" si="17"/>
        <v>0</v>
      </c>
      <c r="AJ38" s="68">
        <f t="shared" si="18"/>
        <v>0</v>
      </c>
      <c r="AK38" s="69" t="str">
        <f t="shared" si="2"/>
        <v>D</v>
      </c>
      <c r="AL38" s="70" t="str">
        <f>IF(AJ38="  ","  ",IF(AJ38&gt;=menu!$D$19,"Tuntas","Tidak Tuntas"))</f>
        <v>Tuntas</v>
      </c>
      <c r="AM38" s="65"/>
      <c r="AN38" s="65"/>
      <c r="AO38" s="65"/>
      <c r="AP38" s="66"/>
      <c r="AQ38" s="65"/>
      <c r="AR38" s="65"/>
      <c r="AS38" s="65"/>
      <c r="AT38" s="67">
        <f t="shared" si="19"/>
        <v>0</v>
      </c>
      <c r="AU38" s="68">
        <f t="shared" si="20"/>
        <v>0</v>
      </c>
      <c r="AV38" s="68">
        <f t="shared" si="21"/>
        <v>0</v>
      </c>
      <c r="AW38" s="69" t="str">
        <f t="shared" si="3"/>
        <v>D</v>
      </c>
      <c r="AX38" s="70" t="str">
        <f>IF(AV38="  ","  ",IF(AV38&gt;=menu!$D$19,"Tuntas","Tidak Tuntas"))</f>
        <v>Tuntas</v>
      </c>
      <c r="AY38" s="65"/>
      <c r="AZ38" s="65"/>
      <c r="BA38" s="65"/>
      <c r="BB38" s="66"/>
      <c r="BC38" s="65"/>
      <c r="BD38" s="65"/>
      <c r="BE38" s="65"/>
      <c r="BF38" s="67">
        <f t="shared" si="22"/>
        <v>0</v>
      </c>
      <c r="BG38" s="68">
        <f t="shared" si="23"/>
        <v>0</v>
      </c>
      <c r="BH38" s="68">
        <f t="shared" si="24"/>
        <v>0</v>
      </c>
      <c r="BI38" s="69" t="str">
        <f t="shared" si="4"/>
        <v>D</v>
      </c>
      <c r="BJ38" s="70" t="str">
        <f>IF(BH38="  ","  ",IF(BH38&gt;=menu!$D$19,"Tuntas","Tidak Tuntas"))</f>
        <v>Tuntas</v>
      </c>
      <c r="BK38" s="65"/>
      <c r="BL38" s="65"/>
      <c r="BM38" s="65"/>
      <c r="BN38" s="66"/>
      <c r="BO38" s="65"/>
      <c r="BP38" s="65"/>
      <c r="BQ38" s="65"/>
      <c r="BR38" s="67">
        <f t="shared" si="25"/>
        <v>0</v>
      </c>
      <c r="BS38" s="68">
        <f t="shared" si="26"/>
        <v>0</v>
      </c>
      <c r="BT38" s="68">
        <f t="shared" si="27"/>
        <v>0</v>
      </c>
      <c r="BU38" s="69" t="str">
        <f t="shared" si="5"/>
        <v>D</v>
      </c>
      <c r="BV38" s="70" t="str">
        <f>IF(BT38="  ","  ",IF(BT38&gt;=menu!$D$19,"Tuntas","Tidak Tuntas"))</f>
        <v>Tuntas</v>
      </c>
      <c r="BW38" s="65"/>
      <c r="BX38" s="65"/>
      <c r="BY38" s="65"/>
      <c r="BZ38" s="66"/>
      <c r="CA38" s="65"/>
      <c r="CB38" s="65"/>
      <c r="CC38" s="65"/>
      <c r="CD38" s="67">
        <f t="shared" si="28"/>
        <v>0</v>
      </c>
      <c r="CE38" s="68">
        <f t="shared" si="29"/>
        <v>0</v>
      </c>
      <c r="CF38" s="68">
        <f t="shared" si="30"/>
        <v>0</v>
      </c>
      <c r="CG38" s="69" t="str">
        <f t="shared" si="6"/>
        <v>D</v>
      </c>
      <c r="CH38" s="70" t="str">
        <f>IF(CF38="  ","  ",IF(CF38&gt;=menu!$D$19,"Tuntas","Tidak Tuntas"))</f>
        <v>Tuntas</v>
      </c>
      <c r="CI38" s="65"/>
      <c r="CJ38" s="65"/>
      <c r="CK38" s="65"/>
      <c r="CL38" s="66"/>
      <c r="CM38" s="65"/>
      <c r="CN38" s="65"/>
      <c r="CO38" s="65"/>
      <c r="CP38" s="67">
        <f t="shared" si="31"/>
        <v>0</v>
      </c>
      <c r="CQ38" s="68">
        <f t="shared" si="32"/>
        <v>0</v>
      </c>
      <c r="CR38" s="68">
        <f t="shared" si="33"/>
        <v>0</v>
      </c>
      <c r="CS38" s="69" t="str">
        <f t="shared" si="7"/>
        <v>D</v>
      </c>
      <c r="CT38" s="70" t="str">
        <f>IF(CR38="  ","  ",IF(CR38&gt;=menu!$D$19,"Tuntas","Tidak Tuntas"))</f>
        <v>Tuntas</v>
      </c>
      <c r="CU38" s="65"/>
      <c r="CV38" s="65"/>
      <c r="CW38" s="65"/>
      <c r="CX38" s="66"/>
      <c r="CY38" s="65"/>
      <c r="CZ38" s="65"/>
      <c r="DA38" s="65"/>
      <c r="DB38" s="67">
        <f t="shared" si="34"/>
        <v>0</v>
      </c>
      <c r="DC38" s="68">
        <f t="shared" si="35"/>
        <v>0</v>
      </c>
      <c r="DD38" s="68">
        <f t="shared" si="36"/>
        <v>0</v>
      </c>
      <c r="DE38" s="69" t="str">
        <f t="shared" si="8"/>
        <v>D</v>
      </c>
      <c r="DF38" s="70" t="str">
        <f>IF(DD38="  ","  ",IF(DD38&gt;=menu!$D$19,"Tuntas","Tidak Tuntas"))</f>
        <v>Tuntas</v>
      </c>
      <c r="DG38" s="65"/>
      <c r="DH38" s="65"/>
      <c r="DI38" s="65"/>
      <c r="DJ38" s="66"/>
      <c r="DK38" s="65"/>
      <c r="DL38" s="65"/>
      <c r="DM38" s="65"/>
      <c r="DN38" s="67">
        <f t="shared" si="37"/>
        <v>0</v>
      </c>
      <c r="DO38" s="68">
        <f t="shared" si="38"/>
        <v>0</v>
      </c>
      <c r="DP38" s="68">
        <f t="shared" si="39"/>
        <v>0</v>
      </c>
      <c r="DQ38" s="69" t="str">
        <f t="shared" si="9"/>
        <v>D</v>
      </c>
      <c r="DR38" s="70" t="str">
        <f>IF(DP38="  ","  ",IF(DP38&gt;=menu!$D$19,"Tuntas","Tidak Tuntas"))</f>
        <v>Tuntas</v>
      </c>
    </row>
    <row r="39" spans="1:122">
      <c r="A39" s="64">
        <f>'DATA SISWA'!A25</f>
        <v>0</v>
      </c>
      <c r="B39" s="76">
        <f>'DATA SISWA'!C25</f>
        <v>0</v>
      </c>
      <c r="C39" s="65"/>
      <c r="D39" s="65"/>
      <c r="E39" s="65"/>
      <c r="F39" s="66"/>
      <c r="G39" s="65"/>
      <c r="H39" s="65"/>
      <c r="I39" s="65"/>
      <c r="J39" s="67">
        <f t="shared" si="10"/>
        <v>0</v>
      </c>
      <c r="K39" s="68">
        <f t="shared" si="11"/>
        <v>0</v>
      </c>
      <c r="L39" s="68">
        <f t="shared" si="12"/>
        <v>0</v>
      </c>
      <c r="M39" s="69" t="str">
        <f t="shared" si="0"/>
        <v>D</v>
      </c>
      <c r="N39" s="70" t="str">
        <f>IF(L39="  ","  ",IF(L39&gt;=menu!$D$19,"Tuntas","Tidak Tuntas"))</f>
        <v>Tuntas</v>
      </c>
      <c r="O39" s="65"/>
      <c r="P39" s="65"/>
      <c r="Q39" s="65"/>
      <c r="R39" s="66"/>
      <c r="S39" s="65"/>
      <c r="T39" s="65"/>
      <c r="U39" s="65"/>
      <c r="V39" s="67">
        <f t="shared" si="13"/>
        <v>0</v>
      </c>
      <c r="W39" s="68">
        <f t="shared" si="14"/>
        <v>0</v>
      </c>
      <c r="X39" s="68">
        <f t="shared" si="15"/>
        <v>0</v>
      </c>
      <c r="Y39" s="69" t="str">
        <f t="shared" si="1"/>
        <v>D</v>
      </c>
      <c r="Z39" s="70" t="str">
        <f>IF(X39="  ","  ",IF(X39&gt;=menu!$D$19,"Tuntas","Tidak Tuntas"))</f>
        <v>Tuntas</v>
      </c>
      <c r="AA39" s="65"/>
      <c r="AB39" s="65"/>
      <c r="AC39" s="65"/>
      <c r="AD39" s="66"/>
      <c r="AE39" s="65"/>
      <c r="AF39" s="65"/>
      <c r="AG39" s="65"/>
      <c r="AH39" s="67">
        <f t="shared" si="16"/>
        <v>0</v>
      </c>
      <c r="AI39" s="68">
        <f t="shared" si="17"/>
        <v>0</v>
      </c>
      <c r="AJ39" s="68">
        <f t="shared" si="18"/>
        <v>0</v>
      </c>
      <c r="AK39" s="69" t="str">
        <f t="shared" si="2"/>
        <v>D</v>
      </c>
      <c r="AL39" s="70" t="str">
        <f>IF(AJ39="  ","  ",IF(AJ39&gt;=menu!$D$19,"Tuntas","Tidak Tuntas"))</f>
        <v>Tuntas</v>
      </c>
      <c r="AM39" s="65"/>
      <c r="AN39" s="65"/>
      <c r="AO39" s="65"/>
      <c r="AP39" s="66"/>
      <c r="AQ39" s="65"/>
      <c r="AR39" s="65"/>
      <c r="AS39" s="65"/>
      <c r="AT39" s="67">
        <f t="shared" si="19"/>
        <v>0</v>
      </c>
      <c r="AU39" s="68">
        <f t="shared" si="20"/>
        <v>0</v>
      </c>
      <c r="AV39" s="68">
        <f t="shared" si="21"/>
        <v>0</v>
      </c>
      <c r="AW39" s="69" t="str">
        <f t="shared" si="3"/>
        <v>D</v>
      </c>
      <c r="AX39" s="70" t="str">
        <f>IF(AV39="  ","  ",IF(AV39&gt;=menu!$D$19,"Tuntas","Tidak Tuntas"))</f>
        <v>Tuntas</v>
      </c>
      <c r="AY39" s="65"/>
      <c r="AZ39" s="65"/>
      <c r="BA39" s="65"/>
      <c r="BB39" s="66"/>
      <c r="BC39" s="65"/>
      <c r="BD39" s="65"/>
      <c r="BE39" s="65"/>
      <c r="BF39" s="67">
        <f t="shared" si="22"/>
        <v>0</v>
      </c>
      <c r="BG39" s="68">
        <f t="shared" si="23"/>
        <v>0</v>
      </c>
      <c r="BH39" s="68">
        <f t="shared" si="24"/>
        <v>0</v>
      </c>
      <c r="BI39" s="69" t="str">
        <f t="shared" si="4"/>
        <v>D</v>
      </c>
      <c r="BJ39" s="70" t="str">
        <f>IF(BH39="  ","  ",IF(BH39&gt;=menu!$D$19,"Tuntas","Tidak Tuntas"))</f>
        <v>Tuntas</v>
      </c>
      <c r="BK39" s="65"/>
      <c r="BL39" s="65"/>
      <c r="BM39" s="65"/>
      <c r="BN39" s="66"/>
      <c r="BO39" s="65"/>
      <c r="BP39" s="65"/>
      <c r="BQ39" s="65"/>
      <c r="BR39" s="67">
        <f t="shared" si="25"/>
        <v>0</v>
      </c>
      <c r="BS39" s="68">
        <f t="shared" si="26"/>
        <v>0</v>
      </c>
      <c r="BT39" s="68">
        <f t="shared" si="27"/>
        <v>0</v>
      </c>
      <c r="BU39" s="69" t="str">
        <f t="shared" si="5"/>
        <v>D</v>
      </c>
      <c r="BV39" s="70" t="str">
        <f>IF(BT39="  ","  ",IF(BT39&gt;=menu!$D$19,"Tuntas","Tidak Tuntas"))</f>
        <v>Tuntas</v>
      </c>
      <c r="BW39" s="65"/>
      <c r="BX39" s="65"/>
      <c r="BY39" s="65"/>
      <c r="BZ39" s="66"/>
      <c r="CA39" s="65"/>
      <c r="CB39" s="65"/>
      <c r="CC39" s="65"/>
      <c r="CD39" s="67">
        <f t="shared" si="28"/>
        <v>0</v>
      </c>
      <c r="CE39" s="68">
        <f t="shared" si="29"/>
        <v>0</v>
      </c>
      <c r="CF39" s="68">
        <f t="shared" si="30"/>
        <v>0</v>
      </c>
      <c r="CG39" s="69" t="str">
        <f t="shared" si="6"/>
        <v>D</v>
      </c>
      <c r="CH39" s="70" t="str">
        <f>IF(CF39="  ","  ",IF(CF39&gt;=menu!$D$19,"Tuntas","Tidak Tuntas"))</f>
        <v>Tuntas</v>
      </c>
      <c r="CI39" s="65"/>
      <c r="CJ39" s="65"/>
      <c r="CK39" s="65"/>
      <c r="CL39" s="66"/>
      <c r="CM39" s="65"/>
      <c r="CN39" s="65"/>
      <c r="CO39" s="65"/>
      <c r="CP39" s="67">
        <f t="shared" si="31"/>
        <v>0</v>
      </c>
      <c r="CQ39" s="68">
        <f t="shared" si="32"/>
        <v>0</v>
      </c>
      <c r="CR39" s="68">
        <f t="shared" si="33"/>
        <v>0</v>
      </c>
      <c r="CS39" s="69" t="str">
        <f t="shared" si="7"/>
        <v>D</v>
      </c>
      <c r="CT39" s="70" t="str">
        <f>IF(CR39="  ","  ",IF(CR39&gt;=menu!$D$19,"Tuntas","Tidak Tuntas"))</f>
        <v>Tuntas</v>
      </c>
      <c r="CU39" s="65"/>
      <c r="CV39" s="65"/>
      <c r="CW39" s="65"/>
      <c r="CX39" s="66"/>
      <c r="CY39" s="65"/>
      <c r="CZ39" s="65"/>
      <c r="DA39" s="65"/>
      <c r="DB39" s="67">
        <f t="shared" si="34"/>
        <v>0</v>
      </c>
      <c r="DC39" s="68">
        <f t="shared" si="35"/>
        <v>0</v>
      </c>
      <c r="DD39" s="68">
        <f t="shared" si="36"/>
        <v>0</v>
      </c>
      <c r="DE39" s="69" t="str">
        <f t="shared" si="8"/>
        <v>D</v>
      </c>
      <c r="DF39" s="70" t="str">
        <f>IF(DD39="  ","  ",IF(DD39&gt;=menu!$D$19,"Tuntas","Tidak Tuntas"))</f>
        <v>Tuntas</v>
      </c>
      <c r="DG39" s="65"/>
      <c r="DH39" s="65"/>
      <c r="DI39" s="65"/>
      <c r="DJ39" s="66"/>
      <c r="DK39" s="65"/>
      <c r="DL39" s="65"/>
      <c r="DM39" s="65"/>
      <c r="DN39" s="67">
        <f t="shared" si="37"/>
        <v>0</v>
      </c>
      <c r="DO39" s="68">
        <f t="shared" si="38"/>
        <v>0</v>
      </c>
      <c r="DP39" s="68">
        <f t="shared" si="39"/>
        <v>0</v>
      </c>
      <c r="DQ39" s="69" t="str">
        <f t="shared" si="9"/>
        <v>D</v>
      </c>
      <c r="DR39" s="70" t="str">
        <f>IF(DP39="  ","  ",IF(DP39&gt;=menu!$D$19,"Tuntas","Tidak Tuntas"))</f>
        <v>Tuntas</v>
      </c>
    </row>
    <row r="40" spans="1:122">
      <c r="A40" s="64">
        <f>'DATA SISWA'!A26</f>
        <v>0</v>
      </c>
      <c r="B40" s="76">
        <f>'DATA SISWA'!C26</f>
        <v>0</v>
      </c>
      <c r="C40" s="65"/>
      <c r="D40" s="65"/>
      <c r="E40" s="65"/>
      <c r="F40" s="66"/>
      <c r="G40" s="65"/>
      <c r="H40" s="65"/>
      <c r="I40" s="65"/>
      <c r="J40" s="67">
        <f t="shared" si="10"/>
        <v>0</v>
      </c>
      <c r="K40" s="68">
        <f t="shared" si="11"/>
        <v>0</v>
      </c>
      <c r="L40" s="68">
        <f t="shared" si="12"/>
        <v>0</v>
      </c>
      <c r="M40" s="69" t="str">
        <f t="shared" si="0"/>
        <v>D</v>
      </c>
      <c r="N40" s="70" t="str">
        <f>IF(L40="  ","  ",IF(L40&gt;=menu!$D$19,"Tuntas","Tidak Tuntas"))</f>
        <v>Tuntas</v>
      </c>
      <c r="O40" s="65"/>
      <c r="P40" s="65"/>
      <c r="Q40" s="65"/>
      <c r="R40" s="66"/>
      <c r="S40" s="65"/>
      <c r="T40" s="65"/>
      <c r="U40" s="65"/>
      <c r="V40" s="67">
        <f t="shared" si="13"/>
        <v>0</v>
      </c>
      <c r="W40" s="68">
        <f t="shared" si="14"/>
        <v>0</v>
      </c>
      <c r="X40" s="68">
        <f t="shared" si="15"/>
        <v>0</v>
      </c>
      <c r="Y40" s="69" t="str">
        <f t="shared" si="1"/>
        <v>D</v>
      </c>
      <c r="Z40" s="70" t="str">
        <f>IF(X40="  ","  ",IF(X40&gt;=menu!$D$19,"Tuntas","Tidak Tuntas"))</f>
        <v>Tuntas</v>
      </c>
      <c r="AA40" s="65"/>
      <c r="AB40" s="65"/>
      <c r="AC40" s="65"/>
      <c r="AD40" s="66"/>
      <c r="AE40" s="65"/>
      <c r="AF40" s="65"/>
      <c r="AG40" s="65"/>
      <c r="AH40" s="67">
        <f t="shared" si="16"/>
        <v>0</v>
      </c>
      <c r="AI40" s="68">
        <f t="shared" si="17"/>
        <v>0</v>
      </c>
      <c r="AJ40" s="68">
        <f t="shared" si="18"/>
        <v>0</v>
      </c>
      <c r="AK40" s="69" t="str">
        <f t="shared" si="2"/>
        <v>D</v>
      </c>
      <c r="AL40" s="70" t="str">
        <f>IF(AJ40="  ","  ",IF(AJ40&gt;=menu!$D$19,"Tuntas","Tidak Tuntas"))</f>
        <v>Tuntas</v>
      </c>
      <c r="AM40" s="65"/>
      <c r="AN40" s="65"/>
      <c r="AO40" s="65"/>
      <c r="AP40" s="66"/>
      <c r="AQ40" s="65"/>
      <c r="AR40" s="65"/>
      <c r="AS40" s="65"/>
      <c r="AT40" s="67">
        <f t="shared" si="19"/>
        <v>0</v>
      </c>
      <c r="AU40" s="68">
        <f t="shared" si="20"/>
        <v>0</v>
      </c>
      <c r="AV40" s="68">
        <f t="shared" si="21"/>
        <v>0</v>
      </c>
      <c r="AW40" s="69" t="str">
        <f t="shared" si="3"/>
        <v>D</v>
      </c>
      <c r="AX40" s="70" t="str">
        <f>IF(AV40="  ","  ",IF(AV40&gt;=menu!$D$19,"Tuntas","Tidak Tuntas"))</f>
        <v>Tuntas</v>
      </c>
      <c r="AY40" s="65"/>
      <c r="AZ40" s="65"/>
      <c r="BA40" s="65"/>
      <c r="BB40" s="66"/>
      <c r="BC40" s="65"/>
      <c r="BD40" s="65"/>
      <c r="BE40" s="65"/>
      <c r="BF40" s="67">
        <f t="shared" si="22"/>
        <v>0</v>
      </c>
      <c r="BG40" s="68">
        <f t="shared" si="23"/>
        <v>0</v>
      </c>
      <c r="BH40" s="68">
        <f t="shared" si="24"/>
        <v>0</v>
      </c>
      <c r="BI40" s="69" t="str">
        <f t="shared" si="4"/>
        <v>D</v>
      </c>
      <c r="BJ40" s="70" t="str">
        <f>IF(BH40="  ","  ",IF(BH40&gt;=menu!$D$19,"Tuntas","Tidak Tuntas"))</f>
        <v>Tuntas</v>
      </c>
      <c r="BK40" s="65"/>
      <c r="BL40" s="65"/>
      <c r="BM40" s="65"/>
      <c r="BN40" s="66"/>
      <c r="BO40" s="65"/>
      <c r="BP40" s="65"/>
      <c r="BQ40" s="65"/>
      <c r="BR40" s="67">
        <f t="shared" si="25"/>
        <v>0</v>
      </c>
      <c r="BS40" s="68">
        <f t="shared" si="26"/>
        <v>0</v>
      </c>
      <c r="BT40" s="68">
        <f t="shared" si="27"/>
        <v>0</v>
      </c>
      <c r="BU40" s="69" t="str">
        <f t="shared" si="5"/>
        <v>D</v>
      </c>
      <c r="BV40" s="70" t="str">
        <f>IF(BT40="  ","  ",IF(BT40&gt;=menu!$D$19,"Tuntas","Tidak Tuntas"))</f>
        <v>Tuntas</v>
      </c>
      <c r="BW40" s="65"/>
      <c r="BX40" s="65"/>
      <c r="BY40" s="65"/>
      <c r="BZ40" s="66"/>
      <c r="CA40" s="65"/>
      <c r="CB40" s="65"/>
      <c r="CC40" s="65"/>
      <c r="CD40" s="67">
        <f t="shared" si="28"/>
        <v>0</v>
      </c>
      <c r="CE40" s="68">
        <f t="shared" si="29"/>
        <v>0</v>
      </c>
      <c r="CF40" s="68">
        <f t="shared" si="30"/>
        <v>0</v>
      </c>
      <c r="CG40" s="69" t="str">
        <f t="shared" si="6"/>
        <v>D</v>
      </c>
      <c r="CH40" s="70" t="str">
        <f>IF(CF40="  ","  ",IF(CF40&gt;=menu!$D$19,"Tuntas","Tidak Tuntas"))</f>
        <v>Tuntas</v>
      </c>
      <c r="CI40" s="65"/>
      <c r="CJ40" s="65"/>
      <c r="CK40" s="65"/>
      <c r="CL40" s="66"/>
      <c r="CM40" s="65"/>
      <c r="CN40" s="65"/>
      <c r="CO40" s="65"/>
      <c r="CP40" s="67">
        <f t="shared" si="31"/>
        <v>0</v>
      </c>
      <c r="CQ40" s="68">
        <f t="shared" si="32"/>
        <v>0</v>
      </c>
      <c r="CR40" s="68">
        <f t="shared" si="33"/>
        <v>0</v>
      </c>
      <c r="CS40" s="69" t="str">
        <f t="shared" si="7"/>
        <v>D</v>
      </c>
      <c r="CT40" s="70" t="str">
        <f>IF(CR40="  ","  ",IF(CR40&gt;=menu!$D$19,"Tuntas","Tidak Tuntas"))</f>
        <v>Tuntas</v>
      </c>
      <c r="CU40" s="65"/>
      <c r="CV40" s="65"/>
      <c r="CW40" s="65"/>
      <c r="CX40" s="66"/>
      <c r="CY40" s="65"/>
      <c r="CZ40" s="65"/>
      <c r="DA40" s="65"/>
      <c r="DB40" s="67">
        <f t="shared" si="34"/>
        <v>0</v>
      </c>
      <c r="DC40" s="68">
        <f t="shared" si="35"/>
        <v>0</v>
      </c>
      <c r="DD40" s="68">
        <f t="shared" si="36"/>
        <v>0</v>
      </c>
      <c r="DE40" s="69" t="str">
        <f t="shared" si="8"/>
        <v>D</v>
      </c>
      <c r="DF40" s="70" t="str">
        <f>IF(DD40="  ","  ",IF(DD40&gt;=menu!$D$19,"Tuntas","Tidak Tuntas"))</f>
        <v>Tuntas</v>
      </c>
      <c r="DG40" s="65"/>
      <c r="DH40" s="65"/>
      <c r="DI40" s="65"/>
      <c r="DJ40" s="66"/>
      <c r="DK40" s="65"/>
      <c r="DL40" s="65"/>
      <c r="DM40" s="65"/>
      <c r="DN40" s="67">
        <f t="shared" si="37"/>
        <v>0</v>
      </c>
      <c r="DO40" s="68">
        <f t="shared" si="38"/>
        <v>0</v>
      </c>
      <c r="DP40" s="68">
        <f t="shared" si="39"/>
        <v>0</v>
      </c>
      <c r="DQ40" s="69" t="str">
        <f t="shared" si="9"/>
        <v>D</v>
      </c>
      <c r="DR40" s="70" t="str">
        <f>IF(DP40="  ","  ",IF(DP40&gt;=menu!$D$19,"Tuntas","Tidak Tuntas"))</f>
        <v>Tuntas</v>
      </c>
    </row>
    <row r="41" spans="1:122">
      <c r="A41" s="64">
        <f>'DATA SISWA'!A27</f>
        <v>0</v>
      </c>
      <c r="B41" s="76">
        <f>'DATA SISWA'!C27</f>
        <v>0</v>
      </c>
      <c r="C41" s="65"/>
      <c r="D41" s="65"/>
      <c r="E41" s="65"/>
      <c r="F41" s="66"/>
      <c r="G41" s="65"/>
      <c r="H41" s="65"/>
      <c r="I41" s="65"/>
      <c r="J41" s="67">
        <f t="shared" si="10"/>
        <v>0</v>
      </c>
      <c r="K41" s="68">
        <f t="shared" si="11"/>
        <v>0</v>
      </c>
      <c r="L41" s="68">
        <f t="shared" si="12"/>
        <v>0</v>
      </c>
      <c r="M41" s="69" t="str">
        <f t="shared" si="0"/>
        <v>D</v>
      </c>
      <c r="N41" s="70" t="str">
        <f>IF(L41="  ","  ",IF(L41&gt;=menu!$D$19,"Tuntas","Tidak Tuntas"))</f>
        <v>Tuntas</v>
      </c>
      <c r="O41" s="65"/>
      <c r="P41" s="65"/>
      <c r="Q41" s="65"/>
      <c r="R41" s="66"/>
      <c r="S41" s="65"/>
      <c r="T41" s="65"/>
      <c r="U41" s="65"/>
      <c r="V41" s="67">
        <f t="shared" si="13"/>
        <v>0</v>
      </c>
      <c r="W41" s="68">
        <f t="shared" si="14"/>
        <v>0</v>
      </c>
      <c r="X41" s="68">
        <f t="shared" si="15"/>
        <v>0</v>
      </c>
      <c r="Y41" s="69" t="str">
        <f t="shared" si="1"/>
        <v>D</v>
      </c>
      <c r="Z41" s="70" t="str">
        <f>IF(X41="  ","  ",IF(X41&gt;=menu!$D$19,"Tuntas","Tidak Tuntas"))</f>
        <v>Tuntas</v>
      </c>
      <c r="AA41" s="65"/>
      <c r="AB41" s="65"/>
      <c r="AC41" s="65"/>
      <c r="AD41" s="66"/>
      <c r="AE41" s="65"/>
      <c r="AF41" s="65"/>
      <c r="AG41" s="65"/>
      <c r="AH41" s="67">
        <f t="shared" si="16"/>
        <v>0</v>
      </c>
      <c r="AI41" s="68">
        <f t="shared" si="17"/>
        <v>0</v>
      </c>
      <c r="AJ41" s="68">
        <f t="shared" si="18"/>
        <v>0</v>
      </c>
      <c r="AK41" s="69" t="str">
        <f t="shared" si="2"/>
        <v>D</v>
      </c>
      <c r="AL41" s="70" t="str">
        <f>IF(AJ41="  ","  ",IF(AJ41&gt;=menu!$D$19,"Tuntas","Tidak Tuntas"))</f>
        <v>Tuntas</v>
      </c>
      <c r="AM41" s="65"/>
      <c r="AN41" s="65"/>
      <c r="AO41" s="65"/>
      <c r="AP41" s="66"/>
      <c r="AQ41" s="65"/>
      <c r="AR41" s="65"/>
      <c r="AS41" s="65"/>
      <c r="AT41" s="67">
        <f t="shared" si="19"/>
        <v>0</v>
      </c>
      <c r="AU41" s="68">
        <f t="shared" si="20"/>
        <v>0</v>
      </c>
      <c r="AV41" s="68">
        <f t="shared" si="21"/>
        <v>0</v>
      </c>
      <c r="AW41" s="69" t="str">
        <f t="shared" si="3"/>
        <v>D</v>
      </c>
      <c r="AX41" s="70" t="str">
        <f>IF(AV41="  ","  ",IF(AV41&gt;=menu!$D$19,"Tuntas","Tidak Tuntas"))</f>
        <v>Tuntas</v>
      </c>
      <c r="AY41" s="65"/>
      <c r="AZ41" s="65"/>
      <c r="BA41" s="65"/>
      <c r="BB41" s="66"/>
      <c r="BC41" s="65"/>
      <c r="BD41" s="65"/>
      <c r="BE41" s="65"/>
      <c r="BF41" s="67">
        <f t="shared" si="22"/>
        <v>0</v>
      </c>
      <c r="BG41" s="68">
        <f t="shared" si="23"/>
        <v>0</v>
      </c>
      <c r="BH41" s="68">
        <f t="shared" si="24"/>
        <v>0</v>
      </c>
      <c r="BI41" s="69" t="str">
        <f t="shared" si="4"/>
        <v>D</v>
      </c>
      <c r="BJ41" s="70" t="str">
        <f>IF(BH41="  ","  ",IF(BH41&gt;=menu!$D$19,"Tuntas","Tidak Tuntas"))</f>
        <v>Tuntas</v>
      </c>
      <c r="BK41" s="65"/>
      <c r="BL41" s="65"/>
      <c r="BM41" s="65"/>
      <c r="BN41" s="66"/>
      <c r="BO41" s="65"/>
      <c r="BP41" s="65"/>
      <c r="BQ41" s="65"/>
      <c r="BR41" s="67">
        <f t="shared" si="25"/>
        <v>0</v>
      </c>
      <c r="BS41" s="68">
        <f t="shared" si="26"/>
        <v>0</v>
      </c>
      <c r="BT41" s="68">
        <f t="shared" si="27"/>
        <v>0</v>
      </c>
      <c r="BU41" s="69" t="str">
        <f t="shared" si="5"/>
        <v>D</v>
      </c>
      <c r="BV41" s="70" t="str">
        <f>IF(BT41="  ","  ",IF(BT41&gt;=menu!$D$19,"Tuntas","Tidak Tuntas"))</f>
        <v>Tuntas</v>
      </c>
      <c r="BW41" s="65"/>
      <c r="BX41" s="65"/>
      <c r="BY41" s="65"/>
      <c r="BZ41" s="66"/>
      <c r="CA41" s="65"/>
      <c r="CB41" s="65"/>
      <c r="CC41" s="65"/>
      <c r="CD41" s="67">
        <f t="shared" si="28"/>
        <v>0</v>
      </c>
      <c r="CE41" s="68">
        <f t="shared" si="29"/>
        <v>0</v>
      </c>
      <c r="CF41" s="68">
        <f t="shared" si="30"/>
        <v>0</v>
      </c>
      <c r="CG41" s="69" t="str">
        <f t="shared" si="6"/>
        <v>D</v>
      </c>
      <c r="CH41" s="70" t="str">
        <f>IF(CF41="  ","  ",IF(CF41&gt;=menu!$D$19,"Tuntas","Tidak Tuntas"))</f>
        <v>Tuntas</v>
      </c>
      <c r="CI41" s="65"/>
      <c r="CJ41" s="65"/>
      <c r="CK41" s="65"/>
      <c r="CL41" s="66"/>
      <c r="CM41" s="65"/>
      <c r="CN41" s="65"/>
      <c r="CO41" s="65"/>
      <c r="CP41" s="67">
        <f t="shared" si="31"/>
        <v>0</v>
      </c>
      <c r="CQ41" s="68">
        <f t="shared" si="32"/>
        <v>0</v>
      </c>
      <c r="CR41" s="68">
        <f t="shared" si="33"/>
        <v>0</v>
      </c>
      <c r="CS41" s="69" t="str">
        <f t="shared" si="7"/>
        <v>D</v>
      </c>
      <c r="CT41" s="70" t="str">
        <f>IF(CR41="  ","  ",IF(CR41&gt;=menu!$D$19,"Tuntas","Tidak Tuntas"))</f>
        <v>Tuntas</v>
      </c>
      <c r="CU41" s="65"/>
      <c r="CV41" s="65"/>
      <c r="CW41" s="65"/>
      <c r="CX41" s="66"/>
      <c r="CY41" s="65"/>
      <c r="CZ41" s="65"/>
      <c r="DA41" s="65"/>
      <c r="DB41" s="67">
        <f t="shared" si="34"/>
        <v>0</v>
      </c>
      <c r="DC41" s="68">
        <f t="shared" si="35"/>
        <v>0</v>
      </c>
      <c r="DD41" s="68">
        <f t="shared" si="36"/>
        <v>0</v>
      </c>
      <c r="DE41" s="69" t="str">
        <f t="shared" si="8"/>
        <v>D</v>
      </c>
      <c r="DF41" s="70" t="str">
        <f>IF(DD41="  ","  ",IF(DD41&gt;=menu!$D$19,"Tuntas","Tidak Tuntas"))</f>
        <v>Tuntas</v>
      </c>
      <c r="DG41" s="65"/>
      <c r="DH41" s="65"/>
      <c r="DI41" s="65"/>
      <c r="DJ41" s="66"/>
      <c r="DK41" s="65"/>
      <c r="DL41" s="65"/>
      <c r="DM41" s="65"/>
      <c r="DN41" s="67">
        <f t="shared" si="37"/>
        <v>0</v>
      </c>
      <c r="DO41" s="68">
        <f t="shared" si="38"/>
        <v>0</v>
      </c>
      <c r="DP41" s="68">
        <f t="shared" si="39"/>
        <v>0</v>
      </c>
      <c r="DQ41" s="69" t="str">
        <f t="shared" si="9"/>
        <v>D</v>
      </c>
      <c r="DR41" s="70" t="str">
        <f>IF(DP41="  ","  ",IF(DP41&gt;=menu!$D$19,"Tuntas","Tidak Tuntas"))</f>
        <v>Tuntas</v>
      </c>
    </row>
    <row r="42" spans="1:122">
      <c r="A42" s="64">
        <f>'DATA SISWA'!A28</f>
        <v>0</v>
      </c>
      <c r="B42" s="76">
        <f>'DATA SISWA'!C28</f>
        <v>0</v>
      </c>
      <c r="C42" s="65"/>
      <c r="D42" s="65"/>
      <c r="E42" s="65"/>
      <c r="F42" s="66"/>
      <c r="G42" s="65"/>
      <c r="H42" s="65"/>
      <c r="I42" s="65"/>
      <c r="J42" s="67">
        <f t="shared" si="10"/>
        <v>0</v>
      </c>
      <c r="K42" s="68">
        <f t="shared" si="11"/>
        <v>0</v>
      </c>
      <c r="L42" s="68">
        <f t="shared" si="12"/>
        <v>0</v>
      </c>
      <c r="M42" s="69" t="str">
        <f t="shared" si="0"/>
        <v>D</v>
      </c>
      <c r="N42" s="70" t="str">
        <f>IF(L42="  ","  ",IF(L42&gt;=menu!$D$19,"Tuntas","Tidak Tuntas"))</f>
        <v>Tuntas</v>
      </c>
      <c r="O42" s="65"/>
      <c r="P42" s="65"/>
      <c r="Q42" s="65"/>
      <c r="R42" s="66"/>
      <c r="S42" s="65"/>
      <c r="T42" s="65"/>
      <c r="U42" s="65"/>
      <c r="V42" s="67">
        <f t="shared" si="13"/>
        <v>0</v>
      </c>
      <c r="W42" s="68">
        <f t="shared" si="14"/>
        <v>0</v>
      </c>
      <c r="X42" s="68">
        <f t="shared" si="15"/>
        <v>0</v>
      </c>
      <c r="Y42" s="69" t="str">
        <f t="shared" si="1"/>
        <v>D</v>
      </c>
      <c r="Z42" s="70" t="str">
        <f>IF(X42="  ","  ",IF(X42&gt;=menu!$D$19,"Tuntas","Tidak Tuntas"))</f>
        <v>Tuntas</v>
      </c>
      <c r="AA42" s="65"/>
      <c r="AB42" s="65"/>
      <c r="AC42" s="65"/>
      <c r="AD42" s="66"/>
      <c r="AE42" s="65"/>
      <c r="AF42" s="65"/>
      <c r="AG42" s="65"/>
      <c r="AH42" s="67">
        <f t="shared" si="16"/>
        <v>0</v>
      </c>
      <c r="AI42" s="68">
        <f t="shared" si="17"/>
        <v>0</v>
      </c>
      <c r="AJ42" s="68">
        <f t="shared" si="18"/>
        <v>0</v>
      </c>
      <c r="AK42" s="69" t="str">
        <f t="shared" si="2"/>
        <v>D</v>
      </c>
      <c r="AL42" s="70" t="str">
        <f>IF(AJ42="  ","  ",IF(AJ42&gt;=menu!$D$19,"Tuntas","Tidak Tuntas"))</f>
        <v>Tuntas</v>
      </c>
      <c r="AM42" s="65"/>
      <c r="AN42" s="65"/>
      <c r="AO42" s="65"/>
      <c r="AP42" s="66"/>
      <c r="AQ42" s="65"/>
      <c r="AR42" s="65"/>
      <c r="AS42" s="65"/>
      <c r="AT42" s="67">
        <f t="shared" si="19"/>
        <v>0</v>
      </c>
      <c r="AU42" s="68">
        <f t="shared" si="20"/>
        <v>0</v>
      </c>
      <c r="AV42" s="68">
        <f t="shared" si="21"/>
        <v>0</v>
      </c>
      <c r="AW42" s="69" t="str">
        <f t="shared" si="3"/>
        <v>D</v>
      </c>
      <c r="AX42" s="70" t="str">
        <f>IF(AV42="  ","  ",IF(AV42&gt;=menu!$D$19,"Tuntas","Tidak Tuntas"))</f>
        <v>Tuntas</v>
      </c>
      <c r="AY42" s="65"/>
      <c r="AZ42" s="65"/>
      <c r="BA42" s="65"/>
      <c r="BB42" s="66"/>
      <c r="BC42" s="65"/>
      <c r="BD42" s="65"/>
      <c r="BE42" s="65"/>
      <c r="BF42" s="67">
        <f t="shared" si="22"/>
        <v>0</v>
      </c>
      <c r="BG42" s="68">
        <f t="shared" si="23"/>
        <v>0</v>
      </c>
      <c r="BH42" s="68">
        <f t="shared" si="24"/>
        <v>0</v>
      </c>
      <c r="BI42" s="69" t="str">
        <f t="shared" si="4"/>
        <v>D</v>
      </c>
      <c r="BJ42" s="70" t="str">
        <f>IF(BH42="  ","  ",IF(BH42&gt;=menu!$D$19,"Tuntas","Tidak Tuntas"))</f>
        <v>Tuntas</v>
      </c>
      <c r="BK42" s="65"/>
      <c r="BL42" s="65"/>
      <c r="BM42" s="65"/>
      <c r="BN42" s="66"/>
      <c r="BO42" s="65"/>
      <c r="BP42" s="65"/>
      <c r="BQ42" s="65"/>
      <c r="BR42" s="67">
        <f t="shared" si="25"/>
        <v>0</v>
      </c>
      <c r="BS42" s="68">
        <f t="shared" si="26"/>
        <v>0</v>
      </c>
      <c r="BT42" s="68">
        <f t="shared" si="27"/>
        <v>0</v>
      </c>
      <c r="BU42" s="69" t="str">
        <f t="shared" si="5"/>
        <v>D</v>
      </c>
      <c r="BV42" s="70" t="str">
        <f>IF(BT42="  ","  ",IF(BT42&gt;=menu!$D$19,"Tuntas","Tidak Tuntas"))</f>
        <v>Tuntas</v>
      </c>
      <c r="BW42" s="65"/>
      <c r="BX42" s="65"/>
      <c r="BY42" s="65"/>
      <c r="BZ42" s="66"/>
      <c r="CA42" s="65"/>
      <c r="CB42" s="65"/>
      <c r="CC42" s="65"/>
      <c r="CD42" s="67">
        <f t="shared" si="28"/>
        <v>0</v>
      </c>
      <c r="CE42" s="68">
        <f t="shared" si="29"/>
        <v>0</v>
      </c>
      <c r="CF42" s="68">
        <f t="shared" si="30"/>
        <v>0</v>
      </c>
      <c r="CG42" s="69" t="str">
        <f t="shared" si="6"/>
        <v>D</v>
      </c>
      <c r="CH42" s="70" t="str">
        <f>IF(CF42="  ","  ",IF(CF42&gt;=menu!$D$19,"Tuntas","Tidak Tuntas"))</f>
        <v>Tuntas</v>
      </c>
      <c r="CI42" s="65"/>
      <c r="CJ42" s="65"/>
      <c r="CK42" s="65"/>
      <c r="CL42" s="66"/>
      <c r="CM42" s="65"/>
      <c r="CN42" s="65"/>
      <c r="CO42" s="65"/>
      <c r="CP42" s="67">
        <f t="shared" si="31"/>
        <v>0</v>
      </c>
      <c r="CQ42" s="68">
        <f t="shared" si="32"/>
        <v>0</v>
      </c>
      <c r="CR42" s="68">
        <f t="shared" si="33"/>
        <v>0</v>
      </c>
      <c r="CS42" s="69" t="str">
        <f t="shared" si="7"/>
        <v>D</v>
      </c>
      <c r="CT42" s="70" t="str">
        <f>IF(CR42="  ","  ",IF(CR42&gt;=menu!$D$19,"Tuntas","Tidak Tuntas"))</f>
        <v>Tuntas</v>
      </c>
      <c r="CU42" s="65"/>
      <c r="CV42" s="65"/>
      <c r="CW42" s="65"/>
      <c r="CX42" s="66"/>
      <c r="CY42" s="65"/>
      <c r="CZ42" s="65"/>
      <c r="DA42" s="65"/>
      <c r="DB42" s="67">
        <f t="shared" si="34"/>
        <v>0</v>
      </c>
      <c r="DC42" s="68">
        <f t="shared" si="35"/>
        <v>0</v>
      </c>
      <c r="DD42" s="68">
        <f t="shared" si="36"/>
        <v>0</v>
      </c>
      <c r="DE42" s="69" t="str">
        <f t="shared" si="8"/>
        <v>D</v>
      </c>
      <c r="DF42" s="70" t="str">
        <f>IF(DD42="  ","  ",IF(DD42&gt;=menu!$D$19,"Tuntas","Tidak Tuntas"))</f>
        <v>Tuntas</v>
      </c>
      <c r="DG42" s="65"/>
      <c r="DH42" s="65"/>
      <c r="DI42" s="65"/>
      <c r="DJ42" s="66"/>
      <c r="DK42" s="65"/>
      <c r="DL42" s="65"/>
      <c r="DM42" s="65"/>
      <c r="DN42" s="67">
        <f t="shared" si="37"/>
        <v>0</v>
      </c>
      <c r="DO42" s="68">
        <f t="shared" si="38"/>
        <v>0</v>
      </c>
      <c r="DP42" s="68">
        <f t="shared" si="39"/>
        <v>0</v>
      </c>
      <c r="DQ42" s="69" t="str">
        <f t="shared" si="9"/>
        <v>D</v>
      </c>
      <c r="DR42" s="70" t="str">
        <f>IF(DP42="  ","  ",IF(DP42&gt;=menu!$D$19,"Tuntas","Tidak Tuntas"))</f>
        <v>Tuntas</v>
      </c>
    </row>
    <row r="43" spans="1:122">
      <c r="A43" s="64">
        <f>'DATA SISWA'!A29</f>
        <v>0</v>
      </c>
      <c r="B43" s="76">
        <f>'DATA SISWA'!C29</f>
        <v>0</v>
      </c>
      <c r="C43" s="65"/>
      <c r="D43" s="65"/>
      <c r="E43" s="65"/>
      <c r="F43" s="66"/>
      <c r="G43" s="65"/>
      <c r="H43" s="65"/>
      <c r="I43" s="65"/>
      <c r="J43" s="67">
        <f t="shared" si="10"/>
        <v>0</v>
      </c>
      <c r="K43" s="68">
        <f t="shared" si="11"/>
        <v>0</v>
      </c>
      <c r="L43" s="68">
        <f t="shared" si="12"/>
        <v>0</v>
      </c>
      <c r="M43" s="69" t="str">
        <f t="shared" si="0"/>
        <v>D</v>
      </c>
      <c r="N43" s="70" t="str">
        <f>IF(L43="  ","  ",IF(L43&gt;=menu!$D$19,"Tuntas","Tidak Tuntas"))</f>
        <v>Tuntas</v>
      </c>
      <c r="O43" s="65"/>
      <c r="P43" s="65"/>
      <c r="Q43" s="65"/>
      <c r="R43" s="66"/>
      <c r="S43" s="65"/>
      <c r="T43" s="65"/>
      <c r="U43" s="65"/>
      <c r="V43" s="67">
        <f t="shared" si="13"/>
        <v>0</v>
      </c>
      <c r="W43" s="68">
        <f t="shared" si="14"/>
        <v>0</v>
      </c>
      <c r="X43" s="68">
        <f t="shared" si="15"/>
        <v>0</v>
      </c>
      <c r="Y43" s="69" t="str">
        <f t="shared" si="1"/>
        <v>D</v>
      </c>
      <c r="Z43" s="70" t="str">
        <f>IF(X43="  ","  ",IF(X43&gt;=menu!$D$19,"Tuntas","Tidak Tuntas"))</f>
        <v>Tuntas</v>
      </c>
      <c r="AA43" s="65"/>
      <c r="AB43" s="65"/>
      <c r="AC43" s="65"/>
      <c r="AD43" s="66"/>
      <c r="AE43" s="65"/>
      <c r="AF43" s="65"/>
      <c r="AG43" s="65"/>
      <c r="AH43" s="67">
        <f t="shared" si="16"/>
        <v>0</v>
      </c>
      <c r="AI43" s="68">
        <f t="shared" si="17"/>
        <v>0</v>
      </c>
      <c r="AJ43" s="68">
        <f t="shared" si="18"/>
        <v>0</v>
      </c>
      <c r="AK43" s="69" t="str">
        <f t="shared" si="2"/>
        <v>D</v>
      </c>
      <c r="AL43" s="70" t="str">
        <f>IF(AJ43="  ","  ",IF(AJ43&gt;=menu!$D$19,"Tuntas","Tidak Tuntas"))</f>
        <v>Tuntas</v>
      </c>
      <c r="AM43" s="65"/>
      <c r="AN43" s="65"/>
      <c r="AO43" s="65"/>
      <c r="AP43" s="66"/>
      <c r="AQ43" s="65"/>
      <c r="AR43" s="65"/>
      <c r="AS43" s="65"/>
      <c r="AT43" s="67">
        <f t="shared" si="19"/>
        <v>0</v>
      </c>
      <c r="AU43" s="68">
        <f t="shared" si="20"/>
        <v>0</v>
      </c>
      <c r="AV43" s="68">
        <f t="shared" si="21"/>
        <v>0</v>
      </c>
      <c r="AW43" s="69" t="str">
        <f t="shared" si="3"/>
        <v>D</v>
      </c>
      <c r="AX43" s="70" t="str">
        <f>IF(AV43="  ","  ",IF(AV43&gt;=menu!$D$19,"Tuntas","Tidak Tuntas"))</f>
        <v>Tuntas</v>
      </c>
      <c r="AY43" s="65"/>
      <c r="AZ43" s="65"/>
      <c r="BA43" s="65"/>
      <c r="BB43" s="66"/>
      <c r="BC43" s="65"/>
      <c r="BD43" s="65"/>
      <c r="BE43" s="65"/>
      <c r="BF43" s="67">
        <f t="shared" si="22"/>
        <v>0</v>
      </c>
      <c r="BG43" s="68">
        <f t="shared" si="23"/>
        <v>0</v>
      </c>
      <c r="BH43" s="68">
        <f t="shared" si="24"/>
        <v>0</v>
      </c>
      <c r="BI43" s="69" t="str">
        <f t="shared" si="4"/>
        <v>D</v>
      </c>
      <c r="BJ43" s="70" t="str">
        <f>IF(BH43="  ","  ",IF(BH43&gt;=menu!$D$19,"Tuntas","Tidak Tuntas"))</f>
        <v>Tuntas</v>
      </c>
      <c r="BK43" s="65"/>
      <c r="BL43" s="65"/>
      <c r="BM43" s="65"/>
      <c r="BN43" s="66"/>
      <c r="BO43" s="65"/>
      <c r="BP43" s="65"/>
      <c r="BQ43" s="65"/>
      <c r="BR43" s="67">
        <f t="shared" si="25"/>
        <v>0</v>
      </c>
      <c r="BS43" s="68">
        <f t="shared" si="26"/>
        <v>0</v>
      </c>
      <c r="BT43" s="68">
        <f t="shared" si="27"/>
        <v>0</v>
      </c>
      <c r="BU43" s="69" t="str">
        <f t="shared" si="5"/>
        <v>D</v>
      </c>
      <c r="BV43" s="70" t="str">
        <f>IF(BT43="  ","  ",IF(BT43&gt;=menu!$D$19,"Tuntas","Tidak Tuntas"))</f>
        <v>Tuntas</v>
      </c>
      <c r="BW43" s="65"/>
      <c r="BX43" s="65"/>
      <c r="BY43" s="65"/>
      <c r="BZ43" s="66"/>
      <c r="CA43" s="65"/>
      <c r="CB43" s="65"/>
      <c r="CC43" s="65"/>
      <c r="CD43" s="67">
        <f t="shared" si="28"/>
        <v>0</v>
      </c>
      <c r="CE43" s="68">
        <f t="shared" si="29"/>
        <v>0</v>
      </c>
      <c r="CF43" s="68">
        <f t="shared" si="30"/>
        <v>0</v>
      </c>
      <c r="CG43" s="69" t="str">
        <f t="shared" si="6"/>
        <v>D</v>
      </c>
      <c r="CH43" s="70" t="str">
        <f>IF(CF43="  ","  ",IF(CF43&gt;=menu!$D$19,"Tuntas","Tidak Tuntas"))</f>
        <v>Tuntas</v>
      </c>
      <c r="CI43" s="65"/>
      <c r="CJ43" s="65"/>
      <c r="CK43" s="65"/>
      <c r="CL43" s="66"/>
      <c r="CM43" s="65"/>
      <c r="CN43" s="65"/>
      <c r="CO43" s="65"/>
      <c r="CP43" s="67">
        <f t="shared" si="31"/>
        <v>0</v>
      </c>
      <c r="CQ43" s="68">
        <f t="shared" si="32"/>
        <v>0</v>
      </c>
      <c r="CR43" s="68">
        <f t="shared" si="33"/>
        <v>0</v>
      </c>
      <c r="CS43" s="69" t="str">
        <f t="shared" si="7"/>
        <v>D</v>
      </c>
      <c r="CT43" s="70" t="str">
        <f>IF(CR43="  ","  ",IF(CR43&gt;=menu!$D$19,"Tuntas","Tidak Tuntas"))</f>
        <v>Tuntas</v>
      </c>
      <c r="CU43" s="65"/>
      <c r="CV43" s="65"/>
      <c r="CW43" s="65"/>
      <c r="CX43" s="66"/>
      <c r="CY43" s="65"/>
      <c r="CZ43" s="65"/>
      <c r="DA43" s="65"/>
      <c r="DB43" s="67">
        <f t="shared" si="34"/>
        <v>0</v>
      </c>
      <c r="DC43" s="68">
        <f t="shared" si="35"/>
        <v>0</v>
      </c>
      <c r="DD43" s="68">
        <f t="shared" si="36"/>
        <v>0</v>
      </c>
      <c r="DE43" s="69" t="str">
        <f t="shared" si="8"/>
        <v>D</v>
      </c>
      <c r="DF43" s="70" t="str">
        <f>IF(DD43="  ","  ",IF(DD43&gt;=menu!$D$19,"Tuntas","Tidak Tuntas"))</f>
        <v>Tuntas</v>
      </c>
      <c r="DG43" s="65"/>
      <c r="DH43" s="65"/>
      <c r="DI43" s="65"/>
      <c r="DJ43" s="66"/>
      <c r="DK43" s="65"/>
      <c r="DL43" s="65"/>
      <c r="DM43" s="65"/>
      <c r="DN43" s="67">
        <f t="shared" si="37"/>
        <v>0</v>
      </c>
      <c r="DO43" s="68">
        <f t="shared" si="38"/>
        <v>0</v>
      </c>
      <c r="DP43" s="68">
        <f t="shared" si="39"/>
        <v>0</v>
      </c>
      <c r="DQ43" s="69" t="str">
        <f t="shared" si="9"/>
        <v>D</v>
      </c>
      <c r="DR43" s="70" t="str">
        <f>IF(DP43="  ","  ",IF(DP43&gt;=menu!$D$19,"Tuntas","Tidak Tuntas"))</f>
        <v>Tuntas</v>
      </c>
    </row>
    <row r="44" spans="1:122">
      <c r="A44" s="64">
        <f>'DATA SISWA'!A30</f>
        <v>0</v>
      </c>
      <c r="B44" s="76">
        <f>'DATA SISWA'!C30</f>
        <v>0</v>
      </c>
      <c r="C44" s="65"/>
      <c r="D44" s="65"/>
      <c r="E44" s="65"/>
      <c r="F44" s="66"/>
      <c r="G44" s="65"/>
      <c r="H44" s="65"/>
      <c r="I44" s="65"/>
      <c r="J44" s="67">
        <f t="shared" si="10"/>
        <v>0</v>
      </c>
      <c r="K44" s="68">
        <f t="shared" si="11"/>
        <v>0</v>
      </c>
      <c r="L44" s="68">
        <f t="shared" si="12"/>
        <v>0</v>
      </c>
      <c r="M44" s="69" t="str">
        <f t="shared" si="0"/>
        <v>D</v>
      </c>
      <c r="N44" s="70" t="str">
        <f>IF(L44="  ","  ",IF(L44&gt;=menu!$D$19,"Tuntas","Tidak Tuntas"))</f>
        <v>Tuntas</v>
      </c>
      <c r="O44" s="65"/>
      <c r="P44" s="65"/>
      <c r="Q44" s="65"/>
      <c r="R44" s="66"/>
      <c r="S44" s="65"/>
      <c r="T44" s="65"/>
      <c r="U44" s="65"/>
      <c r="V44" s="67">
        <f t="shared" si="13"/>
        <v>0</v>
      </c>
      <c r="W44" s="68">
        <f t="shared" si="14"/>
        <v>0</v>
      </c>
      <c r="X44" s="68">
        <f t="shared" si="15"/>
        <v>0</v>
      </c>
      <c r="Y44" s="69" t="str">
        <f t="shared" si="1"/>
        <v>D</v>
      </c>
      <c r="Z44" s="70" t="str">
        <f>IF(X44="  ","  ",IF(X44&gt;=menu!$D$19,"Tuntas","Tidak Tuntas"))</f>
        <v>Tuntas</v>
      </c>
      <c r="AA44" s="65"/>
      <c r="AB44" s="65"/>
      <c r="AC44" s="65"/>
      <c r="AD44" s="66"/>
      <c r="AE44" s="65"/>
      <c r="AF44" s="65"/>
      <c r="AG44" s="65"/>
      <c r="AH44" s="67">
        <f t="shared" si="16"/>
        <v>0</v>
      </c>
      <c r="AI44" s="68">
        <f t="shared" si="17"/>
        <v>0</v>
      </c>
      <c r="AJ44" s="68">
        <f t="shared" si="18"/>
        <v>0</v>
      </c>
      <c r="AK44" s="69" t="str">
        <f t="shared" si="2"/>
        <v>D</v>
      </c>
      <c r="AL44" s="70" t="str">
        <f>IF(AJ44="  ","  ",IF(AJ44&gt;=menu!$D$19,"Tuntas","Tidak Tuntas"))</f>
        <v>Tuntas</v>
      </c>
      <c r="AM44" s="65"/>
      <c r="AN44" s="65"/>
      <c r="AO44" s="65"/>
      <c r="AP44" s="66"/>
      <c r="AQ44" s="65"/>
      <c r="AR44" s="65"/>
      <c r="AS44" s="65"/>
      <c r="AT44" s="67">
        <f t="shared" si="19"/>
        <v>0</v>
      </c>
      <c r="AU44" s="68">
        <f t="shared" si="20"/>
        <v>0</v>
      </c>
      <c r="AV44" s="68">
        <f t="shared" si="21"/>
        <v>0</v>
      </c>
      <c r="AW44" s="69" t="str">
        <f t="shared" si="3"/>
        <v>D</v>
      </c>
      <c r="AX44" s="70" t="str">
        <f>IF(AV44="  ","  ",IF(AV44&gt;=menu!$D$19,"Tuntas","Tidak Tuntas"))</f>
        <v>Tuntas</v>
      </c>
      <c r="AY44" s="65"/>
      <c r="AZ44" s="65"/>
      <c r="BA44" s="65"/>
      <c r="BB44" s="66"/>
      <c r="BC44" s="65"/>
      <c r="BD44" s="65"/>
      <c r="BE44" s="65"/>
      <c r="BF44" s="67">
        <f t="shared" si="22"/>
        <v>0</v>
      </c>
      <c r="BG44" s="68">
        <f t="shared" si="23"/>
        <v>0</v>
      </c>
      <c r="BH44" s="68">
        <f t="shared" si="24"/>
        <v>0</v>
      </c>
      <c r="BI44" s="69" t="str">
        <f t="shared" si="4"/>
        <v>D</v>
      </c>
      <c r="BJ44" s="70" t="str">
        <f>IF(BH44="  ","  ",IF(BH44&gt;=menu!$D$19,"Tuntas","Tidak Tuntas"))</f>
        <v>Tuntas</v>
      </c>
      <c r="BK44" s="65"/>
      <c r="BL44" s="65"/>
      <c r="BM44" s="65"/>
      <c r="BN44" s="66"/>
      <c r="BO44" s="65"/>
      <c r="BP44" s="65"/>
      <c r="BQ44" s="65"/>
      <c r="BR44" s="67">
        <f t="shared" si="25"/>
        <v>0</v>
      </c>
      <c r="BS44" s="68">
        <f t="shared" si="26"/>
        <v>0</v>
      </c>
      <c r="BT44" s="68">
        <f t="shared" si="27"/>
        <v>0</v>
      </c>
      <c r="BU44" s="69" t="str">
        <f t="shared" si="5"/>
        <v>D</v>
      </c>
      <c r="BV44" s="70" t="str">
        <f>IF(BT44="  ","  ",IF(BT44&gt;=menu!$D$19,"Tuntas","Tidak Tuntas"))</f>
        <v>Tuntas</v>
      </c>
      <c r="BW44" s="65"/>
      <c r="BX44" s="65"/>
      <c r="BY44" s="65"/>
      <c r="BZ44" s="66"/>
      <c r="CA44" s="65"/>
      <c r="CB44" s="65"/>
      <c r="CC44" s="65"/>
      <c r="CD44" s="67">
        <f t="shared" si="28"/>
        <v>0</v>
      </c>
      <c r="CE44" s="68">
        <f t="shared" si="29"/>
        <v>0</v>
      </c>
      <c r="CF44" s="68">
        <f t="shared" si="30"/>
        <v>0</v>
      </c>
      <c r="CG44" s="69" t="str">
        <f t="shared" si="6"/>
        <v>D</v>
      </c>
      <c r="CH44" s="70" t="str">
        <f>IF(CF44="  ","  ",IF(CF44&gt;=menu!$D$19,"Tuntas","Tidak Tuntas"))</f>
        <v>Tuntas</v>
      </c>
      <c r="CI44" s="65"/>
      <c r="CJ44" s="65"/>
      <c r="CK44" s="65"/>
      <c r="CL44" s="66"/>
      <c r="CM44" s="65"/>
      <c r="CN44" s="65"/>
      <c r="CO44" s="65"/>
      <c r="CP44" s="67">
        <f t="shared" si="31"/>
        <v>0</v>
      </c>
      <c r="CQ44" s="68">
        <f t="shared" si="32"/>
        <v>0</v>
      </c>
      <c r="CR44" s="68">
        <f t="shared" si="33"/>
        <v>0</v>
      </c>
      <c r="CS44" s="69" t="str">
        <f t="shared" si="7"/>
        <v>D</v>
      </c>
      <c r="CT44" s="70" t="str">
        <f>IF(CR44="  ","  ",IF(CR44&gt;=menu!$D$19,"Tuntas","Tidak Tuntas"))</f>
        <v>Tuntas</v>
      </c>
      <c r="CU44" s="65"/>
      <c r="CV44" s="65"/>
      <c r="CW44" s="65"/>
      <c r="CX44" s="66"/>
      <c r="CY44" s="65"/>
      <c r="CZ44" s="65"/>
      <c r="DA44" s="65"/>
      <c r="DB44" s="67">
        <f t="shared" si="34"/>
        <v>0</v>
      </c>
      <c r="DC44" s="68">
        <f t="shared" si="35"/>
        <v>0</v>
      </c>
      <c r="DD44" s="68">
        <f t="shared" si="36"/>
        <v>0</v>
      </c>
      <c r="DE44" s="69" t="str">
        <f t="shared" si="8"/>
        <v>D</v>
      </c>
      <c r="DF44" s="70" t="str">
        <f>IF(DD44="  ","  ",IF(DD44&gt;=menu!$D$19,"Tuntas","Tidak Tuntas"))</f>
        <v>Tuntas</v>
      </c>
      <c r="DG44" s="65"/>
      <c r="DH44" s="65"/>
      <c r="DI44" s="65"/>
      <c r="DJ44" s="66"/>
      <c r="DK44" s="65"/>
      <c r="DL44" s="65"/>
      <c r="DM44" s="65"/>
      <c r="DN44" s="67">
        <f t="shared" si="37"/>
        <v>0</v>
      </c>
      <c r="DO44" s="68">
        <f t="shared" si="38"/>
        <v>0</v>
      </c>
      <c r="DP44" s="68">
        <f t="shared" si="39"/>
        <v>0</v>
      </c>
      <c r="DQ44" s="69" t="str">
        <f t="shared" si="9"/>
        <v>D</v>
      </c>
      <c r="DR44" s="70" t="str">
        <f>IF(DP44="  ","  ",IF(DP44&gt;=menu!$D$19,"Tuntas","Tidak Tuntas"))</f>
        <v>Tuntas</v>
      </c>
    </row>
    <row r="45" spans="1:122">
      <c r="A45" s="64">
        <f>'DATA SISWA'!A31</f>
        <v>0</v>
      </c>
      <c r="B45" s="76">
        <f>'DATA SISWA'!C31</f>
        <v>0</v>
      </c>
      <c r="C45" s="65"/>
      <c r="D45" s="65"/>
      <c r="E45" s="65"/>
      <c r="F45" s="66"/>
      <c r="G45" s="65"/>
      <c r="H45" s="65"/>
      <c r="I45" s="65"/>
      <c r="J45" s="67">
        <f t="shared" si="10"/>
        <v>0</v>
      </c>
      <c r="K45" s="68">
        <f t="shared" si="11"/>
        <v>0</v>
      </c>
      <c r="L45" s="68">
        <f t="shared" si="12"/>
        <v>0</v>
      </c>
      <c r="M45" s="69" t="str">
        <f t="shared" si="0"/>
        <v>D</v>
      </c>
      <c r="N45" s="70" t="str">
        <f>IF(L45="  ","  ",IF(L45&gt;=menu!$D$19,"Tuntas","Tidak Tuntas"))</f>
        <v>Tuntas</v>
      </c>
      <c r="O45" s="65"/>
      <c r="P45" s="65"/>
      <c r="Q45" s="65"/>
      <c r="R45" s="66"/>
      <c r="S45" s="65"/>
      <c r="T45" s="65"/>
      <c r="U45" s="65"/>
      <c r="V45" s="67">
        <f t="shared" si="13"/>
        <v>0</v>
      </c>
      <c r="W45" s="68">
        <f t="shared" si="14"/>
        <v>0</v>
      </c>
      <c r="X45" s="68">
        <f t="shared" si="15"/>
        <v>0</v>
      </c>
      <c r="Y45" s="69" t="str">
        <f t="shared" si="1"/>
        <v>D</v>
      </c>
      <c r="Z45" s="70" t="str">
        <f>IF(X45="  ","  ",IF(X45&gt;=menu!$D$19,"Tuntas","Tidak Tuntas"))</f>
        <v>Tuntas</v>
      </c>
      <c r="AA45" s="65"/>
      <c r="AB45" s="65"/>
      <c r="AC45" s="65"/>
      <c r="AD45" s="66"/>
      <c r="AE45" s="65"/>
      <c r="AF45" s="65"/>
      <c r="AG45" s="65"/>
      <c r="AH45" s="67">
        <f t="shared" si="16"/>
        <v>0</v>
      </c>
      <c r="AI45" s="68">
        <f t="shared" si="17"/>
        <v>0</v>
      </c>
      <c r="AJ45" s="68">
        <f t="shared" si="18"/>
        <v>0</v>
      </c>
      <c r="AK45" s="69" t="str">
        <f t="shared" si="2"/>
        <v>D</v>
      </c>
      <c r="AL45" s="70" t="str">
        <f>IF(AJ45="  ","  ",IF(AJ45&gt;=menu!$D$19,"Tuntas","Tidak Tuntas"))</f>
        <v>Tuntas</v>
      </c>
      <c r="AM45" s="65"/>
      <c r="AN45" s="65"/>
      <c r="AO45" s="65"/>
      <c r="AP45" s="66"/>
      <c r="AQ45" s="65"/>
      <c r="AR45" s="65"/>
      <c r="AS45" s="65"/>
      <c r="AT45" s="67">
        <f t="shared" si="19"/>
        <v>0</v>
      </c>
      <c r="AU45" s="68">
        <f t="shared" si="20"/>
        <v>0</v>
      </c>
      <c r="AV45" s="68">
        <f t="shared" si="21"/>
        <v>0</v>
      </c>
      <c r="AW45" s="69" t="str">
        <f t="shared" si="3"/>
        <v>D</v>
      </c>
      <c r="AX45" s="70" t="str">
        <f>IF(AV45="  ","  ",IF(AV45&gt;=menu!$D$19,"Tuntas","Tidak Tuntas"))</f>
        <v>Tuntas</v>
      </c>
      <c r="AY45" s="65"/>
      <c r="AZ45" s="65"/>
      <c r="BA45" s="65"/>
      <c r="BB45" s="66"/>
      <c r="BC45" s="65"/>
      <c r="BD45" s="65"/>
      <c r="BE45" s="65"/>
      <c r="BF45" s="67">
        <f t="shared" si="22"/>
        <v>0</v>
      </c>
      <c r="BG45" s="68">
        <f t="shared" si="23"/>
        <v>0</v>
      </c>
      <c r="BH45" s="68">
        <f t="shared" si="24"/>
        <v>0</v>
      </c>
      <c r="BI45" s="69" t="str">
        <f t="shared" si="4"/>
        <v>D</v>
      </c>
      <c r="BJ45" s="70" t="str">
        <f>IF(BH45="  ","  ",IF(BH45&gt;=menu!$D$19,"Tuntas","Tidak Tuntas"))</f>
        <v>Tuntas</v>
      </c>
      <c r="BK45" s="65"/>
      <c r="BL45" s="65"/>
      <c r="BM45" s="65"/>
      <c r="BN45" s="66"/>
      <c r="BO45" s="65"/>
      <c r="BP45" s="65"/>
      <c r="BQ45" s="65"/>
      <c r="BR45" s="67">
        <f t="shared" si="25"/>
        <v>0</v>
      </c>
      <c r="BS45" s="68">
        <f t="shared" si="26"/>
        <v>0</v>
      </c>
      <c r="BT45" s="68">
        <f t="shared" si="27"/>
        <v>0</v>
      </c>
      <c r="BU45" s="69" t="str">
        <f t="shared" si="5"/>
        <v>D</v>
      </c>
      <c r="BV45" s="70" t="str">
        <f>IF(BT45="  ","  ",IF(BT45&gt;=menu!$D$19,"Tuntas","Tidak Tuntas"))</f>
        <v>Tuntas</v>
      </c>
      <c r="BW45" s="65"/>
      <c r="BX45" s="65"/>
      <c r="BY45" s="65"/>
      <c r="BZ45" s="66"/>
      <c r="CA45" s="65"/>
      <c r="CB45" s="65"/>
      <c r="CC45" s="65"/>
      <c r="CD45" s="67">
        <f t="shared" si="28"/>
        <v>0</v>
      </c>
      <c r="CE45" s="68">
        <f t="shared" si="29"/>
        <v>0</v>
      </c>
      <c r="CF45" s="68">
        <f t="shared" si="30"/>
        <v>0</v>
      </c>
      <c r="CG45" s="69" t="str">
        <f t="shared" si="6"/>
        <v>D</v>
      </c>
      <c r="CH45" s="70" t="str">
        <f>IF(CF45="  ","  ",IF(CF45&gt;=menu!$D$19,"Tuntas","Tidak Tuntas"))</f>
        <v>Tuntas</v>
      </c>
      <c r="CI45" s="65"/>
      <c r="CJ45" s="65"/>
      <c r="CK45" s="65"/>
      <c r="CL45" s="66"/>
      <c r="CM45" s="65"/>
      <c r="CN45" s="65"/>
      <c r="CO45" s="65"/>
      <c r="CP45" s="67">
        <f t="shared" si="31"/>
        <v>0</v>
      </c>
      <c r="CQ45" s="68">
        <f t="shared" si="32"/>
        <v>0</v>
      </c>
      <c r="CR45" s="68">
        <f t="shared" si="33"/>
        <v>0</v>
      </c>
      <c r="CS45" s="69" t="str">
        <f t="shared" si="7"/>
        <v>D</v>
      </c>
      <c r="CT45" s="70" t="str">
        <f>IF(CR45="  ","  ",IF(CR45&gt;=menu!$D$19,"Tuntas","Tidak Tuntas"))</f>
        <v>Tuntas</v>
      </c>
      <c r="CU45" s="65"/>
      <c r="CV45" s="65"/>
      <c r="CW45" s="65"/>
      <c r="CX45" s="66"/>
      <c r="CY45" s="65"/>
      <c r="CZ45" s="65"/>
      <c r="DA45" s="65"/>
      <c r="DB45" s="67">
        <f t="shared" si="34"/>
        <v>0</v>
      </c>
      <c r="DC45" s="68">
        <f t="shared" si="35"/>
        <v>0</v>
      </c>
      <c r="DD45" s="68">
        <f t="shared" si="36"/>
        <v>0</v>
      </c>
      <c r="DE45" s="69" t="str">
        <f t="shared" si="8"/>
        <v>D</v>
      </c>
      <c r="DF45" s="70" t="str">
        <f>IF(DD45="  ","  ",IF(DD45&gt;=menu!$D$19,"Tuntas","Tidak Tuntas"))</f>
        <v>Tuntas</v>
      </c>
      <c r="DG45" s="65"/>
      <c r="DH45" s="65"/>
      <c r="DI45" s="65"/>
      <c r="DJ45" s="66"/>
      <c r="DK45" s="65"/>
      <c r="DL45" s="65"/>
      <c r="DM45" s="65"/>
      <c r="DN45" s="67">
        <f t="shared" si="37"/>
        <v>0</v>
      </c>
      <c r="DO45" s="68">
        <f t="shared" si="38"/>
        <v>0</v>
      </c>
      <c r="DP45" s="68">
        <f t="shared" si="39"/>
        <v>0</v>
      </c>
      <c r="DQ45" s="69" t="str">
        <f t="shared" si="9"/>
        <v>D</v>
      </c>
      <c r="DR45" s="70" t="str">
        <f>IF(DP45="  ","  ",IF(DP45&gt;=menu!$D$19,"Tuntas","Tidak Tuntas"))</f>
        <v>Tuntas</v>
      </c>
    </row>
    <row r="46" spans="1:122">
      <c r="A46" s="64">
        <f>'DATA SISWA'!A32</f>
        <v>0</v>
      </c>
      <c r="B46" s="76">
        <f>'DATA SISWA'!C32</f>
        <v>0</v>
      </c>
      <c r="C46" s="65"/>
      <c r="D46" s="65"/>
      <c r="E46" s="65"/>
      <c r="F46" s="66"/>
      <c r="G46" s="65"/>
      <c r="H46" s="65"/>
      <c r="I46" s="65"/>
      <c r="J46" s="67">
        <f t="shared" si="10"/>
        <v>0</v>
      </c>
      <c r="K46" s="68">
        <f t="shared" si="11"/>
        <v>0</v>
      </c>
      <c r="L46" s="68">
        <f t="shared" si="12"/>
        <v>0</v>
      </c>
      <c r="M46" s="69" t="str">
        <f t="shared" si="0"/>
        <v>D</v>
      </c>
      <c r="N46" s="70" t="str">
        <f>IF(L46="  ","  ",IF(L46&gt;=menu!$D$19,"Tuntas","Tidak Tuntas"))</f>
        <v>Tuntas</v>
      </c>
      <c r="O46" s="65"/>
      <c r="P46" s="65"/>
      <c r="Q46" s="65"/>
      <c r="R46" s="66"/>
      <c r="S46" s="65"/>
      <c r="T46" s="65"/>
      <c r="U46" s="65"/>
      <c r="V46" s="67">
        <f t="shared" si="13"/>
        <v>0</v>
      </c>
      <c r="W46" s="68">
        <f t="shared" si="14"/>
        <v>0</v>
      </c>
      <c r="X46" s="68">
        <f t="shared" si="15"/>
        <v>0</v>
      </c>
      <c r="Y46" s="69" t="str">
        <f t="shared" si="1"/>
        <v>D</v>
      </c>
      <c r="Z46" s="70" t="str">
        <f>IF(X46="  ","  ",IF(X46&gt;=menu!$D$19,"Tuntas","Tidak Tuntas"))</f>
        <v>Tuntas</v>
      </c>
      <c r="AA46" s="65"/>
      <c r="AB46" s="65"/>
      <c r="AC46" s="65"/>
      <c r="AD46" s="66"/>
      <c r="AE46" s="65"/>
      <c r="AF46" s="65"/>
      <c r="AG46" s="65"/>
      <c r="AH46" s="67">
        <f t="shared" si="16"/>
        <v>0</v>
      </c>
      <c r="AI46" s="68">
        <f t="shared" si="17"/>
        <v>0</v>
      </c>
      <c r="AJ46" s="68">
        <f t="shared" si="18"/>
        <v>0</v>
      </c>
      <c r="AK46" s="69" t="str">
        <f t="shared" si="2"/>
        <v>D</v>
      </c>
      <c r="AL46" s="70" t="str">
        <f>IF(AJ46="  ","  ",IF(AJ46&gt;=menu!$D$19,"Tuntas","Tidak Tuntas"))</f>
        <v>Tuntas</v>
      </c>
      <c r="AM46" s="65"/>
      <c r="AN46" s="65"/>
      <c r="AO46" s="65"/>
      <c r="AP46" s="66"/>
      <c r="AQ46" s="65"/>
      <c r="AR46" s="65"/>
      <c r="AS46" s="65"/>
      <c r="AT46" s="67">
        <f t="shared" si="19"/>
        <v>0</v>
      </c>
      <c r="AU46" s="68">
        <f t="shared" si="20"/>
        <v>0</v>
      </c>
      <c r="AV46" s="68">
        <f t="shared" si="21"/>
        <v>0</v>
      </c>
      <c r="AW46" s="69" t="str">
        <f t="shared" si="3"/>
        <v>D</v>
      </c>
      <c r="AX46" s="70" t="str">
        <f>IF(AV46="  ","  ",IF(AV46&gt;=menu!$D$19,"Tuntas","Tidak Tuntas"))</f>
        <v>Tuntas</v>
      </c>
      <c r="AY46" s="65"/>
      <c r="AZ46" s="65"/>
      <c r="BA46" s="65"/>
      <c r="BB46" s="66"/>
      <c r="BC46" s="65"/>
      <c r="BD46" s="65"/>
      <c r="BE46" s="65"/>
      <c r="BF46" s="67">
        <f t="shared" si="22"/>
        <v>0</v>
      </c>
      <c r="BG46" s="68">
        <f t="shared" si="23"/>
        <v>0</v>
      </c>
      <c r="BH46" s="68">
        <f t="shared" si="24"/>
        <v>0</v>
      </c>
      <c r="BI46" s="69" t="str">
        <f t="shared" si="4"/>
        <v>D</v>
      </c>
      <c r="BJ46" s="70" t="str">
        <f>IF(BH46="  ","  ",IF(BH46&gt;=menu!$D$19,"Tuntas","Tidak Tuntas"))</f>
        <v>Tuntas</v>
      </c>
      <c r="BK46" s="65"/>
      <c r="BL46" s="65"/>
      <c r="BM46" s="65"/>
      <c r="BN46" s="66"/>
      <c r="BO46" s="65"/>
      <c r="BP46" s="65"/>
      <c r="BQ46" s="65"/>
      <c r="BR46" s="67">
        <f t="shared" si="25"/>
        <v>0</v>
      </c>
      <c r="BS46" s="68">
        <f t="shared" si="26"/>
        <v>0</v>
      </c>
      <c r="BT46" s="68">
        <f t="shared" si="27"/>
        <v>0</v>
      </c>
      <c r="BU46" s="69" t="str">
        <f t="shared" si="5"/>
        <v>D</v>
      </c>
      <c r="BV46" s="70" t="str">
        <f>IF(BT46="  ","  ",IF(BT46&gt;=menu!$D$19,"Tuntas","Tidak Tuntas"))</f>
        <v>Tuntas</v>
      </c>
      <c r="BW46" s="65"/>
      <c r="BX46" s="65"/>
      <c r="BY46" s="65"/>
      <c r="BZ46" s="66"/>
      <c r="CA46" s="65"/>
      <c r="CB46" s="65"/>
      <c r="CC46" s="65"/>
      <c r="CD46" s="67">
        <f t="shared" si="28"/>
        <v>0</v>
      </c>
      <c r="CE46" s="68">
        <f t="shared" si="29"/>
        <v>0</v>
      </c>
      <c r="CF46" s="68">
        <f t="shared" si="30"/>
        <v>0</v>
      </c>
      <c r="CG46" s="69" t="str">
        <f t="shared" si="6"/>
        <v>D</v>
      </c>
      <c r="CH46" s="70" t="str">
        <f>IF(CF46="  ","  ",IF(CF46&gt;=menu!$D$19,"Tuntas","Tidak Tuntas"))</f>
        <v>Tuntas</v>
      </c>
      <c r="CI46" s="65"/>
      <c r="CJ46" s="65"/>
      <c r="CK46" s="65"/>
      <c r="CL46" s="66"/>
      <c r="CM46" s="65"/>
      <c r="CN46" s="65"/>
      <c r="CO46" s="65"/>
      <c r="CP46" s="67">
        <f t="shared" si="31"/>
        <v>0</v>
      </c>
      <c r="CQ46" s="68">
        <f t="shared" si="32"/>
        <v>0</v>
      </c>
      <c r="CR46" s="68">
        <f t="shared" si="33"/>
        <v>0</v>
      </c>
      <c r="CS46" s="69" t="str">
        <f t="shared" si="7"/>
        <v>D</v>
      </c>
      <c r="CT46" s="70" t="str">
        <f>IF(CR46="  ","  ",IF(CR46&gt;=menu!$D$19,"Tuntas","Tidak Tuntas"))</f>
        <v>Tuntas</v>
      </c>
      <c r="CU46" s="65"/>
      <c r="CV46" s="65"/>
      <c r="CW46" s="65"/>
      <c r="CX46" s="66"/>
      <c r="CY46" s="65"/>
      <c r="CZ46" s="65"/>
      <c r="DA46" s="65"/>
      <c r="DB46" s="67">
        <f t="shared" si="34"/>
        <v>0</v>
      </c>
      <c r="DC46" s="68">
        <f t="shared" si="35"/>
        <v>0</v>
      </c>
      <c r="DD46" s="68">
        <f t="shared" si="36"/>
        <v>0</v>
      </c>
      <c r="DE46" s="69" t="str">
        <f t="shared" si="8"/>
        <v>D</v>
      </c>
      <c r="DF46" s="70" t="str">
        <f>IF(DD46="  ","  ",IF(DD46&gt;=menu!$D$19,"Tuntas","Tidak Tuntas"))</f>
        <v>Tuntas</v>
      </c>
      <c r="DG46" s="65"/>
      <c r="DH46" s="65"/>
      <c r="DI46" s="65"/>
      <c r="DJ46" s="66"/>
      <c r="DK46" s="65"/>
      <c r="DL46" s="65"/>
      <c r="DM46" s="65"/>
      <c r="DN46" s="67">
        <f t="shared" si="37"/>
        <v>0</v>
      </c>
      <c r="DO46" s="68">
        <f t="shared" si="38"/>
        <v>0</v>
      </c>
      <c r="DP46" s="68">
        <f t="shared" si="39"/>
        <v>0</v>
      </c>
      <c r="DQ46" s="69" t="str">
        <f t="shared" si="9"/>
        <v>D</v>
      </c>
      <c r="DR46" s="70" t="str">
        <f>IF(DP46="  ","  ",IF(DP46&gt;=menu!$D$19,"Tuntas","Tidak Tuntas"))</f>
        <v>Tuntas</v>
      </c>
    </row>
    <row r="47" spans="1:122">
      <c r="A47" s="64">
        <f>'DATA SISWA'!A33</f>
        <v>0</v>
      </c>
      <c r="B47" s="76">
        <f>'DATA SISWA'!C33</f>
        <v>0</v>
      </c>
      <c r="C47" s="65"/>
      <c r="D47" s="65"/>
      <c r="E47" s="65"/>
      <c r="F47" s="66"/>
      <c r="G47" s="65"/>
      <c r="H47" s="65"/>
      <c r="I47" s="65"/>
      <c r="J47" s="67">
        <f t="shared" si="10"/>
        <v>0</v>
      </c>
      <c r="K47" s="68">
        <f t="shared" si="11"/>
        <v>0</v>
      </c>
      <c r="L47" s="68">
        <f t="shared" si="12"/>
        <v>0</v>
      </c>
      <c r="M47" s="69" t="str">
        <f t="shared" si="0"/>
        <v>D</v>
      </c>
      <c r="N47" s="70" t="str">
        <f>IF(L47="  ","  ",IF(L47&gt;=menu!$D$19,"Tuntas","Tidak Tuntas"))</f>
        <v>Tuntas</v>
      </c>
      <c r="O47" s="65"/>
      <c r="P47" s="65"/>
      <c r="Q47" s="65"/>
      <c r="R47" s="66"/>
      <c r="S47" s="65"/>
      <c r="T47" s="65"/>
      <c r="U47" s="65"/>
      <c r="V47" s="67">
        <f t="shared" si="13"/>
        <v>0</v>
      </c>
      <c r="W47" s="68">
        <f t="shared" si="14"/>
        <v>0</v>
      </c>
      <c r="X47" s="68">
        <f t="shared" si="15"/>
        <v>0</v>
      </c>
      <c r="Y47" s="69" t="str">
        <f t="shared" si="1"/>
        <v>D</v>
      </c>
      <c r="Z47" s="70" t="str">
        <f>IF(X47="  ","  ",IF(X47&gt;=menu!$D$19,"Tuntas","Tidak Tuntas"))</f>
        <v>Tuntas</v>
      </c>
      <c r="AA47" s="65"/>
      <c r="AB47" s="65"/>
      <c r="AC47" s="65"/>
      <c r="AD47" s="66"/>
      <c r="AE47" s="65"/>
      <c r="AF47" s="65"/>
      <c r="AG47" s="65"/>
      <c r="AH47" s="67">
        <f t="shared" si="16"/>
        <v>0</v>
      </c>
      <c r="AI47" s="68">
        <f t="shared" si="17"/>
        <v>0</v>
      </c>
      <c r="AJ47" s="68">
        <f t="shared" si="18"/>
        <v>0</v>
      </c>
      <c r="AK47" s="69" t="str">
        <f t="shared" si="2"/>
        <v>D</v>
      </c>
      <c r="AL47" s="70" t="str">
        <f>IF(AJ47="  ","  ",IF(AJ47&gt;=menu!$D$19,"Tuntas","Tidak Tuntas"))</f>
        <v>Tuntas</v>
      </c>
      <c r="AM47" s="65"/>
      <c r="AN47" s="65"/>
      <c r="AO47" s="65"/>
      <c r="AP47" s="66"/>
      <c r="AQ47" s="65"/>
      <c r="AR47" s="65"/>
      <c r="AS47" s="65"/>
      <c r="AT47" s="67">
        <f t="shared" si="19"/>
        <v>0</v>
      </c>
      <c r="AU47" s="68">
        <f t="shared" si="20"/>
        <v>0</v>
      </c>
      <c r="AV47" s="68">
        <f t="shared" si="21"/>
        <v>0</v>
      </c>
      <c r="AW47" s="69" t="str">
        <f t="shared" si="3"/>
        <v>D</v>
      </c>
      <c r="AX47" s="70" t="str">
        <f>IF(AV47="  ","  ",IF(AV47&gt;=menu!$D$19,"Tuntas","Tidak Tuntas"))</f>
        <v>Tuntas</v>
      </c>
      <c r="AY47" s="65"/>
      <c r="AZ47" s="65"/>
      <c r="BA47" s="65"/>
      <c r="BB47" s="66"/>
      <c r="BC47" s="65"/>
      <c r="BD47" s="65"/>
      <c r="BE47" s="65"/>
      <c r="BF47" s="67">
        <f t="shared" si="22"/>
        <v>0</v>
      </c>
      <c r="BG47" s="68">
        <f t="shared" si="23"/>
        <v>0</v>
      </c>
      <c r="BH47" s="68">
        <f t="shared" si="24"/>
        <v>0</v>
      </c>
      <c r="BI47" s="69" t="str">
        <f t="shared" si="4"/>
        <v>D</v>
      </c>
      <c r="BJ47" s="70" t="str">
        <f>IF(BH47="  ","  ",IF(BH47&gt;=menu!$D$19,"Tuntas","Tidak Tuntas"))</f>
        <v>Tuntas</v>
      </c>
      <c r="BK47" s="65"/>
      <c r="BL47" s="65"/>
      <c r="BM47" s="65"/>
      <c r="BN47" s="66"/>
      <c r="BO47" s="65"/>
      <c r="BP47" s="65"/>
      <c r="BQ47" s="65"/>
      <c r="BR47" s="67">
        <f t="shared" si="25"/>
        <v>0</v>
      </c>
      <c r="BS47" s="68">
        <f t="shared" si="26"/>
        <v>0</v>
      </c>
      <c r="BT47" s="68">
        <f t="shared" si="27"/>
        <v>0</v>
      </c>
      <c r="BU47" s="69" t="str">
        <f t="shared" si="5"/>
        <v>D</v>
      </c>
      <c r="BV47" s="70" t="str">
        <f>IF(BT47="  ","  ",IF(BT47&gt;=menu!$D$19,"Tuntas","Tidak Tuntas"))</f>
        <v>Tuntas</v>
      </c>
      <c r="BW47" s="65"/>
      <c r="BX47" s="65"/>
      <c r="BY47" s="65"/>
      <c r="BZ47" s="66"/>
      <c r="CA47" s="65"/>
      <c r="CB47" s="65"/>
      <c r="CC47" s="65"/>
      <c r="CD47" s="67">
        <f t="shared" si="28"/>
        <v>0</v>
      </c>
      <c r="CE47" s="68">
        <f t="shared" si="29"/>
        <v>0</v>
      </c>
      <c r="CF47" s="68">
        <f t="shared" si="30"/>
        <v>0</v>
      </c>
      <c r="CG47" s="69" t="str">
        <f t="shared" si="6"/>
        <v>D</v>
      </c>
      <c r="CH47" s="70" t="str">
        <f>IF(CF47="  ","  ",IF(CF47&gt;=menu!$D$19,"Tuntas","Tidak Tuntas"))</f>
        <v>Tuntas</v>
      </c>
      <c r="CI47" s="65"/>
      <c r="CJ47" s="65"/>
      <c r="CK47" s="65"/>
      <c r="CL47" s="66"/>
      <c r="CM47" s="65"/>
      <c r="CN47" s="65"/>
      <c r="CO47" s="65"/>
      <c r="CP47" s="67">
        <f t="shared" si="31"/>
        <v>0</v>
      </c>
      <c r="CQ47" s="68">
        <f t="shared" si="32"/>
        <v>0</v>
      </c>
      <c r="CR47" s="68">
        <f t="shared" si="33"/>
        <v>0</v>
      </c>
      <c r="CS47" s="69" t="str">
        <f t="shared" si="7"/>
        <v>D</v>
      </c>
      <c r="CT47" s="70" t="str">
        <f>IF(CR47="  ","  ",IF(CR47&gt;=menu!$D$19,"Tuntas","Tidak Tuntas"))</f>
        <v>Tuntas</v>
      </c>
      <c r="CU47" s="65"/>
      <c r="CV47" s="65"/>
      <c r="CW47" s="65"/>
      <c r="CX47" s="66"/>
      <c r="CY47" s="65"/>
      <c r="CZ47" s="65"/>
      <c r="DA47" s="65"/>
      <c r="DB47" s="67">
        <f t="shared" si="34"/>
        <v>0</v>
      </c>
      <c r="DC47" s="68">
        <f t="shared" si="35"/>
        <v>0</v>
      </c>
      <c r="DD47" s="68">
        <f t="shared" si="36"/>
        <v>0</v>
      </c>
      <c r="DE47" s="69" t="str">
        <f t="shared" si="8"/>
        <v>D</v>
      </c>
      <c r="DF47" s="70" t="str">
        <f>IF(DD47="  ","  ",IF(DD47&gt;=menu!$D$19,"Tuntas","Tidak Tuntas"))</f>
        <v>Tuntas</v>
      </c>
      <c r="DG47" s="65"/>
      <c r="DH47" s="65"/>
      <c r="DI47" s="65"/>
      <c r="DJ47" s="66"/>
      <c r="DK47" s="65"/>
      <c r="DL47" s="65"/>
      <c r="DM47" s="65"/>
      <c r="DN47" s="67">
        <f t="shared" si="37"/>
        <v>0</v>
      </c>
      <c r="DO47" s="68">
        <f t="shared" si="38"/>
        <v>0</v>
      </c>
      <c r="DP47" s="68">
        <f t="shared" si="39"/>
        <v>0</v>
      </c>
      <c r="DQ47" s="69" t="str">
        <f t="shared" si="9"/>
        <v>D</v>
      </c>
      <c r="DR47" s="70" t="str">
        <f>IF(DP47="  ","  ",IF(DP47&gt;=menu!$D$19,"Tuntas","Tidak Tuntas"))</f>
        <v>Tuntas</v>
      </c>
    </row>
    <row r="48" spans="1:122">
      <c r="A48" s="64">
        <f>'DATA SISWA'!A34</f>
        <v>0</v>
      </c>
      <c r="B48" s="76">
        <f>'DATA SISWA'!C34</f>
        <v>0</v>
      </c>
      <c r="C48" s="65"/>
      <c r="D48" s="65"/>
      <c r="E48" s="65"/>
      <c r="F48" s="66"/>
      <c r="G48" s="65"/>
      <c r="H48" s="65"/>
      <c r="I48" s="65"/>
      <c r="J48" s="67">
        <f t="shared" si="10"/>
        <v>0</v>
      </c>
      <c r="K48" s="68">
        <f t="shared" si="11"/>
        <v>0</v>
      </c>
      <c r="L48" s="68">
        <f t="shared" si="12"/>
        <v>0</v>
      </c>
      <c r="M48" s="69" t="str">
        <f t="shared" si="0"/>
        <v>D</v>
      </c>
      <c r="N48" s="70" t="str">
        <f>IF(L48="  ","  ",IF(L48&gt;=menu!$D$19,"Tuntas","Tidak Tuntas"))</f>
        <v>Tuntas</v>
      </c>
      <c r="O48" s="65"/>
      <c r="P48" s="65"/>
      <c r="Q48" s="65"/>
      <c r="R48" s="66"/>
      <c r="S48" s="65"/>
      <c r="T48" s="65"/>
      <c r="U48" s="65"/>
      <c r="V48" s="67">
        <f t="shared" si="13"/>
        <v>0</v>
      </c>
      <c r="W48" s="68">
        <f t="shared" si="14"/>
        <v>0</v>
      </c>
      <c r="X48" s="68">
        <f t="shared" si="15"/>
        <v>0</v>
      </c>
      <c r="Y48" s="69" t="str">
        <f t="shared" si="1"/>
        <v>D</v>
      </c>
      <c r="Z48" s="70" t="str">
        <f>IF(X48="  ","  ",IF(X48&gt;=menu!$D$19,"Tuntas","Tidak Tuntas"))</f>
        <v>Tuntas</v>
      </c>
      <c r="AA48" s="65"/>
      <c r="AB48" s="65"/>
      <c r="AC48" s="65"/>
      <c r="AD48" s="66"/>
      <c r="AE48" s="65"/>
      <c r="AF48" s="65"/>
      <c r="AG48" s="65"/>
      <c r="AH48" s="67">
        <f t="shared" si="16"/>
        <v>0</v>
      </c>
      <c r="AI48" s="68">
        <f t="shared" si="17"/>
        <v>0</v>
      </c>
      <c r="AJ48" s="68">
        <f t="shared" si="18"/>
        <v>0</v>
      </c>
      <c r="AK48" s="69" t="str">
        <f t="shared" si="2"/>
        <v>D</v>
      </c>
      <c r="AL48" s="70" t="str">
        <f>IF(AJ48="  ","  ",IF(AJ48&gt;=menu!$D$19,"Tuntas","Tidak Tuntas"))</f>
        <v>Tuntas</v>
      </c>
      <c r="AM48" s="65"/>
      <c r="AN48" s="65"/>
      <c r="AO48" s="65"/>
      <c r="AP48" s="66"/>
      <c r="AQ48" s="65"/>
      <c r="AR48" s="65"/>
      <c r="AS48" s="65"/>
      <c r="AT48" s="67">
        <f t="shared" si="19"/>
        <v>0</v>
      </c>
      <c r="AU48" s="68">
        <f t="shared" si="20"/>
        <v>0</v>
      </c>
      <c r="AV48" s="68">
        <f t="shared" si="21"/>
        <v>0</v>
      </c>
      <c r="AW48" s="69" t="str">
        <f t="shared" si="3"/>
        <v>D</v>
      </c>
      <c r="AX48" s="70" t="str">
        <f>IF(AV48="  ","  ",IF(AV48&gt;=menu!$D$19,"Tuntas","Tidak Tuntas"))</f>
        <v>Tuntas</v>
      </c>
      <c r="AY48" s="65"/>
      <c r="AZ48" s="65"/>
      <c r="BA48" s="65"/>
      <c r="BB48" s="66"/>
      <c r="BC48" s="65"/>
      <c r="BD48" s="65"/>
      <c r="BE48" s="65"/>
      <c r="BF48" s="67">
        <f t="shared" si="22"/>
        <v>0</v>
      </c>
      <c r="BG48" s="68">
        <f t="shared" si="23"/>
        <v>0</v>
      </c>
      <c r="BH48" s="68">
        <f t="shared" si="24"/>
        <v>0</v>
      </c>
      <c r="BI48" s="69" t="str">
        <f t="shared" si="4"/>
        <v>D</v>
      </c>
      <c r="BJ48" s="70" t="str">
        <f>IF(BH48="  ","  ",IF(BH48&gt;=menu!$D$19,"Tuntas","Tidak Tuntas"))</f>
        <v>Tuntas</v>
      </c>
      <c r="BK48" s="65"/>
      <c r="BL48" s="65"/>
      <c r="BM48" s="65"/>
      <c r="BN48" s="66"/>
      <c r="BO48" s="65"/>
      <c r="BP48" s="65"/>
      <c r="BQ48" s="65"/>
      <c r="BR48" s="67">
        <f t="shared" si="25"/>
        <v>0</v>
      </c>
      <c r="BS48" s="68">
        <f t="shared" si="26"/>
        <v>0</v>
      </c>
      <c r="BT48" s="68">
        <f t="shared" si="27"/>
        <v>0</v>
      </c>
      <c r="BU48" s="69" t="str">
        <f t="shared" si="5"/>
        <v>D</v>
      </c>
      <c r="BV48" s="70" t="str">
        <f>IF(BT48="  ","  ",IF(BT48&gt;=menu!$D$19,"Tuntas","Tidak Tuntas"))</f>
        <v>Tuntas</v>
      </c>
      <c r="BW48" s="65"/>
      <c r="BX48" s="65"/>
      <c r="BY48" s="65"/>
      <c r="BZ48" s="66"/>
      <c r="CA48" s="65"/>
      <c r="CB48" s="65"/>
      <c r="CC48" s="65"/>
      <c r="CD48" s="67">
        <f t="shared" si="28"/>
        <v>0</v>
      </c>
      <c r="CE48" s="68">
        <f t="shared" si="29"/>
        <v>0</v>
      </c>
      <c r="CF48" s="68">
        <f t="shared" si="30"/>
        <v>0</v>
      </c>
      <c r="CG48" s="69" t="str">
        <f t="shared" si="6"/>
        <v>D</v>
      </c>
      <c r="CH48" s="70" t="str">
        <f>IF(CF48="  ","  ",IF(CF48&gt;=menu!$D$19,"Tuntas","Tidak Tuntas"))</f>
        <v>Tuntas</v>
      </c>
      <c r="CI48" s="65"/>
      <c r="CJ48" s="65"/>
      <c r="CK48" s="65"/>
      <c r="CL48" s="66"/>
      <c r="CM48" s="65"/>
      <c r="CN48" s="65"/>
      <c r="CO48" s="65"/>
      <c r="CP48" s="67">
        <f t="shared" si="31"/>
        <v>0</v>
      </c>
      <c r="CQ48" s="68">
        <f t="shared" si="32"/>
        <v>0</v>
      </c>
      <c r="CR48" s="68">
        <f t="shared" si="33"/>
        <v>0</v>
      </c>
      <c r="CS48" s="69" t="str">
        <f t="shared" si="7"/>
        <v>D</v>
      </c>
      <c r="CT48" s="70" t="str">
        <f>IF(CR48="  ","  ",IF(CR48&gt;=menu!$D$19,"Tuntas","Tidak Tuntas"))</f>
        <v>Tuntas</v>
      </c>
      <c r="CU48" s="65"/>
      <c r="CV48" s="65"/>
      <c r="CW48" s="65"/>
      <c r="CX48" s="66"/>
      <c r="CY48" s="65"/>
      <c r="CZ48" s="65"/>
      <c r="DA48" s="65"/>
      <c r="DB48" s="67">
        <f t="shared" si="34"/>
        <v>0</v>
      </c>
      <c r="DC48" s="68">
        <f t="shared" si="35"/>
        <v>0</v>
      </c>
      <c r="DD48" s="68">
        <f t="shared" si="36"/>
        <v>0</v>
      </c>
      <c r="DE48" s="69" t="str">
        <f t="shared" si="8"/>
        <v>D</v>
      </c>
      <c r="DF48" s="70" t="str">
        <f>IF(DD48="  ","  ",IF(DD48&gt;=menu!$D$19,"Tuntas","Tidak Tuntas"))</f>
        <v>Tuntas</v>
      </c>
      <c r="DG48" s="65"/>
      <c r="DH48" s="65"/>
      <c r="DI48" s="65"/>
      <c r="DJ48" s="66"/>
      <c r="DK48" s="65"/>
      <c r="DL48" s="65"/>
      <c r="DM48" s="65"/>
      <c r="DN48" s="67">
        <f t="shared" si="37"/>
        <v>0</v>
      </c>
      <c r="DO48" s="68">
        <f t="shared" si="38"/>
        <v>0</v>
      </c>
      <c r="DP48" s="68">
        <f t="shared" si="39"/>
        <v>0</v>
      </c>
      <c r="DQ48" s="69" t="str">
        <f t="shared" si="9"/>
        <v>D</v>
      </c>
      <c r="DR48" s="70" t="str">
        <f>IF(DP48="  ","  ",IF(DP48&gt;=menu!$D$19,"Tuntas","Tidak Tuntas"))</f>
        <v>Tuntas</v>
      </c>
    </row>
    <row r="49" spans="1:122">
      <c r="A49" s="64">
        <f>'DATA SISWA'!A35</f>
        <v>0</v>
      </c>
      <c r="B49" s="76">
        <f>'DATA SISWA'!C35</f>
        <v>0</v>
      </c>
      <c r="C49" s="65"/>
      <c r="D49" s="65"/>
      <c r="E49" s="65"/>
      <c r="F49" s="66"/>
      <c r="G49" s="65"/>
      <c r="H49" s="65"/>
      <c r="I49" s="65"/>
      <c r="J49" s="67">
        <f t="shared" si="10"/>
        <v>0</v>
      </c>
      <c r="K49" s="68">
        <f t="shared" si="11"/>
        <v>0</v>
      </c>
      <c r="L49" s="68">
        <f t="shared" si="12"/>
        <v>0</v>
      </c>
      <c r="M49" s="69" t="str">
        <f t="shared" si="0"/>
        <v>D</v>
      </c>
      <c r="N49" s="70" t="str">
        <f>IF(L49="  ","  ",IF(L49&gt;=menu!$D$19,"Tuntas","Tidak Tuntas"))</f>
        <v>Tuntas</v>
      </c>
      <c r="O49" s="65"/>
      <c r="P49" s="65"/>
      <c r="Q49" s="65"/>
      <c r="R49" s="66"/>
      <c r="S49" s="65"/>
      <c r="T49" s="65"/>
      <c r="U49" s="65"/>
      <c r="V49" s="67">
        <f t="shared" si="13"/>
        <v>0</v>
      </c>
      <c r="W49" s="68">
        <f t="shared" si="14"/>
        <v>0</v>
      </c>
      <c r="X49" s="68">
        <f t="shared" si="15"/>
        <v>0</v>
      </c>
      <c r="Y49" s="69" t="str">
        <f t="shared" si="1"/>
        <v>D</v>
      </c>
      <c r="Z49" s="70" t="str">
        <f>IF(X49="  ","  ",IF(X49&gt;=menu!$D$19,"Tuntas","Tidak Tuntas"))</f>
        <v>Tuntas</v>
      </c>
      <c r="AA49" s="65"/>
      <c r="AB49" s="65"/>
      <c r="AC49" s="65"/>
      <c r="AD49" s="66"/>
      <c r="AE49" s="65"/>
      <c r="AF49" s="65"/>
      <c r="AG49" s="65"/>
      <c r="AH49" s="67">
        <f t="shared" si="16"/>
        <v>0</v>
      </c>
      <c r="AI49" s="68">
        <f t="shared" si="17"/>
        <v>0</v>
      </c>
      <c r="AJ49" s="68">
        <f t="shared" si="18"/>
        <v>0</v>
      </c>
      <c r="AK49" s="69" t="str">
        <f t="shared" si="2"/>
        <v>D</v>
      </c>
      <c r="AL49" s="70" t="str">
        <f>IF(AJ49="  ","  ",IF(AJ49&gt;=menu!$D$19,"Tuntas","Tidak Tuntas"))</f>
        <v>Tuntas</v>
      </c>
      <c r="AM49" s="65"/>
      <c r="AN49" s="65"/>
      <c r="AO49" s="65"/>
      <c r="AP49" s="66"/>
      <c r="AQ49" s="65"/>
      <c r="AR49" s="65"/>
      <c r="AS49" s="65"/>
      <c r="AT49" s="67">
        <f t="shared" si="19"/>
        <v>0</v>
      </c>
      <c r="AU49" s="68">
        <f t="shared" si="20"/>
        <v>0</v>
      </c>
      <c r="AV49" s="68">
        <f t="shared" si="21"/>
        <v>0</v>
      </c>
      <c r="AW49" s="69" t="str">
        <f t="shared" si="3"/>
        <v>D</v>
      </c>
      <c r="AX49" s="70" t="str">
        <f>IF(AV49="  ","  ",IF(AV49&gt;=menu!$D$19,"Tuntas","Tidak Tuntas"))</f>
        <v>Tuntas</v>
      </c>
      <c r="AY49" s="65"/>
      <c r="AZ49" s="65"/>
      <c r="BA49" s="65"/>
      <c r="BB49" s="66"/>
      <c r="BC49" s="65"/>
      <c r="BD49" s="65"/>
      <c r="BE49" s="65"/>
      <c r="BF49" s="67">
        <f t="shared" si="22"/>
        <v>0</v>
      </c>
      <c r="BG49" s="68">
        <f t="shared" si="23"/>
        <v>0</v>
      </c>
      <c r="BH49" s="68">
        <f t="shared" si="24"/>
        <v>0</v>
      </c>
      <c r="BI49" s="69" t="str">
        <f t="shared" si="4"/>
        <v>D</v>
      </c>
      <c r="BJ49" s="70" t="str">
        <f>IF(BH49="  ","  ",IF(BH49&gt;=menu!$D$19,"Tuntas","Tidak Tuntas"))</f>
        <v>Tuntas</v>
      </c>
      <c r="BK49" s="65"/>
      <c r="BL49" s="65"/>
      <c r="BM49" s="65"/>
      <c r="BN49" s="66"/>
      <c r="BO49" s="65"/>
      <c r="BP49" s="65"/>
      <c r="BQ49" s="65"/>
      <c r="BR49" s="67">
        <f t="shared" si="25"/>
        <v>0</v>
      </c>
      <c r="BS49" s="68">
        <f t="shared" si="26"/>
        <v>0</v>
      </c>
      <c r="BT49" s="68">
        <f t="shared" si="27"/>
        <v>0</v>
      </c>
      <c r="BU49" s="69" t="str">
        <f t="shared" si="5"/>
        <v>D</v>
      </c>
      <c r="BV49" s="70" t="str">
        <f>IF(BT49="  ","  ",IF(BT49&gt;=menu!$D$19,"Tuntas","Tidak Tuntas"))</f>
        <v>Tuntas</v>
      </c>
      <c r="BW49" s="65"/>
      <c r="BX49" s="65"/>
      <c r="BY49" s="65"/>
      <c r="BZ49" s="66"/>
      <c r="CA49" s="65"/>
      <c r="CB49" s="65"/>
      <c r="CC49" s="65"/>
      <c r="CD49" s="67">
        <f t="shared" si="28"/>
        <v>0</v>
      </c>
      <c r="CE49" s="68">
        <f t="shared" si="29"/>
        <v>0</v>
      </c>
      <c r="CF49" s="68">
        <f t="shared" si="30"/>
        <v>0</v>
      </c>
      <c r="CG49" s="69" t="str">
        <f t="shared" si="6"/>
        <v>D</v>
      </c>
      <c r="CH49" s="70" t="str">
        <f>IF(CF49="  ","  ",IF(CF49&gt;=menu!$D$19,"Tuntas","Tidak Tuntas"))</f>
        <v>Tuntas</v>
      </c>
      <c r="CI49" s="65"/>
      <c r="CJ49" s="65"/>
      <c r="CK49" s="65"/>
      <c r="CL49" s="66"/>
      <c r="CM49" s="65"/>
      <c r="CN49" s="65"/>
      <c r="CO49" s="65"/>
      <c r="CP49" s="67">
        <f t="shared" si="31"/>
        <v>0</v>
      </c>
      <c r="CQ49" s="68">
        <f t="shared" si="32"/>
        <v>0</v>
      </c>
      <c r="CR49" s="68">
        <f t="shared" si="33"/>
        <v>0</v>
      </c>
      <c r="CS49" s="69" t="str">
        <f t="shared" si="7"/>
        <v>D</v>
      </c>
      <c r="CT49" s="70" t="str">
        <f>IF(CR49="  ","  ",IF(CR49&gt;=menu!$D$19,"Tuntas","Tidak Tuntas"))</f>
        <v>Tuntas</v>
      </c>
      <c r="CU49" s="65"/>
      <c r="CV49" s="65"/>
      <c r="CW49" s="65"/>
      <c r="CX49" s="66"/>
      <c r="CY49" s="65"/>
      <c r="CZ49" s="65"/>
      <c r="DA49" s="65"/>
      <c r="DB49" s="67">
        <f t="shared" si="34"/>
        <v>0</v>
      </c>
      <c r="DC49" s="68">
        <f t="shared" si="35"/>
        <v>0</v>
      </c>
      <c r="DD49" s="68">
        <f t="shared" si="36"/>
        <v>0</v>
      </c>
      <c r="DE49" s="69" t="str">
        <f t="shared" si="8"/>
        <v>D</v>
      </c>
      <c r="DF49" s="70" t="str">
        <f>IF(DD49="  ","  ",IF(DD49&gt;=menu!$D$19,"Tuntas","Tidak Tuntas"))</f>
        <v>Tuntas</v>
      </c>
      <c r="DG49" s="65"/>
      <c r="DH49" s="65"/>
      <c r="DI49" s="65"/>
      <c r="DJ49" s="66"/>
      <c r="DK49" s="65"/>
      <c r="DL49" s="65"/>
      <c r="DM49" s="65"/>
      <c r="DN49" s="67">
        <f t="shared" si="37"/>
        <v>0</v>
      </c>
      <c r="DO49" s="68">
        <f t="shared" si="38"/>
        <v>0</v>
      </c>
      <c r="DP49" s="68">
        <f t="shared" si="39"/>
        <v>0</v>
      </c>
      <c r="DQ49" s="69" t="str">
        <f t="shared" si="9"/>
        <v>D</v>
      </c>
      <c r="DR49" s="70" t="str">
        <f>IF(DP49="  ","  ",IF(DP49&gt;=menu!$D$19,"Tuntas","Tidak Tuntas"))</f>
        <v>Tuntas</v>
      </c>
    </row>
    <row r="50" spans="1:122">
      <c r="A50" s="64">
        <f>'DATA SISWA'!A36</f>
        <v>0</v>
      </c>
      <c r="B50" s="76">
        <f>'DATA SISWA'!C36</f>
        <v>0</v>
      </c>
      <c r="C50" s="65"/>
      <c r="D50" s="65"/>
      <c r="E50" s="65"/>
      <c r="F50" s="66"/>
      <c r="G50" s="65"/>
      <c r="H50" s="65"/>
      <c r="I50" s="65"/>
      <c r="J50" s="67">
        <f t="shared" si="10"/>
        <v>0</v>
      </c>
      <c r="K50" s="68">
        <f t="shared" si="11"/>
        <v>0</v>
      </c>
      <c r="L50" s="68">
        <f t="shared" si="12"/>
        <v>0</v>
      </c>
      <c r="M50" s="69" t="str">
        <f t="shared" si="0"/>
        <v>D</v>
      </c>
      <c r="N50" s="70" t="str">
        <f>IF(L50="  ","  ",IF(L50&gt;=menu!$D$19,"Tuntas","Tidak Tuntas"))</f>
        <v>Tuntas</v>
      </c>
      <c r="O50" s="65"/>
      <c r="P50" s="65"/>
      <c r="Q50" s="65"/>
      <c r="R50" s="66"/>
      <c r="S50" s="65"/>
      <c r="T50" s="65"/>
      <c r="U50" s="65"/>
      <c r="V50" s="67">
        <f t="shared" si="13"/>
        <v>0</v>
      </c>
      <c r="W50" s="68">
        <f t="shared" si="14"/>
        <v>0</v>
      </c>
      <c r="X50" s="68">
        <f t="shared" si="15"/>
        <v>0</v>
      </c>
      <c r="Y50" s="69" t="str">
        <f t="shared" si="1"/>
        <v>D</v>
      </c>
      <c r="Z50" s="70" t="str">
        <f>IF(X50="  ","  ",IF(X50&gt;=menu!$D$19,"Tuntas","Tidak Tuntas"))</f>
        <v>Tuntas</v>
      </c>
      <c r="AA50" s="65"/>
      <c r="AB50" s="65"/>
      <c r="AC50" s="65"/>
      <c r="AD50" s="66"/>
      <c r="AE50" s="65"/>
      <c r="AF50" s="65"/>
      <c r="AG50" s="65"/>
      <c r="AH50" s="67">
        <f t="shared" si="16"/>
        <v>0</v>
      </c>
      <c r="AI50" s="68">
        <f t="shared" si="17"/>
        <v>0</v>
      </c>
      <c r="AJ50" s="68">
        <f t="shared" si="18"/>
        <v>0</v>
      </c>
      <c r="AK50" s="69" t="str">
        <f t="shared" si="2"/>
        <v>D</v>
      </c>
      <c r="AL50" s="70" t="str">
        <f>IF(AJ50="  ","  ",IF(AJ50&gt;=menu!$D$19,"Tuntas","Tidak Tuntas"))</f>
        <v>Tuntas</v>
      </c>
      <c r="AM50" s="65"/>
      <c r="AN50" s="65"/>
      <c r="AO50" s="65"/>
      <c r="AP50" s="66"/>
      <c r="AQ50" s="65"/>
      <c r="AR50" s="65"/>
      <c r="AS50" s="65"/>
      <c r="AT50" s="67">
        <f t="shared" si="19"/>
        <v>0</v>
      </c>
      <c r="AU50" s="68">
        <f t="shared" si="20"/>
        <v>0</v>
      </c>
      <c r="AV50" s="68">
        <f t="shared" si="21"/>
        <v>0</v>
      </c>
      <c r="AW50" s="69" t="str">
        <f t="shared" si="3"/>
        <v>D</v>
      </c>
      <c r="AX50" s="70" t="str">
        <f>IF(AV50="  ","  ",IF(AV50&gt;=menu!$D$19,"Tuntas","Tidak Tuntas"))</f>
        <v>Tuntas</v>
      </c>
      <c r="AY50" s="65"/>
      <c r="AZ50" s="65"/>
      <c r="BA50" s="65"/>
      <c r="BB50" s="66"/>
      <c r="BC50" s="65"/>
      <c r="BD50" s="65"/>
      <c r="BE50" s="65"/>
      <c r="BF50" s="67">
        <f t="shared" si="22"/>
        <v>0</v>
      </c>
      <c r="BG50" s="68">
        <f t="shared" si="23"/>
        <v>0</v>
      </c>
      <c r="BH50" s="68">
        <f t="shared" si="24"/>
        <v>0</v>
      </c>
      <c r="BI50" s="69" t="str">
        <f t="shared" si="4"/>
        <v>D</v>
      </c>
      <c r="BJ50" s="70" t="str">
        <f>IF(BH50="  ","  ",IF(BH50&gt;=menu!$D$19,"Tuntas","Tidak Tuntas"))</f>
        <v>Tuntas</v>
      </c>
      <c r="BK50" s="65"/>
      <c r="BL50" s="65"/>
      <c r="BM50" s="65"/>
      <c r="BN50" s="66"/>
      <c r="BO50" s="65"/>
      <c r="BP50" s="65"/>
      <c r="BQ50" s="65"/>
      <c r="BR50" s="67">
        <f t="shared" si="25"/>
        <v>0</v>
      </c>
      <c r="BS50" s="68">
        <f t="shared" si="26"/>
        <v>0</v>
      </c>
      <c r="BT50" s="68">
        <f t="shared" si="27"/>
        <v>0</v>
      </c>
      <c r="BU50" s="69" t="str">
        <f t="shared" si="5"/>
        <v>D</v>
      </c>
      <c r="BV50" s="70" t="str">
        <f>IF(BT50="  ","  ",IF(BT50&gt;=menu!$D$19,"Tuntas","Tidak Tuntas"))</f>
        <v>Tuntas</v>
      </c>
      <c r="BW50" s="65"/>
      <c r="BX50" s="65"/>
      <c r="BY50" s="65"/>
      <c r="BZ50" s="66"/>
      <c r="CA50" s="65"/>
      <c r="CB50" s="65"/>
      <c r="CC50" s="65"/>
      <c r="CD50" s="67">
        <f t="shared" si="28"/>
        <v>0</v>
      </c>
      <c r="CE50" s="68">
        <f t="shared" si="29"/>
        <v>0</v>
      </c>
      <c r="CF50" s="68">
        <f t="shared" si="30"/>
        <v>0</v>
      </c>
      <c r="CG50" s="69" t="str">
        <f t="shared" si="6"/>
        <v>D</v>
      </c>
      <c r="CH50" s="70" t="str">
        <f>IF(CF50="  ","  ",IF(CF50&gt;=menu!$D$19,"Tuntas","Tidak Tuntas"))</f>
        <v>Tuntas</v>
      </c>
      <c r="CI50" s="65"/>
      <c r="CJ50" s="65"/>
      <c r="CK50" s="65"/>
      <c r="CL50" s="66"/>
      <c r="CM50" s="65"/>
      <c r="CN50" s="65"/>
      <c r="CO50" s="65"/>
      <c r="CP50" s="67">
        <f t="shared" si="31"/>
        <v>0</v>
      </c>
      <c r="CQ50" s="68">
        <f t="shared" si="32"/>
        <v>0</v>
      </c>
      <c r="CR50" s="68">
        <f t="shared" si="33"/>
        <v>0</v>
      </c>
      <c r="CS50" s="69" t="str">
        <f t="shared" si="7"/>
        <v>D</v>
      </c>
      <c r="CT50" s="70" t="str">
        <f>IF(CR50="  ","  ",IF(CR50&gt;=menu!$D$19,"Tuntas","Tidak Tuntas"))</f>
        <v>Tuntas</v>
      </c>
      <c r="CU50" s="65"/>
      <c r="CV50" s="65"/>
      <c r="CW50" s="65"/>
      <c r="CX50" s="66"/>
      <c r="CY50" s="65"/>
      <c r="CZ50" s="65"/>
      <c r="DA50" s="65"/>
      <c r="DB50" s="67">
        <f t="shared" si="34"/>
        <v>0</v>
      </c>
      <c r="DC50" s="68">
        <f t="shared" si="35"/>
        <v>0</v>
      </c>
      <c r="DD50" s="68">
        <f t="shared" si="36"/>
        <v>0</v>
      </c>
      <c r="DE50" s="69" t="str">
        <f t="shared" si="8"/>
        <v>D</v>
      </c>
      <c r="DF50" s="70" t="str">
        <f>IF(DD50="  ","  ",IF(DD50&gt;=menu!$D$19,"Tuntas","Tidak Tuntas"))</f>
        <v>Tuntas</v>
      </c>
      <c r="DG50" s="65"/>
      <c r="DH50" s="65"/>
      <c r="DI50" s="65"/>
      <c r="DJ50" s="66"/>
      <c r="DK50" s="65"/>
      <c r="DL50" s="65"/>
      <c r="DM50" s="65"/>
      <c r="DN50" s="67">
        <f t="shared" si="37"/>
        <v>0</v>
      </c>
      <c r="DO50" s="68">
        <f t="shared" si="38"/>
        <v>0</v>
      </c>
      <c r="DP50" s="68">
        <f t="shared" si="39"/>
        <v>0</v>
      </c>
      <c r="DQ50" s="69" t="str">
        <f t="shared" si="9"/>
        <v>D</v>
      </c>
      <c r="DR50" s="70" t="str">
        <f>IF(DP50="  ","  ",IF(DP50&gt;=menu!$D$19,"Tuntas","Tidak Tuntas"))</f>
        <v>Tuntas</v>
      </c>
    </row>
    <row r="51" spans="1:122">
      <c r="A51" s="64">
        <f>'DATA SISWA'!A37</f>
        <v>0</v>
      </c>
      <c r="B51" s="76">
        <f>'DATA SISWA'!C37</f>
        <v>0</v>
      </c>
      <c r="C51" s="65"/>
      <c r="D51" s="65"/>
      <c r="E51" s="65"/>
      <c r="F51" s="66"/>
      <c r="G51" s="65"/>
      <c r="H51" s="65"/>
      <c r="I51" s="65"/>
      <c r="J51" s="67">
        <f t="shared" si="10"/>
        <v>0</v>
      </c>
      <c r="K51" s="68">
        <f t="shared" si="11"/>
        <v>0</v>
      </c>
      <c r="L51" s="68">
        <f t="shared" si="12"/>
        <v>0</v>
      </c>
      <c r="M51" s="69" t="str">
        <f t="shared" si="0"/>
        <v>D</v>
      </c>
      <c r="N51" s="70" t="str">
        <f>IF(L51="  ","  ",IF(L51&gt;=menu!$D$19,"Tuntas","Tidak Tuntas"))</f>
        <v>Tuntas</v>
      </c>
      <c r="O51" s="65"/>
      <c r="P51" s="65"/>
      <c r="Q51" s="65"/>
      <c r="R51" s="66"/>
      <c r="S51" s="65"/>
      <c r="T51" s="65"/>
      <c r="U51" s="65"/>
      <c r="V51" s="67">
        <f t="shared" si="13"/>
        <v>0</v>
      </c>
      <c r="W51" s="68">
        <f t="shared" si="14"/>
        <v>0</v>
      </c>
      <c r="X51" s="68">
        <f t="shared" si="15"/>
        <v>0</v>
      </c>
      <c r="Y51" s="69" t="str">
        <f t="shared" si="1"/>
        <v>D</v>
      </c>
      <c r="Z51" s="70" t="str">
        <f>IF(X51="  ","  ",IF(X51&gt;=menu!$D$19,"Tuntas","Tidak Tuntas"))</f>
        <v>Tuntas</v>
      </c>
      <c r="AA51" s="65"/>
      <c r="AB51" s="65"/>
      <c r="AC51" s="65"/>
      <c r="AD51" s="66"/>
      <c r="AE51" s="65"/>
      <c r="AF51" s="65"/>
      <c r="AG51" s="65"/>
      <c r="AH51" s="67">
        <f t="shared" si="16"/>
        <v>0</v>
      </c>
      <c r="AI51" s="68">
        <f t="shared" si="17"/>
        <v>0</v>
      </c>
      <c r="AJ51" s="68">
        <f t="shared" si="18"/>
        <v>0</v>
      </c>
      <c r="AK51" s="69" t="str">
        <f t="shared" si="2"/>
        <v>D</v>
      </c>
      <c r="AL51" s="70" t="str">
        <f>IF(AJ51="  ","  ",IF(AJ51&gt;=menu!$D$19,"Tuntas","Tidak Tuntas"))</f>
        <v>Tuntas</v>
      </c>
      <c r="AM51" s="65"/>
      <c r="AN51" s="65"/>
      <c r="AO51" s="65"/>
      <c r="AP51" s="66"/>
      <c r="AQ51" s="65"/>
      <c r="AR51" s="65"/>
      <c r="AS51" s="65"/>
      <c r="AT51" s="67">
        <f t="shared" si="19"/>
        <v>0</v>
      </c>
      <c r="AU51" s="68">
        <f t="shared" si="20"/>
        <v>0</v>
      </c>
      <c r="AV51" s="68">
        <f t="shared" si="21"/>
        <v>0</v>
      </c>
      <c r="AW51" s="69" t="str">
        <f t="shared" si="3"/>
        <v>D</v>
      </c>
      <c r="AX51" s="70" t="str">
        <f>IF(AV51="  ","  ",IF(AV51&gt;=menu!$D$19,"Tuntas","Tidak Tuntas"))</f>
        <v>Tuntas</v>
      </c>
      <c r="AY51" s="65"/>
      <c r="AZ51" s="65"/>
      <c r="BA51" s="65"/>
      <c r="BB51" s="66"/>
      <c r="BC51" s="65"/>
      <c r="BD51" s="65"/>
      <c r="BE51" s="65"/>
      <c r="BF51" s="67">
        <f t="shared" si="22"/>
        <v>0</v>
      </c>
      <c r="BG51" s="68">
        <f t="shared" si="23"/>
        <v>0</v>
      </c>
      <c r="BH51" s="68">
        <f t="shared" si="24"/>
        <v>0</v>
      </c>
      <c r="BI51" s="69" t="str">
        <f t="shared" si="4"/>
        <v>D</v>
      </c>
      <c r="BJ51" s="70" t="str">
        <f>IF(BH51="  ","  ",IF(BH51&gt;=menu!$D$19,"Tuntas","Tidak Tuntas"))</f>
        <v>Tuntas</v>
      </c>
      <c r="BK51" s="65"/>
      <c r="BL51" s="65"/>
      <c r="BM51" s="65"/>
      <c r="BN51" s="66"/>
      <c r="BO51" s="65"/>
      <c r="BP51" s="65"/>
      <c r="BQ51" s="65"/>
      <c r="BR51" s="67">
        <f t="shared" si="25"/>
        <v>0</v>
      </c>
      <c r="BS51" s="68">
        <f t="shared" si="26"/>
        <v>0</v>
      </c>
      <c r="BT51" s="68">
        <f t="shared" si="27"/>
        <v>0</v>
      </c>
      <c r="BU51" s="69" t="str">
        <f t="shared" si="5"/>
        <v>D</v>
      </c>
      <c r="BV51" s="70" t="str">
        <f>IF(BT51="  ","  ",IF(BT51&gt;=menu!$D$19,"Tuntas","Tidak Tuntas"))</f>
        <v>Tuntas</v>
      </c>
      <c r="BW51" s="65"/>
      <c r="BX51" s="65"/>
      <c r="BY51" s="65"/>
      <c r="BZ51" s="66"/>
      <c r="CA51" s="65"/>
      <c r="CB51" s="65"/>
      <c r="CC51" s="65"/>
      <c r="CD51" s="67">
        <f t="shared" si="28"/>
        <v>0</v>
      </c>
      <c r="CE51" s="68">
        <f t="shared" si="29"/>
        <v>0</v>
      </c>
      <c r="CF51" s="68">
        <f t="shared" si="30"/>
        <v>0</v>
      </c>
      <c r="CG51" s="69" t="str">
        <f t="shared" si="6"/>
        <v>D</v>
      </c>
      <c r="CH51" s="70" t="str">
        <f>IF(CF51="  ","  ",IF(CF51&gt;=menu!$D$19,"Tuntas","Tidak Tuntas"))</f>
        <v>Tuntas</v>
      </c>
      <c r="CI51" s="65"/>
      <c r="CJ51" s="65"/>
      <c r="CK51" s="65"/>
      <c r="CL51" s="66"/>
      <c r="CM51" s="65"/>
      <c r="CN51" s="65"/>
      <c r="CO51" s="65"/>
      <c r="CP51" s="67">
        <f t="shared" si="31"/>
        <v>0</v>
      </c>
      <c r="CQ51" s="68">
        <f t="shared" si="32"/>
        <v>0</v>
      </c>
      <c r="CR51" s="68">
        <f t="shared" si="33"/>
        <v>0</v>
      </c>
      <c r="CS51" s="69" t="str">
        <f t="shared" si="7"/>
        <v>D</v>
      </c>
      <c r="CT51" s="70" t="str">
        <f>IF(CR51="  ","  ",IF(CR51&gt;=menu!$D$19,"Tuntas","Tidak Tuntas"))</f>
        <v>Tuntas</v>
      </c>
      <c r="CU51" s="65"/>
      <c r="CV51" s="65"/>
      <c r="CW51" s="65"/>
      <c r="CX51" s="66"/>
      <c r="CY51" s="65"/>
      <c r="CZ51" s="65"/>
      <c r="DA51" s="65"/>
      <c r="DB51" s="67">
        <f t="shared" si="34"/>
        <v>0</v>
      </c>
      <c r="DC51" s="68">
        <f t="shared" si="35"/>
        <v>0</v>
      </c>
      <c r="DD51" s="68">
        <f t="shared" si="36"/>
        <v>0</v>
      </c>
      <c r="DE51" s="69" t="str">
        <f t="shared" si="8"/>
        <v>D</v>
      </c>
      <c r="DF51" s="70" t="str">
        <f>IF(DD51="  ","  ",IF(DD51&gt;=menu!$D$19,"Tuntas","Tidak Tuntas"))</f>
        <v>Tuntas</v>
      </c>
      <c r="DG51" s="65"/>
      <c r="DH51" s="65"/>
      <c r="DI51" s="65"/>
      <c r="DJ51" s="66"/>
      <c r="DK51" s="65"/>
      <c r="DL51" s="65"/>
      <c r="DM51" s="65"/>
      <c r="DN51" s="67">
        <f t="shared" si="37"/>
        <v>0</v>
      </c>
      <c r="DO51" s="68">
        <f t="shared" si="38"/>
        <v>0</v>
      </c>
      <c r="DP51" s="68">
        <f t="shared" si="39"/>
        <v>0</v>
      </c>
      <c r="DQ51" s="69" t="str">
        <f t="shared" si="9"/>
        <v>D</v>
      </c>
      <c r="DR51" s="70" t="str">
        <f>IF(DP51="  ","  ",IF(DP51&gt;=menu!$D$19,"Tuntas","Tidak Tuntas"))</f>
        <v>Tuntas</v>
      </c>
    </row>
    <row r="52" spans="1:122">
      <c r="A52" s="64">
        <f>'DATA SISWA'!A38</f>
        <v>0</v>
      </c>
      <c r="B52" s="76">
        <f>'DATA SISWA'!C38</f>
        <v>0</v>
      </c>
      <c r="C52" s="65"/>
      <c r="D52" s="65"/>
      <c r="E52" s="65"/>
      <c r="F52" s="66"/>
      <c r="G52" s="65"/>
      <c r="H52" s="65"/>
      <c r="I52" s="65"/>
      <c r="J52" s="67">
        <f t="shared" si="10"/>
        <v>0</v>
      </c>
      <c r="K52" s="68">
        <f t="shared" si="11"/>
        <v>0</v>
      </c>
      <c r="L52" s="68">
        <f t="shared" si="12"/>
        <v>0</v>
      </c>
      <c r="M52" s="69" t="str">
        <f t="shared" si="0"/>
        <v>D</v>
      </c>
      <c r="N52" s="70" t="str">
        <f>IF(L52="  ","  ",IF(L52&gt;=menu!$D$19,"Tuntas","Tidak Tuntas"))</f>
        <v>Tuntas</v>
      </c>
      <c r="O52" s="65"/>
      <c r="P52" s="65"/>
      <c r="Q52" s="65"/>
      <c r="R52" s="66"/>
      <c r="S52" s="65"/>
      <c r="T52" s="65"/>
      <c r="U52" s="65"/>
      <c r="V52" s="67">
        <f t="shared" si="13"/>
        <v>0</v>
      </c>
      <c r="W52" s="68">
        <f t="shared" si="14"/>
        <v>0</v>
      </c>
      <c r="X52" s="68">
        <f t="shared" si="15"/>
        <v>0</v>
      </c>
      <c r="Y52" s="69" t="str">
        <f t="shared" si="1"/>
        <v>D</v>
      </c>
      <c r="Z52" s="70" t="str">
        <f>IF(X52="  ","  ",IF(X52&gt;=menu!$D$19,"Tuntas","Tidak Tuntas"))</f>
        <v>Tuntas</v>
      </c>
      <c r="AA52" s="65"/>
      <c r="AB52" s="65"/>
      <c r="AC52" s="65"/>
      <c r="AD52" s="66"/>
      <c r="AE52" s="65"/>
      <c r="AF52" s="65"/>
      <c r="AG52" s="65"/>
      <c r="AH52" s="67">
        <f t="shared" si="16"/>
        <v>0</v>
      </c>
      <c r="AI52" s="68">
        <f t="shared" si="17"/>
        <v>0</v>
      </c>
      <c r="AJ52" s="68">
        <f t="shared" si="18"/>
        <v>0</v>
      </c>
      <c r="AK52" s="69" t="str">
        <f t="shared" si="2"/>
        <v>D</v>
      </c>
      <c r="AL52" s="70" t="str">
        <f>IF(AJ52="  ","  ",IF(AJ52&gt;=menu!$D$19,"Tuntas","Tidak Tuntas"))</f>
        <v>Tuntas</v>
      </c>
      <c r="AM52" s="65"/>
      <c r="AN52" s="65"/>
      <c r="AO52" s="65"/>
      <c r="AP52" s="66"/>
      <c r="AQ52" s="65"/>
      <c r="AR52" s="65"/>
      <c r="AS52" s="65"/>
      <c r="AT52" s="67">
        <f t="shared" si="19"/>
        <v>0</v>
      </c>
      <c r="AU52" s="68">
        <f t="shared" si="20"/>
        <v>0</v>
      </c>
      <c r="AV52" s="68">
        <f t="shared" si="21"/>
        <v>0</v>
      </c>
      <c r="AW52" s="69" t="str">
        <f t="shared" si="3"/>
        <v>D</v>
      </c>
      <c r="AX52" s="70" t="str">
        <f>IF(AV52="  ","  ",IF(AV52&gt;=menu!$D$19,"Tuntas","Tidak Tuntas"))</f>
        <v>Tuntas</v>
      </c>
      <c r="AY52" s="65"/>
      <c r="AZ52" s="65"/>
      <c r="BA52" s="65"/>
      <c r="BB52" s="66"/>
      <c r="BC52" s="65"/>
      <c r="BD52" s="65"/>
      <c r="BE52" s="65"/>
      <c r="BF52" s="67">
        <f t="shared" si="22"/>
        <v>0</v>
      </c>
      <c r="BG52" s="68">
        <f t="shared" si="23"/>
        <v>0</v>
      </c>
      <c r="BH52" s="68">
        <f t="shared" si="24"/>
        <v>0</v>
      </c>
      <c r="BI52" s="69" t="str">
        <f t="shared" si="4"/>
        <v>D</v>
      </c>
      <c r="BJ52" s="70" t="str">
        <f>IF(BH52="  ","  ",IF(BH52&gt;=menu!$D$19,"Tuntas","Tidak Tuntas"))</f>
        <v>Tuntas</v>
      </c>
      <c r="BK52" s="65"/>
      <c r="BL52" s="65"/>
      <c r="BM52" s="65"/>
      <c r="BN52" s="66"/>
      <c r="BO52" s="65"/>
      <c r="BP52" s="65"/>
      <c r="BQ52" s="65"/>
      <c r="BR52" s="67">
        <f t="shared" si="25"/>
        <v>0</v>
      </c>
      <c r="BS52" s="68">
        <f t="shared" si="26"/>
        <v>0</v>
      </c>
      <c r="BT52" s="68">
        <f t="shared" si="27"/>
        <v>0</v>
      </c>
      <c r="BU52" s="69" t="str">
        <f t="shared" si="5"/>
        <v>D</v>
      </c>
      <c r="BV52" s="70" t="str">
        <f>IF(BT52="  ","  ",IF(BT52&gt;=menu!$D$19,"Tuntas","Tidak Tuntas"))</f>
        <v>Tuntas</v>
      </c>
      <c r="BW52" s="65"/>
      <c r="BX52" s="65"/>
      <c r="BY52" s="65"/>
      <c r="BZ52" s="66"/>
      <c r="CA52" s="65"/>
      <c r="CB52" s="65"/>
      <c r="CC52" s="65"/>
      <c r="CD52" s="67">
        <f t="shared" si="28"/>
        <v>0</v>
      </c>
      <c r="CE52" s="68">
        <f t="shared" si="29"/>
        <v>0</v>
      </c>
      <c r="CF52" s="68">
        <f t="shared" si="30"/>
        <v>0</v>
      </c>
      <c r="CG52" s="69" t="str">
        <f t="shared" si="6"/>
        <v>D</v>
      </c>
      <c r="CH52" s="70" t="str">
        <f>IF(CF52="  ","  ",IF(CF52&gt;=menu!$D$19,"Tuntas","Tidak Tuntas"))</f>
        <v>Tuntas</v>
      </c>
      <c r="CI52" s="65"/>
      <c r="CJ52" s="65"/>
      <c r="CK52" s="65"/>
      <c r="CL52" s="66"/>
      <c r="CM52" s="65"/>
      <c r="CN52" s="65"/>
      <c r="CO52" s="65"/>
      <c r="CP52" s="67">
        <f t="shared" si="31"/>
        <v>0</v>
      </c>
      <c r="CQ52" s="68">
        <f t="shared" si="32"/>
        <v>0</v>
      </c>
      <c r="CR52" s="68">
        <f t="shared" si="33"/>
        <v>0</v>
      </c>
      <c r="CS52" s="69" t="str">
        <f t="shared" si="7"/>
        <v>D</v>
      </c>
      <c r="CT52" s="70" t="str">
        <f>IF(CR52="  ","  ",IF(CR52&gt;=menu!$D$19,"Tuntas","Tidak Tuntas"))</f>
        <v>Tuntas</v>
      </c>
      <c r="CU52" s="65"/>
      <c r="CV52" s="65"/>
      <c r="CW52" s="65"/>
      <c r="CX52" s="66"/>
      <c r="CY52" s="65"/>
      <c r="CZ52" s="65"/>
      <c r="DA52" s="65"/>
      <c r="DB52" s="67">
        <f t="shared" si="34"/>
        <v>0</v>
      </c>
      <c r="DC52" s="68">
        <f t="shared" si="35"/>
        <v>0</v>
      </c>
      <c r="DD52" s="68">
        <f t="shared" si="36"/>
        <v>0</v>
      </c>
      <c r="DE52" s="69" t="str">
        <f t="shared" si="8"/>
        <v>D</v>
      </c>
      <c r="DF52" s="70" t="str">
        <f>IF(DD52="  ","  ",IF(DD52&gt;=menu!$D$19,"Tuntas","Tidak Tuntas"))</f>
        <v>Tuntas</v>
      </c>
      <c r="DG52" s="65"/>
      <c r="DH52" s="65"/>
      <c r="DI52" s="65"/>
      <c r="DJ52" s="66"/>
      <c r="DK52" s="65"/>
      <c r="DL52" s="65"/>
      <c r="DM52" s="65"/>
      <c r="DN52" s="67">
        <f t="shared" si="37"/>
        <v>0</v>
      </c>
      <c r="DO52" s="68">
        <f t="shared" si="38"/>
        <v>0</v>
      </c>
      <c r="DP52" s="68">
        <f t="shared" si="39"/>
        <v>0</v>
      </c>
      <c r="DQ52" s="69" t="str">
        <f t="shared" si="9"/>
        <v>D</v>
      </c>
      <c r="DR52" s="70" t="str">
        <f>IF(DP52="  ","  ",IF(DP52&gt;=menu!$D$19,"Tuntas","Tidak Tuntas"))</f>
        <v>Tuntas</v>
      </c>
    </row>
    <row r="53" spans="1:122">
      <c r="A53" s="64">
        <f>'DATA SISWA'!A39</f>
        <v>0</v>
      </c>
      <c r="B53" s="76">
        <f>'DATA SISWA'!C39</f>
        <v>0</v>
      </c>
      <c r="C53" s="65"/>
      <c r="D53" s="65"/>
      <c r="E53" s="65"/>
      <c r="F53" s="66"/>
      <c r="G53" s="65"/>
      <c r="H53" s="65"/>
      <c r="I53" s="65"/>
      <c r="J53" s="67">
        <f t="shared" si="10"/>
        <v>0</v>
      </c>
      <c r="K53" s="68">
        <f t="shared" si="11"/>
        <v>0</v>
      </c>
      <c r="L53" s="68">
        <f t="shared" si="12"/>
        <v>0</v>
      </c>
      <c r="M53" s="69" t="str">
        <f t="shared" si="0"/>
        <v>D</v>
      </c>
      <c r="N53" s="70" t="str">
        <f>IF(L53="  ","  ",IF(L53&gt;=menu!$D$19,"Tuntas","Tidak Tuntas"))</f>
        <v>Tuntas</v>
      </c>
      <c r="O53" s="65"/>
      <c r="P53" s="65"/>
      <c r="Q53" s="65"/>
      <c r="R53" s="66"/>
      <c r="S53" s="65"/>
      <c r="T53" s="65"/>
      <c r="U53" s="65"/>
      <c r="V53" s="67">
        <f t="shared" si="13"/>
        <v>0</v>
      </c>
      <c r="W53" s="68">
        <f t="shared" si="14"/>
        <v>0</v>
      </c>
      <c r="X53" s="68">
        <f t="shared" si="15"/>
        <v>0</v>
      </c>
      <c r="Y53" s="69" t="str">
        <f t="shared" si="1"/>
        <v>D</v>
      </c>
      <c r="Z53" s="70" t="str">
        <f>IF(X53="  ","  ",IF(X53&gt;=menu!$D$19,"Tuntas","Tidak Tuntas"))</f>
        <v>Tuntas</v>
      </c>
      <c r="AA53" s="65"/>
      <c r="AB53" s="65"/>
      <c r="AC53" s="65"/>
      <c r="AD53" s="66"/>
      <c r="AE53" s="65"/>
      <c r="AF53" s="65"/>
      <c r="AG53" s="65"/>
      <c r="AH53" s="67">
        <f t="shared" si="16"/>
        <v>0</v>
      </c>
      <c r="AI53" s="68">
        <f t="shared" si="17"/>
        <v>0</v>
      </c>
      <c r="AJ53" s="68">
        <f t="shared" si="18"/>
        <v>0</v>
      </c>
      <c r="AK53" s="69" t="str">
        <f t="shared" si="2"/>
        <v>D</v>
      </c>
      <c r="AL53" s="70" t="str">
        <f>IF(AJ53="  ","  ",IF(AJ53&gt;=menu!$D$19,"Tuntas","Tidak Tuntas"))</f>
        <v>Tuntas</v>
      </c>
      <c r="AM53" s="65"/>
      <c r="AN53" s="65"/>
      <c r="AO53" s="65"/>
      <c r="AP53" s="66"/>
      <c r="AQ53" s="65"/>
      <c r="AR53" s="65"/>
      <c r="AS53" s="65"/>
      <c r="AT53" s="67">
        <f t="shared" si="19"/>
        <v>0</v>
      </c>
      <c r="AU53" s="68">
        <f t="shared" si="20"/>
        <v>0</v>
      </c>
      <c r="AV53" s="68">
        <f t="shared" si="21"/>
        <v>0</v>
      </c>
      <c r="AW53" s="69" t="str">
        <f t="shared" si="3"/>
        <v>D</v>
      </c>
      <c r="AX53" s="70" t="str">
        <f>IF(AV53="  ","  ",IF(AV53&gt;=menu!$D$19,"Tuntas","Tidak Tuntas"))</f>
        <v>Tuntas</v>
      </c>
      <c r="AY53" s="65"/>
      <c r="AZ53" s="65"/>
      <c r="BA53" s="65"/>
      <c r="BB53" s="66"/>
      <c r="BC53" s="65"/>
      <c r="BD53" s="65"/>
      <c r="BE53" s="65"/>
      <c r="BF53" s="67">
        <f t="shared" si="22"/>
        <v>0</v>
      </c>
      <c r="BG53" s="68">
        <f t="shared" si="23"/>
        <v>0</v>
      </c>
      <c r="BH53" s="68">
        <f t="shared" si="24"/>
        <v>0</v>
      </c>
      <c r="BI53" s="69" t="str">
        <f t="shared" si="4"/>
        <v>D</v>
      </c>
      <c r="BJ53" s="70" t="str">
        <f>IF(BH53="  ","  ",IF(BH53&gt;=menu!$D$19,"Tuntas","Tidak Tuntas"))</f>
        <v>Tuntas</v>
      </c>
      <c r="BK53" s="65"/>
      <c r="BL53" s="65"/>
      <c r="BM53" s="65"/>
      <c r="BN53" s="66"/>
      <c r="BO53" s="65"/>
      <c r="BP53" s="65"/>
      <c r="BQ53" s="65"/>
      <c r="BR53" s="67">
        <f t="shared" si="25"/>
        <v>0</v>
      </c>
      <c r="BS53" s="68">
        <f t="shared" si="26"/>
        <v>0</v>
      </c>
      <c r="BT53" s="68">
        <f t="shared" si="27"/>
        <v>0</v>
      </c>
      <c r="BU53" s="69" t="str">
        <f t="shared" si="5"/>
        <v>D</v>
      </c>
      <c r="BV53" s="70" t="str">
        <f>IF(BT53="  ","  ",IF(BT53&gt;=menu!$D$19,"Tuntas","Tidak Tuntas"))</f>
        <v>Tuntas</v>
      </c>
      <c r="BW53" s="65"/>
      <c r="BX53" s="65"/>
      <c r="BY53" s="65"/>
      <c r="BZ53" s="66"/>
      <c r="CA53" s="65"/>
      <c r="CB53" s="65"/>
      <c r="CC53" s="65"/>
      <c r="CD53" s="67">
        <f t="shared" si="28"/>
        <v>0</v>
      </c>
      <c r="CE53" s="68">
        <f t="shared" si="29"/>
        <v>0</v>
      </c>
      <c r="CF53" s="68">
        <f t="shared" si="30"/>
        <v>0</v>
      </c>
      <c r="CG53" s="69" t="str">
        <f t="shared" si="6"/>
        <v>D</v>
      </c>
      <c r="CH53" s="70" t="str">
        <f>IF(CF53="  ","  ",IF(CF53&gt;=menu!$D$19,"Tuntas","Tidak Tuntas"))</f>
        <v>Tuntas</v>
      </c>
      <c r="CI53" s="65"/>
      <c r="CJ53" s="65"/>
      <c r="CK53" s="65"/>
      <c r="CL53" s="66"/>
      <c r="CM53" s="65"/>
      <c r="CN53" s="65"/>
      <c r="CO53" s="65"/>
      <c r="CP53" s="67">
        <f t="shared" si="31"/>
        <v>0</v>
      </c>
      <c r="CQ53" s="68">
        <f t="shared" si="32"/>
        <v>0</v>
      </c>
      <c r="CR53" s="68">
        <f t="shared" si="33"/>
        <v>0</v>
      </c>
      <c r="CS53" s="69" t="str">
        <f t="shared" si="7"/>
        <v>D</v>
      </c>
      <c r="CT53" s="70" t="str">
        <f>IF(CR53="  ","  ",IF(CR53&gt;=menu!$D$19,"Tuntas","Tidak Tuntas"))</f>
        <v>Tuntas</v>
      </c>
      <c r="CU53" s="65"/>
      <c r="CV53" s="65"/>
      <c r="CW53" s="65"/>
      <c r="CX53" s="66"/>
      <c r="CY53" s="65"/>
      <c r="CZ53" s="65"/>
      <c r="DA53" s="65"/>
      <c r="DB53" s="67">
        <f t="shared" si="34"/>
        <v>0</v>
      </c>
      <c r="DC53" s="68">
        <f t="shared" si="35"/>
        <v>0</v>
      </c>
      <c r="DD53" s="68">
        <f t="shared" si="36"/>
        <v>0</v>
      </c>
      <c r="DE53" s="69" t="str">
        <f t="shared" si="8"/>
        <v>D</v>
      </c>
      <c r="DF53" s="70" t="str">
        <f>IF(DD53="  ","  ",IF(DD53&gt;=menu!$D$19,"Tuntas","Tidak Tuntas"))</f>
        <v>Tuntas</v>
      </c>
      <c r="DG53" s="65"/>
      <c r="DH53" s="65"/>
      <c r="DI53" s="65"/>
      <c r="DJ53" s="66"/>
      <c r="DK53" s="65"/>
      <c r="DL53" s="65"/>
      <c r="DM53" s="65"/>
      <c r="DN53" s="67">
        <f t="shared" si="37"/>
        <v>0</v>
      </c>
      <c r="DO53" s="68">
        <f t="shared" si="38"/>
        <v>0</v>
      </c>
      <c r="DP53" s="68">
        <f t="shared" si="39"/>
        <v>0</v>
      </c>
      <c r="DQ53" s="69" t="str">
        <f t="shared" si="9"/>
        <v>D</v>
      </c>
      <c r="DR53" s="70" t="str">
        <f>IF(DP53="  ","  ",IF(DP53&gt;=menu!$D$19,"Tuntas","Tidak Tuntas"))</f>
        <v>Tuntas</v>
      </c>
    </row>
    <row r="54" spans="1:122">
      <c r="A54" s="64">
        <f>'DATA SISWA'!A40</f>
        <v>0</v>
      </c>
      <c r="B54" s="76">
        <f>'DATA SISWA'!C40</f>
        <v>0</v>
      </c>
      <c r="C54" s="65"/>
      <c r="D54" s="65"/>
      <c r="E54" s="65"/>
      <c r="F54" s="66"/>
      <c r="G54" s="65"/>
      <c r="H54" s="65"/>
      <c r="I54" s="65"/>
      <c r="J54" s="67">
        <f t="shared" si="10"/>
        <v>0</v>
      </c>
      <c r="K54" s="68">
        <f t="shared" si="11"/>
        <v>0</v>
      </c>
      <c r="L54" s="68">
        <f t="shared" si="12"/>
        <v>0</v>
      </c>
      <c r="M54" s="69" t="str">
        <f t="shared" si="0"/>
        <v>D</v>
      </c>
      <c r="N54" s="70" t="str">
        <f>IF(L54="  ","  ",IF(L54&gt;=menu!$D$19,"Tuntas","Tidak Tuntas"))</f>
        <v>Tuntas</v>
      </c>
      <c r="O54" s="65"/>
      <c r="P54" s="65"/>
      <c r="Q54" s="65"/>
      <c r="R54" s="66"/>
      <c r="S54" s="65"/>
      <c r="T54" s="65"/>
      <c r="U54" s="65"/>
      <c r="V54" s="67">
        <f t="shared" si="13"/>
        <v>0</v>
      </c>
      <c r="W54" s="68">
        <f t="shared" si="14"/>
        <v>0</v>
      </c>
      <c r="X54" s="68">
        <f t="shared" si="15"/>
        <v>0</v>
      </c>
      <c r="Y54" s="69" t="str">
        <f t="shared" si="1"/>
        <v>D</v>
      </c>
      <c r="Z54" s="70" t="str">
        <f>IF(X54="  ","  ",IF(X54&gt;=menu!$D$19,"Tuntas","Tidak Tuntas"))</f>
        <v>Tuntas</v>
      </c>
      <c r="AA54" s="65"/>
      <c r="AB54" s="65"/>
      <c r="AC54" s="65"/>
      <c r="AD54" s="66"/>
      <c r="AE54" s="65"/>
      <c r="AF54" s="65"/>
      <c r="AG54" s="65"/>
      <c r="AH54" s="67">
        <f t="shared" si="16"/>
        <v>0</v>
      </c>
      <c r="AI54" s="68">
        <f t="shared" si="17"/>
        <v>0</v>
      </c>
      <c r="AJ54" s="68">
        <f t="shared" si="18"/>
        <v>0</v>
      </c>
      <c r="AK54" s="69" t="str">
        <f t="shared" si="2"/>
        <v>D</v>
      </c>
      <c r="AL54" s="70" t="str">
        <f>IF(AJ54="  ","  ",IF(AJ54&gt;=menu!$D$19,"Tuntas","Tidak Tuntas"))</f>
        <v>Tuntas</v>
      </c>
      <c r="AM54" s="65"/>
      <c r="AN54" s="65"/>
      <c r="AO54" s="65"/>
      <c r="AP54" s="66"/>
      <c r="AQ54" s="65"/>
      <c r="AR54" s="65"/>
      <c r="AS54" s="65"/>
      <c r="AT54" s="67">
        <f t="shared" si="19"/>
        <v>0</v>
      </c>
      <c r="AU54" s="68">
        <f t="shared" si="20"/>
        <v>0</v>
      </c>
      <c r="AV54" s="68">
        <f t="shared" si="21"/>
        <v>0</v>
      </c>
      <c r="AW54" s="69" t="str">
        <f t="shared" si="3"/>
        <v>D</v>
      </c>
      <c r="AX54" s="70" t="str">
        <f>IF(AV54="  ","  ",IF(AV54&gt;=menu!$D$19,"Tuntas","Tidak Tuntas"))</f>
        <v>Tuntas</v>
      </c>
      <c r="AY54" s="65"/>
      <c r="AZ54" s="65"/>
      <c r="BA54" s="65"/>
      <c r="BB54" s="66"/>
      <c r="BC54" s="65"/>
      <c r="BD54" s="65"/>
      <c r="BE54" s="65"/>
      <c r="BF54" s="67">
        <f t="shared" si="22"/>
        <v>0</v>
      </c>
      <c r="BG54" s="68">
        <f t="shared" si="23"/>
        <v>0</v>
      </c>
      <c r="BH54" s="68">
        <f t="shared" si="24"/>
        <v>0</v>
      </c>
      <c r="BI54" s="69" t="str">
        <f t="shared" si="4"/>
        <v>D</v>
      </c>
      <c r="BJ54" s="70" t="str">
        <f>IF(BH54="  ","  ",IF(BH54&gt;=menu!$D$19,"Tuntas","Tidak Tuntas"))</f>
        <v>Tuntas</v>
      </c>
      <c r="BK54" s="65"/>
      <c r="BL54" s="65"/>
      <c r="BM54" s="65"/>
      <c r="BN54" s="66"/>
      <c r="BO54" s="65"/>
      <c r="BP54" s="65"/>
      <c r="BQ54" s="65"/>
      <c r="BR54" s="67">
        <f t="shared" si="25"/>
        <v>0</v>
      </c>
      <c r="BS54" s="68">
        <f t="shared" si="26"/>
        <v>0</v>
      </c>
      <c r="BT54" s="68">
        <f t="shared" si="27"/>
        <v>0</v>
      </c>
      <c r="BU54" s="69" t="str">
        <f t="shared" si="5"/>
        <v>D</v>
      </c>
      <c r="BV54" s="70" t="str">
        <f>IF(BT54="  ","  ",IF(BT54&gt;=menu!$D$19,"Tuntas","Tidak Tuntas"))</f>
        <v>Tuntas</v>
      </c>
      <c r="BW54" s="65"/>
      <c r="BX54" s="65"/>
      <c r="BY54" s="65"/>
      <c r="BZ54" s="66"/>
      <c r="CA54" s="65"/>
      <c r="CB54" s="65"/>
      <c r="CC54" s="65"/>
      <c r="CD54" s="67">
        <f t="shared" si="28"/>
        <v>0</v>
      </c>
      <c r="CE54" s="68">
        <f t="shared" si="29"/>
        <v>0</v>
      </c>
      <c r="CF54" s="68">
        <f t="shared" si="30"/>
        <v>0</v>
      </c>
      <c r="CG54" s="69" t="str">
        <f t="shared" si="6"/>
        <v>D</v>
      </c>
      <c r="CH54" s="70" t="str">
        <f>IF(CF54="  ","  ",IF(CF54&gt;=menu!$D$19,"Tuntas","Tidak Tuntas"))</f>
        <v>Tuntas</v>
      </c>
      <c r="CI54" s="65"/>
      <c r="CJ54" s="65"/>
      <c r="CK54" s="65"/>
      <c r="CL54" s="66"/>
      <c r="CM54" s="65"/>
      <c r="CN54" s="65"/>
      <c r="CO54" s="65"/>
      <c r="CP54" s="67">
        <f t="shared" si="31"/>
        <v>0</v>
      </c>
      <c r="CQ54" s="68">
        <f t="shared" si="32"/>
        <v>0</v>
      </c>
      <c r="CR54" s="68">
        <f t="shared" si="33"/>
        <v>0</v>
      </c>
      <c r="CS54" s="69" t="str">
        <f t="shared" si="7"/>
        <v>D</v>
      </c>
      <c r="CT54" s="70" t="str">
        <f>IF(CR54="  ","  ",IF(CR54&gt;=menu!$D$19,"Tuntas","Tidak Tuntas"))</f>
        <v>Tuntas</v>
      </c>
      <c r="CU54" s="65"/>
      <c r="CV54" s="65"/>
      <c r="CW54" s="65"/>
      <c r="CX54" s="66"/>
      <c r="CY54" s="65"/>
      <c r="CZ54" s="65"/>
      <c r="DA54" s="65"/>
      <c r="DB54" s="67">
        <f t="shared" si="34"/>
        <v>0</v>
      </c>
      <c r="DC54" s="68">
        <f t="shared" si="35"/>
        <v>0</v>
      </c>
      <c r="DD54" s="68">
        <f t="shared" si="36"/>
        <v>0</v>
      </c>
      <c r="DE54" s="69" t="str">
        <f t="shared" si="8"/>
        <v>D</v>
      </c>
      <c r="DF54" s="70" t="str">
        <f>IF(DD54="  ","  ",IF(DD54&gt;=menu!$D$19,"Tuntas","Tidak Tuntas"))</f>
        <v>Tuntas</v>
      </c>
      <c r="DG54" s="65"/>
      <c r="DH54" s="65"/>
      <c r="DI54" s="65"/>
      <c r="DJ54" s="66"/>
      <c r="DK54" s="65"/>
      <c r="DL54" s="65"/>
      <c r="DM54" s="65"/>
      <c r="DN54" s="67">
        <f t="shared" si="37"/>
        <v>0</v>
      </c>
      <c r="DO54" s="68">
        <f t="shared" si="38"/>
        <v>0</v>
      </c>
      <c r="DP54" s="68">
        <f t="shared" si="39"/>
        <v>0</v>
      </c>
      <c r="DQ54" s="69" t="str">
        <f t="shared" si="9"/>
        <v>D</v>
      </c>
      <c r="DR54" s="70" t="str">
        <f>IF(DP54="  ","  ",IF(DP54&gt;=menu!$D$19,"Tuntas","Tidak Tuntas"))</f>
        <v>Tuntas</v>
      </c>
    </row>
    <row r="55" spans="1:122">
      <c r="A55" s="64">
        <f>'DATA SISWA'!A41</f>
        <v>0</v>
      </c>
      <c r="B55" s="76">
        <f>'DATA SISWA'!C41</f>
        <v>0</v>
      </c>
      <c r="C55" s="65"/>
      <c r="D55" s="65"/>
      <c r="E55" s="65"/>
      <c r="F55" s="66"/>
      <c r="G55" s="65"/>
      <c r="H55" s="65"/>
      <c r="I55" s="65"/>
      <c r="J55" s="67">
        <f t="shared" si="10"/>
        <v>0</v>
      </c>
      <c r="K55" s="68">
        <f t="shared" si="11"/>
        <v>0</v>
      </c>
      <c r="L55" s="68">
        <f t="shared" si="12"/>
        <v>0</v>
      </c>
      <c r="M55" s="69" t="str">
        <f t="shared" si="0"/>
        <v>D</v>
      </c>
      <c r="N55" s="70" t="str">
        <f>IF(L55="  ","  ",IF(L55&gt;=menu!$D$19,"Tuntas","Tidak Tuntas"))</f>
        <v>Tuntas</v>
      </c>
      <c r="O55" s="65"/>
      <c r="P55" s="65"/>
      <c r="Q55" s="65"/>
      <c r="R55" s="66"/>
      <c r="S55" s="65"/>
      <c r="T55" s="65"/>
      <c r="U55" s="65"/>
      <c r="V55" s="67">
        <f t="shared" si="13"/>
        <v>0</v>
      </c>
      <c r="W55" s="68">
        <f t="shared" si="14"/>
        <v>0</v>
      </c>
      <c r="X55" s="68">
        <f t="shared" si="15"/>
        <v>0</v>
      </c>
      <c r="Y55" s="69" t="str">
        <f t="shared" si="1"/>
        <v>D</v>
      </c>
      <c r="Z55" s="70" t="str">
        <f>IF(X55="  ","  ",IF(X55&gt;=menu!$D$19,"Tuntas","Tidak Tuntas"))</f>
        <v>Tuntas</v>
      </c>
      <c r="AA55" s="65"/>
      <c r="AB55" s="65"/>
      <c r="AC55" s="65"/>
      <c r="AD55" s="66"/>
      <c r="AE55" s="65"/>
      <c r="AF55" s="65"/>
      <c r="AG55" s="65"/>
      <c r="AH55" s="67">
        <f t="shared" si="16"/>
        <v>0</v>
      </c>
      <c r="AI55" s="68">
        <f t="shared" si="17"/>
        <v>0</v>
      </c>
      <c r="AJ55" s="68">
        <f t="shared" si="18"/>
        <v>0</v>
      </c>
      <c r="AK55" s="69" t="str">
        <f t="shared" si="2"/>
        <v>D</v>
      </c>
      <c r="AL55" s="70" t="str">
        <f>IF(AJ55="  ","  ",IF(AJ55&gt;=menu!$D$19,"Tuntas","Tidak Tuntas"))</f>
        <v>Tuntas</v>
      </c>
      <c r="AM55" s="65"/>
      <c r="AN55" s="65"/>
      <c r="AO55" s="65"/>
      <c r="AP55" s="66"/>
      <c r="AQ55" s="65"/>
      <c r="AR55" s="65"/>
      <c r="AS55" s="65"/>
      <c r="AT55" s="67">
        <f t="shared" si="19"/>
        <v>0</v>
      </c>
      <c r="AU55" s="68">
        <f t="shared" si="20"/>
        <v>0</v>
      </c>
      <c r="AV55" s="68">
        <f t="shared" si="21"/>
        <v>0</v>
      </c>
      <c r="AW55" s="69" t="str">
        <f t="shared" si="3"/>
        <v>D</v>
      </c>
      <c r="AX55" s="70" t="str">
        <f>IF(AV55="  ","  ",IF(AV55&gt;=menu!$D$19,"Tuntas","Tidak Tuntas"))</f>
        <v>Tuntas</v>
      </c>
      <c r="AY55" s="65"/>
      <c r="AZ55" s="65"/>
      <c r="BA55" s="65"/>
      <c r="BB55" s="66"/>
      <c r="BC55" s="65"/>
      <c r="BD55" s="65"/>
      <c r="BE55" s="65"/>
      <c r="BF55" s="67">
        <f t="shared" si="22"/>
        <v>0</v>
      </c>
      <c r="BG55" s="68">
        <f t="shared" si="23"/>
        <v>0</v>
      </c>
      <c r="BH55" s="68">
        <f t="shared" si="24"/>
        <v>0</v>
      </c>
      <c r="BI55" s="69" t="str">
        <f t="shared" si="4"/>
        <v>D</v>
      </c>
      <c r="BJ55" s="70" t="str">
        <f>IF(BH55="  ","  ",IF(BH55&gt;=menu!$D$19,"Tuntas","Tidak Tuntas"))</f>
        <v>Tuntas</v>
      </c>
      <c r="BK55" s="65"/>
      <c r="BL55" s="65"/>
      <c r="BM55" s="65"/>
      <c r="BN55" s="66"/>
      <c r="BO55" s="65"/>
      <c r="BP55" s="65"/>
      <c r="BQ55" s="65"/>
      <c r="BR55" s="67">
        <f t="shared" si="25"/>
        <v>0</v>
      </c>
      <c r="BS55" s="68">
        <f t="shared" si="26"/>
        <v>0</v>
      </c>
      <c r="BT55" s="68">
        <f t="shared" si="27"/>
        <v>0</v>
      </c>
      <c r="BU55" s="69" t="str">
        <f t="shared" si="5"/>
        <v>D</v>
      </c>
      <c r="BV55" s="70" t="str">
        <f>IF(BT55="  ","  ",IF(BT55&gt;=menu!$D$19,"Tuntas","Tidak Tuntas"))</f>
        <v>Tuntas</v>
      </c>
      <c r="BW55" s="65"/>
      <c r="BX55" s="65"/>
      <c r="BY55" s="65"/>
      <c r="BZ55" s="66"/>
      <c r="CA55" s="65"/>
      <c r="CB55" s="65"/>
      <c r="CC55" s="65"/>
      <c r="CD55" s="67">
        <f t="shared" si="28"/>
        <v>0</v>
      </c>
      <c r="CE55" s="68">
        <f t="shared" si="29"/>
        <v>0</v>
      </c>
      <c r="CF55" s="68">
        <f t="shared" si="30"/>
        <v>0</v>
      </c>
      <c r="CG55" s="69" t="str">
        <f t="shared" si="6"/>
        <v>D</v>
      </c>
      <c r="CH55" s="70" t="str">
        <f>IF(CF55="  ","  ",IF(CF55&gt;=menu!$D$19,"Tuntas","Tidak Tuntas"))</f>
        <v>Tuntas</v>
      </c>
      <c r="CI55" s="65"/>
      <c r="CJ55" s="65"/>
      <c r="CK55" s="65"/>
      <c r="CL55" s="66"/>
      <c r="CM55" s="65"/>
      <c r="CN55" s="65"/>
      <c r="CO55" s="65"/>
      <c r="CP55" s="67">
        <f t="shared" si="31"/>
        <v>0</v>
      </c>
      <c r="CQ55" s="68">
        <f t="shared" si="32"/>
        <v>0</v>
      </c>
      <c r="CR55" s="68">
        <f t="shared" si="33"/>
        <v>0</v>
      </c>
      <c r="CS55" s="69" t="str">
        <f t="shared" si="7"/>
        <v>D</v>
      </c>
      <c r="CT55" s="70" t="str">
        <f>IF(CR55="  ","  ",IF(CR55&gt;=menu!$D$19,"Tuntas","Tidak Tuntas"))</f>
        <v>Tuntas</v>
      </c>
      <c r="CU55" s="65"/>
      <c r="CV55" s="65"/>
      <c r="CW55" s="65"/>
      <c r="CX55" s="66"/>
      <c r="CY55" s="65"/>
      <c r="CZ55" s="65"/>
      <c r="DA55" s="65"/>
      <c r="DB55" s="67">
        <f t="shared" si="34"/>
        <v>0</v>
      </c>
      <c r="DC55" s="68">
        <f t="shared" si="35"/>
        <v>0</v>
      </c>
      <c r="DD55" s="68">
        <f t="shared" si="36"/>
        <v>0</v>
      </c>
      <c r="DE55" s="69" t="str">
        <f t="shared" si="8"/>
        <v>D</v>
      </c>
      <c r="DF55" s="70" t="str">
        <f>IF(DD55="  ","  ",IF(DD55&gt;=menu!$D$19,"Tuntas","Tidak Tuntas"))</f>
        <v>Tuntas</v>
      </c>
      <c r="DG55" s="65"/>
      <c r="DH55" s="65"/>
      <c r="DI55" s="65"/>
      <c r="DJ55" s="66"/>
      <c r="DK55" s="65"/>
      <c r="DL55" s="65"/>
      <c r="DM55" s="65"/>
      <c r="DN55" s="67">
        <f t="shared" si="37"/>
        <v>0</v>
      </c>
      <c r="DO55" s="68">
        <f t="shared" si="38"/>
        <v>0</v>
      </c>
      <c r="DP55" s="68">
        <f t="shared" si="39"/>
        <v>0</v>
      </c>
      <c r="DQ55" s="69" t="str">
        <f t="shared" si="9"/>
        <v>D</v>
      </c>
      <c r="DR55" s="70" t="str">
        <f>IF(DP55="  ","  ",IF(DP55&gt;=menu!$D$19,"Tuntas","Tidak Tuntas"))</f>
        <v>Tuntas</v>
      </c>
    </row>
    <row r="56" spans="1:122">
      <c r="A56" s="64">
        <f>'DATA SISWA'!A42</f>
        <v>0</v>
      </c>
      <c r="B56" s="76">
        <f>'DATA SISWA'!C42</f>
        <v>0</v>
      </c>
      <c r="C56" s="65"/>
      <c r="D56" s="65"/>
      <c r="E56" s="65"/>
      <c r="F56" s="66"/>
      <c r="G56" s="65"/>
      <c r="H56" s="65"/>
      <c r="I56" s="65"/>
      <c r="J56" s="67">
        <f t="shared" si="10"/>
        <v>0</v>
      </c>
      <c r="K56" s="68">
        <f t="shared" si="11"/>
        <v>0</v>
      </c>
      <c r="L56" s="68">
        <f t="shared" si="12"/>
        <v>0</v>
      </c>
      <c r="M56" s="69" t="str">
        <f t="shared" si="0"/>
        <v>D</v>
      </c>
      <c r="N56" s="70" t="str">
        <f>IF(L56="  ","  ",IF(L56&gt;=menu!$D$19,"Tuntas","Tidak Tuntas"))</f>
        <v>Tuntas</v>
      </c>
      <c r="O56" s="65"/>
      <c r="P56" s="65"/>
      <c r="Q56" s="65"/>
      <c r="R56" s="66"/>
      <c r="S56" s="65"/>
      <c r="T56" s="65"/>
      <c r="U56" s="65"/>
      <c r="V56" s="67">
        <f t="shared" si="13"/>
        <v>0</v>
      </c>
      <c r="W56" s="68">
        <f t="shared" si="14"/>
        <v>0</v>
      </c>
      <c r="X56" s="68">
        <f t="shared" si="15"/>
        <v>0</v>
      </c>
      <c r="Y56" s="69" t="str">
        <f t="shared" si="1"/>
        <v>D</v>
      </c>
      <c r="Z56" s="70" t="str">
        <f>IF(X56="  ","  ",IF(X56&gt;=menu!$D$19,"Tuntas","Tidak Tuntas"))</f>
        <v>Tuntas</v>
      </c>
      <c r="AA56" s="65"/>
      <c r="AB56" s="65"/>
      <c r="AC56" s="65"/>
      <c r="AD56" s="66"/>
      <c r="AE56" s="65"/>
      <c r="AF56" s="65"/>
      <c r="AG56" s="65"/>
      <c r="AH56" s="67">
        <f t="shared" si="16"/>
        <v>0</v>
      </c>
      <c r="AI56" s="68">
        <f t="shared" si="17"/>
        <v>0</v>
      </c>
      <c r="AJ56" s="68">
        <f t="shared" si="18"/>
        <v>0</v>
      </c>
      <c r="AK56" s="69" t="str">
        <f t="shared" si="2"/>
        <v>D</v>
      </c>
      <c r="AL56" s="70" t="str">
        <f>IF(AJ56="  ","  ",IF(AJ56&gt;=menu!$D$19,"Tuntas","Tidak Tuntas"))</f>
        <v>Tuntas</v>
      </c>
      <c r="AM56" s="65"/>
      <c r="AN56" s="65"/>
      <c r="AO56" s="65"/>
      <c r="AP56" s="66"/>
      <c r="AQ56" s="65"/>
      <c r="AR56" s="65"/>
      <c r="AS56" s="65"/>
      <c r="AT56" s="67">
        <f t="shared" si="19"/>
        <v>0</v>
      </c>
      <c r="AU56" s="68">
        <f t="shared" si="20"/>
        <v>0</v>
      </c>
      <c r="AV56" s="68">
        <f t="shared" si="21"/>
        <v>0</v>
      </c>
      <c r="AW56" s="69" t="str">
        <f t="shared" si="3"/>
        <v>D</v>
      </c>
      <c r="AX56" s="70" t="str">
        <f>IF(AV56="  ","  ",IF(AV56&gt;=menu!$D$19,"Tuntas","Tidak Tuntas"))</f>
        <v>Tuntas</v>
      </c>
      <c r="AY56" s="65"/>
      <c r="AZ56" s="65"/>
      <c r="BA56" s="65"/>
      <c r="BB56" s="66"/>
      <c r="BC56" s="65"/>
      <c r="BD56" s="65"/>
      <c r="BE56" s="65"/>
      <c r="BF56" s="67">
        <f t="shared" si="22"/>
        <v>0</v>
      </c>
      <c r="BG56" s="68">
        <f t="shared" si="23"/>
        <v>0</v>
      </c>
      <c r="BH56" s="68">
        <f t="shared" si="24"/>
        <v>0</v>
      </c>
      <c r="BI56" s="69" t="str">
        <f t="shared" si="4"/>
        <v>D</v>
      </c>
      <c r="BJ56" s="70" t="str">
        <f>IF(BH56="  ","  ",IF(BH56&gt;=menu!$D$19,"Tuntas","Tidak Tuntas"))</f>
        <v>Tuntas</v>
      </c>
      <c r="BK56" s="65"/>
      <c r="BL56" s="65"/>
      <c r="BM56" s="65"/>
      <c r="BN56" s="66"/>
      <c r="BO56" s="65"/>
      <c r="BP56" s="65"/>
      <c r="BQ56" s="65"/>
      <c r="BR56" s="67">
        <f t="shared" si="25"/>
        <v>0</v>
      </c>
      <c r="BS56" s="68">
        <f t="shared" si="26"/>
        <v>0</v>
      </c>
      <c r="BT56" s="68">
        <f t="shared" si="27"/>
        <v>0</v>
      </c>
      <c r="BU56" s="69" t="str">
        <f t="shared" si="5"/>
        <v>D</v>
      </c>
      <c r="BV56" s="70" t="str">
        <f>IF(BT56="  ","  ",IF(BT56&gt;=menu!$D$19,"Tuntas","Tidak Tuntas"))</f>
        <v>Tuntas</v>
      </c>
      <c r="BW56" s="65"/>
      <c r="BX56" s="65"/>
      <c r="BY56" s="65"/>
      <c r="BZ56" s="66"/>
      <c r="CA56" s="65"/>
      <c r="CB56" s="65"/>
      <c r="CC56" s="65"/>
      <c r="CD56" s="67">
        <f t="shared" si="28"/>
        <v>0</v>
      </c>
      <c r="CE56" s="68">
        <f t="shared" si="29"/>
        <v>0</v>
      </c>
      <c r="CF56" s="68">
        <f t="shared" si="30"/>
        <v>0</v>
      </c>
      <c r="CG56" s="69" t="str">
        <f t="shared" si="6"/>
        <v>D</v>
      </c>
      <c r="CH56" s="70" t="str">
        <f>IF(CF56="  ","  ",IF(CF56&gt;=menu!$D$19,"Tuntas","Tidak Tuntas"))</f>
        <v>Tuntas</v>
      </c>
      <c r="CI56" s="65"/>
      <c r="CJ56" s="65"/>
      <c r="CK56" s="65"/>
      <c r="CL56" s="66"/>
      <c r="CM56" s="65"/>
      <c r="CN56" s="65"/>
      <c r="CO56" s="65"/>
      <c r="CP56" s="67">
        <f t="shared" si="31"/>
        <v>0</v>
      </c>
      <c r="CQ56" s="68">
        <f t="shared" si="32"/>
        <v>0</v>
      </c>
      <c r="CR56" s="68">
        <f t="shared" si="33"/>
        <v>0</v>
      </c>
      <c r="CS56" s="69" t="str">
        <f t="shared" si="7"/>
        <v>D</v>
      </c>
      <c r="CT56" s="70" t="str">
        <f>IF(CR56="  ","  ",IF(CR56&gt;=menu!$D$19,"Tuntas","Tidak Tuntas"))</f>
        <v>Tuntas</v>
      </c>
      <c r="CU56" s="65"/>
      <c r="CV56" s="65"/>
      <c r="CW56" s="65"/>
      <c r="CX56" s="66"/>
      <c r="CY56" s="65"/>
      <c r="CZ56" s="65"/>
      <c r="DA56" s="65"/>
      <c r="DB56" s="67">
        <f t="shared" si="34"/>
        <v>0</v>
      </c>
      <c r="DC56" s="68">
        <f t="shared" si="35"/>
        <v>0</v>
      </c>
      <c r="DD56" s="68">
        <f t="shared" si="36"/>
        <v>0</v>
      </c>
      <c r="DE56" s="69" t="str">
        <f t="shared" si="8"/>
        <v>D</v>
      </c>
      <c r="DF56" s="70" t="str">
        <f>IF(DD56="  ","  ",IF(DD56&gt;=menu!$D$19,"Tuntas","Tidak Tuntas"))</f>
        <v>Tuntas</v>
      </c>
      <c r="DG56" s="65"/>
      <c r="DH56" s="65"/>
      <c r="DI56" s="65"/>
      <c r="DJ56" s="66"/>
      <c r="DK56" s="65"/>
      <c r="DL56" s="65"/>
      <c r="DM56" s="65"/>
      <c r="DN56" s="67">
        <f t="shared" si="37"/>
        <v>0</v>
      </c>
      <c r="DO56" s="68">
        <f t="shared" si="38"/>
        <v>0</v>
      </c>
      <c r="DP56" s="68">
        <f t="shared" si="39"/>
        <v>0</v>
      </c>
      <c r="DQ56" s="69" t="str">
        <f t="shared" si="9"/>
        <v>D</v>
      </c>
      <c r="DR56" s="70" t="str">
        <f>IF(DP56="  ","  ",IF(DP56&gt;=menu!$D$19,"Tuntas","Tidak Tuntas"))</f>
        <v>Tuntas</v>
      </c>
    </row>
    <row r="57" spans="1:122">
      <c r="A57" s="64">
        <f>'DATA SISWA'!A43</f>
        <v>0</v>
      </c>
      <c r="B57" s="76">
        <f>'DATA SISWA'!C43</f>
        <v>0</v>
      </c>
      <c r="C57" s="65"/>
      <c r="D57" s="65"/>
      <c r="E57" s="65"/>
      <c r="F57" s="66"/>
      <c r="G57" s="65"/>
      <c r="H57" s="65"/>
      <c r="I57" s="65"/>
      <c r="J57" s="67">
        <f t="shared" si="10"/>
        <v>0</v>
      </c>
      <c r="K57" s="68">
        <f t="shared" si="11"/>
        <v>0</v>
      </c>
      <c r="L57" s="68">
        <f t="shared" si="12"/>
        <v>0</v>
      </c>
      <c r="M57" s="69" t="str">
        <f t="shared" si="0"/>
        <v>D</v>
      </c>
      <c r="N57" s="70" t="str">
        <f>IF(L57="  ","  ",IF(L57&gt;=menu!$D$19,"Tuntas","Tidak Tuntas"))</f>
        <v>Tuntas</v>
      </c>
      <c r="O57" s="65"/>
      <c r="P57" s="65"/>
      <c r="Q57" s="65"/>
      <c r="R57" s="66"/>
      <c r="S57" s="65"/>
      <c r="T57" s="65"/>
      <c r="U57" s="65"/>
      <c r="V57" s="67">
        <f t="shared" si="13"/>
        <v>0</v>
      </c>
      <c r="W57" s="68">
        <f t="shared" si="14"/>
        <v>0</v>
      </c>
      <c r="X57" s="68">
        <f t="shared" si="15"/>
        <v>0</v>
      </c>
      <c r="Y57" s="69" t="str">
        <f t="shared" si="1"/>
        <v>D</v>
      </c>
      <c r="Z57" s="70" t="str">
        <f>IF(X57="  ","  ",IF(X57&gt;=menu!$D$19,"Tuntas","Tidak Tuntas"))</f>
        <v>Tuntas</v>
      </c>
      <c r="AA57" s="65"/>
      <c r="AB57" s="65"/>
      <c r="AC57" s="65"/>
      <c r="AD57" s="66"/>
      <c r="AE57" s="65"/>
      <c r="AF57" s="65"/>
      <c r="AG57" s="65"/>
      <c r="AH57" s="67">
        <f t="shared" si="16"/>
        <v>0</v>
      </c>
      <c r="AI57" s="68">
        <f t="shared" si="17"/>
        <v>0</v>
      </c>
      <c r="AJ57" s="68">
        <f t="shared" si="18"/>
        <v>0</v>
      </c>
      <c r="AK57" s="69" t="str">
        <f t="shared" si="2"/>
        <v>D</v>
      </c>
      <c r="AL57" s="70" t="str">
        <f>IF(AJ57="  ","  ",IF(AJ57&gt;=menu!$D$19,"Tuntas","Tidak Tuntas"))</f>
        <v>Tuntas</v>
      </c>
      <c r="AM57" s="65"/>
      <c r="AN57" s="65"/>
      <c r="AO57" s="65"/>
      <c r="AP57" s="66"/>
      <c r="AQ57" s="65"/>
      <c r="AR57" s="65"/>
      <c r="AS57" s="65"/>
      <c r="AT57" s="67">
        <f t="shared" si="19"/>
        <v>0</v>
      </c>
      <c r="AU57" s="68">
        <f t="shared" si="20"/>
        <v>0</v>
      </c>
      <c r="AV57" s="68">
        <f t="shared" si="21"/>
        <v>0</v>
      </c>
      <c r="AW57" s="69" t="str">
        <f t="shared" si="3"/>
        <v>D</v>
      </c>
      <c r="AX57" s="70" t="str">
        <f>IF(AV57="  ","  ",IF(AV57&gt;=menu!$D$19,"Tuntas","Tidak Tuntas"))</f>
        <v>Tuntas</v>
      </c>
      <c r="AY57" s="65"/>
      <c r="AZ57" s="65"/>
      <c r="BA57" s="65"/>
      <c r="BB57" s="66"/>
      <c r="BC57" s="65"/>
      <c r="BD57" s="65"/>
      <c r="BE57" s="65"/>
      <c r="BF57" s="67">
        <f t="shared" si="22"/>
        <v>0</v>
      </c>
      <c r="BG57" s="68">
        <f t="shared" si="23"/>
        <v>0</v>
      </c>
      <c r="BH57" s="68">
        <f t="shared" si="24"/>
        <v>0</v>
      </c>
      <c r="BI57" s="69" t="str">
        <f t="shared" si="4"/>
        <v>D</v>
      </c>
      <c r="BJ57" s="70" t="str">
        <f>IF(BH57="  ","  ",IF(BH57&gt;=menu!$D$19,"Tuntas","Tidak Tuntas"))</f>
        <v>Tuntas</v>
      </c>
      <c r="BK57" s="65"/>
      <c r="BL57" s="65"/>
      <c r="BM57" s="65"/>
      <c r="BN57" s="66"/>
      <c r="BO57" s="65"/>
      <c r="BP57" s="65"/>
      <c r="BQ57" s="65"/>
      <c r="BR57" s="67">
        <f t="shared" si="25"/>
        <v>0</v>
      </c>
      <c r="BS57" s="68">
        <f t="shared" si="26"/>
        <v>0</v>
      </c>
      <c r="BT57" s="68">
        <f t="shared" si="27"/>
        <v>0</v>
      </c>
      <c r="BU57" s="69" t="str">
        <f t="shared" si="5"/>
        <v>D</v>
      </c>
      <c r="BV57" s="70" t="str">
        <f>IF(BT57="  ","  ",IF(BT57&gt;=menu!$D$19,"Tuntas","Tidak Tuntas"))</f>
        <v>Tuntas</v>
      </c>
      <c r="BW57" s="65"/>
      <c r="BX57" s="65"/>
      <c r="BY57" s="65"/>
      <c r="BZ57" s="66"/>
      <c r="CA57" s="65"/>
      <c r="CB57" s="65"/>
      <c r="CC57" s="65"/>
      <c r="CD57" s="67">
        <f t="shared" si="28"/>
        <v>0</v>
      </c>
      <c r="CE57" s="68">
        <f t="shared" si="29"/>
        <v>0</v>
      </c>
      <c r="CF57" s="68">
        <f t="shared" si="30"/>
        <v>0</v>
      </c>
      <c r="CG57" s="69" t="str">
        <f t="shared" si="6"/>
        <v>D</v>
      </c>
      <c r="CH57" s="70" t="str">
        <f>IF(CF57="  ","  ",IF(CF57&gt;=menu!$D$19,"Tuntas","Tidak Tuntas"))</f>
        <v>Tuntas</v>
      </c>
      <c r="CI57" s="65"/>
      <c r="CJ57" s="65"/>
      <c r="CK57" s="65"/>
      <c r="CL57" s="66"/>
      <c r="CM57" s="65"/>
      <c r="CN57" s="65"/>
      <c r="CO57" s="65"/>
      <c r="CP57" s="67">
        <f t="shared" si="31"/>
        <v>0</v>
      </c>
      <c r="CQ57" s="68">
        <f t="shared" si="32"/>
        <v>0</v>
      </c>
      <c r="CR57" s="68">
        <f t="shared" si="33"/>
        <v>0</v>
      </c>
      <c r="CS57" s="69" t="str">
        <f t="shared" si="7"/>
        <v>D</v>
      </c>
      <c r="CT57" s="70" t="str">
        <f>IF(CR57="  ","  ",IF(CR57&gt;=menu!$D$19,"Tuntas","Tidak Tuntas"))</f>
        <v>Tuntas</v>
      </c>
      <c r="CU57" s="65"/>
      <c r="CV57" s="65"/>
      <c r="CW57" s="65"/>
      <c r="CX57" s="66"/>
      <c r="CY57" s="65"/>
      <c r="CZ57" s="65"/>
      <c r="DA57" s="65"/>
      <c r="DB57" s="67">
        <f t="shared" si="34"/>
        <v>0</v>
      </c>
      <c r="DC57" s="68">
        <f t="shared" si="35"/>
        <v>0</v>
      </c>
      <c r="DD57" s="68">
        <f t="shared" si="36"/>
        <v>0</v>
      </c>
      <c r="DE57" s="69" t="str">
        <f t="shared" si="8"/>
        <v>D</v>
      </c>
      <c r="DF57" s="70" t="str">
        <f>IF(DD57="  ","  ",IF(DD57&gt;=menu!$D$19,"Tuntas","Tidak Tuntas"))</f>
        <v>Tuntas</v>
      </c>
      <c r="DG57" s="65"/>
      <c r="DH57" s="65"/>
      <c r="DI57" s="65"/>
      <c r="DJ57" s="66"/>
      <c r="DK57" s="65"/>
      <c r="DL57" s="65"/>
      <c r="DM57" s="65"/>
      <c r="DN57" s="67">
        <f t="shared" si="37"/>
        <v>0</v>
      </c>
      <c r="DO57" s="68">
        <f t="shared" si="38"/>
        <v>0</v>
      </c>
      <c r="DP57" s="68">
        <f t="shared" si="39"/>
        <v>0</v>
      </c>
      <c r="DQ57" s="69" t="str">
        <f t="shared" si="9"/>
        <v>D</v>
      </c>
      <c r="DR57" s="70" t="str">
        <f>IF(DP57="  ","  ",IF(DP57&gt;=menu!$D$19,"Tuntas","Tidak Tuntas"))</f>
        <v>Tuntas</v>
      </c>
    </row>
    <row r="58" spans="1:122">
      <c r="A58" s="64">
        <f>'DATA SISWA'!A44</f>
        <v>0</v>
      </c>
      <c r="B58" s="76">
        <f>'DATA SISWA'!C44</f>
        <v>0</v>
      </c>
      <c r="C58" s="65"/>
      <c r="D58" s="65"/>
      <c r="E58" s="65"/>
      <c r="F58" s="66"/>
      <c r="G58" s="65"/>
      <c r="H58" s="65"/>
      <c r="I58" s="65"/>
      <c r="J58" s="67">
        <f t="shared" si="10"/>
        <v>0</v>
      </c>
      <c r="K58" s="68">
        <f t="shared" si="11"/>
        <v>0</v>
      </c>
      <c r="L58" s="68">
        <f t="shared" si="12"/>
        <v>0</v>
      </c>
      <c r="M58" s="69" t="str">
        <f t="shared" si="0"/>
        <v>D</v>
      </c>
      <c r="N58" s="70" t="str">
        <f>IF(L58="  ","  ",IF(L58&gt;=menu!$D$19,"Tuntas","Tidak Tuntas"))</f>
        <v>Tuntas</v>
      </c>
      <c r="O58" s="65"/>
      <c r="P58" s="65"/>
      <c r="Q58" s="65"/>
      <c r="R58" s="66"/>
      <c r="S58" s="65"/>
      <c r="T58" s="65"/>
      <c r="U58" s="65"/>
      <c r="V58" s="67">
        <f t="shared" si="13"/>
        <v>0</v>
      </c>
      <c r="W58" s="68">
        <f t="shared" si="14"/>
        <v>0</v>
      </c>
      <c r="X58" s="68">
        <f t="shared" si="15"/>
        <v>0</v>
      </c>
      <c r="Y58" s="69" t="str">
        <f t="shared" si="1"/>
        <v>D</v>
      </c>
      <c r="Z58" s="70" t="str">
        <f>IF(X58="  ","  ",IF(X58&gt;=menu!$D$19,"Tuntas","Tidak Tuntas"))</f>
        <v>Tuntas</v>
      </c>
      <c r="AA58" s="65"/>
      <c r="AB58" s="65"/>
      <c r="AC58" s="65"/>
      <c r="AD58" s="66"/>
      <c r="AE58" s="65"/>
      <c r="AF58" s="65"/>
      <c r="AG58" s="65"/>
      <c r="AH58" s="67">
        <f t="shared" si="16"/>
        <v>0</v>
      </c>
      <c r="AI58" s="68">
        <f t="shared" si="17"/>
        <v>0</v>
      </c>
      <c r="AJ58" s="68">
        <f t="shared" si="18"/>
        <v>0</v>
      </c>
      <c r="AK58" s="69" t="str">
        <f t="shared" si="2"/>
        <v>D</v>
      </c>
      <c r="AL58" s="70" t="str">
        <f>IF(AJ58="  ","  ",IF(AJ58&gt;=menu!$D$19,"Tuntas","Tidak Tuntas"))</f>
        <v>Tuntas</v>
      </c>
      <c r="AM58" s="65"/>
      <c r="AN58" s="65"/>
      <c r="AO58" s="65"/>
      <c r="AP58" s="66"/>
      <c r="AQ58" s="65"/>
      <c r="AR58" s="65"/>
      <c r="AS58" s="65"/>
      <c r="AT58" s="67">
        <f t="shared" si="19"/>
        <v>0</v>
      </c>
      <c r="AU58" s="68">
        <f t="shared" si="20"/>
        <v>0</v>
      </c>
      <c r="AV58" s="68">
        <f t="shared" si="21"/>
        <v>0</v>
      </c>
      <c r="AW58" s="69" t="str">
        <f t="shared" si="3"/>
        <v>D</v>
      </c>
      <c r="AX58" s="70" t="str">
        <f>IF(AV58="  ","  ",IF(AV58&gt;=menu!$D$19,"Tuntas","Tidak Tuntas"))</f>
        <v>Tuntas</v>
      </c>
      <c r="AY58" s="65"/>
      <c r="AZ58" s="65"/>
      <c r="BA58" s="65"/>
      <c r="BB58" s="66"/>
      <c r="BC58" s="65"/>
      <c r="BD58" s="65"/>
      <c r="BE58" s="65"/>
      <c r="BF58" s="67">
        <f t="shared" si="22"/>
        <v>0</v>
      </c>
      <c r="BG58" s="68">
        <f t="shared" si="23"/>
        <v>0</v>
      </c>
      <c r="BH58" s="68">
        <f t="shared" si="24"/>
        <v>0</v>
      </c>
      <c r="BI58" s="69" t="str">
        <f t="shared" si="4"/>
        <v>D</v>
      </c>
      <c r="BJ58" s="70" t="str">
        <f>IF(BH58="  ","  ",IF(BH58&gt;=menu!$D$19,"Tuntas","Tidak Tuntas"))</f>
        <v>Tuntas</v>
      </c>
      <c r="BK58" s="65"/>
      <c r="BL58" s="65"/>
      <c r="BM58" s="65"/>
      <c r="BN58" s="66"/>
      <c r="BO58" s="65"/>
      <c r="BP58" s="65"/>
      <c r="BQ58" s="65"/>
      <c r="BR58" s="67">
        <f t="shared" si="25"/>
        <v>0</v>
      </c>
      <c r="BS58" s="68">
        <f t="shared" si="26"/>
        <v>0</v>
      </c>
      <c r="BT58" s="68">
        <f t="shared" si="27"/>
        <v>0</v>
      </c>
      <c r="BU58" s="69" t="str">
        <f t="shared" si="5"/>
        <v>D</v>
      </c>
      <c r="BV58" s="70" t="str">
        <f>IF(BT58="  ","  ",IF(BT58&gt;=menu!$D$19,"Tuntas","Tidak Tuntas"))</f>
        <v>Tuntas</v>
      </c>
      <c r="BW58" s="65"/>
      <c r="BX58" s="65"/>
      <c r="BY58" s="65"/>
      <c r="BZ58" s="66"/>
      <c r="CA58" s="65"/>
      <c r="CB58" s="65"/>
      <c r="CC58" s="65"/>
      <c r="CD58" s="67">
        <f t="shared" si="28"/>
        <v>0</v>
      </c>
      <c r="CE58" s="68">
        <f t="shared" si="29"/>
        <v>0</v>
      </c>
      <c r="CF58" s="68">
        <f t="shared" si="30"/>
        <v>0</v>
      </c>
      <c r="CG58" s="69" t="str">
        <f t="shared" si="6"/>
        <v>D</v>
      </c>
      <c r="CH58" s="70" t="str">
        <f>IF(CF58="  ","  ",IF(CF58&gt;=menu!$D$19,"Tuntas","Tidak Tuntas"))</f>
        <v>Tuntas</v>
      </c>
      <c r="CI58" s="65"/>
      <c r="CJ58" s="65"/>
      <c r="CK58" s="65"/>
      <c r="CL58" s="66"/>
      <c r="CM58" s="65"/>
      <c r="CN58" s="65"/>
      <c r="CO58" s="65"/>
      <c r="CP58" s="67">
        <f t="shared" si="31"/>
        <v>0</v>
      </c>
      <c r="CQ58" s="68">
        <f t="shared" si="32"/>
        <v>0</v>
      </c>
      <c r="CR58" s="68">
        <f t="shared" si="33"/>
        <v>0</v>
      </c>
      <c r="CS58" s="69" t="str">
        <f t="shared" si="7"/>
        <v>D</v>
      </c>
      <c r="CT58" s="70" t="str">
        <f>IF(CR58="  ","  ",IF(CR58&gt;=menu!$D$19,"Tuntas","Tidak Tuntas"))</f>
        <v>Tuntas</v>
      </c>
      <c r="CU58" s="65"/>
      <c r="CV58" s="65"/>
      <c r="CW58" s="65"/>
      <c r="CX58" s="66"/>
      <c r="CY58" s="65"/>
      <c r="CZ58" s="65"/>
      <c r="DA58" s="65"/>
      <c r="DB58" s="67">
        <f t="shared" si="34"/>
        <v>0</v>
      </c>
      <c r="DC58" s="68">
        <f t="shared" si="35"/>
        <v>0</v>
      </c>
      <c r="DD58" s="68">
        <f t="shared" si="36"/>
        <v>0</v>
      </c>
      <c r="DE58" s="69" t="str">
        <f t="shared" si="8"/>
        <v>D</v>
      </c>
      <c r="DF58" s="70" t="str">
        <f>IF(DD58="  ","  ",IF(DD58&gt;=menu!$D$19,"Tuntas","Tidak Tuntas"))</f>
        <v>Tuntas</v>
      </c>
      <c r="DG58" s="65"/>
      <c r="DH58" s="65"/>
      <c r="DI58" s="65"/>
      <c r="DJ58" s="66"/>
      <c r="DK58" s="65"/>
      <c r="DL58" s="65"/>
      <c r="DM58" s="65"/>
      <c r="DN58" s="67">
        <f t="shared" si="37"/>
        <v>0</v>
      </c>
      <c r="DO58" s="68">
        <f t="shared" si="38"/>
        <v>0</v>
      </c>
      <c r="DP58" s="68">
        <f t="shared" si="39"/>
        <v>0</v>
      </c>
      <c r="DQ58" s="69" t="str">
        <f t="shared" si="9"/>
        <v>D</v>
      </c>
      <c r="DR58" s="70" t="str">
        <f>IF(DP58="  ","  ",IF(DP58&gt;=menu!$D$19,"Tuntas","Tidak Tuntas"))</f>
        <v>Tuntas</v>
      </c>
    </row>
    <row r="59" spans="1:122">
      <c r="A59" s="64">
        <f>'DATA SISWA'!A45</f>
        <v>0</v>
      </c>
      <c r="B59" s="76">
        <f>'DATA SISWA'!C45</f>
        <v>0</v>
      </c>
      <c r="C59" s="65"/>
      <c r="D59" s="65"/>
      <c r="E59" s="65"/>
      <c r="F59" s="66"/>
      <c r="G59" s="65"/>
      <c r="H59" s="65"/>
      <c r="I59" s="65"/>
      <c r="J59" s="67">
        <f t="shared" ref="J59:J66" si="40">SUM(C59:I59)</f>
        <v>0</v>
      </c>
      <c r="K59" s="68">
        <f t="shared" si="11"/>
        <v>0</v>
      </c>
      <c r="L59" s="68">
        <f t="shared" ref="L59:L66" si="41">IFERROR((K59/100)*4,"  ")</f>
        <v>0</v>
      </c>
      <c r="M59" s="69" t="str">
        <f t="shared" ref="M59:M66" si="42">IF(L59="  ","  ",IF(L59&gt;3.66,"A",IF(L59&gt;3.33,"A-",IF(L59&gt;3,"B+",IF(L59&gt;2.66,"B",IF(L59&gt;2.33,"B-",IF(L59&gt;2,"C+",IF(L59&gt;1.66,"C",IF(L59&gt;1.33,"C-",IF(L59&gt;1,"D+","D"))))))))))</f>
        <v>D</v>
      </c>
      <c r="N59" s="70" t="str">
        <f>IF(L59="  ","  ",IF(L59&gt;=menu!$D$19,"Tuntas","Tidak Tuntas"))</f>
        <v>Tuntas</v>
      </c>
      <c r="O59" s="65"/>
      <c r="P59" s="65"/>
      <c r="Q59" s="65"/>
      <c r="R59" s="66"/>
      <c r="S59" s="65"/>
      <c r="T59" s="65"/>
      <c r="U59" s="65"/>
      <c r="V59" s="67">
        <f t="shared" ref="V59:V66" si="43">SUM(O59:U59)</f>
        <v>0</v>
      </c>
      <c r="W59" s="68">
        <f t="shared" si="14"/>
        <v>0</v>
      </c>
      <c r="X59" s="68">
        <f t="shared" ref="X59:X66" si="44">IFERROR((W59/100)*4,"  ")</f>
        <v>0</v>
      </c>
      <c r="Y59" s="69" t="str">
        <f t="shared" ref="Y59:Y66" si="45">IF(X59="  ","  ",IF(X59&gt;3.66,"A",IF(X59&gt;3.33,"A-",IF(X59&gt;3,"B+",IF(X59&gt;2.66,"B",IF(X59&gt;2.33,"B-",IF(X59&gt;2,"C+",IF(X59&gt;1.66,"C",IF(X59&gt;1.33,"C-",IF(X59&gt;1,"D+","D"))))))))))</f>
        <v>D</v>
      </c>
      <c r="Z59" s="70" t="str">
        <f>IF(X59="  ","  ",IF(X59&gt;=menu!$D$19,"Tuntas","Tidak Tuntas"))</f>
        <v>Tuntas</v>
      </c>
      <c r="AA59" s="65"/>
      <c r="AB59" s="65"/>
      <c r="AC59" s="65"/>
      <c r="AD59" s="66"/>
      <c r="AE59" s="65"/>
      <c r="AF59" s="65"/>
      <c r="AG59" s="65"/>
      <c r="AH59" s="67">
        <f t="shared" ref="AH59:AH66" si="46">SUM(AA59:AG59)</f>
        <v>0</v>
      </c>
      <c r="AI59" s="68">
        <f t="shared" si="17"/>
        <v>0</v>
      </c>
      <c r="AJ59" s="68">
        <f t="shared" ref="AJ59:AJ66" si="47">IFERROR((AI59/100)*4,"  ")</f>
        <v>0</v>
      </c>
      <c r="AK59" s="69" t="str">
        <f t="shared" ref="AK59:AK66" si="48">IF(AJ59="  ","  ",IF(AJ59&gt;3.66,"A",IF(AJ59&gt;3.33,"A-",IF(AJ59&gt;3,"B+",IF(AJ59&gt;2.66,"B",IF(AJ59&gt;2.33,"B-",IF(AJ59&gt;2,"C+",IF(AJ59&gt;1.66,"C",IF(AJ59&gt;1.33,"C-",IF(AJ59&gt;1,"D+","D"))))))))))</f>
        <v>D</v>
      </c>
      <c r="AL59" s="70" t="str">
        <f>IF(AJ59="  ","  ",IF(AJ59&gt;=menu!$D$19,"Tuntas","Tidak Tuntas"))</f>
        <v>Tuntas</v>
      </c>
      <c r="AM59" s="65"/>
      <c r="AN59" s="65"/>
      <c r="AO59" s="65"/>
      <c r="AP59" s="66"/>
      <c r="AQ59" s="65"/>
      <c r="AR59" s="65"/>
      <c r="AS59" s="65"/>
      <c r="AT59" s="67">
        <f t="shared" ref="AT59:AT66" si="49">SUM(AM59:AS59)</f>
        <v>0</v>
      </c>
      <c r="AU59" s="68">
        <f t="shared" si="20"/>
        <v>0</v>
      </c>
      <c r="AV59" s="68">
        <f t="shared" ref="AV59:AV66" si="50">IFERROR((AU59/100)*4,"  ")</f>
        <v>0</v>
      </c>
      <c r="AW59" s="69" t="str">
        <f t="shared" ref="AW59:AW66" si="51">IF(AV59="  ","  ",IF(AV59&gt;3.66,"A",IF(AV59&gt;3.33,"A-",IF(AV59&gt;3,"B+",IF(AV59&gt;2.66,"B",IF(AV59&gt;2.33,"B-",IF(AV59&gt;2,"C+",IF(AV59&gt;1.66,"C",IF(AV59&gt;1.33,"C-",IF(AV59&gt;1,"D+","D"))))))))))</f>
        <v>D</v>
      </c>
      <c r="AX59" s="70" t="str">
        <f>IF(AV59="  ","  ",IF(AV59&gt;=menu!$D$19,"Tuntas","Tidak Tuntas"))</f>
        <v>Tuntas</v>
      </c>
      <c r="AY59" s="65"/>
      <c r="AZ59" s="65"/>
      <c r="BA59" s="65"/>
      <c r="BB59" s="66"/>
      <c r="BC59" s="65"/>
      <c r="BD59" s="65"/>
      <c r="BE59" s="65"/>
      <c r="BF59" s="67">
        <f t="shared" ref="BF59:BF66" si="52">SUM(AY59:BE59)</f>
        <v>0</v>
      </c>
      <c r="BG59" s="68">
        <f t="shared" si="23"/>
        <v>0</v>
      </c>
      <c r="BH59" s="68">
        <f t="shared" ref="BH59:BH66" si="53">IFERROR((BG59/100)*4,"  ")</f>
        <v>0</v>
      </c>
      <c r="BI59" s="69" t="str">
        <f t="shared" ref="BI59:BI66" si="54">IF(BH59="  ","  ",IF(BH59&gt;3.66,"A",IF(BH59&gt;3.33,"A-",IF(BH59&gt;3,"B+",IF(BH59&gt;2.66,"B",IF(BH59&gt;2.33,"B-",IF(BH59&gt;2,"C+",IF(BH59&gt;1.66,"C",IF(BH59&gt;1.33,"C-",IF(BH59&gt;1,"D+","D"))))))))))</f>
        <v>D</v>
      </c>
      <c r="BJ59" s="70" t="str">
        <f>IF(BH59="  ","  ",IF(BH59&gt;=menu!$D$19,"Tuntas","Tidak Tuntas"))</f>
        <v>Tuntas</v>
      </c>
      <c r="BK59" s="65"/>
      <c r="BL59" s="65"/>
      <c r="BM59" s="65"/>
      <c r="BN59" s="66"/>
      <c r="BO59" s="65"/>
      <c r="BP59" s="65"/>
      <c r="BQ59" s="65"/>
      <c r="BR59" s="67">
        <f t="shared" ref="BR59:BR66" si="55">SUM(BK59:BQ59)</f>
        <v>0</v>
      </c>
      <c r="BS59" s="68">
        <f t="shared" si="26"/>
        <v>0</v>
      </c>
      <c r="BT59" s="68">
        <f t="shared" ref="BT59:BT66" si="56">IFERROR((BS59/100)*4,"  ")</f>
        <v>0</v>
      </c>
      <c r="BU59" s="69" t="str">
        <f t="shared" ref="BU59:BU66" si="57">IF(BT59="  ","  ",IF(BT59&gt;3.66,"A",IF(BT59&gt;3.33,"A-",IF(BT59&gt;3,"B+",IF(BT59&gt;2.66,"B",IF(BT59&gt;2.33,"B-",IF(BT59&gt;2,"C+",IF(BT59&gt;1.66,"C",IF(BT59&gt;1.33,"C-",IF(BT59&gt;1,"D+","D"))))))))))</f>
        <v>D</v>
      </c>
      <c r="BV59" s="70" t="str">
        <f>IF(BT59="  ","  ",IF(BT59&gt;=menu!$D$19,"Tuntas","Tidak Tuntas"))</f>
        <v>Tuntas</v>
      </c>
      <c r="BW59" s="65"/>
      <c r="BX59" s="65"/>
      <c r="BY59" s="65"/>
      <c r="BZ59" s="66"/>
      <c r="CA59" s="65"/>
      <c r="CB59" s="65"/>
      <c r="CC59" s="65"/>
      <c r="CD59" s="67">
        <f t="shared" ref="CD59:CD66" si="58">SUM(BW59:CC59)</f>
        <v>0</v>
      </c>
      <c r="CE59" s="68">
        <f t="shared" si="29"/>
        <v>0</v>
      </c>
      <c r="CF59" s="68">
        <f t="shared" ref="CF59:CF66" si="59">IFERROR((CE59/100)*4,"  ")</f>
        <v>0</v>
      </c>
      <c r="CG59" s="69" t="str">
        <f t="shared" ref="CG59:CG66" si="60">IF(CF59="  ","  ",IF(CF59&gt;3.66,"A",IF(CF59&gt;3.33,"A-",IF(CF59&gt;3,"B+",IF(CF59&gt;2.66,"B",IF(CF59&gt;2.33,"B-",IF(CF59&gt;2,"C+",IF(CF59&gt;1.66,"C",IF(CF59&gt;1.33,"C-",IF(CF59&gt;1,"D+","D"))))))))))</f>
        <v>D</v>
      </c>
      <c r="CH59" s="70" t="str">
        <f>IF(CF59="  ","  ",IF(CF59&gt;=menu!$D$19,"Tuntas","Tidak Tuntas"))</f>
        <v>Tuntas</v>
      </c>
      <c r="CI59" s="65"/>
      <c r="CJ59" s="65"/>
      <c r="CK59" s="65"/>
      <c r="CL59" s="66"/>
      <c r="CM59" s="65"/>
      <c r="CN59" s="65"/>
      <c r="CO59" s="65"/>
      <c r="CP59" s="67">
        <f t="shared" ref="CP59:CP66" si="61">SUM(CI59:CO59)</f>
        <v>0</v>
      </c>
      <c r="CQ59" s="68">
        <f t="shared" si="32"/>
        <v>0</v>
      </c>
      <c r="CR59" s="68">
        <f t="shared" ref="CR59:CR66" si="62">IFERROR((CQ59/100)*4,"  ")</f>
        <v>0</v>
      </c>
      <c r="CS59" s="69" t="str">
        <f t="shared" ref="CS59:CS66" si="63">IF(CR59="  ","  ",IF(CR59&gt;3.66,"A",IF(CR59&gt;3.33,"A-",IF(CR59&gt;3,"B+",IF(CR59&gt;2.66,"B",IF(CR59&gt;2.33,"B-",IF(CR59&gt;2,"C+",IF(CR59&gt;1.66,"C",IF(CR59&gt;1.33,"C-",IF(CR59&gt;1,"D+","D"))))))))))</f>
        <v>D</v>
      </c>
      <c r="CT59" s="70" t="str">
        <f>IF(CR59="  ","  ",IF(CR59&gt;=menu!$D$19,"Tuntas","Tidak Tuntas"))</f>
        <v>Tuntas</v>
      </c>
      <c r="CU59" s="65"/>
      <c r="CV59" s="65"/>
      <c r="CW59" s="65"/>
      <c r="CX59" s="66"/>
      <c r="CY59" s="65"/>
      <c r="CZ59" s="65"/>
      <c r="DA59" s="65"/>
      <c r="DB59" s="67">
        <f t="shared" ref="DB59:DB66" si="64">SUM(CU59:DA59)</f>
        <v>0</v>
      </c>
      <c r="DC59" s="68">
        <f t="shared" si="35"/>
        <v>0</v>
      </c>
      <c r="DD59" s="68">
        <f t="shared" ref="DD59:DD66" si="65">IFERROR((DC59/100)*4,"  ")</f>
        <v>0</v>
      </c>
      <c r="DE59" s="69" t="str">
        <f t="shared" ref="DE59:DE66" si="66">IF(DD59="  ","  ",IF(DD59&gt;3.66,"A",IF(DD59&gt;3.33,"A-",IF(DD59&gt;3,"B+",IF(DD59&gt;2.66,"B",IF(DD59&gt;2.33,"B-",IF(DD59&gt;2,"C+",IF(DD59&gt;1.66,"C",IF(DD59&gt;1.33,"C-",IF(DD59&gt;1,"D+","D"))))))))))</f>
        <v>D</v>
      </c>
      <c r="DF59" s="70" t="str">
        <f>IF(DD59="  ","  ",IF(DD59&gt;=menu!$D$19,"Tuntas","Tidak Tuntas"))</f>
        <v>Tuntas</v>
      </c>
      <c r="DG59" s="65"/>
      <c r="DH59" s="65"/>
      <c r="DI59" s="65"/>
      <c r="DJ59" s="66"/>
      <c r="DK59" s="65"/>
      <c r="DL59" s="65"/>
      <c r="DM59" s="65"/>
      <c r="DN59" s="67">
        <f t="shared" ref="DN59:DN66" si="67">SUM(DG59:DM59)</f>
        <v>0</v>
      </c>
      <c r="DO59" s="68">
        <f t="shared" si="38"/>
        <v>0</v>
      </c>
      <c r="DP59" s="68">
        <f t="shared" ref="DP59:DP66" si="68">IFERROR((DO59/100)*4,"  ")</f>
        <v>0</v>
      </c>
      <c r="DQ59" s="69" t="str">
        <f t="shared" ref="DQ59:DQ66" si="69">IF(DP59="  ","  ",IF(DP59&gt;3.66,"A",IF(DP59&gt;3.33,"A-",IF(DP59&gt;3,"B+",IF(DP59&gt;2.66,"B",IF(DP59&gt;2.33,"B-",IF(DP59&gt;2,"C+",IF(DP59&gt;1.66,"C",IF(DP59&gt;1.33,"C-",IF(DP59&gt;1,"D+","D"))))))))))</f>
        <v>D</v>
      </c>
      <c r="DR59" s="70" t="str">
        <f>IF(DP59="  ","  ",IF(DP59&gt;=menu!$D$19,"Tuntas","Tidak Tuntas"))</f>
        <v>Tuntas</v>
      </c>
    </row>
    <row r="60" spans="1:122">
      <c r="A60" s="64">
        <f>'DATA SISWA'!A46</f>
        <v>0</v>
      </c>
      <c r="B60" s="76">
        <f>'DATA SISWA'!C46</f>
        <v>0</v>
      </c>
      <c r="C60" s="65"/>
      <c r="D60" s="65"/>
      <c r="E60" s="65"/>
      <c r="F60" s="66"/>
      <c r="G60" s="65"/>
      <c r="H60" s="65"/>
      <c r="I60" s="65"/>
      <c r="J60" s="67">
        <f t="shared" si="40"/>
        <v>0</v>
      </c>
      <c r="K60" s="68">
        <f t="shared" si="11"/>
        <v>0</v>
      </c>
      <c r="L60" s="68">
        <f t="shared" si="41"/>
        <v>0</v>
      </c>
      <c r="M60" s="69" t="str">
        <f t="shared" si="42"/>
        <v>D</v>
      </c>
      <c r="N60" s="70" t="str">
        <f>IF(L60="  ","  ",IF(L60&gt;=menu!$D$19,"Tuntas","Tidak Tuntas"))</f>
        <v>Tuntas</v>
      </c>
      <c r="O60" s="65"/>
      <c r="P60" s="65"/>
      <c r="Q60" s="65"/>
      <c r="R60" s="66"/>
      <c r="S60" s="65"/>
      <c r="T60" s="65"/>
      <c r="U60" s="65"/>
      <c r="V60" s="67">
        <f t="shared" si="43"/>
        <v>0</v>
      </c>
      <c r="W60" s="68">
        <f t="shared" si="14"/>
        <v>0</v>
      </c>
      <c r="X60" s="68">
        <f t="shared" si="44"/>
        <v>0</v>
      </c>
      <c r="Y60" s="69" t="str">
        <f t="shared" si="45"/>
        <v>D</v>
      </c>
      <c r="Z60" s="70" t="str">
        <f>IF(X60="  ","  ",IF(X60&gt;=menu!$D$19,"Tuntas","Tidak Tuntas"))</f>
        <v>Tuntas</v>
      </c>
      <c r="AA60" s="65"/>
      <c r="AB60" s="65"/>
      <c r="AC60" s="65"/>
      <c r="AD60" s="66"/>
      <c r="AE60" s="65"/>
      <c r="AF60" s="65"/>
      <c r="AG60" s="65"/>
      <c r="AH60" s="67">
        <f t="shared" si="46"/>
        <v>0</v>
      </c>
      <c r="AI60" s="68">
        <f t="shared" si="17"/>
        <v>0</v>
      </c>
      <c r="AJ60" s="68">
        <f t="shared" si="47"/>
        <v>0</v>
      </c>
      <c r="AK60" s="69" t="str">
        <f t="shared" si="48"/>
        <v>D</v>
      </c>
      <c r="AL60" s="70" t="str">
        <f>IF(AJ60="  ","  ",IF(AJ60&gt;=menu!$D$19,"Tuntas","Tidak Tuntas"))</f>
        <v>Tuntas</v>
      </c>
      <c r="AM60" s="65"/>
      <c r="AN60" s="65"/>
      <c r="AO60" s="65"/>
      <c r="AP60" s="66"/>
      <c r="AQ60" s="65"/>
      <c r="AR60" s="65"/>
      <c r="AS60" s="65"/>
      <c r="AT60" s="67">
        <f t="shared" si="49"/>
        <v>0</v>
      </c>
      <c r="AU60" s="68">
        <f t="shared" si="20"/>
        <v>0</v>
      </c>
      <c r="AV60" s="68">
        <f t="shared" si="50"/>
        <v>0</v>
      </c>
      <c r="AW60" s="69" t="str">
        <f t="shared" si="51"/>
        <v>D</v>
      </c>
      <c r="AX60" s="70" t="str">
        <f>IF(AV60="  ","  ",IF(AV60&gt;=menu!$D$19,"Tuntas","Tidak Tuntas"))</f>
        <v>Tuntas</v>
      </c>
      <c r="AY60" s="65"/>
      <c r="AZ60" s="65"/>
      <c r="BA60" s="65"/>
      <c r="BB60" s="66"/>
      <c r="BC60" s="65"/>
      <c r="BD60" s="65"/>
      <c r="BE60" s="65"/>
      <c r="BF60" s="67">
        <f t="shared" si="52"/>
        <v>0</v>
      </c>
      <c r="BG60" s="68">
        <f t="shared" si="23"/>
        <v>0</v>
      </c>
      <c r="BH60" s="68">
        <f t="shared" si="53"/>
        <v>0</v>
      </c>
      <c r="BI60" s="69" t="str">
        <f t="shared" si="54"/>
        <v>D</v>
      </c>
      <c r="BJ60" s="70" t="str">
        <f>IF(BH60="  ","  ",IF(BH60&gt;=menu!$D$19,"Tuntas","Tidak Tuntas"))</f>
        <v>Tuntas</v>
      </c>
      <c r="BK60" s="65"/>
      <c r="BL60" s="65"/>
      <c r="BM60" s="65"/>
      <c r="BN60" s="66"/>
      <c r="BO60" s="65"/>
      <c r="BP60" s="65"/>
      <c r="BQ60" s="65"/>
      <c r="BR60" s="67">
        <f t="shared" si="55"/>
        <v>0</v>
      </c>
      <c r="BS60" s="68">
        <f t="shared" si="26"/>
        <v>0</v>
      </c>
      <c r="BT60" s="68">
        <f t="shared" si="56"/>
        <v>0</v>
      </c>
      <c r="BU60" s="69" t="str">
        <f t="shared" si="57"/>
        <v>D</v>
      </c>
      <c r="BV60" s="70" t="str">
        <f>IF(BT60="  ","  ",IF(BT60&gt;=menu!$D$19,"Tuntas","Tidak Tuntas"))</f>
        <v>Tuntas</v>
      </c>
      <c r="BW60" s="65"/>
      <c r="BX60" s="65"/>
      <c r="BY60" s="65"/>
      <c r="BZ60" s="66"/>
      <c r="CA60" s="65"/>
      <c r="CB60" s="65"/>
      <c r="CC60" s="65"/>
      <c r="CD60" s="67">
        <f t="shared" si="58"/>
        <v>0</v>
      </c>
      <c r="CE60" s="68">
        <f t="shared" si="29"/>
        <v>0</v>
      </c>
      <c r="CF60" s="68">
        <f t="shared" si="59"/>
        <v>0</v>
      </c>
      <c r="CG60" s="69" t="str">
        <f t="shared" si="60"/>
        <v>D</v>
      </c>
      <c r="CH60" s="70" t="str">
        <f>IF(CF60="  ","  ",IF(CF60&gt;=menu!$D$19,"Tuntas","Tidak Tuntas"))</f>
        <v>Tuntas</v>
      </c>
      <c r="CI60" s="65"/>
      <c r="CJ60" s="65"/>
      <c r="CK60" s="65"/>
      <c r="CL60" s="66"/>
      <c r="CM60" s="65"/>
      <c r="CN60" s="65"/>
      <c r="CO60" s="65"/>
      <c r="CP60" s="67">
        <f t="shared" si="61"/>
        <v>0</v>
      </c>
      <c r="CQ60" s="68">
        <f t="shared" si="32"/>
        <v>0</v>
      </c>
      <c r="CR60" s="68">
        <f t="shared" si="62"/>
        <v>0</v>
      </c>
      <c r="CS60" s="69" t="str">
        <f t="shared" si="63"/>
        <v>D</v>
      </c>
      <c r="CT60" s="70" t="str">
        <f>IF(CR60="  ","  ",IF(CR60&gt;=menu!$D$19,"Tuntas","Tidak Tuntas"))</f>
        <v>Tuntas</v>
      </c>
      <c r="CU60" s="65"/>
      <c r="CV60" s="65"/>
      <c r="CW60" s="65"/>
      <c r="CX60" s="66"/>
      <c r="CY60" s="65"/>
      <c r="CZ60" s="65"/>
      <c r="DA60" s="65"/>
      <c r="DB60" s="67">
        <f t="shared" si="64"/>
        <v>0</v>
      </c>
      <c r="DC60" s="68">
        <f t="shared" si="35"/>
        <v>0</v>
      </c>
      <c r="DD60" s="68">
        <f t="shared" si="65"/>
        <v>0</v>
      </c>
      <c r="DE60" s="69" t="str">
        <f t="shared" si="66"/>
        <v>D</v>
      </c>
      <c r="DF60" s="70" t="str">
        <f>IF(DD60="  ","  ",IF(DD60&gt;=menu!$D$19,"Tuntas","Tidak Tuntas"))</f>
        <v>Tuntas</v>
      </c>
      <c r="DG60" s="65"/>
      <c r="DH60" s="65"/>
      <c r="DI60" s="65"/>
      <c r="DJ60" s="66"/>
      <c r="DK60" s="65"/>
      <c r="DL60" s="65"/>
      <c r="DM60" s="65"/>
      <c r="DN60" s="67">
        <f t="shared" si="67"/>
        <v>0</v>
      </c>
      <c r="DO60" s="68">
        <f t="shared" si="38"/>
        <v>0</v>
      </c>
      <c r="DP60" s="68">
        <f t="shared" si="68"/>
        <v>0</v>
      </c>
      <c r="DQ60" s="69" t="str">
        <f t="shared" si="69"/>
        <v>D</v>
      </c>
      <c r="DR60" s="70" t="str">
        <f>IF(DP60="  ","  ",IF(DP60&gt;=menu!$D$19,"Tuntas","Tidak Tuntas"))</f>
        <v>Tuntas</v>
      </c>
    </row>
    <row r="61" spans="1:122">
      <c r="A61" s="64">
        <f>'DATA SISWA'!A47</f>
        <v>0</v>
      </c>
      <c r="B61" s="76">
        <f>'DATA SISWA'!C47</f>
        <v>0</v>
      </c>
      <c r="C61" s="65"/>
      <c r="D61" s="65"/>
      <c r="E61" s="65"/>
      <c r="F61" s="66"/>
      <c r="G61" s="65"/>
      <c r="H61" s="65"/>
      <c r="I61" s="65"/>
      <c r="J61" s="67">
        <f t="shared" si="40"/>
        <v>0</v>
      </c>
      <c r="K61" s="68">
        <f t="shared" si="11"/>
        <v>0</v>
      </c>
      <c r="L61" s="68">
        <f t="shared" si="41"/>
        <v>0</v>
      </c>
      <c r="M61" s="69" t="str">
        <f t="shared" si="42"/>
        <v>D</v>
      </c>
      <c r="N61" s="70" t="str">
        <f>IF(L61="  ","  ",IF(L61&gt;=menu!$D$19,"Tuntas","Tidak Tuntas"))</f>
        <v>Tuntas</v>
      </c>
      <c r="O61" s="65"/>
      <c r="P61" s="65"/>
      <c r="Q61" s="65"/>
      <c r="R61" s="66"/>
      <c r="S61" s="65"/>
      <c r="T61" s="65"/>
      <c r="U61" s="65"/>
      <c r="V61" s="67">
        <f t="shared" si="43"/>
        <v>0</v>
      </c>
      <c r="W61" s="68">
        <f t="shared" si="14"/>
        <v>0</v>
      </c>
      <c r="X61" s="68">
        <f t="shared" si="44"/>
        <v>0</v>
      </c>
      <c r="Y61" s="69" t="str">
        <f t="shared" si="45"/>
        <v>D</v>
      </c>
      <c r="Z61" s="70" t="str">
        <f>IF(X61="  ","  ",IF(X61&gt;=menu!$D$19,"Tuntas","Tidak Tuntas"))</f>
        <v>Tuntas</v>
      </c>
      <c r="AA61" s="65"/>
      <c r="AB61" s="65"/>
      <c r="AC61" s="65"/>
      <c r="AD61" s="66"/>
      <c r="AE61" s="65"/>
      <c r="AF61" s="65"/>
      <c r="AG61" s="65"/>
      <c r="AH61" s="67">
        <f t="shared" si="46"/>
        <v>0</v>
      </c>
      <c r="AI61" s="68">
        <f t="shared" si="17"/>
        <v>0</v>
      </c>
      <c r="AJ61" s="68">
        <f t="shared" si="47"/>
        <v>0</v>
      </c>
      <c r="AK61" s="69" t="str">
        <f t="shared" si="48"/>
        <v>D</v>
      </c>
      <c r="AL61" s="70" t="str">
        <f>IF(AJ61="  ","  ",IF(AJ61&gt;=menu!$D$19,"Tuntas","Tidak Tuntas"))</f>
        <v>Tuntas</v>
      </c>
      <c r="AM61" s="65"/>
      <c r="AN61" s="65"/>
      <c r="AO61" s="65"/>
      <c r="AP61" s="66"/>
      <c r="AQ61" s="65"/>
      <c r="AR61" s="65"/>
      <c r="AS61" s="65"/>
      <c r="AT61" s="67">
        <f t="shared" si="49"/>
        <v>0</v>
      </c>
      <c r="AU61" s="68">
        <f t="shared" si="20"/>
        <v>0</v>
      </c>
      <c r="AV61" s="68">
        <f t="shared" si="50"/>
        <v>0</v>
      </c>
      <c r="AW61" s="69" t="str">
        <f t="shared" si="51"/>
        <v>D</v>
      </c>
      <c r="AX61" s="70" t="str">
        <f>IF(AV61="  ","  ",IF(AV61&gt;=menu!$D$19,"Tuntas","Tidak Tuntas"))</f>
        <v>Tuntas</v>
      </c>
      <c r="AY61" s="65"/>
      <c r="AZ61" s="65"/>
      <c r="BA61" s="65"/>
      <c r="BB61" s="66"/>
      <c r="BC61" s="65"/>
      <c r="BD61" s="65"/>
      <c r="BE61" s="65"/>
      <c r="BF61" s="67">
        <f t="shared" si="52"/>
        <v>0</v>
      </c>
      <c r="BG61" s="68">
        <f t="shared" si="23"/>
        <v>0</v>
      </c>
      <c r="BH61" s="68">
        <f t="shared" si="53"/>
        <v>0</v>
      </c>
      <c r="BI61" s="69" t="str">
        <f t="shared" si="54"/>
        <v>D</v>
      </c>
      <c r="BJ61" s="70" t="str">
        <f>IF(BH61="  ","  ",IF(BH61&gt;=menu!$D$19,"Tuntas","Tidak Tuntas"))</f>
        <v>Tuntas</v>
      </c>
      <c r="BK61" s="65"/>
      <c r="BL61" s="65"/>
      <c r="BM61" s="65"/>
      <c r="BN61" s="66"/>
      <c r="BO61" s="65"/>
      <c r="BP61" s="65"/>
      <c r="BQ61" s="65"/>
      <c r="BR61" s="67">
        <f t="shared" si="55"/>
        <v>0</v>
      </c>
      <c r="BS61" s="68">
        <f t="shared" si="26"/>
        <v>0</v>
      </c>
      <c r="BT61" s="68">
        <f t="shared" si="56"/>
        <v>0</v>
      </c>
      <c r="BU61" s="69" t="str">
        <f t="shared" si="57"/>
        <v>D</v>
      </c>
      <c r="BV61" s="70" t="str">
        <f>IF(BT61="  ","  ",IF(BT61&gt;=menu!$D$19,"Tuntas","Tidak Tuntas"))</f>
        <v>Tuntas</v>
      </c>
      <c r="BW61" s="65"/>
      <c r="BX61" s="65"/>
      <c r="BY61" s="65"/>
      <c r="BZ61" s="66"/>
      <c r="CA61" s="65"/>
      <c r="CB61" s="65"/>
      <c r="CC61" s="65"/>
      <c r="CD61" s="67">
        <f t="shared" si="58"/>
        <v>0</v>
      </c>
      <c r="CE61" s="68">
        <f t="shared" si="29"/>
        <v>0</v>
      </c>
      <c r="CF61" s="68">
        <f t="shared" si="59"/>
        <v>0</v>
      </c>
      <c r="CG61" s="69" t="str">
        <f t="shared" si="60"/>
        <v>D</v>
      </c>
      <c r="CH61" s="70" t="str">
        <f>IF(CF61="  ","  ",IF(CF61&gt;=menu!$D$19,"Tuntas","Tidak Tuntas"))</f>
        <v>Tuntas</v>
      </c>
      <c r="CI61" s="65"/>
      <c r="CJ61" s="65"/>
      <c r="CK61" s="65"/>
      <c r="CL61" s="66"/>
      <c r="CM61" s="65"/>
      <c r="CN61" s="65"/>
      <c r="CO61" s="65"/>
      <c r="CP61" s="67">
        <f t="shared" si="61"/>
        <v>0</v>
      </c>
      <c r="CQ61" s="68">
        <f t="shared" si="32"/>
        <v>0</v>
      </c>
      <c r="CR61" s="68">
        <f t="shared" si="62"/>
        <v>0</v>
      </c>
      <c r="CS61" s="69" t="str">
        <f t="shared" si="63"/>
        <v>D</v>
      </c>
      <c r="CT61" s="70" t="str">
        <f>IF(CR61="  ","  ",IF(CR61&gt;=menu!$D$19,"Tuntas","Tidak Tuntas"))</f>
        <v>Tuntas</v>
      </c>
      <c r="CU61" s="65"/>
      <c r="CV61" s="65"/>
      <c r="CW61" s="65"/>
      <c r="CX61" s="66"/>
      <c r="CY61" s="65"/>
      <c r="CZ61" s="65"/>
      <c r="DA61" s="65"/>
      <c r="DB61" s="67">
        <f t="shared" si="64"/>
        <v>0</v>
      </c>
      <c r="DC61" s="68">
        <f t="shared" si="35"/>
        <v>0</v>
      </c>
      <c r="DD61" s="68">
        <f t="shared" si="65"/>
        <v>0</v>
      </c>
      <c r="DE61" s="69" t="str">
        <f t="shared" si="66"/>
        <v>D</v>
      </c>
      <c r="DF61" s="70" t="str">
        <f>IF(DD61="  ","  ",IF(DD61&gt;=menu!$D$19,"Tuntas","Tidak Tuntas"))</f>
        <v>Tuntas</v>
      </c>
      <c r="DG61" s="65"/>
      <c r="DH61" s="65"/>
      <c r="DI61" s="65"/>
      <c r="DJ61" s="66"/>
      <c r="DK61" s="65"/>
      <c r="DL61" s="65"/>
      <c r="DM61" s="65"/>
      <c r="DN61" s="67">
        <f t="shared" si="67"/>
        <v>0</v>
      </c>
      <c r="DO61" s="68">
        <f t="shared" si="38"/>
        <v>0</v>
      </c>
      <c r="DP61" s="68">
        <f t="shared" si="68"/>
        <v>0</v>
      </c>
      <c r="DQ61" s="69" t="str">
        <f t="shared" si="69"/>
        <v>D</v>
      </c>
      <c r="DR61" s="70" t="str">
        <f>IF(DP61="  ","  ",IF(DP61&gt;=menu!$D$19,"Tuntas","Tidak Tuntas"))</f>
        <v>Tuntas</v>
      </c>
    </row>
    <row r="62" spans="1:122">
      <c r="A62" s="64">
        <f>'DATA SISWA'!A48</f>
        <v>0</v>
      </c>
      <c r="B62" s="76">
        <f>'DATA SISWA'!C48</f>
        <v>0</v>
      </c>
      <c r="C62" s="65"/>
      <c r="D62" s="65"/>
      <c r="E62" s="65"/>
      <c r="F62" s="66"/>
      <c r="G62" s="65"/>
      <c r="H62" s="65"/>
      <c r="I62" s="65"/>
      <c r="J62" s="67">
        <f t="shared" si="40"/>
        <v>0</v>
      </c>
      <c r="K62" s="68">
        <f t="shared" si="11"/>
        <v>0</v>
      </c>
      <c r="L62" s="68">
        <f t="shared" si="41"/>
        <v>0</v>
      </c>
      <c r="M62" s="69" t="str">
        <f t="shared" si="42"/>
        <v>D</v>
      </c>
      <c r="N62" s="70" t="str">
        <f>IF(L62="  ","  ",IF(L62&gt;=menu!$D$19,"Tuntas","Tidak Tuntas"))</f>
        <v>Tuntas</v>
      </c>
      <c r="O62" s="65"/>
      <c r="P62" s="65"/>
      <c r="Q62" s="65"/>
      <c r="R62" s="66"/>
      <c r="S62" s="65"/>
      <c r="T62" s="65"/>
      <c r="U62" s="65"/>
      <c r="V62" s="67">
        <f t="shared" si="43"/>
        <v>0</v>
      </c>
      <c r="W62" s="68">
        <f t="shared" si="14"/>
        <v>0</v>
      </c>
      <c r="X62" s="68">
        <f t="shared" si="44"/>
        <v>0</v>
      </c>
      <c r="Y62" s="69" t="str">
        <f t="shared" si="45"/>
        <v>D</v>
      </c>
      <c r="Z62" s="70" t="str">
        <f>IF(X62="  ","  ",IF(X62&gt;=menu!$D$19,"Tuntas","Tidak Tuntas"))</f>
        <v>Tuntas</v>
      </c>
      <c r="AA62" s="65"/>
      <c r="AB62" s="65"/>
      <c r="AC62" s="65"/>
      <c r="AD62" s="66"/>
      <c r="AE62" s="65"/>
      <c r="AF62" s="65"/>
      <c r="AG62" s="65"/>
      <c r="AH62" s="67">
        <f t="shared" si="46"/>
        <v>0</v>
      </c>
      <c r="AI62" s="68">
        <f t="shared" si="17"/>
        <v>0</v>
      </c>
      <c r="AJ62" s="68">
        <f t="shared" si="47"/>
        <v>0</v>
      </c>
      <c r="AK62" s="69" t="str">
        <f t="shared" si="48"/>
        <v>D</v>
      </c>
      <c r="AL62" s="70" t="str">
        <f>IF(AJ62="  ","  ",IF(AJ62&gt;=menu!$D$19,"Tuntas","Tidak Tuntas"))</f>
        <v>Tuntas</v>
      </c>
      <c r="AM62" s="65"/>
      <c r="AN62" s="65"/>
      <c r="AO62" s="65"/>
      <c r="AP62" s="66"/>
      <c r="AQ62" s="65"/>
      <c r="AR62" s="65"/>
      <c r="AS62" s="65"/>
      <c r="AT62" s="67">
        <f t="shared" si="49"/>
        <v>0</v>
      </c>
      <c r="AU62" s="68">
        <f t="shared" si="20"/>
        <v>0</v>
      </c>
      <c r="AV62" s="68">
        <f t="shared" si="50"/>
        <v>0</v>
      </c>
      <c r="AW62" s="69" t="str">
        <f t="shared" si="51"/>
        <v>D</v>
      </c>
      <c r="AX62" s="70" t="str">
        <f>IF(AV62="  ","  ",IF(AV62&gt;=menu!$D$19,"Tuntas","Tidak Tuntas"))</f>
        <v>Tuntas</v>
      </c>
      <c r="AY62" s="65"/>
      <c r="AZ62" s="65"/>
      <c r="BA62" s="65"/>
      <c r="BB62" s="66"/>
      <c r="BC62" s="65"/>
      <c r="BD62" s="65"/>
      <c r="BE62" s="65"/>
      <c r="BF62" s="67">
        <f t="shared" si="52"/>
        <v>0</v>
      </c>
      <c r="BG62" s="68">
        <f t="shared" si="23"/>
        <v>0</v>
      </c>
      <c r="BH62" s="68">
        <f t="shared" si="53"/>
        <v>0</v>
      </c>
      <c r="BI62" s="69" t="str">
        <f t="shared" si="54"/>
        <v>D</v>
      </c>
      <c r="BJ62" s="70" t="str">
        <f>IF(BH62="  ","  ",IF(BH62&gt;=menu!$D$19,"Tuntas","Tidak Tuntas"))</f>
        <v>Tuntas</v>
      </c>
      <c r="BK62" s="65"/>
      <c r="BL62" s="65"/>
      <c r="BM62" s="65"/>
      <c r="BN62" s="66"/>
      <c r="BO62" s="65"/>
      <c r="BP62" s="65"/>
      <c r="BQ62" s="65"/>
      <c r="BR62" s="67">
        <f t="shared" si="55"/>
        <v>0</v>
      </c>
      <c r="BS62" s="68">
        <f t="shared" si="26"/>
        <v>0</v>
      </c>
      <c r="BT62" s="68">
        <f t="shared" si="56"/>
        <v>0</v>
      </c>
      <c r="BU62" s="69" t="str">
        <f t="shared" si="57"/>
        <v>D</v>
      </c>
      <c r="BV62" s="70" t="str">
        <f>IF(BT62="  ","  ",IF(BT62&gt;=menu!$D$19,"Tuntas","Tidak Tuntas"))</f>
        <v>Tuntas</v>
      </c>
      <c r="BW62" s="65"/>
      <c r="BX62" s="65"/>
      <c r="BY62" s="65"/>
      <c r="BZ62" s="66"/>
      <c r="CA62" s="65"/>
      <c r="CB62" s="65"/>
      <c r="CC62" s="65"/>
      <c r="CD62" s="67">
        <f t="shared" si="58"/>
        <v>0</v>
      </c>
      <c r="CE62" s="68">
        <f t="shared" si="29"/>
        <v>0</v>
      </c>
      <c r="CF62" s="68">
        <f t="shared" si="59"/>
        <v>0</v>
      </c>
      <c r="CG62" s="69" t="str">
        <f t="shared" si="60"/>
        <v>D</v>
      </c>
      <c r="CH62" s="70" t="str">
        <f>IF(CF62="  ","  ",IF(CF62&gt;=menu!$D$19,"Tuntas","Tidak Tuntas"))</f>
        <v>Tuntas</v>
      </c>
      <c r="CI62" s="65"/>
      <c r="CJ62" s="65"/>
      <c r="CK62" s="65"/>
      <c r="CL62" s="66"/>
      <c r="CM62" s="65"/>
      <c r="CN62" s="65"/>
      <c r="CO62" s="65"/>
      <c r="CP62" s="67">
        <f t="shared" si="61"/>
        <v>0</v>
      </c>
      <c r="CQ62" s="68">
        <f t="shared" si="32"/>
        <v>0</v>
      </c>
      <c r="CR62" s="68">
        <f t="shared" si="62"/>
        <v>0</v>
      </c>
      <c r="CS62" s="69" t="str">
        <f t="shared" si="63"/>
        <v>D</v>
      </c>
      <c r="CT62" s="70" t="str">
        <f>IF(CR62="  ","  ",IF(CR62&gt;=menu!$D$19,"Tuntas","Tidak Tuntas"))</f>
        <v>Tuntas</v>
      </c>
      <c r="CU62" s="65"/>
      <c r="CV62" s="65"/>
      <c r="CW62" s="65"/>
      <c r="CX62" s="66"/>
      <c r="CY62" s="65"/>
      <c r="CZ62" s="65"/>
      <c r="DA62" s="65"/>
      <c r="DB62" s="67">
        <f t="shared" si="64"/>
        <v>0</v>
      </c>
      <c r="DC62" s="68">
        <f t="shared" si="35"/>
        <v>0</v>
      </c>
      <c r="DD62" s="68">
        <f t="shared" si="65"/>
        <v>0</v>
      </c>
      <c r="DE62" s="69" t="str">
        <f t="shared" si="66"/>
        <v>D</v>
      </c>
      <c r="DF62" s="70" t="str">
        <f>IF(DD62="  ","  ",IF(DD62&gt;=menu!$D$19,"Tuntas","Tidak Tuntas"))</f>
        <v>Tuntas</v>
      </c>
      <c r="DG62" s="65"/>
      <c r="DH62" s="65"/>
      <c r="DI62" s="65"/>
      <c r="DJ62" s="66"/>
      <c r="DK62" s="65"/>
      <c r="DL62" s="65"/>
      <c r="DM62" s="65"/>
      <c r="DN62" s="67">
        <f t="shared" si="67"/>
        <v>0</v>
      </c>
      <c r="DO62" s="68">
        <f t="shared" si="38"/>
        <v>0</v>
      </c>
      <c r="DP62" s="68">
        <f t="shared" si="68"/>
        <v>0</v>
      </c>
      <c r="DQ62" s="69" t="str">
        <f t="shared" si="69"/>
        <v>D</v>
      </c>
      <c r="DR62" s="70" t="str">
        <f>IF(DP62="  ","  ",IF(DP62&gt;=menu!$D$19,"Tuntas","Tidak Tuntas"))</f>
        <v>Tuntas</v>
      </c>
    </row>
    <row r="63" spans="1:122">
      <c r="A63" s="64">
        <f>'DATA SISWA'!A49</f>
        <v>0</v>
      </c>
      <c r="B63" s="76">
        <f>'DATA SISWA'!C49</f>
        <v>0</v>
      </c>
      <c r="C63" s="65"/>
      <c r="D63" s="65"/>
      <c r="E63" s="65"/>
      <c r="F63" s="66"/>
      <c r="G63" s="65"/>
      <c r="H63" s="65"/>
      <c r="I63" s="65"/>
      <c r="J63" s="67">
        <f t="shared" si="40"/>
        <v>0</v>
      </c>
      <c r="K63" s="68">
        <f t="shared" si="11"/>
        <v>0</v>
      </c>
      <c r="L63" s="68">
        <f t="shared" si="41"/>
        <v>0</v>
      </c>
      <c r="M63" s="69" t="str">
        <f t="shared" si="42"/>
        <v>D</v>
      </c>
      <c r="N63" s="70" t="str">
        <f>IF(L63="  ","  ",IF(L63&gt;=menu!$D$19,"Tuntas","Tidak Tuntas"))</f>
        <v>Tuntas</v>
      </c>
      <c r="O63" s="65"/>
      <c r="P63" s="65"/>
      <c r="Q63" s="65"/>
      <c r="R63" s="66"/>
      <c r="S63" s="65"/>
      <c r="T63" s="65"/>
      <c r="U63" s="65"/>
      <c r="V63" s="67">
        <f t="shared" si="43"/>
        <v>0</v>
      </c>
      <c r="W63" s="68">
        <f t="shared" si="14"/>
        <v>0</v>
      </c>
      <c r="X63" s="68">
        <f t="shared" si="44"/>
        <v>0</v>
      </c>
      <c r="Y63" s="69" t="str">
        <f t="shared" si="45"/>
        <v>D</v>
      </c>
      <c r="Z63" s="70" t="str">
        <f>IF(X63="  ","  ",IF(X63&gt;=menu!$D$19,"Tuntas","Tidak Tuntas"))</f>
        <v>Tuntas</v>
      </c>
      <c r="AA63" s="65"/>
      <c r="AB63" s="65"/>
      <c r="AC63" s="65"/>
      <c r="AD63" s="66"/>
      <c r="AE63" s="65"/>
      <c r="AF63" s="65"/>
      <c r="AG63" s="65"/>
      <c r="AH63" s="67">
        <f t="shared" si="46"/>
        <v>0</v>
      </c>
      <c r="AI63" s="68">
        <f t="shared" si="17"/>
        <v>0</v>
      </c>
      <c r="AJ63" s="68">
        <f t="shared" si="47"/>
        <v>0</v>
      </c>
      <c r="AK63" s="69" t="str">
        <f t="shared" si="48"/>
        <v>D</v>
      </c>
      <c r="AL63" s="70" t="str">
        <f>IF(AJ63="  ","  ",IF(AJ63&gt;=menu!$D$19,"Tuntas","Tidak Tuntas"))</f>
        <v>Tuntas</v>
      </c>
      <c r="AM63" s="65"/>
      <c r="AN63" s="65"/>
      <c r="AO63" s="65"/>
      <c r="AP63" s="66"/>
      <c r="AQ63" s="65"/>
      <c r="AR63" s="65"/>
      <c r="AS63" s="65"/>
      <c r="AT63" s="67">
        <f t="shared" si="49"/>
        <v>0</v>
      </c>
      <c r="AU63" s="68">
        <f t="shared" si="20"/>
        <v>0</v>
      </c>
      <c r="AV63" s="68">
        <f t="shared" si="50"/>
        <v>0</v>
      </c>
      <c r="AW63" s="69" t="str">
        <f t="shared" si="51"/>
        <v>D</v>
      </c>
      <c r="AX63" s="70" t="str">
        <f>IF(AV63="  ","  ",IF(AV63&gt;=menu!$D$19,"Tuntas","Tidak Tuntas"))</f>
        <v>Tuntas</v>
      </c>
      <c r="AY63" s="65"/>
      <c r="AZ63" s="65"/>
      <c r="BA63" s="65"/>
      <c r="BB63" s="66"/>
      <c r="BC63" s="65"/>
      <c r="BD63" s="65"/>
      <c r="BE63" s="65"/>
      <c r="BF63" s="67">
        <f t="shared" si="52"/>
        <v>0</v>
      </c>
      <c r="BG63" s="68">
        <f t="shared" si="23"/>
        <v>0</v>
      </c>
      <c r="BH63" s="68">
        <f t="shared" si="53"/>
        <v>0</v>
      </c>
      <c r="BI63" s="69" t="str">
        <f t="shared" si="54"/>
        <v>D</v>
      </c>
      <c r="BJ63" s="70" t="str">
        <f>IF(BH63="  ","  ",IF(BH63&gt;=menu!$D$19,"Tuntas","Tidak Tuntas"))</f>
        <v>Tuntas</v>
      </c>
      <c r="BK63" s="65"/>
      <c r="BL63" s="65"/>
      <c r="BM63" s="65"/>
      <c r="BN63" s="66"/>
      <c r="BO63" s="65"/>
      <c r="BP63" s="65"/>
      <c r="BQ63" s="65"/>
      <c r="BR63" s="67">
        <f t="shared" si="55"/>
        <v>0</v>
      </c>
      <c r="BS63" s="68">
        <f t="shared" si="26"/>
        <v>0</v>
      </c>
      <c r="BT63" s="68">
        <f t="shared" si="56"/>
        <v>0</v>
      </c>
      <c r="BU63" s="69" t="str">
        <f t="shared" si="57"/>
        <v>D</v>
      </c>
      <c r="BV63" s="70" t="str">
        <f>IF(BT63="  ","  ",IF(BT63&gt;=menu!$D$19,"Tuntas","Tidak Tuntas"))</f>
        <v>Tuntas</v>
      </c>
      <c r="BW63" s="65"/>
      <c r="BX63" s="65"/>
      <c r="BY63" s="65"/>
      <c r="BZ63" s="66"/>
      <c r="CA63" s="65"/>
      <c r="CB63" s="65"/>
      <c r="CC63" s="65"/>
      <c r="CD63" s="67">
        <f t="shared" si="58"/>
        <v>0</v>
      </c>
      <c r="CE63" s="68">
        <f t="shared" si="29"/>
        <v>0</v>
      </c>
      <c r="CF63" s="68">
        <f t="shared" si="59"/>
        <v>0</v>
      </c>
      <c r="CG63" s="69" t="str">
        <f t="shared" si="60"/>
        <v>D</v>
      </c>
      <c r="CH63" s="70" t="str">
        <f>IF(CF63="  ","  ",IF(CF63&gt;=menu!$D$19,"Tuntas","Tidak Tuntas"))</f>
        <v>Tuntas</v>
      </c>
      <c r="CI63" s="65"/>
      <c r="CJ63" s="65"/>
      <c r="CK63" s="65"/>
      <c r="CL63" s="66"/>
      <c r="CM63" s="65"/>
      <c r="CN63" s="65"/>
      <c r="CO63" s="65"/>
      <c r="CP63" s="67">
        <f t="shared" si="61"/>
        <v>0</v>
      </c>
      <c r="CQ63" s="68">
        <f t="shared" si="32"/>
        <v>0</v>
      </c>
      <c r="CR63" s="68">
        <f t="shared" si="62"/>
        <v>0</v>
      </c>
      <c r="CS63" s="69" t="str">
        <f t="shared" si="63"/>
        <v>D</v>
      </c>
      <c r="CT63" s="70" t="str">
        <f>IF(CR63="  ","  ",IF(CR63&gt;=menu!$D$19,"Tuntas","Tidak Tuntas"))</f>
        <v>Tuntas</v>
      </c>
      <c r="CU63" s="65"/>
      <c r="CV63" s="65"/>
      <c r="CW63" s="65"/>
      <c r="CX63" s="66"/>
      <c r="CY63" s="65"/>
      <c r="CZ63" s="65"/>
      <c r="DA63" s="65"/>
      <c r="DB63" s="67">
        <f t="shared" si="64"/>
        <v>0</v>
      </c>
      <c r="DC63" s="68">
        <f t="shared" si="35"/>
        <v>0</v>
      </c>
      <c r="DD63" s="68">
        <f t="shared" si="65"/>
        <v>0</v>
      </c>
      <c r="DE63" s="69" t="str">
        <f t="shared" si="66"/>
        <v>D</v>
      </c>
      <c r="DF63" s="70" t="str">
        <f>IF(DD63="  ","  ",IF(DD63&gt;=menu!$D$19,"Tuntas","Tidak Tuntas"))</f>
        <v>Tuntas</v>
      </c>
      <c r="DG63" s="65"/>
      <c r="DH63" s="65"/>
      <c r="DI63" s="65"/>
      <c r="DJ63" s="66"/>
      <c r="DK63" s="65"/>
      <c r="DL63" s="65"/>
      <c r="DM63" s="65"/>
      <c r="DN63" s="67">
        <f t="shared" si="67"/>
        <v>0</v>
      </c>
      <c r="DO63" s="68">
        <f t="shared" si="38"/>
        <v>0</v>
      </c>
      <c r="DP63" s="68">
        <f t="shared" si="68"/>
        <v>0</v>
      </c>
      <c r="DQ63" s="69" t="str">
        <f t="shared" si="69"/>
        <v>D</v>
      </c>
      <c r="DR63" s="70" t="str">
        <f>IF(DP63="  ","  ",IF(DP63&gt;=menu!$D$19,"Tuntas","Tidak Tuntas"))</f>
        <v>Tuntas</v>
      </c>
    </row>
    <row r="64" spans="1:122">
      <c r="A64" s="64">
        <f>'DATA SISWA'!A50</f>
        <v>0</v>
      </c>
      <c r="B64" s="76">
        <f>'DATA SISWA'!C50</f>
        <v>0</v>
      </c>
      <c r="C64" s="65"/>
      <c r="D64" s="65"/>
      <c r="E64" s="65"/>
      <c r="F64" s="66"/>
      <c r="G64" s="65"/>
      <c r="H64" s="65"/>
      <c r="I64" s="65"/>
      <c r="J64" s="67">
        <f t="shared" si="40"/>
        <v>0</v>
      </c>
      <c r="K64" s="68">
        <f t="shared" si="11"/>
        <v>0</v>
      </c>
      <c r="L64" s="68">
        <f t="shared" si="41"/>
        <v>0</v>
      </c>
      <c r="M64" s="69" t="str">
        <f t="shared" si="42"/>
        <v>D</v>
      </c>
      <c r="N64" s="70" t="str">
        <f>IF(L64="  ","  ",IF(L64&gt;=menu!$D$19,"Tuntas","Tidak Tuntas"))</f>
        <v>Tuntas</v>
      </c>
      <c r="O64" s="65"/>
      <c r="P64" s="65"/>
      <c r="Q64" s="65"/>
      <c r="R64" s="66"/>
      <c r="S64" s="65"/>
      <c r="T64" s="65"/>
      <c r="U64" s="65"/>
      <c r="V64" s="67">
        <f t="shared" si="43"/>
        <v>0</v>
      </c>
      <c r="W64" s="68">
        <f t="shared" si="14"/>
        <v>0</v>
      </c>
      <c r="X64" s="68">
        <f t="shared" si="44"/>
        <v>0</v>
      </c>
      <c r="Y64" s="69" t="str">
        <f t="shared" si="45"/>
        <v>D</v>
      </c>
      <c r="Z64" s="70" t="str">
        <f>IF(X64="  ","  ",IF(X64&gt;=menu!$D$19,"Tuntas","Tidak Tuntas"))</f>
        <v>Tuntas</v>
      </c>
      <c r="AA64" s="65"/>
      <c r="AB64" s="65"/>
      <c r="AC64" s="65"/>
      <c r="AD64" s="66"/>
      <c r="AE64" s="65"/>
      <c r="AF64" s="65"/>
      <c r="AG64" s="65"/>
      <c r="AH64" s="67">
        <f t="shared" si="46"/>
        <v>0</v>
      </c>
      <c r="AI64" s="68">
        <f t="shared" si="17"/>
        <v>0</v>
      </c>
      <c r="AJ64" s="68">
        <f t="shared" si="47"/>
        <v>0</v>
      </c>
      <c r="AK64" s="69" t="str">
        <f t="shared" si="48"/>
        <v>D</v>
      </c>
      <c r="AL64" s="70" t="str">
        <f>IF(AJ64="  ","  ",IF(AJ64&gt;=menu!$D$19,"Tuntas","Tidak Tuntas"))</f>
        <v>Tuntas</v>
      </c>
      <c r="AM64" s="65"/>
      <c r="AN64" s="65"/>
      <c r="AO64" s="65"/>
      <c r="AP64" s="66"/>
      <c r="AQ64" s="65"/>
      <c r="AR64" s="65"/>
      <c r="AS64" s="65"/>
      <c r="AT64" s="67">
        <f t="shared" si="49"/>
        <v>0</v>
      </c>
      <c r="AU64" s="68">
        <f t="shared" si="20"/>
        <v>0</v>
      </c>
      <c r="AV64" s="68">
        <f t="shared" si="50"/>
        <v>0</v>
      </c>
      <c r="AW64" s="69" t="str">
        <f t="shared" si="51"/>
        <v>D</v>
      </c>
      <c r="AX64" s="70" t="str">
        <f>IF(AV64="  ","  ",IF(AV64&gt;=menu!$D$19,"Tuntas","Tidak Tuntas"))</f>
        <v>Tuntas</v>
      </c>
      <c r="AY64" s="65"/>
      <c r="AZ64" s="65"/>
      <c r="BA64" s="65"/>
      <c r="BB64" s="66"/>
      <c r="BC64" s="65"/>
      <c r="BD64" s="65"/>
      <c r="BE64" s="65"/>
      <c r="BF64" s="67">
        <f t="shared" si="52"/>
        <v>0</v>
      </c>
      <c r="BG64" s="68">
        <f t="shared" si="23"/>
        <v>0</v>
      </c>
      <c r="BH64" s="68">
        <f t="shared" si="53"/>
        <v>0</v>
      </c>
      <c r="BI64" s="69" t="str">
        <f t="shared" si="54"/>
        <v>D</v>
      </c>
      <c r="BJ64" s="70" t="str">
        <f>IF(BH64="  ","  ",IF(BH64&gt;=menu!$D$19,"Tuntas","Tidak Tuntas"))</f>
        <v>Tuntas</v>
      </c>
      <c r="BK64" s="65"/>
      <c r="BL64" s="65"/>
      <c r="BM64" s="65"/>
      <c r="BN64" s="66"/>
      <c r="BO64" s="65"/>
      <c r="BP64" s="65"/>
      <c r="BQ64" s="65"/>
      <c r="BR64" s="67">
        <f t="shared" si="55"/>
        <v>0</v>
      </c>
      <c r="BS64" s="68">
        <f t="shared" si="26"/>
        <v>0</v>
      </c>
      <c r="BT64" s="68">
        <f t="shared" si="56"/>
        <v>0</v>
      </c>
      <c r="BU64" s="69" t="str">
        <f t="shared" si="57"/>
        <v>D</v>
      </c>
      <c r="BV64" s="70" t="str">
        <f>IF(BT64="  ","  ",IF(BT64&gt;=menu!$D$19,"Tuntas","Tidak Tuntas"))</f>
        <v>Tuntas</v>
      </c>
      <c r="BW64" s="65"/>
      <c r="BX64" s="65"/>
      <c r="BY64" s="65"/>
      <c r="BZ64" s="66"/>
      <c r="CA64" s="65"/>
      <c r="CB64" s="65"/>
      <c r="CC64" s="65"/>
      <c r="CD64" s="67">
        <f t="shared" si="58"/>
        <v>0</v>
      </c>
      <c r="CE64" s="68">
        <f t="shared" si="29"/>
        <v>0</v>
      </c>
      <c r="CF64" s="68">
        <f t="shared" si="59"/>
        <v>0</v>
      </c>
      <c r="CG64" s="69" t="str">
        <f t="shared" si="60"/>
        <v>D</v>
      </c>
      <c r="CH64" s="70" t="str">
        <f>IF(CF64="  ","  ",IF(CF64&gt;=menu!$D$19,"Tuntas","Tidak Tuntas"))</f>
        <v>Tuntas</v>
      </c>
      <c r="CI64" s="65"/>
      <c r="CJ64" s="65"/>
      <c r="CK64" s="65"/>
      <c r="CL64" s="66"/>
      <c r="CM64" s="65"/>
      <c r="CN64" s="65"/>
      <c r="CO64" s="65"/>
      <c r="CP64" s="67">
        <f t="shared" si="61"/>
        <v>0</v>
      </c>
      <c r="CQ64" s="68">
        <f t="shared" si="32"/>
        <v>0</v>
      </c>
      <c r="CR64" s="68">
        <f t="shared" si="62"/>
        <v>0</v>
      </c>
      <c r="CS64" s="69" t="str">
        <f t="shared" si="63"/>
        <v>D</v>
      </c>
      <c r="CT64" s="70" t="str">
        <f>IF(CR64="  ","  ",IF(CR64&gt;=menu!$D$19,"Tuntas","Tidak Tuntas"))</f>
        <v>Tuntas</v>
      </c>
      <c r="CU64" s="65"/>
      <c r="CV64" s="65"/>
      <c r="CW64" s="65"/>
      <c r="CX64" s="66"/>
      <c r="CY64" s="65"/>
      <c r="CZ64" s="65"/>
      <c r="DA64" s="65"/>
      <c r="DB64" s="67">
        <f t="shared" si="64"/>
        <v>0</v>
      </c>
      <c r="DC64" s="68">
        <f t="shared" si="35"/>
        <v>0</v>
      </c>
      <c r="DD64" s="68">
        <f t="shared" si="65"/>
        <v>0</v>
      </c>
      <c r="DE64" s="69" t="str">
        <f t="shared" si="66"/>
        <v>D</v>
      </c>
      <c r="DF64" s="70" t="str">
        <f>IF(DD64="  ","  ",IF(DD64&gt;=menu!$D$19,"Tuntas","Tidak Tuntas"))</f>
        <v>Tuntas</v>
      </c>
      <c r="DG64" s="65"/>
      <c r="DH64" s="65"/>
      <c r="DI64" s="65"/>
      <c r="DJ64" s="66"/>
      <c r="DK64" s="65"/>
      <c r="DL64" s="65"/>
      <c r="DM64" s="65"/>
      <c r="DN64" s="67">
        <f t="shared" si="67"/>
        <v>0</v>
      </c>
      <c r="DO64" s="68">
        <f t="shared" si="38"/>
        <v>0</v>
      </c>
      <c r="DP64" s="68">
        <f t="shared" si="68"/>
        <v>0</v>
      </c>
      <c r="DQ64" s="69" t="str">
        <f t="shared" si="69"/>
        <v>D</v>
      </c>
      <c r="DR64" s="70" t="str">
        <f>IF(DP64="  ","  ",IF(DP64&gt;=menu!$D$19,"Tuntas","Tidak Tuntas"))</f>
        <v>Tuntas</v>
      </c>
    </row>
    <row r="65" spans="1:122">
      <c r="A65" s="64">
        <f>'DATA SISWA'!A51</f>
        <v>0</v>
      </c>
      <c r="B65" s="76">
        <f>'DATA SISWA'!C51</f>
        <v>0</v>
      </c>
      <c r="C65" s="65"/>
      <c r="D65" s="65"/>
      <c r="E65" s="65"/>
      <c r="F65" s="66"/>
      <c r="G65" s="65"/>
      <c r="H65" s="65"/>
      <c r="I65" s="65"/>
      <c r="J65" s="67">
        <f t="shared" si="40"/>
        <v>0</v>
      </c>
      <c r="K65" s="68">
        <f t="shared" si="11"/>
        <v>0</v>
      </c>
      <c r="L65" s="68">
        <f t="shared" si="41"/>
        <v>0</v>
      </c>
      <c r="M65" s="69" t="str">
        <f t="shared" si="42"/>
        <v>D</v>
      </c>
      <c r="N65" s="70" t="str">
        <f>IF(L65="  ","  ",IF(L65&gt;=menu!$D$19,"Tuntas","Tidak Tuntas"))</f>
        <v>Tuntas</v>
      </c>
      <c r="O65" s="65"/>
      <c r="P65" s="65"/>
      <c r="Q65" s="65"/>
      <c r="R65" s="66"/>
      <c r="S65" s="65"/>
      <c r="T65" s="65"/>
      <c r="U65" s="65"/>
      <c r="V65" s="67">
        <f t="shared" si="43"/>
        <v>0</v>
      </c>
      <c r="W65" s="68">
        <f t="shared" si="14"/>
        <v>0</v>
      </c>
      <c r="X65" s="68">
        <f t="shared" si="44"/>
        <v>0</v>
      </c>
      <c r="Y65" s="69" t="str">
        <f t="shared" si="45"/>
        <v>D</v>
      </c>
      <c r="Z65" s="70" t="str">
        <f>IF(X65="  ","  ",IF(X65&gt;=menu!$D$19,"Tuntas","Tidak Tuntas"))</f>
        <v>Tuntas</v>
      </c>
      <c r="AA65" s="65"/>
      <c r="AB65" s="65"/>
      <c r="AC65" s="65"/>
      <c r="AD65" s="66"/>
      <c r="AE65" s="65"/>
      <c r="AF65" s="65"/>
      <c r="AG65" s="65"/>
      <c r="AH65" s="67">
        <f t="shared" si="46"/>
        <v>0</v>
      </c>
      <c r="AI65" s="68">
        <f t="shared" si="17"/>
        <v>0</v>
      </c>
      <c r="AJ65" s="68">
        <f t="shared" si="47"/>
        <v>0</v>
      </c>
      <c r="AK65" s="69" t="str">
        <f t="shared" si="48"/>
        <v>D</v>
      </c>
      <c r="AL65" s="70" t="str">
        <f>IF(AJ65="  ","  ",IF(AJ65&gt;=menu!$D$19,"Tuntas","Tidak Tuntas"))</f>
        <v>Tuntas</v>
      </c>
      <c r="AM65" s="65"/>
      <c r="AN65" s="65"/>
      <c r="AO65" s="65"/>
      <c r="AP65" s="66"/>
      <c r="AQ65" s="65"/>
      <c r="AR65" s="65"/>
      <c r="AS65" s="65"/>
      <c r="AT65" s="67">
        <f t="shared" si="49"/>
        <v>0</v>
      </c>
      <c r="AU65" s="68">
        <f t="shared" si="20"/>
        <v>0</v>
      </c>
      <c r="AV65" s="68">
        <f t="shared" si="50"/>
        <v>0</v>
      </c>
      <c r="AW65" s="69" t="str">
        <f t="shared" si="51"/>
        <v>D</v>
      </c>
      <c r="AX65" s="70" t="str">
        <f>IF(AV65="  ","  ",IF(AV65&gt;=menu!$D$19,"Tuntas","Tidak Tuntas"))</f>
        <v>Tuntas</v>
      </c>
      <c r="AY65" s="65"/>
      <c r="AZ65" s="65"/>
      <c r="BA65" s="65"/>
      <c r="BB65" s="66"/>
      <c r="BC65" s="65"/>
      <c r="BD65" s="65"/>
      <c r="BE65" s="65"/>
      <c r="BF65" s="67">
        <f t="shared" si="52"/>
        <v>0</v>
      </c>
      <c r="BG65" s="68">
        <f t="shared" si="23"/>
        <v>0</v>
      </c>
      <c r="BH65" s="68">
        <f t="shared" si="53"/>
        <v>0</v>
      </c>
      <c r="BI65" s="69" t="str">
        <f t="shared" si="54"/>
        <v>D</v>
      </c>
      <c r="BJ65" s="70" t="str">
        <f>IF(BH65="  ","  ",IF(BH65&gt;=menu!$D$19,"Tuntas","Tidak Tuntas"))</f>
        <v>Tuntas</v>
      </c>
      <c r="BK65" s="65"/>
      <c r="BL65" s="65"/>
      <c r="BM65" s="65"/>
      <c r="BN65" s="66"/>
      <c r="BO65" s="65"/>
      <c r="BP65" s="65"/>
      <c r="BQ65" s="65"/>
      <c r="BR65" s="67">
        <f t="shared" si="55"/>
        <v>0</v>
      </c>
      <c r="BS65" s="68">
        <f t="shared" si="26"/>
        <v>0</v>
      </c>
      <c r="BT65" s="68">
        <f t="shared" si="56"/>
        <v>0</v>
      </c>
      <c r="BU65" s="69" t="str">
        <f t="shared" si="57"/>
        <v>D</v>
      </c>
      <c r="BV65" s="70" t="str">
        <f>IF(BT65="  ","  ",IF(BT65&gt;=menu!$D$19,"Tuntas","Tidak Tuntas"))</f>
        <v>Tuntas</v>
      </c>
      <c r="BW65" s="65"/>
      <c r="BX65" s="65"/>
      <c r="BY65" s="65"/>
      <c r="BZ65" s="66"/>
      <c r="CA65" s="65"/>
      <c r="CB65" s="65"/>
      <c r="CC65" s="65"/>
      <c r="CD65" s="67">
        <f t="shared" si="58"/>
        <v>0</v>
      </c>
      <c r="CE65" s="68">
        <f t="shared" si="29"/>
        <v>0</v>
      </c>
      <c r="CF65" s="68">
        <f t="shared" si="59"/>
        <v>0</v>
      </c>
      <c r="CG65" s="69" t="str">
        <f t="shared" si="60"/>
        <v>D</v>
      </c>
      <c r="CH65" s="70" t="str">
        <f>IF(CF65="  ","  ",IF(CF65&gt;=menu!$D$19,"Tuntas","Tidak Tuntas"))</f>
        <v>Tuntas</v>
      </c>
      <c r="CI65" s="65"/>
      <c r="CJ65" s="65"/>
      <c r="CK65" s="65"/>
      <c r="CL65" s="66"/>
      <c r="CM65" s="65"/>
      <c r="CN65" s="65"/>
      <c r="CO65" s="65"/>
      <c r="CP65" s="67">
        <f t="shared" si="61"/>
        <v>0</v>
      </c>
      <c r="CQ65" s="68">
        <f t="shared" si="32"/>
        <v>0</v>
      </c>
      <c r="CR65" s="68">
        <f t="shared" si="62"/>
        <v>0</v>
      </c>
      <c r="CS65" s="69" t="str">
        <f t="shared" si="63"/>
        <v>D</v>
      </c>
      <c r="CT65" s="70" t="str">
        <f>IF(CR65="  ","  ",IF(CR65&gt;=menu!$D$19,"Tuntas","Tidak Tuntas"))</f>
        <v>Tuntas</v>
      </c>
      <c r="CU65" s="65"/>
      <c r="CV65" s="65"/>
      <c r="CW65" s="65"/>
      <c r="CX65" s="66"/>
      <c r="CY65" s="65"/>
      <c r="CZ65" s="65"/>
      <c r="DA65" s="65"/>
      <c r="DB65" s="67">
        <f t="shared" si="64"/>
        <v>0</v>
      </c>
      <c r="DC65" s="68">
        <f t="shared" si="35"/>
        <v>0</v>
      </c>
      <c r="DD65" s="68">
        <f t="shared" si="65"/>
        <v>0</v>
      </c>
      <c r="DE65" s="69" t="str">
        <f t="shared" si="66"/>
        <v>D</v>
      </c>
      <c r="DF65" s="70" t="str">
        <f>IF(DD65="  ","  ",IF(DD65&gt;=menu!$D$19,"Tuntas","Tidak Tuntas"))</f>
        <v>Tuntas</v>
      </c>
      <c r="DG65" s="65"/>
      <c r="DH65" s="65"/>
      <c r="DI65" s="65"/>
      <c r="DJ65" s="66"/>
      <c r="DK65" s="65"/>
      <c r="DL65" s="65"/>
      <c r="DM65" s="65"/>
      <c r="DN65" s="67">
        <f t="shared" si="67"/>
        <v>0</v>
      </c>
      <c r="DO65" s="68">
        <f t="shared" si="38"/>
        <v>0</v>
      </c>
      <c r="DP65" s="68">
        <f t="shared" si="68"/>
        <v>0</v>
      </c>
      <c r="DQ65" s="69" t="str">
        <f t="shared" si="69"/>
        <v>D</v>
      </c>
      <c r="DR65" s="70" t="str">
        <f>IF(DP65="  ","  ",IF(DP65&gt;=menu!$D$19,"Tuntas","Tidak Tuntas"))</f>
        <v>Tuntas</v>
      </c>
    </row>
    <row r="66" spans="1:122">
      <c r="A66" s="64">
        <f>'DATA SISWA'!A52</f>
        <v>0</v>
      </c>
      <c r="B66" s="76">
        <f>'DATA SISWA'!C52</f>
        <v>0</v>
      </c>
      <c r="C66" s="65"/>
      <c r="D66" s="65"/>
      <c r="E66" s="65"/>
      <c r="F66" s="66"/>
      <c r="G66" s="65"/>
      <c r="H66" s="65"/>
      <c r="I66" s="65"/>
      <c r="J66" s="67">
        <f t="shared" si="40"/>
        <v>0</v>
      </c>
      <c r="K66" s="68">
        <f t="shared" si="11"/>
        <v>0</v>
      </c>
      <c r="L66" s="68">
        <f t="shared" si="41"/>
        <v>0</v>
      </c>
      <c r="M66" s="69" t="str">
        <f t="shared" si="42"/>
        <v>D</v>
      </c>
      <c r="N66" s="70" t="str">
        <f>IF(L66="  ","  ",IF(L66&gt;=menu!$D$19,"Tuntas","Tidak Tuntas"))</f>
        <v>Tuntas</v>
      </c>
      <c r="O66" s="65"/>
      <c r="P66" s="65"/>
      <c r="Q66" s="65"/>
      <c r="R66" s="66"/>
      <c r="S66" s="65"/>
      <c r="T66" s="65"/>
      <c r="U66" s="65"/>
      <c r="V66" s="67">
        <f t="shared" si="43"/>
        <v>0</v>
      </c>
      <c r="W66" s="68">
        <f t="shared" si="14"/>
        <v>0</v>
      </c>
      <c r="X66" s="68">
        <f t="shared" si="44"/>
        <v>0</v>
      </c>
      <c r="Y66" s="69" t="str">
        <f t="shared" si="45"/>
        <v>D</v>
      </c>
      <c r="Z66" s="70" t="str">
        <f>IF(X66="  ","  ",IF(X66&gt;=menu!$D$19,"Tuntas","Tidak Tuntas"))</f>
        <v>Tuntas</v>
      </c>
      <c r="AA66" s="65"/>
      <c r="AB66" s="65"/>
      <c r="AC66" s="65"/>
      <c r="AD66" s="66"/>
      <c r="AE66" s="65"/>
      <c r="AF66" s="65"/>
      <c r="AG66" s="65"/>
      <c r="AH66" s="67">
        <f t="shared" si="46"/>
        <v>0</v>
      </c>
      <c r="AI66" s="68">
        <f t="shared" si="17"/>
        <v>0</v>
      </c>
      <c r="AJ66" s="68">
        <f t="shared" si="47"/>
        <v>0</v>
      </c>
      <c r="AK66" s="69" t="str">
        <f t="shared" si="48"/>
        <v>D</v>
      </c>
      <c r="AL66" s="70" t="str">
        <f>IF(AJ66="  ","  ",IF(AJ66&gt;=menu!$D$19,"Tuntas","Tidak Tuntas"))</f>
        <v>Tuntas</v>
      </c>
      <c r="AM66" s="65"/>
      <c r="AN66" s="65"/>
      <c r="AO66" s="65"/>
      <c r="AP66" s="66"/>
      <c r="AQ66" s="65"/>
      <c r="AR66" s="65"/>
      <c r="AS66" s="65"/>
      <c r="AT66" s="67">
        <f t="shared" si="49"/>
        <v>0</v>
      </c>
      <c r="AU66" s="68">
        <f t="shared" si="20"/>
        <v>0</v>
      </c>
      <c r="AV66" s="68">
        <f t="shared" si="50"/>
        <v>0</v>
      </c>
      <c r="AW66" s="69" t="str">
        <f t="shared" si="51"/>
        <v>D</v>
      </c>
      <c r="AX66" s="70" t="str">
        <f>IF(AV66="  ","  ",IF(AV66&gt;=menu!$D$19,"Tuntas","Tidak Tuntas"))</f>
        <v>Tuntas</v>
      </c>
      <c r="AY66" s="65"/>
      <c r="AZ66" s="65"/>
      <c r="BA66" s="65"/>
      <c r="BB66" s="66"/>
      <c r="BC66" s="65"/>
      <c r="BD66" s="65"/>
      <c r="BE66" s="65"/>
      <c r="BF66" s="67">
        <f t="shared" si="52"/>
        <v>0</v>
      </c>
      <c r="BG66" s="68">
        <f t="shared" si="23"/>
        <v>0</v>
      </c>
      <c r="BH66" s="68">
        <f t="shared" si="53"/>
        <v>0</v>
      </c>
      <c r="BI66" s="69" t="str">
        <f t="shared" si="54"/>
        <v>D</v>
      </c>
      <c r="BJ66" s="70" t="str">
        <f>IF(BH66="  ","  ",IF(BH66&gt;=menu!$D$19,"Tuntas","Tidak Tuntas"))</f>
        <v>Tuntas</v>
      </c>
      <c r="BK66" s="65"/>
      <c r="BL66" s="65"/>
      <c r="BM66" s="65"/>
      <c r="BN66" s="66"/>
      <c r="BO66" s="65"/>
      <c r="BP66" s="65"/>
      <c r="BQ66" s="65"/>
      <c r="BR66" s="67">
        <f t="shared" si="55"/>
        <v>0</v>
      </c>
      <c r="BS66" s="68">
        <f t="shared" si="26"/>
        <v>0</v>
      </c>
      <c r="BT66" s="68">
        <f t="shared" si="56"/>
        <v>0</v>
      </c>
      <c r="BU66" s="69" t="str">
        <f t="shared" si="57"/>
        <v>D</v>
      </c>
      <c r="BV66" s="70" t="str">
        <f>IF(BT66="  ","  ",IF(BT66&gt;=menu!$D$19,"Tuntas","Tidak Tuntas"))</f>
        <v>Tuntas</v>
      </c>
      <c r="BW66" s="65"/>
      <c r="BX66" s="65"/>
      <c r="BY66" s="65"/>
      <c r="BZ66" s="66"/>
      <c r="CA66" s="65"/>
      <c r="CB66" s="65"/>
      <c r="CC66" s="65"/>
      <c r="CD66" s="67">
        <f t="shared" si="58"/>
        <v>0</v>
      </c>
      <c r="CE66" s="68">
        <f t="shared" si="29"/>
        <v>0</v>
      </c>
      <c r="CF66" s="68">
        <f t="shared" si="59"/>
        <v>0</v>
      </c>
      <c r="CG66" s="69" t="str">
        <f t="shared" si="60"/>
        <v>D</v>
      </c>
      <c r="CH66" s="70" t="str">
        <f>IF(CF66="  ","  ",IF(CF66&gt;=menu!$D$19,"Tuntas","Tidak Tuntas"))</f>
        <v>Tuntas</v>
      </c>
      <c r="CI66" s="65"/>
      <c r="CJ66" s="65"/>
      <c r="CK66" s="65"/>
      <c r="CL66" s="66"/>
      <c r="CM66" s="65"/>
      <c r="CN66" s="65"/>
      <c r="CO66" s="65"/>
      <c r="CP66" s="67">
        <f t="shared" si="61"/>
        <v>0</v>
      </c>
      <c r="CQ66" s="68">
        <f t="shared" si="32"/>
        <v>0</v>
      </c>
      <c r="CR66" s="68">
        <f t="shared" si="62"/>
        <v>0</v>
      </c>
      <c r="CS66" s="69" t="str">
        <f t="shared" si="63"/>
        <v>D</v>
      </c>
      <c r="CT66" s="70" t="str">
        <f>IF(CR66="  ","  ",IF(CR66&gt;=menu!$D$19,"Tuntas","Tidak Tuntas"))</f>
        <v>Tuntas</v>
      </c>
      <c r="CU66" s="65"/>
      <c r="CV66" s="65"/>
      <c r="CW66" s="65"/>
      <c r="CX66" s="66"/>
      <c r="CY66" s="65"/>
      <c r="CZ66" s="65"/>
      <c r="DA66" s="65"/>
      <c r="DB66" s="67">
        <f t="shared" si="64"/>
        <v>0</v>
      </c>
      <c r="DC66" s="68">
        <f t="shared" si="35"/>
        <v>0</v>
      </c>
      <c r="DD66" s="68">
        <f t="shared" si="65"/>
        <v>0</v>
      </c>
      <c r="DE66" s="69" t="str">
        <f t="shared" si="66"/>
        <v>D</v>
      </c>
      <c r="DF66" s="70" t="str">
        <f>IF(DD66="  ","  ",IF(DD66&gt;=menu!$D$19,"Tuntas","Tidak Tuntas"))</f>
        <v>Tuntas</v>
      </c>
      <c r="DG66" s="65"/>
      <c r="DH66" s="65"/>
      <c r="DI66" s="65"/>
      <c r="DJ66" s="66"/>
      <c r="DK66" s="65"/>
      <c r="DL66" s="65"/>
      <c r="DM66" s="65"/>
      <c r="DN66" s="67">
        <f t="shared" si="67"/>
        <v>0</v>
      </c>
      <c r="DO66" s="68">
        <f t="shared" si="38"/>
        <v>0</v>
      </c>
      <c r="DP66" s="68">
        <f t="shared" si="68"/>
        <v>0</v>
      </c>
      <c r="DQ66" s="69" t="str">
        <f t="shared" si="69"/>
        <v>D</v>
      </c>
      <c r="DR66" s="70" t="str">
        <f>IF(DP66="  ","  ",IF(DP66&gt;=menu!$D$19,"Tuntas","Tidak Tuntas"))</f>
        <v>Tuntas</v>
      </c>
    </row>
    <row r="67" spans="1:122">
      <c r="A67" s="152"/>
      <c r="B67" s="152" t="s">
        <v>276</v>
      </c>
      <c r="C67" s="73" t="str">
        <f>IFERROR(AVERAGE(C19:C66),"  ")</f>
        <v/>
      </c>
      <c r="D67" s="73" t="str">
        <f t="shared" ref="D67:BO67" si="70">IFERROR(AVERAGE(D19:D66),"  ")</f>
        <v/>
      </c>
      <c r="E67" s="73" t="str">
        <f t="shared" si="70"/>
        <v/>
      </c>
      <c r="F67" s="73" t="str">
        <f t="shared" si="70"/>
        <v/>
      </c>
      <c r="G67" s="73" t="str">
        <f t="shared" si="70"/>
        <v/>
      </c>
      <c r="H67" s="73" t="str">
        <f t="shared" si="70"/>
        <v/>
      </c>
      <c r="I67" s="73" t="str">
        <f t="shared" si="70"/>
        <v/>
      </c>
      <c r="J67" s="73">
        <f t="shared" si="70"/>
        <v>0</v>
      </c>
      <c r="K67" s="73">
        <f t="shared" si="70"/>
        <v>0</v>
      </c>
      <c r="L67" s="73">
        <f t="shared" si="70"/>
        <v>0</v>
      </c>
      <c r="M67" s="73" t="str">
        <f t="shared" si="70"/>
        <v/>
      </c>
      <c r="N67" s="73" t="str">
        <f t="shared" si="70"/>
        <v/>
      </c>
      <c r="O67" s="73" t="str">
        <f t="shared" si="70"/>
        <v/>
      </c>
      <c r="P67" s="73" t="str">
        <f t="shared" si="70"/>
        <v/>
      </c>
      <c r="Q67" s="73" t="str">
        <f t="shared" si="70"/>
        <v/>
      </c>
      <c r="R67" s="73" t="str">
        <f t="shared" si="70"/>
        <v/>
      </c>
      <c r="S67" s="73" t="str">
        <f t="shared" si="70"/>
        <v/>
      </c>
      <c r="T67" s="73" t="str">
        <f t="shared" si="70"/>
        <v/>
      </c>
      <c r="U67" s="73" t="str">
        <f t="shared" si="70"/>
        <v/>
      </c>
      <c r="V67" s="73">
        <f t="shared" si="70"/>
        <v>0</v>
      </c>
      <c r="W67" s="73">
        <f t="shared" si="70"/>
        <v>0</v>
      </c>
      <c r="X67" s="73">
        <f t="shared" si="70"/>
        <v>0</v>
      </c>
      <c r="Y67" s="73" t="str">
        <f t="shared" si="70"/>
        <v/>
      </c>
      <c r="Z67" s="73" t="str">
        <f t="shared" si="70"/>
        <v/>
      </c>
      <c r="AA67" s="73" t="str">
        <f t="shared" si="70"/>
        <v/>
      </c>
      <c r="AB67" s="73" t="str">
        <f t="shared" si="70"/>
        <v/>
      </c>
      <c r="AC67" s="73" t="str">
        <f t="shared" si="70"/>
        <v/>
      </c>
      <c r="AD67" s="73" t="str">
        <f t="shared" si="70"/>
        <v/>
      </c>
      <c r="AE67" s="73" t="str">
        <f t="shared" si="70"/>
        <v/>
      </c>
      <c r="AF67" s="73" t="str">
        <f t="shared" si="70"/>
        <v/>
      </c>
      <c r="AG67" s="73" t="str">
        <f t="shared" si="70"/>
        <v/>
      </c>
      <c r="AH67" s="73">
        <f t="shared" si="70"/>
        <v>0</v>
      </c>
      <c r="AI67" s="73">
        <f t="shared" si="70"/>
        <v>0</v>
      </c>
      <c r="AJ67" s="73">
        <f t="shared" si="70"/>
        <v>0</v>
      </c>
      <c r="AK67" s="73" t="str">
        <f t="shared" si="70"/>
        <v/>
      </c>
      <c r="AL67" s="73" t="str">
        <f t="shared" si="70"/>
        <v/>
      </c>
      <c r="AM67" s="73" t="str">
        <f t="shared" si="70"/>
        <v/>
      </c>
      <c r="AN67" s="73" t="str">
        <f t="shared" si="70"/>
        <v/>
      </c>
      <c r="AO67" s="73" t="str">
        <f t="shared" si="70"/>
        <v/>
      </c>
      <c r="AP67" s="73" t="str">
        <f t="shared" si="70"/>
        <v/>
      </c>
      <c r="AQ67" s="73" t="str">
        <f t="shared" si="70"/>
        <v/>
      </c>
      <c r="AR67" s="73" t="str">
        <f t="shared" si="70"/>
        <v/>
      </c>
      <c r="AS67" s="73" t="str">
        <f t="shared" si="70"/>
        <v/>
      </c>
      <c r="AT67" s="73">
        <f t="shared" si="70"/>
        <v>0</v>
      </c>
      <c r="AU67" s="73">
        <f t="shared" si="70"/>
        <v>0</v>
      </c>
      <c r="AV67" s="73">
        <f t="shared" si="70"/>
        <v>0</v>
      </c>
      <c r="AW67" s="73" t="str">
        <f t="shared" si="70"/>
        <v/>
      </c>
      <c r="AX67" s="73" t="str">
        <f t="shared" si="70"/>
        <v/>
      </c>
      <c r="AY67" s="73" t="str">
        <f t="shared" si="70"/>
        <v/>
      </c>
      <c r="AZ67" s="73" t="str">
        <f t="shared" si="70"/>
        <v/>
      </c>
      <c r="BA67" s="73" t="str">
        <f t="shared" si="70"/>
        <v/>
      </c>
      <c r="BB67" s="73" t="str">
        <f t="shared" si="70"/>
        <v/>
      </c>
      <c r="BC67" s="73" t="str">
        <f t="shared" si="70"/>
        <v/>
      </c>
      <c r="BD67" s="73" t="str">
        <f t="shared" si="70"/>
        <v/>
      </c>
      <c r="BE67" s="73" t="str">
        <f t="shared" si="70"/>
        <v/>
      </c>
      <c r="BF67" s="73">
        <f t="shared" si="70"/>
        <v>0</v>
      </c>
      <c r="BG67" s="73">
        <f t="shared" si="70"/>
        <v>0</v>
      </c>
      <c r="BH67" s="73">
        <f t="shared" si="70"/>
        <v>0</v>
      </c>
      <c r="BI67" s="73" t="str">
        <f t="shared" si="70"/>
        <v/>
      </c>
      <c r="BJ67" s="73" t="str">
        <f t="shared" si="70"/>
        <v/>
      </c>
      <c r="BK67" s="73" t="str">
        <f t="shared" si="70"/>
        <v/>
      </c>
      <c r="BL67" s="73" t="str">
        <f t="shared" si="70"/>
        <v/>
      </c>
      <c r="BM67" s="73" t="str">
        <f t="shared" si="70"/>
        <v/>
      </c>
      <c r="BN67" s="73" t="str">
        <f t="shared" si="70"/>
        <v/>
      </c>
      <c r="BO67" s="73" t="str">
        <f t="shared" si="70"/>
        <v/>
      </c>
      <c r="BP67" s="73" t="str">
        <f t="shared" ref="BP67:DR67" si="71">IFERROR(AVERAGE(BP19:BP66),"  ")</f>
        <v/>
      </c>
      <c r="BQ67" s="73" t="str">
        <f t="shared" si="71"/>
        <v/>
      </c>
      <c r="BR67" s="73">
        <f t="shared" si="71"/>
        <v>0</v>
      </c>
      <c r="BS67" s="73">
        <f t="shared" si="71"/>
        <v>0</v>
      </c>
      <c r="BT67" s="73">
        <f t="shared" si="71"/>
        <v>0</v>
      </c>
      <c r="BU67" s="73" t="str">
        <f t="shared" si="71"/>
        <v/>
      </c>
      <c r="BV67" s="73" t="str">
        <f t="shared" si="71"/>
        <v/>
      </c>
      <c r="BW67" s="73" t="str">
        <f t="shared" si="71"/>
        <v/>
      </c>
      <c r="BX67" s="73" t="str">
        <f t="shared" si="71"/>
        <v/>
      </c>
      <c r="BY67" s="73" t="str">
        <f t="shared" si="71"/>
        <v/>
      </c>
      <c r="BZ67" s="73" t="str">
        <f t="shared" si="71"/>
        <v/>
      </c>
      <c r="CA67" s="73" t="str">
        <f t="shared" si="71"/>
        <v/>
      </c>
      <c r="CB67" s="73" t="str">
        <f t="shared" si="71"/>
        <v/>
      </c>
      <c r="CC67" s="73" t="str">
        <f t="shared" si="71"/>
        <v/>
      </c>
      <c r="CD67" s="73">
        <f t="shared" si="71"/>
        <v>0</v>
      </c>
      <c r="CE67" s="73">
        <f t="shared" si="71"/>
        <v>0</v>
      </c>
      <c r="CF67" s="73">
        <f t="shared" si="71"/>
        <v>0</v>
      </c>
      <c r="CG67" s="73" t="str">
        <f t="shared" si="71"/>
        <v/>
      </c>
      <c r="CH67" s="73" t="str">
        <f t="shared" si="71"/>
        <v/>
      </c>
      <c r="CI67" s="73" t="str">
        <f t="shared" si="71"/>
        <v/>
      </c>
      <c r="CJ67" s="73" t="str">
        <f t="shared" si="71"/>
        <v/>
      </c>
      <c r="CK67" s="73" t="str">
        <f t="shared" si="71"/>
        <v/>
      </c>
      <c r="CL67" s="73" t="str">
        <f t="shared" si="71"/>
        <v/>
      </c>
      <c r="CM67" s="73" t="str">
        <f t="shared" si="71"/>
        <v/>
      </c>
      <c r="CN67" s="73" t="str">
        <f t="shared" si="71"/>
        <v/>
      </c>
      <c r="CO67" s="73" t="str">
        <f t="shared" si="71"/>
        <v/>
      </c>
      <c r="CP67" s="73">
        <f t="shared" si="71"/>
        <v>0</v>
      </c>
      <c r="CQ67" s="73">
        <f t="shared" si="71"/>
        <v>0</v>
      </c>
      <c r="CR67" s="73">
        <f t="shared" si="71"/>
        <v>0</v>
      </c>
      <c r="CS67" s="73" t="str">
        <f t="shared" si="71"/>
        <v/>
      </c>
      <c r="CT67" s="73" t="str">
        <f t="shared" si="71"/>
        <v/>
      </c>
      <c r="CU67" s="73" t="str">
        <f t="shared" si="71"/>
        <v/>
      </c>
      <c r="CV67" s="73" t="str">
        <f t="shared" si="71"/>
        <v/>
      </c>
      <c r="CW67" s="73" t="str">
        <f t="shared" si="71"/>
        <v/>
      </c>
      <c r="CX67" s="73" t="str">
        <f t="shared" si="71"/>
        <v/>
      </c>
      <c r="CY67" s="73" t="str">
        <f t="shared" si="71"/>
        <v/>
      </c>
      <c r="CZ67" s="73" t="str">
        <f t="shared" si="71"/>
        <v/>
      </c>
      <c r="DA67" s="73" t="str">
        <f t="shared" si="71"/>
        <v/>
      </c>
      <c r="DB67" s="73">
        <f t="shared" si="71"/>
        <v>0</v>
      </c>
      <c r="DC67" s="73">
        <f t="shared" si="71"/>
        <v>0</v>
      </c>
      <c r="DD67" s="73">
        <f t="shared" si="71"/>
        <v>0</v>
      </c>
      <c r="DE67" s="73" t="str">
        <f t="shared" si="71"/>
        <v/>
      </c>
      <c r="DF67" s="73" t="str">
        <f t="shared" si="71"/>
        <v/>
      </c>
      <c r="DG67" s="73" t="str">
        <f t="shared" si="71"/>
        <v/>
      </c>
      <c r="DH67" s="73" t="str">
        <f t="shared" si="71"/>
        <v/>
      </c>
      <c r="DI67" s="73" t="str">
        <f t="shared" si="71"/>
        <v/>
      </c>
      <c r="DJ67" s="73" t="str">
        <f t="shared" si="71"/>
        <v/>
      </c>
      <c r="DK67" s="73" t="str">
        <f t="shared" si="71"/>
        <v/>
      </c>
      <c r="DL67" s="73" t="str">
        <f t="shared" si="71"/>
        <v/>
      </c>
      <c r="DM67" s="73" t="str">
        <f t="shared" si="71"/>
        <v/>
      </c>
      <c r="DN67" s="73">
        <f t="shared" si="71"/>
        <v>0</v>
      </c>
      <c r="DO67" s="73">
        <f t="shared" si="71"/>
        <v>0</v>
      </c>
      <c r="DP67" s="73">
        <f t="shared" si="71"/>
        <v>0</v>
      </c>
      <c r="DQ67" s="73" t="str">
        <f t="shared" si="71"/>
        <v/>
      </c>
      <c r="DR67" s="73" t="str">
        <f t="shared" si="71"/>
        <v/>
      </c>
    </row>
    <row r="68" spans="1:122">
      <c r="B68" s="132"/>
      <c r="C68" s="192"/>
      <c r="D68" s="153"/>
      <c r="E68" s="132"/>
      <c r="F68" s="132"/>
      <c r="G68" s="132"/>
      <c r="H68" s="132"/>
      <c r="I68" s="132"/>
      <c r="J68" s="132"/>
      <c r="K68" s="132"/>
      <c r="L68" s="132"/>
      <c r="M68" s="132"/>
      <c r="N68" s="132"/>
    </row>
    <row r="69" spans="1:122">
      <c r="B69" s="154" t="s">
        <v>277</v>
      </c>
      <c r="C69" s="192"/>
      <c r="D69" s="153"/>
      <c r="E69" s="132"/>
      <c r="F69" s="132"/>
      <c r="G69" s="132"/>
      <c r="H69" s="132"/>
      <c r="I69" s="132"/>
      <c r="J69" s="132"/>
      <c r="K69" s="135"/>
      <c r="L69" s="206" t="str">
        <f>'[2]Data '!D18</f>
        <v>FM-KUR-03-07</v>
      </c>
      <c r="M69" s="135"/>
      <c r="N69" s="135"/>
    </row>
    <row r="70" spans="1:122">
      <c r="B70" s="75" t="str">
        <f>"Ka. "&amp;'[2]Data '!D4</f>
        <v xml:space="preserve">Ka. </v>
      </c>
      <c r="C70" s="192"/>
      <c r="D70" s="153"/>
      <c r="E70" s="132"/>
      <c r="F70" s="132"/>
      <c r="G70" s="132"/>
      <c r="H70" s="132"/>
      <c r="I70" s="132"/>
      <c r="J70" s="132"/>
      <c r="K70" s="132"/>
      <c r="L70" s="191" t="s">
        <v>278</v>
      </c>
      <c r="M70" s="132"/>
      <c r="N70" s="132"/>
    </row>
    <row r="71" spans="1:122">
      <c r="A71" s="132"/>
      <c r="B71" s="132"/>
      <c r="C71" s="132"/>
      <c r="D71" s="132"/>
      <c r="E71" s="132"/>
      <c r="F71" s="132"/>
      <c r="G71" s="132"/>
      <c r="H71" s="132"/>
      <c r="I71" s="132"/>
      <c r="J71" s="132"/>
      <c r="K71" s="132"/>
      <c r="L71" s="193"/>
      <c r="M71" s="132"/>
      <c r="N71" s="132"/>
    </row>
    <row r="72" spans="1:122">
      <c r="A72" s="132"/>
      <c r="B72" s="132"/>
      <c r="C72" s="132"/>
      <c r="D72" s="132"/>
      <c r="E72" s="132"/>
      <c r="F72" s="132"/>
      <c r="G72" s="132"/>
      <c r="H72" s="132"/>
      <c r="I72" s="132"/>
      <c r="J72" s="132"/>
      <c r="K72" s="132"/>
      <c r="L72" s="155"/>
      <c r="M72" s="132"/>
      <c r="N72" s="132"/>
    </row>
    <row r="73" spans="1:122">
      <c r="A73" s="132"/>
      <c r="B73" s="75" t="str">
        <f>'[2]Data '!D12</f>
        <v>0341-787422</v>
      </c>
      <c r="C73" s="132"/>
      <c r="D73" s="132"/>
      <c r="E73" s="132"/>
      <c r="F73" s="132"/>
      <c r="G73" s="132"/>
      <c r="H73" s="132"/>
      <c r="I73" s="132"/>
      <c r="J73" s="132"/>
      <c r="K73" s="132"/>
      <c r="L73" s="206">
        <f>[2]Home!E9</f>
        <v>0</v>
      </c>
      <c r="M73" s="132"/>
      <c r="N73" s="132"/>
    </row>
    <row r="74" spans="1:122">
      <c r="B74" s="75" t="str">
        <f>"NIP.  "&amp;'[2]Data '!D13</f>
        <v>NIP.  2014 / 2015</v>
      </c>
      <c r="L74" s="206" t="str">
        <f>"NIP.  "&amp;[2]Home!E11</f>
        <v xml:space="preserve">NIP.  </v>
      </c>
    </row>
  </sheetData>
  <sheetProtection password="C718" sheet="1" objects="1" scenarios="1"/>
  <mergeCells count="251">
    <mergeCell ref="C1:F1"/>
    <mergeCell ref="G1:H1"/>
    <mergeCell ref="I1:J1"/>
    <mergeCell ref="K1:L1"/>
    <mergeCell ref="C2:D2"/>
    <mergeCell ref="F2:H2"/>
    <mergeCell ref="I2:J2"/>
    <mergeCell ref="K2:L2"/>
    <mergeCell ref="M2:N2"/>
    <mergeCell ref="L12:M12"/>
    <mergeCell ref="C13:J13"/>
    <mergeCell ref="L13:M13"/>
    <mergeCell ref="C3:I3"/>
    <mergeCell ref="C5:J5"/>
    <mergeCell ref="C6:J6"/>
    <mergeCell ref="C7:J7"/>
    <mergeCell ref="C8:J8"/>
    <mergeCell ref="C9:J9"/>
    <mergeCell ref="A15:A17"/>
    <mergeCell ref="C15:C16"/>
    <mergeCell ref="D15:D16"/>
    <mergeCell ref="E15:E16"/>
    <mergeCell ref="F15:F16"/>
    <mergeCell ref="G15:G16"/>
    <mergeCell ref="C10:J10"/>
    <mergeCell ref="C11:J11"/>
    <mergeCell ref="C12:J12"/>
    <mergeCell ref="DQ15:DQ16"/>
    <mergeCell ref="DR15:DR16"/>
    <mergeCell ref="O14:Z14"/>
    <mergeCell ref="O15:O16"/>
    <mergeCell ref="P15:P16"/>
    <mergeCell ref="Q15:Q16"/>
    <mergeCell ref="R15:R16"/>
    <mergeCell ref="N15:N16"/>
    <mergeCell ref="C14:N14"/>
    <mergeCell ref="DG14:DR14"/>
    <mergeCell ref="DG15:DG16"/>
    <mergeCell ref="DH15:DH16"/>
    <mergeCell ref="DI15:DI16"/>
    <mergeCell ref="DJ15:DJ16"/>
    <mergeCell ref="DK15:DK16"/>
    <mergeCell ref="DL15:DL16"/>
    <mergeCell ref="DM15:DM16"/>
    <mergeCell ref="H15:H16"/>
    <mergeCell ref="I15:I16"/>
    <mergeCell ref="J15:J16"/>
    <mergeCell ref="K15:K16"/>
    <mergeCell ref="L15:L16"/>
    <mergeCell ref="M15:M16"/>
    <mergeCell ref="S15:S16"/>
    <mergeCell ref="T15:T16"/>
    <mergeCell ref="U15:U16"/>
    <mergeCell ref="V15:V16"/>
    <mergeCell ref="W15:W16"/>
    <mergeCell ref="X15:X16"/>
    <mergeCell ref="DN15:DN16"/>
    <mergeCell ref="DO15:DO16"/>
    <mergeCell ref="DP15:DP16"/>
    <mergeCell ref="Y15:Y16"/>
    <mergeCell ref="Z15:Z16"/>
    <mergeCell ref="AR15:AR16"/>
    <mergeCell ref="AS15:AS16"/>
    <mergeCell ref="AT15:AT16"/>
    <mergeCell ref="AU15:AU16"/>
    <mergeCell ref="AV15:AV16"/>
    <mergeCell ref="AW15:AW16"/>
    <mergeCell ref="AX15:AX16"/>
    <mergeCell ref="BO15:BO16"/>
    <mergeCell ref="BP15:BP16"/>
    <mergeCell ref="BQ15:BQ16"/>
    <mergeCell ref="BR15:BR16"/>
    <mergeCell ref="BS15:BS16"/>
    <mergeCell ref="BT15:BT16"/>
    <mergeCell ref="BK15:BK16"/>
    <mergeCell ref="AA14:AL14"/>
    <mergeCell ref="AA15:AA16"/>
    <mergeCell ref="AB15:AB16"/>
    <mergeCell ref="AC15:AC16"/>
    <mergeCell ref="AD15:AD16"/>
    <mergeCell ref="AE15:AE16"/>
    <mergeCell ref="AF15:AF16"/>
    <mergeCell ref="AG15:AG16"/>
    <mergeCell ref="AQ15:AQ16"/>
    <mergeCell ref="AH15:AH16"/>
    <mergeCell ref="AI15:AI16"/>
    <mergeCell ref="AJ15:AJ16"/>
    <mergeCell ref="AK15:AK16"/>
    <mergeCell ref="AL15:AL16"/>
    <mergeCell ref="AM15:AM16"/>
    <mergeCell ref="AN15:AN16"/>
    <mergeCell ref="AO15:AO16"/>
    <mergeCell ref="AP15:AP16"/>
    <mergeCell ref="AY14:BJ14"/>
    <mergeCell ref="AY15:AY16"/>
    <mergeCell ref="AZ15:AZ16"/>
    <mergeCell ref="BA15:BA16"/>
    <mergeCell ref="BB15:BB16"/>
    <mergeCell ref="BC15:BC16"/>
    <mergeCell ref="BD15:BD16"/>
    <mergeCell ref="BE15:BE16"/>
    <mergeCell ref="AM14:AX14"/>
    <mergeCell ref="BF15:BF16"/>
    <mergeCell ref="BG15:BG16"/>
    <mergeCell ref="BH15:BH16"/>
    <mergeCell ref="BI15:BI16"/>
    <mergeCell ref="BJ15:BJ16"/>
    <mergeCell ref="CS15:CS16"/>
    <mergeCell ref="CT15:CT16"/>
    <mergeCell ref="BL15:BL16"/>
    <mergeCell ref="BM15:BM16"/>
    <mergeCell ref="BN15:BN16"/>
    <mergeCell ref="BU15:BU16"/>
    <mergeCell ref="BV15:BV16"/>
    <mergeCell ref="BW14:CH14"/>
    <mergeCell ref="BW15:BW16"/>
    <mergeCell ref="BX15:BX16"/>
    <mergeCell ref="BY15:BY16"/>
    <mergeCell ref="BZ15:BZ16"/>
    <mergeCell ref="CA15:CA16"/>
    <mergeCell ref="CB15:CB16"/>
    <mergeCell ref="CC15:CC16"/>
    <mergeCell ref="BK14:BV14"/>
    <mergeCell ref="CD15:CD16"/>
    <mergeCell ref="CE15:CE16"/>
    <mergeCell ref="CF15:CF16"/>
    <mergeCell ref="CG15:CG16"/>
    <mergeCell ref="CH15:CH16"/>
    <mergeCell ref="CU14:DF14"/>
    <mergeCell ref="CU15:CU16"/>
    <mergeCell ref="CV15:CV16"/>
    <mergeCell ref="CW15:CW16"/>
    <mergeCell ref="CX15:CX16"/>
    <mergeCell ref="CY15:CY16"/>
    <mergeCell ref="CZ15:CZ16"/>
    <mergeCell ref="DA15:DA16"/>
    <mergeCell ref="CI14:CT14"/>
    <mergeCell ref="CM15:CM16"/>
    <mergeCell ref="CN15:CN16"/>
    <mergeCell ref="CO15:CO16"/>
    <mergeCell ref="CP15:CP16"/>
    <mergeCell ref="CQ15:CQ16"/>
    <mergeCell ref="CR15:CR16"/>
    <mergeCell ref="CI15:CI16"/>
    <mergeCell ref="CJ15:CJ16"/>
    <mergeCell ref="CK15:CK16"/>
    <mergeCell ref="CL15:CL16"/>
    <mergeCell ref="DB15:DB16"/>
    <mergeCell ref="DC15:DC16"/>
    <mergeCell ref="DD15:DD16"/>
    <mergeCell ref="DE15:DE16"/>
    <mergeCell ref="DF15:DF16"/>
    <mergeCell ref="O13:V13"/>
    <mergeCell ref="X13:Y13"/>
    <mergeCell ref="AA5:AH5"/>
    <mergeCell ref="AA6:AH6"/>
    <mergeCell ref="AA7:AH7"/>
    <mergeCell ref="AA8:AH8"/>
    <mergeCell ref="AA9:AH9"/>
    <mergeCell ref="AA10:AH10"/>
    <mergeCell ref="AA11:AH11"/>
    <mergeCell ref="AA12:AH12"/>
    <mergeCell ref="O5:V5"/>
    <mergeCell ref="O6:V6"/>
    <mergeCell ref="O7:V7"/>
    <mergeCell ref="O8:V8"/>
    <mergeCell ref="O9:V9"/>
    <mergeCell ref="O10:V10"/>
    <mergeCell ref="O11:V11"/>
    <mergeCell ref="O12:V12"/>
    <mergeCell ref="X12:Y12"/>
    <mergeCell ref="AJ12:AK12"/>
    <mergeCell ref="AA13:AH13"/>
    <mergeCell ref="AJ13:AK13"/>
    <mergeCell ref="AM5:AT5"/>
    <mergeCell ref="AM6:AT6"/>
    <mergeCell ref="AM7:AT7"/>
    <mergeCell ref="AM8:AT8"/>
    <mergeCell ref="AM9:AT9"/>
    <mergeCell ref="AM10:AT10"/>
    <mergeCell ref="AM11:AT11"/>
    <mergeCell ref="AM12:AT12"/>
    <mergeCell ref="AV12:AW12"/>
    <mergeCell ref="AM13:AT13"/>
    <mergeCell ref="AV13:AW13"/>
    <mergeCell ref="AY5:BF5"/>
    <mergeCell ref="AY6:BF6"/>
    <mergeCell ref="AY7:BF7"/>
    <mergeCell ref="AY8:BF8"/>
    <mergeCell ref="AY9:BF9"/>
    <mergeCell ref="AY10:BF10"/>
    <mergeCell ref="AY11:BF11"/>
    <mergeCell ref="AY12:BF12"/>
    <mergeCell ref="BH12:BI12"/>
    <mergeCell ref="AY13:BF13"/>
    <mergeCell ref="BH13:BI13"/>
    <mergeCell ref="BK5:BR5"/>
    <mergeCell ref="BK6:BR6"/>
    <mergeCell ref="BK7:BR7"/>
    <mergeCell ref="BK8:BR8"/>
    <mergeCell ref="BK9:BR9"/>
    <mergeCell ref="BK10:BR10"/>
    <mergeCell ref="BK11:BR11"/>
    <mergeCell ref="BK12:BR12"/>
    <mergeCell ref="BT12:BU12"/>
    <mergeCell ref="BK13:BR13"/>
    <mergeCell ref="BT13:BU13"/>
    <mergeCell ref="BW5:CD5"/>
    <mergeCell ref="BW6:CD6"/>
    <mergeCell ref="BW7:CD7"/>
    <mergeCell ref="BW8:CD8"/>
    <mergeCell ref="BW9:CD9"/>
    <mergeCell ref="BW10:CD10"/>
    <mergeCell ref="BW11:CD11"/>
    <mergeCell ref="BW12:CD12"/>
    <mergeCell ref="CF12:CG12"/>
    <mergeCell ref="BW13:CD13"/>
    <mergeCell ref="CF13:CG13"/>
    <mergeCell ref="CI5:CP5"/>
    <mergeCell ref="CI6:CP6"/>
    <mergeCell ref="CI7:CP7"/>
    <mergeCell ref="CI8:CP8"/>
    <mergeCell ref="CI9:CP9"/>
    <mergeCell ref="CI10:CP10"/>
    <mergeCell ref="CI11:CP11"/>
    <mergeCell ref="CI12:CP12"/>
    <mergeCell ref="CR12:CS12"/>
    <mergeCell ref="CI13:CP13"/>
    <mergeCell ref="CR13:CS13"/>
    <mergeCell ref="CU5:DB5"/>
    <mergeCell ref="CU6:DB6"/>
    <mergeCell ref="CU7:DB7"/>
    <mergeCell ref="CU8:DB8"/>
    <mergeCell ref="CU9:DB9"/>
    <mergeCell ref="CU10:DB10"/>
    <mergeCell ref="CU11:DB11"/>
    <mergeCell ref="CU12:DB12"/>
    <mergeCell ref="DP12:DQ12"/>
    <mergeCell ref="DG13:DN13"/>
    <mergeCell ref="DP13:DQ13"/>
    <mergeCell ref="DD12:DE12"/>
    <mergeCell ref="CU13:DB13"/>
    <mergeCell ref="DD13:DE13"/>
    <mergeCell ref="DG5:DN5"/>
    <mergeCell ref="DG6:DN6"/>
    <mergeCell ref="DG7:DN7"/>
    <mergeCell ref="DG8:DN8"/>
    <mergeCell ref="DG9:DN9"/>
    <mergeCell ref="DG10:DN10"/>
    <mergeCell ref="DG11:DN11"/>
    <mergeCell ref="DG12:DN12"/>
  </mergeCells>
  <dataValidations count="1">
    <dataValidation type="whole" operator="lessThanOrEqual" allowBlank="1" showInputMessage="1" showErrorMessage="1" promptTitle="NILAI LEBIH DARI SERATUS = SALAH" prompt="Lihat skor max setiap aspek yang dinlai sudah diisi atau belum..." sqref="K19:K66 W19:W66 AI19:AI66 AU19:AU66 BG19:BG66 BS19:BS66 CE19:CE66 CQ19:CQ66 DC19:DC66 DO19:DO66">
      <formula1>100</formula1>
    </dataValidation>
  </dataValidations>
  <pageMargins left="0.7" right="0.7" top="0.75" bottom="0.75" header="0.3" footer="0.3"/>
  <pageSetup paperSize="768" orientation="portrait" horizontalDpi="0" verticalDpi="0" r:id="rId1"/>
  <drawing r:id="rId2"/>
  <legacyDrawing r:id="rId3"/>
</worksheet>
</file>

<file path=xl/worksheets/sheet29.xml><?xml version="1.0" encoding="utf-8"?>
<worksheet xmlns="http://schemas.openxmlformats.org/spreadsheetml/2006/main" xmlns:r="http://schemas.openxmlformats.org/officeDocument/2006/relationships">
  <sheetPr codeName="Sheet20"/>
  <dimension ref="A1:M77"/>
  <sheetViews>
    <sheetView zoomScale="90" zoomScaleNormal="90" workbookViewId="0">
      <selection activeCell="F5" sqref="F5:H5"/>
    </sheetView>
  </sheetViews>
  <sheetFormatPr defaultRowHeight="15"/>
  <cols>
    <col min="1" max="1" width="4.5703125" bestFit="1" customWidth="1"/>
    <col min="2" max="2" width="27.42578125" customWidth="1"/>
    <col min="3" max="10" width="5.28515625" customWidth="1"/>
    <col min="11" max="11" width="6.42578125" customWidth="1"/>
    <col min="12" max="12" width="23.5703125" customWidth="1"/>
    <col min="13" max="13" width="7.85546875" customWidth="1"/>
  </cols>
  <sheetData>
    <row r="1" spans="1:13">
      <c r="A1" s="41"/>
      <c r="B1" s="692" t="s">
        <v>438</v>
      </c>
      <c r="C1" s="693"/>
      <c r="D1" s="693"/>
      <c r="E1" s="693"/>
      <c r="F1" s="693"/>
      <c r="G1" s="693"/>
      <c r="H1" s="693"/>
      <c r="I1" s="693"/>
      <c r="J1" s="693"/>
      <c r="K1" s="693"/>
      <c r="L1" s="694"/>
      <c r="M1" s="42"/>
    </row>
    <row r="2" spans="1:13" ht="15.75" thickBot="1">
      <c r="A2" s="41"/>
      <c r="B2" s="695"/>
      <c r="C2" s="696"/>
      <c r="D2" s="696"/>
      <c r="E2" s="696"/>
      <c r="F2" s="696"/>
      <c r="G2" s="696"/>
      <c r="H2" s="696"/>
      <c r="I2" s="696"/>
      <c r="J2" s="696"/>
      <c r="K2" s="696"/>
      <c r="L2" s="697"/>
      <c r="M2" s="42"/>
    </row>
    <row r="3" spans="1:13" ht="15.75">
      <c r="A3" s="41"/>
      <c r="B3" s="41"/>
      <c r="C3" s="41"/>
      <c r="D3" s="43"/>
      <c r="E3" s="43"/>
      <c r="F3" s="43"/>
      <c r="G3" s="43"/>
      <c r="H3" s="43"/>
      <c r="I3" s="43"/>
      <c r="J3" s="43"/>
      <c r="K3" s="43"/>
      <c r="L3" s="44"/>
      <c r="M3" s="42"/>
    </row>
    <row r="4" spans="1:13" ht="16.5">
      <c r="A4" s="41"/>
      <c r="B4" s="45" t="s">
        <v>245</v>
      </c>
      <c r="C4" s="683" t="str">
        <f>menu!D13</f>
        <v>BHS INGGRIS</v>
      </c>
      <c r="D4" s="683"/>
      <c r="E4" s="683"/>
      <c r="F4" s="683"/>
      <c r="G4" s="691" t="s">
        <v>246</v>
      </c>
      <c r="H4" s="691"/>
      <c r="I4" s="685"/>
      <c r="J4" s="685"/>
      <c r="L4" s="269" t="s">
        <v>247</v>
      </c>
      <c r="M4" s="268"/>
    </row>
    <row r="5" spans="1:13" ht="16.5">
      <c r="A5" s="41"/>
      <c r="B5" s="45" t="s">
        <v>248</v>
      </c>
      <c r="C5" s="688" t="str">
        <f>menu!D14</f>
        <v>VII</v>
      </c>
      <c r="D5" s="683"/>
      <c r="E5" s="47"/>
      <c r="F5" s="691" t="s">
        <v>249</v>
      </c>
      <c r="G5" s="691"/>
      <c r="H5" s="691"/>
      <c r="I5" s="689"/>
      <c r="J5" s="689"/>
      <c r="K5" s="232"/>
      <c r="L5" s="46">
        <f>menu!D19</f>
        <v>0</v>
      </c>
      <c r="M5" s="42"/>
    </row>
    <row r="6" spans="1:13">
      <c r="A6" s="41"/>
      <c r="B6" s="48" t="s">
        <v>251</v>
      </c>
      <c r="C6" s="682" t="s">
        <v>439</v>
      </c>
      <c r="D6" s="682"/>
      <c r="E6" s="682"/>
      <c r="F6" s="682"/>
      <c r="G6" s="682"/>
      <c r="H6" s="682"/>
      <c r="I6" s="682"/>
      <c r="J6" s="41"/>
      <c r="K6" s="41"/>
      <c r="L6" s="41"/>
      <c r="M6" s="42"/>
    </row>
    <row r="7" spans="1:13">
      <c r="A7" s="41"/>
      <c r="B7" s="48"/>
      <c r="C7" s="49"/>
      <c r="D7" s="49"/>
      <c r="E7" s="49"/>
      <c r="F7" s="49"/>
      <c r="G7" s="50"/>
      <c r="H7" s="41"/>
      <c r="I7" s="41"/>
      <c r="J7" s="41"/>
      <c r="K7" s="41"/>
      <c r="L7" s="41"/>
      <c r="M7" s="42"/>
    </row>
    <row r="8" spans="1:13">
      <c r="A8" s="41"/>
      <c r="B8" s="51"/>
      <c r="C8" s="700" t="s">
        <v>253</v>
      </c>
      <c r="D8" s="700"/>
      <c r="E8" s="700"/>
      <c r="F8" s="700"/>
      <c r="G8" s="700"/>
      <c r="H8" s="700"/>
      <c r="I8" s="700"/>
      <c r="J8" s="700"/>
      <c r="K8" s="290" t="s">
        <v>254</v>
      </c>
      <c r="L8" s="77"/>
    </row>
    <row r="9" spans="1:13">
      <c r="A9" s="41"/>
      <c r="B9" s="52" t="s">
        <v>255</v>
      </c>
      <c r="C9" s="698"/>
      <c r="D9" s="698"/>
      <c r="E9" s="698"/>
      <c r="F9" s="698"/>
      <c r="G9" s="698"/>
      <c r="H9" s="698"/>
      <c r="I9" s="698"/>
      <c r="J9" s="698"/>
      <c r="K9" s="291" t="s">
        <v>255</v>
      </c>
      <c r="L9" s="79"/>
    </row>
    <row r="10" spans="1:13">
      <c r="A10" s="41"/>
      <c r="B10" s="52" t="s">
        <v>256</v>
      </c>
      <c r="C10" s="699"/>
      <c r="D10" s="699"/>
      <c r="E10" s="699"/>
      <c r="F10" s="699"/>
      <c r="G10" s="699"/>
      <c r="H10" s="699"/>
      <c r="I10" s="699"/>
      <c r="J10" s="699"/>
      <c r="K10" s="291" t="s">
        <v>256</v>
      </c>
      <c r="L10" s="81"/>
    </row>
    <row r="11" spans="1:13">
      <c r="A11" s="41"/>
      <c r="B11" s="52" t="s">
        <v>257</v>
      </c>
      <c r="C11" s="698"/>
      <c r="D11" s="698"/>
      <c r="E11" s="698"/>
      <c r="F11" s="698"/>
      <c r="G11" s="698"/>
      <c r="H11" s="698"/>
      <c r="I11" s="698"/>
      <c r="J11" s="698"/>
      <c r="K11" s="291" t="s">
        <v>257</v>
      </c>
      <c r="L11" s="79"/>
    </row>
    <row r="12" spans="1:13">
      <c r="A12" s="41"/>
      <c r="B12" s="52" t="s">
        <v>258</v>
      </c>
      <c r="C12" s="699"/>
      <c r="D12" s="699"/>
      <c r="E12" s="699"/>
      <c r="F12" s="699"/>
      <c r="G12" s="699"/>
      <c r="H12" s="699"/>
      <c r="I12" s="699"/>
      <c r="J12" s="699"/>
      <c r="K12" s="292" t="s">
        <v>258</v>
      </c>
      <c r="L12" s="83"/>
    </row>
    <row r="13" spans="1:13">
      <c r="A13" s="41"/>
      <c r="B13" s="52" t="s">
        <v>259</v>
      </c>
      <c r="C13" s="698"/>
      <c r="D13" s="698"/>
      <c r="E13" s="698"/>
      <c r="F13" s="698"/>
      <c r="G13" s="698"/>
      <c r="H13" s="698"/>
      <c r="I13" s="698"/>
      <c r="J13" s="698"/>
      <c r="K13" s="291" t="s">
        <v>259</v>
      </c>
      <c r="L13" s="79"/>
      <c r="M13" s="53"/>
    </row>
    <row r="14" spans="1:13">
      <c r="A14" s="41"/>
      <c r="B14" s="52" t="s">
        <v>260</v>
      </c>
      <c r="C14" s="699"/>
      <c r="D14" s="699"/>
      <c r="E14" s="699"/>
      <c r="F14" s="699"/>
      <c r="G14" s="699"/>
      <c r="H14" s="699"/>
      <c r="I14" s="699"/>
      <c r="J14" s="699"/>
      <c r="K14" s="291" t="s">
        <v>260</v>
      </c>
      <c r="L14" s="81"/>
      <c r="M14" s="53"/>
    </row>
    <row r="15" spans="1:13">
      <c r="A15" s="41"/>
      <c r="B15" s="52" t="s">
        <v>261</v>
      </c>
      <c r="C15" s="698"/>
      <c r="D15" s="698"/>
      <c r="E15" s="698"/>
      <c r="F15" s="698"/>
      <c r="G15" s="698"/>
      <c r="H15" s="698"/>
      <c r="I15" s="698"/>
      <c r="J15" s="698"/>
      <c r="K15" s="292" t="s">
        <v>261</v>
      </c>
      <c r="L15" s="293"/>
      <c r="M15" s="53"/>
    </row>
    <row r="16" spans="1:13">
      <c r="A16" s="41"/>
      <c r="B16" s="48"/>
      <c r="C16" s="701"/>
      <c r="D16" s="701"/>
      <c r="E16" s="701"/>
      <c r="F16" s="701"/>
      <c r="G16" s="701"/>
      <c r="H16" s="701"/>
      <c r="I16" s="701"/>
      <c r="J16" s="701"/>
      <c r="K16" s="41"/>
      <c r="L16" s="54"/>
      <c r="M16" s="53"/>
    </row>
    <row r="17" spans="1:13">
      <c r="A17" s="41"/>
      <c r="B17" s="41"/>
      <c r="C17" s="55"/>
      <c r="D17" s="41"/>
      <c r="E17" s="41"/>
      <c r="F17" s="41"/>
      <c r="G17" s="41"/>
      <c r="H17" s="41"/>
      <c r="I17" s="41"/>
      <c r="J17" s="41"/>
      <c r="K17" s="41"/>
      <c r="L17" s="41"/>
      <c r="M17" s="42"/>
    </row>
    <row r="18" spans="1:13" ht="15" customHeight="1">
      <c r="A18" s="702" t="s">
        <v>262</v>
      </c>
      <c r="B18" s="56" t="s">
        <v>263</v>
      </c>
      <c r="C18" s="705" t="s">
        <v>264</v>
      </c>
      <c r="D18" s="706" t="s">
        <v>265</v>
      </c>
      <c r="E18" s="705" t="s">
        <v>266</v>
      </c>
      <c r="F18" s="705" t="s">
        <v>267</v>
      </c>
      <c r="G18" s="705" t="s">
        <v>268</v>
      </c>
      <c r="H18" s="705" t="s">
        <v>269</v>
      </c>
      <c r="I18" s="706" t="s">
        <v>270</v>
      </c>
      <c r="J18" s="711" t="s">
        <v>271</v>
      </c>
      <c r="K18" s="713" t="s">
        <v>272</v>
      </c>
      <c r="L18" s="709" t="s">
        <v>104</v>
      </c>
      <c r="M18" s="57"/>
    </row>
    <row r="19" spans="1:13" ht="24.75" customHeight="1">
      <c r="A19" s="703"/>
      <c r="B19" s="42"/>
      <c r="C19" s="705"/>
      <c r="D19" s="707"/>
      <c r="E19" s="708"/>
      <c r="F19" s="705"/>
      <c r="G19" s="705"/>
      <c r="H19" s="705"/>
      <c r="I19" s="707"/>
      <c r="J19" s="712"/>
      <c r="K19" s="714"/>
      <c r="L19" s="710"/>
      <c r="M19" s="42"/>
    </row>
    <row r="20" spans="1:13" ht="15.75">
      <c r="A20" s="704"/>
      <c r="B20" s="48" t="s">
        <v>275</v>
      </c>
      <c r="C20" s="58"/>
      <c r="D20" s="58"/>
      <c r="E20" s="58"/>
      <c r="F20" s="58"/>
      <c r="G20" s="58"/>
      <c r="H20" s="58"/>
      <c r="I20" s="58"/>
      <c r="J20" s="59"/>
      <c r="K20" s="59"/>
      <c r="L20" s="60"/>
      <c r="M20" s="42"/>
    </row>
    <row r="21" spans="1:13" ht="15.75">
      <c r="A21" s="1"/>
      <c r="B21" s="1" t="s">
        <v>239</v>
      </c>
      <c r="C21" s="61"/>
      <c r="D21" s="62"/>
      <c r="E21" s="63"/>
      <c r="F21" s="61"/>
      <c r="G21" s="61"/>
      <c r="H21" s="61"/>
      <c r="I21" s="62"/>
      <c r="J21" s="62"/>
      <c r="K21" s="62"/>
      <c r="L21" s="60"/>
      <c r="M21" s="42"/>
    </row>
    <row r="22" spans="1:13">
      <c r="A22" s="64">
        <f>'DATA SISWA'!A5</f>
        <v>1</v>
      </c>
      <c r="B22" s="76" t="str">
        <f>'DATA SISWA'!C5</f>
        <v>Abd. Muis</v>
      </c>
      <c r="C22" s="65"/>
      <c r="D22" s="65"/>
      <c r="E22" s="65"/>
      <c r="F22" s="66"/>
      <c r="G22" s="65"/>
      <c r="H22" s="65"/>
      <c r="I22" s="65"/>
      <c r="J22" s="67"/>
      <c r="K22" s="68"/>
      <c r="L22" s="70"/>
      <c r="M22" s="71"/>
    </row>
    <row r="23" spans="1:13">
      <c r="A23" s="64">
        <f>'DATA SISWA'!A6</f>
        <v>2</v>
      </c>
      <c r="B23" s="76" t="str">
        <f>'DATA SISWA'!C6</f>
        <v>Achmad Buka</v>
      </c>
      <c r="C23" s="65"/>
      <c r="D23" s="65"/>
      <c r="E23" s="65"/>
      <c r="F23" s="66"/>
      <c r="G23" s="65"/>
      <c r="H23" s="65"/>
      <c r="I23" s="65"/>
      <c r="J23" s="67"/>
      <c r="K23" s="68"/>
      <c r="L23" s="70"/>
      <c r="M23" s="71"/>
    </row>
    <row r="24" spans="1:13">
      <c r="A24" s="64">
        <f>'DATA SISWA'!A7</f>
        <v>3</v>
      </c>
      <c r="B24" s="76" t="str">
        <f>'DATA SISWA'!C7</f>
        <v>Bunami</v>
      </c>
      <c r="C24" s="65"/>
      <c r="D24" s="65"/>
      <c r="E24" s="65"/>
      <c r="F24" s="66"/>
      <c r="G24" s="65"/>
      <c r="H24" s="65"/>
      <c r="I24" s="65"/>
      <c r="J24" s="67"/>
      <c r="K24" s="68"/>
      <c r="L24" s="70"/>
      <c r="M24" s="71"/>
    </row>
    <row r="25" spans="1:13">
      <c r="A25" s="64">
        <f>'DATA SISWA'!A8</f>
        <v>4</v>
      </c>
      <c r="B25" s="76" t="str">
        <f>'DATA SISWA'!C8</f>
        <v>Fatimatuz Zahroh</v>
      </c>
      <c r="C25" s="65"/>
      <c r="D25" s="65"/>
      <c r="E25" s="65"/>
      <c r="F25" s="66"/>
      <c r="G25" s="65"/>
      <c r="H25" s="65"/>
      <c r="I25" s="65"/>
      <c r="J25" s="67"/>
      <c r="K25" s="68"/>
      <c r="L25" s="70"/>
      <c r="M25" s="71"/>
    </row>
    <row r="26" spans="1:13">
      <c r="A26" s="64">
        <f>'DATA SISWA'!A9</f>
        <v>5</v>
      </c>
      <c r="B26" s="76" t="str">
        <f>'DATA SISWA'!C9</f>
        <v>Fitriadi</v>
      </c>
      <c r="C26" s="65"/>
      <c r="D26" s="65"/>
      <c r="E26" s="65"/>
      <c r="F26" s="66"/>
      <c r="G26" s="65"/>
      <c r="H26" s="65"/>
      <c r="I26" s="65"/>
      <c r="J26" s="67"/>
      <c r="K26" s="68"/>
      <c r="L26" s="70"/>
      <c r="M26" s="71"/>
    </row>
    <row r="27" spans="1:13">
      <c r="A27" s="64">
        <f>'DATA SISWA'!A10</f>
        <v>6</v>
      </c>
      <c r="B27" s="76" t="str">
        <f>'DATA SISWA'!C10</f>
        <v>Homsiyah</v>
      </c>
      <c r="C27" s="65"/>
      <c r="D27" s="65"/>
      <c r="E27" s="65"/>
      <c r="F27" s="66"/>
      <c r="G27" s="65"/>
      <c r="H27" s="65"/>
      <c r="I27" s="65"/>
      <c r="J27" s="67"/>
      <c r="K27" s="68"/>
      <c r="L27" s="70"/>
      <c r="M27" s="71"/>
    </row>
    <row r="28" spans="1:13">
      <c r="A28" s="64">
        <f>'DATA SISWA'!A11</f>
        <v>7</v>
      </c>
      <c r="B28" s="76" t="str">
        <f>'DATA SISWA'!C11</f>
        <v>Insiyah</v>
      </c>
      <c r="C28" s="65"/>
      <c r="D28" s="65"/>
      <c r="E28" s="65"/>
      <c r="F28" s="66"/>
      <c r="G28" s="65"/>
      <c r="H28" s="65"/>
      <c r="I28" s="65"/>
      <c r="J28" s="67"/>
      <c r="K28" s="68"/>
      <c r="L28" s="70"/>
      <c r="M28" s="71"/>
    </row>
    <row r="29" spans="1:13">
      <c r="A29" s="64">
        <f>'DATA SISWA'!A12</f>
        <v>8</v>
      </c>
      <c r="B29" s="76" t="str">
        <f>'DATA SISWA'!C12</f>
        <v>Saiful Jamil</v>
      </c>
      <c r="C29" s="65"/>
      <c r="D29" s="65"/>
      <c r="E29" s="65"/>
      <c r="F29" s="66"/>
      <c r="G29" s="65"/>
      <c r="H29" s="65"/>
      <c r="I29" s="65"/>
      <c r="J29" s="67"/>
      <c r="K29" s="68"/>
      <c r="L29" s="70"/>
      <c r="M29" s="71"/>
    </row>
    <row r="30" spans="1:13">
      <c r="A30" s="64">
        <f>'DATA SISWA'!A13</f>
        <v>9</v>
      </c>
      <c r="B30" s="76" t="str">
        <f>'DATA SISWA'!C13</f>
        <v>Khusnun Nisa</v>
      </c>
      <c r="C30" s="65"/>
      <c r="D30" s="65"/>
      <c r="E30" s="65"/>
      <c r="F30" s="66"/>
      <c r="G30" s="65"/>
      <c r="H30" s="65"/>
      <c r="I30" s="65"/>
      <c r="J30" s="67"/>
      <c r="K30" s="68"/>
      <c r="L30" s="70"/>
      <c r="M30" s="71"/>
    </row>
    <row r="31" spans="1:13">
      <c r="A31" s="64">
        <f>'DATA SISWA'!A14</f>
        <v>10</v>
      </c>
      <c r="B31" s="76" t="str">
        <f>'DATA SISWA'!C14</f>
        <v>Komariyah</v>
      </c>
      <c r="C31" s="65"/>
      <c r="D31" s="65"/>
      <c r="E31" s="65"/>
      <c r="F31" s="66"/>
      <c r="G31" s="65"/>
      <c r="H31" s="65"/>
      <c r="I31" s="65"/>
      <c r="J31" s="67"/>
      <c r="K31" s="68"/>
      <c r="L31" s="70"/>
      <c r="M31" s="71"/>
    </row>
    <row r="32" spans="1:13">
      <c r="A32" s="64">
        <f>'DATA SISWA'!A15</f>
        <v>11</v>
      </c>
      <c r="B32" s="76" t="str">
        <f>'DATA SISWA'!C15</f>
        <v>Latifah</v>
      </c>
      <c r="C32" s="65"/>
      <c r="D32" s="65"/>
      <c r="E32" s="65"/>
      <c r="F32" s="66"/>
      <c r="G32" s="65"/>
      <c r="H32" s="65"/>
      <c r="I32" s="65"/>
      <c r="J32" s="67"/>
      <c r="K32" s="68"/>
      <c r="L32" s="70"/>
      <c r="M32" s="71"/>
    </row>
    <row r="33" spans="1:13">
      <c r="A33" s="64">
        <f>'DATA SISWA'!A16</f>
        <v>12</v>
      </c>
      <c r="B33" s="76" t="str">
        <f>'DATA SISWA'!C16</f>
        <v>Maya</v>
      </c>
      <c r="C33" s="65"/>
      <c r="D33" s="65"/>
      <c r="E33" s="65"/>
      <c r="F33" s="66"/>
      <c r="G33" s="65"/>
      <c r="H33" s="65"/>
      <c r="I33" s="65"/>
      <c r="J33" s="67"/>
      <c r="K33" s="68"/>
      <c r="L33" s="70"/>
      <c r="M33" s="71"/>
    </row>
    <row r="34" spans="1:13">
      <c r="A34" s="64">
        <f>'DATA SISWA'!A17</f>
        <v>13</v>
      </c>
      <c r="B34" s="76" t="str">
        <f>'DATA SISWA'!C17</f>
        <v>Ma`ruf</v>
      </c>
      <c r="C34" s="65"/>
      <c r="D34" s="65"/>
      <c r="E34" s="65"/>
      <c r="F34" s="66"/>
      <c r="G34" s="65"/>
      <c r="H34" s="65"/>
      <c r="I34" s="65"/>
      <c r="J34" s="67"/>
      <c r="K34" s="68"/>
      <c r="L34" s="70"/>
      <c r="M34" s="71"/>
    </row>
    <row r="35" spans="1:13">
      <c r="A35" s="64">
        <f>'DATA SISWA'!A18</f>
        <v>14</v>
      </c>
      <c r="B35" s="76" t="str">
        <f>'DATA SISWA'!C18</f>
        <v>Nia Ramadani</v>
      </c>
      <c r="C35" s="65"/>
      <c r="D35" s="65"/>
      <c r="E35" s="65"/>
      <c r="F35" s="66"/>
      <c r="G35" s="65"/>
      <c r="H35" s="65"/>
      <c r="I35" s="65"/>
      <c r="J35" s="67"/>
      <c r="K35" s="68"/>
      <c r="L35" s="70"/>
      <c r="M35" s="71"/>
    </row>
    <row r="36" spans="1:13">
      <c r="A36" s="64">
        <f>'DATA SISWA'!A19</f>
        <v>15</v>
      </c>
      <c r="B36" s="76" t="str">
        <f>'DATA SISWA'!C19</f>
        <v>Ningsih Rahmawati</v>
      </c>
      <c r="C36" s="65"/>
      <c r="D36" s="65"/>
      <c r="E36" s="65"/>
      <c r="F36" s="66"/>
      <c r="G36" s="65"/>
      <c r="H36" s="65"/>
      <c r="I36" s="65"/>
      <c r="J36" s="67"/>
      <c r="K36" s="68"/>
      <c r="L36" s="70"/>
      <c r="M36" s="71"/>
    </row>
    <row r="37" spans="1:13">
      <c r="A37" s="64">
        <f>'DATA SISWA'!A20</f>
        <v>16</v>
      </c>
      <c r="B37" s="76" t="str">
        <f>'DATA SISWA'!C20</f>
        <v>Nurhayati</v>
      </c>
      <c r="C37" s="65"/>
      <c r="D37" s="65"/>
      <c r="E37" s="65"/>
      <c r="F37" s="66"/>
      <c r="G37" s="65"/>
      <c r="H37" s="65"/>
      <c r="I37" s="65"/>
      <c r="J37" s="67"/>
      <c r="K37" s="68"/>
      <c r="L37" s="70"/>
      <c r="M37" s="71"/>
    </row>
    <row r="38" spans="1:13">
      <c r="A38" s="64">
        <f>'DATA SISWA'!A21</f>
        <v>17</v>
      </c>
      <c r="B38" s="76" t="str">
        <f>'DATA SISWA'!C21</f>
        <v>Nur Aini</v>
      </c>
      <c r="C38" s="65"/>
      <c r="D38" s="65"/>
      <c r="E38" s="65"/>
      <c r="F38" s="66"/>
      <c r="G38" s="65"/>
      <c r="H38" s="65"/>
      <c r="I38" s="65"/>
      <c r="J38" s="67"/>
      <c r="K38" s="68"/>
      <c r="L38" s="70"/>
      <c r="M38" s="71"/>
    </row>
    <row r="39" spans="1:13">
      <c r="A39" s="64">
        <f>'DATA SISWA'!A22</f>
        <v>18</v>
      </c>
      <c r="B39" s="76" t="str">
        <f>'DATA SISWA'!C22</f>
        <v>Rofiah</v>
      </c>
      <c r="C39" s="65"/>
      <c r="D39" s="65"/>
      <c r="E39" s="65"/>
      <c r="F39" s="66"/>
      <c r="G39" s="65"/>
      <c r="H39" s="65"/>
      <c r="I39" s="65"/>
      <c r="J39" s="67"/>
      <c r="K39" s="68"/>
      <c r="L39" s="70"/>
      <c r="M39" s="71"/>
    </row>
    <row r="40" spans="1:13">
      <c r="A40" s="64">
        <f>'DATA SISWA'!A23</f>
        <v>19</v>
      </c>
      <c r="B40" s="76" t="str">
        <f>'DATA SISWA'!C23</f>
        <v>Romliadi</v>
      </c>
      <c r="C40" s="65"/>
      <c r="D40" s="65"/>
      <c r="E40" s="65"/>
      <c r="F40" s="66"/>
      <c r="G40" s="65"/>
      <c r="H40" s="65"/>
      <c r="I40" s="65"/>
      <c r="J40" s="67"/>
      <c r="K40" s="68"/>
      <c r="L40" s="70"/>
      <c r="M40" s="71"/>
    </row>
    <row r="41" spans="1:13">
      <c r="A41" s="64">
        <f>'DATA SISWA'!A24</f>
        <v>20</v>
      </c>
      <c r="B41" s="76" t="str">
        <f>'DATA SISWA'!C24</f>
        <v>Tammimah</v>
      </c>
      <c r="C41" s="65"/>
      <c r="D41" s="65"/>
      <c r="E41" s="65"/>
      <c r="F41" s="66"/>
      <c r="G41" s="65"/>
      <c r="H41" s="65"/>
      <c r="I41" s="65"/>
      <c r="J41" s="67"/>
      <c r="K41" s="68"/>
      <c r="L41" s="70"/>
      <c r="M41" s="71"/>
    </row>
    <row r="42" spans="1:13">
      <c r="A42" s="64">
        <f>'DATA SISWA'!A25</f>
        <v>0</v>
      </c>
      <c r="B42" s="76">
        <f>'DATA SISWA'!C25</f>
        <v>0</v>
      </c>
      <c r="C42" s="65"/>
      <c r="D42" s="65"/>
      <c r="E42" s="65"/>
      <c r="F42" s="66"/>
      <c r="G42" s="65"/>
      <c r="H42" s="65"/>
      <c r="I42" s="65"/>
      <c r="J42" s="67"/>
      <c r="K42" s="68"/>
      <c r="L42" s="70"/>
      <c r="M42" s="71"/>
    </row>
    <row r="43" spans="1:13">
      <c r="A43" s="64">
        <f>'DATA SISWA'!A26</f>
        <v>0</v>
      </c>
      <c r="B43" s="76">
        <f>'DATA SISWA'!C26</f>
        <v>0</v>
      </c>
      <c r="C43" s="65"/>
      <c r="D43" s="65"/>
      <c r="E43" s="65"/>
      <c r="F43" s="66"/>
      <c r="G43" s="65"/>
      <c r="H43" s="65"/>
      <c r="I43" s="65"/>
      <c r="J43" s="67"/>
      <c r="K43" s="68"/>
      <c r="L43" s="70"/>
      <c r="M43" s="71"/>
    </row>
    <row r="44" spans="1:13">
      <c r="A44" s="64">
        <f>'DATA SISWA'!A27</f>
        <v>0</v>
      </c>
      <c r="B44" s="76">
        <f>'DATA SISWA'!C27</f>
        <v>0</v>
      </c>
      <c r="C44" s="65"/>
      <c r="D44" s="65"/>
      <c r="E44" s="65"/>
      <c r="F44" s="66"/>
      <c r="G44" s="65"/>
      <c r="H44" s="65"/>
      <c r="I44" s="65"/>
      <c r="J44" s="67"/>
      <c r="K44" s="68"/>
      <c r="L44" s="70"/>
      <c r="M44" s="71"/>
    </row>
    <row r="45" spans="1:13">
      <c r="A45" s="64">
        <f>'DATA SISWA'!A28</f>
        <v>0</v>
      </c>
      <c r="B45" s="76">
        <f>'DATA SISWA'!C28</f>
        <v>0</v>
      </c>
      <c r="C45" s="65"/>
      <c r="D45" s="65"/>
      <c r="E45" s="65"/>
      <c r="F45" s="66"/>
      <c r="G45" s="65"/>
      <c r="H45" s="65"/>
      <c r="I45" s="65"/>
      <c r="J45" s="67"/>
      <c r="K45" s="68"/>
      <c r="L45" s="70"/>
      <c r="M45" s="71"/>
    </row>
    <row r="46" spans="1:13">
      <c r="A46" s="64">
        <f>'DATA SISWA'!A29</f>
        <v>0</v>
      </c>
      <c r="B46" s="76">
        <f>'DATA SISWA'!C29</f>
        <v>0</v>
      </c>
      <c r="C46" s="65"/>
      <c r="D46" s="65"/>
      <c r="E46" s="65"/>
      <c r="F46" s="66"/>
      <c r="G46" s="65"/>
      <c r="H46" s="65"/>
      <c r="I46" s="65"/>
      <c r="J46" s="67"/>
      <c r="K46" s="68"/>
      <c r="L46" s="70"/>
      <c r="M46" s="71"/>
    </row>
    <row r="47" spans="1:13">
      <c r="A47" s="64">
        <f>'DATA SISWA'!A30</f>
        <v>0</v>
      </c>
      <c r="B47" s="76">
        <f>'DATA SISWA'!C30</f>
        <v>0</v>
      </c>
      <c r="C47" s="65"/>
      <c r="D47" s="65"/>
      <c r="E47" s="65"/>
      <c r="F47" s="66"/>
      <c r="G47" s="65"/>
      <c r="H47" s="65"/>
      <c r="I47" s="65"/>
      <c r="J47" s="67"/>
      <c r="K47" s="68"/>
      <c r="L47" s="70"/>
      <c r="M47" s="71"/>
    </row>
    <row r="48" spans="1:13">
      <c r="A48" s="64">
        <f>'DATA SISWA'!A31</f>
        <v>0</v>
      </c>
      <c r="B48" s="76">
        <f>'DATA SISWA'!C31</f>
        <v>0</v>
      </c>
      <c r="C48" s="65"/>
      <c r="D48" s="65"/>
      <c r="E48" s="65"/>
      <c r="F48" s="66"/>
      <c r="G48" s="65"/>
      <c r="H48" s="65"/>
      <c r="I48" s="65"/>
      <c r="J48" s="67"/>
      <c r="K48" s="68"/>
      <c r="L48" s="70"/>
      <c r="M48" s="71"/>
    </row>
    <row r="49" spans="1:13">
      <c r="A49" s="64">
        <f>'DATA SISWA'!A32</f>
        <v>0</v>
      </c>
      <c r="B49" s="76">
        <f>'DATA SISWA'!C32</f>
        <v>0</v>
      </c>
      <c r="C49" s="65"/>
      <c r="D49" s="65"/>
      <c r="E49" s="65"/>
      <c r="F49" s="66"/>
      <c r="G49" s="65"/>
      <c r="H49" s="65"/>
      <c r="I49" s="65"/>
      <c r="J49" s="67"/>
      <c r="K49" s="68"/>
      <c r="L49" s="70"/>
      <c r="M49" s="71"/>
    </row>
    <row r="50" spans="1:13">
      <c r="A50" s="64">
        <f>'DATA SISWA'!A33</f>
        <v>0</v>
      </c>
      <c r="B50" s="76">
        <f>'DATA SISWA'!C33</f>
        <v>0</v>
      </c>
      <c r="C50" s="65"/>
      <c r="D50" s="65"/>
      <c r="E50" s="65"/>
      <c r="F50" s="66"/>
      <c r="G50" s="65"/>
      <c r="H50" s="65"/>
      <c r="I50" s="65"/>
      <c r="J50" s="67"/>
      <c r="K50" s="68"/>
      <c r="L50" s="70"/>
      <c r="M50" s="71"/>
    </row>
    <row r="51" spans="1:13">
      <c r="A51" s="64">
        <f>'DATA SISWA'!A34</f>
        <v>0</v>
      </c>
      <c r="B51" s="76">
        <f>'DATA SISWA'!C34</f>
        <v>0</v>
      </c>
      <c r="C51" s="65"/>
      <c r="D51" s="65"/>
      <c r="E51" s="65"/>
      <c r="F51" s="66"/>
      <c r="G51" s="65"/>
      <c r="H51" s="65"/>
      <c r="I51" s="65"/>
      <c r="J51" s="67"/>
      <c r="K51" s="68"/>
      <c r="L51" s="70"/>
      <c r="M51" s="71"/>
    </row>
    <row r="52" spans="1:13">
      <c r="A52" s="64">
        <f>'DATA SISWA'!A35</f>
        <v>0</v>
      </c>
      <c r="B52" s="76">
        <f>'DATA SISWA'!C35</f>
        <v>0</v>
      </c>
      <c r="C52" s="65"/>
      <c r="D52" s="65"/>
      <c r="E52" s="65"/>
      <c r="F52" s="66"/>
      <c r="G52" s="65"/>
      <c r="H52" s="65"/>
      <c r="I52" s="65"/>
      <c r="J52" s="67"/>
      <c r="K52" s="68"/>
      <c r="L52" s="70"/>
      <c r="M52" s="71"/>
    </row>
    <row r="53" spans="1:13">
      <c r="A53" s="64">
        <f>'DATA SISWA'!A36</f>
        <v>0</v>
      </c>
      <c r="B53" s="76">
        <f>'DATA SISWA'!C36</f>
        <v>0</v>
      </c>
      <c r="C53" s="65"/>
      <c r="D53" s="65"/>
      <c r="E53" s="65"/>
      <c r="F53" s="66"/>
      <c r="G53" s="65"/>
      <c r="H53" s="65"/>
      <c r="I53" s="65"/>
      <c r="J53" s="67"/>
      <c r="K53" s="68"/>
      <c r="L53" s="70"/>
      <c r="M53" s="71"/>
    </row>
    <row r="54" spans="1:13">
      <c r="A54" s="64">
        <f>'DATA SISWA'!A37</f>
        <v>0</v>
      </c>
      <c r="B54" s="76">
        <f>'DATA SISWA'!C37</f>
        <v>0</v>
      </c>
      <c r="C54" s="65"/>
      <c r="D54" s="65"/>
      <c r="E54" s="65"/>
      <c r="F54" s="66"/>
      <c r="G54" s="65"/>
      <c r="H54" s="65"/>
      <c r="I54" s="65"/>
      <c r="J54" s="67"/>
      <c r="K54" s="68"/>
      <c r="L54" s="70"/>
      <c r="M54" s="71"/>
    </row>
    <row r="55" spans="1:13">
      <c r="A55" s="64">
        <f>'DATA SISWA'!A38</f>
        <v>0</v>
      </c>
      <c r="B55" s="76">
        <f>'DATA SISWA'!C38</f>
        <v>0</v>
      </c>
      <c r="C55" s="65"/>
      <c r="D55" s="65"/>
      <c r="E55" s="65"/>
      <c r="F55" s="66"/>
      <c r="G55" s="65"/>
      <c r="H55" s="65"/>
      <c r="I55" s="65"/>
      <c r="J55" s="67"/>
      <c r="K55" s="68"/>
      <c r="L55" s="70"/>
      <c r="M55" s="71"/>
    </row>
    <row r="56" spans="1:13">
      <c r="A56" s="64">
        <f>'DATA SISWA'!A39</f>
        <v>0</v>
      </c>
      <c r="B56" s="76">
        <f>'DATA SISWA'!C39</f>
        <v>0</v>
      </c>
      <c r="C56" s="65"/>
      <c r="D56" s="65"/>
      <c r="E56" s="65"/>
      <c r="F56" s="66"/>
      <c r="G56" s="65"/>
      <c r="H56" s="65"/>
      <c r="I56" s="65"/>
      <c r="J56" s="67"/>
      <c r="K56" s="68"/>
      <c r="L56" s="70"/>
      <c r="M56" s="71"/>
    </row>
    <row r="57" spans="1:13">
      <c r="A57" s="64">
        <f>'DATA SISWA'!A40</f>
        <v>0</v>
      </c>
      <c r="B57" s="76">
        <f>'DATA SISWA'!C40</f>
        <v>0</v>
      </c>
      <c r="C57" s="65"/>
      <c r="D57" s="65"/>
      <c r="E57" s="65"/>
      <c r="F57" s="66"/>
      <c r="G57" s="65"/>
      <c r="H57" s="65"/>
      <c r="I57" s="65"/>
      <c r="J57" s="67"/>
      <c r="K57" s="68"/>
      <c r="L57" s="70"/>
      <c r="M57" s="71"/>
    </row>
    <row r="58" spans="1:13">
      <c r="A58" s="64">
        <f>'DATA SISWA'!A41</f>
        <v>0</v>
      </c>
      <c r="B58" s="76">
        <f>'DATA SISWA'!C41</f>
        <v>0</v>
      </c>
      <c r="C58" s="65"/>
      <c r="D58" s="65"/>
      <c r="E58" s="65"/>
      <c r="F58" s="66"/>
      <c r="G58" s="65"/>
      <c r="H58" s="65"/>
      <c r="I58" s="65"/>
      <c r="J58" s="67"/>
      <c r="K58" s="68"/>
      <c r="L58" s="70"/>
      <c r="M58" s="71"/>
    </row>
    <row r="59" spans="1:13">
      <c r="A59" s="64">
        <f>'DATA SISWA'!A42</f>
        <v>0</v>
      </c>
      <c r="B59" s="76">
        <f>'DATA SISWA'!C42</f>
        <v>0</v>
      </c>
      <c r="C59" s="65"/>
      <c r="D59" s="65"/>
      <c r="E59" s="65"/>
      <c r="F59" s="66"/>
      <c r="G59" s="65"/>
      <c r="H59" s="65"/>
      <c r="I59" s="65"/>
      <c r="J59" s="67"/>
      <c r="K59" s="68"/>
      <c r="L59" s="70"/>
      <c r="M59" s="71"/>
    </row>
    <row r="60" spans="1:13">
      <c r="A60" s="64">
        <f>'DATA SISWA'!A43</f>
        <v>0</v>
      </c>
      <c r="B60" s="76">
        <f>'DATA SISWA'!C43</f>
        <v>0</v>
      </c>
      <c r="C60" s="65"/>
      <c r="D60" s="65"/>
      <c r="E60" s="65"/>
      <c r="F60" s="66"/>
      <c r="G60" s="65"/>
      <c r="H60" s="65"/>
      <c r="I60" s="65"/>
      <c r="J60" s="67"/>
      <c r="K60" s="68"/>
      <c r="L60" s="70"/>
      <c r="M60" s="71"/>
    </row>
    <row r="61" spans="1:13">
      <c r="A61" s="64">
        <f>'DATA SISWA'!A44</f>
        <v>0</v>
      </c>
      <c r="B61" s="76">
        <f>'DATA SISWA'!C44</f>
        <v>0</v>
      </c>
      <c r="C61" s="65"/>
      <c r="D61" s="65"/>
      <c r="E61" s="65"/>
      <c r="F61" s="66"/>
      <c r="G61" s="65"/>
      <c r="H61" s="65"/>
      <c r="I61" s="65"/>
      <c r="J61" s="67"/>
      <c r="K61" s="68"/>
      <c r="L61" s="70"/>
      <c r="M61" s="71"/>
    </row>
    <row r="62" spans="1:13">
      <c r="A62" s="64">
        <f>'DATA SISWA'!A45</f>
        <v>0</v>
      </c>
      <c r="B62" s="76">
        <f>'DATA SISWA'!C45</f>
        <v>0</v>
      </c>
      <c r="C62" s="65"/>
      <c r="D62" s="65"/>
      <c r="E62" s="65"/>
      <c r="F62" s="66"/>
      <c r="G62" s="65"/>
      <c r="H62" s="65"/>
      <c r="I62" s="65"/>
      <c r="J62" s="67"/>
      <c r="K62" s="68"/>
      <c r="L62" s="70"/>
      <c r="M62" s="71"/>
    </row>
    <row r="63" spans="1:13">
      <c r="A63" s="64">
        <f>'DATA SISWA'!A46</f>
        <v>0</v>
      </c>
      <c r="B63" s="76">
        <f>'DATA SISWA'!C46</f>
        <v>0</v>
      </c>
      <c r="C63" s="65"/>
      <c r="D63" s="65"/>
      <c r="E63" s="65"/>
      <c r="F63" s="66"/>
      <c r="G63" s="65"/>
      <c r="H63" s="65"/>
      <c r="I63" s="65"/>
      <c r="J63" s="67"/>
      <c r="K63" s="68"/>
      <c r="L63" s="70"/>
      <c r="M63" s="71"/>
    </row>
    <row r="64" spans="1:13">
      <c r="A64" s="64">
        <f>'DATA SISWA'!A47</f>
        <v>0</v>
      </c>
      <c r="B64" s="76">
        <f>'DATA SISWA'!C47</f>
        <v>0</v>
      </c>
      <c r="C64" s="65"/>
      <c r="D64" s="65"/>
      <c r="E64" s="65"/>
      <c r="F64" s="66"/>
      <c r="G64" s="65"/>
      <c r="H64" s="65"/>
      <c r="I64" s="65"/>
      <c r="J64" s="67"/>
      <c r="K64" s="68"/>
      <c r="L64" s="70"/>
      <c r="M64" s="71"/>
    </row>
    <row r="65" spans="1:13">
      <c r="A65" s="64">
        <f>'DATA SISWA'!A48</f>
        <v>0</v>
      </c>
      <c r="B65" s="76">
        <f>'DATA SISWA'!C48</f>
        <v>0</v>
      </c>
      <c r="C65" s="65"/>
      <c r="D65" s="65"/>
      <c r="E65" s="65"/>
      <c r="F65" s="66"/>
      <c r="G65" s="65"/>
      <c r="H65" s="65"/>
      <c r="I65" s="65"/>
      <c r="J65" s="67"/>
      <c r="K65" s="68"/>
      <c r="L65" s="70"/>
      <c r="M65" s="71"/>
    </row>
    <row r="66" spans="1:13">
      <c r="A66" s="64">
        <f>'DATA SISWA'!A49</f>
        <v>0</v>
      </c>
      <c r="B66" s="76">
        <f>'DATA SISWA'!C49</f>
        <v>0</v>
      </c>
      <c r="C66" s="65"/>
      <c r="D66" s="65"/>
      <c r="E66" s="65"/>
      <c r="F66" s="66"/>
      <c r="G66" s="65"/>
      <c r="H66" s="65"/>
      <c r="I66" s="65"/>
      <c r="J66" s="67"/>
      <c r="K66" s="68"/>
      <c r="L66" s="70"/>
      <c r="M66" s="71"/>
    </row>
    <row r="67" spans="1:13">
      <c r="A67" s="64">
        <f>'DATA SISWA'!A50</f>
        <v>0</v>
      </c>
      <c r="B67" s="76">
        <f>'DATA SISWA'!C50</f>
        <v>0</v>
      </c>
      <c r="C67" s="65"/>
      <c r="D67" s="65"/>
      <c r="E67" s="65"/>
      <c r="F67" s="66"/>
      <c r="G67" s="65"/>
      <c r="H67" s="65"/>
      <c r="I67" s="65"/>
      <c r="J67" s="67"/>
      <c r="K67" s="68"/>
      <c r="L67" s="70"/>
      <c r="M67" s="71"/>
    </row>
    <row r="68" spans="1:13">
      <c r="A68" s="64">
        <f>'DATA SISWA'!A51</f>
        <v>0</v>
      </c>
      <c r="B68" s="76">
        <f>'DATA SISWA'!C51</f>
        <v>0</v>
      </c>
      <c r="C68" s="65"/>
      <c r="D68" s="65"/>
      <c r="E68" s="65"/>
      <c r="F68" s="66"/>
      <c r="G68" s="65"/>
      <c r="H68" s="65"/>
      <c r="I68" s="65"/>
      <c r="J68" s="67"/>
      <c r="K68" s="68"/>
      <c r="L68" s="70"/>
      <c r="M68" s="71"/>
    </row>
    <row r="69" spans="1:13">
      <c r="A69" s="64">
        <f>'DATA SISWA'!A52</f>
        <v>0</v>
      </c>
      <c r="B69" s="76">
        <f>'DATA SISWA'!C52</f>
        <v>0</v>
      </c>
      <c r="C69" s="65"/>
      <c r="D69" s="65"/>
      <c r="E69" s="65"/>
      <c r="F69" s="66"/>
      <c r="G69" s="65"/>
      <c r="H69" s="65"/>
      <c r="I69" s="65"/>
      <c r="J69" s="67"/>
      <c r="K69" s="68"/>
      <c r="L69" s="70"/>
      <c r="M69" s="71"/>
    </row>
    <row r="70" spans="1:13">
      <c r="A70" s="72"/>
      <c r="B70" s="72" t="s">
        <v>276</v>
      </c>
      <c r="C70" s="73" t="str">
        <f t="shared" ref="C70:I70" si="0">IFERROR(AVERAGE(C22:C61),"  ")</f>
        <v/>
      </c>
      <c r="D70" s="73" t="str">
        <f t="shared" si="0"/>
        <v/>
      </c>
      <c r="E70" s="73" t="str">
        <f t="shared" si="0"/>
        <v/>
      </c>
      <c r="F70" s="73" t="str">
        <f t="shared" si="0"/>
        <v/>
      </c>
      <c r="G70" s="73" t="str">
        <f t="shared" si="0"/>
        <v/>
      </c>
      <c r="H70" s="73" t="str">
        <f t="shared" si="0"/>
        <v/>
      </c>
      <c r="I70" s="73" t="str">
        <f t="shared" si="0"/>
        <v/>
      </c>
      <c r="J70" s="73"/>
      <c r="K70" s="73"/>
      <c r="L70" s="74"/>
      <c r="M70" s="42"/>
    </row>
    <row r="71" spans="1:13">
      <c r="A71" s="42"/>
      <c r="B71" s="41"/>
      <c r="C71" s="48"/>
      <c r="D71" s="55"/>
      <c r="E71" s="41"/>
      <c r="F71" s="41"/>
      <c r="G71" s="41"/>
      <c r="H71" s="41"/>
      <c r="I71" s="41"/>
      <c r="J71" s="41"/>
      <c r="K71" s="41"/>
      <c r="L71" s="41"/>
      <c r="M71" s="42"/>
    </row>
    <row r="72" spans="1:13">
      <c r="A72" s="42"/>
      <c r="B72" s="75"/>
      <c r="C72" s="48"/>
      <c r="D72" s="55"/>
      <c r="E72" s="41"/>
      <c r="F72" s="41"/>
      <c r="G72" s="41"/>
      <c r="H72" s="41"/>
      <c r="I72" s="41"/>
      <c r="J72" s="41"/>
      <c r="K72" s="47"/>
      <c r="L72" s="47"/>
      <c r="M72" s="42"/>
    </row>
    <row r="73" spans="1:13">
      <c r="A73" s="42"/>
      <c r="B73" s="75"/>
      <c r="C73" s="48"/>
      <c r="D73" s="55"/>
      <c r="E73" s="41"/>
      <c r="F73" s="41"/>
      <c r="G73" s="41"/>
      <c r="H73" s="41"/>
      <c r="I73" s="41"/>
      <c r="J73" s="41"/>
      <c r="K73" s="41"/>
      <c r="L73" s="41"/>
      <c r="M73" s="42"/>
    </row>
    <row r="74" spans="1:13">
      <c r="A74" s="41"/>
      <c r="B74" s="41"/>
      <c r="C74" s="41"/>
      <c r="D74" s="41"/>
      <c r="E74" s="41"/>
      <c r="F74" s="41"/>
      <c r="G74" s="41"/>
      <c r="H74" s="41"/>
      <c r="I74" s="41"/>
      <c r="J74" s="41"/>
      <c r="K74" s="41"/>
      <c r="L74" s="41"/>
      <c r="M74" s="42"/>
    </row>
    <row r="75" spans="1:13">
      <c r="A75" s="41"/>
      <c r="B75" s="41"/>
      <c r="C75" s="41"/>
      <c r="D75" s="41"/>
      <c r="E75" s="41"/>
      <c r="F75" s="41"/>
      <c r="G75" s="41"/>
      <c r="H75" s="41"/>
      <c r="I75" s="41"/>
      <c r="J75" s="41"/>
      <c r="K75" s="41"/>
      <c r="L75" s="41"/>
      <c r="M75" s="42"/>
    </row>
    <row r="76" spans="1:13">
      <c r="A76" s="41"/>
      <c r="B76" s="75"/>
      <c r="C76" s="41"/>
      <c r="D76" s="41"/>
      <c r="E76" s="41"/>
      <c r="F76" s="41"/>
      <c r="G76" s="41"/>
      <c r="H76" s="41"/>
      <c r="I76" s="41"/>
      <c r="J76" s="41"/>
      <c r="K76" s="41"/>
      <c r="L76" s="41"/>
      <c r="M76" s="42"/>
    </row>
    <row r="77" spans="1:13">
      <c r="A77" s="42"/>
      <c r="B77" s="75"/>
      <c r="C77" s="42"/>
      <c r="D77" s="42"/>
      <c r="E77" s="42"/>
      <c r="F77" s="42"/>
      <c r="G77" s="42"/>
      <c r="H77" s="42"/>
      <c r="I77" s="42"/>
      <c r="J77" s="42"/>
      <c r="K77" s="42"/>
      <c r="L77" s="42"/>
      <c r="M77" s="42"/>
    </row>
  </sheetData>
  <mergeCells count="28">
    <mergeCell ref="L18:L19"/>
    <mergeCell ref="H18:H19"/>
    <mergeCell ref="I18:I19"/>
    <mergeCell ref="J18:J19"/>
    <mergeCell ref="K18:K19"/>
    <mergeCell ref="C15:J15"/>
    <mergeCell ref="C16:J16"/>
    <mergeCell ref="A18:A20"/>
    <mergeCell ref="C18:C19"/>
    <mergeCell ref="D18:D19"/>
    <mergeCell ref="E18:E19"/>
    <mergeCell ref="F18:F19"/>
    <mergeCell ref="G18:G19"/>
    <mergeCell ref="C11:J11"/>
    <mergeCell ref="C12:J12"/>
    <mergeCell ref="C13:J13"/>
    <mergeCell ref="C14:J14"/>
    <mergeCell ref="C6:I6"/>
    <mergeCell ref="C8:J8"/>
    <mergeCell ref="C9:J9"/>
    <mergeCell ref="C10:J10"/>
    <mergeCell ref="C5:D5"/>
    <mergeCell ref="F5:H5"/>
    <mergeCell ref="I5:J5"/>
    <mergeCell ref="B1:L2"/>
    <mergeCell ref="C4:F4"/>
    <mergeCell ref="G4:H4"/>
    <mergeCell ref="I4:J4"/>
  </mergeCells>
  <pageMargins left="0.28000000000000003" right="0.32" top="0.37" bottom="0.42" header="0.3" footer="0.3"/>
  <pageSetup paperSize="512" scale="90" orientation="portrait" horizontalDpi="0"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10</vt:i4>
      </vt:variant>
    </vt:vector>
  </HeadingPairs>
  <TitlesOfParts>
    <vt:vector size="39" baseType="lpstr">
      <vt:lpstr>menu</vt:lpstr>
      <vt:lpstr>profil</vt:lpstr>
      <vt:lpstr>KDOKE</vt:lpstr>
      <vt:lpstr>LIHAT</vt:lpstr>
      <vt:lpstr>DATA SISWA</vt:lpstr>
      <vt:lpstr>UTSangka</vt:lpstr>
      <vt:lpstr>NILAI_JADI</vt:lpstr>
      <vt:lpstr>Form Nilai Pengetahuan</vt:lpstr>
      <vt:lpstr>Input Nilai Pengetahuan</vt:lpstr>
      <vt:lpstr>DATAPENG</vt:lpstr>
      <vt:lpstr>Sheet1</vt:lpstr>
      <vt:lpstr>Form NilKet</vt:lpstr>
      <vt:lpstr>Input Nilai Ketrampilan</vt:lpstr>
      <vt:lpstr>DATAKET</vt:lpstr>
      <vt:lpstr>proyek</vt:lpstr>
      <vt:lpstr>praktek</vt:lpstr>
      <vt:lpstr>form penilaian teman</vt:lpstr>
      <vt:lpstr>form penilaian diri</vt:lpstr>
      <vt:lpstr>rekap antar teman</vt:lpstr>
      <vt:lpstr>FORM Nil Sikap</vt:lpstr>
      <vt:lpstr>Input Nilai Sikap</vt:lpstr>
      <vt:lpstr>observasi2</vt:lpstr>
      <vt:lpstr>observasi1</vt:lpstr>
      <vt:lpstr>rekap observasi</vt:lpstr>
      <vt:lpstr>Sheet2</vt:lpstr>
      <vt:lpstr>REKAP PENILAIAN DIRI</vt:lpstr>
      <vt:lpstr>jurnal</vt:lpstr>
      <vt:lpstr>PORTOFOLIO</vt:lpstr>
      <vt:lpstr>FORM PORTOFOLIO</vt:lpstr>
      <vt:lpstr>nilai_jadi</vt:lpstr>
      <vt:lpstr>'DATA SISWA'!Print_Area</vt:lpstr>
      <vt:lpstr>'form penilaian diri'!Print_Area</vt:lpstr>
      <vt:lpstr>'form penilaian teman'!Print_Area</vt:lpstr>
      <vt:lpstr>'FORM PORTOFOLIO'!Print_Area</vt:lpstr>
      <vt:lpstr>'Input Nilai Ketrampilan'!Print_Area</vt:lpstr>
      <vt:lpstr>'Input Nilai Sikap'!Print_Area</vt:lpstr>
      <vt:lpstr>LIHAT!Print_Area</vt:lpstr>
      <vt:lpstr>'FORM Nil Sikap'!Print_Titles</vt:lpstr>
      <vt:lpstr>jurnal!Print_Titles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SULIYAT</dc:creator>
  <cp:lastModifiedBy>R</cp:lastModifiedBy>
  <cp:lastPrinted>2016-08-29T00:08:46Z</cp:lastPrinted>
  <dcterms:created xsi:type="dcterms:W3CDTF">2013-09-02T02:02:22Z</dcterms:created>
  <dcterms:modified xsi:type="dcterms:W3CDTF">2018-02-12T02:03:11Z</dcterms:modified>
</cp:coreProperties>
</file>