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G5" s="1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Y5" s="1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Q5" s="1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BA5" s="1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S5" s="1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4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7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7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7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DO22" l="1"/>
  <c r="DO26"/>
  <c r="DO30"/>
  <c r="DO34"/>
  <c r="DO38"/>
  <c r="DO42"/>
  <c r="DO46"/>
  <c r="DO50"/>
  <c r="DO54"/>
  <c r="DO58"/>
  <c r="W21"/>
  <c r="W25"/>
  <c r="W29"/>
  <c r="W33"/>
  <c r="W37"/>
  <c r="W41"/>
  <c r="W45"/>
  <c r="W49"/>
  <c r="W53"/>
  <c r="W57"/>
  <c r="AI20"/>
  <c r="AI24"/>
  <c r="AI28"/>
  <c r="AI32"/>
  <c r="AI36"/>
  <c r="AI40"/>
  <c r="AI44"/>
  <c r="AI48"/>
  <c r="AI52"/>
  <c r="AI56"/>
  <c r="AU19"/>
  <c r="AU23"/>
  <c r="AU27"/>
  <c r="AU31"/>
  <c r="AU35"/>
  <c r="AU39"/>
  <c r="AU43"/>
  <c r="AU47"/>
  <c r="AU51"/>
  <c r="AU55"/>
  <c r="DC58"/>
  <c r="K23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DE53"/>
  <c r="CS40"/>
  <c r="BI23"/>
  <c r="BI31"/>
  <c r="BI39"/>
  <c r="AK2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47"/>
  <c r="M45"/>
  <c r="M37"/>
  <c r="M21"/>
  <c r="M33"/>
  <c r="M28"/>
  <c r="M48"/>
  <c r="M44"/>
  <c r="M22"/>
  <c r="L19"/>
  <c r="M53" l="1"/>
  <c r="Y21"/>
  <c r="DQ35"/>
  <c r="Y46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T53" i="34" l="1"/>
  <c r="U53"/>
  <c r="V53"/>
  <c r="T49"/>
  <c r="U49"/>
  <c r="V49"/>
  <c r="T52"/>
  <c r="U52"/>
  <c r="V52"/>
  <c r="V51"/>
  <c r="T51"/>
  <c r="U51"/>
  <c r="U54"/>
  <c r="V54"/>
  <c r="T54"/>
  <c r="T48"/>
  <c r="U48"/>
  <c r="V48"/>
  <c r="U50"/>
  <c r="V50"/>
  <c r="T50"/>
  <c r="V55"/>
  <c r="T55"/>
  <c r="U55"/>
  <c r="BJ52" i="8"/>
  <c r="BJ50"/>
  <c r="BH48"/>
  <c r="BI48"/>
  <c r="BG48"/>
  <c r="H57" i="31" s="1"/>
  <c r="BH49" i="8"/>
  <c r="BI49"/>
  <c r="BG49"/>
  <c r="H58" i="31" s="1"/>
  <c r="BH52" i="8"/>
  <c r="BI52"/>
  <c r="BG52"/>
  <c r="H61" i="31" s="1"/>
  <c r="BJ51" i="8"/>
  <c r="BH50"/>
  <c r="BI50"/>
  <c r="BG50"/>
  <c r="H59" i="31" s="1"/>
  <c r="BH51" i="8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BK51" i="8"/>
  <c r="I60" i="31" s="1"/>
  <c r="BK50" i="8"/>
  <c r="I59" i="31" s="1"/>
  <c r="BK49" i="8"/>
  <c r="I58" i="31" s="1"/>
  <c r="BK52" i="8"/>
  <c r="I61" i="31" s="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5" i="8" l="1"/>
  <c r="BJ47"/>
  <c r="BH47"/>
  <c r="BG47"/>
  <c r="H56" i="31" s="1"/>
  <c r="BI47" i="8"/>
  <c r="BH46"/>
  <c r="BI46"/>
  <c r="BK46" s="1"/>
  <c r="I55" i="31" s="1"/>
  <c r="BG46" i="8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7" i="8"/>
  <c r="I56" i="31" s="1"/>
  <c r="BK45" i="8"/>
  <c r="I54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42" i="6" l="1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F36" i="31" s="1"/>
  <c r="CR27" i="6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F18" i="31" s="1"/>
  <c r="CR28" i="6"/>
  <c r="E37" i="31" s="1"/>
  <c r="CS28" i="6"/>
  <c r="CV28" s="1"/>
  <c r="F37" i="31" s="1"/>
  <c r="CR21" i="6"/>
  <c r="CS21"/>
  <c r="CV21" s="1"/>
  <c r="F30" i="31" s="1"/>
  <c r="CR26" i="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F42" i="31" s="1"/>
  <c r="CR25" i="6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F43" i="31" s="1"/>
  <c r="CR42" i="6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D42"/>
  <c r="D16"/>
  <c r="E16"/>
  <c r="D24"/>
  <c r="D26"/>
  <c r="D23"/>
  <c r="D21"/>
  <c r="E21"/>
  <c r="F21"/>
  <c r="D17"/>
  <c r="D44"/>
  <c r="D29"/>
  <c r="D22"/>
  <c r="D27"/>
  <c r="D20"/>
  <c r="E20"/>
  <c r="D25"/>
  <c r="D18"/>
  <c r="D37"/>
  <c r="D30"/>
  <c r="E30"/>
  <c r="D35"/>
  <c r="D28"/>
  <c r="E28"/>
  <c r="D33"/>
  <c r="D50"/>
  <c r="E50"/>
  <c r="D39"/>
  <c r="D47"/>
  <c r="E47"/>
  <c r="D46"/>
  <c r="D36"/>
  <c r="E36"/>
  <c r="D41"/>
  <c r="D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V39" i="34" l="1"/>
  <c r="T39"/>
  <c r="U39"/>
  <c r="V31"/>
  <c r="T31"/>
  <c r="U31"/>
  <c r="T25"/>
  <c r="U25"/>
  <c r="V25"/>
  <c r="V15"/>
  <c r="T15"/>
  <c r="U15"/>
  <c r="T45"/>
  <c r="U45"/>
  <c r="V45"/>
  <c r="V47"/>
  <c r="T47"/>
  <c r="U47"/>
  <c r="T44"/>
  <c r="U44"/>
  <c r="V44"/>
  <c r="T33"/>
  <c r="U33"/>
  <c r="V33"/>
  <c r="T21"/>
  <c r="U21"/>
  <c r="V21"/>
  <c r="T13"/>
  <c r="U13"/>
  <c r="V13"/>
  <c r="T12"/>
  <c r="U12"/>
  <c r="V12"/>
  <c r="U42"/>
  <c r="V42"/>
  <c r="T42"/>
  <c r="V35"/>
  <c r="T35"/>
  <c r="U35"/>
  <c r="V27"/>
  <c r="T27"/>
  <c r="U27"/>
  <c r="V19"/>
  <c r="T19"/>
  <c r="U19"/>
  <c r="V11"/>
  <c r="T11"/>
  <c r="U11"/>
  <c r="T37"/>
  <c r="U37"/>
  <c r="V37"/>
  <c r="T29"/>
  <c r="U29"/>
  <c r="V29"/>
  <c r="V23"/>
  <c r="T23"/>
  <c r="U23"/>
  <c r="T17"/>
  <c r="U17"/>
  <c r="V17"/>
  <c r="T9"/>
  <c r="U9"/>
  <c r="V9"/>
  <c r="U46"/>
  <c r="V46"/>
  <c r="T46"/>
  <c r="V43"/>
  <c r="T43"/>
  <c r="U43"/>
  <c r="T40"/>
  <c r="U40"/>
  <c r="V40"/>
  <c r="U38"/>
  <c r="V38"/>
  <c r="T38"/>
  <c r="T36"/>
  <c r="U36"/>
  <c r="V36"/>
  <c r="U34"/>
  <c r="V34"/>
  <c r="T34"/>
  <c r="T32"/>
  <c r="U32"/>
  <c r="V32"/>
  <c r="U30"/>
  <c r="V30"/>
  <c r="T30"/>
  <c r="T28"/>
  <c r="U28"/>
  <c r="V28"/>
  <c r="U26"/>
  <c r="V26"/>
  <c r="T26"/>
  <c r="T24"/>
  <c r="U24"/>
  <c r="V24"/>
  <c r="U22"/>
  <c r="V22"/>
  <c r="T22"/>
  <c r="T20"/>
  <c r="U20"/>
  <c r="V20"/>
  <c r="U18"/>
  <c r="V18"/>
  <c r="T18"/>
  <c r="T16"/>
  <c r="U16"/>
  <c r="V16"/>
  <c r="U14"/>
  <c r="V14"/>
  <c r="T14"/>
  <c r="U10"/>
  <c r="V10"/>
  <c r="T10"/>
  <c r="T41"/>
  <c r="U41"/>
  <c r="V41"/>
  <c r="C11" i="44"/>
  <c r="C10"/>
  <c r="BJ44" i="8"/>
  <c r="BJ36"/>
  <c r="BJ43"/>
  <c r="BJ41"/>
  <c r="BJ38"/>
  <c r="BJ42"/>
  <c r="BJ37"/>
  <c r="BJ40"/>
  <c r="BJ39"/>
  <c r="BH39"/>
  <c r="BI39"/>
  <c r="BG39"/>
  <c r="H48" i="31" s="1"/>
  <c r="BH37" i="8"/>
  <c r="BI37"/>
  <c r="BG37"/>
  <c r="BH34"/>
  <c r="BI34"/>
  <c r="BG34"/>
  <c r="H43" i="31" s="1"/>
  <c r="BH32" i="8"/>
  <c r="BI32"/>
  <c r="BG32"/>
  <c r="H41" i="31" s="1"/>
  <c r="BH30" i="8"/>
  <c r="BI30"/>
  <c r="BG30"/>
  <c r="H39" i="31" s="1"/>
  <c r="BH28" i="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H31" i="31" s="1"/>
  <c r="BH21" i="8"/>
  <c r="BG21"/>
  <c r="BI21"/>
  <c r="BH20"/>
  <c r="BI20"/>
  <c r="BG20"/>
  <c r="BH19"/>
  <c r="BI19"/>
  <c r="BG19"/>
  <c r="H28" i="31" s="1"/>
  <c r="BH18" i="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K44" s="1"/>
  <c r="I53" i="31" s="1"/>
  <c r="BG44" i="8"/>
  <c r="H53" i="31" s="1"/>
  <c r="BH43" i="8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BK43" i="8"/>
  <c r="I52" i="31" s="1"/>
  <c r="H52"/>
  <c r="H50"/>
  <c r="BK33" i="8"/>
  <c r="I42" i="31" s="1"/>
  <c r="BK31" i="8"/>
  <c r="I40" i="31" s="1"/>
  <c r="H40"/>
  <c r="H38"/>
  <c r="H37"/>
  <c r="H26"/>
  <c r="BJ9" i="8"/>
  <c r="BK39"/>
  <c r="I48" i="31" s="1"/>
  <c r="H46"/>
  <c r="H34"/>
  <c r="H32"/>
  <c r="H30"/>
  <c r="H29"/>
  <c r="H24"/>
  <c r="H22"/>
  <c r="H21"/>
  <c r="BJ8" i="8"/>
  <c r="H16" i="31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<sst xmlns="http://schemas.openxmlformats.org/spreadsheetml/2006/main" count="2299" uniqueCount="510">
  <si>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</si>
  <si>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</si>
  <si>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</si>
  <si>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</si>
  <si>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</si>
  <si>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</si>
  <si>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</si>
  <si>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</si>
  <si>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</si>
  <si>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</si>
  <si>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</si>
  <si>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</si>
  <si>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</si>
  <si>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</si>
  <si>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</si>
  <si>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</si>
  <si>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</si>
  <si>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</si>
  <si>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</si>
  <si>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</si>
  <si>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</si>
  <si>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</si>
  <si>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</si>
  <si>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</si>
  <si>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</si>
  <si>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</si>
  <si>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</si>
  <si>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</si>
  <si>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</si>
  <si>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</si>
  <si>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</si>
  <si>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</si>
  <si>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</si>
  <si>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</si>
  <si>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</si>
  <si>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</si>
  <si>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</si>
  <si>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</si>
  <si>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</si>
  <si>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</si>
  <si>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</si>
  <si>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</si>
  <si>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</si>
  <si>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</si>
  <si>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</si>
  <si>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</si>
  <si>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</si>
  <si>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</si>
  <si>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</si>
  <si>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</si>
  <si>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</si>
  <si>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</si>
  <si>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</si>
  <si>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</si>
  <si>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</si>
  <si>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</si>
  <si>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</si>
  <si>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</si>
  <si>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</si>
  <si>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</si>
  <si>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</si>
  <si>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</si>
  <si>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</si>
  <si>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</si>
  <si>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</si>
  <si>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</si>
  <si>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</si>
  <si>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</si>
  <si>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</si>
  <si>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</si>
  <si>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</si>
  <si>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</si>
  <si>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</si>
  <si>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</si>
  <si>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</si>
  <si>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</si>
  <si>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</si>
  <si>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</si>
  <si>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</si>
  <si>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</si>
  <si>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</si>
  <si>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</si>
  <si>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</si>
  <si>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</si>
  <si>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</si>
  <si>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</si>
  <si>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</si>
  <si>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</si>
  <si>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</si>
  <si>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</si>
  <si>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</si>
  <si>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</si>
  <si>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</si>
  <si>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</si>
  <si>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</si>
  <si>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</si>
  <si>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</si>
  <si>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</si>
  <si>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</si>
  <si>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</si>
  <si>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</si>
  <si>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</si>
  <si>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</si>
  <si>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</si>
  <si>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</si>
  <si>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</si>
  <si>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</si>
  <si>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</si>
  <si>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</si>
  <si>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</si>
  <si>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</si>
  <si>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</si>
  <si>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</si>
  <si>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</si>
  <si>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</si>
  <si>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</si>
  <si>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</si>
  <si>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</si>
  <si>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</si>
  <si>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</si>
  <si>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</si>
  <si>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</si>
  <si>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</si>
  <si>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</si>
  <si>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</si>
  <si>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</si>
  <si>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</si>
  <si>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</si>
  <si>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</si>
  <si>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</si>
  <si>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</si>
  <si>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</si>
  <si>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</si>
  <si>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</si>
  <si>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</si>
  <si>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</si>
  <si>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</si>
  <si>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</si>
  <si>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</si>
  <si>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</si>
  <si>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</si>
  <si>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</si>
  <si>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</si>
  <si>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</si>
  <si>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</si>
  <si>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</si>
  <si>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</si>
  <si>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</si>
  <si>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</si>
  <si>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</si>
  <si>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</si>
  <si>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</si>
  <si>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</si>
  <si>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</si>
  <si>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</si>
  <si>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</si>
  <si>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</si>
  <si>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</si>
  <si>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</si>
  <si>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</si>
  <si>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</si>
  <si>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</si>
  <si>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</si>
  <si>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</si>
  <si>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</si>
  <si>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</si>
  <si>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</si>
  <si>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</si>
  <si>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</si>
  <si>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</si>
  <si>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</si>
  <si>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</si>
  <si>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</si>
  <si>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</si>
  <si>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</si>
  <si>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</si>
  <si>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</si>
  <si>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</si>
  <si>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</si>
  <si>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</si>
  <si>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</si>
  <si>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</si>
  <si>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</si>
  <si>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</si>
  <si>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</si>
  <si>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</si>
  <si>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</si>
  <si>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</si>
  <si>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</si>
  <si>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</si>
  <si>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</si>
  <si>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</si>
  <si>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</si>
  <si>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</si>
  <si>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</si>
  <si>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</si>
  <si>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</si>
  <si>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</si>
  <si>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</si>
  <si>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</si>
  <si>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</si>
  <si>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</si>
  <si>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</si>
  <si>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</si>
  <si>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</si>
  <si>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</si>
  <si>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</si>
  <si>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</si>
  <si>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</si>
  <si>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</si>
  <si>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</si>
  <si>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</si>
  <si>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</si>
  <si>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</si>
  <si>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</si>
  <si>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</si>
  <si>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</si>
  <si>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</si>
  <si>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</si>
  <si>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</si>
  <si>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</si>
  <si>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</si>
  <si>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</si>
  <si>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</si>
  <si>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</si>
  <si>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</si>
  <si>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</si>
  <si>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</si>
  <si>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</si>
  <si>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</si>
  <si>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</si>
  <si>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</si>
  <si>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</si>
  <si>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</si>
  <si>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</si>
  <si>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</si>
  <si>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</si>
  <si>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</si>
  <si>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</si>
  <si>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</si>
  <si>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</si>
  <si>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</si>
  <si>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</si>
  <si>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</si>
  <si>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</si>
  <si>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</si>
  <si>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</si>
  <si>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</si>
  <si>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</si>
  <si>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</si>
  <si>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</si>
  <si>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</si>
  <si>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</si>
  <si>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</si>
  <si>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</si>
  <si>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</si>
  <si>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</si>
  <si>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</si>
  <si>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</si>
  <si>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</si>
  <si>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</si>
  <si>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</si>
  <si>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</si>
  <si>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</si>
  <si>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</si>
  <si>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</si>
  <si>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</si>
  <si>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</si>
  <si>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</si>
  <si>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</si>
  <si>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</si>
  <si>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</si>
  <si>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</si>
  <si>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</si>
  <si>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</si>
  <si>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</si>
  <si>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</si>
  <si>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</si>
  <si>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</si>
  <si>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</si>
  <si>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</si>
  <si>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</si>
  <si>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</si>
  <si>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</si>
  <si>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</si>
  <si>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</si>
  <si>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</si>
  <si>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</si>
  <si>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</si>
  <si>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</si>
  <si>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</si>
  <si>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</si>
  <si>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</si>
  <si>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</si>
  <si>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</si>
  <si>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</si>
  <si>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</si>
  <si>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</si>
  <si>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</si>
  <si>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</si>
  <si>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</si>
  <si>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</si>
  <si>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</si>
  <si>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</si>
  <si>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</si>
  <si>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</si>
  <si>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</si>
  <si>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</si>
  <si>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</si>
  <si>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</si>
  <si>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</si>
  <si>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</si>
  <si>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</si>
  <si>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</si>
  <si>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</si>
  <si>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</si>
  <si>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</si>
  <si>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</si>
  <si>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</si>
  <si>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</si>
  <si>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</si>
  <si>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</si>
  <si>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</si>
  <si>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</si>
  <si>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</si>
  <si>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</si>
  <si>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</si>
  <si>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</si>
  <si>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</si>
  <si>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</si>
  <si>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</si>
  <si>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</si>
  <si>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</si>
  <si>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</si>
  <si>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</si>
  <si>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</si>
  <si>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</si>
  <si>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</si>
  <si>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</si>
  <si>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</si>
  <si>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</si>
  <si>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</si>
  <si>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</si>
  <si>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</si>
  <si>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</si>
  <si>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</si>
  <si>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</si>
  <si>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</si>
  <si>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</si>
  <si>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</si>
  <si>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</si>
  <si>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</si>
  <si>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</si>
  <si>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</si>
  <si>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</si>
  <si>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</si>
  <si>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</si>
  <si>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</si>
  <si>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</si>
  <si>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</si>
  <si>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</si>
  <si>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</si>
  <si>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</si>
  <si>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</si>
  <si>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</si>
  <si>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</si>
  <si>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</si>
  <si>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</si>
  <si>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</si>
  <si>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</si>
  <si>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</si>
  <si>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</si>
  <si>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</si>
  <si>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</si>
  <si>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</si>
  <si>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</si>
  <si>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</si>
  <si>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</si>
  <si>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</si>
  <si>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</si>
  <si>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</si>
  <si>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</si>
  <si>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</si>
  <si>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</si>
  <si>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</si>
  <si>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</si>
  <si>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</si>
  <si>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</si>
  <si>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</si>
  <si>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</si>
  <si>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</si>
  <si>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</si>
  <si>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</si>
  <si>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</si>
  <si>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</si>
  <si>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</si>
  <si>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</si>
  <si>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</si>
  <si>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</si>
  <si>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</si>
  <si>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</si>
  <si>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</si>
  <si>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</si>
  <si>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</si>
  <si>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</si>
  <si>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</si>
  <si>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</si>
  <si>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</si>
  <si>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</si>
  <si>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</si>
  <si>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</si>
  <si>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</si>
  <si>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</si>
  <si>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</si>
  <si>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</si>
  <si>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</si>
  <si>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</si>
  <si>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</si>
  <si>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</si>
  <si>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</si>
  <si>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</si>
  <si>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</si>
  <si>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</si>
  <si>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</si>
  <si>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</si>
  <si>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</si>
  <si>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</si>
  <si>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</si>
  <si>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</si>
  <si>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</si>
  <si>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</si>
  <si>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</si>
  <si>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</si>
  <si>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</si>
  <si>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</si>
  <si>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</si>
  <si>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</si>
  <si>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</si>
  <si>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</si>
  <si>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</si>
  <si>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</si>
  <si>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</si>
  <si>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</si>
  <si>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</si>
  <si>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</si>
  <si>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</si>
  <si>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</si>
  <si>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</si>
  <si>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</si>
  <si>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</si>
  <si>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</si>
  <si>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</si>
  <si>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</si>
  <si>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</si>
  <si>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</si>
  <si>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</si>
  <si>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</si>
  <si>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</si>
  <si>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</si>
  <si>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</si>
  <si>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</si>
  <si>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</si>
  <si>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</si>
  <si>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</si>
  <si>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</si>
  <si>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</si>
  <si>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</si>
  <si>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</si>
  <si>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</si>
  <si>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</si>
  <si>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</si>
  <si>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</si>
  <si>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</si>
  <si>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</si>
  <si>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</si>
  <si>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</si>
  <si>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</si>
  <si>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</si>
  <si>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</si>
  <si>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</si>
  <si>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</si>
  <si>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</si>
  <si>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</si>
  <si>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</si>
  <si>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</si>
  <si>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</si>
  <si>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</si>
  <si>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</si>
  <si>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</si>
  <si>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</si>
  <si>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</si>
  <si>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</si>
  <si>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</si>
  <si>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</si>
  <si>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</si>
  <si>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</si>
  <si>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</si>
  <si>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</si>
  <si>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</si>
  <si>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</si>
  <si>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MUZAKKI, S.Pd</t>
  </si>
  <si>
    <t>19780403 200710 1 002</t>
  </si>
  <si>
    <t>MATEMATIKA</t>
  </si>
  <si>
    <t>VII-A</t>
  </si>
  <si>
    <t>GANJIL</t>
  </si>
  <si>
    <t>2017/2018</t>
  </si>
  <si>
    <t>Melaksanakan sholat dhuhur berjemaah dan sholatt dhuha, berdo'a di awal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</si>
  <si>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</si>
  <si>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menjelaskan dan menentukanurutan pada bilangan bulat dan pecahan</t>
  </si>
  <si>
    <t>menyelesaikan masalahyang berkaitandengan urutan beberapa bilanganbulat dan pecahan(biasa, campuran,desimal, persen)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</si>
</sst>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25134</xdr:colOff>
      <xdr:row>11</xdr:row>
      <xdr:rowOff>150814</xdr:rowOff>
    </xdr:from>
    <xdr:ext cx="1333501" cy="2547936"/>
    <xdr:sp macro="" textlink="">
      <xdr:nvSpPr>
        <xdr:cNvPr id="19" name="Rectangle 18"/>
        <xdr:cNvSpPr/>
      </xdr:nvSpPr>
      <xdr:spPr>
        <a:xfrm>
          <a:off x="9020967" y="3241147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75</v>
      </c>
      <c r="S1" s="439"/>
    </row>
    <row r="2" spans="1:19" ht="32.25" customHeight="1" thickBot="1">
      <c r="B2" s="402"/>
      <c r="C2" s="403"/>
      <c r="D2" s="404"/>
      <c r="E2" s="468" t="s">
        <v>488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>
      <c r="B4" s="461" t="s">
        <v>470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486</v>
      </c>
      <c r="P4" s="437"/>
      <c r="Q4" s="437"/>
      <c r="R4" s="437"/>
      <c r="S4" s="438"/>
    </row>
    <row r="5" spans="1:19" ht="20.25" customHeight="1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476</v>
      </c>
      <c r="P5" s="435"/>
      <c r="Q5" s="435"/>
      <c r="R5" s="356" t="s">
        <v>477</v>
      </c>
      <c r="S5" s="356" t="s">
        <v>453</v>
      </c>
    </row>
    <row r="6" spans="1:19" ht="20.25" customHeight="1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93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84</v>
      </c>
      <c r="P7" s="359" t="s">
        <v>483</v>
      </c>
      <c r="Q7" s="357">
        <f>O7+ROUND((100-$R$1)/3,0)</f>
        <v>92</v>
      </c>
      <c r="R7" s="357" t="s">
        <v>479</v>
      </c>
      <c r="S7" s="356" t="s">
        <v>473</v>
      </c>
    </row>
    <row r="8" spans="1:19" ht="20.25" customHeight="1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75</v>
      </c>
      <c r="P8" s="359" t="s">
        <v>483</v>
      </c>
      <c r="Q8" s="357">
        <f>O8+ROUND((100-$R$1)/3,0)</f>
        <v>83</v>
      </c>
      <c r="R8" s="357" t="s">
        <v>480</v>
      </c>
      <c r="S8" s="356" t="s">
        <v>474</v>
      </c>
    </row>
    <row r="9" spans="1:19" ht="20.25" customHeight="1" thickBot="1">
      <c r="B9" s="444" t="s">
        <v>471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75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2" t="s">
        <v>501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1" t="s">
        <v>502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7" t="s">
        <v>503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9" t="s">
        <v>504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7" t="s">
        <v>505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5</v>
      </c>
      <c r="E17" s="431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3" t="s">
        <v>487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489</v>
      </c>
      <c r="R22" s="471"/>
      <c r="S22" s="471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>
      <c r="Q24" s="471"/>
      <c r="R24" s="471"/>
      <c r="S24" s="471"/>
    </row>
    <row r="25" spans="2:19" ht="15" hidden="1" customHeight="1">
      <c r="Q25" s="471"/>
      <c r="R25" s="471"/>
      <c r="S25" s="471"/>
    </row>
    <row r="26" spans="2:19" ht="15" hidden="1" customHeight="1">
      <c r="Q26" s="471"/>
      <c r="R26" s="471"/>
      <c r="S26" s="471"/>
    </row>
    <row r="27" spans="2:19" ht="15" hidden="1" customHeight="1">
      <c r="Q27" s="471"/>
      <c r="R27" s="471"/>
      <c r="S27" s="471"/>
    </row>
    <row r="28" spans="2:19" ht="15" hidden="1" customHeight="1">
      <c r="Q28" s="471"/>
      <c r="R28" s="471"/>
      <c r="S28" s="471"/>
    </row>
    <row r="29" spans="2:19" ht="15" hidden="1" customHeight="1">
      <c r="Q29" s="471"/>
      <c r="R29" s="471"/>
      <c r="S29" s="471"/>
    </row>
    <row r="30" spans="2:19" ht="15" hidden="1" customHeight="1">
      <c r="Q30" s="471"/>
      <c r="R30" s="471"/>
      <c r="S30" s="471"/>
    </row>
    <row r="31" spans="2:19" ht="15" hidden="1" customHeight="1">
      <c r="Q31" s="471"/>
      <c r="R31" s="471"/>
      <c r="S31" s="471"/>
    </row>
    <row r="32" spans="2:19" ht="15" hidden="1" customHeight="1">
      <c r="Q32" s="471"/>
      <c r="R32" s="471"/>
      <c r="S32" s="471"/>
    </row>
    <row r="33" spans="17:19" ht="15" hidden="1" customHeight="1">
      <c r="Q33" s="471"/>
      <c r="R33" s="471"/>
      <c r="S33" s="471"/>
    </row>
    <row r="34" spans="17:19" ht="15" hidden="1" customHeight="1">
      <c r="Q34" s="471"/>
      <c r="R34" s="471"/>
      <c r="S34" s="471"/>
    </row>
    <row r="35" spans="17:19" ht="15" hidden="1" customHeight="1">
      <c r="Q35" s="471"/>
      <c r="R35" s="471"/>
      <c r="S35" s="471"/>
    </row>
    <row r="36" spans="17:19" ht="15" hidden="1" customHeight="1">
      <c r="Q36" s="471"/>
      <c r="R36" s="471"/>
      <c r="S36" s="471"/>
    </row>
    <row r="37" spans="17:19" ht="15" hidden="1" customHeight="1">
      <c r="Q37" s="471"/>
      <c r="R37" s="471"/>
      <c r="S37" s="471"/>
    </row>
    <row r="38" spans="17:19" ht="15" hidden="1" customHeight="1">
      <c r="Q38" s="471"/>
      <c r="R38" s="471"/>
      <c r="S38" s="471"/>
    </row>
    <row r="39" spans="17:19" ht="15" hidden="1" customHeight="1">
      <c r="Q39" s="471"/>
      <c r="R39" s="471"/>
      <c r="S39" s="471"/>
    </row>
    <row r="40" spans="17:19" ht="15" hidden="1" customHeight="1">
      <c r="Q40" s="471"/>
      <c r="R40" s="471"/>
      <c r="S40" s="471"/>
    </row>
    <row r="41" spans="17:19" ht="15" hidden="1" customHeight="1">
      <c r="Q41" s="471"/>
      <c r="R41" s="471"/>
      <c r="S41" s="471"/>
    </row>
    <row r="42" spans="17:19" ht="15" hidden="1" customHeight="1">
      <c r="Q42" s="471"/>
      <c r="R42" s="471"/>
      <c r="S42" s="471"/>
    </row>
    <row r="43" spans="17:19" ht="15" hidden="1" customHeight="1">
      <c r="Q43" s="471"/>
      <c r="R43" s="471"/>
      <c r="S43" s="471"/>
    </row>
    <row r="44" spans="17:19" ht="15" hidden="1" customHeight="1">
      <c r="Q44" s="471"/>
      <c r="R44" s="471"/>
      <c r="S44" s="471"/>
    </row>
    <row r="45" spans="17:19" ht="15" hidden="1" customHeight="1">
      <c r="Q45" s="471"/>
      <c r="R45" s="471"/>
      <c r="S45" s="471"/>
    </row>
    <row r="46" spans="17:19" ht="15" hidden="1" customHeight="1">
      <c r="Q46" s="471"/>
      <c r="R46" s="471"/>
      <c r="S46" s="471"/>
    </row>
    <row r="47" spans="17:19" ht="15" hidden="1" customHeight="1">
      <c r="Q47" s="471"/>
      <c r="R47" s="471"/>
      <c r="S47" s="471"/>
    </row>
    <row r="48" spans="17:19" ht="15" hidden="1" customHeight="1">
      <c r="Q48" s="471"/>
      <c r="R48" s="471"/>
      <c r="S48" s="471"/>
    </row>
    <row r="49" spans="17:19" ht="15" hidden="1" customHeight="1">
      <c r="Q49" s="471"/>
      <c r="R49" s="471"/>
      <c r="S49" s="471"/>
    </row>
    <row r="50" spans="17:19" ht="15" hidden="1" customHeight="1">
      <c r="Q50" s="471"/>
      <c r="R50" s="471"/>
      <c r="S50" s="471"/>
    </row>
    <row r="51" spans="17:19" ht="15" hidden="1" customHeight="1">
      <c r="Q51" s="471"/>
      <c r="R51" s="471"/>
      <c r="S51" s="471"/>
    </row>
    <row r="52" spans="17:19" ht="15" hidden="1" customHeight="1">
      <c r="Q52" s="471"/>
      <c r="R52" s="471"/>
      <c r="S52" s="471"/>
    </row>
    <row r="53" spans="17:19" ht="15" hidden="1" customHeight="1">
      <c r="Q53" s="471"/>
      <c r="R53" s="471"/>
      <c r="S53" s="471"/>
    </row>
    <row r="54" spans="17:19" ht="15" hidden="1" customHeight="1">
      <c r="Q54" s="471"/>
      <c r="R54" s="471"/>
      <c r="S54" s="471"/>
    </row>
    <row r="55" spans="17:19" ht="15" hidden="1" customHeight="1">
      <c r="Q55" s="471"/>
      <c r="R55" s="471"/>
      <c r="S55" s="471"/>
    </row>
    <row r="56" spans="17:19" ht="15" hidden="1" customHeight="1">
      <c r="Q56" s="471"/>
      <c r="R56" s="471"/>
      <c r="S56" s="471"/>
    </row>
    <row r="57" spans="17:19" ht="15" hidden="1" customHeight="1">
      <c r="Q57" s="471"/>
      <c r="R57" s="471"/>
      <c r="S57" s="471"/>
    </row>
    <row r="58" spans="17:19" ht="15" hidden="1" customHeight="1">
      <c r="Q58" s="471"/>
      <c r="R58" s="471"/>
      <c r="S58" s="471"/>
    </row>
    <row r="59" spans="17:19" ht="15" hidden="1" customHeight="1">
      <c r="Q59" s="471"/>
      <c r="R59" s="471"/>
      <c r="S59" s="471"/>
    </row>
    <row r="60" spans="17:19" ht="15" hidden="1" customHeight="1">
      <c r="Q60" s="471"/>
      <c r="R60" s="471"/>
      <c r="S60" s="471"/>
    </row>
    <row r="61" spans="17:19" ht="15" hidden="1" customHeight="1">
      <c r="Q61" s="471"/>
      <c r="R61" s="471"/>
      <c r="S61" s="471"/>
    </row>
    <row r="62" spans="17:19" ht="15" hidden="1" customHeight="1">
      <c r="Q62" s="471"/>
      <c r="R62" s="471"/>
      <c r="S62" s="471"/>
    </row>
    <row r="63" spans="17:19" ht="15" hidden="1" customHeight="1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5" t="s">
        <v>456</v>
      </c>
      <c r="D1" s="475"/>
      <c r="E1" s="329"/>
    </row>
    <row r="2" spans="1:5">
      <c r="A2" s="328"/>
      <c r="B2" s="328"/>
      <c r="C2" s="475"/>
      <c r="D2" s="475"/>
      <c r="E2" s="328"/>
    </row>
    <row r="3" spans="1:5">
      <c r="A3" s="328"/>
      <c r="B3" s="328"/>
      <c r="C3" s="475"/>
      <c r="D3" s="475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6" t="s">
        <v>464</v>
      </c>
      <c r="D10" s="477"/>
      <c r="E10" s="328"/>
    </row>
    <row r="11" spans="1:5">
      <c r="A11" s="328"/>
      <c r="B11" s="328"/>
      <c r="C11" s="473" t="s">
        <v>465</v>
      </c>
      <c r="D11" s="474"/>
      <c r="E11" s="328"/>
    </row>
    <row r="12" spans="1:5">
      <c r="A12" s="328"/>
      <c r="B12" s="328"/>
      <c r="C12" s="473" t="s">
        <v>466</v>
      </c>
      <c r="D12" s="474"/>
      <c r="E12" s="328"/>
    </row>
    <row r="13" spans="1:5">
      <c r="A13" s="328"/>
      <c r="B13" s="328"/>
      <c r="C13" s="473" t="s">
        <v>467</v>
      </c>
      <c r="D13" s="474"/>
      <c r="E13" s="328"/>
    </row>
    <row r="14" spans="1:5">
      <c r="A14" s="328"/>
      <c r="B14" s="328"/>
      <c r="C14" s="473" t="s">
        <v>468</v>
      </c>
      <c r="D14" s="474"/>
      <c r="E14" s="328"/>
    </row>
    <row r="15" spans="1:5">
      <c r="A15" s="328"/>
      <c r="B15" s="328"/>
      <c r="C15" s="473" t="s">
        <v>469</v>
      </c>
      <c r="D15" s="474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>
      <c r="A2" s="479"/>
      <c r="B2" s="479"/>
      <c r="C2" s="481"/>
      <c r="D2" s="482"/>
      <c r="E2" s="484"/>
    </row>
    <row r="3" spans="1:5" s="97" customFormat="1" ht="80.25" customHeight="1">
      <c r="A3" s="480"/>
      <c r="B3" s="480"/>
      <c r="C3" s="481"/>
      <c r="D3" s="482"/>
      <c r="E3" s="485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/>
      <c r="D5" s="294"/>
      <c r="E5" s="222" t="str">
        <f>menu!$D$14&amp;menu!$E$14</f>
        <v>VII-A</v>
      </c>
    </row>
    <row r="6" spans="1:5" ht="18" customHeight="1">
      <c r="A6" s="128">
        <v>2</v>
      </c>
      <c r="B6" s="128"/>
      <c r="C6" s="351"/>
      <c r="D6" s="294"/>
      <c r="E6" s="222" t="str">
        <f>menu!$D$14&amp;menu!$E$14</f>
        <v>VII-A</v>
      </c>
    </row>
    <row r="7" spans="1:5">
      <c r="A7" s="128">
        <v>3</v>
      </c>
      <c r="B7" s="296"/>
      <c r="C7" s="351"/>
      <c r="D7" s="297"/>
      <c r="E7" s="222" t="str">
        <f>menu!$D$14&amp;menu!$E$14</f>
        <v>VII-A</v>
      </c>
    </row>
    <row r="8" spans="1:5">
      <c r="A8" s="128">
        <v>4</v>
      </c>
      <c r="B8" s="296"/>
      <c r="C8" s="351"/>
      <c r="D8" s="297"/>
      <c r="E8" s="222" t="str">
        <f>menu!$D$14&amp;menu!$E$14</f>
        <v>VII-A</v>
      </c>
    </row>
    <row r="9" spans="1:5">
      <c r="A9" s="128">
        <v>5</v>
      </c>
      <c r="B9" s="128"/>
      <c r="C9" s="351"/>
      <c r="D9" s="297"/>
      <c r="E9" s="222" t="str">
        <f>menu!$D$14&amp;menu!$E$14</f>
        <v>VII-A</v>
      </c>
    </row>
    <row r="10" spans="1:5">
      <c r="A10" s="128">
        <v>6</v>
      </c>
      <c r="B10" s="128"/>
      <c r="C10" s="351"/>
      <c r="D10" s="297"/>
      <c r="E10" s="222" t="str">
        <f>menu!$D$14&amp;menu!$E$14</f>
        <v>VII-A</v>
      </c>
    </row>
    <row r="11" spans="1:5">
      <c r="A11" s="128">
        <v>7</v>
      </c>
      <c r="B11" s="128"/>
      <c r="C11" s="351"/>
      <c r="D11" s="294"/>
      <c r="E11" s="222" t="str">
        <f>menu!$D$14&amp;menu!$E$14</f>
        <v>VII-A</v>
      </c>
    </row>
    <row r="12" spans="1:5">
      <c r="A12" s="128">
        <v>8</v>
      </c>
      <c r="B12" s="128"/>
      <c r="C12" s="351"/>
      <c r="D12" s="297"/>
      <c r="E12" s="222" t="str">
        <f>menu!$D$14&amp;menu!$E$14</f>
        <v>VII-A</v>
      </c>
    </row>
    <row r="13" spans="1:5">
      <c r="A13" s="128">
        <v>9</v>
      </c>
      <c r="B13" s="128"/>
      <c r="C13" s="351"/>
      <c r="D13" s="294"/>
      <c r="E13" s="222" t="str">
        <f>menu!$D$14&amp;menu!$E$14</f>
        <v>VII-A</v>
      </c>
    </row>
    <row r="14" spans="1:5">
      <c r="A14" s="128">
        <v>10</v>
      </c>
      <c r="B14" s="128"/>
      <c r="C14" s="351"/>
      <c r="D14" s="297"/>
      <c r="E14" s="222" t="str">
        <f>menu!$D$14&amp;menu!$E$14</f>
        <v>VII-A</v>
      </c>
    </row>
    <row r="15" spans="1:5">
      <c r="A15" s="128">
        <v>11</v>
      </c>
      <c r="B15" s="128"/>
      <c r="C15" s="351"/>
      <c r="D15" s="297"/>
      <c r="E15" s="222" t="str">
        <f>menu!$D$14&amp;menu!$E$14</f>
        <v>VII-A</v>
      </c>
    </row>
    <row r="16" spans="1:5">
      <c r="A16" s="128">
        <v>12</v>
      </c>
      <c r="B16" s="128"/>
      <c r="C16" s="351"/>
      <c r="D16" s="299"/>
      <c r="E16" s="222" t="str">
        <f>menu!$D$14&amp;menu!$E$14</f>
        <v>VII-A</v>
      </c>
    </row>
    <row r="17" spans="1:5">
      <c r="A17" s="128">
        <v>13</v>
      </c>
      <c r="B17" s="128"/>
      <c r="C17" s="351"/>
      <c r="D17" s="294"/>
      <c r="E17" s="222" t="str">
        <f>menu!$D$14&amp;menu!$E$14</f>
        <v>VII-A</v>
      </c>
    </row>
    <row r="18" spans="1:5">
      <c r="A18" s="128">
        <v>14</v>
      </c>
      <c r="B18" s="128"/>
      <c r="C18" s="351"/>
      <c r="D18" s="294"/>
      <c r="E18" s="222" t="str">
        <f>menu!$D$14&amp;menu!$E$14</f>
        <v>VII-A</v>
      </c>
    </row>
    <row r="19" spans="1:5">
      <c r="A19" s="128">
        <v>15</v>
      </c>
      <c r="B19" s="128"/>
      <c r="C19" s="351"/>
      <c r="D19" s="297"/>
      <c r="E19" s="222" t="str">
        <f>menu!$D$14&amp;menu!$E$14</f>
        <v>VII-A</v>
      </c>
    </row>
    <row r="20" spans="1:5">
      <c r="A20" s="128">
        <v>16</v>
      </c>
      <c r="B20" s="128"/>
      <c r="C20" s="351"/>
      <c r="D20" s="297"/>
      <c r="E20" s="222" t="str">
        <f>menu!$D$14&amp;menu!$E$14</f>
        <v>VII-A</v>
      </c>
    </row>
    <row r="21" spans="1:5">
      <c r="A21" s="128">
        <v>17</v>
      </c>
      <c r="B21" s="128"/>
      <c r="C21" s="351"/>
      <c r="D21" s="297"/>
      <c r="E21" s="222" t="str">
        <f>menu!$D$14&amp;menu!$E$14</f>
        <v>VII-A</v>
      </c>
    </row>
    <row r="22" spans="1:5">
      <c r="A22" s="128">
        <v>18</v>
      </c>
      <c r="B22" s="128"/>
      <c r="C22" s="351"/>
      <c r="D22" s="294"/>
      <c r="E22" s="222" t="str">
        <f>menu!$D$14&amp;menu!$E$14</f>
        <v>VII-A</v>
      </c>
    </row>
    <row r="23" spans="1:5">
      <c r="A23" s="128">
        <v>19</v>
      </c>
      <c r="B23" s="128"/>
      <c r="C23" s="352"/>
      <c r="D23" s="294"/>
      <c r="E23" s="222" t="str">
        <f>menu!$D$14&amp;menu!$E$14</f>
        <v>VII-A</v>
      </c>
    </row>
    <row r="24" spans="1:5">
      <c r="A24" s="128">
        <v>20</v>
      </c>
      <c r="B24" s="128"/>
      <c r="C24" s="351"/>
      <c r="D24" s="294"/>
      <c r="E24" s="222" t="str">
        <f>menu!$D$14&amp;menu!$E$14</f>
        <v>VII-A</v>
      </c>
    </row>
    <row r="25" spans="1:5">
      <c r="A25" s="128">
        <v>21</v>
      </c>
      <c r="B25" s="128"/>
      <c r="C25" s="351"/>
      <c r="D25" s="294"/>
      <c r="E25" s="222" t="str">
        <f>menu!$D$14&amp;menu!$E$14</f>
        <v>VII-A</v>
      </c>
    </row>
    <row r="26" spans="1:5">
      <c r="A26" s="128">
        <v>22</v>
      </c>
      <c r="B26" s="128"/>
      <c r="C26" s="351"/>
      <c r="D26" s="297"/>
      <c r="E26" s="222" t="str">
        <f>menu!$D$14&amp;menu!$E$14</f>
        <v>VII-A</v>
      </c>
    </row>
    <row r="27" spans="1:5">
      <c r="A27" s="128">
        <v>23</v>
      </c>
      <c r="B27" s="128"/>
      <c r="C27" s="293"/>
      <c r="D27" s="297"/>
      <c r="E27" s="222" t="str">
        <f>menu!$D$14&amp;menu!$E$14</f>
        <v>VII-A</v>
      </c>
    </row>
    <row r="28" spans="1:5">
      <c r="A28" s="128">
        <v>24</v>
      </c>
      <c r="B28" s="128"/>
      <c r="C28" s="293"/>
      <c r="D28" s="297"/>
      <c r="E28" s="222" t="str">
        <f>menu!$D$14&amp;menu!$E$14</f>
        <v>VII-A</v>
      </c>
    </row>
    <row r="29" spans="1:5">
      <c r="A29" s="128">
        <v>25</v>
      </c>
      <c r="B29" s="128"/>
      <c r="C29" s="300"/>
      <c r="D29" s="294"/>
      <c r="E29" s="222" t="str">
        <f>menu!$D$14&amp;menu!$E$14</f>
        <v>VII-A</v>
      </c>
    </row>
    <row r="30" spans="1:5">
      <c r="A30" s="128">
        <v>26</v>
      </c>
      <c r="B30" s="128"/>
      <c r="C30" s="301"/>
      <c r="D30" s="294"/>
      <c r="E30" s="222" t="str">
        <f>menu!$D$14&amp;menu!$E$14</f>
        <v>VII-A</v>
      </c>
    </row>
    <row r="31" spans="1:5">
      <c r="A31" s="128">
        <v>27</v>
      </c>
      <c r="B31" s="128"/>
      <c r="C31" s="295"/>
      <c r="D31" s="294"/>
      <c r="E31" s="222" t="str">
        <f>menu!$D$14&amp;menu!$E$14</f>
        <v>VII-A</v>
      </c>
    </row>
    <row r="32" spans="1:5">
      <c r="A32" s="128">
        <v>28</v>
      </c>
      <c r="B32" s="128"/>
      <c r="C32" s="293"/>
      <c r="D32" s="297"/>
      <c r="E32" s="222" t="str">
        <f>menu!$D$14&amp;menu!$E$14</f>
        <v>VII-A</v>
      </c>
    </row>
    <row r="33" spans="1:5">
      <c r="A33" s="128">
        <v>29</v>
      </c>
      <c r="B33" s="128"/>
      <c r="C33" s="300"/>
      <c r="D33" s="294"/>
      <c r="E33" s="222" t="str">
        <f>menu!$D$14&amp;menu!$E$14</f>
        <v>VII-A</v>
      </c>
    </row>
    <row r="34" spans="1:5">
      <c r="A34" s="128">
        <v>30</v>
      </c>
      <c r="B34" s="128"/>
      <c r="C34" s="293"/>
      <c r="D34" s="297"/>
      <c r="E34" s="222" t="str">
        <f>menu!$D$14&amp;menu!$E$14</f>
        <v>VII-A</v>
      </c>
    </row>
    <row r="35" spans="1:5">
      <c r="A35" s="128">
        <v>31</v>
      </c>
      <c r="B35" s="128"/>
      <c r="C35" s="293"/>
      <c r="D35" s="294"/>
      <c r="E35" s="222" t="str">
        <f>menu!$D$14&amp;menu!$E$14</f>
        <v>VII-A</v>
      </c>
    </row>
    <row r="36" spans="1:5">
      <c r="A36" s="128">
        <v>32</v>
      </c>
      <c r="B36" s="128"/>
      <c r="C36" s="293"/>
      <c r="D36" s="297"/>
      <c r="E36" s="222" t="str">
        <f>menu!$D$14&amp;menu!$E$14</f>
        <v>VII-A</v>
      </c>
    </row>
    <row r="37" spans="1:5">
      <c r="A37" s="128">
        <v>33</v>
      </c>
      <c r="B37" s="128"/>
      <c r="C37" s="293"/>
      <c r="D37" s="294"/>
      <c r="E37" s="222" t="str">
        <f>menu!$D$14&amp;menu!$E$14</f>
        <v>VII-A</v>
      </c>
    </row>
    <row r="38" spans="1:5">
      <c r="A38" s="128">
        <v>34</v>
      </c>
      <c r="B38" s="128"/>
      <c r="C38" s="293"/>
      <c r="D38" s="297"/>
      <c r="E38" s="222" t="str">
        <f>menu!$D$14&amp;menu!$E$14</f>
        <v>VII-A</v>
      </c>
    </row>
    <row r="39" spans="1:5">
      <c r="A39" s="128">
        <v>35</v>
      </c>
      <c r="B39" s="128"/>
      <c r="C39" s="293"/>
      <c r="D39" s="294"/>
      <c r="E39" s="222" t="str">
        <f>menu!$D$14&amp;menu!$E$14</f>
        <v>VII-A</v>
      </c>
    </row>
    <row r="40" spans="1:5">
      <c r="A40" s="128">
        <v>36</v>
      </c>
      <c r="B40" s="128"/>
      <c r="C40" s="293"/>
      <c r="D40" s="297"/>
      <c r="E40" s="222" t="str">
        <f>menu!$D$14&amp;menu!$E$14</f>
        <v>VII-A</v>
      </c>
    </row>
    <row r="41" spans="1:5">
      <c r="A41" s="128">
        <v>37</v>
      </c>
      <c r="B41" s="128"/>
      <c r="C41" s="298"/>
      <c r="D41" s="294"/>
      <c r="E41" s="222" t="str">
        <f>menu!$D$14&amp;menu!$E$14</f>
        <v>VII-A</v>
      </c>
    </row>
    <row r="42" spans="1:5">
      <c r="A42" s="128">
        <v>38</v>
      </c>
      <c r="B42" s="128"/>
      <c r="C42" s="293"/>
      <c r="D42" s="297"/>
      <c r="E42" s="222" t="str">
        <f>menu!$D$14&amp;menu!$E$14</f>
        <v>VII-A</v>
      </c>
    </row>
    <row r="43" spans="1:5">
      <c r="A43" s="128">
        <v>39</v>
      </c>
      <c r="B43" s="128"/>
      <c r="C43" s="293"/>
      <c r="D43" s="297"/>
      <c r="E43" s="222" t="str">
        <f>menu!$D$14&amp;menu!$E$14</f>
        <v>VII-A</v>
      </c>
    </row>
    <row r="44" spans="1:5">
      <c r="A44" s="128">
        <v>40</v>
      </c>
      <c r="B44" s="128"/>
      <c r="C44" s="301"/>
      <c r="D44" s="294"/>
      <c r="E44" s="222" t="str">
        <f>menu!$D$14&amp;menu!$E$14</f>
        <v>VII-A</v>
      </c>
    </row>
    <row r="45" spans="1:5">
      <c r="A45" s="128">
        <v>41</v>
      </c>
      <c r="B45" s="128"/>
      <c r="C45" s="301"/>
      <c r="D45" s="294"/>
      <c r="E45" s="222" t="str">
        <f>menu!$D$14&amp;menu!$E$14</f>
        <v>VII-A</v>
      </c>
    </row>
    <row r="46" spans="1:5">
      <c r="A46" s="221">
        <v>42</v>
      </c>
      <c r="B46" s="221"/>
      <c r="C46" s="302"/>
      <c r="D46" s="303"/>
      <c r="E46" s="222" t="str">
        <f>menu!$D$14&amp;menu!$E$14</f>
        <v>VII-A</v>
      </c>
    </row>
    <row r="47" spans="1:5">
      <c r="A47" s="221">
        <v>43</v>
      </c>
      <c r="B47" s="221"/>
      <c r="C47" s="304"/>
      <c r="D47" s="305"/>
      <c r="E47" s="222" t="str">
        <f>menu!$D$14&amp;menu!$E$14</f>
        <v>VII-A</v>
      </c>
    </row>
    <row r="48" spans="1:5">
      <c r="A48" s="221">
        <v>44</v>
      </c>
      <c r="B48" s="221"/>
      <c r="C48" s="302"/>
      <c r="D48" s="303"/>
      <c r="E48" s="222" t="str">
        <f>menu!$D$14&amp;menu!$E$14</f>
        <v>VII-A</v>
      </c>
    </row>
    <row r="49" spans="1:5">
      <c r="A49" s="221">
        <v>45</v>
      </c>
      <c r="B49" s="221"/>
      <c r="C49" s="304"/>
      <c r="D49" s="305"/>
      <c r="E49" s="222" t="str">
        <f>menu!$D$14&amp;menu!$E$14</f>
        <v>VII-A</v>
      </c>
    </row>
    <row r="50" spans="1:5">
      <c r="A50" s="221">
        <v>46</v>
      </c>
      <c r="B50" s="221"/>
      <c r="C50" s="304"/>
      <c r="D50" s="305"/>
      <c r="E50" s="222" t="str">
        <f>menu!$D$14&amp;menu!$E$14</f>
        <v>VII-A</v>
      </c>
    </row>
    <row r="51" spans="1:5">
      <c r="A51" s="221">
        <v>47</v>
      </c>
      <c r="B51" s="221"/>
      <c r="C51" s="302"/>
      <c r="D51" s="303"/>
      <c r="E51" s="222" t="str">
        <f>menu!$D$14&amp;menu!$E$14</f>
        <v>VII-A</v>
      </c>
    </row>
    <row r="52" spans="1:5">
      <c r="A52" s="221">
        <v>48</v>
      </c>
      <c r="B52" s="221"/>
      <c r="C52" s="304"/>
      <c r="D52" s="305"/>
      <c r="E52" s="222" t="str">
        <f>menu!$D$14&amp;menu!$E$14</f>
        <v>VII-A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6" sqref="B6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6" t="s">
        <v>420</v>
      </c>
      <c r="B1" s="486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506</v>
      </c>
    </row>
    <row r="5" spans="1:2">
      <c r="A5" s="487" t="s">
        <v>419</v>
      </c>
      <c r="B5" s="487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507</v>
      </c>
    </row>
    <row r="9" spans="1:2">
      <c r="A9" s="488" t="s">
        <v>319</v>
      </c>
      <c r="B9" s="488"/>
    </row>
    <row r="10" spans="1:2" ht="31.5">
      <c r="A10" s="284" t="s">
        <v>101</v>
      </c>
      <c r="B10" s="285" t="s">
        <v>221</v>
      </c>
    </row>
    <row r="11" spans="1:2" ht="15.75">
      <c r="A11" s="415">
        <v>31</v>
      </c>
      <c r="B11" s="412" t="s">
        <v>508</v>
      </c>
    </row>
    <row r="12" spans="1:2" ht="15.75">
      <c r="A12" s="416">
        <v>32</v>
      </c>
      <c r="B12" s="412"/>
    </row>
    <row r="13" spans="1:2" ht="15.75">
      <c r="A13" s="416">
        <v>33</v>
      </c>
      <c r="B13" s="412"/>
    </row>
    <row r="14" spans="1:2" ht="15.75">
      <c r="A14" s="417">
        <v>34</v>
      </c>
      <c r="B14" s="412"/>
    </row>
    <row r="15" spans="1:2" ht="15.75">
      <c r="A15" s="415">
        <v>35</v>
      </c>
      <c r="B15" s="412"/>
    </row>
    <row r="16" spans="1:2" ht="15.75">
      <c r="A16" s="416">
        <v>36</v>
      </c>
      <c r="B16" s="413"/>
    </row>
    <row r="17" spans="1:2" ht="15.75">
      <c r="A17" s="416">
        <v>37</v>
      </c>
      <c r="B17" s="414"/>
    </row>
    <row r="18" spans="1:2">
      <c r="A18" s="417">
        <v>38</v>
      </c>
      <c r="B18" s="277"/>
    </row>
    <row r="19" spans="1:2">
      <c r="A19" s="415">
        <v>39</v>
      </c>
      <c r="B19" s="277"/>
    </row>
    <row r="20" spans="1:2">
      <c r="A20" s="416">
        <v>310</v>
      </c>
      <c r="B20" s="277"/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9" t="s">
        <v>320</v>
      </c>
      <c r="B27" s="489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10" t="s">
        <v>509</v>
      </c>
    </row>
    <row r="30" spans="1:2" ht="15.75">
      <c r="A30" s="278">
        <v>42</v>
      </c>
      <c r="B30" s="410"/>
    </row>
    <row r="31" spans="1:2" ht="15.75">
      <c r="A31" s="278">
        <v>43</v>
      </c>
      <c r="B31" s="410"/>
    </row>
    <row r="32" spans="1:2" ht="15.75">
      <c r="A32" s="278">
        <v>44</v>
      </c>
      <c r="B32" s="410"/>
    </row>
    <row r="33" spans="1:2" ht="15.75">
      <c r="A33" s="278">
        <v>45</v>
      </c>
      <c r="B33" s="410"/>
    </row>
    <row r="34" spans="1:2" ht="15.75">
      <c r="A34" s="278">
        <v>46</v>
      </c>
      <c r="B34" s="410"/>
    </row>
    <row r="35" spans="1:2" ht="15.75">
      <c r="A35" s="278">
        <v>47</v>
      </c>
      <c r="B35" s="411"/>
    </row>
    <row r="36" spans="1:2">
      <c r="A36" s="278">
        <v>48</v>
      </c>
      <c r="B36" s="279"/>
    </row>
    <row r="37" spans="1:2">
      <c r="A37" s="278">
        <v>49</v>
      </c>
      <c r="B37" s="279"/>
    </row>
    <row r="38" spans="1:2">
      <c r="A38" s="278">
        <v>410</v>
      </c>
      <c r="B38" s="279"/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0" t="s">
        <v>317</v>
      </c>
      <c r="B1" s="495">
        <v>1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>
      <c r="A5" s="263" t="s">
        <v>316</v>
      </c>
      <c r="B5" s="496">
        <f>VLOOKUP(B1,nilai_jadi,3,FALSE)</f>
        <v>0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/>
    <row r="8" spans="1:14" ht="2.25" customHeight="1"/>
    <row r="9" spans="1:14" ht="15" customHeight="1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>
      <c r="A12" s="494"/>
      <c r="B12" s="262">
        <f>VLOOKUP(B1,nilai_jadi,10,FALSE)</f>
        <v>3</v>
      </c>
      <c r="C12" s="503" t="str">
        <f>VLOOKUP(B1,nilai_jadi,11,FALSE)</f>
        <v>Melaksanakan sholat dhuhur berjemaah dan sholatt dhuha, berdo'a di awal di akhir kegiatan pembelajaran , serta melaksanakan kegiatan amaliyah siswa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Santun dalam bersikap, disiplin dalam mentaati tata tertib madrasah, peduli pada lingkungan, orang tua, bertanggung jawab dalam melaksanakan tugas, baik sebagai individu maupun makhluk sosial</v>
      </c>
      <c r="N12" s="509"/>
    </row>
    <row r="13" spans="1:14" ht="54.95" customHeight="1">
      <c r="A13" s="272" t="s">
        <v>315</v>
      </c>
      <c r="B13" s="258">
        <f>VLOOKUP(B1,nilai_jadi,4,FALSE)</f>
        <v>80</v>
      </c>
      <c r="C13" s="259" t="str">
        <f>VLOOKUP(B1,nilai_jadi,5,FALSE)</f>
        <v>C</v>
      </c>
      <c r="D13" s="511" t="str">
        <f>VLOOKUP(B1,nilai_jadi,6,FALSE)</f>
        <v xml:space="preserve"> Memiliki penguasaan materi sudah cukup dalam menjelaskan dan menentukanurutan pada bilangan bulat dan pecahan, dan lebih ditingkatkan dalam menjelaskan dan menentukanurutan pada bilangan bulat dan pecahan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>
      <c r="A14" s="205" t="s">
        <v>314</v>
      </c>
      <c r="B14" s="260">
        <f>VLOOKUP(B1,nilai_jadi,7,FALSE)</f>
        <v>78</v>
      </c>
      <c r="C14" s="261" t="str">
        <f>VLOOKUP(B1,nilai_jadi,8,FALSE)</f>
        <v>C</v>
      </c>
      <c r="D14" s="490" t="str">
        <f>VLOOKUP(B1,nilai_jadi,9,FALSE)</f>
        <v>cukup terampil menyelesaikan masalahyang berkaitandengan urutan beberapa bilanganbulat dan pecahan(biasa, campuran,desimal, persen)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VII-A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MUZAKKI, S.Pd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MATEMATIKA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498</v>
      </c>
      <c r="X5" s="530" t="s">
        <v>490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491</v>
      </c>
      <c r="I7" s="420" t="s">
        <v>292</v>
      </c>
      <c r="J7" s="420" t="s">
        <v>495</v>
      </c>
      <c r="K7" s="420" t="s">
        <v>492</v>
      </c>
      <c r="L7" s="420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497</v>
      </c>
      <c r="T7" s="422" t="s">
        <v>494</v>
      </c>
      <c r="U7" s="422" t="s">
        <v>492</v>
      </c>
      <c r="V7" s="422" t="s">
        <v>493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163.5">
      <c r="A8" s="120">
        <f>'DATA SISWA'!A5</f>
        <v>1</v>
      </c>
      <c r="B8" s="121" t="str">
        <f>IF('DATA SISWA'!C5="","",'DATA SISWA'!C5)</f>
        <v/>
      </c>
      <c r="C8" s="218">
        <f>IF('Input Nilai Pengetahuan'!M5="","",'Input Nilai Pengetahuan'!M5)</f>
        <v>81.666666666666671</v>
      </c>
      <c r="D8" s="218" t="str">
        <f>IF('Input Nilai Pengetahuan'!U5="","",'Input Nilai Pengetahuan'!U5)</f>
        <v/>
      </c>
      <c r="E8" s="218" t="str">
        <f>IF('Input Nilai Pengetahuan'!AC5="","",'Input Nilai Pengetahuan'!AC5)</f>
        <v/>
      </c>
      <c r="F8" s="218" t="str">
        <f>IF('Input Nilai Pengetahuan'!AK5="","",'Input Nilai Pengetahuan'!AK5)</f>
        <v/>
      </c>
      <c r="G8" s="220">
        <f>IF('Input Nilai Pengetahuan'!CK5="","",'Input Nilai Pengetahuan'!CK5)</f>
        <v>78</v>
      </c>
      <c r="H8" s="423">
        <f>IF(G8="","",AVERAGE(C8:F8))</f>
        <v>81.666666666666671</v>
      </c>
      <c r="I8" s="423">
        <f>IF(G8="","",((2*H8)+G8)/3)</f>
        <v>80.444444444444443</v>
      </c>
      <c r="J8" s="423">
        <f>IF(G8="","",ROUND(I8,0))</f>
        <v>80</v>
      </c>
      <c r="K8" s="421">
        <f>IF(J8="","",J8)</f>
        <v>80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78</v>
      </c>
      <c r="N8" s="219" t="str">
        <f>IF('Input Nilai Ketrampilan'!O5="","",'Input Nilai Ketrampilan'!O5)</f>
        <v/>
      </c>
      <c r="O8" s="219" t="str">
        <f>IF('Input Nilai Ketrampilan'!T5="","",'Input Nilai Ketrampilan'!T5)</f>
        <v/>
      </c>
      <c r="P8" s="219" t="str">
        <f>IF('Input Nilai Ketrampilan'!Y5="","",'Input Nilai Ketrampilan'!Y5)</f>
        <v/>
      </c>
      <c r="Q8" s="219" t="str">
        <f>IF('Input Nilai Ketrampilan'!AD5="","",'Input Nilai Ketrampilan'!AD5)</f>
        <v/>
      </c>
      <c r="R8" s="219" t="str">
        <f>IF('Input Nilai Ketrampilan'!AI5="","",'Input Nilai Ketrampilan'!AI5)</f>
        <v/>
      </c>
      <c r="S8" s="430" t="str">
        <f>IF(B8="","",menu!$D$17)</f>
        <v/>
      </c>
      <c r="T8" s="424">
        <f>IF(M8="","",AVERAGE(M8:P8))</f>
        <v>78</v>
      </c>
      <c r="U8" s="425">
        <f>IF(M8="","",ROUND(T8,0))</f>
        <v>78</v>
      </c>
      <c r="V8" s="425" t="str">
        <f>IF(M8="","",IF(U8&gt;=menu!$O$6,"A",IF(U8&gt;=menu!$O$7,"B",IF(U8&gt;=menu!$O$8,"C","D"))))</f>
        <v>C</v>
      </c>
      <c r="W8" s="426">
        <f>IF(K8="","",AVERAGE(K8,U8))</f>
        <v>79</v>
      </c>
      <c r="X8" s="234">
        <f>IF('Input Nilai Sikap'!H7="","",'Input Nilai Sikap'!H7)</f>
        <v>3</v>
      </c>
      <c r="Y8" s="231" t="str">
        <f>IF('Input Nilai Sikap'!I7="","",'Input Nilai Sikap'!I7)</f>
        <v>Melaksanakan sholat dhuhur berjemaah dan sholatt dhuha, berdo'a di awal di akhir kegiatan pembelajaran , serta melaksanakan kegiatan amaliyah siswa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AH8" s="418">
        <f>IF(G8="","",menu!$R$1)</f>
        <v>75</v>
      </c>
    </row>
    <row r="9" spans="1:34" ht="163.5">
      <c r="A9" s="120">
        <f>'DATA SISWA'!A6</f>
        <v>2</v>
      </c>
      <c r="B9" s="121" t="str">
        <f>IF('DATA SISWA'!C6="","",'DATA SISWA'!C6)</f>
        <v/>
      </c>
      <c r="C9" s="218" t="str">
        <f>IF('Input Nilai Pengetahuan'!M6="","",'Input Nilai Pengetahuan'!M6)</f>
        <v/>
      </c>
      <c r="D9" s="218" t="str">
        <f>IF('Input Nilai Pengetahuan'!U6="","",'Input Nilai Pengetahuan'!U6)</f>
        <v/>
      </c>
      <c r="E9" s="218" t="str">
        <f>IF('Input Nilai Pengetahuan'!AC6="","",'Input Nilai Pengetahuan'!AC6)</f>
        <v/>
      </c>
      <c r="F9" s="218" t="str">
        <f>IF('Input Nilai Pengetahuan'!AK6="","",'Input Nilai Pengetahuan'!AK6)</f>
        <v/>
      </c>
      <c r="G9" s="220" t="str">
        <f>IF('Input Nilai Pengetahuan'!CK6="","",'Input Nilai Pengetahuan'!CK6)</f>
        <v/>
      </c>
      <c r="H9" s="423" t="str">
        <f t="shared" ref="H9:H55" si="0">IF(G9="","",AVERAGE(C9:F9))</f>
        <v/>
      </c>
      <c r="I9" s="423" t="str">
        <f t="shared" ref="I9:I55" si="1">IF(G9="","",((2*H9)+G9)/3)</f>
        <v/>
      </c>
      <c r="J9" s="423" t="str">
        <f t="shared" ref="J9:J55" si="2">IF(G9="","",ROUND(I9,0))</f>
        <v/>
      </c>
      <c r="K9" s="421" t="str">
        <f t="shared" ref="K9:K55" si="3">IF(J9="","",J9)</f>
        <v/>
      </c>
      <c r="L9" s="421" t="str">
        <f>IF(G9="","",IF(K9&gt;=menu!$O$6,"A",IF(K9&gt;=menu!$O$7,"B",IF(K9&gt;=menu!$O$8,"C","D"))))</f>
        <v/>
      </c>
      <c r="M9" s="219" t="str">
        <f>IF('Input Nilai Ketrampilan'!J6="","",('Input Nilai Ketrampilan'!J6))</f>
        <v/>
      </c>
      <c r="N9" s="219" t="str">
        <f>IF('Input Nilai Ketrampilan'!O6="","",'Input Nilai Ketrampilan'!O6)</f>
        <v/>
      </c>
      <c r="O9" s="219" t="str">
        <f>IF('Input Nilai Ketrampilan'!T6="","",'Input Nilai Ketrampilan'!T6)</f>
        <v/>
      </c>
      <c r="P9" s="219" t="str">
        <f>IF('Input Nilai Ketrampilan'!Y6="","",'Input Nilai Ketrampilan'!Y6)</f>
        <v/>
      </c>
      <c r="Q9" s="219" t="str">
        <f>IF('Input Nilai Ketrampilan'!AD6="","",'Input Nilai Ketrampilan'!AD6)</f>
        <v/>
      </c>
      <c r="R9" s="219" t="str">
        <f>IF('Input Nilai Ketrampilan'!AI6="","",'Input Nilai Ketrampilan'!AI6)</f>
        <v/>
      </c>
      <c r="S9" s="430" t="str">
        <f>IF(B9="","",menu!$D$17)</f>
        <v/>
      </c>
      <c r="T9" s="424" t="str">
        <f t="shared" ref="T9:T55" si="4">IF(M9="","",AVERAGE(M9:P9))</f>
        <v/>
      </c>
      <c r="U9" s="425" t="str">
        <f t="shared" ref="U9:U55" si="5">IF(M9="","",ROUND(T9,0))</f>
        <v/>
      </c>
      <c r="V9" s="425" t="str">
        <f>IF(M9="","",IF(U9&gt;=menu!$O$6,"A",IF(U9&gt;=menu!$O$7,"B",IF(U9&gt;=menu!$O$8,"C","D"))))</f>
        <v/>
      </c>
      <c r="W9" s="426" t="str">
        <f t="shared" ref="W9:W55" si="6">IF(K9="","",AVERAGE(K9,U9))</f>
        <v/>
      </c>
      <c r="X9" s="234">
        <f>IF('Input Nilai Sikap'!H8="","",'Input Nilai Sikap'!H8)</f>
        <v>3</v>
      </c>
      <c r="Y9" s="231" t="str">
        <f>IF('Input Nilai Sikap'!I8="","",'Input Nilai Sikap'!I8)</f>
        <v>Melaksanakan sholat dhuhur berjemaah dan sholatt dhuha, berdo'a di awal di akhir kegiatan pembelajaran , serta melaksanakan kegiatan amaliyah siswa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AH9" s="418" t="str">
        <f>IF(G9="","",menu!$R$1)</f>
        <v/>
      </c>
    </row>
    <row r="10" spans="1:34" ht="163.5">
      <c r="A10" s="120">
        <f>'DATA SISWA'!A7</f>
        <v>3</v>
      </c>
      <c r="B10" s="121" t="str">
        <f>IF('DATA SISWA'!C7="","",'DATA SISWA'!C7)</f>
        <v/>
      </c>
      <c r="C10" s="218" t="str">
        <f>IF('Input Nilai Pengetahuan'!M7="","",'Input Nilai Pengetahuan'!M7)</f>
        <v/>
      </c>
      <c r="D10" s="218" t="str">
        <f>IF('Input Nilai Pengetahuan'!U7="","",'Input Nilai Pengetahuan'!U7)</f>
        <v/>
      </c>
      <c r="E10" s="218" t="str">
        <f>IF('Input Nilai Pengetahuan'!AC7="","",'Input Nilai Pengetahuan'!AC7)</f>
        <v/>
      </c>
      <c r="F10" s="218" t="str">
        <f>IF('Input Nilai Pengetahuan'!AK7="","",'Input Nilai Pengetahuan'!AK7)</f>
        <v/>
      </c>
      <c r="G10" s="220" t="str">
        <f>IF('Input Nilai Pengetahuan'!CK7="","",'Input Nilai Pengetahuan'!CK7)</f>
        <v/>
      </c>
      <c r="H10" s="423" t="str">
        <f t="shared" si="0"/>
        <v/>
      </c>
      <c r="I10" s="423" t="str">
        <f t="shared" si="1"/>
        <v/>
      </c>
      <c r="J10" s="423" t="str">
        <f t="shared" si="2"/>
        <v/>
      </c>
      <c r="K10" s="421" t="str">
        <f t="shared" si="3"/>
        <v/>
      </c>
      <c r="L10" s="421" t="str">
        <f>IF(G10="","",IF(K10&gt;=menu!$O$6,"A",IF(K10&gt;=menu!$O$7,"B",IF(K10&gt;=menu!$O$8,"C","D"))))</f>
        <v/>
      </c>
      <c r="M10" s="219" t="str">
        <f>IF('Input Nilai Ketrampilan'!J7="","",('Input Nilai Ketrampilan'!J7))</f>
        <v/>
      </c>
      <c r="N10" s="219" t="str">
        <f>IF('Input Nilai Ketrampilan'!O7="","",'Input Nilai Ketrampilan'!O7)</f>
        <v/>
      </c>
      <c r="O10" s="219" t="str">
        <f>IF('Input Nilai Ketrampilan'!T7="","",'Input Nilai Ketrampilan'!T7)</f>
        <v/>
      </c>
      <c r="P10" s="219" t="str">
        <f>IF('Input Nilai Ketrampilan'!Y7="","",'Input Nilai Ketrampilan'!Y7)</f>
        <v/>
      </c>
      <c r="Q10" s="219" t="str">
        <f>IF('Input Nilai Ketrampilan'!AD7="","",'Input Nilai Ketrampilan'!AD7)</f>
        <v/>
      </c>
      <c r="R10" s="219" t="str">
        <f>IF('Input Nilai Ketrampilan'!AI7="","",'Input Nilai Ketrampilan'!AI7)</f>
        <v/>
      </c>
      <c r="S10" s="430" t="str">
        <f>IF(B10="","",menu!$D$17)</f>
        <v/>
      </c>
      <c r="T10" s="424" t="str">
        <f t="shared" si="4"/>
        <v/>
      </c>
      <c r="U10" s="425" t="str">
        <f t="shared" si="5"/>
        <v/>
      </c>
      <c r="V10" s="425" t="str">
        <f>IF(M10="","",IF(U10&gt;=menu!$O$6,"A",IF(U10&gt;=menu!$O$7,"B",IF(U10&gt;=menu!$O$8,"C","D"))))</f>
        <v/>
      </c>
      <c r="W10" s="426" t="str">
        <f t="shared" si="6"/>
        <v/>
      </c>
      <c r="X10" s="234">
        <f>IF('Input Nilai Sikap'!H9="","",'Input Nilai Sikap'!H9)</f>
        <v>3</v>
      </c>
      <c r="Y10" s="231" t="str">
        <f>IF('Input Nilai Sikap'!I9="","",'Input Nilai Sikap'!I9)</f>
        <v>Melaksanakan sholat dhuhur berjemaah dan sholatt dhuha, berdo'a di awal di akhir kegiatan pembelajaran , serta melaksanakan kegiatan amaliyah siswa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AH10" s="418" t="str">
        <f>IF(G10="","",menu!$R$1)</f>
        <v/>
      </c>
    </row>
    <row r="11" spans="1:34" ht="163.5">
      <c r="A11" s="120">
        <f>'DATA SISWA'!A8</f>
        <v>4</v>
      </c>
      <c r="B11" s="121" t="str">
        <f>IF('DATA SISWA'!C8="","",'DATA SISWA'!C8)</f>
        <v/>
      </c>
      <c r="C11" s="218" t="str">
        <f>IF('Input Nilai Pengetahuan'!M8="","",'Input Nilai Pengetahuan'!M8)</f>
        <v/>
      </c>
      <c r="D11" s="218" t="str">
        <f>IF('Input Nilai Pengetahuan'!U8="","",'Input Nilai Pengetahuan'!U8)</f>
        <v/>
      </c>
      <c r="E11" s="218" t="str">
        <f>IF('Input Nilai Pengetahuan'!AC8="","",'Input Nilai Pengetahuan'!AC8)</f>
        <v/>
      </c>
      <c r="F11" s="218" t="str">
        <f>IF('Input Nilai Pengetahuan'!AK8="","",'Input Nilai Pengetahuan'!AK8)</f>
        <v/>
      </c>
      <c r="G11" s="220" t="str">
        <f>IF('Input Nilai Pengetahuan'!CK8="","",'Input Nilai Pengetahuan'!CK8)</f>
        <v/>
      </c>
      <c r="H11" s="423" t="str">
        <f t="shared" si="0"/>
        <v/>
      </c>
      <c r="I11" s="423" t="str">
        <f t="shared" si="1"/>
        <v/>
      </c>
      <c r="J11" s="423" t="str">
        <f t="shared" si="2"/>
        <v/>
      </c>
      <c r="K11" s="421" t="str">
        <f t="shared" si="3"/>
        <v/>
      </c>
      <c r="L11" s="421" t="str">
        <f>IF(G11="","",IF(K11&gt;=menu!$O$6,"A",IF(K11&gt;=menu!$O$7,"B",IF(K11&gt;=menu!$O$8,"C","D"))))</f>
        <v/>
      </c>
      <c r="M11" s="219" t="str">
        <f>IF('Input Nilai Ketrampilan'!J8="","",('Input Nilai Ketrampilan'!J8))</f>
        <v/>
      </c>
      <c r="N11" s="219" t="str">
        <f>IF('Input Nilai Ketrampilan'!O8="","",'Input Nilai Ketrampilan'!O8)</f>
        <v/>
      </c>
      <c r="O11" s="219" t="str">
        <f>IF('Input Nilai Ketrampilan'!T8="","",'Input Nilai Ketrampilan'!T8)</f>
        <v/>
      </c>
      <c r="P11" s="219" t="str">
        <f>IF('Input Nilai Ketrampilan'!Y8="","",'Input Nilai Ketrampilan'!Y8)</f>
        <v/>
      </c>
      <c r="Q11" s="219" t="str">
        <f>IF('Input Nilai Ketrampilan'!AD8="","",'Input Nilai Ketrampilan'!AD8)</f>
        <v/>
      </c>
      <c r="R11" s="219" t="str">
        <f>IF('Input Nilai Ketrampilan'!AI8="","",'Input Nilai Ketrampilan'!AI8)</f>
        <v/>
      </c>
      <c r="S11" s="430" t="str">
        <f>IF(B11="","",menu!$D$17)</f>
        <v/>
      </c>
      <c r="T11" s="424" t="str">
        <f t="shared" si="4"/>
        <v/>
      </c>
      <c r="U11" s="425" t="str">
        <f t="shared" si="5"/>
        <v/>
      </c>
      <c r="V11" s="425" t="str">
        <f>IF(M11="","",IF(U11&gt;=menu!$O$6,"A",IF(U11&gt;=menu!$O$7,"B",IF(U11&gt;=menu!$O$8,"C","D"))))</f>
        <v/>
      </c>
      <c r="W11" s="426" t="str">
        <f t="shared" si="6"/>
        <v/>
      </c>
      <c r="X11" s="234">
        <f>IF('Input Nilai Sikap'!H10="","",'Input Nilai Sikap'!H10)</f>
        <v>3</v>
      </c>
      <c r="Y11" s="231" t="str">
        <f>IF('Input Nilai Sikap'!I10="","",'Input Nilai Sikap'!I10)</f>
        <v>Melaksanakan sholat dhuhur berjemaah dan sholatt dhuha, berdo'a di awal di akhir kegiatan pembelajaran , serta melaksanakan kegiatan amaliyah siswa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AH11" s="418" t="str">
        <f>IF(G11="","",menu!$R$1)</f>
        <v/>
      </c>
    </row>
    <row r="12" spans="1:34" ht="163.5">
      <c r="A12" s="120">
        <f>'DATA SISWA'!A9</f>
        <v>5</v>
      </c>
      <c r="B12" s="121" t="str">
        <f>IF('DATA SISWA'!C9="","",'DATA SISWA'!C9)</f>
        <v/>
      </c>
      <c r="C12" s="218" t="str">
        <f>IF('Input Nilai Pengetahuan'!M9="","",'Input Nilai Pengetahuan'!M9)</f>
        <v/>
      </c>
      <c r="D12" s="218" t="str">
        <f>IF('Input Nilai Pengetahuan'!U9="","",'Input Nilai Pengetahuan'!U9)</f>
        <v/>
      </c>
      <c r="E12" s="218" t="str">
        <f>IF('Input Nilai Pengetahuan'!AC9="","",'Input Nilai Pengetahuan'!AC9)</f>
        <v/>
      </c>
      <c r="F12" s="218" t="str">
        <f>IF('Input Nilai Pengetahuan'!AK9="","",'Input Nilai Pengetahuan'!AK9)</f>
        <v/>
      </c>
      <c r="G12" s="220" t="str">
        <f>IF('Input Nilai Pengetahuan'!CK9="","",'Input Nilai Pengetahuan'!CK9)</f>
        <v/>
      </c>
      <c r="H12" s="423" t="str">
        <f t="shared" si="0"/>
        <v/>
      </c>
      <c r="I12" s="423" t="str">
        <f t="shared" si="1"/>
        <v/>
      </c>
      <c r="J12" s="423" t="str">
        <f t="shared" si="2"/>
        <v/>
      </c>
      <c r="K12" s="421" t="str">
        <f t="shared" si="3"/>
        <v/>
      </c>
      <c r="L12" s="421" t="str">
        <f>IF(G12="","",IF(K12&gt;=menu!$O$6,"A",IF(K12&gt;=menu!$O$7,"B",IF(K12&gt;=menu!$O$8,"C","D"))))</f>
        <v/>
      </c>
      <c r="M12" s="219" t="str">
        <f>IF('Input Nilai Ketrampilan'!J9="","",('Input Nilai Ketrampilan'!J9))</f>
        <v/>
      </c>
      <c r="N12" s="219" t="str">
        <f>IF('Input Nilai Ketrampilan'!O9="","",'Input Nilai Ketrampilan'!O9)</f>
        <v/>
      </c>
      <c r="O12" s="219" t="str">
        <f>IF('Input Nilai Ketrampilan'!T9="","",'Input Nilai Ketrampilan'!T9)</f>
        <v/>
      </c>
      <c r="P12" s="219" t="str">
        <f>IF('Input Nilai Ketrampilan'!Y9="","",'Input Nilai Ketrampilan'!Y9)</f>
        <v/>
      </c>
      <c r="Q12" s="219" t="str">
        <f>IF('Input Nilai Ketrampilan'!AD9="","",'Input Nilai Ketrampilan'!AD9)</f>
        <v/>
      </c>
      <c r="R12" s="219" t="str">
        <f>IF('Input Nilai Ketrampilan'!AI9="","",'Input Nilai Ketrampilan'!AI9)</f>
        <v/>
      </c>
      <c r="S12" s="430" t="str">
        <f>IF(B12="","",menu!$D$17)</f>
        <v/>
      </c>
      <c r="T12" s="424" t="str">
        <f t="shared" si="4"/>
        <v/>
      </c>
      <c r="U12" s="425" t="str">
        <f t="shared" si="5"/>
        <v/>
      </c>
      <c r="V12" s="425" t="str">
        <f>IF(M12="","",IF(U12&gt;=menu!$O$6,"A",IF(U12&gt;=menu!$O$7,"B",IF(U12&gt;=menu!$O$8,"C","D"))))</f>
        <v/>
      </c>
      <c r="W12" s="426" t="str">
        <f t="shared" si="6"/>
        <v/>
      </c>
      <c r="X12" s="234">
        <f>IF('Input Nilai Sikap'!H11="","",'Input Nilai Sikap'!H11)</f>
        <v>3</v>
      </c>
      <c r="Y12" s="231" t="str">
        <f>IF('Input Nilai Sikap'!I11="","",'Input Nilai Sikap'!I11)</f>
        <v>Melaksanakan sholat dhuhur berjemaah dan sholatt dhuha, berdo'a di awal di akhir kegiatan pembelajaran , serta melaksanakan kegiatan amaliyah siswa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AH12" s="418" t="str">
        <f>IF(G12="","",menu!$R$1)</f>
        <v/>
      </c>
    </row>
    <row r="13" spans="1:34" ht="163.5">
      <c r="A13" s="120">
        <f>'DATA SISWA'!A10</f>
        <v>6</v>
      </c>
      <c r="B13" s="121" t="str">
        <f>IF('DATA SISWA'!C10="","",'DATA SISWA'!C10)</f>
        <v/>
      </c>
      <c r="C13" s="218" t="str">
        <f>IF('Input Nilai Pengetahuan'!M10="","",'Input Nilai Pengetahuan'!M10)</f>
        <v/>
      </c>
      <c r="D13" s="218" t="str">
        <f>IF('Input Nilai Pengetahuan'!U10="","",'Input Nilai Pengetahuan'!U10)</f>
        <v/>
      </c>
      <c r="E13" s="218" t="str">
        <f>IF('Input Nilai Pengetahuan'!AC10="","",'Input Nilai Pengetahuan'!AC10)</f>
        <v/>
      </c>
      <c r="F13" s="218" t="str">
        <f>IF('Input Nilai Pengetahuan'!AK10="","",'Input Nilai Pengetahuan'!AK10)</f>
        <v/>
      </c>
      <c r="G13" s="220" t="str">
        <f>IF('Input Nilai Pengetahuan'!CK10="","",'Input Nilai Pengetahuan'!CK10)</f>
        <v/>
      </c>
      <c r="H13" s="423" t="str">
        <f t="shared" si="0"/>
        <v/>
      </c>
      <c r="I13" s="423" t="str">
        <f t="shared" si="1"/>
        <v/>
      </c>
      <c r="J13" s="423" t="str">
        <f t="shared" si="2"/>
        <v/>
      </c>
      <c r="K13" s="421" t="str">
        <f t="shared" si="3"/>
        <v/>
      </c>
      <c r="L13" s="421" t="str">
        <f>IF(G13="","",IF(K13&gt;=menu!$O$6,"A",IF(K13&gt;=menu!$O$7,"B",IF(K13&gt;=menu!$O$8,"C","D"))))</f>
        <v/>
      </c>
      <c r="M13" s="219" t="str">
        <f>IF('Input Nilai Ketrampilan'!J10="","",('Input Nilai Ketrampilan'!J10))</f>
        <v/>
      </c>
      <c r="N13" s="219" t="str">
        <f>IF('Input Nilai Ketrampilan'!O10="","",'Input Nilai Ketrampilan'!O10)</f>
        <v/>
      </c>
      <c r="O13" s="219" t="str">
        <f>IF('Input Nilai Ketrampilan'!T10="","",'Input Nilai Ketrampilan'!T10)</f>
        <v/>
      </c>
      <c r="P13" s="219" t="str">
        <f>IF('Input Nilai Ketrampilan'!Y10="","",'Input Nilai Ketrampilan'!Y10)</f>
        <v/>
      </c>
      <c r="Q13" s="219" t="str">
        <f>IF('Input Nilai Ketrampilan'!AD10="","",'Input Nilai Ketrampilan'!AD10)</f>
        <v/>
      </c>
      <c r="R13" s="219" t="str">
        <f>IF('Input Nilai Ketrampilan'!AI10="","",'Input Nilai Ketrampilan'!AI10)</f>
        <v/>
      </c>
      <c r="S13" s="430" t="str">
        <f>IF(B13="","",menu!$D$17)</f>
        <v/>
      </c>
      <c r="T13" s="424" t="str">
        <f t="shared" si="4"/>
        <v/>
      </c>
      <c r="U13" s="425" t="str">
        <f t="shared" si="5"/>
        <v/>
      </c>
      <c r="V13" s="425" t="str">
        <f>IF(M13="","",IF(U13&gt;=menu!$O$6,"A",IF(U13&gt;=menu!$O$7,"B",IF(U13&gt;=menu!$O$8,"C","D"))))</f>
        <v/>
      </c>
      <c r="W13" s="426" t="str">
        <f t="shared" si="6"/>
        <v/>
      </c>
      <c r="X13" s="234">
        <f>IF('Input Nilai Sikap'!H12="","",'Input Nilai Sikap'!H12)</f>
        <v>3</v>
      </c>
      <c r="Y13" s="231" t="str">
        <f>IF('Input Nilai Sikap'!I12="","",'Input Nilai Sikap'!I12)</f>
        <v>Melaksanakan sholat dhuhur berjemaah dan sholatt dhuha, berdo'a di awal di akhir kegiatan pembelajaran , serta melaksanakan kegiatan amaliyah siswa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AH13" s="418" t="str">
        <f>IF(G13="","",menu!$R$1)</f>
        <v/>
      </c>
    </row>
    <row r="14" spans="1:34" ht="163.5">
      <c r="A14" s="120">
        <f>'DATA SISWA'!A11</f>
        <v>7</v>
      </c>
      <c r="B14" s="121" t="str">
        <f>IF('DATA SISWA'!C11="","",'DATA SISWA'!C11)</f>
        <v/>
      </c>
      <c r="C14" s="218" t="str">
        <f>IF('Input Nilai Pengetahuan'!M11="","",'Input Nilai Pengetahuan'!M11)</f>
        <v/>
      </c>
      <c r="D14" s="218" t="str">
        <f>IF('Input Nilai Pengetahuan'!U11="","",'Input Nilai Pengetahuan'!U11)</f>
        <v/>
      </c>
      <c r="E14" s="218" t="str">
        <f>IF('Input Nilai Pengetahuan'!AC11="","",'Input Nilai Pengetahuan'!AC11)</f>
        <v/>
      </c>
      <c r="F14" s="218" t="str">
        <f>IF('Input Nilai Pengetahuan'!AK11="","",'Input Nilai Pengetahuan'!AK11)</f>
        <v/>
      </c>
      <c r="G14" s="220" t="str">
        <f>IF('Input Nilai Pengetahuan'!CK11="","",'Input Nilai Pengetahuan'!CK11)</f>
        <v/>
      </c>
      <c r="H14" s="423" t="str">
        <f t="shared" si="0"/>
        <v/>
      </c>
      <c r="I14" s="423" t="str">
        <f t="shared" si="1"/>
        <v/>
      </c>
      <c r="J14" s="423" t="str">
        <f t="shared" si="2"/>
        <v/>
      </c>
      <c r="K14" s="421" t="str">
        <f t="shared" si="3"/>
        <v/>
      </c>
      <c r="L14" s="421" t="str">
        <f>IF(G14="","",IF(K14&gt;=menu!$O$6,"A",IF(K14&gt;=menu!$O$7,"B",IF(K14&gt;=menu!$O$8,"C","D"))))</f>
        <v/>
      </c>
      <c r="M14" s="219" t="str">
        <f>IF('Input Nilai Ketrampilan'!J11="","",('Input Nilai Ketrampilan'!J11))</f>
        <v/>
      </c>
      <c r="N14" s="219" t="str">
        <f>IF('Input Nilai Ketrampilan'!O11="","",'Input Nilai Ketrampilan'!O11)</f>
        <v/>
      </c>
      <c r="O14" s="219" t="str">
        <f>IF('Input Nilai Ketrampilan'!T11="","",'Input Nilai Ketrampilan'!T11)</f>
        <v/>
      </c>
      <c r="P14" s="219" t="str">
        <f>IF('Input Nilai Ketrampilan'!Y11="","",'Input Nilai Ketrampilan'!Y11)</f>
        <v/>
      </c>
      <c r="Q14" s="219" t="str">
        <f>IF('Input Nilai Ketrampilan'!AD11="","",'Input Nilai Ketrampilan'!AD11)</f>
        <v/>
      </c>
      <c r="R14" s="219" t="str">
        <f>IF('Input Nilai Ketrampilan'!AI11="","",'Input Nilai Ketrampilan'!AI11)</f>
        <v/>
      </c>
      <c r="S14" s="430" t="str">
        <f>IF(B14="","",menu!$D$17)</f>
        <v/>
      </c>
      <c r="T14" s="424" t="str">
        <f t="shared" si="4"/>
        <v/>
      </c>
      <c r="U14" s="425" t="str">
        <f t="shared" si="5"/>
        <v/>
      </c>
      <c r="V14" s="425" t="str">
        <f>IF(M14="","",IF(U14&gt;=menu!$O$6,"A",IF(U14&gt;=menu!$O$7,"B",IF(U14&gt;=menu!$O$8,"C","D"))))</f>
        <v/>
      </c>
      <c r="W14" s="426" t="str">
        <f t="shared" si="6"/>
        <v/>
      </c>
      <c r="X14" s="234">
        <f>IF('Input Nilai Sikap'!H13="","",'Input Nilai Sikap'!H13)</f>
        <v>3</v>
      </c>
      <c r="Y14" s="231" t="str">
        <f>IF('Input Nilai Sikap'!I13="","",'Input Nilai Sikap'!I13)</f>
        <v>Melaksanakan sholat dhuhur berjemaah dan sholatt dhuha, berdo'a di awal di akhir kegiatan pembelajaran , serta melaksanakan kegiatan amaliyah siswa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AH14" s="418" t="str">
        <f>IF(G14="","",menu!$R$1)</f>
        <v/>
      </c>
    </row>
    <row r="15" spans="1:34" ht="163.5">
      <c r="A15" s="120">
        <f>'DATA SISWA'!A12</f>
        <v>8</v>
      </c>
      <c r="B15" s="121" t="str">
        <f>IF('DATA SISWA'!C12="","",'DATA SISWA'!C12)</f>
        <v/>
      </c>
      <c r="C15" s="218" t="str">
        <f>IF('Input Nilai Pengetahuan'!M12="","",'Input Nilai Pengetahuan'!M12)</f>
        <v/>
      </c>
      <c r="D15" s="218" t="str">
        <f>IF('Input Nilai Pengetahuan'!U12="","",'Input Nilai Pengetahuan'!U12)</f>
        <v/>
      </c>
      <c r="E15" s="218" t="str">
        <f>IF('Input Nilai Pengetahuan'!AC12="","",'Input Nilai Pengetahuan'!AC12)</f>
        <v/>
      </c>
      <c r="F15" s="218" t="str">
        <f>IF('Input Nilai Pengetahuan'!AK12="","",'Input Nilai Pengetahuan'!AK12)</f>
        <v/>
      </c>
      <c r="G15" s="220" t="str">
        <f>IF('Input Nilai Pengetahuan'!CK12="","",'Input Nilai Pengetahuan'!CK12)</f>
        <v/>
      </c>
      <c r="H15" s="423" t="str">
        <f t="shared" si="0"/>
        <v/>
      </c>
      <c r="I15" s="423" t="str">
        <f t="shared" si="1"/>
        <v/>
      </c>
      <c r="J15" s="423" t="str">
        <f t="shared" si="2"/>
        <v/>
      </c>
      <c r="K15" s="421" t="str">
        <f t="shared" si="3"/>
        <v/>
      </c>
      <c r="L15" s="421" t="str">
        <f>IF(G15="","",IF(K15&gt;=menu!$O$6,"A",IF(K15&gt;=menu!$O$7,"B",IF(K15&gt;=menu!$O$8,"C","D"))))</f>
        <v/>
      </c>
      <c r="M15" s="219" t="str">
        <f>IF('Input Nilai Ketrampilan'!J12="","",('Input Nilai Ketrampilan'!J12))</f>
        <v/>
      </c>
      <c r="N15" s="219" t="str">
        <f>IF('Input Nilai Ketrampilan'!O12="","",'Input Nilai Ketrampilan'!O12)</f>
        <v/>
      </c>
      <c r="O15" s="219" t="str">
        <f>IF('Input Nilai Ketrampilan'!T12="","",'Input Nilai Ketrampilan'!T12)</f>
        <v/>
      </c>
      <c r="P15" s="219" t="str">
        <f>IF('Input Nilai Ketrampilan'!Y12="","",'Input Nilai Ketrampilan'!Y12)</f>
        <v/>
      </c>
      <c r="Q15" s="219" t="str">
        <f>IF('Input Nilai Ketrampilan'!AD12="","",'Input Nilai Ketrampilan'!AD12)</f>
        <v/>
      </c>
      <c r="R15" s="219" t="str">
        <f>IF('Input Nilai Ketrampilan'!AI12="","",'Input Nilai Ketrampilan'!AI12)</f>
        <v/>
      </c>
      <c r="S15" s="430" t="str">
        <f>IF(B15="","",menu!$D$17)</f>
        <v/>
      </c>
      <c r="T15" s="424" t="str">
        <f t="shared" si="4"/>
        <v/>
      </c>
      <c r="U15" s="425" t="str">
        <f t="shared" si="5"/>
        <v/>
      </c>
      <c r="V15" s="425" t="str">
        <f>IF(M15="","",IF(U15&gt;=menu!$O$6,"A",IF(U15&gt;=menu!$O$7,"B",IF(U15&gt;=menu!$O$8,"C","D"))))</f>
        <v/>
      </c>
      <c r="W15" s="426" t="str">
        <f t="shared" si="6"/>
        <v/>
      </c>
      <c r="X15" s="234">
        <f>IF('Input Nilai Sikap'!H14="","",'Input Nilai Sikap'!H14)</f>
        <v>3</v>
      </c>
      <c r="Y15" s="231" t="str">
        <f>IF('Input Nilai Sikap'!I14="","",'Input Nilai Sikap'!I14)</f>
        <v>Melaksanakan sholat dhuhur berjemaah dan sholatt dhuha, berdo'a di awal di akhir kegiatan pembelajaran , serta melaksanakan kegiatan amaliyah siswa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AH15" s="418" t="str">
        <f>IF(G15="","",menu!$R$1)</f>
        <v/>
      </c>
    </row>
    <row r="16" spans="1:34" ht="163.5">
      <c r="A16" s="120">
        <f>'DATA SISWA'!A13</f>
        <v>9</v>
      </c>
      <c r="B16" s="121" t="str">
        <f>IF('DATA SISWA'!C13="","",'DATA SISWA'!C13)</f>
        <v/>
      </c>
      <c r="C16" s="218" t="str">
        <f>IF('Input Nilai Pengetahuan'!M13="","",'Input Nilai Pengetahuan'!M13)</f>
        <v/>
      </c>
      <c r="D16" s="218" t="str">
        <f>IF('Input Nilai Pengetahuan'!U13="","",'Input Nilai Pengetahuan'!U13)</f>
        <v/>
      </c>
      <c r="E16" s="218" t="str">
        <f>IF('Input Nilai Pengetahuan'!AC13="","",'Input Nilai Pengetahuan'!AC13)</f>
        <v/>
      </c>
      <c r="F16" s="218" t="str">
        <f>IF('Input Nilai Pengetahuan'!AK13="","",'Input Nilai Pengetahuan'!AK13)</f>
        <v/>
      </c>
      <c r="G16" s="220" t="str">
        <f>IF('Input Nilai Pengetahuan'!CK13="","",'Input Nilai Pengetahuan'!CK13)</f>
        <v/>
      </c>
      <c r="H16" s="423" t="str">
        <f t="shared" si="0"/>
        <v/>
      </c>
      <c r="I16" s="423" t="str">
        <f t="shared" si="1"/>
        <v/>
      </c>
      <c r="J16" s="423" t="str">
        <f t="shared" si="2"/>
        <v/>
      </c>
      <c r="K16" s="421" t="str">
        <f t="shared" si="3"/>
        <v/>
      </c>
      <c r="L16" s="421" t="str">
        <f>IF(G16="","",IF(K16&gt;=menu!$O$6,"A",IF(K16&gt;=menu!$O$7,"B",IF(K16&gt;=menu!$O$8,"C","D"))))</f>
        <v/>
      </c>
      <c r="M16" s="219" t="str">
        <f>IF('Input Nilai Ketrampilan'!J13="","",('Input Nilai Ketrampilan'!J13))</f>
        <v/>
      </c>
      <c r="N16" s="219" t="str">
        <f>IF('Input Nilai Ketrampilan'!O13="","",'Input Nilai Ketrampilan'!O13)</f>
        <v/>
      </c>
      <c r="O16" s="219" t="str">
        <f>IF('Input Nilai Ketrampilan'!T13="","",'Input Nilai Ketrampilan'!T13)</f>
        <v/>
      </c>
      <c r="P16" s="219" t="str">
        <f>IF('Input Nilai Ketrampilan'!Y13="","",'Input Nilai Ketrampilan'!Y13)</f>
        <v/>
      </c>
      <c r="Q16" s="219" t="str">
        <f>IF('Input Nilai Ketrampilan'!AD13="","",'Input Nilai Ketrampilan'!AD13)</f>
        <v/>
      </c>
      <c r="R16" s="219" t="str">
        <f>IF('Input Nilai Ketrampilan'!AI13="","",'Input Nilai Ketrampilan'!AI13)</f>
        <v/>
      </c>
      <c r="S16" s="430" t="str">
        <f>IF(B16="","",menu!$D$17)</f>
        <v/>
      </c>
      <c r="T16" s="424" t="str">
        <f t="shared" si="4"/>
        <v/>
      </c>
      <c r="U16" s="425" t="str">
        <f t="shared" si="5"/>
        <v/>
      </c>
      <c r="V16" s="425" t="str">
        <f>IF(M16="","",IF(U16&gt;=menu!$O$6,"A",IF(U16&gt;=menu!$O$7,"B",IF(U16&gt;=menu!$O$8,"C","D"))))</f>
        <v/>
      </c>
      <c r="W16" s="426" t="str">
        <f t="shared" si="6"/>
        <v/>
      </c>
      <c r="X16" s="234">
        <f>IF('Input Nilai Sikap'!H15="","",'Input Nilai Sikap'!H15)</f>
        <v>3</v>
      </c>
      <c r="Y16" s="231" t="str">
        <f>IF('Input Nilai Sikap'!I15="","",'Input Nilai Sikap'!I15)</f>
        <v>Melaksanakan sholat dhuhur berjemaah dan sholatt dhuha, berdo'a di awal di akhir kegiatan pembelajaran , serta melaksanakan kegiatan amaliyah siswa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AH16" s="418" t="str">
        <f>IF(G16="","",menu!$R$1)</f>
        <v/>
      </c>
    </row>
    <row r="17" spans="1:34" ht="163.5">
      <c r="A17" s="120">
        <f>'DATA SISWA'!A14</f>
        <v>10</v>
      </c>
      <c r="B17" s="121" t="str">
        <f>IF('DATA SISWA'!C14="","",'DATA SISWA'!C14)</f>
        <v/>
      </c>
      <c r="C17" s="218" t="str">
        <f>IF('Input Nilai Pengetahuan'!M14="","",'Input Nilai Pengetahuan'!M14)</f>
        <v/>
      </c>
      <c r="D17" s="218" t="str">
        <f>IF('Input Nilai Pengetahuan'!U14="","",'Input Nilai Pengetahuan'!U14)</f>
        <v/>
      </c>
      <c r="E17" s="218" t="str">
        <f>IF('Input Nilai Pengetahuan'!AC14="","",'Input Nilai Pengetahuan'!AC14)</f>
        <v/>
      </c>
      <c r="F17" s="218" t="str">
        <f>IF('Input Nilai Pengetahuan'!AK14="","",'Input Nilai Pengetahuan'!AK14)</f>
        <v/>
      </c>
      <c r="G17" s="220" t="str">
        <f>IF('Input Nilai Pengetahuan'!CK14="","",'Input Nilai Pengetahuan'!CK14)</f>
        <v/>
      </c>
      <c r="H17" s="423" t="str">
        <f t="shared" si="0"/>
        <v/>
      </c>
      <c r="I17" s="423" t="str">
        <f t="shared" si="1"/>
        <v/>
      </c>
      <c r="J17" s="423" t="str">
        <f t="shared" si="2"/>
        <v/>
      </c>
      <c r="K17" s="421" t="str">
        <f t="shared" si="3"/>
        <v/>
      </c>
      <c r="L17" s="421" t="str">
        <f>IF(G17="","",IF(K17&gt;=menu!$O$6,"A",IF(K17&gt;=menu!$O$7,"B",IF(K17&gt;=menu!$O$8,"C","D"))))</f>
        <v/>
      </c>
      <c r="M17" s="219" t="str">
        <f>IF('Input Nilai Ketrampilan'!J14="","",('Input Nilai Ketrampilan'!J14))</f>
        <v/>
      </c>
      <c r="N17" s="219" t="str">
        <f>IF('Input Nilai Ketrampilan'!O14="","",'Input Nilai Ketrampilan'!O14)</f>
        <v/>
      </c>
      <c r="O17" s="219" t="str">
        <f>IF('Input Nilai Ketrampilan'!T14="","",'Input Nilai Ketrampilan'!T14)</f>
        <v/>
      </c>
      <c r="P17" s="219" t="str">
        <f>IF('Input Nilai Ketrampilan'!Y14="","",'Input Nilai Ketrampilan'!Y14)</f>
        <v/>
      </c>
      <c r="Q17" s="219" t="str">
        <f>IF('Input Nilai Ketrampilan'!AD14="","",'Input Nilai Ketrampilan'!AD14)</f>
        <v/>
      </c>
      <c r="R17" s="219" t="str">
        <f>IF('Input Nilai Ketrampilan'!AI14="","",'Input Nilai Ketrampilan'!AI14)</f>
        <v/>
      </c>
      <c r="S17" s="430" t="str">
        <f>IF(B17="","",menu!$D$17)</f>
        <v/>
      </c>
      <c r="T17" s="424" t="str">
        <f t="shared" si="4"/>
        <v/>
      </c>
      <c r="U17" s="425" t="str">
        <f t="shared" si="5"/>
        <v/>
      </c>
      <c r="V17" s="425" t="str">
        <f>IF(M17="","",IF(U17&gt;=menu!$O$6,"A",IF(U17&gt;=menu!$O$7,"B",IF(U17&gt;=menu!$O$8,"C","D"))))</f>
        <v/>
      </c>
      <c r="W17" s="426" t="str">
        <f t="shared" si="6"/>
        <v/>
      </c>
      <c r="X17" s="234">
        <f>IF('Input Nilai Sikap'!H16="","",'Input Nilai Sikap'!H16)</f>
        <v>3</v>
      </c>
      <c r="Y17" s="231" t="str">
        <f>IF('Input Nilai Sikap'!I16="","",'Input Nilai Sikap'!I16)</f>
        <v>Melaksanakan sholat dhuhur berjemaah dan sholatt dhuha, berdo'a di awal di akhir kegiatan pembelajaran , serta melaksanakan kegiatan amaliyah siswa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AH17" s="418" t="str">
        <f>IF(G17="","",menu!$R$1)</f>
        <v/>
      </c>
    </row>
    <row r="18" spans="1:34" ht="163.5">
      <c r="A18" s="120">
        <f>'DATA SISWA'!A15</f>
        <v>11</v>
      </c>
      <c r="B18" s="121" t="str">
        <f>IF('DATA SISWA'!C15="","",'DATA SISWA'!C15)</f>
        <v/>
      </c>
      <c r="C18" s="218" t="str">
        <f>IF('Input Nilai Pengetahuan'!M15="","",'Input Nilai Pengetahuan'!M15)</f>
        <v/>
      </c>
      <c r="D18" s="218" t="str">
        <f>IF('Input Nilai Pengetahuan'!U15="","",'Input Nilai Pengetahuan'!U15)</f>
        <v/>
      </c>
      <c r="E18" s="218" t="str">
        <f>IF('Input Nilai Pengetahuan'!AC15="","",'Input Nilai Pengetahuan'!AC15)</f>
        <v/>
      </c>
      <c r="F18" s="218" t="str">
        <f>IF('Input Nilai Pengetahuan'!AK15="","",'Input Nilai Pengetahuan'!AK15)</f>
        <v/>
      </c>
      <c r="G18" s="220" t="str">
        <f>IF('Input Nilai Pengetahuan'!CK15="","",'Input Nilai Pengetahuan'!CK15)</f>
        <v/>
      </c>
      <c r="H18" s="423" t="str">
        <f t="shared" si="0"/>
        <v/>
      </c>
      <c r="I18" s="423" t="str">
        <f t="shared" si="1"/>
        <v/>
      </c>
      <c r="J18" s="423" t="str">
        <f t="shared" si="2"/>
        <v/>
      </c>
      <c r="K18" s="421" t="str">
        <f t="shared" si="3"/>
        <v/>
      </c>
      <c r="L18" s="421" t="str">
        <f>IF(G18="","",IF(K18&gt;=menu!$O$6,"A",IF(K18&gt;=menu!$O$7,"B",IF(K18&gt;=menu!$O$8,"C","D"))))</f>
        <v/>
      </c>
      <c r="M18" s="219" t="str">
        <f>IF('Input Nilai Ketrampilan'!J15="","",('Input Nilai Ketrampilan'!J15))</f>
        <v/>
      </c>
      <c r="N18" s="219" t="str">
        <f>IF('Input Nilai Ketrampilan'!O15="","",'Input Nilai Ketrampilan'!O15)</f>
        <v/>
      </c>
      <c r="O18" s="219" t="str">
        <f>IF('Input Nilai Ketrampilan'!T15="","",'Input Nilai Ketrampilan'!T15)</f>
        <v/>
      </c>
      <c r="P18" s="219" t="str">
        <f>IF('Input Nilai Ketrampilan'!Y15="","",'Input Nilai Ketrampilan'!Y15)</f>
        <v/>
      </c>
      <c r="Q18" s="219" t="str">
        <f>IF('Input Nilai Ketrampilan'!AD15="","",'Input Nilai Ketrampilan'!AD15)</f>
        <v/>
      </c>
      <c r="R18" s="219" t="str">
        <f>IF('Input Nilai Ketrampilan'!AI15="","",'Input Nilai Ketrampilan'!AI15)</f>
        <v/>
      </c>
      <c r="S18" s="430" t="str">
        <f>IF(B18="","",menu!$D$17)</f>
        <v/>
      </c>
      <c r="T18" s="424" t="str">
        <f t="shared" si="4"/>
        <v/>
      </c>
      <c r="U18" s="425" t="str">
        <f t="shared" si="5"/>
        <v/>
      </c>
      <c r="V18" s="425" t="str">
        <f>IF(M18="","",IF(U18&gt;=menu!$O$6,"A",IF(U18&gt;=menu!$O$7,"B",IF(U18&gt;=menu!$O$8,"C","D"))))</f>
        <v/>
      </c>
      <c r="W18" s="426" t="str">
        <f t="shared" si="6"/>
        <v/>
      </c>
      <c r="X18" s="234">
        <f>IF('Input Nilai Sikap'!H17="","",'Input Nilai Sikap'!H17)</f>
        <v>3</v>
      </c>
      <c r="Y18" s="231" t="str">
        <f>IF('Input Nilai Sikap'!I17="","",'Input Nilai Sikap'!I17)</f>
        <v>Melaksanakan sholat dhuhur berjemaah dan sholatt dhuha, berdo'a di awal di akhir kegiatan pembelajaran , serta melaksanakan kegiatan amaliyah siswa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AH18" s="418" t="str">
        <f>IF(G18="","",menu!$R$1)</f>
        <v/>
      </c>
    </row>
    <row r="19" spans="1:34" ht="163.5">
      <c r="A19" s="120">
        <f>'DATA SISWA'!A16</f>
        <v>12</v>
      </c>
      <c r="B19" s="121" t="str">
        <f>IF('DATA SISWA'!C16="","",'DATA SISWA'!C16)</f>
        <v/>
      </c>
      <c r="C19" s="218" t="str">
        <f>IF('Input Nilai Pengetahuan'!M16="","",'Input Nilai Pengetahuan'!M16)</f>
        <v/>
      </c>
      <c r="D19" s="218" t="str">
        <f>IF('Input Nilai Pengetahuan'!U16="","",'Input Nilai Pengetahuan'!U16)</f>
        <v/>
      </c>
      <c r="E19" s="218" t="str">
        <f>IF('Input Nilai Pengetahuan'!AC16="","",'Input Nilai Pengetahuan'!AC16)</f>
        <v/>
      </c>
      <c r="F19" s="218" t="str">
        <f>IF('Input Nilai Pengetahuan'!AK16="","",'Input Nilai Pengetahuan'!AK16)</f>
        <v/>
      </c>
      <c r="G19" s="220" t="str">
        <f>IF('Input Nilai Pengetahuan'!CK16="","",'Input Nilai Pengetahuan'!CK16)</f>
        <v/>
      </c>
      <c r="H19" s="423" t="str">
        <f t="shared" si="0"/>
        <v/>
      </c>
      <c r="I19" s="423" t="str">
        <f t="shared" si="1"/>
        <v/>
      </c>
      <c r="J19" s="423" t="str">
        <f t="shared" si="2"/>
        <v/>
      </c>
      <c r="K19" s="421" t="str">
        <f t="shared" si="3"/>
        <v/>
      </c>
      <c r="L19" s="421" t="str">
        <f>IF(G19="","",IF(K19&gt;=menu!$O$6,"A",IF(K19&gt;=menu!$O$7,"B",IF(K19&gt;=menu!$O$8,"C","D"))))</f>
        <v/>
      </c>
      <c r="M19" s="219" t="str">
        <f>IF('Input Nilai Ketrampilan'!J16="","",('Input Nilai Ketrampilan'!J16))</f>
        <v/>
      </c>
      <c r="N19" s="219" t="str">
        <f>IF('Input Nilai Ketrampilan'!O16="","",'Input Nilai Ketrampilan'!O16)</f>
        <v/>
      </c>
      <c r="O19" s="219" t="str">
        <f>IF('Input Nilai Ketrampilan'!T16="","",'Input Nilai Ketrampilan'!T16)</f>
        <v/>
      </c>
      <c r="P19" s="219" t="str">
        <f>IF('Input Nilai Ketrampilan'!Y16="","",'Input Nilai Ketrampilan'!Y16)</f>
        <v/>
      </c>
      <c r="Q19" s="219" t="str">
        <f>IF('Input Nilai Ketrampilan'!AD16="","",'Input Nilai Ketrampilan'!AD16)</f>
        <v/>
      </c>
      <c r="R19" s="219" t="str">
        <f>IF('Input Nilai Ketrampilan'!AI16="","",'Input Nilai Ketrampilan'!AI16)</f>
        <v/>
      </c>
      <c r="S19" s="430" t="str">
        <f>IF(B19="","",menu!$D$17)</f>
        <v/>
      </c>
      <c r="T19" s="424" t="str">
        <f t="shared" si="4"/>
        <v/>
      </c>
      <c r="U19" s="425" t="str">
        <f t="shared" si="5"/>
        <v/>
      </c>
      <c r="V19" s="425" t="str">
        <f>IF(M19="","",IF(U19&gt;=menu!$O$6,"A",IF(U19&gt;=menu!$O$7,"B",IF(U19&gt;=menu!$O$8,"C","D"))))</f>
        <v/>
      </c>
      <c r="W19" s="426" t="str">
        <f t="shared" si="6"/>
        <v/>
      </c>
      <c r="X19" s="234">
        <f>IF('Input Nilai Sikap'!H18="","",'Input Nilai Sikap'!H18)</f>
        <v>3</v>
      </c>
      <c r="Y19" s="231" t="str">
        <f>IF('Input Nilai Sikap'!I18="","",'Input Nilai Sikap'!I18)</f>
        <v>Melaksanakan sholat dhuhur berjemaah dan sholatt dhuha, berdo'a di awal di akhir kegiatan pembelajaran , serta melaksanakan kegiatan amaliyah siswa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AH19" s="418" t="str">
        <f>IF(G19="","",menu!$R$1)</f>
        <v/>
      </c>
    </row>
    <row r="20" spans="1:34" ht="163.5">
      <c r="A20" s="120">
        <f>'DATA SISWA'!A17</f>
        <v>13</v>
      </c>
      <c r="B20" s="121" t="str">
        <f>IF('DATA SISWA'!C17="","",'DATA SISWA'!C17)</f>
        <v/>
      </c>
      <c r="C20" s="218" t="str">
        <f>IF('Input Nilai Pengetahuan'!M17="","",'Input Nilai Pengetahuan'!M17)</f>
        <v/>
      </c>
      <c r="D20" s="218" t="str">
        <f>IF('Input Nilai Pengetahuan'!U17="","",'Input Nilai Pengetahuan'!U17)</f>
        <v/>
      </c>
      <c r="E20" s="218" t="str">
        <f>IF('Input Nilai Pengetahuan'!AC17="","",'Input Nilai Pengetahuan'!AC17)</f>
        <v/>
      </c>
      <c r="F20" s="218" t="str">
        <f>IF('Input Nilai Pengetahuan'!AK17="","",'Input Nilai Pengetahuan'!AK17)</f>
        <v/>
      </c>
      <c r="G20" s="220" t="str">
        <f>IF('Input Nilai Pengetahuan'!CK17="","",'Input Nilai Pengetahuan'!CK17)</f>
        <v/>
      </c>
      <c r="H20" s="423" t="str">
        <f t="shared" si="0"/>
        <v/>
      </c>
      <c r="I20" s="423" t="str">
        <f t="shared" si="1"/>
        <v/>
      </c>
      <c r="J20" s="423" t="str">
        <f t="shared" si="2"/>
        <v/>
      </c>
      <c r="K20" s="421" t="str">
        <f t="shared" si="3"/>
        <v/>
      </c>
      <c r="L20" s="421" t="str">
        <f>IF(G20="","",IF(K20&gt;=menu!$O$6,"A",IF(K20&gt;=menu!$O$7,"B",IF(K20&gt;=menu!$O$8,"C","D"))))</f>
        <v/>
      </c>
      <c r="M20" s="219" t="str">
        <f>IF('Input Nilai Ketrampilan'!J17="","",('Input Nilai Ketrampilan'!J17))</f>
        <v/>
      </c>
      <c r="N20" s="219" t="str">
        <f>IF('Input Nilai Ketrampilan'!O17="","",'Input Nilai Ketrampilan'!O17)</f>
        <v/>
      </c>
      <c r="O20" s="219" t="str">
        <f>IF('Input Nilai Ketrampilan'!T17="","",'Input Nilai Ketrampilan'!T17)</f>
        <v/>
      </c>
      <c r="P20" s="219" t="str">
        <f>IF('Input Nilai Ketrampilan'!Y17="","",'Input Nilai Ketrampilan'!Y17)</f>
        <v/>
      </c>
      <c r="Q20" s="219" t="str">
        <f>IF('Input Nilai Ketrampilan'!AD17="","",'Input Nilai Ketrampilan'!AD17)</f>
        <v/>
      </c>
      <c r="R20" s="219" t="str">
        <f>IF('Input Nilai Ketrampilan'!AI17="","",'Input Nilai Ketrampilan'!AI17)</f>
        <v/>
      </c>
      <c r="S20" s="430" t="str">
        <f>IF(B20="","",menu!$D$17)</f>
        <v/>
      </c>
      <c r="T20" s="424" t="str">
        <f t="shared" si="4"/>
        <v/>
      </c>
      <c r="U20" s="425" t="str">
        <f t="shared" si="5"/>
        <v/>
      </c>
      <c r="V20" s="425" t="str">
        <f>IF(M20="","",IF(U20&gt;=menu!$O$6,"A",IF(U20&gt;=menu!$O$7,"B",IF(U20&gt;=menu!$O$8,"C","D"))))</f>
        <v/>
      </c>
      <c r="W20" s="426" t="str">
        <f t="shared" si="6"/>
        <v/>
      </c>
      <c r="X20" s="234">
        <f>IF('Input Nilai Sikap'!H19="","",'Input Nilai Sikap'!H19)</f>
        <v>3</v>
      </c>
      <c r="Y20" s="231" t="str">
        <f>IF('Input Nilai Sikap'!I19="","",'Input Nilai Sikap'!I19)</f>
        <v>Melaksanakan sholat dhuhur berjemaah dan sholatt dhuha, berdo'a di awal di akhir kegiatan pembelajaran , serta melaksanakan kegiatan amaliyah siswa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AH20" s="418" t="str">
        <f>IF(G20="","",menu!$R$1)</f>
        <v/>
      </c>
    </row>
    <row r="21" spans="1:34" ht="163.5">
      <c r="A21" s="120">
        <f>'DATA SISWA'!A18</f>
        <v>14</v>
      </c>
      <c r="B21" s="121" t="str">
        <f>IF('DATA SISWA'!C18="","",'DATA SISWA'!C18)</f>
        <v/>
      </c>
      <c r="C21" s="218" t="str">
        <f>IF('Input Nilai Pengetahuan'!M18="","",'Input Nilai Pengetahuan'!M18)</f>
        <v/>
      </c>
      <c r="D21" s="218" t="str">
        <f>IF('Input Nilai Pengetahuan'!U18="","",'Input Nilai Pengetahuan'!U18)</f>
        <v/>
      </c>
      <c r="E21" s="218" t="str">
        <f>IF('Input Nilai Pengetahuan'!AC18="","",'Input Nilai Pengetahuan'!AC18)</f>
        <v/>
      </c>
      <c r="F21" s="218" t="str">
        <f>IF('Input Nilai Pengetahuan'!AK18="","",'Input Nilai Pengetahuan'!AK18)</f>
        <v/>
      </c>
      <c r="G21" s="220" t="str">
        <f>IF('Input Nilai Pengetahuan'!CK18="","",'Input Nilai Pengetahuan'!CK18)</f>
        <v/>
      </c>
      <c r="H21" s="423" t="str">
        <f t="shared" si="0"/>
        <v/>
      </c>
      <c r="I21" s="423" t="str">
        <f t="shared" si="1"/>
        <v/>
      </c>
      <c r="J21" s="423" t="str">
        <f t="shared" si="2"/>
        <v/>
      </c>
      <c r="K21" s="421" t="str">
        <f t="shared" si="3"/>
        <v/>
      </c>
      <c r="L21" s="421" t="str">
        <f>IF(G21="","",IF(K21&gt;=menu!$O$6,"A",IF(K21&gt;=menu!$O$7,"B",IF(K21&gt;=menu!$O$8,"C","D"))))</f>
        <v/>
      </c>
      <c r="M21" s="219" t="str">
        <f>IF('Input Nilai Ketrampilan'!J18="","",('Input Nilai Ketrampilan'!J18))</f>
        <v/>
      </c>
      <c r="N21" s="219" t="str">
        <f>IF('Input Nilai Ketrampilan'!O18="","",'Input Nilai Ketrampilan'!O18)</f>
        <v/>
      </c>
      <c r="O21" s="219" t="str">
        <f>IF('Input Nilai Ketrampilan'!T18="","",'Input Nilai Ketrampilan'!T18)</f>
        <v/>
      </c>
      <c r="P21" s="219" t="str">
        <f>IF('Input Nilai Ketrampilan'!Y18="","",'Input Nilai Ketrampilan'!Y18)</f>
        <v/>
      </c>
      <c r="Q21" s="219" t="str">
        <f>IF('Input Nilai Ketrampilan'!AD18="","",'Input Nilai Ketrampilan'!AD18)</f>
        <v/>
      </c>
      <c r="R21" s="219" t="str">
        <f>IF('Input Nilai Ketrampilan'!AI18="","",'Input Nilai Ketrampilan'!AI18)</f>
        <v/>
      </c>
      <c r="S21" s="430" t="str">
        <f>IF(B21="","",menu!$D$17)</f>
        <v/>
      </c>
      <c r="T21" s="424" t="str">
        <f t="shared" si="4"/>
        <v/>
      </c>
      <c r="U21" s="425" t="str">
        <f t="shared" si="5"/>
        <v/>
      </c>
      <c r="V21" s="425" t="str">
        <f>IF(M21="","",IF(U21&gt;=menu!$O$6,"A",IF(U21&gt;=menu!$O$7,"B",IF(U21&gt;=menu!$O$8,"C","D"))))</f>
        <v/>
      </c>
      <c r="W21" s="426" t="str">
        <f t="shared" si="6"/>
        <v/>
      </c>
      <c r="X21" s="234">
        <f>IF('Input Nilai Sikap'!H20="","",'Input Nilai Sikap'!H20)</f>
        <v>3</v>
      </c>
      <c r="Y21" s="231" t="str">
        <f>IF('Input Nilai Sikap'!I20="","",'Input Nilai Sikap'!I20)</f>
        <v>Melaksanakan sholat dhuhur berjemaah dan sholatt dhuha, berdo'a di awal di akhir kegiatan pembelajaran , serta melaksanakan kegiatan amaliyah siswa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AH21" s="418" t="str">
        <f>IF(G21="","",menu!$R$1)</f>
        <v/>
      </c>
    </row>
    <row r="22" spans="1:34" ht="163.5">
      <c r="A22" s="120">
        <f>'DATA SISWA'!A19</f>
        <v>15</v>
      </c>
      <c r="B22" s="121" t="str">
        <f>IF('DATA SISWA'!C19="","",'DATA SISWA'!C19)</f>
        <v/>
      </c>
      <c r="C22" s="218" t="str">
        <f>IF('Input Nilai Pengetahuan'!M19="","",'Input Nilai Pengetahuan'!M19)</f>
        <v/>
      </c>
      <c r="D22" s="218" t="str">
        <f>IF('Input Nilai Pengetahuan'!U19="","",'Input Nilai Pengetahuan'!U19)</f>
        <v/>
      </c>
      <c r="E22" s="218" t="str">
        <f>IF('Input Nilai Pengetahuan'!AC19="","",'Input Nilai Pengetahuan'!AC19)</f>
        <v/>
      </c>
      <c r="F22" s="218" t="str">
        <f>IF('Input Nilai Pengetahuan'!AK19="","",'Input Nilai Pengetahuan'!AK19)</f>
        <v/>
      </c>
      <c r="G22" s="220" t="str">
        <f>IF('Input Nilai Pengetahuan'!CK19="","",'Input Nilai Pengetahuan'!CK19)</f>
        <v/>
      </c>
      <c r="H22" s="423" t="str">
        <f t="shared" si="0"/>
        <v/>
      </c>
      <c r="I22" s="423" t="str">
        <f t="shared" si="1"/>
        <v/>
      </c>
      <c r="J22" s="423" t="str">
        <f t="shared" si="2"/>
        <v/>
      </c>
      <c r="K22" s="421" t="str">
        <f t="shared" si="3"/>
        <v/>
      </c>
      <c r="L22" s="421" t="str">
        <f>IF(G22="","",IF(K22&gt;=menu!$O$6,"A",IF(K22&gt;=menu!$O$7,"B",IF(K22&gt;=menu!$O$8,"C","D"))))</f>
        <v/>
      </c>
      <c r="M22" s="219" t="str">
        <f>IF('Input Nilai Ketrampilan'!J19="","",('Input Nilai Ketrampilan'!J19))</f>
        <v/>
      </c>
      <c r="N22" s="219" t="str">
        <f>IF('Input Nilai Ketrampilan'!O19="","",'Input Nilai Ketrampilan'!O19)</f>
        <v/>
      </c>
      <c r="O22" s="219" t="str">
        <f>IF('Input Nilai Ketrampilan'!T19="","",'Input Nilai Ketrampilan'!T19)</f>
        <v/>
      </c>
      <c r="P22" s="219" t="str">
        <f>IF('Input Nilai Ketrampilan'!Y19="","",'Input Nilai Ketrampilan'!Y19)</f>
        <v/>
      </c>
      <c r="Q22" s="219" t="str">
        <f>IF('Input Nilai Ketrampilan'!AD19="","",'Input Nilai Ketrampilan'!AD19)</f>
        <v/>
      </c>
      <c r="R22" s="219" t="str">
        <f>IF('Input Nilai Ketrampilan'!AI19="","",'Input Nilai Ketrampilan'!AI19)</f>
        <v/>
      </c>
      <c r="S22" s="430" t="str">
        <f>IF(B22="","",menu!$D$17)</f>
        <v/>
      </c>
      <c r="T22" s="424" t="str">
        <f t="shared" si="4"/>
        <v/>
      </c>
      <c r="U22" s="425" t="str">
        <f t="shared" si="5"/>
        <v/>
      </c>
      <c r="V22" s="425" t="str">
        <f>IF(M22="","",IF(U22&gt;=menu!$O$6,"A",IF(U22&gt;=menu!$O$7,"B",IF(U22&gt;=menu!$O$8,"C","D"))))</f>
        <v/>
      </c>
      <c r="W22" s="426" t="str">
        <f t="shared" si="6"/>
        <v/>
      </c>
      <c r="X22" s="234">
        <f>IF('Input Nilai Sikap'!H21="","",'Input Nilai Sikap'!H21)</f>
        <v>3</v>
      </c>
      <c r="Y22" s="231" t="str">
        <f>IF('Input Nilai Sikap'!I21="","",'Input Nilai Sikap'!I21)</f>
        <v>Melaksanakan sholat dhuhur berjemaah dan sholatt dhuha, berdo'a di awal di akhir kegiatan pembelajaran , serta melaksanakan kegiatan amaliyah siswa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AH22" s="418" t="str">
        <f>IF(G22="","",menu!$R$1)</f>
        <v/>
      </c>
    </row>
    <row r="23" spans="1:34" ht="163.5">
      <c r="A23" s="120">
        <f>'DATA SISWA'!A20</f>
        <v>16</v>
      </c>
      <c r="B23" s="121" t="str">
        <f>IF('DATA SISWA'!C20="","",'DATA SISWA'!C20)</f>
        <v/>
      </c>
      <c r="C23" s="218" t="str">
        <f>IF('Input Nilai Pengetahuan'!M20="","",'Input Nilai Pengetahuan'!M20)</f>
        <v/>
      </c>
      <c r="D23" s="218" t="str">
        <f>IF('Input Nilai Pengetahuan'!U20="","",'Input Nilai Pengetahuan'!U20)</f>
        <v/>
      </c>
      <c r="E23" s="218" t="str">
        <f>IF('Input Nilai Pengetahuan'!AC20="","",'Input Nilai Pengetahuan'!AC20)</f>
        <v/>
      </c>
      <c r="F23" s="218" t="str">
        <f>IF('Input Nilai Pengetahuan'!AK20="","",'Input Nilai Pengetahuan'!AK20)</f>
        <v/>
      </c>
      <c r="G23" s="220" t="str">
        <f>IF('Input Nilai Pengetahuan'!CK20="","",'Input Nilai Pengetahuan'!CK20)</f>
        <v/>
      </c>
      <c r="H23" s="423" t="str">
        <f t="shared" si="0"/>
        <v/>
      </c>
      <c r="I23" s="423" t="str">
        <f t="shared" si="1"/>
        <v/>
      </c>
      <c r="J23" s="423" t="str">
        <f t="shared" si="2"/>
        <v/>
      </c>
      <c r="K23" s="421" t="str">
        <f t="shared" si="3"/>
        <v/>
      </c>
      <c r="L23" s="421" t="str">
        <f>IF(G23="","",IF(K23&gt;=menu!$O$6,"A",IF(K23&gt;=menu!$O$7,"B",IF(K23&gt;=menu!$O$8,"C","D"))))</f>
        <v/>
      </c>
      <c r="M23" s="219" t="str">
        <f>IF('Input Nilai Ketrampilan'!J20="","",('Input Nilai Ketrampilan'!J20))</f>
        <v/>
      </c>
      <c r="N23" s="219" t="str">
        <f>IF('Input Nilai Ketrampilan'!O20="","",'Input Nilai Ketrampilan'!O20)</f>
        <v/>
      </c>
      <c r="O23" s="219" t="str">
        <f>IF('Input Nilai Ketrampilan'!T20="","",'Input Nilai Ketrampilan'!T20)</f>
        <v/>
      </c>
      <c r="P23" s="219" t="str">
        <f>IF('Input Nilai Ketrampilan'!Y20="","",'Input Nilai Ketrampilan'!Y20)</f>
        <v/>
      </c>
      <c r="Q23" s="219" t="str">
        <f>IF('Input Nilai Ketrampilan'!AD20="","",'Input Nilai Ketrampilan'!AD20)</f>
        <v/>
      </c>
      <c r="R23" s="219" t="str">
        <f>IF('Input Nilai Ketrampilan'!AI20="","",'Input Nilai Ketrampilan'!AI20)</f>
        <v/>
      </c>
      <c r="S23" s="430" t="str">
        <f>IF(B23="","",menu!$D$17)</f>
        <v/>
      </c>
      <c r="T23" s="424" t="str">
        <f t="shared" si="4"/>
        <v/>
      </c>
      <c r="U23" s="425" t="str">
        <f t="shared" si="5"/>
        <v/>
      </c>
      <c r="V23" s="425" t="str">
        <f>IF(M23="","",IF(U23&gt;=menu!$O$6,"A",IF(U23&gt;=menu!$O$7,"B",IF(U23&gt;=menu!$O$8,"C","D"))))</f>
        <v/>
      </c>
      <c r="W23" s="426" t="str">
        <f t="shared" si="6"/>
        <v/>
      </c>
      <c r="X23" s="234">
        <f>IF('Input Nilai Sikap'!H22="","",'Input Nilai Sikap'!H22)</f>
        <v>3</v>
      </c>
      <c r="Y23" s="231" t="str">
        <f>IF('Input Nilai Sikap'!I22="","",'Input Nilai Sikap'!I22)</f>
        <v>Melaksanakan sholat dhuhur berjemaah dan sholatt dhuha, berdo'a di awal di akhir kegiatan pembelajaran , serta melaksanakan kegiatan amaliyah siswa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AH23" s="418" t="str">
        <f>IF(G23="","",menu!$R$1)</f>
        <v/>
      </c>
    </row>
    <row r="24" spans="1:34" ht="163.5">
      <c r="A24" s="120">
        <f>'DATA SISWA'!A21</f>
        <v>17</v>
      </c>
      <c r="B24" s="121" t="str">
        <f>IF('DATA SISWA'!C21="","",'DATA SISWA'!C21)</f>
        <v/>
      </c>
      <c r="C24" s="218" t="str">
        <f>IF('Input Nilai Pengetahuan'!M21="","",'Input Nilai Pengetahuan'!M21)</f>
        <v/>
      </c>
      <c r="D24" s="218" t="str">
        <f>IF('Input Nilai Pengetahuan'!U21="","",'Input Nilai Pengetahuan'!U21)</f>
        <v/>
      </c>
      <c r="E24" s="218" t="str">
        <f>IF('Input Nilai Pengetahuan'!AC21="","",'Input Nilai Pengetahuan'!AC21)</f>
        <v/>
      </c>
      <c r="F24" s="218" t="str">
        <f>IF('Input Nilai Pengetahuan'!AK21="","",'Input Nilai Pengetahuan'!AK21)</f>
        <v/>
      </c>
      <c r="G24" s="220" t="str">
        <f>IF('Input Nilai Pengetahuan'!CK21="","",'Input Nilai Pengetahuan'!CK21)</f>
        <v/>
      </c>
      <c r="H24" s="423" t="str">
        <f t="shared" si="0"/>
        <v/>
      </c>
      <c r="I24" s="423" t="str">
        <f t="shared" si="1"/>
        <v/>
      </c>
      <c r="J24" s="423" t="str">
        <f t="shared" si="2"/>
        <v/>
      </c>
      <c r="K24" s="421" t="str">
        <f t="shared" si="3"/>
        <v/>
      </c>
      <c r="L24" s="421" t="str">
        <f>IF(G24="","",IF(K24&gt;=menu!$O$6,"A",IF(K24&gt;=menu!$O$7,"B",IF(K24&gt;=menu!$O$8,"C","D"))))</f>
        <v/>
      </c>
      <c r="M24" s="219" t="str">
        <f>IF('Input Nilai Ketrampilan'!J21="","",('Input Nilai Ketrampilan'!J21))</f>
        <v/>
      </c>
      <c r="N24" s="219" t="str">
        <f>IF('Input Nilai Ketrampilan'!O21="","",'Input Nilai Ketrampilan'!O21)</f>
        <v/>
      </c>
      <c r="O24" s="219" t="str">
        <f>IF('Input Nilai Ketrampilan'!T21="","",'Input Nilai Ketrampilan'!T21)</f>
        <v/>
      </c>
      <c r="P24" s="219" t="str">
        <f>IF('Input Nilai Ketrampilan'!Y21="","",'Input Nilai Ketrampilan'!Y21)</f>
        <v/>
      </c>
      <c r="Q24" s="219" t="str">
        <f>IF('Input Nilai Ketrampilan'!AD21="","",'Input Nilai Ketrampilan'!AD21)</f>
        <v/>
      </c>
      <c r="R24" s="219" t="str">
        <f>IF('Input Nilai Ketrampilan'!AI21="","",'Input Nilai Ketrampilan'!AI21)</f>
        <v/>
      </c>
      <c r="S24" s="430" t="str">
        <f>IF(B24="","",menu!$D$17)</f>
        <v/>
      </c>
      <c r="T24" s="424" t="str">
        <f t="shared" si="4"/>
        <v/>
      </c>
      <c r="U24" s="425" t="str">
        <f t="shared" si="5"/>
        <v/>
      </c>
      <c r="V24" s="425" t="str">
        <f>IF(M24="","",IF(U24&gt;=menu!$O$6,"A",IF(U24&gt;=menu!$O$7,"B",IF(U24&gt;=menu!$O$8,"C","D"))))</f>
        <v/>
      </c>
      <c r="W24" s="426" t="str">
        <f t="shared" si="6"/>
        <v/>
      </c>
      <c r="X24" s="234">
        <f>IF('Input Nilai Sikap'!H23="","",'Input Nilai Sikap'!H23)</f>
        <v>3</v>
      </c>
      <c r="Y24" s="231" t="str">
        <f>IF('Input Nilai Sikap'!I23="","",'Input Nilai Sikap'!I23)</f>
        <v>Melaksanakan sholat dhuhur berjemaah dan sholatt dhuha, berdo'a di awal di akhir kegiatan pembelajaran , serta melaksanakan kegiatan amaliyah siswa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AH24" s="418" t="str">
        <f>IF(G24="","",menu!$R$1)</f>
        <v/>
      </c>
    </row>
    <row r="25" spans="1:34" ht="163.5">
      <c r="A25" s="120">
        <f>'DATA SISWA'!A22</f>
        <v>18</v>
      </c>
      <c r="B25" s="121" t="str">
        <f>IF('DATA SISWA'!C22="","",'DATA SISWA'!C22)</f>
        <v/>
      </c>
      <c r="C25" s="218" t="str">
        <f>IF('Input Nilai Pengetahuan'!M22="","",'Input Nilai Pengetahuan'!M22)</f>
        <v/>
      </c>
      <c r="D25" s="218" t="str">
        <f>IF('Input Nilai Pengetahuan'!U22="","",'Input Nilai Pengetahuan'!U22)</f>
        <v/>
      </c>
      <c r="E25" s="218" t="str">
        <f>IF('Input Nilai Pengetahuan'!AC22="","",'Input Nilai Pengetahuan'!AC22)</f>
        <v/>
      </c>
      <c r="F25" s="218" t="str">
        <f>IF('Input Nilai Pengetahuan'!AK22="","",'Input Nilai Pengetahuan'!AK22)</f>
        <v/>
      </c>
      <c r="G25" s="220" t="str">
        <f>IF('Input Nilai Pengetahuan'!CK22="","",'Input Nilai Pengetahuan'!CK22)</f>
        <v/>
      </c>
      <c r="H25" s="423" t="str">
        <f t="shared" si="0"/>
        <v/>
      </c>
      <c r="I25" s="423" t="str">
        <f t="shared" si="1"/>
        <v/>
      </c>
      <c r="J25" s="423" t="str">
        <f t="shared" si="2"/>
        <v/>
      </c>
      <c r="K25" s="421" t="str">
        <f t="shared" si="3"/>
        <v/>
      </c>
      <c r="L25" s="421" t="str">
        <f>IF(G25="","",IF(K25&gt;=menu!$O$6,"A",IF(K25&gt;=menu!$O$7,"B",IF(K25&gt;=menu!$O$8,"C","D"))))</f>
        <v/>
      </c>
      <c r="M25" s="219" t="str">
        <f>IF('Input Nilai Ketrampilan'!J22="","",('Input Nilai Ketrampilan'!J22))</f>
        <v/>
      </c>
      <c r="N25" s="219" t="str">
        <f>IF('Input Nilai Ketrampilan'!O22="","",'Input Nilai Ketrampilan'!O22)</f>
        <v/>
      </c>
      <c r="O25" s="219" t="str">
        <f>IF('Input Nilai Ketrampilan'!T22="","",'Input Nilai Ketrampilan'!T22)</f>
        <v/>
      </c>
      <c r="P25" s="219" t="str">
        <f>IF('Input Nilai Ketrampilan'!Y22="","",'Input Nilai Ketrampilan'!Y22)</f>
        <v/>
      </c>
      <c r="Q25" s="219" t="str">
        <f>IF('Input Nilai Ketrampilan'!AD22="","",'Input Nilai Ketrampilan'!AD22)</f>
        <v/>
      </c>
      <c r="R25" s="219" t="str">
        <f>IF('Input Nilai Ketrampilan'!AI22="","",'Input Nilai Ketrampilan'!AI22)</f>
        <v/>
      </c>
      <c r="S25" s="430" t="str">
        <f>IF(B25="","",menu!$D$17)</f>
        <v/>
      </c>
      <c r="T25" s="424" t="str">
        <f t="shared" si="4"/>
        <v/>
      </c>
      <c r="U25" s="425" t="str">
        <f t="shared" si="5"/>
        <v/>
      </c>
      <c r="V25" s="425" t="str">
        <f>IF(M25="","",IF(U25&gt;=menu!$O$6,"A",IF(U25&gt;=menu!$O$7,"B",IF(U25&gt;=menu!$O$8,"C","D"))))</f>
        <v/>
      </c>
      <c r="W25" s="426" t="str">
        <f t="shared" si="6"/>
        <v/>
      </c>
      <c r="X25" s="234">
        <f>IF('Input Nilai Sikap'!H24="","",'Input Nilai Sikap'!H24)</f>
        <v>3</v>
      </c>
      <c r="Y25" s="231" t="str">
        <f>IF('Input Nilai Sikap'!I24="","",'Input Nilai Sikap'!I24)</f>
        <v>Melaksanakan sholat dhuhur berjemaah dan sholatt dhuha, berdo'a di awal di akhir kegiatan pembelajaran , serta melaksanakan kegiatan amaliyah siswa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AH25" s="418" t="str">
        <f>IF(G25="","",menu!$R$1)</f>
        <v/>
      </c>
    </row>
    <row r="26" spans="1:34" ht="163.5">
      <c r="A26" s="120">
        <f>'DATA SISWA'!A23</f>
        <v>19</v>
      </c>
      <c r="B26" s="121" t="str">
        <f>IF('DATA SISWA'!C23="","",'DATA SISWA'!C23)</f>
        <v/>
      </c>
      <c r="C26" s="218" t="str">
        <f>IF('Input Nilai Pengetahuan'!M23="","",'Input Nilai Pengetahuan'!M23)</f>
        <v/>
      </c>
      <c r="D26" s="218" t="str">
        <f>IF('Input Nilai Pengetahuan'!U23="","",'Input Nilai Pengetahuan'!U23)</f>
        <v/>
      </c>
      <c r="E26" s="218" t="str">
        <f>IF('Input Nilai Pengetahuan'!AC23="","",'Input Nilai Pengetahuan'!AC23)</f>
        <v/>
      </c>
      <c r="F26" s="218" t="str">
        <f>IF('Input Nilai Pengetahuan'!AK23="","",'Input Nilai Pengetahuan'!AK23)</f>
        <v/>
      </c>
      <c r="G26" s="220" t="str">
        <f>IF('Input Nilai Pengetahuan'!CK23="","",'Input Nilai Pengetahuan'!CK23)</f>
        <v/>
      </c>
      <c r="H26" s="423" t="str">
        <f t="shared" si="0"/>
        <v/>
      </c>
      <c r="I26" s="423" t="str">
        <f t="shared" si="1"/>
        <v/>
      </c>
      <c r="J26" s="423" t="str">
        <f t="shared" si="2"/>
        <v/>
      </c>
      <c r="K26" s="421" t="str">
        <f t="shared" si="3"/>
        <v/>
      </c>
      <c r="L26" s="421" t="str">
        <f>IF(G26="","",IF(K26&gt;=menu!$O$6,"A",IF(K26&gt;=menu!$O$7,"B",IF(K26&gt;=menu!$O$8,"C","D"))))</f>
        <v/>
      </c>
      <c r="M26" s="219" t="str">
        <f>IF('Input Nilai Ketrampilan'!J23="","",('Input Nilai Ketrampilan'!J23))</f>
        <v/>
      </c>
      <c r="N26" s="219" t="str">
        <f>IF('Input Nilai Ketrampilan'!O23="","",'Input Nilai Ketrampilan'!O23)</f>
        <v/>
      </c>
      <c r="O26" s="219" t="str">
        <f>IF('Input Nilai Ketrampilan'!T23="","",'Input Nilai Ketrampilan'!T23)</f>
        <v/>
      </c>
      <c r="P26" s="219" t="str">
        <f>IF('Input Nilai Ketrampilan'!Y23="","",'Input Nilai Ketrampilan'!Y23)</f>
        <v/>
      </c>
      <c r="Q26" s="219" t="str">
        <f>IF('Input Nilai Ketrampilan'!AD23="","",'Input Nilai Ketrampilan'!AD23)</f>
        <v/>
      </c>
      <c r="R26" s="219" t="str">
        <f>IF('Input Nilai Ketrampilan'!AI23="","",'Input Nilai Ketrampilan'!AI23)</f>
        <v/>
      </c>
      <c r="S26" s="430" t="str">
        <f>IF(B26="","",menu!$D$17)</f>
        <v/>
      </c>
      <c r="T26" s="424" t="str">
        <f t="shared" si="4"/>
        <v/>
      </c>
      <c r="U26" s="425" t="str">
        <f t="shared" si="5"/>
        <v/>
      </c>
      <c r="V26" s="425" t="str">
        <f>IF(M26="","",IF(U26&gt;=menu!$O$6,"A",IF(U26&gt;=menu!$O$7,"B",IF(U26&gt;=menu!$O$8,"C","D"))))</f>
        <v/>
      </c>
      <c r="W26" s="426" t="str">
        <f t="shared" si="6"/>
        <v/>
      </c>
      <c r="X26" s="234">
        <f>IF('Input Nilai Sikap'!H25="","",'Input Nilai Sikap'!H25)</f>
        <v>3</v>
      </c>
      <c r="Y26" s="231" t="str">
        <f>IF('Input Nilai Sikap'!I25="","",'Input Nilai Sikap'!I25)</f>
        <v>Melaksanakan sholat dhuhur berjemaah dan sholatt dhuha, berdo'a di awal di akhir kegiatan pembelajaran , serta melaksanakan kegiatan amaliyah siswa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AH26" s="418" t="str">
        <f>IF(G26="","",menu!$R$1)</f>
        <v/>
      </c>
    </row>
    <row r="27" spans="1:34" ht="163.5">
      <c r="A27" s="120">
        <f>'DATA SISWA'!A24</f>
        <v>20</v>
      </c>
      <c r="B27" s="121" t="str">
        <f>IF('DATA SISWA'!C24="","",'DATA SISWA'!C24)</f>
        <v/>
      </c>
      <c r="C27" s="218" t="str">
        <f>IF('Input Nilai Pengetahuan'!M24="","",'Input Nilai Pengetahuan'!M24)</f>
        <v/>
      </c>
      <c r="D27" s="218" t="str">
        <f>IF('Input Nilai Pengetahuan'!U24="","",'Input Nilai Pengetahuan'!U24)</f>
        <v/>
      </c>
      <c r="E27" s="218" t="str">
        <f>IF('Input Nilai Pengetahuan'!AC24="","",'Input Nilai Pengetahuan'!AC24)</f>
        <v/>
      </c>
      <c r="F27" s="218" t="str">
        <f>IF('Input Nilai Pengetahuan'!AK24="","",'Input Nilai Pengetahuan'!AK24)</f>
        <v/>
      </c>
      <c r="G27" s="220" t="str">
        <f>IF('Input Nilai Pengetahuan'!CK24="","",'Input Nilai Pengetahuan'!CK24)</f>
        <v/>
      </c>
      <c r="H27" s="423" t="str">
        <f t="shared" si="0"/>
        <v/>
      </c>
      <c r="I27" s="423" t="str">
        <f t="shared" si="1"/>
        <v/>
      </c>
      <c r="J27" s="423" t="str">
        <f t="shared" si="2"/>
        <v/>
      </c>
      <c r="K27" s="421" t="str">
        <f t="shared" si="3"/>
        <v/>
      </c>
      <c r="L27" s="421" t="str">
        <f>IF(G27="","",IF(K27&gt;=menu!$O$6,"A",IF(K27&gt;=menu!$O$7,"B",IF(K27&gt;=menu!$O$8,"C","D"))))</f>
        <v/>
      </c>
      <c r="M27" s="219" t="str">
        <f>IF('Input Nilai Ketrampilan'!J24="","",('Input Nilai Ketrampilan'!J24))</f>
        <v/>
      </c>
      <c r="N27" s="219" t="str">
        <f>IF('Input Nilai Ketrampilan'!O24="","",'Input Nilai Ketrampilan'!O24)</f>
        <v/>
      </c>
      <c r="O27" s="219" t="str">
        <f>IF('Input Nilai Ketrampilan'!T24="","",'Input Nilai Ketrampilan'!T24)</f>
        <v/>
      </c>
      <c r="P27" s="219" t="str">
        <f>IF('Input Nilai Ketrampilan'!Y24="","",'Input Nilai Ketrampilan'!Y24)</f>
        <v/>
      </c>
      <c r="Q27" s="219" t="str">
        <f>IF('Input Nilai Ketrampilan'!AD24="","",'Input Nilai Ketrampilan'!AD24)</f>
        <v/>
      </c>
      <c r="R27" s="219" t="str">
        <f>IF('Input Nilai Ketrampilan'!AI24="","",'Input Nilai Ketrampilan'!AI24)</f>
        <v/>
      </c>
      <c r="S27" s="430" t="str">
        <f>IF(B27="","",menu!$D$17)</f>
        <v/>
      </c>
      <c r="T27" s="424" t="str">
        <f t="shared" si="4"/>
        <v/>
      </c>
      <c r="U27" s="425" t="str">
        <f t="shared" si="5"/>
        <v/>
      </c>
      <c r="V27" s="425" t="str">
        <f>IF(M27="","",IF(U27&gt;=menu!$O$6,"A",IF(U27&gt;=menu!$O$7,"B",IF(U27&gt;=menu!$O$8,"C","D"))))</f>
        <v/>
      </c>
      <c r="W27" s="426" t="str">
        <f t="shared" si="6"/>
        <v/>
      </c>
      <c r="X27" s="234">
        <f>IF('Input Nilai Sikap'!H26="","",'Input Nilai Sikap'!H26)</f>
        <v>3</v>
      </c>
      <c r="Y27" s="231" t="str">
        <f>IF('Input Nilai Sikap'!I26="","",'Input Nilai Sikap'!I26)</f>
        <v>Melaksanakan sholat dhuhur berjemaah dan sholatt dhuha, berdo'a di awal di akhir kegiatan pembelajaran , serta melaksanakan kegiatan amaliyah siswa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AH27" s="418" t="str">
        <f>IF(G27="","",menu!$R$1)</f>
        <v/>
      </c>
    </row>
    <row r="28" spans="1:34" ht="163.5">
      <c r="A28" s="120">
        <f>'DATA SISWA'!A25</f>
        <v>21</v>
      </c>
      <c r="B28" s="121" t="str">
        <f>IF('DATA SISWA'!C25="","",'DATA SISWA'!C25)</f>
        <v/>
      </c>
      <c r="C28" s="218" t="str">
        <f>IF('Input Nilai Pengetahuan'!M25="","",'Input Nilai Pengetahuan'!M25)</f>
        <v/>
      </c>
      <c r="D28" s="218" t="str">
        <f>IF('Input Nilai Pengetahuan'!U25="","",'Input Nilai Pengetahuan'!U25)</f>
        <v/>
      </c>
      <c r="E28" s="218" t="str">
        <f>IF('Input Nilai Pengetahuan'!AC25="","",'Input Nilai Pengetahuan'!AC25)</f>
        <v/>
      </c>
      <c r="F28" s="218" t="str">
        <f>IF('Input Nilai Pengetahuan'!AK25="","",'Input Nilai Pengetahuan'!AK25)</f>
        <v/>
      </c>
      <c r="G28" s="220" t="str">
        <f>IF('Input Nilai Pengetahuan'!CK25="","",'Input Nilai Pengetahuan'!CK25)</f>
        <v/>
      </c>
      <c r="H28" s="423" t="str">
        <f t="shared" si="0"/>
        <v/>
      </c>
      <c r="I28" s="423" t="str">
        <f t="shared" si="1"/>
        <v/>
      </c>
      <c r="J28" s="423" t="str">
        <f t="shared" si="2"/>
        <v/>
      </c>
      <c r="K28" s="421" t="str">
        <f t="shared" si="3"/>
        <v/>
      </c>
      <c r="L28" s="421" t="str">
        <f>IF(G28="","",IF(K28&gt;=menu!$O$6,"A",IF(K28&gt;=menu!$O$7,"B",IF(K28&gt;=menu!$O$8,"C","D"))))</f>
        <v/>
      </c>
      <c r="M28" s="219" t="str">
        <f>IF('Input Nilai Ketrampilan'!J25="","",('Input Nilai Ketrampilan'!J25))</f>
        <v/>
      </c>
      <c r="N28" s="219" t="str">
        <f>IF('Input Nilai Ketrampilan'!O25="","",'Input Nilai Ketrampilan'!O25)</f>
        <v/>
      </c>
      <c r="O28" s="219" t="str">
        <f>IF('Input Nilai Ketrampilan'!T25="","",'Input Nilai Ketrampilan'!T25)</f>
        <v/>
      </c>
      <c r="P28" s="219" t="str">
        <f>IF('Input Nilai Ketrampilan'!Y25="","",'Input Nilai Ketrampilan'!Y25)</f>
        <v/>
      </c>
      <c r="Q28" s="219" t="str">
        <f>IF('Input Nilai Ketrampilan'!AD25="","",'Input Nilai Ketrampilan'!AD25)</f>
        <v/>
      </c>
      <c r="R28" s="219" t="str">
        <f>IF('Input Nilai Ketrampilan'!AI25="","",'Input Nilai Ketrampilan'!AI25)</f>
        <v/>
      </c>
      <c r="S28" s="430" t="str">
        <f>IF(B28="","",menu!$D$17)</f>
        <v/>
      </c>
      <c r="T28" s="424" t="str">
        <f t="shared" si="4"/>
        <v/>
      </c>
      <c r="U28" s="425" t="str">
        <f t="shared" si="5"/>
        <v/>
      </c>
      <c r="V28" s="425" t="str">
        <f>IF(M28="","",IF(U28&gt;=menu!$O$6,"A",IF(U28&gt;=menu!$O$7,"B",IF(U28&gt;=menu!$O$8,"C","D"))))</f>
        <v/>
      </c>
      <c r="W28" s="426" t="str">
        <f t="shared" si="6"/>
        <v/>
      </c>
      <c r="X28" s="234">
        <f>IF('Input Nilai Sikap'!H27="","",'Input Nilai Sikap'!H27)</f>
        <v>3</v>
      </c>
      <c r="Y28" s="231" t="str">
        <f>IF('Input Nilai Sikap'!I27="","",'Input Nilai Sikap'!I27)</f>
        <v>Melaksanakan sholat dhuhur berjemaah dan sholatt dhuha, berdo'a di awal di akhir kegiatan pembelajaran , serta melaksanakan kegiatan amaliyah siswa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AH28" s="418" t="str">
        <f>IF(G28="","",menu!$R$1)</f>
        <v/>
      </c>
    </row>
    <row r="29" spans="1:34" ht="163.5">
      <c r="A29" s="120">
        <f>'DATA SISWA'!A26</f>
        <v>22</v>
      </c>
      <c r="B29" s="121" t="str">
        <f>IF('DATA SISWA'!C26="","",'DATA SISWA'!C26)</f>
        <v/>
      </c>
      <c r="C29" s="218" t="str">
        <f>IF('Input Nilai Pengetahuan'!M26="","",'Input Nilai Pengetahuan'!M26)</f>
        <v/>
      </c>
      <c r="D29" s="218" t="str">
        <f>IF('Input Nilai Pengetahuan'!U26="","",'Input Nilai Pengetahuan'!U26)</f>
        <v/>
      </c>
      <c r="E29" s="218" t="str">
        <f>IF('Input Nilai Pengetahuan'!AC26="","",'Input Nilai Pengetahuan'!AC26)</f>
        <v/>
      </c>
      <c r="F29" s="218" t="str">
        <f>IF('Input Nilai Pengetahuan'!AK26="","",'Input Nilai Pengetahuan'!AK26)</f>
        <v/>
      </c>
      <c r="G29" s="220" t="str">
        <f>IF('Input Nilai Pengetahuan'!CK26="","",'Input Nilai Pengetahuan'!CK26)</f>
        <v/>
      </c>
      <c r="H29" s="423" t="str">
        <f t="shared" si="0"/>
        <v/>
      </c>
      <c r="I29" s="423" t="str">
        <f t="shared" si="1"/>
        <v/>
      </c>
      <c r="J29" s="423" t="str">
        <f t="shared" si="2"/>
        <v/>
      </c>
      <c r="K29" s="421" t="str">
        <f t="shared" si="3"/>
        <v/>
      </c>
      <c r="L29" s="421" t="str">
        <f>IF(G29="","",IF(K29&gt;=menu!$O$6,"A",IF(K29&gt;=menu!$O$7,"B",IF(K29&gt;=menu!$O$8,"C","D"))))</f>
        <v/>
      </c>
      <c r="M29" s="219" t="str">
        <f>IF('Input Nilai Ketrampilan'!J26="","",('Input Nilai Ketrampilan'!J26))</f>
        <v/>
      </c>
      <c r="N29" s="219" t="str">
        <f>IF('Input Nilai Ketrampilan'!O26="","",'Input Nilai Ketrampilan'!O26)</f>
        <v/>
      </c>
      <c r="O29" s="219" t="str">
        <f>IF('Input Nilai Ketrampilan'!T26="","",'Input Nilai Ketrampilan'!T26)</f>
        <v/>
      </c>
      <c r="P29" s="219" t="str">
        <f>IF('Input Nilai Ketrampilan'!Y26="","",'Input Nilai Ketrampilan'!Y26)</f>
        <v/>
      </c>
      <c r="Q29" s="219" t="str">
        <f>IF('Input Nilai Ketrampilan'!AD26="","",'Input Nilai Ketrampilan'!AD26)</f>
        <v/>
      </c>
      <c r="R29" s="219" t="str">
        <f>IF('Input Nilai Ketrampilan'!AI26="","",'Input Nilai Ketrampilan'!AI26)</f>
        <v/>
      </c>
      <c r="S29" s="430" t="str">
        <f>IF(B29="","",menu!$D$17)</f>
        <v/>
      </c>
      <c r="T29" s="424" t="str">
        <f t="shared" si="4"/>
        <v/>
      </c>
      <c r="U29" s="425" t="str">
        <f t="shared" si="5"/>
        <v/>
      </c>
      <c r="V29" s="425" t="str">
        <f>IF(M29="","",IF(U29&gt;=menu!$O$6,"A",IF(U29&gt;=menu!$O$7,"B",IF(U29&gt;=menu!$O$8,"C","D"))))</f>
        <v/>
      </c>
      <c r="W29" s="426" t="str">
        <f t="shared" si="6"/>
        <v/>
      </c>
      <c r="X29" s="234">
        <f>IF('Input Nilai Sikap'!H28="","",'Input Nilai Sikap'!H28)</f>
        <v>3</v>
      </c>
      <c r="Y29" s="231" t="str">
        <f>IF('Input Nilai Sikap'!I28="","",'Input Nilai Sikap'!I28)</f>
        <v>Melaksanakan sholat dhuhur berjemaah dan sholatt dhuha, berdo'a di awal di akhir kegiatan pembelajaran , serta melaksanakan kegiatan amaliyah siswa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AH29" s="418" t="str">
        <f>IF(G29="","",menu!$R$1)</f>
        <v/>
      </c>
    </row>
    <row r="30" spans="1:34" ht="163.5">
      <c r="A30" s="120">
        <f>'DATA SISWA'!A27</f>
        <v>23</v>
      </c>
      <c r="B30" s="121" t="str">
        <f>IF('DATA SISWA'!C27="","",'DATA SISWA'!C27)</f>
        <v/>
      </c>
      <c r="C30" s="218" t="str">
        <f>IF('Input Nilai Pengetahuan'!M27="","",'Input Nilai Pengetahuan'!M27)</f>
        <v/>
      </c>
      <c r="D30" s="218" t="str">
        <f>IF('Input Nilai Pengetahuan'!U27="","",'Input Nilai Pengetahuan'!U27)</f>
        <v/>
      </c>
      <c r="E30" s="218" t="str">
        <f>IF('Input Nilai Pengetahuan'!AC27="","",'Input Nilai Pengetahuan'!AC27)</f>
        <v/>
      </c>
      <c r="F30" s="218" t="str">
        <f>IF('Input Nilai Pengetahuan'!AK27="","",'Input Nilai Pengetahuan'!AK27)</f>
        <v/>
      </c>
      <c r="G30" s="220" t="str">
        <f>IF('Input Nilai Pengetahuan'!CK27="","",'Input Nilai Pengetahuan'!CK27)</f>
        <v/>
      </c>
      <c r="H30" s="423" t="str">
        <f t="shared" si="0"/>
        <v/>
      </c>
      <c r="I30" s="423" t="str">
        <f t="shared" si="1"/>
        <v/>
      </c>
      <c r="J30" s="423" t="str">
        <f t="shared" si="2"/>
        <v/>
      </c>
      <c r="K30" s="421" t="str">
        <f t="shared" si="3"/>
        <v/>
      </c>
      <c r="L30" s="421" t="str">
        <f>IF(G30="","",IF(K30&gt;=menu!$O$6,"A",IF(K30&gt;=menu!$O$7,"B",IF(K30&gt;=menu!$O$8,"C","D"))))</f>
        <v/>
      </c>
      <c r="M30" s="219" t="str">
        <f>IF('Input Nilai Ketrampilan'!J27="","",('Input Nilai Ketrampilan'!J27))</f>
        <v/>
      </c>
      <c r="N30" s="219" t="str">
        <f>IF('Input Nilai Ketrampilan'!O27="","",'Input Nilai Ketrampilan'!O27)</f>
        <v/>
      </c>
      <c r="O30" s="219" t="str">
        <f>IF('Input Nilai Ketrampilan'!T27="","",'Input Nilai Ketrampilan'!T27)</f>
        <v/>
      </c>
      <c r="P30" s="219" t="str">
        <f>IF('Input Nilai Ketrampilan'!Y27="","",'Input Nilai Ketrampilan'!Y27)</f>
        <v/>
      </c>
      <c r="Q30" s="219" t="str">
        <f>IF('Input Nilai Ketrampilan'!AD27="","",'Input Nilai Ketrampilan'!AD27)</f>
        <v/>
      </c>
      <c r="R30" s="219" t="str">
        <f>IF('Input Nilai Ketrampilan'!AI27="","",'Input Nilai Ketrampilan'!AI27)</f>
        <v/>
      </c>
      <c r="S30" s="430" t="str">
        <f>IF(B30="","",menu!$D$17)</f>
        <v/>
      </c>
      <c r="T30" s="424" t="str">
        <f t="shared" si="4"/>
        <v/>
      </c>
      <c r="U30" s="425" t="str">
        <f t="shared" si="5"/>
        <v/>
      </c>
      <c r="V30" s="425" t="str">
        <f>IF(M30="","",IF(U30&gt;=menu!$O$6,"A",IF(U30&gt;=menu!$O$7,"B",IF(U30&gt;=menu!$O$8,"C","D"))))</f>
        <v/>
      </c>
      <c r="W30" s="426" t="str">
        <f t="shared" si="6"/>
        <v/>
      </c>
      <c r="X30" s="234">
        <f>IF('Input Nilai Sikap'!H29="","",'Input Nilai Sikap'!H29)</f>
        <v>3</v>
      </c>
      <c r="Y30" s="231" t="str">
        <f>IF('Input Nilai Sikap'!I29="","",'Input Nilai Sikap'!I29)</f>
        <v>Melaksanakan sholat dhuhur berjemaah dan sholatt dhuha, berdo'a di awal di akhir kegiatan pembelajaran , serta melaksanakan kegiatan amaliyah siswa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AH30" s="418" t="str">
        <f>IF(G30="","",menu!$R$1)</f>
        <v/>
      </c>
    </row>
    <row r="31" spans="1:34" ht="163.5">
      <c r="A31" s="120">
        <f>'DATA SISWA'!A28</f>
        <v>24</v>
      </c>
      <c r="B31" s="121" t="str">
        <f>IF('DATA SISWA'!C28="","",'DATA SISWA'!C28)</f>
        <v/>
      </c>
      <c r="C31" s="218" t="str">
        <f>IF('Input Nilai Pengetahuan'!M28="","",'Input Nilai Pengetahuan'!M28)</f>
        <v/>
      </c>
      <c r="D31" s="218" t="str">
        <f>IF('Input Nilai Pengetahuan'!U28="","",'Input Nilai Pengetahuan'!U28)</f>
        <v/>
      </c>
      <c r="E31" s="218" t="str">
        <f>IF('Input Nilai Pengetahuan'!AC28="","",'Input Nilai Pengetahuan'!AC28)</f>
        <v/>
      </c>
      <c r="F31" s="218" t="str">
        <f>IF('Input Nilai Pengetahuan'!AK28="","",'Input Nilai Pengetahuan'!AK28)</f>
        <v/>
      </c>
      <c r="G31" s="220" t="str">
        <f>IF('Input Nilai Pengetahuan'!CK28="","",'Input Nilai Pengetahuan'!CK28)</f>
        <v/>
      </c>
      <c r="H31" s="423" t="str">
        <f t="shared" si="0"/>
        <v/>
      </c>
      <c r="I31" s="423" t="str">
        <f t="shared" si="1"/>
        <v/>
      </c>
      <c r="J31" s="423" t="str">
        <f t="shared" si="2"/>
        <v/>
      </c>
      <c r="K31" s="421" t="str">
        <f t="shared" si="3"/>
        <v/>
      </c>
      <c r="L31" s="421" t="str">
        <f>IF(G31="","",IF(K31&gt;=menu!$O$6,"A",IF(K31&gt;=menu!$O$7,"B",IF(K31&gt;=menu!$O$8,"C","D"))))</f>
        <v/>
      </c>
      <c r="M31" s="219" t="str">
        <f>IF('Input Nilai Ketrampilan'!J28="","",('Input Nilai Ketrampilan'!J28))</f>
        <v/>
      </c>
      <c r="N31" s="219" t="str">
        <f>IF('Input Nilai Ketrampilan'!O28="","",'Input Nilai Ketrampilan'!O28)</f>
        <v/>
      </c>
      <c r="O31" s="219" t="str">
        <f>IF('Input Nilai Ketrampilan'!T28="","",'Input Nilai Ketrampilan'!T28)</f>
        <v/>
      </c>
      <c r="P31" s="219" t="str">
        <f>IF('Input Nilai Ketrampilan'!Y28="","",'Input Nilai Ketrampilan'!Y28)</f>
        <v/>
      </c>
      <c r="Q31" s="219" t="str">
        <f>IF('Input Nilai Ketrampilan'!AD28="","",'Input Nilai Ketrampilan'!AD28)</f>
        <v/>
      </c>
      <c r="R31" s="219" t="str">
        <f>IF('Input Nilai Ketrampilan'!AI28="","",'Input Nilai Ketrampilan'!AI28)</f>
        <v/>
      </c>
      <c r="S31" s="430" t="str">
        <f>IF(B31="","",menu!$D$17)</f>
        <v/>
      </c>
      <c r="T31" s="424" t="str">
        <f t="shared" si="4"/>
        <v/>
      </c>
      <c r="U31" s="425" t="str">
        <f t="shared" si="5"/>
        <v/>
      </c>
      <c r="V31" s="425" t="str">
        <f>IF(M31="","",IF(U31&gt;=menu!$O$6,"A",IF(U31&gt;=menu!$O$7,"B",IF(U31&gt;=menu!$O$8,"C","D"))))</f>
        <v/>
      </c>
      <c r="W31" s="426" t="str">
        <f t="shared" si="6"/>
        <v/>
      </c>
      <c r="X31" s="234">
        <f>IF('Input Nilai Sikap'!H30="","",'Input Nilai Sikap'!H30)</f>
        <v>3</v>
      </c>
      <c r="Y31" s="231" t="str">
        <f>IF('Input Nilai Sikap'!I30="","",'Input Nilai Sikap'!I30)</f>
        <v>Melaksanakan sholat dhuhur berjemaah dan sholatt dhuha, berdo'a di awal di akhir kegiatan pembelajaran , serta melaksanakan kegiatan amaliyah siswa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AH31" s="418" t="str">
        <f>IF(G31="","",menu!$R$1)</f>
        <v/>
      </c>
    </row>
    <row r="32" spans="1:34" ht="163.5">
      <c r="A32" s="120">
        <f>'DATA SISWA'!A29</f>
        <v>25</v>
      </c>
      <c r="B32" s="121" t="str">
        <f>IF('DATA SISWA'!C29="","",'DATA SISWA'!C29)</f>
        <v/>
      </c>
      <c r="C32" s="218" t="str">
        <f>IF('Input Nilai Pengetahuan'!M29="","",'Input Nilai Pengetahuan'!M29)</f>
        <v/>
      </c>
      <c r="D32" s="218" t="str">
        <f>IF('Input Nilai Pengetahuan'!U29="","",'Input Nilai Pengetahuan'!U29)</f>
        <v/>
      </c>
      <c r="E32" s="218" t="str">
        <f>IF('Input Nilai Pengetahuan'!AC29="","",'Input Nilai Pengetahuan'!AC29)</f>
        <v/>
      </c>
      <c r="F32" s="218" t="str">
        <f>IF('Input Nilai Pengetahuan'!AK29="","",'Input Nilai Pengetahuan'!AK29)</f>
        <v/>
      </c>
      <c r="G32" s="220" t="str">
        <f>IF('Input Nilai Pengetahuan'!CK29="","",'Input Nilai Pengetahuan'!CK29)</f>
        <v/>
      </c>
      <c r="H32" s="423" t="str">
        <f t="shared" si="0"/>
        <v/>
      </c>
      <c r="I32" s="423" t="str">
        <f t="shared" si="1"/>
        <v/>
      </c>
      <c r="J32" s="423" t="str">
        <f t="shared" si="2"/>
        <v/>
      </c>
      <c r="K32" s="421" t="str">
        <f t="shared" si="3"/>
        <v/>
      </c>
      <c r="L32" s="421" t="str">
        <f>IF(G32="","",IF(K32&gt;=menu!$O$6,"A",IF(K32&gt;=menu!$O$7,"B",IF(K32&gt;=menu!$O$8,"C","D"))))</f>
        <v/>
      </c>
      <c r="M32" s="219" t="str">
        <f>IF('Input Nilai Ketrampilan'!J29="","",('Input Nilai Ketrampilan'!J29))</f>
        <v/>
      </c>
      <c r="N32" s="219" t="str">
        <f>IF('Input Nilai Ketrampilan'!O29="","",'Input Nilai Ketrampilan'!O29)</f>
        <v/>
      </c>
      <c r="O32" s="219" t="str">
        <f>IF('Input Nilai Ketrampilan'!T29="","",'Input Nilai Ketrampilan'!T29)</f>
        <v/>
      </c>
      <c r="P32" s="219" t="str">
        <f>IF('Input Nilai Ketrampilan'!Y29="","",'Input Nilai Ketrampilan'!Y29)</f>
        <v/>
      </c>
      <c r="Q32" s="219" t="str">
        <f>IF('Input Nilai Ketrampilan'!AD29="","",'Input Nilai Ketrampilan'!AD29)</f>
        <v/>
      </c>
      <c r="R32" s="219" t="str">
        <f>IF('Input Nilai Ketrampilan'!AI29="","",'Input Nilai Ketrampilan'!AI29)</f>
        <v/>
      </c>
      <c r="S32" s="430" t="str">
        <f>IF(B32="","",menu!$D$17)</f>
        <v/>
      </c>
      <c r="T32" s="424" t="str">
        <f t="shared" si="4"/>
        <v/>
      </c>
      <c r="U32" s="425" t="str">
        <f t="shared" si="5"/>
        <v/>
      </c>
      <c r="V32" s="425" t="str">
        <f>IF(M32="","",IF(U32&gt;=menu!$O$6,"A",IF(U32&gt;=menu!$O$7,"B",IF(U32&gt;=menu!$O$8,"C","D"))))</f>
        <v/>
      </c>
      <c r="W32" s="426" t="str">
        <f t="shared" si="6"/>
        <v/>
      </c>
      <c r="X32" s="234">
        <f>IF('Input Nilai Sikap'!H31="","",'Input Nilai Sikap'!H31)</f>
        <v>3</v>
      </c>
      <c r="Y32" s="231" t="str">
        <f>IF('Input Nilai Sikap'!I31="","",'Input Nilai Sikap'!I31)</f>
        <v>Melaksanakan sholat dhuhur berjemaah dan sholatt dhuha, berdo'a di awal di akhir kegiatan pembelajaran , serta melaksanakan kegiatan amaliyah siswa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AH32" s="418" t="str">
        <f>IF(G32="","",menu!$R$1)</f>
        <v/>
      </c>
    </row>
    <row r="33" spans="1:34" ht="163.5">
      <c r="A33" s="120">
        <f>'DATA SISWA'!A30</f>
        <v>26</v>
      </c>
      <c r="B33" s="121" t="str">
        <f>IF('DATA SISWA'!C30="","",'DATA SISWA'!C30)</f>
        <v/>
      </c>
      <c r="C33" s="218" t="str">
        <f>IF('Input Nilai Pengetahuan'!M30="","",'Input Nilai Pengetahuan'!M30)</f>
        <v/>
      </c>
      <c r="D33" s="218" t="str">
        <f>IF('Input Nilai Pengetahuan'!U30="","",'Input Nilai Pengetahuan'!U30)</f>
        <v/>
      </c>
      <c r="E33" s="218" t="str">
        <f>IF('Input Nilai Pengetahuan'!AC30="","",'Input Nilai Pengetahuan'!AC30)</f>
        <v/>
      </c>
      <c r="F33" s="218" t="str">
        <f>IF('Input Nilai Pengetahuan'!AK30="","",'Input Nilai Pengetahuan'!AK30)</f>
        <v/>
      </c>
      <c r="G33" s="220" t="str">
        <f>IF('Input Nilai Pengetahuan'!CK30="","",'Input Nilai Pengetahuan'!CK30)</f>
        <v/>
      </c>
      <c r="H33" s="423" t="str">
        <f t="shared" si="0"/>
        <v/>
      </c>
      <c r="I33" s="423" t="str">
        <f t="shared" si="1"/>
        <v/>
      </c>
      <c r="J33" s="423" t="str">
        <f t="shared" si="2"/>
        <v/>
      </c>
      <c r="K33" s="421" t="str">
        <f t="shared" si="3"/>
        <v/>
      </c>
      <c r="L33" s="421" t="str">
        <f>IF(G33="","",IF(K33&gt;=menu!$O$6,"A",IF(K33&gt;=menu!$O$7,"B",IF(K33&gt;=menu!$O$8,"C","D"))))</f>
        <v/>
      </c>
      <c r="M33" s="219" t="str">
        <f>IF('Input Nilai Ketrampilan'!J30="","",('Input Nilai Ketrampilan'!J30))</f>
        <v/>
      </c>
      <c r="N33" s="219" t="str">
        <f>IF('Input Nilai Ketrampilan'!O30="","",'Input Nilai Ketrampilan'!O30)</f>
        <v/>
      </c>
      <c r="O33" s="219" t="str">
        <f>IF('Input Nilai Ketrampilan'!T30="","",'Input Nilai Ketrampilan'!T30)</f>
        <v/>
      </c>
      <c r="P33" s="219" t="str">
        <f>IF('Input Nilai Ketrampilan'!Y30="","",'Input Nilai Ketrampilan'!Y30)</f>
        <v/>
      </c>
      <c r="Q33" s="219" t="str">
        <f>IF('Input Nilai Ketrampilan'!AD30="","",'Input Nilai Ketrampilan'!AD30)</f>
        <v/>
      </c>
      <c r="R33" s="219" t="str">
        <f>IF('Input Nilai Ketrampilan'!AI30="","",'Input Nilai Ketrampilan'!AI30)</f>
        <v/>
      </c>
      <c r="S33" s="430" t="str">
        <f>IF(B33="","",menu!$D$17)</f>
        <v/>
      </c>
      <c r="T33" s="424" t="str">
        <f t="shared" si="4"/>
        <v/>
      </c>
      <c r="U33" s="425" t="str">
        <f t="shared" si="5"/>
        <v/>
      </c>
      <c r="V33" s="425" t="str">
        <f>IF(M33="","",IF(U33&gt;=menu!$O$6,"A",IF(U33&gt;=menu!$O$7,"B",IF(U33&gt;=menu!$O$8,"C","D"))))</f>
        <v/>
      </c>
      <c r="W33" s="426" t="str">
        <f t="shared" si="6"/>
        <v/>
      </c>
      <c r="X33" s="234">
        <f>IF('Input Nilai Sikap'!H32="","",'Input Nilai Sikap'!H32)</f>
        <v>3</v>
      </c>
      <c r="Y33" s="231" t="str">
        <f>IF('Input Nilai Sikap'!I32="","",'Input Nilai Sikap'!I32)</f>
        <v>Melaksanakan sholat dhuhur berjemaah dan sholatt dhuha, berdo'a di awal di akhir kegiatan pembelajaran , serta melaksanakan kegiatan amaliyah siswa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AH33" s="418" t="str">
        <f>IF(G33="","",menu!$R$1)</f>
        <v/>
      </c>
    </row>
    <row r="34" spans="1:34" ht="163.5">
      <c r="A34" s="120">
        <f>'DATA SISWA'!A31</f>
        <v>27</v>
      </c>
      <c r="B34" s="121" t="str">
        <f>IF('DATA SISWA'!C31="","",'DATA SISWA'!C31)</f>
        <v/>
      </c>
      <c r="C34" s="218" t="str">
        <f>IF('Input Nilai Pengetahuan'!M31="","",'Input Nilai Pengetahuan'!M31)</f>
        <v/>
      </c>
      <c r="D34" s="218" t="str">
        <f>IF('Input Nilai Pengetahuan'!U31="","",'Input Nilai Pengetahuan'!U31)</f>
        <v/>
      </c>
      <c r="E34" s="218" t="str">
        <f>IF('Input Nilai Pengetahuan'!AC31="","",'Input Nilai Pengetahuan'!AC31)</f>
        <v/>
      </c>
      <c r="F34" s="218" t="str">
        <f>IF('Input Nilai Pengetahuan'!AK31="","",'Input Nilai Pengetahuan'!AK31)</f>
        <v/>
      </c>
      <c r="G34" s="220" t="str">
        <f>IF('Input Nilai Pengetahuan'!CK31="","",'Input Nilai Pengetahuan'!CK31)</f>
        <v/>
      </c>
      <c r="H34" s="423" t="str">
        <f t="shared" si="0"/>
        <v/>
      </c>
      <c r="I34" s="423" t="str">
        <f t="shared" si="1"/>
        <v/>
      </c>
      <c r="J34" s="423" t="str">
        <f t="shared" si="2"/>
        <v/>
      </c>
      <c r="K34" s="421" t="str">
        <f t="shared" si="3"/>
        <v/>
      </c>
      <c r="L34" s="421" t="str">
        <f>IF(G34="","",IF(K34&gt;=menu!$O$6,"A",IF(K34&gt;=menu!$O$7,"B",IF(K34&gt;=menu!$O$8,"C","D"))))</f>
        <v/>
      </c>
      <c r="M34" s="219" t="str">
        <f>IF('Input Nilai Ketrampilan'!J31="","",('Input Nilai Ketrampilan'!J31))</f>
        <v/>
      </c>
      <c r="N34" s="219" t="str">
        <f>IF('Input Nilai Ketrampilan'!O31="","",'Input Nilai Ketrampilan'!O31)</f>
        <v/>
      </c>
      <c r="O34" s="219" t="str">
        <f>IF('Input Nilai Ketrampilan'!T31="","",'Input Nilai Ketrampilan'!T31)</f>
        <v/>
      </c>
      <c r="P34" s="219" t="str">
        <f>IF('Input Nilai Ketrampilan'!Y31="","",'Input Nilai Ketrampilan'!Y31)</f>
        <v/>
      </c>
      <c r="Q34" s="219" t="str">
        <f>IF('Input Nilai Ketrampilan'!AD31="","",'Input Nilai Ketrampilan'!AD31)</f>
        <v/>
      </c>
      <c r="R34" s="219" t="str">
        <f>IF('Input Nilai Ketrampilan'!AI31="","",'Input Nilai Ketrampilan'!AI31)</f>
        <v/>
      </c>
      <c r="S34" s="430" t="str">
        <f>IF(B34="","",menu!$D$17)</f>
        <v/>
      </c>
      <c r="T34" s="424" t="str">
        <f t="shared" si="4"/>
        <v/>
      </c>
      <c r="U34" s="425" t="str">
        <f t="shared" si="5"/>
        <v/>
      </c>
      <c r="V34" s="425" t="str">
        <f>IF(M34="","",IF(U34&gt;=menu!$O$6,"A",IF(U34&gt;=menu!$O$7,"B",IF(U34&gt;=menu!$O$8,"C","D"))))</f>
        <v/>
      </c>
      <c r="W34" s="426" t="str">
        <f t="shared" si="6"/>
        <v/>
      </c>
      <c r="X34" s="234">
        <f>IF('Input Nilai Sikap'!H33="","",'Input Nilai Sikap'!H33)</f>
        <v>3</v>
      </c>
      <c r="Y34" s="231" t="str">
        <f>IF('Input Nilai Sikap'!I33="","",'Input Nilai Sikap'!I33)</f>
        <v>Melaksanakan sholat dhuhur berjemaah dan sholatt dhuha, berdo'a di awal di akhir kegiatan pembelajaran , serta melaksanakan kegiatan amaliyah siswa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AH34" s="418" t="str">
        <f>IF(G34="","",menu!$R$1)</f>
        <v/>
      </c>
    </row>
    <row r="35" spans="1:34" ht="163.5">
      <c r="A35" s="120">
        <f>'DATA SISWA'!A32</f>
        <v>28</v>
      </c>
      <c r="B35" s="121" t="str">
        <f>IF('DATA SISWA'!C32="","",'DATA SISWA'!C32)</f>
        <v/>
      </c>
      <c r="C35" s="218" t="str">
        <f>IF('Input Nilai Pengetahuan'!M32="","",'Input Nilai Pengetahuan'!M32)</f>
        <v/>
      </c>
      <c r="D35" s="218" t="str">
        <f>IF('Input Nilai Pengetahuan'!U32="","",'Input Nilai Pengetahuan'!U32)</f>
        <v/>
      </c>
      <c r="E35" s="218" t="str">
        <f>IF('Input Nilai Pengetahuan'!AC32="","",'Input Nilai Pengetahuan'!AC32)</f>
        <v/>
      </c>
      <c r="F35" s="218" t="str">
        <f>IF('Input Nilai Pengetahuan'!AK32="","",'Input Nilai Pengetahuan'!AK32)</f>
        <v/>
      </c>
      <c r="G35" s="220" t="str">
        <f>IF('Input Nilai Pengetahuan'!CK32="","",'Input Nilai Pengetahuan'!CK32)</f>
        <v/>
      </c>
      <c r="H35" s="423" t="str">
        <f t="shared" si="0"/>
        <v/>
      </c>
      <c r="I35" s="423" t="str">
        <f t="shared" si="1"/>
        <v/>
      </c>
      <c r="J35" s="423" t="str">
        <f t="shared" si="2"/>
        <v/>
      </c>
      <c r="K35" s="421" t="str">
        <f t="shared" si="3"/>
        <v/>
      </c>
      <c r="L35" s="421" t="str">
        <f>IF(G35="","",IF(K35&gt;=menu!$O$6,"A",IF(K35&gt;=menu!$O$7,"B",IF(K35&gt;=menu!$O$8,"C","D"))))</f>
        <v/>
      </c>
      <c r="M35" s="219" t="str">
        <f>IF('Input Nilai Ketrampilan'!J32="","",('Input Nilai Ketrampilan'!J32))</f>
        <v/>
      </c>
      <c r="N35" s="219" t="str">
        <f>IF('Input Nilai Ketrampilan'!O32="","",'Input Nilai Ketrampilan'!O32)</f>
        <v/>
      </c>
      <c r="O35" s="219" t="str">
        <f>IF('Input Nilai Ketrampilan'!T32="","",'Input Nilai Ketrampilan'!T32)</f>
        <v/>
      </c>
      <c r="P35" s="219" t="str">
        <f>IF('Input Nilai Ketrampilan'!Y32="","",'Input Nilai Ketrampilan'!Y32)</f>
        <v/>
      </c>
      <c r="Q35" s="219" t="str">
        <f>IF('Input Nilai Ketrampilan'!AD32="","",'Input Nilai Ketrampilan'!AD32)</f>
        <v/>
      </c>
      <c r="R35" s="219" t="str">
        <f>IF('Input Nilai Ketrampilan'!AI32="","",'Input Nilai Ketrampilan'!AI32)</f>
        <v/>
      </c>
      <c r="S35" s="430" t="str">
        <f>IF(B35="","",menu!$D$17)</f>
        <v/>
      </c>
      <c r="T35" s="424" t="str">
        <f t="shared" si="4"/>
        <v/>
      </c>
      <c r="U35" s="425" t="str">
        <f t="shared" si="5"/>
        <v/>
      </c>
      <c r="V35" s="425" t="str">
        <f>IF(M35="","",IF(U35&gt;=menu!$O$6,"A",IF(U35&gt;=menu!$O$7,"B",IF(U35&gt;=menu!$O$8,"C","D"))))</f>
        <v/>
      </c>
      <c r="W35" s="426" t="str">
        <f t="shared" si="6"/>
        <v/>
      </c>
      <c r="X35" s="234">
        <f>IF('Input Nilai Sikap'!H34="","",'Input Nilai Sikap'!H34)</f>
        <v>3</v>
      </c>
      <c r="Y35" s="231" t="str">
        <f>IF('Input Nilai Sikap'!I34="","",'Input Nilai Sikap'!I34)</f>
        <v>Melaksanakan sholat dhuhur berjemaah dan sholatt dhuha, berdo'a di awal di akhir kegiatan pembelajaran , serta melaksanakan kegiatan amaliyah siswa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AH35" s="418" t="str">
        <f>IF(G35="","",menu!$R$1)</f>
        <v/>
      </c>
    </row>
    <row r="36" spans="1:34" ht="163.5">
      <c r="A36" s="120">
        <f>'DATA SISWA'!A33</f>
        <v>29</v>
      </c>
      <c r="B36" s="121" t="str">
        <f>IF('DATA SISWA'!C33="","",'DATA SISWA'!C33)</f>
        <v/>
      </c>
      <c r="C36" s="218" t="str">
        <f>IF('Input Nilai Pengetahuan'!M33="","",'Input Nilai Pengetahuan'!M33)</f>
        <v/>
      </c>
      <c r="D36" s="218" t="str">
        <f>IF('Input Nilai Pengetahuan'!U33="","",'Input Nilai Pengetahuan'!U33)</f>
        <v/>
      </c>
      <c r="E36" s="218" t="str">
        <f>IF('Input Nilai Pengetahuan'!AC33="","",'Input Nilai Pengetahuan'!AC33)</f>
        <v/>
      </c>
      <c r="F36" s="218" t="str">
        <f>IF('Input Nilai Pengetahuan'!AK33="","",'Input Nilai Pengetahuan'!AK33)</f>
        <v/>
      </c>
      <c r="G36" s="220" t="str">
        <f>IF('Input Nilai Pengetahuan'!CK33="","",'Input Nilai Pengetahuan'!CK33)</f>
        <v/>
      </c>
      <c r="H36" s="423" t="str">
        <f t="shared" si="0"/>
        <v/>
      </c>
      <c r="I36" s="423" t="str">
        <f t="shared" si="1"/>
        <v/>
      </c>
      <c r="J36" s="423" t="str">
        <f t="shared" si="2"/>
        <v/>
      </c>
      <c r="K36" s="421" t="str">
        <f t="shared" si="3"/>
        <v/>
      </c>
      <c r="L36" s="421" t="str">
        <f>IF(G36="","",IF(K36&gt;=menu!$O$6,"A",IF(K36&gt;=menu!$O$7,"B",IF(K36&gt;=menu!$O$8,"C","D"))))</f>
        <v/>
      </c>
      <c r="M36" s="219" t="str">
        <f>IF('Input Nilai Ketrampilan'!J33="","",('Input Nilai Ketrampilan'!J33))</f>
        <v/>
      </c>
      <c r="N36" s="219" t="str">
        <f>IF('Input Nilai Ketrampilan'!O33="","",'Input Nilai Ketrampilan'!O33)</f>
        <v/>
      </c>
      <c r="O36" s="219" t="str">
        <f>IF('Input Nilai Ketrampilan'!T33="","",'Input Nilai Ketrampilan'!T33)</f>
        <v/>
      </c>
      <c r="P36" s="219" t="str">
        <f>IF('Input Nilai Ketrampilan'!Y33="","",'Input Nilai Ketrampilan'!Y33)</f>
        <v/>
      </c>
      <c r="Q36" s="219" t="str">
        <f>IF('Input Nilai Ketrampilan'!AD33="","",'Input Nilai Ketrampilan'!AD33)</f>
        <v/>
      </c>
      <c r="R36" s="219" t="str">
        <f>IF('Input Nilai Ketrampilan'!AI33="","",'Input Nilai Ketrampilan'!AI33)</f>
        <v/>
      </c>
      <c r="S36" s="430" t="str">
        <f>IF(B36="","",menu!$D$17)</f>
        <v/>
      </c>
      <c r="T36" s="424" t="str">
        <f t="shared" si="4"/>
        <v/>
      </c>
      <c r="U36" s="425" t="str">
        <f t="shared" si="5"/>
        <v/>
      </c>
      <c r="V36" s="425" t="str">
        <f>IF(M36="","",IF(U36&gt;=menu!$O$6,"A",IF(U36&gt;=menu!$O$7,"B",IF(U36&gt;=menu!$O$8,"C","D"))))</f>
        <v/>
      </c>
      <c r="W36" s="426" t="str">
        <f t="shared" si="6"/>
        <v/>
      </c>
      <c r="X36" s="234">
        <f>IF('Input Nilai Sikap'!H35="","",'Input Nilai Sikap'!H35)</f>
        <v>3</v>
      </c>
      <c r="Y36" s="231" t="str">
        <f>IF('Input Nilai Sikap'!I35="","",'Input Nilai Sikap'!I35)</f>
        <v>Melaksanakan sholat dhuhur berjemaah dan sholatt dhuha, berdo'a di awal di akhir kegiatan pembelajaran , serta melaksanakan kegiatan amaliyah siswa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AH36" s="418" t="str">
        <f>IF(G36="","",menu!$R$1)</f>
        <v/>
      </c>
    </row>
    <row r="37" spans="1:34" ht="163.5">
      <c r="A37" s="120">
        <f>'DATA SISWA'!A34</f>
        <v>30</v>
      </c>
      <c r="B37" s="121" t="str">
        <f>IF('DATA SISWA'!C34="","",'DATA SISWA'!C34)</f>
        <v/>
      </c>
      <c r="C37" s="218" t="str">
        <f>IF('Input Nilai Pengetahuan'!M34="","",'Input Nilai Pengetahuan'!M34)</f>
        <v/>
      </c>
      <c r="D37" s="218" t="str">
        <f>IF('Input Nilai Pengetahuan'!U34="","",'Input Nilai Pengetahuan'!U34)</f>
        <v/>
      </c>
      <c r="E37" s="218" t="str">
        <f>IF('Input Nilai Pengetahuan'!AC34="","",'Input Nilai Pengetahuan'!AC34)</f>
        <v/>
      </c>
      <c r="F37" s="218" t="str">
        <f>IF('Input Nilai Pengetahuan'!AK34="","",'Input Nilai Pengetahuan'!AK34)</f>
        <v/>
      </c>
      <c r="G37" s="220" t="str">
        <f>IF('Input Nilai Pengetahuan'!CK34="","",'Input Nilai Pengetahuan'!CK34)</f>
        <v/>
      </c>
      <c r="H37" s="423" t="str">
        <f t="shared" si="0"/>
        <v/>
      </c>
      <c r="I37" s="423" t="str">
        <f t="shared" si="1"/>
        <v/>
      </c>
      <c r="J37" s="423" t="str">
        <f t="shared" si="2"/>
        <v/>
      </c>
      <c r="K37" s="421" t="str">
        <f t="shared" si="3"/>
        <v/>
      </c>
      <c r="L37" s="421" t="str">
        <f>IF(G37="","",IF(K37&gt;=menu!$O$6,"A",IF(K37&gt;=menu!$O$7,"B",IF(K37&gt;=menu!$O$8,"C","D"))))</f>
        <v/>
      </c>
      <c r="M37" s="219" t="str">
        <f>IF('Input Nilai Ketrampilan'!J34="","",('Input Nilai Ketrampilan'!J34))</f>
        <v/>
      </c>
      <c r="N37" s="219" t="str">
        <f>IF('Input Nilai Ketrampilan'!O34="","",'Input Nilai Ketrampilan'!O34)</f>
        <v/>
      </c>
      <c r="O37" s="219" t="str">
        <f>IF('Input Nilai Ketrampilan'!T34="","",'Input Nilai Ketrampilan'!T34)</f>
        <v/>
      </c>
      <c r="P37" s="219" t="str">
        <f>IF('Input Nilai Ketrampilan'!Y34="","",'Input Nilai Ketrampilan'!Y34)</f>
        <v/>
      </c>
      <c r="Q37" s="219" t="str">
        <f>IF('Input Nilai Ketrampilan'!AD34="","",'Input Nilai Ketrampilan'!AD34)</f>
        <v/>
      </c>
      <c r="R37" s="219" t="str">
        <f>IF('Input Nilai Ketrampilan'!AI34="","",'Input Nilai Ketrampilan'!AI34)</f>
        <v/>
      </c>
      <c r="S37" s="430" t="str">
        <f>IF(B37="","",menu!$D$17)</f>
        <v/>
      </c>
      <c r="T37" s="424" t="str">
        <f t="shared" si="4"/>
        <v/>
      </c>
      <c r="U37" s="425" t="str">
        <f t="shared" si="5"/>
        <v/>
      </c>
      <c r="V37" s="425" t="str">
        <f>IF(M37="","",IF(U37&gt;=menu!$O$6,"A",IF(U37&gt;=menu!$O$7,"B",IF(U37&gt;=menu!$O$8,"C","D"))))</f>
        <v/>
      </c>
      <c r="W37" s="426" t="str">
        <f t="shared" si="6"/>
        <v/>
      </c>
      <c r="X37" s="234">
        <f>IF('Input Nilai Sikap'!H36="","",'Input Nilai Sikap'!H36)</f>
        <v>3</v>
      </c>
      <c r="Y37" s="231" t="str">
        <f>IF('Input Nilai Sikap'!I36="","",'Input Nilai Sikap'!I36)</f>
        <v>Melaksanakan sholat dhuhur berjemaah dan sholatt dhuha, berdo'a di awal di akhir kegiatan pembelajaran , serta melaksanakan kegiatan amaliyah siswa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AH37" s="418" t="str">
        <f>IF(G37="","",menu!$R$1)</f>
        <v/>
      </c>
    </row>
    <row r="38" spans="1:34" ht="163.5">
      <c r="A38" s="120">
        <f>'DATA SISWA'!A35</f>
        <v>31</v>
      </c>
      <c r="B38" s="121" t="str">
        <f>IF('DATA SISWA'!C35="","",'DATA SISWA'!C35)</f>
        <v/>
      </c>
      <c r="C38" s="218" t="str">
        <f>IF('Input Nilai Pengetahuan'!M35="","",'Input Nilai Pengetahuan'!M35)</f>
        <v/>
      </c>
      <c r="D38" s="218" t="str">
        <f>IF('Input Nilai Pengetahuan'!U35="","",'Input Nilai Pengetahuan'!U35)</f>
        <v/>
      </c>
      <c r="E38" s="218" t="str">
        <f>IF('Input Nilai Pengetahuan'!AC35="","",'Input Nilai Pengetahuan'!AC35)</f>
        <v/>
      </c>
      <c r="F38" s="218" t="str">
        <f>IF('Input Nilai Pengetahuan'!AK35="","",'Input Nilai Pengetahuan'!AK35)</f>
        <v/>
      </c>
      <c r="G38" s="220" t="str">
        <f>IF('Input Nilai Pengetahuan'!CK35="","",'Input Nilai Pengetahuan'!CK35)</f>
        <v/>
      </c>
      <c r="H38" s="423" t="str">
        <f t="shared" si="0"/>
        <v/>
      </c>
      <c r="I38" s="423" t="str">
        <f t="shared" si="1"/>
        <v/>
      </c>
      <c r="J38" s="423" t="str">
        <f t="shared" si="2"/>
        <v/>
      </c>
      <c r="K38" s="421" t="str">
        <f t="shared" si="3"/>
        <v/>
      </c>
      <c r="L38" s="421" t="str">
        <f>IF(G38="","",IF(K38&gt;=menu!$O$6,"A",IF(K38&gt;=menu!$O$7,"B",IF(K38&gt;=menu!$O$8,"C","D"))))</f>
        <v/>
      </c>
      <c r="M38" s="219" t="str">
        <f>IF('Input Nilai Ketrampilan'!J35="","",('Input Nilai Ketrampilan'!J35))</f>
        <v/>
      </c>
      <c r="N38" s="219" t="str">
        <f>IF('Input Nilai Ketrampilan'!O35="","",'Input Nilai Ketrampilan'!O35)</f>
        <v/>
      </c>
      <c r="O38" s="219" t="str">
        <f>IF('Input Nilai Ketrampilan'!T35="","",'Input Nilai Ketrampilan'!T35)</f>
        <v/>
      </c>
      <c r="P38" s="219" t="str">
        <f>IF('Input Nilai Ketrampilan'!Y35="","",'Input Nilai Ketrampilan'!Y35)</f>
        <v/>
      </c>
      <c r="Q38" s="219" t="str">
        <f>IF('Input Nilai Ketrampilan'!AD35="","",'Input Nilai Ketrampilan'!AD35)</f>
        <v/>
      </c>
      <c r="R38" s="219" t="str">
        <f>IF('Input Nilai Ketrampilan'!AI35="","",'Input Nilai Ketrampilan'!AI35)</f>
        <v/>
      </c>
      <c r="S38" s="430" t="str">
        <f>IF(B38="","",menu!$D$17)</f>
        <v/>
      </c>
      <c r="T38" s="424" t="str">
        <f t="shared" si="4"/>
        <v/>
      </c>
      <c r="U38" s="425" t="str">
        <f t="shared" si="5"/>
        <v/>
      </c>
      <c r="V38" s="425" t="str">
        <f>IF(M38="","",IF(U38&gt;=menu!$O$6,"A",IF(U38&gt;=menu!$O$7,"B",IF(U38&gt;=menu!$O$8,"C","D"))))</f>
        <v/>
      </c>
      <c r="W38" s="426" t="str">
        <f t="shared" si="6"/>
        <v/>
      </c>
      <c r="X38" s="234">
        <f>IF('Input Nilai Sikap'!H37="","",'Input Nilai Sikap'!H37)</f>
        <v>3</v>
      </c>
      <c r="Y38" s="231" t="str">
        <f>IF('Input Nilai Sikap'!I37="","",'Input Nilai Sikap'!I37)</f>
        <v>Melaksanakan sholat dhuhur berjemaah dan sholatt dhuha, berdo'a di awal di akhir kegiatan pembelajaran , serta melaksanakan kegiatan amaliyah siswa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AH38" s="418" t="str">
        <f>IF(G38="","",menu!$R$1)</f>
        <v/>
      </c>
    </row>
    <row r="39" spans="1:34" ht="163.5">
      <c r="A39" s="120">
        <f>'DATA SISWA'!A36</f>
        <v>32</v>
      </c>
      <c r="B39" s="121" t="str">
        <f>IF('DATA SISWA'!C36="","",'DATA SISWA'!C36)</f>
        <v/>
      </c>
      <c r="C39" s="218" t="str">
        <f>IF('Input Nilai Pengetahuan'!M36="","",'Input Nilai Pengetahuan'!M36)</f>
        <v/>
      </c>
      <c r="D39" s="218" t="str">
        <f>IF('Input Nilai Pengetahuan'!U36="","",'Input Nilai Pengetahuan'!U36)</f>
        <v/>
      </c>
      <c r="E39" s="218" t="str">
        <f>IF('Input Nilai Pengetahuan'!AC36="","",'Input Nilai Pengetahuan'!AC36)</f>
        <v/>
      </c>
      <c r="F39" s="218" t="str">
        <f>IF('Input Nilai Pengetahuan'!AK36="","",'Input Nilai Pengetahuan'!AK36)</f>
        <v/>
      </c>
      <c r="G39" s="220" t="str">
        <f>IF('Input Nilai Pengetahuan'!CK36="","",'Input Nilai Pengetahuan'!CK36)</f>
        <v/>
      </c>
      <c r="H39" s="423" t="str">
        <f t="shared" si="0"/>
        <v/>
      </c>
      <c r="I39" s="423" t="str">
        <f t="shared" si="1"/>
        <v/>
      </c>
      <c r="J39" s="423" t="str">
        <f t="shared" si="2"/>
        <v/>
      </c>
      <c r="K39" s="421" t="str">
        <f t="shared" si="3"/>
        <v/>
      </c>
      <c r="L39" s="421" t="str">
        <f>IF(G39="","",IF(K39&gt;=menu!$O$6,"A",IF(K39&gt;=menu!$O$7,"B",IF(K39&gt;=menu!$O$8,"C","D"))))</f>
        <v/>
      </c>
      <c r="M39" s="219" t="str">
        <f>IF('Input Nilai Ketrampilan'!J36="","",('Input Nilai Ketrampilan'!J36))</f>
        <v/>
      </c>
      <c r="N39" s="219" t="str">
        <f>IF('Input Nilai Ketrampilan'!O36="","",'Input Nilai Ketrampilan'!O36)</f>
        <v/>
      </c>
      <c r="O39" s="219" t="str">
        <f>IF('Input Nilai Ketrampilan'!T36="","",'Input Nilai Ketrampilan'!T36)</f>
        <v/>
      </c>
      <c r="P39" s="219" t="str">
        <f>IF('Input Nilai Ketrampilan'!Y36="","",'Input Nilai Ketrampilan'!Y36)</f>
        <v/>
      </c>
      <c r="Q39" s="219" t="str">
        <f>IF('Input Nilai Ketrampilan'!AD36="","",'Input Nilai Ketrampilan'!AD36)</f>
        <v/>
      </c>
      <c r="R39" s="219" t="str">
        <f>IF('Input Nilai Ketrampilan'!AI36="","",'Input Nilai Ketrampilan'!AI36)</f>
        <v/>
      </c>
      <c r="S39" s="430" t="str">
        <f>IF(B39="","",menu!$D$17)</f>
        <v/>
      </c>
      <c r="T39" s="424" t="str">
        <f t="shared" si="4"/>
        <v/>
      </c>
      <c r="U39" s="425" t="str">
        <f t="shared" si="5"/>
        <v/>
      </c>
      <c r="V39" s="425" t="str">
        <f>IF(M39="","",IF(U39&gt;=menu!$O$6,"A",IF(U39&gt;=menu!$O$7,"B",IF(U39&gt;=menu!$O$8,"C","D"))))</f>
        <v/>
      </c>
      <c r="W39" s="426" t="str">
        <f t="shared" si="6"/>
        <v/>
      </c>
      <c r="X39" s="234">
        <f>IF('Input Nilai Sikap'!H38="","",'Input Nilai Sikap'!H38)</f>
        <v>3</v>
      </c>
      <c r="Y39" s="231" t="str">
        <f>IF('Input Nilai Sikap'!I38="","",'Input Nilai Sikap'!I38)</f>
        <v>Melaksanakan sholat dhuhur berjemaah dan sholatt dhuha, berdo'a di awal di akhir kegiatan pembelajaran , serta melaksanakan kegiatan amaliyah siswa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AH39" s="418" t="str">
        <f>IF(G39="","",menu!$R$1)</f>
        <v/>
      </c>
    </row>
    <row r="40" spans="1:34" ht="163.5">
      <c r="A40" s="120">
        <f>'DATA SISWA'!A37</f>
        <v>33</v>
      </c>
      <c r="B40" s="121" t="str">
        <f>IF('DATA SISWA'!C37="","",'DATA SISWA'!C37)</f>
        <v/>
      </c>
      <c r="C40" s="218" t="str">
        <f>IF('Input Nilai Pengetahuan'!M37="","",'Input Nilai Pengetahuan'!M37)</f>
        <v/>
      </c>
      <c r="D40" s="218" t="str">
        <f>IF('Input Nilai Pengetahuan'!U37="","",'Input Nilai Pengetahuan'!U37)</f>
        <v/>
      </c>
      <c r="E40" s="218" t="str">
        <f>IF('Input Nilai Pengetahuan'!AC37="","",'Input Nilai Pengetahuan'!AC37)</f>
        <v/>
      </c>
      <c r="F40" s="218" t="str">
        <f>IF('Input Nilai Pengetahuan'!AK37="","",'Input Nilai Pengetahuan'!AK37)</f>
        <v/>
      </c>
      <c r="G40" s="220" t="str">
        <f>IF('Input Nilai Pengetahuan'!CK37="","",'Input Nilai Pengetahuan'!CK37)</f>
        <v/>
      </c>
      <c r="H40" s="423" t="str">
        <f t="shared" si="0"/>
        <v/>
      </c>
      <c r="I40" s="423" t="str">
        <f t="shared" si="1"/>
        <v/>
      </c>
      <c r="J40" s="423" t="str">
        <f t="shared" si="2"/>
        <v/>
      </c>
      <c r="K40" s="421" t="str">
        <f t="shared" si="3"/>
        <v/>
      </c>
      <c r="L40" s="421" t="str">
        <f>IF(G40="","",IF(K40&gt;=menu!$O$6,"A",IF(K40&gt;=menu!$O$7,"B",IF(K40&gt;=menu!$O$8,"C","D"))))</f>
        <v/>
      </c>
      <c r="M40" s="219" t="str">
        <f>IF('Input Nilai Ketrampilan'!J37="","",('Input Nilai Ketrampilan'!J37))</f>
        <v/>
      </c>
      <c r="N40" s="219" t="str">
        <f>IF('Input Nilai Ketrampilan'!O37="","",'Input Nilai Ketrampilan'!O37)</f>
        <v/>
      </c>
      <c r="O40" s="219" t="str">
        <f>IF('Input Nilai Ketrampilan'!T37="","",'Input Nilai Ketrampilan'!T37)</f>
        <v/>
      </c>
      <c r="P40" s="219" t="str">
        <f>IF('Input Nilai Ketrampilan'!Y37="","",'Input Nilai Ketrampilan'!Y37)</f>
        <v/>
      </c>
      <c r="Q40" s="219" t="str">
        <f>IF('Input Nilai Ketrampilan'!AD37="","",'Input Nilai Ketrampilan'!AD37)</f>
        <v/>
      </c>
      <c r="R40" s="219" t="str">
        <f>IF('Input Nilai Ketrampilan'!AI37="","",'Input Nilai Ketrampilan'!AI37)</f>
        <v/>
      </c>
      <c r="S40" s="430" t="str">
        <f>IF(B40="","",menu!$D$17)</f>
        <v/>
      </c>
      <c r="T40" s="424" t="str">
        <f t="shared" si="4"/>
        <v/>
      </c>
      <c r="U40" s="425" t="str">
        <f t="shared" si="5"/>
        <v/>
      </c>
      <c r="V40" s="425" t="str">
        <f>IF(M40="","",IF(U40&gt;=menu!$O$6,"A",IF(U40&gt;=menu!$O$7,"B",IF(U40&gt;=menu!$O$8,"C","D"))))</f>
        <v/>
      </c>
      <c r="W40" s="426" t="str">
        <f t="shared" si="6"/>
        <v/>
      </c>
      <c r="X40" s="234">
        <f>IF('Input Nilai Sikap'!H39="","",'Input Nilai Sikap'!H39)</f>
        <v>3</v>
      </c>
      <c r="Y40" s="231" t="str">
        <f>IF('Input Nilai Sikap'!I39="","",'Input Nilai Sikap'!I39)</f>
        <v>Melaksanakan sholat dhuhur berjemaah dan sholatt dhuha, berdo'a di awal di akhir kegiatan pembelajaran , serta melaksanakan kegiatan amaliyah siswa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AH40" s="418" t="str">
        <f>IF(G40="","",menu!$R$1)</f>
        <v/>
      </c>
    </row>
    <row r="41" spans="1:34" ht="163.5">
      <c r="A41" s="120">
        <f>'DATA SISWA'!A38</f>
        <v>34</v>
      </c>
      <c r="B41" s="121" t="str">
        <f>IF('DATA SISWA'!C38="","",'DATA SISWA'!C38)</f>
        <v/>
      </c>
      <c r="C41" s="218" t="str">
        <f>IF('Input Nilai Pengetahuan'!M38="","",'Input Nilai Pengetahuan'!M38)</f>
        <v/>
      </c>
      <c r="D41" s="218" t="str">
        <f>IF('Input Nilai Pengetahuan'!U38="","",'Input Nilai Pengetahuan'!U38)</f>
        <v/>
      </c>
      <c r="E41" s="218" t="str">
        <f>IF('Input Nilai Pengetahuan'!AC38="","",'Input Nilai Pengetahuan'!AC38)</f>
        <v/>
      </c>
      <c r="F41" s="218" t="str">
        <f>IF('Input Nilai Pengetahuan'!AK38="","",'Input Nilai Pengetahuan'!AK38)</f>
        <v/>
      </c>
      <c r="G41" s="220" t="str">
        <f>IF('Input Nilai Pengetahuan'!CK38="","",'Input Nilai Pengetahuan'!CK38)</f>
        <v/>
      </c>
      <c r="H41" s="423" t="str">
        <f t="shared" si="0"/>
        <v/>
      </c>
      <c r="I41" s="423" t="str">
        <f t="shared" si="1"/>
        <v/>
      </c>
      <c r="J41" s="423" t="str">
        <f t="shared" si="2"/>
        <v/>
      </c>
      <c r="K41" s="421" t="str">
        <f t="shared" si="3"/>
        <v/>
      </c>
      <c r="L41" s="421" t="str">
        <f>IF(G41="","",IF(K41&gt;=menu!$O$6,"A",IF(K41&gt;=menu!$O$7,"B",IF(K41&gt;=menu!$O$8,"C","D"))))</f>
        <v/>
      </c>
      <c r="M41" s="219" t="str">
        <f>IF('Input Nilai Ketrampilan'!J38="","",('Input Nilai Ketrampilan'!J38))</f>
        <v/>
      </c>
      <c r="N41" s="219" t="str">
        <f>IF('Input Nilai Ketrampilan'!O38="","",'Input Nilai Ketrampilan'!O38)</f>
        <v/>
      </c>
      <c r="O41" s="219" t="str">
        <f>IF('Input Nilai Ketrampilan'!T38="","",'Input Nilai Ketrampilan'!T38)</f>
        <v/>
      </c>
      <c r="P41" s="219" t="str">
        <f>IF('Input Nilai Ketrampilan'!Y38="","",'Input Nilai Ketrampilan'!Y38)</f>
        <v/>
      </c>
      <c r="Q41" s="219" t="str">
        <f>IF('Input Nilai Ketrampilan'!AD38="","",'Input Nilai Ketrampilan'!AD38)</f>
        <v/>
      </c>
      <c r="R41" s="219" t="str">
        <f>IF('Input Nilai Ketrampilan'!AI38="","",'Input Nilai Ketrampilan'!AI38)</f>
        <v/>
      </c>
      <c r="S41" s="430" t="str">
        <f>IF(B41="","",menu!$D$17)</f>
        <v/>
      </c>
      <c r="T41" s="424" t="str">
        <f t="shared" si="4"/>
        <v/>
      </c>
      <c r="U41" s="425" t="str">
        <f t="shared" si="5"/>
        <v/>
      </c>
      <c r="V41" s="425" t="str">
        <f>IF(M41="","",IF(U41&gt;=menu!$O$6,"A",IF(U41&gt;=menu!$O$7,"B",IF(U41&gt;=menu!$O$8,"C","D"))))</f>
        <v/>
      </c>
      <c r="W41" s="426" t="str">
        <f t="shared" si="6"/>
        <v/>
      </c>
      <c r="X41" s="234">
        <f>IF('Input Nilai Sikap'!H40="","",'Input Nilai Sikap'!H40)</f>
        <v>3</v>
      </c>
      <c r="Y41" s="231" t="str">
        <f>IF('Input Nilai Sikap'!I40="","",'Input Nilai Sikap'!I40)</f>
        <v>Melaksanakan sholat dhuhur berjemaah dan sholatt dhuha, berdo'a di awal di akhir kegiatan pembelajaran , serta melaksanakan kegiatan amaliyah siswa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AH41" s="418" t="str">
        <f>IF(G41="","",menu!$R$1)</f>
        <v/>
      </c>
    </row>
    <row r="42" spans="1:34" ht="163.5">
      <c r="A42" s="120">
        <f>'DATA SISWA'!A39</f>
        <v>35</v>
      </c>
      <c r="B42" s="121" t="str">
        <f>IF('DATA SISWA'!C39="","",'DATA SISWA'!C39)</f>
        <v/>
      </c>
      <c r="C42" s="218" t="str">
        <f>IF('Input Nilai Pengetahuan'!M39="","",'Input Nilai Pengetahuan'!M39)</f>
        <v/>
      </c>
      <c r="D42" s="218" t="str">
        <f>IF('Input Nilai Pengetahuan'!U39="","",'Input Nilai Pengetahuan'!U39)</f>
        <v/>
      </c>
      <c r="E42" s="218" t="str">
        <f>IF('Input Nilai Pengetahuan'!AC39="","",'Input Nilai Pengetahuan'!AC39)</f>
        <v/>
      </c>
      <c r="F42" s="218" t="str">
        <f>IF('Input Nilai Pengetahuan'!AK39="","",'Input Nilai Pengetahuan'!AK39)</f>
        <v/>
      </c>
      <c r="G42" s="220" t="str">
        <f>IF('Input Nilai Pengetahuan'!CK39="","",'Input Nilai Pengetahuan'!CK39)</f>
        <v/>
      </c>
      <c r="H42" s="423" t="str">
        <f t="shared" si="0"/>
        <v/>
      </c>
      <c r="I42" s="423" t="str">
        <f t="shared" si="1"/>
        <v/>
      </c>
      <c r="J42" s="423" t="str">
        <f t="shared" si="2"/>
        <v/>
      </c>
      <c r="K42" s="421" t="str">
        <f t="shared" si="3"/>
        <v/>
      </c>
      <c r="L42" s="421" t="str">
        <f>IF(G42="","",IF(K42&gt;=menu!$O$6,"A",IF(K42&gt;=menu!$O$7,"B",IF(K42&gt;=menu!$O$8,"C","D"))))</f>
        <v/>
      </c>
      <c r="M42" s="219" t="str">
        <f>IF('Input Nilai Ketrampilan'!J39="","",('Input Nilai Ketrampilan'!J39))</f>
        <v/>
      </c>
      <c r="N42" s="219" t="str">
        <f>IF('Input Nilai Ketrampilan'!O39="","",'Input Nilai Ketrampilan'!O39)</f>
        <v/>
      </c>
      <c r="O42" s="219" t="str">
        <f>IF('Input Nilai Ketrampilan'!T39="","",'Input Nilai Ketrampilan'!T39)</f>
        <v/>
      </c>
      <c r="P42" s="219" t="str">
        <f>IF('Input Nilai Ketrampilan'!Y39="","",'Input Nilai Ketrampilan'!Y39)</f>
        <v/>
      </c>
      <c r="Q42" s="219" t="str">
        <f>IF('Input Nilai Ketrampilan'!AD39="","",'Input Nilai Ketrampilan'!AD39)</f>
        <v/>
      </c>
      <c r="R42" s="219" t="str">
        <f>IF('Input Nilai Ketrampilan'!AI39="","",'Input Nilai Ketrampilan'!AI39)</f>
        <v/>
      </c>
      <c r="S42" s="430" t="str">
        <f>IF(B42="","",menu!$D$17)</f>
        <v/>
      </c>
      <c r="T42" s="424" t="str">
        <f t="shared" si="4"/>
        <v/>
      </c>
      <c r="U42" s="425" t="str">
        <f t="shared" si="5"/>
        <v/>
      </c>
      <c r="V42" s="425" t="str">
        <f>IF(M42="","",IF(U42&gt;=menu!$O$6,"A",IF(U42&gt;=menu!$O$7,"B",IF(U42&gt;=menu!$O$8,"C","D"))))</f>
        <v/>
      </c>
      <c r="W42" s="426" t="str">
        <f t="shared" si="6"/>
        <v/>
      </c>
      <c r="X42" s="234">
        <f>IF('Input Nilai Sikap'!H41="","",'Input Nilai Sikap'!H41)</f>
        <v>3</v>
      </c>
      <c r="Y42" s="231" t="str">
        <f>IF('Input Nilai Sikap'!I41="","",'Input Nilai Sikap'!I41)</f>
        <v>Melaksanakan sholat dhuhur berjemaah dan sholatt dhuha, berdo'a di awal di akhir kegiatan pembelajaran , serta melaksanakan kegiatan amaliyah siswa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AH42" s="418" t="str">
        <f>IF(G42="","",menu!$R$1)</f>
        <v/>
      </c>
    </row>
    <row r="43" spans="1:34" ht="163.5">
      <c r="A43" s="120">
        <f>'DATA SISWA'!A40</f>
        <v>36</v>
      </c>
      <c r="B43" s="121" t="str">
        <f>IF('DATA SISWA'!C40="","",'DATA SISWA'!C40)</f>
        <v/>
      </c>
      <c r="C43" s="218" t="str">
        <f>IF('Input Nilai Pengetahuan'!M40="","",'Input Nilai Pengetahuan'!M40)</f>
        <v/>
      </c>
      <c r="D43" s="218" t="str">
        <f>IF('Input Nilai Pengetahuan'!U40="","",'Input Nilai Pengetahuan'!U40)</f>
        <v/>
      </c>
      <c r="E43" s="218" t="str">
        <f>IF('Input Nilai Pengetahuan'!AC40="","",'Input Nilai Pengetahuan'!AC40)</f>
        <v/>
      </c>
      <c r="F43" s="218" t="str">
        <f>IF('Input Nilai Pengetahuan'!AK40="","",'Input Nilai Pengetahuan'!AK40)</f>
        <v/>
      </c>
      <c r="G43" s="220" t="str">
        <f>IF('Input Nilai Pengetahuan'!CK40="","",'Input Nilai Pengetahuan'!CK40)</f>
        <v/>
      </c>
      <c r="H43" s="423" t="str">
        <f t="shared" si="0"/>
        <v/>
      </c>
      <c r="I43" s="423" t="str">
        <f t="shared" si="1"/>
        <v/>
      </c>
      <c r="J43" s="423" t="str">
        <f t="shared" si="2"/>
        <v/>
      </c>
      <c r="K43" s="421" t="str">
        <f t="shared" si="3"/>
        <v/>
      </c>
      <c r="L43" s="421" t="str">
        <f>IF(G43="","",IF(K43&gt;=menu!$O$6,"A",IF(K43&gt;=menu!$O$7,"B",IF(K43&gt;=menu!$O$8,"C","D"))))</f>
        <v/>
      </c>
      <c r="M43" s="219" t="str">
        <f>IF('Input Nilai Ketrampilan'!J40="","",('Input Nilai Ketrampilan'!J40))</f>
        <v/>
      </c>
      <c r="N43" s="219" t="str">
        <f>IF('Input Nilai Ketrampilan'!O40="","",'Input Nilai Ketrampilan'!O40)</f>
        <v/>
      </c>
      <c r="O43" s="219" t="str">
        <f>IF('Input Nilai Ketrampilan'!T40="","",'Input Nilai Ketrampilan'!T40)</f>
        <v/>
      </c>
      <c r="P43" s="219" t="str">
        <f>IF('Input Nilai Ketrampilan'!Y40="","",'Input Nilai Ketrampilan'!Y40)</f>
        <v/>
      </c>
      <c r="Q43" s="219" t="str">
        <f>IF('Input Nilai Ketrampilan'!AD40="","",'Input Nilai Ketrampilan'!AD40)</f>
        <v/>
      </c>
      <c r="R43" s="219" t="str">
        <f>IF('Input Nilai Ketrampilan'!AI40="","",'Input Nilai Ketrampilan'!AI40)</f>
        <v/>
      </c>
      <c r="S43" s="430" t="str">
        <f>IF(B43="","",menu!$D$17)</f>
        <v/>
      </c>
      <c r="T43" s="424" t="str">
        <f t="shared" si="4"/>
        <v/>
      </c>
      <c r="U43" s="425" t="str">
        <f t="shared" si="5"/>
        <v/>
      </c>
      <c r="V43" s="425" t="str">
        <f>IF(M43="","",IF(U43&gt;=menu!$O$6,"A",IF(U43&gt;=menu!$O$7,"B",IF(U43&gt;=menu!$O$8,"C","D"))))</f>
        <v/>
      </c>
      <c r="W43" s="426" t="str">
        <f t="shared" si="6"/>
        <v/>
      </c>
      <c r="X43" s="234">
        <f>IF('Input Nilai Sikap'!H42="","",'Input Nilai Sikap'!H42)</f>
        <v>3</v>
      </c>
      <c r="Y43" s="231" t="str">
        <f>IF('Input Nilai Sikap'!I42="","",'Input Nilai Sikap'!I42)</f>
        <v>Melaksanakan sholat dhuhur berjemaah dan sholatt dhuha, berdo'a di awal di akhir kegiatan pembelajaran , serta melaksanakan kegiatan amaliyah siswa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AH43" s="418" t="str">
        <f>IF(G43="","",menu!$R$1)</f>
        <v/>
      </c>
    </row>
    <row r="44" spans="1:34" ht="163.5">
      <c r="A44" s="120">
        <f>'DATA SISWA'!A41</f>
        <v>37</v>
      </c>
      <c r="B44" s="121" t="str">
        <f>IF('DATA SISWA'!C41="","",'DATA SISWA'!C41)</f>
        <v/>
      </c>
      <c r="C44" s="218" t="str">
        <f>IF('Input Nilai Pengetahuan'!M41="","",'Input Nilai Pengetahuan'!M41)</f>
        <v/>
      </c>
      <c r="D44" s="218" t="str">
        <f>IF('Input Nilai Pengetahuan'!U41="","",'Input Nilai Pengetahuan'!U41)</f>
        <v/>
      </c>
      <c r="E44" s="218" t="str">
        <f>IF('Input Nilai Pengetahuan'!AC41="","",'Input Nilai Pengetahuan'!AC41)</f>
        <v/>
      </c>
      <c r="F44" s="218" t="str">
        <f>IF('Input Nilai Pengetahuan'!AK41="","",'Input Nilai Pengetahuan'!AK41)</f>
        <v/>
      </c>
      <c r="G44" s="220" t="str">
        <f>IF('Input Nilai Pengetahuan'!CK41="","",'Input Nilai Pengetahuan'!CK41)</f>
        <v/>
      </c>
      <c r="H44" s="423" t="str">
        <f t="shared" si="0"/>
        <v/>
      </c>
      <c r="I44" s="423" t="str">
        <f t="shared" si="1"/>
        <v/>
      </c>
      <c r="J44" s="423" t="str">
        <f t="shared" si="2"/>
        <v/>
      </c>
      <c r="K44" s="421" t="str">
        <f t="shared" si="3"/>
        <v/>
      </c>
      <c r="L44" s="421" t="str">
        <f>IF(G44="","",IF(K44&gt;=menu!$O$6,"A",IF(K44&gt;=menu!$O$7,"B",IF(K44&gt;=menu!$O$8,"C","D"))))</f>
        <v/>
      </c>
      <c r="M44" s="219" t="str">
        <f>IF('Input Nilai Ketrampilan'!J41="","",('Input Nilai Ketrampilan'!J41))</f>
        <v/>
      </c>
      <c r="N44" s="219" t="str">
        <f>IF('Input Nilai Ketrampilan'!O41="","",'Input Nilai Ketrampilan'!O41)</f>
        <v/>
      </c>
      <c r="O44" s="219" t="str">
        <f>IF('Input Nilai Ketrampilan'!T41="","",'Input Nilai Ketrampilan'!T41)</f>
        <v/>
      </c>
      <c r="P44" s="219" t="str">
        <f>IF('Input Nilai Ketrampilan'!Y41="","",'Input Nilai Ketrampilan'!Y41)</f>
        <v/>
      </c>
      <c r="Q44" s="219" t="str">
        <f>IF('Input Nilai Ketrampilan'!AD41="","",'Input Nilai Ketrampilan'!AD41)</f>
        <v/>
      </c>
      <c r="R44" s="219" t="str">
        <f>IF('Input Nilai Ketrampilan'!AI41="","",'Input Nilai Ketrampilan'!AI41)</f>
        <v/>
      </c>
      <c r="S44" s="430" t="str">
        <f>IF(B44="","",menu!$D$17)</f>
        <v/>
      </c>
      <c r="T44" s="424" t="str">
        <f t="shared" si="4"/>
        <v/>
      </c>
      <c r="U44" s="425" t="str">
        <f t="shared" si="5"/>
        <v/>
      </c>
      <c r="V44" s="425" t="str">
        <f>IF(M44="","",IF(U44&gt;=menu!$O$6,"A",IF(U44&gt;=menu!$O$7,"B",IF(U44&gt;=menu!$O$8,"C","D"))))</f>
        <v/>
      </c>
      <c r="W44" s="426" t="str">
        <f t="shared" si="6"/>
        <v/>
      </c>
      <c r="X44" s="234">
        <f>IF('Input Nilai Sikap'!H43="","",'Input Nilai Sikap'!H43)</f>
        <v>3</v>
      </c>
      <c r="Y44" s="231" t="str">
        <f>IF('Input Nilai Sikap'!I43="","",'Input Nilai Sikap'!I43)</f>
        <v>Melaksanakan sholat dhuhur berjemaah dan sholatt dhuha, berdo'a di awal di akhir kegiatan pembelajaran , serta melaksanakan kegiatan amaliyah siswa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AH44" s="418" t="str">
        <f>IF(G44="","",menu!$R$1)</f>
        <v/>
      </c>
    </row>
    <row r="45" spans="1:34" ht="163.5">
      <c r="A45" s="120">
        <f>'DATA SISWA'!A42</f>
        <v>38</v>
      </c>
      <c r="B45" s="121" t="str">
        <f>IF('DATA SISWA'!C42="","",'DATA SISWA'!C42)</f>
        <v/>
      </c>
      <c r="C45" s="218" t="str">
        <f>IF('Input Nilai Pengetahuan'!M42="","",'Input Nilai Pengetahuan'!M42)</f>
        <v/>
      </c>
      <c r="D45" s="218" t="str">
        <f>IF('Input Nilai Pengetahuan'!U42="","",'Input Nilai Pengetahuan'!U42)</f>
        <v/>
      </c>
      <c r="E45" s="218" t="str">
        <f>IF('Input Nilai Pengetahuan'!AC42="","",'Input Nilai Pengetahuan'!AC42)</f>
        <v/>
      </c>
      <c r="F45" s="218" t="str">
        <f>IF('Input Nilai Pengetahuan'!AK42="","",'Input Nilai Pengetahuan'!AK42)</f>
        <v/>
      </c>
      <c r="G45" s="220" t="str">
        <f>IF('Input Nilai Pengetahuan'!CK42="","",'Input Nilai Pengetahuan'!CK42)</f>
        <v/>
      </c>
      <c r="H45" s="423" t="str">
        <f t="shared" si="0"/>
        <v/>
      </c>
      <c r="I45" s="423" t="str">
        <f t="shared" si="1"/>
        <v/>
      </c>
      <c r="J45" s="423" t="str">
        <f t="shared" si="2"/>
        <v/>
      </c>
      <c r="K45" s="421" t="str">
        <f t="shared" si="3"/>
        <v/>
      </c>
      <c r="L45" s="421" t="str">
        <f>IF(G45="","",IF(K45&gt;=menu!$O$6,"A",IF(K45&gt;=menu!$O$7,"B",IF(K45&gt;=menu!$O$8,"C","D"))))</f>
        <v/>
      </c>
      <c r="M45" s="219" t="str">
        <f>IF('Input Nilai Ketrampilan'!J42="","",('Input Nilai Ketrampilan'!J42))</f>
        <v/>
      </c>
      <c r="N45" s="219" t="str">
        <f>IF('Input Nilai Ketrampilan'!O42="","",'Input Nilai Ketrampilan'!O42)</f>
        <v/>
      </c>
      <c r="O45" s="219" t="str">
        <f>IF('Input Nilai Ketrampilan'!T42="","",'Input Nilai Ketrampilan'!T42)</f>
        <v/>
      </c>
      <c r="P45" s="219" t="str">
        <f>IF('Input Nilai Ketrampilan'!Y42="","",'Input Nilai Ketrampilan'!Y42)</f>
        <v/>
      </c>
      <c r="Q45" s="219" t="str">
        <f>IF('Input Nilai Ketrampilan'!AD42="","",'Input Nilai Ketrampilan'!AD42)</f>
        <v/>
      </c>
      <c r="R45" s="219" t="str">
        <f>IF('Input Nilai Ketrampilan'!AI42="","",'Input Nilai Ketrampilan'!AI42)</f>
        <v/>
      </c>
      <c r="S45" s="430" t="str">
        <f>IF(B45="","",menu!$D$17)</f>
        <v/>
      </c>
      <c r="T45" s="424" t="str">
        <f t="shared" si="4"/>
        <v/>
      </c>
      <c r="U45" s="425" t="str">
        <f t="shared" si="5"/>
        <v/>
      </c>
      <c r="V45" s="425" t="str">
        <f>IF(M45="","",IF(U45&gt;=menu!$O$6,"A",IF(U45&gt;=menu!$O$7,"B",IF(U45&gt;=menu!$O$8,"C","D"))))</f>
        <v/>
      </c>
      <c r="W45" s="426" t="str">
        <f t="shared" si="6"/>
        <v/>
      </c>
      <c r="X45" s="234">
        <f>IF('Input Nilai Sikap'!H44="","",'Input Nilai Sikap'!H44)</f>
        <v>3</v>
      </c>
      <c r="Y45" s="231" t="str">
        <f>IF('Input Nilai Sikap'!I44="","",'Input Nilai Sikap'!I44)</f>
        <v>Melaksanakan sholat dhuhur berjemaah dan sholatt dhuha, berdo'a di awal di akhir kegiatan pembelajaran , serta melaksanakan kegiatan amaliyah siswa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AH45" s="418" t="str">
        <f>IF(G45="","",menu!$R$1)</f>
        <v/>
      </c>
    </row>
    <row r="46" spans="1:34" ht="163.5">
      <c r="A46" s="120">
        <f>'DATA SISWA'!A43</f>
        <v>39</v>
      </c>
      <c r="B46" s="121" t="str">
        <f>IF('DATA SISWA'!C43="","",'DATA SISWA'!C43)</f>
        <v/>
      </c>
      <c r="C46" s="218" t="str">
        <f>IF('Input Nilai Pengetahuan'!M43="","",'Input Nilai Pengetahuan'!M43)</f>
        <v/>
      </c>
      <c r="D46" s="218" t="str">
        <f>IF('Input Nilai Pengetahuan'!U43="","",'Input Nilai Pengetahuan'!U43)</f>
        <v/>
      </c>
      <c r="E46" s="218" t="str">
        <f>IF('Input Nilai Pengetahuan'!AC43="","",'Input Nilai Pengetahuan'!AC43)</f>
        <v/>
      </c>
      <c r="F46" s="218" t="str">
        <f>IF('Input Nilai Pengetahuan'!AK43="","",'Input Nilai Pengetahuan'!AK43)</f>
        <v/>
      </c>
      <c r="G46" s="220" t="str">
        <f>IF('Input Nilai Pengetahuan'!CK43="","",'Input Nilai Pengetahuan'!CK43)</f>
        <v/>
      </c>
      <c r="H46" s="423" t="str">
        <f t="shared" si="0"/>
        <v/>
      </c>
      <c r="I46" s="423" t="str">
        <f t="shared" si="1"/>
        <v/>
      </c>
      <c r="J46" s="423" t="str">
        <f t="shared" si="2"/>
        <v/>
      </c>
      <c r="K46" s="421" t="str">
        <f t="shared" si="3"/>
        <v/>
      </c>
      <c r="L46" s="421" t="str">
        <f>IF(G46="","",IF(K46&gt;=menu!$O$6,"A",IF(K46&gt;=menu!$O$7,"B",IF(K46&gt;=menu!$O$8,"C","D"))))</f>
        <v/>
      </c>
      <c r="M46" s="219" t="str">
        <f>IF('Input Nilai Ketrampilan'!J43="","",('Input Nilai Ketrampilan'!J43))</f>
        <v/>
      </c>
      <c r="N46" s="219" t="str">
        <f>IF('Input Nilai Ketrampilan'!O43="","",'Input Nilai Ketrampilan'!O43)</f>
        <v/>
      </c>
      <c r="O46" s="219" t="str">
        <f>IF('Input Nilai Ketrampilan'!T43="","",'Input Nilai Ketrampilan'!T43)</f>
        <v/>
      </c>
      <c r="P46" s="219" t="str">
        <f>IF('Input Nilai Ketrampilan'!Y43="","",'Input Nilai Ketrampilan'!Y43)</f>
        <v/>
      </c>
      <c r="Q46" s="219" t="str">
        <f>IF('Input Nilai Ketrampilan'!AD43="","",'Input Nilai Ketrampilan'!AD43)</f>
        <v/>
      </c>
      <c r="R46" s="219" t="str">
        <f>IF('Input Nilai Ketrampilan'!AI43="","",'Input Nilai Ketrampilan'!AI43)</f>
        <v/>
      </c>
      <c r="S46" s="430" t="str">
        <f>IF(B46="","",menu!$D$17)</f>
        <v/>
      </c>
      <c r="T46" s="424" t="str">
        <f t="shared" si="4"/>
        <v/>
      </c>
      <c r="U46" s="425" t="str">
        <f t="shared" si="5"/>
        <v/>
      </c>
      <c r="V46" s="425" t="str">
        <f>IF(M46="","",IF(U46&gt;=menu!$O$6,"A",IF(U46&gt;=menu!$O$7,"B",IF(U46&gt;=menu!$O$8,"C","D"))))</f>
        <v/>
      </c>
      <c r="W46" s="426" t="str">
        <f t="shared" si="6"/>
        <v/>
      </c>
      <c r="X46" s="234">
        <f>IF('Input Nilai Sikap'!H45="","",'Input Nilai Sikap'!H45)</f>
        <v>3</v>
      </c>
      <c r="Y46" s="231" t="str">
        <f>IF('Input Nilai Sikap'!I45="","",'Input Nilai Sikap'!I45)</f>
        <v>Melaksanakan sholat dhuhur berjemaah dan sholatt dhuha, berdo'a di awal di akhir kegiatan pembelajaran , serta melaksanakan kegiatan amaliyah siswa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AH46" s="418" t="str">
        <f>IF(G46="","",menu!$R$1)</f>
        <v/>
      </c>
    </row>
    <row r="47" spans="1:34" ht="163.5">
      <c r="A47" s="120">
        <f>'DATA SISWA'!A44</f>
        <v>40</v>
      </c>
      <c r="B47" s="121" t="str">
        <f>IF('DATA SISWA'!C44="","",'DATA SISWA'!C44)</f>
        <v/>
      </c>
      <c r="C47" s="218" t="str">
        <f>IF('Input Nilai Pengetahuan'!M44="","",'Input Nilai Pengetahuan'!M44)</f>
        <v/>
      </c>
      <c r="D47" s="218" t="str">
        <f>IF('Input Nilai Pengetahuan'!U44="","",'Input Nilai Pengetahuan'!U44)</f>
        <v/>
      </c>
      <c r="E47" s="218" t="str">
        <f>IF('Input Nilai Pengetahuan'!AC44="","",'Input Nilai Pengetahuan'!AC44)</f>
        <v/>
      </c>
      <c r="F47" s="218" t="str">
        <f>IF('Input Nilai Pengetahuan'!AK44="","",'Input Nilai Pengetahuan'!AK44)</f>
        <v/>
      </c>
      <c r="G47" s="220" t="str">
        <f>IF('Input Nilai Pengetahuan'!CK44="","",'Input Nilai Pengetahuan'!CK44)</f>
        <v/>
      </c>
      <c r="H47" s="423" t="str">
        <f t="shared" si="0"/>
        <v/>
      </c>
      <c r="I47" s="423" t="str">
        <f t="shared" si="1"/>
        <v/>
      </c>
      <c r="J47" s="423" t="str">
        <f t="shared" si="2"/>
        <v/>
      </c>
      <c r="K47" s="421" t="str">
        <f t="shared" si="3"/>
        <v/>
      </c>
      <c r="L47" s="421" t="str">
        <f>IF(G47="","",IF(K47&gt;=menu!$O$6,"A",IF(K47&gt;=menu!$O$7,"B",IF(K47&gt;=menu!$O$8,"C","D"))))</f>
        <v/>
      </c>
      <c r="M47" s="219" t="str">
        <f>IF('Input Nilai Ketrampilan'!J44="","",('Input Nilai Ketrampilan'!J44))</f>
        <v/>
      </c>
      <c r="N47" s="219" t="str">
        <f>IF('Input Nilai Ketrampilan'!O44="","",'Input Nilai Ketrampilan'!O44)</f>
        <v/>
      </c>
      <c r="O47" s="219" t="str">
        <f>IF('Input Nilai Ketrampilan'!T44="","",'Input Nilai Ketrampilan'!T44)</f>
        <v/>
      </c>
      <c r="P47" s="219" t="str">
        <f>IF('Input Nilai Ketrampilan'!Y44="","",'Input Nilai Ketrampilan'!Y44)</f>
        <v/>
      </c>
      <c r="Q47" s="219" t="str">
        <f>IF('Input Nilai Ketrampilan'!AD44="","",'Input Nilai Ketrampilan'!AD44)</f>
        <v/>
      </c>
      <c r="R47" s="219" t="str">
        <f>IF('Input Nilai Ketrampilan'!AI44="","",'Input Nilai Ketrampilan'!AI44)</f>
        <v/>
      </c>
      <c r="S47" s="430" t="str">
        <f>IF(B47="","",menu!$D$17)</f>
        <v/>
      </c>
      <c r="T47" s="424" t="str">
        <f t="shared" si="4"/>
        <v/>
      </c>
      <c r="U47" s="425" t="str">
        <f t="shared" si="5"/>
        <v/>
      </c>
      <c r="V47" s="425" t="str">
        <f>IF(M47="","",IF(U47&gt;=menu!$O$6,"A",IF(U47&gt;=menu!$O$7,"B",IF(U47&gt;=menu!$O$8,"C","D"))))</f>
        <v/>
      </c>
      <c r="W47" s="426" t="str">
        <f t="shared" si="6"/>
        <v/>
      </c>
      <c r="X47" s="234">
        <f>IF('Input Nilai Sikap'!H46="","",'Input Nilai Sikap'!H46)</f>
        <v>3</v>
      </c>
      <c r="Y47" s="231" t="str">
        <f>IF('Input Nilai Sikap'!I46="","",'Input Nilai Sikap'!I46)</f>
        <v>Melaksanakan sholat dhuhur berjemaah dan sholatt dhuha, berdo'a di awal di akhir kegiatan pembelajaran , serta melaksanakan kegiatan amaliyah siswa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AH47" s="418" t="str">
        <f>IF(G47="","",menu!$R$1)</f>
        <v/>
      </c>
    </row>
    <row r="48" spans="1:34" ht="163.5">
      <c r="A48" s="120">
        <f>'DATA SISWA'!A45</f>
        <v>41</v>
      </c>
      <c r="B48" s="121" t="str">
        <f>IF('DATA SISWA'!C45="","",'DATA SISWA'!C45)</f>
        <v/>
      </c>
      <c r="C48" s="218" t="str">
        <f>IF('Input Nilai Pengetahuan'!M45="","",'Input Nilai Pengetahuan'!M45)</f>
        <v/>
      </c>
      <c r="D48" s="218" t="str">
        <f>IF('Input Nilai Pengetahuan'!U45="","",'Input Nilai Pengetahuan'!U45)</f>
        <v/>
      </c>
      <c r="E48" s="218" t="str">
        <f>IF('Input Nilai Pengetahuan'!AC45="","",'Input Nilai Pengetahuan'!AC45)</f>
        <v/>
      </c>
      <c r="F48" s="218" t="str">
        <f>IF('Input Nilai Pengetahuan'!AK45="","",'Input Nilai Pengetahuan'!AK45)</f>
        <v/>
      </c>
      <c r="G48" s="220" t="str">
        <f>IF('Input Nilai Pengetahuan'!CK45="","",'Input Nilai Pengetahuan'!CK45)</f>
        <v/>
      </c>
      <c r="H48" s="423" t="str">
        <f t="shared" si="0"/>
        <v/>
      </c>
      <c r="I48" s="423" t="str">
        <f t="shared" si="1"/>
        <v/>
      </c>
      <c r="J48" s="423" t="str">
        <f t="shared" si="2"/>
        <v/>
      </c>
      <c r="K48" s="421" t="str">
        <f t="shared" si="3"/>
        <v/>
      </c>
      <c r="L48" s="421" t="str">
        <f>IF(G48="","",IF(K48&gt;=menu!$O$6,"A",IF(K48&gt;=menu!$O$7,"B",IF(K48&gt;=menu!$O$8,"C","D"))))</f>
        <v/>
      </c>
      <c r="M48" s="219" t="str">
        <f>IF('Input Nilai Ketrampilan'!J45="","",('Input Nilai Ketrampilan'!J45))</f>
        <v/>
      </c>
      <c r="N48" s="219" t="str">
        <f>IF('Input Nilai Ketrampilan'!O45="","",'Input Nilai Ketrampilan'!O45)</f>
        <v/>
      </c>
      <c r="O48" s="219" t="str">
        <f>IF('Input Nilai Ketrampilan'!T45="","",'Input Nilai Ketrampilan'!T45)</f>
        <v/>
      </c>
      <c r="P48" s="219" t="str">
        <f>IF('Input Nilai Ketrampilan'!Y45="","",'Input Nilai Ketrampilan'!Y45)</f>
        <v/>
      </c>
      <c r="Q48" s="219" t="str">
        <f>IF('Input Nilai Ketrampilan'!AD45="","",'Input Nilai Ketrampilan'!AD45)</f>
        <v/>
      </c>
      <c r="R48" s="219" t="str">
        <f>IF('Input Nilai Ketrampilan'!AI45="","",'Input Nilai Ketrampilan'!AI45)</f>
        <v/>
      </c>
      <c r="S48" s="430" t="str">
        <f>IF(B48="","",menu!$D$17)</f>
        <v/>
      </c>
      <c r="T48" s="424" t="str">
        <f t="shared" si="4"/>
        <v/>
      </c>
      <c r="U48" s="425" t="str">
        <f t="shared" si="5"/>
        <v/>
      </c>
      <c r="V48" s="425" t="str">
        <f>IF(M48="","",IF(U48&gt;=menu!$O$6,"A",IF(U48&gt;=menu!$O$7,"B",IF(U48&gt;=menu!$O$8,"C","D"))))</f>
        <v/>
      </c>
      <c r="W48" s="426" t="str">
        <f t="shared" si="6"/>
        <v/>
      </c>
      <c r="X48" s="234">
        <f>IF('Input Nilai Sikap'!H47="","",'Input Nilai Sikap'!H47)</f>
        <v>3</v>
      </c>
      <c r="Y48" s="231" t="str">
        <f>IF('Input Nilai Sikap'!I47="","",'Input Nilai Sikap'!I47)</f>
        <v>Melaksanakan sholat dhuhur berjemaah dan sholatt dhuha, berdo'a di awal di akhir kegiatan pembelajaran , serta melaksanakan kegiatan amaliyah siswa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AH48" s="418" t="str">
        <f>IF(G48="","",menu!$R$1)</f>
        <v/>
      </c>
    </row>
    <row r="49" spans="1:34" ht="163.5">
      <c r="A49" s="120">
        <f>'DATA SISWA'!A46</f>
        <v>42</v>
      </c>
      <c r="B49" s="121" t="str">
        <f>IF('DATA SISWA'!C46="","",'DATA SISWA'!C46)</f>
        <v/>
      </c>
      <c r="C49" s="218" t="str">
        <f>IF('Input Nilai Pengetahuan'!M46="","",'Input Nilai Pengetahuan'!M46)</f>
        <v/>
      </c>
      <c r="D49" s="218" t="str">
        <f>IF('Input Nilai Pengetahuan'!U46="","",'Input Nilai Pengetahuan'!U46)</f>
        <v/>
      </c>
      <c r="E49" s="218" t="str">
        <f>IF('Input Nilai Pengetahuan'!AC46="","",'Input Nilai Pengetahuan'!AC46)</f>
        <v/>
      </c>
      <c r="F49" s="218" t="str">
        <f>IF('Input Nilai Pengetahuan'!AK46="","",'Input Nilai Pengetahuan'!AK46)</f>
        <v/>
      </c>
      <c r="G49" s="220" t="str">
        <f>IF('Input Nilai Pengetahuan'!CK46="","",'Input Nilai Pengetahuan'!CK46)</f>
        <v/>
      </c>
      <c r="H49" s="423" t="str">
        <f t="shared" si="0"/>
        <v/>
      </c>
      <c r="I49" s="423" t="str">
        <f t="shared" si="1"/>
        <v/>
      </c>
      <c r="J49" s="423" t="str">
        <f t="shared" si="2"/>
        <v/>
      </c>
      <c r="K49" s="421" t="str">
        <f t="shared" si="3"/>
        <v/>
      </c>
      <c r="L49" s="421" t="str">
        <f>IF(G49="","",IF(K49&gt;=menu!$O$6,"A",IF(K49&gt;=menu!$O$7,"B",IF(K49&gt;=menu!$O$8,"C","D"))))</f>
        <v/>
      </c>
      <c r="M49" s="219" t="str">
        <f>IF('Input Nilai Ketrampilan'!J46="","",('Input Nilai Ketrampilan'!J46))</f>
        <v/>
      </c>
      <c r="N49" s="219" t="str">
        <f>IF('Input Nilai Ketrampilan'!O46="","",'Input Nilai Ketrampilan'!O46)</f>
        <v/>
      </c>
      <c r="O49" s="219" t="str">
        <f>IF('Input Nilai Ketrampilan'!T46="","",'Input Nilai Ketrampilan'!T46)</f>
        <v/>
      </c>
      <c r="P49" s="219" t="str">
        <f>IF('Input Nilai Ketrampilan'!Y46="","",'Input Nilai Ketrampilan'!Y46)</f>
        <v/>
      </c>
      <c r="Q49" s="219" t="str">
        <f>IF('Input Nilai Ketrampilan'!AD46="","",'Input Nilai Ketrampilan'!AD46)</f>
        <v/>
      </c>
      <c r="R49" s="219" t="str">
        <f>IF('Input Nilai Ketrampilan'!AI46="","",'Input Nilai Ketrampilan'!AI46)</f>
        <v/>
      </c>
      <c r="S49" s="430" t="str">
        <f>IF(B49="","",menu!$D$17)</f>
        <v/>
      </c>
      <c r="T49" s="424" t="str">
        <f t="shared" si="4"/>
        <v/>
      </c>
      <c r="U49" s="425" t="str">
        <f t="shared" si="5"/>
        <v/>
      </c>
      <c r="V49" s="425" t="str">
        <f>IF(M49="","",IF(U49&gt;=menu!$O$6,"A",IF(U49&gt;=menu!$O$7,"B",IF(U49&gt;=menu!$O$8,"C","D"))))</f>
        <v/>
      </c>
      <c r="W49" s="426" t="str">
        <f t="shared" si="6"/>
        <v/>
      </c>
      <c r="X49" s="234">
        <f>IF('Input Nilai Sikap'!H48="","",'Input Nilai Sikap'!H48)</f>
        <v>3</v>
      </c>
      <c r="Y49" s="231" t="str">
        <f>IF('Input Nilai Sikap'!I48="","",'Input Nilai Sikap'!I48)</f>
        <v>Melaksanakan sholat dhuhur berjemaah dan sholatt dhuha, berdo'a di awal di akhir kegiatan pembelajaran , serta melaksanakan kegiatan amaliyah siswa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AH49" s="418" t="str">
        <f>IF(G49="","",menu!$R$1)</f>
        <v/>
      </c>
    </row>
    <row r="50" spans="1:34" ht="163.5">
      <c r="A50" s="120">
        <f>'DATA SISWA'!A47</f>
        <v>43</v>
      </c>
      <c r="B50" s="121" t="str">
        <f>IF('DATA SISWA'!C47="","",'DATA SISWA'!C47)</f>
        <v/>
      </c>
      <c r="C50" s="218" t="str">
        <f>IF('Input Nilai Pengetahuan'!M47="","",'Input Nilai Pengetahuan'!M47)</f>
        <v/>
      </c>
      <c r="D50" s="218" t="str">
        <f>IF('Input Nilai Pengetahuan'!U47="","",'Input Nilai Pengetahuan'!U47)</f>
        <v/>
      </c>
      <c r="E50" s="218" t="str">
        <f>IF('Input Nilai Pengetahuan'!AC47="","",'Input Nilai Pengetahuan'!AC47)</f>
        <v/>
      </c>
      <c r="F50" s="218" t="str">
        <f>IF('Input Nilai Pengetahuan'!AK47="","",'Input Nilai Pengetahuan'!AK47)</f>
        <v/>
      </c>
      <c r="G50" s="220" t="str">
        <f>IF('Input Nilai Pengetahuan'!CK47="","",'Input Nilai Pengetahuan'!CK47)</f>
        <v/>
      </c>
      <c r="H50" s="423" t="str">
        <f t="shared" si="0"/>
        <v/>
      </c>
      <c r="I50" s="423" t="str">
        <f t="shared" si="1"/>
        <v/>
      </c>
      <c r="J50" s="423" t="str">
        <f t="shared" si="2"/>
        <v/>
      </c>
      <c r="K50" s="421" t="str">
        <f t="shared" si="3"/>
        <v/>
      </c>
      <c r="L50" s="421" t="str">
        <f>IF(G50="","",IF(K50&gt;=menu!$O$6,"A",IF(K50&gt;=menu!$O$7,"B",IF(K50&gt;=menu!$O$8,"C","D"))))</f>
        <v/>
      </c>
      <c r="M50" s="219" t="str">
        <f>IF('Input Nilai Ketrampilan'!J47="","",('Input Nilai Ketrampilan'!J47))</f>
        <v/>
      </c>
      <c r="N50" s="219" t="str">
        <f>IF('Input Nilai Ketrampilan'!O47="","",'Input Nilai Ketrampilan'!O47)</f>
        <v/>
      </c>
      <c r="O50" s="219" t="str">
        <f>IF('Input Nilai Ketrampilan'!T47="","",'Input Nilai Ketrampilan'!T47)</f>
        <v/>
      </c>
      <c r="P50" s="219" t="str">
        <f>IF('Input Nilai Ketrampilan'!Y47="","",'Input Nilai Ketrampilan'!Y47)</f>
        <v/>
      </c>
      <c r="Q50" s="219" t="str">
        <f>IF('Input Nilai Ketrampilan'!AD47="","",'Input Nilai Ketrampilan'!AD47)</f>
        <v/>
      </c>
      <c r="R50" s="219" t="str">
        <f>IF('Input Nilai Ketrampilan'!AI47="","",'Input Nilai Ketrampilan'!AI47)</f>
        <v/>
      </c>
      <c r="S50" s="430" t="str">
        <f>IF(B50="","",menu!$D$17)</f>
        <v/>
      </c>
      <c r="T50" s="424" t="str">
        <f t="shared" si="4"/>
        <v/>
      </c>
      <c r="U50" s="425" t="str">
        <f t="shared" si="5"/>
        <v/>
      </c>
      <c r="V50" s="425" t="str">
        <f>IF(M50="","",IF(U50&gt;=menu!$O$6,"A",IF(U50&gt;=menu!$O$7,"B",IF(U50&gt;=menu!$O$8,"C","D"))))</f>
        <v/>
      </c>
      <c r="W50" s="426" t="str">
        <f t="shared" si="6"/>
        <v/>
      </c>
      <c r="X50" s="234">
        <f>IF('Input Nilai Sikap'!H49="","",'Input Nilai Sikap'!H49)</f>
        <v>3</v>
      </c>
      <c r="Y50" s="231" t="str">
        <f>IF('Input Nilai Sikap'!I49="","",'Input Nilai Sikap'!I49)</f>
        <v>Melaksanakan sholat dhuhur berjemaah dan sholatt dhuha, berdo'a di awal di akhir kegiatan pembelajaran , serta melaksanakan kegiatan amaliyah siswa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AH50" s="418" t="str">
        <f>IF(G50="","",menu!$R$1)</f>
        <v/>
      </c>
    </row>
    <row r="51" spans="1:34" ht="163.5">
      <c r="A51" s="120">
        <f>'DATA SISWA'!A48</f>
        <v>44</v>
      </c>
      <c r="B51" s="121" t="str">
        <f>IF('DATA SISWA'!C48="","",'DATA SISWA'!C48)</f>
        <v/>
      </c>
      <c r="C51" s="218" t="str">
        <f>IF('Input Nilai Pengetahuan'!M48="","",'Input Nilai Pengetahuan'!M48)</f>
        <v/>
      </c>
      <c r="D51" s="218" t="str">
        <f>IF('Input Nilai Pengetahuan'!U48="","",'Input Nilai Pengetahuan'!U48)</f>
        <v/>
      </c>
      <c r="E51" s="218" t="str">
        <f>IF('Input Nilai Pengetahuan'!AC48="","",'Input Nilai Pengetahuan'!AC48)</f>
        <v/>
      </c>
      <c r="F51" s="218" t="str">
        <f>IF('Input Nilai Pengetahuan'!AK48="","",'Input Nilai Pengetahuan'!AK48)</f>
        <v/>
      </c>
      <c r="G51" s="220" t="str">
        <f>IF('Input Nilai Pengetahuan'!CK48="","",'Input Nilai Pengetahuan'!CK48)</f>
        <v/>
      </c>
      <c r="H51" s="423" t="str">
        <f t="shared" si="0"/>
        <v/>
      </c>
      <c r="I51" s="423" t="str">
        <f t="shared" si="1"/>
        <v/>
      </c>
      <c r="J51" s="423" t="str">
        <f t="shared" si="2"/>
        <v/>
      </c>
      <c r="K51" s="421" t="str">
        <f t="shared" si="3"/>
        <v/>
      </c>
      <c r="L51" s="421" t="str">
        <f>IF(G51="","",IF(K51&gt;=menu!$O$6,"A",IF(K51&gt;=menu!$O$7,"B",IF(K51&gt;=menu!$O$8,"C","D"))))</f>
        <v/>
      </c>
      <c r="M51" s="219" t="str">
        <f>IF('Input Nilai Ketrampilan'!J48="","",('Input Nilai Ketrampilan'!J48))</f>
        <v/>
      </c>
      <c r="N51" s="219" t="str">
        <f>IF('Input Nilai Ketrampilan'!O48="","",'Input Nilai Ketrampilan'!O48)</f>
        <v/>
      </c>
      <c r="O51" s="219" t="str">
        <f>IF('Input Nilai Ketrampilan'!T48="","",'Input Nilai Ketrampilan'!T48)</f>
        <v/>
      </c>
      <c r="P51" s="219" t="str">
        <f>IF('Input Nilai Ketrampilan'!Y48="","",'Input Nilai Ketrampilan'!Y48)</f>
        <v/>
      </c>
      <c r="Q51" s="219" t="str">
        <f>IF('Input Nilai Ketrampilan'!AD48="","",'Input Nilai Ketrampilan'!AD48)</f>
        <v/>
      </c>
      <c r="R51" s="219" t="str">
        <f>IF('Input Nilai Ketrampilan'!AI48="","",'Input Nilai Ketrampilan'!AI48)</f>
        <v/>
      </c>
      <c r="S51" s="430" t="str">
        <f>IF(B51="","",menu!$D$17)</f>
        <v/>
      </c>
      <c r="T51" s="424" t="str">
        <f t="shared" si="4"/>
        <v/>
      </c>
      <c r="U51" s="425" t="str">
        <f t="shared" si="5"/>
        <v/>
      </c>
      <c r="V51" s="425" t="str">
        <f>IF(M51="","",IF(U51&gt;=menu!$O$6,"A",IF(U51&gt;=menu!$O$7,"B",IF(U51&gt;=menu!$O$8,"C","D"))))</f>
        <v/>
      </c>
      <c r="W51" s="426" t="str">
        <f t="shared" si="6"/>
        <v/>
      </c>
      <c r="X51" s="234">
        <f>IF('Input Nilai Sikap'!H50="","",'Input Nilai Sikap'!H50)</f>
        <v>3</v>
      </c>
      <c r="Y51" s="231" t="str">
        <f>IF('Input Nilai Sikap'!I50="","",'Input Nilai Sikap'!I50)</f>
        <v>Melaksanakan sholat dhuhur berjemaah dan sholatt dhuha, berdo'a di awal di akhir kegiatan pembelajaran , serta melaksanakan kegiatan amaliyah siswa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AH51" s="418" t="str">
        <f>IF(G51="","",menu!$R$1)</f>
        <v/>
      </c>
    </row>
    <row r="52" spans="1:34" ht="163.5">
      <c r="A52" s="120">
        <f>'DATA SISWA'!A49</f>
        <v>45</v>
      </c>
      <c r="B52" s="121" t="str">
        <f>IF('DATA SISWA'!C49="","",'DATA SISWA'!C49)</f>
        <v/>
      </c>
      <c r="C52" s="218" t="str">
        <f>IF('Input Nilai Pengetahuan'!M49="","",'Input Nilai Pengetahuan'!M49)</f>
        <v/>
      </c>
      <c r="D52" s="218" t="str">
        <f>IF('Input Nilai Pengetahuan'!U49="","",'Input Nilai Pengetahuan'!U49)</f>
        <v/>
      </c>
      <c r="E52" s="218" t="str">
        <f>IF('Input Nilai Pengetahuan'!AC49="","",'Input Nilai Pengetahuan'!AC49)</f>
        <v/>
      </c>
      <c r="F52" s="218" t="str">
        <f>IF('Input Nilai Pengetahuan'!AK49="","",'Input Nilai Pengetahuan'!AK49)</f>
        <v/>
      </c>
      <c r="G52" s="220" t="str">
        <f>IF('Input Nilai Pengetahuan'!CK49="","",'Input Nilai Pengetahuan'!CK49)</f>
        <v/>
      </c>
      <c r="H52" s="423" t="str">
        <f t="shared" si="0"/>
        <v/>
      </c>
      <c r="I52" s="423" t="str">
        <f t="shared" si="1"/>
        <v/>
      </c>
      <c r="J52" s="423" t="str">
        <f t="shared" si="2"/>
        <v/>
      </c>
      <c r="K52" s="421" t="str">
        <f t="shared" si="3"/>
        <v/>
      </c>
      <c r="L52" s="421" t="str">
        <f>IF(G52="","",IF(K52&gt;=menu!$O$6,"A",IF(K52&gt;=menu!$O$7,"B",IF(K52&gt;=menu!$O$8,"C","D"))))</f>
        <v/>
      </c>
      <c r="M52" s="219" t="str">
        <f>IF('Input Nilai Ketrampilan'!J49="","",('Input Nilai Ketrampilan'!J49))</f>
        <v/>
      </c>
      <c r="N52" s="219" t="str">
        <f>IF('Input Nilai Ketrampilan'!O49="","",'Input Nilai Ketrampilan'!O49)</f>
        <v/>
      </c>
      <c r="O52" s="219" t="str">
        <f>IF('Input Nilai Ketrampilan'!T49="","",'Input Nilai Ketrampilan'!T49)</f>
        <v/>
      </c>
      <c r="P52" s="219" t="str">
        <f>IF('Input Nilai Ketrampilan'!Y49="","",'Input Nilai Ketrampilan'!Y49)</f>
        <v/>
      </c>
      <c r="Q52" s="219" t="str">
        <f>IF('Input Nilai Ketrampilan'!AD49="","",'Input Nilai Ketrampilan'!AD49)</f>
        <v/>
      </c>
      <c r="R52" s="219" t="str">
        <f>IF('Input Nilai Ketrampilan'!AI49="","",'Input Nilai Ketrampilan'!AI49)</f>
        <v/>
      </c>
      <c r="S52" s="430" t="str">
        <f>IF(B52="","",menu!$D$17)</f>
        <v/>
      </c>
      <c r="T52" s="424" t="str">
        <f t="shared" si="4"/>
        <v/>
      </c>
      <c r="U52" s="425" t="str">
        <f t="shared" si="5"/>
        <v/>
      </c>
      <c r="V52" s="425" t="str">
        <f>IF(M52="","",IF(U52&gt;=menu!$O$6,"A",IF(U52&gt;=menu!$O$7,"B",IF(U52&gt;=menu!$O$8,"C","D"))))</f>
        <v/>
      </c>
      <c r="W52" s="426" t="str">
        <f t="shared" si="6"/>
        <v/>
      </c>
      <c r="X52" s="234">
        <f>IF('Input Nilai Sikap'!H51="","",'Input Nilai Sikap'!H51)</f>
        <v>3</v>
      </c>
      <c r="Y52" s="231" t="str">
        <f>IF('Input Nilai Sikap'!I51="","",'Input Nilai Sikap'!I51)</f>
        <v>Melaksanakan sholat dhuhur berjemaah dan sholatt dhuha, berdo'a di awal di akhir kegiatan pembelajaran , serta melaksanakan kegiatan amaliyah siswa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AH52" s="418" t="str">
        <f>IF(G52="","",menu!$R$1)</f>
        <v/>
      </c>
    </row>
    <row r="53" spans="1:34" ht="163.5">
      <c r="A53" s="120">
        <f>'DATA SISWA'!A50</f>
        <v>46</v>
      </c>
      <c r="B53" s="121" t="str">
        <f>IF('DATA SISWA'!C50="","",'DATA SISWA'!C50)</f>
        <v/>
      </c>
      <c r="C53" s="218" t="str">
        <f>IF('Input Nilai Pengetahuan'!M50="","",'Input Nilai Pengetahuan'!M50)</f>
        <v/>
      </c>
      <c r="D53" s="218" t="str">
        <f>IF('Input Nilai Pengetahuan'!U50="","",'Input Nilai Pengetahuan'!U50)</f>
        <v/>
      </c>
      <c r="E53" s="218" t="str">
        <f>IF('Input Nilai Pengetahuan'!AC50="","",'Input Nilai Pengetahuan'!AC50)</f>
        <v/>
      </c>
      <c r="F53" s="218" t="str">
        <f>IF('Input Nilai Pengetahuan'!AK50="","",'Input Nilai Pengetahuan'!AK50)</f>
        <v/>
      </c>
      <c r="G53" s="220" t="str">
        <f>IF('Input Nilai Pengetahuan'!CK50="","",'Input Nilai Pengetahuan'!CK50)</f>
        <v/>
      </c>
      <c r="H53" s="423" t="str">
        <f t="shared" si="0"/>
        <v/>
      </c>
      <c r="I53" s="423" t="str">
        <f t="shared" si="1"/>
        <v/>
      </c>
      <c r="J53" s="423" t="str">
        <f t="shared" si="2"/>
        <v/>
      </c>
      <c r="K53" s="421" t="str">
        <f t="shared" si="3"/>
        <v/>
      </c>
      <c r="L53" s="421" t="str">
        <f>IF(G53="","",IF(K53&gt;=menu!$O$6,"A",IF(K53&gt;=menu!$O$7,"B",IF(K53&gt;=menu!$O$8,"C","D"))))</f>
        <v/>
      </c>
      <c r="M53" s="219" t="str">
        <f>IF('Input Nilai Ketrampilan'!J50="","",('Input Nilai Ketrampilan'!J50))</f>
        <v/>
      </c>
      <c r="N53" s="219" t="str">
        <f>IF('Input Nilai Ketrampilan'!O50="","",'Input Nilai Ketrampilan'!O50)</f>
        <v/>
      </c>
      <c r="O53" s="219" t="str">
        <f>IF('Input Nilai Ketrampilan'!T50="","",'Input Nilai Ketrampilan'!T50)</f>
        <v/>
      </c>
      <c r="P53" s="219" t="str">
        <f>IF('Input Nilai Ketrampilan'!Y50="","",'Input Nilai Ketrampilan'!Y50)</f>
        <v/>
      </c>
      <c r="Q53" s="219" t="str">
        <f>IF('Input Nilai Ketrampilan'!AD50="","",'Input Nilai Ketrampilan'!AD50)</f>
        <v/>
      </c>
      <c r="R53" s="219" t="str">
        <f>IF('Input Nilai Ketrampilan'!AI50="","",'Input Nilai Ketrampilan'!AI50)</f>
        <v/>
      </c>
      <c r="S53" s="430" t="str">
        <f>IF(B53="","",menu!$D$17)</f>
        <v/>
      </c>
      <c r="T53" s="424" t="str">
        <f t="shared" si="4"/>
        <v/>
      </c>
      <c r="U53" s="425" t="str">
        <f t="shared" si="5"/>
        <v/>
      </c>
      <c r="V53" s="425" t="str">
        <f>IF(M53="","",IF(U53&gt;=menu!$O$6,"A",IF(U53&gt;=menu!$O$7,"B",IF(U53&gt;=menu!$O$8,"C","D"))))</f>
        <v/>
      </c>
      <c r="W53" s="426" t="str">
        <f t="shared" si="6"/>
        <v/>
      </c>
      <c r="X53" s="234">
        <f>IF('Input Nilai Sikap'!H52="","",'Input Nilai Sikap'!H52)</f>
        <v>3</v>
      </c>
      <c r="Y53" s="231" t="str">
        <f>IF('Input Nilai Sikap'!I52="","",'Input Nilai Sikap'!I52)</f>
        <v>Melaksanakan sholat dhuhur berjemaah dan sholatt dhuha, berdo'a di awal di akhir kegiatan pembelajaran , serta melaksanakan kegiatan amaliyah siswa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AH53" s="418" t="str">
        <f>IF(G53="","",menu!$R$1)</f>
        <v/>
      </c>
    </row>
    <row r="54" spans="1:34" ht="163.5">
      <c r="A54" s="120">
        <f>'DATA SISWA'!A51</f>
        <v>47</v>
      </c>
      <c r="B54" s="121" t="str">
        <f>IF('DATA SISWA'!C51="","",'DATA SISWA'!C51)</f>
        <v/>
      </c>
      <c r="C54" s="218" t="str">
        <f>IF('Input Nilai Pengetahuan'!M51="","",'Input Nilai Pengetahuan'!M51)</f>
        <v/>
      </c>
      <c r="D54" s="218" t="str">
        <f>IF('Input Nilai Pengetahuan'!U51="","",'Input Nilai Pengetahuan'!U51)</f>
        <v/>
      </c>
      <c r="E54" s="218" t="str">
        <f>IF('Input Nilai Pengetahuan'!AC51="","",'Input Nilai Pengetahuan'!AC51)</f>
        <v/>
      </c>
      <c r="F54" s="218" t="str">
        <f>IF('Input Nilai Pengetahuan'!AK51="","",'Input Nilai Pengetahuan'!AK51)</f>
        <v/>
      </c>
      <c r="G54" s="220" t="str">
        <f>IF('Input Nilai Pengetahuan'!CK51="","",'Input Nilai Pengetahuan'!CK51)</f>
        <v/>
      </c>
      <c r="H54" s="423" t="str">
        <f t="shared" si="0"/>
        <v/>
      </c>
      <c r="I54" s="423" t="str">
        <f t="shared" si="1"/>
        <v/>
      </c>
      <c r="J54" s="423" t="str">
        <f t="shared" si="2"/>
        <v/>
      </c>
      <c r="K54" s="421" t="str">
        <f t="shared" si="3"/>
        <v/>
      </c>
      <c r="L54" s="421" t="str">
        <f>IF(G54="","",IF(K54&gt;=menu!$O$6,"A",IF(K54&gt;=menu!$O$7,"B",IF(K54&gt;=menu!$O$8,"C","D"))))</f>
        <v/>
      </c>
      <c r="M54" s="219" t="str">
        <f>IF('Input Nilai Ketrampilan'!J51="","",('Input Nilai Ketrampilan'!J51))</f>
        <v/>
      </c>
      <c r="N54" s="219" t="str">
        <f>IF('Input Nilai Ketrampilan'!O51="","",'Input Nilai Ketrampilan'!O51)</f>
        <v/>
      </c>
      <c r="O54" s="219" t="str">
        <f>IF('Input Nilai Ketrampilan'!T51="","",'Input Nilai Ketrampilan'!T51)</f>
        <v/>
      </c>
      <c r="P54" s="219" t="str">
        <f>IF('Input Nilai Ketrampilan'!Y51="","",'Input Nilai Ketrampilan'!Y51)</f>
        <v/>
      </c>
      <c r="Q54" s="219" t="str">
        <f>IF('Input Nilai Ketrampilan'!AD51="","",'Input Nilai Ketrampilan'!AD51)</f>
        <v/>
      </c>
      <c r="R54" s="219" t="str">
        <f>IF('Input Nilai Ketrampilan'!AI51="","",'Input Nilai Ketrampilan'!AI51)</f>
        <v/>
      </c>
      <c r="S54" s="430" t="str">
        <f>IF(B54="","",menu!$D$17)</f>
        <v/>
      </c>
      <c r="T54" s="424" t="str">
        <f t="shared" si="4"/>
        <v/>
      </c>
      <c r="U54" s="425" t="str">
        <f t="shared" si="5"/>
        <v/>
      </c>
      <c r="V54" s="425" t="str">
        <f>IF(M54="","",IF(U54&gt;=menu!$O$6,"A",IF(U54&gt;=menu!$O$7,"B",IF(U54&gt;=menu!$O$8,"C","D"))))</f>
        <v/>
      </c>
      <c r="W54" s="426" t="str">
        <f t="shared" si="6"/>
        <v/>
      </c>
      <c r="X54" s="234">
        <f>IF('Input Nilai Sikap'!H53="","",'Input Nilai Sikap'!H53)</f>
        <v>3</v>
      </c>
      <c r="Y54" s="231" t="str">
        <f>IF('Input Nilai Sikap'!I53="","",'Input Nilai Sikap'!I53)</f>
        <v>Melaksanakan sholat dhuhur berjemaah dan sholatt dhuha, berdo'a di awal di akhir kegiatan pembelajaran , serta melaksanakan kegiatan amaliyah siswa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AH54" s="418" t="str">
        <f>IF(G54="","",menu!$R$1)</f>
        <v/>
      </c>
    </row>
    <row r="55" spans="1:34" ht="163.5">
      <c r="A55" s="120">
        <f>'DATA SISWA'!A52</f>
        <v>48</v>
      </c>
      <c r="B55" s="121" t="str">
        <f>IF('DATA SISWA'!C52="","",'DATA SISWA'!C52)</f>
        <v/>
      </c>
      <c r="C55" s="218" t="str">
        <f>IF('Input Nilai Pengetahuan'!M52="","",'Input Nilai Pengetahuan'!M52)</f>
        <v/>
      </c>
      <c r="D55" s="218" t="str">
        <f>IF('Input Nilai Pengetahuan'!U52="","",'Input Nilai Pengetahuan'!U52)</f>
        <v/>
      </c>
      <c r="E55" s="218" t="str">
        <f>IF('Input Nilai Pengetahuan'!AC52="","",'Input Nilai Pengetahuan'!AC52)</f>
        <v/>
      </c>
      <c r="F55" s="218" t="str">
        <f>IF('Input Nilai Pengetahuan'!AK52="","",'Input Nilai Pengetahuan'!AK52)</f>
        <v/>
      </c>
      <c r="G55" s="220" t="str">
        <f>IF('Input Nilai Pengetahuan'!CK52="","",'Input Nilai Pengetahuan'!CK52)</f>
        <v/>
      </c>
      <c r="H55" s="423" t="str">
        <f t="shared" si="0"/>
        <v/>
      </c>
      <c r="I55" s="423" t="str">
        <f t="shared" si="1"/>
        <v/>
      </c>
      <c r="J55" s="423" t="str">
        <f t="shared" si="2"/>
        <v/>
      </c>
      <c r="K55" s="421" t="str">
        <f t="shared" si="3"/>
        <v/>
      </c>
      <c r="L55" s="421" t="str">
        <f>IF(G55="","",IF(K55&gt;=menu!$O$6,"A",IF(K55&gt;=menu!$O$7,"B",IF(K55&gt;=menu!$O$8,"C","D"))))</f>
        <v/>
      </c>
      <c r="M55" s="219" t="str">
        <f>IF('Input Nilai Ketrampilan'!J52="","",('Input Nilai Ketrampilan'!J52))</f>
        <v/>
      </c>
      <c r="N55" s="219" t="str">
        <f>IF('Input Nilai Ketrampilan'!O52="","",'Input Nilai Ketrampilan'!O52)</f>
        <v/>
      </c>
      <c r="O55" s="219" t="str">
        <f>IF('Input Nilai Ketrampilan'!T52="","",'Input Nilai Ketrampilan'!T52)</f>
        <v/>
      </c>
      <c r="P55" s="219" t="str">
        <f>IF('Input Nilai Ketrampilan'!Y52="","",'Input Nilai Ketrampilan'!Y52)</f>
        <v/>
      </c>
      <c r="Q55" s="219" t="str">
        <f>IF('Input Nilai Ketrampilan'!AD52="","",'Input Nilai Ketrampilan'!AD52)</f>
        <v/>
      </c>
      <c r="R55" s="219" t="str">
        <f>IF('Input Nilai Ketrampilan'!AI52="","",'Input Nilai Ketrampilan'!AI52)</f>
        <v/>
      </c>
      <c r="S55" s="430" t="str">
        <f>IF(B55="","",menu!$D$17)</f>
        <v/>
      </c>
      <c r="T55" s="424" t="str">
        <f t="shared" si="4"/>
        <v/>
      </c>
      <c r="U55" s="425" t="str">
        <f t="shared" si="5"/>
        <v/>
      </c>
      <c r="V55" s="425" t="str">
        <f>IF(M55="","",IF(U55&gt;=menu!$O$6,"A",IF(U55&gt;=menu!$O$7,"B",IF(U55&gt;=menu!$O$8,"C","D"))))</f>
        <v/>
      </c>
      <c r="W55" s="426" t="str">
        <f t="shared" si="6"/>
        <v/>
      </c>
      <c r="X55" s="234">
        <f>IF('Input Nilai Sikap'!H54="","",'Input Nilai Sikap'!H54)</f>
        <v>3</v>
      </c>
      <c r="Y55" s="231" t="str">
        <f>IF('Input Nilai Sikap'!I54="","",'Input Nilai Sikap'!I54)</f>
        <v>Melaksanakan sholat dhuhur berjemaah dan sholatt dhuha, berdo'a di awal di akhir kegiatan pembelajaran , serta melaksanakan kegiatan amaliyah siswa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AH55" s="418" t="str">
        <f>IF(G55="","",menu!$R$1)</f>
        <v/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C17" sqref="C17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7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9"/>
    </row>
    <row r="2" spans="1:20" ht="15.75">
      <c r="D2" s="550" t="str">
        <f>UPPER('[1]Data Raport'!C3:F3)</f>
        <v/>
      </c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2"/>
    </row>
    <row r="3" spans="1:20" ht="9" customHeight="1">
      <c r="D3" s="553" t="str">
        <f>UPPER('[1]Data Raport'!C5:F5)</f>
        <v/>
      </c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5"/>
    </row>
    <row r="4" spans="1:20" ht="8.25" customHeight="1">
      <c r="D4" s="556" t="s">
        <v>284</v>
      </c>
      <c r="E4" s="557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8"/>
    </row>
    <row r="5" spans="1:20" ht="8.25" customHeight="1">
      <c r="D5" s="559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560"/>
      <c r="Q5" s="560"/>
      <c r="R5" s="560"/>
      <c r="S5" s="561"/>
    </row>
    <row r="6" spans="1:20" ht="8.25" customHeight="1">
      <c r="D6" s="562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4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MATEMATIKA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5" t="str">
        <f>menu!D14&amp;menu!E14</f>
        <v>VII-A</v>
      </c>
      <c r="E9" s="56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6"/>
      <c r="Q9" s="566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7"/>
      <c r="Q10" s="537"/>
      <c r="R10" s="241"/>
      <c r="S10" s="153"/>
    </row>
    <row r="11" spans="1:20">
      <c r="D11" s="152"/>
      <c r="E11" s="152"/>
      <c r="F11" s="152"/>
    </row>
    <row r="12" spans="1:20" s="246" customFormat="1">
      <c r="A12" s="538" t="s">
        <v>262</v>
      </c>
      <c r="B12" s="545" t="s">
        <v>288</v>
      </c>
      <c r="C12" s="538" t="s">
        <v>239</v>
      </c>
      <c r="D12" s="539" t="s">
        <v>35</v>
      </c>
      <c r="E12" s="540"/>
      <c r="F12" s="541"/>
      <c r="G12" s="542" t="s">
        <v>244</v>
      </c>
      <c r="H12" s="543"/>
      <c r="I12" s="54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>
      <c r="A13" s="538"/>
      <c r="B13" s="546"/>
      <c r="C13" s="53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>
        <f>'DATA SISWA'!C5</f>
        <v>0</v>
      </c>
      <c r="D14" s="227">
        <f>IF('Input Nilai Pengetahuan'!CQ5="","",'Input Nilai Pengetahuan'!CQ5)</f>
        <v>80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 xml:space="preserve"> Memiliki penguasaan materi sudah cukup dalam menjelaskan dan menentukanurutan pada bilangan bulat dan pecahan, dan lebih ditingkatkan dalam menjelaskan dan menentukanurutan pada bilangan bulat dan pecahan</v>
      </c>
      <c r="G14" s="227">
        <f>IF('Input Nilai Ketrampilan'!BF5="","",'Input Nilai Ketrampilan'!BF5)</f>
        <v>78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menyelesaikan masalahyang berkaitandengan urutan beberapa bilanganbulat dan pecahan(biasa, campuran,desimal, persen)</v>
      </c>
      <c r="J14" s="234">
        <f>IF('Input Nilai Sikap'!H7="","",'Input Nilai Sikap'!H7)</f>
        <v>3</v>
      </c>
      <c r="K14" s="231" t="str">
        <f>IF('Input Nilai Sikap'!I7="","",'Input Nilai Sikap'!I7)</f>
        <v>Melaksanakan sholat dhuhur berjemaah dan sholatt dhuha, berdo'a di awal di akhir kegiatan pembelajaran , serta melaksanakan kegiatan amaliyah siswa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T14" s="409">
        <f>IF(C14="","",menu!$R$1)</f>
        <v>75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>
        <f>'DATA SISWA'!C6</f>
        <v>0</v>
      </c>
      <c r="D15" s="227" t="str">
        <f>IF('Input Nilai Pengetahuan'!CQ6="","",'Input Nilai Pengetahuan'!CQ6)</f>
        <v/>
      </c>
      <c r="E15" s="227" t="str">
        <f>IF('Input Nilai Pengetahuan'!CR6="","",'Input Nilai Pengetahuan'!CR6)</f>
        <v/>
      </c>
      <c r="F15" s="228" t="str">
        <f>IF('Input Nilai Pengetahuan'!CV6="","",'Input Nilai Pengetahuan'!CV6)</f>
        <v/>
      </c>
      <c r="G15" s="227" t="str">
        <f>IF('Input Nilai Ketrampilan'!BF6="","",'Input Nilai Ketrampilan'!BF6)</f>
        <v/>
      </c>
      <c r="H15" s="227" t="str">
        <f>IF('Input Nilai Ketrampilan'!BG6="","",'Input Nilai Ketrampilan'!BG6)</f>
        <v/>
      </c>
      <c r="I15" s="228" t="str">
        <f>IF('Input Nilai Ketrampilan'!BK6="","",'Input Nilai Ketrampilan'!BK6)</f>
        <v/>
      </c>
      <c r="J15" s="234">
        <f>IF('Input Nilai Sikap'!H8="","",'Input Nilai Sikap'!H8)</f>
        <v>3</v>
      </c>
      <c r="K15" s="231" t="str">
        <f>IF('Input Nilai Sikap'!I8="","",'Input Nilai Sikap'!I8)</f>
        <v>Melaksanakan sholat dhuhur berjemaah dan sholatt dhuha, berdo'a di awal di akhir kegiatan pembelajaran , serta melaksanakan kegiatan amaliyah siswa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T15" s="409">
        <f>IF(C15="","",menu!$R$1)</f>
        <v>75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>
        <f>'DATA SISWA'!C7</f>
        <v>0</v>
      </c>
      <c r="D16" s="227" t="str">
        <f>IF('Input Nilai Pengetahuan'!CQ7="","",'Input Nilai Pengetahuan'!CQ7)</f>
        <v/>
      </c>
      <c r="E16" s="227" t="str">
        <f>IF('Input Nilai Pengetahuan'!CR7="","",'Input Nilai Pengetahuan'!CR7)</f>
        <v/>
      </c>
      <c r="F16" s="228" t="str">
        <f>IF('Input Nilai Pengetahuan'!CV7="","",'Input Nilai Pengetahuan'!CV7)</f>
        <v/>
      </c>
      <c r="G16" s="227" t="str">
        <f>IF('Input Nilai Ketrampilan'!BF7="","",'Input Nilai Ketrampilan'!BF7)</f>
        <v/>
      </c>
      <c r="H16" s="227" t="str">
        <f>IF('Input Nilai Ketrampilan'!BG7="","",'Input Nilai Ketrampilan'!BG7)</f>
        <v/>
      </c>
      <c r="I16" s="228" t="str">
        <f>IF('Input Nilai Ketrampilan'!BK7="","",'Input Nilai Ketrampilan'!BK7)</f>
        <v/>
      </c>
      <c r="J16" s="234">
        <f>IF('Input Nilai Sikap'!H9="","",'Input Nilai Sikap'!H9)</f>
        <v>3</v>
      </c>
      <c r="K16" s="231" t="str">
        <f>IF('Input Nilai Sikap'!I9="","",'Input Nilai Sikap'!I9)</f>
        <v>Melaksanakan sholat dhuhur berjemaah dan sholatt dhuha, berdo'a di awal di akhir kegiatan pembelajaran , serta melaksanakan kegiatan amaliyah siswa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T16" s="409">
        <f>IF(C16="","",menu!$R$1)</f>
        <v>75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>
        <f>'DATA SISWA'!C8</f>
        <v>0</v>
      </c>
      <c r="D17" s="227" t="str">
        <f>IF('Input Nilai Pengetahuan'!CQ8="","",'Input Nilai Pengetahuan'!CQ8)</f>
        <v/>
      </c>
      <c r="E17" s="227" t="str">
        <f>IF('Input Nilai Pengetahuan'!CR8="","",'Input Nilai Pengetahuan'!CR8)</f>
        <v/>
      </c>
      <c r="F17" s="228" t="str">
        <f>IF('Input Nilai Pengetahuan'!CV8="","",'Input Nilai Pengetahuan'!CV8)</f>
        <v/>
      </c>
      <c r="G17" s="227" t="str">
        <f>IF('Input Nilai Ketrampilan'!BF8="","",'Input Nilai Ketrampilan'!BF8)</f>
        <v/>
      </c>
      <c r="H17" s="227" t="str">
        <f>IF('Input Nilai Ketrampilan'!BG8="","",'Input Nilai Ketrampilan'!BG8)</f>
        <v/>
      </c>
      <c r="I17" s="228" t="str">
        <f>IF('Input Nilai Ketrampilan'!BK8="","",'Input Nilai Ketrampilan'!BK8)</f>
        <v/>
      </c>
      <c r="J17" s="234">
        <f>IF('Input Nilai Sikap'!H10="","",'Input Nilai Sikap'!H10)</f>
        <v>3</v>
      </c>
      <c r="K17" s="231" t="str">
        <f>IF('Input Nilai Sikap'!I10="","",'Input Nilai Sikap'!I10)</f>
        <v>Melaksanakan sholat dhuhur berjemaah dan sholatt dhuha, berdo'a di awal di akhir kegiatan pembelajaran , serta melaksanakan kegiatan amaliyah siswa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T17" s="409">
        <f>IF(C17="","",menu!$R$1)</f>
        <v>75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>
        <f>'DATA SISWA'!C9</f>
        <v>0</v>
      </c>
      <c r="D18" s="227" t="str">
        <f>IF('Input Nilai Pengetahuan'!CQ9="","",'Input Nilai Pengetahuan'!CQ9)</f>
        <v/>
      </c>
      <c r="E18" s="227" t="str">
        <f>IF('Input Nilai Pengetahuan'!CR9="","",'Input Nilai Pengetahuan'!CR9)</f>
        <v/>
      </c>
      <c r="F18" s="228" t="str">
        <f>IF('Input Nilai Pengetahuan'!CV9="","",'Input Nilai Pengetahuan'!CV9)</f>
        <v/>
      </c>
      <c r="G18" s="227" t="str">
        <f>IF('Input Nilai Ketrampilan'!BF9="","",'Input Nilai Ketrampilan'!BF9)</f>
        <v/>
      </c>
      <c r="H18" s="227" t="str">
        <f>IF('Input Nilai Ketrampilan'!BG9="","",'Input Nilai Ketrampilan'!BG9)</f>
        <v/>
      </c>
      <c r="I18" s="228" t="str">
        <f>IF('Input Nilai Ketrampilan'!BK9="","",'Input Nilai Ketrampilan'!BK9)</f>
        <v/>
      </c>
      <c r="J18" s="234">
        <f>IF('Input Nilai Sikap'!H11="","",'Input Nilai Sikap'!H11)</f>
        <v>3</v>
      </c>
      <c r="K18" s="231" t="str">
        <f>IF('Input Nilai Sikap'!I11="","",'Input Nilai Sikap'!I11)</f>
        <v>Melaksanakan sholat dhuhur berjemaah dan sholatt dhuha, berdo'a di awal di akhir kegiatan pembelajaran , serta melaksanakan kegiatan amaliyah siswa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T18" s="409">
        <f>IF(C18="","",menu!$R$1)</f>
        <v>75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>
        <f>'DATA SISWA'!C10</f>
        <v>0</v>
      </c>
      <c r="D19" s="227" t="str">
        <f>IF('Input Nilai Pengetahuan'!CQ10="","",'Input Nilai Pengetahuan'!CQ10)</f>
        <v/>
      </c>
      <c r="E19" s="227" t="str">
        <f>IF('Input Nilai Pengetahuan'!CR10="","",'Input Nilai Pengetahuan'!CR10)</f>
        <v/>
      </c>
      <c r="F19" s="228" t="str">
        <f>IF('Input Nilai Pengetahuan'!CV10="","",'Input Nilai Pengetahuan'!CV10)</f>
        <v/>
      </c>
      <c r="G19" s="227" t="str">
        <f>IF('Input Nilai Ketrampilan'!BF10="","",'Input Nilai Ketrampilan'!BF10)</f>
        <v/>
      </c>
      <c r="H19" s="227" t="str">
        <f>IF('Input Nilai Ketrampilan'!BG10="","",'Input Nilai Ketrampilan'!BG10)</f>
        <v/>
      </c>
      <c r="I19" s="228" t="str">
        <f>IF('Input Nilai Ketrampilan'!BK10="","",'Input Nilai Ketrampilan'!BK10)</f>
        <v/>
      </c>
      <c r="J19" s="234">
        <f>IF('Input Nilai Sikap'!H12="","",'Input Nilai Sikap'!H12)</f>
        <v>3</v>
      </c>
      <c r="K19" s="231" t="str">
        <f>IF('Input Nilai Sikap'!I12="","",'Input Nilai Sikap'!I12)</f>
        <v>Melaksanakan sholat dhuhur berjemaah dan sholatt dhuha, berdo'a di awal di akhir kegiatan pembelajaran , serta melaksanakan kegiatan amaliyah siswa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T19" s="409">
        <f>IF(C19="","",menu!$R$1)</f>
        <v>75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>
        <f>'DATA SISWA'!C11</f>
        <v>0</v>
      </c>
      <c r="D20" s="227" t="str">
        <f>IF('Input Nilai Pengetahuan'!CQ11="","",'Input Nilai Pengetahuan'!CQ11)</f>
        <v/>
      </c>
      <c r="E20" s="227" t="str">
        <f>IF('Input Nilai Pengetahuan'!CR11="","",'Input Nilai Pengetahuan'!CR11)</f>
        <v/>
      </c>
      <c r="F20" s="228" t="str">
        <f>IF('Input Nilai Pengetahuan'!CV11="","",'Input Nilai Pengetahuan'!CV11)</f>
        <v/>
      </c>
      <c r="G20" s="227" t="str">
        <f>IF('Input Nilai Ketrampilan'!BF11="","",'Input Nilai Ketrampilan'!BF11)</f>
        <v/>
      </c>
      <c r="H20" s="227" t="str">
        <f>IF('Input Nilai Ketrampilan'!BG11="","",'Input Nilai Ketrampilan'!BG11)</f>
        <v/>
      </c>
      <c r="I20" s="228" t="str">
        <f>IF('Input Nilai Ketrampilan'!BK11="","",'Input Nilai Ketrampilan'!BK11)</f>
        <v/>
      </c>
      <c r="J20" s="234">
        <f>IF('Input Nilai Sikap'!H13="","",'Input Nilai Sikap'!H13)</f>
        <v>3</v>
      </c>
      <c r="K20" s="231" t="str">
        <f>IF('Input Nilai Sikap'!I13="","",'Input Nilai Sikap'!I13)</f>
        <v>Melaksanakan sholat dhuhur berjemaah dan sholatt dhuha, berdo'a di awal di akhir kegiatan pembelajaran , serta melaksanakan kegiatan amaliyah siswa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T20" s="409">
        <f>IF(C20="","",menu!$R$1)</f>
        <v>75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>
        <f>'DATA SISWA'!C12</f>
        <v>0</v>
      </c>
      <c r="D21" s="227" t="str">
        <f>IF('Input Nilai Pengetahuan'!CQ12="","",'Input Nilai Pengetahuan'!CQ12)</f>
        <v/>
      </c>
      <c r="E21" s="227" t="str">
        <f>IF('Input Nilai Pengetahuan'!CR12="","",'Input Nilai Pengetahuan'!CR12)</f>
        <v/>
      </c>
      <c r="F21" s="228" t="str">
        <f>IF('Input Nilai Pengetahuan'!CV12="","",'Input Nilai Pengetahuan'!CV12)</f>
        <v/>
      </c>
      <c r="G21" s="227" t="str">
        <f>IF('Input Nilai Ketrampilan'!BF12="","",'Input Nilai Ketrampilan'!BF12)</f>
        <v/>
      </c>
      <c r="H21" s="227" t="str">
        <f>IF('Input Nilai Ketrampilan'!BG12="","",'Input Nilai Ketrampilan'!BG12)</f>
        <v/>
      </c>
      <c r="I21" s="228" t="str">
        <f>IF('Input Nilai Ketrampilan'!BK12="","",'Input Nilai Ketrampilan'!BK12)</f>
        <v/>
      </c>
      <c r="J21" s="234">
        <f>IF('Input Nilai Sikap'!H14="","",'Input Nilai Sikap'!H14)</f>
        <v>3</v>
      </c>
      <c r="K21" s="231" t="str">
        <f>IF('Input Nilai Sikap'!I14="","",'Input Nilai Sikap'!I14)</f>
        <v>Melaksanakan sholat dhuhur berjemaah dan sholatt dhuha, berdo'a di awal di akhir kegiatan pembelajaran , serta melaksanakan kegiatan amaliyah siswa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T21" s="409">
        <f>IF(C21="","",menu!$R$1)</f>
        <v>75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>
        <f>'DATA SISWA'!C13</f>
        <v>0</v>
      </c>
      <c r="D22" s="227" t="str">
        <f>IF('Input Nilai Pengetahuan'!CQ13="","",'Input Nilai Pengetahuan'!CQ13)</f>
        <v/>
      </c>
      <c r="E22" s="227" t="str">
        <f>IF('Input Nilai Pengetahuan'!CR13="","",'Input Nilai Pengetahuan'!CR13)</f>
        <v/>
      </c>
      <c r="F22" s="228" t="str">
        <f>IF('Input Nilai Pengetahuan'!CV13="","",'Input Nilai Pengetahuan'!CV13)</f>
        <v/>
      </c>
      <c r="G22" s="227" t="str">
        <f>IF('Input Nilai Ketrampilan'!BF13="","",'Input Nilai Ketrampilan'!BF13)</f>
        <v/>
      </c>
      <c r="H22" s="227" t="str">
        <f>IF('Input Nilai Ketrampilan'!BG13="","",'Input Nilai Ketrampilan'!BG13)</f>
        <v/>
      </c>
      <c r="I22" s="228" t="str">
        <f>IF('Input Nilai Ketrampilan'!BK13="","",'Input Nilai Ketrampilan'!BK13)</f>
        <v/>
      </c>
      <c r="J22" s="234">
        <f>IF('Input Nilai Sikap'!H15="","",'Input Nilai Sikap'!H15)</f>
        <v>3</v>
      </c>
      <c r="K22" s="231" t="str">
        <f>IF('Input Nilai Sikap'!I15="","",'Input Nilai Sikap'!I15)</f>
        <v>Melaksanakan sholat dhuhur berjemaah dan sholatt dhuha, berdo'a di awal di akhir kegiatan pembelajaran , serta melaksanakan kegiatan amaliyah siswa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T22" s="409">
        <f>IF(C22="","",menu!$R$1)</f>
        <v>75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>
        <f>'DATA SISWA'!C14</f>
        <v>0</v>
      </c>
      <c r="D23" s="227" t="str">
        <f>IF('Input Nilai Pengetahuan'!CQ14="","",'Input Nilai Pengetahuan'!CQ14)</f>
        <v/>
      </c>
      <c r="E23" s="227" t="str">
        <f>IF('Input Nilai Pengetahuan'!CR14="","",'Input Nilai Pengetahuan'!CR14)</f>
        <v/>
      </c>
      <c r="F23" s="228" t="str">
        <f>IF('Input Nilai Pengetahuan'!CV14="","",'Input Nilai Pengetahuan'!CV14)</f>
        <v/>
      </c>
      <c r="G23" s="227" t="str">
        <f>IF('Input Nilai Ketrampilan'!BF14="","",'Input Nilai Ketrampilan'!BF14)</f>
        <v/>
      </c>
      <c r="H23" s="227" t="str">
        <f>IF('Input Nilai Ketrampilan'!BG14="","",'Input Nilai Ketrampilan'!BG14)</f>
        <v/>
      </c>
      <c r="I23" s="228" t="str">
        <f>IF('Input Nilai Ketrampilan'!BK14="","",'Input Nilai Ketrampilan'!BK14)</f>
        <v/>
      </c>
      <c r="J23" s="234">
        <f>IF('Input Nilai Sikap'!H16="","",'Input Nilai Sikap'!H16)</f>
        <v>3</v>
      </c>
      <c r="K23" s="231" t="str">
        <f>IF('Input Nilai Sikap'!I16="","",'Input Nilai Sikap'!I16)</f>
        <v>Melaksanakan sholat dhuhur berjemaah dan sholatt dhuha, berdo'a di awal di akhir kegiatan pembelajaran , serta melaksanakan kegiatan amaliyah siswa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T23" s="409">
        <f>IF(C23="","",menu!$R$1)</f>
        <v>75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>
        <f>'DATA SISWA'!C15</f>
        <v>0</v>
      </c>
      <c r="D24" s="227" t="str">
        <f>IF('Input Nilai Pengetahuan'!CQ15="","",'Input Nilai Pengetahuan'!CQ15)</f>
        <v/>
      </c>
      <c r="E24" s="227" t="str">
        <f>IF('Input Nilai Pengetahuan'!CR15="","",'Input Nilai Pengetahuan'!CR15)</f>
        <v/>
      </c>
      <c r="F24" s="228" t="str">
        <f>IF('Input Nilai Pengetahuan'!CV15="","",'Input Nilai Pengetahuan'!CV15)</f>
        <v/>
      </c>
      <c r="G24" s="227" t="str">
        <f>IF('Input Nilai Ketrampilan'!BF15="","",'Input Nilai Ketrampilan'!BF15)</f>
        <v/>
      </c>
      <c r="H24" s="227" t="str">
        <f>IF('Input Nilai Ketrampilan'!BG15="","",'Input Nilai Ketrampilan'!BG15)</f>
        <v/>
      </c>
      <c r="I24" s="228" t="str">
        <f>IF('Input Nilai Ketrampilan'!BK15="","",'Input Nilai Ketrampilan'!BK15)</f>
        <v/>
      </c>
      <c r="J24" s="234">
        <f>IF('Input Nilai Sikap'!H17="","",'Input Nilai Sikap'!H17)</f>
        <v>3</v>
      </c>
      <c r="K24" s="231" t="str">
        <f>IF('Input Nilai Sikap'!I17="","",'Input Nilai Sikap'!I17)</f>
        <v>Melaksanakan sholat dhuhur berjemaah dan sholatt dhuha, berdo'a di awal di akhir kegiatan pembelajaran , serta melaksanakan kegiatan amaliyah siswa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T24" s="409">
        <f>IF(C24="","",menu!$R$1)</f>
        <v>75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>
        <f>'DATA SISWA'!C16</f>
        <v>0</v>
      </c>
      <c r="D25" s="227" t="str">
        <f>IF('Input Nilai Pengetahuan'!CQ16="","",'Input Nilai Pengetahuan'!CQ16)</f>
        <v/>
      </c>
      <c r="E25" s="227" t="str">
        <f>IF('Input Nilai Pengetahuan'!CR16="","",'Input Nilai Pengetahuan'!CR16)</f>
        <v/>
      </c>
      <c r="F25" s="228" t="str">
        <f>IF('Input Nilai Pengetahuan'!CV16="","",'Input Nilai Pengetahuan'!CV16)</f>
        <v/>
      </c>
      <c r="G25" s="227" t="str">
        <f>IF('Input Nilai Ketrampilan'!BF16="","",'Input Nilai Ketrampilan'!BF16)</f>
        <v/>
      </c>
      <c r="H25" s="227" t="str">
        <f>IF('Input Nilai Ketrampilan'!BG16="","",'Input Nilai Ketrampilan'!BG16)</f>
        <v/>
      </c>
      <c r="I25" s="228" t="str">
        <f>IF('Input Nilai Ketrampilan'!BK16="","",'Input Nilai Ketrampilan'!BK16)</f>
        <v/>
      </c>
      <c r="J25" s="234">
        <f>IF('Input Nilai Sikap'!H18="","",'Input Nilai Sikap'!H18)</f>
        <v>3</v>
      </c>
      <c r="K25" s="231" t="str">
        <f>IF('Input Nilai Sikap'!I18="","",'Input Nilai Sikap'!I18)</f>
        <v>Melaksanakan sholat dhuhur berjemaah dan sholatt dhuha, berdo'a di awal di akhir kegiatan pembelajaran , serta melaksanakan kegiatan amaliyah siswa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T25" s="409">
        <f>IF(C25="","",menu!$R$1)</f>
        <v>75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>
        <f>'DATA SISWA'!C17</f>
        <v>0</v>
      </c>
      <c r="D26" s="227" t="str">
        <f>IF('Input Nilai Pengetahuan'!CQ17="","",'Input Nilai Pengetahuan'!CQ17)</f>
        <v/>
      </c>
      <c r="E26" s="227" t="str">
        <f>IF('Input Nilai Pengetahuan'!CR17="","",'Input Nilai Pengetahuan'!CR17)</f>
        <v/>
      </c>
      <c r="F26" s="228" t="str">
        <f>IF('Input Nilai Pengetahuan'!CV17="","",'Input Nilai Pengetahuan'!CV17)</f>
        <v/>
      </c>
      <c r="G26" s="227" t="str">
        <f>IF('Input Nilai Ketrampilan'!BF17="","",'Input Nilai Ketrampilan'!BF17)</f>
        <v/>
      </c>
      <c r="H26" s="227" t="str">
        <f>IF('Input Nilai Ketrampilan'!BG17="","",'Input Nilai Ketrampilan'!BG17)</f>
        <v/>
      </c>
      <c r="I26" s="228" t="str">
        <f>IF('Input Nilai Ketrampilan'!BK17="","",'Input Nilai Ketrampilan'!BK17)</f>
        <v/>
      </c>
      <c r="J26" s="234">
        <f>IF('Input Nilai Sikap'!H19="","",'Input Nilai Sikap'!H19)</f>
        <v>3</v>
      </c>
      <c r="K26" s="231" t="str">
        <f>IF('Input Nilai Sikap'!I19="","",'Input Nilai Sikap'!I19)</f>
        <v>Melaksanakan sholat dhuhur berjemaah dan sholatt dhuha, berdo'a di awal di akhir kegiatan pembelajaran , serta melaksanakan kegiatan amaliyah siswa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T26" s="409">
        <f>IF(C26="","",menu!$R$1)</f>
        <v>75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>
        <f>'DATA SISWA'!C18</f>
        <v>0</v>
      </c>
      <c r="D27" s="227" t="str">
        <f>IF('Input Nilai Pengetahuan'!CQ18="","",'Input Nilai Pengetahuan'!CQ18)</f>
        <v/>
      </c>
      <c r="E27" s="227" t="str">
        <f>IF('Input Nilai Pengetahuan'!CR18="","",'Input Nilai Pengetahuan'!CR18)</f>
        <v/>
      </c>
      <c r="F27" s="228" t="str">
        <f>IF('Input Nilai Pengetahuan'!CV18="","",'Input Nilai Pengetahuan'!CV18)</f>
        <v/>
      </c>
      <c r="G27" s="227" t="str">
        <f>IF('Input Nilai Ketrampilan'!BF18="","",'Input Nilai Ketrampilan'!BF18)</f>
        <v/>
      </c>
      <c r="H27" s="227" t="str">
        <f>IF('Input Nilai Ketrampilan'!BG18="","",'Input Nilai Ketrampilan'!BG18)</f>
        <v/>
      </c>
      <c r="I27" s="228" t="str">
        <f>IF('Input Nilai Ketrampilan'!BK18="","",'Input Nilai Ketrampilan'!BK18)</f>
        <v/>
      </c>
      <c r="J27" s="234">
        <f>IF('Input Nilai Sikap'!H20="","",'Input Nilai Sikap'!H20)</f>
        <v>3</v>
      </c>
      <c r="K27" s="231" t="str">
        <f>IF('Input Nilai Sikap'!I20="","",'Input Nilai Sikap'!I20)</f>
        <v>Melaksanakan sholat dhuhur berjemaah dan sholatt dhuha, berdo'a di awal di akhir kegiatan pembelajaran , serta melaksanakan kegiatan amaliyah siswa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T27" s="409">
        <f>IF(C27="","",menu!$R$1)</f>
        <v>75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>
        <f>'DATA SISWA'!C19</f>
        <v>0</v>
      </c>
      <c r="D28" s="227" t="str">
        <f>IF('Input Nilai Pengetahuan'!CQ19="","",'Input Nilai Pengetahuan'!CQ19)</f>
        <v/>
      </c>
      <c r="E28" s="227" t="str">
        <f>IF('Input Nilai Pengetahuan'!CR19="","",'Input Nilai Pengetahuan'!CR19)</f>
        <v/>
      </c>
      <c r="F28" s="228" t="str">
        <f>IF('Input Nilai Pengetahuan'!CV19="","",'Input Nilai Pengetahuan'!CV19)</f>
        <v/>
      </c>
      <c r="G28" s="227" t="str">
        <f>IF('Input Nilai Ketrampilan'!BF19="","",'Input Nilai Ketrampilan'!BF19)</f>
        <v/>
      </c>
      <c r="H28" s="227" t="str">
        <f>IF('Input Nilai Ketrampilan'!BG19="","",'Input Nilai Ketrampilan'!BG19)</f>
        <v/>
      </c>
      <c r="I28" s="228" t="str">
        <f>IF('Input Nilai Ketrampilan'!BK19="","",'Input Nilai Ketrampilan'!BK19)</f>
        <v/>
      </c>
      <c r="J28" s="234">
        <f>IF('Input Nilai Sikap'!H21="","",'Input Nilai Sikap'!H21)</f>
        <v>3</v>
      </c>
      <c r="K28" s="231" t="str">
        <f>IF('Input Nilai Sikap'!I21="","",'Input Nilai Sikap'!I21)</f>
        <v>Melaksanakan sholat dhuhur berjemaah dan sholatt dhuha, berdo'a di awal di akhir kegiatan pembelajaran , serta melaksanakan kegiatan amaliyah siswa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T28" s="409">
        <f>IF(C28="","",menu!$R$1)</f>
        <v>75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>
        <f>'DATA SISWA'!C20</f>
        <v>0</v>
      </c>
      <c r="D29" s="227" t="str">
        <f>IF('Input Nilai Pengetahuan'!CQ20="","",'Input Nilai Pengetahuan'!CQ20)</f>
        <v/>
      </c>
      <c r="E29" s="227" t="str">
        <f>IF('Input Nilai Pengetahuan'!CR20="","",'Input Nilai Pengetahuan'!CR20)</f>
        <v/>
      </c>
      <c r="F29" s="228" t="str">
        <f>IF('Input Nilai Pengetahuan'!CV20="","",'Input Nilai Pengetahuan'!CV20)</f>
        <v/>
      </c>
      <c r="G29" s="227" t="str">
        <f>IF('Input Nilai Ketrampilan'!BF20="","",'Input Nilai Ketrampilan'!BF20)</f>
        <v/>
      </c>
      <c r="H29" s="227" t="str">
        <f>IF('Input Nilai Ketrampilan'!BG20="","",'Input Nilai Ketrampilan'!BG20)</f>
        <v/>
      </c>
      <c r="I29" s="228" t="str">
        <f>IF('Input Nilai Ketrampilan'!BK20="","",'Input Nilai Ketrampilan'!BK20)</f>
        <v/>
      </c>
      <c r="J29" s="234">
        <f>IF('Input Nilai Sikap'!H22="","",'Input Nilai Sikap'!H22)</f>
        <v>3</v>
      </c>
      <c r="K29" s="231" t="str">
        <f>IF('Input Nilai Sikap'!I22="","",'Input Nilai Sikap'!I22)</f>
        <v>Melaksanakan sholat dhuhur berjemaah dan sholatt dhuha, berdo'a di awal di akhir kegiatan pembelajaran , serta melaksanakan kegiatan amaliyah siswa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T29" s="409">
        <f>IF(C29="","",menu!$R$1)</f>
        <v>75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>
        <f>'DATA SISWA'!C21</f>
        <v>0</v>
      </c>
      <c r="D30" s="227" t="str">
        <f>IF('Input Nilai Pengetahuan'!CQ21="","",'Input Nilai Pengetahuan'!CQ21)</f>
        <v/>
      </c>
      <c r="E30" s="227" t="str">
        <f>IF('Input Nilai Pengetahuan'!CR21="","",'Input Nilai Pengetahuan'!CR21)</f>
        <v/>
      </c>
      <c r="F30" s="228" t="str">
        <f>IF('Input Nilai Pengetahuan'!CV21="","",'Input Nilai Pengetahuan'!CV21)</f>
        <v/>
      </c>
      <c r="G30" s="227" t="str">
        <f>IF('Input Nilai Ketrampilan'!BF21="","",'Input Nilai Ketrampilan'!BF21)</f>
        <v/>
      </c>
      <c r="H30" s="227" t="str">
        <f>IF('Input Nilai Ketrampilan'!BG21="","",'Input Nilai Ketrampilan'!BG21)</f>
        <v/>
      </c>
      <c r="I30" s="228" t="str">
        <f>IF('Input Nilai Ketrampilan'!BK21="","",'Input Nilai Ketrampilan'!BK21)</f>
        <v/>
      </c>
      <c r="J30" s="234">
        <f>IF('Input Nilai Sikap'!H23="","",'Input Nilai Sikap'!H23)</f>
        <v>3</v>
      </c>
      <c r="K30" s="231" t="str">
        <f>IF('Input Nilai Sikap'!I23="","",'Input Nilai Sikap'!I23)</f>
        <v>Melaksanakan sholat dhuhur berjemaah dan sholatt dhuha, berdo'a di awal di akhir kegiatan pembelajaran , serta melaksanakan kegiatan amaliyah siswa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T30" s="409">
        <f>IF(C30="","",menu!$R$1)</f>
        <v>75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>
        <f>'DATA SISWA'!C22</f>
        <v>0</v>
      </c>
      <c r="D31" s="227" t="str">
        <f>IF('Input Nilai Pengetahuan'!CQ22="","",'Input Nilai Pengetahuan'!CQ22)</f>
        <v/>
      </c>
      <c r="E31" s="227" t="str">
        <f>IF('Input Nilai Pengetahuan'!CR22="","",'Input Nilai Pengetahuan'!CR22)</f>
        <v/>
      </c>
      <c r="F31" s="228" t="str">
        <f>IF('Input Nilai Pengetahuan'!CV22="","",'Input Nilai Pengetahuan'!CV22)</f>
        <v/>
      </c>
      <c r="G31" s="227" t="str">
        <f>IF('Input Nilai Ketrampilan'!BF22="","",'Input Nilai Ketrampilan'!BF22)</f>
        <v/>
      </c>
      <c r="H31" s="227" t="str">
        <f>IF('Input Nilai Ketrampilan'!BG22="","",'Input Nilai Ketrampilan'!BG22)</f>
        <v/>
      </c>
      <c r="I31" s="228" t="str">
        <f>IF('Input Nilai Ketrampilan'!BK22="","",'Input Nilai Ketrampilan'!BK22)</f>
        <v/>
      </c>
      <c r="J31" s="234">
        <f>IF('Input Nilai Sikap'!H24="","",'Input Nilai Sikap'!H24)</f>
        <v>3</v>
      </c>
      <c r="K31" s="231" t="str">
        <f>IF('Input Nilai Sikap'!I24="","",'Input Nilai Sikap'!I24)</f>
        <v>Melaksanakan sholat dhuhur berjemaah dan sholatt dhuha, berdo'a di awal di akhir kegiatan pembelajaran , serta melaksanakan kegiatan amaliyah siswa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T31" s="409">
        <f>IF(C31="","",menu!$R$1)</f>
        <v>75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>
        <f>'DATA SISWA'!C23</f>
        <v>0</v>
      </c>
      <c r="D32" s="227" t="str">
        <f>IF('Input Nilai Pengetahuan'!CQ23="","",'Input Nilai Pengetahuan'!CQ23)</f>
        <v/>
      </c>
      <c r="E32" s="227" t="str">
        <f>IF('Input Nilai Pengetahuan'!CR23="","",'Input Nilai Pengetahuan'!CR23)</f>
        <v/>
      </c>
      <c r="F32" s="228" t="str">
        <f>IF('Input Nilai Pengetahuan'!CV23="","",'Input Nilai Pengetahuan'!CV23)</f>
        <v/>
      </c>
      <c r="G32" s="227" t="str">
        <f>IF('Input Nilai Ketrampilan'!BF23="","",'Input Nilai Ketrampilan'!BF23)</f>
        <v/>
      </c>
      <c r="H32" s="227" t="str">
        <f>IF('Input Nilai Ketrampilan'!BG23="","",'Input Nilai Ketrampilan'!BG23)</f>
        <v/>
      </c>
      <c r="I32" s="228" t="str">
        <f>IF('Input Nilai Ketrampilan'!BK23="","",'Input Nilai Ketrampilan'!BK23)</f>
        <v/>
      </c>
      <c r="J32" s="234">
        <f>IF('Input Nilai Sikap'!H25="","",'Input Nilai Sikap'!H25)</f>
        <v>3</v>
      </c>
      <c r="K32" s="231" t="str">
        <f>IF('Input Nilai Sikap'!I25="","",'Input Nilai Sikap'!I25)</f>
        <v>Melaksanakan sholat dhuhur berjemaah dan sholatt dhuha, berdo'a di awal di akhir kegiatan pembelajaran , serta melaksanakan kegiatan amaliyah siswa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T32" s="409">
        <f>IF(C32="","",menu!$R$1)</f>
        <v>75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>
        <f>'DATA SISWA'!C24</f>
        <v>0</v>
      </c>
      <c r="D33" s="227" t="str">
        <f>IF('Input Nilai Pengetahuan'!CQ24="","",'Input Nilai Pengetahuan'!CQ24)</f>
        <v/>
      </c>
      <c r="E33" s="227" t="str">
        <f>IF('Input Nilai Pengetahuan'!CR24="","",'Input Nilai Pengetahuan'!CR24)</f>
        <v/>
      </c>
      <c r="F33" s="228" t="str">
        <f>IF('Input Nilai Pengetahuan'!CV24="","",'Input Nilai Pengetahuan'!CV24)</f>
        <v/>
      </c>
      <c r="G33" s="227" t="str">
        <f>IF('Input Nilai Ketrampilan'!BF24="","",'Input Nilai Ketrampilan'!BF24)</f>
        <v/>
      </c>
      <c r="H33" s="227" t="str">
        <f>IF('Input Nilai Ketrampilan'!BG24="","",'Input Nilai Ketrampilan'!BG24)</f>
        <v/>
      </c>
      <c r="I33" s="228" t="str">
        <f>IF('Input Nilai Ketrampilan'!BK24="","",'Input Nilai Ketrampilan'!BK24)</f>
        <v/>
      </c>
      <c r="J33" s="234">
        <f>IF('Input Nilai Sikap'!H26="","",'Input Nilai Sikap'!H26)</f>
        <v>3</v>
      </c>
      <c r="K33" s="231" t="str">
        <f>IF('Input Nilai Sikap'!I26="","",'Input Nilai Sikap'!I26)</f>
        <v>Melaksanakan sholat dhuhur berjemaah dan sholatt dhuha, berdo'a di awal di akhir kegiatan pembelajaran , serta melaksanakan kegiatan amaliyah siswa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T33" s="409">
        <f>IF(C33="","",menu!$R$1)</f>
        <v>75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>
        <f>'DATA SISWA'!C25</f>
        <v>0</v>
      </c>
      <c r="D34" s="227" t="str">
        <f>IF('Input Nilai Pengetahuan'!CQ25="","",'Input Nilai Pengetahuan'!CQ25)</f>
        <v/>
      </c>
      <c r="E34" s="227" t="str">
        <f>IF('Input Nilai Pengetahuan'!CR25="","",'Input Nilai Pengetahuan'!CR25)</f>
        <v/>
      </c>
      <c r="F34" s="228" t="str">
        <f>IF('Input Nilai Pengetahuan'!CV25="","",'Input Nilai Pengetahuan'!CV25)</f>
        <v/>
      </c>
      <c r="G34" s="227" t="str">
        <f>IF('Input Nilai Ketrampilan'!BF25="","",'Input Nilai Ketrampilan'!BF25)</f>
        <v/>
      </c>
      <c r="H34" s="227" t="str">
        <f>IF('Input Nilai Ketrampilan'!BG25="","",'Input Nilai Ketrampilan'!BG25)</f>
        <v/>
      </c>
      <c r="I34" s="228" t="str">
        <f>IF('Input Nilai Ketrampilan'!BK25="","",'Input Nilai Ketrampilan'!BK25)</f>
        <v/>
      </c>
      <c r="J34" s="234">
        <f>IF('Input Nilai Sikap'!H27="","",'Input Nilai Sikap'!H27)</f>
        <v>3</v>
      </c>
      <c r="K34" s="231" t="str">
        <f>IF('Input Nilai Sikap'!I27="","",'Input Nilai Sikap'!I27)</f>
        <v>Melaksanakan sholat dhuhur berjemaah dan sholatt dhuha, berdo'a di awal di akhir kegiatan pembelajaran , serta melaksanakan kegiatan amaliyah siswa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T34" s="409">
        <f>IF(C34="","",menu!$R$1)</f>
        <v>75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>
        <f>'DATA SISWA'!C26</f>
        <v>0</v>
      </c>
      <c r="D35" s="227" t="str">
        <f>IF('Input Nilai Pengetahuan'!CQ26="","",'Input Nilai Pengetahuan'!CQ26)</f>
        <v/>
      </c>
      <c r="E35" s="227" t="str">
        <f>IF('Input Nilai Pengetahuan'!CR26="","",'Input Nilai Pengetahuan'!CR26)</f>
        <v/>
      </c>
      <c r="F35" s="228" t="str">
        <f>IF('Input Nilai Pengetahuan'!CV26="","",'Input Nilai Pengetahuan'!CV26)</f>
        <v/>
      </c>
      <c r="G35" s="227" t="str">
        <f>IF('Input Nilai Ketrampilan'!BF26="","",'Input Nilai Ketrampilan'!BF26)</f>
        <v/>
      </c>
      <c r="H35" s="227" t="str">
        <f>IF('Input Nilai Ketrampilan'!BG26="","",'Input Nilai Ketrampilan'!BG26)</f>
        <v/>
      </c>
      <c r="I35" s="228" t="str">
        <f>IF('Input Nilai Ketrampilan'!BK26="","",'Input Nilai Ketrampilan'!BK26)</f>
        <v/>
      </c>
      <c r="J35" s="234">
        <f>IF('Input Nilai Sikap'!H28="","",'Input Nilai Sikap'!H28)</f>
        <v>3</v>
      </c>
      <c r="K35" s="231" t="str">
        <f>IF('Input Nilai Sikap'!I28="","",'Input Nilai Sikap'!I28)</f>
        <v>Melaksanakan sholat dhuhur berjemaah dan sholatt dhuha, berdo'a di awal di akhir kegiatan pembelajaran , serta melaksanakan kegiatan amaliyah siswa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T35" s="409">
        <f>IF(C35="","",menu!$R$1)</f>
        <v>75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>
        <f>'DATA SISWA'!C27</f>
        <v>0</v>
      </c>
      <c r="D36" s="227" t="str">
        <f>IF('Input Nilai Pengetahuan'!CQ27="","",'Input Nilai Pengetahuan'!CQ27)</f>
        <v/>
      </c>
      <c r="E36" s="227" t="str">
        <f>IF('Input Nilai Pengetahuan'!CR27="","",'Input Nilai Pengetahuan'!CR27)</f>
        <v/>
      </c>
      <c r="F36" s="228" t="str">
        <f>IF('Input Nilai Pengetahuan'!CV27="","",'Input Nilai Pengetahuan'!CV27)</f>
        <v/>
      </c>
      <c r="G36" s="227" t="str">
        <f>IF('Input Nilai Ketrampilan'!BF27="","",'Input Nilai Ketrampilan'!BF27)</f>
        <v/>
      </c>
      <c r="H36" s="227" t="str">
        <f>IF('Input Nilai Ketrampilan'!BG27="","",'Input Nilai Ketrampilan'!BG27)</f>
        <v/>
      </c>
      <c r="I36" s="228" t="str">
        <f>IF('Input Nilai Ketrampilan'!BK27="","",'Input Nilai Ketrampilan'!BK27)</f>
        <v/>
      </c>
      <c r="J36" s="234">
        <f>IF('Input Nilai Sikap'!H29="","",'Input Nilai Sikap'!H29)</f>
        <v>3</v>
      </c>
      <c r="K36" s="231" t="str">
        <f>IF('Input Nilai Sikap'!I29="","",'Input Nilai Sikap'!I29)</f>
        <v>Melaksanakan sholat dhuhur berjemaah dan sholatt dhuha, berdo'a di awal di akhir kegiatan pembelajaran , serta melaksanakan kegiatan amaliyah siswa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T36" s="409">
        <f>IF(C36="","",menu!$R$1)</f>
        <v>75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>
        <f>'DATA SISWA'!C28</f>
        <v>0</v>
      </c>
      <c r="D37" s="227" t="str">
        <f>IF('Input Nilai Pengetahuan'!CQ28="","",'Input Nilai Pengetahuan'!CQ28)</f>
        <v/>
      </c>
      <c r="E37" s="227" t="str">
        <f>IF('Input Nilai Pengetahuan'!CR28="","",'Input Nilai Pengetahuan'!CR28)</f>
        <v/>
      </c>
      <c r="F37" s="228" t="str">
        <f>IF('Input Nilai Pengetahuan'!CV28="","",'Input Nilai Pengetahuan'!CV28)</f>
        <v/>
      </c>
      <c r="G37" s="227" t="str">
        <f>IF('Input Nilai Ketrampilan'!BF28="","",'Input Nilai Ketrampilan'!BF28)</f>
        <v/>
      </c>
      <c r="H37" s="227" t="str">
        <f>IF('Input Nilai Ketrampilan'!BG28="","",'Input Nilai Ketrampilan'!BG28)</f>
        <v/>
      </c>
      <c r="I37" s="228" t="str">
        <f>IF('Input Nilai Ketrampilan'!BK28="","",'Input Nilai Ketrampilan'!BK28)</f>
        <v/>
      </c>
      <c r="J37" s="234">
        <f>IF('Input Nilai Sikap'!H30="","",'Input Nilai Sikap'!H30)</f>
        <v>3</v>
      </c>
      <c r="K37" s="231" t="str">
        <f>IF('Input Nilai Sikap'!I30="","",'Input Nilai Sikap'!I30)</f>
        <v>Melaksanakan sholat dhuhur berjemaah dan sholatt dhuha, berdo'a di awal di akhir kegiatan pembelajaran , serta melaksanakan kegiatan amaliyah siswa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T37" s="409">
        <f>IF(C37="","",menu!$R$1)</f>
        <v>75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>
        <f>'DATA SISWA'!C29</f>
        <v>0</v>
      </c>
      <c r="D38" s="227" t="str">
        <f>IF('Input Nilai Pengetahuan'!CQ29="","",'Input Nilai Pengetahuan'!CQ29)</f>
        <v/>
      </c>
      <c r="E38" s="227" t="str">
        <f>IF('Input Nilai Pengetahuan'!CR29="","",'Input Nilai Pengetahuan'!CR29)</f>
        <v/>
      </c>
      <c r="F38" s="228" t="str">
        <f>IF('Input Nilai Pengetahuan'!CV29="","",'Input Nilai Pengetahuan'!CV29)</f>
        <v/>
      </c>
      <c r="G38" s="227" t="str">
        <f>IF('Input Nilai Ketrampilan'!BF29="","",'Input Nilai Ketrampilan'!BF29)</f>
        <v/>
      </c>
      <c r="H38" s="227" t="str">
        <f>IF('Input Nilai Ketrampilan'!BG29="","",'Input Nilai Ketrampilan'!BG29)</f>
        <v/>
      </c>
      <c r="I38" s="228" t="str">
        <f>IF('Input Nilai Ketrampilan'!BK29="","",'Input Nilai Ketrampilan'!BK29)</f>
        <v/>
      </c>
      <c r="J38" s="234">
        <f>IF('Input Nilai Sikap'!H31="","",'Input Nilai Sikap'!H31)</f>
        <v>3</v>
      </c>
      <c r="K38" s="231" t="str">
        <f>IF('Input Nilai Sikap'!I31="","",'Input Nilai Sikap'!I31)</f>
        <v>Melaksanakan sholat dhuhur berjemaah dan sholatt dhuha, berdo'a di awal di akhir kegiatan pembelajaran , serta melaksanakan kegiatan amaliyah siswa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T38" s="409">
        <f>IF(C38="","",menu!$R$1)</f>
        <v>75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>
        <f>'DATA SISWA'!C30</f>
        <v>0</v>
      </c>
      <c r="D39" s="227" t="str">
        <f>IF('Input Nilai Pengetahuan'!CQ30="","",'Input Nilai Pengetahuan'!CQ30)</f>
        <v/>
      </c>
      <c r="E39" s="227" t="str">
        <f>IF('Input Nilai Pengetahuan'!CR30="","",'Input Nilai Pengetahuan'!CR30)</f>
        <v/>
      </c>
      <c r="F39" s="228" t="str">
        <f>IF('Input Nilai Pengetahuan'!CV30="","",'Input Nilai Pengetahuan'!CV30)</f>
        <v/>
      </c>
      <c r="G39" s="227" t="str">
        <f>IF('Input Nilai Ketrampilan'!BF30="","",'Input Nilai Ketrampilan'!BF30)</f>
        <v/>
      </c>
      <c r="H39" s="227" t="str">
        <f>IF('Input Nilai Ketrampilan'!BG30="","",'Input Nilai Ketrampilan'!BG30)</f>
        <v/>
      </c>
      <c r="I39" s="228" t="str">
        <f>IF('Input Nilai Ketrampilan'!BK30="","",'Input Nilai Ketrampilan'!BK30)</f>
        <v/>
      </c>
      <c r="J39" s="234">
        <f>IF('Input Nilai Sikap'!H32="","",'Input Nilai Sikap'!H32)</f>
        <v>3</v>
      </c>
      <c r="K39" s="231" t="str">
        <f>IF('Input Nilai Sikap'!I32="","",'Input Nilai Sikap'!I32)</f>
        <v>Melaksanakan sholat dhuhur berjemaah dan sholatt dhuha, berdo'a di awal di akhir kegiatan pembelajaran , serta melaksanakan kegiatan amaliyah siswa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T39" s="409">
        <f>IF(C39="","",menu!$R$1)</f>
        <v>75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>
        <f>'DATA SISWA'!C31</f>
        <v>0</v>
      </c>
      <c r="D40" s="227" t="str">
        <f>IF('Input Nilai Pengetahuan'!CQ31="","",'Input Nilai Pengetahuan'!CQ31)</f>
        <v/>
      </c>
      <c r="E40" s="227" t="str">
        <f>IF('Input Nilai Pengetahuan'!CR31="","",'Input Nilai Pengetahuan'!CR31)</f>
        <v/>
      </c>
      <c r="F40" s="228" t="str">
        <f>IF('Input Nilai Pengetahuan'!CV31="","",'Input Nilai Pengetahuan'!CV31)</f>
        <v/>
      </c>
      <c r="G40" s="227" t="str">
        <f>IF('Input Nilai Ketrampilan'!BF31="","",'Input Nilai Ketrampilan'!BF31)</f>
        <v/>
      </c>
      <c r="H40" s="227" t="str">
        <f>IF('Input Nilai Ketrampilan'!BG31="","",'Input Nilai Ketrampilan'!BG31)</f>
        <v/>
      </c>
      <c r="I40" s="228" t="str">
        <f>IF('Input Nilai Ketrampilan'!BK31="","",'Input Nilai Ketrampilan'!BK31)</f>
        <v/>
      </c>
      <c r="J40" s="234">
        <f>IF('Input Nilai Sikap'!H33="","",'Input Nilai Sikap'!H33)</f>
        <v>3</v>
      </c>
      <c r="K40" s="231" t="str">
        <f>IF('Input Nilai Sikap'!I33="","",'Input Nilai Sikap'!I33)</f>
        <v>Melaksanakan sholat dhuhur berjemaah dan sholatt dhuha, berdo'a di awal di akhir kegiatan pembelajaran , serta melaksanakan kegiatan amaliyah siswa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T40" s="409">
        <f>IF(C40="","",menu!$R$1)</f>
        <v>75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>
        <f>'DATA SISWA'!C32</f>
        <v>0</v>
      </c>
      <c r="D41" s="227" t="str">
        <f>IF('Input Nilai Pengetahuan'!CQ32="","",'Input Nilai Pengetahuan'!CQ32)</f>
        <v/>
      </c>
      <c r="E41" s="227" t="str">
        <f>IF('Input Nilai Pengetahuan'!CR32="","",'Input Nilai Pengetahuan'!CR32)</f>
        <v/>
      </c>
      <c r="F41" s="228" t="str">
        <f>IF('Input Nilai Pengetahuan'!CV32="","",'Input Nilai Pengetahuan'!CV32)</f>
        <v/>
      </c>
      <c r="G41" s="227" t="str">
        <f>IF('Input Nilai Ketrampilan'!BF32="","",'Input Nilai Ketrampilan'!BF32)</f>
        <v/>
      </c>
      <c r="H41" s="227" t="str">
        <f>IF('Input Nilai Ketrampilan'!BG32="","",'Input Nilai Ketrampilan'!BG32)</f>
        <v/>
      </c>
      <c r="I41" s="228" t="str">
        <f>IF('Input Nilai Ketrampilan'!BK32="","",'Input Nilai Ketrampilan'!BK32)</f>
        <v/>
      </c>
      <c r="J41" s="234">
        <f>IF('Input Nilai Sikap'!H34="","",'Input Nilai Sikap'!H34)</f>
        <v>3</v>
      </c>
      <c r="K41" s="231" t="str">
        <f>IF('Input Nilai Sikap'!I34="","",'Input Nilai Sikap'!I34)</f>
        <v>Melaksanakan sholat dhuhur berjemaah dan sholatt dhuha, berdo'a di awal di akhir kegiatan pembelajaran , serta melaksanakan kegiatan amaliyah siswa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T41" s="409">
        <f>IF(C41="","",menu!$R$1)</f>
        <v>75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>
        <f>'DATA SISWA'!C33</f>
        <v>0</v>
      </c>
      <c r="D42" s="227" t="str">
        <f>IF('Input Nilai Pengetahuan'!CQ33="","",'Input Nilai Pengetahuan'!CQ33)</f>
        <v/>
      </c>
      <c r="E42" s="227" t="str">
        <f>IF('Input Nilai Pengetahuan'!CR33="","",'Input Nilai Pengetahuan'!CR33)</f>
        <v/>
      </c>
      <c r="F42" s="228" t="str">
        <f>IF('Input Nilai Pengetahuan'!CV33="","",'Input Nilai Pengetahuan'!CV33)</f>
        <v/>
      </c>
      <c r="G42" s="227" t="str">
        <f>IF('Input Nilai Ketrampilan'!BF33="","",'Input Nilai Ketrampilan'!BF33)</f>
        <v/>
      </c>
      <c r="H42" s="227" t="str">
        <f>IF('Input Nilai Ketrampilan'!BG33="","",'Input Nilai Ketrampilan'!BG33)</f>
        <v/>
      </c>
      <c r="I42" s="228" t="str">
        <f>IF('Input Nilai Ketrampilan'!BK33="","",'Input Nilai Ketrampilan'!BK33)</f>
        <v/>
      </c>
      <c r="J42" s="234">
        <f>IF('Input Nilai Sikap'!H35="","",'Input Nilai Sikap'!H35)</f>
        <v>3</v>
      </c>
      <c r="K42" s="231" t="str">
        <f>IF('Input Nilai Sikap'!I35="","",'Input Nilai Sikap'!I35)</f>
        <v>Melaksanakan sholat dhuhur berjemaah dan sholatt dhuha, berdo'a di awal di akhir kegiatan pembelajaran , serta melaksanakan kegiatan amaliyah siswa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T42" s="409">
        <f>IF(C42="","",menu!$R$1)</f>
        <v>75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>
        <f>'DATA SISWA'!C34</f>
        <v>0</v>
      </c>
      <c r="D43" s="227" t="str">
        <f>IF('Input Nilai Pengetahuan'!CQ34="","",'Input Nilai Pengetahuan'!CQ34)</f>
        <v/>
      </c>
      <c r="E43" s="227" t="str">
        <f>IF('Input Nilai Pengetahuan'!CR34="","",'Input Nilai Pengetahuan'!CR34)</f>
        <v/>
      </c>
      <c r="F43" s="228" t="str">
        <f>IF('Input Nilai Pengetahuan'!CV34="","",'Input Nilai Pengetahuan'!CV34)</f>
        <v/>
      </c>
      <c r="G43" s="227" t="str">
        <f>IF('Input Nilai Ketrampilan'!BF34="","",'Input Nilai Ketrampilan'!BF34)</f>
        <v/>
      </c>
      <c r="H43" s="227" t="str">
        <f>IF('Input Nilai Ketrampilan'!BG34="","",'Input Nilai Ketrampilan'!BG34)</f>
        <v/>
      </c>
      <c r="I43" s="228" t="str">
        <f>IF('Input Nilai Ketrampilan'!BK34="","",'Input Nilai Ketrampilan'!BK34)</f>
        <v/>
      </c>
      <c r="J43" s="234">
        <f>IF('Input Nilai Sikap'!H36="","",'Input Nilai Sikap'!H36)</f>
        <v>3</v>
      </c>
      <c r="K43" s="231" t="str">
        <f>IF('Input Nilai Sikap'!I36="","",'Input Nilai Sikap'!I36)</f>
        <v>Melaksanakan sholat dhuhur berjemaah dan sholatt dhuha, berdo'a di awal di akhir kegiatan pembelajaran , serta melaksanakan kegiatan amaliyah siswa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T43" s="409">
        <f>IF(C43="","",menu!$R$1)</f>
        <v>75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>
        <f>'DATA SISWA'!C35</f>
        <v>0</v>
      </c>
      <c r="D44" s="227" t="str">
        <f>IF('Input Nilai Pengetahuan'!CQ35="","",'Input Nilai Pengetahuan'!CQ35)</f>
        <v/>
      </c>
      <c r="E44" s="227" t="str">
        <f>IF('Input Nilai Pengetahuan'!CR35="","",'Input Nilai Pengetahuan'!CR35)</f>
        <v/>
      </c>
      <c r="F44" s="228" t="str">
        <f>IF('Input Nilai Pengetahuan'!CV35="","",'Input Nilai Pengetahuan'!CV35)</f>
        <v/>
      </c>
      <c r="G44" s="227" t="str">
        <f>IF('Input Nilai Ketrampilan'!BF35="","",'Input Nilai Ketrampilan'!BF35)</f>
        <v/>
      </c>
      <c r="H44" s="227" t="str">
        <f>IF('Input Nilai Ketrampilan'!BG35="","",'Input Nilai Ketrampilan'!BG35)</f>
        <v/>
      </c>
      <c r="I44" s="228" t="str">
        <f>IF('Input Nilai Ketrampilan'!BK35="","",'Input Nilai Ketrampilan'!BK35)</f>
        <v/>
      </c>
      <c r="J44" s="234">
        <f>IF('Input Nilai Sikap'!H37="","",'Input Nilai Sikap'!H37)</f>
        <v>3</v>
      </c>
      <c r="K44" s="231" t="str">
        <f>IF('Input Nilai Sikap'!I37="","",'Input Nilai Sikap'!I37)</f>
        <v>Melaksanakan sholat dhuhur berjemaah dan sholatt dhuha, berdo'a di awal di akhir kegiatan pembelajaran , serta melaksanakan kegiatan amaliyah siswa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T44" s="409">
        <f>IF(C44="","",menu!$R$1)</f>
        <v>75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>
        <f>'DATA SISWA'!C36</f>
        <v>0</v>
      </c>
      <c r="D45" s="227" t="str">
        <f>IF('Input Nilai Pengetahuan'!CQ36="","",'Input Nilai Pengetahuan'!CQ36)</f>
        <v/>
      </c>
      <c r="E45" s="227" t="str">
        <f>IF('Input Nilai Pengetahuan'!CR36="","",'Input Nilai Pengetahuan'!CR36)</f>
        <v/>
      </c>
      <c r="F45" s="228" t="str">
        <f>IF('Input Nilai Pengetahuan'!CV36="","",'Input Nilai Pengetahuan'!CV36)</f>
        <v/>
      </c>
      <c r="G45" s="227" t="str">
        <f>IF('Input Nilai Ketrampilan'!BF36="","",'Input Nilai Ketrampilan'!BF36)</f>
        <v/>
      </c>
      <c r="H45" s="227" t="str">
        <f>IF('Input Nilai Ketrampilan'!BG36="","",'Input Nilai Ketrampilan'!BG36)</f>
        <v/>
      </c>
      <c r="I45" s="228" t="str">
        <f>IF('Input Nilai Ketrampilan'!BK36="","",'Input Nilai Ketrampilan'!BK36)</f>
        <v/>
      </c>
      <c r="J45" s="234">
        <f>IF('Input Nilai Sikap'!H38="","",'Input Nilai Sikap'!H38)</f>
        <v>3</v>
      </c>
      <c r="K45" s="231" t="str">
        <f>IF('Input Nilai Sikap'!I38="","",'Input Nilai Sikap'!I38)</f>
        <v>Melaksanakan sholat dhuhur berjemaah dan sholatt dhuha, berdo'a di awal di akhir kegiatan pembelajaran , serta melaksanakan kegiatan amaliyah siswa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T45" s="409">
        <f>IF(C45="","",menu!$R$1)</f>
        <v>75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>
        <f>'DATA SISWA'!C37</f>
        <v>0</v>
      </c>
      <c r="D46" s="227" t="str">
        <f>IF('Input Nilai Pengetahuan'!CQ37="","",'Input Nilai Pengetahuan'!CQ37)</f>
        <v/>
      </c>
      <c r="E46" s="227" t="str">
        <f>IF('Input Nilai Pengetahuan'!CR37="","",'Input Nilai Pengetahuan'!CR37)</f>
        <v/>
      </c>
      <c r="F46" s="228" t="str">
        <f>IF('Input Nilai Pengetahuan'!CV37="","",'Input Nilai Pengetahuan'!CV37)</f>
        <v/>
      </c>
      <c r="G46" s="227" t="str">
        <f>IF('Input Nilai Ketrampilan'!BF37="","",'Input Nilai Ketrampilan'!BF37)</f>
        <v/>
      </c>
      <c r="H46" s="227" t="str">
        <f>IF('Input Nilai Ketrampilan'!BG37="","",'Input Nilai Ketrampilan'!BG37)</f>
        <v/>
      </c>
      <c r="I46" s="228" t="str">
        <f>IF('Input Nilai Ketrampilan'!BK37="","",'Input Nilai Ketrampilan'!BK37)</f>
        <v/>
      </c>
      <c r="J46" s="234">
        <f>IF('Input Nilai Sikap'!H39="","",'Input Nilai Sikap'!H39)</f>
        <v>3</v>
      </c>
      <c r="K46" s="231" t="str">
        <f>IF('Input Nilai Sikap'!I39="","",'Input Nilai Sikap'!I39)</f>
        <v>Melaksanakan sholat dhuhur berjemaah dan sholatt dhuha, berdo'a di awal di akhir kegiatan pembelajaran , serta melaksanakan kegiatan amaliyah siswa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T46" s="409">
        <f>IF(C46="","",menu!$R$1)</f>
        <v>75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>
        <f>'DATA SISWA'!C38</f>
        <v>0</v>
      </c>
      <c r="D47" s="227" t="str">
        <f>IF('Input Nilai Pengetahuan'!CQ38="","",'Input Nilai Pengetahuan'!CQ38)</f>
        <v/>
      </c>
      <c r="E47" s="227" t="str">
        <f>IF('Input Nilai Pengetahuan'!CR38="","",'Input Nilai Pengetahuan'!CR38)</f>
        <v/>
      </c>
      <c r="F47" s="228" t="str">
        <f>IF('Input Nilai Pengetahuan'!CV38="","",'Input Nilai Pengetahuan'!CV38)</f>
        <v/>
      </c>
      <c r="G47" s="227" t="str">
        <f>IF('Input Nilai Ketrampilan'!BF38="","",'Input Nilai Ketrampilan'!BF38)</f>
        <v/>
      </c>
      <c r="H47" s="227" t="str">
        <f>IF('Input Nilai Ketrampilan'!BG38="","",'Input Nilai Ketrampilan'!BG38)</f>
        <v/>
      </c>
      <c r="I47" s="228" t="str">
        <f>IF('Input Nilai Ketrampilan'!BK38="","",'Input Nilai Ketrampilan'!BK38)</f>
        <v/>
      </c>
      <c r="J47" s="234">
        <f>IF('Input Nilai Sikap'!H40="","",'Input Nilai Sikap'!H40)</f>
        <v>3</v>
      </c>
      <c r="K47" s="231" t="str">
        <f>IF('Input Nilai Sikap'!I40="","",'Input Nilai Sikap'!I40)</f>
        <v>Melaksanakan sholat dhuhur berjemaah dan sholatt dhuha, berdo'a di awal di akhir kegiatan pembelajaran , serta melaksanakan kegiatan amaliyah siswa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T47" s="409">
        <f>IF(C47="","",menu!$R$1)</f>
        <v>75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>
        <f>'DATA SISWA'!C39</f>
        <v>0</v>
      </c>
      <c r="D48" s="227" t="str">
        <f>IF('Input Nilai Pengetahuan'!CQ39="","",'Input Nilai Pengetahuan'!CQ39)</f>
        <v/>
      </c>
      <c r="E48" s="227" t="str">
        <f>IF('Input Nilai Pengetahuan'!CR39="","",'Input Nilai Pengetahuan'!CR39)</f>
        <v/>
      </c>
      <c r="F48" s="228" t="str">
        <f>IF('Input Nilai Pengetahuan'!CV39="","",'Input Nilai Pengetahuan'!CV39)</f>
        <v/>
      </c>
      <c r="G48" s="227" t="str">
        <f>IF('Input Nilai Ketrampilan'!BF39="","",'Input Nilai Ketrampilan'!BF39)</f>
        <v/>
      </c>
      <c r="H48" s="227" t="str">
        <f>IF('Input Nilai Ketrampilan'!BG39="","",'Input Nilai Ketrampilan'!BG39)</f>
        <v/>
      </c>
      <c r="I48" s="228" t="str">
        <f>IF('Input Nilai Ketrampilan'!BK39="","",'Input Nilai Ketrampilan'!BK39)</f>
        <v/>
      </c>
      <c r="J48" s="234">
        <f>IF('Input Nilai Sikap'!H41="","",'Input Nilai Sikap'!H41)</f>
        <v>3</v>
      </c>
      <c r="K48" s="231" t="str">
        <f>IF('Input Nilai Sikap'!I41="","",'Input Nilai Sikap'!I41)</f>
        <v>Melaksanakan sholat dhuhur berjemaah dan sholatt dhuha, berdo'a di awal di akhir kegiatan pembelajaran , serta melaksanakan kegiatan amaliyah siswa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T48" s="409">
        <f>IF(C48="","",menu!$R$1)</f>
        <v>75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>
        <f>'DATA SISWA'!C40</f>
        <v>0</v>
      </c>
      <c r="D49" s="227" t="str">
        <f>IF('Input Nilai Pengetahuan'!CQ40="","",'Input Nilai Pengetahuan'!CQ40)</f>
        <v/>
      </c>
      <c r="E49" s="227" t="str">
        <f>IF('Input Nilai Pengetahuan'!CR40="","",'Input Nilai Pengetahuan'!CR40)</f>
        <v/>
      </c>
      <c r="F49" s="228" t="str">
        <f>IF('Input Nilai Pengetahuan'!CV40="","",'Input Nilai Pengetahuan'!CV40)</f>
        <v/>
      </c>
      <c r="G49" s="227" t="str">
        <f>IF('Input Nilai Ketrampilan'!BF40="","",'Input Nilai Ketrampilan'!BF40)</f>
        <v/>
      </c>
      <c r="H49" s="227" t="str">
        <f>IF('Input Nilai Ketrampilan'!BG40="","",'Input Nilai Ketrampilan'!BG40)</f>
        <v/>
      </c>
      <c r="I49" s="228" t="str">
        <f>IF('Input Nilai Ketrampilan'!BK40="","",'Input Nilai Ketrampilan'!BK40)</f>
        <v/>
      </c>
      <c r="J49" s="234">
        <f>IF('Input Nilai Sikap'!H42="","",'Input Nilai Sikap'!H42)</f>
        <v>3</v>
      </c>
      <c r="K49" s="231" t="str">
        <f>IF('Input Nilai Sikap'!I42="","",'Input Nilai Sikap'!I42)</f>
        <v>Melaksanakan sholat dhuhur berjemaah dan sholatt dhuha, berdo'a di awal di akhir kegiatan pembelajaran , serta melaksanakan kegiatan amaliyah siswa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T49" s="409">
        <f>IF(C49="","",menu!$R$1)</f>
        <v>75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>
        <f>'DATA SISWA'!C41</f>
        <v>0</v>
      </c>
      <c r="D50" s="227" t="str">
        <f>IF('Input Nilai Pengetahuan'!CQ41="","",'Input Nilai Pengetahuan'!CQ41)</f>
        <v/>
      </c>
      <c r="E50" s="227" t="str">
        <f>IF('Input Nilai Pengetahuan'!CR41="","",'Input Nilai Pengetahuan'!CR41)</f>
        <v/>
      </c>
      <c r="F50" s="228" t="str">
        <f>IF('Input Nilai Pengetahuan'!CV41="","",'Input Nilai Pengetahuan'!CV41)</f>
        <v/>
      </c>
      <c r="G50" s="227" t="str">
        <f>IF('Input Nilai Ketrampilan'!BF41="","",'Input Nilai Ketrampilan'!BF41)</f>
        <v/>
      </c>
      <c r="H50" s="227" t="str">
        <f>IF('Input Nilai Ketrampilan'!BG41="","",'Input Nilai Ketrampilan'!BG41)</f>
        <v/>
      </c>
      <c r="I50" s="228" t="str">
        <f>IF('Input Nilai Ketrampilan'!BK41="","",'Input Nilai Ketrampilan'!BK41)</f>
        <v/>
      </c>
      <c r="J50" s="234">
        <f>IF('Input Nilai Sikap'!H43="","",'Input Nilai Sikap'!H43)</f>
        <v>3</v>
      </c>
      <c r="K50" s="231" t="str">
        <f>IF('Input Nilai Sikap'!I43="","",'Input Nilai Sikap'!I43)</f>
        <v>Melaksanakan sholat dhuhur berjemaah dan sholatt dhuha, berdo'a di awal di akhir kegiatan pembelajaran , serta melaksanakan kegiatan amaliyah siswa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T50" s="409">
        <f>IF(C50="","",menu!$R$1)</f>
        <v>75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>
        <f>'DATA SISWA'!C42</f>
        <v>0</v>
      </c>
      <c r="D51" s="227" t="str">
        <f>IF('Input Nilai Pengetahuan'!CQ42="","",'Input Nilai Pengetahuan'!CQ42)</f>
        <v/>
      </c>
      <c r="E51" s="227" t="str">
        <f>IF('Input Nilai Pengetahuan'!CR42="","",'Input Nilai Pengetahuan'!CR42)</f>
        <v/>
      </c>
      <c r="F51" s="228" t="str">
        <f>IF('Input Nilai Pengetahuan'!CV42="","",'Input Nilai Pengetahuan'!CV42)</f>
        <v/>
      </c>
      <c r="G51" s="227" t="str">
        <f>IF('Input Nilai Ketrampilan'!BF42="","",'Input Nilai Ketrampilan'!BF42)</f>
        <v/>
      </c>
      <c r="H51" s="227" t="str">
        <f>IF('Input Nilai Ketrampilan'!BG42="","",'Input Nilai Ketrampilan'!BG42)</f>
        <v/>
      </c>
      <c r="I51" s="228" t="str">
        <f>IF('Input Nilai Ketrampilan'!BK42="","",'Input Nilai Ketrampilan'!BK42)</f>
        <v/>
      </c>
      <c r="J51" s="234">
        <f>IF('Input Nilai Sikap'!H44="","",'Input Nilai Sikap'!H44)</f>
        <v>3</v>
      </c>
      <c r="K51" s="231" t="str">
        <f>IF('Input Nilai Sikap'!I44="","",'Input Nilai Sikap'!I44)</f>
        <v>Melaksanakan sholat dhuhur berjemaah dan sholatt dhuha, berdo'a di awal di akhir kegiatan pembelajaran , serta melaksanakan kegiatan amaliyah siswa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T51" s="409">
        <f>IF(C51="","",menu!$R$1)</f>
        <v>75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>
        <f>'DATA SISWA'!C43</f>
        <v>0</v>
      </c>
      <c r="D52" s="227" t="str">
        <f>IF('Input Nilai Pengetahuan'!CQ43="","",'Input Nilai Pengetahuan'!CQ43)</f>
        <v/>
      </c>
      <c r="E52" s="227" t="str">
        <f>IF('Input Nilai Pengetahuan'!CR43="","",'Input Nilai Pengetahuan'!CR43)</f>
        <v/>
      </c>
      <c r="F52" s="228" t="str">
        <f>IF('Input Nilai Pengetahuan'!CV43="","",'Input Nilai Pengetahuan'!CV43)</f>
        <v/>
      </c>
      <c r="G52" s="227" t="str">
        <f>IF('Input Nilai Ketrampilan'!BF43="","",'Input Nilai Ketrampilan'!BF43)</f>
        <v/>
      </c>
      <c r="H52" s="227" t="str">
        <f>IF('Input Nilai Ketrampilan'!BG43="","",'Input Nilai Ketrampilan'!BG43)</f>
        <v/>
      </c>
      <c r="I52" s="228" t="str">
        <f>IF('Input Nilai Ketrampilan'!BK43="","",'Input Nilai Ketrampilan'!BK43)</f>
        <v/>
      </c>
      <c r="J52" s="234">
        <f>IF('Input Nilai Sikap'!H45="","",'Input Nilai Sikap'!H45)</f>
        <v>3</v>
      </c>
      <c r="K52" s="231" t="str">
        <f>IF('Input Nilai Sikap'!I45="","",'Input Nilai Sikap'!I45)</f>
        <v>Melaksanakan sholat dhuhur berjemaah dan sholatt dhuha, berdo'a di awal di akhir kegiatan pembelajaran , serta melaksanakan kegiatan amaliyah siswa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T52" s="409">
        <f>IF(C52="","",menu!$R$1)</f>
        <v>75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>
        <f>'DATA SISWA'!C44</f>
        <v>0</v>
      </c>
      <c r="D53" s="227" t="str">
        <f>IF('Input Nilai Pengetahuan'!CQ44="","",'Input Nilai Pengetahuan'!CQ44)</f>
        <v/>
      </c>
      <c r="E53" s="227" t="str">
        <f>IF('Input Nilai Pengetahuan'!CR44="","",'Input Nilai Pengetahuan'!CR44)</f>
        <v/>
      </c>
      <c r="F53" s="228" t="str">
        <f>IF('Input Nilai Pengetahuan'!CV44="","",'Input Nilai Pengetahuan'!CV44)</f>
        <v/>
      </c>
      <c r="G53" s="227" t="str">
        <f>IF('Input Nilai Ketrampilan'!BF44="","",'Input Nilai Ketrampilan'!BF44)</f>
        <v/>
      </c>
      <c r="H53" s="227" t="str">
        <f>IF('Input Nilai Ketrampilan'!BG44="","",'Input Nilai Ketrampilan'!BG44)</f>
        <v/>
      </c>
      <c r="I53" s="228" t="str">
        <f>IF('Input Nilai Ketrampilan'!BK44="","",'Input Nilai Ketrampilan'!BK44)</f>
        <v/>
      </c>
      <c r="J53" s="234">
        <f>IF('Input Nilai Sikap'!H46="","",'Input Nilai Sikap'!H46)</f>
        <v>3</v>
      </c>
      <c r="K53" s="231" t="str">
        <f>IF('Input Nilai Sikap'!I46="","",'Input Nilai Sikap'!I46)</f>
        <v>Melaksanakan sholat dhuhur berjemaah dan sholatt dhuha, berdo'a di awal di akhir kegiatan pembelajaran , serta melaksanakan kegiatan amaliyah siswa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T53" s="409">
        <f>IF(C53="","",menu!$R$1)</f>
        <v>75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>
        <f>'DATA SISWA'!C45</f>
        <v>0</v>
      </c>
      <c r="D54" s="227" t="str">
        <f>IF('Input Nilai Pengetahuan'!CQ45="","",'Input Nilai Pengetahuan'!CQ45)</f>
        <v/>
      </c>
      <c r="E54" s="227" t="str">
        <f>IF('Input Nilai Pengetahuan'!CR45="","",'Input Nilai Pengetahuan'!CR45)</f>
        <v/>
      </c>
      <c r="F54" s="228" t="str">
        <f>IF('Input Nilai Pengetahuan'!CV45="","",'Input Nilai Pengetahuan'!CV45)</f>
        <v/>
      </c>
      <c r="G54" s="227" t="str">
        <f>IF('Input Nilai Ketrampilan'!BF45="","",'Input Nilai Ketrampilan'!BF45)</f>
        <v/>
      </c>
      <c r="H54" s="227" t="str">
        <f>IF('Input Nilai Ketrampilan'!BG45="","",'Input Nilai Ketrampilan'!BG45)</f>
        <v/>
      </c>
      <c r="I54" s="228" t="str">
        <f>IF('Input Nilai Ketrampilan'!BK45="","",'Input Nilai Ketrampilan'!BK45)</f>
        <v/>
      </c>
      <c r="J54" s="234">
        <f>IF('Input Nilai Sikap'!H47="","",'Input Nilai Sikap'!H47)</f>
        <v>3</v>
      </c>
      <c r="K54" s="231" t="str">
        <f>IF('Input Nilai Sikap'!I47="","",'Input Nilai Sikap'!I47)</f>
        <v>Melaksanakan sholat dhuhur berjemaah dan sholatt dhuha, berdo'a di awal di akhir kegiatan pembelajaran , serta melaksanakan kegiatan amaliyah siswa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T54" s="409">
        <f>IF(C54="","",menu!$R$1)</f>
        <v>75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>
        <f>'DATA SISWA'!C46</f>
        <v>0</v>
      </c>
      <c r="D55" s="227" t="str">
        <f>IF('Input Nilai Pengetahuan'!CQ46="","",'Input Nilai Pengetahuan'!CQ46)</f>
        <v/>
      </c>
      <c r="E55" s="227" t="str">
        <f>IF('Input Nilai Pengetahuan'!CR46="","",'Input Nilai Pengetahuan'!CR46)</f>
        <v/>
      </c>
      <c r="F55" s="228" t="str">
        <f>IF('Input Nilai Pengetahuan'!CV46="","",'Input Nilai Pengetahuan'!CV46)</f>
        <v/>
      </c>
      <c r="G55" s="227" t="str">
        <f>IF('Input Nilai Ketrampilan'!BF46="","",'Input Nilai Ketrampilan'!BF46)</f>
        <v/>
      </c>
      <c r="H55" s="227" t="str">
        <f>IF('Input Nilai Ketrampilan'!BG46="","",'Input Nilai Ketrampilan'!BG46)</f>
        <v/>
      </c>
      <c r="I55" s="228" t="str">
        <f>IF('Input Nilai Ketrampilan'!BK46="","",'Input Nilai Ketrampilan'!BK46)</f>
        <v/>
      </c>
      <c r="J55" s="234">
        <f>IF('Input Nilai Sikap'!H48="","",'Input Nilai Sikap'!H48)</f>
        <v>3</v>
      </c>
      <c r="K55" s="231" t="str">
        <f>IF('Input Nilai Sikap'!I48="","",'Input Nilai Sikap'!I48)</f>
        <v>Melaksanakan sholat dhuhur berjemaah dan sholatt dhuha, berdo'a di awal di akhir kegiatan pembelajaran , serta melaksanakan kegiatan amaliyah siswa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T55" s="409">
        <f>IF(C55="","",menu!$R$1)</f>
        <v>75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>
        <f>'DATA SISWA'!C47</f>
        <v>0</v>
      </c>
      <c r="D56" s="227" t="str">
        <f>IF('Input Nilai Pengetahuan'!CQ47="","",'Input Nilai Pengetahuan'!CQ47)</f>
        <v/>
      </c>
      <c r="E56" s="227" t="str">
        <f>IF('Input Nilai Pengetahuan'!CR47="","",'Input Nilai Pengetahuan'!CR47)</f>
        <v/>
      </c>
      <c r="F56" s="228" t="str">
        <f>IF('Input Nilai Pengetahuan'!CV47="","",'Input Nilai Pengetahuan'!CV47)</f>
        <v/>
      </c>
      <c r="G56" s="227" t="str">
        <f>IF('Input Nilai Ketrampilan'!BF47="","",'Input Nilai Ketrampilan'!BF47)</f>
        <v/>
      </c>
      <c r="H56" s="227" t="str">
        <f>IF('Input Nilai Ketrampilan'!BG47="","",'Input Nilai Ketrampilan'!BG47)</f>
        <v/>
      </c>
      <c r="I56" s="228" t="str">
        <f>IF('Input Nilai Ketrampilan'!BK47="","",'Input Nilai Ketrampilan'!BK47)</f>
        <v/>
      </c>
      <c r="J56" s="234">
        <f>IF('Input Nilai Sikap'!H49="","",'Input Nilai Sikap'!H49)</f>
        <v>3</v>
      </c>
      <c r="K56" s="231" t="str">
        <f>IF('Input Nilai Sikap'!I49="","",'Input Nilai Sikap'!I49)</f>
        <v>Melaksanakan sholat dhuhur berjemaah dan sholatt dhuha, berdo'a di awal di akhir kegiatan pembelajaran , serta melaksanakan kegiatan amaliyah siswa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T56" s="409">
        <f>IF(C56="","",menu!$R$1)</f>
        <v>75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>
        <f>'DATA SISWA'!C48</f>
        <v>0</v>
      </c>
      <c r="D57" s="227" t="str">
        <f>IF('Input Nilai Pengetahuan'!CQ48="","",'Input Nilai Pengetahuan'!CQ48)</f>
        <v/>
      </c>
      <c r="E57" s="227" t="str">
        <f>IF('Input Nilai Pengetahuan'!CR48="","",'Input Nilai Pengetahuan'!CR48)</f>
        <v/>
      </c>
      <c r="F57" s="228" t="str">
        <f>IF('Input Nilai Pengetahuan'!CV48="","",'Input Nilai Pengetahuan'!CV48)</f>
        <v/>
      </c>
      <c r="G57" s="227" t="str">
        <f>IF('Input Nilai Ketrampilan'!BF48="","",'Input Nilai Ketrampilan'!BF48)</f>
        <v/>
      </c>
      <c r="H57" s="227" t="str">
        <f>IF('Input Nilai Ketrampilan'!BG48="","",'Input Nilai Ketrampilan'!BG48)</f>
        <v/>
      </c>
      <c r="I57" s="228" t="str">
        <f>IF('Input Nilai Ketrampilan'!BK48="","",'Input Nilai Ketrampilan'!BK48)</f>
        <v/>
      </c>
      <c r="J57" s="234">
        <f>IF('Input Nilai Sikap'!H50="","",'Input Nilai Sikap'!H50)</f>
        <v>3</v>
      </c>
      <c r="K57" s="231" t="str">
        <f>IF('Input Nilai Sikap'!I50="","",'Input Nilai Sikap'!I50)</f>
        <v>Melaksanakan sholat dhuhur berjemaah dan sholatt dhuha, berdo'a di awal di akhir kegiatan pembelajaran , serta melaksanakan kegiatan amaliyah siswa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T57" s="409">
        <f>IF(C57="","",menu!$R$1)</f>
        <v>75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>
        <f>'DATA SISWA'!C49</f>
        <v>0</v>
      </c>
      <c r="D58" s="227" t="str">
        <f>IF('Input Nilai Pengetahuan'!CQ49="","",'Input Nilai Pengetahuan'!CQ49)</f>
        <v/>
      </c>
      <c r="E58" s="227" t="str">
        <f>IF('Input Nilai Pengetahuan'!CR49="","",'Input Nilai Pengetahuan'!CR49)</f>
        <v/>
      </c>
      <c r="F58" s="228" t="str">
        <f>IF('Input Nilai Pengetahuan'!CV49="","",'Input Nilai Pengetahuan'!CV49)</f>
        <v/>
      </c>
      <c r="G58" s="227" t="str">
        <f>IF('Input Nilai Ketrampilan'!BF49="","",'Input Nilai Ketrampilan'!BF49)</f>
        <v/>
      </c>
      <c r="H58" s="227" t="str">
        <f>IF('Input Nilai Ketrampilan'!BG49="","",'Input Nilai Ketrampilan'!BG49)</f>
        <v/>
      </c>
      <c r="I58" s="228" t="str">
        <f>IF('Input Nilai Ketrampilan'!BK49="","",'Input Nilai Ketrampilan'!BK49)</f>
        <v/>
      </c>
      <c r="J58" s="234">
        <f>IF('Input Nilai Sikap'!H51="","",'Input Nilai Sikap'!H51)</f>
        <v>3</v>
      </c>
      <c r="K58" s="231" t="str">
        <f>IF('Input Nilai Sikap'!I51="","",'Input Nilai Sikap'!I51)</f>
        <v>Melaksanakan sholat dhuhur berjemaah dan sholatt dhuha, berdo'a di awal di akhir kegiatan pembelajaran , serta melaksanakan kegiatan amaliyah siswa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T58" s="409">
        <f>IF(C58="","",menu!$R$1)</f>
        <v>75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>
        <f>'DATA SISWA'!C50</f>
        <v>0</v>
      </c>
      <c r="D59" s="227" t="str">
        <f>IF('Input Nilai Pengetahuan'!CQ50="","",'Input Nilai Pengetahuan'!CQ50)</f>
        <v/>
      </c>
      <c r="E59" s="227" t="str">
        <f>IF('Input Nilai Pengetahuan'!CR50="","",'Input Nilai Pengetahuan'!CR50)</f>
        <v/>
      </c>
      <c r="F59" s="228" t="str">
        <f>IF('Input Nilai Pengetahuan'!CV50="","",'Input Nilai Pengetahuan'!CV50)</f>
        <v/>
      </c>
      <c r="G59" s="227" t="str">
        <f>IF('Input Nilai Ketrampilan'!BF50="","",'Input Nilai Ketrampilan'!BF50)</f>
        <v/>
      </c>
      <c r="H59" s="227" t="str">
        <f>IF('Input Nilai Ketrampilan'!BG50="","",'Input Nilai Ketrampilan'!BG50)</f>
        <v/>
      </c>
      <c r="I59" s="228" t="str">
        <f>IF('Input Nilai Ketrampilan'!BK50="","",'Input Nilai Ketrampilan'!BK50)</f>
        <v/>
      </c>
      <c r="J59" s="234">
        <f>IF('Input Nilai Sikap'!H52="","",'Input Nilai Sikap'!H52)</f>
        <v>3</v>
      </c>
      <c r="K59" s="231" t="str">
        <f>IF('Input Nilai Sikap'!I52="","",'Input Nilai Sikap'!I52)</f>
        <v>Melaksanakan sholat dhuhur berjemaah dan sholatt dhuha, berdo'a di awal di akhir kegiatan pembelajaran , serta melaksanakan kegiatan amaliyah siswa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T59" s="409">
        <f>IF(C59="","",menu!$R$1)</f>
        <v>75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>
        <f>'DATA SISWA'!C51</f>
        <v>0</v>
      </c>
      <c r="D60" s="227" t="str">
        <f>IF('Input Nilai Pengetahuan'!CQ51="","",'Input Nilai Pengetahuan'!CQ51)</f>
        <v/>
      </c>
      <c r="E60" s="227" t="str">
        <f>IF('Input Nilai Pengetahuan'!CR51="","",'Input Nilai Pengetahuan'!CR51)</f>
        <v/>
      </c>
      <c r="F60" s="228" t="str">
        <f>IF('Input Nilai Pengetahuan'!CV51="","",'Input Nilai Pengetahuan'!CV51)</f>
        <v/>
      </c>
      <c r="G60" s="227" t="str">
        <f>IF('Input Nilai Ketrampilan'!BF51="","",'Input Nilai Ketrampilan'!BF51)</f>
        <v/>
      </c>
      <c r="H60" s="227" t="str">
        <f>IF('Input Nilai Ketrampilan'!BG51="","",'Input Nilai Ketrampilan'!BG51)</f>
        <v/>
      </c>
      <c r="I60" s="228" t="str">
        <f>IF('Input Nilai Ketrampilan'!BK51="","",'Input Nilai Ketrampilan'!BK51)</f>
        <v/>
      </c>
      <c r="J60" s="234">
        <f>IF('Input Nilai Sikap'!H53="","",'Input Nilai Sikap'!H53)</f>
        <v>3</v>
      </c>
      <c r="K60" s="231" t="str">
        <f>IF('Input Nilai Sikap'!I53="","",'Input Nilai Sikap'!I53)</f>
        <v>Melaksanakan sholat dhuhur berjemaah dan sholatt dhuha, berdo'a di awal di akhir kegiatan pembelajaran , serta melaksanakan kegiatan amaliyah siswa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T60" s="409">
        <f>IF(C60="","",menu!$R$1)</f>
        <v>75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>
        <f>'DATA SISWA'!C52</f>
        <v>0</v>
      </c>
      <c r="D61" s="227" t="str">
        <f>IF('Input Nilai Pengetahuan'!CQ52="","",'Input Nilai Pengetahuan'!CQ52)</f>
        <v/>
      </c>
      <c r="E61" s="227" t="str">
        <f>IF('Input Nilai Pengetahuan'!CR52="","",'Input Nilai Pengetahuan'!CR52)</f>
        <v/>
      </c>
      <c r="F61" s="228" t="str">
        <f>IF('Input Nilai Pengetahuan'!CV52="","",'Input Nilai Pengetahuan'!CV52)</f>
        <v/>
      </c>
      <c r="G61" s="227" t="str">
        <f>IF('Input Nilai Ketrampilan'!BF52="","",'Input Nilai Ketrampilan'!BF52)</f>
        <v/>
      </c>
      <c r="H61" s="227" t="str">
        <f>IF('Input Nilai Ketrampilan'!BG52="","",'Input Nilai Ketrampilan'!BG52)</f>
        <v/>
      </c>
      <c r="I61" s="228" t="str">
        <f>IF('Input Nilai Ketrampilan'!BK52="","",'Input Nilai Ketrampilan'!BK52)</f>
        <v/>
      </c>
      <c r="J61" s="234">
        <f>IF('Input Nilai Sikap'!H54="","",'Input Nilai Sikap'!H54)</f>
        <v>3</v>
      </c>
      <c r="K61" s="231" t="str">
        <f>IF('Input Nilai Sikap'!I54="","",'Input Nilai Sikap'!I54)</f>
        <v>Melaksanakan sholat dhuhur berjemaah dan sholatt dhuha, berdo'a di awal di akhir kegiatan pembelajaran , serta melaksanakan kegiatan amaliyah siswa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T61" s="409">
        <f>IF(C61="","",menu!$R$1)</f>
        <v>75</v>
      </c>
    </row>
    <row r="62" spans="1:20">
      <c r="A62" s="151"/>
      <c r="B62" s="151"/>
      <c r="C62" s="151" t="s">
        <v>276</v>
      </c>
      <c r="D62" s="122" t="str">
        <f>IF('Input Nilai Pengetahuan'!CP50="","",'Input Nilai Pengetahuan'!CP50)</f>
        <v/>
      </c>
      <c r="E62" s="253"/>
      <c r="F62" s="253"/>
      <c r="G62" s="123">
        <f>IFERROR(AVERAGE(G14:G53),"")</f>
        <v>78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3" activePane="bottomRight" state="frozen"/>
      <selection pane="topRight" activeCell="F1" sqref="F1"/>
      <selection pane="bottomLeft" activeCell="A6" sqref="A6"/>
      <selection pane="bottomRight" activeCell="C38" sqref="C3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VII-A</v>
      </c>
    </row>
    <row r="2" spans="1:21" ht="21" customHeight="1">
      <c r="A2" s="226" t="str">
        <f>menu!D13</f>
        <v>MATEMATIKA</v>
      </c>
    </row>
    <row r="4" spans="1:21" ht="21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>
        <f>'DATA SISWA'!C5</f>
        <v>0</v>
      </c>
      <c r="D8" s="104">
        <f>'DATA SISWA'!D5</f>
        <v>0</v>
      </c>
      <c r="E8" s="104" t="str">
        <f>'DATA SISWA'!E5</f>
        <v>VII-A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>
        <f>'DATA SISWA'!C6</f>
        <v>0</v>
      </c>
      <c r="D9" s="104">
        <f>'DATA SISWA'!D6</f>
        <v>0</v>
      </c>
      <c r="E9" s="104" t="str">
        <f>'DATA SISWA'!E6</f>
        <v>VII-A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>
        <f>'DATA SISWA'!C7</f>
        <v>0</v>
      </c>
      <c r="D10" s="104">
        <f>'DATA SISWA'!D7</f>
        <v>0</v>
      </c>
      <c r="E10" s="104" t="str">
        <f>'DATA SISWA'!E7</f>
        <v>VII-A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>
        <f>'DATA SISWA'!C8</f>
        <v>0</v>
      </c>
      <c r="D11" s="104">
        <f>'DATA SISWA'!D8</f>
        <v>0</v>
      </c>
      <c r="E11" s="104" t="str">
        <f>'DATA SISWA'!E8</f>
        <v>VII-A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>
        <f>'DATA SISWA'!C9</f>
        <v>0</v>
      </c>
      <c r="D12" s="104">
        <f>'DATA SISWA'!D9</f>
        <v>0</v>
      </c>
      <c r="E12" s="104" t="str">
        <f>'DATA SISWA'!E9</f>
        <v>VII-A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>
        <f>'DATA SISWA'!C10</f>
        <v>0</v>
      </c>
      <c r="D13" s="104">
        <f>'DATA SISWA'!D10</f>
        <v>0</v>
      </c>
      <c r="E13" s="104" t="str">
        <f>'DATA SISWA'!E10</f>
        <v>VII-A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>
        <f>'DATA SISWA'!C11</f>
        <v>0</v>
      </c>
      <c r="D14" s="104">
        <f>'DATA SISWA'!D11</f>
        <v>0</v>
      </c>
      <c r="E14" s="104" t="str">
        <f>'DATA SISWA'!E11</f>
        <v>VII-A</v>
      </c>
      <c r="F14" s="100">
        <v>60</v>
      </c>
      <c r="G14" s="100"/>
      <c r="H14" s="100">
        <v>100</v>
      </c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>
        <f>'DATA SISWA'!C12</f>
        <v>0</v>
      </c>
      <c r="D15" s="104">
        <f>'DATA SISWA'!D12</f>
        <v>0</v>
      </c>
      <c r="E15" s="104" t="str">
        <f>'DATA SISWA'!E12</f>
        <v>VII-A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>
        <f>'DATA SISWA'!C13</f>
        <v>0</v>
      </c>
      <c r="D16" s="104">
        <f>'DATA SISWA'!D13</f>
        <v>0</v>
      </c>
      <c r="E16" s="104" t="str">
        <f>'DATA SISWA'!E13</f>
        <v>VII-A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>
        <f>'DATA SISWA'!C14</f>
        <v>0</v>
      </c>
      <c r="D17" s="104">
        <f>'DATA SISWA'!D14</f>
        <v>0</v>
      </c>
      <c r="E17" s="104" t="str">
        <f>'DATA SISWA'!E14</f>
        <v>VII-A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>
        <f>'DATA SISWA'!C15</f>
        <v>0</v>
      </c>
      <c r="D18" s="104">
        <f>'DATA SISWA'!D15</f>
        <v>0</v>
      </c>
      <c r="E18" s="104" t="str">
        <f>'DATA SISWA'!E15</f>
        <v>VII-A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>
        <f>'DATA SISWA'!C16</f>
        <v>0</v>
      </c>
      <c r="D19" s="104">
        <f>'DATA SISWA'!D16</f>
        <v>0</v>
      </c>
      <c r="E19" s="104" t="str">
        <f>'DATA SISWA'!E16</f>
        <v>VII-A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>
        <f>'DATA SISWA'!C17</f>
        <v>0</v>
      </c>
      <c r="D20" s="104">
        <f>'DATA SISWA'!D17</f>
        <v>0</v>
      </c>
      <c r="E20" s="104" t="str">
        <f>'DATA SISWA'!E17</f>
        <v>VII-A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>
        <f>'DATA SISWA'!C18</f>
        <v>0</v>
      </c>
      <c r="D21" s="104">
        <f>'DATA SISWA'!D18</f>
        <v>0</v>
      </c>
      <c r="E21" s="104" t="str">
        <f>'DATA SISWA'!E18</f>
        <v>VII-A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>
        <f>'DATA SISWA'!C19</f>
        <v>0</v>
      </c>
      <c r="D22" s="104">
        <f>'DATA SISWA'!D19</f>
        <v>0</v>
      </c>
      <c r="E22" s="104" t="str">
        <f>'DATA SISWA'!E19</f>
        <v>VII-A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>
        <f>'DATA SISWA'!C20</f>
        <v>0</v>
      </c>
      <c r="D23" s="104">
        <f>'DATA SISWA'!D20</f>
        <v>0</v>
      </c>
      <c r="E23" s="104" t="str">
        <f>'DATA SISWA'!E20</f>
        <v>VII-A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>
        <f>'DATA SISWA'!C21</f>
        <v>0</v>
      </c>
      <c r="D24" s="104">
        <f>'DATA SISWA'!D21</f>
        <v>0</v>
      </c>
      <c r="E24" s="104" t="str">
        <f>'DATA SISWA'!E21</f>
        <v>VII-A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>
        <f>'DATA SISWA'!C22</f>
        <v>0</v>
      </c>
      <c r="D25" s="104">
        <f>'DATA SISWA'!D22</f>
        <v>0</v>
      </c>
      <c r="E25" s="104" t="str">
        <f>'DATA SISWA'!E22</f>
        <v>VII-A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>
        <f>'DATA SISWA'!C23</f>
        <v>0</v>
      </c>
      <c r="D26" s="104">
        <f>'DATA SISWA'!D23</f>
        <v>0</v>
      </c>
      <c r="E26" s="104" t="str">
        <f>'DATA SISWA'!E23</f>
        <v>VII-A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>
        <f>'DATA SISWA'!C24</f>
        <v>0</v>
      </c>
      <c r="D27" s="104">
        <f>'DATA SISWA'!D24</f>
        <v>0</v>
      </c>
      <c r="E27" s="104" t="str">
        <f>'DATA SISWA'!E24</f>
        <v>VII-A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>
        <f>'DATA SISWA'!C25</f>
        <v>0</v>
      </c>
      <c r="D28" s="104">
        <f>'DATA SISWA'!D25</f>
        <v>0</v>
      </c>
      <c r="E28" s="104" t="str">
        <f>'DATA SISWA'!E25</f>
        <v>VII-A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>
        <f>'DATA SISWA'!C26</f>
        <v>0</v>
      </c>
      <c r="D29" s="104">
        <f>'DATA SISWA'!D26</f>
        <v>0</v>
      </c>
      <c r="E29" s="104" t="str">
        <f>'DATA SISWA'!E26</f>
        <v>VII-A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>
        <f>'DATA SISWA'!C27</f>
        <v>0</v>
      </c>
      <c r="D30" s="104">
        <f>'DATA SISWA'!D27</f>
        <v>0</v>
      </c>
      <c r="E30" s="104" t="str">
        <f>'DATA SISWA'!E27</f>
        <v>VII-A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>
        <f>'DATA SISWA'!C28</f>
        <v>0</v>
      </c>
      <c r="D31" s="104">
        <f>'DATA SISWA'!D28</f>
        <v>0</v>
      </c>
      <c r="E31" s="104" t="str">
        <f>'DATA SISWA'!E28</f>
        <v>VII-A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>
        <f>'DATA SISWA'!C29</f>
        <v>0</v>
      </c>
      <c r="D32" s="104">
        <f>'DATA SISWA'!D29</f>
        <v>0</v>
      </c>
      <c r="E32" s="104" t="str">
        <f>'DATA SISWA'!E29</f>
        <v>VII-A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>
        <f>'DATA SISWA'!C30</f>
        <v>0</v>
      </c>
      <c r="D33" s="104">
        <f>'DATA SISWA'!D30</f>
        <v>0</v>
      </c>
      <c r="E33" s="104" t="str">
        <f>'DATA SISWA'!E30</f>
        <v>VII-A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>
        <f>'DATA SISWA'!C31</f>
        <v>0</v>
      </c>
      <c r="D34" s="104">
        <f>'DATA SISWA'!D31</f>
        <v>0</v>
      </c>
      <c r="E34" s="104" t="str">
        <f>'DATA SISWA'!E31</f>
        <v>VII-A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>
        <f>'DATA SISWA'!C32</f>
        <v>0</v>
      </c>
      <c r="D35" s="104">
        <f>'DATA SISWA'!D32</f>
        <v>0</v>
      </c>
      <c r="E35" s="104" t="str">
        <f>'DATA SISWA'!E32</f>
        <v>VII-A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>
        <f>'DATA SISWA'!C33</f>
        <v>0</v>
      </c>
      <c r="D36" s="104">
        <f>'DATA SISWA'!D33</f>
        <v>0</v>
      </c>
      <c r="E36" s="104" t="str">
        <f>'DATA SISWA'!E33</f>
        <v>VII-A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>
        <f>'DATA SISWA'!C34</f>
        <v>0</v>
      </c>
      <c r="D37" s="104">
        <f>'DATA SISWA'!D34</f>
        <v>0</v>
      </c>
      <c r="E37" s="104" t="str">
        <f>'DATA SISWA'!E34</f>
        <v>VII-A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>
        <f>'DATA SISWA'!C35</f>
        <v>0</v>
      </c>
      <c r="D38" s="104">
        <f>'DATA SISWA'!D35</f>
        <v>0</v>
      </c>
      <c r="E38" s="104" t="str">
        <f>'DATA SISWA'!E35</f>
        <v>VII-A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>
        <f>'DATA SISWA'!C36</f>
        <v>0</v>
      </c>
      <c r="D39" s="104">
        <f>'DATA SISWA'!D36</f>
        <v>0</v>
      </c>
      <c r="E39" s="104" t="str">
        <f>'DATA SISWA'!E36</f>
        <v>VII-A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>
        <f>'DATA SISWA'!C37</f>
        <v>0</v>
      </c>
      <c r="D40" s="104">
        <f>'DATA SISWA'!D37</f>
        <v>0</v>
      </c>
      <c r="E40" s="104" t="str">
        <f>'DATA SISWA'!E37</f>
        <v>VII-A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>
        <f>'DATA SISWA'!C38</f>
        <v>0</v>
      </c>
      <c r="D41" s="104">
        <f>'DATA SISWA'!D38</f>
        <v>0</v>
      </c>
      <c r="E41" s="104" t="str">
        <f>'DATA SISWA'!E38</f>
        <v>VII-A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>
        <f>'DATA SISWA'!C39</f>
        <v>0</v>
      </c>
      <c r="D42" s="104">
        <f>'DATA SISWA'!D39</f>
        <v>0</v>
      </c>
      <c r="E42" s="104" t="str">
        <f>'DATA SISWA'!E39</f>
        <v>VII-A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>
        <f>'DATA SISWA'!C40</f>
        <v>0</v>
      </c>
      <c r="D43" s="104">
        <f>'DATA SISWA'!D40</f>
        <v>0</v>
      </c>
      <c r="E43" s="104" t="str">
        <f>'DATA SISWA'!E40</f>
        <v>VII-A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>
        <f>'DATA SISWA'!C41</f>
        <v>0</v>
      </c>
      <c r="D44" s="104">
        <f>'DATA SISWA'!D41</f>
        <v>0</v>
      </c>
      <c r="E44" s="104" t="str">
        <f>'DATA SISWA'!E41</f>
        <v>VII-A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>
        <f>'DATA SISWA'!C42</f>
        <v>0</v>
      </c>
      <c r="D45" s="104">
        <f>'DATA SISWA'!D42</f>
        <v>0</v>
      </c>
      <c r="E45" s="104" t="str">
        <f>'DATA SISWA'!E42</f>
        <v>VII-A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>
        <f>'DATA SISWA'!C43</f>
        <v>0</v>
      </c>
      <c r="D46" s="104">
        <f>'DATA SISWA'!D43</f>
        <v>0</v>
      </c>
      <c r="E46" s="104" t="str">
        <f>'DATA SISWA'!E43</f>
        <v>VII-A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>
        <f>'DATA SISWA'!C44</f>
        <v>0</v>
      </c>
      <c r="D47" s="104">
        <f>'DATA SISWA'!D44</f>
        <v>0</v>
      </c>
      <c r="E47" s="104" t="str">
        <f>'DATA SISWA'!E44</f>
        <v>VII-A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>
        <f>'DATA SISWA'!C45</f>
        <v>0</v>
      </c>
      <c r="D48" s="104">
        <f>'DATA SISWA'!D45</f>
        <v>0</v>
      </c>
      <c r="E48" s="104" t="str">
        <f>'DATA SISWA'!E45</f>
        <v>VII-A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>
        <f>'DATA SISWA'!C46</f>
        <v>0</v>
      </c>
      <c r="D49" s="104">
        <f>'DATA SISWA'!D46</f>
        <v>0</v>
      </c>
      <c r="E49" s="104" t="str">
        <f>'DATA SISWA'!E46</f>
        <v>VII-A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>
        <f>'DATA SISWA'!C47</f>
        <v>0</v>
      </c>
      <c r="D50" s="104">
        <f>'DATA SISWA'!D47</f>
        <v>0</v>
      </c>
      <c r="E50" s="104" t="str">
        <f>'DATA SISWA'!E47</f>
        <v>VII-A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>
        <f>'DATA SISWA'!C48</f>
        <v>0</v>
      </c>
      <c r="D51" s="104">
        <f>'DATA SISWA'!D48</f>
        <v>0</v>
      </c>
      <c r="E51" s="104" t="str">
        <f>'DATA SISWA'!E48</f>
        <v>VII-A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>
        <f>'DATA SISWA'!C49</f>
        <v>0</v>
      </c>
      <c r="D52" s="104">
        <f>'DATA SISWA'!D49</f>
        <v>0</v>
      </c>
      <c r="E52" s="104" t="str">
        <f>'DATA SISWA'!E49</f>
        <v>VII-A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>
        <f>'DATA SISWA'!C50</f>
        <v>0</v>
      </c>
      <c r="D53" s="104">
        <f>'DATA SISWA'!D50</f>
        <v>0</v>
      </c>
      <c r="E53" s="104" t="str">
        <f>'DATA SISWA'!E50</f>
        <v>VII-A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>
        <f>'DATA SISWA'!C51</f>
        <v>0</v>
      </c>
      <c r="D54" s="104">
        <f>'DATA SISWA'!D51</f>
        <v>0</v>
      </c>
      <c r="E54" s="104" t="str">
        <f>'DATA SISWA'!E51</f>
        <v>VII-A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>
        <f>'DATA SISWA'!C52</f>
        <v>0</v>
      </c>
      <c r="D55" s="104">
        <f>'DATA SISWA'!D52</f>
        <v>0</v>
      </c>
      <c r="E55" s="104" t="str">
        <f>'DATA SISWA'!E52</f>
        <v>VII-A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AX5" activePane="bottomRight" state="frozen"/>
      <selection pane="topRight" activeCell="F1" sqref="F1"/>
      <selection pane="bottomLeft" activeCell="A6" sqref="A6"/>
      <selection pane="bottomRight" activeCell="CV5" sqref="CV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1" t="s">
        <v>15</v>
      </c>
      <c r="B1" s="591" t="s">
        <v>16</v>
      </c>
      <c r="C1" s="598" t="s">
        <v>0</v>
      </c>
      <c r="D1" s="599" t="s">
        <v>1</v>
      </c>
      <c r="E1" s="594" t="s">
        <v>17</v>
      </c>
      <c r="F1" s="600" t="str">
        <f>IF(KDOKE!B11="","",KDOKE!B11)</f>
        <v>menjelaskan dan menentukanurutan pada bilangan bulat dan pecahan</v>
      </c>
      <c r="G1" s="600"/>
      <c r="H1" s="600"/>
      <c r="I1" s="600"/>
      <c r="J1" s="600"/>
      <c r="K1" s="600"/>
      <c r="L1" s="600"/>
      <c r="M1" s="569" t="s">
        <v>436</v>
      </c>
      <c r="N1" s="601" t="str">
        <f>IF(KDOKE!B12="","",KDOKE!B12)</f>
        <v/>
      </c>
      <c r="O1" s="601"/>
      <c r="P1" s="601"/>
      <c r="Q1" s="601"/>
      <c r="R1" s="601"/>
      <c r="S1" s="601"/>
      <c r="T1" s="601"/>
      <c r="U1" s="569" t="s">
        <v>437</v>
      </c>
      <c r="V1" s="572" t="str">
        <f>IF(KDOKE!B13="","",KDOKE!B13)</f>
        <v/>
      </c>
      <c r="W1" s="572"/>
      <c r="X1" s="572"/>
      <c r="Y1" s="572"/>
      <c r="Z1" s="572"/>
      <c r="AA1" s="572"/>
      <c r="AB1" s="572"/>
      <c r="AC1" s="569" t="s">
        <v>438</v>
      </c>
      <c r="AD1" s="571" t="str">
        <f>IF(KDOKE!B14="","",KDOKE!B14)</f>
        <v/>
      </c>
      <c r="AE1" s="571"/>
      <c r="AF1" s="571"/>
      <c r="AG1" s="571"/>
      <c r="AH1" s="571"/>
      <c r="AI1" s="571"/>
      <c r="AJ1" s="571"/>
      <c r="AK1" s="569" t="s">
        <v>439</v>
      </c>
      <c r="AL1" s="573" t="str">
        <f>IF(KDOKE!B15="","",KDOKE!B15)</f>
        <v/>
      </c>
      <c r="AM1" s="573"/>
      <c r="AN1" s="573"/>
      <c r="AO1" s="573"/>
      <c r="AP1" s="573"/>
      <c r="AQ1" s="573"/>
      <c r="AR1" s="573"/>
      <c r="AS1" s="569" t="s">
        <v>440</v>
      </c>
      <c r="AT1" s="570" t="str">
        <f>IF(KDOKE!B16="","",KDOKE!B16)</f>
        <v/>
      </c>
      <c r="AU1" s="570"/>
      <c r="AV1" s="570"/>
      <c r="AW1" s="570"/>
      <c r="AX1" s="570"/>
      <c r="AY1" s="570"/>
      <c r="AZ1" s="570"/>
      <c r="BA1" s="569" t="s">
        <v>441</v>
      </c>
      <c r="BB1" s="597" t="str">
        <f>IF(KDOKE!B17="","",KDOKE!B17)</f>
        <v/>
      </c>
      <c r="BC1" s="597"/>
      <c r="BD1" s="597"/>
      <c r="BE1" s="597"/>
      <c r="BF1" s="597"/>
      <c r="BG1" s="597"/>
      <c r="BH1" s="597"/>
      <c r="BI1" s="569" t="s">
        <v>442</v>
      </c>
      <c r="BJ1" s="578" t="str">
        <f>IF(KDOKE!B18="","",KDOKE!B18)</f>
        <v/>
      </c>
      <c r="BK1" s="578"/>
      <c r="BL1" s="578"/>
      <c r="BM1" s="578"/>
      <c r="BN1" s="578"/>
      <c r="BO1" s="578"/>
      <c r="BP1" s="578"/>
      <c r="BQ1" s="569" t="s">
        <v>443</v>
      </c>
      <c r="BR1" s="581" t="str">
        <f>IF(KDOKE!B19="","",KDOKE!B19)</f>
        <v/>
      </c>
      <c r="BS1" s="581"/>
      <c r="BT1" s="581"/>
      <c r="BU1" s="581"/>
      <c r="BV1" s="581"/>
      <c r="BW1" s="581"/>
      <c r="BX1" s="581"/>
      <c r="BY1" s="569" t="s">
        <v>444</v>
      </c>
      <c r="BZ1" s="570" t="str">
        <f>IF(KDOKE!B20="","",KDOKE!B20)</f>
        <v/>
      </c>
      <c r="CA1" s="570"/>
      <c r="CB1" s="570"/>
      <c r="CC1" s="570"/>
      <c r="CD1" s="570"/>
      <c r="CE1" s="570"/>
      <c r="CF1" s="570"/>
      <c r="CG1" s="569" t="s">
        <v>445</v>
      </c>
      <c r="CH1" s="577" t="s">
        <v>27</v>
      </c>
      <c r="CI1" s="602" t="s">
        <v>323</v>
      </c>
      <c r="CJ1" s="582" t="s">
        <v>322</v>
      </c>
      <c r="CK1" s="92" t="s">
        <v>448</v>
      </c>
      <c r="CL1" s="574" t="s">
        <v>450</v>
      </c>
      <c r="CM1" s="614" t="s">
        <v>429</v>
      </c>
      <c r="CN1" s="615"/>
      <c r="CO1" s="616"/>
      <c r="CP1" s="605" t="s">
        <v>435</v>
      </c>
      <c r="CQ1" s="605" t="s">
        <v>433</v>
      </c>
      <c r="CR1" s="605" t="s">
        <v>434</v>
      </c>
      <c r="CS1" s="605" t="s">
        <v>394</v>
      </c>
      <c r="CT1" s="612" t="s">
        <v>303</v>
      </c>
      <c r="CU1" s="613"/>
      <c r="CV1" s="608" t="s">
        <v>324</v>
      </c>
      <c r="CW1" s="588" t="s">
        <v>325</v>
      </c>
      <c r="CX1" s="585" t="s">
        <v>326</v>
      </c>
    </row>
    <row r="2" spans="1:102" ht="18.75" customHeight="1">
      <c r="A2" s="592"/>
      <c r="B2" s="592"/>
      <c r="C2" s="598"/>
      <c r="D2" s="599"/>
      <c r="E2" s="595"/>
      <c r="F2" s="573">
        <f>IF(KDOKE!A11="","",KDOKE!A11)</f>
        <v>31</v>
      </c>
      <c r="G2" s="573"/>
      <c r="H2" s="573"/>
      <c r="I2" s="573"/>
      <c r="J2" s="573"/>
      <c r="K2" s="573"/>
      <c r="L2" s="573"/>
      <c r="M2" s="569"/>
      <c r="N2" s="601">
        <f>IF(KDOKE!A12="","",KDOKE!A12)</f>
        <v>32</v>
      </c>
      <c r="O2" s="601"/>
      <c r="P2" s="601"/>
      <c r="Q2" s="601"/>
      <c r="R2" s="601"/>
      <c r="S2" s="601"/>
      <c r="T2" s="601"/>
      <c r="U2" s="569"/>
      <c r="V2" s="572">
        <f>IF(KDOKE!A13="","",KDOKE!A13)</f>
        <v>33</v>
      </c>
      <c r="W2" s="572"/>
      <c r="X2" s="572"/>
      <c r="Y2" s="572"/>
      <c r="Z2" s="572"/>
      <c r="AA2" s="572"/>
      <c r="AB2" s="572"/>
      <c r="AC2" s="569"/>
      <c r="AD2" s="571">
        <f>IF(KDOKE!A14="","",KDOKE!A14)</f>
        <v>34</v>
      </c>
      <c r="AE2" s="571"/>
      <c r="AF2" s="571"/>
      <c r="AG2" s="571"/>
      <c r="AH2" s="571"/>
      <c r="AI2" s="571"/>
      <c r="AJ2" s="571"/>
      <c r="AK2" s="569"/>
      <c r="AL2" s="573">
        <f>IF(KDOKE!A15="","",KDOKE!A15)</f>
        <v>35</v>
      </c>
      <c r="AM2" s="573"/>
      <c r="AN2" s="573"/>
      <c r="AO2" s="573"/>
      <c r="AP2" s="573"/>
      <c r="AQ2" s="573"/>
      <c r="AR2" s="573"/>
      <c r="AS2" s="569"/>
      <c r="AT2" s="570">
        <f>IF(KDOKE!A16="","",KDOKE!A16)</f>
        <v>36</v>
      </c>
      <c r="AU2" s="570"/>
      <c r="AV2" s="570"/>
      <c r="AW2" s="570"/>
      <c r="AX2" s="570"/>
      <c r="AY2" s="570"/>
      <c r="AZ2" s="570"/>
      <c r="BA2" s="569"/>
      <c r="BB2" s="597">
        <f>IF(KDOKE!A17="","",KDOKE!A17)</f>
        <v>37</v>
      </c>
      <c r="BC2" s="597"/>
      <c r="BD2" s="597"/>
      <c r="BE2" s="597"/>
      <c r="BF2" s="597"/>
      <c r="BG2" s="597"/>
      <c r="BH2" s="597"/>
      <c r="BI2" s="569"/>
      <c r="BJ2" s="578">
        <f>IF(KDOKE!A18="","",KDOKE!A18)</f>
        <v>38</v>
      </c>
      <c r="BK2" s="578"/>
      <c r="BL2" s="578"/>
      <c r="BM2" s="578"/>
      <c r="BN2" s="578"/>
      <c r="BO2" s="578"/>
      <c r="BP2" s="578"/>
      <c r="BQ2" s="569"/>
      <c r="BR2" s="581">
        <f>IF(KDOKE!A19="","",KDOKE!A19)</f>
        <v>39</v>
      </c>
      <c r="BS2" s="581"/>
      <c r="BT2" s="581"/>
      <c r="BU2" s="581"/>
      <c r="BV2" s="581"/>
      <c r="BW2" s="581"/>
      <c r="BX2" s="581"/>
      <c r="BY2" s="569"/>
      <c r="BZ2" s="570">
        <f>IF(KDOKE!A20="","",KDOKE!A20)</f>
        <v>310</v>
      </c>
      <c r="CA2" s="570"/>
      <c r="CB2" s="570"/>
      <c r="CC2" s="570"/>
      <c r="CD2" s="570"/>
      <c r="CE2" s="570"/>
      <c r="CF2" s="570"/>
      <c r="CG2" s="569"/>
      <c r="CH2" s="577"/>
      <c r="CI2" s="603"/>
      <c r="CJ2" s="583"/>
      <c r="CK2" s="579" t="s">
        <v>449</v>
      </c>
      <c r="CL2" s="575"/>
      <c r="CM2" s="307" t="s">
        <v>430</v>
      </c>
      <c r="CN2" s="307" t="s">
        <v>431</v>
      </c>
      <c r="CO2" s="307" t="s">
        <v>432</v>
      </c>
      <c r="CP2" s="606"/>
      <c r="CQ2" s="606"/>
      <c r="CR2" s="606"/>
      <c r="CS2" s="606"/>
      <c r="CT2" s="611">
        <f>menu!R1</f>
        <v>75</v>
      </c>
      <c r="CU2" s="611"/>
      <c r="CV2" s="609"/>
      <c r="CW2" s="589"/>
      <c r="CX2" s="586"/>
    </row>
    <row r="3" spans="1:102" s="97" customFormat="1" ht="81" customHeight="1">
      <c r="A3" s="593"/>
      <c r="B3" s="593"/>
      <c r="C3" s="598"/>
      <c r="D3" s="599"/>
      <c r="E3" s="596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9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9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9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9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9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9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9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9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9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9"/>
      <c r="CH3" s="577"/>
      <c r="CI3" s="604"/>
      <c r="CJ3" s="584"/>
      <c r="CK3" s="580"/>
      <c r="CL3" s="576"/>
      <c r="CM3" s="306">
        <v>2</v>
      </c>
      <c r="CN3" s="306">
        <v>1</v>
      </c>
      <c r="CO3" s="306">
        <v>1</v>
      </c>
      <c r="CP3" s="607"/>
      <c r="CQ3" s="607"/>
      <c r="CR3" s="607"/>
      <c r="CS3" s="607"/>
      <c r="CT3" s="396" t="s">
        <v>484</v>
      </c>
      <c r="CU3" s="224" t="s">
        <v>485</v>
      </c>
      <c r="CV3" s="610"/>
      <c r="CW3" s="590"/>
      <c r="CX3" s="587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>
        <f>'DATA SISWA'!C5</f>
        <v>0</v>
      </c>
      <c r="D5" s="104">
        <f>'DATA SISWA'!D5</f>
        <v>0</v>
      </c>
      <c r="E5" s="104" t="str">
        <f>'DATA SISWA'!E5</f>
        <v>VII-A</v>
      </c>
      <c r="F5" s="353">
        <v>78</v>
      </c>
      <c r="G5" s="100">
        <v>78</v>
      </c>
      <c r="H5" s="100">
        <v>89</v>
      </c>
      <c r="I5" s="353"/>
      <c r="J5" s="310">
        <f>IF(AND(F5="",G5="",H5="",I5=""),"",AVERAGE(F5:I5))</f>
        <v>81.666666666666671</v>
      </c>
      <c r="K5" s="353"/>
      <c r="L5" s="100"/>
      <c r="M5" s="319">
        <f>IF(AND(F5="",G5="",H5="",I5=""),"",IF(AND(K5="",L5=""),J5,MAX(J5:L5)))</f>
        <v>81.666666666666671</v>
      </c>
      <c r="N5" s="353"/>
      <c r="O5" s="100"/>
      <c r="P5" s="100"/>
      <c r="Q5" s="353"/>
      <c r="R5" s="310" t="str">
        <f>IF(AND(N5="",O5="",P5="",Q5=""),"",AVERAGE(N5:Q5))</f>
        <v/>
      </c>
      <c r="S5" s="353"/>
      <c r="T5" s="100"/>
      <c r="U5" s="319" t="str">
        <f>IF(AND(N5="",O5="",P5="",Q5=""),"",IF(AND(S5="",T5=""),R5,MAX(R5:T5)))</f>
        <v/>
      </c>
      <c r="V5" s="353"/>
      <c r="W5" s="100"/>
      <c r="X5" s="100"/>
      <c r="Y5" s="353"/>
      <c r="Z5" s="310" t="str">
        <f>IF(AND(V5="",W5="",X5="",Y5=""),"",AVERAGE(V5:Y5))</f>
        <v/>
      </c>
      <c r="AA5" s="353"/>
      <c r="AB5" s="100"/>
      <c r="AC5" s="319" t="str">
        <f>IF(AND(V5="",W5="",X5="",Y5=""),"",IF(AND(AA5="",AB5=""),Z5,MAX(Z5:AB5)))</f>
        <v/>
      </c>
      <c r="AD5" s="353"/>
      <c r="AE5" s="100"/>
      <c r="AF5" s="100"/>
      <c r="AG5" s="353"/>
      <c r="AH5" s="310" t="str">
        <f>IF(AND(AD5="",AE5="",AF5="",AG5=""),"",AVERAGE(AD5:AG5))</f>
        <v/>
      </c>
      <c r="AI5" s="353"/>
      <c r="AJ5" s="100"/>
      <c r="AK5" s="319" t="str">
        <f>IF(AND(AD5="",AE5="",AF5="",AG5=""),"",IF(AND(AI5="",AJ5=""),AH5,MAX(AH5:AJ5)))</f>
        <v/>
      </c>
      <c r="AL5" s="100"/>
      <c r="AM5" s="100"/>
      <c r="AN5" s="100"/>
      <c r="AO5" s="90"/>
      <c r="AP5" s="310" t="str">
        <f>IF(AND(AL5="",AM5="",AN5="",AO5=""),"",AVERAGE(AL5:AO5))</f>
        <v/>
      </c>
      <c r="AQ5" s="353"/>
      <c r="AR5" s="100"/>
      <c r="AS5" s="319" t="str">
        <f>IF(AND(AL5="",AM5="",AN5="",AO5=""),"",IF(AND(AQ5="",AR5=""),AP5,MAX(AP5:AR5)))</f>
        <v/>
      </c>
      <c r="AT5" s="100"/>
      <c r="AU5" s="100"/>
      <c r="AV5" s="100"/>
      <c r="AW5" s="90"/>
      <c r="AX5" s="310" t="str">
        <f>IF(AND(AT5="",AU5="",AV5="",AW5=""),"",AVERAGE(AT5:AW5))</f>
        <v/>
      </c>
      <c r="AY5" s="353"/>
      <c r="AZ5" s="100"/>
      <c r="BA5" s="319" t="str">
        <f>IF(AND(AT5="",AU5="",AV5="",AW5=""),"",IF(AND(AY5="",AZ5=""),AX5,MAX(AX5:AZ5)))</f>
        <v/>
      </c>
      <c r="BB5" s="100"/>
      <c r="BC5" s="100"/>
      <c r="BD5" s="100"/>
      <c r="BE5" s="90"/>
      <c r="BF5" s="310" t="str">
        <f>IF(AND(BB5="",BC5="",BD5="",BE5=""),"",AVERAGE(BB5:BE5))</f>
        <v/>
      </c>
      <c r="BG5" s="353"/>
      <c r="BH5" s="100"/>
      <c r="BI5" s="319" t="str">
        <f>IF(AND(BB5="",BC5="",BD5="",BE5=""),"",IF(AND(BG5="",BH5=""),BF5,MAX(BF5:BH5)))</f>
        <v/>
      </c>
      <c r="BJ5" s="100"/>
      <c r="BK5" s="100"/>
      <c r="BL5" s="100"/>
      <c r="BM5" s="90"/>
      <c r="BN5" s="310" t="str">
        <f>IF(AND(BJ5="",BK5="",BL5="",BM5=""),"",AVERAGE(BJ5:BM5))</f>
        <v/>
      </c>
      <c r="BO5" s="353"/>
      <c r="BP5" s="100"/>
      <c r="BQ5" s="319" t="str">
        <f>IF(AND(BJ5="",BK5="",BL5="",BM5=""),"",IF(AND(BO5="",BP5=""),BN5,MAX(BN5:BP5)))</f>
        <v/>
      </c>
      <c r="BR5" s="100"/>
      <c r="BS5" s="100"/>
      <c r="BT5" s="100"/>
      <c r="BU5" s="90"/>
      <c r="BV5" s="310" t="str">
        <f>IF(AND(BR5="",BS5="",BT5="",BU5=""),"",AVERAGE(BR5:BU5))</f>
        <v/>
      </c>
      <c r="BW5" s="353"/>
      <c r="BX5" s="100"/>
      <c r="BY5" s="319" t="str">
        <f>IF(AND(BR5="",BS5="",BT5="",BU5=""),"",IF(AND(BW5="",BX5=""),BV5,MAX(BV5:BX5)))</f>
        <v/>
      </c>
      <c r="BZ5" s="100"/>
      <c r="CA5" s="100"/>
      <c r="CB5" s="100"/>
      <c r="CC5" s="90"/>
      <c r="CD5" s="310" t="str">
        <f>IF(AND(BZ5="",CA5="",CB5="",CC5=""),"",AVERAGE(BZ5:CC5))</f>
        <v/>
      </c>
      <c r="CE5" s="353"/>
      <c r="CF5" s="100"/>
      <c r="CG5" s="319" t="str">
        <f>IF(AND(BZ5="",CA5="",CB5="",CC5=""),"",IF(AND(CE5="",CF5=""),CD5,MAX(CD5:CF5)))</f>
        <v/>
      </c>
      <c r="CH5" s="321">
        <f t="shared" ref="CH5:CH52" si="0">IF(AND(M5="",U5=""),"",AVERAGE(M5,U5,AC5,AK5,AS5,BA5,BI5,BQ5,BY5,CG5))</f>
        <v>81.666666666666671</v>
      </c>
      <c r="CI5" s="104">
        <f t="shared" ref="CI5:CI52" si="1">MAX(M5,U5,AC5,AK5,AS5,BA5,BI5,BQ5,BY5,CG5)</f>
        <v>81.666666666666671</v>
      </c>
      <c r="CJ5" s="104">
        <f t="shared" ref="CJ5:CJ52" si="2">MIN(M5,U5,AC5,AK5,AS5,BA5,BI5,BQ5,BY5,CG5)</f>
        <v>81.666666666666671</v>
      </c>
      <c r="CK5" s="90">
        <v>78</v>
      </c>
      <c r="CL5" s="100">
        <v>78</v>
      </c>
      <c r="CM5" s="322">
        <f>IF(CH5="","",CH5*$CM$3)</f>
        <v>163.33333333333334</v>
      </c>
      <c r="CN5" s="322">
        <f>IF(CK5="","",CK5*$CN$3)</f>
        <v>78</v>
      </c>
      <c r="CO5" s="322">
        <f>IF(CL5="","",CL5*$CO$3)</f>
        <v>78</v>
      </c>
      <c r="CP5" s="225">
        <f>IF(OR(CH5="",CK5="",CL5=""),"",(SUM(CM5:CO5)/SUM($CM$3:$CO$3)))</f>
        <v>79.833333333333343</v>
      </c>
      <c r="CQ5" s="323">
        <f>IF(CP5="","",ROUNDUP(CP5,0))</f>
        <v>80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TUNTAS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 xml:space="preserve"> Memiliki penguasaan materi sudah cukup dalam menjelaskan dan menentukanurutan pada bilangan bulat dan pecahan, dan lebih ditingkatkan dalam menjelaskan dan menentukanurutan pada bilangan bulat dan pecahan</v>
      </c>
      <c r="CW5" s="107" t="str">
        <f>IF(CI5="","",VLOOKUP(CI5,DATAPENG!$B$3:$C$12,2,FALSE))</f>
        <v>menjelaskan dan menentukanurutan pada bilangan bulat dan pecahan</v>
      </c>
      <c r="CX5" s="107" t="str">
        <f>IF(CJ5="","",VLOOKUP(CJ5,DATAPENG!$B$3:$C$12,2,FALSE))</f>
        <v>menjelaskan dan menentukanurutan pada bilangan bulat dan pecahan</v>
      </c>
    </row>
    <row r="6" spans="1:102">
      <c r="A6" s="104">
        <f>'DATA SISWA'!A6</f>
        <v>2</v>
      </c>
      <c r="B6" s="104">
        <f>'DATA SISWA'!B6</f>
        <v>0</v>
      </c>
      <c r="C6" s="104">
        <f>'DATA SISWA'!C6</f>
        <v>0</v>
      </c>
      <c r="D6" s="104">
        <f>'DATA SISWA'!D6</f>
        <v>0</v>
      </c>
      <c r="E6" s="104" t="str">
        <f>'DATA SISWA'!E6</f>
        <v>VII-A</v>
      </c>
      <c r="F6" s="353"/>
      <c r="G6" s="100"/>
      <c r="H6" s="100"/>
      <c r="I6" s="353"/>
      <c r="J6" s="310" t="str">
        <f t="shared" ref="J6:J8" si="3">IF(AND(F6="",G6="",H6="",I6=""),"",AVERAGE(F6:I6))</f>
        <v/>
      </c>
      <c r="K6" s="353"/>
      <c r="L6" s="100"/>
      <c r="M6" s="319" t="str">
        <f t="shared" ref="M6:M52" si="4">IF(AND(F6="",G6="",H6="",I6=""),"",IF(AND(K6="",L6=""),J6,MAX(J6:L6)))</f>
        <v/>
      </c>
      <c r="N6" s="353"/>
      <c r="O6" s="100"/>
      <c r="P6" s="100"/>
      <c r="Q6" s="353"/>
      <c r="R6" s="310" t="str">
        <f t="shared" ref="R6:R8" si="5">IF(AND(N6="",O6="",P6="",Q6=""),"",AVERAGE(N6:Q6))</f>
        <v/>
      </c>
      <c r="S6" s="353"/>
      <c r="T6" s="100"/>
      <c r="U6" s="319" t="str">
        <f t="shared" ref="U6:U52" si="6">IF(AND(N6="",O6="",P6="",Q6=""),"",IF(AND(S6="",T6=""),R6,MAX(R6:T6)))</f>
        <v/>
      </c>
      <c r="V6" s="353"/>
      <c r="W6" s="100"/>
      <c r="X6" s="100"/>
      <c r="Y6" s="353"/>
      <c r="Z6" s="310" t="str">
        <f t="shared" ref="Z6:Z8" si="7">IF(AND(V6="",W6="",X6="",Y6=""),"",AVERAGE(V6:Y6))</f>
        <v/>
      </c>
      <c r="AA6" s="100"/>
      <c r="AB6" s="100"/>
      <c r="AC6" s="319" t="str">
        <f t="shared" ref="AC6:AC52" si="8">IF(AND(V6="",W6="",X6="",Y6=""),"",IF(AND(AA6="",AB6=""),Z6,MAX(Z6:AB6)))</f>
        <v/>
      </c>
      <c r="AD6" s="353"/>
      <c r="AE6" s="100"/>
      <c r="AF6" s="100"/>
      <c r="AG6" s="353"/>
      <c r="AH6" s="310" t="str">
        <f t="shared" ref="AH6:AH8" si="9">IF(AND(AD6="",AE6="",AF6="",AG6=""),"",AVERAGE(AD6:AG6))</f>
        <v/>
      </c>
      <c r="AI6" s="100"/>
      <c r="AJ6" s="100"/>
      <c r="AK6" s="319" t="str">
        <f t="shared" ref="AK6:AK52" si="10">IF(AND(AD6="",AE6="",AF6="",AG6=""),"",IF(AND(AI6="",AJ6=""),AH6,MAX(AH6:AJ6)))</f>
        <v/>
      </c>
      <c r="AL6" s="100"/>
      <c r="AM6" s="100"/>
      <c r="AN6" s="100"/>
      <c r="AO6" s="90"/>
      <c r="AP6" s="310" t="str">
        <f t="shared" ref="AP6:AP8" si="11">IF(AND(AL6="",AM6="",AN6="",AO6=""),"",AVERAGE(AL6:AO6))</f>
        <v/>
      </c>
      <c r="AQ6" s="100"/>
      <c r="AR6" s="100"/>
      <c r="AS6" s="319" t="str">
        <f t="shared" ref="AS6:AS52" si="12">IF(AND(AL6="",AM6="",AN6="",AO6=""),"",IF(AND(AQ6="",AR6=""),AP6,MAX(AP6:AR6)))</f>
        <v/>
      </c>
      <c r="AT6" s="100"/>
      <c r="AU6" s="100"/>
      <c r="AV6" s="100"/>
      <c r="AW6" s="90"/>
      <c r="AX6" s="310" t="str">
        <f t="shared" ref="AX6:AX8" si="13">IF(AND(AT6="",AU6="",AV6="",AW6=""),"",AVERAGE(AT6:AW6))</f>
        <v/>
      </c>
      <c r="AY6" s="100"/>
      <c r="AZ6" s="100"/>
      <c r="BA6" s="319" t="str">
        <f t="shared" ref="BA6:BA52" si="14">IF(AND(AT6="",AU6="",AV6="",AW6=""),"",IF(AND(AY6="",AZ6=""),AX6,MAX(AX6:AZ6)))</f>
        <v/>
      </c>
      <c r="BB6" s="100"/>
      <c r="BC6" s="100"/>
      <c r="BD6" s="100"/>
      <c r="BE6" s="90"/>
      <c r="BF6" s="310" t="str">
        <f t="shared" ref="BF6:BF8" si="15">IF(AND(BB6="",BC6="",BD6="",BE6=""),"",AVERAGE(BB6:BE6))</f>
        <v/>
      </c>
      <c r="BG6" s="100"/>
      <c r="BH6" s="100"/>
      <c r="BI6" s="319" t="str">
        <f t="shared" ref="BI6:BI52" si="16">IF(AND(BB6="",BC6="",BD6="",BE6=""),"",IF(AND(BG6="",BH6=""),BF6,MAX(BF6:BH6)))</f>
        <v/>
      </c>
      <c r="BJ6" s="100"/>
      <c r="BK6" s="100"/>
      <c r="BL6" s="100"/>
      <c r="BM6" s="90"/>
      <c r="BN6" s="310" t="str">
        <f t="shared" ref="BN6:BN8" si="17">IF(AND(BJ6="",BK6="",BL6="",BM6=""),"",AVERAGE(BJ6:BM6))</f>
        <v/>
      </c>
      <c r="BO6" s="100"/>
      <c r="BP6" s="100"/>
      <c r="BQ6" s="319" t="str">
        <f t="shared" ref="BQ6:BQ52" si="18">IF(AND(BJ6="",BK6="",BL6="",BM6=""),"",IF(AND(BO6="",BP6=""),BN6,MAX(BN6:BP6)))</f>
        <v/>
      </c>
      <c r="BR6" s="100"/>
      <c r="BS6" s="100"/>
      <c r="BT6" s="100"/>
      <c r="BU6" s="90"/>
      <c r="BV6" s="310" t="str">
        <f t="shared" ref="BV6:BV8" si="19">IF(AND(BR6="",BS6="",BT6="",BU6=""),"",AVERAGE(BR6:BU6))</f>
        <v/>
      </c>
      <c r="BW6" s="100"/>
      <c r="BX6" s="100"/>
      <c r="BY6" s="319" t="str">
        <f t="shared" ref="BY6:BY52" si="20">IF(AND(BR6="",BS6="",BT6="",BU6=""),"",IF(AND(BW6="",BX6=""),BV6,MAX(BV6:BX6)))</f>
        <v/>
      </c>
      <c r="BZ6" s="100"/>
      <c r="CA6" s="100"/>
      <c r="CB6" s="100"/>
      <c r="CC6" s="90"/>
      <c r="CD6" s="310" t="str">
        <f t="shared" ref="CD6:CD8" si="21">IF(AND(BZ6="",CA6="",CB6="",CC6=""),"",AVERAGE(BZ6:CC6))</f>
        <v/>
      </c>
      <c r="CE6" s="100"/>
      <c r="CF6" s="100"/>
      <c r="CG6" s="319" t="str">
        <f t="shared" ref="CG6:CG52" si="22">IF(AND(BZ6="",CA6="",CB6="",CC6=""),"",IF(AND(CE6="",CF6=""),CD6,MAX(CD6:CF6)))</f>
        <v/>
      </c>
      <c r="CH6" s="321" t="str">
        <f t="shared" si="0"/>
        <v/>
      </c>
      <c r="CI6" s="104">
        <f t="shared" si="1"/>
        <v>0</v>
      </c>
      <c r="CJ6" s="104">
        <f t="shared" si="2"/>
        <v>0</v>
      </c>
      <c r="CK6" s="90"/>
      <c r="CL6" s="100"/>
      <c r="CM6" s="322" t="str">
        <f t="shared" ref="CM6:CM52" si="23">IF(CH6="","",CH6*$CM$3)</f>
        <v/>
      </c>
      <c r="CN6" s="322" t="str">
        <f t="shared" ref="CN6:CN52" si="24">IF(CK6="","",CK6*$CN$3)</f>
        <v/>
      </c>
      <c r="CO6" s="322" t="str">
        <f t="shared" ref="CO6:CO52" si="25">IF(CL6="","",CL6*$CO$3)</f>
        <v/>
      </c>
      <c r="CP6" s="225" t="str">
        <f t="shared" ref="CP6:CP52" si="26">IF(OR(CH6="",CK6="",CL6=""),"",(SUM(CM6:CO6)/SUM($CM$3:$CO$3)))</f>
        <v/>
      </c>
      <c r="CQ6" s="323" t="str">
        <f t="shared" ref="CQ6:CQ52" si="27">IF(CP6="","",ROUNDUP(CP6,0))</f>
        <v/>
      </c>
      <c r="CR6" s="105" t="str">
        <f>IF(CQ6="","",IF(CQ6&gt;=menu!$O$6,"A",IF(CQ6&gt;=menu!$O$7,"B",IF(CQ6&gt;=menu!$O$8,"C","D"))))</f>
        <v/>
      </c>
      <c r="CS6" s="105" t="str">
        <f>IF(CQ6="","",IF(CQ6&gt;=menu!$O$6,"sangat baik",IF(CQ6&gt;=menu!$O$7,"baik",IF(CQ6&gt;=menu!$O$8,"cukup","kurang"))))</f>
        <v/>
      </c>
      <c r="CT6" s="398" t="str">
        <f t="shared" ref="CT6:CT52" si="28">IF(CI6="","",IF(CI6&gt;=$CT$2,"TUNTAS","TIDAK"))</f>
        <v>TIDAK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/>
      </c>
      <c r="CW6" s="108" t="e">
        <f>IF(CI6="","",VLOOKUP(CI6,DATAPENG!$D$3:$E$12,2,FALSE))</f>
        <v>#N/A</v>
      </c>
      <c r="CX6" s="108" t="e">
        <f>IF(CJ6="","",VLOOKUP(CJ6,DATAPENG!$D$3:$E$12,2,FALSE))</f>
        <v>#N/A</v>
      </c>
    </row>
    <row r="7" spans="1:102">
      <c r="A7" s="104">
        <f>'DATA SISWA'!A7</f>
        <v>3</v>
      </c>
      <c r="B7" s="104">
        <f>'DATA SISWA'!B7</f>
        <v>0</v>
      </c>
      <c r="C7" s="104">
        <f>'DATA SISWA'!C7</f>
        <v>0</v>
      </c>
      <c r="D7" s="104">
        <f>'DATA SISWA'!D7</f>
        <v>0</v>
      </c>
      <c r="E7" s="104" t="str">
        <f>'DATA SISWA'!E7</f>
        <v>VII-A</v>
      </c>
      <c r="F7" s="353"/>
      <c r="G7" s="100"/>
      <c r="H7" s="100"/>
      <c r="I7" s="353"/>
      <c r="J7" s="310" t="str">
        <f t="shared" si="3"/>
        <v/>
      </c>
      <c r="K7" s="353"/>
      <c r="L7" s="100"/>
      <c r="M7" s="319" t="str">
        <f t="shared" si="4"/>
        <v/>
      </c>
      <c r="N7" s="353"/>
      <c r="O7" s="100"/>
      <c r="P7" s="100"/>
      <c r="Q7" s="353"/>
      <c r="R7" s="310" t="str">
        <f t="shared" si="5"/>
        <v/>
      </c>
      <c r="S7" s="353"/>
      <c r="T7" s="100"/>
      <c r="U7" s="319" t="str">
        <f t="shared" si="6"/>
        <v/>
      </c>
      <c r="V7" s="353"/>
      <c r="W7" s="100"/>
      <c r="X7" s="100"/>
      <c r="Y7" s="353"/>
      <c r="Z7" s="310" t="str">
        <f t="shared" si="7"/>
        <v/>
      </c>
      <c r="AA7" s="100"/>
      <c r="AB7" s="100"/>
      <c r="AC7" s="319" t="str">
        <f t="shared" si="8"/>
        <v/>
      </c>
      <c r="AD7" s="353"/>
      <c r="AE7" s="100"/>
      <c r="AF7" s="100"/>
      <c r="AG7" s="353"/>
      <c r="AH7" s="310" t="str">
        <f t="shared" si="9"/>
        <v/>
      </c>
      <c r="AI7" s="100"/>
      <c r="AJ7" s="100"/>
      <c r="AK7" s="319" t="str">
        <f t="shared" si="10"/>
        <v/>
      </c>
      <c r="AL7" s="100"/>
      <c r="AM7" s="100"/>
      <c r="AN7" s="100"/>
      <c r="AO7" s="90"/>
      <c r="AP7" s="310" t="str">
        <f t="shared" si="11"/>
        <v/>
      </c>
      <c r="AQ7" s="100"/>
      <c r="AR7" s="100"/>
      <c r="AS7" s="319" t="str">
        <f t="shared" si="12"/>
        <v/>
      </c>
      <c r="AT7" s="100"/>
      <c r="AU7" s="100"/>
      <c r="AV7" s="100"/>
      <c r="AW7" s="90"/>
      <c r="AX7" s="310" t="str">
        <f t="shared" si="13"/>
        <v/>
      </c>
      <c r="AY7" s="100"/>
      <c r="AZ7" s="100"/>
      <c r="BA7" s="319" t="str">
        <f t="shared" si="14"/>
        <v/>
      </c>
      <c r="BB7" s="100"/>
      <c r="BC7" s="100"/>
      <c r="BD7" s="100"/>
      <c r="BE7" s="90"/>
      <c r="BF7" s="310" t="str">
        <f t="shared" si="15"/>
        <v/>
      </c>
      <c r="BG7" s="100"/>
      <c r="BH7" s="100"/>
      <c r="BI7" s="319" t="str">
        <f t="shared" si="16"/>
        <v/>
      </c>
      <c r="BJ7" s="100"/>
      <c r="BK7" s="100"/>
      <c r="BL7" s="100"/>
      <c r="BM7" s="90"/>
      <c r="BN7" s="310" t="str">
        <f t="shared" si="17"/>
        <v/>
      </c>
      <c r="BO7" s="100"/>
      <c r="BP7" s="100"/>
      <c r="BQ7" s="319" t="str">
        <f t="shared" si="18"/>
        <v/>
      </c>
      <c r="BR7" s="100"/>
      <c r="BS7" s="100"/>
      <c r="BT7" s="100"/>
      <c r="BU7" s="90"/>
      <c r="BV7" s="310" t="str">
        <f t="shared" si="19"/>
        <v/>
      </c>
      <c r="BW7" s="100"/>
      <c r="BX7" s="100"/>
      <c r="BY7" s="319" t="str">
        <f t="shared" si="20"/>
        <v/>
      </c>
      <c r="BZ7" s="100"/>
      <c r="CA7" s="100"/>
      <c r="CB7" s="100"/>
      <c r="CC7" s="90"/>
      <c r="CD7" s="310" t="str">
        <f t="shared" si="21"/>
        <v/>
      </c>
      <c r="CE7" s="100"/>
      <c r="CF7" s="100"/>
      <c r="CG7" s="319" t="str">
        <f t="shared" si="22"/>
        <v/>
      </c>
      <c r="CH7" s="321" t="str">
        <f t="shared" si="0"/>
        <v/>
      </c>
      <c r="CI7" s="104">
        <f t="shared" si="1"/>
        <v>0</v>
      </c>
      <c r="CJ7" s="104">
        <f t="shared" si="2"/>
        <v>0</v>
      </c>
      <c r="CK7" s="90"/>
      <c r="CL7" s="100"/>
      <c r="CM7" s="322" t="str">
        <f t="shared" si="23"/>
        <v/>
      </c>
      <c r="CN7" s="322" t="str">
        <f t="shared" si="24"/>
        <v/>
      </c>
      <c r="CO7" s="322" t="str">
        <f t="shared" si="25"/>
        <v/>
      </c>
      <c r="CP7" s="225" t="str">
        <f t="shared" si="26"/>
        <v/>
      </c>
      <c r="CQ7" s="323" t="str">
        <f t="shared" si="27"/>
        <v/>
      </c>
      <c r="CR7" s="105" t="str">
        <f>IF(CQ7="","",IF(CQ7&gt;=menu!$O$6,"A",IF(CQ7&gt;=menu!$O$7,"B",IF(CQ7&gt;=menu!$O$8,"C","D"))))</f>
        <v/>
      </c>
      <c r="CS7" s="105" t="str">
        <f>IF(CQ7="","",IF(CQ7&gt;=menu!$O$6,"sangat baik",IF(CQ7&gt;=menu!$O$7,"baik",IF(CQ7&gt;=menu!$O$8,"cukup","kurang"))))</f>
        <v/>
      </c>
      <c r="CT7" s="398" t="str">
        <f t="shared" si="28"/>
        <v>TIDAK</v>
      </c>
      <c r="CU7" s="397" t="str">
        <f t="shared" si="29"/>
        <v>TIDAK</v>
      </c>
      <c r="CV7" s="115" t="str">
        <f t="shared" si="30"/>
        <v/>
      </c>
      <c r="CW7" s="108" t="e">
        <f>IF(CI7="","",VLOOKUP(CI7,DATAPENG!$F$3:$G$12,2,FALSE))</f>
        <v>#N/A</v>
      </c>
      <c r="CX7" s="108" t="e">
        <f>IF(CJ7="","",VLOOKUP(CJ7,DATAPENG!$F$3:$G$12,2,FALSE))</f>
        <v>#N/A</v>
      </c>
    </row>
    <row r="8" spans="1:102">
      <c r="A8" s="104">
        <f>'DATA SISWA'!A8</f>
        <v>4</v>
      </c>
      <c r="B8" s="104">
        <f>'DATA SISWA'!B8</f>
        <v>0</v>
      </c>
      <c r="C8" s="104">
        <f>'DATA SISWA'!C8</f>
        <v>0</v>
      </c>
      <c r="D8" s="104">
        <f>'DATA SISWA'!D8</f>
        <v>0</v>
      </c>
      <c r="E8" s="104" t="str">
        <f>'DATA SISWA'!E8</f>
        <v>VII-A</v>
      </c>
      <c r="F8" s="353"/>
      <c r="G8" s="100"/>
      <c r="H8" s="100"/>
      <c r="I8" s="353"/>
      <c r="J8" s="310" t="str">
        <f t="shared" si="3"/>
        <v/>
      </c>
      <c r="K8" s="353"/>
      <c r="L8" s="100"/>
      <c r="M8" s="319" t="str">
        <f t="shared" si="4"/>
        <v/>
      </c>
      <c r="N8" s="353"/>
      <c r="O8" s="100"/>
      <c r="P8" s="100"/>
      <c r="Q8" s="353"/>
      <c r="R8" s="310" t="str">
        <f t="shared" si="5"/>
        <v/>
      </c>
      <c r="S8" s="353"/>
      <c r="T8" s="100"/>
      <c r="U8" s="319" t="str">
        <f t="shared" si="6"/>
        <v/>
      </c>
      <c r="V8" s="353"/>
      <c r="W8" s="100"/>
      <c r="X8" s="100"/>
      <c r="Y8" s="353"/>
      <c r="Z8" s="310" t="str">
        <f t="shared" si="7"/>
        <v/>
      </c>
      <c r="AA8" s="100"/>
      <c r="AB8" s="100"/>
      <c r="AC8" s="319" t="str">
        <f t="shared" si="8"/>
        <v/>
      </c>
      <c r="AD8" s="353"/>
      <c r="AE8" s="100"/>
      <c r="AF8" s="100"/>
      <c r="AG8" s="353"/>
      <c r="AH8" s="310" t="str">
        <f t="shared" si="9"/>
        <v/>
      </c>
      <c r="AI8" s="100"/>
      <c r="AJ8" s="100"/>
      <c r="AK8" s="319" t="str">
        <f t="shared" si="10"/>
        <v/>
      </c>
      <c r="AL8" s="100"/>
      <c r="AM8" s="100"/>
      <c r="AN8" s="100"/>
      <c r="AO8" s="90"/>
      <c r="AP8" s="310" t="str">
        <f t="shared" si="11"/>
        <v/>
      </c>
      <c r="AQ8" s="100"/>
      <c r="AR8" s="100"/>
      <c r="AS8" s="319" t="str">
        <f t="shared" si="12"/>
        <v/>
      </c>
      <c r="AT8" s="100"/>
      <c r="AU8" s="100"/>
      <c r="AV8" s="100"/>
      <c r="AW8" s="90"/>
      <c r="AX8" s="310" t="str">
        <f t="shared" si="13"/>
        <v/>
      </c>
      <c r="AY8" s="100"/>
      <c r="AZ8" s="100"/>
      <c r="BA8" s="319" t="str">
        <f t="shared" si="14"/>
        <v/>
      </c>
      <c r="BB8" s="100"/>
      <c r="BC8" s="100"/>
      <c r="BD8" s="100"/>
      <c r="BE8" s="90"/>
      <c r="BF8" s="310" t="str">
        <f t="shared" si="15"/>
        <v/>
      </c>
      <c r="BG8" s="100"/>
      <c r="BH8" s="100"/>
      <c r="BI8" s="319" t="str">
        <f t="shared" si="16"/>
        <v/>
      </c>
      <c r="BJ8" s="100"/>
      <c r="BK8" s="100"/>
      <c r="BL8" s="100"/>
      <c r="BM8" s="90"/>
      <c r="BN8" s="310" t="str">
        <f t="shared" si="17"/>
        <v/>
      </c>
      <c r="BO8" s="100"/>
      <c r="BP8" s="100"/>
      <c r="BQ8" s="319" t="str">
        <f t="shared" si="18"/>
        <v/>
      </c>
      <c r="BR8" s="100"/>
      <c r="BS8" s="100"/>
      <c r="BT8" s="100"/>
      <c r="BU8" s="90"/>
      <c r="BV8" s="310" t="str">
        <f t="shared" si="19"/>
        <v/>
      </c>
      <c r="BW8" s="100"/>
      <c r="BX8" s="100"/>
      <c r="BY8" s="319" t="str">
        <f t="shared" si="20"/>
        <v/>
      </c>
      <c r="BZ8" s="100"/>
      <c r="CA8" s="100"/>
      <c r="CB8" s="100"/>
      <c r="CC8" s="90"/>
      <c r="CD8" s="310" t="str">
        <f t="shared" si="21"/>
        <v/>
      </c>
      <c r="CE8" s="100"/>
      <c r="CF8" s="100"/>
      <c r="CG8" s="319" t="str">
        <f t="shared" si="22"/>
        <v/>
      </c>
      <c r="CH8" s="321" t="str">
        <f t="shared" si="0"/>
        <v/>
      </c>
      <c r="CI8" s="104">
        <f t="shared" si="1"/>
        <v>0</v>
      </c>
      <c r="CJ8" s="104">
        <f t="shared" si="2"/>
        <v>0</v>
      </c>
      <c r="CK8" s="90"/>
      <c r="CL8" s="100"/>
      <c r="CM8" s="322" t="str">
        <f t="shared" si="23"/>
        <v/>
      </c>
      <c r="CN8" s="322" t="str">
        <f t="shared" si="24"/>
        <v/>
      </c>
      <c r="CO8" s="322" t="str">
        <f t="shared" si="25"/>
        <v/>
      </c>
      <c r="CP8" s="225" t="str">
        <f t="shared" si="26"/>
        <v/>
      </c>
      <c r="CQ8" s="323" t="str">
        <f t="shared" si="27"/>
        <v/>
      </c>
      <c r="CR8" s="105" t="str">
        <f>IF(CQ8="","",IF(CQ8&gt;=menu!$O$6,"A",IF(CQ8&gt;=menu!$O$7,"B",IF(CQ8&gt;=menu!$O$8,"C","D"))))</f>
        <v/>
      </c>
      <c r="CS8" s="105" t="str">
        <f>IF(CQ8="","",IF(CQ8&gt;=menu!$O$6,"sangat baik",IF(CQ8&gt;=menu!$O$7,"baik",IF(CQ8&gt;=menu!$O$8,"cukup","kurang"))))</f>
        <v/>
      </c>
      <c r="CT8" s="398" t="str">
        <f t="shared" si="28"/>
        <v>TIDAK</v>
      </c>
      <c r="CU8" s="397" t="str">
        <f t="shared" si="29"/>
        <v>TIDAK</v>
      </c>
      <c r="CV8" s="115" t="str">
        <f t="shared" si="30"/>
        <v/>
      </c>
      <c r="CW8" s="108" t="e">
        <f>IF(CI8="","",VLOOKUP(CI8,DATAPENG!$H$3:$I$12,2,FALSE))</f>
        <v>#N/A</v>
      </c>
      <c r="CX8" s="108" t="e">
        <f>IF(CJ8="","",VLOOKUP(CJ8,DATAPENG!$H$3:$I$12,2,FALSE))</f>
        <v>#N/A</v>
      </c>
    </row>
    <row r="9" spans="1:102">
      <c r="A9" s="104">
        <f>'DATA SISWA'!A9</f>
        <v>5</v>
      </c>
      <c r="B9" s="104">
        <f>'DATA SISWA'!B9</f>
        <v>0</v>
      </c>
      <c r="C9" s="104">
        <f>'DATA SISWA'!C9</f>
        <v>0</v>
      </c>
      <c r="D9" s="104">
        <f>'DATA SISWA'!D9</f>
        <v>0</v>
      </c>
      <c r="E9" s="104" t="str">
        <f>'DATA SISWA'!E9</f>
        <v>VII-A</v>
      </c>
      <c r="F9" s="353"/>
      <c r="G9" s="100"/>
      <c r="H9" s="100"/>
      <c r="I9" s="353"/>
      <c r="J9" s="310" t="str">
        <f>IF(AND(F9="",G9="",H9="",I9=""),"",AVERAGE(F9:I9))</f>
        <v/>
      </c>
      <c r="K9" s="353"/>
      <c r="L9" s="100"/>
      <c r="M9" s="319" t="str">
        <f t="shared" si="4"/>
        <v/>
      </c>
      <c r="N9" s="353"/>
      <c r="O9" s="100"/>
      <c r="P9" s="100"/>
      <c r="Q9" s="353"/>
      <c r="R9" s="310" t="str">
        <f>IF(AND(N9="",O9="",P9="",Q9=""),"",AVERAGE(N9:Q9))</f>
        <v/>
      </c>
      <c r="S9" s="353"/>
      <c r="T9" s="100"/>
      <c r="U9" s="319" t="str">
        <f t="shared" si="6"/>
        <v/>
      </c>
      <c r="V9" s="353"/>
      <c r="W9" s="100"/>
      <c r="X9" s="100"/>
      <c r="Y9" s="353"/>
      <c r="Z9" s="310" t="str">
        <f>IF(AND(V9="",W9="",X9="",Y9=""),"",AVERAGE(V9:Y9))</f>
        <v/>
      </c>
      <c r="AA9" s="100"/>
      <c r="AB9" s="100"/>
      <c r="AC9" s="319" t="str">
        <f t="shared" si="8"/>
        <v/>
      </c>
      <c r="AD9" s="353"/>
      <c r="AE9" s="100"/>
      <c r="AF9" s="100"/>
      <c r="AG9" s="353"/>
      <c r="AH9" s="310" t="str">
        <f>IF(AND(AD9="",AE9="",AF9="",AG9=""),"",AVERAGE(AD9:AG9))</f>
        <v/>
      </c>
      <c r="AI9" s="100"/>
      <c r="AJ9" s="100"/>
      <c r="AK9" s="319" t="str">
        <f t="shared" si="10"/>
        <v/>
      </c>
      <c r="AL9" s="100"/>
      <c r="AM9" s="100"/>
      <c r="AN9" s="100"/>
      <c r="AO9" s="90"/>
      <c r="AP9" s="310" t="str">
        <f>IF(AND(AL9="",AM9="",AN9="",AO9=""),"",AVERAGE(AL9:AO9))</f>
        <v/>
      </c>
      <c r="AQ9" s="100"/>
      <c r="AR9" s="100"/>
      <c r="AS9" s="319" t="str">
        <f t="shared" si="12"/>
        <v/>
      </c>
      <c r="AT9" s="100"/>
      <c r="AU9" s="100"/>
      <c r="AV9" s="100"/>
      <c r="AW9" s="90"/>
      <c r="AX9" s="310" t="str">
        <f>IF(AND(AT9="",AU9="",AV9="",AW9=""),"",AVERAGE(AT9:AW9))</f>
        <v/>
      </c>
      <c r="AY9" s="100"/>
      <c r="AZ9" s="100"/>
      <c r="BA9" s="319" t="str">
        <f t="shared" si="14"/>
        <v/>
      </c>
      <c r="BB9" s="100"/>
      <c r="BC9" s="100"/>
      <c r="BD9" s="100"/>
      <c r="BE9" s="90"/>
      <c r="BF9" s="310" t="str">
        <f>IF(AND(BB9="",BC9="",BD9="",BE9=""),"",AVERAGE(BB9:BE9))</f>
        <v/>
      </c>
      <c r="BG9" s="100"/>
      <c r="BH9" s="100"/>
      <c r="BI9" s="319" t="str">
        <f t="shared" si="16"/>
        <v/>
      </c>
      <c r="BJ9" s="100"/>
      <c r="BK9" s="100"/>
      <c r="BL9" s="100"/>
      <c r="BM9" s="90"/>
      <c r="BN9" s="310" t="str">
        <f>IF(AND(BJ9="",BK9="",BL9="",BM9=""),"",AVERAGE(BJ9:BM9))</f>
        <v/>
      </c>
      <c r="BO9" s="100"/>
      <c r="BP9" s="100"/>
      <c r="BQ9" s="319" t="str">
        <f t="shared" si="18"/>
        <v/>
      </c>
      <c r="BR9" s="100"/>
      <c r="BS9" s="100"/>
      <c r="BT9" s="100"/>
      <c r="BU9" s="90"/>
      <c r="BV9" s="310" t="str">
        <f>IF(AND(BR9="",BS9="",BT9="",BU9=""),"",AVERAGE(BR9:BU9))</f>
        <v/>
      </c>
      <c r="BW9" s="100"/>
      <c r="BX9" s="100"/>
      <c r="BY9" s="319" t="str">
        <f t="shared" si="20"/>
        <v/>
      </c>
      <c r="BZ9" s="100"/>
      <c r="CA9" s="100"/>
      <c r="CB9" s="100"/>
      <c r="CC9" s="90"/>
      <c r="CD9" s="310" t="str">
        <f>IF(AND(BZ9="",CA9="",CB9="",CC9=""),"",AVERAGE(BZ9:CC9))</f>
        <v/>
      </c>
      <c r="CE9" s="100"/>
      <c r="CF9" s="100"/>
      <c r="CG9" s="319" t="str">
        <f t="shared" si="22"/>
        <v/>
      </c>
      <c r="CH9" s="321" t="str">
        <f t="shared" si="0"/>
        <v/>
      </c>
      <c r="CI9" s="104">
        <f t="shared" si="1"/>
        <v>0</v>
      </c>
      <c r="CJ9" s="104">
        <f t="shared" si="2"/>
        <v>0</v>
      </c>
      <c r="CK9" s="90"/>
      <c r="CL9" s="100"/>
      <c r="CM9" s="322" t="str">
        <f t="shared" si="23"/>
        <v/>
      </c>
      <c r="CN9" s="322" t="str">
        <f t="shared" si="24"/>
        <v/>
      </c>
      <c r="CO9" s="322" t="str">
        <f t="shared" si="25"/>
        <v/>
      </c>
      <c r="CP9" s="225" t="str">
        <f t="shared" si="26"/>
        <v/>
      </c>
      <c r="CQ9" s="323" t="str">
        <f t="shared" si="27"/>
        <v/>
      </c>
      <c r="CR9" s="105" t="str">
        <f>IF(CQ9="","",IF(CQ9&gt;=menu!$O$6,"A",IF(CQ9&gt;=menu!$O$7,"B",IF(CQ9&gt;=menu!$O$8,"C","D"))))</f>
        <v/>
      </c>
      <c r="CS9" s="105" t="str">
        <f>IF(CQ9="","",IF(CQ9&gt;=menu!$O$6,"sangat baik",IF(CQ9&gt;=menu!$O$7,"baik",IF(CQ9&gt;=menu!$O$8,"cukup","kurang"))))</f>
        <v/>
      </c>
      <c r="CT9" s="398" t="str">
        <f t="shared" si="28"/>
        <v>TIDAK</v>
      </c>
      <c r="CU9" s="397" t="str">
        <f t="shared" si="29"/>
        <v>TIDAK</v>
      </c>
      <c r="CV9" s="115" t="str">
        <f t="shared" si="30"/>
        <v/>
      </c>
      <c r="CW9" s="108" t="e">
        <f>IF(CI9="","",VLOOKUP(CI9,DATAPENG!$J$3:$K$12,2,FALSE))</f>
        <v>#N/A</v>
      </c>
      <c r="CX9" s="108" t="e">
        <f>IF(CJ9="","",VLOOKUP(CJ9,DATAPENG!$J$3:$K$12,2,FALSE))</f>
        <v>#N/A</v>
      </c>
    </row>
    <row r="10" spans="1:102">
      <c r="A10" s="104">
        <f>'DATA SISWA'!A10</f>
        <v>6</v>
      </c>
      <c r="B10" s="104">
        <f>'DATA SISWA'!B10</f>
        <v>0</v>
      </c>
      <c r="C10" s="104">
        <f>'DATA SISWA'!C10</f>
        <v>0</v>
      </c>
      <c r="D10" s="104">
        <f>'DATA SISWA'!D10</f>
        <v>0</v>
      </c>
      <c r="E10" s="104" t="str">
        <f>'DATA SISWA'!E10</f>
        <v>VII-A</v>
      </c>
      <c r="F10" s="353"/>
      <c r="G10" s="100"/>
      <c r="H10" s="100"/>
      <c r="I10" s="353"/>
      <c r="J10" s="310" t="str">
        <f t="shared" ref="J10:J12" si="31">IF(AND(F10="",G10="",H10="",I10=""),"",AVERAGE(F10:I10))</f>
        <v/>
      </c>
      <c r="K10" s="353"/>
      <c r="L10" s="100"/>
      <c r="M10" s="319" t="str">
        <f t="shared" si="4"/>
        <v/>
      </c>
      <c r="N10" s="353"/>
      <c r="O10" s="100"/>
      <c r="P10" s="100"/>
      <c r="Q10" s="353"/>
      <c r="R10" s="310" t="str">
        <f t="shared" ref="R10:R12" si="32">IF(AND(N10="",O10="",P10="",Q10=""),"",AVERAGE(N10:Q10))</f>
        <v/>
      </c>
      <c r="S10" s="353"/>
      <c r="T10" s="100"/>
      <c r="U10" s="319" t="str">
        <f t="shared" si="6"/>
        <v/>
      </c>
      <c r="V10" s="353"/>
      <c r="W10" s="100"/>
      <c r="X10" s="100"/>
      <c r="Y10" s="353"/>
      <c r="Z10" s="310" t="str">
        <f t="shared" ref="Z10:Z12" si="33">IF(AND(V10="",W10="",X10="",Y10=""),"",AVERAGE(V10:Y10))</f>
        <v/>
      </c>
      <c r="AA10" s="100"/>
      <c r="AB10" s="100"/>
      <c r="AC10" s="319" t="str">
        <f t="shared" si="8"/>
        <v/>
      </c>
      <c r="AD10" s="353"/>
      <c r="AE10" s="100"/>
      <c r="AF10" s="100"/>
      <c r="AG10" s="353"/>
      <c r="AH10" s="310" t="str">
        <f t="shared" ref="AH10:AH12" si="34">IF(AND(AD10="",AE10="",AF10="",AG10=""),"",AVERAGE(AD10:AG10))</f>
        <v/>
      </c>
      <c r="AI10" s="100"/>
      <c r="AJ10" s="100"/>
      <c r="AK10" s="319" t="str">
        <f t="shared" si="10"/>
        <v/>
      </c>
      <c r="AL10" s="100"/>
      <c r="AM10" s="100"/>
      <c r="AN10" s="100"/>
      <c r="AO10" s="90"/>
      <c r="AP10" s="310" t="str">
        <f t="shared" ref="AP10:AP12" si="35">IF(AND(AL10="",AM10="",AN10="",AO10=""),"",AVERAGE(AL10:AO10))</f>
        <v/>
      </c>
      <c r="AQ10" s="100"/>
      <c r="AR10" s="100"/>
      <c r="AS10" s="319" t="str">
        <f t="shared" si="12"/>
        <v/>
      </c>
      <c r="AT10" s="100"/>
      <c r="AU10" s="100"/>
      <c r="AV10" s="100"/>
      <c r="AW10" s="90"/>
      <c r="AX10" s="310" t="str">
        <f t="shared" ref="AX10:AX12" si="36">IF(AND(AT10="",AU10="",AV10="",AW10=""),"",AVERAGE(AT10:AW10))</f>
        <v/>
      </c>
      <c r="AY10" s="100"/>
      <c r="AZ10" s="100"/>
      <c r="BA10" s="319" t="str">
        <f t="shared" si="14"/>
        <v/>
      </c>
      <c r="BB10" s="100"/>
      <c r="BC10" s="100"/>
      <c r="BD10" s="100"/>
      <c r="BE10" s="90"/>
      <c r="BF10" s="310" t="str">
        <f t="shared" ref="BF10:BF12" si="37">IF(AND(BB10="",BC10="",BD10="",BE10=""),"",AVERAGE(BB10:BE10))</f>
        <v/>
      </c>
      <c r="BG10" s="100"/>
      <c r="BH10" s="100"/>
      <c r="BI10" s="319" t="str">
        <f t="shared" si="16"/>
        <v/>
      </c>
      <c r="BJ10" s="100"/>
      <c r="BK10" s="100"/>
      <c r="BL10" s="100"/>
      <c r="BM10" s="90"/>
      <c r="BN10" s="310" t="str">
        <f t="shared" ref="BN10:BN12" si="38">IF(AND(BJ10="",BK10="",BL10="",BM10=""),"",AVERAGE(BJ10:BM10))</f>
        <v/>
      </c>
      <c r="BO10" s="100"/>
      <c r="BP10" s="100"/>
      <c r="BQ10" s="319" t="str">
        <f t="shared" si="18"/>
        <v/>
      </c>
      <c r="BR10" s="100"/>
      <c r="BS10" s="100"/>
      <c r="BT10" s="100"/>
      <c r="BU10" s="90"/>
      <c r="BV10" s="310" t="str">
        <f t="shared" ref="BV10:BV12" si="39">IF(AND(BR10="",BS10="",BT10="",BU10=""),"",AVERAGE(BR10:BU10))</f>
        <v/>
      </c>
      <c r="BW10" s="100"/>
      <c r="BX10" s="100"/>
      <c r="BY10" s="319" t="str">
        <f t="shared" si="20"/>
        <v/>
      </c>
      <c r="BZ10" s="100"/>
      <c r="CA10" s="100"/>
      <c r="CB10" s="100"/>
      <c r="CC10" s="90"/>
      <c r="CD10" s="310" t="str">
        <f t="shared" ref="CD10:CD12" si="40">IF(AND(BZ10="",CA10="",CB10="",CC10=""),"",AVERAGE(BZ10:CC10))</f>
        <v/>
      </c>
      <c r="CE10" s="100"/>
      <c r="CF10" s="100"/>
      <c r="CG10" s="319" t="str">
        <f t="shared" si="22"/>
        <v/>
      </c>
      <c r="CH10" s="321" t="str">
        <f t="shared" si="0"/>
        <v/>
      </c>
      <c r="CI10" s="104">
        <f t="shared" si="1"/>
        <v>0</v>
      </c>
      <c r="CJ10" s="104">
        <f t="shared" si="2"/>
        <v>0</v>
      </c>
      <c r="CK10" s="90"/>
      <c r="CL10" s="100"/>
      <c r="CM10" s="322" t="str">
        <f t="shared" si="23"/>
        <v/>
      </c>
      <c r="CN10" s="322" t="str">
        <f t="shared" si="24"/>
        <v/>
      </c>
      <c r="CO10" s="322" t="str">
        <f t="shared" si="25"/>
        <v/>
      </c>
      <c r="CP10" s="225" t="str">
        <f t="shared" si="26"/>
        <v/>
      </c>
      <c r="CQ10" s="323" t="str">
        <f t="shared" si="27"/>
        <v/>
      </c>
      <c r="CR10" s="105" t="str">
        <f>IF(CQ10="","",IF(CQ10&gt;=menu!$O$6,"A",IF(CQ10&gt;=menu!$O$7,"B",IF(CQ10&gt;=menu!$O$8,"C","D"))))</f>
        <v/>
      </c>
      <c r="CS10" s="105" t="str">
        <f>IF(CQ10="","",IF(CQ10&gt;=menu!$O$6,"sangat baik",IF(CQ10&gt;=menu!$O$7,"baik",IF(CQ10&gt;=menu!$O$8,"cukup","kurang"))))</f>
        <v/>
      </c>
      <c r="CT10" s="398" t="str">
        <f t="shared" si="28"/>
        <v>TIDAK</v>
      </c>
      <c r="CU10" s="397" t="str">
        <f t="shared" si="29"/>
        <v>TIDAK</v>
      </c>
      <c r="CV10" s="115" t="str">
        <f t="shared" si="30"/>
        <v/>
      </c>
      <c r="CW10" s="108" t="e">
        <f>IF(CI10="","",VLOOKUP(CI10,DATAPENG!$L$3:$M$12,2,FALSE))</f>
        <v>#N/A</v>
      </c>
      <c r="CX10" s="108" t="e">
        <f>IF(CJ10="","",VLOOKUP(CJ10,DATAPENG!$L$3:$M$12,2,FALSE))</f>
        <v>#N/A</v>
      </c>
    </row>
    <row r="11" spans="1:102">
      <c r="A11" s="104">
        <f>'DATA SISWA'!A11</f>
        <v>7</v>
      </c>
      <c r="B11" s="104">
        <f>'DATA SISWA'!B11</f>
        <v>0</v>
      </c>
      <c r="C11" s="104">
        <f>'DATA SISWA'!C11</f>
        <v>0</v>
      </c>
      <c r="D11" s="104">
        <f>'DATA SISWA'!D11</f>
        <v>0</v>
      </c>
      <c r="E11" s="104" t="str">
        <f>'DATA SISWA'!E11</f>
        <v>VII-A</v>
      </c>
      <c r="F11" s="353"/>
      <c r="G11" s="100"/>
      <c r="H11" s="100"/>
      <c r="I11" s="353"/>
      <c r="J11" s="310" t="str">
        <f t="shared" si="31"/>
        <v/>
      </c>
      <c r="K11" s="353"/>
      <c r="L11" s="100"/>
      <c r="M11" s="319" t="str">
        <f t="shared" si="4"/>
        <v/>
      </c>
      <c r="N11" s="353"/>
      <c r="O11" s="100"/>
      <c r="P11" s="100"/>
      <c r="Q11" s="353"/>
      <c r="R11" s="310" t="str">
        <f t="shared" si="32"/>
        <v/>
      </c>
      <c r="S11" s="353"/>
      <c r="T11" s="100"/>
      <c r="U11" s="319" t="str">
        <f t="shared" si="6"/>
        <v/>
      </c>
      <c r="V11" s="353"/>
      <c r="W11" s="100"/>
      <c r="X11" s="100"/>
      <c r="Y11" s="353"/>
      <c r="Z11" s="310" t="str">
        <f t="shared" si="33"/>
        <v/>
      </c>
      <c r="AA11" s="100"/>
      <c r="AB11" s="100"/>
      <c r="AC11" s="319" t="str">
        <f t="shared" si="8"/>
        <v/>
      </c>
      <c r="AD11" s="353"/>
      <c r="AE11" s="100"/>
      <c r="AF11" s="100"/>
      <c r="AG11" s="353"/>
      <c r="AH11" s="310" t="str">
        <f t="shared" si="34"/>
        <v/>
      </c>
      <c r="AI11" s="100"/>
      <c r="AJ11" s="100"/>
      <c r="AK11" s="319" t="str">
        <f t="shared" si="10"/>
        <v/>
      </c>
      <c r="AL11" s="100"/>
      <c r="AM11" s="100"/>
      <c r="AN11" s="100"/>
      <c r="AO11" s="90"/>
      <c r="AP11" s="310" t="str">
        <f t="shared" si="35"/>
        <v/>
      </c>
      <c r="AQ11" s="100"/>
      <c r="AR11" s="100"/>
      <c r="AS11" s="319" t="str">
        <f t="shared" si="12"/>
        <v/>
      </c>
      <c r="AT11" s="100"/>
      <c r="AU11" s="100"/>
      <c r="AV11" s="100"/>
      <c r="AW11" s="90"/>
      <c r="AX11" s="310" t="str">
        <f t="shared" si="36"/>
        <v/>
      </c>
      <c r="AY11" s="100"/>
      <c r="AZ11" s="100"/>
      <c r="BA11" s="319" t="str">
        <f t="shared" si="14"/>
        <v/>
      </c>
      <c r="BB11" s="100"/>
      <c r="BC11" s="100"/>
      <c r="BD11" s="100"/>
      <c r="BE11" s="90"/>
      <c r="BF11" s="310" t="str">
        <f t="shared" si="37"/>
        <v/>
      </c>
      <c r="BG11" s="100"/>
      <c r="BH11" s="100"/>
      <c r="BI11" s="319" t="str">
        <f t="shared" si="16"/>
        <v/>
      </c>
      <c r="BJ11" s="100"/>
      <c r="BK11" s="100"/>
      <c r="BL11" s="100"/>
      <c r="BM11" s="90"/>
      <c r="BN11" s="310" t="str">
        <f t="shared" si="38"/>
        <v/>
      </c>
      <c r="BO11" s="100"/>
      <c r="BP11" s="100"/>
      <c r="BQ11" s="319" t="str">
        <f t="shared" si="18"/>
        <v/>
      </c>
      <c r="BR11" s="100"/>
      <c r="BS11" s="100"/>
      <c r="BT11" s="100"/>
      <c r="BU11" s="90"/>
      <c r="BV11" s="310" t="str">
        <f t="shared" si="39"/>
        <v/>
      </c>
      <c r="BW11" s="100"/>
      <c r="BX11" s="100"/>
      <c r="BY11" s="319" t="str">
        <f t="shared" si="20"/>
        <v/>
      </c>
      <c r="BZ11" s="100"/>
      <c r="CA11" s="100"/>
      <c r="CB11" s="100"/>
      <c r="CC11" s="90"/>
      <c r="CD11" s="310" t="str">
        <f t="shared" si="40"/>
        <v/>
      </c>
      <c r="CE11" s="100"/>
      <c r="CF11" s="100"/>
      <c r="CG11" s="319" t="str">
        <f t="shared" si="22"/>
        <v/>
      </c>
      <c r="CH11" s="321" t="str">
        <f t="shared" si="0"/>
        <v/>
      </c>
      <c r="CI11" s="104">
        <f t="shared" si="1"/>
        <v>0</v>
      </c>
      <c r="CJ11" s="104">
        <f t="shared" si="2"/>
        <v>0</v>
      </c>
      <c r="CK11" s="90"/>
      <c r="CL11" s="100"/>
      <c r="CM11" s="322" t="str">
        <f t="shared" si="23"/>
        <v/>
      </c>
      <c r="CN11" s="322" t="str">
        <f t="shared" si="24"/>
        <v/>
      </c>
      <c r="CO11" s="322" t="str">
        <f t="shared" si="25"/>
        <v/>
      </c>
      <c r="CP11" s="225" t="str">
        <f t="shared" si="26"/>
        <v/>
      </c>
      <c r="CQ11" s="323" t="str">
        <f t="shared" si="27"/>
        <v/>
      </c>
      <c r="CR11" s="105" t="str">
        <f>IF(CQ11="","",IF(CQ11&gt;=menu!$O$6,"A",IF(CQ11&gt;=menu!$O$7,"B",IF(CQ11&gt;=menu!$O$8,"C","D"))))</f>
        <v/>
      </c>
      <c r="CS11" s="105" t="str">
        <f>IF(CQ11="","",IF(CQ11&gt;=menu!$O$6,"sangat baik",IF(CQ11&gt;=menu!$O$7,"baik",IF(CQ11&gt;=menu!$O$8,"cukup","kurang"))))</f>
        <v/>
      </c>
      <c r="CT11" s="398" t="str">
        <f t="shared" si="28"/>
        <v>TIDAK</v>
      </c>
      <c r="CU11" s="397" t="str">
        <f t="shared" si="29"/>
        <v>TIDAK</v>
      </c>
      <c r="CV11" s="115" t="str">
        <f t="shared" si="30"/>
        <v/>
      </c>
      <c r="CW11" s="108" t="e">
        <f>IF(CI11="","",VLOOKUP(CI11,DATAPENG!$N$3:$O$12,2,FALSE))</f>
        <v>#N/A</v>
      </c>
      <c r="CX11" s="108" t="e">
        <f>IF(CJ11="","",VLOOKUP(CJ11,DATAPENG!$N$3:$O$12,2,FALSE))</f>
        <v>#N/A</v>
      </c>
    </row>
    <row r="12" spans="1:102">
      <c r="A12" s="104">
        <f>'DATA SISWA'!A12</f>
        <v>8</v>
      </c>
      <c r="B12" s="104">
        <f>'DATA SISWA'!B12</f>
        <v>0</v>
      </c>
      <c r="C12" s="104">
        <f>'DATA SISWA'!C12</f>
        <v>0</v>
      </c>
      <c r="D12" s="104">
        <f>'DATA SISWA'!D12</f>
        <v>0</v>
      </c>
      <c r="E12" s="104" t="str">
        <f>'DATA SISWA'!E12</f>
        <v>VII-A</v>
      </c>
      <c r="F12" s="353"/>
      <c r="G12" s="100"/>
      <c r="H12" s="100"/>
      <c r="I12" s="353"/>
      <c r="J12" s="310" t="str">
        <f t="shared" si="31"/>
        <v/>
      </c>
      <c r="K12" s="353"/>
      <c r="L12" s="100"/>
      <c r="M12" s="319" t="str">
        <f t="shared" si="4"/>
        <v/>
      </c>
      <c r="N12" s="353"/>
      <c r="O12" s="100"/>
      <c r="P12" s="100"/>
      <c r="Q12" s="353"/>
      <c r="R12" s="310" t="str">
        <f t="shared" si="32"/>
        <v/>
      </c>
      <c r="S12" s="353"/>
      <c r="T12" s="100"/>
      <c r="U12" s="319" t="str">
        <f t="shared" si="6"/>
        <v/>
      </c>
      <c r="V12" s="353"/>
      <c r="W12" s="100"/>
      <c r="X12" s="100"/>
      <c r="Y12" s="353"/>
      <c r="Z12" s="310" t="str">
        <f t="shared" si="33"/>
        <v/>
      </c>
      <c r="AA12" s="100"/>
      <c r="AB12" s="100"/>
      <c r="AC12" s="319" t="str">
        <f t="shared" si="8"/>
        <v/>
      </c>
      <c r="AD12" s="353"/>
      <c r="AE12" s="100"/>
      <c r="AF12" s="100"/>
      <c r="AG12" s="353"/>
      <c r="AH12" s="310" t="str">
        <f t="shared" si="34"/>
        <v/>
      </c>
      <c r="AI12" s="100"/>
      <c r="AJ12" s="100"/>
      <c r="AK12" s="319" t="str">
        <f t="shared" si="10"/>
        <v/>
      </c>
      <c r="AL12" s="100"/>
      <c r="AM12" s="100"/>
      <c r="AN12" s="100"/>
      <c r="AO12" s="90"/>
      <c r="AP12" s="310" t="str">
        <f t="shared" si="35"/>
        <v/>
      </c>
      <c r="AQ12" s="100"/>
      <c r="AR12" s="100"/>
      <c r="AS12" s="319" t="str">
        <f t="shared" si="12"/>
        <v/>
      </c>
      <c r="AT12" s="100"/>
      <c r="AU12" s="100"/>
      <c r="AV12" s="100"/>
      <c r="AW12" s="90"/>
      <c r="AX12" s="310" t="str">
        <f t="shared" si="36"/>
        <v/>
      </c>
      <c r="AY12" s="100"/>
      <c r="AZ12" s="100"/>
      <c r="BA12" s="319" t="str">
        <f t="shared" si="14"/>
        <v/>
      </c>
      <c r="BB12" s="100"/>
      <c r="BC12" s="100"/>
      <c r="BD12" s="100"/>
      <c r="BE12" s="90"/>
      <c r="BF12" s="310" t="str">
        <f t="shared" si="37"/>
        <v/>
      </c>
      <c r="BG12" s="100"/>
      <c r="BH12" s="100"/>
      <c r="BI12" s="319" t="str">
        <f t="shared" si="16"/>
        <v/>
      </c>
      <c r="BJ12" s="100"/>
      <c r="BK12" s="100"/>
      <c r="BL12" s="100"/>
      <c r="BM12" s="90"/>
      <c r="BN12" s="310" t="str">
        <f t="shared" si="38"/>
        <v/>
      </c>
      <c r="BO12" s="100"/>
      <c r="BP12" s="100"/>
      <c r="BQ12" s="319" t="str">
        <f t="shared" si="18"/>
        <v/>
      </c>
      <c r="BR12" s="100"/>
      <c r="BS12" s="100"/>
      <c r="BT12" s="100"/>
      <c r="BU12" s="90"/>
      <c r="BV12" s="310" t="str">
        <f t="shared" si="39"/>
        <v/>
      </c>
      <c r="BW12" s="100"/>
      <c r="BX12" s="100"/>
      <c r="BY12" s="319" t="str">
        <f t="shared" si="20"/>
        <v/>
      </c>
      <c r="BZ12" s="100"/>
      <c r="CA12" s="100"/>
      <c r="CB12" s="100"/>
      <c r="CC12" s="90"/>
      <c r="CD12" s="310" t="str">
        <f t="shared" si="40"/>
        <v/>
      </c>
      <c r="CE12" s="100"/>
      <c r="CF12" s="100"/>
      <c r="CG12" s="319" t="str">
        <f t="shared" si="22"/>
        <v/>
      </c>
      <c r="CH12" s="321" t="str">
        <f t="shared" si="0"/>
        <v/>
      </c>
      <c r="CI12" s="104">
        <f t="shared" si="1"/>
        <v>0</v>
      </c>
      <c r="CJ12" s="104">
        <f t="shared" si="2"/>
        <v>0</v>
      </c>
      <c r="CK12" s="90"/>
      <c r="CL12" s="100"/>
      <c r="CM12" s="322" t="str">
        <f t="shared" si="23"/>
        <v/>
      </c>
      <c r="CN12" s="322" t="str">
        <f t="shared" si="24"/>
        <v/>
      </c>
      <c r="CO12" s="322" t="str">
        <f t="shared" si="25"/>
        <v/>
      </c>
      <c r="CP12" s="225" t="str">
        <f t="shared" si="26"/>
        <v/>
      </c>
      <c r="CQ12" s="323" t="str">
        <f t="shared" si="27"/>
        <v/>
      </c>
      <c r="CR12" s="105" t="str">
        <f>IF(CQ12="","",IF(CQ12&gt;=menu!$O$6,"A",IF(CQ12&gt;=menu!$O$7,"B",IF(CQ12&gt;=menu!$O$8,"C","D"))))</f>
        <v/>
      </c>
      <c r="CS12" s="105" t="str">
        <f>IF(CQ12="","",IF(CQ12&gt;=menu!$O$6,"sangat baik",IF(CQ12&gt;=menu!$O$7,"baik",IF(CQ12&gt;=menu!$O$8,"cukup","kurang"))))</f>
        <v/>
      </c>
      <c r="CT12" s="398" t="str">
        <f t="shared" si="28"/>
        <v>TIDAK</v>
      </c>
      <c r="CU12" s="397" t="str">
        <f t="shared" si="29"/>
        <v>TIDAK</v>
      </c>
      <c r="CV12" s="115" t="str">
        <f t="shared" si="30"/>
        <v/>
      </c>
      <c r="CW12" s="108" t="e">
        <f>IF(CI12="","",VLOOKUP(CI12,DATAPENG!$P$3:$Q$12,2,FALSE))</f>
        <v>#N/A</v>
      </c>
      <c r="CX12" s="108" t="e">
        <f>IF(CJ12="","",VLOOKUP(CJ12,DATAPENG!$P$3:$Q$12,2,FALSE))</f>
        <v>#N/A</v>
      </c>
    </row>
    <row r="13" spans="1:102">
      <c r="A13" s="104">
        <f>'DATA SISWA'!A13</f>
        <v>9</v>
      </c>
      <c r="B13" s="104">
        <f>'DATA SISWA'!B13</f>
        <v>0</v>
      </c>
      <c r="C13" s="104">
        <f>'DATA SISWA'!C13</f>
        <v>0</v>
      </c>
      <c r="D13" s="104">
        <f>'DATA SISWA'!D13</f>
        <v>0</v>
      </c>
      <c r="E13" s="104" t="str">
        <f>'DATA SISWA'!E13</f>
        <v>VII-A</v>
      </c>
      <c r="F13" s="353"/>
      <c r="G13" s="100"/>
      <c r="H13" s="100"/>
      <c r="I13" s="353"/>
      <c r="J13" s="310" t="str">
        <f>IF(AND(F13="",G13="",H13="",I13=""),"",AVERAGE(F13:I13))</f>
        <v/>
      </c>
      <c r="K13" s="353"/>
      <c r="L13" s="100"/>
      <c r="M13" s="319" t="str">
        <f t="shared" si="4"/>
        <v/>
      </c>
      <c r="N13" s="353"/>
      <c r="O13" s="100"/>
      <c r="P13" s="100"/>
      <c r="Q13" s="353"/>
      <c r="R13" s="310" t="str">
        <f>IF(AND(N13="",O13="",P13="",Q13=""),"",AVERAGE(N13:Q13))</f>
        <v/>
      </c>
      <c r="S13" s="353"/>
      <c r="T13" s="100"/>
      <c r="U13" s="319" t="str">
        <f t="shared" si="6"/>
        <v/>
      </c>
      <c r="V13" s="353"/>
      <c r="W13" s="100"/>
      <c r="X13" s="100"/>
      <c r="Y13" s="353"/>
      <c r="Z13" s="310" t="str">
        <f>IF(AND(V13="",W13="",X13="",Y13=""),"",AVERAGE(V13:Y13))</f>
        <v/>
      </c>
      <c r="AA13" s="100"/>
      <c r="AB13" s="100"/>
      <c r="AC13" s="319" t="str">
        <f t="shared" si="8"/>
        <v/>
      </c>
      <c r="AD13" s="353"/>
      <c r="AE13" s="100"/>
      <c r="AF13" s="100"/>
      <c r="AG13" s="353"/>
      <c r="AH13" s="310" t="str">
        <f>IF(AND(AD13="",AE13="",AF13="",AG13=""),"",AVERAGE(AD13:AG13))</f>
        <v/>
      </c>
      <c r="AI13" s="100"/>
      <c r="AJ13" s="100"/>
      <c r="AK13" s="319" t="str">
        <f t="shared" si="10"/>
        <v/>
      </c>
      <c r="AL13" s="100"/>
      <c r="AM13" s="100"/>
      <c r="AN13" s="100"/>
      <c r="AO13" s="90"/>
      <c r="AP13" s="310" t="str">
        <f>IF(AND(AL13="",AM13="",AN13="",AO13=""),"",AVERAGE(AL13:AO13))</f>
        <v/>
      </c>
      <c r="AQ13" s="100"/>
      <c r="AR13" s="100"/>
      <c r="AS13" s="319" t="str">
        <f t="shared" si="12"/>
        <v/>
      </c>
      <c r="AT13" s="100"/>
      <c r="AU13" s="100"/>
      <c r="AV13" s="100"/>
      <c r="AW13" s="90"/>
      <c r="AX13" s="310" t="str">
        <f>IF(AND(AT13="",AU13="",AV13="",AW13=""),"",AVERAGE(AT13:AW13))</f>
        <v/>
      </c>
      <c r="AY13" s="100"/>
      <c r="AZ13" s="100"/>
      <c r="BA13" s="319" t="str">
        <f t="shared" si="14"/>
        <v/>
      </c>
      <c r="BB13" s="100"/>
      <c r="BC13" s="100"/>
      <c r="BD13" s="100"/>
      <c r="BE13" s="90"/>
      <c r="BF13" s="310" t="str">
        <f>IF(AND(BB13="",BC13="",BD13="",BE13=""),"",AVERAGE(BB13:BE13))</f>
        <v/>
      </c>
      <c r="BG13" s="100"/>
      <c r="BH13" s="100"/>
      <c r="BI13" s="319" t="str">
        <f t="shared" si="16"/>
        <v/>
      </c>
      <c r="BJ13" s="100"/>
      <c r="BK13" s="100"/>
      <c r="BL13" s="100"/>
      <c r="BM13" s="90"/>
      <c r="BN13" s="310" t="str">
        <f>IF(AND(BJ13="",BK13="",BL13="",BM13=""),"",AVERAGE(BJ13:BM13))</f>
        <v/>
      </c>
      <c r="BO13" s="100"/>
      <c r="BP13" s="100"/>
      <c r="BQ13" s="319" t="str">
        <f t="shared" si="18"/>
        <v/>
      </c>
      <c r="BR13" s="100"/>
      <c r="BS13" s="100"/>
      <c r="BT13" s="100"/>
      <c r="BU13" s="90"/>
      <c r="BV13" s="310" t="str">
        <f>IF(AND(BR13="",BS13="",BT13="",BU13=""),"",AVERAGE(BR13:BU13))</f>
        <v/>
      </c>
      <c r="BW13" s="100"/>
      <c r="BX13" s="100"/>
      <c r="BY13" s="319" t="str">
        <f t="shared" si="20"/>
        <v/>
      </c>
      <c r="BZ13" s="100"/>
      <c r="CA13" s="100"/>
      <c r="CB13" s="100"/>
      <c r="CC13" s="90"/>
      <c r="CD13" s="310" t="str">
        <f>IF(AND(BZ13="",CA13="",CB13="",CC13=""),"",AVERAGE(BZ13:CC13))</f>
        <v/>
      </c>
      <c r="CE13" s="100"/>
      <c r="CF13" s="100"/>
      <c r="CG13" s="319" t="str">
        <f t="shared" si="22"/>
        <v/>
      </c>
      <c r="CH13" s="321" t="str">
        <f t="shared" si="0"/>
        <v/>
      </c>
      <c r="CI13" s="104">
        <f t="shared" si="1"/>
        <v>0</v>
      </c>
      <c r="CJ13" s="104">
        <f t="shared" si="2"/>
        <v>0</v>
      </c>
      <c r="CK13" s="90"/>
      <c r="CL13" s="100"/>
      <c r="CM13" s="322" t="str">
        <f t="shared" si="23"/>
        <v/>
      </c>
      <c r="CN13" s="322" t="str">
        <f t="shared" si="24"/>
        <v/>
      </c>
      <c r="CO13" s="322" t="str">
        <f t="shared" si="25"/>
        <v/>
      </c>
      <c r="CP13" s="225" t="str">
        <f t="shared" si="26"/>
        <v/>
      </c>
      <c r="CQ13" s="323" t="str">
        <f t="shared" si="27"/>
        <v/>
      </c>
      <c r="CR13" s="105" t="str">
        <f>IF(CQ13="","",IF(CQ13&gt;=menu!$O$6,"A",IF(CQ13&gt;=menu!$O$7,"B",IF(CQ13&gt;=menu!$O$8,"C","D"))))</f>
        <v/>
      </c>
      <c r="CS13" s="105" t="str">
        <f>IF(CQ13="","",IF(CQ13&gt;=menu!$O$6,"sangat baik",IF(CQ13&gt;=menu!$O$7,"baik",IF(CQ13&gt;=menu!$O$8,"cukup","kurang"))))</f>
        <v/>
      </c>
      <c r="CT13" s="398" t="str">
        <f t="shared" si="28"/>
        <v>TIDAK</v>
      </c>
      <c r="CU13" s="397" t="str">
        <f t="shared" si="29"/>
        <v>TIDAK</v>
      </c>
      <c r="CV13" s="115" t="str">
        <f t="shared" si="30"/>
        <v/>
      </c>
      <c r="CW13" s="108" t="e">
        <f>IF(CI13="","",VLOOKUP(CI13,DATAPENG!$R$3:$S$12,2,FALSE))</f>
        <v>#N/A</v>
      </c>
      <c r="CX13" s="108" t="e">
        <f>IF(CJ13="","",VLOOKUP(CJ13,DATAPENG!$R$3:$S$12,2,FALSE))</f>
        <v>#N/A</v>
      </c>
    </row>
    <row r="14" spans="1:102">
      <c r="A14" s="104">
        <f>'DATA SISWA'!A14</f>
        <v>10</v>
      </c>
      <c r="B14" s="104">
        <f>'DATA SISWA'!B14</f>
        <v>0</v>
      </c>
      <c r="C14" s="104">
        <f>'DATA SISWA'!C14</f>
        <v>0</v>
      </c>
      <c r="D14" s="104">
        <f>'DATA SISWA'!D14</f>
        <v>0</v>
      </c>
      <c r="E14" s="104" t="str">
        <f>'DATA SISWA'!E14</f>
        <v>VII-A</v>
      </c>
      <c r="F14" s="353"/>
      <c r="G14" s="100"/>
      <c r="H14" s="100"/>
      <c r="I14" s="353"/>
      <c r="J14" s="310" t="str">
        <f t="shared" ref="J14:J16" si="41">IF(AND(F14="",G14="",H14="",I14=""),"",AVERAGE(F14:I14))</f>
        <v/>
      </c>
      <c r="K14" s="353"/>
      <c r="L14" s="100"/>
      <c r="M14" s="319" t="str">
        <f t="shared" si="4"/>
        <v/>
      </c>
      <c r="N14" s="353"/>
      <c r="O14" s="100"/>
      <c r="P14" s="100"/>
      <c r="Q14" s="353"/>
      <c r="R14" s="310" t="str">
        <f t="shared" ref="R14:R16" si="42">IF(AND(N14="",O14="",P14="",Q14=""),"",AVERAGE(N14:Q14))</f>
        <v/>
      </c>
      <c r="S14" s="353"/>
      <c r="T14" s="100"/>
      <c r="U14" s="319" t="str">
        <f t="shared" si="6"/>
        <v/>
      </c>
      <c r="V14" s="353"/>
      <c r="W14" s="100"/>
      <c r="X14" s="100"/>
      <c r="Y14" s="353"/>
      <c r="Z14" s="310" t="str">
        <f t="shared" ref="Z14:Z16" si="43">IF(AND(V14="",W14="",X14="",Y14=""),"",AVERAGE(V14:Y14))</f>
        <v/>
      </c>
      <c r="AA14" s="100"/>
      <c r="AB14" s="100"/>
      <c r="AC14" s="319" t="str">
        <f t="shared" si="8"/>
        <v/>
      </c>
      <c r="AD14" s="353"/>
      <c r="AE14" s="100"/>
      <c r="AF14" s="100"/>
      <c r="AG14" s="353"/>
      <c r="AH14" s="310" t="str">
        <f t="shared" ref="AH14:AH16" si="44">IF(AND(AD14="",AE14="",AF14="",AG14=""),"",AVERAGE(AD14:AG14))</f>
        <v/>
      </c>
      <c r="AI14" s="100"/>
      <c r="AJ14" s="100"/>
      <c r="AK14" s="319" t="str">
        <f t="shared" si="10"/>
        <v/>
      </c>
      <c r="AL14" s="100"/>
      <c r="AM14" s="100"/>
      <c r="AN14" s="100"/>
      <c r="AO14" s="90"/>
      <c r="AP14" s="310" t="str">
        <f t="shared" ref="AP14:AP16" si="45">IF(AND(AL14="",AM14="",AN14="",AO14=""),"",AVERAGE(AL14:AO14))</f>
        <v/>
      </c>
      <c r="AQ14" s="100"/>
      <c r="AR14" s="100"/>
      <c r="AS14" s="319" t="str">
        <f t="shared" si="12"/>
        <v/>
      </c>
      <c r="AT14" s="100"/>
      <c r="AU14" s="100"/>
      <c r="AV14" s="100"/>
      <c r="AW14" s="90"/>
      <c r="AX14" s="310" t="str">
        <f t="shared" ref="AX14:AX16" si="46">IF(AND(AT14="",AU14="",AV14="",AW14=""),"",AVERAGE(AT14:AW14))</f>
        <v/>
      </c>
      <c r="AY14" s="100"/>
      <c r="AZ14" s="100"/>
      <c r="BA14" s="319" t="str">
        <f t="shared" si="14"/>
        <v/>
      </c>
      <c r="BB14" s="100"/>
      <c r="BC14" s="100"/>
      <c r="BD14" s="100"/>
      <c r="BE14" s="90"/>
      <c r="BF14" s="310" t="str">
        <f t="shared" ref="BF14:BF16" si="47">IF(AND(BB14="",BC14="",BD14="",BE14=""),"",AVERAGE(BB14:BE14))</f>
        <v/>
      </c>
      <c r="BG14" s="100"/>
      <c r="BH14" s="100"/>
      <c r="BI14" s="319" t="str">
        <f t="shared" si="16"/>
        <v/>
      </c>
      <c r="BJ14" s="100"/>
      <c r="BK14" s="100"/>
      <c r="BL14" s="100"/>
      <c r="BM14" s="90"/>
      <c r="BN14" s="310" t="str">
        <f t="shared" ref="BN14:BN16" si="48">IF(AND(BJ14="",BK14="",BL14="",BM14=""),"",AVERAGE(BJ14:BM14))</f>
        <v/>
      </c>
      <c r="BO14" s="100"/>
      <c r="BP14" s="100"/>
      <c r="BQ14" s="319" t="str">
        <f t="shared" si="18"/>
        <v/>
      </c>
      <c r="BR14" s="100"/>
      <c r="BS14" s="100"/>
      <c r="BT14" s="100"/>
      <c r="BU14" s="90"/>
      <c r="BV14" s="310" t="str">
        <f t="shared" ref="BV14:BV16" si="49">IF(AND(BR14="",BS14="",BT14="",BU14=""),"",AVERAGE(BR14:BU14))</f>
        <v/>
      </c>
      <c r="BW14" s="100"/>
      <c r="BX14" s="100"/>
      <c r="BY14" s="319" t="str">
        <f t="shared" si="20"/>
        <v/>
      </c>
      <c r="BZ14" s="100"/>
      <c r="CA14" s="100"/>
      <c r="CB14" s="100"/>
      <c r="CC14" s="90"/>
      <c r="CD14" s="310" t="str">
        <f t="shared" ref="CD14:CD16" si="50">IF(AND(BZ14="",CA14="",CB14="",CC14=""),"",AVERAGE(BZ14:CC14))</f>
        <v/>
      </c>
      <c r="CE14" s="100"/>
      <c r="CF14" s="100"/>
      <c r="CG14" s="319" t="str">
        <f t="shared" si="22"/>
        <v/>
      </c>
      <c r="CH14" s="321" t="str">
        <f t="shared" si="0"/>
        <v/>
      </c>
      <c r="CI14" s="104">
        <f t="shared" si="1"/>
        <v>0</v>
      </c>
      <c r="CJ14" s="104">
        <f t="shared" si="2"/>
        <v>0</v>
      </c>
      <c r="CK14" s="90"/>
      <c r="CL14" s="100"/>
      <c r="CM14" s="322" t="str">
        <f t="shared" si="23"/>
        <v/>
      </c>
      <c r="CN14" s="322" t="str">
        <f t="shared" si="24"/>
        <v/>
      </c>
      <c r="CO14" s="322" t="str">
        <f t="shared" si="25"/>
        <v/>
      </c>
      <c r="CP14" s="225" t="str">
        <f t="shared" si="26"/>
        <v/>
      </c>
      <c r="CQ14" s="323" t="str">
        <f t="shared" si="27"/>
        <v/>
      </c>
      <c r="CR14" s="105" t="str">
        <f>IF(CQ14="","",IF(CQ14&gt;=menu!$O$6,"A",IF(CQ14&gt;=menu!$O$7,"B",IF(CQ14&gt;=menu!$O$8,"C","D"))))</f>
        <v/>
      </c>
      <c r="CS14" s="105" t="str">
        <f>IF(CQ14="","",IF(CQ14&gt;=menu!$O$6,"sangat baik",IF(CQ14&gt;=menu!$O$7,"baik",IF(CQ14&gt;=menu!$O$8,"cukup","kurang"))))</f>
        <v/>
      </c>
      <c r="CT14" s="398" t="str">
        <f t="shared" si="28"/>
        <v>TIDAK</v>
      </c>
      <c r="CU14" s="397" t="str">
        <f t="shared" si="29"/>
        <v>TIDAK</v>
      </c>
      <c r="CV14" s="115" t="str">
        <f t="shared" si="30"/>
        <v/>
      </c>
      <c r="CW14" s="108" t="e">
        <f>IF(CI14="","",VLOOKUP(CI14,DATAPENG!$T$3:$U$12,2,FALSE))</f>
        <v>#N/A</v>
      </c>
      <c r="CX14" s="108" t="e">
        <f>IF(CJ14="","",VLOOKUP(CJ14,DATAPENG!$T$3:$U$12,2,FALSE))</f>
        <v>#N/A</v>
      </c>
    </row>
    <row r="15" spans="1:102">
      <c r="A15" s="104">
        <f>'DATA SISWA'!A15</f>
        <v>11</v>
      </c>
      <c r="B15" s="104">
        <f>'DATA SISWA'!B15</f>
        <v>0</v>
      </c>
      <c r="C15" s="104">
        <f>'DATA SISWA'!C15</f>
        <v>0</v>
      </c>
      <c r="D15" s="104">
        <f>'DATA SISWA'!D15</f>
        <v>0</v>
      </c>
      <c r="E15" s="104" t="str">
        <f>'DATA SISWA'!E15</f>
        <v>VII-A</v>
      </c>
      <c r="F15" s="353"/>
      <c r="G15" s="100"/>
      <c r="H15" s="100"/>
      <c r="I15" s="353"/>
      <c r="J15" s="310" t="str">
        <f t="shared" si="41"/>
        <v/>
      </c>
      <c r="K15" s="353"/>
      <c r="L15" s="100"/>
      <c r="M15" s="319" t="str">
        <f t="shared" si="4"/>
        <v/>
      </c>
      <c r="N15" s="353"/>
      <c r="O15" s="100"/>
      <c r="P15" s="100"/>
      <c r="Q15" s="353"/>
      <c r="R15" s="310" t="str">
        <f t="shared" si="42"/>
        <v/>
      </c>
      <c r="S15" s="353"/>
      <c r="T15" s="100"/>
      <c r="U15" s="319" t="str">
        <f t="shared" si="6"/>
        <v/>
      </c>
      <c r="V15" s="353"/>
      <c r="W15" s="100"/>
      <c r="X15" s="100"/>
      <c r="Y15" s="353"/>
      <c r="Z15" s="310" t="str">
        <f t="shared" si="43"/>
        <v/>
      </c>
      <c r="AA15" s="100"/>
      <c r="AB15" s="100"/>
      <c r="AC15" s="319" t="str">
        <f t="shared" si="8"/>
        <v/>
      </c>
      <c r="AD15" s="353"/>
      <c r="AE15" s="100"/>
      <c r="AF15" s="100"/>
      <c r="AG15" s="353"/>
      <c r="AH15" s="310" t="str">
        <f t="shared" si="44"/>
        <v/>
      </c>
      <c r="AI15" s="100"/>
      <c r="AJ15" s="100"/>
      <c r="AK15" s="319" t="str">
        <f t="shared" si="10"/>
        <v/>
      </c>
      <c r="AL15" s="100"/>
      <c r="AM15" s="100"/>
      <c r="AN15" s="100"/>
      <c r="AO15" s="90"/>
      <c r="AP15" s="310" t="str">
        <f t="shared" si="45"/>
        <v/>
      </c>
      <c r="AQ15" s="100"/>
      <c r="AR15" s="100"/>
      <c r="AS15" s="319" t="str">
        <f t="shared" si="12"/>
        <v/>
      </c>
      <c r="AT15" s="100"/>
      <c r="AU15" s="100"/>
      <c r="AV15" s="100"/>
      <c r="AW15" s="90"/>
      <c r="AX15" s="310" t="str">
        <f t="shared" si="46"/>
        <v/>
      </c>
      <c r="AY15" s="100"/>
      <c r="AZ15" s="100"/>
      <c r="BA15" s="319" t="str">
        <f t="shared" si="14"/>
        <v/>
      </c>
      <c r="BB15" s="100"/>
      <c r="BC15" s="100"/>
      <c r="BD15" s="100"/>
      <c r="BE15" s="90"/>
      <c r="BF15" s="310" t="str">
        <f t="shared" si="47"/>
        <v/>
      </c>
      <c r="BG15" s="100"/>
      <c r="BH15" s="100"/>
      <c r="BI15" s="319" t="str">
        <f t="shared" si="16"/>
        <v/>
      </c>
      <c r="BJ15" s="100"/>
      <c r="BK15" s="100"/>
      <c r="BL15" s="100"/>
      <c r="BM15" s="90"/>
      <c r="BN15" s="310" t="str">
        <f t="shared" si="48"/>
        <v/>
      </c>
      <c r="BO15" s="100"/>
      <c r="BP15" s="100"/>
      <c r="BQ15" s="319" t="str">
        <f t="shared" si="18"/>
        <v/>
      </c>
      <c r="BR15" s="100"/>
      <c r="BS15" s="100"/>
      <c r="BT15" s="100"/>
      <c r="BU15" s="90"/>
      <c r="BV15" s="310" t="str">
        <f t="shared" si="49"/>
        <v/>
      </c>
      <c r="BW15" s="100"/>
      <c r="BX15" s="100"/>
      <c r="BY15" s="319" t="str">
        <f t="shared" si="20"/>
        <v/>
      </c>
      <c r="BZ15" s="100"/>
      <c r="CA15" s="100"/>
      <c r="CB15" s="100"/>
      <c r="CC15" s="90"/>
      <c r="CD15" s="310" t="str">
        <f t="shared" si="50"/>
        <v/>
      </c>
      <c r="CE15" s="100"/>
      <c r="CF15" s="100"/>
      <c r="CG15" s="319" t="str">
        <f t="shared" si="22"/>
        <v/>
      </c>
      <c r="CH15" s="321" t="str">
        <f t="shared" si="0"/>
        <v/>
      </c>
      <c r="CI15" s="104">
        <f t="shared" si="1"/>
        <v>0</v>
      </c>
      <c r="CJ15" s="104">
        <f t="shared" si="2"/>
        <v>0</v>
      </c>
      <c r="CK15" s="90"/>
      <c r="CL15" s="100"/>
      <c r="CM15" s="322" t="str">
        <f t="shared" si="23"/>
        <v/>
      </c>
      <c r="CN15" s="322" t="str">
        <f t="shared" si="24"/>
        <v/>
      </c>
      <c r="CO15" s="322" t="str">
        <f t="shared" si="25"/>
        <v/>
      </c>
      <c r="CP15" s="225" t="str">
        <f t="shared" si="26"/>
        <v/>
      </c>
      <c r="CQ15" s="323" t="str">
        <f t="shared" si="27"/>
        <v/>
      </c>
      <c r="CR15" s="105" t="str">
        <f>IF(CQ15="","",IF(CQ15&gt;=menu!$O$6,"A",IF(CQ15&gt;=menu!$O$7,"B",IF(CQ15&gt;=menu!$O$8,"C","D"))))</f>
        <v/>
      </c>
      <c r="CS15" s="105" t="str">
        <f>IF(CQ15="","",IF(CQ15&gt;=menu!$O$6,"sangat baik",IF(CQ15&gt;=menu!$O$7,"baik",IF(CQ15&gt;=menu!$O$8,"cukup","kurang"))))</f>
        <v/>
      </c>
      <c r="CT15" s="398" t="str">
        <f t="shared" si="28"/>
        <v>TIDAK</v>
      </c>
      <c r="CU15" s="397" t="str">
        <f t="shared" si="29"/>
        <v>TIDAK</v>
      </c>
      <c r="CV15" s="115" t="str">
        <f t="shared" si="30"/>
        <v/>
      </c>
      <c r="CW15" s="108" t="e">
        <f>IF(CI15="","",VLOOKUP(CI15,DATAPENG!$V$3:$W$12,2,FALSE))</f>
        <v>#N/A</v>
      </c>
      <c r="CX15" s="108" t="e">
        <f>IF(CJ15="","",VLOOKUP(CJ15,DATAPENG!$V$3:$W$12,2,FALSE))</f>
        <v>#N/A</v>
      </c>
    </row>
    <row r="16" spans="1:102">
      <c r="A16" s="104">
        <f>'DATA SISWA'!A16</f>
        <v>12</v>
      </c>
      <c r="B16" s="104">
        <f>'DATA SISWA'!B16</f>
        <v>0</v>
      </c>
      <c r="C16" s="104">
        <f>'DATA SISWA'!C16</f>
        <v>0</v>
      </c>
      <c r="D16" s="104">
        <f>'DATA SISWA'!D16</f>
        <v>0</v>
      </c>
      <c r="E16" s="104" t="str">
        <f>'DATA SISWA'!E16</f>
        <v>VII-A</v>
      </c>
      <c r="F16" s="353"/>
      <c r="G16" s="100"/>
      <c r="H16" s="100"/>
      <c r="I16" s="353"/>
      <c r="J16" s="310" t="str">
        <f t="shared" si="41"/>
        <v/>
      </c>
      <c r="K16" s="353"/>
      <c r="L16" s="100"/>
      <c r="M16" s="319" t="str">
        <f t="shared" si="4"/>
        <v/>
      </c>
      <c r="N16" s="353"/>
      <c r="O16" s="100"/>
      <c r="P16" s="100"/>
      <c r="Q16" s="353"/>
      <c r="R16" s="310" t="str">
        <f t="shared" si="42"/>
        <v/>
      </c>
      <c r="S16" s="353"/>
      <c r="T16" s="100"/>
      <c r="U16" s="319" t="str">
        <f t="shared" si="6"/>
        <v/>
      </c>
      <c r="V16" s="353"/>
      <c r="W16" s="100"/>
      <c r="X16" s="100"/>
      <c r="Y16" s="353"/>
      <c r="Z16" s="310" t="str">
        <f t="shared" si="43"/>
        <v/>
      </c>
      <c r="AA16" s="100"/>
      <c r="AB16" s="100"/>
      <c r="AC16" s="319" t="str">
        <f t="shared" si="8"/>
        <v/>
      </c>
      <c r="AD16" s="353"/>
      <c r="AE16" s="100"/>
      <c r="AF16" s="100"/>
      <c r="AG16" s="353"/>
      <c r="AH16" s="310" t="str">
        <f t="shared" si="44"/>
        <v/>
      </c>
      <c r="AI16" s="100"/>
      <c r="AJ16" s="100"/>
      <c r="AK16" s="319" t="str">
        <f t="shared" si="10"/>
        <v/>
      </c>
      <c r="AL16" s="100"/>
      <c r="AM16" s="100"/>
      <c r="AN16" s="100"/>
      <c r="AO16" s="90"/>
      <c r="AP16" s="310" t="str">
        <f t="shared" si="45"/>
        <v/>
      </c>
      <c r="AQ16" s="100"/>
      <c r="AR16" s="100"/>
      <c r="AS16" s="319" t="str">
        <f t="shared" si="12"/>
        <v/>
      </c>
      <c r="AT16" s="100"/>
      <c r="AU16" s="100"/>
      <c r="AV16" s="100"/>
      <c r="AW16" s="90"/>
      <c r="AX16" s="310" t="str">
        <f t="shared" si="46"/>
        <v/>
      </c>
      <c r="AY16" s="100"/>
      <c r="AZ16" s="100"/>
      <c r="BA16" s="319" t="str">
        <f t="shared" si="14"/>
        <v/>
      </c>
      <c r="BB16" s="100"/>
      <c r="BC16" s="100"/>
      <c r="BD16" s="100"/>
      <c r="BE16" s="90"/>
      <c r="BF16" s="310" t="str">
        <f t="shared" si="47"/>
        <v/>
      </c>
      <c r="BG16" s="100"/>
      <c r="BH16" s="100"/>
      <c r="BI16" s="319" t="str">
        <f t="shared" si="16"/>
        <v/>
      </c>
      <c r="BJ16" s="100"/>
      <c r="BK16" s="100"/>
      <c r="BL16" s="100"/>
      <c r="BM16" s="90"/>
      <c r="BN16" s="310" t="str">
        <f t="shared" si="48"/>
        <v/>
      </c>
      <c r="BO16" s="100"/>
      <c r="BP16" s="100"/>
      <c r="BQ16" s="319" t="str">
        <f t="shared" si="18"/>
        <v/>
      </c>
      <c r="BR16" s="100"/>
      <c r="BS16" s="100"/>
      <c r="BT16" s="100"/>
      <c r="BU16" s="90"/>
      <c r="BV16" s="310" t="str">
        <f t="shared" si="49"/>
        <v/>
      </c>
      <c r="BW16" s="100"/>
      <c r="BX16" s="100"/>
      <c r="BY16" s="319" t="str">
        <f t="shared" si="20"/>
        <v/>
      </c>
      <c r="BZ16" s="100"/>
      <c r="CA16" s="100"/>
      <c r="CB16" s="100"/>
      <c r="CC16" s="90"/>
      <c r="CD16" s="310" t="str">
        <f t="shared" si="50"/>
        <v/>
      </c>
      <c r="CE16" s="100"/>
      <c r="CF16" s="100"/>
      <c r="CG16" s="319" t="str">
        <f t="shared" si="22"/>
        <v/>
      </c>
      <c r="CH16" s="321" t="str">
        <f t="shared" si="0"/>
        <v/>
      </c>
      <c r="CI16" s="104">
        <f t="shared" si="1"/>
        <v>0</v>
      </c>
      <c r="CJ16" s="104">
        <f t="shared" si="2"/>
        <v>0</v>
      </c>
      <c r="CK16" s="90"/>
      <c r="CL16" s="100"/>
      <c r="CM16" s="322" t="str">
        <f t="shared" si="23"/>
        <v/>
      </c>
      <c r="CN16" s="322" t="str">
        <f t="shared" si="24"/>
        <v/>
      </c>
      <c r="CO16" s="322" t="str">
        <f t="shared" si="25"/>
        <v/>
      </c>
      <c r="CP16" s="225" t="str">
        <f t="shared" si="26"/>
        <v/>
      </c>
      <c r="CQ16" s="323" t="str">
        <f t="shared" si="27"/>
        <v/>
      </c>
      <c r="CR16" s="105" t="str">
        <f>IF(CQ16="","",IF(CQ16&gt;=menu!$O$6,"A",IF(CQ16&gt;=menu!$O$7,"B",IF(CQ16&gt;=menu!$O$8,"C","D"))))</f>
        <v/>
      </c>
      <c r="CS16" s="105" t="str">
        <f>IF(CQ16="","",IF(CQ16&gt;=menu!$O$6,"sangat baik",IF(CQ16&gt;=menu!$O$7,"baik",IF(CQ16&gt;=menu!$O$8,"cukup","kurang"))))</f>
        <v/>
      </c>
      <c r="CT16" s="398" t="str">
        <f t="shared" si="28"/>
        <v>TIDAK</v>
      </c>
      <c r="CU16" s="397" t="str">
        <f t="shared" si="29"/>
        <v>TIDAK</v>
      </c>
      <c r="CV16" s="115" t="str">
        <f t="shared" si="30"/>
        <v/>
      </c>
      <c r="CW16" s="108" t="e">
        <f>IF(CI16="","",VLOOKUP(CI16,DATAPENG!$X$3:$Y$12,2,FALSE))</f>
        <v>#N/A</v>
      </c>
      <c r="CX16" s="108" t="e">
        <f>IF(CJ16="","",VLOOKUP(CJ16,DATAPENG!$X$3:$Y$12,2,FALSE))</f>
        <v>#N/A</v>
      </c>
    </row>
    <row r="17" spans="1:102">
      <c r="A17" s="104">
        <f>'DATA SISWA'!A17</f>
        <v>13</v>
      </c>
      <c r="B17" s="104">
        <f>'DATA SISWA'!B17</f>
        <v>0</v>
      </c>
      <c r="C17" s="104">
        <f>'DATA SISWA'!C17</f>
        <v>0</v>
      </c>
      <c r="D17" s="104">
        <f>'DATA SISWA'!D17</f>
        <v>0</v>
      </c>
      <c r="E17" s="104" t="str">
        <f>'DATA SISWA'!E17</f>
        <v>VII-A</v>
      </c>
      <c r="F17" s="353"/>
      <c r="G17" s="100"/>
      <c r="H17" s="100"/>
      <c r="I17" s="353"/>
      <c r="J17" s="310" t="str">
        <f>IF(AND(F17="",G17="",H17="",I17=""),"",AVERAGE(F17:I17))</f>
        <v/>
      </c>
      <c r="K17" s="353"/>
      <c r="L17" s="100"/>
      <c r="M17" s="319" t="str">
        <f t="shared" si="4"/>
        <v/>
      </c>
      <c r="N17" s="353"/>
      <c r="O17" s="100"/>
      <c r="P17" s="100"/>
      <c r="Q17" s="353"/>
      <c r="R17" s="310" t="str">
        <f>IF(AND(N17="",O17="",P17="",Q17=""),"",AVERAGE(N17:Q17))</f>
        <v/>
      </c>
      <c r="S17" s="353"/>
      <c r="T17" s="100"/>
      <c r="U17" s="319" t="str">
        <f t="shared" si="6"/>
        <v/>
      </c>
      <c r="V17" s="353"/>
      <c r="W17" s="100"/>
      <c r="X17" s="100"/>
      <c r="Y17" s="353"/>
      <c r="Z17" s="310" t="str">
        <f>IF(AND(V17="",W17="",X17="",Y17=""),"",AVERAGE(V17:Y17))</f>
        <v/>
      </c>
      <c r="AA17" s="100"/>
      <c r="AB17" s="100"/>
      <c r="AC17" s="319" t="str">
        <f t="shared" si="8"/>
        <v/>
      </c>
      <c r="AD17" s="353"/>
      <c r="AE17" s="100"/>
      <c r="AF17" s="100"/>
      <c r="AG17" s="353"/>
      <c r="AH17" s="310" t="str">
        <f>IF(AND(AD17="",AE17="",AF17="",AG17=""),"",AVERAGE(AD17:AG17))</f>
        <v/>
      </c>
      <c r="AI17" s="100"/>
      <c r="AJ17" s="100"/>
      <c r="AK17" s="319" t="str">
        <f t="shared" si="10"/>
        <v/>
      </c>
      <c r="AL17" s="100"/>
      <c r="AM17" s="100"/>
      <c r="AN17" s="100"/>
      <c r="AO17" s="90"/>
      <c r="AP17" s="310" t="str">
        <f>IF(AND(AL17="",AM17="",AN17="",AO17=""),"",AVERAGE(AL17:AO17))</f>
        <v/>
      </c>
      <c r="AQ17" s="100"/>
      <c r="AR17" s="100"/>
      <c r="AS17" s="319" t="str">
        <f t="shared" si="12"/>
        <v/>
      </c>
      <c r="AT17" s="100"/>
      <c r="AU17" s="100"/>
      <c r="AV17" s="100"/>
      <c r="AW17" s="90"/>
      <c r="AX17" s="310" t="str">
        <f>IF(AND(AT17="",AU17="",AV17="",AW17=""),"",AVERAGE(AT17:AW17))</f>
        <v/>
      </c>
      <c r="AY17" s="100"/>
      <c r="AZ17" s="100"/>
      <c r="BA17" s="319" t="str">
        <f t="shared" si="14"/>
        <v/>
      </c>
      <c r="BB17" s="100"/>
      <c r="BC17" s="100"/>
      <c r="BD17" s="100"/>
      <c r="BE17" s="90"/>
      <c r="BF17" s="310" t="str">
        <f>IF(AND(BB17="",BC17="",BD17="",BE17=""),"",AVERAGE(BB17:BE17))</f>
        <v/>
      </c>
      <c r="BG17" s="100"/>
      <c r="BH17" s="100"/>
      <c r="BI17" s="319" t="str">
        <f t="shared" si="16"/>
        <v/>
      </c>
      <c r="BJ17" s="100"/>
      <c r="BK17" s="100"/>
      <c r="BL17" s="100"/>
      <c r="BM17" s="90"/>
      <c r="BN17" s="310" t="str">
        <f>IF(AND(BJ17="",BK17="",BL17="",BM17=""),"",AVERAGE(BJ17:BM17))</f>
        <v/>
      </c>
      <c r="BO17" s="100"/>
      <c r="BP17" s="100"/>
      <c r="BQ17" s="319" t="str">
        <f t="shared" si="18"/>
        <v/>
      </c>
      <c r="BR17" s="100"/>
      <c r="BS17" s="100"/>
      <c r="BT17" s="100"/>
      <c r="BU17" s="90"/>
      <c r="BV17" s="310" t="str">
        <f>IF(AND(BR17="",BS17="",BT17="",BU17=""),"",AVERAGE(BR17:BU17))</f>
        <v/>
      </c>
      <c r="BW17" s="100"/>
      <c r="BX17" s="100"/>
      <c r="BY17" s="319" t="str">
        <f t="shared" si="20"/>
        <v/>
      </c>
      <c r="BZ17" s="100"/>
      <c r="CA17" s="100"/>
      <c r="CB17" s="100"/>
      <c r="CC17" s="90"/>
      <c r="CD17" s="310" t="str">
        <f>IF(AND(BZ17="",CA17="",CB17="",CC17=""),"",AVERAGE(BZ17:CC17))</f>
        <v/>
      </c>
      <c r="CE17" s="100"/>
      <c r="CF17" s="100"/>
      <c r="CG17" s="319" t="str">
        <f t="shared" si="22"/>
        <v/>
      </c>
      <c r="CH17" s="321" t="str">
        <f t="shared" si="0"/>
        <v/>
      </c>
      <c r="CI17" s="104">
        <f t="shared" si="1"/>
        <v>0</v>
      </c>
      <c r="CJ17" s="104">
        <f t="shared" si="2"/>
        <v>0</v>
      </c>
      <c r="CK17" s="90"/>
      <c r="CL17" s="100"/>
      <c r="CM17" s="322" t="str">
        <f t="shared" si="23"/>
        <v/>
      </c>
      <c r="CN17" s="322" t="str">
        <f t="shared" si="24"/>
        <v/>
      </c>
      <c r="CO17" s="322" t="str">
        <f t="shared" si="25"/>
        <v/>
      </c>
      <c r="CP17" s="225" t="str">
        <f t="shared" si="26"/>
        <v/>
      </c>
      <c r="CQ17" s="323" t="str">
        <f t="shared" si="27"/>
        <v/>
      </c>
      <c r="CR17" s="105" t="str">
        <f>IF(CQ17="","",IF(CQ17&gt;=menu!$O$6,"A",IF(CQ17&gt;=menu!$O$7,"B",IF(CQ17&gt;=menu!$O$8,"C","D"))))</f>
        <v/>
      </c>
      <c r="CS17" s="105" t="str">
        <f>IF(CQ17="","",IF(CQ17&gt;=menu!$O$6,"sangat baik",IF(CQ17&gt;=menu!$O$7,"baik",IF(CQ17&gt;=menu!$O$8,"cukup","kurang"))))</f>
        <v/>
      </c>
      <c r="CT17" s="398" t="str">
        <f t="shared" si="28"/>
        <v>TIDAK</v>
      </c>
      <c r="CU17" s="397" t="str">
        <f t="shared" si="29"/>
        <v>TIDAK</v>
      </c>
      <c r="CV17" s="115" t="str">
        <f t="shared" si="30"/>
        <v/>
      </c>
      <c r="CW17" s="108" t="e">
        <f>IF(CI17="","",VLOOKUP(CI17,DATAPENG!$Z$3:$AA$12,2,FALSE))</f>
        <v>#N/A</v>
      </c>
      <c r="CX17" s="108" t="e">
        <f>IF(CJ17="","",VLOOKUP(CJ17,DATAPENG!$Z$3:$AA$12,2,FALSE))</f>
        <v>#N/A</v>
      </c>
    </row>
    <row r="18" spans="1:102">
      <c r="A18" s="104">
        <f>'DATA SISWA'!A18</f>
        <v>14</v>
      </c>
      <c r="B18" s="104">
        <f>'DATA SISWA'!B18</f>
        <v>0</v>
      </c>
      <c r="C18" s="104">
        <f>'DATA SISWA'!C18</f>
        <v>0</v>
      </c>
      <c r="D18" s="104">
        <f>'DATA SISWA'!D18</f>
        <v>0</v>
      </c>
      <c r="E18" s="104" t="str">
        <f>'DATA SISWA'!E18</f>
        <v>VII-A</v>
      </c>
      <c r="F18" s="353"/>
      <c r="G18" s="100"/>
      <c r="H18" s="100"/>
      <c r="I18" s="353"/>
      <c r="J18" s="310" t="str">
        <f t="shared" ref="J18:J20" si="51">IF(AND(F18="",G18="",H18="",I18=""),"",AVERAGE(F18:I18))</f>
        <v/>
      </c>
      <c r="K18" s="353"/>
      <c r="L18" s="100"/>
      <c r="M18" s="319" t="str">
        <f t="shared" si="4"/>
        <v/>
      </c>
      <c r="N18" s="353"/>
      <c r="O18" s="100"/>
      <c r="P18" s="100"/>
      <c r="Q18" s="353"/>
      <c r="R18" s="310" t="str">
        <f t="shared" ref="R18:R20" si="52">IF(AND(N18="",O18="",P18="",Q18=""),"",AVERAGE(N18:Q18))</f>
        <v/>
      </c>
      <c r="S18" s="353"/>
      <c r="T18" s="100"/>
      <c r="U18" s="319" t="str">
        <f t="shared" si="6"/>
        <v/>
      </c>
      <c r="V18" s="353"/>
      <c r="W18" s="100"/>
      <c r="X18" s="100"/>
      <c r="Y18" s="353"/>
      <c r="Z18" s="310" t="str">
        <f t="shared" ref="Z18:Z20" si="53">IF(AND(V18="",W18="",X18="",Y18=""),"",AVERAGE(V18:Y18))</f>
        <v/>
      </c>
      <c r="AA18" s="100"/>
      <c r="AB18" s="100"/>
      <c r="AC18" s="319" t="str">
        <f t="shared" si="8"/>
        <v/>
      </c>
      <c r="AD18" s="353"/>
      <c r="AE18" s="100"/>
      <c r="AF18" s="100"/>
      <c r="AG18" s="353"/>
      <c r="AH18" s="310" t="str">
        <f t="shared" ref="AH18:AH20" si="54">IF(AND(AD18="",AE18="",AF18="",AG18=""),"",AVERAGE(AD18:AG18))</f>
        <v/>
      </c>
      <c r="AI18" s="100"/>
      <c r="AJ18" s="100"/>
      <c r="AK18" s="319" t="str">
        <f t="shared" si="10"/>
        <v/>
      </c>
      <c r="AL18" s="100"/>
      <c r="AM18" s="100"/>
      <c r="AN18" s="100"/>
      <c r="AO18" s="90"/>
      <c r="AP18" s="310" t="str">
        <f t="shared" ref="AP18:AP20" si="55">IF(AND(AL18="",AM18="",AN18="",AO18=""),"",AVERAGE(AL18:AO18))</f>
        <v/>
      </c>
      <c r="AQ18" s="100"/>
      <c r="AR18" s="100"/>
      <c r="AS18" s="319" t="str">
        <f t="shared" si="12"/>
        <v/>
      </c>
      <c r="AT18" s="100"/>
      <c r="AU18" s="100"/>
      <c r="AV18" s="100"/>
      <c r="AW18" s="90"/>
      <c r="AX18" s="310" t="str">
        <f t="shared" ref="AX18:AX20" si="56">IF(AND(AT18="",AU18="",AV18="",AW18=""),"",AVERAGE(AT18:AW18))</f>
        <v/>
      </c>
      <c r="AY18" s="100"/>
      <c r="AZ18" s="100"/>
      <c r="BA18" s="319" t="str">
        <f t="shared" si="14"/>
        <v/>
      </c>
      <c r="BB18" s="100"/>
      <c r="BC18" s="100"/>
      <c r="BD18" s="100"/>
      <c r="BE18" s="90"/>
      <c r="BF18" s="310" t="str">
        <f t="shared" ref="BF18:BF20" si="57">IF(AND(BB18="",BC18="",BD18="",BE18=""),"",AVERAGE(BB18:BE18))</f>
        <v/>
      </c>
      <c r="BG18" s="100"/>
      <c r="BH18" s="100"/>
      <c r="BI18" s="319" t="str">
        <f t="shared" si="16"/>
        <v/>
      </c>
      <c r="BJ18" s="100"/>
      <c r="BK18" s="100"/>
      <c r="BL18" s="100"/>
      <c r="BM18" s="90"/>
      <c r="BN18" s="310" t="str">
        <f t="shared" ref="BN18:BN20" si="58">IF(AND(BJ18="",BK18="",BL18="",BM18=""),"",AVERAGE(BJ18:BM18))</f>
        <v/>
      </c>
      <c r="BO18" s="100"/>
      <c r="BP18" s="100"/>
      <c r="BQ18" s="319" t="str">
        <f t="shared" si="18"/>
        <v/>
      </c>
      <c r="BR18" s="100"/>
      <c r="BS18" s="100"/>
      <c r="BT18" s="100"/>
      <c r="BU18" s="90"/>
      <c r="BV18" s="310" t="str">
        <f t="shared" ref="BV18:BV20" si="59">IF(AND(BR18="",BS18="",BT18="",BU18=""),"",AVERAGE(BR18:BU18))</f>
        <v/>
      </c>
      <c r="BW18" s="100"/>
      <c r="BX18" s="100"/>
      <c r="BY18" s="319" t="str">
        <f t="shared" si="20"/>
        <v/>
      </c>
      <c r="BZ18" s="100"/>
      <c r="CA18" s="100"/>
      <c r="CB18" s="100"/>
      <c r="CC18" s="90"/>
      <c r="CD18" s="310" t="str">
        <f t="shared" ref="CD18:CD20" si="60">IF(AND(BZ18="",CA18="",CB18="",CC18=""),"",AVERAGE(BZ18:CC18))</f>
        <v/>
      </c>
      <c r="CE18" s="100"/>
      <c r="CF18" s="100"/>
      <c r="CG18" s="319" t="str">
        <f t="shared" si="22"/>
        <v/>
      </c>
      <c r="CH18" s="321" t="str">
        <f t="shared" si="0"/>
        <v/>
      </c>
      <c r="CI18" s="104">
        <f t="shared" si="1"/>
        <v>0</v>
      </c>
      <c r="CJ18" s="104">
        <f t="shared" si="2"/>
        <v>0</v>
      </c>
      <c r="CK18" s="90"/>
      <c r="CL18" s="100"/>
      <c r="CM18" s="322" t="str">
        <f t="shared" si="23"/>
        <v/>
      </c>
      <c r="CN18" s="322" t="str">
        <f t="shared" si="24"/>
        <v/>
      </c>
      <c r="CO18" s="322" t="str">
        <f t="shared" si="25"/>
        <v/>
      </c>
      <c r="CP18" s="225" t="str">
        <f t="shared" si="26"/>
        <v/>
      </c>
      <c r="CQ18" s="323" t="str">
        <f t="shared" si="27"/>
        <v/>
      </c>
      <c r="CR18" s="105" t="str">
        <f>IF(CQ18="","",IF(CQ18&gt;=menu!$O$6,"A",IF(CQ18&gt;=menu!$O$7,"B",IF(CQ18&gt;=menu!$O$8,"C","D"))))</f>
        <v/>
      </c>
      <c r="CS18" s="105" t="str">
        <f>IF(CQ18="","",IF(CQ18&gt;=menu!$O$6,"sangat baik",IF(CQ18&gt;=menu!$O$7,"baik",IF(CQ18&gt;=menu!$O$8,"cukup","kurang"))))</f>
        <v/>
      </c>
      <c r="CT18" s="398" t="str">
        <f t="shared" si="28"/>
        <v>TIDAK</v>
      </c>
      <c r="CU18" s="397" t="str">
        <f t="shared" si="29"/>
        <v>TIDAK</v>
      </c>
      <c r="CV18" s="115" t="str">
        <f t="shared" si="30"/>
        <v/>
      </c>
      <c r="CW18" s="108" t="e">
        <f>IF(CI18="","",VLOOKUP(CI18,DATAPENG!$AB$3:$AC$12,2,FALSE))</f>
        <v>#N/A</v>
      </c>
      <c r="CX18" s="108" t="e">
        <f>IF(CJ18="","",VLOOKUP(CJ18,DATAPENG!$AB$3:$AC$12,2,FALSE))</f>
        <v>#N/A</v>
      </c>
    </row>
    <row r="19" spans="1:102">
      <c r="A19" s="104">
        <f>'DATA SISWA'!A19</f>
        <v>15</v>
      </c>
      <c r="B19" s="104">
        <f>'DATA SISWA'!B19</f>
        <v>0</v>
      </c>
      <c r="C19" s="104">
        <f>'DATA SISWA'!C19</f>
        <v>0</v>
      </c>
      <c r="D19" s="104">
        <f>'DATA SISWA'!D19</f>
        <v>0</v>
      </c>
      <c r="E19" s="104" t="str">
        <f>'DATA SISWA'!E19</f>
        <v>VII-A</v>
      </c>
      <c r="F19" s="353"/>
      <c r="G19" s="100"/>
      <c r="H19" s="100"/>
      <c r="I19" s="353"/>
      <c r="J19" s="310" t="str">
        <f t="shared" si="51"/>
        <v/>
      </c>
      <c r="K19" s="353"/>
      <c r="L19" s="100"/>
      <c r="M19" s="319" t="str">
        <f t="shared" si="4"/>
        <v/>
      </c>
      <c r="N19" s="353"/>
      <c r="O19" s="100"/>
      <c r="P19" s="100"/>
      <c r="Q19" s="353"/>
      <c r="R19" s="310" t="str">
        <f t="shared" si="52"/>
        <v/>
      </c>
      <c r="S19" s="353"/>
      <c r="T19" s="100"/>
      <c r="U19" s="319" t="str">
        <f t="shared" si="6"/>
        <v/>
      </c>
      <c r="V19" s="353"/>
      <c r="W19" s="100"/>
      <c r="X19" s="100"/>
      <c r="Y19" s="353"/>
      <c r="Z19" s="310" t="str">
        <f t="shared" si="53"/>
        <v/>
      </c>
      <c r="AA19" s="100"/>
      <c r="AB19" s="100"/>
      <c r="AC19" s="319" t="str">
        <f t="shared" si="8"/>
        <v/>
      </c>
      <c r="AD19" s="353"/>
      <c r="AE19" s="100"/>
      <c r="AF19" s="100"/>
      <c r="AG19" s="353"/>
      <c r="AH19" s="310" t="str">
        <f t="shared" si="54"/>
        <v/>
      </c>
      <c r="AI19" s="100"/>
      <c r="AJ19" s="100"/>
      <c r="AK19" s="319" t="str">
        <f t="shared" si="10"/>
        <v/>
      </c>
      <c r="AL19" s="100"/>
      <c r="AM19" s="100"/>
      <c r="AN19" s="100"/>
      <c r="AO19" s="90"/>
      <c r="AP19" s="310" t="str">
        <f t="shared" si="55"/>
        <v/>
      </c>
      <c r="AQ19" s="100"/>
      <c r="AR19" s="100"/>
      <c r="AS19" s="319" t="str">
        <f t="shared" si="12"/>
        <v/>
      </c>
      <c r="AT19" s="100"/>
      <c r="AU19" s="100"/>
      <c r="AV19" s="100"/>
      <c r="AW19" s="90"/>
      <c r="AX19" s="310" t="str">
        <f t="shared" si="56"/>
        <v/>
      </c>
      <c r="AY19" s="100"/>
      <c r="AZ19" s="100"/>
      <c r="BA19" s="319" t="str">
        <f t="shared" si="14"/>
        <v/>
      </c>
      <c r="BB19" s="100"/>
      <c r="BC19" s="100"/>
      <c r="BD19" s="100"/>
      <c r="BE19" s="90"/>
      <c r="BF19" s="310" t="str">
        <f t="shared" si="57"/>
        <v/>
      </c>
      <c r="BG19" s="100"/>
      <c r="BH19" s="100"/>
      <c r="BI19" s="319" t="str">
        <f t="shared" si="16"/>
        <v/>
      </c>
      <c r="BJ19" s="100"/>
      <c r="BK19" s="100"/>
      <c r="BL19" s="100"/>
      <c r="BM19" s="90"/>
      <c r="BN19" s="310" t="str">
        <f t="shared" si="58"/>
        <v/>
      </c>
      <c r="BO19" s="100"/>
      <c r="BP19" s="100"/>
      <c r="BQ19" s="319" t="str">
        <f t="shared" si="18"/>
        <v/>
      </c>
      <c r="BR19" s="100"/>
      <c r="BS19" s="100"/>
      <c r="BT19" s="100"/>
      <c r="BU19" s="90"/>
      <c r="BV19" s="310" t="str">
        <f t="shared" si="59"/>
        <v/>
      </c>
      <c r="BW19" s="100"/>
      <c r="BX19" s="100"/>
      <c r="BY19" s="319" t="str">
        <f t="shared" si="20"/>
        <v/>
      </c>
      <c r="BZ19" s="100"/>
      <c r="CA19" s="100"/>
      <c r="CB19" s="100"/>
      <c r="CC19" s="90"/>
      <c r="CD19" s="310" t="str">
        <f t="shared" si="60"/>
        <v/>
      </c>
      <c r="CE19" s="100"/>
      <c r="CF19" s="100"/>
      <c r="CG19" s="319" t="str">
        <f t="shared" si="22"/>
        <v/>
      </c>
      <c r="CH19" s="321" t="str">
        <f t="shared" si="0"/>
        <v/>
      </c>
      <c r="CI19" s="104">
        <f t="shared" si="1"/>
        <v>0</v>
      </c>
      <c r="CJ19" s="104">
        <f t="shared" si="2"/>
        <v>0</v>
      </c>
      <c r="CK19" s="90"/>
      <c r="CL19" s="100"/>
      <c r="CM19" s="322" t="str">
        <f t="shared" si="23"/>
        <v/>
      </c>
      <c r="CN19" s="322" t="str">
        <f t="shared" si="24"/>
        <v/>
      </c>
      <c r="CO19" s="322" t="str">
        <f t="shared" si="25"/>
        <v/>
      </c>
      <c r="CP19" s="225" t="str">
        <f t="shared" si="26"/>
        <v/>
      </c>
      <c r="CQ19" s="323" t="str">
        <f t="shared" si="27"/>
        <v/>
      </c>
      <c r="CR19" s="105" t="str">
        <f>IF(CQ19="","",IF(CQ19&gt;=menu!$O$6,"A",IF(CQ19&gt;=menu!$O$7,"B",IF(CQ19&gt;=menu!$O$8,"C","D"))))</f>
        <v/>
      </c>
      <c r="CS19" s="105" t="str">
        <f>IF(CQ19="","",IF(CQ19&gt;=menu!$O$6,"sangat baik",IF(CQ19&gt;=menu!$O$7,"baik",IF(CQ19&gt;=menu!$O$8,"cukup","kurang"))))</f>
        <v/>
      </c>
      <c r="CT19" s="398" t="str">
        <f t="shared" si="28"/>
        <v>TIDAK</v>
      </c>
      <c r="CU19" s="397" t="str">
        <f t="shared" si="29"/>
        <v>TIDAK</v>
      </c>
      <c r="CV19" s="115" t="str">
        <f t="shared" si="30"/>
        <v/>
      </c>
      <c r="CW19" s="108" t="e">
        <f>IF(CI19="","",VLOOKUP(CI19,DATAPENG!$AD$3:$AE$12,2,FALSE))</f>
        <v>#N/A</v>
      </c>
      <c r="CX19" s="108" t="e">
        <f>IF(CJ19="","",VLOOKUP(CJ19,DATAPENG!$AD$3:$AE$12,2,FALSE))</f>
        <v>#N/A</v>
      </c>
    </row>
    <row r="20" spans="1:102">
      <c r="A20" s="104">
        <f>'DATA SISWA'!A20</f>
        <v>16</v>
      </c>
      <c r="B20" s="104">
        <f>'DATA SISWA'!B20</f>
        <v>0</v>
      </c>
      <c r="C20" s="104">
        <f>'DATA SISWA'!C20</f>
        <v>0</v>
      </c>
      <c r="D20" s="104">
        <f>'DATA SISWA'!D20</f>
        <v>0</v>
      </c>
      <c r="E20" s="104" t="str">
        <f>'DATA SISWA'!E20</f>
        <v>VII-A</v>
      </c>
      <c r="F20" s="353"/>
      <c r="G20" s="100"/>
      <c r="H20" s="100"/>
      <c r="I20" s="353"/>
      <c r="J20" s="310" t="str">
        <f t="shared" si="51"/>
        <v/>
      </c>
      <c r="K20" s="353"/>
      <c r="L20" s="100"/>
      <c r="M20" s="319" t="str">
        <f t="shared" si="4"/>
        <v/>
      </c>
      <c r="N20" s="353"/>
      <c r="O20" s="100"/>
      <c r="P20" s="100"/>
      <c r="Q20" s="353"/>
      <c r="R20" s="310" t="str">
        <f t="shared" si="52"/>
        <v/>
      </c>
      <c r="S20" s="353"/>
      <c r="T20" s="100"/>
      <c r="U20" s="319" t="str">
        <f t="shared" si="6"/>
        <v/>
      </c>
      <c r="V20" s="353"/>
      <c r="W20" s="100"/>
      <c r="X20" s="100"/>
      <c r="Y20" s="353"/>
      <c r="Z20" s="310" t="str">
        <f t="shared" si="53"/>
        <v/>
      </c>
      <c r="AA20" s="100"/>
      <c r="AB20" s="100"/>
      <c r="AC20" s="319" t="str">
        <f t="shared" si="8"/>
        <v/>
      </c>
      <c r="AD20" s="353"/>
      <c r="AE20" s="100"/>
      <c r="AF20" s="100"/>
      <c r="AG20" s="353"/>
      <c r="AH20" s="310" t="str">
        <f t="shared" si="54"/>
        <v/>
      </c>
      <c r="AI20" s="100"/>
      <c r="AJ20" s="100"/>
      <c r="AK20" s="319" t="str">
        <f t="shared" si="10"/>
        <v/>
      </c>
      <c r="AL20" s="100"/>
      <c r="AM20" s="100"/>
      <c r="AN20" s="100"/>
      <c r="AO20" s="90"/>
      <c r="AP20" s="310" t="str">
        <f t="shared" si="55"/>
        <v/>
      </c>
      <c r="AQ20" s="100"/>
      <c r="AR20" s="100"/>
      <c r="AS20" s="319" t="str">
        <f t="shared" si="12"/>
        <v/>
      </c>
      <c r="AT20" s="100"/>
      <c r="AU20" s="100"/>
      <c r="AV20" s="100"/>
      <c r="AW20" s="90"/>
      <c r="AX20" s="310" t="str">
        <f t="shared" si="56"/>
        <v/>
      </c>
      <c r="AY20" s="100"/>
      <c r="AZ20" s="100"/>
      <c r="BA20" s="319" t="str">
        <f t="shared" si="14"/>
        <v/>
      </c>
      <c r="BB20" s="100"/>
      <c r="BC20" s="100"/>
      <c r="BD20" s="100"/>
      <c r="BE20" s="90"/>
      <c r="BF20" s="310" t="str">
        <f t="shared" si="57"/>
        <v/>
      </c>
      <c r="BG20" s="100"/>
      <c r="BH20" s="100"/>
      <c r="BI20" s="319" t="str">
        <f t="shared" si="16"/>
        <v/>
      </c>
      <c r="BJ20" s="100"/>
      <c r="BK20" s="100"/>
      <c r="BL20" s="100"/>
      <c r="BM20" s="90"/>
      <c r="BN20" s="310" t="str">
        <f t="shared" si="58"/>
        <v/>
      </c>
      <c r="BO20" s="100"/>
      <c r="BP20" s="100"/>
      <c r="BQ20" s="319" t="str">
        <f t="shared" si="18"/>
        <v/>
      </c>
      <c r="BR20" s="100"/>
      <c r="BS20" s="100"/>
      <c r="BT20" s="100"/>
      <c r="BU20" s="90"/>
      <c r="BV20" s="310" t="str">
        <f t="shared" si="59"/>
        <v/>
      </c>
      <c r="BW20" s="100"/>
      <c r="BX20" s="100"/>
      <c r="BY20" s="319" t="str">
        <f t="shared" si="20"/>
        <v/>
      </c>
      <c r="BZ20" s="100"/>
      <c r="CA20" s="100"/>
      <c r="CB20" s="100"/>
      <c r="CC20" s="90"/>
      <c r="CD20" s="310" t="str">
        <f t="shared" si="60"/>
        <v/>
      </c>
      <c r="CE20" s="100"/>
      <c r="CF20" s="100"/>
      <c r="CG20" s="319" t="str">
        <f t="shared" si="22"/>
        <v/>
      </c>
      <c r="CH20" s="321" t="str">
        <f t="shared" si="0"/>
        <v/>
      </c>
      <c r="CI20" s="104">
        <f t="shared" si="1"/>
        <v>0</v>
      </c>
      <c r="CJ20" s="104">
        <f t="shared" si="2"/>
        <v>0</v>
      </c>
      <c r="CK20" s="90"/>
      <c r="CL20" s="100"/>
      <c r="CM20" s="322" t="str">
        <f t="shared" si="23"/>
        <v/>
      </c>
      <c r="CN20" s="322" t="str">
        <f t="shared" si="24"/>
        <v/>
      </c>
      <c r="CO20" s="322" t="str">
        <f t="shared" si="25"/>
        <v/>
      </c>
      <c r="CP20" s="225" t="str">
        <f t="shared" si="26"/>
        <v/>
      </c>
      <c r="CQ20" s="323" t="str">
        <f t="shared" si="27"/>
        <v/>
      </c>
      <c r="CR20" s="105" t="str">
        <f>IF(CQ20="","",IF(CQ20&gt;=menu!$O$6,"A",IF(CQ20&gt;=menu!$O$7,"B",IF(CQ20&gt;=menu!$O$8,"C","D"))))</f>
        <v/>
      </c>
      <c r="CS20" s="105" t="str">
        <f>IF(CQ20="","",IF(CQ20&gt;=menu!$O$6,"sangat baik",IF(CQ20&gt;=menu!$O$7,"baik",IF(CQ20&gt;=menu!$O$8,"cukup","kurang"))))</f>
        <v/>
      </c>
      <c r="CT20" s="398" t="str">
        <f t="shared" si="28"/>
        <v>TIDAK</v>
      </c>
      <c r="CU20" s="397" t="str">
        <f t="shared" si="29"/>
        <v>TIDAK</v>
      </c>
      <c r="CV20" s="115" t="str">
        <f t="shared" si="30"/>
        <v/>
      </c>
      <c r="CW20" s="108" t="e">
        <f>IF(CI20="","",VLOOKUP(CI20,DATAPENG!$AF$3:$AG$12,2,FALSE))</f>
        <v>#N/A</v>
      </c>
      <c r="CX20" s="108" t="e">
        <f>IF(CJ20="","",VLOOKUP(CJ20,DATAPENG!$AF$3:$AG$12,2,FALSE))</f>
        <v>#N/A</v>
      </c>
    </row>
    <row r="21" spans="1:102">
      <c r="A21" s="104">
        <f>'DATA SISWA'!A21</f>
        <v>17</v>
      </c>
      <c r="B21" s="104">
        <f>'DATA SISWA'!B21</f>
        <v>0</v>
      </c>
      <c r="C21" s="104">
        <f>'DATA SISWA'!C21</f>
        <v>0</v>
      </c>
      <c r="D21" s="104">
        <f>'DATA SISWA'!D21</f>
        <v>0</v>
      </c>
      <c r="E21" s="104" t="str">
        <f>'DATA SISWA'!E21</f>
        <v>VII-A</v>
      </c>
      <c r="F21" s="354"/>
      <c r="G21" s="100"/>
      <c r="H21" s="100"/>
      <c r="I21" s="354"/>
      <c r="J21" s="310" t="str">
        <f>IF(AND(F21="",G21="",H21="",I21=""),"",AVERAGE(F21:I21))</f>
        <v/>
      </c>
      <c r="K21" s="354"/>
      <c r="L21" s="100"/>
      <c r="M21" s="319" t="str">
        <f t="shared" si="4"/>
        <v/>
      </c>
      <c r="N21" s="354"/>
      <c r="O21" s="100"/>
      <c r="P21" s="100"/>
      <c r="Q21" s="353"/>
      <c r="R21" s="310" t="str">
        <f>IF(AND(N21="",O21="",P21="",Q21=""),"",AVERAGE(N21:Q21))</f>
        <v/>
      </c>
      <c r="S21" s="354"/>
      <c r="T21" s="100"/>
      <c r="U21" s="319" t="str">
        <f t="shared" si="6"/>
        <v/>
      </c>
      <c r="V21" s="354"/>
      <c r="W21" s="100"/>
      <c r="X21" s="100"/>
      <c r="Y21" s="354"/>
      <c r="Z21" s="310" t="str">
        <f>IF(AND(V21="",W21="",X21="",Y21=""),"",AVERAGE(V21:Y21))</f>
        <v/>
      </c>
      <c r="AA21" s="100"/>
      <c r="AB21" s="100"/>
      <c r="AC21" s="319" t="str">
        <f t="shared" si="8"/>
        <v/>
      </c>
      <c r="AD21" s="354"/>
      <c r="AE21" s="100"/>
      <c r="AF21" s="100"/>
      <c r="AG21" s="353"/>
      <c r="AH21" s="310" t="str">
        <f>IF(AND(AD21="",AE21="",AF21="",AG21=""),"",AVERAGE(AD21:AG21))</f>
        <v/>
      </c>
      <c r="AI21" s="100"/>
      <c r="AJ21" s="100"/>
      <c r="AK21" s="319" t="str">
        <f t="shared" si="10"/>
        <v/>
      </c>
      <c r="AL21" s="100"/>
      <c r="AM21" s="100"/>
      <c r="AN21" s="100"/>
      <c r="AO21" s="90"/>
      <c r="AP21" s="310" t="str">
        <f>IF(AND(AL21="",AM21="",AN21="",AO21=""),"",AVERAGE(AL21:AO21))</f>
        <v/>
      </c>
      <c r="AQ21" s="100"/>
      <c r="AR21" s="100"/>
      <c r="AS21" s="319" t="str">
        <f t="shared" si="12"/>
        <v/>
      </c>
      <c r="AT21" s="100"/>
      <c r="AU21" s="100"/>
      <c r="AV21" s="100"/>
      <c r="AW21" s="90"/>
      <c r="AX21" s="310" t="str">
        <f>IF(AND(AT21="",AU21="",AV21="",AW21=""),"",AVERAGE(AT21:AW21))</f>
        <v/>
      </c>
      <c r="AY21" s="100"/>
      <c r="AZ21" s="100"/>
      <c r="BA21" s="319" t="str">
        <f t="shared" si="14"/>
        <v/>
      </c>
      <c r="BB21" s="100"/>
      <c r="BC21" s="100"/>
      <c r="BD21" s="100"/>
      <c r="BE21" s="90"/>
      <c r="BF21" s="310" t="str">
        <f>IF(AND(BB21="",BC21="",BD21="",BE21=""),"",AVERAGE(BB21:BE21))</f>
        <v/>
      </c>
      <c r="BG21" s="100"/>
      <c r="BH21" s="100"/>
      <c r="BI21" s="319" t="str">
        <f t="shared" si="16"/>
        <v/>
      </c>
      <c r="BJ21" s="100"/>
      <c r="BK21" s="100"/>
      <c r="BL21" s="100"/>
      <c r="BM21" s="90"/>
      <c r="BN21" s="310" t="str">
        <f>IF(AND(BJ21="",BK21="",BL21="",BM21=""),"",AVERAGE(BJ21:BM21))</f>
        <v/>
      </c>
      <c r="BO21" s="100"/>
      <c r="BP21" s="100"/>
      <c r="BQ21" s="319" t="str">
        <f t="shared" si="18"/>
        <v/>
      </c>
      <c r="BR21" s="100"/>
      <c r="BS21" s="100"/>
      <c r="BT21" s="100"/>
      <c r="BU21" s="90"/>
      <c r="BV21" s="310" t="str">
        <f>IF(AND(BR21="",BS21="",BT21="",BU21=""),"",AVERAGE(BR21:BU21))</f>
        <v/>
      </c>
      <c r="BW21" s="100"/>
      <c r="BX21" s="100"/>
      <c r="BY21" s="319" t="str">
        <f t="shared" si="20"/>
        <v/>
      </c>
      <c r="BZ21" s="100"/>
      <c r="CA21" s="100"/>
      <c r="CB21" s="100"/>
      <c r="CC21" s="90"/>
      <c r="CD21" s="310" t="str">
        <f>IF(AND(BZ21="",CA21="",CB21="",CC21=""),"",AVERAGE(BZ21:CC21))</f>
        <v/>
      </c>
      <c r="CE21" s="100"/>
      <c r="CF21" s="100"/>
      <c r="CG21" s="319" t="str">
        <f t="shared" si="22"/>
        <v/>
      </c>
      <c r="CH21" s="321" t="str">
        <f t="shared" si="0"/>
        <v/>
      </c>
      <c r="CI21" s="104">
        <f t="shared" si="1"/>
        <v>0</v>
      </c>
      <c r="CJ21" s="104">
        <f t="shared" si="2"/>
        <v>0</v>
      </c>
      <c r="CK21" s="90"/>
      <c r="CL21" s="100"/>
      <c r="CM21" s="322" t="str">
        <f t="shared" si="23"/>
        <v/>
      </c>
      <c r="CN21" s="322" t="str">
        <f t="shared" si="24"/>
        <v/>
      </c>
      <c r="CO21" s="322" t="str">
        <f t="shared" si="25"/>
        <v/>
      </c>
      <c r="CP21" s="225" t="str">
        <f t="shared" si="26"/>
        <v/>
      </c>
      <c r="CQ21" s="323" t="str">
        <f t="shared" si="27"/>
        <v/>
      </c>
      <c r="CR21" s="105" t="str">
        <f>IF(CQ21="","",IF(CQ21&gt;=menu!$O$6,"A",IF(CQ21&gt;=menu!$O$7,"B",IF(CQ21&gt;=menu!$O$8,"C","D"))))</f>
        <v/>
      </c>
      <c r="CS21" s="105" t="str">
        <f>IF(CQ21="","",IF(CQ21&gt;=menu!$O$6,"sangat baik",IF(CQ21&gt;=menu!$O$7,"baik",IF(CQ21&gt;=menu!$O$8,"cukup","kurang"))))</f>
        <v/>
      </c>
      <c r="CT21" s="398" t="str">
        <f t="shared" si="28"/>
        <v>TIDAK</v>
      </c>
      <c r="CU21" s="397" t="str">
        <f t="shared" si="29"/>
        <v>TIDAK</v>
      </c>
      <c r="CV21" s="115" t="str">
        <f t="shared" si="30"/>
        <v/>
      </c>
      <c r="CW21" s="108" t="e">
        <f>IF(CI21="","",VLOOKUP(CI21,DATAPENG!$AH$3:$AI$12,2,FALSE))</f>
        <v>#N/A</v>
      </c>
      <c r="CX21" s="108" t="e">
        <f>IF(CJ21="","",VLOOKUP(CJ21,DATAPENG!$AH$3:$AI$12,2,FALSE))</f>
        <v>#N/A</v>
      </c>
    </row>
    <row r="22" spans="1:102">
      <c r="A22" s="104">
        <f>'DATA SISWA'!A22</f>
        <v>18</v>
      </c>
      <c r="B22" s="104">
        <f>'DATA SISWA'!B22</f>
        <v>0</v>
      </c>
      <c r="C22" s="104">
        <f>'DATA SISWA'!C22</f>
        <v>0</v>
      </c>
      <c r="D22" s="104">
        <f>'DATA SISWA'!D22</f>
        <v>0</v>
      </c>
      <c r="E22" s="104" t="str">
        <f>'DATA SISWA'!E22</f>
        <v>VII-A</v>
      </c>
      <c r="F22" s="354"/>
      <c r="G22" s="100"/>
      <c r="H22" s="100"/>
      <c r="I22" s="354"/>
      <c r="J22" s="310" t="str">
        <f t="shared" ref="J22:J24" si="61">IF(AND(F22="",G22="",H22="",I22=""),"",AVERAGE(F22:I22))</f>
        <v/>
      </c>
      <c r="K22" s="354"/>
      <c r="L22" s="100"/>
      <c r="M22" s="319" t="str">
        <f t="shared" si="4"/>
        <v/>
      </c>
      <c r="N22" s="354"/>
      <c r="O22" s="100"/>
      <c r="P22" s="100"/>
      <c r="Q22" s="353"/>
      <c r="R22" s="310" t="str">
        <f t="shared" ref="R22:R24" si="62">IF(AND(N22="",O22="",P22="",Q22=""),"",AVERAGE(N22:Q22))</f>
        <v/>
      </c>
      <c r="S22" s="354"/>
      <c r="T22" s="100"/>
      <c r="U22" s="319" t="str">
        <f t="shared" si="6"/>
        <v/>
      </c>
      <c r="V22" s="354"/>
      <c r="W22" s="100"/>
      <c r="X22" s="100"/>
      <c r="Y22" s="354"/>
      <c r="Z22" s="310" t="str">
        <f t="shared" ref="Z22:Z24" si="63">IF(AND(V22="",W22="",X22="",Y22=""),"",AVERAGE(V22:Y22))</f>
        <v/>
      </c>
      <c r="AA22" s="100"/>
      <c r="AB22" s="100"/>
      <c r="AC22" s="319" t="str">
        <f t="shared" si="8"/>
        <v/>
      </c>
      <c r="AD22" s="354"/>
      <c r="AE22" s="100"/>
      <c r="AF22" s="100"/>
      <c r="AG22" s="353"/>
      <c r="AH22" s="310" t="str">
        <f t="shared" ref="AH22:AH24" si="64">IF(AND(AD22="",AE22="",AF22="",AG22=""),"",AVERAGE(AD22:AG22))</f>
        <v/>
      </c>
      <c r="AI22" s="100"/>
      <c r="AJ22" s="100"/>
      <c r="AK22" s="319" t="str">
        <f t="shared" si="10"/>
        <v/>
      </c>
      <c r="AL22" s="100"/>
      <c r="AM22" s="100"/>
      <c r="AN22" s="100"/>
      <c r="AO22" s="90"/>
      <c r="AP22" s="310" t="str">
        <f t="shared" ref="AP22:AP24" si="65">IF(AND(AL22="",AM22="",AN22="",AO22=""),"",AVERAGE(AL22:AO22))</f>
        <v/>
      </c>
      <c r="AQ22" s="100"/>
      <c r="AR22" s="100"/>
      <c r="AS22" s="319" t="str">
        <f t="shared" si="12"/>
        <v/>
      </c>
      <c r="AT22" s="100"/>
      <c r="AU22" s="100"/>
      <c r="AV22" s="100"/>
      <c r="AW22" s="90"/>
      <c r="AX22" s="310" t="str">
        <f t="shared" ref="AX22:AX24" si="66">IF(AND(AT22="",AU22="",AV22="",AW22=""),"",AVERAGE(AT22:AW22))</f>
        <v/>
      </c>
      <c r="AY22" s="100"/>
      <c r="AZ22" s="100"/>
      <c r="BA22" s="319" t="str">
        <f t="shared" si="14"/>
        <v/>
      </c>
      <c r="BB22" s="100"/>
      <c r="BC22" s="100"/>
      <c r="BD22" s="100"/>
      <c r="BE22" s="90"/>
      <c r="BF22" s="310" t="str">
        <f t="shared" ref="BF22:BF24" si="67">IF(AND(BB22="",BC22="",BD22="",BE22=""),"",AVERAGE(BB22:BE22))</f>
        <v/>
      </c>
      <c r="BG22" s="100"/>
      <c r="BH22" s="100"/>
      <c r="BI22" s="319" t="str">
        <f t="shared" si="16"/>
        <v/>
      </c>
      <c r="BJ22" s="100"/>
      <c r="BK22" s="100"/>
      <c r="BL22" s="100"/>
      <c r="BM22" s="90"/>
      <c r="BN22" s="310" t="str">
        <f t="shared" ref="BN22:BN24" si="68">IF(AND(BJ22="",BK22="",BL22="",BM22=""),"",AVERAGE(BJ22:BM22))</f>
        <v/>
      </c>
      <c r="BO22" s="100"/>
      <c r="BP22" s="100"/>
      <c r="BQ22" s="319" t="str">
        <f t="shared" si="18"/>
        <v/>
      </c>
      <c r="BR22" s="100"/>
      <c r="BS22" s="100"/>
      <c r="BT22" s="100"/>
      <c r="BU22" s="90"/>
      <c r="BV22" s="310" t="str">
        <f t="shared" ref="BV22:BV24" si="69">IF(AND(BR22="",BS22="",BT22="",BU22=""),"",AVERAGE(BR22:BU22))</f>
        <v/>
      </c>
      <c r="BW22" s="100"/>
      <c r="BX22" s="100"/>
      <c r="BY22" s="319" t="str">
        <f t="shared" si="20"/>
        <v/>
      </c>
      <c r="BZ22" s="100"/>
      <c r="CA22" s="100"/>
      <c r="CB22" s="100"/>
      <c r="CC22" s="90"/>
      <c r="CD22" s="310" t="str">
        <f t="shared" ref="CD22:CD24" si="70">IF(AND(BZ22="",CA22="",CB22="",CC22=""),"",AVERAGE(BZ22:CC22))</f>
        <v/>
      </c>
      <c r="CE22" s="100"/>
      <c r="CF22" s="100"/>
      <c r="CG22" s="319" t="str">
        <f t="shared" si="22"/>
        <v/>
      </c>
      <c r="CH22" s="321" t="str">
        <f t="shared" si="0"/>
        <v/>
      </c>
      <c r="CI22" s="104">
        <f t="shared" si="1"/>
        <v>0</v>
      </c>
      <c r="CJ22" s="104">
        <f t="shared" si="2"/>
        <v>0</v>
      </c>
      <c r="CK22" s="90"/>
      <c r="CL22" s="100"/>
      <c r="CM22" s="322" t="str">
        <f t="shared" si="23"/>
        <v/>
      </c>
      <c r="CN22" s="322" t="str">
        <f t="shared" si="24"/>
        <v/>
      </c>
      <c r="CO22" s="322" t="str">
        <f t="shared" si="25"/>
        <v/>
      </c>
      <c r="CP22" s="225" t="str">
        <f t="shared" si="26"/>
        <v/>
      </c>
      <c r="CQ22" s="323" t="str">
        <f t="shared" si="27"/>
        <v/>
      </c>
      <c r="CR22" s="105" t="str">
        <f>IF(CQ22="","",IF(CQ22&gt;=menu!$O$6,"A",IF(CQ22&gt;=menu!$O$7,"B",IF(CQ22&gt;=menu!$O$8,"C","D"))))</f>
        <v/>
      </c>
      <c r="CS22" s="105" t="str">
        <f>IF(CQ22="","",IF(CQ22&gt;=menu!$O$6,"sangat baik",IF(CQ22&gt;=menu!$O$7,"baik",IF(CQ22&gt;=menu!$O$8,"cukup","kurang"))))</f>
        <v/>
      </c>
      <c r="CT22" s="398" t="str">
        <f t="shared" si="28"/>
        <v>TIDAK</v>
      </c>
      <c r="CU22" s="397" t="str">
        <f t="shared" si="29"/>
        <v>TIDAK</v>
      </c>
      <c r="CV22" s="115" t="str">
        <f t="shared" si="30"/>
        <v/>
      </c>
      <c r="CW22" s="108" t="e">
        <f>IF(CI22="","",VLOOKUP(CI22,DATAPENG!$AJ$3:$AK$12,2,FALSE))</f>
        <v>#N/A</v>
      </c>
      <c r="CX22" s="108" t="e">
        <f>IF(CJ22="","",VLOOKUP(CJ22,DATAPENG!$AJ$3:$AK$12,2,FALSE))</f>
        <v>#N/A</v>
      </c>
    </row>
    <row r="23" spans="1:102">
      <c r="A23" s="104">
        <f>'DATA SISWA'!A23</f>
        <v>19</v>
      </c>
      <c r="B23" s="104">
        <f>'DATA SISWA'!B23</f>
        <v>0</v>
      </c>
      <c r="C23" s="104">
        <f>'DATA SISWA'!C23</f>
        <v>0</v>
      </c>
      <c r="D23" s="104">
        <f>'DATA SISWA'!D23</f>
        <v>0</v>
      </c>
      <c r="E23" s="104" t="str">
        <f>'DATA SISWA'!E23</f>
        <v>VII-A</v>
      </c>
      <c r="F23" s="354"/>
      <c r="G23" s="100"/>
      <c r="H23" s="100"/>
      <c r="I23" s="354"/>
      <c r="J23" s="310" t="str">
        <f t="shared" si="61"/>
        <v/>
      </c>
      <c r="K23" s="354"/>
      <c r="L23" s="100"/>
      <c r="M23" s="319" t="str">
        <f t="shared" si="4"/>
        <v/>
      </c>
      <c r="N23" s="354"/>
      <c r="O23" s="100"/>
      <c r="P23" s="100"/>
      <c r="Q23" s="353"/>
      <c r="R23" s="310" t="str">
        <f t="shared" si="62"/>
        <v/>
      </c>
      <c r="S23" s="354"/>
      <c r="T23" s="100"/>
      <c r="U23" s="319" t="str">
        <f t="shared" si="6"/>
        <v/>
      </c>
      <c r="V23" s="354"/>
      <c r="W23" s="100"/>
      <c r="X23" s="100"/>
      <c r="Y23" s="354"/>
      <c r="Z23" s="310" t="str">
        <f t="shared" si="63"/>
        <v/>
      </c>
      <c r="AA23" s="100"/>
      <c r="AB23" s="100"/>
      <c r="AC23" s="319" t="str">
        <f t="shared" si="8"/>
        <v/>
      </c>
      <c r="AD23" s="354"/>
      <c r="AE23" s="100"/>
      <c r="AF23" s="100"/>
      <c r="AG23" s="353"/>
      <c r="AH23" s="310" t="str">
        <f t="shared" si="64"/>
        <v/>
      </c>
      <c r="AI23" s="100"/>
      <c r="AJ23" s="100"/>
      <c r="AK23" s="319" t="str">
        <f t="shared" si="10"/>
        <v/>
      </c>
      <c r="AL23" s="100"/>
      <c r="AM23" s="100"/>
      <c r="AN23" s="100"/>
      <c r="AO23" s="90"/>
      <c r="AP23" s="310" t="str">
        <f t="shared" si="65"/>
        <v/>
      </c>
      <c r="AQ23" s="100"/>
      <c r="AR23" s="100"/>
      <c r="AS23" s="319" t="str">
        <f t="shared" si="12"/>
        <v/>
      </c>
      <c r="AT23" s="100"/>
      <c r="AU23" s="100"/>
      <c r="AV23" s="100"/>
      <c r="AW23" s="90"/>
      <c r="AX23" s="310" t="str">
        <f t="shared" si="66"/>
        <v/>
      </c>
      <c r="AY23" s="100"/>
      <c r="AZ23" s="100"/>
      <c r="BA23" s="319" t="str">
        <f t="shared" si="14"/>
        <v/>
      </c>
      <c r="BB23" s="100"/>
      <c r="BC23" s="100"/>
      <c r="BD23" s="100"/>
      <c r="BE23" s="90"/>
      <c r="BF23" s="310" t="str">
        <f t="shared" si="67"/>
        <v/>
      </c>
      <c r="BG23" s="100"/>
      <c r="BH23" s="100"/>
      <c r="BI23" s="319" t="str">
        <f t="shared" si="16"/>
        <v/>
      </c>
      <c r="BJ23" s="100"/>
      <c r="BK23" s="100"/>
      <c r="BL23" s="100"/>
      <c r="BM23" s="90"/>
      <c r="BN23" s="310" t="str">
        <f t="shared" si="68"/>
        <v/>
      </c>
      <c r="BO23" s="100"/>
      <c r="BP23" s="100"/>
      <c r="BQ23" s="319" t="str">
        <f t="shared" si="18"/>
        <v/>
      </c>
      <c r="BR23" s="100"/>
      <c r="BS23" s="100"/>
      <c r="BT23" s="100"/>
      <c r="BU23" s="90"/>
      <c r="BV23" s="310" t="str">
        <f t="shared" si="69"/>
        <v/>
      </c>
      <c r="BW23" s="100"/>
      <c r="BX23" s="100"/>
      <c r="BY23" s="319" t="str">
        <f t="shared" si="20"/>
        <v/>
      </c>
      <c r="BZ23" s="100"/>
      <c r="CA23" s="100"/>
      <c r="CB23" s="100"/>
      <c r="CC23" s="90"/>
      <c r="CD23" s="310" t="str">
        <f t="shared" si="70"/>
        <v/>
      </c>
      <c r="CE23" s="100"/>
      <c r="CF23" s="100"/>
      <c r="CG23" s="319" t="str">
        <f t="shared" si="22"/>
        <v/>
      </c>
      <c r="CH23" s="321" t="str">
        <f t="shared" si="0"/>
        <v/>
      </c>
      <c r="CI23" s="104">
        <f t="shared" si="1"/>
        <v>0</v>
      </c>
      <c r="CJ23" s="104">
        <f t="shared" si="2"/>
        <v>0</v>
      </c>
      <c r="CK23" s="90"/>
      <c r="CL23" s="100"/>
      <c r="CM23" s="322" t="str">
        <f t="shared" si="23"/>
        <v/>
      </c>
      <c r="CN23" s="322" t="str">
        <f t="shared" si="24"/>
        <v/>
      </c>
      <c r="CO23" s="322" t="str">
        <f t="shared" si="25"/>
        <v/>
      </c>
      <c r="CP23" s="225" t="str">
        <f t="shared" si="26"/>
        <v/>
      </c>
      <c r="CQ23" s="323" t="str">
        <f t="shared" si="27"/>
        <v/>
      </c>
      <c r="CR23" s="105" t="str">
        <f>IF(CQ23="","",IF(CQ23&gt;=menu!$O$6,"A",IF(CQ23&gt;=menu!$O$7,"B",IF(CQ23&gt;=menu!$O$8,"C","D"))))</f>
        <v/>
      </c>
      <c r="CS23" s="105" t="str">
        <f>IF(CQ23="","",IF(CQ23&gt;=menu!$O$6,"sangat baik",IF(CQ23&gt;=menu!$O$7,"baik",IF(CQ23&gt;=menu!$O$8,"cukup","kurang"))))</f>
        <v/>
      </c>
      <c r="CT23" s="398" t="str">
        <f t="shared" si="28"/>
        <v>TIDAK</v>
      </c>
      <c r="CU23" s="397" t="str">
        <f t="shared" si="29"/>
        <v>TIDAK</v>
      </c>
      <c r="CV23" s="115" t="str">
        <f t="shared" si="30"/>
        <v/>
      </c>
      <c r="CW23" s="108" t="e">
        <f>IF(CI23="","",VLOOKUP(CI23,DATAPENG!$AL$3:$AM$12,2,FALSE))</f>
        <v>#N/A</v>
      </c>
      <c r="CX23" s="108" t="e">
        <f>IF(CJ23="","",VLOOKUP(CJ23,DATAPENG!$AL$3:$AM$12,2,FALSE))</f>
        <v>#N/A</v>
      </c>
    </row>
    <row r="24" spans="1:102">
      <c r="A24" s="104">
        <f>'DATA SISWA'!A24</f>
        <v>20</v>
      </c>
      <c r="B24" s="104">
        <f>'DATA SISWA'!B24</f>
        <v>0</v>
      </c>
      <c r="C24" s="104">
        <f>'DATA SISWA'!C24</f>
        <v>0</v>
      </c>
      <c r="D24" s="104">
        <f>'DATA SISWA'!D24</f>
        <v>0</v>
      </c>
      <c r="E24" s="104" t="str">
        <f>'DATA SISWA'!E24</f>
        <v>VII-A</v>
      </c>
      <c r="F24" s="354"/>
      <c r="G24" s="100"/>
      <c r="H24" s="100"/>
      <c r="I24" s="354"/>
      <c r="J24" s="310" t="str">
        <f t="shared" si="61"/>
        <v/>
      </c>
      <c r="K24" s="354"/>
      <c r="L24" s="100"/>
      <c r="M24" s="319" t="str">
        <f t="shared" si="4"/>
        <v/>
      </c>
      <c r="N24" s="354"/>
      <c r="O24" s="100"/>
      <c r="P24" s="100"/>
      <c r="Q24" s="353"/>
      <c r="R24" s="310" t="str">
        <f t="shared" si="62"/>
        <v/>
      </c>
      <c r="S24" s="354"/>
      <c r="T24" s="100"/>
      <c r="U24" s="319" t="str">
        <f t="shared" si="6"/>
        <v/>
      </c>
      <c r="V24" s="354"/>
      <c r="W24" s="100"/>
      <c r="X24" s="100"/>
      <c r="Y24" s="354"/>
      <c r="Z24" s="310" t="str">
        <f t="shared" si="63"/>
        <v/>
      </c>
      <c r="AA24" s="100"/>
      <c r="AB24" s="100"/>
      <c r="AC24" s="319" t="str">
        <f t="shared" si="8"/>
        <v/>
      </c>
      <c r="AD24" s="354"/>
      <c r="AE24" s="100"/>
      <c r="AF24" s="100"/>
      <c r="AG24" s="353"/>
      <c r="AH24" s="310" t="str">
        <f t="shared" si="64"/>
        <v/>
      </c>
      <c r="AI24" s="100"/>
      <c r="AJ24" s="100"/>
      <c r="AK24" s="319" t="str">
        <f t="shared" si="10"/>
        <v/>
      </c>
      <c r="AL24" s="100"/>
      <c r="AM24" s="100"/>
      <c r="AN24" s="100"/>
      <c r="AO24" s="90"/>
      <c r="AP24" s="310" t="str">
        <f t="shared" si="65"/>
        <v/>
      </c>
      <c r="AQ24" s="100"/>
      <c r="AR24" s="100"/>
      <c r="AS24" s="319" t="str">
        <f t="shared" si="12"/>
        <v/>
      </c>
      <c r="AT24" s="100"/>
      <c r="AU24" s="100"/>
      <c r="AV24" s="100"/>
      <c r="AW24" s="90"/>
      <c r="AX24" s="310" t="str">
        <f t="shared" si="66"/>
        <v/>
      </c>
      <c r="AY24" s="100"/>
      <c r="AZ24" s="100"/>
      <c r="BA24" s="319" t="str">
        <f t="shared" si="14"/>
        <v/>
      </c>
      <c r="BB24" s="100"/>
      <c r="BC24" s="100"/>
      <c r="BD24" s="100"/>
      <c r="BE24" s="90"/>
      <c r="BF24" s="310" t="str">
        <f t="shared" si="67"/>
        <v/>
      </c>
      <c r="BG24" s="100"/>
      <c r="BH24" s="100"/>
      <c r="BI24" s="319" t="str">
        <f t="shared" si="16"/>
        <v/>
      </c>
      <c r="BJ24" s="100"/>
      <c r="BK24" s="100"/>
      <c r="BL24" s="100"/>
      <c r="BM24" s="90"/>
      <c r="BN24" s="310" t="str">
        <f t="shared" si="68"/>
        <v/>
      </c>
      <c r="BO24" s="100"/>
      <c r="BP24" s="100"/>
      <c r="BQ24" s="319" t="str">
        <f t="shared" si="18"/>
        <v/>
      </c>
      <c r="BR24" s="100"/>
      <c r="BS24" s="100"/>
      <c r="BT24" s="100"/>
      <c r="BU24" s="90"/>
      <c r="BV24" s="310" t="str">
        <f t="shared" si="69"/>
        <v/>
      </c>
      <c r="BW24" s="100"/>
      <c r="BX24" s="100"/>
      <c r="BY24" s="319" t="str">
        <f t="shared" si="20"/>
        <v/>
      </c>
      <c r="BZ24" s="100"/>
      <c r="CA24" s="100"/>
      <c r="CB24" s="100"/>
      <c r="CC24" s="90"/>
      <c r="CD24" s="310" t="str">
        <f t="shared" si="70"/>
        <v/>
      </c>
      <c r="CE24" s="100"/>
      <c r="CF24" s="100"/>
      <c r="CG24" s="319" t="str">
        <f t="shared" si="22"/>
        <v/>
      </c>
      <c r="CH24" s="321" t="str">
        <f t="shared" si="0"/>
        <v/>
      </c>
      <c r="CI24" s="104">
        <f t="shared" si="1"/>
        <v>0</v>
      </c>
      <c r="CJ24" s="104">
        <f t="shared" si="2"/>
        <v>0</v>
      </c>
      <c r="CK24" s="90"/>
      <c r="CL24" s="100"/>
      <c r="CM24" s="322" t="str">
        <f t="shared" si="23"/>
        <v/>
      </c>
      <c r="CN24" s="322" t="str">
        <f t="shared" si="24"/>
        <v/>
      </c>
      <c r="CO24" s="322" t="str">
        <f t="shared" si="25"/>
        <v/>
      </c>
      <c r="CP24" s="225" t="str">
        <f t="shared" si="26"/>
        <v/>
      </c>
      <c r="CQ24" s="323" t="str">
        <f t="shared" si="27"/>
        <v/>
      </c>
      <c r="CR24" s="105" t="str">
        <f>IF(CQ24="","",IF(CQ24&gt;=menu!$O$6,"A",IF(CQ24&gt;=menu!$O$7,"B",IF(CQ24&gt;=menu!$O$8,"C","D"))))</f>
        <v/>
      </c>
      <c r="CS24" s="105" t="str">
        <f>IF(CQ24="","",IF(CQ24&gt;=menu!$O$6,"sangat baik",IF(CQ24&gt;=menu!$O$7,"baik",IF(CQ24&gt;=menu!$O$8,"cukup","kurang"))))</f>
        <v/>
      </c>
      <c r="CT24" s="398" t="str">
        <f t="shared" si="28"/>
        <v>TIDAK</v>
      </c>
      <c r="CU24" s="397" t="str">
        <f t="shared" si="29"/>
        <v>TIDAK</v>
      </c>
      <c r="CV24" s="115" t="str">
        <f t="shared" si="30"/>
        <v/>
      </c>
      <c r="CW24" s="108" t="e">
        <f>IF(CI24="","",VLOOKUP(CI24,DATAPENG!$AN$3:$AO$12,2,FALSE))</f>
        <v>#N/A</v>
      </c>
      <c r="CX24" s="108" t="e">
        <f>IF(CJ24="","",VLOOKUP(CJ24,DATAPENG!$AN$3:$AO$12,2,FALSE))</f>
        <v>#N/A</v>
      </c>
    </row>
    <row r="25" spans="1:102">
      <c r="A25" s="104">
        <f>'DATA SISWA'!A25</f>
        <v>21</v>
      </c>
      <c r="B25" s="104">
        <f>'DATA SISWA'!B25</f>
        <v>0</v>
      </c>
      <c r="C25" s="104">
        <f>'DATA SISWA'!C25</f>
        <v>0</v>
      </c>
      <c r="D25" s="104">
        <f>'DATA SISWA'!D25</f>
        <v>0</v>
      </c>
      <c r="E25" s="104" t="str">
        <f>'DATA SISWA'!E25</f>
        <v>VII-A</v>
      </c>
      <c r="F25" s="354"/>
      <c r="G25" s="100"/>
      <c r="H25" s="100"/>
      <c r="I25" s="354"/>
      <c r="J25" s="310" t="str">
        <f>IF(AND(F25="",G25="",H25="",I25=""),"",AVERAGE(F25:I25))</f>
        <v/>
      </c>
      <c r="K25" s="354"/>
      <c r="L25" s="100"/>
      <c r="M25" s="319" t="str">
        <f t="shared" si="4"/>
        <v/>
      </c>
      <c r="N25" s="354"/>
      <c r="O25" s="100"/>
      <c r="P25" s="100"/>
      <c r="Q25" s="353"/>
      <c r="R25" s="310" t="str">
        <f>IF(AND(N25="",O25="",P25="",Q25=""),"",AVERAGE(N25:Q25))</f>
        <v/>
      </c>
      <c r="S25" s="354"/>
      <c r="T25" s="100"/>
      <c r="U25" s="319" t="str">
        <f t="shared" si="6"/>
        <v/>
      </c>
      <c r="V25" s="354"/>
      <c r="W25" s="100"/>
      <c r="X25" s="100"/>
      <c r="Y25" s="354"/>
      <c r="Z25" s="310" t="str">
        <f>IF(AND(V25="",W25="",X25="",Y25=""),"",AVERAGE(V25:Y25))</f>
        <v/>
      </c>
      <c r="AA25" s="100"/>
      <c r="AB25" s="100"/>
      <c r="AC25" s="319" t="str">
        <f t="shared" si="8"/>
        <v/>
      </c>
      <c r="AD25" s="354"/>
      <c r="AE25" s="100"/>
      <c r="AF25" s="100"/>
      <c r="AG25" s="353"/>
      <c r="AH25" s="310" t="str">
        <f>IF(AND(AD25="",AE25="",AF25="",AG25=""),"",AVERAGE(AD25:AG25))</f>
        <v/>
      </c>
      <c r="AI25" s="100"/>
      <c r="AJ25" s="100"/>
      <c r="AK25" s="319" t="str">
        <f t="shared" si="10"/>
        <v/>
      </c>
      <c r="AL25" s="100"/>
      <c r="AM25" s="100"/>
      <c r="AN25" s="100"/>
      <c r="AO25" s="90"/>
      <c r="AP25" s="310" t="str">
        <f>IF(AND(AL25="",AM25="",AN25="",AO25=""),"",AVERAGE(AL25:AO25))</f>
        <v/>
      </c>
      <c r="AQ25" s="100"/>
      <c r="AR25" s="100"/>
      <c r="AS25" s="319" t="str">
        <f t="shared" si="12"/>
        <v/>
      </c>
      <c r="AT25" s="100"/>
      <c r="AU25" s="100"/>
      <c r="AV25" s="100"/>
      <c r="AW25" s="90"/>
      <c r="AX25" s="310" t="str">
        <f>IF(AND(AT25="",AU25="",AV25="",AW25=""),"",AVERAGE(AT25:AW25))</f>
        <v/>
      </c>
      <c r="AY25" s="100"/>
      <c r="AZ25" s="100"/>
      <c r="BA25" s="319" t="str">
        <f t="shared" si="14"/>
        <v/>
      </c>
      <c r="BB25" s="100"/>
      <c r="BC25" s="100"/>
      <c r="BD25" s="100"/>
      <c r="BE25" s="90"/>
      <c r="BF25" s="310" t="str">
        <f>IF(AND(BB25="",BC25="",BD25="",BE25=""),"",AVERAGE(BB25:BE25))</f>
        <v/>
      </c>
      <c r="BG25" s="100"/>
      <c r="BH25" s="100"/>
      <c r="BI25" s="319" t="str">
        <f t="shared" si="16"/>
        <v/>
      </c>
      <c r="BJ25" s="100"/>
      <c r="BK25" s="100"/>
      <c r="BL25" s="100"/>
      <c r="BM25" s="90"/>
      <c r="BN25" s="310" t="str">
        <f>IF(AND(BJ25="",BK25="",BL25="",BM25=""),"",AVERAGE(BJ25:BM25))</f>
        <v/>
      </c>
      <c r="BO25" s="100"/>
      <c r="BP25" s="100"/>
      <c r="BQ25" s="319" t="str">
        <f t="shared" si="18"/>
        <v/>
      </c>
      <c r="BR25" s="100"/>
      <c r="BS25" s="100"/>
      <c r="BT25" s="100"/>
      <c r="BU25" s="90"/>
      <c r="BV25" s="310" t="str">
        <f>IF(AND(BR25="",BS25="",BT25="",BU25=""),"",AVERAGE(BR25:BU25))</f>
        <v/>
      </c>
      <c r="BW25" s="100"/>
      <c r="BX25" s="100"/>
      <c r="BY25" s="319" t="str">
        <f t="shared" si="20"/>
        <v/>
      </c>
      <c r="BZ25" s="100"/>
      <c r="CA25" s="100"/>
      <c r="CB25" s="100"/>
      <c r="CC25" s="90"/>
      <c r="CD25" s="310" t="str">
        <f>IF(AND(BZ25="",CA25="",CB25="",CC25=""),"",AVERAGE(BZ25:CC25))</f>
        <v/>
      </c>
      <c r="CE25" s="100"/>
      <c r="CF25" s="100"/>
      <c r="CG25" s="319" t="str">
        <f t="shared" si="22"/>
        <v/>
      </c>
      <c r="CH25" s="321" t="str">
        <f t="shared" si="0"/>
        <v/>
      </c>
      <c r="CI25" s="104">
        <f t="shared" si="1"/>
        <v>0</v>
      </c>
      <c r="CJ25" s="104">
        <f t="shared" si="2"/>
        <v>0</v>
      </c>
      <c r="CK25" s="90"/>
      <c r="CL25" s="100"/>
      <c r="CM25" s="322" t="str">
        <f t="shared" si="23"/>
        <v/>
      </c>
      <c r="CN25" s="322" t="str">
        <f t="shared" si="24"/>
        <v/>
      </c>
      <c r="CO25" s="322" t="str">
        <f t="shared" si="25"/>
        <v/>
      </c>
      <c r="CP25" s="225" t="str">
        <f t="shared" si="26"/>
        <v/>
      </c>
      <c r="CQ25" s="323" t="str">
        <f t="shared" si="27"/>
        <v/>
      </c>
      <c r="CR25" s="105" t="str">
        <f>IF(CQ25="","",IF(CQ25&gt;=menu!$O$6,"A",IF(CQ25&gt;=menu!$O$7,"B",IF(CQ25&gt;=menu!$O$8,"C","D"))))</f>
        <v/>
      </c>
      <c r="CS25" s="105" t="str">
        <f>IF(CQ25="","",IF(CQ25&gt;=menu!$O$6,"sangat baik",IF(CQ25&gt;=menu!$O$7,"baik",IF(CQ25&gt;=menu!$O$8,"cukup","kurang"))))</f>
        <v/>
      </c>
      <c r="CT25" s="398" t="str">
        <f t="shared" si="28"/>
        <v>TIDAK</v>
      </c>
      <c r="CU25" s="397" t="str">
        <f t="shared" si="29"/>
        <v>TIDAK</v>
      </c>
      <c r="CV25" s="115" t="str">
        <f t="shared" si="30"/>
        <v/>
      </c>
      <c r="CW25" s="108" t="e">
        <f>IF(CI25="","",VLOOKUP(CI25,DATAPENG!$AP$3:$AQ$12,2,FALSE))</f>
        <v>#N/A</v>
      </c>
      <c r="CX25" s="108" t="e">
        <f>IF(CJ25="","",VLOOKUP(CJ25,DATAPENG!$AP$3:$AQ$12,2,FALSE))</f>
        <v>#N/A</v>
      </c>
    </row>
    <row r="26" spans="1:102">
      <c r="A26" s="104">
        <f>'DATA SISWA'!A26</f>
        <v>22</v>
      </c>
      <c r="B26" s="104">
        <f>'DATA SISWA'!B26</f>
        <v>0</v>
      </c>
      <c r="C26" s="104">
        <f>'DATA SISWA'!C26</f>
        <v>0</v>
      </c>
      <c r="D26" s="104">
        <f>'DATA SISWA'!D26</f>
        <v>0</v>
      </c>
      <c r="E26" s="104" t="str">
        <f>'DATA SISWA'!E26</f>
        <v>VII-A</v>
      </c>
      <c r="F26" s="354"/>
      <c r="G26" s="100"/>
      <c r="H26" s="100"/>
      <c r="I26" s="354"/>
      <c r="J26" s="310" t="str">
        <f t="shared" ref="J26:J28" si="71">IF(AND(F26="",G26="",H26="",I26=""),"",AVERAGE(F26:I26))</f>
        <v/>
      </c>
      <c r="K26" s="354"/>
      <c r="L26" s="100"/>
      <c r="M26" s="319" t="str">
        <f t="shared" si="4"/>
        <v/>
      </c>
      <c r="N26" s="354"/>
      <c r="O26" s="100"/>
      <c r="P26" s="100"/>
      <c r="Q26" s="353"/>
      <c r="R26" s="310" t="str">
        <f t="shared" ref="R26:R28" si="72">IF(AND(N26="",O26="",P26="",Q26=""),"",AVERAGE(N26:Q26))</f>
        <v/>
      </c>
      <c r="S26" s="354"/>
      <c r="T26" s="100"/>
      <c r="U26" s="319" t="str">
        <f t="shared" si="6"/>
        <v/>
      </c>
      <c r="V26" s="354"/>
      <c r="W26" s="100"/>
      <c r="X26" s="100"/>
      <c r="Y26" s="354"/>
      <c r="Z26" s="310" t="str">
        <f t="shared" ref="Z26:Z28" si="73">IF(AND(V26="",W26="",X26="",Y26=""),"",AVERAGE(V26:Y26))</f>
        <v/>
      </c>
      <c r="AA26" s="100"/>
      <c r="AB26" s="100"/>
      <c r="AC26" s="319" t="str">
        <f t="shared" si="8"/>
        <v/>
      </c>
      <c r="AD26" s="354"/>
      <c r="AE26" s="100"/>
      <c r="AF26" s="100"/>
      <c r="AG26" s="353"/>
      <c r="AH26" s="310" t="str">
        <f t="shared" ref="AH26:AH28" si="74">IF(AND(AD26="",AE26="",AF26="",AG26=""),"",AVERAGE(AD26:AG26))</f>
        <v/>
      </c>
      <c r="AI26" s="100"/>
      <c r="AJ26" s="100"/>
      <c r="AK26" s="319" t="str">
        <f t="shared" si="10"/>
        <v/>
      </c>
      <c r="AL26" s="100"/>
      <c r="AM26" s="100"/>
      <c r="AN26" s="100"/>
      <c r="AO26" s="90"/>
      <c r="AP26" s="310" t="str">
        <f t="shared" ref="AP26:AP28" si="75">IF(AND(AL26="",AM26="",AN26="",AO26=""),"",AVERAGE(AL26:AO26))</f>
        <v/>
      </c>
      <c r="AQ26" s="100"/>
      <c r="AR26" s="100"/>
      <c r="AS26" s="319" t="str">
        <f t="shared" si="12"/>
        <v/>
      </c>
      <c r="AT26" s="100"/>
      <c r="AU26" s="100"/>
      <c r="AV26" s="100"/>
      <c r="AW26" s="90"/>
      <c r="AX26" s="310" t="str">
        <f t="shared" ref="AX26:AX28" si="76">IF(AND(AT26="",AU26="",AV26="",AW26=""),"",AVERAGE(AT26:AW26))</f>
        <v/>
      </c>
      <c r="AY26" s="100"/>
      <c r="AZ26" s="100"/>
      <c r="BA26" s="319" t="str">
        <f t="shared" si="14"/>
        <v/>
      </c>
      <c r="BB26" s="100"/>
      <c r="BC26" s="100"/>
      <c r="BD26" s="100"/>
      <c r="BE26" s="90"/>
      <c r="BF26" s="310" t="str">
        <f t="shared" ref="BF26:BF28" si="77">IF(AND(BB26="",BC26="",BD26="",BE26=""),"",AVERAGE(BB26:BE26))</f>
        <v/>
      </c>
      <c r="BG26" s="100"/>
      <c r="BH26" s="100"/>
      <c r="BI26" s="319" t="str">
        <f t="shared" si="16"/>
        <v/>
      </c>
      <c r="BJ26" s="100"/>
      <c r="BK26" s="100"/>
      <c r="BL26" s="100"/>
      <c r="BM26" s="90"/>
      <c r="BN26" s="310" t="str">
        <f t="shared" ref="BN26:BN28" si="78">IF(AND(BJ26="",BK26="",BL26="",BM26=""),"",AVERAGE(BJ26:BM26))</f>
        <v/>
      </c>
      <c r="BO26" s="100"/>
      <c r="BP26" s="100"/>
      <c r="BQ26" s="319" t="str">
        <f t="shared" si="18"/>
        <v/>
      </c>
      <c r="BR26" s="100"/>
      <c r="BS26" s="100"/>
      <c r="BT26" s="100"/>
      <c r="BU26" s="90"/>
      <c r="BV26" s="310" t="str">
        <f t="shared" ref="BV26:BV28" si="79">IF(AND(BR26="",BS26="",BT26="",BU26=""),"",AVERAGE(BR26:BU26))</f>
        <v/>
      </c>
      <c r="BW26" s="100"/>
      <c r="BX26" s="100"/>
      <c r="BY26" s="319" t="str">
        <f t="shared" si="20"/>
        <v/>
      </c>
      <c r="BZ26" s="100"/>
      <c r="CA26" s="100"/>
      <c r="CB26" s="100"/>
      <c r="CC26" s="90"/>
      <c r="CD26" s="310" t="str">
        <f t="shared" ref="CD26:CD28" si="80">IF(AND(BZ26="",CA26="",CB26="",CC26=""),"",AVERAGE(BZ26:CC26))</f>
        <v/>
      </c>
      <c r="CE26" s="100"/>
      <c r="CF26" s="100"/>
      <c r="CG26" s="319" t="str">
        <f t="shared" si="22"/>
        <v/>
      </c>
      <c r="CH26" s="321" t="str">
        <f t="shared" si="0"/>
        <v/>
      </c>
      <c r="CI26" s="104">
        <f t="shared" si="1"/>
        <v>0</v>
      </c>
      <c r="CJ26" s="104">
        <f t="shared" si="2"/>
        <v>0</v>
      </c>
      <c r="CK26" s="90"/>
      <c r="CL26" s="100"/>
      <c r="CM26" s="322" t="str">
        <f t="shared" si="23"/>
        <v/>
      </c>
      <c r="CN26" s="322" t="str">
        <f t="shared" si="24"/>
        <v/>
      </c>
      <c r="CO26" s="322" t="str">
        <f t="shared" si="25"/>
        <v/>
      </c>
      <c r="CP26" s="225" t="str">
        <f t="shared" si="26"/>
        <v/>
      </c>
      <c r="CQ26" s="323" t="str">
        <f t="shared" si="27"/>
        <v/>
      </c>
      <c r="CR26" s="105" t="str">
        <f>IF(CQ26="","",IF(CQ26&gt;=menu!$O$6,"A",IF(CQ26&gt;=menu!$O$7,"B",IF(CQ26&gt;=menu!$O$8,"C","D"))))</f>
        <v/>
      </c>
      <c r="CS26" s="105" t="str">
        <f>IF(CQ26="","",IF(CQ26&gt;=menu!$O$6,"sangat baik",IF(CQ26&gt;=menu!$O$7,"baik",IF(CQ26&gt;=menu!$O$8,"cukup","kurang"))))</f>
        <v/>
      </c>
      <c r="CT26" s="398" t="str">
        <f t="shared" si="28"/>
        <v>TIDAK</v>
      </c>
      <c r="CU26" s="397" t="str">
        <f t="shared" si="29"/>
        <v>TIDAK</v>
      </c>
      <c r="CV26" s="115" t="str">
        <f t="shared" si="30"/>
        <v/>
      </c>
      <c r="CW26" s="108" t="e">
        <f>IF(CI26="","",VLOOKUP(CI26,DATAPENG!$AR$3:$AS$12,2,FALSE))</f>
        <v>#N/A</v>
      </c>
      <c r="CX26" s="108" t="e">
        <f>IF(CJ26="","",VLOOKUP(CJ26,DATAPENG!$AR$3:$AS$12,2,FALSE))</f>
        <v>#N/A</v>
      </c>
    </row>
    <row r="27" spans="1:102">
      <c r="A27" s="104">
        <f>'DATA SISWA'!A27</f>
        <v>23</v>
      </c>
      <c r="B27" s="104">
        <f>'DATA SISWA'!B27</f>
        <v>0</v>
      </c>
      <c r="C27" s="104">
        <f>'DATA SISWA'!C27</f>
        <v>0</v>
      </c>
      <c r="D27" s="104">
        <f>'DATA SISWA'!D27</f>
        <v>0</v>
      </c>
      <c r="E27" s="104" t="str">
        <f>'DATA SISWA'!E27</f>
        <v>VII-A</v>
      </c>
      <c r="F27" s="100"/>
      <c r="G27" s="100"/>
      <c r="H27" s="100"/>
      <c r="I27" s="90"/>
      <c r="J27" s="310" t="str">
        <f t="shared" si="71"/>
        <v/>
      </c>
      <c r="K27" s="100"/>
      <c r="L27" s="100"/>
      <c r="M27" s="319" t="str">
        <f t="shared" si="4"/>
        <v/>
      </c>
      <c r="N27" s="100"/>
      <c r="O27" s="100"/>
      <c r="P27" s="100"/>
      <c r="Q27" s="90"/>
      <c r="R27" s="310" t="str">
        <f t="shared" si="72"/>
        <v/>
      </c>
      <c r="S27" s="100"/>
      <c r="T27" s="100"/>
      <c r="U27" s="319" t="str">
        <f t="shared" si="6"/>
        <v/>
      </c>
      <c r="V27" s="100"/>
      <c r="W27" s="100"/>
      <c r="X27" s="100"/>
      <c r="Y27" s="90"/>
      <c r="Z27" s="310" t="str">
        <f t="shared" si="73"/>
        <v/>
      </c>
      <c r="AA27" s="100"/>
      <c r="AB27" s="100"/>
      <c r="AC27" s="319" t="str">
        <f t="shared" si="8"/>
        <v/>
      </c>
      <c r="AD27" s="100"/>
      <c r="AE27" s="100"/>
      <c r="AF27" s="100"/>
      <c r="AG27" s="90"/>
      <c r="AH27" s="310" t="str">
        <f t="shared" si="74"/>
        <v/>
      </c>
      <c r="AI27" s="100"/>
      <c r="AJ27" s="100"/>
      <c r="AK27" s="319" t="str">
        <f t="shared" si="10"/>
        <v/>
      </c>
      <c r="AL27" s="100"/>
      <c r="AM27" s="100"/>
      <c r="AN27" s="100"/>
      <c r="AO27" s="90"/>
      <c r="AP27" s="310" t="str">
        <f t="shared" si="75"/>
        <v/>
      </c>
      <c r="AQ27" s="100"/>
      <c r="AR27" s="100"/>
      <c r="AS27" s="319" t="str">
        <f t="shared" si="12"/>
        <v/>
      </c>
      <c r="AT27" s="100"/>
      <c r="AU27" s="100"/>
      <c r="AV27" s="100"/>
      <c r="AW27" s="90"/>
      <c r="AX27" s="310" t="str">
        <f t="shared" si="76"/>
        <v/>
      </c>
      <c r="AY27" s="100"/>
      <c r="AZ27" s="100"/>
      <c r="BA27" s="319" t="str">
        <f t="shared" si="14"/>
        <v/>
      </c>
      <c r="BB27" s="100"/>
      <c r="BC27" s="100"/>
      <c r="BD27" s="100"/>
      <c r="BE27" s="90"/>
      <c r="BF27" s="310" t="str">
        <f t="shared" si="77"/>
        <v/>
      </c>
      <c r="BG27" s="100"/>
      <c r="BH27" s="100"/>
      <c r="BI27" s="319" t="str">
        <f t="shared" si="16"/>
        <v/>
      </c>
      <c r="BJ27" s="100"/>
      <c r="BK27" s="100"/>
      <c r="BL27" s="100"/>
      <c r="BM27" s="90"/>
      <c r="BN27" s="310" t="str">
        <f t="shared" si="78"/>
        <v/>
      </c>
      <c r="BO27" s="100"/>
      <c r="BP27" s="100"/>
      <c r="BQ27" s="319" t="str">
        <f t="shared" si="18"/>
        <v/>
      </c>
      <c r="BR27" s="100"/>
      <c r="BS27" s="100"/>
      <c r="BT27" s="100"/>
      <c r="BU27" s="90"/>
      <c r="BV27" s="310" t="str">
        <f t="shared" si="79"/>
        <v/>
      </c>
      <c r="BW27" s="100"/>
      <c r="BX27" s="100"/>
      <c r="BY27" s="319" t="str">
        <f t="shared" si="20"/>
        <v/>
      </c>
      <c r="BZ27" s="100"/>
      <c r="CA27" s="100"/>
      <c r="CB27" s="100"/>
      <c r="CC27" s="90"/>
      <c r="CD27" s="310" t="str">
        <f t="shared" si="80"/>
        <v/>
      </c>
      <c r="CE27" s="100"/>
      <c r="CF27" s="100"/>
      <c r="CG27" s="319" t="str">
        <f t="shared" si="22"/>
        <v/>
      </c>
      <c r="CH27" s="321" t="str">
        <f t="shared" si="0"/>
        <v/>
      </c>
      <c r="CI27" s="104">
        <f t="shared" si="1"/>
        <v>0</v>
      </c>
      <c r="CJ27" s="104">
        <f t="shared" si="2"/>
        <v>0</v>
      </c>
      <c r="CK27" s="100"/>
      <c r="CL27" s="100"/>
      <c r="CM27" s="322" t="str">
        <f t="shared" si="23"/>
        <v/>
      </c>
      <c r="CN27" s="322" t="str">
        <f t="shared" si="24"/>
        <v/>
      </c>
      <c r="CO27" s="322" t="str">
        <f t="shared" si="25"/>
        <v/>
      </c>
      <c r="CP27" s="225" t="str">
        <f t="shared" si="26"/>
        <v/>
      </c>
      <c r="CQ27" s="323" t="str">
        <f t="shared" si="27"/>
        <v/>
      </c>
      <c r="CR27" s="105" t="str">
        <f>IF(CQ27="","",IF(CQ27&gt;=menu!$O$6,"A",IF(CQ27&gt;=menu!$O$7,"B",IF(CQ27&gt;=menu!$O$8,"C","D"))))</f>
        <v/>
      </c>
      <c r="CS27" s="105" t="str">
        <f>IF(CQ27="","",IF(CQ27&gt;=menu!$O$6,"sangat baik",IF(CQ27&gt;=menu!$O$7,"baik",IF(CQ27&gt;=menu!$O$8,"cukup","kurang"))))</f>
        <v/>
      </c>
      <c r="CT27" s="398" t="str">
        <f t="shared" si="28"/>
        <v>TIDAK</v>
      </c>
      <c r="CU27" s="397" t="str">
        <f t="shared" si="29"/>
        <v>TIDAK</v>
      </c>
      <c r="CV27" s="115" t="str">
        <f t="shared" si="30"/>
        <v/>
      </c>
      <c r="CW27" s="108" t="e">
        <f>IF(CI27="","",VLOOKUP(CI27,DATAPENG!$AT$3:$AU$12,2,FALSE))</f>
        <v>#N/A</v>
      </c>
      <c r="CX27" s="108" t="e">
        <f>IF(CJ27="","",VLOOKUP(CJ27,DATAPENG!$AT$3:$AU$12,2,FALSE))</f>
        <v>#N/A</v>
      </c>
    </row>
    <row r="28" spans="1:102">
      <c r="A28" s="104">
        <f>'DATA SISWA'!A28</f>
        <v>24</v>
      </c>
      <c r="B28" s="104">
        <f>'DATA SISWA'!B28</f>
        <v>0</v>
      </c>
      <c r="C28" s="104">
        <f>'DATA SISWA'!C28</f>
        <v>0</v>
      </c>
      <c r="D28" s="104">
        <f>'DATA SISWA'!D28</f>
        <v>0</v>
      </c>
      <c r="E28" s="104" t="str">
        <f>'DATA SISWA'!E28</f>
        <v>VII-A</v>
      </c>
      <c r="F28" s="100"/>
      <c r="G28" s="100"/>
      <c r="H28" s="100"/>
      <c r="I28" s="90"/>
      <c r="J28" s="310" t="str">
        <f t="shared" si="71"/>
        <v/>
      </c>
      <c r="K28" s="100"/>
      <c r="L28" s="100"/>
      <c r="M28" s="319" t="str">
        <f t="shared" si="4"/>
        <v/>
      </c>
      <c r="N28" s="100"/>
      <c r="O28" s="100"/>
      <c r="P28" s="100"/>
      <c r="Q28" s="90"/>
      <c r="R28" s="310" t="str">
        <f t="shared" si="72"/>
        <v/>
      </c>
      <c r="S28" s="100"/>
      <c r="T28" s="100"/>
      <c r="U28" s="319" t="str">
        <f t="shared" si="6"/>
        <v/>
      </c>
      <c r="V28" s="100"/>
      <c r="W28" s="100"/>
      <c r="X28" s="100"/>
      <c r="Y28" s="90"/>
      <c r="Z28" s="310" t="str">
        <f t="shared" si="73"/>
        <v/>
      </c>
      <c r="AA28" s="100"/>
      <c r="AB28" s="100"/>
      <c r="AC28" s="319" t="str">
        <f t="shared" si="8"/>
        <v/>
      </c>
      <c r="AD28" s="100"/>
      <c r="AE28" s="100"/>
      <c r="AF28" s="100"/>
      <c r="AG28" s="90"/>
      <c r="AH28" s="310" t="str">
        <f t="shared" si="74"/>
        <v/>
      </c>
      <c r="AI28" s="100"/>
      <c r="AJ28" s="100"/>
      <c r="AK28" s="319" t="str">
        <f t="shared" si="10"/>
        <v/>
      </c>
      <c r="AL28" s="100"/>
      <c r="AM28" s="100"/>
      <c r="AN28" s="100"/>
      <c r="AO28" s="90"/>
      <c r="AP28" s="310" t="str">
        <f t="shared" si="75"/>
        <v/>
      </c>
      <c r="AQ28" s="100"/>
      <c r="AR28" s="100"/>
      <c r="AS28" s="319" t="str">
        <f t="shared" si="12"/>
        <v/>
      </c>
      <c r="AT28" s="100"/>
      <c r="AU28" s="100"/>
      <c r="AV28" s="100"/>
      <c r="AW28" s="90"/>
      <c r="AX28" s="310" t="str">
        <f t="shared" si="76"/>
        <v/>
      </c>
      <c r="AY28" s="100"/>
      <c r="AZ28" s="100"/>
      <c r="BA28" s="319" t="str">
        <f t="shared" si="14"/>
        <v/>
      </c>
      <c r="BB28" s="100"/>
      <c r="BC28" s="100"/>
      <c r="BD28" s="100"/>
      <c r="BE28" s="90"/>
      <c r="BF28" s="310" t="str">
        <f t="shared" si="77"/>
        <v/>
      </c>
      <c r="BG28" s="100"/>
      <c r="BH28" s="100"/>
      <c r="BI28" s="319" t="str">
        <f t="shared" si="16"/>
        <v/>
      </c>
      <c r="BJ28" s="100"/>
      <c r="BK28" s="100"/>
      <c r="BL28" s="100"/>
      <c r="BM28" s="90"/>
      <c r="BN28" s="310" t="str">
        <f t="shared" si="78"/>
        <v/>
      </c>
      <c r="BO28" s="100"/>
      <c r="BP28" s="100"/>
      <c r="BQ28" s="319" t="str">
        <f t="shared" si="18"/>
        <v/>
      </c>
      <c r="BR28" s="100"/>
      <c r="BS28" s="100"/>
      <c r="BT28" s="100"/>
      <c r="BU28" s="90"/>
      <c r="BV28" s="310" t="str">
        <f t="shared" si="79"/>
        <v/>
      </c>
      <c r="BW28" s="100"/>
      <c r="BX28" s="100"/>
      <c r="BY28" s="319" t="str">
        <f t="shared" si="20"/>
        <v/>
      </c>
      <c r="BZ28" s="100"/>
      <c r="CA28" s="100"/>
      <c r="CB28" s="100"/>
      <c r="CC28" s="90"/>
      <c r="CD28" s="310" t="str">
        <f t="shared" si="80"/>
        <v/>
      </c>
      <c r="CE28" s="100"/>
      <c r="CF28" s="100"/>
      <c r="CG28" s="319" t="str">
        <f t="shared" si="22"/>
        <v/>
      </c>
      <c r="CH28" s="321" t="str">
        <f t="shared" si="0"/>
        <v/>
      </c>
      <c r="CI28" s="104">
        <f t="shared" si="1"/>
        <v>0</v>
      </c>
      <c r="CJ28" s="104">
        <f t="shared" si="2"/>
        <v>0</v>
      </c>
      <c r="CK28" s="100"/>
      <c r="CL28" s="100"/>
      <c r="CM28" s="322" t="str">
        <f t="shared" si="23"/>
        <v/>
      </c>
      <c r="CN28" s="322" t="str">
        <f t="shared" si="24"/>
        <v/>
      </c>
      <c r="CO28" s="322" t="str">
        <f t="shared" si="25"/>
        <v/>
      </c>
      <c r="CP28" s="225" t="str">
        <f t="shared" si="26"/>
        <v/>
      </c>
      <c r="CQ28" s="323" t="str">
        <f t="shared" si="27"/>
        <v/>
      </c>
      <c r="CR28" s="105" t="str">
        <f>IF(CQ28="","",IF(CQ28&gt;=menu!$O$6,"A",IF(CQ28&gt;=menu!$O$7,"B",IF(CQ28&gt;=menu!$O$8,"C","D"))))</f>
        <v/>
      </c>
      <c r="CS28" s="105" t="str">
        <f>IF(CQ28="","",IF(CQ28&gt;=menu!$O$6,"sangat baik",IF(CQ28&gt;=menu!$O$7,"baik",IF(CQ28&gt;=menu!$O$8,"cukup","kurang"))))</f>
        <v/>
      </c>
      <c r="CT28" s="398" t="str">
        <f t="shared" si="28"/>
        <v>TIDAK</v>
      </c>
      <c r="CU28" s="397" t="str">
        <f t="shared" si="29"/>
        <v>TIDAK</v>
      </c>
      <c r="CV28" s="115" t="str">
        <f t="shared" si="30"/>
        <v/>
      </c>
      <c r="CW28" s="108" t="e">
        <f>IF(CI28="","",VLOOKUP(CI28,DATAPENG!$AV$3:$AW$12,2,FALSE))</f>
        <v>#N/A</v>
      </c>
      <c r="CX28" s="108" t="e">
        <f>IF(CJ28="","",VLOOKUP(CJ28,DATAPENG!$AV$3:$AW$12,2,FALSE))</f>
        <v>#N/A</v>
      </c>
    </row>
    <row r="29" spans="1:102">
      <c r="A29" s="104">
        <f>'DATA SISWA'!A29</f>
        <v>25</v>
      </c>
      <c r="B29" s="104">
        <f>'DATA SISWA'!B29</f>
        <v>0</v>
      </c>
      <c r="C29" s="104">
        <f>'DATA SISWA'!C29</f>
        <v>0</v>
      </c>
      <c r="D29" s="104">
        <f>'DATA SISWA'!D29</f>
        <v>0</v>
      </c>
      <c r="E29" s="104" t="str">
        <f>'DATA SISWA'!E29</f>
        <v>VII-A</v>
      </c>
      <c r="F29" s="100"/>
      <c r="G29" s="100"/>
      <c r="H29" s="100"/>
      <c r="I29" s="90"/>
      <c r="J29" s="310" t="str">
        <f>IF(AND(F29="",G29="",H29="",I29=""),"",AVERAGE(F29:I29))</f>
        <v/>
      </c>
      <c r="K29" s="100"/>
      <c r="L29" s="100"/>
      <c r="M29" s="319" t="str">
        <f t="shared" si="4"/>
        <v/>
      </c>
      <c r="N29" s="100"/>
      <c r="O29" s="100"/>
      <c r="P29" s="100"/>
      <c r="Q29" s="90"/>
      <c r="R29" s="310" t="str">
        <f>IF(AND(N29="",O29="",P29="",Q29=""),"",AVERAGE(N29:Q29))</f>
        <v/>
      </c>
      <c r="S29" s="100"/>
      <c r="T29" s="100"/>
      <c r="U29" s="319" t="str">
        <f t="shared" si="6"/>
        <v/>
      </c>
      <c r="V29" s="100"/>
      <c r="W29" s="100"/>
      <c r="X29" s="100"/>
      <c r="Y29" s="90"/>
      <c r="Z29" s="310" t="str">
        <f>IF(AND(V29="",W29="",X29="",Y29=""),"",AVERAGE(V29:Y29))</f>
        <v/>
      </c>
      <c r="AA29" s="100"/>
      <c r="AB29" s="100"/>
      <c r="AC29" s="319" t="str">
        <f t="shared" si="8"/>
        <v/>
      </c>
      <c r="AD29" s="100"/>
      <c r="AE29" s="100"/>
      <c r="AF29" s="100"/>
      <c r="AG29" s="90"/>
      <c r="AH29" s="310" t="str">
        <f>IF(AND(AD29="",AE29="",AF29="",AG29=""),"",AVERAGE(AD29:AG29))</f>
        <v/>
      </c>
      <c r="AI29" s="100"/>
      <c r="AJ29" s="100"/>
      <c r="AK29" s="319" t="str">
        <f t="shared" si="10"/>
        <v/>
      </c>
      <c r="AL29" s="100"/>
      <c r="AM29" s="100"/>
      <c r="AN29" s="100"/>
      <c r="AO29" s="90"/>
      <c r="AP29" s="310" t="str">
        <f>IF(AND(AL29="",AM29="",AN29="",AO29=""),"",AVERAGE(AL29:AO29))</f>
        <v/>
      </c>
      <c r="AQ29" s="100"/>
      <c r="AR29" s="100"/>
      <c r="AS29" s="319" t="str">
        <f t="shared" si="12"/>
        <v/>
      </c>
      <c r="AT29" s="100"/>
      <c r="AU29" s="100"/>
      <c r="AV29" s="100"/>
      <c r="AW29" s="90"/>
      <c r="AX29" s="310" t="str">
        <f>IF(AND(AT29="",AU29="",AV29="",AW29=""),"",AVERAGE(AT29:AW29))</f>
        <v/>
      </c>
      <c r="AY29" s="100"/>
      <c r="AZ29" s="100"/>
      <c r="BA29" s="319" t="str">
        <f t="shared" si="14"/>
        <v/>
      </c>
      <c r="BB29" s="100"/>
      <c r="BC29" s="100"/>
      <c r="BD29" s="100"/>
      <c r="BE29" s="90"/>
      <c r="BF29" s="310" t="str">
        <f>IF(AND(BB29="",BC29="",BD29="",BE29=""),"",AVERAGE(BB29:BE29))</f>
        <v/>
      </c>
      <c r="BG29" s="100"/>
      <c r="BH29" s="100"/>
      <c r="BI29" s="319" t="str">
        <f t="shared" si="16"/>
        <v/>
      </c>
      <c r="BJ29" s="100"/>
      <c r="BK29" s="100"/>
      <c r="BL29" s="100"/>
      <c r="BM29" s="90"/>
      <c r="BN29" s="310" t="str">
        <f>IF(AND(BJ29="",BK29="",BL29="",BM29=""),"",AVERAGE(BJ29:BM29))</f>
        <v/>
      </c>
      <c r="BO29" s="100"/>
      <c r="BP29" s="100"/>
      <c r="BQ29" s="319" t="str">
        <f t="shared" si="18"/>
        <v/>
      </c>
      <c r="BR29" s="100"/>
      <c r="BS29" s="100"/>
      <c r="BT29" s="100"/>
      <c r="BU29" s="90"/>
      <c r="BV29" s="310" t="str">
        <f>IF(AND(BR29="",BS29="",BT29="",BU29=""),"",AVERAGE(BR29:BU29))</f>
        <v/>
      </c>
      <c r="BW29" s="100"/>
      <c r="BX29" s="100"/>
      <c r="BY29" s="319" t="str">
        <f t="shared" si="20"/>
        <v/>
      </c>
      <c r="BZ29" s="100"/>
      <c r="CA29" s="100"/>
      <c r="CB29" s="100"/>
      <c r="CC29" s="90"/>
      <c r="CD29" s="310" t="str">
        <f>IF(AND(BZ29="",CA29="",CB29="",CC29=""),"",AVERAGE(BZ29:CC29))</f>
        <v/>
      </c>
      <c r="CE29" s="100"/>
      <c r="CF29" s="100"/>
      <c r="CG29" s="319" t="str">
        <f t="shared" si="22"/>
        <v/>
      </c>
      <c r="CH29" s="321" t="str">
        <f t="shared" si="0"/>
        <v/>
      </c>
      <c r="CI29" s="104">
        <f t="shared" si="1"/>
        <v>0</v>
      </c>
      <c r="CJ29" s="104">
        <f t="shared" si="2"/>
        <v>0</v>
      </c>
      <c r="CK29" s="100"/>
      <c r="CL29" s="100"/>
      <c r="CM29" s="322" t="str">
        <f t="shared" si="23"/>
        <v/>
      </c>
      <c r="CN29" s="322" t="str">
        <f t="shared" si="24"/>
        <v/>
      </c>
      <c r="CO29" s="322" t="str">
        <f t="shared" si="25"/>
        <v/>
      </c>
      <c r="CP29" s="225" t="str">
        <f t="shared" si="26"/>
        <v/>
      </c>
      <c r="CQ29" s="323" t="str">
        <f t="shared" si="27"/>
        <v/>
      </c>
      <c r="CR29" s="105" t="str">
        <f>IF(CQ29="","",IF(CQ29&gt;=menu!$O$6,"A",IF(CQ29&gt;=menu!$O$7,"B",IF(CQ29&gt;=menu!$O$8,"C","D"))))</f>
        <v/>
      </c>
      <c r="CS29" s="105" t="str">
        <f>IF(CQ29="","",IF(CQ29&gt;=menu!$O$6,"sangat baik",IF(CQ29&gt;=menu!$O$7,"baik",IF(CQ29&gt;=menu!$O$8,"cukup","kurang"))))</f>
        <v/>
      </c>
      <c r="CT29" s="398" t="str">
        <f t="shared" si="28"/>
        <v>TIDAK</v>
      </c>
      <c r="CU29" s="397" t="str">
        <f t="shared" si="29"/>
        <v>TIDAK</v>
      </c>
      <c r="CV29" s="115" t="str">
        <f t="shared" si="30"/>
        <v/>
      </c>
      <c r="CW29" s="108" t="e">
        <f>IF(CI29="","",VLOOKUP(CI29,DATAPENG!$AX$3:$AY$12,2,FALSE))</f>
        <v>#N/A</v>
      </c>
      <c r="CX29" s="108" t="e">
        <f>IF(CJ29="","",VLOOKUP(CJ29,DATAPENG!$AX$3:$AY$12,2,FALSE))</f>
        <v>#N/A</v>
      </c>
    </row>
    <row r="30" spans="1:102">
      <c r="A30" s="104">
        <f>'DATA SISWA'!A30</f>
        <v>26</v>
      </c>
      <c r="B30" s="104">
        <f>'DATA SISWA'!B30</f>
        <v>0</v>
      </c>
      <c r="C30" s="104">
        <f>'DATA SISWA'!C30</f>
        <v>0</v>
      </c>
      <c r="D30" s="104">
        <f>'DATA SISWA'!D30</f>
        <v>0</v>
      </c>
      <c r="E30" s="104" t="str">
        <f>'DATA SISWA'!E30</f>
        <v>VII-A</v>
      </c>
      <c r="F30" s="100"/>
      <c r="G30" s="100"/>
      <c r="H30" s="100"/>
      <c r="I30" s="90"/>
      <c r="J30" s="310" t="str">
        <f t="shared" ref="J30:J32" si="81">IF(AND(F30="",G30="",H30="",I30=""),"",AVERAGE(F30:I30))</f>
        <v/>
      </c>
      <c r="K30" s="100"/>
      <c r="L30" s="100"/>
      <c r="M30" s="319" t="str">
        <f t="shared" si="4"/>
        <v/>
      </c>
      <c r="N30" s="100"/>
      <c r="O30" s="100"/>
      <c r="P30" s="100"/>
      <c r="Q30" s="90"/>
      <c r="R30" s="310" t="str">
        <f t="shared" ref="R30:R32" si="82">IF(AND(N30="",O30="",P30="",Q30=""),"",AVERAGE(N30:Q30))</f>
        <v/>
      </c>
      <c r="S30" s="100"/>
      <c r="T30" s="100"/>
      <c r="U30" s="319" t="str">
        <f t="shared" si="6"/>
        <v/>
      </c>
      <c r="V30" s="100"/>
      <c r="W30" s="100"/>
      <c r="X30" s="100"/>
      <c r="Y30" s="90"/>
      <c r="Z30" s="310" t="str">
        <f t="shared" ref="Z30:Z32" si="83">IF(AND(V30="",W30="",X30="",Y30=""),"",AVERAGE(V30:Y30))</f>
        <v/>
      </c>
      <c r="AA30" s="100"/>
      <c r="AB30" s="100"/>
      <c r="AC30" s="319" t="str">
        <f t="shared" si="8"/>
        <v/>
      </c>
      <c r="AD30" s="100"/>
      <c r="AE30" s="100"/>
      <c r="AF30" s="100"/>
      <c r="AG30" s="90"/>
      <c r="AH30" s="310" t="str">
        <f t="shared" ref="AH30:AH32" si="84">IF(AND(AD30="",AE30="",AF30="",AG30=""),"",AVERAGE(AD30:AG30))</f>
        <v/>
      </c>
      <c r="AI30" s="100"/>
      <c r="AJ30" s="100"/>
      <c r="AK30" s="319" t="str">
        <f t="shared" si="10"/>
        <v/>
      </c>
      <c r="AL30" s="100"/>
      <c r="AM30" s="100"/>
      <c r="AN30" s="100"/>
      <c r="AO30" s="90"/>
      <c r="AP30" s="310" t="str">
        <f t="shared" ref="AP30:AP32" si="85">IF(AND(AL30="",AM30="",AN30="",AO30=""),"",AVERAGE(AL30:AO30))</f>
        <v/>
      </c>
      <c r="AQ30" s="100"/>
      <c r="AR30" s="100"/>
      <c r="AS30" s="319" t="str">
        <f t="shared" si="12"/>
        <v/>
      </c>
      <c r="AT30" s="100"/>
      <c r="AU30" s="100"/>
      <c r="AV30" s="100"/>
      <c r="AW30" s="90"/>
      <c r="AX30" s="310" t="str">
        <f t="shared" ref="AX30:AX32" si="86">IF(AND(AT30="",AU30="",AV30="",AW30=""),"",AVERAGE(AT30:AW30))</f>
        <v/>
      </c>
      <c r="AY30" s="100"/>
      <c r="AZ30" s="100"/>
      <c r="BA30" s="319" t="str">
        <f t="shared" si="14"/>
        <v/>
      </c>
      <c r="BB30" s="100"/>
      <c r="BC30" s="100"/>
      <c r="BD30" s="100"/>
      <c r="BE30" s="90"/>
      <c r="BF30" s="310" t="str">
        <f t="shared" ref="BF30:BF32" si="87">IF(AND(BB30="",BC30="",BD30="",BE30=""),"",AVERAGE(BB30:BE30))</f>
        <v/>
      </c>
      <c r="BG30" s="100"/>
      <c r="BH30" s="100"/>
      <c r="BI30" s="319" t="str">
        <f t="shared" si="16"/>
        <v/>
      </c>
      <c r="BJ30" s="100"/>
      <c r="BK30" s="100"/>
      <c r="BL30" s="100"/>
      <c r="BM30" s="90"/>
      <c r="BN30" s="310" t="str">
        <f t="shared" ref="BN30:BN32" si="88">IF(AND(BJ30="",BK30="",BL30="",BM30=""),"",AVERAGE(BJ30:BM30))</f>
        <v/>
      </c>
      <c r="BO30" s="100"/>
      <c r="BP30" s="100"/>
      <c r="BQ30" s="319" t="str">
        <f t="shared" si="18"/>
        <v/>
      </c>
      <c r="BR30" s="100"/>
      <c r="BS30" s="100"/>
      <c r="BT30" s="100"/>
      <c r="BU30" s="90"/>
      <c r="BV30" s="310" t="str">
        <f t="shared" ref="BV30:BV32" si="89">IF(AND(BR30="",BS30="",BT30="",BU30=""),"",AVERAGE(BR30:BU30))</f>
        <v/>
      </c>
      <c r="BW30" s="100"/>
      <c r="BX30" s="100"/>
      <c r="BY30" s="319" t="str">
        <f t="shared" si="20"/>
        <v/>
      </c>
      <c r="BZ30" s="100"/>
      <c r="CA30" s="100"/>
      <c r="CB30" s="100"/>
      <c r="CC30" s="90"/>
      <c r="CD30" s="310" t="str">
        <f t="shared" ref="CD30:CD32" si="90">IF(AND(BZ30="",CA30="",CB30="",CC30=""),"",AVERAGE(BZ30:CC30))</f>
        <v/>
      </c>
      <c r="CE30" s="100"/>
      <c r="CF30" s="100"/>
      <c r="CG30" s="319" t="str">
        <f t="shared" si="22"/>
        <v/>
      </c>
      <c r="CH30" s="321" t="str">
        <f t="shared" si="0"/>
        <v/>
      </c>
      <c r="CI30" s="104">
        <f t="shared" si="1"/>
        <v>0</v>
      </c>
      <c r="CJ30" s="104">
        <f t="shared" si="2"/>
        <v>0</v>
      </c>
      <c r="CK30" s="100"/>
      <c r="CL30" s="100"/>
      <c r="CM30" s="322" t="str">
        <f t="shared" si="23"/>
        <v/>
      </c>
      <c r="CN30" s="322" t="str">
        <f t="shared" si="24"/>
        <v/>
      </c>
      <c r="CO30" s="322" t="str">
        <f t="shared" si="25"/>
        <v/>
      </c>
      <c r="CP30" s="225" t="str">
        <f t="shared" si="26"/>
        <v/>
      </c>
      <c r="CQ30" s="323" t="str">
        <f t="shared" si="27"/>
        <v/>
      </c>
      <c r="CR30" s="105" t="str">
        <f>IF(CQ30="","",IF(CQ30&gt;=menu!$O$6,"A",IF(CQ30&gt;=menu!$O$7,"B",IF(CQ30&gt;=menu!$O$8,"C","D"))))</f>
        <v/>
      </c>
      <c r="CS30" s="105" t="str">
        <f>IF(CQ30="","",IF(CQ30&gt;=menu!$O$6,"sangat baik",IF(CQ30&gt;=menu!$O$7,"baik",IF(CQ30&gt;=menu!$O$8,"cukup","kurang"))))</f>
        <v/>
      </c>
      <c r="CT30" s="398" t="str">
        <f t="shared" si="28"/>
        <v>TIDAK</v>
      </c>
      <c r="CU30" s="397" t="str">
        <f t="shared" si="29"/>
        <v>TIDAK</v>
      </c>
      <c r="CV30" s="115" t="str">
        <f t="shared" si="30"/>
        <v/>
      </c>
      <c r="CW30" s="108" t="e">
        <f>IF(CI30="","",VLOOKUP(CI30,DATAPENG!$AZ$3:$BA$12,2,FALSE))</f>
        <v>#N/A</v>
      </c>
      <c r="CX30" s="108" t="e">
        <f>IF(CJ30="","",VLOOKUP(CJ30,DATAPENG!$AZ$3:$BA$12,2,FALSE))</f>
        <v>#N/A</v>
      </c>
    </row>
    <row r="31" spans="1:102">
      <c r="A31" s="104">
        <f>'DATA SISWA'!A31</f>
        <v>27</v>
      </c>
      <c r="B31" s="104">
        <f>'DATA SISWA'!B31</f>
        <v>0</v>
      </c>
      <c r="C31" s="104">
        <f>'DATA SISWA'!C31</f>
        <v>0</v>
      </c>
      <c r="D31" s="104">
        <f>'DATA SISWA'!D31</f>
        <v>0</v>
      </c>
      <c r="E31" s="104" t="str">
        <f>'DATA SISWA'!E31</f>
        <v>VII-A</v>
      </c>
      <c r="F31" s="100"/>
      <c r="G31" s="100"/>
      <c r="H31" s="100"/>
      <c r="I31" s="90"/>
      <c r="J31" s="310" t="str">
        <f t="shared" si="81"/>
        <v/>
      </c>
      <c r="K31" s="100"/>
      <c r="L31" s="100"/>
      <c r="M31" s="319" t="str">
        <f t="shared" si="4"/>
        <v/>
      </c>
      <c r="N31" s="100"/>
      <c r="O31" s="100"/>
      <c r="P31" s="100"/>
      <c r="Q31" s="90"/>
      <c r="R31" s="310" t="str">
        <f t="shared" si="82"/>
        <v/>
      </c>
      <c r="S31" s="100"/>
      <c r="T31" s="100"/>
      <c r="U31" s="319" t="str">
        <f t="shared" si="6"/>
        <v/>
      </c>
      <c r="V31" s="100"/>
      <c r="W31" s="100"/>
      <c r="X31" s="100"/>
      <c r="Y31" s="90"/>
      <c r="Z31" s="310" t="str">
        <f t="shared" si="83"/>
        <v/>
      </c>
      <c r="AA31" s="100"/>
      <c r="AB31" s="100"/>
      <c r="AC31" s="319" t="str">
        <f t="shared" si="8"/>
        <v/>
      </c>
      <c r="AD31" s="100"/>
      <c r="AE31" s="100"/>
      <c r="AF31" s="100"/>
      <c r="AG31" s="90"/>
      <c r="AH31" s="310" t="str">
        <f t="shared" si="84"/>
        <v/>
      </c>
      <c r="AI31" s="100"/>
      <c r="AJ31" s="100"/>
      <c r="AK31" s="319" t="str">
        <f t="shared" si="10"/>
        <v/>
      </c>
      <c r="AL31" s="100"/>
      <c r="AM31" s="100"/>
      <c r="AN31" s="100"/>
      <c r="AO31" s="90"/>
      <c r="AP31" s="310" t="str">
        <f t="shared" si="85"/>
        <v/>
      </c>
      <c r="AQ31" s="100"/>
      <c r="AR31" s="100"/>
      <c r="AS31" s="319" t="str">
        <f t="shared" si="12"/>
        <v/>
      </c>
      <c r="AT31" s="100"/>
      <c r="AU31" s="100"/>
      <c r="AV31" s="100"/>
      <c r="AW31" s="90"/>
      <c r="AX31" s="310" t="str">
        <f t="shared" si="86"/>
        <v/>
      </c>
      <c r="AY31" s="100"/>
      <c r="AZ31" s="100"/>
      <c r="BA31" s="319" t="str">
        <f t="shared" si="14"/>
        <v/>
      </c>
      <c r="BB31" s="100"/>
      <c r="BC31" s="100"/>
      <c r="BD31" s="100"/>
      <c r="BE31" s="90"/>
      <c r="BF31" s="310" t="str">
        <f t="shared" si="87"/>
        <v/>
      </c>
      <c r="BG31" s="100"/>
      <c r="BH31" s="100"/>
      <c r="BI31" s="319" t="str">
        <f t="shared" si="16"/>
        <v/>
      </c>
      <c r="BJ31" s="100"/>
      <c r="BK31" s="100"/>
      <c r="BL31" s="100"/>
      <c r="BM31" s="90"/>
      <c r="BN31" s="310" t="str">
        <f t="shared" si="88"/>
        <v/>
      </c>
      <c r="BO31" s="100"/>
      <c r="BP31" s="100"/>
      <c r="BQ31" s="319" t="str">
        <f t="shared" si="18"/>
        <v/>
      </c>
      <c r="BR31" s="100"/>
      <c r="BS31" s="100"/>
      <c r="BT31" s="100"/>
      <c r="BU31" s="90"/>
      <c r="BV31" s="310" t="str">
        <f t="shared" si="89"/>
        <v/>
      </c>
      <c r="BW31" s="100"/>
      <c r="BX31" s="100"/>
      <c r="BY31" s="319" t="str">
        <f t="shared" si="20"/>
        <v/>
      </c>
      <c r="BZ31" s="100"/>
      <c r="CA31" s="100"/>
      <c r="CB31" s="100"/>
      <c r="CC31" s="90"/>
      <c r="CD31" s="310" t="str">
        <f t="shared" si="90"/>
        <v/>
      </c>
      <c r="CE31" s="100"/>
      <c r="CF31" s="100"/>
      <c r="CG31" s="319" t="str">
        <f t="shared" si="22"/>
        <v/>
      </c>
      <c r="CH31" s="321" t="str">
        <f t="shared" si="0"/>
        <v/>
      </c>
      <c r="CI31" s="104">
        <f t="shared" si="1"/>
        <v>0</v>
      </c>
      <c r="CJ31" s="104">
        <f t="shared" si="2"/>
        <v>0</v>
      </c>
      <c r="CK31" s="100"/>
      <c r="CL31" s="100"/>
      <c r="CM31" s="322" t="str">
        <f t="shared" si="23"/>
        <v/>
      </c>
      <c r="CN31" s="322" t="str">
        <f t="shared" si="24"/>
        <v/>
      </c>
      <c r="CO31" s="322" t="str">
        <f t="shared" si="25"/>
        <v/>
      </c>
      <c r="CP31" s="225" t="str">
        <f t="shared" si="26"/>
        <v/>
      </c>
      <c r="CQ31" s="323" t="str">
        <f t="shared" si="27"/>
        <v/>
      </c>
      <c r="CR31" s="105" t="str">
        <f>IF(CQ31="","",IF(CQ31&gt;=menu!$O$6,"A",IF(CQ31&gt;=menu!$O$7,"B",IF(CQ31&gt;=menu!$O$8,"C","D"))))</f>
        <v/>
      </c>
      <c r="CS31" s="105" t="str">
        <f>IF(CQ31="","",IF(CQ31&gt;=menu!$O$6,"sangat baik",IF(CQ31&gt;=menu!$O$7,"baik",IF(CQ31&gt;=menu!$O$8,"cukup","kurang"))))</f>
        <v/>
      </c>
      <c r="CT31" s="398" t="str">
        <f t="shared" si="28"/>
        <v>TIDAK</v>
      </c>
      <c r="CU31" s="397" t="str">
        <f t="shared" si="29"/>
        <v>TIDAK</v>
      </c>
      <c r="CV31" s="115" t="str">
        <f t="shared" si="30"/>
        <v/>
      </c>
      <c r="CW31" s="108" t="e">
        <f>IF(CI31="","",VLOOKUP(CI31,DATAPENG!$BB$3:$BC$12,2,FALSE))</f>
        <v>#N/A</v>
      </c>
      <c r="CX31" s="108" t="e">
        <f>IF(CJ31="","",VLOOKUP(CJ31,DATAPENG!$BB$3:$BC$12,2,FALSE))</f>
        <v>#N/A</v>
      </c>
    </row>
    <row r="32" spans="1:102">
      <c r="A32" s="104">
        <f>'DATA SISWA'!A32</f>
        <v>28</v>
      </c>
      <c r="B32" s="104">
        <f>'DATA SISWA'!B32</f>
        <v>0</v>
      </c>
      <c r="C32" s="104">
        <f>'DATA SISWA'!C32</f>
        <v>0</v>
      </c>
      <c r="D32" s="104">
        <f>'DATA SISWA'!D32</f>
        <v>0</v>
      </c>
      <c r="E32" s="104" t="str">
        <f>'DATA SISWA'!E32</f>
        <v>VII-A</v>
      </c>
      <c r="F32" s="100"/>
      <c r="G32" s="100"/>
      <c r="H32" s="100"/>
      <c r="I32" s="90"/>
      <c r="J32" s="310" t="str">
        <f t="shared" si="81"/>
        <v/>
      </c>
      <c r="K32" s="100"/>
      <c r="L32" s="100"/>
      <c r="M32" s="319" t="str">
        <f t="shared" si="4"/>
        <v/>
      </c>
      <c r="N32" s="100"/>
      <c r="O32" s="100"/>
      <c r="P32" s="100"/>
      <c r="Q32" s="90"/>
      <c r="R32" s="310" t="str">
        <f t="shared" si="82"/>
        <v/>
      </c>
      <c r="S32" s="100"/>
      <c r="T32" s="100"/>
      <c r="U32" s="319" t="str">
        <f t="shared" si="6"/>
        <v/>
      </c>
      <c r="V32" s="100"/>
      <c r="W32" s="100"/>
      <c r="X32" s="100"/>
      <c r="Y32" s="90"/>
      <c r="Z32" s="310" t="str">
        <f t="shared" si="83"/>
        <v/>
      </c>
      <c r="AA32" s="100"/>
      <c r="AB32" s="100"/>
      <c r="AC32" s="319" t="str">
        <f t="shared" si="8"/>
        <v/>
      </c>
      <c r="AD32" s="100"/>
      <c r="AE32" s="100"/>
      <c r="AF32" s="100"/>
      <c r="AG32" s="90"/>
      <c r="AH32" s="310" t="str">
        <f t="shared" si="84"/>
        <v/>
      </c>
      <c r="AI32" s="100"/>
      <c r="AJ32" s="100"/>
      <c r="AK32" s="319" t="str">
        <f t="shared" si="10"/>
        <v/>
      </c>
      <c r="AL32" s="100"/>
      <c r="AM32" s="100"/>
      <c r="AN32" s="100"/>
      <c r="AO32" s="90"/>
      <c r="AP32" s="310" t="str">
        <f t="shared" si="85"/>
        <v/>
      </c>
      <c r="AQ32" s="100"/>
      <c r="AR32" s="100"/>
      <c r="AS32" s="319" t="str">
        <f t="shared" si="12"/>
        <v/>
      </c>
      <c r="AT32" s="100"/>
      <c r="AU32" s="100"/>
      <c r="AV32" s="100"/>
      <c r="AW32" s="90"/>
      <c r="AX32" s="310" t="str">
        <f t="shared" si="86"/>
        <v/>
      </c>
      <c r="AY32" s="100"/>
      <c r="AZ32" s="100"/>
      <c r="BA32" s="319" t="str">
        <f t="shared" si="14"/>
        <v/>
      </c>
      <c r="BB32" s="100"/>
      <c r="BC32" s="100"/>
      <c r="BD32" s="100"/>
      <c r="BE32" s="90"/>
      <c r="BF32" s="310" t="str">
        <f t="shared" si="87"/>
        <v/>
      </c>
      <c r="BG32" s="100"/>
      <c r="BH32" s="100"/>
      <c r="BI32" s="319" t="str">
        <f t="shared" si="16"/>
        <v/>
      </c>
      <c r="BJ32" s="100"/>
      <c r="BK32" s="100"/>
      <c r="BL32" s="100"/>
      <c r="BM32" s="90"/>
      <c r="BN32" s="310" t="str">
        <f t="shared" si="88"/>
        <v/>
      </c>
      <c r="BO32" s="100"/>
      <c r="BP32" s="100"/>
      <c r="BQ32" s="319" t="str">
        <f t="shared" si="18"/>
        <v/>
      </c>
      <c r="BR32" s="100"/>
      <c r="BS32" s="100"/>
      <c r="BT32" s="100"/>
      <c r="BU32" s="90"/>
      <c r="BV32" s="310" t="str">
        <f t="shared" si="89"/>
        <v/>
      </c>
      <c r="BW32" s="100"/>
      <c r="BX32" s="100"/>
      <c r="BY32" s="319" t="str">
        <f t="shared" si="20"/>
        <v/>
      </c>
      <c r="BZ32" s="100"/>
      <c r="CA32" s="100"/>
      <c r="CB32" s="100"/>
      <c r="CC32" s="90"/>
      <c r="CD32" s="310" t="str">
        <f t="shared" si="90"/>
        <v/>
      </c>
      <c r="CE32" s="100"/>
      <c r="CF32" s="100"/>
      <c r="CG32" s="319" t="str">
        <f t="shared" si="22"/>
        <v/>
      </c>
      <c r="CH32" s="321" t="str">
        <f t="shared" si="0"/>
        <v/>
      </c>
      <c r="CI32" s="104">
        <f t="shared" si="1"/>
        <v>0</v>
      </c>
      <c r="CJ32" s="104">
        <f t="shared" si="2"/>
        <v>0</v>
      </c>
      <c r="CK32" s="100"/>
      <c r="CL32" s="100"/>
      <c r="CM32" s="322" t="str">
        <f t="shared" si="23"/>
        <v/>
      </c>
      <c r="CN32" s="322" t="str">
        <f t="shared" si="24"/>
        <v/>
      </c>
      <c r="CO32" s="322" t="str">
        <f t="shared" si="25"/>
        <v/>
      </c>
      <c r="CP32" s="225" t="str">
        <f t="shared" si="26"/>
        <v/>
      </c>
      <c r="CQ32" s="323" t="str">
        <f t="shared" si="27"/>
        <v/>
      </c>
      <c r="CR32" s="105" t="str">
        <f>IF(CQ32="","",IF(CQ32&gt;=menu!$O$6,"A",IF(CQ32&gt;=menu!$O$7,"B",IF(CQ32&gt;=menu!$O$8,"C","D"))))</f>
        <v/>
      </c>
      <c r="CS32" s="105" t="str">
        <f>IF(CQ32="","",IF(CQ32&gt;=menu!$O$6,"sangat baik",IF(CQ32&gt;=menu!$O$7,"baik",IF(CQ32&gt;=menu!$O$8,"cukup","kurang"))))</f>
        <v/>
      </c>
      <c r="CT32" s="398" t="str">
        <f t="shared" si="28"/>
        <v>TIDAK</v>
      </c>
      <c r="CU32" s="397" t="str">
        <f t="shared" si="29"/>
        <v>TIDAK</v>
      </c>
      <c r="CV32" s="115" t="str">
        <f t="shared" si="30"/>
        <v/>
      </c>
      <c r="CW32" s="108" t="e">
        <f>IF(CI32="","",VLOOKUP(CI32,DATAPENG!$BD$3:$BE$12,2,FALSE))</f>
        <v>#N/A</v>
      </c>
      <c r="CX32" s="108" t="e">
        <f>IF(CJ32="","",VLOOKUP(CJ32,DATAPENG!$BD$3:$BE$12,2,FALSE))</f>
        <v>#N/A</v>
      </c>
    </row>
    <row r="33" spans="1:102">
      <c r="A33" s="104">
        <f>'DATA SISWA'!A33</f>
        <v>29</v>
      </c>
      <c r="B33" s="104">
        <f>'DATA SISWA'!B33</f>
        <v>0</v>
      </c>
      <c r="C33" s="104">
        <f>'DATA SISWA'!C33</f>
        <v>0</v>
      </c>
      <c r="D33" s="104">
        <f>'DATA SISWA'!D33</f>
        <v>0</v>
      </c>
      <c r="E33" s="104" t="str">
        <f>'DATA SISWA'!E33</f>
        <v>VII-A</v>
      </c>
      <c r="F33" s="100"/>
      <c r="G33" s="100"/>
      <c r="H33" s="100"/>
      <c r="I33" s="90"/>
      <c r="J33" s="310" t="str">
        <f>IF(AND(F33="",G33="",H33="",I33=""),"",AVERAGE(F33:I33))</f>
        <v/>
      </c>
      <c r="K33" s="100"/>
      <c r="L33" s="100"/>
      <c r="M33" s="319" t="str">
        <f t="shared" si="4"/>
        <v/>
      </c>
      <c r="N33" s="100"/>
      <c r="O33" s="100"/>
      <c r="P33" s="100"/>
      <c r="Q33" s="90"/>
      <c r="R33" s="310" t="str">
        <f>IF(AND(N33="",O33="",P33="",Q33=""),"",AVERAGE(N33:Q33))</f>
        <v/>
      </c>
      <c r="S33" s="100"/>
      <c r="T33" s="100"/>
      <c r="U33" s="319" t="str">
        <f t="shared" si="6"/>
        <v/>
      </c>
      <c r="V33" s="100"/>
      <c r="W33" s="100"/>
      <c r="X33" s="100"/>
      <c r="Y33" s="90"/>
      <c r="Z33" s="310" t="str">
        <f>IF(AND(V33="",W33="",X33="",Y33=""),"",AVERAGE(V33:Y33))</f>
        <v/>
      </c>
      <c r="AA33" s="100"/>
      <c r="AB33" s="100"/>
      <c r="AC33" s="319" t="str">
        <f t="shared" si="8"/>
        <v/>
      </c>
      <c r="AD33" s="100"/>
      <c r="AE33" s="100"/>
      <c r="AF33" s="100"/>
      <c r="AG33" s="90"/>
      <c r="AH33" s="310" t="str">
        <f>IF(AND(AD33="",AE33="",AF33="",AG33=""),"",AVERAGE(AD33:AG33))</f>
        <v/>
      </c>
      <c r="AI33" s="100"/>
      <c r="AJ33" s="100"/>
      <c r="AK33" s="319" t="str">
        <f t="shared" si="10"/>
        <v/>
      </c>
      <c r="AL33" s="100"/>
      <c r="AM33" s="100"/>
      <c r="AN33" s="100"/>
      <c r="AO33" s="90"/>
      <c r="AP33" s="310" t="str">
        <f>IF(AND(AL33="",AM33="",AN33="",AO33=""),"",AVERAGE(AL33:AO33))</f>
        <v/>
      </c>
      <c r="AQ33" s="100"/>
      <c r="AR33" s="100"/>
      <c r="AS33" s="319" t="str">
        <f t="shared" si="12"/>
        <v/>
      </c>
      <c r="AT33" s="100"/>
      <c r="AU33" s="100"/>
      <c r="AV33" s="100"/>
      <c r="AW33" s="90"/>
      <c r="AX33" s="310" t="str">
        <f>IF(AND(AT33="",AU33="",AV33="",AW33=""),"",AVERAGE(AT33:AW33))</f>
        <v/>
      </c>
      <c r="AY33" s="100"/>
      <c r="AZ33" s="100"/>
      <c r="BA33" s="319" t="str">
        <f t="shared" si="14"/>
        <v/>
      </c>
      <c r="BB33" s="100"/>
      <c r="BC33" s="100"/>
      <c r="BD33" s="100"/>
      <c r="BE33" s="90"/>
      <c r="BF33" s="310" t="str">
        <f>IF(AND(BB33="",BC33="",BD33="",BE33=""),"",AVERAGE(BB33:BE33))</f>
        <v/>
      </c>
      <c r="BG33" s="100"/>
      <c r="BH33" s="100"/>
      <c r="BI33" s="319" t="str">
        <f t="shared" si="16"/>
        <v/>
      </c>
      <c r="BJ33" s="100"/>
      <c r="BK33" s="100"/>
      <c r="BL33" s="100"/>
      <c r="BM33" s="90"/>
      <c r="BN33" s="310" t="str">
        <f>IF(AND(BJ33="",BK33="",BL33="",BM33=""),"",AVERAGE(BJ33:BM33))</f>
        <v/>
      </c>
      <c r="BO33" s="100"/>
      <c r="BP33" s="100"/>
      <c r="BQ33" s="319" t="str">
        <f t="shared" si="18"/>
        <v/>
      </c>
      <c r="BR33" s="100"/>
      <c r="BS33" s="100"/>
      <c r="BT33" s="100"/>
      <c r="BU33" s="90"/>
      <c r="BV33" s="310" t="str">
        <f>IF(AND(BR33="",BS33="",BT33="",BU33=""),"",AVERAGE(BR33:BU33))</f>
        <v/>
      </c>
      <c r="BW33" s="100"/>
      <c r="BX33" s="100"/>
      <c r="BY33" s="319" t="str">
        <f t="shared" si="20"/>
        <v/>
      </c>
      <c r="BZ33" s="100"/>
      <c r="CA33" s="100"/>
      <c r="CB33" s="100"/>
      <c r="CC33" s="90"/>
      <c r="CD33" s="310" t="str">
        <f>IF(AND(BZ33="",CA33="",CB33="",CC33=""),"",AVERAGE(BZ33:CC33))</f>
        <v/>
      </c>
      <c r="CE33" s="100"/>
      <c r="CF33" s="100"/>
      <c r="CG33" s="319" t="str">
        <f t="shared" si="22"/>
        <v/>
      </c>
      <c r="CH33" s="321" t="str">
        <f t="shared" si="0"/>
        <v/>
      </c>
      <c r="CI33" s="104">
        <f t="shared" si="1"/>
        <v>0</v>
      </c>
      <c r="CJ33" s="104">
        <f t="shared" si="2"/>
        <v>0</v>
      </c>
      <c r="CK33" s="100"/>
      <c r="CL33" s="100"/>
      <c r="CM33" s="322" t="str">
        <f t="shared" si="23"/>
        <v/>
      </c>
      <c r="CN33" s="322" t="str">
        <f t="shared" si="24"/>
        <v/>
      </c>
      <c r="CO33" s="322" t="str">
        <f t="shared" si="25"/>
        <v/>
      </c>
      <c r="CP33" s="225" t="str">
        <f t="shared" si="26"/>
        <v/>
      </c>
      <c r="CQ33" s="323" t="str">
        <f t="shared" si="27"/>
        <v/>
      </c>
      <c r="CR33" s="105" t="str">
        <f>IF(CQ33="","",IF(CQ33&gt;=menu!$O$6,"A",IF(CQ33&gt;=menu!$O$7,"B",IF(CQ33&gt;=menu!$O$8,"C","D"))))</f>
        <v/>
      </c>
      <c r="CS33" s="105" t="str">
        <f>IF(CQ33="","",IF(CQ33&gt;=menu!$O$6,"sangat baik",IF(CQ33&gt;=menu!$O$7,"baik",IF(CQ33&gt;=menu!$O$8,"cukup","kurang"))))</f>
        <v/>
      </c>
      <c r="CT33" s="398" t="str">
        <f t="shared" si="28"/>
        <v>TIDAK</v>
      </c>
      <c r="CU33" s="397" t="str">
        <f t="shared" si="29"/>
        <v>TIDAK</v>
      </c>
      <c r="CV33" s="115" t="str">
        <f t="shared" si="30"/>
        <v/>
      </c>
      <c r="CW33" s="108" t="e">
        <f>IF(CI33="","",VLOOKUP(CI33,DATAPENG!$BF$3:$BG$12,2,FALSE))</f>
        <v>#N/A</v>
      </c>
      <c r="CX33" s="108" t="e">
        <f>IF(CJ33="","",VLOOKUP(CJ33,DATAPENG!$BF$3:$BG$12,2,FALSE))</f>
        <v>#N/A</v>
      </c>
    </row>
    <row r="34" spans="1:102">
      <c r="A34" s="104">
        <f>'DATA SISWA'!A34</f>
        <v>30</v>
      </c>
      <c r="B34" s="104">
        <f>'DATA SISWA'!B34</f>
        <v>0</v>
      </c>
      <c r="C34" s="104">
        <f>'DATA SISWA'!C34</f>
        <v>0</v>
      </c>
      <c r="D34" s="104">
        <f>'DATA SISWA'!D34</f>
        <v>0</v>
      </c>
      <c r="E34" s="104" t="str">
        <f>'DATA SISWA'!E34</f>
        <v>VII-A</v>
      </c>
      <c r="F34" s="100"/>
      <c r="G34" s="100"/>
      <c r="H34" s="100"/>
      <c r="I34" s="90"/>
      <c r="J34" s="310" t="str">
        <f t="shared" ref="J34:J36" si="91">IF(AND(F34="",G34="",H34="",I34=""),"",AVERAGE(F34:I34))</f>
        <v/>
      </c>
      <c r="K34" s="100"/>
      <c r="L34" s="100"/>
      <c r="M34" s="319" t="str">
        <f t="shared" si="4"/>
        <v/>
      </c>
      <c r="N34" s="100"/>
      <c r="O34" s="100"/>
      <c r="P34" s="100"/>
      <c r="Q34" s="90"/>
      <c r="R34" s="310" t="str">
        <f t="shared" ref="R34:R36" si="92">IF(AND(N34="",O34="",P34="",Q34=""),"",AVERAGE(N34:Q34))</f>
        <v/>
      </c>
      <c r="S34" s="100"/>
      <c r="T34" s="100"/>
      <c r="U34" s="319" t="str">
        <f t="shared" si="6"/>
        <v/>
      </c>
      <c r="V34" s="100"/>
      <c r="W34" s="100"/>
      <c r="X34" s="100"/>
      <c r="Y34" s="90"/>
      <c r="Z34" s="310" t="str">
        <f t="shared" ref="Z34:Z36" si="93">IF(AND(V34="",W34="",X34="",Y34=""),"",AVERAGE(V34:Y34))</f>
        <v/>
      </c>
      <c r="AA34" s="100"/>
      <c r="AB34" s="100"/>
      <c r="AC34" s="319" t="str">
        <f t="shared" si="8"/>
        <v/>
      </c>
      <c r="AD34" s="100"/>
      <c r="AE34" s="100"/>
      <c r="AF34" s="100"/>
      <c r="AG34" s="90"/>
      <c r="AH34" s="310" t="str">
        <f t="shared" ref="AH34:AH36" si="94">IF(AND(AD34="",AE34="",AF34="",AG34=""),"",AVERAGE(AD34:AG34))</f>
        <v/>
      </c>
      <c r="AI34" s="100"/>
      <c r="AJ34" s="100"/>
      <c r="AK34" s="319" t="str">
        <f t="shared" si="10"/>
        <v/>
      </c>
      <c r="AL34" s="100"/>
      <c r="AM34" s="100"/>
      <c r="AN34" s="100"/>
      <c r="AO34" s="90"/>
      <c r="AP34" s="310" t="str">
        <f t="shared" ref="AP34:AP36" si="95">IF(AND(AL34="",AM34="",AN34="",AO34=""),"",AVERAGE(AL34:AO34))</f>
        <v/>
      </c>
      <c r="AQ34" s="100"/>
      <c r="AR34" s="100"/>
      <c r="AS34" s="319" t="str">
        <f t="shared" si="12"/>
        <v/>
      </c>
      <c r="AT34" s="100"/>
      <c r="AU34" s="100"/>
      <c r="AV34" s="100"/>
      <c r="AW34" s="90"/>
      <c r="AX34" s="310" t="str">
        <f t="shared" ref="AX34:AX36" si="96">IF(AND(AT34="",AU34="",AV34="",AW34=""),"",AVERAGE(AT34:AW34))</f>
        <v/>
      </c>
      <c r="AY34" s="100"/>
      <c r="AZ34" s="100"/>
      <c r="BA34" s="319" t="str">
        <f t="shared" si="14"/>
        <v/>
      </c>
      <c r="BB34" s="100"/>
      <c r="BC34" s="100"/>
      <c r="BD34" s="100"/>
      <c r="BE34" s="90"/>
      <c r="BF34" s="310" t="str">
        <f t="shared" ref="BF34:BF36" si="97">IF(AND(BB34="",BC34="",BD34="",BE34=""),"",AVERAGE(BB34:BE34))</f>
        <v/>
      </c>
      <c r="BG34" s="100"/>
      <c r="BH34" s="100"/>
      <c r="BI34" s="319" t="str">
        <f t="shared" si="16"/>
        <v/>
      </c>
      <c r="BJ34" s="100"/>
      <c r="BK34" s="100"/>
      <c r="BL34" s="100"/>
      <c r="BM34" s="90"/>
      <c r="BN34" s="310" t="str">
        <f t="shared" ref="BN34:BN36" si="98">IF(AND(BJ34="",BK34="",BL34="",BM34=""),"",AVERAGE(BJ34:BM34))</f>
        <v/>
      </c>
      <c r="BO34" s="100"/>
      <c r="BP34" s="100"/>
      <c r="BQ34" s="319" t="str">
        <f t="shared" si="18"/>
        <v/>
      </c>
      <c r="BR34" s="100"/>
      <c r="BS34" s="100"/>
      <c r="BT34" s="100"/>
      <c r="BU34" s="90"/>
      <c r="BV34" s="310" t="str">
        <f t="shared" ref="BV34:BV36" si="99">IF(AND(BR34="",BS34="",BT34="",BU34=""),"",AVERAGE(BR34:BU34))</f>
        <v/>
      </c>
      <c r="BW34" s="100"/>
      <c r="BX34" s="100"/>
      <c r="BY34" s="319" t="str">
        <f t="shared" si="20"/>
        <v/>
      </c>
      <c r="BZ34" s="100"/>
      <c r="CA34" s="100"/>
      <c r="CB34" s="100"/>
      <c r="CC34" s="90"/>
      <c r="CD34" s="310" t="str">
        <f t="shared" ref="CD34:CD36" si="100">IF(AND(BZ34="",CA34="",CB34="",CC34=""),"",AVERAGE(BZ34:CC34))</f>
        <v/>
      </c>
      <c r="CE34" s="100"/>
      <c r="CF34" s="100"/>
      <c r="CG34" s="319" t="str">
        <f t="shared" si="22"/>
        <v/>
      </c>
      <c r="CH34" s="321" t="str">
        <f t="shared" si="0"/>
        <v/>
      </c>
      <c r="CI34" s="104">
        <f t="shared" si="1"/>
        <v>0</v>
      </c>
      <c r="CJ34" s="104">
        <f t="shared" si="2"/>
        <v>0</v>
      </c>
      <c r="CK34" s="100"/>
      <c r="CL34" s="100"/>
      <c r="CM34" s="322" t="str">
        <f t="shared" si="23"/>
        <v/>
      </c>
      <c r="CN34" s="322" t="str">
        <f t="shared" si="24"/>
        <v/>
      </c>
      <c r="CO34" s="322" t="str">
        <f t="shared" si="25"/>
        <v/>
      </c>
      <c r="CP34" s="225" t="str">
        <f t="shared" si="26"/>
        <v/>
      </c>
      <c r="CQ34" s="323" t="str">
        <f t="shared" si="27"/>
        <v/>
      </c>
      <c r="CR34" s="105" t="str">
        <f>IF(CQ34="","",IF(CQ34&gt;=menu!$O$6,"A",IF(CQ34&gt;=menu!$O$7,"B",IF(CQ34&gt;=menu!$O$8,"C","D"))))</f>
        <v/>
      </c>
      <c r="CS34" s="105" t="str">
        <f>IF(CQ34="","",IF(CQ34&gt;=menu!$O$6,"sangat baik",IF(CQ34&gt;=menu!$O$7,"baik",IF(CQ34&gt;=menu!$O$8,"cukup","kurang"))))</f>
        <v/>
      </c>
      <c r="CT34" s="398" t="str">
        <f t="shared" si="28"/>
        <v>TIDAK</v>
      </c>
      <c r="CU34" s="397" t="str">
        <f t="shared" si="29"/>
        <v>TIDAK</v>
      </c>
      <c r="CV34" s="115" t="str">
        <f t="shared" si="30"/>
        <v/>
      </c>
      <c r="CW34" s="108" t="e">
        <f>IF(CI34="","",VLOOKUP(CI34,DATAPENG!$BH$3:$BI$12,2,FALSE))</f>
        <v>#N/A</v>
      </c>
      <c r="CX34" s="108" t="e">
        <f>IF(CJ34="","",VLOOKUP(CJ34,DATAPENG!$BH$3:$BI$12,2,FALSE))</f>
        <v>#N/A</v>
      </c>
    </row>
    <row r="35" spans="1:102">
      <c r="A35" s="104">
        <f>'DATA SISWA'!A35</f>
        <v>31</v>
      </c>
      <c r="B35" s="104">
        <f>'DATA SISWA'!B35</f>
        <v>0</v>
      </c>
      <c r="C35" s="104">
        <f>'DATA SISWA'!C35</f>
        <v>0</v>
      </c>
      <c r="D35" s="104">
        <f>'DATA SISWA'!D35</f>
        <v>0</v>
      </c>
      <c r="E35" s="104" t="str">
        <f>'DATA SISWA'!E35</f>
        <v>VII-A</v>
      </c>
      <c r="F35" s="100"/>
      <c r="G35" s="100"/>
      <c r="H35" s="100"/>
      <c r="I35" s="90"/>
      <c r="J35" s="310" t="str">
        <f t="shared" si="91"/>
        <v/>
      </c>
      <c r="K35" s="100"/>
      <c r="L35" s="100"/>
      <c r="M35" s="319" t="str">
        <f t="shared" si="4"/>
        <v/>
      </c>
      <c r="N35" s="100"/>
      <c r="O35" s="100"/>
      <c r="P35" s="100"/>
      <c r="Q35" s="90"/>
      <c r="R35" s="310" t="str">
        <f t="shared" si="92"/>
        <v/>
      </c>
      <c r="S35" s="100"/>
      <c r="T35" s="100"/>
      <c r="U35" s="319" t="str">
        <f t="shared" si="6"/>
        <v/>
      </c>
      <c r="V35" s="100"/>
      <c r="W35" s="100"/>
      <c r="X35" s="100"/>
      <c r="Y35" s="90"/>
      <c r="Z35" s="310" t="str">
        <f t="shared" si="93"/>
        <v/>
      </c>
      <c r="AA35" s="100"/>
      <c r="AB35" s="100"/>
      <c r="AC35" s="319" t="str">
        <f t="shared" si="8"/>
        <v/>
      </c>
      <c r="AD35" s="100"/>
      <c r="AE35" s="100"/>
      <c r="AF35" s="100"/>
      <c r="AG35" s="90"/>
      <c r="AH35" s="310" t="str">
        <f t="shared" si="94"/>
        <v/>
      </c>
      <c r="AI35" s="100"/>
      <c r="AJ35" s="100"/>
      <c r="AK35" s="319" t="str">
        <f t="shared" si="10"/>
        <v/>
      </c>
      <c r="AL35" s="100"/>
      <c r="AM35" s="100"/>
      <c r="AN35" s="100"/>
      <c r="AO35" s="90"/>
      <c r="AP35" s="310" t="str">
        <f t="shared" si="95"/>
        <v/>
      </c>
      <c r="AQ35" s="100"/>
      <c r="AR35" s="100"/>
      <c r="AS35" s="319" t="str">
        <f t="shared" si="12"/>
        <v/>
      </c>
      <c r="AT35" s="100"/>
      <c r="AU35" s="100"/>
      <c r="AV35" s="100"/>
      <c r="AW35" s="90"/>
      <c r="AX35" s="310" t="str">
        <f t="shared" si="96"/>
        <v/>
      </c>
      <c r="AY35" s="100"/>
      <c r="AZ35" s="100"/>
      <c r="BA35" s="319" t="str">
        <f t="shared" si="14"/>
        <v/>
      </c>
      <c r="BB35" s="100"/>
      <c r="BC35" s="100"/>
      <c r="BD35" s="100"/>
      <c r="BE35" s="90"/>
      <c r="BF35" s="310" t="str">
        <f t="shared" si="97"/>
        <v/>
      </c>
      <c r="BG35" s="100"/>
      <c r="BH35" s="100"/>
      <c r="BI35" s="319" t="str">
        <f t="shared" si="16"/>
        <v/>
      </c>
      <c r="BJ35" s="100"/>
      <c r="BK35" s="100"/>
      <c r="BL35" s="100"/>
      <c r="BM35" s="90"/>
      <c r="BN35" s="310" t="str">
        <f t="shared" si="98"/>
        <v/>
      </c>
      <c r="BO35" s="100"/>
      <c r="BP35" s="100"/>
      <c r="BQ35" s="319" t="str">
        <f t="shared" si="18"/>
        <v/>
      </c>
      <c r="BR35" s="100"/>
      <c r="BS35" s="100"/>
      <c r="BT35" s="100"/>
      <c r="BU35" s="90"/>
      <c r="BV35" s="310" t="str">
        <f t="shared" si="99"/>
        <v/>
      </c>
      <c r="BW35" s="100"/>
      <c r="BX35" s="100"/>
      <c r="BY35" s="319" t="str">
        <f t="shared" si="20"/>
        <v/>
      </c>
      <c r="BZ35" s="100"/>
      <c r="CA35" s="100"/>
      <c r="CB35" s="100"/>
      <c r="CC35" s="90"/>
      <c r="CD35" s="310" t="str">
        <f t="shared" si="100"/>
        <v/>
      </c>
      <c r="CE35" s="100"/>
      <c r="CF35" s="100"/>
      <c r="CG35" s="319" t="str">
        <f t="shared" si="22"/>
        <v/>
      </c>
      <c r="CH35" s="321" t="str">
        <f t="shared" si="0"/>
        <v/>
      </c>
      <c r="CI35" s="104">
        <f t="shared" si="1"/>
        <v>0</v>
      </c>
      <c r="CJ35" s="104">
        <f t="shared" si="2"/>
        <v>0</v>
      </c>
      <c r="CK35" s="100"/>
      <c r="CL35" s="100"/>
      <c r="CM35" s="322" t="str">
        <f t="shared" si="23"/>
        <v/>
      </c>
      <c r="CN35" s="322" t="str">
        <f t="shared" si="24"/>
        <v/>
      </c>
      <c r="CO35" s="322" t="str">
        <f t="shared" si="25"/>
        <v/>
      </c>
      <c r="CP35" s="225" t="str">
        <f t="shared" si="26"/>
        <v/>
      </c>
      <c r="CQ35" s="323" t="str">
        <f t="shared" si="27"/>
        <v/>
      </c>
      <c r="CR35" s="105" t="str">
        <f>IF(CQ35="","",IF(CQ35&gt;=menu!$O$6,"A",IF(CQ35&gt;=menu!$O$7,"B",IF(CQ35&gt;=menu!$O$8,"C","D"))))</f>
        <v/>
      </c>
      <c r="CS35" s="105" t="str">
        <f>IF(CQ35="","",IF(CQ35&gt;=menu!$O$6,"sangat baik",IF(CQ35&gt;=menu!$O$7,"baik",IF(CQ35&gt;=menu!$O$8,"cukup","kurang"))))</f>
        <v/>
      </c>
      <c r="CT35" s="398" t="str">
        <f t="shared" si="28"/>
        <v>TIDAK</v>
      </c>
      <c r="CU35" s="397" t="str">
        <f t="shared" si="29"/>
        <v>TIDAK</v>
      </c>
      <c r="CV35" s="115" t="str">
        <f t="shared" si="30"/>
        <v/>
      </c>
      <c r="CW35" s="108" t="e">
        <f>IF(CI35="","",VLOOKUP(CI35,DATAPENG!$BJ$3:$BK$12,2,FALSE))</f>
        <v>#N/A</v>
      </c>
      <c r="CX35" s="108" t="e">
        <f>IF(CJ35="","",VLOOKUP(CJ35,DATAPENG!$BJ$3:$BK$12,2,FALSE))</f>
        <v>#N/A</v>
      </c>
    </row>
    <row r="36" spans="1:102">
      <c r="A36" s="104">
        <f>'DATA SISWA'!A36</f>
        <v>32</v>
      </c>
      <c r="B36" s="104">
        <f>'DATA SISWA'!B36</f>
        <v>0</v>
      </c>
      <c r="C36" s="104">
        <f>'DATA SISWA'!C36</f>
        <v>0</v>
      </c>
      <c r="D36" s="104">
        <f>'DATA SISWA'!D36</f>
        <v>0</v>
      </c>
      <c r="E36" s="104" t="str">
        <f>'DATA SISWA'!E36</f>
        <v>VII-A</v>
      </c>
      <c r="F36" s="100"/>
      <c r="G36" s="100"/>
      <c r="H36" s="100"/>
      <c r="I36" s="90"/>
      <c r="J36" s="310" t="str">
        <f t="shared" si="91"/>
        <v/>
      </c>
      <c r="K36" s="100"/>
      <c r="L36" s="100"/>
      <c r="M36" s="319" t="str">
        <f t="shared" si="4"/>
        <v/>
      </c>
      <c r="N36" s="100"/>
      <c r="O36" s="100"/>
      <c r="P36" s="100"/>
      <c r="Q36" s="90"/>
      <c r="R36" s="310" t="str">
        <f t="shared" si="92"/>
        <v/>
      </c>
      <c r="S36" s="100"/>
      <c r="T36" s="100"/>
      <c r="U36" s="319" t="str">
        <f t="shared" si="6"/>
        <v/>
      </c>
      <c r="V36" s="100"/>
      <c r="W36" s="100"/>
      <c r="X36" s="100"/>
      <c r="Y36" s="90"/>
      <c r="Z36" s="310" t="str">
        <f t="shared" si="93"/>
        <v/>
      </c>
      <c r="AA36" s="100"/>
      <c r="AB36" s="100"/>
      <c r="AC36" s="319" t="str">
        <f t="shared" si="8"/>
        <v/>
      </c>
      <c r="AD36" s="100"/>
      <c r="AE36" s="100"/>
      <c r="AF36" s="100"/>
      <c r="AG36" s="90"/>
      <c r="AH36" s="310" t="str">
        <f t="shared" si="94"/>
        <v/>
      </c>
      <c r="AI36" s="100"/>
      <c r="AJ36" s="100"/>
      <c r="AK36" s="319" t="str">
        <f t="shared" si="10"/>
        <v/>
      </c>
      <c r="AL36" s="100"/>
      <c r="AM36" s="100"/>
      <c r="AN36" s="100"/>
      <c r="AO36" s="90"/>
      <c r="AP36" s="310" t="str">
        <f t="shared" si="95"/>
        <v/>
      </c>
      <c r="AQ36" s="100"/>
      <c r="AR36" s="100"/>
      <c r="AS36" s="319" t="str">
        <f t="shared" si="12"/>
        <v/>
      </c>
      <c r="AT36" s="100"/>
      <c r="AU36" s="100"/>
      <c r="AV36" s="100"/>
      <c r="AW36" s="90"/>
      <c r="AX36" s="310" t="str">
        <f t="shared" si="96"/>
        <v/>
      </c>
      <c r="AY36" s="100"/>
      <c r="AZ36" s="100"/>
      <c r="BA36" s="319" t="str">
        <f t="shared" si="14"/>
        <v/>
      </c>
      <c r="BB36" s="100"/>
      <c r="BC36" s="100"/>
      <c r="BD36" s="100"/>
      <c r="BE36" s="90"/>
      <c r="BF36" s="310" t="str">
        <f t="shared" si="97"/>
        <v/>
      </c>
      <c r="BG36" s="100"/>
      <c r="BH36" s="100"/>
      <c r="BI36" s="319" t="str">
        <f t="shared" si="16"/>
        <v/>
      </c>
      <c r="BJ36" s="100"/>
      <c r="BK36" s="100"/>
      <c r="BL36" s="100"/>
      <c r="BM36" s="90"/>
      <c r="BN36" s="310" t="str">
        <f t="shared" si="98"/>
        <v/>
      </c>
      <c r="BO36" s="100"/>
      <c r="BP36" s="100"/>
      <c r="BQ36" s="319" t="str">
        <f t="shared" si="18"/>
        <v/>
      </c>
      <c r="BR36" s="100"/>
      <c r="BS36" s="100"/>
      <c r="BT36" s="100"/>
      <c r="BU36" s="90"/>
      <c r="BV36" s="310" t="str">
        <f t="shared" si="99"/>
        <v/>
      </c>
      <c r="BW36" s="100"/>
      <c r="BX36" s="100"/>
      <c r="BY36" s="319" t="str">
        <f t="shared" si="20"/>
        <v/>
      </c>
      <c r="BZ36" s="100"/>
      <c r="CA36" s="100"/>
      <c r="CB36" s="100"/>
      <c r="CC36" s="90"/>
      <c r="CD36" s="310" t="str">
        <f t="shared" si="100"/>
        <v/>
      </c>
      <c r="CE36" s="100"/>
      <c r="CF36" s="100"/>
      <c r="CG36" s="319" t="str">
        <f t="shared" si="22"/>
        <v/>
      </c>
      <c r="CH36" s="321" t="str">
        <f t="shared" si="0"/>
        <v/>
      </c>
      <c r="CI36" s="104">
        <f t="shared" si="1"/>
        <v>0</v>
      </c>
      <c r="CJ36" s="104">
        <f t="shared" si="2"/>
        <v>0</v>
      </c>
      <c r="CK36" s="100"/>
      <c r="CL36" s="100"/>
      <c r="CM36" s="322" t="str">
        <f t="shared" si="23"/>
        <v/>
      </c>
      <c r="CN36" s="322" t="str">
        <f t="shared" si="24"/>
        <v/>
      </c>
      <c r="CO36" s="322" t="str">
        <f t="shared" si="25"/>
        <v/>
      </c>
      <c r="CP36" s="225" t="str">
        <f t="shared" si="26"/>
        <v/>
      </c>
      <c r="CQ36" s="323" t="str">
        <f t="shared" si="27"/>
        <v/>
      </c>
      <c r="CR36" s="105" t="str">
        <f>IF(CQ36="","",IF(CQ36&gt;=menu!$O$6,"A",IF(CQ36&gt;=menu!$O$7,"B",IF(CQ36&gt;=menu!$O$8,"C","D"))))</f>
        <v/>
      </c>
      <c r="CS36" s="105" t="str">
        <f>IF(CQ36="","",IF(CQ36&gt;=menu!$O$6,"sangat baik",IF(CQ36&gt;=menu!$O$7,"baik",IF(CQ36&gt;=menu!$O$8,"cukup","kurang"))))</f>
        <v/>
      </c>
      <c r="CT36" s="398" t="str">
        <f t="shared" si="28"/>
        <v>TIDAK</v>
      </c>
      <c r="CU36" s="397" t="str">
        <f t="shared" si="29"/>
        <v>TIDAK</v>
      </c>
      <c r="CV36" s="115" t="str">
        <f t="shared" si="30"/>
        <v/>
      </c>
      <c r="CW36" s="108" t="e">
        <f>IF(CI36="","",VLOOKUP(CI36,DATAPENG!$BL$3:$BM$12,2,FALSE))</f>
        <v>#N/A</v>
      </c>
      <c r="CX36" s="108" t="e">
        <f>IF(CJ36="","",VLOOKUP(CJ36,DATAPENG!$BL$3:$BM$12,2,FALSE))</f>
        <v>#N/A</v>
      </c>
    </row>
    <row r="37" spans="1:102">
      <c r="A37" s="104">
        <f>'DATA SISWA'!A37</f>
        <v>33</v>
      </c>
      <c r="B37" s="104">
        <f>'DATA SISWA'!B37</f>
        <v>0</v>
      </c>
      <c r="C37" s="104">
        <f>'DATA SISWA'!C37</f>
        <v>0</v>
      </c>
      <c r="D37" s="104">
        <f>'DATA SISWA'!D37</f>
        <v>0</v>
      </c>
      <c r="E37" s="104" t="str">
        <f>'DATA SISWA'!E37</f>
        <v>VII-A</v>
      </c>
      <c r="F37" s="100"/>
      <c r="G37" s="100"/>
      <c r="H37" s="100"/>
      <c r="I37" s="90"/>
      <c r="J37" s="310" t="str">
        <f>IF(AND(F37="",G37="",H37="",I37=""),"",AVERAGE(F37:I37))</f>
        <v/>
      </c>
      <c r="K37" s="100"/>
      <c r="L37" s="100"/>
      <c r="M37" s="319" t="str">
        <f t="shared" si="4"/>
        <v/>
      </c>
      <c r="N37" s="100"/>
      <c r="O37" s="100"/>
      <c r="P37" s="100"/>
      <c r="Q37" s="90"/>
      <c r="R37" s="310" t="str">
        <f>IF(AND(N37="",O37="",P37="",Q37=""),"",AVERAGE(N37:Q37))</f>
        <v/>
      </c>
      <c r="S37" s="100"/>
      <c r="T37" s="100"/>
      <c r="U37" s="319" t="str">
        <f t="shared" si="6"/>
        <v/>
      </c>
      <c r="V37" s="100"/>
      <c r="W37" s="100"/>
      <c r="X37" s="100"/>
      <c r="Y37" s="90"/>
      <c r="Z37" s="310" t="str">
        <f>IF(AND(V37="",W37="",X37="",Y37=""),"",AVERAGE(V37:Y37))</f>
        <v/>
      </c>
      <c r="AA37" s="100"/>
      <c r="AB37" s="100"/>
      <c r="AC37" s="319" t="str">
        <f t="shared" si="8"/>
        <v/>
      </c>
      <c r="AD37" s="100"/>
      <c r="AE37" s="100"/>
      <c r="AF37" s="100"/>
      <c r="AG37" s="90"/>
      <c r="AH37" s="310" t="str">
        <f>IF(AND(AD37="",AE37="",AF37="",AG37=""),"",AVERAGE(AD37:AG37))</f>
        <v/>
      </c>
      <c r="AI37" s="100"/>
      <c r="AJ37" s="100"/>
      <c r="AK37" s="319" t="str">
        <f t="shared" si="10"/>
        <v/>
      </c>
      <c r="AL37" s="100"/>
      <c r="AM37" s="100"/>
      <c r="AN37" s="100"/>
      <c r="AO37" s="90"/>
      <c r="AP37" s="310" t="str">
        <f>IF(AND(AL37="",AM37="",AN37="",AO37=""),"",AVERAGE(AL37:AO37))</f>
        <v/>
      </c>
      <c r="AQ37" s="100"/>
      <c r="AR37" s="100"/>
      <c r="AS37" s="319" t="str">
        <f t="shared" si="12"/>
        <v/>
      </c>
      <c r="AT37" s="100"/>
      <c r="AU37" s="100"/>
      <c r="AV37" s="100"/>
      <c r="AW37" s="90"/>
      <c r="AX37" s="310" t="str">
        <f>IF(AND(AT37="",AU37="",AV37="",AW37=""),"",AVERAGE(AT37:AW37))</f>
        <v/>
      </c>
      <c r="AY37" s="100"/>
      <c r="AZ37" s="100"/>
      <c r="BA37" s="319" t="str">
        <f t="shared" si="14"/>
        <v/>
      </c>
      <c r="BB37" s="100"/>
      <c r="BC37" s="100"/>
      <c r="BD37" s="100"/>
      <c r="BE37" s="90"/>
      <c r="BF37" s="310" t="str">
        <f>IF(AND(BB37="",BC37="",BD37="",BE37=""),"",AVERAGE(BB37:BE37))</f>
        <v/>
      </c>
      <c r="BG37" s="100"/>
      <c r="BH37" s="100"/>
      <c r="BI37" s="319" t="str">
        <f t="shared" si="16"/>
        <v/>
      </c>
      <c r="BJ37" s="100"/>
      <c r="BK37" s="100"/>
      <c r="BL37" s="100"/>
      <c r="BM37" s="90"/>
      <c r="BN37" s="310" t="str">
        <f>IF(AND(BJ37="",BK37="",BL37="",BM37=""),"",AVERAGE(BJ37:BM37))</f>
        <v/>
      </c>
      <c r="BO37" s="100"/>
      <c r="BP37" s="100"/>
      <c r="BQ37" s="319" t="str">
        <f t="shared" si="18"/>
        <v/>
      </c>
      <c r="BR37" s="100"/>
      <c r="BS37" s="100"/>
      <c r="BT37" s="100"/>
      <c r="BU37" s="90"/>
      <c r="BV37" s="310" t="str">
        <f>IF(AND(BR37="",BS37="",BT37="",BU37=""),"",AVERAGE(BR37:BU37))</f>
        <v/>
      </c>
      <c r="BW37" s="100"/>
      <c r="BX37" s="100"/>
      <c r="BY37" s="319" t="str">
        <f t="shared" si="20"/>
        <v/>
      </c>
      <c r="BZ37" s="100"/>
      <c r="CA37" s="100"/>
      <c r="CB37" s="100"/>
      <c r="CC37" s="90"/>
      <c r="CD37" s="310" t="str">
        <f>IF(AND(BZ37="",CA37="",CB37="",CC37=""),"",AVERAGE(BZ37:CC37))</f>
        <v/>
      </c>
      <c r="CE37" s="100"/>
      <c r="CF37" s="100"/>
      <c r="CG37" s="319" t="str">
        <f t="shared" si="22"/>
        <v/>
      </c>
      <c r="CH37" s="321" t="str">
        <f t="shared" si="0"/>
        <v/>
      </c>
      <c r="CI37" s="104">
        <f t="shared" si="1"/>
        <v>0</v>
      </c>
      <c r="CJ37" s="104">
        <f t="shared" si="2"/>
        <v>0</v>
      </c>
      <c r="CK37" s="100"/>
      <c r="CL37" s="100"/>
      <c r="CM37" s="322" t="str">
        <f t="shared" si="23"/>
        <v/>
      </c>
      <c r="CN37" s="322" t="str">
        <f t="shared" si="24"/>
        <v/>
      </c>
      <c r="CO37" s="322" t="str">
        <f t="shared" si="25"/>
        <v/>
      </c>
      <c r="CP37" s="225" t="str">
        <f t="shared" si="26"/>
        <v/>
      </c>
      <c r="CQ37" s="323" t="str">
        <f t="shared" si="27"/>
        <v/>
      </c>
      <c r="CR37" s="105" t="str">
        <f>IF(CQ37="","",IF(CQ37&gt;=menu!$O$6,"A",IF(CQ37&gt;=menu!$O$7,"B",IF(CQ37&gt;=menu!$O$8,"C","D"))))</f>
        <v/>
      </c>
      <c r="CS37" s="105" t="str">
        <f>IF(CQ37="","",IF(CQ37&gt;=menu!$O$6,"sangat baik",IF(CQ37&gt;=menu!$O$7,"baik",IF(CQ37&gt;=menu!$O$8,"cukup","kurang"))))</f>
        <v/>
      </c>
      <c r="CT37" s="398" t="str">
        <f t="shared" si="28"/>
        <v>TIDAK</v>
      </c>
      <c r="CU37" s="397" t="str">
        <f t="shared" si="29"/>
        <v>TIDAK</v>
      </c>
      <c r="CV37" s="115" t="str">
        <f t="shared" si="30"/>
        <v/>
      </c>
      <c r="CW37" s="108" t="e">
        <f>IF(CI37="","",VLOOKUP(CI37,DATAPENG!$BN$3:$BO$12,2,FALSE))</f>
        <v>#N/A</v>
      </c>
      <c r="CX37" s="108" t="e">
        <f>IF(CJ37="","",VLOOKUP(CJ37,DATAPENG!$BN$3:$BO$12,2,FALSE))</f>
        <v>#N/A</v>
      </c>
    </row>
    <row r="38" spans="1:102">
      <c r="A38" s="104">
        <f>'DATA SISWA'!A38</f>
        <v>34</v>
      </c>
      <c r="B38" s="104">
        <f>'DATA SISWA'!B38</f>
        <v>0</v>
      </c>
      <c r="C38" s="104">
        <f>'DATA SISWA'!C38</f>
        <v>0</v>
      </c>
      <c r="D38" s="104">
        <f>'DATA SISWA'!D38</f>
        <v>0</v>
      </c>
      <c r="E38" s="104" t="str">
        <f>'DATA SISWA'!E38</f>
        <v>VII-A</v>
      </c>
      <c r="F38" s="100"/>
      <c r="G38" s="100"/>
      <c r="H38" s="100"/>
      <c r="I38" s="90"/>
      <c r="J38" s="310" t="str">
        <f t="shared" ref="J38:J40" si="101">IF(AND(F38="",G38="",H38="",I38=""),"",AVERAGE(F38:I38))</f>
        <v/>
      </c>
      <c r="K38" s="100"/>
      <c r="L38" s="100"/>
      <c r="M38" s="319" t="str">
        <f t="shared" si="4"/>
        <v/>
      </c>
      <c r="N38" s="100"/>
      <c r="O38" s="100"/>
      <c r="P38" s="100"/>
      <c r="Q38" s="90"/>
      <c r="R38" s="310" t="str">
        <f t="shared" ref="R38:R40" si="102">IF(AND(N38="",O38="",P38="",Q38=""),"",AVERAGE(N38:Q38))</f>
        <v/>
      </c>
      <c r="S38" s="100"/>
      <c r="T38" s="100"/>
      <c r="U38" s="319" t="str">
        <f t="shared" si="6"/>
        <v/>
      </c>
      <c r="V38" s="100"/>
      <c r="W38" s="100"/>
      <c r="X38" s="100"/>
      <c r="Y38" s="90"/>
      <c r="Z38" s="310" t="str">
        <f t="shared" ref="Z38:Z40" si="103">IF(AND(V38="",W38="",X38="",Y38=""),"",AVERAGE(V38:Y38))</f>
        <v/>
      </c>
      <c r="AA38" s="100"/>
      <c r="AB38" s="100"/>
      <c r="AC38" s="319" t="str">
        <f t="shared" si="8"/>
        <v/>
      </c>
      <c r="AD38" s="100"/>
      <c r="AE38" s="100"/>
      <c r="AF38" s="100"/>
      <c r="AG38" s="90"/>
      <c r="AH38" s="310" t="str">
        <f t="shared" ref="AH38:AH40" si="104">IF(AND(AD38="",AE38="",AF38="",AG38=""),"",AVERAGE(AD38:AG38))</f>
        <v/>
      </c>
      <c r="AI38" s="100"/>
      <c r="AJ38" s="100"/>
      <c r="AK38" s="319" t="str">
        <f t="shared" si="10"/>
        <v/>
      </c>
      <c r="AL38" s="100"/>
      <c r="AM38" s="100"/>
      <c r="AN38" s="100"/>
      <c r="AO38" s="90"/>
      <c r="AP38" s="310" t="str">
        <f t="shared" ref="AP38:AP40" si="105">IF(AND(AL38="",AM38="",AN38="",AO38=""),"",AVERAGE(AL38:AO38))</f>
        <v/>
      </c>
      <c r="AQ38" s="100"/>
      <c r="AR38" s="100"/>
      <c r="AS38" s="319" t="str">
        <f t="shared" si="12"/>
        <v/>
      </c>
      <c r="AT38" s="100"/>
      <c r="AU38" s="100"/>
      <c r="AV38" s="100"/>
      <c r="AW38" s="90"/>
      <c r="AX38" s="310" t="str">
        <f t="shared" ref="AX38:AX40" si="106">IF(AND(AT38="",AU38="",AV38="",AW38=""),"",AVERAGE(AT38:AW38))</f>
        <v/>
      </c>
      <c r="AY38" s="100"/>
      <c r="AZ38" s="100"/>
      <c r="BA38" s="319" t="str">
        <f t="shared" si="14"/>
        <v/>
      </c>
      <c r="BB38" s="100"/>
      <c r="BC38" s="100"/>
      <c r="BD38" s="100"/>
      <c r="BE38" s="90"/>
      <c r="BF38" s="310" t="str">
        <f t="shared" ref="BF38:BF40" si="107">IF(AND(BB38="",BC38="",BD38="",BE38=""),"",AVERAGE(BB38:BE38))</f>
        <v/>
      </c>
      <c r="BG38" s="100"/>
      <c r="BH38" s="100"/>
      <c r="BI38" s="319" t="str">
        <f t="shared" si="16"/>
        <v/>
      </c>
      <c r="BJ38" s="100"/>
      <c r="BK38" s="100"/>
      <c r="BL38" s="100"/>
      <c r="BM38" s="90"/>
      <c r="BN38" s="310" t="str">
        <f t="shared" ref="BN38:BN40" si="108">IF(AND(BJ38="",BK38="",BL38="",BM38=""),"",AVERAGE(BJ38:BM38))</f>
        <v/>
      </c>
      <c r="BO38" s="100"/>
      <c r="BP38" s="100"/>
      <c r="BQ38" s="319" t="str">
        <f t="shared" si="18"/>
        <v/>
      </c>
      <c r="BR38" s="100"/>
      <c r="BS38" s="100"/>
      <c r="BT38" s="100"/>
      <c r="BU38" s="90"/>
      <c r="BV38" s="310" t="str">
        <f t="shared" ref="BV38:BV40" si="109">IF(AND(BR38="",BS38="",BT38="",BU38=""),"",AVERAGE(BR38:BU38))</f>
        <v/>
      </c>
      <c r="BW38" s="100"/>
      <c r="BX38" s="100"/>
      <c r="BY38" s="319" t="str">
        <f t="shared" si="20"/>
        <v/>
      </c>
      <c r="BZ38" s="100"/>
      <c r="CA38" s="100"/>
      <c r="CB38" s="100"/>
      <c r="CC38" s="90"/>
      <c r="CD38" s="310" t="str">
        <f t="shared" ref="CD38:CD40" si="110">IF(AND(BZ38="",CA38="",CB38="",CC38=""),"",AVERAGE(BZ38:CC38))</f>
        <v/>
      </c>
      <c r="CE38" s="100"/>
      <c r="CF38" s="100"/>
      <c r="CG38" s="319" t="str">
        <f t="shared" si="22"/>
        <v/>
      </c>
      <c r="CH38" s="321" t="str">
        <f t="shared" si="0"/>
        <v/>
      </c>
      <c r="CI38" s="104">
        <f t="shared" si="1"/>
        <v>0</v>
      </c>
      <c r="CJ38" s="104">
        <f t="shared" si="2"/>
        <v>0</v>
      </c>
      <c r="CK38" s="100"/>
      <c r="CL38" s="100"/>
      <c r="CM38" s="322" t="str">
        <f t="shared" si="23"/>
        <v/>
      </c>
      <c r="CN38" s="322" t="str">
        <f t="shared" si="24"/>
        <v/>
      </c>
      <c r="CO38" s="322" t="str">
        <f t="shared" si="25"/>
        <v/>
      </c>
      <c r="CP38" s="225" t="str">
        <f t="shared" si="26"/>
        <v/>
      </c>
      <c r="CQ38" s="323" t="str">
        <f t="shared" si="27"/>
        <v/>
      </c>
      <c r="CR38" s="105" t="str">
        <f>IF(CQ38="","",IF(CQ38&gt;=menu!$O$6,"A",IF(CQ38&gt;=menu!$O$7,"B",IF(CQ38&gt;=menu!$O$8,"C","D"))))</f>
        <v/>
      </c>
      <c r="CS38" s="105" t="str">
        <f>IF(CQ38="","",IF(CQ38&gt;=menu!$O$6,"sangat baik",IF(CQ38&gt;=menu!$O$7,"baik",IF(CQ38&gt;=menu!$O$8,"cukup","kurang"))))</f>
        <v/>
      </c>
      <c r="CT38" s="398" t="str">
        <f t="shared" si="28"/>
        <v>TIDAK</v>
      </c>
      <c r="CU38" s="397" t="str">
        <f t="shared" si="29"/>
        <v>TIDAK</v>
      </c>
      <c r="CV38" s="115" t="str">
        <f t="shared" si="30"/>
        <v/>
      </c>
      <c r="CW38" s="108" t="e">
        <f>IF(CI38="","",VLOOKUP(CI38,DATAPENG!$BP$3:$BQ$12,2,FALSE))</f>
        <v>#N/A</v>
      </c>
      <c r="CX38" s="108" t="e">
        <f>IF(CJ38="","",VLOOKUP(CJ38,DATAPENG!$BP$3:$BQ$12,2,FALSE))</f>
        <v>#N/A</v>
      </c>
    </row>
    <row r="39" spans="1:102">
      <c r="A39" s="104">
        <f>'DATA SISWA'!A39</f>
        <v>35</v>
      </c>
      <c r="B39" s="104">
        <f>'DATA SISWA'!B39</f>
        <v>0</v>
      </c>
      <c r="C39" s="104">
        <f>'DATA SISWA'!C39</f>
        <v>0</v>
      </c>
      <c r="D39" s="104">
        <f>'DATA SISWA'!D39</f>
        <v>0</v>
      </c>
      <c r="E39" s="104" t="str">
        <f>'DATA SISWA'!E39</f>
        <v>VII-A</v>
      </c>
      <c r="F39" s="100"/>
      <c r="G39" s="100"/>
      <c r="H39" s="100"/>
      <c r="I39" s="90"/>
      <c r="J39" s="310" t="str">
        <f t="shared" si="101"/>
        <v/>
      </c>
      <c r="K39" s="100"/>
      <c r="L39" s="100"/>
      <c r="M39" s="319" t="str">
        <f t="shared" si="4"/>
        <v/>
      </c>
      <c r="N39" s="100"/>
      <c r="O39" s="100"/>
      <c r="P39" s="100"/>
      <c r="Q39" s="90"/>
      <c r="R39" s="310" t="str">
        <f t="shared" si="102"/>
        <v/>
      </c>
      <c r="S39" s="100"/>
      <c r="T39" s="100"/>
      <c r="U39" s="319" t="str">
        <f t="shared" si="6"/>
        <v/>
      </c>
      <c r="V39" s="100"/>
      <c r="W39" s="100"/>
      <c r="X39" s="100"/>
      <c r="Y39" s="90"/>
      <c r="Z39" s="310" t="str">
        <f t="shared" si="103"/>
        <v/>
      </c>
      <c r="AA39" s="100"/>
      <c r="AB39" s="100"/>
      <c r="AC39" s="319" t="str">
        <f t="shared" si="8"/>
        <v/>
      </c>
      <c r="AD39" s="100"/>
      <c r="AE39" s="100"/>
      <c r="AF39" s="100"/>
      <c r="AG39" s="90"/>
      <c r="AH39" s="310" t="str">
        <f t="shared" si="104"/>
        <v/>
      </c>
      <c r="AI39" s="100"/>
      <c r="AJ39" s="100"/>
      <c r="AK39" s="319" t="str">
        <f t="shared" si="10"/>
        <v/>
      </c>
      <c r="AL39" s="100"/>
      <c r="AM39" s="100"/>
      <c r="AN39" s="100"/>
      <c r="AO39" s="90"/>
      <c r="AP39" s="310" t="str">
        <f t="shared" si="105"/>
        <v/>
      </c>
      <c r="AQ39" s="100"/>
      <c r="AR39" s="100"/>
      <c r="AS39" s="319" t="str">
        <f t="shared" si="12"/>
        <v/>
      </c>
      <c r="AT39" s="100"/>
      <c r="AU39" s="100"/>
      <c r="AV39" s="100"/>
      <c r="AW39" s="90"/>
      <c r="AX39" s="310" t="str">
        <f t="shared" si="106"/>
        <v/>
      </c>
      <c r="AY39" s="100"/>
      <c r="AZ39" s="100"/>
      <c r="BA39" s="319" t="str">
        <f t="shared" si="14"/>
        <v/>
      </c>
      <c r="BB39" s="100"/>
      <c r="BC39" s="100"/>
      <c r="BD39" s="100"/>
      <c r="BE39" s="90"/>
      <c r="BF39" s="310" t="str">
        <f t="shared" si="107"/>
        <v/>
      </c>
      <c r="BG39" s="100"/>
      <c r="BH39" s="100"/>
      <c r="BI39" s="319" t="str">
        <f t="shared" si="16"/>
        <v/>
      </c>
      <c r="BJ39" s="100"/>
      <c r="BK39" s="100"/>
      <c r="BL39" s="100"/>
      <c r="BM39" s="90"/>
      <c r="BN39" s="310" t="str">
        <f t="shared" si="108"/>
        <v/>
      </c>
      <c r="BO39" s="100"/>
      <c r="BP39" s="100"/>
      <c r="BQ39" s="319" t="str">
        <f t="shared" si="18"/>
        <v/>
      </c>
      <c r="BR39" s="100"/>
      <c r="BS39" s="100"/>
      <c r="BT39" s="100"/>
      <c r="BU39" s="90"/>
      <c r="BV39" s="310" t="str">
        <f t="shared" si="109"/>
        <v/>
      </c>
      <c r="BW39" s="100"/>
      <c r="BX39" s="100"/>
      <c r="BY39" s="319" t="str">
        <f t="shared" si="20"/>
        <v/>
      </c>
      <c r="BZ39" s="100"/>
      <c r="CA39" s="100"/>
      <c r="CB39" s="100"/>
      <c r="CC39" s="90"/>
      <c r="CD39" s="310" t="str">
        <f t="shared" si="110"/>
        <v/>
      </c>
      <c r="CE39" s="100"/>
      <c r="CF39" s="100"/>
      <c r="CG39" s="319" t="str">
        <f t="shared" si="22"/>
        <v/>
      </c>
      <c r="CH39" s="321" t="str">
        <f t="shared" si="0"/>
        <v/>
      </c>
      <c r="CI39" s="104">
        <f t="shared" si="1"/>
        <v>0</v>
      </c>
      <c r="CJ39" s="104">
        <f t="shared" si="2"/>
        <v>0</v>
      </c>
      <c r="CK39" s="100"/>
      <c r="CL39" s="100"/>
      <c r="CM39" s="322" t="str">
        <f t="shared" si="23"/>
        <v/>
      </c>
      <c r="CN39" s="322" t="str">
        <f t="shared" si="24"/>
        <v/>
      </c>
      <c r="CO39" s="322" t="str">
        <f t="shared" si="25"/>
        <v/>
      </c>
      <c r="CP39" s="225" t="str">
        <f t="shared" si="26"/>
        <v/>
      </c>
      <c r="CQ39" s="323" t="str">
        <f t="shared" si="27"/>
        <v/>
      </c>
      <c r="CR39" s="105" t="str">
        <f>IF(CQ39="","",IF(CQ39&gt;=menu!$O$6,"A",IF(CQ39&gt;=menu!$O$7,"B",IF(CQ39&gt;=menu!$O$8,"C","D"))))</f>
        <v/>
      </c>
      <c r="CS39" s="105" t="str">
        <f>IF(CQ39="","",IF(CQ39&gt;=menu!$O$6,"sangat baik",IF(CQ39&gt;=menu!$O$7,"baik",IF(CQ39&gt;=menu!$O$8,"cukup","kurang"))))</f>
        <v/>
      </c>
      <c r="CT39" s="398" t="str">
        <f t="shared" si="28"/>
        <v>TIDAK</v>
      </c>
      <c r="CU39" s="397" t="str">
        <f t="shared" si="29"/>
        <v>TIDAK</v>
      </c>
      <c r="CV39" s="115" t="str">
        <f t="shared" si="30"/>
        <v/>
      </c>
      <c r="CW39" s="108" t="e">
        <f>IF(CI39="","",VLOOKUP(CI39,DATAPENG!$BR$3:$BS$12,2,FALSE))</f>
        <v>#N/A</v>
      </c>
      <c r="CX39" s="108" t="e">
        <f>IF(CJ39="","",VLOOKUP(CJ39,DATAPENG!$BR$3:$BS$12,2,FALSE))</f>
        <v>#N/A</v>
      </c>
    </row>
    <row r="40" spans="1:102">
      <c r="A40" s="104">
        <f>'DATA SISWA'!A40</f>
        <v>36</v>
      </c>
      <c r="B40" s="104">
        <f>'DATA SISWA'!B40</f>
        <v>0</v>
      </c>
      <c r="C40" s="104">
        <f>'DATA SISWA'!C40</f>
        <v>0</v>
      </c>
      <c r="D40" s="104">
        <f>'DATA SISWA'!D40</f>
        <v>0</v>
      </c>
      <c r="E40" s="104" t="str">
        <f>'DATA SISWA'!E40</f>
        <v>VII-A</v>
      </c>
      <c r="F40" s="100"/>
      <c r="G40" s="100"/>
      <c r="H40" s="100"/>
      <c r="I40" s="90"/>
      <c r="J40" s="310" t="str">
        <f t="shared" si="101"/>
        <v/>
      </c>
      <c r="K40" s="100"/>
      <c r="L40" s="100"/>
      <c r="M40" s="319" t="str">
        <f t="shared" si="4"/>
        <v/>
      </c>
      <c r="N40" s="100"/>
      <c r="O40" s="100"/>
      <c r="P40" s="100"/>
      <c r="Q40" s="90"/>
      <c r="R40" s="310" t="str">
        <f t="shared" si="102"/>
        <v/>
      </c>
      <c r="S40" s="100"/>
      <c r="T40" s="100"/>
      <c r="U40" s="319" t="str">
        <f t="shared" si="6"/>
        <v/>
      </c>
      <c r="V40" s="100"/>
      <c r="W40" s="100"/>
      <c r="X40" s="100"/>
      <c r="Y40" s="90"/>
      <c r="Z40" s="310" t="str">
        <f t="shared" si="103"/>
        <v/>
      </c>
      <c r="AA40" s="100"/>
      <c r="AB40" s="100"/>
      <c r="AC40" s="319" t="str">
        <f t="shared" si="8"/>
        <v/>
      </c>
      <c r="AD40" s="100"/>
      <c r="AE40" s="100"/>
      <c r="AF40" s="100"/>
      <c r="AG40" s="90"/>
      <c r="AH40" s="310" t="str">
        <f t="shared" si="104"/>
        <v/>
      </c>
      <c r="AI40" s="100"/>
      <c r="AJ40" s="100"/>
      <c r="AK40" s="319" t="str">
        <f t="shared" si="10"/>
        <v/>
      </c>
      <c r="AL40" s="100"/>
      <c r="AM40" s="100"/>
      <c r="AN40" s="100"/>
      <c r="AO40" s="90"/>
      <c r="AP40" s="310" t="str">
        <f t="shared" si="105"/>
        <v/>
      </c>
      <c r="AQ40" s="100"/>
      <c r="AR40" s="100"/>
      <c r="AS40" s="319" t="str">
        <f t="shared" si="12"/>
        <v/>
      </c>
      <c r="AT40" s="100"/>
      <c r="AU40" s="100"/>
      <c r="AV40" s="100"/>
      <c r="AW40" s="90"/>
      <c r="AX40" s="310" t="str">
        <f t="shared" si="106"/>
        <v/>
      </c>
      <c r="AY40" s="100"/>
      <c r="AZ40" s="100"/>
      <c r="BA40" s="319" t="str">
        <f t="shared" si="14"/>
        <v/>
      </c>
      <c r="BB40" s="100"/>
      <c r="BC40" s="100"/>
      <c r="BD40" s="100"/>
      <c r="BE40" s="90"/>
      <c r="BF40" s="310" t="str">
        <f t="shared" si="107"/>
        <v/>
      </c>
      <c r="BG40" s="100"/>
      <c r="BH40" s="100"/>
      <c r="BI40" s="319" t="str">
        <f t="shared" si="16"/>
        <v/>
      </c>
      <c r="BJ40" s="100"/>
      <c r="BK40" s="100"/>
      <c r="BL40" s="100"/>
      <c r="BM40" s="90"/>
      <c r="BN40" s="310" t="str">
        <f t="shared" si="108"/>
        <v/>
      </c>
      <c r="BO40" s="100"/>
      <c r="BP40" s="100"/>
      <c r="BQ40" s="319" t="str">
        <f t="shared" si="18"/>
        <v/>
      </c>
      <c r="BR40" s="100"/>
      <c r="BS40" s="100"/>
      <c r="BT40" s="100"/>
      <c r="BU40" s="90"/>
      <c r="BV40" s="310" t="str">
        <f t="shared" si="109"/>
        <v/>
      </c>
      <c r="BW40" s="100"/>
      <c r="BX40" s="100"/>
      <c r="BY40" s="319" t="str">
        <f t="shared" si="20"/>
        <v/>
      </c>
      <c r="BZ40" s="100"/>
      <c r="CA40" s="100"/>
      <c r="CB40" s="100"/>
      <c r="CC40" s="90"/>
      <c r="CD40" s="310" t="str">
        <f t="shared" si="110"/>
        <v/>
      </c>
      <c r="CE40" s="100"/>
      <c r="CF40" s="100"/>
      <c r="CG40" s="319" t="str">
        <f t="shared" si="22"/>
        <v/>
      </c>
      <c r="CH40" s="321" t="str">
        <f t="shared" si="0"/>
        <v/>
      </c>
      <c r="CI40" s="104">
        <f t="shared" si="1"/>
        <v>0</v>
      </c>
      <c r="CJ40" s="104">
        <f t="shared" si="2"/>
        <v>0</v>
      </c>
      <c r="CK40" s="100"/>
      <c r="CL40" s="100"/>
      <c r="CM40" s="322" t="str">
        <f t="shared" si="23"/>
        <v/>
      </c>
      <c r="CN40" s="322" t="str">
        <f t="shared" si="24"/>
        <v/>
      </c>
      <c r="CO40" s="322" t="str">
        <f t="shared" si="25"/>
        <v/>
      </c>
      <c r="CP40" s="225" t="str">
        <f t="shared" si="26"/>
        <v/>
      </c>
      <c r="CQ40" s="323" t="str">
        <f t="shared" si="27"/>
        <v/>
      </c>
      <c r="CR40" s="105" t="str">
        <f>IF(CQ40="","",IF(CQ40&gt;=menu!$O$6,"A",IF(CQ40&gt;=menu!$O$7,"B",IF(CQ40&gt;=menu!$O$8,"C","D"))))</f>
        <v/>
      </c>
      <c r="CS40" s="105" t="str">
        <f>IF(CQ40="","",IF(CQ40&gt;=menu!$O$6,"sangat baik",IF(CQ40&gt;=menu!$O$7,"baik",IF(CQ40&gt;=menu!$O$8,"cukup","kurang"))))</f>
        <v/>
      </c>
      <c r="CT40" s="398" t="str">
        <f t="shared" si="28"/>
        <v>TIDAK</v>
      </c>
      <c r="CU40" s="397" t="str">
        <f t="shared" si="29"/>
        <v>TIDAK</v>
      </c>
      <c r="CV40" s="115" t="str">
        <f t="shared" si="30"/>
        <v/>
      </c>
      <c r="CW40" s="108" t="e">
        <f>IF(CI40="","",VLOOKUP(CI40,DATAPENG!$BT$3:$BU$12,2,FALSE))</f>
        <v>#N/A</v>
      </c>
      <c r="CX40" s="108" t="e">
        <f>IF(CJ40="","",VLOOKUP(CJ40,DATAPENG!$BT$3:$BU$12,2,FALSE))</f>
        <v>#N/A</v>
      </c>
    </row>
    <row r="41" spans="1:102">
      <c r="A41" s="104">
        <f>'DATA SISWA'!A41</f>
        <v>37</v>
      </c>
      <c r="B41" s="104">
        <f>'DATA SISWA'!B41</f>
        <v>0</v>
      </c>
      <c r="C41" s="104">
        <f>'DATA SISWA'!C41</f>
        <v>0</v>
      </c>
      <c r="D41" s="104">
        <f>'DATA SISWA'!D41</f>
        <v>0</v>
      </c>
      <c r="E41" s="104" t="str">
        <f>'DATA SISWA'!E41</f>
        <v>VII-A</v>
      </c>
      <c r="F41" s="100"/>
      <c r="G41" s="100"/>
      <c r="H41" s="100"/>
      <c r="I41" s="90"/>
      <c r="J41" s="310" t="str">
        <f>IF(AND(F41="",G41="",H41="",I41=""),"",AVERAGE(F41:I41))</f>
        <v/>
      </c>
      <c r="K41" s="100"/>
      <c r="L41" s="100"/>
      <c r="M41" s="319" t="str">
        <f t="shared" si="4"/>
        <v/>
      </c>
      <c r="N41" s="100"/>
      <c r="O41" s="100"/>
      <c r="P41" s="100"/>
      <c r="Q41" s="90"/>
      <c r="R41" s="310" t="str">
        <f>IF(AND(N41="",O41="",P41="",Q41=""),"",AVERAGE(N41:Q41))</f>
        <v/>
      </c>
      <c r="S41" s="100"/>
      <c r="T41" s="100"/>
      <c r="U41" s="319" t="str">
        <f t="shared" si="6"/>
        <v/>
      </c>
      <c r="V41" s="100"/>
      <c r="W41" s="100"/>
      <c r="X41" s="100"/>
      <c r="Y41" s="90"/>
      <c r="Z41" s="310" t="str">
        <f>IF(AND(V41="",W41="",X41="",Y41=""),"",AVERAGE(V41:Y41))</f>
        <v/>
      </c>
      <c r="AA41" s="100"/>
      <c r="AB41" s="100"/>
      <c r="AC41" s="319" t="str">
        <f t="shared" si="8"/>
        <v/>
      </c>
      <c r="AD41" s="100"/>
      <c r="AE41" s="100"/>
      <c r="AF41" s="100"/>
      <c r="AG41" s="90"/>
      <c r="AH41" s="310" t="str">
        <f>IF(AND(AD41="",AE41="",AF41="",AG41=""),"",AVERAGE(AD41:AG41))</f>
        <v/>
      </c>
      <c r="AI41" s="100"/>
      <c r="AJ41" s="100"/>
      <c r="AK41" s="319" t="str">
        <f t="shared" si="10"/>
        <v/>
      </c>
      <c r="AL41" s="100"/>
      <c r="AM41" s="100"/>
      <c r="AN41" s="100"/>
      <c r="AO41" s="90"/>
      <c r="AP41" s="310" t="str">
        <f>IF(AND(AL41="",AM41="",AN41="",AO41=""),"",AVERAGE(AL41:AO41))</f>
        <v/>
      </c>
      <c r="AQ41" s="100"/>
      <c r="AR41" s="100"/>
      <c r="AS41" s="319" t="str">
        <f t="shared" si="12"/>
        <v/>
      </c>
      <c r="AT41" s="100"/>
      <c r="AU41" s="100"/>
      <c r="AV41" s="100"/>
      <c r="AW41" s="90"/>
      <c r="AX41" s="310" t="str">
        <f>IF(AND(AT41="",AU41="",AV41="",AW41=""),"",AVERAGE(AT41:AW41))</f>
        <v/>
      </c>
      <c r="AY41" s="100"/>
      <c r="AZ41" s="100"/>
      <c r="BA41" s="319" t="str">
        <f t="shared" si="14"/>
        <v/>
      </c>
      <c r="BB41" s="100"/>
      <c r="BC41" s="100"/>
      <c r="BD41" s="100"/>
      <c r="BE41" s="90"/>
      <c r="BF41" s="310" t="str">
        <f>IF(AND(BB41="",BC41="",BD41="",BE41=""),"",AVERAGE(BB41:BE41))</f>
        <v/>
      </c>
      <c r="BG41" s="100"/>
      <c r="BH41" s="100"/>
      <c r="BI41" s="319" t="str">
        <f t="shared" si="16"/>
        <v/>
      </c>
      <c r="BJ41" s="100"/>
      <c r="BK41" s="100"/>
      <c r="BL41" s="100"/>
      <c r="BM41" s="90"/>
      <c r="BN41" s="310" t="str">
        <f>IF(AND(BJ41="",BK41="",BL41="",BM41=""),"",AVERAGE(BJ41:BM41))</f>
        <v/>
      </c>
      <c r="BO41" s="100"/>
      <c r="BP41" s="100"/>
      <c r="BQ41" s="319" t="str">
        <f t="shared" si="18"/>
        <v/>
      </c>
      <c r="BR41" s="100"/>
      <c r="BS41" s="100"/>
      <c r="BT41" s="100"/>
      <c r="BU41" s="90"/>
      <c r="BV41" s="310" t="str">
        <f>IF(AND(BR41="",BS41="",BT41="",BU41=""),"",AVERAGE(BR41:BU41))</f>
        <v/>
      </c>
      <c r="BW41" s="100"/>
      <c r="BX41" s="100"/>
      <c r="BY41" s="319" t="str">
        <f t="shared" si="20"/>
        <v/>
      </c>
      <c r="BZ41" s="100"/>
      <c r="CA41" s="100"/>
      <c r="CB41" s="100"/>
      <c r="CC41" s="90"/>
      <c r="CD41" s="310" t="str">
        <f>IF(AND(BZ41="",CA41="",CB41="",CC41=""),"",AVERAGE(BZ41:CC41))</f>
        <v/>
      </c>
      <c r="CE41" s="100"/>
      <c r="CF41" s="100"/>
      <c r="CG41" s="319" t="str">
        <f t="shared" si="22"/>
        <v/>
      </c>
      <c r="CH41" s="321" t="str">
        <f t="shared" si="0"/>
        <v/>
      </c>
      <c r="CI41" s="104">
        <f t="shared" si="1"/>
        <v>0</v>
      </c>
      <c r="CJ41" s="104">
        <f t="shared" si="2"/>
        <v>0</v>
      </c>
      <c r="CK41" s="100"/>
      <c r="CL41" s="100"/>
      <c r="CM41" s="322" t="str">
        <f t="shared" si="23"/>
        <v/>
      </c>
      <c r="CN41" s="322" t="str">
        <f t="shared" si="24"/>
        <v/>
      </c>
      <c r="CO41" s="322" t="str">
        <f t="shared" si="25"/>
        <v/>
      </c>
      <c r="CP41" s="225" t="str">
        <f t="shared" si="26"/>
        <v/>
      </c>
      <c r="CQ41" s="323" t="str">
        <f t="shared" si="27"/>
        <v/>
      </c>
      <c r="CR41" s="105" t="str">
        <f>IF(CQ41="","",IF(CQ41&gt;=menu!$O$6,"A",IF(CQ41&gt;=menu!$O$7,"B",IF(CQ41&gt;=menu!$O$8,"C","D"))))</f>
        <v/>
      </c>
      <c r="CS41" s="105" t="str">
        <f>IF(CQ41="","",IF(CQ41&gt;=menu!$O$6,"sangat baik",IF(CQ41&gt;=menu!$O$7,"baik",IF(CQ41&gt;=menu!$O$8,"cukup","kurang"))))</f>
        <v/>
      </c>
      <c r="CT41" s="398" t="str">
        <f t="shared" si="28"/>
        <v>TIDAK</v>
      </c>
      <c r="CU41" s="397" t="str">
        <f t="shared" si="29"/>
        <v>TIDAK</v>
      </c>
      <c r="CV41" s="115" t="str">
        <f t="shared" si="30"/>
        <v/>
      </c>
      <c r="CW41" s="108" t="e">
        <f>IF(CI41="","",VLOOKUP(CI41,DATAPENG!$BV$3:$BW$12,2,FALSE))</f>
        <v>#N/A</v>
      </c>
      <c r="CX41" s="108" t="e">
        <f>IF(CJ41="","",VLOOKUP(CJ41,DATAPENG!$BV$3:$BW$12,2,FALSE))</f>
        <v>#N/A</v>
      </c>
    </row>
    <row r="42" spans="1:102">
      <c r="A42" s="104">
        <f>'DATA SISWA'!A42</f>
        <v>38</v>
      </c>
      <c r="B42" s="104">
        <f>'DATA SISWA'!B42</f>
        <v>0</v>
      </c>
      <c r="C42" s="104">
        <f>'DATA SISWA'!C42</f>
        <v>0</v>
      </c>
      <c r="D42" s="104">
        <f>'DATA SISWA'!D42</f>
        <v>0</v>
      </c>
      <c r="E42" s="104" t="str">
        <f>'DATA SISWA'!E42</f>
        <v>VII-A</v>
      </c>
      <c r="F42" s="100"/>
      <c r="G42" s="100"/>
      <c r="H42" s="100"/>
      <c r="I42" s="90"/>
      <c r="J42" s="310" t="str">
        <f t="shared" ref="J42:J44" si="111">IF(AND(F42="",G42="",H42="",I42=""),"",AVERAGE(F42:I42))</f>
        <v/>
      </c>
      <c r="K42" s="100"/>
      <c r="L42" s="100"/>
      <c r="M42" s="319" t="str">
        <f t="shared" si="4"/>
        <v/>
      </c>
      <c r="N42" s="100"/>
      <c r="O42" s="100"/>
      <c r="P42" s="100"/>
      <c r="Q42" s="90"/>
      <c r="R42" s="310" t="str">
        <f t="shared" ref="R42:R44" si="112">IF(AND(N42="",O42="",P42="",Q42=""),"",AVERAGE(N42:Q42))</f>
        <v/>
      </c>
      <c r="S42" s="100"/>
      <c r="T42" s="100"/>
      <c r="U42" s="319" t="str">
        <f t="shared" si="6"/>
        <v/>
      </c>
      <c r="V42" s="100"/>
      <c r="W42" s="100"/>
      <c r="X42" s="100"/>
      <c r="Y42" s="90"/>
      <c r="Z42" s="310" t="str">
        <f t="shared" ref="Z42:Z44" si="113">IF(AND(V42="",W42="",X42="",Y42=""),"",AVERAGE(V42:Y42))</f>
        <v/>
      </c>
      <c r="AA42" s="100"/>
      <c r="AB42" s="100"/>
      <c r="AC42" s="319" t="str">
        <f t="shared" si="8"/>
        <v/>
      </c>
      <c r="AD42" s="100"/>
      <c r="AE42" s="100"/>
      <c r="AF42" s="100"/>
      <c r="AG42" s="90"/>
      <c r="AH42" s="310" t="str">
        <f t="shared" ref="AH42:AH44" si="114">IF(AND(AD42="",AE42="",AF42="",AG42=""),"",AVERAGE(AD42:AG42))</f>
        <v/>
      </c>
      <c r="AI42" s="100"/>
      <c r="AJ42" s="100"/>
      <c r="AK42" s="319" t="str">
        <f t="shared" si="10"/>
        <v/>
      </c>
      <c r="AL42" s="100"/>
      <c r="AM42" s="100"/>
      <c r="AN42" s="100"/>
      <c r="AO42" s="90"/>
      <c r="AP42" s="310" t="str">
        <f t="shared" ref="AP42:AP44" si="115">IF(AND(AL42="",AM42="",AN42="",AO42=""),"",AVERAGE(AL42:AO42))</f>
        <v/>
      </c>
      <c r="AQ42" s="100"/>
      <c r="AR42" s="100"/>
      <c r="AS42" s="319" t="str">
        <f t="shared" si="12"/>
        <v/>
      </c>
      <c r="AT42" s="100"/>
      <c r="AU42" s="100"/>
      <c r="AV42" s="100"/>
      <c r="AW42" s="90"/>
      <c r="AX42" s="310" t="str">
        <f t="shared" ref="AX42:AX44" si="116">IF(AND(AT42="",AU42="",AV42="",AW42=""),"",AVERAGE(AT42:AW42))</f>
        <v/>
      </c>
      <c r="AY42" s="100"/>
      <c r="AZ42" s="100"/>
      <c r="BA42" s="319" t="str">
        <f t="shared" si="14"/>
        <v/>
      </c>
      <c r="BB42" s="100"/>
      <c r="BC42" s="100"/>
      <c r="BD42" s="100"/>
      <c r="BE42" s="90"/>
      <c r="BF42" s="310" t="str">
        <f t="shared" ref="BF42:BF44" si="117">IF(AND(BB42="",BC42="",BD42="",BE42=""),"",AVERAGE(BB42:BE42))</f>
        <v/>
      </c>
      <c r="BG42" s="100"/>
      <c r="BH42" s="100"/>
      <c r="BI42" s="319" t="str">
        <f t="shared" si="16"/>
        <v/>
      </c>
      <c r="BJ42" s="100"/>
      <c r="BK42" s="100"/>
      <c r="BL42" s="100"/>
      <c r="BM42" s="90"/>
      <c r="BN42" s="310" t="str">
        <f t="shared" ref="BN42:BN44" si="118">IF(AND(BJ42="",BK42="",BL42="",BM42=""),"",AVERAGE(BJ42:BM42))</f>
        <v/>
      </c>
      <c r="BO42" s="100"/>
      <c r="BP42" s="100"/>
      <c r="BQ42" s="319" t="str">
        <f t="shared" si="18"/>
        <v/>
      </c>
      <c r="BR42" s="100"/>
      <c r="BS42" s="100"/>
      <c r="BT42" s="100"/>
      <c r="BU42" s="90"/>
      <c r="BV42" s="310" t="str">
        <f t="shared" ref="BV42:BV44" si="119">IF(AND(BR42="",BS42="",BT42="",BU42=""),"",AVERAGE(BR42:BU42))</f>
        <v/>
      </c>
      <c r="BW42" s="100"/>
      <c r="BX42" s="100"/>
      <c r="BY42" s="319" t="str">
        <f t="shared" si="20"/>
        <v/>
      </c>
      <c r="BZ42" s="100"/>
      <c r="CA42" s="100"/>
      <c r="CB42" s="100"/>
      <c r="CC42" s="90"/>
      <c r="CD42" s="310" t="str">
        <f t="shared" ref="CD42:CD44" si="120">IF(AND(BZ42="",CA42="",CB42="",CC42=""),"",AVERAGE(BZ42:CC42))</f>
        <v/>
      </c>
      <c r="CE42" s="100"/>
      <c r="CF42" s="100"/>
      <c r="CG42" s="319" t="str">
        <f t="shared" si="22"/>
        <v/>
      </c>
      <c r="CH42" s="321" t="str">
        <f t="shared" si="0"/>
        <v/>
      </c>
      <c r="CI42" s="104">
        <f t="shared" si="1"/>
        <v>0</v>
      </c>
      <c r="CJ42" s="104">
        <f t="shared" si="2"/>
        <v>0</v>
      </c>
      <c r="CK42" s="100"/>
      <c r="CL42" s="100"/>
      <c r="CM42" s="322" t="str">
        <f t="shared" si="23"/>
        <v/>
      </c>
      <c r="CN42" s="322" t="str">
        <f t="shared" si="24"/>
        <v/>
      </c>
      <c r="CO42" s="322" t="str">
        <f t="shared" si="25"/>
        <v/>
      </c>
      <c r="CP42" s="225" t="str">
        <f t="shared" si="26"/>
        <v/>
      </c>
      <c r="CQ42" s="323" t="str">
        <f t="shared" si="27"/>
        <v/>
      </c>
      <c r="CR42" s="105" t="str">
        <f>IF(CQ42="","",IF(CQ42&gt;=menu!$O$6,"A",IF(CQ42&gt;=menu!$O$7,"B",IF(CQ42&gt;=menu!$O$8,"C","D"))))</f>
        <v/>
      </c>
      <c r="CS42" s="105" t="str">
        <f>IF(CQ42="","",IF(CQ42&gt;=menu!$O$6,"sangat baik",IF(CQ42&gt;=menu!$O$7,"baik",IF(CQ42&gt;=menu!$O$8,"cukup","kurang"))))</f>
        <v/>
      </c>
      <c r="CT42" s="398" t="str">
        <f t="shared" si="28"/>
        <v>TIDAK</v>
      </c>
      <c r="CU42" s="397" t="str">
        <f t="shared" si="29"/>
        <v>TIDAK</v>
      </c>
      <c r="CV42" s="115" t="str">
        <f t="shared" si="30"/>
        <v/>
      </c>
      <c r="CW42" s="108" t="e">
        <f>IF(CI42="","",VLOOKUP(CI42,DATAPENG!$BX$3:$BY$12,2,FALSE))</f>
        <v>#N/A</v>
      </c>
      <c r="CX42" s="108" t="e">
        <f>IF(CJ42="","",VLOOKUP(CJ42,DATAPENG!$BX$3:$BY$12,2,FALSE))</f>
        <v>#N/A</v>
      </c>
    </row>
    <row r="43" spans="1:102">
      <c r="A43" s="104">
        <f>'DATA SISWA'!A43</f>
        <v>39</v>
      </c>
      <c r="B43" s="104">
        <f>'DATA SISWA'!B43</f>
        <v>0</v>
      </c>
      <c r="C43" s="104">
        <f>'DATA SISWA'!C43</f>
        <v>0</v>
      </c>
      <c r="D43" s="104">
        <f>'DATA SISWA'!D43</f>
        <v>0</v>
      </c>
      <c r="E43" s="104" t="str">
        <f>'DATA SISWA'!E43</f>
        <v>VII-A</v>
      </c>
      <c r="F43" s="100"/>
      <c r="G43" s="100"/>
      <c r="H43" s="100"/>
      <c r="I43" s="90"/>
      <c r="J43" s="310" t="str">
        <f t="shared" si="111"/>
        <v/>
      </c>
      <c r="K43" s="100"/>
      <c r="L43" s="100"/>
      <c r="M43" s="319" t="str">
        <f t="shared" si="4"/>
        <v/>
      </c>
      <c r="N43" s="100"/>
      <c r="O43" s="100"/>
      <c r="P43" s="100"/>
      <c r="Q43" s="90"/>
      <c r="R43" s="310" t="str">
        <f t="shared" si="112"/>
        <v/>
      </c>
      <c r="S43" s="100"/>
      <c r="T43" s="100"/>
      <c r="U43" s="319" t="str">
        <f t="shared" si="6"/>
        <v/>
      </c>
      <c r="V43" s="100"/>
      <c r="W43" s="100"/>
      <c r="X43" s="100"/>
      <c r="Y43" s="90"/>
      <c r="Z43" s="310" t="str">
        <f t="shared" si="113"/>
        <v/>
      </c>
      <c r="AA43" s="100"/>
      <c r="AB43" s="100"/>
      <c r="AC43" s="319" t="str">
        <f t="shared" si="8"/>
        <v/>
      </c>
      <c r="AD43" s="100"/>
      <c r="AE43" s="100"/>
      <c r="AF43" s="100"/>
      <c r="AG43" s="90"/>
      <c r="AH43" s="310" t="str">
        <f t="shared" si="114"/>
        <v/>
      </c>
      <c r="AI43" s="100"/>
      <c r="AJ43" s="100"/>
      <c r="AK43" s="319" t="str">
        <f t="shared" si="10"/>
        <v/>
      </c>
      <c r="AL43" s="100"/>
      <c r="AM43" s="100"/>
      <c r="AN43" s="100"/>
      <c r="AO43" s="90"/>
      <c r="AP43" s="310" t="str">
        <f t="shared" si="115"/>
        <v/>
      </c>
      <c r="AQ43" s="100"/>
      <c r="AR43" s="100"/>
      <c r="AS43" s="319" t="str">
        <f t="shared" si="12"/>
        <v/>
      </c>
      <c r="AT43" s="100"/>
      <c r="AU43" s="100"/>
      <c r="AV43" s="100"/>
      <c r="AW43" s="90"/>
      <c r="AX43" s="310" t="str">
        <f t="shared" si="116"/>
        <v/>
      </c>
      <c r="AY43" s="100"/>
      <c r="AZ43" s="100"/>
      <c r="BA43" s="319" t="str">
        <f t="shared" si="14"/>
        <v/>
      </c>
      <c r="BB43" s="100"/>
      <c r="BC43" s="100"/>
      <c r="BD43" s="100"/>
      <c r="BE43" s="90"/>
      <c r="BF43" s="310" t="str">
        <f t="shared" si="117"/>
        <v/>
      </c>
      <c r="BG43" s="100"/>
      <c r="BH43" s="100"/>
      <c r="BI43" s="319" t="str">
        <f t="shared" si="16"/>
        <v/>
      </c>
      <c r="BJ43" s="100"/>
      <c r="BK43" s="100"/>
      <c r="BL43" s="100"/>
      <c r="BM43" s="90"/>
      <c r="BN43" s="310" t="str">
        <f t="shared" si="118"/>
        <v/>
      </c>
      <c r="BO43" s="100"/>
      <c r="BP43" s="100"/>
      <c r="BQ43" s="319" t="str">
        <f t="shared" si="18"/>
        <v/>
      </c>
      <c r="BR43" s="100"/>
      <c r="BS43" s="100"/>
      <c r="BT43" s="100"/>
      <c r="BU43" s="90"/>
      <c r="BV43" s="310" t="str">
        <f t="shared" si="119"/>
        <v/>
      </c>
      <c r="BW43" s="100"/>
      <c r="BX43" s="100"/>
      <c r="BY43" s="319" t="str">
        <f t="shared" si="20"/>
        <v/>
      </c>
      <c r="BZ43" s="100"/>
      <c r="CA43" s="100"/>
      <c r="CB43" s="100"/>
      <c r="CC43" s="90"/>
      <c r="CD43" s="310" t="str">
        <f t="shared" si="120"/>
        <v/>
      </c>
      <c r="CE43" s="100"/>
      <c r="CF43" s="100"/>
      <c r="CG43" s="319" t="str">
        <f t="shared" si="22"/>
        <v/>
      </c>
      <c r="CH43" s="321" t="str">
        <f t="shared" si="0"/>
        <v/>
      </c>
      <c r="CI43" s="104">
        <f t="shared" si="1"/>
        <v>0</v>
      </c>
      <c r="CJ43" s="104">
        <f t="shared" si="2"/>
        <v>0</v>
      </c>
      <c r="CK43" s="100"/>
      <c r="CL43" s="100"/>
      <c r="CM43" s="322" t="str">
        <f t="shared" si="23"/>
        <v/>
      </c>
      <c r="CN43" s="322" t="str">
        <f t="shared" si="24"/>
        <v/>
      </c>
      <c r="CO43" s="322" t="str">
        <f t="shared" si="25"/>
        <v/>
      </c>
      <c r="CP43" s="225" t="str">
        <f t="shared" si="26"/>
        <v/>
      </c>
      <c r="CQ43" s="323" t="str">
        <f t="shared" si="27"/>
        <v/>
      </c>
      <c r="CR43" s="105" t="str">
        <f>IF(CQ43="","",IF(CQ43&gt;=menu!$O$6,"A",IF(CQ43&gt;=menu!$O$7,"B",IF(CQ43&gt;=menu!$O$8,"C","D"))))</f>
        <v/>
      </c>
      <c r="CS43" s="105" t="str">
        <f>IF(CQ43="","",IF(CQ43&gt;=menu!$O$6,"sangat baik",IF(CQ43&gt;=menu!$O$7,"baik",IF(CQ43&gt;=menu!$O$8,"cukup","kurang"))))</f>
        <v/>
      </c>
      <c r="CT43" s="398" t="str">
        <f t="shared" si="28"/>
        <v>TIDAK</v>
      </c>
      <c r="CU43" s="397" t="str">
        <f t="shared" si="29"/>
        <v>TIDAK</v>
      </c>
      <c r="CV43" s="115" t="str">
        <f t="shared" si="30"/>
        <v/>
      </c>
      <c r="CW43" s="108" t="e">
        <f>IF(CI43="","",VLOOKUP(CI43,DATAPENG!$BZ$3:$CA$12,2,FALSE))</f>
        <v>#N/A</v>
      </c>
      <c r="CX43" s="108" t="e">
        <f>IF(CJ43="","",VLOOKUP(CJ43,DATAPENG!$BZ$3:$CA$12,2,FALSE))</f>
        <v>#N/A</v>
      </c>
    </row>
    <row r="44" spans="1:102">
      <c r="A44" s="104">
        <f>'DATA SISWA'!A44</f>
        <v>40</v>
      </c>
      <c r="B44" s="104">
        <f>'DATA SISWA'!B44</f>
        <v>0</v>
      </c>
      <c r="C44" s="104">
        <f>'DATA SISWA'!C44</f>
        <v>0</v>
      </c>
      <c r="D44" s="104">
        <f>'DATA SISWA'!D44</f>
        <v>0</v>
      </c>
      <c r="E44" s="104" t="str">
        <f>'DATA SISWA'!E44</f>
        <v>VII-A</v>
      </c>
      <c r="F44" s="100"/>
      <c r="G44" s="100"/>
      <c r="H44" s="100"/>
      <c r="I44" s="90"/>
      <c r="J44" s="310" t="str">
        <f t="shared" si="111"/>
        <v/>
      </c>
      <c r="K44" s="100"/>
      <c r="L44" s="100"/>
      <c r="M44" s="319" t="str">
        <f t="shared" si="4"/>
        <v/>
      </c>
      <c r="N44" s="100"/>
      <c r="O44" s="100"/>
      <c r="P44" s="100"/>
      <c r="Q44" s="90"/>
      <c r="R44" s="310" t="str">
        <f t="shared" si="112"/>
        <v/>
      </c>
      <c r="S44" s="100"/>
      <c r="T44" s="100"/>
      <c r="U44" s="319" t="str">
        <f t="shared" si="6"/>
        <v/>
      </c>
      <c r="V44" s="100"/>
      <c r="W44" s="100"/>
      <c r="X44" s="100"/>
      <c r="Y44" s="90"/>
      <c r="Z44" s="310" t="str">
        <f t="shared" si="113"/>
        <v/>
      </c>
      <c r="AA44" s="100"/>
      <c r="AB44" s="100"/>
      <c r="AC44" s="319" t="str">
        <f t="shared" si="8"/>
        <v/>
      </c>
      <c r="AD44" s="100"/>
      <c r="AE44" s="100"/>
      <c r="AF44" s="100"/>
      <c r="AG44" s="90"/>
      <c r="AH44" s="310" t="str">
        <f t="shared" si="114"/>
        <v/>
      </c>
      <c r="AI44" s="100"/>
      <c r="AJ44" s="100"/>
      <c r="AK44" s="319" t="str">
        <f t="shared" si="10"/>
        <v/>
      </c>
      <c r="AL44" s="100"/>
      <c r="AM44" s="100"/>
      <c r="AN44" s="100"/>
      <c r="AO44" s="90"/>
      <c r="AP44" s="310" t="str">
        <f t="shared" si="115"/>
        <v/>
      </c>
      <c r="AQ44" s="100"/>
      <c r="AR44" s="100"/>
      <c r="AS44" s="319" t="str">
        <f t="shared" si="12"/>
        <v/>
      </c>
      <c r="AT44" s="100"/>
      <c r="AU44" s="100"/>
      <c r="AV44" s="100"/>
      <c r="AW44" s="90"/>
      <c r="AX44" s="310" t="str">
        <f t="shared" si="116"/>
        <v/>
      </c>
      <c r="AY44" s="100"/>
      <c r="AZ44" s="100"/>
      <c r="BA44" s="319" t="str">
        <f t="shared" si="14"/>
        <v/>
      </c>
      <c r="BB44" s="100"/>
      <c r="BC44" s="100"/>
      <c r="BD44" s="100"/>
      <c r="BE44" s="90"/>
      <c r="BF44" s="310" t="str">
        <f t="shared" si="117"/>
        <v/>
      </c>
      <c r="BG44" s="100"/>
      <c r="BH44" s="100"/>
      <c r="BI44" s="319" t="str">
        <f t="shared" si="16"/>
        <v/>
      </c>
      <c r="BJ44" s="100"/>
      <c r="BK44" s="100"/>
      <c r="BL44" s="100"/>
      <c r="BM44" s="90"/>
      <c r="BN44" s="310" t="str">
        <f t="shared" si="118"/>
        <v/>
      </c>
      <c r="BO44" s="100"/>
      <c r="BP44" s="100"/>
      <c r="BQ44" s="319" t="str">
        <f t="shared" si="18"/>
        <v/>
      </c>
      <c r="BR44" s="100"/>
      <c r="BS44" s="100"/>
      <c r="BT44" s="100"/>
      <c r="BU44" s="90"/>
      <c r="BV44" s="310" t="str">
        <f t="shared" si="119"/>
        <v/>
      </c>
      <c r="BW44" s="100"/>
      <c r="BX44" s="100"/>
      <c r="BY44" s="319" t="str">
        <f t="shared" si="20"/>
        <v/>
      </c>
      <c r="BZ44" s="100"/>
      <c r="CA44" s="100"/>
      <c r="CB44" s="100"/>
      <c r="CC44" s="90"/>
      <c r="CD44" s="310" t="str">
        <f t="shared" si="120"/>
        <v/>
      </c>
      <c r="CE44" s="100"/>
      <c r="CF44" s="100"/>
      <c r="CG44" s="319" t="str">
        <f t="shared" si="22"/>
        <v/>
      </c>
      <c r="CH44" s="321" t="str">
        <f t="shared" si="0"/>
        <v/>
      </c>
      <c r="CI44" s="104">
        <f t="shared" si="1"/>
        <v>0</v>
      </c>
      <c r="CJ44" s="104">
        <f t="shared" si="2"/>
        <v>0</v>
      </c>
      <c r="CK44" s="100"/>
      <c r="CL44" s="100"/>
      <c r="CM44" s="322" t="str">
        <f t="shared" si="23"/>
        <v/>
      </c>
      <c r="CN44" s="322" t="str">
        <f t="shared" si="24"/>
        <v/>
      </c>
      <c r="CO44" s="322" t="str">
        <f t="shared" si="25"/>
        <v/>
      </c>
      <c r="CP44" s="225" t="str">
        <f t="shared" si="26"/>
        <v/>
      </c>
      <c r="CQ44" s="323" t="str">
        <f t="shared" si="27"/>
        <v/>
      </c>
      <c r="CR44" s="105" t="str">
        <f>IF(CQ44="","",IF(CQ44&gt;=menu!$O$6,"A",IF(CQ44&gt;=menu!$O$7,"B",IF(CQ44&gt;=menu!$O$8,"C","D"))))</f>
        <v/>
      </c>
      <c r="CS44" s="105" t="str">
        <f>IF(CQ44="","",IF(CQ44&gt;=menu!$O$6,"sangat baik",IF(CQ44&gt;=menu!$O$7,"baik",IF(CQ44&gt;=menu!$O$8,"cukup","kurang"))))</f>
        <v/>
      </c>
      <c r="CT44" s="398" t="str">
        <f t="shared" si="28"/>
        <v>TIDAK</v>
      </c>
      <c r="CU44" s="397" t="str">
        <f t="shared" si="29"/>
        <v>TIDAK</v>
      </c>
      <c r="CV44" s="115" t="str">
        <f t="shared" si="30"/>
        <v/>
      </c>
      <c r="CW44" s="108" t="e">
        <f>IF(CI44="","",VLOOKUP(CI44,DATAPENG!$CB$3:$CC$12,2,FALSE))</f>
        <v>#N/A</v>
      </c>
      <c r="CX44" s="108" t="e">
        <f>IF(CJ44="","",VLOOKUP(CJ44,DATAPENG!$CB$3:$CC$12,2,FALSE))</f>
        <v>#N/A</v>
      </c>
    </row>
    <row r="45" spans="1:102">
      <c r="A45" s="104">
        <f>'DATA SISWA'!A45</f>
        <v>41</v>
      </c>
      <c r="B45" s="104">
        <f>'DATA SISWA'!B45</f>
        <v>0</v>
      </c>
      <c r="C45" s="104">
        <f>'DATA SISWA'!C45</f>
        <v>0</v>
      </c>
      <c r="D45" s="104">
        <f>'DATA SISWA'!D45</f>
        <v>0</v>
      </c>
      <c r="E45" s="104" t="str">
        <f>'DATA SISWA'!E45</f>
        <v>VII-A</v>
      </c>
      <c r="F45" s="100"/>
      <c r="G45" s="100"/>
      <c r="H45" s="100"/>
      <c r="I45" s="90"/>
      <c r="J45" s="310" t="str">
        <f>IF(AND(F45="",G45="",H45="",I45=""),"",AVERAGE(F45:I45))</f>
        <v/>
      </c>
      <c r="K45" s="100"/>
      <c r="L45" s="100"/>
      <c r="M45" s="319" t="str">
        <f t="shared" si="4"/>
        <v/>
      </c>
      <c r="N45" s="100"/>
      <c r="O45" s="100"/>
      <c r="P45" s="100"/>
      <c r="Q45" s="90"/>
      <c r="R45" s="310" t="str">
        <f>IF(AND(N45="",O45="",P45="",Q45=""),"",AVERAGE(N45:Q45))</f>
        <v/>
      </c>
      <c r="S45" s="100"/>
      <c r="T45" s="100"/>
      <c r="U45" s="319" t="str">
        <f t="shared" si="6"/>
        <v/>
      </c>
      <c r="V45" s="100"/>
      <c r="W45" s="100"/>
      <c r="X45" s="100"/>
      <c r="Y45" s="90"/>
      <c r="Z45" s="310" t="str">
        <f>IF(AND(V45="",W45="",X45="",Y45=""),"",AVERAGE(V45:Y45))</f>
        <v/>
      </c>
      <c r="AA45" s="100"/>
      <c r="AB45" s="100"/>
      <c r="AC45" s="319" t="str">
        <f t="shared" si="8"/>
        <v/>
      </c>
      <c r="AD45" s="100"/>
      <c r="AE45" s="100"/>
      <c r="AF45" s="100"/>
      <c r="AG45" s="90"/>
      <c r="AH45" s="310" t="str">
        <f>IF(AND(AD45="",AE45="",AF45="",AG45=""),"",AVERAGE(AD45:AG45))</f>
        <v/>
      </c>
      <c r="AI45" s="100"/>
      <c r="AJ45" s="100"/>
      <c r="AK45" s="319" t="str">
        <f t="shared" si="10"/>
        <v/>
      </c>
      <c r="AL45" s="100"/>
      <c r="AM45" s="100"/>
      <c r="AN45" s="100"/>
      <c r="AO45" s="90"/>
      <c r="AP45" s="310" t="str">
        <f>IF(AND(AL45="",AM45="",AN45="",AO45=""),"",AVERAGE(AL45:AO45))</f>
        <v/>
      </c>
      <c r="AQ45" s="100"/>
      <c r="AR45" s="100"/>
      <c r="AS45" s="319" t="str">
        <f t="shared" si="12"/>
        <v/>
      </c>
      <c r="AT45" s="100"/>
      <c r="AU45" s="100"/>
      <c r="AV45" s="100"/>
      <c r="AW45" s="90"/>
      <c r="AX45" s="310" t="str">
        <f>IF(AND(AT45="",AU45="",AV45="",AW45=""),"",AVERAGE(AT45:AW45))</f>
        <v/>
      </c>
      <c r="AY45" s="100"/>
      <c r="AZ45" s="100"/>
      <c r="BA45" s="319" t="str">
        <f t="shared" si="14"/>
        <v/>
      </c>
      <c r="BB45" s="100"/>
      <c r="BC45" s="100"/>
      <c r="BD45" s="100"/>
      <c r="BE45" s="90"/>
      <c r="BF45" s="310" t="str">
        <f>IF(AND(BB45="",BC45="",BD45="",BE45=""),"",AVERAGE(BB45:BE45))</f>
        <v/>
      </c>
      <c r="BG45" s="100"/>
      <c r="BH45" s="100"/>
      <c r="BI45" s="319" t="str">
        <f t="shared" si="16"/>
        <v/>
      </c>
      <c r="BJ45" s="100"/>
      <c r="BK45" s="100"/>
      <c r="BL45" s="100"/>
      <c r="BM45" s="90"/>
      <c r="BN45" s="310" t="str">
        <f>IF(AND(BJ45="",BK45="",BL45="",BM45=""),"",AVERAGE(BJ45:BM45))</f>
        <v/>
      </c>
      <c r="BO45" s="100"/>
      <c r="BP45" s="100"/>
      <c r="BQ45" s="319" t="str">
        <f t="shared" si="18"/>
        <v/>
      </c>
      <c r="BR45" s="100"/>
      <c r="BS45" s="100"/>
      <c r="BT45" s="100"/>
      <c r="BU45" s="90"/>
      <c r="BV45" s="310" t="str">
        <f>IF(AND(BR45="",BS45="",BT45="",BU45=""),"",AVERAGE(BR45:BU45))</f>
        <v/>
      </c>
      <c r="BW45" s="100"/>
      <c r="BX45" s="100"/>
      <c r="BY45" s="319" t="str">
        <f t="shared" si="20"/>
        <v/>
      </c>
      <c r="BZ45" s="100"/>
      <c r="CA45" s="100"/>
      <c r="CB45" s="100"/>
      <c r="CC45" s="90"/>
      <c r="CD45" s="310" t="str">
        <f>IF(AND(BZ45="",CA45="",CB45="",CC45=""),"",AVERAGE(BZ45:CC45))</f>
        <v/>
      </c>
      <c r="CE45" s="100"/>
      <c r="CF45" s="100"/>
      <c r="CG45" s="319" t="str">
        <f t="shared" si="22"/>
        <v/>
      </c>
      <c r="CH45" s="321" t="str">
        <f t="shared" si="0"/>
        <v/>
      </c>
      <c r="CI45" s="104">
        <f t="shared" si="1"/>
        <v>0</v>
      </c>
      <c r="CJ45" s="104">
        <f t="shared" si="2"/>
        <v>0</v>
      </c>
      <c r="CK45" s="100"/>
      <c r="CL45" s="100"/>
      <c r="CM45" s="322" t="str">
        <f t="shared" si="23"/>
        <v/>
      </c>
      <c r="CN45" s="322" t="str">
        <f t="shared" si="24"/>
        <v/>
      </c>
      <c r="CO45" s="322" t="str">
        <f t="shared" si="25"/>
        <v/>
      </c>
      <c r="CP45" s="225" t="str">
        <f t="shared" si="26"/>
        <v/>
      </c>
      <c r="CQ45" s="323" t="str">
        <f t="shared" si="27"/>
        <v/>
      </c>
      <c r="CR45" s="105" t="str">
        <f>IF(CQ45="","",IF(CQ45&gt;=menu!$O$6,"A",IF(CQ45&gt;=menu!$O$7,"B",IF(CQ45&gt;=menu!$O$8,"C","D"))))</f>
        <v/>
      </c>
      <c r="CS45" s="105" t="str">
        <f>IF(CQ45="","",IF(CQ45&gt;=menu!$O$6,"sangat baik",IF(CQ45&gt;=menu!$O$7,"baik",IF(CQ45&gt;=menu!$O$8,"cukup","kurang"))))</f>
        <v/>
      </c>
      <c r="CT45" s="398" t="str">
        <f t="shared" si="28"/>
        <v>TIDAK</v>
      </c>
      <c r="CU45" s="397" t="str">
        <f t="shared" si="29"/>
        <v>TIDAK</v>
      </c>
      <c r="CV45" s="115" t="str">
        <f t="shared" si="30"/>
        <v/>
      </c>
      <c r="CW45" s="108" t="e">
        <f>IF(CI45="","",VLOOKUP(CI45,DATAPENG!$CD$3:$CE$12,2,FALSE))</f>
        <v>#N/A</v>
      </c>
      <c r="CX45" s="108" t="e">
        <f>IF(CJ45="","",VLOOKUP(CJ45,DATAPENG!$CD$3:$CE$12,2,FALSE))</f>
        <v>#N/A</v>
      </c>
    </row>
    <row r="46" spans="1:102">
      <c r="A46" s="104">
        <f>'DATA SISWA'!A46</f>
        <v>42</v>
      </c>
      <c r="B46" s="104">
        <f>'DATA SISWA'!B46</f>
        <v>0</v>
      </c>
      <c r="C46" s="104">
        <f>'DATA SISWA'!C46</f>
        <v>0</v>
      </c>
      <c r="D46" s="104">
        <f>'DATA SISWA'!D46</f>
        <v>0</v>
      </c>
      <c r="E46" s="104" t="str">
        <f>'DATA SISWA'!E46</f>
        <v>VII-A</v>
      </c>
      <c r="F46" s="100"/>
      <c r="G46" s="100"/>
      <c r="H46" s="100"/>
      <c r="I46" s="90"/>
      <c r="J46" s="310" t="str">
        <f t="shared" ref="J46:J48" si="121">IF(AND(F46="",G46="",H46="",I46=""),"",AVERAGE(F46:I46))</f>
        <v/>
      </c>
      <c r="K46" s="100"/>
      <c r="L46" s="100"/>
      <c r="M46" s="319" t="str">
        <f t="shared" si="4"/>
        <v/>
      </c>
      <c r="N46" s="100"/>
      <c r="O46" s="100"/>
      <c r="P46" s="100"/>
      <c r="Q46" s="90"/>
      <c r="R46" s="310" t="str">
        <f t="shared" ref="R46:R48" si="122">IF(AND(N46="",O46="",P46="",Q46=""),"",AVERAGE(N46:Q46))</f>
        <v/>
      </c>
      <c r="S46" s="100"/>
      <c r="T46" s="100"/>
      <c r="U46" s="319" t="str">
        <f t="shared" si="6"/>
        <v/>
      </c>
      <c r="V46" s="100"/>
      <c r="W46" s="100"/>
      <c r="X46" s="100"/>
      <c r="Y46" s="90"/>
      <c r="Z46" s="310" t="str">
        <f t="shared" ref="Z46:Z48" si="123">IF(AND(V46="",W46="",X46="",Y46=""),"",AVERAGE(V46:Y46))</f>
        <v/>
      </c>
      <c r="AA46" s="100"/>
      <c r="AB46" s="100"/>
      <c r="AC46" s="319" t="str">
        <f t="shared" si="8"/>
        <v/>
      </c>
      <c r="AD46" s="100"/>
      <c r="AE46" s="100"/>
      <c r="AF46" s="100"/>
      <c r="AG46" s="90"/>
      <c r="AH46" s="310" t="str">
        <f t="shared" ref="AH46:AH48" si="124">IF(AND(AD46="",AE46="",AF46="",AG46=""),"",AVERAGE(AD46:AG46))</f>
        <v/>
      </c>
      <c r="AI46" s="100"/>
      <c r="AJ46" s="100"/>
      <c r="AK46" s="319" t="str">
        <f t="shared" si="10"/>
        <v/>
      </c>
      <c r="AL46" s="100"/>
      <c r="AM46" s="100"/>
      <c r="AN46" s="100"/>
      <c r="AO46" s="90"/>
      <c r="AP46" s="310" t="str">
        <f t="shared" ref="AP46:AP48" si="125">IF(AND(AL46="",AM46="",AN46="",AO46=""),"",AVERAGE(AL46:AO46))</f>
        <v/>
      </c>
      <c r="AQ46" s="100"/>
      <c r="AR46" s="100"/>
      <c r="AS46" s="319" t="str">
        <f t="shared" si="12"/>
        <v/>
      </c>
      <c r="AT46" s="100"/>
      <c r="AU46" s="100"/>
      <c r="AV46" s="100"/>
      <c r="AW46" s="90"/>
      <c r="AX46" s="310" t="str">
        <f t="shared" ref="AX46:AX48" si="126">IF(AND(AT46="",AU46="",AV46="",AW46=""),"",AVERAGE(AT46:AW46))</f>
        <v/>
      </c>
      <c r="AY46" s="100"/>
      <c r="AZ46" s="100"/>
      <c r="BA46" s="319" t="str">
        <f t="shared" si="14"/>
        <v/>
      </c>
      <c r="BB46" s="100"/>
      <c r="BC46" s="100"/>
      <c r="BD46" s="100"/>
      <c r="BE46" s="90"/>
      <c r="BF46" s="310" t="str">
        <f t="shared" ref="BF46:BF48" si="127">IF(AND(BB46="",BC46="",BD46="",BE46=""),"",AVERAGE(BB46:BE46))</f>
        <v/>
      </c>
      <c r="BG46" s="100"/>
      <c r="BH46" s="100"/>
      <c r="BI46" s="319" t="str">
        <f t="shared" si="16"/>
        <v/>
      </c>
      <c r="BJ46" s="100"/>
      <c r="BK46" s="100"/>
      <c r="BL46" s="100"/>
      <c r="BM46" s="90"/>
      <c r="BN46" s="310" t="str">
        <f t="shared" ref="BN46:BN48" si="128">IF(AND(BJ46="",BK46="",BL46="",BM46=""),"",AVERAGE(BJ46:BM46))</f>
        <v/>
      </c>
      <c r="BO46" s="100"/>
      <c r="BP46" s="100"/>
      <c r="BQ46" s="319" t="str">
        <f t="shared" si="18"/>
        <v/>
      </c>
      <c r="BR46" s="100"/>
      <c r="BS46" s="100"/>
      <c r="BT46" s="100"/>
      <c r="BU46" s="90"/>
      <c r="BV46" s="310" t="str">
        <f t="shared" ref="BV46:BV48" si="129">IF(AND(BR46="",BS46="",BT46="",BU46=""),"",AVERAGE(BR46:BU46))</f>
        <v/>
      </c>
      <c r="BW46" s="100"/>
      <c r="BX46" s="100"/>
      <c r="BY46" s="319" t="str">
        <f t="shared" si="20"/>
        <v/>
      </c>
      <c r="BZ46" s="100"/>
      <c r="CA46" s="100"/>
      <c r="CB46" s="100"/>
      <c r="CC46" s="90"/>
      <c r="CD46" s="310" t="str">
        <f t="shared" ref="CD46:CD48" si="130">IF(AND(BZ46="",CA46="",CB46="",CC46=""),"",AVERAGE(BZ46:CC46))</f>
        <v/>
      </c>
      <c r="CE46" s="100"/>
      <c r="CF46" s="100"/>
      <c r="CG46" s="319" t="str">
        <f t="shared" si="22"/>
        <v/>
      </c>
      <c r="CH46" s="321" t="str">
        <f t="shared" si="0"/>
        <v/>
      </c>
      <c r="CI46" s="104">
        <f t="shared" si="1"/>
        <v>0</v>
      </c>
      <c r="CJ46" s="104">
        <f t="shared" si="2"/>
        <v>0</v>
      </c>
      <c r="CK46" s="100"/>
      <c r="CL46" s="100"/>
      <c r="CM46" s="322" t="str">
        <f t="shared" si="23"/>
        <v/>
      </c>
      <c r="CN46" s="322" t="str">
        <f t="shared" si="24"/>
        <v/>
      </c>
      <c r="CO46" s="322" t="str">
        <f t="shared" si="25"/>
        <v/>
      </c>
      <c r="CP46" s="225" t="str">
        <f t="shared" si="26"/>
        <v/>
      </c>
      <c r="CQ46" s="323" t="str">
        <f t="shared" si="27"/>
        <v/>
      </c>
      <c r="CR46" s="105" t="str">
        <f>IF(CQ46="","",IF(CQ46&gt;=menu!$O$6,"A",IF(CQ46&gt;=menu!$O$7,"B",IF(CQ46&gt;=menu!$O$8,"C","D"))))</f>
        <v/>
      </c>
      <c r="CS46" s="105" t="str">
        <f>IF(CQ46="","",IF(CQ46&gt;=menu!$O$6,"sangat baik",IF(CQ46&gt;=menu!$O$7,"baik",IF(CQ46&gt;=menu!$O$8,"cukup","kurang"))))</f>
        <v/>
      </c>
      <c r="CT46" s="398" t="str">
        <f t="shared" si="28"/>
        <v>TIDAK</v>
      </c>
      <c r="CU46" s="397" t="str">
        <f t="shared" si="29"/>
        <v>TIDAK</v>
      </c>
      <c r="CV46" s="115" t="str">
        <f t="shared" si="30"/>
        <v/>
      </c>
      <c r="CW46" s="108" t="e">
        <f>IF(CI46="","",VLOOKUP(CI46,DATAPENG!$CF$3:$CG$12,2,FALSE))</f>
        <v>#N/A</v>
      </c>
      <c r="CX46" s="108" t="e">
        <f>IF(CJ46="","",VLOOKUP(CJ46,DATAPENG!$CF$3:$CG$12,2,FALSE))</f>
        <v>#N/A</v>
      </c>
    </row>
    <row r="47" spans="1:102">
      <c r="A47" s="104">
        <f>'DATA SISWA'!A47</f>
        <v>43</v>
      </c>
      <c r="B47" s="104">
        <f>'DATA SISWA'!B47</f>
        <v>0</v>
      </c>
      <c r="C47" s="104">
        <f>'DATA SISWA'!C47</f>
        <v>0</v>
      </c>
      <c r="D47" s="104">
        <f>'DATA SISWA'!D47</f>
        <v>0</v>
      </c>
      <c r="E47" s="104" t="str">
        <f>'DATA SISWA'!E47</f>
        <v>VII-A</v>
      </c>
      <c r="F47" s="100"/>
      <c r="G47" s="100"/>
      <c r="H47" s="100"/>
      <c r="I47" s="90"/>
      <c r="J47" s="310" t="str">
        <f t="shared" si="121"/>
        <v/>
      </c>
      <c r="K47" s="100"/>
      <c r="L47" s="100"/>
      <c r="M47" s="319" t="str">
        <f t="shared" si="4"/>
        <v/>
      </c>
      <c r="N47" s="100"/>
      <c r="O47" s="100"/>
      <c r="P47" s="100"/>
      <c r="Q47" s="90"/>
      <c r="R47" s="310" t="str">
        <f t="shared" si="122"/>
        <v/>
      </c>
      <c r="S47" s="100"/>
      <c r="T47" s="100"/>
      <c r="U47" s="319" t="str">
        <f t="shared" si="6"/>
        <v/>
      </c>
      <c r="V47" s="100"/>
      <c r="W47" s="100"/>
      <c r="X47" s="100"/>
      <c r="Y47" s="90"/>
      <c r="Z47" s="310" t="str">
        <f t="shared" si="123"/>
        <v/>
      </c>
      <c r="AA47" s="100"/>
      <c r="AB47" s="100"/>
      <c r="AC47" s="319" t="str">
        <f t="shared" si="8"/>
        <v/>
      </c>
      <c r="AD47" s="100"/>
      <c r="AE47" s="100"/>
      <c r="AF47" s="100"/>
      <c r="AG47" s="90"/>
      <c r="AH47" s="310" t="str">
        <f t="shared" si="124"/>
        <v/>
      </c>
      <c r="AI47" s="100"/>
      <c r="AJ47" s="100"/>
      <c r="AK47" s="319" t="str">
        <f t="shared" si="10"/>
        <v/>
      </c>
      <c r="AL47" s="100"/>
      <c r="AM47" s="100"/>
      <c r="AN47" s="100"/>
      <c r="AO47" s="90"/>
      <c r="AP47" s="310" t="str">
        <f t="shared" si="125"/>
        <v/>
      </c>
      <c r="AQ47" s="100"/>
      <c r="AR47" s="100"/>
      <c r="AS47" s="319" t="str">
        <f t="shared" si="12"/>
        <v/>
      </c>
      <c r="AT47" s="100"/>
      <c r="AU47" s="100"/>
      <c r="AV47" s="100"/>
      <c r="AW47" s="90"/>
      <c r="AX47" s="310" t="str">
        <f t="shared" si="126"/>
        <v/>
      </c>
      <c r="AY47" s="100"/>
      <c r="AZ47" s="100"/>
      <c r="BA47" s="319" t="str">
        <f t="shared" si="14"/>
        <v/>
      </c>
      <c r="BB47" s="100"/>
      <c r="BC47" s="100"/>
      <c r="BD47" s="100"/>
      <c r="BE47" s="90"/>
      <c r="BF47" s="310" t="str">
        <f t="shared" si="127"/>
        <v/>
      </c>
      <c r="BG47" s="100"/>
      <c r="BH47" s="100"/>
      <c r="BI47" s="319" t="str">
        <f t="shared" si="16"/>
        <v/>
      </c>
      <c r="BJ47" s="100"/>
      <c r="BK47" s="100"/>
      <c r="BL47" s="100"/>
      <c r="BM47" s="90"/>
      <c r="BN47" s="310" t="str">
        <f t="shared" si="128"/>
        <v/>
      </c>
      <c r="BO47" s="100"/>
      <c r="BP47" s="100"/>
      <c r="BQ47" s="319" t="str">
        <f t="shared" si="18"/>
        <v/>
      </c>
      <c r="BR47" s="100"/>
      <c r="BS47" s="100"/>
      <c r="BT47" s="100"/>
      <c r="BU47" s="90"/>
      <c r="BV47" s="310" t="str">
        <f t="shared" si="129"/>
        <v/>
      </c>
      <c r="BW47" s="100"/>
      <c r="BX47" s="100"/>
      <c r="BY47" s="319" t="str">
        <f t="shared" si="20"/>
        <v/>
      </c>
      <c r="BZ47" s="100"/>
      <c r="CA47" s="100"/>
      <c r="CB47" s="100"/>
      <c r="CC47" s="90"/>
      <c r="CD47" s="310" t="str">
        <f t="shared" si="130"/>
        <v/>
      </c>
      <c r="CE47" s="100"/>
      <c r="CF47" s="100"/>
      <c r="CG47" s="319" t="str">
        <f t="shared" si="22"/>
        <v/>
      </c>
      <c r="CH47" s="321" t="str">
        <f t="shared" si="0"/>
        <v/>
      </c>
      <c r="CI47" s="104">
        <f t="shared" si="1"/>
        <v>0</v>
      </c>
      <c r="CJ47" s="104">
        <f t="shared" si="2"/>
        <v>0</v>
      </c>
      <c r="CK47" s="100"/>
      <c r="CL47" s="100"/>
      <c r="CM47" s="322" t="str">
        <f t="shared" si="23"/>
        <v/>
      </c>
      <c r="CN47" s="322" t="str">
        <f t="shared" si="24"/>
        <v/>
      </c>
      <c r="CO47" s="322" t="str">
        <f t="shared" si="25"/>
        <v/>
      </c>
      <c r="CP47" s="225" t="str">
        <f t="shared" si="26"/>
        <v/>
      </c>
      <c r="CQ47" s="323" t="str">
        <f t="shared" si="27"/>
        <v/>
      </c>
      <c r="CR47" s="105" t="str">
        <f>IF(CQ47="","",IF(CQ47&gt;=menu!$O$6,"A",IF(CQ47&gt;=menu!$O$7,"B",IF(CQ47&gt;=menu!$O$8,"C","D"))))</f>
        <v/>
      </c>
      <c r="CS47" s="105" t="str">
        <f>IF(CQ47="","",IF(CQ47&gt;=menu!$O$6,"sangat baik",IF(CQ47&gt;=menu!$O$7,"baik",IF(CQ47&gt;=menu!$O$8,"cukup","kurang"))))</f>
        <v/>
      </c>
      <c r="CT47" s="398" t="str">
        <f t="shared" si="28"/>
        <v>TIDAK</v>
      </c>
      <c r="CU47" s="397" t="str">
        <f t="shared" si="29"/>
        <v>TIDAK</v>
      </c>
      <c r="CV47" s="115" t="str">
        <f t="shared" si="30"/>
        <v/>
      </c>
      <c r="CW47" s="108" t="e">
        <f>IF(CI47="","",VLOOKUP(CI47,DATAPENG!$CH$3:$CI$12,2,FALSE))</f>
        <v>#N/A</v>
      </c>
      <c r="CX47" s="108" t="e">
        <f>IF(CJ47="","",VLOOKUP(CJ47,DATAPENG!$CH$3:$CI$12,2,FALSE))</f>
        <v>#N/A</v>
      </c>
    </row>
    <row r="48" spans="1:102">
      <c r="A48" s="104">
        <f>'DATA SISWA'!A48</f>
        <v>44</v>
      </c>
      <c r="B48" s="104">
        <f>'DATA SISWA'!B48</f>
        <v>0</v>
      </c>
      <c r="C48" s="104">
        <f>'DATA SISWA'!C48</f>
        <v>0</v>
      </c>
      <c r="D48" s="104">
        <f>'DATA SISWA'!D48</f>
        <v>0</v>
      </c>
      <c r="E48" s="104" t="str">
        <f>'DATA SISWA'!E48</f>
        <v>VII-A</v>
      </c>
      <c r="F48" s="100"/>
      <c r="G48" s="100"/>
      <c r="H48" s="100"/>
      <c r="I48" s="90"/>
      <c r="J48" s="310" t="str">
        <f t="shared" si="121"/>
        <v/>
      </c>
      <c r="K48" s="100"/>
      <c r="L48" s="100"/>
      <c r="M48" s="319" t="str">
        <f t="shared" si="4"/>
        <v/>
      </c>
      <c r="N48" s="100"/>
      <c r="O48" s="100"/>
      <c r="P48" s="100"/>
      <c r="Q48" s="90"/>
      <c r="R48" s="310" t="str">
        <f t="shared" si="122"/>
        <v/>
      </c>
      <c r="S48" s="100"/>
      <c r="T48" s="100"/>
      <c r="U48" s="319" t="str">
        <f t="shared" si="6"/>
        <v/>
      </c>
      <c r="V48" s="100"/>
      <c r="W48" s="100"/>
      <c r="X48" s="100"/>
      <c r="Y48" s="90"/>
      <c r="Z48" s="310" t="str">
        <f t="shared" si="123"/>
        <v/>
      </c>
      <c r="AA48" s="100"/>
      <c r="AB48" s="100"/>
      <c r="AC48" s="319" t="str">
        <f t="shared" si="8"/>
        <v/>
      </c>
      <c r="AD48" s="100"/>
      <c r="AE48" s="100"/>
      <c r="AF48" s="100"/>
      <c r="AG48" s="90"/>
      <c r="AH48" s="310" t="str">
        <f t="shared" si="124"/>
        <v/>
      </c>
      <c r="AI48" s="100"/>
      <c r="AJ48" s="100"/>
      <c r="AK48" s="319" t="str">
        <f t="shared" si="10"/>
        <v/>
      </c>
      <c r="AL48" s="100"/>
      <c r="AM48" s="100"/>
      <c r="AN48" s="100"/>
      <c r="AO48" s="90"/>
      <c r="AP48" s="310" t="str">
        <f t="shared" si="125"/>
        <v/>
      </c>
      <c r="AQ48" s="100"/>
      <c r="AR48" s="100"/>
      <c r="AS48" s="319" t="str">
        <f t="shared" si="12"/>
        <v/>
      </c>
      <c r="AT48" s="100"/>
      <c r="AU48" s="100"/>
      <c r="AV48" s="100"/>
      <c r="AW48" s="90"/>
      <c r="AX48" s="310" t="str">
        <f t="shared" si="126"/>
        <v/>
      </c>
      <c r="AY48" s="100"/>
      <c r="AZ48" s="100"/>
      <c r="BA48" s="319" t="str">
        <f t="shared" si="14"/>
        <v/>
      </c>
      <c r="BB48" s="100"/>
      <c r="BC48" s="100"/>
      <c r="BD48" s="100"/>
      <c r="BE48" s="90"/>
      <c r="BF48" s="310" t="str">
        <f t="shared" si="127"/>
        <v/>
      </c>
      <c r="BG48" s="100"/>
      <c r="BH48" s="100"/>
      <c r="BI48" s="319" t="str">
        <f t="shared" si="16"/>
        <v/>
      </c>
      <c r="BJ48" s="100"/>
      <c r="BK48" s="100"/>
      <c r="BL48" s="100"/>
      <c r="BM48" s="90"/>
      <c r="BN48" s="310" t="str">
        <f t="shared" si="128"/>
        <v/>
      </c>
      <c r="BO48" s="100"/>
      <c r="BP48" s="100"/>
      <c r="BQ48" s="319" t="str">
        <f t="shared" si="18"/>
        <v/>
      </c>
      <c r="BR48" s="100"/>
      <c r="BS48" s="100"/>
      <c r="BT48" s="100"/>
      <c r="BU48" s="90"/>
      <c r="BV48" s="310" t="str">
        <f t="shared" si="129"/>
        <v/>
      </c>
      <c r="BW48" s="100"/>
      <c r="BX48" s="100"/>
      <c r="BY48" s="319" t="str">
        <f t="shared" si="20"/>
        <v/>
      </c>
      <c r="BZ48" s="100"/>
      <c r="CA48" s="100"/>
      <c r="CB48" s="100"/>
      <c r="CC48" s="90"/>
      <c r="CD48" s="310" t="str">
        <f t="shared" si="130"/>
        <v/>
      </c>
      <c r="CE48" s="100"/>
      <c r="CF48" s="100"/>
      <c r="CG48" s="319" t="str">
        <f t="shared" si="22"/>
        <v/>
      </c>
      <c r="CH48" s="321" t="str">
        <f t="shared" si="0"/>
        <v/>
      </c>
      <c r="CI48" s="104">
        <f t="shared" si="1"/>
        <v>0</v>
      </c>
      <c r="CJ48" s="104">
        <f t="shared" si="2"/>
        <v>0</v>
      </c>
      <c r="CK48" s="100"/>
      <c r="CL48" s="100"/>
      <c r="CM48" s="322" t="str">
        <f t="shared" si="23"/>
        <v/>
      </c>
      <c r="CN48" s="322" t="str">
        <f t="shared" si="24"/>
        <v/>
      </c>
      <c r="CO48" s="322" t="str">
        <f t="shared" si="25"/>
        <v/>
      </c>
      <c r="CP48" s="225" t="str">
        <f t="shared" si="26"/>
        <v/>
      </c>
      <c r="CQ48" s="323" t="str">
        <f t="shared" si="27"/>
        <v/>
      </c>
      <c r="CR48" s="105" t="str">
        <f>IF(CQ48="","",IF(CQ48&gt;=menu!$O$6,"A",IF(CQ48&gt;=menu!$O$7,"B",IF(CQ48&gt;=menu!$O$8,"C","D"))))</f>
        <v/>
      </c>
      <c r="CS48" s="105" t="str">
        <f>IF(CQ48="","",IF(CQ48&gt;=menu!$O$6,"sangat baik",IF(CQ48&gt;=menu!$O$7,"baik",IF(CQ48&gt;=menu!$O$8,"cukup","kurang"))))</f>
        <v/>
      </c>
      <c r="CT48" s="398" t="str">
        <f t="shared" si="28"/>
        <v>TIDAK</v>
      </c>
      <c r="CU48" s="397" t="str">
        <f t="shared" si="29"/>
        <v>TIDAK</v>
      </c>
      <c r="CV48" s="115" t="str">
        <f t="shared" si="30"/>
        <v/>
      </c>
      <c r="CW48" s="108" t="e">
        <f>IF(CI48="","",VLOOKUP(CI48,DATAPENG!$CJ$3:$CK$12,2,FALSE))</f>
        <v>#N/A</v>
      </c>
      <c r="CX48" s="108" t="e">
        <f>IF(CJ48="","",VLOOKUP(CJ48,DATAPENG!$CJ$3:$CK$12,2,FALSE))</f>
        <v>#N/A</v>
      </c>
    </row>
    <row r="49" spans="1:102">
      <c r="A49" s="104">
        <f>'DATA SISWA'!A49</f>
        <v>45</v>
      </c>
      <c r="B49" s="104">
        <f>'DATA SISWA'!B49</f>
        <v>0</v>
      </c>
      <c r="C49" s="104">
        <f>'DATA SISWA'!C49</f>
        <v>0</v>
      </c>
      <c r="D49" s="104">
        <f>'DATA SISWA'!D49</f>
        <v>0</v>
      </c>
      <c r="E49" s="104" t="str">
        <f>'DATA SISWA'!E49</f>
        <v>VII-A</v>
      </c>
      <c r="F49" s="100"/>
      <c r="G49" s="100"/>
      <c r="H49" s="100"/>
      <c r="I49" s="90"/>
      <c r="J49" s="310" t="str">
        <f>IF(AND(F49="",G49="",H49="",I49=""),"",AVERAGE(F49:I49))</f>
        <v/>
      </c>
      <c r="K49" s="100"/>
      <c r="L49" s="100"/>
      <c r="M49" s="319" t="str">
        <f t="shared" si="4"/>
        <v/>
      </c>
      <c r="N49" s="100"/>
      <c r="O49" s="100"/>
      <c r="P49" s="100"/>
      <c r="Q49" s="90"/>
      <c r="R49" s="310" t="str">
        <f>IF(AND(N49="",O49="",P49="",Q49=""),"",AVERAGE(N49:Q49))</f>
        <v/>
      </c>
      <c r="S49" s="100"/>
      <c r="T49" s="100"/>
      <c r="U49" s="319" t="str">
        <f t="shared" si="6"/>
        <v/>
      </c>
      <c r="V49" s="100"/>
      <c r="W49" s="100"/>
      <c r="X49" s="100"/>
      <c r="Y49" s="90"/>
      <c r="Z49" s="310" t="str">
        <f>IF(AND(V49="",W49="",X49="",Y49=""),"",AVERAGE(V49:Y49))</f>
        <v/>
      </c>
      <c r="AA49" s="100"/>
      <c r="AB49" s="100"/>
      <c r="AC49" s="319" t="str">
        <f t="shared" si="8"/>
        <v/>
      </c>
      <c r="AD49" s="100"/>
      <c r="AE49" s="100"/>
      <c r="AF49" s="100"/>
      <c r="AG49" s="90"/>
      <c r="AH49" s="310" t="str">
        <f>IF(AND(AD49="",AE49="",AF49="",AG49=""),"",AVERAGE(AD49:AG49))</f>
        <v/>
      </c>
      <c r="AI49" s="100"/>
      <c r="AJ49" s="100"/>
      <c r="AK49" s="319" t="str">
        <f t="shared" si="10"/>
        <v/>
      </c>
      <c r="AL49" s="100"/>
      <c r="AM49" s="100"/>
      <c r="AN49" s="100"/>
      <c r="AO49" s="90"/>
      <c r="AP49" s="310" t="str">
        <f>IF(AND(AL49="",AM49="",AN49="",AO49=""),"",AVERAGE(AL49:AO49))</f>
        <v/>
      </c>
      <c r="AQ49" s="100"/>
      <c r="AR49" s="100"/>
      <c r="AS49" s="319" t="str">
        <f t="shared" si="12"/>
        <v/>
      </c>
      <c r="AT49" s="100"/>
      <c r="AU49" s="100"/>
      <c r="AV49" s="100"/>
      <c r="AW49" s="90"/>
      <c r="AX49" s="310" t="str">
        <f>IF(AND(AT49="",AU49="",AV49="",AW49=""),"",AVERAGE(AT49:AW49))</f>
        <v/>
      </c>
      <c r="AY49" s="100"/>
      <c r="AZ49" s="100"/>
      <c r="BA49" s="319" t="str">
        <f t="shared" si="14"/>
        <v/>
      </c>
      <c r="BB49" s="100"/>
      <c r="BC49" s="100"/>
      <c r="BD49" s="100"/>
      <c r="BE49" s="90"/>
      <c r="BF49" s="310" t="str">
        <f>IF(AND(BB49="",BC49="",BD49="",BE49=""),"",AVERAGE(BB49:BE49))</f>
        <v/>
      </c>
      <c r="BG49" s="100"/>
      <c r="BH49" s="100"/>
      <c r="BI49" s="319" t="str">
        <f t="shared" si="16"/>
        <v/>
      </c>
      <c r="BJ49" s="100"/>
      <c r="BK49" s="100"/>
      <c r="BL49" s="100"/>
      <c r="BM49" s="90"/>
      <c r="BN49" s="310" t="str">
        <f>IF(AND(BJ49="",BK49="",BL49="",BM49=""),"",AVERAGE(BJ49:BM49))</f>
        <v/>
      </c>
      <c r="BO49" s="100"/>
      <c r="BP49" s="100"/>
      <c r="BQ49" s="319" t="str">
        <f t="shared" si="18"/>
        <v/>
      </c>
      <c r="BR49" s="100"/>
      <c r="BS49" s="100"/>
      <c r="BT49" s="100"/>
      <c r="BU49" s="90"/>
      <c r="BV49" s="310" t="str">
        <f>IF(AND(BR49="",BS49="",BT49="",BU49=""),"",AVERAGE(BR49:BU49))</f>
        <v/>
      </c>
      <c r="BW49" s="100"/>
      <c r="BX49" s="100"/>
      <c r="BY49" s="319" t="str">
        <f t="shared" si="20"/>
        <v/>
      </c>
      <c r="BZ49" s="100"/>
      <c r="CA49" s="100"/>
      <c r="CB49" s="100"/>
      <c r="CC49" s="90"/>
      <c r="CD49" s="310" t="str">
        <f>IF(AND(BZ49="",CA49="",CB49="",CC49=""),"",AVERAGE(BZ49:CC49))</f>
        <v/>
      </c>
      <c r="CE49" s="100"/>
      <c r="CF49" s="100"/>
      <c r="CG49" s="319" t="str">
        <f t="shared" si="22"/>
        <v/>
      </c>
      <c r="CH49" s="321" t="str">
        <f t="shared" si="0"/>
        <v/>
      </c>
      <c r="CI49" s="104">
        <f t="shared" si="1"/>
        <v>0</v>
      </c>
      <c r="CJ49" s="104">
        <f t="shared" si="2"/>
        <v>0</v>
      </c>
      <c r="CK49" s="100"/>
      <c r="CL49" s="100"/>
      <c r="CM49" s="322" t="str">
        <f t="shared" si="23"/>
        <v/>
      </c>
      <c r="CN49" s="322" t="str">
        <f t="shared" si="24"/>
        <v/>
      </c>
      <c r="CO49" s="322" t="str">
        <f t="shared" si="25"/>
        <v/>
      </c>
      <c r="CP49" s="225" t="str">
        <f t="shared" si="26"/>
        <v/>
      </c>
      <c r="CQ49" s="323" t="str">
        <f t="shared" si="27"/>
        <v/>
      </c>
      <c r="CR49" s="105" t="str">
        <f>IF(CQ49="","",IF(CQ49&gt;=menu!$O$6,"A",IF(CQ49&gt;=menu!$O$7,"B",IF(CQ49&gt;=menu!$O$8,"C","D"))))</f>
        <v/>
      </c>
      <c r="CS49" s="105" t="str">
        <f>IF(CQ49="","",IF(CQ49&gt;=menu!$O$6,"sangat baik",IF(CQ49&gt;=menu!$O$7,"baik",IF(CQ49&gt;=menu!$O$8,"cukup","kurang"))))</f>
        <v/>
      </c>
      <c r="CT49" s="398" t="str">
        <f t="shared" si="28"/>
        <v>TIDAK</v>
      </c>
      <c r="CU49" s="397" t="str">
        <f t="shared" si="29"/>
        <v>TIDAK</v>
      </c>
      <c r="CV49" s="115" t="str">
        <f t="shared" si="30"/>
        <v/>
      </c>
      <c r="CW49" s="108" t="e">
        <f>IF(CI49="","",VLOOKUP(CI49,DATAPENG!$CL$3:$CM$12,2,FALSE))</f>
        <v>#N/A</v>
      </c>
      <c r="CX49" s="108" t="e">
        <f>IF(CJ49="","",VLOOKUP(CJ49,DATAPENG!$CL$3:$CM$12,2,FALSE))</f>
        <v>#N/A</v>
      </c>
    </row>
    <row r="50" spans="1:102">
      <c r="A50" s="104">
        <f>'DATA SISWA'!A50</f>
        <v>46</v>
      </c>
      <c r="B50" s="104">
        <f>'DATA SISWA'!B50</f>
        <v>0</v>
      </c>
      <c r="C50" s="104">
        <f>'DATA SISWA'!C50</f>
        <v>0</v>
      </c>
      <c r="D50" s="104">
        <f>'DATA SISWA'!D50</f>
        <v>0</v>
      </c>
      <c r="E50" s="104" t="str">
        <f>'DATA SISWA'!E50</f>
        <v>VII-A</v>
      </c>
      <c r="F50" s="100"/>
      <c r="G50" s="100"/>
      <c r="H50" s="100"/>
      <c r="I50" s="90"/>
      <c r="J50" s="310" t="str">
        <f t="shared" ref="J50:J52" si="131">IF(AND(F50="",G50="",H50="",I50=""),"",AVERAGE(F50:I50))</f>
        <v/>
      </c>
      <c r="K50" s="100"/>
      <c r="L50" s="100"/>
      <c r="M50" s="319" t="str">
        <f t="shared" si="4"/>
        <v/>
      </c>
      <c r="N50" s="100"/>
      <c r="O50" s="100"/>
      <c r="P50" s="100"/>
      <c r="Q50" s="90"/>
      <c r="R50" s="310" t="str">
        <f t="shared" ref="R50:R52" si="132">IF(AND(N50="",O50="",P50="",Q50=""),"",AVERAGE(N50:Q50))</f>
        <v/>
      </c>
      <c r="S50" s="100"/>
      <c r="T50" s="100"/>
      <c r="U50" s="319" t="str">
        <f t="shared" si="6"/>
        <v/>
      </c>
      <c r="V50" s="100"/>
      <c r="W50" s="100"/>
      <c r="X50" s="100"/>
      <c r="Y50" s="90"/>
      <c r="Z50" s="310" t="str">
        <f t="shared" ref="Z50:Z52" si="133">IF(AND(V50="",W50="",X50="",Y50=""),"",AVERAGE(V50:Y50))</f>
        <v/>
      </c>
      <c r="AA50" s="100"/>
      <c r="AB50" s="100"/>
      <c r="AC50" s="319" t="str">
        <f t="shared" si="8"/>
        <v/>
      </c>
      <c r="AD50" s="100"/>
      <c r="AE50" s="100"/>
      <c r="AF50" s="100"/>
      <c r="AG50" s="90"/>
      <c r="AH50" s="310" t="str">
        <f t="shared" ref="AH50:AH52" si="134">IF(AND(AD50="",AE50="",AF50="",AG50=""),"",AVERAGE(AD50:AG50))</f>
        <v/>
      </c>
      <c r="AI50" s="100"/>
      <c r="AJ50" s="100"/>
      <c r="AK50" s="319" t="str">
        <f t="shared" si="10"/>
        <v/>
      </c>
      <c r="AL50" s="100"/>
      <c r="AM50" s="100"/>
      <c r="AN50" s="100"/>
      <c r="AO50" s="90"/>
      <c r="AP50" s="310" t="str">
        <f t="shared" ref="AP50:AP52" si="135">IF(AND(AL50="",AM50="",AN50="",AO50=""),"",AVERAGE(AL50:AO50))</f>
        <v/>
      </c>
      <c r="AQ50" s="100"/>
      <c r="AR50" s="100"/>
      <c r="AS50" s="319" t="str">
        <f t="shared" si="12"/>
        <v/>
      </c>
      <c r="AT50" s="100"/>
      <c r="AU50" s="100"/>
      <c r="AV50" s="100"/>
      <c r="AW50" s="90"/>
      <c r="AX50" s="310" t="str">
        <f t="shared" ref="AX50:AX52" si="136">IF(AND(AT50="",AU50="",AV50="",AW50=""),"",AVERAGE(AT50:AW50))</f>
        <v/>
      </c>
      <c r="AY50" s="100"/>
      <c r="AZ50" s="100"/>
      <c r="BA50" s="319" t="str">
        <f t="shared" si="14"/>
        <v/>
      </c>
      <c r="BB50" s="100"/>
      <c r="BC50" s="100"/>
      <c r="BD50" s="100"/>
      <c r="BE50" s="90"/>
      <c r="BF50" s="310" t="str">
        <f t="shared" ref="BF50:BF52" si="137">IF(AND(BB50="",BC50="",BD50="",BE50=""),"",AVERAGE(BB50:BE50))</f>
        <v/>
      </c>
      <c r="BG50" s="100"/>
      <c r="BH50" s="100"/>
      <c r="BI50" s="319" t="str">
        <f t="shared" si="16"/>
        <v/>
      </c>
      <c r="BJ50" s="100"/>
      <c r="BK50" s="100"/>
      <c r="BL50" s="100"/>
      <c r="BM50" s="90"/>
      <c r="BN50" s="310" t="str">
        <f t="shared" ref="BN50:BN52" si="138">IF(AND(BJ50="",BK50="",BL50="",BM50=""),"",AVERAGE(BJ50:BM50))</f>
        <v/>
      </c>
      <c r="BO50" s="100"/>
      <c r="BP50" s="100"/>
      <c r="BQ50" s="319" t="str">
        <f t="shared" si="18"/>
        <v/>
      </c>
      <c r="BR50" s="100"/>
      <c r="BS50" s="100"/>
      <c r="BT50" s="100"/>
      <c r="BU50" s="90"/>
      <c r="BV50" s="310" t="str">
        <f t="shared" ref="BV50:BV52" si="139">IF(AND(BR50="",BS50="",BT50="",BU50=""),"",AVERAGE(BR50:BU50))</f>
        <v/>
      </c>
      <c r="BW50" s="100"/>
      <c r="BX50" s="100"/>
      <c r="BY50" s="319" t="str">
        <f t="shared" si="20"/>
        <v/>
      </c>
      <c r="BZ50" s="100"/>
      <c r="CA50" s="100"/>
      <c r="CB50" s="100"/>
      <c r="CC50" s="90"/>
      <c r="CD50" s="310" t="str">
        <f t="shared" ref="CD50:CD52" si="140">IF(AND(BZ50="",CA50="",CB50="",CC50=""),"",AVERAGE(BZ50:CC50))</f>
        <v/>
      </c>
      <c r="CE50" s="100"/>
      <c r="CF50" s="100"/>
      <c r="CG50" s="319" t="str">
        <f t="shared" si="22"/>
        <v/>
      </c>
      <c r="CH50" s="321" t="str">
        <f t="shared" si="0"/>
        <v/>
      </c>
      <c r="CI50" s="104">
        <f t="shared" si="1"/>
        <v>0</v>
      </c>
      <c r="CJ50" s="104">
        <f t="shared" si="2"/>
        <v>0</v>
      </c>
      <c r="CK50" s="100"/>
      <c r="CL50" s="100"/>
      <c r="CM50" s="322" t="str">
        <f t="shared" si="23"/>
        <v/>
      </c>
      <c r="CN50" s="322" t="str">
        <f t="shared" si="24"/>
        <v/>
      </c>
      <c r="CO50" s="322" t="str">
        <f t="shared" si="25"/>
        <v/>
      </c>
      <c r="CP50" s="225" t="str">
        <f t="shared" si="26"/>
        <v/>
      </c>
      <c r="CQ50" s="323" t="str">
        <f t="shared" si="27"/>
        <v/>
      </c>
      <c r="CR50" s="105" t="str">
        <f>IF(CQ50="","",IF(CQ50&gt;=menu!$O$6,"A",IF(CQ50&gt;=menu!$O$7,"B",IF(CQ50&gt;=menu!$O$8,"C","D"))))</f>
        <v/>
      </c>
      <c r="CS50" s="105" t="str">
        <f>IF(CQ50="","",IF(CQ50&gt;=menu!$O$6,"sangat baik",IF(CQ50&gt;=menu!$O$7,"baik",IF(CQ50&gt;=menu!$O$8,"cukup","kurang"))))</f>
        <v/>
      </c>
      <c r="CT50" s="398" t="str">
        <f t="shared" si="28"/>
        <v>TIDAK</v>
      </c>
      <c r="CU50" s="397" t="str">
        <f t="shared" si="29"/>
        <v>TIDAK</v>
      </c>
      <c r="CV50" s="115" t="str">
        <f t="shared" si="30"/>
        <v/>
      </c>
      <c r="CW50" s="108" t="e">
        <f>IF(CI50="","",VLOOKUP(CI50,DATAPENG!$CN$3:$CO$12,2,FALSE))</f>
        <v>#N/A</v>
      </c>
      <c r="CX50" s="108" t="e">
        <f>IF(CJ50="","",VLOOKUP(CJ50,DATAPENG!$CN$3:$CO$12,2,FALSE))</f>
        <v>#N/A</v>
      </c>
    </row>
    <row r="51" spans="1:102">
      <c r="A51" s="104">
        <f>'DATA SISWA'!A51</f>
        <v>47</v>
      </c>
      <c r="B51" s="104">
        <f>'DATA SISWA'!B51</f>
        <v>0</v>
      </c>
      <c r="C51" s="104">
        <f>'DATA SISWA'!C51</f>
        <v>0</v>
      </c>
      <c r="D51" s="104">
        <f>'DATA SISWA'!D51</f>
        <v>0</v>
      </c>
      <c r="E51" s="104" t="str">
        <f>'DATA SISWA'!E51</f>
        <v>VII-A</v>
      </c>
      <c r="F51" s="100"/>
      <c r="G51" s="100"/>
      <c r="H51" s="100"/>
      <c r="I51" s="90"/>
      <c r="J51" s="310" t="str">
        <f t="shared" si="131"/>
        <v/>
      </c>
      <c r="K51" s="100"/>
      <c r="L51" s="100"/>
      <c r="M51" s="319" t="str">
        <f t="shared" si="4"/>
        <v/>
      </c>
      <c r="N51" s="100"/>
      <c r="O51" s="100"/>
      <c r="P51" s="100"/>
      <c r="Q51" s="90"/>
      <c r="R51" s="310" t="str">
        <f t="shared" si="132"/>
        <v/>
      </c>
      <c r="S51" s="100"/>
      <c r="T51" s="100"/>
      <c r="U51" s="319" t="str">
        <f t="shared" si="6"/>
        <v/>
      </c>
      <c r="V51" s="100"/>
      <c r="W51" s="100"/>
      <c r="X51" s="100"/>
      <c r="Y51" s="90"/>
      <c r="Z51" s="310" t="str">
        <f t="shared" si="133"/>
        <v/>
      </c>
      <c r="AA51" s="100"/>
      <c r="AB51" s="100"/>
      <c r="AC51" s="319" t="str">
        <f t="shared" si="8"/>
        <v/>
      </c>
      <c r="AD51" s="100"/>
      <c r="AE51" s="100"/>
      <c r="AF51" s="100"/>
      <c r="AG51" s="90"/>
      <c r="AH51" s="310" t="str">
        <f t="shared" si="134"/>
        <v/>
      </c>
      <c r="AI51" s="100"/>
      <c r="AJ51" s="100"/>
      <c r="AK51" s="319" t="str">
        <f t="shared" si="10"/>
        <v/>
      </c>
      <c r="AL51" s="100"/>
      <c r="AM51" s="100"/>
      <c r="AN51" s="100"/>
      <c r="AO51" s="90"/>
      <c r="AP51" s="310" t="str">
        <f t="shared" si="135"/>
        <v/>
      </c>
      <c r="AQ51" s="100"/>
      <c r="AR51" s="100"/>
      <c r="AS51" s="319" t="str">
        <f t="shared" si="12"/>
        <v/>
      </c>
      <c r="AT51" s="100"/>
      <c r="AU51" s="100"/>
      <c r="AV51" s="100"/>
      <c r="AW51" s="90"/>
      <c r="AX51" s="310" t="str">
        <f t="shared" si="136"/>
        <v/>
      </c>
      <c r="AY51" s="100"/>
      <c r="AZ51" s="100"/>
      <c r="BA51" s="319" t="str">
        <f t="shared" si="14"/>
        <v/>
      </c>
      <c r="BB51" s="100"/>
      <c r="BC51" s="100"/>
      <c r="BD51" s="100"/>
      <c r="BE51" s="90"/>
      <c r="BF51" s="310" t="str">
        <f t="shared" si="137"/>
        <v/>
      </c>
      <c r="BG51" s="100"/>
      <c r="BH51" s="100"/>
      <c r="BI51" s="319" t="str">
        <f t="shared" si="16"/>
        <v/>
      </c>
      <c r="BJ51" s="100"/>
      <c r="BK51" s="100"/>
      <c r="BL51" s="100"/>
      <c r="BM51" s="90"/>
      <c r="BN51" s="310" t="str">
        <f t="shared" si="138"/>
        <v/>
      </c>
      <c r="BO51" s="100"/>
      <c r="BP51" s="100"/>
      <c r="BQ51" s="319" t="str">
        <f t="shared" si="18"/>
        <v/>
      </c>
      <c r="BR51" s="100"/>
      <c r="BS51" s="100"/>
      <c r="BT51" s="100"/>
      <c r="BU51" s="90"/>
      <c r="BV51" s="310" t="str">
        <f t="shared" si="139"/>
        <v/>
      </c>
      <c r="BW51" s="100"/>
      <c r="BX51" s="100"/>
      <c r="BY51" s="319" t="str">
        <f t="shared" si="20"/>
        <v/>
      </c>
      <c r="BZ51" s="100"/>
      <c r="CA51" s="100"/>
      <c r="CB51" s="100"/>
      <c r="CC51" s="90"/>
      <c r="CD51" s="310" t="str">
        <f t="shared" si="140"/>
        <v/>
      </c>
      <c r="CE51" s="100"/>
      <c r="CF51" s="100"/>
      <c r="CG51" s="319" t="str">
        <f t="shared" si="22"/>
        <v/>
      </c>
      <c r="CH51" s="321" t="str">
        <f t="shared" si="0"/>
        <v/>
      </c>
      <c r="CI51" s="104">
        <f t="shared" si="1"/>
        <v>0</v>
      </c>
      <c r="CJ51" s="104">
        <f t="shared" si="2"/>
        <v>0</v>
      </c>
      <c r="CK51" s="100"/>
      <c r="CL51" s="100"/>
      <c r="CM51" s="322" t="str">
        <f t="shared" si="23"/>
        <v/>
      </c>
      <c r="CN51" s="322" t="str">
        <f t="shared" si="24"/>
        <v/>
      </c>
      <c r="CO51" s="322" t="str">
        <f t="shared" si="25"/>
        <v/>
      </c>
      <c r="CP51" s="225" t="str">
        <f t="shared" si="26"/>
        <v/>
      </c>
      <c r="CQ51" s="323" t="str">
        <f t="shared" si="27"/>
        <v/>
      </c>
      <c r="CR51" s="105" t="str">
        <f>IF(CQ51="","",IF(CQ51&gt;=menu!$O$6,"A",IF(CQ51&gt;=menu!$O$7,"B",IF(CQ51&gt;=menu!$O$8,"C","D"))))</f>
        <v/>
      </c>
      <c r="CS51" s="105" t="str">
        <f>IF(CQ51="","",IF(CQ51&gt;=menu!$O$6,"sangat baik",IF(CQ51&gt;=menu!$O$7,"baik",IF(CQ51&gt;=menu!$O$8,"cukup","kurang"))))</f>
        <v/>
      </c>
      <c r="CT51" s="398" t="str">
        <f t="shared" si="28"/>
        <v>TIDAK</v>
      </c>
      <c r="CU51" s="397" t="str">
        <f t="shared" si="29"/>
        <v>TIDAK</v>
      </c>
      <c r="CV51" s="115" t="str">
        <f t="shared" si="30"/>
        <v/>
      </c>
      <c r="CW51" s="108" t="e">
        <f>IF(CI51="","",VLOOKUP(CI51,DATAPENG!$CP$3:$CQ$12,2,FALSE))</f>
        <v>#N/A</v>
      </c>
      <c r="CX51" s="108" t="e">
        <f>IF(CJ51="","",VLOOKUP(CJ51,DATAPENG!$CP$3:$CQ$12,2,FALSE))</f>
        <v>#N/A</v>
      </c>
    </row>
    <row r="52" spans="1:102">
      <c r="A52" s="104">
        <f>'DATA SISWA'!A52</f>
        <v>48</v>
      </c>
      <c r="B52" s="104">
        <f>'DATA SISWA'!B52</f>
        <v>0</v>
      </c>
      <c r="C52" s="104">
        <f>'DATA SISWA'!C52</f>
        <v>0</v>
      </c>
      <c r="D52" s="104">
        <f>'DATA SISWA'!D52</f>
        <v>0</v>
      </c>
      <c r="E52" s="104" t="str">
        <f>'DATA SISWA'!E52</f>
        <v>VII-A</v>
      </c>
      <c r="F52" s="100"/>
      <c r="G52" s="100"/>
      <c r="H52" s="100"/>
      <c r="I52" s="90"/>
      <c r="J52" s="310" t="str">
        <f t="shared" si="131"/>
        <v/>
      </c>
      <c r="K52" s="100"/>
      <c r="L52" s="100"/>
      <c r="M52" s="319" t="str">
        <f t="shared" si="4"/>
        <v/>
      </c>
      <c r="N52" s="100"/>
      <c r="O52" s="100"/>
      <c r="P52" s="100"/>
      <c r="Q52" s="90"/>
      <c r="R52" s="310" t="str">
        <f t="shared" si="132"/>
        <v/>
      </c>
      <c r="S52" s="100"/>
      <c r="T52" s="100"/>
      <c r="U52" s="319" t="str">
        <f t="shared" si="6"/>
        <v/>
      </c>
      <c r="V52" s="100"/>
      <c r="W52" s="100"/>
      <c r="X52" s="100"/>
      <c r="Y52" s="90"/>
      <c r="Z52" s="310" t="str">
        <f t="shared" si="133"/>
        <v/>
      </c>
      <c r="AA52" s="100"/>
      <c r="AB52" s="100"/>
      <c r="AC52" s="319" t="str">
        <f t="shared" si="8"/>
        <v/>
      </c>
      <c r="AD52" s="100"/>
      <c r="AE52" s="100"/>
      <c r="AF52" s="100"/>
      <c r="AG52" s="90"/>
      <c r="AH52" s="310" t="str">
        <f t="shared" si="134"/>
        <v/>
      </c>
      <c r="AI52" s="100"/>
      <c r="AJ52" s="100"/>
      <c r="AK52" s="319" t="str">
        <f t="shared" si="10"/>
        <v/>
      </c>
      <c r="AL52" s="100"/>
      <c r="AM52" s="100"/>
      <c r="AN52" s="100"/>
      <c r="AO52" s="90"/>
      <c r="AP52" s="310" t="str">
        <f t="shared" si="135"/>
        <v/>
      </c>
      <c r="AQ52" s="100"/>
      <c r="AR52" s="100"/>
      <c r="AS52" s="319" t="str">
        <f t="shared" si="12"/>
        <v/>
      </c>
      <c r="AT52" s="100"/>
      <c r="AU52" s="100"/>
      <c r="AV52" s="100"/>
      <c r="AW52" s="90"/>
      <c r="AX52" s="310" t="str">
        <f t="shared" si="136"/>
        <v/>
      </c>
      <c r="AY52" s="100"/>
      <c r="AZ52" s="100"/>
      <c r="BA52" s="319" t="str">
        <f t="shared" si="14"/>
        <v/>
      </c>
      <c r="BB52" s="100"/>
      <c r="BC52" s="100"/>
      <c r="BD52" s="100"/>
      <c r="BE52" s="90"/>
      <c r="BF52" s="310" t="str">
        <f t="shared" si="137"/>
        <v/>
      </c>
      <c r="BG52" s="100"/>
      <c r="BH52" s="100"/>
      <c r="BI52" s="319" t="str">
        <f t="shared" si="16"/>
        <v/>
      </c>
      <c r="BJ52" s="100"/>
      <c r="BK52" s="100"/>
      <c r="BL52" s="100"/>
      <c r="BM52" s="90"/>
      <c r="BN52" s="310" t="str">
        <f t="shared" si="138"/>
        <v/>
      </c>
      <c r="BO52" s="100"/>
      <c r="BP52" s="100"/>
      <c r="BQ52" s="319" t="str">
        <f t="shared" si="18"/>
        <v/>
      </c>
      <c r="BR52" s="100"/>
      <c r="BS52" s="100"/>
      <c r="BT52" s="100"/>
      <c r="BU52" s="90"/>
      <c r="BV52" s="310" t="str">
        <f t="shared" si="139"/>
        <v/>
      </c>
      <c r="BW52" s="100"/>
      <c r="BX52" s="100"/>
      <c r="BY52" s="319" t="str">
        <f t="shared" si="20"/>
        <v/>
      </c>
      <c r="BZ52" s="100"/>
      <c r="CA52" s="100"/>
      <c r="CB52" s="100"/>
      <c r="CC52" s="90"/>
      <c r="CD52" s="310" t="str">
        <f t="shared" si="140"/>
        <v/>
      </c>
      <c r="CE52" s="100"/>
      <c r="CF52" s="100"/>
      <c r="CG52" s="319" t="str">
        <f t="shared" si="22"/>
        <v/>
      </c>
      <c r="CH52" s="321" t="str">
        <f t="shared" si="0"/>
        <v/>
      </c>
      <c r="CI52" s="104">
        <f t="shared" si="1"/>
        <v>0</v>
      </c>
      <c r="CJ52" s="104">
        <f t="shared" si="2"/>
        <v>0</v>
      </c>
      <c r="CK52" s="100"/>
      <c r="CL52" s="100"/>
      <c r="CM52" s="322" t="str">
        <f t="shared" si="23"/>
        <v/>
      </c>
      <c r="CN52" s="322" t="str">
        <f t="shared" si="24"/>
        <v/>
      </c>
      <c r="CO52" s="322" t="str">
        <f t="shared" si="25"/>
        <v/>
      </c>
      <c r="CP52" s="225" t="str">
        <f t="shared" si="26"/>
        <v/>
      </c>
      <c r="CQ52" s="323" t="str">
        <f t="shared" si="27"/>
        <v/>
      </c>
      <c r="CR52" s="105" t="str">
        <f>IF(CQ52="","",IF(CQ52&gt;=menu!$O$6,"A",IF(CQ52&gt;=menu!$O$7,"B",IF(CQ52&gt;=menu!$O$8,"C","D"))))</f>
        <v/>
      </c>
      <c r="CS52" s="105" t="str">
        <f>IF(CQ52="","",IF(CQ52&gt;=menu!$O$6,"sangat baik",IF(CQ52&gt;=menu!$O$7,"baik",IF(CQ52&gt;=menu!$O$8,"cukup","kurang"))))</f>
        <v/>
      </c>
      <c r="CT52" s="398" t="str">
        <f t="shared" si="28"/>
        <v>TIDAK</v>
      </c>
      <c r="CU52" s="397" t="str">
        <f t="shared" si="29"/>
        <v>TIDAK</v>
      </c>
      <c r="CV52" s="115" t="str">
        <f t="shared" si="30"/>
        <v/>
      </c>
      <c r="CW52" s="108" t="e">
        <f>IF(CI52="","",VLOOKUP(CI52,DATAPENG!$CR$3:$CS$12,2,FALSE))</f>
        <v>#N/A</v>
      </c>
      <c r="CX52" s="108" t="e">
        <f>IF(CJ52="","",VLOOKUP(CJ52,DATAPENG!$CR$3:$CS$12,2,FALSE))</f>
        <v>#N/A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O5:BP52 BG5:BH52 AY5:AZ52 AQ5:AR52 AI5:AJ52 S5:T52 AA5:AB52 BZ5:CB52 K5:L52 BR5:BT52 F5:H52 N5:P52 V5:X52 AL5:AN52 AD5:AF52 AT5:AV52 BB5:BD52 BJ5:BL52 BW5:BX52 CE5:CF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81.666666666666671</v>
      </c>
      <c r="C3" s="89" t="str">
        <f>IF(B3="","",IF('Input Nilai Pengetahuan'!$F$1="","",'Input Nilai Pengetahuan'!$F$1))</f>
        <v>menjelaskan dan menentukanurutan pada bilangan bulat dan pecahan</v>
      </c>
      <c r="D3" s="89" t="str">
        <f>IF('Input Nilai Pengetahuan'!M6="","",'Input Nilai Pengetahuan'!M6)</f>
        <v/>
      </c>
      <c r="E3" s="89" t="str">
        <f>IF(D3="","",IF('Input Nilai Pengetahuan'!$F$1="","",'Input Nilai Pengetahuan'!$F$1))</f>
        <v/>
      </c>
      <c r="F3" s="89" t="str">
        <f>IF('Input Nilai Pengetahuan'!M7="","",'Input Nilai Pengetahuan'!M7)</f>
        <v/>
      </c>
      <c r="G3" s="89" t="str">
        <f>IF(F3="","",IF('Input Nilai Pengetahuan'!$F$1="","",'Input Nilai Pengetahuan'!$F$1))</f>
        <v/>
      </c>
      <c r="H3" s="89" t="str">
        <f>IF('Input Nilai Pengetahuan'!M8="","",'Input Nilai Pengetahuan'!M8)</f>
        <v/>
      </c>
      <c r="I3" s="89" t="str">
        <f>IF(H3="","",IF('Input Nilai Pengetahuan'!$F$1="","",'Input Nilai Pengetahuan'!$F$1))</f>
        <v/>
      </c>
      <c r="J3" s="89" t="str">
        <f>IF('Input Nilai Pengetahuan'!M9="","",'Input Nilai Pengetahuan'!M9)</f>
        <v/>
      </c>
      <c r="K3" s="89" t="str">
        <f>IF(J3="","",IF('Input Nilai Pengetahuan'!$F$1="","",'Input Nilai Pengetahuan'!$F$1))</f>
        <v/>
      </c>
      <c r="L3" s="89" t="str">
        <f>IF('Input Nilai Pengetahuan'!M10="","",'Input Nilai Pengetahuan'!M10)</f>
        <v/>
      </c>
      <c r="M3" s="89" t="str">
        <f>IF(L3="","",IF('Input Nilai Pengetahuan'!$F$1="","",'Input Nilai Pengetahuan'!$F$1))</f>
        <v/>
      </c>
      <c r="N3" s="89" t="str">
        <f>IF('Input Nilai Pengetahuan'!M11="","",'Input Nilai Pengetahuan'!M11)</f>
        <v/>
      </c>
      <c r="O3" s="89" t="str">
        <f>IF(N3="","",IF('Input Nilai Pengetahuan'!$F$1="","",'Input Nilai Pengetahuan'!$F$1))</f>
        <v/>
      </c>
      <c r="P3" s="89" t="str">
        <f>IF('Input Nilai Pengetahuan'!M12="","",'Input Nilai Pengetahuan'!M12)</f>
        <v/>
      </c>
      <c r="Q3" s="89" t="str">
        <f>IF(P3="","",IF('Input Nilai Pengetahuan'!$F$1="","",'Input Nilai Pengetahuan'!$F$1))</f>
        <v/>
      </c>
      <c r="R3" s="89" t="str">
        <f>IF('Input Nilai Pengetahuan'!M13="","",'Input Nilai Pengetahuan'!M13)</f>
        <v/>
      </c>
      <c r="S3" s="89" t="str">
        <f>IF(R3="","",IF('Input Nilai Pengetahuan'!$F$1="","",'Input Nilai Pengetahuan'!$F$1))</f>
        <v/>
      </c>
      <c r="T3" s="89" t="str">
        <f>IF('Input Nilai Pengetahuan'!M14="","",'Input Nilai Pengetahuan'!M14)</f>
        <v/>
      </c>
      <c r="U3" s="89" t="str">
        <f>IF(T3="","",IF('Input Nilai Pengetahuan'!$F$1="","",'Input Nilai Pengetahuan'!$F$1))</f>
        <v/>
      </c>
      <c r="V3" s="89" t="str">
        <f>IF('Input Nilai Pengetahuan'!M15="","",'Input Nilai Pengetahuan'!M15)</f>
        <v/>
      </c>
      <c r="W3" s="89" t="str">
        <f>IF(V3="","",IF('Input Nilai Pengetahuan'!$F$1="","",'Input Nilai Pengetahuan'!$F$1))</f>
        <v/>
      </c>
      <c r="X3" s="89" t="str">
        <f>IF('Input Nilai Pengetahuan'!M16="","",'Input Nilai Pengetahuan'!M16)</f>
        <v/>
      </c>
      <c r="Y3" s="89" t="str">
        <f>IF(X3="","",IF('Input Nilai Pengetahuan'!$F$1="","",'Input Nilai Pengetahuan'!$F$1))</f>
        <v/>
      </c>
      <c r="Z3" s="89" t="str">
        <f>IF('Input Nilai Pengetahuan'!M17="","",'Input Nilai Pengetahuan'!M17)</f>
        <v/>
      </c>
      <c r="AA3" s="89" t="str">
        <f>IF(Z3="","",IF('Input Nilai Pengetahuan'!$F$1="","",'Input Nilai Pengetahuan'!$F$1))</f>
        <v/>
      </c>
      <c r="AB3" s="89" t="str">
        <f>IF('Input Nilai Pengetahuan'!M18="","",'Input Nilai Pengetahuan'!M18)</f>
        <v/>
      </c>
      <c r="AC3" s="89" t="str">
        <f>IF(AB3="","",IF('Input Nilai Pengetahuan'!$F$1="","",'Input Nilai Pengetahuan'!$F$1))</f>
        <v/>
      </c>
      <c r="AD3" s="89" t="str">
        <f>IF('Input Nilai Pengetahuan'!M19="","",'Input Nilai Pengetahuan'!M19)</f>
        <v/>
      </c>
      <c r="AE3" s="89" t="str">
        <f>IF(AD3="","",IF('Input Nilai Pengetahuan'!$F$1="","",'Input Nilai Pengetahuan'!$F$1))</f>
        <v/>
      </c>
      <c r="AF3" s="89" t="str">
        <f>IF('Input Nilai Pengetahuan'!M20="","",'Input Nilai Pengetahuan'!M20)</f>
        <v/>
      </c>
      <c r="AG3" s="89" t="str">
        <f>IF(AF3="","",IF('Input Nilai Pengetahuan'!$F$1="","",'Input Nilai Pengetahuan'!$F$1))</f>
        <v/>
      </c>
      <c r="AH3" s="89" t="str">
        <f>IF('Input Nilai Pengetahuan'!M21="","",'Input Nilai Pengetahuan'!M21)</f>
        <v/>
      </c>
      <c r="AI3" s="89" t="str">
        <f>IF(AH3="","",IF('Input Nilai Pengetahuan'!$F$1="","",'Input Nilai Pengetahuan'!$F$1))</f>
        <v/>
      </c>
      <c r="AJ3" s="89" t="str">
        <f>IF('Input Nilai Pengetahuan'!M22="","",'Input Nilai Pengetahuan'!M22)</f>
        <v/>
      </c>
      <c r="AK3" s="89" t="str">
        <f>IF(AJ3="","",IF('Input Nilai Pengetahuan'!$F$1="","",'Input Nilai Pengetahuan'!$F$1))</f>
        <v/>
      </c>
      <c r="AL3" s="89" t="str">
        <f>IF('Input Nilai Pengetahuan'!M23="","",'Input Nilai Pengetahuan'!M23)</f>
        <v/>
      </c>
      <c r="AM3" s="89" t="str">
        <f>IF(AL3="","",IF('Input Nilai Pengetahuan'!$F$1="","",'Input Nilai Pengetahuan'!$F$1))</f>
        <v/>
      </c>
      <c r="AN3" s="89" t="str">
        <f>IF('Input Nilai Pengetahuan'!M24="","",'Input Nilai Pengetahuan'!M24)</f>
        <v/>
      </c>
      <c r="AO3" s="89" t="str">
        <f>IF(AN3="","",IF('Input Nilai Pengetahuan'!$F$1="","",'Input Nilai Pengetahuan'!$F$1))</f>
        <v/>
      </c>
      <c r="AP3" s="89" t="str">
        <f>IF('Input Nilai Pengetahuan'!M25="","",'Input Nilai Pengetahuan'!M25)</f>
        <v/>
      </c>
      <c r="AQ3" s="89" t="str">
        <f>IF(AP3="","",IF('Input Nilai Pengetahuan'!$F$1="","",'Input Nilai Pengetahuan'!$F$1))</f>
        <v/>
      </c>
      <c r="AR3" s="89" t="str">
        <f>IF('Input Nilai Pengetahuan'!M26="","",'Input Nilai Pengetahuan'!M26)</f>
        <v/>
      </c>
      <c r="AS3" s="89" t="str">
        <f>IF(AR3="","",IF('Input Nilai Pengetahuan'!$F$1="","",'Input Nilai Pengetahuan'!$F$1))</f>
        <v/>
      </c>
      <c r="AT3" s="89" t="str">
        <f>IF('Input Nilai Pengetahuan'!M27="","",'Input Nilai Pengetahuan'!M27)</f>
        <v/>
      </c>
      <c r="AU3" s="89" t="str">
        <f>IF(AT3="","",IF('Input Nilai Pengetahuan'!$F$1="","",'Input Nilai Pengetahuan'!$F$1))</f>
        <v/>
      </c>
      <c r="AV3" s="89" t="str">
        <f>IF('Input Nilai Pengetahuan'!M28="","",'Input Nilai Pengetahuan'!M28)</f>
        <v/>
      </c>
      <c r="AW3" s="89" t="str">
        <f>IF(AV3="","",IF('Input Nilai Pengetahuan'!$F$1="","",'Input Nilai Pengetahuan'!$F$1))</f>
        <v/>
      </c>
      <c r="AX3" s="89" t="str">
        <f>IF('Input Nilai Pengetahuan'!M29="","",'Input Nilai Pengetahuan'!M29)</f>
        <v/>
      </c>
      <c r="AY3" s="89" t="str">
        <f>IF(AX3="","",IF('Input Nilai Pengetahuan'!$F$1="","",'Input Nilai Pengetahuan'!$F$1))</f>
        <v/>
      </c>
      <c r="AZ3" s="89" t="str">
        <f>IF('Input Nilai Pengetahuan'!M30="","",'Input Nilai Pengetahuan'!M30)</f>
        <v/>
      </c>
      <c r="BA3" s="89" t="str">
        <f>IF(AZ3="","",IF('Input Nilai Pengetahuan'!$F$1="","",'Input Nilai Pengetahuan'!$F$1))</f>
        <v/>
      </c>
      <c r="BB3" s="89" t="str">
        <f>IF('Input Nilai Pengetahuan'!M31="","",'Input Nilai Pengetahuan'!M31)</f>
        <v/>
      </c>
      <c r="BC3" s="89" t="str">
        <f>IF(BB3="","",IF('Input Nilai Pengetahuan'!$F$1="","",'Input Nilai Pengetahuan'!$F$1))</f>
        <v/>
      </c>
      <c r="BD3" s="89" t="str">
        <f>IF('Input Nilai Pengetahuan'!M32="","",'Input Nilai Pengetahuan'!M32)</f>
        <v/>
      </c>
      <c r="BE3" s="89" t="str">
        <f>IF(BD3="","",IF('Input Nilai Pengetahuan'!$F$1="","",'Input Nilai Pengetahuan'!$F$1))</f>
        <v/>
      </c>
      <c r="BF3" s="89" t="str">
        <f>IF('Input Nilai Pengetahuan'!M33="","",'Input Nilai Pengetahuan'!M33)</f>
        <v/>
      </c>
      <c r="BG3" s="89" t="str">
        <f>IF(BF3="","",IF('Input Nilai Pengetahuan'!$F$1="","",'Input Nilai Pengetahuan'!$F$1))</f>
        <v/>
      </c>
      <c r="BH3" s="89" t="str">
        <f>IF('Input Nilai Pengetahuan'!M34="","",'Input Nilai Pengetahuan'!M34)</f>
        <v/>
      </c>
      <c r="BI3" s="89" t="str">
        <f>IF(BH3="","",IF('Input Nilai Pengetahuan'!$F$1="","",'Input Nilai Pengetahuan'!$F$1))</f>
        <v/>
      </c>
      <c r="BJ3" s="89" t="str">
        <f>IF('Input Nilai Pengetahuan'!M35="","",'Input Nilai Pengetahuan'!M35)</f>
        <v/>
      </c>
      <c r="BK3" s="89" t="str">
        <f>IF(BJ3="","",IF('Input Nilai Pengetahuan'!$F$1="","",'Input Nilai Pengetahuan'!$F$1))</f>
        <v/>
      </c>
      <c r="BL3" s="89" t="str">
        <f>IF('Input Nilai Pengetahuan'!M36="","",'Input Nilai Pengetahuan'!M36)</f>
        <v/>
      </c>
      <c r="BM3" s="89" t="str">
        <f>IF(BL3="","",IF('Input Nilai Pengetahuan'!$F$1="","",'Input Nilai Pengetahuan'!$F$1))</f>
        <v/>
      </c>
      <c r="BN3" s="89" t="str">
        <f>IF('Input Nilai Pengetahuan'!M37="","",'Input Nilai Pengetahuan'!M37)</f>
        <v/>
      </c>
      <c r="BO3" s="89" t="str">
        <f>IF(BN3="","",IF('Input Nilai Pengetahuan'!$F$1="","",'Input Nilai Pengetahuan'!$F$1))</f>
        <v/>
      </c>
      <c r="BP3" s="89" t="str">
        <f>IF('Input Nilai Pengetahuan'!M38="","",'Input Nilai Pengetahuan'!M38)</f>
        <v/>
      </c>
      <c r="BQ3" s="89" t="str">
        <f>IF(BP3="","",IF('Input Nilai Pengetahuan'!$F$1="","",'Input Nilai Pengetahuan'!$F$1))</f>
        <v/>
      </c>
      <c r="BR3" s="89" t="str">
        <f>IF('Input Nilai Pengetahuan'!M39="","",'Input Nilai Pengetahuan'!M39)</f>
        <v/>
      </c>
      <c r="BS3" s="89" t="str">
        <f>IF(BR3="","",IF('Input Nilai Pengetahuan'!$F$1="","",'Input Nilai Pengetahuan'!$F$1))</f>
        <v/>
      </c>
      <c r="BT3" s="89" t="str">
        <f>IF('Input Nilai Pengetahuan'!M40="","",'Input Nilai Pengetahuan'!M40)</f>
        <v/>
      </c>
      <c r="BU3" s="89" t="str">
        <f>IF(BT3="","",IF('Input Nilai Pengetahuan'!$F$1="","",'Input Nilai Pengetahuan'!$F$1))</f>
        <v/>
      </c>
      <c r="BV3" s="89" t="str">
        <f>IF('Input Nilai Pengetahuan'!M41="","",'Input Nilai Pengetahuan'!M41)</f>
        <v/>
      </c>
      <c r="BW3" s="89" t="str">
        <f>IF(BV3="","",IF('Input Nilai Pengetahuan'!$F$1="","",'Input Nilai Pengetahuan'!$F$1))</f>
        <v/>
      </c>
      <c r="BX3" s="89" t="str">
        <f>IF('Input Nilai Pengetahuan'!M42="","",'Input Nilai Pengetahuan'!M42)</f>
        <v/>
      </c>
      <c r="BY3" s="89" t="str">
        <f>IF(BX3="","",IF('Input Nilai Pengetahuan'!$F$1="","",'Input Nilai Pengetahuan'!$F$1))</f>
        <v/>
      </c>
      <c r="BZ3" s="89" t="str">
        <f>IF('Input Nilai Pengetahuan'!M43="","",'Input Nilai Pengetahuan'!M43)</f>
        <v/>
      </c>
      <c r="CA3" s="89" t="str">
        <f>IF(BZ3="","",IF('Input Nilai Pengetahuan'!$F$1="","",'Input Nilai Pengetahuan'!$F$1))</f>
        <v/>
      </c>
      <c r="CB3" s="89" t="str">
        <f>IF('Input Nilai Pengetahuan'!M44="","",'Input Nilai Pengetahuan'!M44)</f>
        <v/>
      </c>
      <c r="CC3" s="89" t="str">
        <f>IF(CB3="","",IF('Input Nilai Pengetahuan'!$F$1="","",'Input Nilai Pengetahuan'!$F$1))</f>
        <v/>
      </c>
      <c r="CD3" s="89" t="str">
        <f>IF('Input Nilai Pengetahuan'!M45="","",'Input Nilai Pengetahuan'!M45)</f>
        <v/>
      </c>
      <c r="CE3" s="89" t="str">
        <f>IF(CD3="","",IF('Input Nilai Pengetahuan'!$F$1="","",'Input Nilai Pengetahuan'!$F$1))</f>
        <v/>
      </c>
      <c r="CF3" s="89" t="str">
        <f>IF('Input Nilai Pengetahuan'!M46="","",'Input Nilai Pengetahuan'!M46)</f>
        <v/>
      </c>
      <c r="CG3" s="89" t="str">
        <f>IF(CF3="","",IF('Input Nilai Pengetahuan'!$F$1="","",'Input Nilai Pengetahuan'!$F$1))</f>
        <v/>
      </c>
      <c r="CH3" s="89" t="str">
        <f>IF('Input Nilai Pengetahuan'!M47="","",'Input Nilai Pengetahuan'!M47)</f>
        <v/>
      </c>
      <c r="CI3" s="89" t="str">
        <f>IF(CH3="","",IF('Input Nilai Pengetahuan'!$F$1="","",'Input Nilai Pengetahuan'!$F$1))</f>
        <v/>
      </c>
      <c r="CJ3" s="89" t="str">
        <f>IF('Input Nilai Pengetahuan'!M48="","",'Input Nilai Pengetahuan'!M48)</f>
        <v/>
      </c>
      <c r="CK3" s="89" t="str">
        <f>IF(CJ3="","",IF('Input Nilai Pengetahuan'!$F$1="","",'Input Nilai Pengetahuan'!$F$1))</f>
        <v/>
      </c>
      <c r="CL3" s="89" t="str">
        <f>IF('Input Nilai Pengetahuan'!M49="","",'Input Nilai Pengetahuan'!M49)</f>
        <v/>
      </c>
      <c r="CM3" s="89" t="str">
        <f>IF(CL3="","",IF('Input Nilai Pengetahuan'!$F$1="","",'Input Nilai Pengetahuan'!$F$1))</f>
        <v/>
      </c>
      <c r="CN3" s="89" t="str">
        <f>IF('Input Nilai Pengetahuan'!M50="","",'Input Nilai Pengetahuan'!M50)</f>
        <v/>
      </c>
      <c r="CO3" s="89" t="str">
        <f>IF(CN3="","",IF('Input Nilai Pengetahuan'!$F$1="","",'Input Nilai Pengetahuan'!$F$1))</f>
        <v/>
      </c>
      <c r="CP3" s="89" t="str">
        <f>IF('Input Nilai Pengetahuan'!M51="","",'Input Nilai Pengetahuan'!M51)</f>
        <v/>
      </c>
      <c r="CQ3" s="89" t="str">
        <f>IF(CP3="","",IF('Input Nilai Pengetahuan'!$F$1="","",'Input Nilai Pengetahuan'!$F$1))</f>
        <v/>
      </c>
      <c r="CR3" s="89" t="str">
        <f>IF('Input Nilai Pengetahuan'!M52="","",'Input Nilai Pengetahuan'!M52)</f>
        <v/>
      </c>
      <c r="CS3" s="89" t="str">
        <f>IF(CR3="","",IF('Input Nilai Pengetahuan'!$F$1="","",'Input Nilai Pengetahuan'!$F$1))</f>
        <v/>
      </c>
    </row>
    <row r="4" spans="1:97">
      <c r="A4" s="72">
        <v>2</v>
      </c>
      <c r="B4" s="89" t="str">
        <f>IF('Input Nilai Pengetahuan'!U5="","",'Input Nilai Pengetahuan'!U5)</f>
        <v/>
      </c>
      <c r="C4" s="89" t="str">
        <f>IF(B4="","",IF('Input Nilai Pengetahuan'!$N$1="","",'Input Nilai Pengetahuan'!$N$1))</f>
        <v/>
      </c>
      <c r="D4" s="89" t="str">
        <f>IF('Input Nilai Pengetahuan'!U6="","",'Input Nilai Pengetahuan'!U6)</f>
        <v/>
      </c>
      <c r="E4" s="89" t="str">
        <f>IF(D4="","",IF('Input Nilai Pengetahuan'!$N$1="","",'Input Nilai Pengetahuan'!$N$1))</f>
        <v/>
      </c>
      <c r="F4" s="89" t="str">
        <f>IF('Input Nilai Pengetahuan'!U7="","",'Input Nilai Pengetahuan'!U7)</f>
        <v/>
      </c>
      <c r="G4" s="89" t="str">
        <f>IF(F4="","",IF('Input Nilai Pengetahuan'!$N$1="","",'Input Nilai Pengetahuan'!$N$1))</f>
        <v/>
      </c>
      <c r="H4" s="89" t="str">
        <f>IF('Input Nilai Pengetahuan'!U8="","",'Input Nilai Pengetahuan'!U8)</f>
        <v/>
      </c>
      <c r="I4" s="89" t="str">
        <f>IF(H4="","",IF('Input Nilai Pengetahuan'!$N$1="","",'Input Nilai Pengetahuan'!$N$1))</f>
        <v/>
      </c>
      <c r="J4" s="89" t="str">
        <f>IF('Input Nilai Pengetahuan'!U9="","",'Input Nilai Pengetahuan'!U9)</f>
        <v/>
      </c>
      <c r="K4" s="89" t="str">
        <f>IF(J4="","",IF('Input Nilai Pengetahuan'!$N$1="","",'Input Nilai Pengetahuan'!$N$1))</f>
        <v/>
      </c>
      <c r="L4" s="89" t="str">
        <f>IF('Input Nilai Pengetahuan'!U10="","",'Input Nilai Pengetahuan'!U10)</f>
        <v/>
      </c>
      <c r="M4" s="89" t="str">
        <f>IF(L4="","",IF('Input Nilai Pengetahuan'!$N$1="","",'Input Nilai Pengetahuan'!$N$1))</f>
        <v/>
      </c>
      <c r="N4" s="89" t="str">
        <f>IF('Input Nilai Pengetahuan'!U11="","",'Input Nilai Pengetahuan'!U11)</f>
        <v/>
      </c>
      <c r="O4" s="89" t="str">
        <f>IF(N4="","",IF('Input Nilai Pengetahuan'!$N$1="","",'Input Nilai Pengetahuan'!$N$1))</f>
        <v/>
      </c>
      <c r="P4" s="89" t="str">
        <f>IF('Input Nilai Pengetahuan'!U12="","",'Input Nilai Pengetahuan'!U12)</f>
        <v/>
      </c>
      <c r="Q4" s="89" t="str">
        <f>IF(P4="","",IF('Input Nilai Pengetahuan'!$N$1="","",'Input Nilai Pengetahuan'!$N$1))</f>
        <v/>
      </c>
      <c r="R4" s="89" t="str">
        <f>IF('Input Nilai Pengetahuan'!U13="","",'Input Nilai Pengetahuan'!U13)</f>
        <v/>
      </c>
      <c r="S4" s="89" t="str">
        <f>IF(R4="","",IF('Input Nilai Pengetahuan'!$N$1="","",'Input Nilai Pengetahuan'!$N$1))</f>
        <v/>
      </c>
      <c r="T4" s="89" t="str">
        <f>IF('Input Nilai Pengetahuan'!U14="","",'Input Nilai Pengetahuan'!U14)</f>
        <v/>
      </c>
      <c r="U4" s="89" t="str">
        <f>IF(T4="","",IF('Input Nilai Pengetahuan'!$N$1="","",'Input Nilai Pengetahuan'!$N$1))</f>
        <v/>
      </c>
      <c r="V4" s="89" t="str">
        <f>IF('Input Nilai Pengetahuan'!U15="","",'Input Nilai Pengetahuan'!U15)</f>
        <v/>
      </c>
      <c r="W4" s="89" t="str">
        <f>IF(V4="","",IF('Input Nilai Pengetahuan'!$N$1="","",'Input Nilai Pengetahuan'!$N$1))</f>
        <v/>
      </c>
      <c r="X4" s="89" t="str">
        <f>IF('Input Nilai Pengetahuan'!U16="","",'Input Nilai Pengetahuan'!U16)</f>
        <v/>
      </c>
      <c r="Y4" s="89" t="str">
        <f>IF(X4="","",IF('Input Nilai Pengetahuan'!$N$1="","",'Input Nilai Pengetahuan'!$N$1))</f>
        <v/>
      </c>
      <c r="Z4" s="89" t="str">
        <f>IF('Input Nilai Pengetahuan'!U17="","",'Input Nilai Pengetahuan'!U17)</f>
        <v/>
      </c>
      <c r="AA4" s="89" t="str">
        <f>IF(Z4="","",IF('Input Nilai Pengetahuan'!$N$1="","",'Input Nilai Pengetahuan'!$N$1))</f>
        <v/>
      </c>
      <c r="AB4" s="89" t="str">
        <f>IF('Input Nilai Pengetahuan'!U18="","",'Input Nilai Pengetahuan'!U18)</f>
        <v/>
      </c>
      <c r="AC4" s="89" t="str">
        <f>IF(AB4="","",IF('Input Nilai Pengetahuan'!$N$1="","",'Input Nilai Pengetahuan'!$N$1))</f>
        <v/>
      </c>
      <c r="AD4" s="89" t="str">
        <f>IF('Input Nilai Pengetahuan'!U19="","",'Input Nilai Pengetahuan'!U19)</f>
        <v/>
      </c>
      <c r="AE4" s="89" t="str">
        <f>IF(AD4="","",IF('Input Nilai Pengetahuan'!$N$1="","",'Input Nilai Pengetahuan'!$N$1))</f>
        <v/>
      </c>
      <c r="AF4" s="89" t="str">
        <f>IF('Input Nilai Pengetahuan'!U20="","",'Input Nilai Pengetahuan'!U20)</f>
        <v/>
      </c>
      <c r="AG4" s="89" t="str">
        <f>IF(AF4="","",IF('Input Nilai Pengetahuan'!$N$1="","",'Input Nilai Pengetahuan'!$N$1))</f>
        <v/>
      </c>
      <c r="AH4" s="89" t="str">
        <f>IF('Input Nilai Pengetahuan'!U21="","",'Input Nilai Pengetahuan'!U21)</f>
        <v/>
      </c>
      <c r="AI4" s="89" t="str">
        <f>IF(AH4="","",IF('Input Nilai Pengetahuan'!$N$1="","",'Input Nilai Pengetahuan'!$N$1))</f>
        <v/>
      </c>
      <c r="AJ4" s="89" t="str">
        <f>IF('Input Nilai Pengetahuan'!U22="","",'Input Nilai Pengetahuan'!U22)</f>
        <v/>
      </c>
      <c r="AK4" s="89" t="str">
        <f>IF(AJ4="","",IF('Input Nilai Pengetahuan'!$N$1="","",'Input Nilai Pengetahuan'!$N$1))</f>
        <v/>
      </c>
      <c r="AL4" s="89" t="str">
        <f>IF('Input Nilai Pengetahuan'!U23="","",'Input Nilai Pengetahuan'!U23)</f>
        <v/>
      </c>
      <c r="AM4" s="89" t="str">
        <f>IF(AL4="","",IF('Input Nilai Pengetahuan'!$N$1="","",'Input Nilai Pengetahuan'!$N$1))</f>
        <v/>
      </c>
      <c r="AN4" s="89" t="str">
        <f>IF('Input Nilai Pengetahuan'!U24="","",'Input Nilai Pengetahuan'!U24)</f>
        <v/>
      </c>
      <c r="AO4" s="89" t="str">
        <f>IF(AN4="","",IF('Input Nilai Pengetahuan'!$N$1="","",'Input Nilai Pengetahuan'!$N$1))</f>
        <v/>
      </c>
      <c r="AP4" s="89" t="str">
        <f>IF('Input Nilai Pengetahuan'!U25="","",'Input Nilai Pengetahuan'!U25)</f>
        <v/>
      </c>
      <c r="AQ4" s="89" t="str">
        <f>IF(AP4="","",IF('Input Nilai Pengetahuan'!$N$1="","",'Input Nilai Pengetahuan'!$N$1))</f>
        <v/>
      </c>
      <c r="AR4" s="89" t="str">
        <f>IF('Input Nilai Pengetahuan'!U26="","",'Input Nilai Pengetahuan'!U26)</f>
        <v/>
      </c>
      <c r="AS4" s="89" t="str">
        <f>IF(AR4="","",IF('Input Nilai Pengetahuan'!$N$1="","",'Input Nilai Pengetahuan'!$N$1))</f>
        <v/>
      </c>
      <c r="AT4" s="89" t="str">
        <f>IF('Input Nilai Pengetahuan'!U27="","",'Input Nilai Pengetahuan'!U27)</f>
        <v/>
      </c>
      <c r="AU4" s="89" t="str">
        <f>IF(AT4="","",IF('Input Nilai Pengetahuan'!$N$1="","",'Input Nilai Pengetahuan'!$N$1))</f>
        <v/>
      </c>
      <c r="AV4" s="89" t="str">
        <f>IF('Input Nilai Pengetahuan'!U28="","",'Input Nilai Pengetahuan'!U28)</f>
        <v/>
      </c>
      <c r="AW4" s="89" t="str">
        <f>IF(AV4="","",IF('Input Nilai Pengetahuan'!$N$1="","",'Input Nilai Pengetahuan'!$N$1))</f>
        <v/>
      </c>
      <c r="AX4" s="89" t="str">
        <f>IF('Input Nilai Pengetahuan'!U29="","",'Input Nilai Pengetahuan'!U29)</f>
        <v/>
      </c>
      <c r="AY4" s="89" t="str">
        <f>IF(AX4="","",IF('Input Nilai Pengetahuan'!$N$1="","",'Input Nilai Pengetahuan'!$N$1))</f>
        <v/>
      </c>
      <c r="AZ4" s="89" t="str">
        <f>IF('Input Nilai Pengetahuan'!U30="","",'Input Nilai Pengetahuan'!U30)</f>
        <v/>
      </c>
      <c r="BA4" s="89" t="str">
        <f>IF(AZ4="","",IF('Input Nilai Pengetahuan'!$N$1="","",'Input Nilai Pengetahuan'!$N$1))</f>
        <v/>
      </c>
      <c r="BB4" s="89" t="str">
        <f>IF('Input Nilai Pengetahuan'!U31="","",'Input Nilai Pengetahuan'!U31)</f>
        <v/>
      </c>
      <c r="BC4" s="89" t="str">
        <f>IF(BB4="","",IF('Input Nilai Pengetahuan'!$N$1="","",'Input Nilai Pengetahuan'!$N$1))</f>
        <v/>
      </c>
      <c r="BD4" s="89" t="str">
        <f>IF('Input Nilai Pengetahuan'!U32="","",'Input Nilai Pengetahuan'!U32)</f>
        <v/>
      </c>
      <c r="BE4" s="89" t="str">
        <f>IF(BD4="","",IF('Input Nilai Pengetahuan'!$N$1="","",'Input Nilai Pengetahuan'!$N$1))</f>
        <v/>
      </c>
      <c r="BF4" s="89" t="str">
        <f>IF('Input Nilai Pengetahuan'!U33="","",'Input Nilai Pengetahuan'!U33)</f>
        <v/>
      </c>
      <c r="BG4" s="89" t="str">
        <f>IF(BF4="","",IF('Input Nilai Pengetahuan'!$N$1="","",'Input Nilai Pengetahuan'!$N$1))</f>
        <v/>
      </c>
      <c r="BH4" s="89" t="str">
        <f>IF('Input Nilai Pengetahuan'!U34="","",'Input Nilai Pengetahuan'!U34)</f>
        <v/>
      </c>
      <c r="BI4" s="89" t="str">
        <f>IF(BH4="","",IF('Input Nilai Pengetahuan'!$N$1="","",'Input Nilai Pengetahuan'!$N$1))</f>
        <v/>
      </c>
      <c r="BJ4" s="89" t="str">
        <f>IF('Input Nilai Pengetahuan'!U35="","",'Input Nilai Pengetahuan'!U35)</f>
        <v/>
      </c>
      <c r="BK4" s="89" t="str">
        <f>IF(BJ4="","",IF('Input Nilai Pengetahuan'!$N$1="","",'Input Nilai Pengetahuan'!$N$1))</f>
        <v/>
      </c>
      <c r="BL4" s="89" t="str">
        <f>IF('Input Nilai Pengetahuan'!U36="","",'Input Nilai Pengetahuan'!U36)</f>
        <v/>
      </c>
      <c r="BM4" s="89" t="str">
        <f>IF(BL4="","",IF('Input Nilai Pengetahuan'!$N$1="","",'Input Nilai Pengetahuan'!$N$1))</f>
        <v/>
      </c>
      <c r="BN4" s="89" t="str">
        <f>IF('Input Nilai Pengetahuan'!U37="","",'Input Nilai Pengetahuan'!U37)</f>
        <v/>
      </c>
      <c r="BO4" s="89" t="str">
        <f>IF(BN4="","",IF('Input Nilai Pengetahuan'!$N$1="","",'Input Nilai Pengetahuan'!$N$1))</f>
        <v/>
      </c>
      <c r="BP4" s="89" t="str">
        <f>IF('Input Nilai Pengetahuan'!U38="","",'Input Nilai Pengetahuan'!U38)</f>
        <v/>
      </c>
      <c r="BQ4" s="89" t="str">
        <f>IF(BP4="","",IF('Input Nilai Pengetahuan'!$N$1="","",'Input Nilai Pengetahuan'!$N$1))</f>
        <v/>
      </c>
      <c r="BR4" s="89" t="str">
        <f>IF('Input Nilai Pengetahuan'!U39="","",'Input Nilai Pengetahuan'!U39)</f>
        <v/>
      </c>
      <c r="BS4" s="89" t="str">
        <f>IF(BR4="","",IF('Input Nilai Pengetahuan'!$N$1="","",'Input Nilai Pengetahuan'!$N$1))</f>
        <v/>
      </c>
      <c r="BT4" s="89" t="str">
        <f>IF('Input Nilai Pengetahuan'!U40="","",'Input Nilai Pengetahuan'!U40)</f>
        <v/>
      </c>
      <c r="BU4" s="89" t="str">
        <f>IF(BT4="","",IF('Input Nilai Pengetahuan'!$N$1="","",'Input Nilai Pengetahuan'!$N$1))</f>
        <v/>
      </c>
      <c r="BV4" s="89" t="str">
        <f>IF('Input Nilai Pengetahuan'!U41="","",'Input Nilai Pengetahuan'!U41)</f>
        <v/>
      </c>
      <c r="BW4" s="89" t="str">
        <f>IF(BV4="","",IF('Input Nilai Pengetahuan'!$N$1="","",'Input Nilai Pengetahuan'!$N$1))</f>
        <v/>
      </c>
      <c r="BX4" s="89" t="str">
        <f>IF('Input Nilai Pengetahuan'!U42="","",'Input Nilai Pengetahuan'!U42)</f>
        <v/>
      </c>
      <c r="BY4" s="89" t="str">
        <f>IF(BX4="","",IF('Input Nilai Pengetahuan'!$N$1="","",'Input Nilai Pengetahuan'!$N$1))</f>
        <v/>
      </c>
      <c r="BZ4" s="89" t="str">
        <f>IF('Input Nilai Pengetahuan'!U43="","",'Input Nilai Pengetahuan'!U43)</f>
        <v/>
      </c>
      <c r="CA4" s="89" t="str">
        <f>IF(BZ4="","",IF('Input Nilai Pengetahuan'!$N$1="","",'Input Nilai Pengetahuan'!$N$1))</f>
        <v/>
      </c>
      <c r="CB4" s="89" t="str">
        <f>IF('Input Nilai Pengetahuan'!U44="","",'Input Nilai Pengetahuan'!U44)</f>
        <v/>
      </c>
      <c r="CC4" s="89" t="str">
        <f>IF(CB4="","",IF('Input Nilai Pengetahuan'!$N$1="","",'Input Nilai Pengetahuan'!$N$1))</f>
        <v/>
      </c>
      <c r="CD4" s="89" t="str">
        <f>IF('Input Nilai Pengetahuan'!U45="","",'Input Nilai Pengetahuan'!U45)</f>
        <v/>
      </c>
      <c r="CE4" s="89" t="str">
        <f>IF(CD4="","",IF('Input Nilai Pengetahuan'!$N$1="","",'Input Nilai Pengetahuan'!$N$1))</f>
        <v/>
      </c>
      <c r="CF4" s="89" t="str">
        <f>IF('Input Nilai Pengetahuan'!U46="","",'Input Nilai Pengetahuan'!U46)</f>
        <v/>
      </c>
      <c r="CG4" s="89" t="str">
        <f>IF(CF4="","",IF('Input Nilai Pengetahuan'!$N$1="","",'Input Nilai Pengetahuan'!$N$1))</f>
        <v/>
      </c>
      <c r="CH4" s="89" t="str">
        <f>IF('Input Nilai Pengetahuan'!U47="","",'Input Nilai Pengetahuan'!U47)</f>
        <v/>
      </c>
      <c r="CI4" s="89" t="str">
        <f>IF(CH4="","",IF('Input Nilai Pengetahuan'!$N$1="","",'Input Nilai Pengetahuan'!$N$1))</f>
        <v/>
      </c>
      <c r="CJ4" s="89" t="str">
        <f>IF('Input Nilai Pengetahuan'!U48="","",'Input Nilai Pengetahuan'!U48)</f>
        <v/>
      </c>
      <c r="CK4" s="89" t="str">
        <f>IF(CJ4="","",IF('Input Nilai Pengetahuan'!$N$1="","",'Input Nilai Pengetahuan'!$N$1))</f>
        <v/>
      </c>
      <c r="CL4" s="89" t="str">
        <f>IF('Input Nilai Pengetahuan'!U49="","",'Input Nilai Pengetahuan'!U49)</f>
        <v/>
      </c>
      <c r="CM4" s="89" t="str">
        <f>IF(CL4="","",IF('Input Nilai Pengetahuan'!$N$1="","",'Input Nilai Pengetahuan'!$N$1))</f>
        <v/>
      </c>
      <c r="CN4" s="89" t="str">
        <f>IF('Input Nilai Pengetahuan'!U50="","",'Input Nilai Pengetahuan'!U50)</f>
        <v/>
      </c>
      <c r="CO4" s="89" t="str">
        <f>IF(CN4="","",IF('Input Nilai Pengetahuan'!$N$1="","",'Input Nilai Pengetahuan'!$N$1))</f>
        <v/>
      </c>
      <c r="CP4" s="89" t="str">
        <f>IF('Input Nilai Pengetahuan'!U51="","",'Input Nilai Pengetahuan'!U51)</f>
        <v/>
      </c>
      <c r="CQ4" s="89" t="str">
        <f>IF(CP4="","",IF('Input Nilai Pengetahuan'!$N$1="","",'Input Nilai Pengetahuan'!$N$1))</f>
        <v/>
      </c>
      <c r="CR4" s="89" t="str">
        <f>IF('Input Nilai Pengetahuan'!U52="","",'Input Nilai Pengetahuan'!U52)</f>
        <v/>
      </c>
      <c r="CS4" s="89" t="str">
        <f>IF(CR4="","",IF('Input Nilai Pengetahuan'!$N$1="","",'Input Nilai Pengetahuan'!$N$1))</f>
        <v/>
      </c>
    </row>
    <row r="5" spans="1:97">
      <c r="A5" s="72">
        <v>3</v>
      </c>
      <c r="B5" s="89" t="str">
        <f>IF('Input Nilai Pengetahuan'!AC5="","",'Input Nilai Pengetahuan'!AC5)</f>
        <v/>
      </c>
      <c r="C5" s="89" t="str">
        <f>IF(B5="","",IF('Input Nilai Pengetahuan'!$V$1="","",'Input Nilai Pengetahuan'!$V$1))</f>
        <v/>
      </c>
      <c r="D5" s="89" t="str">
        <f>IF('Input Nilai Pengetahuan'!AC6="","",'Input Nilai Pengetahuan'!AC6)</f>
        <v/>
      </c>
      <c r="E5" s="89" t="str">
        <f>IF(D5="","",IF('Input Nilai Pengetahuan'!$V$1="","",'Input Nilai Pengetahuan'!$V$1))</f>
        <v/>
      </c>
      <c r="F5" s="89" t="str">
        <f>IF('Input Nilai Pengetahuan'!AC7="","",'Input Nilai Pengetahuan'!AC7)</f>
        <v/>
      </c>
      <c r="G5" s="89" t="str">
        <f>IF(F5="","",IF('Input Nilai Pengetahuan'!$V$1="","",'Input Nilai Pengetahuan'!$V$1))</f>
        <v/>
      </c>
      <c r="H5" s="89" t="str">
        <f>IF('Input Nilai Pengetahuan'!AC8="","",'Input Nilai Pengetahuan'!AC8)</f>
        <v/>
      </c>
      <c r="I5" s="89" t="str">
        <f>IF(H5="","",IF('Input Nilai Pengetahuan'!$V$1="","",'Input Nilai Pengetahuan'!$V$1))</f>
        <v/>
      </c>
      <c r="J5" s="89" t="str">
        <f>IF('Input Nilai Pengetahuan'!AC9="","",'Input Nilai Pengetahuan'!AC9)</f>
        <v/>
      </c>
      <c r="K5" s="89" t="str">
        <f>IF(J5="","",IF('Input Nilai Pengetahuan'!$V$1="","",'Input Nilai Pengetahuan'!$V$1))</f>
        <v/>
      </c>
      <c r="L5" s="89" t="str">
        <f>IF('Input Nilai Pengetahuan'!AC10="","",'Input Nilai Pengetahuan'!AC10)</f>
        <v/>
      </c>
      <c r="M5" s="89" t="str">
        <f>IF(L5="","",IF('Input Nilai Pengetahuan'!$V$1="","",'Input Nilai Pengetahuan'!$V$1))</f>
        <v/>
      </c>
      <c r="N5" s="89" t="str">
        <f>IF('Input Nilai Pengetahuan'!AC11="","",'Input Nilai Pengetahuan'!AC11)</f>
        <v/>
      </c>
      <c r="O5" s="89" t="str">
        <f>IF(N5="","",IF('Input Nilai Pengetahuan'!$V$1="","",'Input Nilai Pengetahuan'!$V$1))</f>
        <v/>
      </c>
      <c r="P5" s="89" t="str">
        <f>IF('Input Nilai Pengetahuan'!AC12="","",'Input Nilai Pengetahuan'!AC12)</f>
        <v/>
      </c>
      <c r="Q5" s="89" t="str">
        <f>IF(P5="","",IF('Input Nilai Pengetahuan'!$V$1="","",'Input Nilai Pengetahuan'!$V$1))</f>
        <v/>
      </c>
      <c r="R5" s="89" t="str">
        <f>IF('Input Nilai Pengetahuan'!AC13="","",'Input Nilai Pengetahuan'!AC13)</f>
        <v/>
      </c>
      <c r="S5" s="89" t="str">
        <f>IF(R5="","",IF('Input Nilai Pengetahuan'!$V$1="","",'Input Nilai Pengetahuan'!$V$1))</f>
        <v/>
      </c>
      <c r="T5" s="89" t="str">
        <f>IF('Input Nilai Pengetahuan'!AC14="","",'Input Nilai Pengetahuan'!AC14)</f>
        <v/>
      </c>
      <c r="U5" s="89" t="str">
        <f>IF(T5="","",IF('Input Nilai Pengetahuan'!$V$1="","",'Input Nilai Pengetahuan'!$V$1))</f>
        <v/>
      </c>
      <c r="V5" s="89" t="str">
        <f>IF('Input Nilai Pengetahuan'!AC15="","",'Input Nilai Pengetahuan'!AC15)</f>
        <v/>
      </c>
      <c r="W5" s="89" t="str">
        <f>IF(V5="","",IF('Input Nilai Pengetahuan'!$V$1="","",'Input Nilai Pengetahuan'!$V$1))</f>
        <v/>
      </c>
      <c r="X5" s="89" t="str">
        <f>IF('Input Nilai Pengetahuan'!AC16="","",'Input Nilai Pengetahuan'!AC16)</f>
        <v/>
      </c>
      <c r="Y5" s="89" t="str">
        <f>IF(X5="","",IF('Input Nilai Pengetahuan'!$V$1="","",'Input Nilai Pengetahuan'!$V$1))</f>
        <v/>
      </c>
      <c r="Z5" s="89" t="str">
        <f>IF('Input Nilai Pengetahuan'!AC17="","",'Input Nilai Pengetahuan'!AC17)</f>
        <v/>
      </c>
      <c r="AA5" s="89" t="str">
        <f>IF(Z5="","",IF('Input Nilai Pengetahuan'!$V$1="","",'Input Nilai Pengetahuan'!$V$1))</f>
        <v/>
      </c>
      <c r="AB5" s="89" t="str">
        <f>IF('Input Nilai Pengetahuan'!AC18="","",'Input Nilai Pengetahuan'!AC18)</f>
        <v/>
      </c>
      <c r="AC5" s="89" t="str">
        <f>IF(AB5="","",IF('Input Nilai Pengetahuan'!$V$1="","",'Input Nilai Pengetahuan'!$V$1))</f>
        <v/>
      </c>
      <c r="AD5" s="89" t="str">
        <f>IF('Input Nilai Pengetahuan'!AC19="","",'Input Nilai Pengetahuan'!AC19)</f>
        <v/>
      </c>
      <c r="AE5" s="89" t="str">
        <f>IF(AD5="","",IF('Input Nilai Pengetahuan'!$V$1="","",'Input Nilai Pengetahuan'!$V$1))</f>
        <v/>
      </c>
      <c r="AF5" s="89" t="str">
        <f>IF('Input Nilai Pengetahuan'!AC20="","",'Input Nilai Pengetahuan'!AC20)</f>
        <v/>
      </c>
      <c r="AG5" s="89" t="str">
        <f>IF(AF5="","",IF('Input Nilai Pengetahuan'!$V$1="","",'Input Nilai Pengetahuan'!$V$1))</f>
        <v/>
      </c>
      <c r="AH5" s="89" t="str">
        <f>IF('Input Nilai Pengetahuan'!AC21="","",'Input Nilai Pengetahuan'!AC21)</f>
        <v/>
      </c>
      <c r="AI5" s="89" t="str">
        <f>IF(AH5="","",IF('Input Nilai Pengetahuan'!$V$1="","",'Input Nilai Pengetahuan'!$V$1))</f>
        <v/>
      </c>
      <c r="AJ5" s="89" t="str">
        <f>IF('Input Nilai Pengetahuan'!AC22="","",'Input Nilai Pengetahuan'!AC22)</f>
        <v/>
      </c>
      <c r="AK5" s="89" t="str">
        <f>IF(AJ5="","",IF('Input Nilai Pengetahuan'!$V$1="","",'Input Nilai Pengetahuan'!$V$1))</f>
        <v/>
      </c>
      <c r="AL5" s="89" t="str">
        <f>IF('Input Nilai Pengetahuan'!AC23="","",'Input Nilai Pengetahuan'!AC23)</f>
        <v/>
      </c>
      <c r="AM5" s="89" t="str">
        <f>IF(AL5="","",IF('Input Nilai Pengetahuan'!$V$1="","",'Input Nilai Pengetahuan'!$V$1))</f>
        <v/>
      </c>
      <c r="AN5" s="89" t="str">
        <f>IF('Input Nilai Pengetahuan'!AC24="","",'Input Nilai Pengetahuan'!AC24)</f>
        <v/>
      </c>
      <c r="AO5" s="89" t="str">
        <f>IF(AN5="","",IF('Input Nilai Pengetahuan'!$V$1="","",'Input Nilai Pengetahuan'!$V$1))</f>
        <v/>
      </c>
      <c r="AP5" s="89" t="str">
        <f>IF('Input Nilai Pengetahuan'!AC25="","",'Input Nilai Pengetahuan'!AC25)</f>
        <v/>
      </c>
      <c r="AQ5" s="89" t="str">
        <f>IF(AP5="","",IF('Input Nilai Pengetahuan'!$V$1="","",'Input Nilai Pengetahuan'!$V$1))</f>
        <v/>
      </c>
      <c r="AR5" s="89" t="str">
        <f>IF('Input Nilai Pengetahuan'!AC26="","",'Input Nilai Pengetahuan'!AC26)</f>
        <v/>
      </c>
      <c r="AS5" s="89" t="str">
        <f>IF(AR5="","",IF('Input Nilai Pengetahuan'!$V$1="","",'Input Nilai Pengetahuan'!$V$1))</f>
        <v/>
      </c>
      <c r="AT5" s="89" t="str">
        <f>IF('Input Nilai Pengetahuan'!AC27="","",'Input Nilai Pengetahuan'!AC27)</f>
        <v/>
      </c>
      <c r="AU5" s="89" t="str">
        <f>IF(AT5="","",IF('Input Nilai Pengetahuan'!$V$1="","",'Input Nilai Pengetahuan'!$V$1))</f>
        <v/>
      </c>
      <c r="AV5" s="89" t="str">
        <f>IF('Input Nilai Pengetahuan'!AC28="","",'Input Nilai Pengetahuan'!AC28)</f>
        <v/>
      </c>
      <c r="AW5" s="89" t="str">
        <f>IF(AV5="","",IF('Input Nilai Pengetahuan'!$V$1="","",'Input Nilai Pengetahuan'!$V$1))</f>
        <v/>
      </c>
      <c r="AX5" s="89" t="str">
        <f>IF('Input Nilai Pengetahuan'!AC29="","",'Input Nilai Pengetahuan'!AC29)</f>
        <v/>
      </c>
      <c r="AY5" s="89" t="str">
        <f>IF(AX5="","",IF('Input Nilai Pengetahuan'!$V$1="","",'Input Nilai Pengetahuan'!$V$1))</f>
        <v/>
      </c>
      <c r="AZ5" s="89" t="str">
        <f>IF('Input Nilai Pengetahuan'!AC30="","",'Input Nilai Pengetahuan'!AC30)</f>
        <v/>
      </c>
      <c r="BA5" s="89" t="str">
        <f>IF(AZ5="","",IF('Input Nilai Pengetahuan'!$V$1="","",'Input Nilai Pengetahuan'!$V$1))</f>
        <v/>
      </c>
      <c r="BB5" s="89" t="str">
        <f>IF('Input Nilai Pengetahuan'!AC31="","",'Input Nilai Pengetahuan'!AC31)</f>
        <v/>
      </c>
      <c r="BC5" s="89" t="str">
        <f>IF(BB5="","",IF('Input Nilai Pengetahuan'!$V$1="","",'Input Nilai Pengetahuan'!$V$1))</f>
        <v/>
      </c>
      <c r="BD5" s="89" t="str">
        <f>IF('Input Nilai Pengetahuan'!AC32="","",'Input Nilai Pengetahuan'!AC32)</f>
        <v/>
      </c>
      <c r="BE5" s="89" t="str">
        <f>IF(BD5="","",IF('Input Nilai Pengetahuan'!$V$1="","",'Input Nilai Pengetahuan'!$V$1))</f>
        <v/>
      </c>
      <c r="BF5" s="89" t="str">
        <f>IF('Input Nilai Pengetahuan'!AC33="","",'Input Nilai Pengetahuan'!AC33)</f>
        <v/>
      </c>
      <c r="BG5" s="89" t="str">
        <f>IF(BF5="","",IF('Input Nilai Pengetahuan'!$V$1="","",'Input Nilai Pengetahuan'!$V$1))</f>
        <v/>
      </c>
      <c r="BH5" s="89" t="str">
        <f>IF('Input Nilai Pengetahuan'!AC34="","",'Input Nilai Pengetahuan'!AC34)</f>
        <v/>
      </c>
      <c r="BI5" s="89" t="str">
        <f>IF(BH5="","",IF('Input Nilai Pengetahuan'!$V$1="","",'Input Nilai Pengetahuan'!$V$1))</f>
        <v/>
      </c>
      <c r="BJ5" s="89" t="str">
        <f>IF('Input Nilai Pengetahuan'!AC35="","",'Input Nilai Pengetahuan'!AC35)</f>
        <v/>
      </c>
      <c r="BK5" s="89" t="str">
        <f>IF(BJ5="","",IF('Input Nilai Pengetahuan'!$V$1="","",'Input Nilai Pengetahuan'!$V$1))</f>
        <v/>
      </c>
      <c r="BL5" s="89" t="str">
        <f>IF('Input Nilai Pengetahuan'!AC36="","",'Input Nilai Pengetahuan'!AC36)</f>
        <v/>
      </c>
      <c r="BM5" s="89" t="str">
        <f>IF(BL5="","",IF('Input Nilai Pengetahuan'!$V$1="","",'Input Nilai Pengetahuan'!$V$1))</f>
        <v/>
      </c>
      <c r="BN5" s="89" t="str">
        <f>IF('Input Nilai Pengetahuan'!AC37="","",'Input Nilai Pengetahuan'!AC37)</f>
        <v/>
      </c>
      <c r="BO5" s="89" t="str">
        <f>IF(BN5="","",IF('Input Nilai Pengetahuan'!$V$1="","",'Input Nilai Pengetahuan'!$V$1))</f>
        <v/>
      </c>
      <c r="BP5" s="89" t="str">
        <f>IF('Input Nilai Pengetahuan'!AC38="","",'Input Nilai Pengetahuan'!AC38)</f>
        <v/>
      </c>
      <c r="BQ5" s="89" t="str">
        <f>IF(BP5="","",IF('Input Nilai Pengetahuan'!$V$1="","",'Input Nilai Pengetahuan'!$V$1))</f>
        <v/>
      </c>
      <c r="BR5" s="89" t="str">
        <f>IF('Input Nilai Pengetahuan'!AC39="","",'Input Nilai Pengetahuan'!AC39)</f>
        <v/>
      </c>
      <c r="BS5" s="89" t="str">
        <f>IF(BR5="","",IF('Input Nilai Pengetahuan'!$V$1="","",'Input Nilai Pengetahuan'!$V$1))</f>
        <v/>
      </c>
      <c r="BT5" s="89" t="str">
        <f>IF('Input Nilai Pengetahuan'!AC40="","",'Input Nilai Pengetahuan'!AC40)</f>
        <v/>
      </c>
      <c r="BU5" s="89" t="str">
        <f>IF(BT5="","",IF('Input Nilai Pengetahuan'!$V$1="","",'Input Nilai Pengetahuan'!$V$1))</f>
        <v/>
      </c>
      <c r="BV5" s="89" t="str">
        <f>IF('Input Nilai Pengetahuan'!AC41="","",'Input Nilai Pengetahuan'!AC41)</f>
        <v/>
      </c>
      <c r="BW5" s="89" t="str">
        <f>IF(BV5="","",IF('Input Nilai Pengetahuan'!$V$1="","",'Input Nilai Pengetahuan'!$V$1))</f>
        <v/>
      </c>
      <c r="BX5" s="89" t="str">
        <f>IF('Input Nilai Pengetahuan'!AC42="","",'Input Nilai Pengetahuan'!AC42)</f>
        <v/>
      </c>
      <c r="BY5" s="89" t="str">
        <f>IF(BX5="","",IF('Input Nilai Pengetahuan'!$V$1="","",'Input Nilai Pengetahuan'!$V$1))</f>
        <v/>
      </c>
      <c r="BZ5" s="89" t="str">
        <f>IF('Input Nilai Pengetahuan'!AC43="","",'Input Nilai Pengetahuan'!AC43)</f>
        <v/>
      </c>
      <c r="CA5" s="89" t="str">
        <f>IF(BZ5="","",IF('Input Nilai Pengetahuan'!$V$1="","",'Input Nilai Pengetahuan'!$V$1))</f>
        <v/>
      </c>
      <c r="CB5" s="89" t="str">
        <f>IF('Input Nilai Pengetahuan'!AC44="","",'Input Nilai Pengetahuan'!AC44)</f>
        <v/>
      </c>
      <c r="CC5" s="89" t="str">
        <f>IF(CB5="","",IF('Input Nilai Pengetahuan'!$V$1="","",'Input Nilai Pengetahuan'!$V$1))</f>
        <v/>
      </c>
      <c r="CD5" s="89" t="str">
        <f>IF('Input Nilai Pengetahuan'!AC45="","",'Input Nilai Pengetahuan'!AC45)</f>
        <v/>
      </c>
      <c r="CE5" s="89" t="str">
        <f>IF(CD5="","",IF('Input Nilai Pengetahuan'!$V$1="","",'Input Nilai Pengetahuan'!$V$1))</f>
        <v/>
      </c>
      <c r="CF5" s="89" t="str">
        <f>IF('Input Nilai Pengetahuan'!AC46="","",'Input Nilai Pengetahuan'!AC46)</f>
        <v/>
      </c>
      <c r="CG5" s="89" t="str">
        <f>IF(CF5="","",IF('Input Nilai Pengetahuan'!$V$1="","",'Input Nilai Pengetahuan'!$V$1))</f>
        <v/>
      </c>
      <c r="CH5" s="89" t="str">
        <f>IF('Input Nilai Pengetahuan'!AC47="","",'Input Nilai Pengetahuan'!AC47)</f>
        <v/>
      </c>
      <c r="CI5" s="89" t="str">
        <f>IF(CH5="","",IF('Input Nilai Pengetahuan'!$V$1="","",'Input Nilai Pengetahuan'!$V$1))</f>
        <v/>
      </c>
      <c r="CJ5" s="89" t="str">
        <f>IF('Input Nilai Pengetahuan'!AC48="","",'Input Nilai Pengetahuan'!AC48)</f>
        <v/>
      </c>
      <c r="CK5" s="89" t="str">
        <f>IF(CJ5="","",IF('Input Nilai Pengetahuan'!$V$1="","",'Input Nilai Pengetahuan'!$V$1))</f>
        <v/>
      </c>
      <c r="CL5" s="89" t="str">
        <f>IF('Input Nilai Pengetahuan'!AC49="","",'Input Nilai Pengetahuan'!AC49)</f>
        <v/>
      </c>
      <c r="CM5" s="89" t="str">
        <f>IF(CL5="","",IF('Input Nilai Pengetahuan'!$V$1="","",'Input Nilai Pengetahuan'!$V$1))</f>
        <v/>
      </c>
      <c r="CN5" s="89" t="str">
        <f>IF('Input Nilai Pengetahuan'!AC50="","",'Input Nilai Pengetahuan'!AC50)</f>
        <v/>
      </c>
      <c r="CO5" s="89" t="str">
        <f>IF(CN5="","",IF('Input Nilai Pengetahuan'!$V$1="","",'Input Nilai Pengetahuan'!$V$1))</f>
        <v/>
      </c>
      <c r="CP5" s="89" t="str">
        <f>IF('Input Nilai Pengetahuan'!AC51="","",'Input Nilai Pengetahuan'!AC51)</f>
        <v/>
      </c>
      <c r="CQ5" s="89" t="str">
        <f>IF(CP5="","",IF('Input Nilai Pengetahuan'!$V$1="","",'Input Nilai Pengetahuan'!$V$1))</f>
        <v/>
      </c>
      <c r="CR5" s="89" t="str">
        <f>IF('Input Nilai Pengetahuan'!AC52="","",'Input Nilai Pengetahuan'!AC52)</f>
        <v/>
      </c>
      <c r="CS5" s="89" t="str">
        <f>IF(CR5="","",IF('Input Nilai Pengetahuan'!$V$1="","",'Input Nilai Pengetahuan'!$V$1))</f>
        <v/>
      </c>
    </row>
    <row r="6" spans="1:97">
      <c r="A6" s="72">
        <v>4</v>
      </c>
      <c r="B6" s="89" t="str">
        <f>IF('Input Nilai Pengetahuan'!AK5="","",'Input Nilai Pengetahuan'!AK5)</f>
        <v/>
      </c>
      <c r="C6" s="89" t="str">
        <f>IF(B6="","",IF('Input Nilai Pengetahuan'!$AD$1="","",'Input Nilai Pengetahuan'!$AD$1))</f>
        <v/>
      </c>
      <c r="D6" s="89" t="str">
        <f>IF('Input Nilai Pengetahuan'!AK6="","",'Input Nilai Pengetahuan'!AK6)</f>
        <v/>
      </c>
      <c r="E6" s="89" t="str">
        <f>IF(D6="","",IF('Input Nilai Pengetahuan'!$AD$1="","",'Input Nilai Pengetahuan'!$AD$1))</f>
        <v/>
      </c>
      <c r="F6" s="89" t="str">
        <f>IF('Input Nilai Pengetahuan'!AK7="","",'Input Nilai Pengetahuan'!AK7)</f>
        <v/>
      </c>
      <c r="G6" s="89" t="str">
        <f>IF(F6="","",IF('Input Nilai Pengetahuan'!$AD$1="","",'Input Nilai Pengetahuan'!$AD$1))</f>
        <v/>
      </c>
      <c r="H6" s="89" t="str">
        <f>IF('Input Nilai Pengetahuan'!AK8="","",'Input Nilai Pengetahuan'!AK8)</f>
        <v/>
      </c>
      <c r="I6" s="89" t="str">
        <f>IF(H6="","",IF('Input Nilai Pengetahuan'!$AD$1="","",'Input Nilai Pengetahuan'!$AD$1))</f>
        <v/>
      </c>
      <c r="J6" s="89" t="str">
        <f>IF('Input Nilai Pengetahuan'!AK9="","",'Input Nilai Pengetahuan'!AK9)</f>
        <v/>
      </c>
      <c r="K6" s="89" t="str">
        <f>IF(J6="","",IF('Input Nilai Pengetahuan'!$AD$1="","",'Input Nilai Pengetahuan'!$AD$1))</f>
        <v/>
      </c>
      <c r="L6" s="89" t="str">
        <f>IF('Input Nilai Pengetahuan'!AK10="","",'Input Nilai Pengetahuan'!AK10)</f>
        <v/>
      </c>
      <c r="M6" s="89" t="str">
        <f>IF(L6="","",IF('Input Nilai Pengetahuan'!$AD$1="","",'Input Nilai Pengetahuan'!$AD$1))</f>
        <v/>
      </c>
      <c r="N6" s="89" t="str">
        <f>IF('Input Nilai Pengetahuan'!AK11="","",'Input Nilai Pengetahuan'!AK11)</f>
        <v/>
      </c>
      <c r="O6" s="89" t="str">
        <f>IF(N6="","",IF('Input Nilai Pengetahuan'!$AD$1="","",'Input Nilai Pengetahuan'!$AD$1))</f>
        <v/>
      </c>
      <c r="P6" s="89" t="str">
        <f>IF('Input Nilai Pengetahuan'!AK12="","",'Input Nilai Pengetahuan'!AK12)</f>
        <v/>
      </c>
      <c r="Q6" s="89" t="str">
        <f>IF(P6="","",IF('Input Nilai Pengetahuan'!$AD$1="","",'Input Nilai Pengetahuan'!$AD$1))</f>
        <v/>
      </c>
      <c r="R6" s="89" t="str">
        <f>IF('Input Nilai Pengetahuan'!AK13="","",'Input Nilai Pengetahuan'!AK13)</f>
        <v/>
      </c>
      <c r="S6" s="89" t="str">
        <f>IF(R6="","",IF('Input Nilai Pengetahuan'!$AD$1="","",'Input Nilai Pengetahuan'!$AD$1))</f>
        <v/>
      </c>
      <c r="T6" s="89" t="str">
        <f>IF('Input Nilai Pengetahuan'!AK14="","",'Input Nilai Pengetahuan'!AK14)</f>
        <v/>
      </c>
      <c r="U6" s="89" t="str">
        <f>IF(T6="","",IF('Input Nilai Pengetahuan'!$AD$1="","",'Input Nilai Pengetahuan'!$AD$1))</f>
        <v/>
      </c>
      <c r="V6" s="89" t="str">
        <f>IF('Input Nilai Pengetahuan'!AK15="","",'Input Nilai Pengetahuan'!AK15)</f>
        <v/>
      </c>
      <c r="W6" s="89" t="str">
        <f>IF(V6="","",IF('Input Nilai Pengetahuan'!$AD$1="","",'Input Nilai Pengetahuan'!$AD$1))</f>
        <v/>
      </c>
      <c r="X6" s="89" t="str">
        <f>IF('Input Nilai Pengetahuan'!AK16="","",'Input Nilai Pengetahuan'!AK16)</f>
        <v/>
      </c>
      <c r="Y6" s="89" t="str">
        <f>IF(X6="","",IF('Input Nilai Pengetahuan'!$AD$1="","",'Input Nilai Pengetahuan'!$AD$1))</f>
        <v/>
      </c>
      <c r="Z6" s="89" t="str">
        <f>IF('Input Nilai Pengetahuan'!AK17="","",'Input Nilai Pengetahuan'!AK17)</f>
        <v/>
      </c>
      <c r="AA6" s="89" t="str">
        <f>IF(Z6="","",IF('Input Nilai Pengetahuan'!$AD$1="","",'Input Nilai Pengetahuan'!$AD$1))</f>
        <v/>
      </c>
      <c r="AB6" s="89" t="str">
        <f>IF('Input Nilai Pengetahuan'!AK18="","",'Input Nilai Pengetahuan'!AK18)</f>
        <v/>
      </c>
      <c r="AC6" s="89" t="str">
        <f>IF(AB6="","",IF('Input Nilai Pengetahuan'!$AD$1="","",'Input Nilai Pengetahuan'!$AD$1))</f>
        <v/>
      </c>
      <c r="AD6" s="89" t="str">
        <f>IF('Input Nilai Pengetahuan'!AK19="","",'Input Nilai Pengetahuan'!AK19)</f>
        <v/>
      </c>
      <c r="AE6" s="89" t="str">
        <f>IF(AD6="","",IF('Input Nilai Pengetahuan'!$AD$1="","",'Input Nilai Pengetahuan'!$AD$1))</f>
        <v/>
      </c>
      <c r="AF6" s="89" t="str">
        <f>IF('Input Nilai Pengetahuan'!AK20="","",'Input Nilai Pengetahuan'!AK20)</f>
        <v/>
      </c>
      <c r="AG6" s="89" t="str">
        <f>IF(AF6="","",IF('Input Nilai Pengetahuan'!$AD$1="","",'Input Nilai Pengetahuan'!$AD$1))</f>
        <v/>
      </c>
      <c r="AH6" s="89" t="str">
        <f>IF('Input Nilai Pengetahuan'!AK21="","",'Input Nilai Pengetahuan'!AK21)</f>
        <v/>
      </c>
      <c r="AI6" s="89" t="str">
        <f>IF(AH6="","",IF('Input Nilai Pengetahuan'!$AD$1="","",'Input Nilai Pengetahuan'!$AD$1))</f>
        <v/>
      </c>
      <c r="AJ6" s="89" t="str">
        <f>IF('Input Nilai Pengetahuan'!AK22="","",'Input Nilai Pengetahuan'!AK22)</f>
        <v/>
      </c>
      <c r="AK6" s="89" t="str">
        <f>IF(AJ6="","",IF('Input Nilai Pengetahuan'!$AD$1="","",'Input Nilai Pengetahuan'!$AD$1))</f>
        <v/>
      </c>
      <c r="AL6" s="89" t="str">
        <f>IF('Input Nilai Pengetahuan'!AK23="","",'Input Nilai Pengetahuan'!AK23)</f>
        <v/>
      </c>
      <c r="AM6" s="89" t="str">
        <f>IF(AL6="","",IF('Input Nilai Pengetahuan'!$AD$1="","",'Input Nilai Pengetahuan'!$AD$1))</f>
        <v/>
      </c>
      <c r="AN6" s="89" t="str">
        <f>IF('Input Nilai Pengetahuan'!AK24="","",'Input Nilai Pengetahuan'!AK24)</f>
        <v/>
      </c>
      <c r="AO6" s="89" t="str">
        <f>IF(AN6="","",IF('Input Nilai Pengetahuan'!$AD$1="","",'Input Nilai Pengetahuan'!$AD$1))</f>
        <v/>
      </c>
      <c r="AP6" s="89" t="str">
        <f>IF('Input Nilai Pengetahuan'!AK25="","",'Input Nilai Pengetahuan'!AK25)</f>
        <v/>
      </c>
      <c r="AQ6" s="89" t="str">
        <f>IF(AP6="","",IF('Input Nilai Pengetahuan'!$AD$1="","",'Input Nilai Pengetahuan'!$AD$1))</f>
        <v/>
      </c>
      <c r="AR6" s="89" t="str">
        <f>IF('Input Nilai Pengetahuan'!AK26="","",'Input Nilai Pengetahuan'!AK26)</f>
        <v/>
      </c>
      <c r="AS6" s="89" t="str">
        <f>IF(AR6="","",IF('Input Nilai Pengetahuan'!$AD$1="","",'Input Nilai Pengetahuan'!$AD$1))</f>
        <v/>
      </c>
      <c r="AT6" s="89" t="str">
        <f>IF('Input Nilai Pengetahuan'!AK27="","",'Input Nilai Pengetahuan'!AK27)</f>
        <v/>
      </c>
      <c r="AU6" s="89" t="str">
        <f>IF(AT6="","",IF('Input Nilai Pengetahuan'!$AD$1="","",'Input Nilai Pengetahuan'!$AD$1))</f>
        <v/>
      </c>
      <c r="AV6" s="89" t="str">
        <f>IF('Input Nilai Pengetahuan'!AK28="","",'Input Nilai Pengetahuan'!AK28)</f>
        <v/>
      </c>
      <c r="AW6" s="89" t="str">
        <f>IF(AV6="","",IF('Input Nilai Pengetahuan'!$AD$1="","",'Input Nilai Pengetahuan'!$AD$1))</f>
        <v/>
      </c>
      <c r="AX6" s="89" t="str">
        <f>IF('Input Nilai Pengetahuan'!AK29="","",'Input Nilai Pengetahuan'!AK29)</f>
        <v/>
      </c>
      <c r="AY6" s="89" t="str">
        <f>IF(AX6="","",IF('Input Nilai Pengetahuan'!$AD$1="","",'Input Nilai Pengetahuan'!$AD$1))</f>
        <v/>
      </c>
      <c r="AZ6" s="89" t="str">
        <f>IF('Input Nilai Pengetahuan'!AK30="","",'Input Nilai Pengetahuan'!AK30)</f>
        <v/>
      </c>
      <c r="BA6" s="89" t="str">
        <f>IF(AZ6="","",IF('Input Nilai Pengetahuan'!$AD$1="","",'Input Nilai Pengetahuan'!$AD$1))</f>
        <v/>
      </c>
      <c r="BB6" s="89" t="str">
        <f>IF('Input Nilai Pengetahuan'!AK31="","",'Input Nilai Pengetahuan'!AK31)</f>
        <v/>
      </c>
      <c r="BC6" s="89" t="str">
        <f>IF(BB6="","",IF('Input Nilai Pengetahuan'!$AD$1="","",'Input Nilai Pengetahuan'!$AD$1))</f>
        <v/>
      </c>
      <c r="BD6" s="89" t="str">
        <f>IF('Input Nilai Pengetahuan'!AK32="","",'Input Nilai Pengetahuan'!AK32)</f>
        <v/>
      </c>
      <c r="BE6" s="89" t="str">
        <f>IF(BD6="","",IF('Input Nilai Pengetahuan'!$AD$1="","",'Input Nilai Pengetahuan'!$AD$1))</f>
        <v/>
      </c>
      <c r="BF6" s="89" t="str">
        <f>IF('Input Nilai Pengetahuan'!AK33="","",'Input Nilai Pengetahuan'!AK33)</f>
        <v/>
      </c>
      <c r="BG6" s="89" t="str">
        <f>IF(BF6="","",IF('Input Nilai Pengetahuan'!$AD$1="","",'Input Nilai Pengetahuan'!$AD$1))</f>
        <v/>
      </c>
      <c r="BH6" s="89" t="str">
        <f>IF('Input Nilai Pengetahuan'!AK34="","",'Input Nilai Pengetahuan'!AK34)</f>
        <v/>
      </c>
      <c r="BI6" s="89" t="str">
        <f>IF(BH6="","",IF('Input Nilai Pengetahuan'!$AD$1="","",'Input Nilai Pengetahuan'!$AD$1))</f>
        <v/>
      </c>
      <c r="BJ6" s="89" t="str">
        <f>IF('Input Nilai Pengetahuan'!AK35="","",'Input Nilai Pengetahuan'!AK35)</f>
        <v/>
      </c>
      <c r="BK6" s="89" t="str">
        <f>IF(BJ6="","",IF('Input Nilai Pengetahuan'!$AD$1="","",'Input Nilai Pengetahuan'!$AD$1))</f>
        <v/>
      </c>
      <c r="BL6" s="89" t="str">
        <f>IF('Input Nilai Pengetahuan'!AK36="","",'Input Nilai Pengetahuan'!AK36)</f>
        <v/>
      </c>
      <c r="BM6" s="89" t="str">
        <f>IF(BL6="","",IF('Input Nilai Pengetahuan'!$AD$1="","",'Input Nilai Pengetahuan'!$AD$1))</f>
        <v/>
      </c>
      <c r="BN6" s="89" t="str">
        <f>IF('Input Nilai Pengetahuan'!AK37="","",'Input Nilai Pengetahuan'!AK37)</f>
        <v/>
      </c>
      <c r="BO6" s="89" t="str">
        <f>IF(BN6="","",IF('Input Nilai Pengetahuan'!$AD$1="","",'Input Nilai Pengetahuan'!$AD$1))</f>
        <v/>
      </c>
      <c r="BP6" s="89" t="str">
        <f>IF('Input Nilai Pengetahuan'!AK38="","",'Input Nilai Pengetahuan'!AK38)</f>
        <v/>
      </c>
      <c r="BQ6" s="89" t="str">
        <f>IF(BP6="","",IF('Input Nilai Pengetahuan'!$AD$1="","",'Input Nilai Pengetahuan'!$AD$1))</f>
        <v/>
      </c>
      <c r="BR6" s="89" t="str">
        <f>IF('Input Nilai Pengetahuan'!AK39="","",'Input Nilai Pengetahuan'!AK39)</f>
        <v/>
      </c>
      <c r="BS6" s="89" t="str">
        <f>IF(BR6="","",IF('Input Nilai Pengetahuan'!$AD$1="","",'Input Nilai Pengetahuan'!$AD$1))</f>
        <v/>
      </c>
      <c r="BT6" s="89" t="str">
        <f>IF('Input Nilai Pengetahuan'!AK40="","",'Input Nilai Pengetahuan'!AK40)</f>
        <v/>
      </c>
      <c r="BU6" s="89" t="str">
        <f>IF(BT6="","",IF('Input Nilai Pengetahuan'!$AD$1="","",'Input Nilai Pengetahuan'!$AD$1))</f>
        <v/>
      </c>
      <c r="BV6" s="89" t="str">
        <f>IF('Input Nilai Pengetahuan'!AK41="","",'Input Nilai Pengetahuan'!AK41)</f>
        <v/>
      </c>
      <c r="BW6" s="89" t="str">
        <f>IF(BV6="","",IF('Input Nilai Pengetahuan'!$AD$1="","",'Input Nilai Pengetahuan'!$AD$1))</f>
        <v/>
      </c>
      <c r="BX6" s="89" t="str">
        <f>IF('Input Nilai Pengetahuan'!AK42="","",'Input Nilai Pengetahuan'!AK42)</f>
        <v/>
      </c>
      <c r="BY6" s="89" t="str">
        <f>IF(BX6="","",IF('Input Nilai Pengetahuan'!$AD$1="","",'Input Nilai Pengetahuan'!$AD$1))</f>
        <v/>
      </c>
      <c r="BZ6" s="89" t="str">
        <f>IF('Input Nilai Pengetahuan'!AK43="","",'Input Nilai Pengetahuan'!AK43)</f>
        <v/>
      </c>
      <c r="CA6" s="89" t="str">
        <f>IF(BZ6="","",IF('Input Nilai Pengetahuan'!$AD$1="","",'Input Nilai Pengetahuan'!$AD$1))</f>
        <v/>
      </c>
      <c r="CB6" s="89" t="str">
        <f>IF('Input Nilai Pengetahuan'!AK44="","",'Input Nilai Pengetahuan'!AK44)</f>
        <v/>
      </c>
      <c r="CC6" s="89" t="str">
        <f>IF(CB6="","",IF('Input Nilai Pengetahuan'!$AD$1="","",'Input Nilai Pengetahuan'!$AD$1))</f>
        <v/>
      </c>
      <c r="CD6" s="89" t="str">
        <f>IF('Input Nilai Pengetahuan'!AK45="","",'Input Nilai Pengetahuan'!AK45)</f>
        <v/>
      </c>
      <c r="CE6" s="89" t="str">
        <f>IF(CD6="","",IF('Input Nilai Pengetahuan'!$AD$1="","",'Input Nilai Pengetahuan'!$AD$1))</f>
        <v/>
      </c>
      <c r="CF6" s="89" t="str">
        <f>IF('Input Nilai Pengetahuan'!AK46="","",'Input Nilai Pengetahuan'!AK46)</f>
        <v/>
      </c>
      <c r="CG6" s="89" t="str">
        <f>IF(CF6="","",IF('Input Nilai Pengetahuan'!$AD$1="","",'Input Nilai Pengetahuan'!$AD$1))</f>
        <v/>
      </c>
      <c r="CH6" s="89" t="str">
        <f>IF('Input Nilai Pengetahuan'!AK47="","",'Input Nilai Pengetahuan'!AK47)</f>
        <v/>
      </c>
      <c r="CI6" s="89" t="str">
        <f>IF(CH6="","",IF('Input Nilai Pengetahuan'!$AD$1="","",'Input Nilai Pengetahuan'!$AD$1))</f>
        <v/>
      </c>
      <c r="CJ6" s="89" t="str">
        <f>IF('Input Nilai Pengetahuan'!AK48="","",'Input Nilai Pengetahuan'!AK48)</f>
        <v/>
      </c>
      <c r="CK6" s="89" t="str">
        <f>IF(CJ6="","",IF('Input Nilai Pengetahuan'!$AD$1="","",'Input Nilai Pengetahuan'!$AD$1))</f>
        <v/>
      </c>
      <c r="CL6" s="89" t="str">
        <f>IF('Input Nilai Pengetahuan'!AK49="","",'Input Nilai Pengetahuan'!AK49)</f>
        <v/>
      </c>
      <c r="CM6" s="89" t="str">
        <f>IF(CL6="","",IF('Input Nilai Pengetahuan'!$AD$1="","",'Input Nilai Pengetahuan'!$AD$1))</f>
        <v/>
      </c>
      <c r="CN6" s="89" t="str">
        <f>IF('Input Nilai Pengetahuan'!AK50="","",'Input Nilai Pengetahuan'!AK50)</f>
        <v/>
      </c>
      <c r="CO6" s="89" t="str">
        <f>IF(CN6="","",IF('Input Nilai Pengetahuan'!$AD$1="","",'Input Nilai Pengetahuan'!$AD$1))</f>
        <v/>
      </c>
      <c r="CP6" s="89" t="str">
        <f>IF('Input Nilai Pengetahuan'!AK51="","",'Input Nilai Pengetahuan'!AK51)</f>
        <v/>
      </c>
      <c r="CQ6" s="89" t="str">
        <f>IF(CP6="","",IF('Input Nilai Pengetahuan'!$AD$1="","",'Input Nilai Pengetahuan'!$AD$1))</f>
        <v/>
      </c>
      <c r="CR6" s="89" t="str">
        <f>IF('Input Nilai Pengetahuan'!AK52="","",'Input Nilai Pengetahuan'!AK52)</f>
        <v/>
      </c>
      <c r="CS6" s="89" t="str">
        <f>IF(CR6="","",IF('Input Nilai Pengetahuan'!$AD$1="","",'Input Nilai Pengetahuan'!$AD$1))</f>
        <v/>
      </c>
    </row>
    <row r="7" spans="1:97">
      <c r="A7" s="72">
        <v>5</v>
      </c>
      <c r="B7" s="89" t="str">
        <f>IF('Input Nilai Pengetahuan'!AS5="","",'Input Nilai Pengetahuan'!AS5)</f>
        <v/>
      </c>
      <c r="C7" s="89" t="str">
        <f>IF(B3="","",IF('Input Nilai Pengetahuan'!$AL$1="","",'Input Nilai Pengetahuan'!$AL$1))</f>
        <v/>
      </c>
      <c r="D7" s="89" t="str">
        <f>IF('Input Nilai Pengetahuan'!AS6="","",'Input Nilai Pengetahuan'!AS6)</f>
        <v/>
      </c>
      <c r="E7" s="89" t="str">
        <f>IF(D3="","",IF('Input Nilai Pengetahuan'!$AL$1="","",'Input Nilai Pengetahuan'!$AL$1))</f>
        <v/>
      </c>
      <c r="F7" s="89" t="str">
        <f>IF('Input Nilai Pengetahuan'!AS7="","",'Input Nilai Pengetahuan'!AS7)</f>
        <v/>
      </c>
      <c r="G7" s="89" t="str">
        <f>IF(F3="","",IF('Input Nilai Pengetahuan'!$AL$1="","",'Input Nilai Pengetahuan'!$AL$1))</f>
        <v/>
      </c>
      <c r="H7" s="89" t="str">
        <f>IF('Input Nilai Pengetahuan'!AS8="","",'Input Nilai Pengetahuan'!AS8)</f>
        <v/>
      </c>
      <c r="I7" s="89" t="str">
        <f>IF(H3="","",IF('Input Nilai Pengetahuan'!$AL$1="","",'Input Nilai Pengetahuan'!$AL$1))</f>
        <v/>
      </c>
      <c r="J7" s="89" t="str">
        <f>IF('Input Nilai Pengetahuan'!AS9="","",'Input Nilai Pengetahuan'!AS9)</f>
        <v/>
      </c>
      <c r="K7" s="89" t="str">
        <f>IF(J3="","",IF('Input Nilai Pengetahuan'!$AL$1="","",'Input Nilai Pengetahuan'!$AL$1))</f>
        <v/>
      </c>
      <c r="L7" s="89" t="str">
        <f>IF('Input Nilai Pengetahuan'!AS10="","",'Input Nilai Pengetahuan'!AS10)</f>
        <v/>
      </c>
      <c r="M7" s="89" t="str">
        <f>IF(L3="","",IF('Input Nilai Pengetahuan'!$AL$1="","",'Input Nilai Pengetahuan'!$AL$1))</f>
        <v/>
      </c>
      <c r="N7" s="89" t="str">
        <f>IF('Input Nilai Pengetahuan'!AS11="","",'Input Nilai Pengetahuan'!AS11)</f>
        <v/>
      </c>
      <c r="O7" s="89" t="str">
        <f>IF(N3="","",IF('Input Nilai Pengetahuan'!$AL$1="","",'Input Nilai Pengetahuan'!$AL$1))</f>
        <v/>
      </c>
      <c r="P7" s="89" t="str">
        <f>IF('Input Nilai Pengetahuan'!AS12="","",'Input Nilai Pengetahuan'!AS12)</f>
        <v/>
      </c>
      <c r="Q7" s="89" t="str">
        <f>IF(P3="","",IF('Input Nilai Pengetahuan'!$AL$1="","",'Input Nilai Pengetahuan'!$AL$1))</f>
        <v/>
      </c>
      <c r="R7" s="89" t="str">
        <f>IF('Input Nilai Pengetahuan'!AS13="","",'Input Nilai Pengetahuan'!AS13)</f>
        <v/>
      </c>
      <c r="S7" s="89" t="str">
        <f>IF(R3="","",IF('Input Nilai Pengetahuan'!$AL$1="","",'Input Nilai Pengetahuan'!$AL$1))</f>
        <v/>
      </c>
      <c r="T7" s="89" t="str">
        <f>IF('Input Nilai Pengetahuan'!AS14="","",'Input Nilai Pengetahuan'!AS14)</f>
        <v/>
      </c>
      <c r="U7" s="89" t="str">
        <f>IF(T3="","",IF('Input Nilai Pengetahuan'!$AL$1="","",'Input Nilai Pengetahuan'!$AL$1))</f>
        <v/>
      </c>
      <c r="V7" s="89" t="str">
        <f>IF('Input Nilai Pengetahuan'!AS15="","",'Input Nilai Pengetahuan'!AS15)</f>
        <v/>
      </c>
      <c r="W7" s="89" t="str">
        <f>IF(V3="","",IF('Input Nilai Pengetahuan'!$AL$1="","",'Input Nilai Pengetahuan'!$AL$1))</f>
        <v/>
      </c>
      <c r="X7" s="89" t="str">
        <f>IF('Input Nilai Pengetahuan'!AS16="","",'Input Nilai Pengetahuan'!AS16)</f>
        <v/>
      </c>
      <c r="Y7" s="89" t="str">
        <f>IF(X3="","",IF('Input Nilai Pengetahuan'!$AL$1="","",'Input Nilai Pengetahuan'!$AL$1))</f>
        <v/>
      </c>
      <c r="Z7" s="89" t="str">
        <f>IF('Input Nilai Pengetahuan'!AS17="","",'Input Nilai Pengetahuan'!AS17)</f>
        <v/>
      </c>
      <c r="AA7" s="89" t="str">
        <f>IF(Z3="","",IF('Input Nilai Pengetahuan'!$AL$1="","",'Input Nilai Pengetahuan'!$AL$1))</f>
        <v/>
      </c>
      <c r="AB7" s="89" t="str">
        <f>IF('Input Nilai Pengetahuan'!AS18="","",'Input Nilai Pengetahuan'!AS18)</f>
        <v/>
      </c>
      <c r="AC7" s="89" t="str">
        <f>IF(AB3="","",IF('Input Nilai Pengetahuan'!$AL$1="","",'Input Nilai Pengetahuan'!$AL$1))</f>
        <v/>
      </c>
      <c r="AD7" s="89" t="str">
        <f>IF('Input Nilai Pengetahuan'!AS19="","",'Input Nilai Pengetahuan'!AS19)</f>
        <v/>
      </c>
      <c r="AE7" s="89" t="str">
        <f>IF(AD3="","",IF('Input Nilai Pengetahuan'!$AL$1="","",'Input Nilai Pengetahuan'!$AL$1))</f>
        <v/>
      </c>
      <c r="AF7" s="89" t="str">
        <f>IF('Input Nilai Pengetahuan'!AS20="","",'Input Nilai Pengetahuan'!AS20)</f>
        <v/>
      </c>
      <c r="AG7" s="89" t="str">
        <f>IF(AF3="","",IF('Input Nilai Pengetahuan'!$AL$1="","",'Input Nilai Pengetahuan'!$AL$1))</f>
        <v/>
      </c>
      <c r="AH7" s="89" t="str">
        <f>IF('Input Nilai Pengetahuan'!AS21="","",'Input Nilai Pengetahuan'!AS21)</f>
        <v/>
      </c>
      <c r="AI7" s="89" t="str">
        <f>IF(AH3="","",IF('Input Nilai Pengetahuan'!$AL$1="","",'Input Nilai Pengetahuan'!$AL$1))</f>
        <v/>
      </c>
      <c r="AJ7" s="89" t="str">
        <f>IF('Input Nilai Pengetahuan'!AS22="","",'Input Nilai Pengetahuan'!AS22)</f>
        <v/>
      </c>
      <c r="AK7" s="89" t="str">
        <f>IF(AJ3="","",IF('Input Nilai Pengetahuan'!$AL$1="","",'Input Nilai Pengetahuan'!$AL$1))</f>
        <v/>
      </c>
      <c r="AL7" s="89" t="str">
        <f>IF('Input Nilai Pengetahuan'!AS23="","",'Input Nilai Pengetahuan'!AS23)</f>
        <v/>
      </c>
      <c r="AM7" s="89" t="str">
        <f>IF(AL3="","",IF('Input Nilai Pengetahuan'!$AL$1="","",'Input Nilai Pengetahuan'!$AL$1))</f>
        <v/>
      </c>
      <c r="AN7" s="89" t="str">
        <f>IF('Input Nilai Pengetahuan'!AS24="","",'Input Nilai Pengetahuan'!AS24)</f>
        <v/>
      </c>
      <c r="AO7" s="89" t="str">
        <f>IF(AN3="","",IF('Input Nilai Pengetahuan'!$AL$1="","",'Input Nilai Pengetahuan'!$AL$1))</f>
        <v/>
      </c>
      <c r="AP7" s="89" t="str">
        <f>IF('Input Nilai Pengetahuan'!AS25="","",'Input Nilai Pengetahuan'!AS25)</f>
        <v/>
      </c>
      <c r="AQ7" s="89" t="str">
        <f>IF(AP3="","",IF('Input Nilai Pengetahuan'!$AL$1="","",'Input Nilai Pengetahuan'!$AL$1))</f>
        <v/>
      </c>
      <c r="AR7" s="89" t="str">
        <f>IF('Input Nilai Pengetahuan'!AS26="","",'Input Nilai Pengetahuan'!AS26)</f>
        <v/>
      </c>
      <c r="AS7" s="89" t="str">
        <f>IF(AR3="","",IF('Input Nilai Pengetahuan'!$AL$1="","",'Input Nilai Pengetahuan'!$AL$1))</f>
        <v/>
      </c>
      <c r="AT7" s="89" t="str">
        <f>IF('Input Nilai Pengetahuan'!AS27="","",'Input Nilai Pengetahuan'!AS27)</f>
        <v/>
      </c>
      <c r="AU7" s="89" t="str">
        <f>IF(AT3="","",IF('Input Nilai Pengetahuan'!$AL$1="","",'Input Nilai Pengetahuan'!$AL$1))</f>
        <v/>
      </c>
      <c r="AV7" s="89" t="str">
        <f>IF('Input Nilai Pengetahuan'!AS28="","",'Input Nilai Pengetahuan'!AS28)</f>
        <v/>
      </c>
      <c r="AW7" s="89" t="str">
        <f>IF(AV3="","",IF('Input Nilai Pengetahuan'!$AL$1="","",'Input Nilai Pengetahuan'!$AL$1))</f>
        <v/>
      </c>
      <c r="AX7" s="89" t="str">
        <f>IF('Input Nilai Pengetahuan'!AS29="","",'Input Nilai Pengetahuan'!AS29)</f>
        <v/>
      </c>
      <c r="AY7" s="89" t="str">
        <f>IF(AX3="","",IF('Input Nilai Pengetahuan'!$AL$1="","",'Input Nilai Pengetahuan'!$AL$1))</f>
        <v/>
      </c>
      <c r="AZ7" s="89" t="str">
        <f>IF('Input Nilai Pengetahuan'!AS30="","",'Input Nilai Pengetahuan'!AS30)</f>
        <v/>
      </c>
      <c r="BA7" s="89" t="str">
        <f>IF(AZ3="","",IF('Input Nilai Pengetahuan'!$AL$1="","",'Input Nilai Pengetahuan'!$AL$1))</f>
        <v/>
      </c>
      <c r="BB7" s="89" t="str">
        <f>IF('Input Nilai Pengetahuan'!AS31="","",'Input Nilai Pengetahuan'!AS31)</f>
        <v/>
      </c>
      <c r="BC7" s="89" t="str">
        <f>IF(BB3="","",IF('Input Nilai Pengetahuan'!$AL$1="","",'Input Nilai Pengetahuan'!$AL$1))</f>
        <v/>
      </c>
      <c r="BD7" s="89" t="str">
        <f>IF('Input Nilai Pengetahuan'!AS32="","",'Input Nilai Pengetahuan'!AS32)</f>
        <v/>
      </c>
      <c r="BE7" s="89" t="str">
        <f>IF(BD3="","",IF('Input Nilai Pengetahuan'!$AL$1="","",'Input Nilai Pengetahuan'!$AL$1))</f>
        <v/>
      </c>
      <c r="BF7" s="89" t="str">
        <f>IF('Input Nilai Pengetahuan'!AS33="","",'Input Nilai Pengetahuan'!AS33)</f>
        <v/>
      </c>
      <c r="BG7" s="89" t="str">
        <f>IF(BF3="","",IF('Input Nilai Pengetahuan'!$AL$1="","",'Input Nilai Pengetahuan'!$AL$1))</f>
        <v/>
      </c>
      <c r="BH7" s="89" t="str">
        <f>IF('Input Nilai Pengetahuan'!AS34="","",'Input Nilai Pengetahuan'!AS34)</f>
        <v/>
      </c>
      <c r="BI7" s="89" t="str">
        <f>IF(BH3="","",IF('Input Nilai Pengetahuan'!$AL$1="","",'Input Nilai Pengetahuan'!$AL$1))</f>
        <v/>
      </c>
      <c r="BJ7" s="89" t="str">
        <f>IF('Input Nilai Pengetahuan'!AS35="","",'Input Nilai Pengetahuan'!AS35)</f>
        <v/>
      </c>
      <c r="BK7" s="89" t="str">
        <f>IF(BJ3="","",IF('Input Nilai Pengetahuan'!$AL$1="","",'Input Nilai Pengetahuan'!$AL$1))</f>
        <v/>
      </c>
      <c r="BL7" s="89" t="str">
        <f>IF('Input Nilai Pengetahuan'!AS36="","",'Input Nilai Pengetahuan'!AS36)</f>
        <v/>
      </c>
      <c r="BM7" s="89" t="str">
        <f>IF(BL3="","",IF('Input Nilai Pengetahuan'!$AL$1="","",'Input Nilai Pengetahuan'!$AL$1))</f>
        <v/>
      </c>
      <c r="BN7" s="89" t="str">
        <f>IF('Input Nilai Pengetahuan'!AS37="","",'Input Nilai Pengetahuan'!AS37)</f>
        <v/>
      </c>
      <c r="BO7" s="89" t="str">
        <f>IF(BN3="","",IF('Input Nilai Pengetahuan'!$AL$1="","",'Input Nilai Pengetahuan'!$AL$1))</f>
        <v/>
      </c>
      <c r="BP7" s="89" t="str">
        <f>IF('Input Nilai Pengetahuan'!AS38="","",'Input Nilai Pengetahuan'!AS38)</f>
        <v/>
      </c>
      <c r="BQ7" s="89" t="str">
        <f>IF(BP3="","",IF('Input Nilai Pengetahuan'!$AL$1="","",'Input Nilai Pengetahuan'!$AL$1))</f>
        <v/>
      </c>
      <c r="BR7" s="89" t="str">
        <f>IF('Input Nilai Pengetahuan'!AS39="","",'Input Nilai Pengetahuan'!AS39)</f>
        <v/>
      </c>
      <c r="BS7" s="89" t="str">
        <f>IF(BR3="","",IF('Input Nilai Pengetahuan'!$AL$1="","",'Input Nilai Pengetahuan'!$AL$1))</f>
        <v/>
      </c>
      <c r="BT7" s="89" t="str">
        <f>IF('Input Nilai Pengetahuan'!AS40="","",'Input Nilai Pengetahuan'!AS40)</f>
        <v/>
      </c>
      <c r="BU7" s="89" t="str">
        <f>IF(BT3="","",IF('Input Nilai Pengetahuan'!$AL$1="","",'Input Nilai Pengetahuan'!$AL$1))</f>
        <v/>
      </c>
      <c r="BV7" s="89" t="str">
        <f>IF('Input Nilai Pengetahuan'!AS41="","",'Input Nilai Pengetahuan'!AS41)</f>
        <v/>
      </c>
      <c r="BW7" s="89" t="str">
        <f>IF(BV3="","",IF('Input Nilai Pengetahuan'!$AL$1="","",'Input Nilai Pengetahuan'!$AL$1))</f>
        <v/>
      </c>
      <c r="BX7" s="89" t="str">
        <f>IF('Input Nilai Pengetahuan'!AS42="","",'Input Nilai Pengetahuan'!AS42)</f>
        <v/>
      </c>
      <c r="BY7" s="89" t="str">
        <f>IF(BX3="","",IF('Input Nilai Pengetahuan'!$AL$1="","",'Input Nilai Pengetahuan'!$AL$1))</f>
        <v/>
      </c>
      <c r="BZ7" s="89" t="str">
        <f>IF('Input Nilai Pengetahuan'!AS43="","",'Input Nilai Pengetahuan'!AS43)</f>
        <v/>
      </c>
      <c r="CA7" s="89" t="str">
        <f>IF(BZ3="","",IF('Input Nilai Pengetahuan'!$AL$1="","",'Input Nilai Pengetahuan'!$AL$1))</f>
        <v/>
      </c>
      <c r="CB7" s="89" t="str">
        <f>IF('Input Nilai Pengetahuan'!AS44="","",'Input Nilai Pengetahuan'!AS44)</f>
        <v/>
      </c>
      <c r="CC7" s="89" t="str">
        <f>IF(CB3="","",IF('Input Nilai Pengetahuan'!$AL$1="","",'Input Nilai Pengetahuan'!$AL$1))</f>
        <v/>
      </c>
      <c r="CD7" s="89" t="str">
        <f>IF('Input Nilai Pengetahuan'!AS45="","",'Input Nilai Pengetahuan'!AS45)</f>
        <v/>
      </c>
      <c r="CE7" s="89" t="str">
        <f>IF(CD3="","",IF('Input Nilai Pengetahuan'!$AL$1="","",'Input Nilai Pengetahuan'!$AL$1))</f>
        <v/>
      </c>
      <c r="CF7" s="89" t="str">
        <f>IF('Input Nilai Pengetahuan'!AS46="","",'Input Nilai Pengetahuan'!AS46)</f>
        <v/>
      </c>
      <c r="CG7" s="89" t="str">
        <f>IF(CF3="","",IF('Input Nilai Pengetahuan'!$AL$1="","",'Input Nilai Pengetahuan'!$AL$1))</f>
        <v/>
      </c>
      <c r="CH7" s="89" t="str">
        <f>IF('Input Nilai Pengetahuan'!AS47="","",'Input Nilai Pengetahuan'!AS47)</f>
        <v/>
      </c>
      <c r="CI7" s="89" t="str">
        <f>IF(CH3="","",IF('Input Nilai Pengetahuan'!$AL$1="","",'Input Nilai Pengetahuan'!$AL$1))</f>
        <v/>
      </c>
      <c r="CJ7" s="89" t="str">
        <f>IF('Input Nilai Pengetahuan'!AS48="","",'Input Nilai Pengetahuan'!AS48)</f>
        <v/>
      </c>
      <c r="CK7" s="89" t="str">
        <f>IF(CJ3="","",IF('Input Nilai Pengetahuan'!$AL$1="","",'Input Nilai Pengetahuan'!$AL$1))</f>
        <v/>
      </c>
      <c r="CL7" s="89" t="str">
        <f>IF('Input Nilai Pengetahuan'!AS49="","",'Input Nilai Pengetahuan'!AS49)</f>
        <v/>
      </c>
      <c r="CM7" s="89" t="str">
        <f>IF(CL3="","",IF('Input Nilai Pengetahuan'!$AL$1="","",'Input Nilai Pengetahuan'!$AL$1))</f>
        <v/>
      </c>
      <c r="CN7" s="89" t="str">
        <f>IF('Input Nilai Pengetahuan'!AS50="","",'Input Nilai Pengetahuan'!AS50)</f>
        <v/>
      </c>
      <c r="CO7" s="89" t="str">
        <f>IF(CN3="","",IF('Input Nilai Pengetahuan'!$AL$1="","",'Input Nilai Pengetahuan'!$AL$1))</f>
        <v/>
      </c>
      <c r="CP7" s="89" t="str">
        <f>IF('Input Nilai Pengetahuan'!AS51="","",'Input Nilai Pengetahuan'!AS51)</f>
        <v/>
      </c>
      <c r="CQ7" s="89" t="str">
        <f>IF(CP3="","",IF('Input Nilai Pengetahuan'!$AL$1="","",'Input Nilai Pengetahuan'!$AL$1))</f>
        <v/>
      </c>
      <c r="CR7" s="89" t="str">
        <f>IF('Input Nilai Pengetahuan'!AS52="","",'Input Nilai Pengetahuan'!AS52)</f>
        <v/>
      </c>
      <c r="CS7" s="89" t="str">
        <f>IF(CR3="","",IF('Input Nilai Pengetahuan'!$AL$1="","",'Input Nilai Pengetahuan'!$AL$1))</f>
        <v/>
      </c>
    </row>
    <row r="8" spans="1:97">
      <c r="A8" s="72">
        <v>6</v>
      </c>
      <c r="B8" s="89" t="str">
        <f>IF('Input Nilai Pengetahuan'!BA5="","",'Input Nilai Pengetahuan'!BA5)</f>
        <v/>
      </c>
      <c r="C8" s="89" t="str">
        <f>IF(B3="","",IF('Input Nilai Pengetahuan'!$AT$1="","",'Input Nilai Pengetahuan'!$AT$1))</f>
        <v/>
      </c>
      <c r="D8" s="89" t="str">
        <f>IF('Input Nilai Pengetahuan'!BA6="","",'Input Nilai Pengetahuan'!BA6)</f>
        <v/>
      </c>
      <c r="E8" s="89" t="str">
        <f>IF(D3="","",IF('Input Nilai Pengetahuan'!$AT$1="","",'Input Nilai Pengetahuan'!$AT$1))</f>
        <v/>
      </c>
      <c r="F8" s="89" t="str">
        <f>IF('Input Nilai Pengetahuan'!BA7="","",'Input Nilai Pengetahuan'!BA7)</f>
        <v/>
      </c>
      <c r="G8" s="89" t="str">
        <f>IF(F3="","",IF('Input Nilai Pengetahuan'!$AT$1="","",'Input Nilai Pengetahuan'!$AT$1))</f>
        <v/>
      </c>
      <c r="H8" s="89" t="str">
        <f>IF('Input Nilai Pengetahuan'!BA8="","",'Input Nilai Pengetahuan'!BA8)</f>
        <v/>
      </c>
      <c r="I8" s="89" t="str">
        <f>IF(H3="","",IF('Input Nilai Pengetahuan'!$AT$1="","",'Input Nilai Pengetahuan'!$AT$1))</f>
        <v/>
      </c>
      <c r="J8" s="89" t="str">
        <f>IF('Input Nilai Pengetahuan'!BA9="","",'Input Nilai Pengetahuan'!BA9)</f>
        <v/>
      </c>
      <c r="K8" s="89" t="str">
        <f>IF(J3="","",IF('Input Nilai Pengetahuan'!$AT$1="","",'Input Nilai Pengetahuan'!$AT$1))</f>
        <v/>
      </c>
      <c r="L8" s="89" t="str">
        <f>IF('Input Nilai Pengetahuan'!BA10="","",'Input Nilai Pengetahuan'!BA10)</f>
        <v/>
      </c>
      <c r="M8" s="89" t="str">
        <f>IF(L3="","",IF('Input Nilai Pengetahuan'!$AT$1="","",'Input Nilai Pengetahuan'!$AT$1))</f>
        <v/>
      </c>
      <c r="N8" s="89" t="str">
        <f>IF('Input Nilai Pengetahuan'!BA11="","",'Input Nilai Pengetahuan'!BA11)</f>
        <v/>
      </c>
      <c r="O8" s="89" t="str">
        <f>IF(N3="","",IF('Input Nilai Pengetahuan'!$AT$1="","",'Input Nilai Pengetahuan'!$AT$1))</f>
        <v/>
      </c>
      <c r="P8" s="89" t="str">
        <f>IF('Input Nilai Pengetahuan'!BA12="","",'Input Nilai Pengetahuan'!BA12)</f>
        <v/>
      </c>
      <c r="Q8" s="89" t="str">
        <f>IF(P3="","",IF('Input Nilai Pengetahuan'!$AT$1="","",'Input Nilai Pengetahuan'!$AT$1))</f>
        <v/>
      </c>
      <c r="R8" s="89" t="str">
        <f>IF('Input Nilai Pengetahuan'!BA13="","",'Input Nilai Pengetahuan'!BA13)</f>
        <v/>
      </c>
      <c r="S8" s="89" t="str">
        <f>IF(R3="","",IF('Input Nilai Pengetahuan'!$AT$1="","",'Input Nilai Pengetahuan'!$AT$1))</f>
        <v/>
      </c>
      <c r="T8" s="89" t="str">
        <f>IF('Input Nilai Pengetahuan'!BA14="","",'Input Nilai Pengetahuan'!BA14)</f>
        <v/>
      </c>
      <c r="U8" s="89" t="str">
        <f>IF(T3="","",IF('Input Nilai Pengetahuan'!$AT$1="","",'Input Nilai Pengetahuan'!$AT$1))</f>
        <v/>
      </c>
      <c r="V8" s="89" t="str">
        <f>IF('Input Nilai Pengetahuan'!BA15="","",'Input Nilai Pengetahuan'!BA15)</f>
        <v/>
      </c>
      <c r="W8" s="89" t="str">
        <f>IF(V3="","",IF('Input Nilai Pengetahuan'!$AT$1="","",'Input Nilai Pengetahuan'!$AT$1))</f>
        <v/>
      </c>
      <c r="X8" s="89" t="str">
        <f>IF('Input Nilai Pengetahuan'!BA16="","",'Input Nilai Pengetahuan'!BA16)</f>
        <v/>
      </c>
      <c r="Y8" s="89" t="str">
        <f>IF(X3="","",IF('Input Nilai Pengetahuan'!$AT$1="","",'Input Nilai Pengetahuan'!$AT$1))</f>
        <v/>
      </c>
      <c r="Z8" s="89" t="str">
        <f>IF('Input Nilai Pengetahuan'!BA17="","",'Input Nilai Pengetahuan'!BA17)</f>
        <v/>
      </c>
      <c r="AA8" s="89" t="str">
        <f>IF(Z3="","",IF('Input Nilai Pengetahuan'!$AT$1="","",'Input Nilai Pengetahuan'!$AT$1))</f>
        <v/>
      </c>
      <c r="AB8" s="89" t="str">
        <f>IF('Input Nilai Pengetahuan'!BA18="","",'Input Nilai Pengetahuan'!BA18)</f>
        <v/>
      </c>
      <c r="AC8" s="89" t="str">
        <f>IF(AB3="","",IF('Input Nilai Pengetahuan'!$AT$1="","",'Input Nilai Pengetahuan'!$AT$1))</f>
        <v/>
      </c>
      <c r="AD8" s="89" t="str">
        <f>IF('Input Nilai Pengetahuan'!BA19="","",'Input Nilai Pengetahuan'!BA19)</f>
        <v/>
      </c>
      <c r="AE8" s="89" t="str">
        <f>IF(AD3="","",IF('Input Nilai Pengetahuan'!$AT$1="","",'Input Nilai Pengetahuan'!$AT$1))</f>
        <v/>
      </c>
      <c r="AF8" s="89" t="str">
        <f>IF('Input Nilai Pengetahuan'!BA20="","",'Input Nilai Pengetahuan'!BA20)</f>
        <v/>
      </c>
      <c r="AG8" s="89" t="str">
        <f>IF(AF3="","",IF('Input Nilai Pengetahuan'!$AT$1="","",'Input Nilai Pengetahuan'!$AT$1))</f>
        <v/>
      </c>
      <c r="AH8" s="89" t="str">
        <f>IF('Input Nilai Pengetahuan'!BA21="","",'Input Nilai Pengetahuan'!BA21)</f>
        <v/>
      </c>
      <c r="AI8" s="89" t="str">
        <f>IF(AH3="","",IF('Input Nilai Pengetahuan'!$AT$1="","",'Input Nilai Pengetahuan'!$AT$1))</f>
        <v/>
      </c>
      <c r="AJ8" s="89" t="str">
        <f>IF('Input Nilai Pengetahuan'!BA22="","",'Input Nilai Pengetahuan'!BA22)</f>
        <v/>
      </c>
      <c r="AK8" s="89" t="str">
        <f>IF(AJ3="","",IF('Input Nilai Pengetahuan'!$AT$1="","",'Input Nilai Pengetahuan'!$AT$1))</f>
        <v/>
      </c>
      <c r="AL8" s="89" t="str">
        <f>IF('Input Nilai Pengetahuan'!BA23="","",'Input Nilai Pengetahuan'!BA23)</f>
        <v/>
      </c>
      <c r="AM8" s="89" t="str">
        <f>IF(AL3="","",IF('Input Nilai Pengetahuan'!$AT$1="","",'Input Nilai Pengetahuan'!$AT$1))</f>
        <v/>
      </c>
      <c r="AN8" s="89" t="str">
        <f>IF('Input Nilai Pengetahuan'!BA24="","",'Input Nilai Pengetahuan'!BA24)</f>
        <v/>
      </c>
      <c r="AO8" s="89" t="str">
        <f>IF(AN3="","",IF('Input Nilai Pengetahuan'!$AT$1="","",'Input Nilai Pengetahuan'!$AT$1))</f>
        <v/>
      </c>
      <c r="AP8" s="89" t="str">
        <f>IF('Input Nilai Pengetahuan'!BA25="","",'Input Nilai Pengetahuan'!BA25)</f>
        <v/>
      </c>
      <c r="AQ8" s="89" t="str">
        <f>IF(AP3="","",IF('Input Nilai Pengetahuan'!$AT$1="","",'Input Nilai Pengetahuan'!$AT$1))</f>
        <v/>
      </c>
      <c r="AR8" s="89" t="str">
        <f>IF('Input Nilai Pengetahuan'!BA26="","",'Input Nilai Pengetahuan'!BA26)</f>
        <v/>
      </c>
      <c r="AS8" s="89" t="str">
        <f>IF(AR3="","",IF('Input Nilai Pengetahuan'!$AT$1="","",'Input Nilai Pengetahuan'!$AT$1))</f>
        <v/>
      </c>
      <c r="AT8" s="89" t="str">
        <f>IF('Input Nilai Pengetahuan'!BA27="","",'Input Nilai Pengetahuan'!BA27)</f>
        <v/>
      </c>
      <c r="AU8" s="89" t="str">
        <f>IF(AT3="","",IF('Input Nilai Pengetahuan'!$AT$1="","",'Input Nilai Pengetahuan'!$AT$1))</f>
        <v/>
      </c>
      <c r="AV8" s="89" t="str">
        <f>IF('Input Nilai Pengetahuan'!BA28="","",'Input Nilai Pengetahuan'!BA28)</f>
        <v/>
      </c>
      <c r="AW8" s="89" t="str">
        <f>IF(AV3="","",IF('Input Nilai Pengetahuan'!$AT$1="","",'Input Nilai Pengetahuan'!$AT$1))</f>
        <v/>
      </c>
      <c r="AX8" s="89" t="str">
        <f>IF('Input Nilai Pengetahuan'!BA29="","",'Input Nilai Pengetahuan'!BA29)</f>
        <v/>
      </c>
      <c r="AY8" s="89" t="str">
        <f>IF(AX3="","",IF('Input Nilai Pengetahuan'!$AT$1="","",'Input Nilai Pengetahuan'!$AT$1))</f>
        <v/>
      </c>
      <c r="AZ8" s="89" t="str">
        <f>IF('Input Nilai Pengetahuan'!BA30="","",'Input Nilai Pengetahuan'!BA30)</f>
        <v/>
      </c>
      <c r="BA8" s="89" t="str">
        <f>IF(AZ3="","",IF('Input Nilai Pengetahuan'!$AT$1="","",'Input Nilai Pengetahuan'!$AT$1))</f>
        <v/>
      </c>
      <c r="BB8" s="89" t="str">
        <f>IF('Input Nilai Pengetahuan'!BA31="","",'Input Nilai Pengetahuan'!BA31)</f>
        <v/>
      </c>
      <c r="BC8" s="89" t="str">
        <f>IF(BB3="","",IF('Input Nilai Pengetahuan'!$AT$1="","",'Input Nilai Pengetahuan'!$AT$1))</f>
        <v/>
      </c>
      <c r="BD8" s="89" t="str">
        <f>IF('Input Nilai Pengetahuan'!BA32="","",'Input Nilai Pengetahuan'!BA32)</f>
        <v/>
      </c>
      <c r="BE8" s="89" t="str">
        <f>IF(BD3="","",IF('Input Nilai Pengetahuan'!$AT$1="","",'Input Nilai Pengetahuan'!$AT$1))</f>
        <v/>
      </c>
      <c r="BF8" s="89" t="str">
        <f>IF('Input Nilai Pengetahuan'!BA33="","",'Input Nilai Pengetahuan'!BA33)</f>
        <v/>
      </c>
      <c r="BG8" s="89" t="str">
        <f>IF(BF3="","",IF('Input Nilai Pengetahuan'!$AT$1="","",'Input Nilai Pengetahuan'!$AT$1))</f>
        <v/>
      </c>
      <c r="BH8" s="89" t="str">
        <f>IF('Input Nilai Pengetahuan'!BA34="","",'Input Nilai Pengetahuan'!BA34)</f>
        <v/>
      </c>
      <c r="BI8" s="89" t="str">
        <f>IF(BH3="","",IF('Input Nilai Pengetahuan'!$AT$1="","",'Input Nilai Pengetahuan'!$AT$1))</f>
        <v/>
      </c>
      <c r="BJ8" s="89" t="str">
        <f>IF('Input Nilai Pengetahuan'!BA35="","",'Input Nilai Pengetahuan'!BA35)</f>
        <v/>
      </c>
      <c r="BK8" s="89" t="str">
        <f>IF(BJ3="","",IF('Input Nilai Pengetahuan'!$AT$1="","",'Input Nilai Pengetahuan'!$AT$1))</f>
        <v/>
      </c>
      <c r="BL8" s="89" t="str">
        <f>IF('Input Nilai Pengetahuan'!BA36="","",'Input Nilai Pengetahuan'!BA36)</f>
        <v/>
      </c>
      <c r="BM8" s="89" t="str">
        <f>IF(BL3="","",IF('Input Nilai Pengetahuan'!$AT$1="","",'Input Nilai Pengetahuan'!$AT$1))</f>
        <v/>
      </c>
      <c r="BN8" s="89" t="str">
        <f>IF('Input Nilai Pengetahuan'!BA37="","",'Input Nilai Pengetahuan'!BA37)</f>
        <v/>
      </c>
      <c r="BO8" s="89" t="str">
        <f>IF(BN3="","",IF('Input Nilai Pengetahuan'!$AT$1="","",'Input Nilai Pengetahuan'!$AT$1))</f>
        <v/>
      </c>
      <c r="BP8" s="89" t="str">
        <f>IF('Input Nilai Pengetahuan'!BA38="","",'Input Nilai Pengetahuan'!BA38)</f>
        <v/>
      </c>
      <c r="BQ8" s="89" t="str">
        <f>IF(BP3="","",IF('Input Nilai Pengetahuan'!$AT$1="","",'Input Nilai Pengetahuan'!$AT$1))</f>
        <v/>
      </c>
      <c r="BR8" s="89" t="str">
        <f>IF('Input Nilai Pengetahuan'!BA39="","",'Input Nilai Pengetahuan'!BA39)</f>
        <v/>
      </c>
      <c r="BS8" s="89" t="str">
        <f>IF(BR3="","",IF('Input Nilai Pengetahuan'!$AT$1="","",'Input Nilai Pengetahuan'!$AT$1))</f>
        <v/>
      </c>
      <c r="BT8" s="89" t="str">
        <f>IF('Input Nilai Pengetahuan'!BA40="","",'Input Nilai Pengetahuan'!BA40)</f>
        <v/>
      </c>
      <c r="BU8" s="89" t="str">
        <f>IF(BT3="","",IF('Input Nilai Pengetahuan'!$AT$1="","",'Input Nilai Pengetahuan'!$AT$1))</f>
        <v/>
      </c>
      <c r="BV8" s="89" t="str">
        <f>IF('Input Nilai Pengetahuan'!BA41="","",'Input Nilai Pengetahuan'!BA41)</f>
        <v/>
      </c>
      <c r="BW8" s="89" t="str">
        <f>IF(BV3="","",IF('Input Nilai Pengetahuan'!$AT$1="","",'Input Nilai Pengetahuan'!$AT$1))</f>
        <v/>
      </c>
      <c r="BX8" s="89" t="str">
        <f>IF('Input Nilai Pengetahuan'!BA42="","",'Input Nilai Pengetahuan'!BA42)</f>
        <v/>
      </c>
      <c r="BY8" s="89" t="str">
        <f>IF(BX3="","",IF('Input Nilai Pengetahuan'!$AT$1="","",'Input Nilai Pengetahuan'!$AT$1))</f>
        <v/>
      </c>
      <c r="BZ8" s="89" t="str">
        <f>IF('Input Nilai Pengetahuan'!BA43="","",'Input Nilai Pengetahuan'!BA43)</f>
        <v/>
      </c>
      <c r="CA8" s="89" t="str">
        <f>IF(BZ3="","",IF('Input Nilai Pengetahuan'!$AT$1="","",'Input Nilai Pengetahuan'!$AT$1))</f>
        <v/>
      </c>
      <c r="CB8" s="89" t="str">
        <f>IF('Input Nilai Pengetahuan'!BA44="","",'Input Nilai Pengetahuan'!BA44)</f>
        <v/>
      </c>
      <c r="CC8" s="89" t="str">
        <f>IF(CB3="","",IF('Input Nilai Pengetahuan'!$AT$1="","",'Input Nilai Pengetahuan'!$AT$1))</f>
        <v/>
      </c>
      <c r="CD8" s="89" t="str">
        <f>IF('Input Nilai Pengetahuan'!BA45="","",'Input Nilai Pengetahuan'!BA45)</f>
        <v/>
      </c>
      <c r="CE8" s="89" t="str">
        <f>IF(CD3="","",IF('Input Nilai Pengetahuan'!$AT$1="","",'Input Nilai Pengetahuan'!$AT$1))</f>
        <v/>
      </c>
      <c r="CF8" s="89" t="str">
        <f>IF('Input Nilai Pengetahuan'!BA46="","",'Input Nilai Pengetahuan'!BA46)</f>
        <v/>
      </c>
      <c r="CG8" s="89" t="str">
        <f>IF(CF3="","",IF('Input Nilai Pengetahuan'!$AT$1="","",'Input Nilai Pengetahuan'!$AT$1))</f>
        <v/>
      </c>
      <c r="CH8" s="89" t="str">
        <f>IF('Input Nilai Pengetahuan'!BA47="","",'Input Nilai Pengetahuan'!BA47)</f>
        <v/>
      </c>
      <c r="CI8" s="89" t="str">
        <f>IF(CH3="","",IF('Input Nilai Pengetahuan'!$AT$1="","",'Input Nilai Pengetahuan'!$AT$1))</f>
        <v/>
      </c>
      <c r="CJ8" s="89" t="str">
        <f>IF('Input Nilai Pengetahuan'!BA48="","",'Input Nilai Pengetahuan'!BA48)</f>
        <v/>
      </c>
      <c r="CK8" s="89" t="str">
        <f>IF(CJ3="","",IF('Input Nilai Pengetahuan'!$AT$1="","",'Input Nilai Pengetahuan'!$AT$1))</f>
        <v/>
      </c>
      <c r="CL8" s="89" t="str">
        <f>IF('Input Nilai Pengetahuan'!BA49="","",'Input Nilai Pengetahuan'!BA49)</f>
        <v/>
      </c>
      <c r="CM8" s="89" t="str">
        <f>IF(CL3="","",IF('Input Nilai Pengetahuan'!$AT$1="","",'Input Nilai Pengetahuan'!$AT$1))</f>
        <v/>
      </c>
      <c r="CN8" s="89" t="str">
        <f>IF('Input Nilai Pengetahuan'!BA50="","",'Input Nilai Pengetahuan'!BA50)</f>
        <v/>
      </c>
      <c r="CO8" s="89" t="str">
        <f>IF(CN3="","",IF('Input Nilai Pengetahuan'!$AT$1="","",'Input Nilai Pengetahuan'!$AT$1))</f>
        <v/>
      </c>
      <c r="CP8" s="89" t="str">
        <f>IF('Input Nilai Pengetahuan'!BA51="","",'Input Nilai Pengetahuan'!BA51)</f>
        <v/>
      </c>
      <c r="CQ8" s="89" t="str">
        <f>IF(CP3="","",IF('Input Nilai Pengetahuan'!$AT$1="","",'Input Nilai Pengetahuan'!$AT$1))</f>
        <v/>
      </c>
      <c r="CR8" s="89" t="str">
        <f>IF('Input Nilai Pengetahuan'!BA52="","",'Input Nilai Pengetahuan'!BA52)</f>
        <v/>
      </c>
      <c r="CS8" s="89" t="str">
        <f>IF(CR3="","",IF('Input Nilai Pengetahuan'!$AT$1="","",'Input Nilai Pengetahuan'!$AT$1))</f>
        <v/>
      </c>
    </row>
    <row r="9" spans="1:97">
      <c r="A9" s="72">
        <v>7</v>
      </c>
      <c r="B9" s="89" t="str">
        <f>IF('Input Nilai Pengetahuan'!BI5="","",'Input Nilai Pengetahuan'!BI5)</f>
        <v/>
      </c>
      <c r="C9" s="89" t="str">
        <f>IF(B3="","",IF('Input Nilai Pengetahuan'!$BB$1="","",'Input Nilai Pengetahuan'!$BB$1))</f>
        <v/>
      </c>
      <c r="D9" s="89" t="str">
        <f>IF('Input Nilai Pengetahuan'!BI6="","",'Input Nilai Pengetahuan'!BI6)</f>
        <v/>
      </c>
      <c r="E9" s="89" t="str">
        <f>IF(D3="","",IF('Input Nilai Pengetahuan'!$BB$1="","",'Input Nilai Pengetahuan'!$BB$1))</f>
        <v/>
      </c>
      <c r="F9" s="89" t="str">
        <f>IF('Input Nilai Pengetahuan'!BI7="","",'Input Nilai Pengetahuan'!BI7)</f>
        <v/>
      </c>
      <c r="G9" s="89" t="str">
        <f>IF(F3="","",IF('Input Nilai Pengetahuan'!$BB$1="","",'Input Nilai Pengetahuan'!$BB$1))</f>
        <v/>
      </c>
      <c r="H9" s="89" t="str">
        <f>IF('Input Nilai Pengetahuan'!BI8="","",'Input Nilai Pengetahuan'!BI8)</f>
        <v/>
      </c>
      <c r="I9" s="89" t="str">
        <f>IF(H3="","",IF('Input Nilai Pengetahuan'!$BB$1="","",'Input Nilai Pengetahuan'!$BB$1))</f>
        <v/>
      </c>
      <c r="J9" s="89" t="str">
        <f>IF('Input Nilai Pengetahuan'!BI9="","",'Input Nilai Pengetahuan'!BI9)</f>
        <v/>
      </c>
      <c r="K9" s="89" t="str">
        <f>IF(J3="","",IF('Input Nilai Pengetahuan'!$BB$1="","",'Input Nilai Pengetahuan'!$BB$1))</f>
        <v/>
      </c>
      <c r="L9" s="89" t="str">
        <f>IF('Input Nilai Pengetahuan'!BI10="","",'Input Nilai Pengetahuan'!BI10)</f>
        <v/>
      </c>
      <c r="M9" s="89" t="str">
        <f>IF(L3="","",IF('Input Nilai Pengetahuan'!$BB$1="","",'Input Nilai Pengetahuan'!$BB$1))</f>
        <v/>
      </c>
      <c r="N9" s="89" t="str">
        <f>IF('Input Nilai Pengetahuan'!BI11="","",'Input Nilai Pengetahuan'!BI11)</f>
        <v/>
      </c>
      <c r="O9" s="89" t="str">
        <f>IF(N3="","",IF('Input Nilai Pengetahuan'!$BB$1="","",'Input Nilai Pengetahuan'!$BB$1))</f>
        <v/>
      </c>
      <c r="P9" s="89" t="str">
        <f>IF('Input Nilai Pengetahuan'!BI12="","",'Input Nilai Pengetahuan'!BI12)</f>
        <v/>
      </c>
      <c r="Q9" s="89" t="str">
        <f>IF(P3="","",IF('Input Nilai Pengetahuan'!$BB$1="","",'Input Nilai Pengetahuan'!$BB$1))</f>
        <v/>
      </c>
      <c r="R9" s="89" t="str">
        <f>IF('Input Nilai Pengetahuan'!BI13="","",'Input Nilai Pengetahuan'!BI13)</f>
        <v/>
      </c>
      <c r="S9" s="89" t="str">
        <f>IF(R3="","",IF('Input Nilai Pengetahuan'!$BB$1="","",'Input Nilai Pengetahuan'!$BB$1))</f>
        <v/>
      </c>
      <c r="T9" s="89" t="str">
        <f>IF('Input Nilai Pengetahuan'!BI14="","",'Input Nilai Pengetahuan'!BI14)</f>
        <v/>
      </c>
      <c r="U9" s="89" t="str">
        <f>IF(T3="","",IF('Input Nilai Pengetahuan'!$BB$1="","",'Input Nilai Pengetahuan'!$BB$1))</f>
        <v/>
      </c>
      <c r="V9" s="89" t="str">
        <f>IF('Input Nilai Pengetahuan'!BI15="","",'Input Nilai Pengetahuan'!BI15)</f>
        <v/>
      </c>
      <c r="W9" s="89" t="str">
        <f>IF(V3="","",IF('Input Nilai Pengetahuan'!$BB$1="","",'Input Nilai Pengetahuan'!$BB$1))</f>
        <v/>
      </c>
      <c r="X9" s="89" t="str">
        <f>IF('Input Nilai Pengetahuan'!BI16="","",'Input Nilai Pengetahuan'!BI16)</f>
        <v/>
      </c>
      <c r="Y9" s="89" t="str">
        <f>IF(X3="","",IF('Input Nilai Pengetahuan'!$BB$1="","",'Input Nilai Pengetahuan'!$BB$1))</f>
        <v/>
      </c>
      <c r="Z9" s="89" t="str">
        <f>IF('Input Nilai Pengetahuan'!BI17="","",'Input Nilai Pengetahuan'!BI17)</f>
        <v/>
      </c>
      <c r="AA9" s="89" t="str">
        <f>IF(Z3="","",IF('Input Nilai Pengetahuan'!$BB$1="","",'Input Nilai Pengetahuan'!$BB$1))</f>
        <v/>
      </c>
      <c r="AB9" s="89" t="str">
        <f>IF('Input Nilai Pengetahuan'!BI18="","",'Input Nilai Pengetahuan'!BI18)</f>
        <v/>
      </c>
      <c r="AC9" s="89" t="str">
        <f>IF(AB3="","",IF('Input Nilai Pengetahuan'!$BB$1="","",'Input Nilai Pengetahuan'!$BB$1))</f>
        <v/>
      </c>
      <c r="AD9" s="89" t="str">
        <f>IF('Input Nilai Pengetahuan'!BI19="","",'Input Nilai Pengetahuan'!BI19)</f>
        <v/>
      </c>
      <c r="AE9" s="89" t="str">
        <f>IF(AD3="","",IF('Input Nilai Pengetahuan'!$BB$1="","",'Input Nilai Pengetahuan'!$BB$1))</f>
        <v/>
      </c>
      <c r="AF9" s="89" t="str">
        <f>IF('Input Nilai Pengetahuan'!BI20="","",'Input Nilai Pengetahuan'!BI20)</f>
        <v/>
      </c>
      <c r="AG9" s="89" t="str">
        <f>IF(AF3="","",IF('Input Nilai Pengetahuan'!$BB$1="","",'Input Nilai Pengetahuan'!$BB$1))</f>
        <v/>
      </c>
      <c r="AH9" s="89" t="str">
        <f>IF('Input Nilai Pengetahuan'!BI21="","",'Input Nilai Pengetahuan'!BI21)</f>
        <v/>
      </c>
      <c r="AI9" s="89" t="str">
        <f>IF(AH3="","",IF('Input Nilai Pengetahuan'!$BB$1="","",'Input Nilai Pengetahuan'!$BB$1))</f>
        <v/>
      </c>
      <c r="AJ9" s="89" t="str">
        <f>IF('Input Nilai Pengetahuan'!BI22="","",'Input Nilai Pengetahuan'!BI22)</f>
        <v/>
      </c>
      <c r="AK9" s="89" t="str">
        <f>IF(AJ3="","",IF('Input Nilai Pengetahuan'!$BB$1="","",'Input Nilai Pengetahuan'!$BB$1))</f>
        <v/>
      </c>
      <c r="AL9" s="89" t="str">
        <f>IF('Input Nilai Pengetahuan'!BI23="","",'Input Nilai Pengetahuan'!BI23)</f>
        <v/>
      </c>
      <c r="AM9" s="89" t="str">
        <f>IF(AL3="","",IF('Input Nilai Pengetahuan'!$BB$1="","",'Input Nilai Pengetahuan'!$BB$1))</f>
        <v/>
      </c>
      <c r="AN9" s="89" t="str">
        <f>IF('Input Nilai Pengetahuan'!BI24="","",'Input Nilai Pengetahuan'!BI24)</f>
        <v/>
      </c>
      <c r="AO9" s="89" t="str">
        <f>IF(AN3="","",IF('Input Nilai Pengetahuan'!$BB$1="","",'Input Nilai Pengetahuan'!$BB$1))</f>
        <v/>
      </c>
      <c r="AP9" s="89" t="str">
        <f>IF('Input Nilai Pengetahuan'!BI25="","",'Input Nilai Pengetahuan'!BI25)</f>
        <v/>
      </c>
      <c r="AQ9" s="89" t="str">
        <f>IF(AP3="","",IF('Input Nilai Pengetahuan'!$BB$1="","",'Input Nilai Pengetahuan'!$BB$1))</f>
        <v/>
      </c>
      <c r="AR9" s="89" t="str">
        <f>IF('Input Nilai Pengetahuan'!BI26="","",'Input Nilai Pengetahuan'!BI26)</f>
        <v/>
      </c>
      <c r="AS9" s="89" t="str">
        <f>IF(AR3="","",IF('Input Nilai Pengetahuan'!$BB$1="","",'Input Nilai Pengetahuan'!$BB$1))</f>
        <v/>
      </c>
      <c r="AT9" s="89" t="str">
        <f>IF('Input Nilai Pengetahuan'!BI27="","",'Input Nilai Pengetahuan'!BI27)</f>
        <v/>
      </c>
      <c r="AU9" s="89" t="str">
        <f>IF(AT3="","",IF('Input Nilai Pengetahuan'!$BB$1="","",'Input Nilai Pengetahuan'!$BB$1))</f>
        <v/>
      </c>
      <c r="AV9" s="89" t="str">
        <f>IF('Input Nilai Pengetahuan'!BI28="","",'Input Nilai Pengetahuan'!BI28)</f>
        <v/>
      </c>
      <c r="AW9" s="89" t="str">
        <f>IF(AV3="","",IF('Input Nilai Pengetahuan'!$BB$1="","",'Input Nilai Pengetahuan'!$BB$1))</f>
        <v/>
      </c>
      <c r="AX9" s="89" t="str">
        <f>IF('Input Nilai Pengetahuan'!BI29="","",'Input Nilai Pengetahuan'!BI29)</f>
        <v/>
      </c>
      <c r="AY9" s="89" t="str">
        <f>IF(AX3="","",IF('Input Nilai Pengetahuan'!$BB$1="","",'Input Nilai Pengetahuan'!$BB$1))</f>
        <v/>
      </c>
      <c r="AZ9" s="89" t="str">
        <f>IF('Input Nilai Pengetahuan'!BI30="","",'Input Nilai Pengetahuan'!BI30)</f>
        <v/>
      </c>
      <c r="BA9" s="89" t="str">
        <f>IF(AZ3="","",IF('Input Nilai Pengetahuan'!$BB$1="","",'Input Nilai Pengetahuan'!$BB$1))</f>
        <v/>
      </c>
      <c r="BB9" s="89" t="str">
        <f>IF('Input Nilai Pengetahuan'!BI31="","",'Input Nilai Pengetahuan'!BI31)</f>
        <v/>
      </c>
      <c r="BC9" s="89" t="str">
        <f>IF(BB3="","",IF('Input Nilai Pengetahuan'!$BB$1="","",'Input Nilai Pengetahuan'!$BB$1))</f>
        <v/>
      </c>
      <c r="BD9" s="89" t="str">
        <f>IF('Input Nilai Pengetahuan'!BI32="","",'Input Nilai Pengetahuan'!BI32)</f>
        <v/>
      </c>
      <c r="BE9" s="89" t="str">
        <f>IF(BD3="","",IF('Input Nilai Pengetahuan'!$BB$1="","",'Input Nilai Pengetahuan'!$BB$1))</f>
        <v/>
      </c>
      <c r="BF9" s="89" t="str">
        <f>IF('Input Nilai Pengetahuan'!BI33="","",'Input Nilai Pengetahuan'!BI33)</f>
        <v/>
      </c>
      <c r="BG9" s="89" t="str">
        <f>IF(BF3="","",IF('Input Nilai Pengetahuan'!$BB$1="","",'Input Nilai Pengetahuan'!$BB$1))</f>
        <v/>
      </c>
      <c r="BH9" s="89" t="str">
        <f>IF('Input Nilai Pengetahuan'!BI34="","",'Input Nilai Pengetahuan'!BI34)</f>
        <v/>
      </c>
      <c r="BI9" s="89" t="str">
        <f>IF(BH3="","",IF('Input Nilai Pengetahuan'!$BB$1="","",'Input Nilai Pengetahuan'!$BB$1))</f>
        <v/>
      </c>
      <c r="BJ9" s="89" t="str">
        <f>IF('Input Nilai Pengetahuan'!BI35="","",'Input Nilai Pengetahuan'!BI35)</f>
        <v/>
      </c>
      <c r="BK9" s="89" t="str">
        <f>IF(BJ3="","",IF('Input Nilai Pengetahuan'!$BB$1="","",'Input Nilai Pengetahuan'!$BB$1))</f>
        <v/>
      </c>
      <c r="BL9" s="89" t="str">
        <f>IF('Input Nilai Pengetahuan'!BI36="","",'Input Nilai Pengetahuan'!BI36)</f>
        <v/>
      </c>
      <c r="BM9" s="89" t="str">
        <f>IF(BL3="","",IF('Input Nilai Pengetahuan'!$BB$1="","",'Input Nilai Pengetahuan'!$BB$1))</f>
        <v/>
      </c>
      <c r="BN9" s="89" t="str">
        <f>IF('Input Nilai Pengetahuan'!BI37="","",'Input Nilai Pengetahuan'!BI37)</f>
        <v/>
      </c>
      <c r="BO9" s="89" t="str">
        <f>IF(BN3="","",IF('Input Nilai Pengetahuan'!$BB$1="","",'Input Nilai Pengetahuan'!$BB$1))</f>
        <v/>
      </c>
      <c r="BP9" s="89" t="str">
        <f>IF('Input Nilai Pengetahuan'!BI38="","",'Input Nilai Pengetahuan'!BI38)</f>
        <v/>
      </c>
      <c r="BQ9" s="89" t="str">
        <f>IF(BP3="","",IF('Input Nilai Pengetahuan'!$BB$1="","",'Input Nilai Pengetahuan'!$BB$1))</f>
        <v/>
      </c>
      <c r="BR9" s="89" t="str">
        <f>IF('Input Nilai Pengetahuan'!BI39="","",'Input Nilai Pengetahuan'!BI39)</f>
        <v/>
      </c>
      <c r="BS9" s="89" t="str">
        <f>IF(BR3="","",IF('Input Nilai Pengetahuan'!$BB$1="","",'Input Nilai Pengetahuan'!$BB$1))</f>
        <v/>
      </c>
      <c r="BT9" s="89" t="str">
        <f>IF('Input Nilai Pengetahuan'!BI40="","",'Input Nilai Pengetahuan'!BI40)</f>
        <v/>
      </c>
      <c r="BU9" s="89" t="str">
        <f>IF(BT3="","",IF('Input Nilai Pengetahuan'!$BB$1="","",'Input Nilai Pengetahuan'!$BB$1))</f>
        <v/>
      </c>
      <c r="BV9" s="89" t="str">
        <f>IF('Input Nilai Pengetahuan'!BI41="","",'Input Nilai Pengetahuan'!BI41)</f>
        <v/>
      </c>
      <c r="BW9" s="89" t="str">
        <f>IF(BV3="","",IF('Input Nilai Pengetahuan'!$BB$1="","",'Input Nilai Pengetahuan'!$BB$1))</f>
        <v/>
      </c>
      <c r="BX9" s="89" t="str">
        <f>IF('Input Nilai Pengetahuan'!BI42="","",'Input Nilai Pengetahuan'!BI42)</f>
        <v/>
      </c>
      <c r="BY9" s="89" t="str">
        <f>IF(BX3="","",IF('Input Nilai Pengetahuan'!$BB$1="","",'Input Nilai Pengetahuan'!$BB$1))</f>
        <v/>
      </c>
      <c r="BZ9" s="89" t="str">
        <f>IF('Input Nilai Pengetahuan'!BI43="","",'Input Nilai Pengetahuan'!BI43)</f>
        <v/>
      </c>
      <c r="CA9" s="89" t="str">
        <f>IF(BZ3="","",IF('Input Nilai Pengetahuan'!$BB$1="","",'Input Nilai Pengetahuan'!$BB$1))</f>
        <v/>
      </c>
      <c r="CB9" s="89" t="str">
        <f>IF('Input Nilai Pengetahuan'!BI44="","",'Input Nilai Pengetahuan'!BI44)</f>
        <v/>
      </c>
      <c r="CC9" s="89" t="str">
        <f>IF(CB3="","",IF('Input Nilai Pengetahuan'!$BB$1="","",'Input Nilai Pengetahuan'!$BB$1))</f>
        <v/>
      </c>
      <c r="CD9" s="89" t="str">
        <f>IF('Input Nilai Pengetahuan'!BI45="","",'Input Nilai Pengetahuan'!BI45)</f>
        <v/>
      </c>
      <c r="CE9" s="89" t="str">
        <f>IF(CD3="","",IF('Input Nilai Pengetahuan'!$BB$1="","",'Input Nilai Pengetahuan'!$BB$1))</f>
        <v/>
      </c>
      <c r="CF9" s="89" t="str">
        <f>IF('Input Nilai Pengetahuan'!BI46="","",'Input Nilai Pengetahuan'!BI46)</f>
        <v/>
      </c>
      <c r="CG9" s="89" t="str">
        <f>IF(CF3="","",IF('Input Nilai Pengetahuan'!$BB$1="","",'Input Nilai Pengetahuan'!$BB$1))</f>
        <v/>
      </c>
      <c r="CH9" s="89" t="str">
        <f>IF('Input Nilai Pengetahuan'!BI47="","",'Input Nilai Pengetahuan'!BI47)</f>
        <v/>
      </c>
      <c r="CI9" s="89" t="str">
        <f>IF(CH3="","",IF('Input Nilai Pengetahuan'!$BB$1="","",'Input Nilai Pengetahuan'!$BB$1))</f>
        <v/>
      </c>
      <c r="CJ9" s="89" t="str">
        <f>IF('Input Nilai Pengetahuan'!BI48="","",'Input Nilai Pengetahuan'!BI48)</f>
        <v/>
      </c>
      <c r="CK9" s="89" t="str">
        <f>IF(CJ3="","",IF('Input Nilai Pengetahuan'!$BB$1="","",'Input Nilai Pengetahuan'!$BB$1))</f>
        <v/>
      </c>
      <c r="CL9" s="89" t="str">
        <f>IF('Input Nilai Pengetahuan'!BI49="","",'Input Nilai Pengetahuan'!BI49)</f>
        <v/>
      </c>
      <c r="CM9" s="89" t="str">
        <f>IF(CL3="","",IF('Input Nilai Pengetahuan'!$BB$1="","",'Input Nilai Pengetahuan'!$BB$1))</f>
        <v/>
      </c>
      <c r="CN9" s="89" t="str">
        <f>IF('Input Nilai Pengetahuan'!BI50="","",'Input Nilai Pengetahuan'!BI50)</f>
        <v/>
      </c>
      <c r="CO9" s="89" t="str">
        <f>IF(CN3="","",IF('Input Nilai Pengetahuan'!$BB$1="","",'Input Nilai Pengetahuan'!$BB$1))</f>
        <v/>
      </c>
      <c r="CP9" s="89" t="str">
        <f>IF('Input Nilai Pengetahuan'!BI51="","",'Input Nilai Pengetahuan'!BI51)</f>
        <v/>
      </c>
      <c r="CQ9" s="89" t="str">
        <f>IF(CP3="","",IF('Input Nilai Pengetahuan'!$BB$1="","",'Input Nilai Pengetahuan'!$BB$1))</f>
        <v/>
      </c>
      <c r="CR9" s="89" t="str">
        <f>IF('Input Nilai Pengetahuan'!BI52="","",'Input Nilai Pengetahuan'!BI52)</f>
        <v/>
      </c>
      <c r="CS9" s="89" t="str">
        <f>IF(CR3="","",IF('Input Nilai Pengetahuan'!$BB$1="","",'Input Nilai Pengetahuan'!$BB$1))</f>
        <v/>
      </c>
    </row>
    <row r="10" spans="1:97">
      <c r="A10" s="72">
        <v>8</v>
      </c>
      <c r="B10" s="89" t="str">
        <f>IF('Input Nilai Pengetahuan'!BQ5="","",'Input Nilai Pengetahuan'!BQ5)</f>
        <v/>
      </c>
      <c r="C10" s="89" t="str">
        <f>IF(B3="","",IF('Input Nilai Pengetahuan'!$BJ$1="","",'Input Nilai Pengetahuan'!$BJ$1))</f>
        <v/>
      </c>
      <c r="D10" s="89" t="str">
        <f>IF('Input Nilai Pengetahuan'!BQ6="","",'Input Nilai Pengetahuan'!BQ6)</f>
        <v/>
      </c>
      <c r="E10" s="89" t="str">
        <f>IF(D3="","",IF('Input Nilai Pengetahuan'!$BJ$1="","",'Input Nilai Pengetahuan'!$BJ$1))</f>
        <v/>
      </c>
      <c r="F10" s="89" t="str">
        <f>IF('Input Nilai Pengetahuan'!BQ7="","",'Input Nilai Pengetahuan'!BQ7)</f>
        <v/>
      </c>
      <c r="G10" s="89" t="str">
        <f>IF(F3="","",IF('Input Nilai Pengetahuan'!$BJ$1="","",'Input Nilai Pengetahuan'!$BJ$1))</f>
        <v/>
      </c>
      <c r="H10" s="89" t="str">
        <f>IF('Input Nilai Pengetahuan'!BQ8="","",'Input Nilai Pengetahuan'!BQ8)</f>
        <v/>
      </c>
      <c r="I10" s="89" t="str">
        <f>IF(H3="","",IF('Input Nilai Pengetahuan'!$BJ$1="","",'Input Nilai Pengetahuan'!$BJ$1))</f>
        <v/>
      </c>
      <c r="J10" s="89" t="str">
        <f>IF('Input Nilai Pengetahuan'!BQ9="","",'Input Nilai Pengetahuan'!BQ9)</f>
        <v/>
      </c>
      <c r="K10" s="89" t="str">
        <f>IF(J3="","",IF('Input Nilai Pengetahuan'!$BJ$1="","",'Input Nilai Pengetahuan'!$BJ$1))</f>
        <v/>
      </c>
      <c r="L10" s="89" t="str">
        <f>IF('Input Nilai Pengetahuan'!BQ10="","",'Input Nilai Pengetahuan'!BQ10)</f>
        <v/>
      </c>
      <c r="M10" s="89" t="str">
        <f>IF(L3="","",IF('Input Nilai Pengetahuan'!$BJ$1="","",'Input Nilai Pengetahuan'!$BJ$1))</f>
        <v/>
      </c>
      <c r="N10" s="89" t="str">
        <f>IF('Input Nilai Pengetahuan'!BQ11="","",'Input Nilai Pengetahuan'!BQ11)</f>
        <v/>
      </c>
      <c r="O10" s="89" t="str">
        <f>IF(N3="","",IF('Input Nilai Pengetahuan'!$BJ$1="","",'Input Nilai Pengetahuan'!$BJ$1))</f>
        <v/>
      </c>
      <c r="P10" s="89" t="str">
        <f>IF('Input Nilai Pengetahuan'!BQ12="","",'Input Nilai Pengetahuan'!BQ12)</f>
        <v/>
      </c>
      <c r="Q10" s="89" t="str">
        <f>IF(P3="","",IF('Input Nilai Pengetahuan'!$BJ$1="","",'Input Nilai Pengetahuan'!$BJ$1))</f>
        <v/>
      </c>
      <c r="R10" s="89" t="str">
        <f>IF('Input Nilai Pengetahuan'!BQ13="","",'Input Nilai Pengetahuan'!BQ13)</f>
        <v/>
      </c>
      <c r="S10" s="89" t="str">
        <f>IF(R3="","",IF('Input Nilai Pengetahuan'!$BJ$1="","",'Input Nilai Pengetahuan'!$BJ$1))</f>
        <v/>
      </c>
      <c r="T10" s="89" t="str">
        <f>IF('Input Nilai Pengetahuan'!BQ14="","",'Input Nilai Pengetahuan'!BQ14)</f>
        <v/>
      </c>
      <c r="U10" s="89" t="str">
        <f>IF(T3="","",IF('Input Nilai Pengetahuan'!$BJ$1="","",'Input Nilai Pengetahuan'!$BJ$1))</f>
        <v/>
      </c>
      <c r="V10" s="89" t="str">
        <f>IF('Input Nilai Pengetahuan'!BQ15="","",'Input Nilai Pengetahuan'!BQ15)</f>
        <v/>
      </c>
      <c r="W10" s="89" t="str">
        <f>IF(V3="","",IF('Input Nilai Pengetahuan'!$BJ$1="","",'Input Nilai Pengetahuan'!$BJ$1))</f>
        <v/>
      </c>
      <c r="X10" s="89" t="str">
        <f>IF('Input Nilai Pengetahuan'!BQ16="","",'Input Nilai Pengetahuan'!BQ16)</f>
        <v/>
      </c>
      <c r="Y10" s="89" t="str">
        <f>IF(X3="","",IF('Input Nilai Pengetahuan'!$BJ$1="","",'Input Nilai Pengetahuan'!$BJ$1))</f>
        <v/>
      </c>
      <c r="Z10" s="89" t="str">
        <f>IF('Input Nilai Pengetahuan'!BQ17="","",'Input Nilai Pengetahuan'!BQ17)</f>
        <v/>
      </c>
      <c r="AA10" s="89" t="str">
        <f>IF(Z3="","",IF('Input Nilai Pengetahuan'!$BJ$1="","",'Input Nilai Pengetahuan'!$BJ$1))</f>
        <v/>
      </c>
      <c r="AB10" s="89" t="str">
        <f>IF('Input Nilai Pengetahuan'!BQ18="","",'Input Nilai Pengetahuan'!BQ18)</f>
        <v/>
      </c>
      <c r="AC10" s="89" t="str">
        <f>IF(AB3="","",IF('Input Nilai Pengetahuan'!$BJ$1="","",'Input Nilai Pengetahuan'!$BJ$1))</f>
        <v/>
      </c>
      <c r="AD10" s="89" t="str">
        <f>IF('Input Nilai Pengetahuan'!BQ19="","",'Input Nilai Pengetahuan'!BQ19)</f>
        <v/>
      </c>
      <c r="AE10" s="89" t="str">
        <f>IF(AD3="","",IF('Input Nilai Pengetahuan'!$BJ$1="","",'Input Nilai Pengetahuan'!$BJ$1))</f>
        <v/>
      </c>
      <c r="AF10" s="89" t="str">
        <f>IF('Input Nilai Pengetahuan'!BQ20="","",'Input Nilai Pengetahuan'!BQ20)</f>
        <v/>
      </c>
      <c r="AG10" s="89" t="str">
        <f>IF(AF3="","",IF('Input Nilai Pengetahuan'!$BJ$1="","",'Input Nilai Pengetahuan'!$BJ$1))</f>
        <v/>
      </c>
      <c r="AH10" s="89" t="str">
        <f>IF('Input Nilai Pengetahuan'!BQ21="","",'Input Nilai Pengetahuan'!BQ21)</f>
        <v/>
      </c>
      <c r="AI10" s="89" t="str">
        <f>IF(AH3="","",IF('Input Nilai Pengetahuan'!$BJ$1="","",'Input Nilai Pengetahuan'!$BJ$1))</f>
        <v/>
      </c>
      <c r="AJ10" s="89" t="str">
        <f>IF('Input Nilai Pengetahuan'!BQ22="","",'Input Nilai Pengetahuan'!BQ22)</f>
        <v/>
      </c>
      <c r="AK10" s="89" t="str">
        <f>IF(AJ3="","",IF('Input Nilai Pengetahuan'!$BJ$1="","",'Input Nilai Pengetahuan'!$BJ$1))</f>
        <v/>
      </c>
      <c r="AL10" s="89" t="str">
        <f>IF('Input Nilai Pengetahuan'!BQ23="","",'Input Nilai Pengetahuan'!BQ23)</f>
        <v/>
      </c>
      <c r="AM10" s="89" t="str">
        <f>IF(AL3="","",IF('Input Nilai Pengetahuan'!$BJ$1="","",'Input Nilai Pengetahuan'!$BJ$1))</f>
        <v/>
      </c>
      <c r="AN10" s="89" t="str">
        <f>IF('Input Nilai Pengetahuan'!BQ24="","",'Input Nilai Pengetahuan'!BQ24)</f>
        <v/>
      </c>
      <c r="AO10" s="89" t="str">
        <f>IF(AN3="","",IF('Input Nilai Pengetahuan'!$BJ$1="","",'Input Nilai Pengetahuan'!$BJ$1))</f>
        <v/>
      </c>
      <c r="AP10" s="89" t="str">
        <f>IF('Input Nilai Pengetahuan'!BQ25="","",'Input Nilai Pengetahuan'!BQ25)</f>
        <v/>
      </c>
      <c r="AQ10" s="89" t="str">
        <f>IF(AP3="","",IF('Input Nilai Pengetahuan'!$BJ$1="","",'Input Nilai Pengetahuan'!$BJ$1))</f>
        <v/>
      </c>
      <c r="AR10" s="89" t="str">
        <f>IF('Input Nilai Pengetahuan'!BQ26="","",'Input Nilai Pengetahuan'!BQ26)</f>
        <v/>
      </c>
      <c r="AS10" s="89" t="str">
        <f>IF(AR3="","",IF('Input Nilai Pengetahuan'!$BJ$1="","",'Input Nilai Pengetahuan'!$BJ$1))</f>
        <v/>
      </c>
      <c r="AT10" s="89" t="str">
        <f>IF('Input Nilai Pengetahuan'!BQ27="","",'Input Nilai Pengetahuan'!BQ27)</f>
        <v/>
      </c>
      <c r="AU10" s="89" t="str">
        <f>IF(AT3="","",IF('Input Nilai Pengetahuan'!$BJ$1="","",'Input Nilai Pengetahuan'!$BJ$1))</f>
        <v/>
      </c>
      <c r="AV10" s="89" t="str">
        <f>IF('Input Nilai Pengetahuan'!BQ28="","",'Input Nilai Pengetahuan'!BQ28)</f>
        <v/>
      </c>
      <c r="AW10" s="89" t="str">
        <f>IF(AV3="","",IF('Input Nilai Pengetahuan'!$BJ$1="","",'Input Nilai Pengetahuan'!$BJ$1))</f>
        <v/>
      </c>
      <c r="AX10" s="89" t="str">
        <f>IF('Input Nilai Pengetahuan'!BQ29="","",'Input Nilai Pengetahuan'!BQ29)</f>
        <v/>
      </c>
      <c r="AY10" s="89" t="str">
        <f>IF(AX3="","",IF('Input Nilai Pengetahuan'!$BJ$1="","",'Input Nilai Pengetahuan'!$BJ$1))</f>
        <v/>
      </c>
      <c r="AZ10" s="89" t="str">
        <f>IF('Input Nilai Pengetahuan'!BQ30="","",'Input Nilai Pengetahuan'!BQ30)</f>
        <v/>
      </c>
      <c r="BA10" s="89" t="str">
        <f>IF(AZ3="","",IF('Input Nilai Pengetahuan'!$BJ$1="","",'Input Nilai Pengetahuan'!$BJ$1))</f>
        <v/>
      </c>
      <c r="BB10" s="89" t="str">
        <f>IF('Input Nilai Pengetahuan'!BQ31="","",'Input Nilai Pengetahuan'!BQ31)</f>
        <v/>
      </c>
      <c r="BC10" s="89" t="str">
        <f>IF(BB3="","",IF('Input Nilai Pengetahuan'!$BJ$1="","",'Input Nilai Pengetahuan'!$BJ$1))</f>
        <v/>
      </c>
      <c r="BD10" s="89" t="str">
        <f>IF('Input Nilai Pengetahuan'!BQ32="","",'Input Nilai Pengetahuan'!BQ32)</f>
        <v/>
      </c>
      <c r="BE10" s="89" t="str">
        <f>IF(BD3="","",IF('Input Nilai Pengetahuan'!$BJ$1="","",'Input Nilai Pengetahuan'!$BJ$1))</f>
        <v/>
      </c>
      <c r="BF10" s="89" t="str">
        <f>IF('Input Nilai Pengetahuan'!BQ33="","",'Input Nilai Pengetahuan'!BQ33)</f>
        <v/>
      </c>
      <c r="BG10" s="89" t="str">
        <f>IF(BF3="","",IF('Input Nilai Pengetahuan'!$BJ$1="","",'Input Nilai Pengetahuan'!$BJ$1))</f>
        <v/>
      </c>
      <c r="BH10" s="89" t="str">
        <f>IF('Input Nilai Pengetahuan'!BQ34="","",'Input Nilai Pengetahuan'!BQ34)</f>
        <v/>
      </c>
      <c r="BI10" s="89" t="str">
        <f>IF(BH3="","",IF('Input Nilai Pengetahuan'!$BJ$1="","",'Input Nilai Pengetahuan'!$BJ$1))</f>
        <v/>
      </c>
      <c r="BJ10" s="89" t="str">
        <f>IF('Input Nilai Pengetahuan'!BQ35="","",'Input Nilai Pengetahuan'!BQ35)</f>
        <v/>
      </c>
      <c r="BK10" s="89" t="str">
        <f>IF(BJ3="","",IF('Input Nilai Pengetahuan'!$BJ$1="","",'Input Nilai Pengetahuan'!$BJ$1))</f>
        <v/>
      </c>
      <c r="BL10" s="89" t="str">
        <f>IF('Input Nilai Pengetahuan'!BQ36="","",'Input Nilai Pengetahuan'!BQ36)</f>
        <v/>
      </c>
      <c r="BM10" s="89" t="str">
        <f>IF(BL3="","",IF('Input Nilai Pengetahuan'!$BJ$1="","",'Input Nilai Pengetahuan'!$BJ$1))</f>
        <v/>
      </c>
      <c r="BN10" s="89" t="str">
        <f>IF('Input Nilai Pengetahuan'!BQ37="","",'Input Nilai Pengetahuan'!BQ37)</f>
        <v/>
      </c>
      <c r="BO10" s="89" t="str">
        <f>IF(BN3="","",IF('Input Nilai Pengetahuan'!$BJ$1="","",'Input Nilai Pengetahuan'!$BJ$1))</f>
        <v/>
      </c>
      <c r="BP10" s="89" t="str">
        <f>IF('Input Nilai Pengetahuan'!BQ38="","",'Input Nilai Pengetahuan'!BQ38)</f>
        <v/>
      </c>
      <c r="BQ10" s="89" t="str">
        <f>IF(BP3="","",IF('Input Nilai Pengetahuan'!$BJ$1="","",'Input Nilai Pengetahuan'!$BJ$1))</f>
        <v/>
      </c>
      <c r="BR10" s="89" t="str">
        <f>IF('Input Nilai Pengetahuan'!BQ39="","",'Input Nilai Pengetahuan'!BQ39)</f>
        <v/>
      </c>
      <c r="BS10" s="89" t="str">
        <f>IF(BR3="","",IF('Input Nilai Pengetahuan'!$BJ$1="","",'Input Nilai Pengetahuan'!$BJ$1))</f>
        <v/>
      </c>
      <c r="BT10" s="89" t="str">
        <f>IF('Input Nilai Pengetahuan'!BQ40="","",'Input Nilai Pengetahuan'!BQ40)</f>
        <v/>
      </c>
      <c r="BU10" s="89" t="str">
        <f>IF(BT3="","",IF('Input Nilai Pengetahuan'!$BJ$1="","",'Input Nilai Pengetahuan'!$BJ$1))</f>
        <v/>
      </c>
      <c r="BV10" s="89" t="str">
        <f>IF('Input Nilai Pengetahuan'!BQ41="","",'Input Nilai Pengetahuan'!BQ41)</f>
        <v/>
      </c>
      <c r="BW10" s="89" t="str">
        <f>IF(BV3="","",IF('Input Nilai Pengetahuan'!$BJ$1="","",'Input Nilai Pengetahuan'!$BJ$1))</f>
        <v/>
      </c>
      <c r="BX10" s="89" t="str">
        <f>IF('Input Nilai Pengetahuan'!BQ42="","",'Input Nilai Pengetahuan'!BQ42)</f>
        <v/>
      </c>
      <c r="BY10" s="89" t="str">
        <f>IF(BX3="","",IF('Input Nilai Pengetahuan'!$BJ$1="","",'Input Nilai Pengetahuan'!$BJ$1))</f>
        <v/>
      </c>
      <c r="BZ10" s="89" t="str">
        <f>IF('Input Nilai Pengetahuan'!BQ43="","",'Input Nilai Pengetahuan'!BQ43)</f>
        <v/>
      </c>
      <c r="CA10" s="89" t="str">
        <f>IF(BZ3="","",IF('Input Nilai Pengetahuan'!$BJ$1="","",'Input Nilai Pengetahuan'!$BJ$1))</f>
        <v/>
      </c>
      <c r="CB10" s="89" t="str">
        <f>IF('Input Nilai Pengetahuan'!BQ44="","",'Input Nilai Pengetahuan'!BQ44)</f>
        <v/>
      </c>
      <c r="CC10" s="89" t="str">
        <f>IF(CB3="","",IF('Input Nilai Pengetahuan'!$BJ$1="","",'Input Nilai Pengetahuan'!$BJ$1))</f>
        <v/>
      </c>
      <c r="CD10" s="89" t="str">
        <f>IF('Input Nilai Pengetahuan'!BQ45="","",'Input Nilai Pengetahuan'!BQ45)</f>
        <v/>
      </c>
      <c r="CE10" s="89" t="str">
        <f>IF(CD3="","",IF('Input Nilai Pengetahuan'!$BJ$1="","",'Input Nilai Pengetahuan'!$BJ$1))</f>
        <v/>
      </c>
      <c r="CF10" s="89" t="str">
        <f>IF('Input Nilai Pengetahuan'!BQ46="","",'Input Nilai Pengetahuan'!BQ46)</f>
        <v/>
      </c>
      <c r="CG10" s="89" t="str">
        <f>IF(CF3="","",IF('Input Nilai Pengetahuan'!$BJ$1="","",'Input Nilai Pengetahuan'!$BJ$1))</f>
        <v/>
      </c>
      <c r="CH10" s="89" t="str">
        <f>IF('Input Nilai Pengetahuan'!BQ47="","",'Input Nilai Pengetahuan'!BQ47)</f>
        <v/>
      </c>
      <c r="CI10" s="89" t="str">
        <f>IF(CH3="","",IF('Input Nilai Pengetahuan'!$BJ$1="","",'Input Nilai Pengetahuan'!$BJ$1))</f>
        <v/>
      </c>
      <c r="CJ10" s="89" t="str">
        <f>IF('Input Nilai Pengetahuan'!BQ48="","",'Input Nilai Pengetahuan'!BQ48)</f>
        <v/>
      </c>
      <c r="CK10" s="89" t="str">
        <f>IF(CJ3="","",IF('Input Nilai Pengetahuan'!$BJ$1="","",'Input Nilai Pengetahuan'!$BJ$1))</f>
        <v/>
      </c>
      <c r="CL10" s="89" t="str">
        <f>IF('Input Nilai Pengetahuan'!BQ49="","",'Input Nilai Pengetahuan'!BQ49)</f>
        <v/>
      </c>
      <c r="CM10" s="89" t="str">
        <f>IF(CL3="","",IF('Input Nilai Pengetahuan'!$BJ$1="","",'Input Nilai Pengetahuan'!$BJ$1))</f>
        <v/>
      </c>
      <c r="CN10" s="89" t="str">
        <f>IF('Input Nilai Pengetahuan'!BQ50="","",'Input Nilai Pengetahuan'!BQ50)</f>
        <v/>
      </c>
      <c r="CO10" s="89" t="str">
        <f>IF(CN3="","",IF('Input Nilai Pengetahuan'!$BJ$1="","",'Input Nilai Pengetahuan'!$BJ$1))</f>
        <v/>
      </c>
      <c r="CP10" s="89" t="str">
        <f>IF('Input Nilai Pengetahuan'!BQ51="","",'Input Nilai Pengetahuan'!BQ51)</f>
        <v/>
      </c>
      <c r="CQ10" s="89" t="str">
        <f>IF(CP3="","",IF('Input Nilai Pengetahuan'!$BJ$1="","",'Input Nilai Pengetahuan'!$BJ$1))</f>
        <v/>
      </c>
      <c r="CR10" s="89" t="str">
        <f>IF('Input Nilai Pengetahuan'!BQ52="","",'Input Nilai Pengetahuan'!BQ52)</f>
        <v/>
      </c>
      <c r="CS10" s="89" t="str">
        <f>IF(CR3="","",IF('Input Nilai Pengetahuan'!$BJ$1="","",'Input Nilai Pengetahuan'!$BJ$1))</f>
        <v/>
      </c>
    </row>
    <row r="11" spans="1:97">
      <c r="A11" s="72">
        <v>9</v>
      </c>
      <c r="B11" s="89" t="str">
        <f>IF('Input Nilai Pengetahuan'!BY5="","",'Input Nilai Pengetahuan'!BY5)</f>
        <v/>
      </c>
      <c r="C11" s="89" t="str">
        <f>IF(B3="","",IF('Input Nilai Pengetahuan'!$BR$1="","",'Input Nilai Pengetahuan'!$BR$1))</f>
        <v/>
      </c>
      <c r="D11" s="89" t="str">
        <f>IF('Input Nilai Pengetahuan'!BY6="","",'Input Nilai Pengetahuan'!BY6)</f>
        <v/>
      </c>
      <c r="E11" s="89" t="str">
        <f>IF(D3="","",IF('Input Nilai Pengetahuan'!$BR$1="","",'Input Nilai Pengetahuan'!$BR$1))</f>
        <v/>
      </c>
      <c r="F11" s="89" t="str">
        <f>IF('Input Nilai Pengetahuan'!BY7="","",'Input Nilai Pengetahuan'!BY7)</f>
        <v/>
      </c>
      <c r="G11" s="89" t="str">
        <f>IF(F3="","",IF('Input Nilai Pengetahuan'!$BR$1="","",'Input Nilai Pengetahuan'!$BR$1))</f>
        <v/>
      </c>
      <c r="H11" s="89" t="str">
        <f>IF('Input Nilai Pengetahuan'!BY8="","",'Input Nilai Pengetahuan'!BY8)</f>
        <v/>
      </c>
      <c r="I11" s="89" t="str">
        <f>IF(H3="","",IF('Input Nilai Pengetahuan'!$BR$1="","",'Input Nilai Pengetahuan'!$BR$1))</f>
        <v/>
      </c>
      <c r="J11" s="89" t="str">
        <f>IF('Input Nilai Pengetahuan'!BY9="","",'Input Nilai Pengetahuan'!BY9)</f>
        <v/>
      </c>
      <c r="K11" s="89" t="str">
        <f>IF(J3="","",IF('Input Nilai Pengetahuan'!$BR$1="","",'Input Nilai Pengetahuan'!$BR$1))</f>
        <v/>
      </c>
      <c r="L11" s="89" t="str">
        <f>IF('Input Nilai Pengetahuan'!BY10="","",'Input Nilai Pengetahuan'!BY10)</f>
        <v/>
      </c>
      <c r="M11" s="89" t="str">
        <f>IF(L3="","",IF('Input Nilai Pengetahuan'!$BR$1="","",'Input Nilai Pengetahuan'!$BR$1))</f>
        <v/>
      </c>
      <c r="N11" s="89" t="str">
        <f>IF('Input Nilai Pengetahuan'!BY11="","",'Input Nilai Pengetahuan'!BY11)</f>
        <v/>
      </c>
      <c r="O11" s="89" t="str">
        <f>IF(N3="","",IF('Input Nilai Pengetahuan'!$BR$1="","",'Input Nilai Pengetahuan'!$BR$1))</f>
        <v/>
      </c>
      <c r="P11" s="89" t="str">
        <f>IF('Input Nilai Pengetahuan'!BY12="","",'Input Nilai Pengetahuan'!BY12)</f>
        <v/>
      </c>
      <c r="Q11" s="89" t="str">
        <f>IF(P3="","",IF('Input Nilai Pengetahuan'!$BR$1="","",'Input Nilai Pengetahuan'!$BR$1))</f>
        <v/>
      </c>
      <c r="R11" s="89" t="str">
        <f>IF('Input Nilai Pengetahuan'!BY13="","",'Input Nilai Pengetahuan'!BY13)</f>
        <v/>
      </c>
      <c r="S11" s="89" t="str">
        <f>IF(R3="","",IF('Input Nilai Pengetahuan'!$BR$1="","",'Input Nilai Pengetahuan'!$BR$1))</f>
        <v/>
      </c>
      <c r="T11" s="89" t="str">
        <f>IF('Input Nilai Pengetahuan'!BY14="","",'Input Nilai Pengetahuan'!BY14)</f>
        <v/>
      </c>
      <c r="U11" s="89" t="str">
        <f>IF(T3="","",IF('Input Nilai Pengetahuan'!$BR$1="","",'Input Nilai Pengetahuan'!$BR$1))</f>
        <v/>
      </c>
      <c r="V11" s="89" t="str">
        <f>IF('Input Nilai Pengetahuan'!BY15="","",'Input Nilai Pengetahuan'!BY15)</f>
        <v/>
      </c>
      <c r="W11" s="89" t="str">
        <f>IF(V3="","",IF('Input Nilai Pengetahuan'!$BR$1="","",'Input Nilai Pengetahuan'!$BR$1))</f>
        <v/>
      </c>
      <c r="X11" s="89" t="str">
        <f>IF('Input Nilai Pengetahuan'!BY16="","",'Input Nilai Pengetahuan'!BY16)</f>
        <v/>
      </c>
      <c r="Y11" s="89" t="str">
        <f>IF(X3="","",IF('Input Nilai Pengetahuan'!$BR$1="","",'Input Nilai Pengetahuan'!$BR$1))</f>
        <v/>
      </c>
      <c r="Z11" s="89" t="str">
        <f>IF('Input Nilai Pengetahuan'!BY17="","",'Input Nilai Pengetahuan'!BY17)</f>
        <v/>
      </c>
      <c r="AA11" s="89" t="str">
        <f>IF(Z3="","",IF('Input Nilai Pengetahuan'!$BR$1="","",'Input Nilai Pengetahuan'!$BR$1))</f>
        <v/>
      </c>
      <c r="AB11" s="89" t="str">
        <f>IF('Input Nilai Pengetahuan'!BY18="","",'Input Nilai Pengetahuan'!BY18)</f>
        <v/>
      </c>
      <c r="AC11" s="89" t="str">
        <f>IF(AB3="","",IF('Input Nilai Pengetahuan'!$BR$1="","",'Input Nilai Pengetahuan'!$BR$1))</f>
        <v/>
      </c>
      <c r="AD11" s="89" t="str">
        <f>IF('Input Nilai Pengetahuan'!BY19="","",'Input Nilai Pengetahuan'!BY19)</f>
        <v/>
      </c>
      <c r="AE11" s="89" t="str">
        <f>IF(AD3="","",IF('Input Nilai Pengetahuan'!$BR$1="","",'Input Nilai Pengetahuan'!$BR$1))</f>
        <v/>
      </c>
      <c r="AF11" s="89" t="str">
        <f>IF('Input Nilai Pengetahuan'!BY20="","",'Input Nilai Pengetahuan'!BY20)</f>
        <v/>
      </c>
      <c r="AG11" s="89" t="str">
        <f>IF(AF3="","",IF('Input Nilai Pengetahuan'!$BR$1="","",'Input Nilai Pengetahuan'!$BR$1))</f>
        <v/>
      </c>
      <c r="AH11" s="89" t="str">
        <f>IF('Input Nilai Pengetahuan'!BY21="","",'Input Nilai Pengetahuan'!BY21)</f>
        <v/>
      </c>
      <c r="AI11" s="89" t="str">
        <f>IF(AH3="","",IF('Input Nilai Pengetahuan'!$BR$1="","",'Input Nilai Pengetahuan'!$BR$1))</f>
        <v/>
      </c>
      <c r="AJ11" s="89" t="str">
        <f>IF('Input Nilai Pengetahuan'!BY22="","",'Input Nilai Pengetahuan'!BY22)</f>
        <v/>
      </c>
      <c r="AK11" s="89" t="str">
        <f>IF(AJ3="","",IF('Input Nilai Pengetahuan'!$BR$1="","",'Input Nilai Pengetahuan'!$BR$1))</f>
        <v/>
      </c>
      <c r="AL11" s="89" t="str">
        <f>IF('Input Nilai Pengetahuan'!BY23="","",'Input Nilai Pengetahuan'!BY23)</f>
        <v/>
      </c>
      <c r="AM11" s="89" t="str">
        <f>IF(AL3="","",IF('Input Nilai Pengetahuan'!$BR$1="","",'Input Nilai Pengetahuan'!$BR$1))</f>
        <v/>
      </c>
      <c r="AN11" s="89" t="str">
        <f>IF('Input Nilai Pengetahuan'!BY24="","",'Input Nilai Pengetahuan'!BY24)</f>
        <v/>
      </c>
      <c r="AO11" s="89" t="str">
        <f>IF(AN3="","",IF('Input Nilai Pengetahuan'!$BR$1="","",'Input Nilai Pengetahuan'!$BR$1))</f>
        <v/>
      </c>
      <c r="AP11" s="89" t="str">
        <f>IF('Input Nilai Pengetahuan'!BY25="","",'Input Nilai Pengetahuan'!BY25)</f>
        <v/>
      </c>
      <c r="AQ11" s="89" t="str">
        <f>IF(AP3="","",IF('Input Nilai Pengetahuan'!$BR$1="","",'Input Nilai Pengetahuan'!$BR$1))</f>
        <v/>
      </c>
      <c r="AR11" s="89" t="str">
        <f>IF('Input Nilai Pengetahuan'!BY26="","",'Input Nilai Pengetahuan'!BY26)</f>
        <v/>
      </c>
      <c r="AS11" s="89" t="str">
        <f>IF(AR3="","",IF('Input Nilai Pengetahuan'!$BR$1="","",'Input Nilai Pengetahuan'!$BR$1))</f>
        <v/>
      </c>
      <c r="AT11" s="89" t="str">
        <f>IF('Input Nilai Pengetahuan'!BY27="","",'Input Nilai Pengetahuan'!BY27)</f>
        <v/>
      </c>
      <c r="AU11" s="89" t="str">
        <f>IF(AT3="","",IF('Input Nilai Pengetahuan'!$BR$1="","",'Input Nilai Pengetahuan'!$BR$1))</f>
        <v/>
      </c>
      <c r="AV11" s="89" t="str">
        <f>IF('Input Nilai Pengetahuan'!BY28="","",'Input Nilai Pengetahuan'!BY28)</f>
        <v/>
      </c>
      <c r="AW11" s="89" t="str">
        <f>IF(AV3="","",IF('Input Nilai Pengetahuan'!$BR$1="","",'Input Nilai Pengetahuan'!$BR$1))</f>
        <v/>
      </c>
      <c r="AX11" s="89" t="str">
        <f>IF('Input Nilai Pengetahuan'!BY29="","",'Input Nilai Pengetahuan'!BY29)</f>
        <v/>
      </c>
      <c r="AY11" s="89" t="str">
        <f>IF(AX3="","",IF('Input Nilai Pengetahuan'!$BR$1="","",'Input Nilai Pengetahuan'!$BR$1))</f>
        <v/>
      </c>
      <c r="AZ11" s="89" t="str">
        <f>IF('Input Nilai Pengetahuan'!BY30="","",'Input Nilai Pengetahuan'!BY30)</f>
        <v/>
      </c>
      <c r="BA11" s="89" t="str">
        <f>IF(AZ3="","",IF('Input Nilai Pengetahuan'!$BR$1="","",'Input Nilai Pengetahuan'!$BR$1))</f>
        <v/>
      </c>
      <c r="BB11" s="89" t="str">
        <f>IF('Input Nilai Pengetahuan'!BY31="","",'Input Nilai Pengetahuan'!BY31)</f>
        <v/>
      </c>
      <c r="BC11" s="89" t="str">
        <f>IF(BB3="","",IF('Input Nilai Pengetahuan'!$BR$1="","",'Input Nilai Pengetahuan'!$BR$1))</f>
        <v/>
      </c>
      <c r="BD11" s="89" t="str">
        <f>IF('Input Nilai Pengetahuan'!BY32="","",'Input Nilai Pengetahuan'!BY32)</f>
        <v/>
      </c>
      <c r="BE11" s="89" t="str">
        <f>IF(BD3="","",IF('Input Nilai Pengetahuan'!$BR$1="","",'Input Nilai Pengetahuan'!$BR$1))</f>
        <v/>
      </c>
      <c r="BF11" s="89" t="str">
        <f>IF('Input Nilai Pengetahuan'!BY33="","",'Input Nilai Pengetahuan'!BY33)</f>
        <v/>
      </c>
      <c r="BG11" s="89" t="str">
        <f>IF(BF3="","",IF('Input Nilai Pengetahuan'!$BR$1="","",'Input Nilai Pengetahuan'!$BR$1))</f>
        <v/>
      </c>
      <c r="BH11" s="89" t="str">
        <f>IF('Input Nilai Pengetahuan'!BY34="","",'Input Nilai Pengetahuan'!BY34)</f>
        <v/>
      </c>
      <c r="BI11" s="89" t="str">
        <f>IF(BH3="","",IF('Input Nilai Pengetahuan'!$BR$1="","",'Input Nilai Pengetahuan'!$BR$1))</f>
        <v/>
      </c>
      <c r="BJ11" s="89" t="str">
        <f>IF('Input Nilai Pengetahuan'!BY35="","",'Input Nilai Pengetahuan'!BY35)</f>
        <v/>
      </c>
      <c r="BK11" s="89" t="str">
        <f>IF(BJ3="","",IF('Input Nilai Pengetahuan'!$BR$1="","",'Input Nilai Pengetahuan'!$BR$1))</f>
        <v/>
      </c>
      <c r="BL11" s="89" t="str">
        <f>IF('Input Nilai Pengetahuan'!BY36="","",'Input Nilai Pengetahuan'!BY36)</f>
        <v/>
      </c>
      <c r="BM11" s="89" t="str">
        <f>IF(BL3="","",IF('Input Nilai Pengetahuan'!$BR$1="","",'Input Nilai Pengetahuan'!$BR$1))</f>
        <v/>
      </c>
      <c r="BN11" s="89" t="str">
        <f>IF('Input Nilai Pengetahuan'!BY37="","",'Input Nilai Pengetahuan'!BY37)</f>
        <v/>
      </c>
      <c r="BO11" s="89" t="str">
        <f>IF(BN3="","",IF('Input Nilai Pengetahuan'!$BR$1="","",'Input Nilai Pengetahuan'!$BR$1))</f>
        <v/>
      </c>
      <c r="BP11" s="89" t="str">
        <f>IF('Input Nilai Pengetahuan'!BY38="","",'Input Nilai Pengetahuan'!BY38)</f>
        <v/>
      </c>
      <c r="BQ11" s="89" t="str">
        <f>IF(BP3="","",IF('Input Nilai Pengetahuan'!$BR$1="","",'Input Nilai Pengetahuan'!$BR$1))</f>
        <v/>
      </c>
      <c r="BR11" s="89" t="str">
        <f>IF('Input Nilai Pengetahuan'!BY39="","",'Input Nilai Pengetahuan'!BY39)</f>
        <v/>
      </c>
      <c r="BS11" s="89" t="str">
        <f>IF(BR3="","",IF('Input Nilai Pengetahuan'!$BR$1="","",'Input Nilai Pengetahuan'!$BR$1))</f>
        <v/>
      </c>
      <c r="BT11" s="89" t="str">
        <f>IF('Input Nilai Pengetahuan'!BY40="","",'Input Nilai Pengetahuan'!BY40)</f>
        <v/>
      </c>
      <c r="BU11" s="89" t="str">
        <f>IF(BT3="","",IF('Input Nilai Pengetahuan'!$BR$1="","",'Input Nilai Pengetahuan'!$BR$1))</f>
        <v/>
      </c>
      <c r="BV11" s="89" t="str">
        <f>IF('Input Nilai Pengetahuan'!BY41="","",'Input Nilai Pengetahuan'!BY41)</f>
        <v/>
      </c>
      <c r="BW11" s="89" t="str">
        <f>IF(BV3="","",IF('Input Nilai Pengetahuan'!$BR$1="","",'Input Nilai Pengetahuan'!$BR$1))</f>
        <v/>
      </c>
      <c r="BX11" s="89" t="str">
        <f>IF('Input Nilai Pengetahuan'!BY42="","",'Input Nilai Pengetahuan'!BY42)</f>
        <v/>
      </c>
      <c r="BY11" s="89" t="str">
        <f>IF(BX3="","",IF('Input Nilai Pengetahuan'!$BR$1="","",'Input Nilai Pengetahuan'!$BR$1))</f>
        <v/>
      </c>
      <c r="BZ11" s="89" t="str">
        <f>IF('Input Nilai Pengetahuan'!BY43="","",'Input Nilai Pengetahuan'!BY43)</f>
        <v/>
      </c>
      <c r="CA11" s="89" t="str">
        <f>IF(BZ3="","",IF('Input Nilai Pengetahuan'!$BR$1="","",'Input Nilai Pengetahuan'!$BR$1))</f>
        <v/>
      </c>
      <c r="CB11" s="89" t="str">
        <f>IF('Input Nilai Pengetahuan'!BY44="","",'Input Nilai Pengetahuan'!BY44)</f>
        <v/>
      </c>
      <c r="CC11" s="89" t="str">
        <f>IF(CB3="","",IF('Input Nilai Pengetahuan'!$BR$1="","",'Input Nilai Pengetahuan'!$BR$1))</f>
        <v/>
      </c>
      <c r="CD11" s="89" t="str">
        <f>IF('Input Nilai Pengetahuan'!BY45="","",'Input Nilai Pengetahuan'!BY45)</f>
        <v/>
      </c>
      <c r="CE11" s="89" t="str">
        <f>IF(CD3="","",IF('Input Nilai Pengetahuan'!$BR$1="","",'Input Nilai Pengetahuan'!$BR$1))</f>
        <v/>
      </c>
      <c r="CF11" s="89" t="str">
        <f>IF('Input Nilai Pengetahuan'!BY46="","",'Input Nilai Pengetahuan'!BY46)</f>
        <v/>
      </c>
      <c r="CG11" s="89" t="str">
        <f>IF(CF3="","",IF('Input Nilai Pengetahuan'!$BR$1="","",'Input Nilai Pengetahuan'!$BR$1))</f>
        <v/>
      </c>
      <c r="CH11" s="89" t="str">
        <f>IF('Input Nilai Pengetahuan'!BY47="","",'Input Nilai Pengetahuan'!BY47)</f>
        <v/>
      </c>
      <c r="CI11" s="89" t="str">
        <f>IF(CH3="","",IF('Input Nilai Pengetahuan'!$BR$1="","",'Input Nilai Pengetahuan'!$BR$1))</f>
        <v/>
      </c>
      <c r="CJ11" s="89" t="str">
        <f>IF('Input Nilai Pengetahuan'!BY48="","",'Input Nilai Pengetahuan'!BY48)</f>
        <v/>
      </c>
      <c r="CK11" s="89" t="str">
        <f>IF(CJ3="","",IF('Input Nilai Pengetahuan'!$BR$1="","",'Input Nilai Pengetahuan'!$BR$1))</f>
        <v/>
      </c>
      <c r="CL11" s="89" t="str">
        <f>IF('Input Nilai Pengetahuan'!BY49="","",'Input Nilai Pengetahuan'!BY49)</f>
        <v/>
      </c>
      <c r="CM11" s="89" t="str">
        <f>IF(CL3="","",IF('Input Nilai Pengetahuan'!$BR$1="","",'Input Nilai Pengetahuan'!$BR$1))</f>
        <v/>
      </c>
      <c r="CN11" s="89" t="str">
        <f>IF('Input Nilai Pengetahuan'!BY50="","",'Input Nilai Pengetahuan'!BY50)</f>
        <v/>
      </c>
      <c r="CO11" s="89" t="str">
        <f>IF(CN3="","",IF('Input Nilai Pengetahuan'!$BR$1="","",'Input Nilai Pengetahuan'!$BR$1))</f>
        <v/>
      </c>
      <c r="CP11" s="89" t="str">
        <f>IF('Input Nilai Pengetahuan'!BY51="","",'Input Nilai Pengetahuan'!BY51)</f>
        <v/>
      </c>
      <c r="CQ11" s="89" t="str">
        <f>IF(CP3="","",IF('Input Nilai Pengetahuan'!$BR$1="","",'Input Nilai Pengetahuan'!$BR$1))</f>
        <v/>
      </c>
      <c r="CR11" s="89" t="str">
        <f>IF('Input Nilai Pengetahuan'!BY52="","",'Input Nilai Pengetahuan'!BY52)</f>
        <v/>
      </c>
      <c r="CS11" s="89" t="str">
        <f>IF(CR3="","",IF('Input Nilai Pengetahuan'!$BR$1="","",'Input Nilai Pengetahuan'!$BR$1))</f>
        <v/>
      </c>
    </row>
    <row r="12" spans="1:97">
      <c r="A12" s="72">
        <v>10</v>
      </c>
      <c r="B12" s="89" t="str">
        <f>IF('Input Nilai Pengetahuan'!CG5="","",'Input Nilai Pengetahuan'!CG5)</f>
        <v/>
      </c>
      <c r="C12" s="89" t="str">
        <f>IF(B3="","",IF('Input Nilai Pengetahuan'!$BZ$1="","",'Input Nilai Pengetahuan'!$BZ$1))</f>
        <v/>
      </c>
      <c r="D12" s="89" t="str">
        <f>IF('Input Nilai Pengetahuan'!CG6="","",'Input Nilai Pengetahuan'!CG6)</f>
        <v/>
      </c>
      <c r="E12" s="89" t="str">
        <f>IF(D3="","",IF('Input Nilai Pengetahuan'!$BZ$1="","",'Input Nilai Pengetahuan'!$BZ$1))</f>
        <v/>
      </c>
      <c r="F12" s="89" t="str">
        <f>IF('Input Nilai Pengetahuan'!CG7="","",'Input Nilai Pengetahuan'!CG7)</f>
        <v/>
      </c>
      <c r="G12" s="89" t="str">
        <f>IF(F3="","",IF('Input Nilai Pengetahuan'!$BZ$1="","",'Input Nilai Pengetahuan'!$BZ$1))</f>
        <v/>
      </c>
      <c r="H12" s="89" t="str">
        <f>IF('Input Nilai Pengetahuan'!CG8="","",'Input Nilai Pengetahuan'!CG8)</f>
        <v/>
      </c>
      <c r="I12" s="89" t="str">
        <f>IF(H3="","",IF('Input Nilai Pengetahuan'!$BZ$1="","",'Input Nilai Pengetahuan'!$BZ$1))</f>
        <v/>
      </c>
      <c r="J12" s="89" t="str">
        <f>IF('Input Nilai Pengetahuan'!CG9="","",'Input Nilai Pengetahuan'!CG9)</f>
        <v/>
      </c>
      <c r="K12" s="89" t="str">
        <f>IF(J3="","",IF('Input Nilai Pengetahuan'!$BZ$1="","",'Input Nilai Pengetahuan'!$BZ$1))</f>
        <v/>
      </c>
      <c r="L12" s="89" t="str">
        <f>IF('Input Nilai Pengetahuan'!CG10="","",'Input Nilai Pengetahuan'!CG10)</f>
        <v/>
      </c>
      <c r="M12" s="89" t="str">
        <f>IF(L3="","",IF('Input Nilai Pengetahuan'!$BZ$1="","",'Input Nilai Pengetahuan'!$BZ$1))</f>
        <v/>
      </c>
      <c r="N12" s="89" t="str">
        <f>IF('Input Nilai Pengetahuan'!CG11="","",'Input Nilai Pengetahuan'!CG11)</f>
        <v/>
      </c>
      <c r="O12" s="89" t="str">
        <f>IF(N3="","",IF('Input Nilai Pengetahuan'!$BZ$1="","",'Input Nilai Pengetahuan'!$BZ$1))</f>
        <v/>
      </c>
      <c r="P12" s="89" t="str">
        <f>IF('Input Nilai Pengetahuan'!CG12="","",'Input Nilai Pengetahuan'!CG12)</f>
        <v/>
      </c>
      <c r="Q12" s="89" t="str">
        <f>IF(P3="","",IF('Input Nilai Pengetahuan'!$BZ$1="","",'Input Nilai Pengetahuan'!$BZ$1))</f>
        <v/>
      </c>
      <c r="R12" s="89" t="str">
        <f>IF('Input Nilai Pengetahuan'!CG13="","",'Input Nilai Pengetahuan'!CG13)</f>
        <v/>
      </c>
      <c r="S12" s="89" t="str">
        <f>IF(R3="","",IF('Input Nilai Pengetahuan'!$BZ$1="","",'Input Nilai Pengetahuan'!$BZ$1))</f>
        <v/>
      </c>
      <c r="T12" s="89" t="str">
        <f>IF('Input Nilai Pengetahuan'!CG14="","",'Input Nilai Pengetahuan'!CG14)</f>
        <v/>
      </c>
      <c r="U12" s="89" t="str">
        <f>IF(T3="","",IF('Input Nilai Pengetahuan'!$BZ$1="","",'Input Nilai Pengetahuan'!$BZ$1))</f>
        <v/>
      </c>
      <c r="V12" s="89" t="str">
        <f>IF('Input Nilai Pengetahuan'!CG15="","",'Input Nilai Pengetahuan'!CG15)</f>
        <v/>
      </c>
      <c r="W12" s="89" t="str">
        <f>IF(V3="","",IF('Input Nilai Pengetahuan'!$BZ$1="","",'Input Nilai Pengetahuan'!$BZ$1))</f>
        <v/>
      </c>
      <c r="X12" s="89" t="str">
        <f>IF('Input Nilai Pengetahuan'!CG16="","",'Input Nilai Pengetahuan'!CG16)</f>
        <v/>
      </c>
      <c r="Y12" s="89" t="str">
        <f>IF(X3="","",IF('Input Nilai Pengetahuan'!$BZ$1="","",'Input Nilai Pengetahuan'!$BZ$1))</f>
        <v/>
      </c>
      <c r="Z12" s="89" t="str">
        <f>IF('Input Nilai Pengetahuan'!CG17="","",'Input Nilai Pengetahuan'!CG17)</f>
        <v/>
      </c>
      <c r="AA12" s="89" t="str">
        <f>IF(Z3="","",IF('Input Nilai Pengetahuan'!$BZ$1="","",'Input Nilai Pengetahuan'!$BZ$1))</f>
        <v/>
      </c>
      <c r="AB12" s="89" t="str">
        <f>IF('Input Nilai Pengetahuan'!CG18="","",'Input Nilai Pengetahuan'!CG18)</f>
        <v/>
      </c>
      <c r="AC12" s="89" t="str">
        <f>IF(AB3="","",IF('Input Nilai Pengetahuan'!$BZ$1="","",'Input Nilai Pengetahuan'!$BZ$1))</f>
        <v/>
      </c>
      <c r="AD12" s="89" t="str">
        <f>IF('Input Nilai Pengetahuan'!CG19="","",'Input Nilai Pengetahuan'!CG19)</f>
        <v/>
      </c>
      <c r="AE12" s="89" t="str">
        <f>IF(AD3="","",IF('Input Nilai Pengetahuan'!$BZ$1="","",'Input Nilai Pengetahuan'!$BZ$1))</f>
        <v/>
      </c>
      <c r="AF12" s="89" t="str">
        <f>IF('Input Nilai Pengetahuan'!CG20="","",'Input Nilai Pengetahuan'!CG20)</f>
        <v/>
      </c>
      <c r="AG12" s="89" t="str">
        <f>IF(AF3="","",IF('Input Nilai Pengetahuan'!$BZ$1="","",'Input Nilai Pengetahuan'!$BZ$1))</f>
        <v/>
      </c>
      <c r="AH12" s="89" t="str">
        <f>IF('Input Nilai Pengetahuan'!CG21="","",'Input Nilai Pengetahuan'!CG21)</f>
        <v/>
      </c>
      <c r="AI12" s="89" t="str">
        <f>IF(AH3="","",IF('Input Nilai Pengetahuan'!$BZ$1="","",'Input Nilai Pengetahuan'!$BZ$1))</f>
        <v/>
      </c>
      <c r="AJ12" s="89" t="str">
        <f>IF('Input Nilai Pengetahuan'!CG22="","",'Input Nilai Pengetahuan'!CG22)</f>
        <v/>
      </c>
      <c r="AK12" s="89" t="str">
        <f>IF(AJ3="","",IF('Input Nilai Pengetahuan'!$BZ$1="","",'Input Nilai Pengetahuan'!$BZ$1))</f>
        <v/>
      </c>
      <c r="AL12" s="89" t="str">
        <f>IF('Input Nilai Pengetahuan'!CG23="","",'Input Nilai Pengetahuan'!CG23)</f>
        <v/>
      </c>
      <c r="AM12" s="89" t="str">
        <f>IF(AL3="","",IF('Input Nilai Pengetahuan'!$BZ$1="","",'Input Nilai Pengetahuan'!$BZ$1))</f>
        <v/>
      </c>
      <c r="AN12" s="89" t="str">
        <f>IF('Input Nilai Pengetahuan'!CG24="","",'Input Nilai Pengetahuan'!CG24)</f>
        <v/>
      </c>
      <c r="AO12" s="89" t="str">
        <f>IF(AN3="","",IF('Input Nilai Pengetahuan'!$BZ$1="","",'Input Nilai Pengetahuan'!$BZ$1))</f>
        <v/>
      </c>
      <c r="AP12" s="89" t="str">
        <f>IF('Input Nilai Pengetahuan'!CG25="","",'Input Nilai Pengetahuan'!CG25)</f>
        <v/>
      </c>
      <c r="AQ12" s="89" t="str">
        <f>IF(AP3="","",IF('Input Nilai Pengetahuan'!$BZ$1="","",'Input Nilai Pengetahuan'!$BZ$1))</f>
        <v/>
      </c>
      <c r="AR12" s="89" t="str">
        <f>IF('Input Nilai Pengetahuan'!CG26="","",'Input Nilai Pengetahuan'!CG26)</f>
        <v/>
      </c>
      <c r="AS12" s="89" t="str">
        <f>IF(AR3="","",IF('Input Nilai Pengetahuan'!$BZ$1="","",'Input Nilai Pengetahuan'!$BZ$1))</f>
        <v/>
      </c>
      <c r="AT12" s="89" t="str">
        <f>IF('Input Nilai Pengetahuan'!CG27="","",'Input Nilai Pengetahuan'!CG27)</f>
        <v/>
      </c>
      <c r="AU12" s="89" t="str">
        <f>IF(AT3="","",IF('Input Nilai Pengetahuan'!$BZ$1="","",'Input Nilai Pengetahuan'!$BZ$1))</f>
        <v/>
      </c>
      <c r="AV12" s="89" t="str">
        <f>IF('Input Nilai Pengetahuan'!CG28="","",'Input Nilai Pengetahuan'!CG28)</f>
        <v/>
      </c>
      <c r="AW12" s="89" t="str">
        <f>IF(AV3="","",IF('Input Nilai Pengetahuan'!$BZ$1="","",'Input Nilai Pengetahuan'!$BZ$1))</f>
        <v/>
      </c>
      <c r="AX12" s="89" t="str">
        <f>IF('Input Nilai Pengetahuan'!CG29="","",'Input Nilai Pengetahuan'!CG29)</f>
        <v/>
      </c>
      <c r="AY12" s="89" t="str">
        <f>IF(AX3="","",IF('Input Nilai Pengetahuan'!$BZ$1="","",'Input Nilai Pengetahuan'!$BZ$1))</f>
        <v/>
      </c>
      <c r="AZ12" s="89" t="str">
        <f>IF('Input Nilai Pengetahuan'!CG30="","",'Input Nilai Pengetahuan'!CG30)</f>
        <v/>
      </c>
      <c r="BA12" s="89" t="str">
        <f>IF(AZ3="","",IF('Input Nilai Pengetahuan'!$BZ$1="","",'Input Nilai Pengetahuan'!$BZ$1))</f>
        <v/>
      </c>
      <c r="BB12" s="89" t="str">
        <f>IF('Input Nilai Pengetahuan'!CG31="","",'Input Nilai Pengetahuan'!CG31)</f>
        <v/>
      </c>
      <c r="BC12" s="89" t="str">
        <f>IF(BB3="","",IF('Input Nilai Pengetahuan'!$BZ$1="","",'Input Nilai Pengetahuan'!$BZ$1))</f>
        <v/>
      </c>
      <c r="BD12" s="89" t="str">
        <f>IF('Input Nilai Pengetahuan'!CG32="","",'Input Nilai Pengetahuan'!CG32)</f>
        <v/>
      </c>
      <c r="BE12" s="89" t="str">
        <f>IF(BD3="","",IF('Input Nilai Pengetahuan'!$BZ$1="","",'Input Nilai Pengetahuan'!$BZ$1))</f>
        <v/>
      </c>
      <c r="BF12" s="89" t="str">
        <f>IF('Input Nilai Pengetahuan'!CG33="","",'Input Nilai Pengetahuan'!CG33)</f>
        <v/>
      </c>
      <c r="BG12" s="89" t="str">
        <f>IF(BF3="","",IF('Input Nilai Pengetahuan'!$BZ$1="","",'Input Nilai Pengetahuan'!$BZ$1))</f>
        <v/>
      </c>
      <c r="BH12" s="89" t="str">
        <f>IF('Input Nilai Pengetahuan'!CG34="","",'Input Nilai Pengetahuan'!CG34)</f>
        <v/>
      </c>
      <c r="BI12" s="89" t="str">
        <f>IF(BH3="","",IF('Input Nilai Pengetahuan'!$BZ$1="","",'Input Nilai Pengetahuan'!$BZ$1))</f>
        <v/>
      </c>
      <c r="BJ12" s="89" t="str">
        <f>IF('Input Nilai Pengetahuan'!CG35="","",'Input Nilai Pengetahuan'!CG35)</f>
        <v/>
      </c>
      <c r="BK12" s="89" t="str">
        <f>IF(BJ3="","",IF('Input Nilai Pengetahuan'!$BZ$1="","",'Input Nilai Pengetahuan'!$BZ$1))</f>
        <v/>
      </c>
      <c r="BL12" s="89" t="str">
        <f>IF('Input Nilai Pengetahuan'!CG36="","",'Input Nilai Pengetahuan'!CG36)</f>
        <v/>
      </c>
      <c r="BM12" s="89" t="str">
        <f>IF(BL3="","",IF('Input Nilai Pengetahuan'!$BZ$1="","",'Input Nilai Pengetahuan'!$BZ$1))</f>
        <v/>
      </c>
      <c r="BN12" s="89" t="str">
        <f>IF('Input Nilai Pengetahuan'!CG37="","",'Input Nilai Pengetahuan'!CG37)</f>
        <v/>
      </c>
      <c r="BO12" s="89" t="str">
        <f>IF(BN3="","",IF('Input Nilai Pengetahuan'!$BZ$1="","",'Input Nilai Pengetahuan'!$BZ$1))</f>
        <v/>
      </c>
      <c r="BP12" s="89" t="str">
        <f>IF('Input Nilai Pengetahuan'!CG38="","",'Input Nilai Pengetahuan'!CG38)</f>
        <v/>
      </c>
      <c r="BQ12" s="89" t="str">
        <f>IF(BP3="","",IF('Input Nilai Pengetahuan'!$BZ$1="","",'Input Nilai Pengetahuan'!$BZ$1))</f>
        <v/>
      </c>
      <c r="BR12" s="89" t="str">
        <f>IF('Input Nilai Pengetahuan'!CG39="","",'Input Nilai Pengetahuan'!CG39)</f>
        <v/>
      </c>
      <c r="BS12" s="89" t="str">
        <f>IF(BR3="","",IF('Input Nilai Pengetahuan'!$BZ$1="","",'Input Nilai Pengetahuan'!$BZ$1))</f>
        <v/>
      </c>
      <c r="BT12" s="89" t="str">
        <f>IF('Input Nilai Pengetahuan'!CG40="","",'Input Nilai Pengetahuan'!CG40)</f>
        <v/>
      </c>
      <c r="BU12" s="89" t="str">
        <f>IF(BT3="","",IF('Input Nilai Pengetahuan'!$BZ$1="","",'Input Nilai Pengetahuan'!$BZ$1))</f>
        <v/>
      </c>
      <c r="BV12" s="89" t="str">
        <f>IF('Input Nilai Pengetahuan'!CG41="","",'Input Nilai Pengetahuan'!CG41)</f>
        <v/>
      </c>
      <c r="BW12" s="89" t="str">
        <f>IF(BV3="","",IF('Input Nilai Pengetahuan'!$BZ$1="","",'Input Nilai Pengetahuan'!$BZ$1))</f>
        <v/>
      </c>
      <c r="BX12" s="89" t="str">
        <f>IF('Input Nilai Pengetahuan'!CG42="","",'Input Nilai Pengetahuan'!CG42)</f>
        <v/>
      </c>
      <c r="BY12" s="89" t="str">
        <f>IF(BX3="","",IF('Input Nilai Pengetahuan'!$BZ$1="","",'Input Nilai Pengetahuan'!$BZ$1))</f>
        <v/>
      </c>
      <c r="BZ12" s="89" t="str">
        <f>IF('Input Nilai Pengetahuan'!CG43="","",'Input Nilai Pengetahuan'!CG43)</f>
        <v/>
      </c>
      <c r="CA12" s="89" t="str">
        <f>IF(BZ3="","",IF('Input Nilai Pengetahuan'!$BZ$1="","",'Input Nilai Pengetahuan'!$BZ$1))</f>
        <v/>
      </c>
      <c r="CB12" s="89" t="str">
        <f>IF('Input Nilai Pengetahuan'!CG44="","",'Input Nilai Pengetahuan'!CG44)</f>
        <v/>
      </c>
      <c r="CC12" s="89" t="str">
        <f>IF(CB3="","",IF('Input Nilai Pengetahuan'!$BZ$1="","",'Input Nilai Pengetahuan'!$BZ$1))</f>
        <v/>
      </c>
      <c r="CD12" s="89" t="str">
        <f>IF('Input Nilai Pengetahuan'!CG45="","",'Input Nilai Pengetahuan'!CG45)</f>
        <v/>
      </c>
      <c r="CE12" s="89" t="str">
        <f>IF(CD3="","",IF('Input Nilai Pengetahuan'!$BZ$1="","",'Input Nilai Pengetahuan'!$BZ$1))</f>
        <v/>
      </c>
      <c r="CF12" s="89" t="str">
        <f>IF('Input Nilai Pengetahuan'!CG46="","",'Input Nilai Pengetahuan'!CG46)</f>
        <v/>
      </c>
      <c r="CG12" s="89" t="str">
        <f>IF(CF3="","",IF('Input Nilai Pengetahuan'!$BZ$1="","",'Input Nilai Pengetahuan'!$BZ$1))</f>
        <v/>
      </c>
      <c r="CH12" s="89" t="str">
        <f>IF('Input Nilai Pengetahuan'!CG47="","",'Input Nilai Pengetahuan'!CG47)</f>
        <v/>
      </c>
      <c r="CI12" s="89" t="str">
        <f>IF(CH3="","",IF('Input Nilai Pengetahuan'!$BZ$1="","",'Input Nilai Pengetahuan'!$BZ$1))</f>
        <v/>
      </c>
      <c r="CJ12" s="89" t="str">
        <f>IF('Input Nilai Pengetahuan'!CG48="","",'Input Nilai Pengetahuan'!CG48)</f>
        <v/>
      </c>
      <c r="CK12" s="89" t="str">
        <f>IF(CJ3="","",IF('Input Nilai Pengetahuan'!$BZ$1="","",'Input Nilai Pengetahuan'!$BZ$1))</f>
        <v/>
      </c>
      <c r="CL12" s="89" t="str">
        <f>IF('Input Nilai Pengetahuan'!CG49="","",'Input Nilai Pengetahuan'!CG49)</f>
        <v/>
      </c>
      <c r="CM12" s="89" t="str">
        <f>IF(CL3="","",IF('Input Nilai Pengetahuan'!$BZ$1="","",'Input Nilai Pengetahuan'!$BZ$1))</f>
        <v/>
      </c>
      <c r="CN12" s="89" t="str">
        <f>IF('Input Nilai Pengetahuan'!CG50="","",'Input Nilai Pengetahuan'!CG50)</f>
        <v/>
      </c>
      <c r="CO12" s="89" t="str">
        <f>IF(CN3="","",IF('Input Nilai Pengetahuan'!$BZ$1="","",'Input Nilai Pengetahuan'!$BZ$1))</f>
        <v/>
      </c>
      <c r="CP12" s="89" t="str">
        <f>IF('Input Nilai Pengetahuan'!CG51="","",'Input Nilai Pengetahuan'!CG51)</f>
        <v/>
      </c>
      <c r="CQ12" s="89" t="str">
        <f>IF(CP3="","",IF('Input Nilai Pengetahuan'!$BZ$1="","",'Input Nilai Pengetahuan'!$BZ$1))</f>
        <v/>
      </c>
      <c r="CR12" s="89" t="str">
        <f>IF('Input Nilai Pengetahuan'!CG52="","",'Input Nilai Pengetahuan'!CG52)</f>
        <v/>
      </c>
      <c r="CS12" s="89" t="str">
        <f>IF(CR3="","",IF('Input Nilai Pengetahuan'!$BZ$1="","",'Input Nilai Pengetahuan'!$BZ$1))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605" t="s">
        <v>28</v>
      </c>
      <c r="BF1" s="605" t="s">
        <v>29</v>
      </c>
      <c r="BG1" s="93" t="s">
        <v>303</v>
      </c>
      <c r="BH1" s="608" t="s">
        <v>30</v>
      </c>
      <c r="BI1" s="588" t="s">
        <v>283</v>
      </c>
      <c r="BJ1" s="585" t="s">
        <v>36</v>
      </c>
    </row>
    <row r="2" spans="1:62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606"/>
      <c r="BF2" s="606"/>
      <c r="BG2" s="103">
        <f>menu!$D$19</f>
        <v>0</v>
      </c>
      <c r="BH2" s="609"/>
      <c r="BI2" s="589"/>
      <c r="BJ2" s="586"/>
    </row>
    <row r="3" spans="1:62" ht="69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607"/>
      <c r="BF3" s="607"/>
      <c r="BG3" s="114" t="s">
        <v>304</v>
      </c>
      <c r="BH3" s="610"/>
      <c r="BI3" s="590"/>
      <c r="BJ3" s="587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VII-A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MATEMATIKA</v>
      </c>
      <c r="O2" s="184" t="s">
        <v>313</v>
      </c>
      <c r="R2" s="193" t="str">
        <f>menu!D11</f>
        <v>MUZAKKI, S.Pd</v>
      </c>
    </row>
    <row r="4" spans="1:21" ht="15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9" t="s">
        <v>7</v>
      </c>
      <c r="J4" s="482"/>
      <c r="K4" s="482"/>
      <c r="L4" s="482"/>
      <c r="M4" s="629" t="s">
        <v>7</v>
      </c>
      <c r="N4" s="482"/>
      <c r="O4" s="482"/>
      <c r="P4" s="482"/>
      <c r="Q4" s="629" t="s">
        <v>7</v>
      </c>
      <c r="R4" s="482"/>
      <c r="S4" s="482"/>
      <c r="T4" s="482"/>
      <c r="U4" s="629" t="s">
        <v>7</v>
      </c>
    </row>
    <row r="5" spans="1:21" ht="15" customHeight="1">
      <c r="A5" s="479"/>
      <c r="B5" s="479"/>
      <c r="C5" s="481"/>
      <c r="D5" s="482"/>
      <c r="E5" s="484"/>
      <c r="F5" s="482"/>
      <c r="G5" s="482"/>
      <c r="H5" s="482"/>
      <c r="I5" s="629"/>
      <c r="J5" s="482"/>
      <c r="K5" s="482"/>
      <c r="L5" s="482"/>
      <c r="M5" s="629"/>
      <c r="N5" s="482"/>
      <c r="O5" s="482"/>
      <c r="P5" s="482"/>
      <c r="Q5" s="629"/>
      <c r="R5" s="482"/>
      <c r="S5" s="482"/>
      <c r="T5" s="482"/>
      <c r="U5" s="629"/>
    </row>
    <row r="6" spans="1:21" s="97" customFormat="1" ht="80.25" customHeight="1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9"/>
      <c r="J6" s="111" t="s">
        <v>31</v>
      </c>
      <c r="K6" s="112" t="s">
        <v>32</v>
      </c>
      <c r="L6" s="111" t="s">
        <v>33</v>
      </c>
      <c r="M6" s="629"/>
      <c r="N6" s="111" t="s">
        <v>31</v>
      </c>
      <c r="O6" s="112" t="s">
        <v>32</v>
      </c>
      <c r="P6" s="111" t="s">
        <v>33</v>
      </c>
      <c r="Q6" s="629"/>
      <c r="R6" s="111" t="s">
        <v>31</v>
      </c>
      <c r="S6" s="112" t="s">
        <v>32</v>
      </c>
      <c r="T6" s="111" t="s">
        <v>33</v>
      </c>
      <c r="U6" s="629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>
        <f>'DATA SISWA'!C5</f>
        <v>0</v>
      </c>
      <c r="D8" s="106">
        <f>'DATA SISWA'!D5</f>
        <v>0</v>
      </c>
      <c r="E8" s="106" t="str">
        <f>'DATA SISWA'!E5</f>
        <v>VII-A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>
        <f>'DATA SISWA'!C6</f>
        <v>0</v>
      </c>
      <c r="D9" s="106">
        <f>'DATA SISWA'!D6</f>
        <v>0</v>
      </c>
      <c r="E9" s="106" t="str">
        <f>'DATA SISWA'!E6</f>
        <v>VII-A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>
        <f>'DATA SISWA'!C7</f>
        <v>0</v>
      </c>
      <c r="D10" s="106">
        <f>'DATA SISWA'!D7</f>
        <v>0</v>
      </c>
      <c r="E10" s="106" t="str">
        <f>'DATA SISWA'!E7</f>
        <v>VII-A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>
        <f>'DATA SISWA'!C8</f>
        <v>0</v>
      </c>
      <c r="D11" s="106">
        <f>'DATA SISWA'!D8</f>
        <v>0</v>
      </c>
      <c r="E11" s="106" t="str">
        <f>'DATA SISWA'!E8</f>
        <v>VII-A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>
        <f>'DATA SISWA'!C9</f>
        <v>0</v>
      </c>
      <c r="D12" s="106">
        <f>'DATA SISWA'!D9</f>
        <v>0</v>
      </c>
      <c r="E12" s="106" t="str">
        <f>'DATA SISWA'!E9</f>
        <v>VII-A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>
        <f>'DATA SISWA'!C10</f>
        <v>0</v>
      </c>
      <c r="D13" s="106">
        <f>'DATA SISWA'!D10</f>
        <v>0</v>
      </c>
      <c r="E13" s="106" t="str">
        <f>'DATA SISWA'!E10</f>
        <v>VII-A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>
        <f>'DATA SISWA'!C11</f>
        <v>0</v>
      </c>
      <c r="D14" s="106">
        <f>'DATA SISWA'!D11</f>
        <v>0</v>
      </c>
      <c r="E14" s="106" t="str">
        <f>'DATA SISWA'!E11</f>
        <v>VII-A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>
        <f>'DATA SISWA'!C12</f>
        <v>0</v>
      </c>
      <c r="D15" s="106">
        <f>'DATA SISWA'!D12</f>
        <v>0</v>
      </c>
      <c r="E15" s="106" t="str">
        <f>'DATA SISWA'!E12</f>
        <v>VII-A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>
        <f>'DATA SISWA'!C13</f>
        <v>0</v>
      </c>
      <c r="D16" s="106">
        <f>'DATA SISWA'!D13</f>
        <v>0</v>
      </c>
      <c r="E16" s="106" t="str">
        <f>'DATA SISWA'!E13</f>
        <v>VII-A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>
        <f>'DATA SISWA'!C14</f>
        <v>0</v>
      </c>
      <c r="D17" s="106">
        <f>'DATA SISWA'!D14</f>
        <v>0</v>
      </c>
      <c r="E17" s="106" t="str">
        <f>'DATA SISWA'!E14</f>
        <v>VII-A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>
        <f>'DATA SISWA'!C15</f>
        <v>0</v>
      </c>
      <c r="D18" s="106">
        <f>'DATA SISWA'!D15</f>
        <v>0</v>
      </c>
      <c r="E18" s="106" t="str">
        <f>'DATA SISWA'!E15</f>
        <v>VII-A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>
        <f>'DATA SISWA'!C16</f>
        <v>0</v>
      </c>
      <c r="D19" s="106">
        <f>'DATA SISWA'!D16</f>
        <v>0</v>
      </c>
      <c r="E19" s="106" t="str">
        <f>'DATA SISWA'!E16</f>
        <v>VII-A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>
        <f>'DATA SISWA'!C17</f>
        <v>0</v>
      </c>
      <c r="D20" s="106">
        <f>'DATA SISWA'!D17</f>
        <v>0</v>
      </c>
      <c r="E20" s="106" t="str">
        <f>'DATA SISWA'!E17</f>
        <v>VII-A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>
        <f>'DATA SISWA'!C18</f>
        <v>0</v>
      </c>
      <c r="D21" s="106">
        <f>'DATA SISWA'!D18</f>
        <v>0</v>
      </c>
      <c r="E21" s="106" t="str">
        <f>'DATA SISWA'!E18</f>
        <v>VII-A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>
        <f>'DATA SISWA'!C19</f>
        <v>0</v>
      </c>
      <c r="D22" s="106">
        <f>'DATA SISWA'!D19</f>
        <v>0</v>
      </c>
      <c r="E22" s="106" t="str">
        <f>'DATA SISWA'!E19</f>
        <v>VII-A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>
        <f>'DATA SISWA'!C20</f>
        <v>0</v>
      </c>
      <c r="D23" s="106">
        <f>'DATA SISWA'!D20</f>
        <v>0</v>
      </c>
      <c r="E23" s="106" t="str">
        <f>'DATA SISWA'!E20</f>
        <v>VII-A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>
        <f>'DATA SISWA'!C21</f>
        <v>0</v>
      </c>
      <c r="D24" s="106">
        <f>'DATA SISWA'!D21</f>
        <v>0</v>
      </c>
      <c r="E24" s="106" t="str">
        <f>'DATA SISWA'!E21</f>
        <v>VII-A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>
        <f>'DATA SISWA'!C22</f>
        <v>0</v>
      </c>
      <c r="D25" s="106">
        <f>'DATA SISWA'!D22</f>
        <v>0</v>
      </c>
      <c r="E25" s="106" t="str">
        <f>'DATA SISWA'!E22</f>
        <v>VII-A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>
        <f>'DATA SISWA'!C23</f>
        <v>0</v>
      </c>
      <c r="D26" s="106">
        <f>'DATA SISWA'!D23</f>
        <v>0</v>
      </c>
      <c r="E26" s="106" t="str">
        <f>'DATA SISWA'!E23</f>
        <v>VII-A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>
        <f>'DATA SISWA'!C24</f>
        <v>0</v>
      </c>
      <c r="D27" s="106">
        <f>'DATA SISWA'!D24</f>
        <v>0</v>
      </c>
      <c r="E27" s="106" t="str">
        <f>'DATA SISWA'!E24</f>
        <v>VII-A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>
        <f>'DATA SISWA'!C25</f>
        <v>0</v>
      </c>
      <c r="D28" s="106">
        <f>'DATA SISWA'!D25</f>
        <v>0</v>
      </c>
      <c r="E28" s="106" t="str">
        <f>'DATA SISWA'!E25</f>
        <v>VII-A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>
        <f>'DATA SISWA'!C26</f>
        <v>0</v>
      </c>
      <c r="D29" s="106">
        <f>'DATA SISWA'!D26</f>
        <v>0</v>
      </c>
      <c r="E29" s="106" t="str">
        <f>'DATA SISWA'!E26</f>
        <v>VII-A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>
        <f>'DATA SISWA'!C27</f>
        <v>0</v>
      </c>
      <c r="D30" s="106">
        <f>'DATA SISWA'!D27</f>
        <v>0</v>
      </c>
      <c r="E30" s="106" t="str">
        <f>'DATA SISWA'!E27</f>
        <v>VII-A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>
        <f>'DATA SISWA'!C28</f>
        <v>0</v>
      </c>
      <c r="D31" s="106">
        <f>'DATA SISWA'!D28</f>
        <v>0</v>
      </c>
      <c r="E31" s="106" t="str">
        <f>'DATA SISWA'!E28</f>
        <v>VII-A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>
        <f>'DATA SISWA'!C29</f>
        <v>0</v>
      </c>
      <c r="D32" s="106">
        <f>'DATA SISWA'!D29</f>
        <v>0</v>
      </c>
      <c r="E32" s="106" t="str">
        <f>'DATA SISWA'!E29</f>
        <v>VII-A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>
        <f>'DATA SISWA'!C30</f>
        <v>0</v>
      </c>
      <c r="D33" s="106">
        <f>'DATA SISWA'!D30</f>
        <v>0</v>
      </c>
      <c r="E33" s="106" t="str">
        <f>'DATA SISWA'!E30</f>
        <v>VII-A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>
        <f>'DATA SISWA'!C31</f>
        <v>0</v>
      </c>
      <c r="D34" s="106">
        <f>'DATA SISWA'!D31</f>
        <v>0</v>
      </c>
      <c r="E34" s="106" t="str">
        <f>'DATA SISWA'!E31</f>
        <v>VII-A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>
        <f>'DATA SISWA'!C32</f>
        <v>0</v>
      </c>
      <c r="D35" s="106">
        <f>'DATA SISWA'!D32</f>
        <v>0</v>
      </c>
      <c r="E35" s="106" t="str">
        <f>'DATA SISWA'!E32</f>
        <v>VII-A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>
        <f>'DATA SISWA'!C33</f>
        <v>0</v>
      </c>
      <c r="D36" s="106">
        <f>'DATA SISWA'!D33</f>
        <v>0</v>
      </c>
      <c r="E36" s="106" t="str">
        <f>'DATA SISWA'!E33</f>
        <v>VII-A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>
        <f>'DATA SISWA'!C34</f>
        <v>0</v>
      </c>
      <c r="D37" s="106">
        <f>'DATA SISWA'!D34</f>
        <v>0</v>
      </c>
      <c r="E37" s="106" t="str">
        <f>'DATA SISWA'!E34</f>
        <v>VII-A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>
        <f>'DATA SISWA'!C35</f>
        <v>0</v>
      </c>
      <c r="D38" s="106">
        <f>'DATA SISWA'!D35</f>
        <v>0</v>
      </c>
      <c r="E38" s="106" t="str">
        <f>'DATA SISWA'!E35</f>
        <v>VII-A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>
        <f>'DATA SISWA'!C36</f>
        <v>0</v>
      </c>
      <c r="D39" s="106">
        <f>'DATA SISWA'!D36</f>
        <v>0</v>
      </c>
      <c r="E39" s="106" t="str">
        <f>'DATA SISWA'!E36</f>
        <v>VII-A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>
        <f>'DATA SISWA'!C37</f>
        <v>0</v>
      </c>
      <c r="D40" s="106">
        <f>'DATA SISWA'!D37</f>
        <v>0</v>
      </c>
      <c r="E40" s="106" t="str">
        <f>'DATA SISWA'!E37</f>
        <v>VII-A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>
        <f>'DATA SISWA'!C38</f>
        <v>0</v>
      </c>
      <c r="D41" s="106">
        <f>'DATA SISWA'!D38</f>
        <v>0</v>
      </c>
      <c r="E41" s="106" t="str">
        <f>'DATA SISWA'!E38</f>
        <v>VII-A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>
        <f>'DATA SISWA'!C39</f>
        <v>0</v>
      </c>
      <c r="D42" s="106">
        <f>'DATA SISWA'!D39</f>
        <v>0</v>
      </c>
      <c r="E42" s="106" t="str">
        <f>'DATA SISWA'!E39</f>
        <v>VII-A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>
        <f>'DATA SISWA'!C40</f>
        <v>0</v>
      </c>
      <c r="D43" s="106">
        <f>'DATA SISWA'!D40</f>
        <v>0</v>
      </c>
      <c r="E43" s="106" t="str">
        <f>'DATA SISWA'!E40</f>
        <v>VII-A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>
        <f>'DATA SISWA'!C41</f>
        <v>0</v>
      </c>
      <c r="D44" s="106">
        <f>'DATA SISWA'!D41</f>
        <v>0</v>
      </c>
      <c r="E44" s="106" t="str">
        <f>'DATA SISWA'!E41</f>
        <v>VII-A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>
        <f>'DATA SISWA'!C42</f>
        <v>0</v>
      </c>
      <c r="D45" s="106">
        <f>'DATA SISWA'!D42</f>
        <v>0</v>
      </c>
      <c r="E45" s="106" t="str">
        <f>'DATA SISWA'!E42</f>
        <v>VII-A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>
        <f>'DATA SISWA'!C43</f>
        <v>0</v>
      </c>
      <c r="D46" s="106">
        <f>'DATA SISWA'!D43</f>
        <v>0</v>
      </c>
      <c r="E46" s="106" t="str">
        <f>'DATA SISWA'!E43</f>
        <v>VII-A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>
        <f>'DATA SISWA'!C44</f>
        <v>0</v>
      </c>
      <c r="D47" s="106">
        <f>'DATA SISWA'!D44</f>
        <v>0</v>
      </c>
      <c r="E47" s="106" t="str">
        <f>'DATA SISWA'!E44</f>
        <v>VII-A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>
        <f>'DATA SISWA'!C45</f>
        <v>0</v>
      </c>
      <c r="D48" s="106">
        <f>'DATA SISWA'!D45</f>
        <v>0</v>
      </c>
      <c r="E48" s="106" t="str">
        <f>'DATA SISWA'!E45</f>
        <v>VII-A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>
        <f>'DATA SISWA'!C46</f>
        <v>0</v>
      </c>
      <c r="D49" s="106">
        <f>'DATA SISWA'!D46</f>
        <v>0</v>
      </c>
      <c r="E49" s="106" t="str">
        <f>'DATA SISWA'!E46</f>
        <v>VII-A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>
        <f>'DATA SISWA'!C47</f>
        <v>0</v>
      </c>
      <c r="D50" s="106">
        <f>'DATA SISWA'!D47</f>
        <v>0</v>
      </c>
      <c r="E50" s="106" t="str">
        <f>'DATA SISWA'!E47</f>
        <v>VII-A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>
        <f>'DATA SISWA'!C48</f>
        <v>0</v>
      </c>
      <c r="D51" s="106">
        <f>'DATA SISWA'!D48</f>
        <v>0</v>
      </c>
      <c r="E51" s="106" t="str">
        <f>'DATA SISWA'!E48</f>
        <v>VII-A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>
        <f>'DATA SISWA'!C49</f>
        <v>0</v>
      </c>
      <c r="D52" s="106">
        <f>'DATA SISWA'!D49</f>
        <v>0</v>
      </c>
      <c r="E52" s="106" t="str">
        <f>'DATA SISWA'!E49</f>
        <v>VII-A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>
        <f>'DATA SISWA'!C50</f>
        <v>0</v>
      </c>
      <c r="D53" s="106">
        <f>'DATA SISWA'!D50</f>
        <v>0</v>
      </c>
      <c r="E53" s="106" t="str">
        <f>'DATA SISWA'!E50</f>
        <v>VII-A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>
        <f>'DATA SISWA'!C51</f>
        <v>0</v>
      </c>
      <c r="D54" s="106">
        <f>'DATA SISWA'!D51</f>
        <v>0</v>
      </c>
      <c r="E54" s="106" t="str">
        <f>'DATA SISWA'!E51</f>
        <v>VII-A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>
        <f>'DATA SISWA'!C52</f>
        <v>0</v>
      </c>
      <c r="D55" s="106">
        <f>'DATA SISWA'!D52</f>
        <v>0</v>
      </c>
      <c r="E55" s="106" t="str">
        <f>'DATA SISWA'!E52</f>
        <v>VII-A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BJ5" activePane="bottomRight" state="frozen"/>
      <selection pane="topRight" activeCell="F1" sqref="F1"/>
      <selection pane="bottomLeft" activeCell="A5" sqref="A5"/>
      <selection pane="bottomRight" activeCell="BK5" sqref="BK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0" t="str">
        <f>IF(KDOKE!B29="","",KDOKE!B29)</f>
        <v>menyelesaikan masalahyang berkaitandengan urutan beberapa bilanganbulat dan pecahan(biasa, campuran,desimal, persen)</v>
      </c>
      <c r="G1" s="630"/>
      <c r="H1" s="630"/>
      <c r="I1" s="630"/>
      <c r="J1" s="619" t="s">
        <v>7</v>
      </c>
      <c r="K1" s="630" t="str">
        <f>IF(KDOKE!B30="","",KDOKE!B30)</f>
        <v/>
      </c>
      <c r="L1" s="630"/>
      <c r="M1" s="630"/>
      <c r="N1" s="630"/>
      <c r="O1" s="619" t="s">
        <v>7</v>
      </c>
      <c r="P1" s="630" t="str">
        <f>IF(KDOKE!B31="","",KDOKE!B31)</f>
        <v/>
      </c>
      <c r="Q1" s="630"/>
      <c r="R1" s="630"/>
      <c r="S1" s="630"/>
      <c r="T1" s="619" t="s">
        <v>7</v>
      </c>
      <c r="U1" s="630" t="str">
        <f>IF(KDOKE!B32="","",KDOKE!B32)</f>
        <v/>
      </c>
      <c r="V1" s="630"/>
      <c r="W1" s="630"/>
      <c r="X1" s="630"/>
      <c r="Y1" s="619" t="s">
        <v>7</v>
      </c>
      <c r="Z1" s="630" t="str">
        <f>IF(KDOKE!B33="","",KDOKE!B33)</f>
        <v/>
      </c>
      <c r="AA1" s="630"/>
      <c r="AB1" s="630"/>
      <c r="AC1" s="630"/>
      <c r="AD1" s="619" t="s">
        <v>7</v>
      </c>
      <c r="AE1" s="630" t="str">
        <f>IF(KDOKE!B34="","",KDOKE!B34)</f>
        <v/>
      </c>
      <c r="AF1" s="630"/>
      <c r="AG1" s="630"/>
      <c r="AH1" s="630"/>
      <c r="AI1" s="619" t="s">
        <v>7</v>
      </c>
      <c r="AJ1" s="630" t="str">
        <f>IF(KDOKE!B35="","",KDOKE!B35)</f>
        <v/>
      </c>
      <c r="AK1" s="630"/>
      <c r="AL1" s="630"/>
      <c r="AM1" s="630"/>
      <c r="AN1" s="619" t="s">
        <v>7</v>
      </c>
      <c r="AO1" s="630" t="str">
        <f>IF(KDOKE!B36="","",KDOKE!B36)</f>
        <v/>
      </c>
      <c r="AP1" s="630"/>
      <c r="AQ1" s="630"/>
      <c r="AR1" s="630"/>
      <c r="AS1" s="623" t="s">
        <v>7</v>
      </c>
      <c r="AT1" s="630" t="str">
        <f>IF(KDOKE!B37="","",KDOKE!B37)</f>
        <v/>
      </c>
      <c r="AU1" s="630"/>
      <c r="AV1" s="630"/>
      <c r="AW1" s="630"/>
      <c r="AX1" s="623" t="s">
        <v>7</v>
      </c>
      <c r="AY1" s="630" t="str">
        <f>IF(KDOKE!B38="","",KDOKE!B38)</f>
        <v/>
      </c>
      <c r="AZ1" s="630"/>
      <c r="BA1" s="630"/>
      <c r="BB1" s="630"/>
      <c r="BC1" s="623" t="s">
        <v>7</v>
      </c>
      <c r="BD1" s="579" t="s">
        <v>395</v>
      </c>
      <c r="BE1" s="569" t="s">
        <v>27</v>
      </c>
      <c r="BF1" s="631" t="s">
        <v>28</v>
      </c>
      <c r="BG1" s="634" t="s">
        <v>30</v>
      </c>
      <c r="BH1" s="93" t="s">
        <v>303</v>
      </c>
      <c r="BI1" s="608" t="s">
        <v>396</v>
      </c>
      <c r="BJ1" s="588" t="s">
        <v>283</v>
      </c>
      <c r="BK1" s="585" t="s">
        <v>36</v>
      </c>
    </row>
    <row r="2" spans="1:63" ht="15" customHeight="1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7"/>
      <c r="BE2" s="569"/>
      <c r="BF2" s="632"/>
      <c r="BG2" s="635"/>
      <c r="BH2" s="288">
        <f>menu!R1</f>
        <v>75</v>
      </c>
      <c r="BI2" s="609"/>
      <c r="BJ2" s="589"/>
      <c r="BK2" s="586"/>
    </row>
    <row r="3" spans="1:63" s="97" customFormat="1" ht="80.25" customHeight="1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580"/>
      <c r="BE3" s="569"/>
      <c r="BF3" s="633"/>
      <c r="BG3" s="636"/>
      <c r="BH3" s="114" t="s">
        <v>304</v>
      </c>
      <c r="BI3" s="610"/>
      <c r="BJ3" s="590"/>
      <c r="BK3" s="587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106" t="str">
        <f>'DATA SISWA'!E5</f>
        <v>VII-A</v>
      </c>
      <c r="F5" s="90"/>
      <c r="G5" s="90">
        <v>78</v>
      </c>
      <c r="H5" s="90"/>
      <c r="I5" s="90"/>
      <c r="J5" s="311">
        <f>IF(AND(F5="",G5="",H5="",I5=""),"",AVERAGE(F5:I5))</f>
        <v>78</v>
      </c>
      <c r="K5" s="90"/>
      <c r="L5" s="90"/>
      <c r="M5" s="90"/>
      <c r="N5" s="90"/>
      <c r="O5" s="311" t="str">
        <f>IF(AND(K5="",L5="",M5="",N5=""),"",AVERAGE(K5:N5))</f>
        <v/>
      </c>
      <c r="P5" s="90"/>
      <c r="Q5" s="90"/>
      <c r="R5" s="90"/>
      <c r="S5" s="90"/>
      <c r="T5" s="311" t="str">
        <f>IF(AND(P5="",Q5="",R5="",S5=""),"",AVERAGE(P5:S5))</f>
        <v/>
      </c>
      <c r="U5" s="90"/>
      <c r="V5" s="90"/>
      <c r="W5" s="90"/>
      <c r="X5" s="90"/>
      <c r="Y5" s="311" t="str">
        <f>IF(AND(U5="",V5="",W5="",X5=""),"",AVERAGE(U5:X5))</f>
        <v/>
      </c>
      <c r="Z5" s="90"/>
      <c r="AA5" s="90"/>
      <c r="AB5" s="90"/>
      <c r="AC5" s="90"/>
      <c r="AD5" s="311" t="str">
        <f>IF(AND(Z5="",AA5="",AB5="",AC5=""),"",AVERAGE(Z5:AC5))</f>
        <v/>
      </c>
      <c r="AE5" s="90"/>
      <c r="AF5" s="90"/>
      <c r="AG5" s="90"/>
      <c r="AH5" s="90"/>
      <c r="AI5" s="311" t="str">
        <f>IF(AND(AE5="",AF5="",AG5="",AH5=""),"",AVERAGE(AE5:AH5))</f>
        <v/>
      </c>
      <c r="AJ5" s="90"/>
      <c r="AK5" s="90"/>
      <c r="AL5" s="90"/>
      <c r="AM5" s="90"/>
      <c r="AN5" s="311" t="str">
        <f>IF(AND(AJ5="",AK5="",AL5="",AM5=""),"",AVERAGE(AJ5:AM5))</f>
        <v/>
      </c>
      <c r="AO5" s="90"/>
      <c r="AP5" s="90"/>
      <c r="AQ5" s="90"/>
      <c r="AR5" s="90"/>
      <c r="AS5" s="311" t="str">
        <f>IF(AND(AO5="",AP5="",AQ5="",AR5=""),"",AVERAGE(AO5:AR5))</f>
        <v/>
      </c>
      <c r="AT5" s="90"/>
      <c r="AU5" s="90"/>
      <c r="AV5" s="90"/>
      <c r="AW5" s="90"/>
      <c r="AX5" s="311" t="str">
        <f>IF(AND(AT5="",AU5="",AV5="",AW5=""),"",AVERAGE(AT5:AW5))</f>
        <v/>
      </c>
      <c r="AY5" s="90"/>
      <c r="AZ5" s="90"/>
      <c r="BA5" s="90"/>
      <c r="BB5" s="90"/>
      <c r="BC5" s="311" t="str">
        <f>IF(AND(AY5="",AZ5="",BA5="",BB5=""),"",AVERAGE(AY5:BB5))</f>
        <v/>
      </c>
      <c r="BD5" s="312">
        <f>IF(AND(J5="",O5=""),"",MAX(BC5,AX5,AS5,AN5,AI5,AD5,Y5,T5,O5,J5))</f>
        <v>78</v>
      </c>
      <c r="BE5" s="313">
        <f t="shared" ref="BE5:BE52" si="0">IF(AND(J5="",O5=""),"",AVERAGE(BC5,AX5,AS5,AN5,AI5,AD5,Y5,T5,O5,J5))</f>
        <v>78</v>
      </c>
      <c r="BF5" s="314">
        <f>IF(BE5="","",ROUND(BE5,0))</f>
        <v>78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menyelesaikan masalahyang berkaitandengan urutan beberapa bilanganbulat dan pecahan(biasa, campuran,desimal, persen)</v>
      </c>
      <c r="BK5" s="104" t="str">
        <f>IF(BF5="","",BI5&amp;" "&amp;BJ5)</f>
        <v>cukup terampil menyelesaikan masalahyang berkaitandengan urutan beberapa bilanganbulat dan pecahan(biasa, campuran,desimal, persen)</v>
      </c>
    </row>
    <row r="6" spans="1:63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106" t="str">
        <f>'DATA SISWA'!E6</f>
        <v>VII-A</v>
      </c>
      <c r="F6" s="90"/>
      <c r="G6" s="90"/>
      <c r="H6" s="90"/>
      <c r="I6" s="90"/>
      <c r="J6" s="311" t="str">
        <f t="shared" ref="J6:J52" si="1">IF(AND(F6="",G6="",H6="",I6=""),"",AVERAGE(F6:I6))</f>
        <v/>
      </c>
      <c r="K6" s="90"/>
      <c r="L6" s="90"/>
      <c r="M6" s="90"/>
      <c r="N6" s="90"/>
      <c r="O6" s="311" t="str">
        <f t="shared" ref="O6:O52" si="2">IF(AND(K6="",L6="",M6="",N6=""),"",AVERAGE(K6:N6))</f>
        <v/>
      </c>
      <c r="P6" s="90"/>
      <c r="Q6" s="90"/>
      <c r="R6" s="90"/>
      <c r="S6" s="90"/>
      <c r="T6" s="311" t="str">
        <f t="shared" ref="T6:T52" si="3">IF(AND(P6="",Q6="",R6="",S6=""),"",AVERAGE(P6:S6))</f>
        <v/>
      </c>
      <c r="U6" s="90"/>
      <c r="V6" s="90"/>
      <c r="W6" s="90"/>
      <c r="X6" s="90"/>
      <c r="Y6" s="311" t="str">
        <f t="shared" ref="Y6:Y52" si="4">IF(AND(U6="",V6="",W6="",X6=""),"",AVERAGE(U6:X6))</f>
        <v/>
      </c>
      <c r="Z6" s="90"/>
      <c r="AA6" s="90"/>
      <c r="AB6" s="90"/>
      <c r="AC6" s="90"/>
      <c r="AD6" s="311" t="str">
        <f t="shared" ref="AD6:AD52" si="5">IF(AND(Z6="",AA6="",AB6="",AC6=""),"",AVERAGE(Z6:AC6))</f>
        <v/>
      </c>
      <c r="AE6" s="90"/>
      <c r="AF6" s="90"/>
      <c r="AG6" s="90"/>
      <c r="AH6" s="90"/>
      <c r="AI6" s="311" t="str">
        <f t="shared" ref="AI6:AI52" si="6">IF(AND(AE6="",AF6="",AG6="",AH6=""),"",AVERAGE(AE6:AH6))</f>
        <v/>
      </c>
      <c r="AJ6" s="90"/>
      <c r="AK6" s="90"/>
      <c r="AL6" s="90"/>
      <c r="AM6" s="90"/>
      <c r="AN6" s="311" t="str">
        <f t="shared" ref="AN6:AN52" si="7">IF(AND(AJ6="",AK6="",AL6="",AM6=""),"",AVERAGE(AJ6:AM6))</f>
        <v/>
      </c>
      <c r="AO6" s="90"/>
      <c r="AP6" s="90"/>
      <c r="AQ6" s="90"/>
      <c r="AR6" s="90"/>
      <c r="AS6" s="311" t="str">
        <f t="shared" ref="AS6:AS52" si="8">IF(AND(AO6="",AP6="",AQ6="",AR6=""),"",AVERAGE(AO6:AR6))</f>
        <v/>
      </c>
      <c r="AT6" s="90"/>
      <c r="AU6" s="90"/>
      <c r="AV6" s="90"/>
      <c r="AW6" s="90"/>
      <c r="AX6" s="311" t="str">
        <f t="shared" ref="AX6:AX52" si="9">IF(AND(AT6="",AU6="",AV6="",AW6=""),"",AVERAGE(AT6:AW6))</f>
        <v/>
      </c>
      <c r="AY6" s="90"/>
      <c r="AZ6" s="90"/>
      <c r="BA6" s="90"/>
      <c r="BB6" s="90"/>
      <c r="BC6" s="311" t="str">
        <f t="shared" ref="BC6:BC52" si="10">IF(AND(AY6="",AZ6="",BA6="",BB6=""),"",AVERAGE(AY6:BB6))</f>
        <v/>
      </c>
      <c r="BD6" s="312" t="str">
        <f t="shared" ref="BD6:BD52" si="11">IF(AND(J6="",O6=""),"",MAX(BC6,AX6,AS6,AN6,AI6,AD6,Y6,T6,O6,J6))</f>
        <v/>
      </c>
      <c r="BE6" s="313" t="str">
        <f t="shared" si="0"/>
        <v/>
      </c>
      <c r="BF6" s="314" t="str">
        <f t="shared" ref="BF6:BF52" si="12">IF(BE6="","",ROUND(BE6,0))</f>
        <v/>
      </c>
      <c r="BG6" s="315" t="str">
        <f>IF(BF6="","",IF(BF6&gt;=menu!$O$6,"A",IF(BF6&gt;=menu!$O$7,"B",IF(BF6&gt;=menu!$O$8,"C","D"))))</f>
        <v/>
      </c>
      <c r="BH6" s="105" t="str">
        <f t="shared" ref="BH6:BH52" si="13">IF(BF6="","",IF(BF6&gt;=$BH$2,"TUNTAS","TIDAK"))</f>
        <v/>
      </c>
      <c r="BI6" s="106" t="str">
        <f>IF(BF6="","",IF(BF6&gt;=menu!$O$6,"sangat terampil",IF(BE6&gt;=menu!$O$7,"terampil",IF(BF6&gt;=menu!$O$8,"cukup terampil","kurang terampil"))))</f>
        <v/>
      </c>
      <c r="BJ6" s="115" t="str">
        <f>IF(BD6="","",VLOOKUP(BD6,DATAKET!$D$3:$E$12,2,FALSE))</f>
        <v/>
      </c>
      <c r="BK6" s="104" t="str">
        <f t="shared" ref="BK6:BK52" si="14">IF(BF6="","",BI6&amp;" "&amp;BJ6)</f>
        <v/>
      </c>
    </row>
    <row r="7" spans="1:63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106" t="str">
        <f>'DATA SISWA'!E7</f>
        <v>VII-A</v>
      </c>
      <c r="F7" s="90"/>
      <c r="G7" s="90"/>
      <c r="H7" s="90"/>
      <c r="I7" s="90"/>
      <c r="J7" s="311" t="str">
        <f t="shared" si="1"/>
        <v/>
      </c>
      <c r="K7" s="90"/>
      <c r="L7" s="90"/>
      <c r="M7" s="90"/>
      <c r="N7" s="90"/>
      <c r="O7" s="311" t="str">
        <f t="shared" si="2"/>
        <v/>
      </c>
      <c r="P7" s="90"/>
      <c r="Q7" s="90"/>
      <c r="R7" s="90"/>
      <c r="S7" s="90"/>
      <c r="T7" s="311" t="str">
        <f t="shared" si="3"/>
        <v/>
      </c>
      <c r="U7" s="90"/>
      <c r="V7" s="90"/>
      <c r="W7" s="90"/>
      <c r="X7" s="90"/>
      <c r="Y7" s="311" t="str">
        <f t="shared" si="4"/>
        <v/>
      </c>
      <c r="Z7" s="90"/>
      <c r="AA7" s="90"/>
      <c r="AB7" s="90"/>
      <c r="AC7" s="90"/>
      <c r="AD7" s="311" t="str">
        <f t="shared" si="5"/>
        <v/>
      </c>
      <c r="AE7" s="90"/>
      <c r="AF7" s="90"/>
      <c r="AG7" s="90"/>
      <c r="AH7" s="90"/>
      <c r="AI7" s="311" t="str">
        <f t="shared" si="6"/>
        <v/>
      </c>
      <c r="AJ7" s="90"/>
      <c r="AK7" s="90"/>
      <c r="AL7" s="90"/>
      <c r="AM7" s="90"/>
      <c r="AN7" s="311" t="str">
        <f t="shared" si="7"/>
        <v/>
      </c>
      <c r="AO7" s="90"/>
      <c r="AP7" s="90"/>
      <c r="AQ7" s="90"/>
      <c r="AR7" s="90"/>
      <c r="AS7" s="311" t="str">
        <f t="shared" si="8"/>
        <v/>
      </c>
      <c r="AT7" s="90"/>
      <c r="AU7" s="90"/>
      <c r="AV7" s="90"/>
      <c r="AW7" s="90"/>
      <c r="AX7" s="311" t="str">
        <f t="shared" si="9"/>
        <v/>
      </c>
      <c r="AY7" s="90"/>
      <c r="AZ7" s="90"/>
      <c r="BA7" s="90"/>
      <c r="BB7" s="90"/>
      <c r="BC7" s="311" t="str">
        <f t="shared" si="10"/>
        <v/>
      </c>
      <c r="BD7" s="312" t="str">
        <f t="shared" si="11"/>
        <v/>
      </c>
      <c r="BE7" s="313" t="str">
        <f t="shared" si="0"/>
        <v/>
      </c>
      <c r="BF7" s="314" t="str">
        <f t="shared" si="12"/>
        <v/>
      </c>
      <c r="BG7" s="315" t="str">
        <f>IF(BF7="","",IF(BF7&gt;=menu!$O$6,"A",IF(BF7&gt;=menu!$O$7,"B",IF(BF7&gt;=menu!$O$8,"C","D"))))</f>
        <v/>
      </c>
      <c r="BH7" s="105" t="str">
        <f t="shared" si="13"/>
        <v/>
      </c>
      <c r="BI7" s="106" t="str">
        <f>IF(BF7="","",IF(BF7&gt;=menu!$O$6,"sangat terampil",IF(BE7&gt;=menu!$O$7,"terampil",IF(BF7&gt;=menu!$O$8,"cukup terampil","kurang terampil"))))</f>
        <v/>
      </c>
      <c r="BJ7" s="115" t="str">
        <f>IF(BD7="","",VLOOKUP(BD7,DATAKET!$F$3:$G$12,2,FALSE))</f>
        <v/>
      </c>
      <c r="BK7" s="104" t="str">
        <f t="shared" si="14"/>
        <v/>
      </c>
    </row>
    <row r="8" spans="1:63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106" t="str">
        <f>'DATA SISWA'!E8</f>
        <v>VII-A</v>
      </c>
      <c r="F8" s="90"/>
      <c r="G8" s="90"/>
      <c r="H8" s="90"/>
      <c r="I8" s="90"/>
      <c r="J8" s="311" t="str">
        <f t="shared" si="1"/>
        <v/>
      </c>
      <c r="K8" s="90"/>
      <c r="L8" s="90"/>
      <c r="M8" s="90"/>
      <c r="N8" s="90"/>
      <c r="O8" s="311" t="str">
        <f t="shared" si="2"/>
        <v/>
      </c>
      <c r="P8" s="90"/>
      <c r="Q8" s="90"/>
      <c r="R8" s="90"/>
      <c r="S8" s="90"/>
      <c r="T8" s="311" t="str">
        <f t="shared" si="3"/>
        <v/>
      </c>
      <c r="U8" s="90"/>
      <c r="V8" s="90"/>
      <c r="W8" s="90"/>
      <c r="X8" s="90"/>
      <c r="Y8" s="311" t="str">
        <f t="shared" si="4"/>
        <v/>
      </c>
      <c r="Z8" s="90"/>
      <c r="AA8" s="90"/>
      <c r="AB8" s="90"/>
      <c r="AC8" s="90"/>
      <c r="AD8" s="311" t="str">
        <f t="shared" si="5"/>
        <v/>
      </c>
      <c r="AE8" s="90"/>
      <c r="AF8" s="90"/>
      <c r="AG8" s="90"/>
      <c r="AH8" s="90"/>
      <c r="AI8" s="311" t="str">
        <f t="shared" si="6"/>
        <v/>
      </c>
      <c r="AJ8" s="90"/>
      <c r="AK8" s="90"/>
      <c r="AL8" s="90"/>
      <c r="AM8" s="90"/>
      <c r="AN8" s="311" t="str">
        <f t="shared" si="7"/>
        <v/>
      </c>
      <c r="AO8" s="90"/>
      <c r="AP8" s="90"/>
      <c r="AQ8" s="90"/>
      <c r="AR8" s="90"/>
      <c r="AS8" s="311" t="str">
        <f t="shared" si="8"/>
        <v/>
      </c>
      <c r="AT8" s="90"/>
      <c r="AU8" s="90"/>
      <c r="AV8" s="90"/>
      <c r="AW8" s="90"/>
      <c r="AX8" s="311" t="str">
        <f t="shared" si="9"/>
        <v/>
      </c>
      <c r="AY8" s="90"/>
      <c r="AZ8" s="90"/>
      <c r="BA8" s="90"/>
      <c r="BB8" s="90"/>
      <c r="BC8" s="311" t="str">
        <f t="shared" si="10"/>
        <v/>
      </c>
      <c r="BD8" s="312" t="str">
        <f t="shared" si="11"/>
        <v/>
      </c>
      <c r="BE8" s="313" t="str">
        <f t="shared" si="0"/>
        <v/>
      </c>
      <c r="BF8" s="314" t="str">
        <f t="shared" si="12"/>
        <v/>
      </c>
      <c r="BG8" s="315" t="str">
        <f>IF(BF8="","",IF(BF8&gt;=menu!$O$6,"A",IF(BF8&gt;=menu!$O$7,"B",IF(BF8&gt;=menu!$O$8,"C","D"))))</f>
        <v/>
      </c>
      <c r="BH8" s="105" t="str">
        <f t="shared" si="13"/>
        <v/>
      </c>
      <c r="BI8" s="106" t="str">
        <f>IF(BF8="","",IF(BF8&gt;=menu!$O$6,"sangat terampil",IF(BE8&gt;=menu!$O$7,"terampil",IF(BF8&gt;=menu!$O$8,"cukup terampil","kurang terampil"))))</f>
        <v/>
      </c>
      <c r="BJ8" s="115" t="str">
        <f>IF(BD8="","",VLOOKUP(BD8,DATAKET!$H$3:$I$12,2,FALSE))</f>
        <v/>
      </c>
      <c r="BK8" s="104" t="str">
        <f t="shared" si="14"/>
        <v/>
      </c>
    </row>
    <row r="9" spans="1:63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106" t="str">
        <f>'DATA SISWA'!E9</f>
        <v>VII-A</v>
      </c>
      <c r="F9" s="90"/>
      <c r="G9" s="90"/>
      <c r="H9" s="90"/>
      <c r="I9" s="90"/>
      <c r="J9" s="311" t="str">
        <f t="shared" si="1"/>
        <v/>
      </c>
      <c r="K9" s="90"/>
      <c r="L9" s="90"/>
      <c r="M9" s="90"/>
      <c r="N9" s="90"/>
      <c r="O9" s="311" t="str">
        <f t="shared" si="2"/>
        <v/>
      </c>
      <c r="P9" s="90"/>
      <c r="Q9" s="90"/>
      <c r="R9" s="90"/>
      <c r="S9" s="90"/>
      <c r="T9" s="311" t="str">
        <f t="shared" si="3"/>
        <v/>
      </c>
      <c r="U9" s="90"/>
      <c r="V9" s="90"/>
      <c r="W9" s="90"/>
      <c r="X9" s="90"/>
      <c r="Y9" s="311" t="str">
        <f t="shared" si="4"/>
        <v/>
      </c>
      <c r="Z9" s="90"/>
      <c r="AA9" s="90"/>
      <c r="AB9" s="90"/>
      <c r="AC9" s="90"/>
      <c r="AD9" s="311" t="str">
        <f t="shared" si="5"/>
        <v/>
      </c>
      <c r="AE9" s="90"/>
      <c r="AF9" s="90"/>
      <c r="AG9" s="90"/>
      <c r="AH9" s="90"/>
      <c r="AI9" s="311" t="str">
        <f t="shared" si="6"/>
        <v/>
      </c>
      <c r="AJ9" s="90"/>
      <c r="AK9" s="90"/>
      <c r="AL9" s="90"/>
      <c r="AM9" s="90"/>
      <c r="AN9" s="311" t="str">
        <f t="shared" si="7"/>
        <v/>
      </c>
      <c r="AO9" s="90"/>
      <c r="AP9" s="90"/>
      <c r="AQ9" s="90"/>
      <c r="AR9" s="90"/>
      <c r="AS9" s="311" t="str">
        <f t="shared" si="8"/>
        <v/>
      </c>
      <c r="AT9" s="90"/>
      <c r="AU9" s="90"/>
      <c r="AV9" s="90"/>
      <c r="AW9" s="90"/>
      <c r="AX9" s="311" t="str">
        <f t="shared" si="9"/>
        <v/>
      </c>
      <c r="AY9" s="90"/>
      <c r="AZ9" s="90"/>
      <c r="BA9" s="90"/>
      <c r="BB9" s="90"/>
      <c r="BC9" s="311" t="str">
        <f t="shared" si="10"/>
        <v/>
      </c>
      <c r="BD9" s="312" t="str">
        <f t="shared" si="11"/>
        <v/>
      </c>
      <c r="BE9" s="313" t="str">
        <f t="shared" si="0"/>
        <v/>
      </c>
      <c r="BF9" s="314" t="str">
        <f t="shared" si="12"/>
        <v/>
      </c>
      <c r="BG9" s="315" t="str">
        <f>IF(BF9="","",IF(BF9&gt;=menu!$O$6,"A",IF(BF9&gt;=menu!$O$7,"B",IF(BF9&gt;=menu!$O$8,"C","D"))))</f>
        <v/>
      </c>
      <c r="BH9" s="105" t="str">
        <f t="shared" si="13"/>
        <v/>
      </c>
      <c r="BI9" s="106" t="str">
        <f>IF(BF9="","",IF(BF9&gt;=menu!$O$6,"sangat terampil",IF(BE9&gt;=menu!$O$7,"terampil",IF(BF9&gt;=menu!$O$8,"cukup terampil","kurang terampil"))))</f>
        <v/>
      </c>
      <c r="BJ9" s="115" t="str">
        <f>IF(BD9="","",VLOOKUP(BD9,DATAKET!$J$3:$K$12,2,FALSE))</f>
        <v/>
      </c>
      <c r="BK9" s="104" t="str">
        <f t="shared" si="14"/>
        <v/>
      </c>
    </row>
    <row r="10" spans="1:63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106" t="str">
        <f>'DATA SISWA'!E10</f>
        <v>VII-A</v>
      </c>
      <c r="F10" s="90"/>
      <c r="G10" s="90"/>
      <c r="H10" s="90"/>
      <c r="I10" s="90"/>
      <c r="J10" s="311" t="str">
        <f t="shared" si="1"/>
        <v/>
      </c>
      <c r="K10" s="90"/>
      <c r="L10" s="90"/>
      <c r="M10" s="90"/>
      <c r="N10" s="90"/>
      <c r="O10" s="311" t="str">
        <f t="shared" si="2"/>
        <v/>
      </c>
      <c r="P10" s="90"/>
      <c r="Q10" s="90"/>
      <c r="R10" s="90"/>
      <c r="S10" s="90"/>
      <c r="T10" s="311" t="str">
        <f t="shared" si="3"/>
        <v/>
      </c>
      <c r="U10" s="90"/>
      <c r="V10" s="90"/>
      <c r="W10" s="90"/>
      <c r="X10" s="90"/>
      <c r="Y10" s="311" t="str">
        <f t="shared" si="4"/>
        <v/>
      </c>
      <c r="Z10" s="90"/>
      <c r="AA10" s="90"/>
      <c r="AB10" s="90"/>
      <c r="AC10" s="90"/>
      <c r="AD10" s="311" t="str">
        <f t="shared" si="5"/>
        <v/>
      </c>
      <c r="AE10" s="90"/>
      <c r="AF10" s="90"/>
      <c r="AG10" s="90"/>
      <c r="AH10" s="90"/>
      <c r="AI10" s="311" t="str">
        <f t="shared" si="6"/>
        <v/>
      </c>
      <c r="AJ10" s="90"/>
      <c r="AK10" s="90"/>
      <c r="AL10" s="90"/>
      <c r="AM10" s="90"/>
      <c r="AN10" s="311" t="str">
        <f t="shared" si="7"/>
        <v/>
      </c>
      <c r="AO10" s="90"/>
      <c r="AP10" s="90"/>
      <c r="AQ10" s="90"/>
      <c r="AR10" s="90"/>
      <c r="AS10" s="311" t="str">
        <f t="shared" si="8"/>
        <v/>
      </c>
      <c r="AT10" s="90"/>
      <c r="AU10" s="90"/>
      <c r="AV10" s="90"/>
      <c r="AW10" s="90"/>
      <c r="AX10" s="311" t="str">
        <f t="shared" si="9"/>
        <v/>
      </c>
      <c r="AY10" s="90"/>
      <c r="AZ10" s="90"/>
      <c r="BA10" s="90"/>
      <c r="BB10" s="90"/>
      <c r="BC10" s="311" t="str">
        <f t="shared" si="10"/>
        <v/>
      </c>
      <c r="BD10" s="312" t="str">
        <f t="shared" si="11"/>
        <v/>
      </c>
      <c r="BE10" s="313" t="str">
        <f t="shared" si="0"/>
        <v/>
      </c>
      <c r="BF10" s="314" t="str">
        <f t="shared" si="12"/>
        <v/>
      </c>
      <c r="BG10" s="315" t="str">
        <f>IF(BF10="","",IF(BF10&gt;=menu!$O$6,"A",IF(BF10&gt;=menu!$O$7,"B",IF(BF10&gt;=menu!$O$8,"C","D"))))</f>
        <v/>
      </c>
      <c r="BH10" s="105" t="str">
        <f t="shared" si="13"/>
        <v/>
      </c>
      <c r="BI10" s="106" t="str">
        <f>IF(BF10="","",IF(BF10&gt;=menu!$O$6,"sangat terampil",IF(BE10&gt;=menu!$O$7,"terampil",IF(BF10&gt;=menu!$O$8,"cukup terampil","kurang terampil"))))</f>
        <v/>
      </c>
      <c r="BJ10" s="115" t="str">
        <f>IF(BD10="","",VLOOKUP(BD10,DATAKET!$L$3:$M$12,2,FALSE))</f>
        <v/>
      </c>
      <c r="BK10" s="104" t="str">
        <f t="shared" si="14"/>
        <v/>
      </c>
    </row>
    <row r="11" spans="1:63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106" t="str">
        <f>'DATA SISWA'!E11</f>
        <v>VII-A</v>
      </c>
      <c r="F11" s="90"/>
      <c r="G11" s="90"/>
      <c r="H11" s="90"/>
      <c r="I11" s="90"/>
      <c r="J11" s="311" t="str">
        <f t="shared" si="1"/>
        <v/>
      </c>
      <c r="K11" s="90"/>
      <c r="L11" s="90"/>
      <c r="M11" s="90"/>
      <c r="N11" s="90"/>
      <c r="O11" s="311" t="str">
        <f t="shared" si="2"/>
        <v/>
      </c>
      <c r="P11" s="90"/>
      <c r="Q11" s="90"/>
      <c r="R11" s="90"/>
      <c r="S11" s="90"/>
      <c r="T11" s="311" t="str">
        <f t="shared" si="3"/>
        <v/>
      </c>
      <c r="U11" s="90"/>
      <c r="V11" s="90"/>
      <c r="W11" s="90"/>
      <c r="X11" s="90"/>
      <c r="Y11" s="311" t="str">
        <f t="shared" si="4"/>
        <v/>
      </c>
      <c r="Z11" s="90"/>
      <c r="AA11" s="90"/>
      <c r="AB11" s="90"/>
      <c r="AC11" s="90"/>
      <c r="AD11" s="311" t="str">
        <f t="shared" si="5"/>
        <v/>
      </c>
      <c r="AE11" s="90"/>
      <c r="AF11" s="90"/>
      <c r="AG11" s="90"/>
      <c r="AH11" s="90"/>
      <c r="AI11" s="311" t="str">
        <f t="shared" si="6"/>
        <v/>
      </c>
      <c r="AJ11" s="90"/>
      <c r="AK11" s="90"/>
      <c r="AL11" s="90"/>
      <c r="AM11" s="90"/>
      <c r="AN11" s="311" t="str">
        <f t="shared" si="7"/>
        <v/>
      </c>
      <c r="AO11" s="90"/>
      <c r="AP11" s="90"/>
      <c r="AQ11" s="90"/>
      <c r="AR11" s="90"/>
      <c r="AS11" s="311" t="str">
        <f t="shared" si="8"/>
        <v/>
      </c>
      <c r="AT11" s="90"/>
      <c r="AU11" s="90"/>
      <c r="AV11" s="90"/>
      <c r="AW11" s="90"/>
      <c r="AX11" s="311" t="str">
        <f t="shared" si="9"/>
        <v/>
      </c>
      <c r="AY11" s="90"/>
      <c r="AZ11" s="90"/>
      <c r="BA11" s="90"/>
      <c r="BB11" s="90"/>
      <c r="BC11" s="311" t="str">
        <f t="shared" si="10"/>
        <v/>
      </c>
      <c r="BD11" s="312" t="str">
        <f t="shared" si="11"/>
        <v/>
      </c>
      <c r="BE11" s="313" t="str">
        <f t="shared" si="0"/>
        <v/>
      </c>
      <c r="BF11" s="314" t="str">
        <f t="shared" si="12"/>
        <v/>
      </c>
      <c r="BG11" s="315" t="str">
        <f>IF(BF11="","",IF(BF11&gt;=menu!$O$6,"A",IF(BF11&gt;=menu!$O$7,"B",IF(BF11&gt;=menu!$O$8,"C","D"))))</f>
        <v/>
      </c>
      <c r="BH11" s="105" t="str">
        <f t="shared" si="13"/>
        <v/>
      </c>
      <c r="BI11" s="106" t="str">
        <f>IF(BF11="","",IF(BF11&gt;=menu!$O$6,"sangat terampil",IF(BE11&gt;=menu!$O$7,"terampil",IF(BF11&gt;=menu!$O$8,"cukup terampil","kurang terampil"))))</f>
        <v/>
      </c>
      <c r="BJ11" s="115" t="str">
        <f>IF(BD11="","",VLOOKUP(BD11,DATAKET!$N$3:$O$12,2,FALSE))</f>
        <v/>
      </c>
      <c r="BK11" s="104" t="str">
        <f t="shared" si="14"/>
        <v/>
      </c>
    </row>
    <row r="12" spans="1:63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106" t="str">
        <f>'DATA SISWA'!E12</f>
        <v>VII-A</v>
      </c>
      <c r="F12" s="90"/>
      <c r="G12" s="90"/>
      <c r="H12" s="90"/>
      <c r="I12" s="90"/>
      <c r="J12" s="311" t="str">
        <f t="shared" si="1"/>
        <v/>
      </c>
      <c r="K12" s="90"/>
      <c r="L12" s="90"/>
      <c r="M12" s="90"/>
      <c r="N12" s="90"/>
      <c r="O12" s="311" t="str">
        <f t="shared" si="2"/>
        <v/>
      </c>
      <c r="P12" s="90"/>
      <c r="Q12" s="90"/>
      <c r="R12" s="90"/>
      <c r="S12" s="90"/>
      <c r="T12" s="311" t="str">
        <f t="shared" si="3"/>
        <v/>
      </c>
      <c r="U12" s="90"/>
      <c r="V12" s="90"/>
      <c r="W12" s="90"/>
      <c r="X12" s="90"/>
      <c r="Y12" s="311" t="str">
        <f t="shared" si="4"/>
        <v/>
      </c>
      <c r="Z12" s="90"/>
      <c r="AA12" s="90"/>
      <c r="AB12" s="90"/>
      <c r="AC12" s="90"/>
      <c r="AD12" s="311" t="str">
        <f t="shared" si="5"/>
        <v/>
      </c>
      <c r="AE12" s="90"/>
      <c r="AF12" s="90"/>
      <c r="AG12" s="90"/>
      <c r="AH12" s="90"/>
      <c r="AI12" s="311" t="str">
        <f t="shared" si="6"/>
        <v/>
      </c>
      <c r="AJ12" s="90"/>
      <c r="AK12" s="90"/>
      <c r="AL12" s="90"/>
      <c r="AM12" s="90"/>
      <c r="AN12" s="311" t="str">
        <f t="shared" si="7"/>
        <v/>
      </c>
      <c r="AO12" s="90"/>
      <c r="AP12" s="90"/>
      <c r="AQ12" s="90"/>
      <c r="AR12" s="90"/>
      <c r="AS12" s="311" t="str">
        <f t="shared" si="8"/>
        <v/>
      </c>
      <c r="AT12" s="90"/>
      <c r="AU12" s="90"/>
      <c r="AV12" s="90"/>
      <c r="AW12" s="90"/>
      <c r="AX12" s="311" t="str">
        <f t="shared" si="9"/>
        <v/>
      </c>
      <c r="AY12" s="90"/>
      <c r="AZ12" s="90"/>
      <c r="BA12" s="90"/>
      <c r="BB12" s="90"/>
      <c r="BC12" s="311" t="str">
        <f t="shared" si="10"/>
        <v/>
      </c>
      <c r="BD12" s="312" t="str">
        <f t="shared" si="11"/>
        <v/>
      </c>
      <c r="BE12" s="313" t="str">
        <f t="shared" si="0"/>
        <v/>
      </c>
      <c r="BF12" s="314" t="str">
        <f t="shared" si="12"/>
        <v/>
      </c>
      <c r="BG12" s="315" t="str">
        <f>IF(BF12="","",IF(BF12&gt;=menu!$O$6,"A",IF(BF12&gt;=menu!$O$7,"B",IF(BF12&gt;=menu!$O$8,"C","D"))))</f>
        <v/>
      </c>
      <c r="BH12" s="105" t="str">
        <f t="shared" si="13"/>
        <v/>
      </c>
      <c r="BI12" s="106" t="str">
        <f>IF(BF12="","",IF(BF12&gt;=menu!$O$6,"sangat terampil",IF(BE12&gt;=menu!$O$7,"terampil",IF(BF12&gt;=menu!$O$8,"cukup terampil","kurang terampil"))))</f>
        <v/>
      </c>
      <c r="BJ12" s="115" t="str">
        <f>IF(BD12="","",VLOOKUP(BD12,DATAKET!$P$3:$Q$12,2,FALSE))</f>
        <v/>
      </c>
      <c r="BK12" s="104" t="str">
        <f t="shared" si="14"/>
        <v/>
      </c>
    </row>
    <row r="13" spans="1:63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106" t="str">
        <f>'DATA SISWA'!E13</f>
        <v>VII-A</v>
      </c>
      <c r="F13" s="90"/>
      <c r="G13" s="90"/>
      <c r="H13" s="90"/>
      <c r="I13" s="90"/>
      <c r="J13" s="311" t="str">
        <f t="shared" si="1"/>
        <v/>
      </c>
      <c r="K13" s="90"/>
      <c r="L13" s="90"/>
      <c r="M13" s="90"/>
      <c r="N13" s="90"/>
      <c r="O13" s="311" t="str">
        <f t="shared" si="2"/>
        <v/>
      </c>
      <c r="P13" s="90"/>
      <c r="Q13" s="90"/>
      <c r="R13" s="90"/>
      <c r="S13" s="90"/>
      <c r="T13" s="311" t="str">
        <f t="shared" si="3"/>
        <v/>
      </c>
      <c r="U13" s="90"/>
      <c r="V13" s="90"/>
      <c r="W13" s="90"/>
      <c r="X13" s="90"/>
      <c r="Y13" s="311" t="str">
        <f t="shared" si="4"/>
        <v/>
      </c>
      <c r="Z13" s="90"/>
      <c r="AA13" s="90"/>
      <c r="AB13" s="90"/>
      <c r="AC13" s="90"/>
      <c r="AD13" s="311" t="str">
        <f t="shared" si="5"/>
        <v/>
      </c>
      <c r="AE13" s="90"/>
      <c r="AF13" s="90"/>
      <c r="AG13" s="90"/>
      <c r="AH13" s="90"/>
      <c r="AI13" s="311" t="str">
        <f t="shared" si="6"/>
        <v/>
      </c>
      <c r="AJ13" s="90"/>
      <c r="AK13" s="90"/>
      <c r="AL13" s="90"/>
      <c r="AM13" s="90"/>
      <c r="AN13" s="311" t="str">
        <f t="shared" si="7"/>
        <v/>
      </c>
      <c r="AO13" s="90"/>
      <c r="AP13" s="90"/>
      <c r="AQ13" s="90"/>
      <c r="AR13" s="90"/>
      <c r="AS13" s="311" t="str">
        <f t="shared" si="8"/>
        <v/>
      </c>
      <c r="AT13" s="90"/>
      <c r="AU13" s="90"/>
      <c r="AV13" s="90"/>
      <c r="AW13" s="90"/>
      <c r="AX13" s="311" t="str">
        <f t="shared" si="9"/>
        <v/>
      </c>
      <c r="AY13" s="90"/>
      <c r="AZ13" s="90"/>
      <c r="BA13" s="90"/>
      <c r="BB13" s="90"/>
      <c r="BC13" s="311" t="str">
        <f t="shared" si="10"/>
        <v/>
      </c>
      <c r="BD13" s="312" t="str">
        <f t="shared" si="11"/>
        <v/>
      </c>
      <c r="BE13" s="313" t="str">
        <f t="shared" si="0"/>
        <v/>
      </c>
      <c r="BF13" s="314" t="str">
        <f t="shared" si="12"/>
        <v/>
      </c>
      <c r="BG13" s="315" t="str">
        <f>IF(BF13="","",IF(BF13&gt;=menu!$O$6,"A",IF(BF13&gt;=menu!$O$7,"B",IF(BF13&gt;=menu!$O$8,"C","D"))))</f>
        <v/>
      </c>
      <c r="BH13" s="105" t="str">
        <f t="shared" si="13"/>
        <v/>
      </c>
      <c r="BI13" s="106" t="str">
        <f>IF(BF13="","",IF(BF13&gt;=menu!$O$6,"sangat terampil",IF(BE13&gt;=menu!$O$7,"terampil",IF(BF13&gt;=menu!$O$8,"cukup terampil","kurang terampil"))))</f>
        <v/>
      </c>
      <c r="BJ13" s="115" t="str">
        <f>IF(BD13="","",VLOOKUP(BD13,DATAKET!$R$3:$S$12,2,FALSE))</f>
        <v/>
      </c>
      <c r="BK13" s="104" t="str">
        <f t="shared" si="14"/>
        <v/>
      </c>
    </row>
    <row r="14" spans="1:63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106" t="str">
        <f>'DATA SISWA'!E14</f>
        <v>VII-A</v>
      </c>
      <c r="F14" s="90"/>
      <c r="G14" s="90"/>
      <c r="H14" s="90"/>
      <c r="I14" s="90"/>
      <c r="J14" s="311" t="str">
        <f t="shared" si="1"/>
        <v/>
      </c>
      <c r="K14" s="90"/>
      <c r="L14" s="90"/>
      <c r="M14" s="90"/>
      <c r="N14" s="90"/>
      <c r="O14" s="311" t="str">
        <f t="shared" si="2"/>
        <v/>
      </c>
      <c r="P14" s="90"/>
      <c r="Q14" s="90"/>
      <c r="R14" s="90"/>
      <c r="S14" s="90"/>
      <c r="T14" s="311" t="str">
        <f t="shared" si="3"/>
        <v/>
      </c>
      <c r="U14" s="90"/>
      <c r="V14" s="90"/>
      <c r="W14" s="90"/>
      <c r="X14" s="90"/>
      <c r="Y14" s="311" t="str">
        <f t="shared" si="4"/>
        <v/>
      </c>
      <c r="Z14" s="90"/>
      <c r="AA14" s="90"/>
      <c r="AB14" s="90"/>
      <c r="AC14" s="90"/>
      <c r="AD14" s="311" t="str">
        <f t="shared" si="5"/>
        <v/>
      </c>
      <c r="AE14" s="90"/>
      <c r="AF14" s="90"/>
      <c r="AG14" s="90"/>
      <c r="AH14" s="90"/>
      <c r="AI14" s="311" t="str">
        <f t="shared" si="6"/>
        <v/>
      </c>
      <c r="AJ14" s="90"/>
      <c r="AK14" s="90"/>
      <c r="AL14" s="90"/>
      <c r="AM14" s="90"/>
      <c r="AN14" s="311" t="str">
        <f t="shared" si="7"/>
        <v/>
      </c>
      <c r="AO14" s="90"/>
      <c r="AP14" s="90"/>
      <c r="AQ14" s="90"/>
      <c r="AR14" s="90"/>
      <c r="AS14" s="311" t="str">
        <f t="shared" si="8"/>
        <v/>
      </c>
      <c r="AT14" s="90"/>
      <c r="AU14" s="90"/>
      <c r="AV14" s="90"/>
      <c r="AW14" s="90"/>
      <c r="AX14" s="311" t="str">
        <f t="shared" si="9"/>
        <v/>
      </c>
      <c r="AY14" s="90"/>
      <c r="AZ14" s="90"/>
      <c r="BA14" s="90"/>
      <c r="BB14" s="90"/>
      <c r="BC14" s="311" t="str">
        <f t="shared" si="10"/>
        <v/>
      </c>
      <c r="BD14" s="312" t="str">
        <f t="shared" si="11"/>
        <v/>
      </c>
      <c r="BE14" s="313" t="str">
        <f t="shared" si="0"/>
        <v/>
      </c>
      <c r="BF14" s="314" t="str">
        <f t="shared" si="12"/>
        <v/>
      </c>
      <c r="BG14" s="315" t="str">
        <f>IF(BF14="","",IF(BF14&gt;=menu!$O$6,"A",IF(BF14&gt;=menu!$O$7,"B",IF(BF14&gt;=menu!$O$8,"C","D"))))</f>
        <v/>
      </c>
      <c r="BH14" s="105" t="str">
        <f t="shared" si="13"/>
        <v/>
      </c>
      <c r="BI14" s="106" t="str">
        <f>IF(BF14="","",IF(BF14&gt;=menu!$O$6,"sangat terampil",IF(BE14&gt;=menu!$O$7,"terampil",IF(BF14&gt;=menu!$O$8,"cukup terampil","kurang terampil"))))</f>
        <v/>
      </c>
      <c r="BJ14" s="115" t="str">
        <f>IF(BD14="","",VLOOKUP(BD14,DATAKET!$T$3:$U$12,2,FALSE))</f>
        <v/>
      </c>
      <c r="BK14" s="104" t="str">
        <f t="shared" si="14"/>
        <v/>
      </c>
    </row>
    <row r="15" spans="1:63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106" t="str">
        <f>'DATA SISWA'!E15</f>
        <v>VII-A</v>
      </c>
      <c r="F15" s="90"/>
      <c r="G15" s="90"/>
      <c r="H15" s="90"/>
      <c r="I15" s="90"/>
      <c r="J15" s="311" t="str">
        <f t="shared" si="1"/>
        <v/>
      </c>
      <c r="K15" s="90"/>
      <c r="L15" s="90"/>
      <c r="M15" s="90"/>
      <c r="N15" s="90"/>
      <c r="O15" s="311" t="str">
        <f t="shared" si="2"/>
        <v/>
      </c>
      <c r="P15" s="90"/>
      <c r="Q15" s="90"/>
      <c r="R15" s="90"/>
      <c r="S15" s="90"/>
      <c r="T15" s="311" t="str">
        <f t="shared" si="3"/>
        <v/>
      </c>
      <c r="U15" s="90"/>
      <c r="V15" s="90"/>
      <c r="W15" s="90"/>
      <c r="X15" s="90"/>
      <c r="Y15" s="311" t="str">
        <f t="shared" si="4"/>
        <v/>
      </c>
      <c r="Z15" s="90"/>
      <c r="AA15" s="90"/>
      <c r="AB15" s="90"/>
      <c r="AC15" s="90"/>
      <c r="AD15" s="311" t="str">
        <f t="shared" si="5"/>
        <v/>
      </c>
      <c r="AE15" s="90"/>
      <c r="AF15" s="90"/>
      <c r="AG15" s="90"/>
      <c r="AH15" s="90"/>
      <c r="AI15" s="311" t="str">
        <f t="shared" si="6"/>
        <v/>
      </c>
      <c r="AJ15" s="90"/>
      <c r="AK15" s="90"/>
      <c r="AL15" s="90"/>
      <c r="AM15" s="90"/>
      <c r="AN15" s="311" t="str">
        <f t="shared" si="7"/>
        <v/>
      </c>
      <c r="AO15" s="90"/>
      <c r="AP15" s="90"/>
      <c r="AQ15" s="90"/>
      <c r="AR15" s="90"/>
      <c r="AS15" s="311" t="str">
        <f t="shared" si="8"/>
        <v/>
      </c>
      <c r="AT15" s="90"/>
      <c r="AU15" s="90"/>
      <c r="AV15" s="90"/>
      <c r="AW15" s="90"/>
      <c r="AX15" s="311" t="str">
        <f t="shared" si="9"/>
        <v/>
      </c>
      <c r="AY15" s="90"/>
      <c r="AZ15" s="90"/>
      <c r="BA15" s="90"/>
      <c r="BB15" s="90"/>
      <c r="BC15" s="311" t="str">
        <f t="shared" si="10"/>
        <v/>
      </c>
      <c r="BD15" s="312" t="str">
        <f t="shared" si="11"/>
        <v/>
      </c>
      <c r="BE15" s="313" t="str">
        <f t="shared" si="0"/>
        <v/>
      </c>
      <c r="BF15" s="314" t="str">
        <f t="shared" si="12"/>
        <v/>
      </c>
      <c r="BG15" s="315" t="str">
        <f>IF(BF15="","",IF(BF15&gt;=menu!$O$6,"A",IF(BF15&gt;=menu!$O$7,"B",IF(BF15&gt;=menu!$O$8,"C","D"))))</f>
        <v/>
      </c>
      <c r="BH15" s="105" t="str">
        <f t="shared" si="13"/>
        <v/>
      </c>
      <c r="BI15" s="106" t="str">
        <f>IF(BF15="","",IF(BF15&gt;=menu!$O$6,"sangat terampil",IF(BE15&gt;=menu!$O$7,"terampil",IF(BF15&gt;=menu!$O$8,"cukup terampil","kurang terampil"))))</f>
        <v/>
      </c>
      <c r="BJ15" s="115" t="str">
        <f>IF(BD15="","",VLOOKUP(BD15,DATAKET!$V$3:$W$12,2,FALSE))</f>
        <v/>
      </c>
      <c r="BK15" s="104" t="str">
        <f t="shared" si="14"/>
        <v/>
      </c>
    </row>
    <row r="16" spans="1:63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106" t="str">
        <f>'DATA SISWA'!E16</f>
        <v>VII-A</v>
      </c>
      <c r="F16" s="90"/>
      <c r="G16" s="90"/>
      <c r="H16" s="90"/>
      <c r="I16" s="90"/>
      <c r="J16" s="311" t="str">
        <f t="shared" si="1"/>
        <v/>
      </c>
      <c r="K16" s="90"/>
      <c r="L16" s="90"/>
      <c r="M16" s="90"/>
      <c r="N16" s="90"/>
      <c r="O16" s="311" t="str">
        <f t="shared" si="2"/>
        <v/>
      </c>
      <c r="P16" s="90"/>
      <c r="Q16" s="90"/>
      <c r="R16" s="90"/>
      <c r="S16" s="90"/>
      <c r="T16" s="311" t="str">
        <f t="shared" si="3"/>
        <v/>
      </c>
      <c r="U16" s="90"/>
      <c r="V16" s="90"/>
      <c r="W16" s="90"/>
      <c r="X16" s="90"/>
      <c r="Y16" s="311" t="str">
        <f t="shared" si="4"/>
        <v/>
      </c>
      <c r="Z16" s="90"/>
      <c r="AA16" s="90"/>
      <c r="AB16" s="90"/>
      <c r="AC16" s="90"/>
      <c r="AD16" s="311" t="str">
        <f t="shared" si="5"/>
        <v/>
      </c>
      <c r="AE16" s="90"/>
      <c r="AF16" s="90"/>
      <c r="AG16" s="90"/>
      <c r="AH16" s="90"/>
      <c r="AI16" s="311" t="str">
        <f t="shared" si="6"/>
        <v/>
      </c>
      <c r="AJ16" s="90"/>
      <c r="AK16" s="90"/>
      <c r="AL16" s="90"/>
      <c r="AM16" s="90"/>
      <c r="AN16" s="311" t="str">
        <f t="shared" si="7"/>
        <v/>
      </c>
      <c r="AO16" s="90"/>
      <c r="AP16" s="90"/>
      <c r="AQ16" s="90"/>
      <c r="AR16" s="90"/>
      <c r="AS16" s="311" t="str">
        <f t="shared" si="8"/>
        <v/>
      </c>
      <c r="AT16" s="90"/>
      <c r="AU16" s="90"/>
      <c r="AV16" s="90"/>
      <c r="AW16" s="90"/>
      <c r="AX16" s="311" t="str">
        <f t="shared" si="9"/>
        <v/>
      </c>
      <c r="AY16" s="90"/>
      <c r="AZ16" s="90"/>
      <c r="BA16" s="90"/>
      <c r="BB16" s="90"/>
      <c r="BC16" s="311" t="str">
        <f t="shared" si="10"/>
        <v/>
      </c>
      <c r="BD16" s="312" t="str">
        <f t="shared" si="11"/>
        <v/>
      </c>
      <c r="BE16" s="313" t="str">
        <f t="shared" si="0"/>
        <v/>
      </c>
      <c r="BF16" s="314" t="str">
        <f t="shared" si="12"/>
        <v/>
      </c>
      <c r="BG16" s="315" t="str">
        <f>IF(BF16="","",IF(BF16&gt;=menu!$O$6,"A",IF(BF16&gt;=menu!$O$7,"B",IF(BF16&gt;=menu!$O$8,"C","D"))))</f>
        <v/>
      </c>
      <c r="BH16" s="105" t="str">
        <f t="shared" si="13"/>
        <v/>
      </c>
      <c r="BI16" s="106" t="str">
        <f>IF(BF16="","",IF(BF16&gt;=menu!$O$6,"sangat terampil",IF(BE16&gt;=menu!$O$7,"terampil",IF(BF16&gt;=menu!$O$8,"cukup terampil","kurang terampil"))))</f>
        <v/>
      </c>
      <c r="BJ16" s="115" t="str">
        <f>IF(BD16="","",VLOOKUP(BD16,DATAKET!$X$3:$Y$12,2,FALSE))</f>
        <v/>
      </c>
      <c r="BK16" s="104" t="str">
        <f t="shared" si="14"/>
        <v/>
      </c>
    </row>
    <row r="17" spans="1:63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106" t="str">
        <f>'DATA SISWA'!E17</f>
        <v>VII-A</v>
      </c>
      <c r="F17" s="90"/>
      <c r="G17" s="90"/>
      <c r="H17" s="90"/>
      <c r="I17" s="90"/>
      <c r="J17" s="311" t="str">
        <f t="shared" si="1"/>
        <v/>
      </c>
      <c r="K17" s="90"/>
      <c r="L17" s="90"/>
      <c r="M17" s="90"/>
      <c r="N17" s="90"/>
      <c r="O17" s="311" t="str">
        <f t="shared" si="2"/>
        <v/>
      </c>
      <c r="P17" s="90"/>
      <c r="Q17" s="90"/>
      <c r="R17" s="90"/>
      <c r="S17" s="90"/>
      <c r="T17" s="311" t="str">
        <f t="shared" si="3"/>
        <v/>
      </c>
      <c r="U17" s="90"/>
      <c r="V17" s="90"/>
      <c r="W17" s="90"/>
      <c r="X17" s="90"/>
      <c r="Y17" s="311" t="str">
        <f t="shared" si="4"/>
        <v/>
      </c>
      <c r="Z17" s="90"/>
      <c r="AA17" s="90"/>
      <c r="AB17" s="90"/>
      <c r="AC17" s="90"/>
      <c r="AD17" s="311" t="str">
        <f t="shared" si="5"/>
        <v/>
      </c>
      <c r="AE17" s="90"/>
      <c r="AF17" s="90"/>
      <c r="AG17" s="90"/>
      <c r="AH17" s="90"/>
      <c r="AI17" s="311" t="str">
        <f t="shared" si="6"/>
        <v/>
      </c>
      <c r="AJ17" s="90"/>
      <c r="AK17" s="90"/>
      <c r="AL17" s="90"/>
      <c r="AM17" s="90"/>
      <c r="AN17" s="311" t="str">
        <f t="shared" si="7"/>
        <v/>
      </c>
      <c r="AO17" s="90"/>
      <c r="AP17" s="90"/>
      <c r="AQ17" s="90"/>
      <c r="AR17" s="90"/>
      <c r="AS17" s="311" t="str">
        <f t="shared" si="8"/>
        <v/>
      </c>
      <c r="AT17" s="90"/>
      <c r="AU17" s="90"/>
      <c r="AV17" s="90"/>
      <c r="AW17" s="90"/>
      <c r="AX17" s="311" t="str">
        <f t="shared" si="9"/>
        <v/>
      </c>
      <c r="AY17" s="90"/>
      <c r="AZ17" s="90"/>
      <c r="BA17" s="90"/>
      <c r="BB17" s="90"/>
      <c r="BC17" s="311" t="str">
        <f t="shared" si="10"/>
        <v/>
      </c>
      <c r="BD17" s="312" t="str">
        <f t="shared" si="11"/>
        <v/>
      </c>
      <c r="BE17" s="313" t="str">
        <f t="shared" si="0"/>
        <v/>
      </c>
      <c r="BF17" s="314" t="str">
        <f t="shared" si="12"/>
        <v/>
      </c>
      <c r="BG17" s="315" t="str">
        <f>IF(BF17="","",IF(BF17&gt;=menu!$O$6,"A",IF(BF17&gt;=menu!$O$7,"B",IF(BF17&gt;=menu!$O$8,"C","D"))))</f>
        <v/>
      </c>
      <c r="BH17" s="105" t="str">
        <f t="shared" si="13"/>
        <v/>
      </c>
      <c r="BI17" s="106" t="str">
        <f>IF(BF17="","",IF(BF17&gt;=menu!$O$6,"sangat terampil",IF(BE17&gt;=menu!$O$7,"terampil",IF(BF17&gt;=menu!$O$8,"cukup terampil","kurang terampil"))))</f>
        <v/>
      </c>
      <c r="BJ17" s="115" t="str">
        <f>IF(BD17="","",VLOOKUP(BD17,DATAKET!$Z$3:$AA$12,2,FALSE))</f>
        <v/>
      </c>
      <c r="BK17" s="104" t="str">
        <f t="shared" si="14"/>
        <v/>
      </c>
    </row>
    <row r="18" spans="1:63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106" t="str">
        <f>'DATA SISWA'!E18</f>
        <v>VII-A</v>
      </c>
      <c r="F18" s="90"/>
      <c r="G18" s="90"/>
      <c r="H18" s="90"/>
      <c r="I18" s="90"/>
      <c r="J18" s="311" t="str">
        <f t="shared" si="1"/>
        <v/>
      </c>
      <c r="K18" s="90"/>
      <c r="L18" s="90"/>
      <c r="M18" s="90"/>
      <c r="N18" s="90"/>
      <c r="O18" s="311" t="str">
        <f t="shared" si="2"/>
        <v/>
      </c>
      <c r="P18" s="90"/>
      <c r="Q18" s="90"/>
      <c r="R18" s="90"/>
      <c r="S18" s="90"/>
      <c r="T18" s="311" t="str">
        <f t="shared" si="3"/>
        <v/>
      </c>
      <c r="U18" s="90"/>
      <c r="V18" s="90"/>
      <c r="W18" s="90"/>
      <c r="X18" s="90"/>
      <c r="Y18" s="311" t="str">
        <f t="shared" si="4"/>
        <v/>
      </c>
      <c r="Z18" s="90"/>
      <c r="AA18" s="90"/>
      <c r="AB18" s="90"/>
      <c r="AC18" s="90"/>
      <c r="AD18" s="311" t="str">
        <f t="shared" si="5"/>
        <v/>
      </c>
      <c r="AE18" s="90"/>
      <c r="AF18" s="90"/>
      <c r="AG18" s="90"/>
      <c r="AH18" s="90"/>
      <c r="AI18" s="311" t="str">
        <f t="shared" si="6"/>
        <v/>
      </c>
      <c r="AJ18" s="90"/>
      <c r="AK18" s="90"/>
      <c r="AL18" s="90"/>
      <c r="AM18" s="90"/>
      <c r="AN18" s="311" t="str">
        <f t="shared" si="7"/>
        <v/>
      </c>
      <c r="AO18" s="90"/>
      <c r="AP18" s="90"/>
      <c r="AQ18" s="90"/>
      <c r="AR18" s="90"/>
      <c r="AS18" s="311" t="str">
        <f t="shared" si="8"/>
        <v/>
      </c>
      <c r="AT18" s="90"/>
      <c r="AU18" s="90"/>
      <c r="AV18" s="90"/>
      <c r="AW18" s="90"/>
      <c r="AX18" s="311" t="str">
        <f t="shared" si="9"/>
        <v/>
      </c>
      <c r="AY18" s="90"/>
      <c r="AZ18" s="90"/>
      <c r="BA18" s="90"/>
      <c r="BB18" s="90"/>
      <c r="BC18" s="311" t="str">
        <f t="shared" si="10"/>
        <v/>
      </c>
      <c r="BD18" s="312" t="str">
        <f t="shared" si="11"/>
        <v/>
      </c>
      <c r="BE18" s="313" t="str">
        <f t="shared" si="0"/>
        <v/>
      </c>
      <c r="BF18" s="314" t="str">
        <f t="shared" si="12"/>
        <v/>
      </c>
      <c r="BG18" s="315" t="str">
        <f>IF(BF18="","",IF(BF18&gt;=menu!$O$6,"A",IF(BF18&gt;=menu!$O$7,"B",IF(BF18&gt;=menu!$O$8,"C","D"))))</f>
        <v/>
      </c>
      <c r="BH18" s="105" t="str">
        <f t="shared" si="13"/>
        <v/>
      </c>
      <c r="BI18" s="106" t="str">
        <f>IF(BF18="","",IF(BF18&gt;=menu!$O$6,"sangat terampil",IF(BE18&gt;=menu!$O$7,"terampil",IF(BF18&gt;=menu!$O$8,"cukup terampil","kurang terampil"))))</f>
        <v/>
      </c>
      <c r="BJ18" s="115" t="str">
        <f>IF(BD18="","",VLOOKUP(BD18,DATAKET!$AB$3:$AC$12,2,FALSE))</f>
        <v/>
      </c>
      <c r="BK18" s="104" t="str">
        <f t="shared" si="14"/>
        <v/>
      </c>
    </row>
    <row r="19" spans="1:63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106" t="str">
        <f>'DATA SISWA'!E19</f>
        <v>VII-A</v>
      </c>
      <c r="F19" s="90"/>
      <c r="G19" s="90"/>
      <c r="H19" s="90"/>
      <c r="I19" s="90"/>
      <c r="J19" s="311" t="str">
        <f t="shared" si="1"/>
        <v/>
      </c>
      <c r="K19" s="90"/>
      <c r="L19" s="90"/>
      <c r="M19" s="90"/>
      <c r="N19" s="90"/>
      <c r="O19" s="311" t="str">
        <f t="shared" si="2"/>
        <v/>
      </c>
      <c r="P19" s="90"/>
      <c r="Q19" s="90"/>
      <c r="R19" s="90"/>
      <c r="S19" s="90"/>
      <c r="T19" s="311" t="str">
        <f t="shared" si="3"/>
        <v/>
      </c>
      <c r="U19" s="90"/>
      <c r="V19" s="90"/>
      <c r="W19" s="90"/>
      <c r="X19" s="90"/>
      <c r="Y19" s="311" t="str">
        <f t="shared" si="4"/>
        <v/>
      </c>
      <c r="Z19" s="90"/>
      <c r="AA19" s="90"/>
      <c r="AB19" s="90"/>
      <c r="AC19" s="90"/>
      <c r="AD19" s="311" t="str">
        <f t="shared" si="5"/>
        <v/>
      </c>
      <c r="AE19" s="90"/>
      <c r="AF19" s="90"/>
      <c r="AG19" s="90"/>
      <c r="AH19" s="90"/>
      <c r="AI19" s="311" t="str">
        <f t="shared" si="6"/>
        <v/>
      </c>
      <c r="AJ19" s="90"/>
      <c r="AK19" s="90"/>
      <c r="AL19" s="90"/>
      <c r="AM19" s="90"/>
      <c r="AN19" s="311" t="str">
        <f t="shared" si="7"/>
        <v/>
      </c>
      <c r="AO19" s="90"/>
      <c r="AP19" s="90"/>
      <c r="AQ19" s="90"/>
      <c r="AR19" s="90"/>
      <c r="AS19" s="311" t="str">
        <f t="shared" si="8"/>
        <v/>
      </c>
      <c r="AT19" s="90"/>
      <c r="AU19" s="90"/>
      <c r="AV19" s="90"/>
      <c r="AW19" s="90"/>
      <c r="AX19" s="311" t="str">
        <f t="shared" si="9"/>
        <v/>
      </c>
      <c r="AY19" s="90"/>
      <c r="AZ19" s="90"/>
      <c r="BA19" s="90"/>
      <c r="BB19" s="90"/>
      <c r="BC19" s="311" t="str">
        <f t="shared" si="10"/>
        <v/>
      </c>
      <c r="BD19" s="312" t="str">
        <f t="shared" si="11"/>
        <v/>
      </c>
      <c r="BE19" s="313" t="str">
        <f t="shared" si="0"/>
        <v/>
      </c>
      <c r="BF19" s="314" t="str">
        <f t="shared" si="12"/>
        <v/>
      </c>
      <c r="BG19" s="315" t="str">
        <f>IF(BF19="","",IF(BF19&gt;=menu!$O$6,"A",IF(BF19&gt;=menu!$O$7,"B",IF(BF19&gt;=menu!$O$8,"C","D"))))</f>
        <v/>
      </c>
      <c r="BH19" s="105" t="str">
        <f t="shared" si="13"/>
        <v/>
      </c>
      <c r="BI19" s="106" t="str">
        <f>IF(BF19="","",IF(BF19&gt;=menu!$O$6,"sangat terampil",IF(BE19&gt;=menu!$O$7,"terampil",IF(BF19&gt;=menu!$O$8,"cukup terampil","kurang terampil"))))</f>
        <v/>
      </c>
      <c r="BJ19" s="115" t="str">
        <f>IF(BD19="","",VLOOKUP(BD19,DATAKET!$AD$3:$AE$12,2,FALSE))</f>
        <v/>
      </c>
      <c r="BK19" s="104" t="str">
        <f t="shared" si="14"/>
        <v/>
      </c>
    </row>
    <row r="20" spans="1:63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106" t="str">
        <f>'DATA SISWA'!E20</f>
        <v>VII-A</v>
      </c>
      <c r="F20" s="90"/>
      <c r="G20" s="90"/>
      <c r="H20" s="90"/>
      <c r="I20" s="90"/>
      <c r="J20" s="311" t="str">
        <f t="shared" si="1"/>
        <v/>
      </c>
      <c r="K20" s="90"/>
      <c r="L20" s="90"/>
      <c r="M20" s="90"/>
      <c r="N20" s="90"/>
      <c r="O20" s="311" t="str">
        <f t="shared" si="2"/>
        <v/>
      </c>
      <c r="P20" s="90"/>
      <c r="Q20" s="90"/>
      <c r="R20" s="90"/>
      <c r="S20" s="90"/>
      <c r="T20" s="311" t="str">
        <f t="shared" si="3"/>
        <v/>
      </c>
      <c r="U20" s="90"/>
      <c r="V20" s="90"/>
      <c r="W20" s="90"/>
      <c r="X20" s="90"/>
      <c r="Y20" s="311" t="str">
        <f t="shared" si="4"/>
        <v/>
      </c>
      <c r="Z20" s="90"/>
      <c r="AA20" s="90"/>
      <c r="AB20" s="90"/>
      <c r="AC20" s="90"/>
      <c r="AD20" s="311" t="str">
        <f t="shared" si="5"/>
        <v/>
      </c>
      <c r="AE20" s="90"/>
      <c r="AF20" s="90"/>
      <c r="AG20" s="90"/>
      <c r="AH20" s="90"/>
      <c r="AI20" s="311" t="str">
        <f t="shared" si="6"/>
        <v/>
      </c>
      <c r="AJ20" s="90"/>
      <c r="AK20" s="90"/>
      <c r="AL20" s="90"/>
      <c r="AM20" s="90"/>
      <c r="AN20" s="311" t="str">
        <f t="shared" si="7"/>
        <v/>
      </c>
      <c r="AO20" s="90"/>
      <c r="AP20" s="90"/>
      <c r="AQ20" s="90"/>
      <c r="AR20" s="90"/>
      <c r="AS20" s="311" t="str">
        <f t="shared" si="8"/>
        <v/>
      </c>
      <c r="AT20" s="90"/>
      <c r="AU20" s="90"/>
      <c r="AV20" s="90"/>
      <c r="AW20" s="90"/>
      <c r="AX20" s="311" t="str">
        <f t="shared" si="9"/>
        <v/>
      </c>
      <c r="AY20" s="90"/>
      <c r="AZ20" s="90"/>
      <c r="BA20" s="90"/>
      <c r="BB20" s="90"/>
      <c r="BC20" s="311" t="str">
        <f t="shared" si="10"/>
        <v/>
      </c>
      <c r="BD20" s="312" t="str">
        <f t="shared" si="11"/>
        <v/>
      </c>
      <c r="BE20" s="313" t="str">
        <f t="shared" si="0"/>
        <v/>
      </c>
      <c r="BF20" s="314" t="str">
        <f t="shared" si="12"/>
        <v/>
      </c>
      <c r="BG20" s="315" t="str">
        <f>IF(BF20="","",IF(BF20&gt;=menu!$O$6,"A",IF(BF20&gt;=menu!$O$7,"B",IF(BF20&gt;=menu!$O$8,"C","D"))))</f>
        <v/>
      </c>
      <c r="BH20" s="105" t="str">
        <f t="shared" si="13"/>
        <v/>
      </c>
      <c r="BI20" s="106" t="str">
        <f>IF(BF20="","",IF(BF20&gt;=menu!$O$6,"sangat terampil",IF(BE20&gt;=menu!$O$7,"terampil",IF(BF20&gt;=menu!$O$8,"cukup terampil","kurang terampil"))))</f>
        <v/>
      </c>
      <c r="BJ20" s="115" t="str">
        <f>IF(BD20="","",VLOOKUP(BD20,DATAKET!$AF$3:$AG$12,2,FALSE))</f>
        <v/>
      </c>
      <c r="BK20" s="104" t="str">
        <f t="shared" si="14"/>
        <v/>
      </c>
    </row>
    <row r="21" spans="1:63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106" t="str">
        <f>'DATA SISWA'!E21</f>
        <v>VII-A</v>
      </c>
      <c r="F21" s="90"/>
      <c r="G21" s="90"/>
      <c r="H21" s="90"/>
      <c r="I21" s="90"/>
      <c r="J21" s="311" t="str">
        <f t="shared" si="1"/>
        <v/>
      </c>
      <c r="K21" s="90"/>
      <c r="L21" s="90"/>
      <c r="M21" s="90"/>
      <c r="N21" s="90"/>
      <c r="O21" s="311" t="str">
        <f t="shared" si="2"/>
        <v/>
      </c>
      <c r="P21" s="90"/>
      <c r="Q21" s="90"/>
      <c r="R21" s="90"/>
      <c r="S21" s="90"/>
      <c r="T21" s="311" t="str">
        <f t="shared" si="3"/>
        <v/>
      </c>
      <c r="U21" s="90"/>
      <c r="V21" s="90"/>
      <c r="W21" s="90"/>
      <c r="X21" s="90"/>
      <c r="Y21" s="311" t="str">
        <f t="shared" si="4"/>
        <v/>
      </c>
      <c r="Z21" s="90"/>
      <c r="AA21" s="90"/>
      <c r="AB21" s="90"/>
      <c r="AC21" s="90"/>
      <c r="AD21" s="311" t="str">
        <f t="shared" si="5"/>
        <v/>
      </c>
      <c r="AE21" s="90"/>
      <c r="AF21" s="90"/>
      <c r="AG21" s="90"/>
      <c r="AH21" s="90"/>
      <c r="AI21" s="311" t="str">
        <f t="shared" si="6"/>
        <v/>
      </c>
      <c r="AJ21" s="90"/>
      <c r="AK21" s="90"/>
      <c r="AL21" s="90"/>
      <c r="AM21" s="90"/>
      <c r="AN21" s="311" t="str">
        <f t="shared" si="7"/>
        <v/>
      </c>
      <c r="AO21" s="90"/>
      <c r="AP21" s="90"/>
      <c r="AQ21" s="90"/>
      <c r="AR21" s="90"/>
      <c r="AS21" s="311" t="str">
        <f t="shared" si="8"/>
        <v/>
      </c>
      <c r="AT21" s="90"/>
      <c r="AU21" s="90"/>
      <c r="AV21" s="90"/>
      <c r="AW21" s="90"/>
      <c r="AX21" s="311" t="str">
        <f t="shared" si="9"/>
        <v/>
      </c>
      <c r="AY21" s="90"/>
      <c r="AZ21" s="90"/>
      <c r="BA21" s="90"/>
      <c r="BB21" s="90"/>
      <c r="BC21" s="311" t="str">
        <f t="shared" si="10"/>
        <v/>
      </c>
      <c r="BD21" s="312" t="str">
        <f t="shared" si="11"/>
        <v/>
      </c>
      <c r="BE21" s="313" t="str">
        <f t="shared" si="0"/>
        <v/>
      </c>
      <c r="BF21" s="314" t="str">
        <f t="shared" si="12"/>
        <v/>
      </c>
      <c r="BG21" s="315" t="str">
        <f>IF(BF21="","",IF(BF21&gt;=menu!$O$6,"A",IF(BF21&gt;=menu!$O$7,"B",IF(BF21&gt;=menu!$O$8,"C","D"))))</f>
        <v/>
      </c>
      <c r="BH21" s="105" t="str">
        <f t="shared" si="13"/>
        <v/>
      </c>
      <c r="BI21" s="106" t="str">
        <f>IF(BF21="","",IF(BF21&gt;=menu!$O$6,"sangat terampil",IF(BE21&gt;=menu!$O$7,"terampil",IF(BF21&gt;=menu!$O$8,"cukup terampil","kurang terampil"))))</f>
        <v/>
      </c>
      <c r="BJ21" s="115" t="str">
        <f>IF(BD21="","",VLOOKUP(BD21,DATAKET!$AH$3:$AI$12,2,FALSE))</f>
        <v/>
      </c>
      <c r="BK21" s="104" t="str">
        <f t="shared" si="14"/>
        <v/>
      </c>
    </row>
    <row r="22" spans="1:63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106" t="str">
        <f>'DATA SISWA'!E22</f>
        <v>VII-A</v>
      </c>
      <c r="F22" s="90"/>
      <c r="G22" s="90"/>
      <c r="H22" s="90"/>
      <c r="I22" s="90"/>
      <c r="J22" s="311" t="str">
        <f t="shared" si="1"/>
        <v/>
      </c>
      <c r="K22" s="90"/>
      <c r="L22" s="90"/>
      <c r="M22" s="90"/>
      <c r="N22" s="90"/>
      <c r="O22" s="311" t="str">
        <f t="shared" si="2"/>
        <v/>
      </c>
      <c r="P22" s="90"/>
      <c r="Q22" s="90"/>
      <c r="R22" s="90"/>
      <c r="S22" s="90"/>
      <c r="T22" s="311" t="str">
        <f t="shared" si="3"/>
        <v/>
      </c>
      <c r="U22" s="90"/>
      <c r="V22" s="90"/>
      <c r="W22" s="90"/>
      <c r="X22" s="90"/>
      <c r="Y22" s="311" t="str">
        <f t="shared" si="4"/>
        <v/>
      </c>
      <c r="Z22" s="90"/>
      <c r="AA22" s="90"/>
      <c r="AB22" s="90"/>
      <c r="AC22" s="90"/>
      <c r="AD22" s="311" t="str">
        <f t="shared" si="5"/>
        <v/>
      </c>
      <c r="AE22" s="90"/>
      <c r="AF22" s="90"/>
      <c r="AG22" s="90"/>
      <c r="AH22" s="90"/>
      <c r="AI22" s="311" t="str">
        <f t="shared" si="6"/>
        <v/>
      </c>
      <c r="AJ22" s="90"/>
      <c r="AK22" s="90"/>
      <c r="AL22" s="90"/>
      <c r="AM22" s="90"/>
      <c r="AN22" s="311" t="str">
        <f t="shared" si="7"/>
        <v/>
      </c>
      <c r="AO22" s="90"/>
      <c r="AP22" s="90"/>
      <c r="AQ22" s="90"/>
      <c r="AR22" s="90"/>
      <c r="AS22" s="311" t="str">
        <f t="shared" si="8"/>
        <v/>
      </c>
      <c r="AT22" s="90"/>
      <c r="AU22" s="90"/>
      <c r="AV22" s="90"/>
      <c r="AW22" s="90"/>
      <c r="AX22" s="311" t="str">
        <f t="shared" si="9"/>
        <v/>
      </c>
      <c r="AY22" s="90"/>
      <c r="AZ22" s="90"/>
      <c r="BA22" s="90"/>
      <c r="BB22" s="90"/>
      <c r="BC22" s="311" t="str">
        <f t="shared" si="10"/>
        <v/>
      </c>
      <c r="BD22" s="312" t="str">
        <f t="shared" si="11"/>
        <v/>
      </c>
      <c r="BE22" s="313" t="str">
        <f t="shared" si="0"/>
        <v/>
      </c>
      <c r="BF22" s="314" t="str">
        <f t="shared" si="12"/>
        <v/>
      </c>
      <c r="BG22" s="315" t="str">
        <f>IF(BF22="","",IF(BF22&gt;=menu!$O$6,"A",IF(BF22&gt;=menu!$O$7,"B",IF(BF22&gt;=menu!$O$8,"C","D"))))</f>
        <v/>
      </c>
      <c r="BH22" s="105" t="str">
        <f t="shared" si="13"/>
        <v/>
      </c>
      <c r="BI22" s="106" t="str">
        <f>IF(BF22="","",IF(BF22&gt;=menu!$O$6,"sangat terampil",IF(BE22&gt;=menu!$O$7,"terampil",IF(BF22&gt;=menu!$O$8,"cukup terampil","kurang terampil"))))</f>
        <v/>
      </c>
      <c r="BJ22" s="115" t="str">
        <f>IF(BD22="","",VLOOKUP(BD22,DATAKET!$AJ$3:$AK$12,2,FALSE))</f>
        <v/>
      </c>
      <c r="BK22" s="104" t="str">
        <f t="shared" si="14"/>
        <v/>
      </c>
    </row>
    <row r="23" spans="1:63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106" t="str">
        <f>'DATA SISWA'!E23</f>
        <v>VII-A</v>
      </c>
      <c r="F23" s="90"/>
      <c r="G23" s="90"/>
      <c r="H23" s="90"/>
      <c r="I23" s="90"/>
      <c r="J23" s="311" t="str">
        <f t="shared" si="1"/>
        <v/>
      </c>
      <c r="K23" s="90"/>
      <c r="L23" s="90"/>
      <c r="M23" s="90"/>
      <c r="N23" s="90"/>
      <c r="O23" s="311" t="str">
        <f t="shared" si="2"/>
        <v/>
      </c>
      <c r="P23" s="90"/>
      <c r="Q23" s="90"/>
      <c r="R23" s="90"/>
      <c r="S23" s="90"/>
      <c r="T23" s="311" t="str">
        <f t="shared" si="3"/>
        <v/>
      </c>
      <c r="U23" s="90"/>
      <c r="V23" s="90"/>
      <c r="W23" s="90"/>
      <c r="X23" s="90"/>
      <c r="Y23" s="311" t="str">
        <f t="shared" si="4"/>
        <v/>
      </c>
      <c r="Z23" s="90"/>
      <c r="AA23" s="90"/>
      <c r="AB23" s="90"/>
      <c r="AC23" s="90"/>
      <c r="AD23" s="311" t="str">
        <f t="shared" si="5"/>
        <v/>
      </c>
      <c r="AE23" s="90"/>
      <c r="AF23" s="90"/>
      <c r="AG23" s="90"/>
      <c r="AH23" s="90"/>
      <c r="AI23" s="311" t="str">
        <f t="shared" si="6"/>
        <v/>
      </c>
      <c r="AJ23" s="90"/>
      <c r="AK23" s="90"/>
      <c r="AL23" s="90"/>
      <c r="AM23" s="90"/>
      <c r="AN23" s="311" t="str">
        <f t="shared" si="7"/>
        <v/>
      </c>
      <c r="AO23" s="90"/>
      <c r="AP23" s="90"/>
      <c r="AQ23" s="90"/>
      <c r="AR23" s="90"/>
      <c r="AS23" s="311" t="str">
        <f t="shared" si="8"/>
        <v/>
      </c>
      <c r="AT23" s="90"/>
      <c r="AU23" s="90"/>
      <c r="AV23" s="90"/>
      <c r="AW23" s="90"/>
      <c r="AX23" s="311" t="str">
        <f t="shared" si="9"/>
        <v/>
      </c>
      <c r="AY23" s="90"/>
      <c r="AZ23" s="90"/>
      <c r="BA23" s="90"/>
      <c r="BB23" s="90"/>
      <c r="BC23" s="311" t="str">
        <f t="shared" si="10"/>
        <v/>
      </c>
      <c r="BD23" s="312" t="str">
        <f t="shared" si="11"/>
        <v/>
      </c>
      <c r="BE23" s="313" t="str">
        <f t="shared" si="0"/>
        <v/>
      </c>
      <c r="BF23" s="314" t="str">
        <f t="shared" si="12"/>
        <v/>
      </c>
      <c r="BG23" s="315" t="str">
        <f>IF(BF23="","",IF(BF23&gt;=menu!$O$6,"A",IF(BF23&gt;=menu!$O$7,"B",IF(BF23&gt;=menu!$O$8,"C","D"))))</f>
        <v/>
      </c>
      <c r="BH23" s="105" t="str">
        <f t="shared" si="13"/>
        <v/>
      </c>
      <c r="BI23" s="106" t="str">
        <f>IF(BF23="","",IF(BF23&gt;=menu!$O$6,"sangat terampil",IF(BE23&gt;=menu!$O$7,"terampil",IF(BF23&gt;=menu!$O$8,"cukup terampil","kurang terampil"))))</f>
        <v/>
      </c>
      <c r="BJ23" s="115" t="str">
        <f>IF(BD23="","",VLOOKUP(BD23,DATAKET!$AL$3:$AM$12,2,FALSE))</f>
        <v/>
      </c>
      <c r="BK23" s="104" t="str">
        <f t="shared" si="14"/>
        <v/>
      </c>
    </row>
    <row r="24" spans="1:63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106" t="str">
        <f>'DATA SISWA'!E24</f>
        <v>VII-A</v>
      </c>
      <c r="F24" s="90"/>
      <c r="G24" s="90"/>
      <c r="H24" s="90"/>
      <c r="I24" s="90"/>
      <c r="J24" s="311" t="str">
        <f t="shared" si="1"/>
        <v/>
      </c>
      <c r="K24" s="90"/>
      <c r="L24" s="90"/>
      <c r="M24" s="90"/>
      <c r="N24" s="90"/>
      <c r="O24" s="311" t="str">
        <f t="shared" si="2"/>
        <v/>
      </c>
      <c r="P24" s="90"/>
      <c r="Q24" s="90"/>
      <c r="R24" s="90"/>
      <c r="S24" s="90"/>
      <c r="T24" s="311" t="str">
        <f t="shared" si="3"/>
        <v/>
      </c>
      <c r="U24" s="90"/>
      <c r="V24" s="90"/>
      <c r="W24" s="90"/>
      <c r="X24" s="90"/>
      <c r="Y24" s="311" t="str">
        <f t="shared" si="4"/>
        <v/>
      </c>
      <c r="Z24" s="90"/>
      <c r="AA24" s="90"/>
      <c r="AB24" s="90"/>
      <c r="AC24" s="90"/>
      <c r="AD24" s="311" t="str">
        <f t="shared" si="5"/>
        <v/>
      </c>
      <c r="AE24" s="90"/>
      <c r="AF24" s="90"/>
      <c r="AG24" s="90"/>
      <c r="AH24" s="90"/>
      <c r="AI24" s="311" t="str">
        <f t="shared" si="6"/>
        <v/>
      </c>
      <c r="AJ24" s="90"/>
      <c r="AK24" s="90"/>
      <c r="AL24" s="90"/>
      <c r="AM24" s="90"/>
      <c r="AN24" s="311" t="str">
        <f t="shared" si="7"/>
        <v/>
      </c>
      <c r="AO24" s="90"/>
      <c r="AP24" s="90"/>
      <c r="AQ24" s="90"/>
      <c r="AR24" s="90"/>
      <c r="AS24" s="311" t="str">
        <f t="shared" si="8"/>
        <v/>
      </c>
      <c r="AT24" s="90"/>
      <c r="AU24" s="90"/>
      <c r="AV24" s="90"/>
      <c r="AW24" s="90"/>
      <c r="AX24" s="311" t="str">
        <f t="shared" si="9"/>
        <v/>
      </c>
      <c r="AY24" s="90"/>
      <c r="AZ24" s="90"/>
      <c r="BA24" s="90"/>
      <c r="BB24" s="90"/>
      <c r="BC24" s="311" t="str">
        <f t="shared" si="10"/>
        <v/>
      </c>
      <c r="BD24" s="312" t="str">
        <f t="shared" si="11"/>
        <v/>
      </c>
      <c r="BE24" s="313" t="str">
        <f t="shared" si="0"/>
        <v/>
      </c>
      <c r="BF24" s="314" t="str">
        <f t="shared" si="12"/>
        <v/>
      </c>
      <c r="BG24" s="315" t="str">
        <f>IF(BF24="","",IF(BF24&gt;=menu!$O$6,"A",IF(BF24&gt;=menu!$O$7,"B",IF(BF24&gt;=menu!$O$8,"C","D"))))</f>
        <v/>
      </c>
      <c r="BH24" s="105" t="str">
        <f t="shared" si="13"/>
        <v/>
      </c>
      <c r="BI24" s="106" t="str">
        <f>IF(BF24="","",IF(BF24&gt;=menu!$O$6,"sangat terampil",IF(BE24&gt;=menu!$O$7,"terampil",IF(BF24&gt;=menu!$O$8,"cukup terampil","kurang terampil"))))</f>
        <v/>
      </c>
      <c r="BJ24" s="115" t="str">
        <f>IF(BD24="","",VLOOKUP(BD24,DATAKET!$AN$3:$AO$12,2,FALSE))</f>
        <v/>
      </c>
      <c r="BK24" s="104" t="str">
        <f t="shared" si="14"/>
        <v/>
      </c>
    </row>
    <row r="25" spans="1:63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VII-A</v>
      </c>
      <c r="F25" s="90"/>
      <c r="G25" s="90"/>
      <c r="H25" s="90"/>
      <c r="I25" s="90"/>
      <c r="J25" s="311" t="str">
        <f t="shared" si="1"/>
        <v/>
      </c>
      <c r="K25" s="90"/>
      <c r="L25" s="90"/>
      <c r="M25" s="90"/>
      <c r="N25" s="90"/>
      <c r="O25" s="311" t="str">
        <f t="shared" si="2"/>
        <v/>
      </c>
      <c r="P25" s="90"/>
      <c r="Q25" s="90"/>
      <c r="R25" s="90"/>
      <c r="S25" s="90"/>
      <c r="T25" s="311" t="str">
        <f t="shared" si="3"/>
        <v/>
      </c>
      <c r="U25" s="90"/>
      <c r="V25" s="90"/>
      <c r="W25" s="90"/>
      <c r="X25" s="90"/>
      <c r="Y25" s="311" t="str">
        <f t="shared" si="4"/>
        <v/>
      </c>
      <c r="Z25" s="90"/>
      <c r="AA25" s="90"/>
      <c r="AB25" s="90"/>
      <c r="AC25" s="90"/>
      <c r="AD25" s="311" t="str">
        <f t="shared" si="5"/>
        <v/>
      </c>
      <c r="AE25" s="90"/>
      <c r="AF25" s="90"/>
      <c r="AG25" s="90"/>
      <c r="AH25" s="90"/>
      <c r="AI25" s="311" t="str">
        <f t="shared" si="6"/>
        <v/>
      </c>
      <c r="AJ25" s="90"/>
      <c r="AK25" s="90"/>
      <c r="AL25" s="90"/>
      <c r="AM25" s="90"/>
      <c r="AN25" s="311" t="str">
        <f t="shared" si="7"/>
        <v/>
      </c>
      <c r="AO25" s="90"/>
      <c r="AP25" s="90"/>
      <c r="AQ25" s="90"/>
      <c r="AR25" s="90"/>
      <c r="AS25" s="311" t="str">
        <f t="shared" si="8"/>
        <v/>
      </c>
      <c r="AT25" s="90"/>
      <c r="AU25" s="90"/>
      <c r="AV25" s="90"/>
      <c r="AW25" s="90"/>
      <c r="AX25" s="311" t="str">
        <f t="shared" si="9"/>
        <v/>
      </c>
      <c r="AY25" s="90"/>
      <c r="AZ25" s="90"/>
      <c r="BA25" s="90"/>
      <c r="BB25" s="90"/>
      <c r="BC25" s="311" t="str">
        <f t="shared" si="10"/>
        <v/>
      </c>
      <c r="BD25" s="312" t="str">
        <f t="shared" si="11"/>
        <v/>
      </c>
      <c r="BE25" s="313" t="str">
        <f t="shared" si="0"/>
        <v/>
      </c>
      <c r="BF25" s="314" t="str">
        <f t="shared" si="12"/>
        <v/>
      </c>
      <c r="BG25" s="315" t="str">
        <f>IF(BF25="","",IF(BF25&gt;=menu!$O$6,"A",IF(BF25&gt;=menu!$O$7,"B",IF(BF25&gt;=menu!$O$8,"C","D"))))</f>
        <v/>
      </c>
      <c r="BH25" s="105" t="str">
        <f t="shared" si="13"/>
        <v/>
      </c>
      <c r="BI25" s="106" t="str">
        <f>IF(BF25="","",IF(BF25&gt;=menu!$O$6,"sangat terampil",IF(BE25&gt;=menu!$O$7,"terampil",IF(BF25&gt;=menu!$O$8,"cukup terampil","kurang terampil"))))</f>
        <v/>
      </c>
      <c r="BJ25" s="115" t="str">
        <f>IF(BD25="","",VLOOKUP(BD25,DATAKET!$AP$3:$AQ$12,2,FALSE))</f>
        <v/>
      </c>
      <c r="BK25" s="104" t="str">
        <f t="shared" si="14"/>
        <v/>
      </c>
    </row>
    <row r="26" spans="1:63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VII-A</v>
      </c>
      <c r="F26" s="90"/>
      <c r="G26" s="90"/>
      <c r="H26" s="90"/>
      <c r="I26" s="90"/>
      <c r="J26" s="311" t="str">
        <f t="shared" si="1"/>
        <v/>
      </c>
      <c r="K26" s="90"/>
      <c r="L26" s="90"/>
      <c r="M26" s="90"/>
      <c r="N26" s="90"/>
      <c r="O26" s="311" t="str">
        <f t="shared" si="2"/>
        <v/>
      </c>
      <c r="P26" s="90"/>
      <c r="Q26" s="90"/>
      <c r="R26" s="90"/>
      <c r="S26" s="90"/>
      <c r="T26" s="311" t="str">
        <f t="shared" si="3"/>
        <v/>
      </c>
      <c r="U26" s="90"/>
      <c r="V26" s="90"/>
      <c r="W26" s="90"/>
      <c r="X26" s="90"/>
      <c r="Y26" s="311" t="str">
        <f t="shared" si="4"/>
        <v/>
      </c>
      <c r="Z26" s="90"/>
      <c r="AA26" s="90"/>
      <c r="AB26" s="90"/>
      <c r="AC26" s="90"/>
      <c r="AD26" s="311" t="str">
        <f t="shared" si="5"/>
        <v/>
      </c>
      <c r="AE26" s="90"/>
      <c r="AF26" s="90"/>
      <c r="AG26" s="90"/>
      <c r="AH26" s="90"/>
      <c r="AI26" s="311" t="str">
        <f t="shared" si="6"/>
        <v/>
      </c>
      <c r="AJ26" s="90"/>
      <c r="AK26" s="90"/>
      <c r="AL26" s="90"/>
      <c r="AM26" s="90"/>
      <c r="AN26" s="311" t="str">
        <f t="shared" si="7"/>
        <v/>
      </c>
      <c r="AO26" s="90"/>
      <c r="AP26" s="90"/>
      <c r="AQ26" s="90"/>
      <c r="AR26" s="90"/>
      <c r="AS26" s="311" t="str">
        <f t="shared" si="8"/>
        <v/>
      </c>
      <c r="AT26" s="90"/>
      <c r="AU26" s="90"/>
      <c r="AV26" s="90"/>
      <c r="AW26" s="90"/>
      <c r="AX26" s="311" t="str">
        <f t="shared" si="9"/>
        <v/>
      </c>
      <c r="AY26" s="90"/>
      <c r="AZ26" s="90"/>
      <c r="BA26" s="90"/>
      <c r="BB26" s="90"/>
      <c r="BC26" s="311" t="str">
        <f t="shared" si="10"/>
        <v/>
      </c>
      <c r="BD26" s="312" t="str">
        <f t="shared" si="11"/>
        <v/>
      </c>
      <c r="BE26" s="313" t="str">
        <f t="shared" si="0"/>
        <v/>
      </c>
      <c r="BF26" s="314" t="str">
        <f t="shared" si="12"/>
        <v/>
      </c>
      <c r="BG26" s="315" t="str">
        <f>IF(BF26="","",IF(BF26&gt;=menu!$O$6,"A",IF(BF26&gt;=menu!$O$7,"B",IF(BF26&gt;=menu!$O$8,"C","D"))))</f>
        <v/>
      </c>
      <c r="BH26" s="105" t="str">
        <f t="shared" si="13"/>
        <v/>
      </c>
      <c r="BI26" s="106" t="str">
        <f>IF(BF26="","",IF(BF26&gt;=menu!$O$6,"sangat terampil",IF(BE26&gt;=menu!$O$7,"terampil",IF(BF26&gt;=menu!$O$8,"cukup terampil","kurang terampil"))))</f>
        <v/>
      </c>
      <c r="BJ26" s="115" t="str">
        <f>IF(BD26="","",VLOOKUP(BD26,DATAKET!$AR$3:$AS$12,2,FALSE))</f>
        <v/>
      </c>
      <c r="BK26" s="104" t="str">
        <f t="shared" si="14"/>
        <v/>
      </c>
    </row>
    <row r="27" spans="1:63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VII-A</v>
      </c>
      <c r="F27" s="90"/>
      <c r="G27" s="90"/>
      <c r="H27" s="90"/>
      <c r="I27" s="90"/>
      <c r="J27" s="311" t="str">
        <f t="shared" si="1"/>
        <v/>
      </c>
      <c r="K27" s="90"/>
      <c r="L27" s="90"/>
      <c r="M27" s="90"/>
      <c r="N27" s="90"/>
      <c r="O27" s="311" t="str">
        <f t="shared" si="2"/>
        <v/>
      </c>
      <c r="P27" s="90"/>
      <c r="Q27" s="90"/>
      <c r="R27" s="90"/>
      <c r="S27" s="90"/>
      <c r="T27" s="311" t="str">
        <f t="shared" si="3"/>
        <v/>
      </c>
      <c r="U27" s="90"/>
      <c r="V27" s="90"/>
      <c r="W27" s="90"/>
      <c r="X27" s="90"/>
      <c r="Y27" s="311" t="str">
        <f t="shared" si="4"/>
        <v/>
      </c>
      <c r="Z27" s="90"/>
      <c r="AA27" s="90"/>
      <c r="AB27" s="90"/>
      <c r="AC27" s="90"/>
      <c r="AD27" s="311" t="str">
        <f t="shared" si="5"/>
        <v/>
      </c>
      <c r="AE27" s="90"/>
      <c r="AF27" s="90"/>
      <c r="AG27" s="90"/>
      <c r="AH27" s="90"/>
      <c r="AI27" s="311" t="str">
        <f t="shared" si="6"/>
        <v/>
      </c>
      <c r="AJ27" s="90"/>
      <c r="AK27" s="90"/>
      <c r="AL27" s="90"/>
      <c r="AM27" s="90"/>
      <c r="AN27" s="311" t="str">
        <f t="shared" si="7"/>
        <v/>
      </c>
      <c r="AO27" s="90"/>
      <c r="AP27" s="90"/>
      <c r="AQ27" s="90"/>
      <c r="AR27" s="90"/>
      <c r="AS27" s="311" t="str">
        <f t="shared" si="8"/>
        <v/>
      </c>
      <c r="AT27" s="90"/>
      <c r="AU27" s="90"/>
      <c r="AV27" s="90"/>
      <c r="AW27" s="90"/>
      <c r="AX27" s="311" t="str">
        <f t="shared" si="9"/>
        <v/>
      </c>
      <c r="AY27" s="90"/>
      <c r="AZ27" s="90"/>
      <c r="BA27" s="90"/>
      <c r="BB27" s="90"/>
      <c r="BC27" s="311" t="str">
        <f t="shared" si="10"/>
        <v/>
      </c>
      <c r="BD27" s="312" t="str">
        <f t="shared" si="11"/>
        <v/>
      </c>
      <c r="BE27" s="313" t="str">
        <f t="shared" si="0"/>
        <v/>
      </c>
      <c r="BF27" s="314" t="str">
        <f t="shared" si="12"/>
        <v/>
      </c>
      <c r="BG27" s="315" t="str">
        <f>IF(BF27="","",IF(BF27&gt;=menu!$O$6,"A",IF(BF27&gt;=menu!$O$7,"B",IF(BF27&gt;=menu!$O$8,"C","D"))))</f>
        <v/>
      </c>
      <c r="BH27" s="105" t="str">
        <f t="shared" si="13"/>
        <v/>
      </c>
      <c r="BI27" s="106" t="str">
        <f>IF(BF27="","",IF(BF27&gt;=menu!$O$6,"sangat terampil",IF(BE27&gt;=menu!$O$7,"terampil",IF(BF27&gt;=menu!$O$8,"cukup terampil","kurang terampil"))))</f>
        <v/>
      </c>
      <c r="BJ27" s="115" t="str">
        <f>IF(BD27="","",VLOOKUP(BD27,DATAKET!$AT$3:$AU$12,2,FALSE))</f>
        <v/>
      </c>
      <c r="BK27" s="104" t="str">
        <f t="shared" si="14"/>
        <v/>
      </c>
    </row>
    <row r="28" spans="1:63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VII-A</v>
      </c>
      <c r="F28" s="90"/>
      <c r="G28" s="90"/>
      <c r="H28" s="90"/>
      <c r="I28" s="90"/>
      <c r="J28" s="311" t="str">
        <f t="shared" si="1"/>
        <v/>
      </c>
      <c r="K28" s="90"/>
      <c r="L28" s="90"/>
      <c r="M28" s="90"/>
      <c r="N28" s="90"/>
      <c r="O28" s="311" t="str">
        <f t="shared" si="2"/>
        <v/>
      </c>
      <c r="P28" s="90"/>
      <c r="Q28" s="90"/>
      <c r="R28" s="90"/>
      <c r="S28" s="90"/>
      <c r="T28" s="311" t="str">
        <f t="shared" si="3"/>
        <v/>
      </c>
      <c r="U28" s="90"/>
      <c r="V28" s="90"/>
      <c r="W28" s="90"/>
      <c r="X28" s="90"/>
      <c r="Y28" s="311" t="str">
        <f t="shared" si="4"/>
        <v/>
      </c>
      <c r="Z28" s="90"/>
      <c r="AA28" s="90"/>
      <c r="AB28" s="90"/>
      <c r="AC28" s="90"/>
      <c r="AD28" s="311" t="str">
        <f t="shared" si="5"/>
        <v/>
      </c>
      <c r="AE28" s="90"/>
      <c r="AF28" s="90"/>
      <c r="AG28" s="90"/>
      <c r="AH28" s="90"/>
      <c r="AI28" s="311" t="str">
        <f t="shared" si="6"/>
        <v/>
      </c>
      <c r="AJ28" s="90"/>
      <c r="AK28" s="90"/>
      <c r="AL28" s="90"/>
      <c r="AM28" s="90"/>
      <c r="AN28" s="311" t="str">
        <f t="shared" si="7"/>
        <v/>
      </c>
      <c r="AO28" s="90"/>
      <c r="AP28" s="90"/>
      <c r="AQ28" s="90"/>
      <c r="AR28" s="90"/>
      <c r="AS28" s="311" t="str">
        <f t="shared" si="8"/>
        <v/>
      </c>
      <c r="AT28" s="90"/>
      <c r="AU28" s="90"/>
      <c r="AV28" s="90"/>
      <c r="AW28" s="90"/>
      <c r="AX28" s="311" t="str">
        <f t="shared" si="9"/>
        <v/>
      </c>
      <c r="AY28" s="90"/>
      <c r="AZ28" s="90"/>
      <c r="BA28" s="90"/>
      <c r="BB28" s="90"/>
      <c r="BC28" s="311" t="str">
        <f t="shared" si="10"/>
        <v/>
      </c>
      <c r="BD28" s="312" t="str">
        <f t="shared" si="11"/>
        <v/>
      </c>
      <c r="BE28" s="313" t="str">
        <f t="shared" si="0"/>
        <v/>
      </c>
      <c r="BF28" s="314" t="str">
        <f t="shared" si="12"/>
        <v/>
      </c>
      <c r="BG28" s="315" t="str">
        <f>IF(BF28="","",IF(BF28&gt;=menu!$O$6,"A",IF(BF28&gt;=menu!$O$7,"B",IF(BF28&gt;=menu!$O$8,"C","D"))))</f>
        <v/>
      </c>
      <c r="BH28" s="105" t="str">
        <f t="shared" si="13"/>
        <v/>
      </c>
      <c r="BI28" s="106" t="str">
        <f>IF(BF28="","",IF(BF28&gt;=menu!$O$6,"sangat terampil",IF(BE28&gt;=menu!$O$7,"terampil",IF(BF28&gt;=menu!$O$8,"cukup terampil","kurang terampil"))))</f>
        <v/>
      </c>
      <c r="BJ28" s="115" t="str">
        <f>IF(BD28="","",VLOOKUP(BD28,DATAKET!$AV$3:$AW$12,2,FALSE))</f>
        <v/>
      </c>
      <c r="BK28" s="104" t="str">
        <f t="shared" si="14"/>
        <v/>
      </c>
    </row>
    <row r="29" spans="1:63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VII-A</v>
      </c>
      <c r="F29" s="90"/>
      <c r="G29" s="90"/>
      <c r="H29" s="90"/>
      <c r="I29" s="90"/>
      <c r="J29" s="311" t="str">
        <f t="shared" si="1"/>
        <v/>
      </c>
      <c r="K29" s="90"/>
      <c r="L29" s="90"/>
      <c r="M29" s="90"/>
      <c r="N29" s="90"/>
      <c r="O29" s="311" t="str">
        <f t="shared" si="2"/>
        <v/>
      </c>
      <c r="P29" s="90"/>
      <c r="Q29" s="90"/>
      <c r="R29" s="90"/>
      <c r="S29" s="90"/>
      <c r="T29" s="311" t="str">
        <f t="shared" si="3"/>
        <v/>
      </c>
      <c r="U29" s="90"/>
      <c r="V29" s="90"/>
      <c r="W29" s="90"/>
      <c r="X29" s="90"/>
      <c r="Y29" s="311" t="str">
        <f t="shared" si="4"/>
        <v/>
      </c>
      <c r="Z29" s="90"/>
      <c r="AA29" s="90"/>
      <c r="AB29" s="90"/>
      <c r="AC29" s="90"/>
      <c r="AD29" s="311" t="str">
        <f t="shared" si="5"/>
        <v/>
      </c>
      <c r="AE29" s="90"/>
      <c r="AF29" s="90"/>
      <c r="AG29" s="90"/>
      <c r="AH29" s="90"/>
      <c r="AI29" s="311" t="str">
        <f t="shared" si="6"/>
        <v/>
      </c>
      <c r="AJ29" s="90"/>
      <c r="AK29" s="90"/>
      <c r="AL29" s="90"/>
      <c r="AM29" s="90"/>
      <c r="AN29" s="311" t="str">
        <f t="shared" si="7"/>
        <v/>
      </c>
      <c r="AO29" s="90"/>
      <c r="AP29" s="90"/>
      <c r="AQ29" s="90"/>
      <c r="AR29" s="90"/>
      <c r="AS29" s="311" t="str">
        <f t="shared" si="8"/>
        <v/>
      </c>
      <c r="AT29" s="90"/>
      <c r="AU29" s="90"/>
      <c r="AV29" s="90"/>
      <c r="AW29" s="90"/>
      <c r="AX29" s="311" t="str">
        <f t="shared" si="9"/>
        <v/>
      </c>
      <c r="AY29" s="90"/>
      <c r="AZ29" s="90"/>
      <c r="BA29" s="90"/>
      <c r="BB29" s="90"/>
      <c r="BC29" s="311" t="str">
        <f t="shared" si="10"/>
        <v/>
      </c>
      <c r="BD29" s="312" t="str">
        <f t="shared" si="11"/>
        <v/>
      </c>
      <c r="BE29" s="313" t="str">
        <f t="shared" si="0"/>
        <v/>
      </c>
      <c r="BF29" s="314" t="str">
        <f t="shared" si="12"/>
        <v/>
      </c>
      <c r="BG29" s="315" t="str">
        <f>IF(BF29="","",IF(BF29&gt;=menu!$O$6,"A",IF(BF29&gt;=menu!$O$7,"B",IF(BF29&gt;=menu!$O$8,"C","D"))))</f>
        <v/>
      </c>
      <c r="BH29" s="105" t="str">
        <f t="shared" si="13"/>
        <v/>
      </c>
      <c r="BI29" s="106" t="str">
        <f>IF(BF29="","",IF(BF29&gt;=menu!$O$6,"sangat terampil",IF(BE29&gt;=menu!$O$7,"terampil",IF(BF29&gt;=menu!$O$8,"cukup terampil","kurang terampil"))))</f>
        <v/>
      </c>
      <c r="BJ29" s="115" t="str">
        <f>IF(BD29="","",VLOOKUP(BD29,DATAKET!$AX$3:$AY$12,2,FALSE))</f>
        <v/>
      </c>
      <c r="BK29" s="104" t="str">
        <f t="shared" si="14"/>
        <v/>
      </c>
    </row>
    <row r="30" spans="1:63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VII-A</v>
      </c>
      <c r="F30" s="90"/>
      <c r="G30" s="90"/>
      <c r="H30" s="90"/>
      <c r="I30" s="90"/>
      <c r="J30" s="311" t="str">
        <f t="shared" si="1"/>
        <v/>
      </c>
      <c r="K30" s="90"/>
      <c r="L30" s="90"/>
      <c r="M30" s="90"/>
      <c r="N30" s="90"/>
      <c r="O30" s="311" t="str">
        <f t="shared" si="2"/>
        <v/>
      </c>
      <c r="P30" s="90"/>
      <c r="Q30" s="90"/>
      <c r="R30" s="90"/>
      <c r="S30" s="90"/>
      <c r="T30" s="311" t="str">
        <f t="shared" si="3"/>
        <v/>
      </c>
      <c r="U30" s="90"/>
      <c r="V30" s="90"/>
      <c r="W30" s="90"/>
      <c r="X30" s="90"/>
      <c r="Y30" s="311" t="str">
        <f t="shared" si="4"/>
        <v/>
      </c>
      <c r="Z30" s="90"/>
      <c r="AA30" s="90"/>
      <c r="AB30" s="90"/>
      <c r="AC30" s="90"/>
      <c r="AD30" s="311" t="str">
        <f t="shared" si="5"/>
        <v/>
      </c>
      <c r="AE30" s="90"/>
      <c r="AF30" s="90"/>
      <c r="AG30" s="90"/>
      <c r="AH30" s="90"/>
      <c r="AI30" s="311" t="str">
        <f t="shared" si="6"/>
        <v/>
      </c>
      <c r="AJ30" s="90"/>
      <c r="AK30" s="90"/>
      <c r="AL30" s="90"/>
      <c r="AM30" s="90"/>
      <c r="AN30" s="311" t="str">
        <f t="shared" si="7"/>
        <v/>
      </c>
      <c r="AO30" s="90"/>
      <c r="AP30" s="90"/>
      <c r="AQ30" s="90"/>
      <c r="AR30" s="90"/>
      <c r="AS30" s="311" t="str">
        <f t="shared" si="8"/>
        <v/>
      </c>
      <c r="AT30" s="90"/>
      <c r="AU30" s="90"/>
      <c r="AV30" s="90"/>
      <c r="AW30" s="90"/>
      <c r="AX30" s="311" t="str">
        <f t="shared" si="9"/>
        <v/>
      </c>
      <c r="AY30" s="90"/>
      <c r="AZ30" s="90"/>
      <c r="BA30" s="90"/>
      <c r="BB30" s="90"/>
      <c r="BC30" s="311" t="str">
        <f t="shared" si="10"/>
        <v/>
      </c>
      <c r="BD30" s="312" t="str">
        <f t="shared" si="11"/>
        <v/>
      </c>
      <c r="BE30" s="313" t="str">
        <f t="shared" si="0"/>
        <v/>
      </c>
      <c r="BF30" s="314" t="str">
        <f t="shared" si="12"/>
        <v/>
      </c>
      <c r="BG30" s="315" t="str">
        <f>IF(BF30="","",IF(BF30&gt;=menu!$O$6,"A",IF(BF30&gt;=menu!$O$7,"B",IF(BF30&gt;=menu!$O$8,"C","D"))))</f>
        <v/>
      </c>
      <c r="BH30" s="105" t="str">
        <f t="shared" si="13"/>
        <v/>
      </c>
      <c r="BI30" s="106" t="str">
        <f>IF(BF30="","",IF(BF30&gt;=menu!$O$6,"sangat terampil",IF(BE30&gt;=menu!$O$7,"terampil",IF(BF30&gt;=menu!$O$8,"cukup terampil","kurang terampil"))))</f>
        <v/>
      </c>
      <c r="BJ30" s="115" t="str">
        <f>IF(BD30="","",VLOOKUP(BD30,DATAKET!$AZ$3:$BA$12,2,FALSE))</f>
        <v/>
      </c>
      <c r="BK30" s="104" t="str">
        <f t="shared" si="14"/>
        <v/>
      </c>
    </row>
    <row r="31" spans="1:63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VII-A</v>
      </c>
      <c r="F31" s="90"/>
      <c r="G31" s="90"/>
      <c r="H31" s="90"/>
      <c r="I31" s="90"/>
      <c r="J31" s="311" t="str">
        <f t="shared" si="1"/>
        <v/>
      </c>
      <c r="K31" s="90"/>
      <c r="L31" s="90"/>
      <c r="M31" s="90"/>
      <c r="N31" s="90"/>
      <c r="O31" s="311" t="str">
        <f t="shared" si="2"/>
        <v/>
      </c>
      <c r="P31" s="90"/>
      <c r="Q31" s="90"/>
      <c r="R31" s="90"/>
      <c r="S31" s="90"/>
      <c r="T31" s="311" t="str">
        <f t="shared" si="3"/>
        <v/>
      </c>
      <c r="U31" s="90"/>
      <c r="V31" s="90"/>
      <c r="W31" s="90"/>
      <c r="X31" s="90"/>
      <c r="Y31" s="311" t="str">
        <f t="shared" si="4"/>
        <v/>
      </c>
      <c r="Z31" s="90"/>
      <c r="AA31" s="90"/>
      <c r="AB31" s="90"/>
      <c r="AC31" s="90"/>
      <c r="AD31" s="311" t="str">
        <f t="shared" si="5"/>
        <v/>
      </c>
      <c r="AE31" s="90"/>
      <c r="AF31" s="90"/>
      <c r="AG31" s="90"/>
      <c r="AH31" s="90"/>
      <c r="AI31" s="311" t="str">
        <f t="shared" si="6"/>
        <v/>
      </c>
      <c r="AJ31" s="90"/>
      <c r="AK31" s="90"/>
      <c r="AL31" s="90"/>
      <c r="AM31" s="90"/>
      <c r="AN31" s="311" t="str">
        <f t="shared" si="7"/>
        <v/>
      </c>
      <c r="AO31" s="90"/>
      <c r="AP31" s="90"/>
      <c r="AQ31" s="90"/>
      <c r="AR31" s="90"/>
      <c r="AS31" s="311" t="str">
        <f t="shared" si="8"/>
        <v/>
      </c>
      <c r="AT31" s="90"/>
      <c r="AU31" s="90"/>
      <c r="AV31" s="90"/>
      <c r="AW31" s="90"/>
      <c r="AX31" s="311" t="str">
        <f t="shared" si="9"/>
        <v/>
      </c>
      <c r="AY31" s="90"/>
      <c r="AZ31" s="90"/>
      <c r="BA31" s="90"/>
      <c r="BB31" s="90"/>
      <c r="BC31" s="311" t="str">
        <f t="shared" si="10"/>
        <v/>
      </c>
      <c r="BD31" s="312" t="str">
        <f t="shared" si="11"/>
        <v/>
      </c>
      <c r="BE31" s="313" t="str">
        <f t="shared" si="0"/>
        <v/>
      </c>
      <c r="BF31" s="314" t="str">
        <f t="shared" si="12"/>
        <v/>
      </c>
      <c r="BG31" s="315" t="str">
        <f>IF(BF31="","",IF(BF31&gt;=menu!$O$6,"A",IF(BF31&gt;=menu!$O$7,"B",IF(BF31&gt;=menu!$O$8,"C","D"))))</f>
        <v/>
      </c>
      <c r="BH31" s="105" t="str">
        <f t="shared" si="13"/>
        <v/>
      </c>
      <c r="BI31" s="106" t="str">
        <f>IF(BF31="","",IF(BF31&gt;=menu!$O$6,"sangat terampil",IF(BE31&gt;=menu!$O$7,"terampil",IF(BF31&gt;=menu!$O$8,"cukup terampil","kurang terampil"))))</f>
        <v/>
      </c>
      <c r="BJ31" s="115" t="str">
        <f>IF(BD31="","",VLOOKUP(BD31,DATAKET!$BB$3:$BC$12,2,FALSE))</f>
        <v/>
      </c>
      <c r="BK31" s="104" t="str">
        <f t="shared" si="14"/>
        <v/>
      </c>
    </row>
    <row r="32" spans="1:63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VII-A</v>
      </c>
      <c r="F32" s="90"/>
      <c r="G32" s="90"/>
      <c r="H32" s="90"/>
      <c r="I32" s="90"/>
      <c r="J32" s="311" t="str">
        <f t="shared" si="1"/>
        <v/>
      </c>
      <c r="K32" s="90"/>
      <c r="L32" s="90"/>
      <c r="M32" s="90"/>
      <c r="N32" s="90"/>
      <c r="O32" s="311" t="str">
        <f t="shared" si="2"/>
        <v/>
      </c>
      <c r="P32" s="90"/>
      <c r="Q32" s="90"/>
      <c r="R32" s="90"/>
      <c r="S32" s="90"/>
      <c r="T32" s="311" t="str">
        <f t="shared" si="3"/>
        <v/>
      </c>
      <c r="U32" s="90"/>
      <c r="V32" s="90"/>
      <c r="W32" s="90"/>
      <c r="X32" s="90"/>
      <c r="Y32" s="311" t="str">
        <f t="shared" si="4"/>
        <v/>
      </c>
      <c r="Z32" s="90"/>
      <c r="AA32" s="90"/>
      <c r="AB32" s="90"/>
      <c r="AC32" s="90"/>
      <c r="AD32" s="311" t="str">
        <f t="shared" si="5"/>
        <v/>
      </c>
      <c r="AE32" s="90"/>
      <c r="AF32" s="90"/>
      <c r="AG32" s="90"/>
      <c r="AH32" s="90"/>
      <c r="AI32" s="311" t="str">
        <f t="shared" si="6"/>
        <v/>
      </c>
      <c r="AJ32" s="90"/>
      <c r="AK32" s="90"/>
      <c r="AL32" s="90"/>
      <c r="AM32" s="90"/>
      <c r="AN32" s="311" t="str">
        <f t="shared" si="7"/>
        <v/>
      </c>
      <c r="AO32" s="90"/>
      <c r="AP32" s="90"/>
      <c r="AQ32" s="90"/>
      <c r="AR32" s="90"/>
      <c r="AS32" s="311" t="str">
        <f t="shared" si="8"/>
        <v/>
      </c>
      <c r="AT32" s="90"/>
      <c r="AU32" s="90"/>
      <c r="AV32" s="90"/>
      <c r="AW32" s="90"/>
      <c r="AX32" s="311" t="str">
        <f t="shared" si="9"/>
        <v/>
      </c>
      <c r="AY32" s="90"/>
      <c r="AZ32" s="90"/>
      <c r="BA32" s="90"/>
      <c r="BB32" s="90"/>
      <c r="BC32" s="311" t="str">
        <f t="shared" si="10"/>
        <v/>
      </c>
      <c r="BD32" s="312" t="str">
        <f t="shared" si="11"/>
        <v/>
      </c>
      <c r="BE32" s="313" t="str">
        <f t="shared" si="0"/>
        <v/>
      </c>
      <c r="BF32" s="314" t="str">
        <f t="shared" si="12"/>
        <v/>
      </c>
      <c r="BG32" s="315" t="str">
        <f>IF(BF32="","",IF(BF32&gt;=menu!$O$6,"A",IF(BF32&gt;=menu!$O$7,"B",IF(BF32&gt;=menu!$O$8,"C","D"))))</f>
        <v/>
      </c>
      <c r="BH32" s="105" t="str">
        <f t="shared" si="13"/>
        <v/>
      </c>
      <c r="BI32" s="106" t="str">
        <f>IF(BF32="","",IF(BF32&gt;=menu!$O$6,"sangat terampil",IF(BE32&gt;=menu!$O$7,"terampil",IF(BF32&gt;=menu!$O$8,"cukup terampil","kurang terampil"))))</f>
        <v/>
      </c>
      <c r="BJ32" s="115" t="str">
        <f>IF(BD32="","",VLOOKUP(BD32,DATAKET!$BD$3:$BE$12,2,FALSE))</f>
        <v/>
      </c>
      <c r="BK32" s="104" t="str">
        <f t="shared" si="14"/>
        <v/>
      </c>
    </row>
    <row r="33" spans="1:63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VII-A</v>
      </c>
      <c r="F33" s="90"/>
      <c r="G33" s="90"/>
      <c r="H33" s="90"/>
      <c r="I33" s="90"/>
      <c r="J33" s="311" t="str">
        <f t="shared" si="1"/>
        <v/>
      </c>
      <c r="K33" s="90"/>
      <c r="L33" s="90"/>
      <c r="M33" s="90"/>
      <c r="N33" s="90"/>
      <c r="O33" s="311" t="str">
        <f t="shared" si="2"/>
        <v/>
      </c>
      <c r="P33" s="90"/>
      <c r="Q33" s="90"/>
      <c r="R33" s="90"/>
      <c r="S33" s="90"/>
      <c r="T33" s="311" t="str">
        <f t="shared" si="3"/>
        <v/>
      </c>
      <c r="U33" s="90"/>
      <c r="V33" s="90"/>
      <c r="W33" s="90"/>
      <c r="X33" s="90"/>
      <c r="Y33" s="311" t="str">
        <f t="shared" si="4"/>
        <v/>
      </c>
      <c r="Z33" s="90"/>
      <c r="AA33" s="90"/>
      <c r="AB33" s="90"/>
      <c r="AC33" s="90"/>
      <c r="AD33" s="311" t="str">
        <f t="shared" si="5"/>
        <v/>
      </c>
      <c r="AE33" s="90"/>
      <c r="AF33" s="90"/>
      <c r="AG33" s="90"/>
      <c r="AH33" s="90"/>
      <c r="AI33" s="311" t="str">
        <f t="shared" si="6"/>
        <v/>
      </c>
      <c r="AJ33" s="90"/>
      <c r="AK33" s="90"/>
      <c r="AL33" s="90"/>
      <c r="AM33" s="90"/>
      <c r="AN33" s="311" t="str">
        <f t="shared" si="7"/>
        <v/>
      </c>
      <c r="AO33" s="90"/>
      <c r="AP33" s="90"/>
      <c r="AQ33" s="90"/>
      <c r="AR33" s="90"/>
      <c r="AS33" s="311" t="str">
        <f t="shared" si="8"/>
        <v/>
      </c>
      <c r="AT33" s="90"/>
      <c r="AU33" s="90"/>
      <c r="AV33" s="90"/>
      <c r="AW33" s="90"/>
      <c r="AX33" s="311" t="str">
        <f t="shared" si="9"/>
        <v/>
      </c>
      <c r="AY33" s="90"/>
      <c r="AZ33" s="90"/>
      <c r="BA33" s="90"/>
      <c r="BB33" s="90"/>
      <c r="BC33" s="311" t="str">
        <f t="shared" si="10"/>
        <v/>
      </c>
      <c r="BD33" s="312" t="str">
        <f t="shared" si="11"/>
        <v/>
      </c>
      <c r="BE33" s="313" t="str">
        <f t="shared" si="0"/>
        <v/>
      </c>
      <c r="BF33" s="314" t="str">
        <f t="shared" si="12"/>
        <v/>
      </c>
      <c r="BG33" s="315" t="str">
        <f>IF(BF33="","",IF(BF33&gt;=menu!$O$6,"A",IF(BF33&gt;=menu!$O$7,"B",IF(BF33&gt;=menu!$O$8,"C","D"))))</f>
        <v/>
      </c>
      <c r="BH33" s="105" t="str">
        <f t="shared" si="13"/>
        <v/>
      </c>
      <c r="BI33" s="106" t="str">
        <f>IF(BF33="","",IF(BF33&gt;=menu!$O$6,"sangat terampil",IF(BE33&gt;=menu!$O$7,"terampil",IF(BF33&gt;=menu!$O$8,"cukup terampil","kurang terampil"))))</f>
        <v/>
      </c>
      <c r="BJ33" s="115" t="str">
        <f>IF(BD33="","",VLOOKUP(BD33,DATAKET!$BF$3:$BG$12,2,FALSE))</f>
        <v/>
      </c>
      <c r="BK33" s="104" t="str">
        <f t="shared" si="14"/>
        <v/>
      </c>
    </row>
    <row r="34" spans="1:63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VII-A</v>
      </c>
      <c r="F34" s="90"/>
      <c r="G34" s="90"/>
      <c r="H34" s="90"/>
      <c r="I34" s="90"/>
      <c r="J34" s="311" t="str">
        <f t="shared" si="1"/>
        <v/>
      </c>
      <c r="K34" s="90"/>
      <c r="L34" s="90"/>
      <c r="M34" s="90"/>
      <c r="N34" s="90"/>
      <c r="O34" s="311" t="str">
        <f t="shared" si="2"/>
        <v/>
      </c>
      <c r="P34" s="90"/>
      <c r="Q34" s="90"/>
      <c r="R34" s="90"/>
      <c r="S34" s="90"/>
      <c r="T34" s="311" t="str">
        <f t="shared" si="3"/>
        <v/>
      </c>
      <c r="U34" s="90"/>
      <c r="V34" s="90"/>
      <c r="W34" s="90"/>
      <c r="X34" s="90"/>
      <c r="Y34" s="311" t="str">
        <f t="shared" si="4"/>
        <v/>
      </c>
      <c r="Z34" s="90"/>
      <c r="AA34" s="90"/>
      <c r="AB34" s="90"/>
      <c r="AC34" s="90"/>
      <c r="AD34" s="311" t="str">
        <f t="shared" si="5"/>
        <v/>
      </c>
      <c r="AE34" s="90"/>
      <c r="AF34" s="90"/>
      <c r="AG34" s="90"/>
      <c r="AH34" s="90"/>
      <c r="AI34" s="311" t="str">
        <f t="shared" si="6"/>
        <v/>
      </c>
      <c r="AJ34" s="90"/>
      <c r="AK34" s="90"/>
      <c r="AL34" s="90"/>
      <c r="AM34" s="90"/>
      <c r="AN34" s="311" t="str">
        <f t="shared" si="7"/>
        <v/>
      </c>
      <c r="AO34" s="90"/>
      <c r="AP34" s="90"/>
      <c r="AQ34" s="90"/>
      <c r="AR34" s="90"/>
      <c r="AS34" s="311" t="str">
        <f t="shared" si="8"/>
        <v/>
      </c>
      <c r="AT34" s="90"/>
      <c r="AU34" s="90"/>
      <c r="AV34" s="90"/>
      <c r="AW34" s="90"/>
      <c r="AX34" s="311" t="str">
        <f t="shared" si="9"/>
        <v/>
      </c>
      <c r="AY34" s="90"/>
      <c r="AZ34" s="90"/>
      <c r="BA34" s="90"/>
      <c r="BB34" s="90"/>
      <c r="BC34" s="311" t="str">
        <f t="shared" si="10"/>
        <v/>
      </c>
      <c r="BD34" s="312" t="str">
        <f t="shared" si="11"/>
        <v/>
      </c>
      <c r="BE34" s="313" t="str">
        <f t="shared" si="0"/>
        <v/>
      </c>
      <c r="BF34" s="314" t="str">
        <f t="shared" si="12"/>
        <v/>
      </c>
      <c r="BG34" s="315" t="str">
        <f>IF(BF34="","",IF(BF34&gt;=menu!$O$6,"A",IF(BF34&gt;=menu!$O$7,"B",IF(BF34&gt;=menu!$O$8,"C","D"))))</f>
        <v/>
      </c>
      <c r="BH34" s="105" t="str">
        <f t="shared" si="13"/>
        <v/>
      </c>
      <c r="BI34" s="106" t="str">
        <f>IF(BF34="","",IF(BF34&gt;=menu!$O$6,"sangat terampil",IF(BE34&gt;=menu!$O$7,"terampil",IF(BF34&gt;=menu!$O$8,"cukup terampil","kurang terampil"))))</f>
        <v/>
      </c>
      <c r="BJ34" s="115" t="str">
        <f>IF(BD34="","",VLOOKUP(BD34,DATAKET!$BH$3:$BI$12,2,FALSE))</f>
        <v/>
      </c>
      <c r="BK34" s="104" t="str">
        <f t="shared" si="14"/>
        <v/>
      </c>
    </row>
    <row r="35" spans="1:63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VII-A</v>
      </c>
      <c r="F35" s="90"/>
      <c r="G35" s="90"/>
      <c r="H35" s="90"/>
      <c r="I35" s="90"/>
      <c r="J35" s="311" t="str">
        <f t="shared" si="1"/>
        <v/>
      </c>
      <c r="K35" s="90"/>
      <c r="L35" s="90"/>
      <c r="M35" s="90"/>
      <c r="N35" s="90"/>
      <c r="O35" s="311" t="str">
        <f t="shared" si="2"/>
        <v/>
      </c>
      <c r="P35" s="90"/>
      <c r="Q35" s="90"/>
      <c r="R35" s="90"/>
      <c r="S35" s="90"/>
      <c r="T35" s="311" t="str">
        <f t="shared" si="3"/>
        <v/>
      </c>
      <c r="U35" s="90"/>
      <c r="V35" s="90"/>
      <c r="W35" s="90"/>
      <c r="X35" s="90"/>
      <c r="Y35" s="311" t="str">
        <f t="shared" si="4"/>
        <v/>
      </c>
      <c r="Z35" s="90"/>
      <c r="AA35" s="90"/>
      <c r="AB35" s="90"/>
      <c r="AC35" s="90"/>
      <c r="AD35" s="311" t="str">
        <f t="shared" si="5"/>
        <v/>
      </c>
      <c r="AE35" s="90"/>
      <c r="AF35" s="90"/>
      <c r="AG35" s="90"/>
      <c r="AH35" s="90"/>
      <c r="AI35" s="311" t="str">
        <f t="shared" si="6"/>
        <v/>
      </c>
      <c r="AJ35" s="90"/>
      <c r="AK35" s="90"/>
      <c r="AL35" s="90"/>
      <c r="AM35" s="90"/>
      <c r="AN35" s="311" t="str">
        <f t="shared" si="7"/>
        <v/>
      </c>
      <c r="AO35" s="90"/>
      <c r="AP35" s="90"/>
      <c r="AQ35" s="90"/>
      <c r="AR35" s="90"/>
      <c r="AS35" s="311" t="str">
        <f t="shared" si="8"/>
        <v/>
      </c>
      <c r="AT35" s="90"/>
      <c r="AU35" s="90"/>
      <c r="AV35" s="90"/>
      <c r="AW35" s="90"/>
      <c r="AX35" s="311" t="str">
        <f t="shared" si="9"/>
        <v/>
      </c>
      <c r="AY35" s="90"/>
      <c r="AZ35" s="90"/>
      <c r="BA35" s="90"/>
      <c r="BB35" s="90"/>
      <c r="BC35" s="311" t="str">
        <f t="shared" si="10"/>
        <v/>
      </c>
      <c r="BD35" s="312" t="str">
        <f t="shared" si="11"/>
        <v/>
      </c>
      <c r="BE35" s="313" t="str">
        <f t="shared" si="0"/>
        <v/>
      </c>
      <c r="BF35" s="314" t="str">
        <f t="shared" si="12"/>
        <v/>
      </c>
      <c r="BG35" s="315" t="str">
        <f>IF(BF35="","",IF(BF35&gt;=menu!$O$6,"A",IF(BF35&gt;=menu!$O$7,"B",IF(BF35&gt;=menu!$O$8,"C","D"))))</f>
        <v/>
      </c>
      <c r="BH35" s="105" t="str">
        <f t="shared" si="13"/>
        <v/>
      </c>
      <c r="BI35" s="106" t="str">
        <f>IF(BF35="","",IF(BF35&gt;=menu!$O$6,"sangat terampil",IF(BE35&gt;=menu!$O$7,"terampil",IF(BF35&gt;=menu!$O$8,"cukup terampil","kurang terampil"))))</f>
        <v/>
      </c>
      <c r="BJ35" s="115" t="str">
        <f>IF(BD35="","",VLOOKUP(BD35,DATAKET!$BJ$3:$BK$12,2,FALSE))</f>
        <v/>
      </c>
      <c r="BK35" s="104" t="str">
        <f t="shared" si="14"/>
        <v/>
      </c>
    </row>
    <row r="36" spans="1:63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VII-A</v>
      </c>
      <c r="F36" s="90"/>
      <c r="G36" s="90"/>
      <c r="H36" s="90"/>
      <c r="I36" s="90"/>
      <c r="J36" s="311" t="str">
        <f t="shared" si="1"/>
        <v/>
      </c>
      <c r="K36" s="90"/>
      <c r="L36" s="90"/>
      <c r="M36" s="90"/>
      <c r="N36" s="90"/>
      <c r="O36" s="311" t="str">
        <f t="shared" si="2"/>
        <v/>
      </c>
      <c r="P36" s="90"/>
      <c r="Q36" s="90"/>
      <c r="R36" s="90"/>
      <c r="S36" s="90"/>
      <c r="T36" s="311" t="str">
        <f t="shared" si="3"/>
        <v/>
      </c>
      <c r="U36" s="90"/>
      <c r="V36" s="90"/>
      <c r="W36" s="90"/>
      <c r="X36" s="90"/>
      <c r="Y36" s="311" t="str">
        <f t="shared" si="4"/>
        <v/>
      </c>
      <c r="Z36" s="90"/>
      <c r="AA36" s="90"/>
      <c r="AB36" s="90"/>
      <c r="AC36" s="90"/>
      <c r="AD36" s="311" t="str">
        <f t="shared" si="5"/>
        <v/>
      </c>
      <c r="AE36" s="90"/>
      <c r="AF36" s="90"/>
      <c r="AG36" s="90"/>
      <c r="AH36" s="90"/>
      <c r="AI36" s="311" t="str">
        <f t="shared" si="6"/>
        <v/>
      </c>
      <c r="AJ36" s="90"/>
      <c r="AK36" s="90"/>
      <c r="AL36" s="90"/>
      <c r="AM36" s="90"/>
      <c r="AN36" s="311" t="str">
        <f t="shared" si="7"/>
        <v/>
      </c>
      <c r="AO36" s="90"/>
      <c r="AP36" s="90"/>
      <c r="AQ36" s="90"/>
      <c r="AR36" s="90"/>
      <c r="AS36" s="311" t="str">
        <f t="shared" si="8"/>
        <v/>
      </c>
      <c r="AT36" s="90"/>
      <c r="AU36" s="90"/>
      <c r="AV36" s="90"/>
      <c r="AW36" s="90"/>
      <c r="AX36" s="311" t="str">
        <f t="shared" si="9"/>
        <v/>
      </c>
      <c r="AY36" s="90"/>
      <c r="AZ36" s="90"/>
      <c r="BA36" s="90"/>
      <c r="BB36" s="90"/>
      <c r="BC36" s="311" t="str">
        <f t="shared" si="10"/>
        <v/>
      </c>
      <c r="BD36" s="312" t="str">
        <f t="shared" si="11"/>
        <v/>
      </c>
      <c r="BE36" s="313" t="str">
        <f t="shared" si="0"/>
        <v/>
      </c>
      <c r="BF36" s="314" t="str">
        <f t="shared" si="12"/>
        <v/>
      </c>
      <c r="BG36" s="315" t="str">
        <f>IF(BF36="","",IF(BF36&gt;=menu!$O$6,"A",IF(BF36&gt;=menu!$O$7,"B",IF(BF36&gt;=menu!$O$8,"C","D"))))</f>
        <v/>
      </c>
      <c r="BH36" s="105" t="str">
        <f t="shared" si="13"/>
        <v/>
      </c>
      <c r="BI36" s="106" t="str">
        <f>IF(BF36="","",IF(BF36&gt;=menu!$O$6,"sangat terampil",IF(BE36&gt;=menu!$O$7,"terampil",IF(BF36&gt;=menu!$O$8,"cukup terampil","kurang terampil"))))</f>
        <v/>
      </c>
      <c r="BJ36" s="115" t="str">
        <f>IF(BD36="","",VLOOKUP(BD36,DATAKET!$BL$3:$BM$12,2,FALSE))</f>
        <v/>
      </c>
      <c r="BK36" s="104" t="str">
        <f t="shared" si="14"/>
        <v/>
      </c>
    </row>
    <row r="37" spans="1:63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VII-A</v>
      </c>
      <c r="F37" s="90"/>
      <c r="G37" s="90"/>
      <c r="H37" s="90"/>
      <c r="I37" s="90"/>
      <c r="J37" s="311" t="str">
        <f t="shared" si="1"/>
        <v/>
      </c>
      <c r="K37" s="90"/>
      <c r="L37" s="90"/>
      <c r="M37" s="90"/>
      <c r="N37" s="90"/>
      <c r="O37" s="311" t="str">
        <f t="shared" si="2"/>
        <v/>
      </c>
      <c r="P37" s="90"/>
      <c r="Q37" s="90"/>
      <c r="R37" s="90"/>
      <c r="S37" s="90"/>
      <c r="T37" s="311" t="str">
        <f t="shared" si="3"/>
        <v/>
      </c>
      <c r="U37" s="90"/>
      <c r="V37" s="90"/>
      <c r="W37" s="90"/>
      <c r="X37" s="90"/>
      <c r="Y37" s="311" t="str">
        <f t="shared" si="4"/>
        <v/>
      </c>
      <c r="Z37" s="90"/>
      <c r="AA37" s="90"/>
      <c r="AB37" s="90"/>
      <c r="AC37" s="90"/>
      <c r="AD37" s="311" t="str">
        <f t="shared" si="5"/>
        <v/>
      </c>
      <c r="AE37" s="90"/>
      <c r="AF37" s="90"/>
      <c r="AG37" s="90"/>
      <c r="AH37" s="90"/>
      <c r="AI37" s="311" t="str">
        <f t="shared" si="6"/>
        <v/>
      </c>
      <c r="AJ37" s="90"/>
      <c r="AK37" s="90"/>
      <c r="AL37" s="90"/>
      <c r="AM37" s="90"/>
      <c r="AN37" s="311" t="str">
        <f t="shared" si="7"/>
        <v/>
      </c>
      <c r="AO37" s="90"/>
      <c r="AP37" s="90"/>
      <c r="AQ37" s="90"/>
      <c r="AR37" s="90"/>
      <c r="AS37" s="311" t="str">
        <f t="shared" si="8"/>
        <v/>
      </c>
      <c r="AT37" s="90"/>
      <c r="AU37" s="90"/>
      <c r="AV37" s="90"/>
      <c r="AW37" s="90"/>
      <c r="AX37" s="311" t="str">
        <f t="shared" si="9"/>
        <v/>
      </c>
      <c r="AY37" s="90"/>
      <c r="AZ37" s="90"/>
      <c r="BA37" s="90"/>
      <c r="BB37" s="90"/>
      <c r="BC37" s="311" t="str">
        <f t="shared" si="10"/>
        <v/>
      </c>
      <c r="BD37" s="312" t="str">
        <f t="shared" si="11"/>
        <v/>
      </c>
      <c r="BE37" s="313" t="str">
        <f t="shared" si="0"/>
        <v/>
      </c>
      <c r="BF37" s="314" t="str">
        <f t="shared" si="12"/>
        <v/>
      </c>
      <c r="BG37" s="315" t="str">
        <f>IF(BF37="","",IF(BF37&gt;=menu!$O$6,"A",IF(BF37&gt;=menu!$O$7,"B",IF(BF37&gt;=menu!$O$8,"C","D"))))</f>
        <v/>
      </c>
      <c r="BH37" s="105" t="str">
        <f t="shared" si="13"/>
        <v/>
      </c>
      <c r="BI37" s="106" t="str">
        <f>IF(BF37="","",IF(BF37&gt;=menu!$O$6,"sangat terampil",IF(BE37&gt;=menu!$O$7,"terampil",IF(BF37&gt;=menu!$O$8,"cukup terampil","kurang terampil"))))</f>
        <v/>
      </c>
      <c r="BJ37" s="115" t="str">
        <f>IF(BD37="","",VLOOKUP(BD37,DATAKET!$BN$3:$BO$12,2,FALSE))</f>
        <v/>
      </c>
      <c r="BK37" s="104" t="str">
        <f t="shared" si="14"/>
        <v/>
      </c>
    </row>
    <row r="38" spans="1:63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VII-A</v>
      </c>
      <c r="F38" s="90"/>
      <c r="G38" s="90"/>
      <c r="H38" s="90"/>
      <c r="I38" s="90"/>
      <c r="J38" s="311" t="str">
        <f t="shared" si="1"/>
        <v/>
      </c>
      <c r="K38" s="90"/>
      <c r="L38" s="90"/>
      <c r="M38" s="90"/>
      <c r="N38" s="90"/>
      <c r="O38" s="311" t="str">
        <f t="shared" si="2"/>
        <v/>
      </c>
      <c r="P38" s="90"/>
      <c r="Q38" s="90"/>
      <c r="R38" s="90"/>
      <c r="S38" s="90"/>
      <c r="T38" s="311" t="str">
        <f t="shared" si="3"/>
        <v/>
      </c>
      <c r="U38" s="90"/>
      <c r="V38" s="90"/>
      <c r="W38" s="90"/>
      <c r="X38" s="90"/>
      <c r="Y38" s="311" t="str">
        <f t="shared" si="4"/>
        <v/>
      </c>
      <c r="Z38" s="90"/>
      <c r="AA38" s="90"/>
      <c r="AB38" s="90"/>
      <c r="AC38" s="90"/>
      <c r="AD38" s="311" t="str">
        <f t="shared" si="5"/>
        <v/>
      </c>
      <c r="AE38" s="90"/>
      <c r="AF38" s="90"/>
      <c r="AG38" s="90"/>
      <c r="AH38" s="90"/>
      <c r="AI38" s="311" t="str">
        <f t="shared" si="6"/>
        <v/>
      </c>
      <c r="AJ38" s="90"/>
      <c r="AK38" s="90"/>
      <c r="AL38" s="90"/>
      <c r="AM38" s="90"/>
      <c r="AN38" s="311" t="str">
        <f t="shared" si="7"/>
        <v/>
      </c>
      <c r="AO38" s="90"/>
      <c r="AP38" s="90"/>
      <c r="AQ38" s="90"/>
      <c r="AR38" s="90"/>
      <c r="AS38" s="311" t="str">
        <f t="shared" si="8"/>
        <v/>
      </c>
      <c r="AT38" s="90"/>
      <c r="AU38" s="90"/>
      <c r="AV38" s="90"/>
      <c r="AW38" s="90"/>
      <c r="AX38" s="311" t="str">
        <f t="shared" si="9"/>
        <v/>
      </c>
      <c r="AY38" s="90"/>
      <c r="AZ38" s="90"/>
      <c r="BA38" s="90"/>
      <c r="BB38" s="90"/>
      <c r="BC38" s="311" t="str">
        <f t="shared" si="10"/>
        <v/>
      </c>
      <c r="BD38" s="312" t="str">
        <f t="shared" si="11"/>
        <v/>
      </c>
      <c r="BE38" s="313" t="str">
        <f t="shared" si="0"/>
        <v/>
      </c>
      <c r="BF38" s="314" t="str">
        <f t="shared" si="12"/>
        <v/>
      </c>
      <c r="BG38" s="315" t="str">
        <f>IF(BF38="","",IF(BF38&gt;=menu!$O$6,"A",IF(BF38&gt;=menu!$O$7,"B",IF(BF38&gt;=menu!$O$8,"C","D"))))</f>
        <v/>
      </c>
      <c r="BH38" s="105" t="str">
        <f t="shared" si="13"/>
        <v/>
      </c>
      <c r="BI38" s="106" t="str">
        <f>IF(BF38="","",IF(BF38&gt;=menu!$O$6,"sangat terampil",IF(BE38&gt;=menu!$O$7,"terampil",IF(BF38&gt;=menu!$O$8,"cukup terampil","kurang terampil"))))</f>
        <v/>
      </c>
      <c r="BJ38" s="115" t="str">
        <f>IF(BD38="","",VLOOKUP(BD38,DATAKET!$BP$3:$BQ$12,2,FALSE))</f>
        <v/>
      </c>
      <c r="BK38" s="104" t="str">
        <f t="shared" si="14"/>
        <v/>
      </c>
    </row>
    <row r="39" spans="1:63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VII-A</v>
      </c>
      <c r="F39" s="90"/>
      <c r="G39" s="90"/>
      <c r="H39" s="90"/>
      <c r="I39" s="90"/>
      <c r="J39" s="311" t="str">
        <f t="shared" si="1"/>
        <v/>
      </c>
      <c r="K39" s="90"/>
      <c r="L39" s="90"/>
      <c r="M39" s="90"/>
      <c r="N39" s="90"/>
      <c r="O39" s="311" t="str">
        <f t="shared" si="2"/>
        <v/>
      </c>
      <c r="P39" s="90"/>
      <c r="Q39" s="90"/>
      <c r="R39" s="90"/>
      <c r="S39" s="90"/>
      <c r="T39" s="311" t="str">
        <f t="shared" si="3"/>
        <v/>
      </c>
      <c r="U39" s="90"/>
      <c r="V39" s="90"/>
      <c r="W39" s="90"/>
      <c r="X39" s="90"/>
      <c r="Y39" s="311" t="str">
        <f t="shared" si="4"/>
        <v/>
      </c>
      <c r="Z39" s="90"/>
      <c r="AA39" s="90"/>
      <c r="AB39" s="90"/>
      <c r="AC39" s="90"/>
      <c r="AD39" s="311" t="str">
        <f t="shared" si="5"/>
        <v/>
      </c>
      <c r="AE39" s="90"/>
      <c r="AF39" s="90"/>
      <c r="AG39" s="90"/>
      <c r="AH39" s="90"/>
      <c r="AI39" s="311" t="str">
        <f t="shared" si="6"/>
        <v/>
      </c>
      <c r="AJ39" s="90"/>
      <c r="AK39" s="90"/>
      <c r="AL39" s="90"/>
      <c r="AM39" s="90"/>
      <c r="AN39" s="311" t="str">
        <f t="shared" si="7"/>
        <v/>
      </c>
      <c r="AO39" s="90"/>
      <c r="AP39" s="90"/>
      <c r="AQ39" s="90"/>
      <c r="AR39" s="90"/>
      <c r="AS39" s="311" t="str">
        <f t="shared" si="8"/>
        <v/>
      </c>
      <c r="AT39" s="90"/>
      <c r="AU39" s="90"/>
      <c r="AV39" s="90"/>
      <c r="AW39" s="90"/>
      <c r="AX39" s="311" t="str">
        <f t="shared" si="9"/>
        <v/>
      </c>
      <c r="AY39" s="90"/>
      <c r="AZ39" s="90"/>
      <c r="BA39" s="90"/>
      <c r="BB39" s="90"/>
      <c r="BC39" s="311" t="str">
        <f t="shared" si="10"/>
        <v/>
      </c>
      <c r="BD39" s="312" t="str">
        <f t="shared" si="11"/>
        <v/>
      </c>
      <c r="BE39" s="313" t="str">
        <f t="shared" si="0"/>
        <v/>
      </c>
      <c r="BF39" s="314" t="str">
        <f t="shared" si="12"/>
        <v/>
      </c>
      <c r="BG39" s="315" t="str">
        <f>IF(BF39="","",IF(BF39&gt;=menu!$O$6,"A",IF(BF39&gt;=menu!$O$7,"B",IF(BF39&gt;=menu!$O$8,"C","D"))))</f>
        <v/>
      </c>
      <c r="BH39" s="105" t="str">
        <f t="shared" si="13"/>
        <v/>
      </c>
      <c r="BI39" s="106" t="str">
        <f>IF(BF39="","",IF(BF39&gt;=menu!$O$6,"sangat terampil",IF(BE39&gt;=menu!$O$7,"terampil",IF(BF39&gt;=menu!$O$8,"cukup terampil","kurang terampil"))))</f>
        <v/>
      </c>
      <c r="BJ39" s="115" t="str">
        <f>IF(BD39="","",VLOOKUP(BD39,DATAKET!$BR$3:$BS$12,2,FALSE))</f>
        <v/>
      </c>
      <c r="BK39" s="104" t="str">
        <f t="shared" si="14"/>
        <v/>
      </c>
    </row>
    <row r="40" spans="1:63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VII-A</v>
      </c>
      <c r="F40" s="90"/>
      <c r="G40" s="90"/>
      <c r="H40" s="90"/>
      <c r="I40" s="90"/>
      <c r="J40" s="311" t="str">
        <f t="shared" si="1"/>
        <v/>
      </c>
      <c r="K40" s="90"/>
      <c r="L40" s="90"/>
      <c r="M40" s="90"/>
      <c r="N40" s="90"/>
      <c r="O40" s="311" t="str">
        <f t="shared" si="2"/>
        <v/>
      </c>
      <c r="P40" s="90"/>
      <c r="Q40" s="90"/>
      <c r="R40" s="90"/>
      <c r="S40" s="90"/>
      <c r="T40" s="311" t="str">
        <f t="shared" si="3"/>
        <v/>
      </c>
      <c r="U40" s="90"/>
      <c r="V40" s="90"/>
      <c r="W40" s="90"/>
      <c r="X40" s="90"/>
      <c r="Y40" s="311" t="str">
        <f t="shared" si="4"/>
        <v/>
      </c>
      <c r="Z40" s="90"/>
      <c r="AA40" s="90"/>
      <c r="AB40" s="90"/>
      <c r="AC40" s="90"/>
      <c r="AD40" s="311" t="str">
        <f t="shared" si="5"/>
        <v/>
      </c>
      <c r="AE40" s="90"/>
      <c r="AF40" s="90"/>
      <c r="AG40" s="90"/>
      <c r="AH40" s="90"/>
      <c r="AI40" s="311" t="str">
        <f t="shared" si="6"/>
        <v/>
      </c>
      <c r="AJ40" s="90"/>
      <c r="AK40" s="90"/>
      <c r="AL40" s="90"/>
      <c r="AM40" s="90"/>
      <c r="AN40" s="311" t="str">
        <f t="shared" si="7"/>
        <v/>
      </c>
      <c r="AO40" s="90"/>
      <c r="AP40" s="90"/>
      <c r="AQ40" s="90"/>
      <c r="AR40" s="90"/>
      <c r="AS40" s="311" t="str">
        <f t="shared" si="8"/>
        <v/>
      </c>
      <c r="AT40" s="90"/>
      <c r="AU40" s="90"/>
      <c r="AV40" s="90"/>
      <c r="AW40" s="90"/>
      <c r="AX40" s="311" t="str">
        <f t="shared" si="9"/>
        <v/>
      </c>
      <c r="AY40" s="90"/>
      <c r="AZ40" s="90"/>
      <c r="BA40" s="90"/>
      <c r="BB40" s="90"/>
      <c r="BC40" s="311" t="str">
        <f t="shared" si="10"/>
        <v/>
      </c>
      <c r="BD40" s="312" t="str">
        <f t="shared" si="11"/>
        <v/>
      </c>
      <c r="BE40" s="313" t="str">
        <f t="shared" si="0"/>
        <v/>
      </c>
      <c r="BF40" s="314" t="str">
        <f t="shared" si="12"/>
        <v/>
      </c>
      <c r="BG40" s="315" t="str">
        <f>IF(BF40="","",IF(BF40&gt;=menu!$O$6,"A",IF(BF40&gt;=menu!$O$7,"B",IF(BF40&gt;=menu!$O$8,"C","D"))))</f>
        <v/>
      </c>
      <c r="BH40" s="105" t="str">
        <f t="shared" si="13"/>
        <v/>
      </c>
      <c r="BI40" s="106" t="str">
        <f>IF(BF40="","",IF(BF40&gt;=menu!$O$6,"sangat terampil",IF(BE40&gt;=menu!$O$7,"terampil",IF(BF40&gt;=menu!$O$8,"cukup terampil","kurang terampil"))))</f>
        <v/>
      </c>
      <c r="BJ40" s="115" t="str">
        <f>IF(BD40="","",VLOOKUP(BD40,DATAKET!$BT$3:$BU$12,2,FALSE))</f>
        <v/>
      </c>
      <c r="BK40" s="104" t="str">
        <f t="shared" si="14"/>
        <v/>
      </c>
    </row>
    <row r="41" spans="1:63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VII-A</v>
      </c>
      <c r="F41" s="90"/>
      <c r="G41" s="90"/>
      <c r="H41" s="90"/>
      <c r="I41" s="90"/>
      <c r="J41" s="311" t="str">
        <f t="shared" si="1"/>
        <v/>
      </c>
      <c r="K41" s="90"/>
      <c r="L41" s="90"/>
      <c r="M41" s="90"/>
      <c r="N41" s="90"/>
      <c r="O41" s="311" t="str">
        <f t="shared" si="2"/>
        <v/>
      </c>
      <c r="P41" s="90"/>
      <c r="Q41" s="90"/>
      <c r="R41" s="90"/>
      <c r="S41" s="90"/>
      <c r="T41" s="311" t="str">
        <f t="shared" si="3"/>
        <v/>
      </c>
      <c r="U41" s="90"/>
      <c r="V41" s="90"/>
      <c r="W41" s="90"/>
      <c r="X41" s="90"/>
      <c r="Y41" s="311" t="str">
        <f t="shared" si="4"/>
        <v/>
      </c>
      <c r="Z41" s="90"/>
      <c r="AA41" s="90"/>
      <c r="AB41" s="90"/>
      <c r="AC41" s="90"/>
      <c r="AD41" s="311" t="str">
        <f t="shared" si="5"/>
        <v/>
      </c>
      <c r="AE41" s="90"/>
      <c r="AF41" s="90"/>
      <c r="AG41" s="90"/>
      <c r="AH41" s="90"/>
      <c r="AI41" s="311" t="str">
        <f t="shared" si="6"/>
        <v/>
      </c>
      <c r="AJ41" s="90"/>
      <c r="AK41" s="90"/>
      <c r="AL41" s="90"/>
      <c r="AM41" s="90"/>
      <c r="AN41" s="311" t="str">
        <f t="shared" si="7"/>
        <v/>
      </c>
      <c r="AO41" s="90"/>
      <c r="AP41" s="90"/>
      <c r="AQ41" s="90"/>
      <c r="AR41" s="90"/>
      <c r="AS41" s="311" t="str">
        <f t="shared" si="8"/>
        <v/>
      </c>
      <c r="AT41" s="90"/>
      <c r="AU41" s="90"/>
      <c r="AV41" s="90"/>
      <c r="AW41" s="90"/>
      <c r="AX41" s="311" t="str">
        <f t="shared" si="9"/>
        <v/>
      </c>
      <c r="AY41" s="90"/>
      <c r="AZ41" s="90"/>
      <c r="BA41" s="90"/>
      <c r="BB41" s="90"/>
      <c r="BC41" s="311" t="str">
        <f t="shared" si="10"/>
        <v/>
      </c>
      <c r="BD41" s="312" t="str">
        <f t="shared" si="11"/>
        <v/>
      </c>
      <c r="BE41" s="313" t="str">
        <f t="shared" si="0"/>
        <v/>
      </c>
      <c r="BF41" s="314" t="str">
        <f t="shared" si="12"/>
        <v/>
      </c>
      <c r="BG41" s="315" t="str">
        <f>IF(BF41="","",IF(BF41&gt;=menu!$O$6,"A",IF(BF41&gt;=menu!$O$7,"B",IF(BF41&gt;=menu!$O$8,"C","D"))))</f>
        <v/>
      </c>
      <c r="BH41" s="105" t="str">
        <f t="shared" si="13"/>
        <v/>
      </c>
      <c r="BI41" s="106" t="str">
        <f>IF(BF41="","",IF(BF41&gt;=menu!$O$6,"sangat terampil",IF(BE41&gt;=menu!$O$7,"terampil",IF(BF41&gt;=menu!$O$8,"cukup terampil","kurang terampil"))))</f>
        <v/>
      </c>
      <c r="BJ41" s="115" t="str">
        <f>IF(BD41="","",VLOOKUP(BD41,DATAKET!$BV$3:$BW$12,2,FALSE))</f>
        <v/>
      </c>
      <c r="BK41" s="104" t="str">
        <f t="shared" si="14"/>
        <v/>
      </c>
    </row>
    <row r="42" spans="1:63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VII-A</v>
      </c>
      <c r="F42" s="90"/>
      <c r="G42" s="90"/>
      <c r="H42" s="90"/>
      <c r="I42" s="90"/>
      <c r="J42" s="311" t="str">
        <f t="shared" si="1"/>
        <v/>
      </c>
      <c r="K42" s="90"/>
      <c r="L42" s="90"/>
      <c r="M42" s="90"/>
      <c r="N42" s="90"/>
      <c r="O42" s="311" t="str">
        <f t="shared" si="2"/>
        <v/>
      </c>
      <c r="P42" s="90"/>
      <c r="Q42" s="90"/>
      <c r="R42" s="90"/>
      <c r="S42" s="90"/>
      <c r="T42" s="311" t="str">
        <f t="shared" si="3"/>
        <v/>
      </c>
      <c r="U42" s="90"/>
      <c r="V42" s="90"/>
      <c r="W42" s="90"/>
      <c r="X42" s="90"/>
      <c r="Y42" s="311" t="str">
        <f t="shared" si="4"/>
        <v/>
      </c>
      <c r="Z42" s="90"/>
      <c r="AA42" s="90"/>
      <c r="AB42" s="90"/>
      <c r="AC42" s="90"/>
      <c r="AD42" s="311" t="str">
        <f t="shared" si="5"/>
        <v/>
      </c>
      <c r="AE42" s="90"/>
      <c r="AF42" s="90"/>
      <c r="AG42" s="90"/>
      <c r="AH42" s="90"/>
      <c r="AI42" s="311" t="str">
        <f t="shared" si="6"/>
        <v/>
      </c>
      <c r="AJ42" s="90"/>
      <c r="AK42" s="90"/>
      <c r="AL42" s="90"/>
      <c r="AM42" s="90"/>
      <c r="AN42" s="311" t="str">
        <f t="shared" si="7"/>
        <v/>
      </c>
      <c r="AO42" s="90"/>
      <c r="AP42" s="90"/>
      <c r="AQ42" s="90"/>
      <c r="AR42" s="90"/>
      <c r="AS42" s="311" t="str">
        <f t="shared" si="8"/>
        <v/>
      </c>
      <c r="AT42" s="90"/>
      <c r="AU42" s="90"/>
      <c r="AV42" s="90"/>
      <c r="AW42" s="90"/>
      <c r="AX42" s="311" t="str">
        <f t="shared" si="9"/>
        <v/>
      </c>
      <c r="AY42" s="90"/>
      <c r="AZ42" s="90"/>
      <c r="BA42" s="90"/>
      <c r="BB42" s="90"/>
      <c r="BC42" s="311" t="str">
        <f t="shared" si="10"/>
        <v/>
      </c>
      <c r="BD42" s="312" t="str">
        <f t="shared" si="11"/>
        <v/>
      </c>
      <c r="BE42" s="313" t="str">
        <f t="shared" si="0"/>
        <v/>
      </c>
      <c r="BF42" s="314" t="str">
        <f t="shared" si="12"/>
        <v/>
      </c>
      <c r="BG42" s="315" t="str">
        <f>IF(BF42="","",IF(BF42&gt;=menu!$O$6,"A",IF(BF42&gt;=menu!$O$7,"B",IF(BF42&gt;=menu!$O$8,"C","D"))))</f>
        <v/>
      </c>
      <c r="BH42" s="105" t="str">
        <f t="shared" si="13"/>
        <v/>
      </c>
      <c r="BI42" s="106" t="str">
        <f>IF(BF42="","",IF(BF42&gt;=menu!$O$6,"sangat terampil",IF(BE42&gt;=menu!$O$7,"terampil",IF(BF42&gt;=menu!$O$8,"cukup terampil","kurang terampil"))))</f>
        <v/>
      </c>
      <c r="BJ42" s="115" t="str">
        <f>IF(BD42="","",VLOOKUP(BD42,DATAKET!$BX$3:$BY$12,2,FALSE))</f>
        <v/>
      </c>
      <c r="BK42" s="104" t="str">
        <f t="shared" si="14"/>
        <v/>
      </c>
    </row>
    <row r="43" spans="1:63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VII-A</v>
      </c>
      <c r="F43" s="90"/>
      <c r="G43" s="90"/>
      <c r="H43" s="90"/>
      <c r="I43" s="90"/>
      <c r="J43" s="311" t="str">
        <f t="shared" si="1"/>
        <v/>
      </c>
      <c r="K43" s="90"/>
      <c r="L43" s="90"/>
      <c r="M43" s="90"/>
      <c r="N43" s="90"/>
      <c r="O43" s="311" t="str">
        <f t="shared" si="2"/>
        <v/>
      </c>
      <c r="P43" s="90"/>
      <c r="Q43" s="90"/>
      <c r="R43" s="90"/>
      <c r="S43" s="90"/>
      <c r="T43" s="311" t="str">
        <f t="shared" si="3"/>
        <v/>
      </c>
      <c r="U43" s="90"/>
      <c r="V43" s="90"/>
      <c r="W43" s="90"/>
      <c r="X43" s="90"/>
      <c r="Y43" s="311" t="str">
        <f t="shared" si="4"/>
        <v/>
      </c>
      <c r="Z43" s="90"/>
      <c r="AA43" s="90"/>
      <c r="AB43" s="90"/>
      <c r="AC43" s="90"/>
      <c r="AD43" s="311" t="str">
        <f t="shared" si="5"/>
        <v/>
      </c>
      <c r="AE43" s="90"/>
      <c r="AF43" s="90"/>
      <c r="AG43" s="90"/>
      <c r="AH43" s="90"/>
      <c r="AI43" s="311" t="str">
        <f t="shared" si="6"/>
        <v/>
      </c>
      <c r="AJ43" s="90"/>
      <c r="AK43" s="90"/>
      <c r="AL43" s="90"/>
      <c r="AM43" s="90"/>
      <c r="AN43" s="311" t="str">
        <f t="shared" si="7"/>
        <v/>
      </c>
      <c r="AO43" s="90"/>
      <c r="AP43" s="90"/>
      <c r="AQ43" s="90"/>
      <c r="AR43" s="90"/>
      <c r="AS43" s="311" t="str">
        <f t="shared" si="8"/>
        <v/>
      </c>
      <c r="AT43" s="90"/>
      <c r="AU43" s="90"/>
      <c r="AV43" s="90"/>
      <c r="AW43" s="90"/>
      <c r="AX43" s="311" t="str">
        <f t="shared" si="9"/>
        <v/>
      </c>
      <c r="AY43" s="90"/>
      <c r="AZ43" s="90"/>
      <c r="BA43" s="90"/>
      <c r="BB43" s="90"/>
      <c r="BC43" s="311" t="str">
        <f t="shared" si="10"/>
        <v/>
      </c>
      <c r="BD43" s="312" t="str">
        <f t="shared" si="11"/>
        <v/>
      </c>
      <c r="BE43" s="313" t="str">
        <f t="shared" si="0"/>
        <v/>
      </c>
      <c r="BF43" s="314" t="str">
        <f t="shared" si="12"/>
        <v/>
      </c>
      <c r="BG43" s="315" t="str">
        <f>IF(BF43="","",IF(BF43&gt;=menu!$O$6,"A",IF(BF43&gt;=menu!$O$7,"B",IF(BF43&gt;=menu!$O$8,"C","D"))))</f>
        <v/>
      </c>
      <c r="BH43" s="105" t="str">
        <f t="shared" si="13"/>
        <v/>
      </c>
      <c r="BI43" s="106" t="str">
        <f>IF(BF43="","",IF(BF43&gt;=menu!$O$6,"sangat terampil",IF(BE43&gt;=menu!$O$7,"terampil",IF(BF43&gt;=menu!$O$8,"cukup terampil","kurang terampil"))))</f>
        <v/>
      </c>
      <c r="BJ43" s="115" t="str">
        <f>IF(BD43="","",VLOOKUP(BD43,DATAKET!$BZ$3:$CA$12,2,FALSE))</f>
        <v/>
      </c>
      <c r="BK43" s="104" t="str">
        <f t="shared" si="14"/>
        <v/>
      </c>
    </row>
    <row r="44" spans="1:63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VII-A</v>
      </c>
      <c r="F44" s="90"/>
      <c r="G44" s="90"/>
      <c r="H44" s="90"/>
      <c r="I44" s="90"/>
      <c r="J44" s="311" t="str">
        <f t="shared" si="1"/>
        <v/>
      </c>
      <c r="K44" s="90"/>
      <c r="L44" s="90"/>
      <c r="M44" s="90"/>
      <c r="N44" s="90"/>
      <c r="O44" s="311" t="str">
        <f t="shared" si="2"/>
        <v/>
      </c>
      <c r="P44" s="90"/>
      <c r="Q44" s="90"/>
      <c r="R44" s="90"/>
      <c r="S44" s="90"/>
      <c r="T44" s="311" t="str">
        <f t="shared" si="3"/>
        <v/>
      </c>
      <c r="U44" s="90"/>
      <c r="V44" s="90"/>
      <c r="W44" s="90"/>
      <c r="X44" s="90"/>
      <c r="Y44" s="311" t="str">
        <f t="shared" si="4"/>
        <v/>
      </c>
      <c r="Z44" s="90"/>
      <c r="AA44" s="90"/>
      <c r="AB44" s="90"/>
      <c r="AC44" s="90"/>
      <c r="AD44" s="311" t="str">
        <f t="shared" si="5"/>
        <v/>
      </c>
      <c r="AE44" s="90"/>
      <c r="AF44" s="90"/>
      <c r="AG44" s="90"/>
      <c r="AH44" s="90"/>
      <c r="AI44" s="311" t="str">
        <f t="shared" si="6"/>
        <v/>
      </c>
      <c r="AJ44" s="90"/>
      <c r="AK44" s="90"/>
      <c r="AL44" s="90"/>
      <c r="AM44" s="90"/>
      <c r="AN44" s="311" t="str">
        <f t="shared" si="7"/>
        <v/>
      </c>
      <c r="AO44" s="90"/>
      <c r="AP44" s="90"/>
      <c r="AQ44" s="90"/>
      <c r="AR44" s="90"/>
      <c r="AS44" s="311" t="str">
        <f t="shared" si="8"/>
        <v/>
      </c>
      <c r="AT44" s="90"/>
      <c r="AU44" s="90"/>
      <c r="AV44" s="90"/>
      <c r="AW44" s="90"/>
      <c r="AX44" s="311" t="str">
        <f t="shared" si="9"/>
        <v/>
      </c>
      <c r="AY44" s="90"/>
      <c r="AZ44" s="90"/>
      <c r="BA44" s="90"/>
      <c r="BB44" s="90"/>
      <c r="BC44" s="311" t="str">
        <f t="shared" si="10"/>
        <v/>
      </c>
      <c r="BD44" s="312" t="str">
        <f t="shared" si="11"/>
        <v/>
      </c>
      <c r="BE44" s="313" t="str">
        <f t="shared" si="0"/>
        <v/>
      </c>
      <c r="BF44" s="314" t="str">
        <f t="shared" si="12"/>
        <v/>
      </c>
      <c r="BG44" s="315" t="str">
        <f>IF(BF44="","",IF(BF44&gt;=menu!$O$6,"A",IF(BF44&gt;=menu!$O$7,"B",IF(BF44&gt;=menu!$O$8,"C","D"))))</f>
        <v/>
      </c>
      <c r="BH44" s="105" t="str">
        <f t="shared" si="13"/>
        <v/>
      </c>
      <c r="BI44" s="106" t="str">
        <f>IF(BF44="","",IF(BF44&gt;=menu!$O$6,"sangat terampil",IF(BE44&gt;=menu!$O$7,"terampil",IF(BF44&gt;=menu!$O$8,"cukup terampil","kurang terampil"))))</f>
        <v/>
      </c>
      <c r="BJ44" s="115" t="str">
        <f>IF(BD44="","",VLOOKUP(BD44,DATAKET!$CB$3:$CC$12,2,FALSE))</f>
        <v/>
      </c>
      <c r="BK44" s="104" t="str">
        <f t="shared" si="14"/>
        <v/>
      </c>
    </row>
    <row r="45" spans="1:63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106" t="str">
        <f>'DATA SISWA'!E45</f>
        <v>VII-A</v>
      </c>
      <c r="F45" s="90"/>
      <c r="G45" s="90"/>
      <c r="H45" s="90"/>
      <c r="I45" s="90"/>
      <c r="J45" s="311" t="str">
        <f t="shared" si="1"/>
        <v/>
      </c>
      <c r="K45" s="90"/>
      <c r="L45" s="90"/>
      <c r="M45" s="90"/>
      <c r="N45" s="90"/>
      <c r="O45" s="311" t="str">
        <f t="shared" si="2"/>
        <v/>
      </c>
      <c r="P45" s="90"/>
      <c r="Q45" s="90"/>
      <c r="R45" s="90"/>
      <c r="S45" s="90"/>
      <c r="T45" s="311" t="str">
        <f t="shared" si="3"/>
        <v/>
      </c>
      <c r="U45" s="90"/>
      <c r="V45" s="90"/>
      <c r="W45" s="90"/>
      <c r="X45" s="90"/>
      <c r="Y45" s="311" t="str">
        <f t="shared" si="4"/>
        <v/>
      </c>
      <c r="Z45" s="90"/>
      <c r="AA45" s="90"/>
      <c r="AB45" s="90"/>
      <c r="AC45" s="90"/>
      <c r="AD45" s="311" t="str">
        <f t="shared" si="5"/>
        <v/>
      </c>
      <c r="AE45" s="90"/>
      <c r="AF45" s="90"/>
      <c r="AG45" s="90"/>
      <c r="AH45" s="90"/>
      <c r="AI45" s="311" t="str">
        <f t="shared" si="6"/>
        <v/>
      </c>
      <c r="AJ45" s="90"/>
      <c r="AK45" s="90"/>
      <c r="AL45" s="90"/>
      <c r="AM45" s="90"/>
      <c r="AN45" s="311" t="str">
        <f t="shared" si="7"/>
        <v/>
      </c>
      <c r="AO45" s="90"/>
      <c r="AP45" s="90"/>
      <c r="AQ45" s="90"/>
      <c r="AR45" s="90"/>
      <c r="AS45" s="311" t="str">
        <f t="shared" si="8"/>
        <v/>
      </c>
      <c r="AT45" s="90"/>
      <c r="AU45" s="90"/>
      <c r="AV45" s="90"/>
      <c r="AW45" s="90"/>
      <c r="AX45" s="311" t="str">
        <f t="shared" si="9"/>
        <v/>
      </c>
      <c r="AY45" s="90"/>
      <c r="AZ45" s="90"/>
      <c r="BA45" s="90"/>
      <c r="BB45" s="90"/>
      <c r="BC45" s="311" t="str">
        <f t="shared" si="10"/>
        <v/>
      </c>
      <c r="BD45" s="312" t="str">
        <f t="shared" si="11"/>
        <v/>
      </c>
      <c r="BE45" s="313" t="str">
        <f t="shared" si="0"/>
        <v/>
      </c>
      <c r="BF45" s="314" t="str">
        <f t="shared" si="12"/>
        <v/>
      </c>
      <c r="BG45" s="315" t="str">
        <f>IF(BF45="","",IF(BF45&gt;=menu!$O$6,"A",IF(BF45&gt;=menu!$O$7,"B",IF(BF45&gt;=menu!$O$8,"C","D"))))</f>
        <v/>
      </c>
      <c r="BH45" s="105" t="str">
        <f t="shared" si="13"/>
        <v/>
      </c>
      <c r="BI45" s="106" t="str">
        <f>IF(BF45="","",IF(BF45&gt;=menu!$O$6,"sangat terampil",IF(BE45&gt;=menu!$O$7,"terampil",IF(BF45&gt;=menu!$O$8,"cukup terampil","kurang terampil"))))</f>
        <v/>
      </c>
      <c r="BJ45" s="115" t="str">
        <f>IF(BD45="","",VLOOKUP(BD45,DATAKET!$CD$3:$CE$12,2,FALSE))</f>
        <v/>
      </c>
      <c r="BK45" s="104" t="str">
        <f t="shared" si="14"/>
        <v/>
      </c>
    </row>
    <row r="46" spans="1:63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106" t="str">
        <f>'DATA SISWA'!E46</f>
        <v>VII-A</v>
      </c>
      <c r="F46" s="90"/>
      <c r="G46" s="90"/>
      <c r="H46" s="90"/>
      <c r="I46" s="90"/>
      <c r="J46" s="311" t="str">
        <f t="shared" si="1"/>
        <v/>
      </c>
      <c r="K46" s="90"/>
      <c r="L46" s="90"/>
      <c r="M46" s="90"/>
      <c r="N46" s="90"/>
      <c r="O46" s="311" t="str">
        <f t="shared" si="2"/>
        <v/>
      </c>
      <c r="P46" s="90"/>
      <c r="Q46" s="90"/>
      <c r="R46" s="90"/>
      <c r="S46" s="90"/>
      <c r="T46" s="311" t="str">
        <f t="shared" si="3"/>
        <v/>
      </c>
      <c r="U46" s="90"/>
      <c r="V46" s="90"/>
      <c r="W46" s="90"/>
      <c r="X46" s="90"/>
      <c r="Y46" s="311" t="str">
        <f t="shared" si="4"/>
        <v/>
      </c>
      <c r="Z46" s="90"/>
      <c r="AA46" s="90"/>
      <c r="AB46" s="90"/>
      <c r="AC46" s="90"/>
      <c r="AD46" s="311" t="str">
        <f t="shared" si="5"/>
        <v/>
      </c>
      <c r="AE46" s="90"/>
      <c r="AF46" s="90"/>
      <c r="AG46" s="90"/>
      <c r="AH46" s="90"/>
      <c r="AI46" s="311" t="str">
        <f t="shared" si="6"/>
        <v/>
      </c>
      <c r="AJ46" s="90"/>
      <c r="AK46" s="90"/>
      <c r="AL46" s="90"/>
      <c r="AM46" s="90"/>
      <c r="AN46" s="311" t="str">
        <f t="shared" si="7"/>
        <v/>
      </c>
      <c r="AO46" s="90"/>
      <c r="AP46" s="90"/>
      <c r="AQ46" s="90"/>
      <c r="AR46" s="90"/>
      <c r="AS46" s="311" t="str">
        <f t="shared" si="8"/>
        <v/>
      </c>
      <c r="AT46" s="90"/>
      <c r="AU46" s="90"/>
      <c r="AV46" s="90"/>
      <c r="AW46" s="90"/>
      <c r="AX46" s="311" t="str">
        <f t="shared" si="9"/>
        <v/>
      </c>
      <c r="AY46" s="90"/>
      <c r="AZ46" s="90"/>
      <c r="BA46" s="90"/>
      <c r="BB46" s="90"/>
      <c r="BC46" s="311" t="str">
        <f t="shared" si="10"/>
        <v/>
      </c>
      <c r="BD46" s="312" t="str">
        <f t="shared" si="11"/>
        <v/>
      </c>
      <c r="BE46" s="313" t="str">
        <f t="shared" si="0"/>
        <v/>
      </c>
      <c r="BF46" s="314" t="str">
        <f t="shared" si="12"/>
        <v/>
      </c>
      <c r="BG46" s="315" t="str">
        <f>IF(BF46="","",IF(BF46&gt;=menu!$O$6,"A",IF(BF46&gt;=menu!$O$7,"B",IF(BF46&gt;=menu!$O$8,"C","D"))))</f>
        <v/>
      </c>
      <c r="BH46" s="105" t="str">
        <f t="shared" si="13"/>
        <v/>
      </c>
      <c r="BI46" s="106" t="str">
        <f>IF(BF46="","",IF(BF46&gt;=menu!$O$6,"sangat terampil",IF(BE46&gt;=menu!$O$7,"terampil",IF(BF46&gt;=menu!$O$8,"cukup terampil","kurang terampil"))))</f>
        <v/>
      </c>
      <c r="BJ46" s="115" t="str">
        <f>IF(BD46="","",VLOOKUP(BD46,DATAKET!$CF$3:$CG$12,2,FALSE))</f>
        <v/>
      </c>
      <c r="BK46" s="104" t="str">
        <f t="shared" si="14"/>
        <v/>
      </c>
    </row>
    <row r="47" spans="1:63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106" t="str">
        <f>'DATA SISWA'!E47</f>
        <v>VII-A</v>
      </c>
      <c r="F47" s="90"/>
      <c r="G47" s="90"/>
      <c r="H47" s="90"/>
      <c r="I47" s="90"/>
      <c r="J47" s="311" t="str">
        <f t="shared" si="1"/>
        <v/>
      </c>
      <c r="K47" s="90"/>
      <c r="L47" s="90"/>
      <c r="M47" s="90"/>
      <c r="N47" s="90"/>
      <c r="O47" s="311" t="str">
        <f t="shared" si="2"/>
        <v/>
      </c>
      <c r="P47" s="90"/>
      <c r="Q47" s="90"/>
      <c r="R47" s="90"/>
      <c r="S47" s="90"/>
      <c r="T47" s="311" t="str">
        <f t="shared" si="3"/>
        <v/>
      </c>
      <c r="U47" s="90"/>
      <c r="V47" s="90"/>
      <c r="W47" s="90"/>
      <c r="X47" s="90"/>
      <c r="Y47" s="311" t="str">
        <f t="shared" si="4"/>
        <v/>
      </c>
      <c r="Z47" s="90"/>
      <c r="AA47" s="90"/>
      <c r="AB47" s="90"/>
      <c r="AC47" s="90"/>
      <c r="AD47" s="311" t="str">
        <f t="shared" si="5"/>
        <v/>
      </c>
      <c r="AE47" s="90"/>
      <c r="AF47" s="90"/>
      <c r="AG47" s="90"/>
      <c r="AH47" s="90"/>
      <c r="AI47" s="311" t="str">
        <f t="shared" si="6"/>
        <v/>
      </c>
      <c r="AJ47" s="90"/>
      <c r="AK47" s="90"/>
      <c r="AL47" s="90"/>
      <c r="AM47" s="90"/>
      <c r="AN47" s="311" t="str">
        <f t="shared" si="7"/>
        <v/>
      </c>
      <c r="AO47" s="90"/>
      <c r="AP47" s="90"/>
      <c r="AQ47" s="90"/>
      <c r="AR47" s="90"/>
      <c r="AS47" s="311" t="str">
        <f t="shared" si="8"/>
        <v/>
      </c>
      <c r="AT47" s="90"/>
      <c r="AU47" s="90"/>
      <c r="AV47" s="90"/>
      <c r="AW47" s="90"/>
      <c r="AX47" s="311" t="str">
        <f t="shared" si="9"/>
        <v/>
      </c>
      <c r="AY47" s="90"/>
      <c r="AZ47" s="90"/>
      <c r="BA47" s="90"/>
      <c r="BB47" s="90"/>
      <c r="BC47" s="311" t="str">
        <f t="shared" si="10"/>
        <v/>
      </c>
      <c r="BD47" s="312" t="str">
        <f t="shared" si="11"/>
        <v/>
      </c>
      <c r="BE47" s="313" t="str">
        <f t="shared" si="0"/>
        <v/>
      </c>
      <c r="BF47" s="314" t="str">
        <f t="shared" si="12"/>
        <v/>
      </c>
      <c r="BG47" s="315" t="str">
        <f>IF(BF47="","",IF(BF47&gt;=menu!$O$6,"A",IF(BF47&gt;=menu!$O$7,"B",IF(BF47&gt;=menu!$O$8,"C","D"))))</f>
        <v/>
      </c>
      <c r="BH47" s="105" t="str">
        <f t="shared" si="13"/>
        <v/>
      </c>
      <c r="BI47" s="106" t="str">
        <f>IF(BF47="","",IF(BF47&gt;=menu!$O$6,"sangat terampil",IF(BE47&gt;=menu!$O$7,"terampil",IF(BF47&gt;=menu!$O$8,"cukup terampil","kurang terampil"))))</f>
        <v/>
      </c>
      <c r="BJ47" s="115" t="str">
        <f>IF(BD47="","",VLOOKUP(BD47,DATAKET!$CH$3:$CI$12,2,FALSE))</f>
        <v/>
      </c>
      <c r="BK47" s="104" t="str">
        <f t="shared" si="14"/>
        <v/>
      </c>
    </row>
    <row r="48" spans="1:63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106" t="str">
        <f>'DATA SISWA'!E48</f>
        <v>VII-A</v>
      </c>
      <c r="F48" s="90"/>
      <c r="G48" s="90"/>
      <c r="H48" s="90"/>
      <c r="I48" s="90"/>
      <c r="J48" s="311" t="str">
        <f t="shared" si="1"/>
        <v/>
      </c>
      <c r="K48" s="90"/>
      <c r="L48" s="90"/>
      <c r="M48" s="90"/>
      <c r="N48" s="90"/>
      <c r="O48" s="311" t="str">
        <f t="shared" si="2"/>
        <v/>
      </c>
      <c r="P48" s="90"/>
      <c r="Q48" s="90"/>
      <c r="R48" s="90"/>
      <c r="S48" s="90"/>
      <c r="T48" s="311" t="str">
        <f t="shared" si="3"/>
        <v/>
      </c>
      <c r="U48" s="90"/>
      <c r="V48" s="90"/>
      <c r="W48" s="90"/>
      <c r="X48" s="90"/>
      <c r="Y48" s="311" t="str">
        <f t="shared" si="4"/>
        <v/>
      </c>
      <c r="Z48" s="90"/>
      <c r="AA48" s="90"/>
      <c r="AB48" s="90"/>
      <c r="AC48" s="90"/>
      <c r="AD48" s="311" t="str">
        <f t="shared" si="5"/>
        <v/>
      </c>
      <c r="AE48" s="90"/>
      <c r="AF48" s="90"/>
      <c r="AG48" s="90"/>
      <c r="AH48" s="90"/>
      <c r="AI48" s="311" t="str">
        <f t="shared" si="6"/>
        <v/>
      </c>
      <c r="AJ48" s="90"/>
      <c r="AK48" s="90"/>
      <c r="AL48" s="90"/>
      <c r="AM48" s="90"/>
      <c r="AN48" s="311" t="str">
        <f t="shared" si="7"/>
        <v/>
      </c>
      <c r="AO48" s="90"/>
      <c r="AP48" s="90"/>
      <c r="AQ48" s="90"/>
      <c r="AR48" s="90"/>
      <c r="AS48" s="311" t="str">
        <f t="shared" si="8"/>
        <v/>
      </c>
      <c r="AT48" s="90"/>
      <c r="AU48" s="90"/>
      <c r="AV48" s="90"/>
      <c r="AW48" s="90"/>
      <c r="AX48" s="311" t="str">
        <f t="shared" si="9"/>
        <v/>
      </c>
      <c r="AY48" s="90"/>
      <c r="AZ48" s="90"/>
      <c r="BA48" s="90"/>
      <c r="BB48" s="90"/>
      <c r="BC48" s="311" t="str">
        <f t="shared" si="10"/>
        <v/>
      </c>
      <c r="BD48" s="312" t="str">
        <f t="shared" si="11"/>
        <v/>
      </c>
      <c r="BE48" s="313" t="str">
        <f t="shared" si="0"/>
        <v/>
      </c>
      <c r="BF48" s="314" t="str">
        <f t="shared" si="12"/>
        <v/>
      </c>
      <c r="BG48" s="315" t="str">
        <f>IF(BF48="","",IF(BF48&gt;=menu!$O$6,"A",IF(BF48&gt;=menu!$O$7,"B",IF(BF48&gt;=menu!$O$8,"C","D"))))</f>
        <v/>
      </c>
      <c r="BH48" s="105" t="str">
        <f t="shared" si="13"/>
        <v/>
      </c>
      <c r="BI48" s="106" t="str">
        <f>IF(BF48="","",IF(BF48&gt;=menu!$O$6,"sangat terampil",IF(BE48&gt;=menu!$O$7,"terampil",IF(BF48&gt;=menu!$O$8,"cukup terampil","kurang terampil"))))</f>
        <v/>
      </c>
      <c r="BJ48" s="115" t="str">
        <f>IF(BD48="","",VLOOKUP(BD48,DATAKET!$CJ$3:$CK$12,2,FALSE))</f>
        <v/>
      </c>
      <c r="BK48" s="104" t="str">
        <f t="shared" si="14"/>
        <v/>
      </c>
    </row>
    <row r="49" spans="1:63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106" t="str">
        <f>'DATA SISWA'!E49</f>
        <v>VII-A</v>
      </c>
      <c r="F49" s="90"/>
      <c r="G49" s="90"/>
      <c r="H49" s="90"/>
      <c r="I49" s="90"/>
      <c r="J49" s="311" t="str">
        <f t="shared" si="1"/>
        <v/>
      </c>
      <c r="K49" s="90"/>
      <c r="L49" s="90"/>
      <c r="M49" s="90"/>
      <c r="N49" s="90"/>
      <c r="O49" s="311" t="str">
        <f t="shared" si="2"/>
        <v/>
      </c>
      <c r="P49" s="90"/>
      <c r="Q49" s="90"/>
      <c r="R49" s="90"/>
      <c r="S49" s="90"/>
      <c r="T49" s="311" t="str">
        <f t="shared" si="3"/>
        <v/>
      </c>
      <c r="U49" s="90"/>
      <c r="V49" s="90"/>
      <c r="W49" s="90"/>
      <c r="X49" s="90"/>
      <c r="Y49" s="311" t="str">
        <f t="shared" si="4"/>
        <v/>
      </c>
      <c r="Z49" s="90"/>
      <c r="AA49" s="90"/>
      <c r="AB49" s="90"/>
      <c r="AC49" s="90"/>
      <c r="AD49" s="311" t="str">
        <f t="shared" si="5"/>
        <v/>
      </c>
      <c r="AE49" s="90"/>
      <c r="AF49" s="90"/>
      <c r="AG49" s="90"/>
      <c r="AH49" s="90"/>
      <c r="AI49" s="311" t="str">
        <f t="shared" si="6"/>
        <v/>
      </c>
      <c r="AJ49" s="90"/>
      <c r="AK49" s="90"/>
      <c r="AL49" s="90"/>
      <c r="AM49" s="90"/>
      <c r="AN49" s="311" t="str">
        <f t="shared" si="7"/>
        <v/>
      </c>
      <c r="AO49" s="90"/>
      <c r="AP49" s="90"/>
      <c r="AQ49" s="90"/>
      <c r="AR49" s="90"/>
      <c r="AS49" s="311" t="str">
        <f t="shared" si="8"/>
        <v/>
      </c>
      <c r="AT49" s="90"/>
      <c r="AU49" s="90"/>
      <c r="AV49" s="90"/>
      <c r="AW49" s="90"/>
      <c r="AX49" s="311" t="str">
        <f t="shared" si="9"/>
        <v/>
      </c>
      <c r="AY49" s="90"/>
      <c r="AZ49" s="90"/>
      <c r="BA49" s="90"/>
      <c r="BB49" s="90"/>
      <c r="BC49" s="311" t="str">
        <f t="shared" si="10"/>
        <v/>
      </c>
      <c r="BD49" s="312" t="str">
        <f t="shared" si="11"/>
        <v/>
      </c>
      <c r="BE49" s="313" t="str">
        <f t="shared" si="0"/>
        <v/>
      </c>
      <c r="BF49" s="314" t="str">
        <f t="shared" si="12"/>
        <v/>
      </c>
      <c r="BG49" s="315" t="str">
        <f>IF(BF49="","",IF(BF49&gt;=menu!$O$6,"A",IF(BF49&gt;=menu!$O$7,"B",IF(BF49&gt;=menu!$O$8,"C","D"))))</f>
        <v/>
      </c>
      <c r="BH49" s="105" t="str">
        <f t="shared" si="13"/>
        <v/>
      </c>
      <c r="BI49" s="106" t="str">
        <f>IF(BF49="","",IF(BF49&gt;=menu!$O$6,"sangat terampil",IF(BE49&gt;=menu!$O$7,"terampil",IF(BF49&gt;=menu!$O$8,"cukup terampil","kurang terampil"))))</f>
        <v/>
      </c>
      <c r="BJ49" s="115" t="str">
        <f>IF(BD49="","",VLOOKUP(BD49,DATAKET!$CL$3:$CM$12,2,FALSE))</f>
        <v/>
      </c>
      <c r="BK49" s="104" t="str">
        <f t="shared" si="14"/>
        <v/>
      </c>
    </row>
    <row r="50" spans="1:63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106" t="str">
        <f>'DATA SISWA'!E50</f>
        <v>VII-A</v>
      </c>
      <c r="F50" s="90"/>
      <c r="G50" s="90"/>
      <c r="H50" s="90"/>
      <c r="I50" s="90"/>
      <c r="J50" s="311" t="str">
        <f t="shared" si="1"/>
        <v/>
      </c>
      <c r="K50" s="90"/>
      <c r="L50" s="90"/>
      <c r="M50" s="90"/>
      <c r="N50" s="90"/>
      <c r="O50" s="311" t="str">
        <f t="shared" si="2"/>
        <v/>
      </c>
      <c r="P50" s="90"/>
      <c r="Q50" s="90"/>
      <c r="R50" s="90"/>
      <c r="S50" s="90"/>
      <c r="T50" s="311" t="str">
        <f t="shared" si="3"/>
        <v/>
      </c>
      <c r="U50" s="90"/>
      <c r="V50" s="90"/>
      <c r="W50" s="90"/>
      <c r="X50" s="90"/>
      <c r="Y50" s="311" t="str">
        <f t="shared" si="4"/>
        <v/>
      </c>
      <c r="Z50" s="90"/>
      <c r="AA50" s="90"/>
      <c r="AB50" s="90"/>
      <c r="AC50" s="90"/>
      <c r="AD50" s="311" t="str">
        <f t="shared" si="5"/>
        <v/>
      </c>
      <c r="AE50" s="90"/>
      <c r="AF50" s="90"/>
      <c r="AG50" s="90"/>
      <c r="AH50" s="90"/>
      <c r="AI50" s="311" t="str">
        <f t="shared" si="6"/>
        <v/>
      </c>
      <c r="AJ50" s="90"/>
      <c r="AK50" s="90"/>
      <c r="AL50" s="90"/>
      <c r="AM50" s="90"/>
      <c r="AN50" s="311" t="str">
        <f t="shared" si="7"/>
        <v/>
      </c>
      <c r="AO50" s="90"/>
      <c r="AP50" s="90"/>
      <c r="AQ50" s="90"/>
      <c r="AR50" s="90"/>
      <c r="AS50" s="311" t="str">
        <f t="shared" si="8"/>
        <v/>
      </c>
      <c r="AT50" s="90"/>
      <c r="AU50" s="90"/>
      <c r="AV50" s="90"/>
      <c r="AW50" s="90"/>
      <c r="AX50" s="311" t="str">
        <f t="shared" si="9"/>
        <v/>
      </c>
      <c r="AY50" s="90"/>
      <c r="AZ50" s="90"/>
      <c r="BA50" s="90"/>
      <c r="BB50" s="90"/>
      <c r="BC50" s="311" t="str">
        <f t="shared" si="10"/>
        <v/>
      </c>
      <c r="BD50" s="312" t="str">
        <f t="shared" si="11"/>
        <v/>
      </c>
      <c r="BE50" s="313" t="str">
        <f t="shared" si="0"/>
        <v/>
      </c>
      <c r="BF50" s="314" t="str">
        <f t="shared" si="12"/>
        <v/>
      </c>
      <c r="BG50" s="315" t="str">
        <f>IF(BF50="","",IF(BF50&gt;=menu!$O$6,"A",IF(BF50&gt;=menu!$O$7,"B",IF(BF50&gt;=menu!$O$8,"C","D"))))</f>
        <v/>
      </c>
      <c r="BH50" s="105" t="str">
        <f t="shared" si="13"/>
        <v/>
      </c>
      <c r="BI50" s="106" t="str">
        <f>IF(BF50="","",IF(BF50&gt;=menu!$O$6,"sangat terampil",IF(BE50&gt;=menu!$O$7,"terampil",IF(BF50&gt;=menu!$O$8,"cukup terampil","kurang terampil"))))</f>
        <v/>
      </c>
      <c r="BJ50" s="115" t="str">
        <f>IF(BD50="","",VLOOKUP(BD50,DATAKET!$CN$3:$CO$12,2,FALSE))</f>
        <v/>
      </c>
      <c r="BK50" s="104" t="str">
        <f t="shared" si="14"/>
        <v/>
      </c>
    </row>
    <row r="51" spans="1:63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106" t="str">
        <f>'DATA SISWA'!E51</f>
        <v>VII-A</v>
      </c>
      <c r="F51" s="90"/>
      <c r="G51" s="90"/>
      <c r="H51" s="90"/>
      <c r="I51" s="90"/>
      <c r="J51" s="311" t="str">
        <f t="shared" si="1"/>
        <v/>
      </c>
      <c r="K51" s="90"/>
      <c r="L51" s="90"/>
      <c r="M51" s="90"/>
      <c r="N51" s="90"/>
      <c r="O51" s="311" t="str">
        <f t="shared" si="2"/>
        <v/>
      </c>
      <c r="P51" s="90"/>
      <c r="Q51" s="90"/>
      <c r="R51" s="90"/>
      <c r="S51" s="90"/>
      <c r="T51" s="311" t="str">
        <f t="shared" si="3"/>
        <v/>
      </c>
      <c r="U51" s="90"/>
      <c r="V51" s="90"/>
      <c r="W51" s="90"/>
      <c r="X51" s="90"/>
      <c r="Y51" s="311" t="str">
        <f t="shared" si="4"/>
        <v/>
      </c>
      <c r="Z51" s="90"/>
      <c r="AA51" s="90"/>
      <c r="AB51" s="90"/>
      <c r="AC51" s="90"/>
      <c r="AD51" s="311" t="str">
        <f t="shared" si="5"/>
        <v/>
      </c>
      <c r="AE51" s="90"/>
      <c r="AF51" s="90"/>
      <c r="AG51" s="90"/>
      <c r="AH51" s="90"/>
      <c r="AI51" s="311" t="str">
        <f t="shared" si="6"/>
        <v/>
      </c>
      <c r="AJ51" s="90"/>
      <c r="AK51" s="90"/>
      <c r="AL51" s="90"/>
      <c r="AM51" s="90"/>
      <c r="AN51" s="311" t="str">
        <f t="shared" si="7"/>
        <v/>
      </c>
      <c r="AO51" s="90"/>
      <c r="AP51" s="90"/>
      <c r="AQ51" s="90"/>
      <c r="AR51" s="90"/>
      <c r="AS51" s="311" t="str">
        <f t="shared" si="8"/>
        <v/>
      </c>
      <c r="AT51" s="90"/>
      <c r="AU51" s="90"/>
      <c r="AV51" s="90"/>
      <c r="AW51" s="90"/>
      <c r="AX51" s="311" t="str">
        <f t="shared" si="9"/>
        <v/>
      </c>
      <c r="AY51" s="90"/>
      <c r="AZ51" s="90"/>
      <c r="BA51" s="90"/>
      <c r="BB51" s="90"/>
      <c r="BC51" s="311" t="str">
        <f t="shared" si="10"/>
        <v/>
      </c>
      <c r="BD51" s="312" t="str">
        <f t="shared" si="11"/>
        <v/>
      </c>
      <c r="BE51" s="313" t="str">
        <f t="shared" si="0"/>
        <v/>
      </c>
      <c r="BF51" s="314" t="str">
        <f t="shared" si="12"/>
        <v/>
      </c>
      <c r="BG51" s="315" t="str">
        <f>IF(BF51="","",IF(BF51&gt;=menu!$O$6,"A",IF(BF51&gt;=menu!$O$7,"B",IF(BF51&gt;=menu!$O$8,"C","D"))))</f>
        <v/>
      </c>
      <c r="BH51" s="105" t="str">
        <f t="shared" si="13"/>
        <v/>
      </c>
      <c r="BI51" s="106" t="str">
        <f>IF(BF51="","",IF(BF51&gt;=menu!$O$6,"sangat terampil",IF(BE51&gt;=menu!$O$7,"terampil",IF(BF51&gt;=menu!$O$8,"cukup terampil","kurang terampil"))))</f>
        <v/>
      </c>
      <c r="BJ51" s="115" t="str">
        <f>IF(BD51="","",VLOOKUP(BD51,DATAKET!$CP$3:$CQ$12,2,FALSE))</f>
        <v/>
      </c>
      <c r="BK51" s="104" t="str">
        <f t="shared" si="14"/>
        <v/>
      </c>
    </row>
    <row r="52" spans="1:63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106" t="str">
        <f>'DATA SISWA'!E52</f>
        <v>VII-A</v>
      </c>
      <c r="F52" s="90"/>
      <c r="G52" s="90"/>
      <c r="H52" s="90"/>
      <c r="I52" s="90"/>
      <c r="J52" s="311" t="str">
        <f t="shared" si="1"/>
        <v/>
      </c>
      <c r="K52" s="90"/>
      <c r="L52" s="90"/>
      <c r="M52" s="90"/>
      <c r="N52" s="90"/>
      <c r="O52" s="311" t="str">
        <f t="shared" si="2"/>
        <v/>
      </c>
      <c r="P52" s="90"/>
      <c r="Q52" s="90"/>
      <c r="R52" s="90"/>
      <c r="S52" s="90"/>
      <c r="T52" s="311" t="str">
        <f t="shared" si="3"/>
        <v/>
      </c>
      <c r="U52" s="90"/>
      <c r="V52" s="90"/>
      <c r="W52" s="90"/>
      <c r="X52" s="90"/>
      <c r="Y52" s="311" t="str">
        <f t="shared" si="4"/>
        <v/>
      </c>
      <c r="Z52" s="90"/>
      <c r="AA52" s="90"/>
      <c r="AB52" s="90"/>
      <c r="AC52" s="90"/>
      <c r="AD52" s="311" t="str">
        <f t="shared" si="5"/>
        <v/>
      </c>
      <c r="AE52" s="90"/>
      <c r="AF52" s="90"/>
      <c r="AG52" s="90"/>
      <c r="AH52" s="90"/>
      <c r="AI52" s="311" t="str">
        <f t="shared" si="6"/>
        <v/>
      </c>
      <c r="AJ52" s="90"/>
      <c r="AK52" s="90"/>
      <c r="AL52" s="90"/>
      <c r="AM52" s="90"/>
      <c r="AN52" s="311" t="str">
        <f t="shared" si="7"/>
        <v/>
      </c>
      <c r="AO52" s="90"/>
      <c r="AP52" s="90"/>
      <c r="AQ52" s="90"/>
      <c r="AR52" s="90"/>
      <c r="AS52" s="311" t="str">
        <f t="shared" si="8"/>
        <v/>
      </c>
      <c r="AT52" s="90"/>
      <c r="AU52" s="90"/>
      <c r="AV52" s="90"/>
      <c r="AW52" s="90"/>
      <c r="AX52" s="311" t="str">
        <f t="shared" si="9"/>
        <v/>
      </c>
      <c r="AY52" s="90"/>
      <c r="AZ52" s="90"/>
      <c r="BA52" s="90"/>
      <c r="BB52" s="90"/>
      <c r="BC52" s="311" t="str">
        <f t="shared" si="10"/>
        <v/>
      </c>
      <c r="BD52" s="312" t="str">
        <f t="shared" si="11"/>
        <v/>
      </c>
      <c r="BE52" s="313" t="str">
        <f t="shared" si="0"/>
        <v/>
      </c>
      <c r="BF52" s="314" t="str">
        <f t="shared" si="12"/>
        <v/>
      </c>
      <c r="BG52" s="315" t="str">
        <f>IF(BF52="","",IF(BF52&gt;=menu!$O$6,"A",IF(BF52&gt;=menu!$O$7,"B",IF(BF52&gt;=menu!$O$8,"C","D"))))</f>
        <v/>
      </c>
      <c r="BH52" s="105" t="str">
        <f t="shared" si="13"/>
        <v/>
      </c>
      <c r="BI52" s="106" t="str">
        <f>IF(BF52="","",IF(BF52&gt;=menu!$O$6,"sangat terampil",IF(BE52&gt;=menu!$O$7,"terampil",IF(BF52&gt;=menu!$O$8,"cukup terampil","kurang terampil"))))</f>
        <v/>
      </c>
      <c r="BJ52" s="115" t="str">
        <f>IF(BD52="","",VLOOKUP(BD52,DATAKET!$CR$3:$CS$12,2,FALSE))</f>
        <v/>
      </c>
      <c r="BK52" s="104" t="str">
        <f t="shared" si="14"/>
        <v/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78</v>
      </c>
      <c r="C3" s="89" t="str">
        <f>IF(B3="","",IF('Input Nilai Ketrampilan'!$F$1="","",'Input Nilai Ketrampilan'!$F$1))</f>
        <v>menyelesaikan masalahyang berkaitandengan urutan beberapa bilanganbulat dan pecahan(biasa, campuran,desimal, persen)</v>
      </c>
      <c r="D3" s="89" t="str">
        <f>IF('Input Nilai Ketrampilan'!J6="","",'Input Nilai Ketrampilan'!J6)</f>
        <v/>
      </c>
      <c r="E3" s="89" t="str">
        <f>IF(D3="","",IF('Input Nilai Ketrampilan'!$F$1="","",'Input Nilai Ketrampilan'!$F$1))</f>
        <v/>
      </c>
      <c r="F3" s="89" t="str">
        <f>IF('Input Nilai Ketrampilan'!J7="","",'Input Nilai Ketrampilan'!J7)</f>
        <v/>
      </c>
      <c r="G3" s="89" t="str">
        <f>IF(F3="","",IF('Input Nilai Ketrampilan'!$F$1="","",'Input Nilai Ketrampilan'!$F$1))</f>
        <v/>
      </c>
      <c r="H3" s="89" t="str">
        <f>IF('Input Nilai Ketrampilan'!J8="","",'Input Nilai Ketrampilan'!J8)</f>
        <v/>
      </c>
      <c r="I3" s="89" t="str">
        <f>IF(H3="","",IF('Input Nilai Ketrampilan'!$F$1="","",'Input Nilai Ketrampilan'!$F$1))</f>
        <v/>
      </c>
      <c r="J3" s="89" t="str">
        <f>IF('Input Nilai Ketrampilan'!J9="","",'Input Nilai Ketrampilan'!J9)</f>
        <v/>
      </c>
      <c r="K3" s="89" t="str">
        <f>IF(J3="","",IF('Input Nilai Ketrampilan'!$F$1="","",'Input Nilai Ketrampilan'!$F$1))</f>
        <v/>
      </c>
      <c r="L3" s="89" t="str">
        <f>IF('Input Nilai Ketrampilan'!J10="","",'Input Nilai Ketrampilan'!J10)</f>
        <v/>
      </c>
      <c r="M3" s="89" t="str">
        <f>IF(L3="","",IF('Input Nilai Ketrampilan'!$F$1="","",'Input Nilai Ketrampilan'!$F$1))</f>
        <v/>
      </c>
      <c r="N3" s="89" t="str">
        <f>IF('Input Nilai Ketrampilan'!J11="","",'Input Nilai Ketrampilan'!J11)</f>
        <v/>
      </c>
      <c r="O3" s="89" t="str">
        <f>IF(N3="","",IF('Input Nilai Ketrampilan'!$F$1="","",'Input Nilai Ketrampilan'!$F$1))</f>
        <v/>
      </c>
      <c r="P3" s="89" t="str">
        <f>IF('Input Nilai Ketrampilan'!J12="","",'Input Nilai Ketrampilan'!J12)</f>
        <v/>
      </c>
      <c r="Q3" s="89" t="str">
        <f>IF(P3="","",IF('Input Nilai Ketrampilan'!$F$1="","",'Input Nilai Ketrampilan'!$F$1))</f>
        <v/>
      </c>
      <c r="R3" s="89" t="str">
        <f>IF('Input Nilai Ketrampilan'!J13="","",'Input Nilai Ketrampilan'!J13)</f>
        <v/>
      </c>
      <c r="S3" s="89" t="str">
        <f>IF(R3="","",IF('Input Nilai Ketrampilan'!$F$1="","",'Input Nilai Ketrampilan'!$F$1))</f>
        <v/>
      </c>
      <c r="T3" s="89" t="str">
        <f>IF('Input Nilai Ketrampilan'!J14="","",'Input Nilai Ketrampilan'!J14)</f>
        <v/>
      </c>
      <c r="U3" s="89" t="str">
        <f>IF(T3="","",IF('Input Nilai Ketrampilan'!$F$1="","",'Input Nilai Ketrampilan'!$F$1))</f>
        <v/>
      </c>
      <c r="V3" s="89" t="str">
        <f>IF('Input Nilai Ketrampilan'!J15="","",'Input Nilai Ketrampilan'!J15)</f>
        <v/>
      </c>
      <c r="W3" s="89" t="str">
        <f>IF(V3="","",IF('Input Nilai Ketrampilan'!$F$1="","",'Input Nilai Ketrampilan'!$F$1))</f>
        <v/>
      </c>
      <c r="X3" s="89" t="str">
        <f>IF('Input Nilai Ketrampilan'!J16="","",'Input Nilai Ketrampilan'!J16)</f>
        <v/>
      </c>
      <c r="Y3" s="89" t="str">
        <f>IF(X3="","",IF('Input Nilai Ketrampilan'!$F$1="","",'Input Nilai Ketrampilan'!$F$1))</f>
        <v/>
      </c>
      <c r="Z3" s="89" t="str">
        <f>IF('Input Nilai Ketrampilan'!J17="","",'Input Nilai Ketrampilan'!J17)</f>
        <v/>
      </c>
      <c r="AA3" s="89" t="str">
        <f>IF(Z3="","",IF('Input Nilai Ketrampilan'!$F$1="","",'Input Nilai Ketrampilan'!$F$1))</f>
        <v/>
      </c>
      <c r="AB3" s="89" t="str">
        <f>IF('Input Nilai Ketrampilan'!J18="","",'Input Nilai Ketrampilan'!J18)</f>
        <v/>
      </c>
      <c r="AC3" s="89" t="str">
        <f>IF(AB3="","",IF('Input Nilai Ketrampilan'!$F$1="","",'Input Nilai Ketrampilan'!$F$1))</f>
        <v/>
      </c>
      <c r="AD3" s="89" t="str">
        <f>IF('Input Nilai Ketrampilan'!J19="","",'Input Nilai Ketrampilan'!J19)</f>
        <v/>
      </c>
      <c r="AE3" s="89" t="str">
        <f>IF(AD3="","",IF('Input Nilai Ketrampilan'!$F$1="","",'Input Nilai Ketrampilan'!$F$1))</f>
        <v/>
      </c>
      <c r="AF3" s="89" t="str">
        <f>IF('Input Nilai Ketrampilan'!J20="","",'Input Nilai Ketrampilan'!J20)</f>
        <v/>
      </c>
      <c r="AG3" s="89" t="str">
        <f>IF(AF3="","",IF('Input Nilai Ketrampilan'!$F$1="","",'Input Nilai Ketrampilan'!$F$1))</f>
        <v/>
      </c>
      <c r="AH3" s="89" t="str">
        <f>IF('Input Nilai Ketrampilan'!J21="","",'Input Nilai Ketrampilan'!J21)</f>
        <v/>
      </c>
      <c r="AI3" s="89" t="str">
        <f>IF(AH3="","",IF('Input Nilai Ketrampilan'!$F$1="","",'Input Nilai Ketrampilan'!$F$1))</f>
        <v/>
      </c>
      <c r="AJ3" s="89" t="str">
        <f>IF('Input Nilai Ketrampilan'!J22="","",'Input Nilai Ketrampilan'!J22)</f>
        <v/>
      </c>
      <c r="AK3" s="89" t="str">
        <f>IF(AJ3="","",IF('Input Nilai Ketrampilan'!$F$1="","",'Input Nilai Ketrampilan'!$F$1))</f>
        <v/>
      </c>
      <c r="AL3" s="89" t="str">
        <f>IF('Input Nilai Ketrampilan'!J23="","",'Input Nilai Ketrampilan'!J23)</f>
        <v/>
      </c>
      <c r="AM3" s="89" t="str">
        <f>IF(AL3="","",IF('Input Nilai Ketrampilan'!$F$1="","",'Input Nilai Ketrampilan'!$F$1))</f>
        <v/>
      </c>
      <c r="AN3" s="89" t="str">
        <f>IF('Input Nilai Ketrampilan'!J24="","",'Input Nilai Ketrampilan'!J24)</f>
        <v/>
      </c>
      <c r="AO3" s="89" t="str">
        <f>IF(AN3="","",IF('Input Nilai Ketrampilan'!$F$1="","",'Input Nilai Ketrampilan'!$F$1))</f>
        <v/>
      </c>
      <c r="AP3" s="89" t="str">
        <f>IF('Input Nilai Ketrampilan'!J25="","",'Input Nilai Ketrampilan'!J25)</f>
        <v/>
      </c>
      <c r="AQ3" s="89" t="str">
        <f>IF(AP3="","",IF('Input Nilai Ketrampilan'!$F$1="","",'Input Nilai Ketrampilan'!$F$1))</f>
        <v/>
      </c>
      <c r="AR3" s="89" t="str">
        <f>IF('Input Nilai Ketrampilan'!J26="","",'Input Nilai Ketrampilan'!J26)</f>
        <v/>
      </c>
      <c r="AS3" s="89" t="str">
        <f>IF(AR3="","",IF('Input Nilai Ketrampilan'!$F$1="","",'Input Nilai Ketrampilan'!$F$1))</f>
        <v/>
      </c>
      <c r="AT3" s="89" t="str">
        <f>IF('Input Nilai Ketrampilan'!J27="","",'Input Nilai Ketrampilan'!J27)</f>
        <v/>
      </c>
      <c r="AU3" s="89" t="str">
        <f>IF(AT3="","",IF('Input Nilai Ketrampilan'!$F$1="","",'Input Nilai Ketrampilan'!$F$1))</f>
        <v/>
      </c>
      <c r="AV3" s="89" t="str">
        <f>IF('Input Nilai Ketrampilan'!J28="","",'Input Nilai Ketrampilan'!J28)</f>
        <v/>
      </c>
      <c r="AW3" s="89" t="str">
        <f>IF(AV3="","",IF('Input Nilai Ketrampilan'!$F$1="","",'Input Nilai Ketrampilan'!$F$1))</f>
        <v/>
      </c>
      <c r="AX3" s="89" t="str">
        <f>IF('Input Nilai Ketrampilan'!J29="","",'Input Nilai Ketrampilan'!J29)</f>
        <v/>
      </c>
      <c r="AY3" s="89" t="str">
        <f>IF(AX3="","",IF('Input Nilai Ketrampilan'!$F$1="","",'Input Nilai Ketrampilan'!$F$1))</f>
        <v/>
      </c>
      <c r="AZ3" s="89" t="str">
        <f>IF('Input Nilai Ketrampilan'!J30="","",'Input Nilai Ketrampilan'!J30)</f>
        <v/>
      </c>
      <c r="BA3" s="89" t="str">
        <f>IF(AZ3="","",IF('Input Nilai Ketrampilan'!$F$1="","",'Input Nilai Ketrampilan'!$F$1))</f>
        <v/>
      </c>
      <c r="BB3" s="89" t="str">
        <f>IF('Input Nilai Ketrampilan'!J31="","",'Input Nilai Ketrampilan'!J31)</f>
        <v/>
      </c>
      <c r="BC3" s="89" t="str">
        <f>IF(BB3="","",IF('Input Nilai Ketrampilan'!$F$1="","",'Input Nilai Ketrampilan'!$F$1))</f>
        <v/>
      </c>
      <c r="BD3" s="89" t="str">
        <f>IF('Input Nilai Ketrampilan'!J32="","",'Input Nilai Ketrampilan'!J32)</f>
        <v/>
      </c>
      <c r="BE3" s="89" t="str">
        <f>IF(BD3="","",IF('Input Nilai Ketrampilan'!$F$1="","",'Input Nilai Ketrampilan'!$F$1))</f>
        <v/>
      </c>
      <c r="BF3" s="89" t="str">
        <f>IF('Input Nilai Ketrampilan'!J33="","",'Input Nilai Ketrampilan'!J33)</f>
        <v/>
      </c>
      <c r="BG3" s="89" t="str">
        <f>IF(BF3="","",IF('Input Nilai Ketrampilan'!$F$1="","",'Input Nilai Ketrampilan'!$F$1))</f>
        <v/>
      </c>
      <c r="BH3" s="89" t="str">
        <f>IF('Input Nilai Ketrampilan'!J34="","",'Input Nilai Ketrampilan'!J34)</f>
        <v/>
      </c>
      <c r="BI3" s="89" t="str">
        <f>IF(BH3="","",IF('Input Nilai Ketrampilan'!$F$1="","",'Input Nilai Ketrampilan'!$F$1))</f>
        <v/>
      </c>
      <c r="BJ3" s="89" t="str">
        <f>IF('Input Nilai Ketrampilan'!J35="","",'Input Nilai Ketrampilan'!J35)</f>
        <v/>
      </c>
      <c r="BK3" s="89" t="str">
        <f>IF(BJ3="","",IF('Input Nilai Ketrampilan'!$F$1="","",'Input Nilai Ketrampilan'!$F$1))</f>
        <v/>
      </c>
      <c r="BL3" s="89" t="str">
        <f>IF('Input Nilai Ketrampilan'!J36="","",'Input Nilai Ketrampilan'!J36)</f>
        <v/>
      </c>
      <c r="BM3" s="89" t="str">
        <f>IF(BL3="","",IF('Input Nilai Ketrampilan'!$F$1="","",'Input Nilai Ketrampilan'!$F$1))</f>
        <v/>
      </c>
      <c r="BN3" s="89" t="str">
        <f>IF('Input Nilai Ketrampilan'!J37="","",'Input Nilai Ketrampilan'!J37)</f>
        <v/>
      </c>
      <c r="BO3" s="89" t="str">
        <f>IF(BN3="","",IF('Input Nilai Ketrampilan'!$F$1="","",'Input Nilai Ketrampilan'!$F$1))</f>
        <v/>
      </c>
      <c r="BP3" s="89" t="str">
        <f>IF('Input Nilai Ketrampilan'!J38="","",'Input Nilai Ketrampilan'!J38)</f>
        <v/>
      </c>
      <c r="BQ3" s="89" t="str">
        <f>IF(BP3="","",IF('Input Nilai Ketrampilan'!$F$1="","",'Input Nilai Ketrampilan'!$F$1))</f>
        <v/>
      </c>
      <c r="BR3" s="89" t="str">
        <f>IF('Input Nilai Ketrampilan'!J39="","",'Input Nilai Ketrampilan'!J39)</f>
        <v/>
      </c>
      <c r="BS3" s="89" t="str">
        <f>IF(BR3="","",IF('Input Nilai Ketrampilan'!$F$1="","",'Input Nilai Ketrampilan'!$F$1))</f>
        <v/>
      </c>
      <c r="BT3" s="89" t="str">
        <f>IF('Input Nilai Ketrampilan'!J40="","",'Input Nilai Ketrampilan'!J40)</f>
        <v/>
      </c>
      <c r="BU3" s="89" t="str">
        <f>IF(BT3="","",IF('Input Nilai Ketrampilan'!$F$1="","",'Input Nilai Ketrampilan'!$F$1))</f>
        <v/>
      </c>
      <c r="BV3" s="89" t="str">
        <f>IF('Input Nilai Ketrampilan'!J41="","",'Input Nilai Ketrampilan'!J41)</f>
        <v/>
      </c>
      <c r="BW3" s="89" t="str">
        <f>IF(BV3="","",IF('Input Nilai Ketrampilan'!$F$1="","",'Input Nilai Ketrampilan'!$F$1))</f>
        <v/>
      </c>
      <c r="BX3" s="89" t="str">
        <f>IF('Input Nilai Ketrampilan'!J42="","",'Input Nilai Ketrampilan'!J42)</f>
        <v/>
      </c>
      <c r="BY3" s="89" t="str">
        <f>IF(BX3="","",IF('Input Nilai Ketrampilan'!$F$1="","",'Input Nilai Ketrampilan'!$F$1))</f>
        <v/>
      </c>
      <c r="BZ3" s="89" t="str">
        <f>IF('Input Nilai Ketrampilan'!J43="","",'Input Nilai Ketrampilan'!J43)</f>
        <v/>
      </c>
      <c r="CA3" s="89" t="str">
        <f>IF(BZ3="","",IF('Input Nilai Ketrampilan'!$F$1="","",'Input Nilai Ketrampilan'!$F$1))</f>
        <v/>
      </c>
      <c r="CB3" s="89" t="str">
        <f>IF('Input Nilai Ketrampilan'!J44="","",'Input Nilai Ketrampilan'!J44)</f>
        <v/>
      </c>
      <c r="CC3" s="89" t="str">
        <f>IF(CB3="","",IF('Input Nilai Ketrampilan'!$F$1="","",'Input Nilai Ketrampilan'!$F$1))</f>
        <v/>
      </c>
      <c r="CD3" s="89" t="str">
        <f>IF('Input Nilai Ketrampilan'!J45="","",'Input Nilai Ketrampilan'!J45)</f>
        <v/>
      </c>
      <c r="CE3" s="89" t="str">
        <f>IF(CD3="","",IF('Input Nilai Ketrampilan'!$F$1="","",'Input Nilai Ketrampilan'!$F$1))</f>
        <v/>
      </c>
      <c r="CF3" s="89" t="str">
        <f>IF('Input Nilai Ketrampilan'!J46="","",'Input Nilai Ketrampilan'!J46)</f>
        <v/>
      </c>
      <c r="CG3" s="89" t="str">
        <f>IF(CF3="","",IF('Input Nilai Ketrampilan'!$F$1="","",'Input Nilai Ketrampilan'!$F$1))</f>
        <v/>
      </c>
      <c r="CH3" s="89" t="str">
        <f>IF('Input Nilai Ketrampilan'!J47="","",'Input Nilai Ketrampilan'!J47)</f>
        <v/>
      </c>
      <c r="CI3" s="89" t="str">
        <f>IF(CH3="","",IF('Input Nilai Ketrampilan'!$F$1="","",'Input Nilai Ketrampilan'!$F$1))</f>
        <v/>
      </c>
      <c r="CJ3" s="89" t="str">
        <f>IF('Input Nilai Ketrampilan'!J48="","",'Input Nilai Ketrampilan'!J48)</f>
        <v/>
      </c>
      <c r="CK3" s="89" t="str">
        <f>IF(CJ3="","",IF('Input Nilai Ketrampilan'!$F$1="","",'Input Nilai Ketrampilan'!$F$1))</f>
        <v/>
      </c>
      <c r="CL3" s="89" t="str">
        <f>IF('Input Nilai Ketrampilan'!J49="","",'Input Nilai Ketrampilan'!J49)</f>
        <v/>
      </c>
      <c r="CM3" s="89" t="str">
        <f>IF(CL3="","",IF('Input Nilai Ketrampilan'!$F$1="","",'Input Nilai Ketrampilan'!$F$1))</f>
        <v/>
      </c>
      <c r="CN3" s="89" t="str">
        <f>IF('Input Nilai Ketrampilan'!J50="","",'Input Nilai Ketrampilan'!J50)</f>
        <v/>
      </c>
      <c r="CO3" s="89" t="str">
        <f>IF(CN3="","",IF('Input Nilai Ketrampilan'!$F$1="","",'Input Nilai Ketrampilan'!$F$1))</f>
        <v/>
      </c>
      <c r="CP3" s="89" t="str">
        <f>IF('Input Nilai Ketrampilan'!J51="","",'Input Nilai Ketrampilan'!J51)</f>
        <v/>
      </c>
      <c r="CQ3" s="89" t="str">
        <f>IF(CP3="","",IF('Input Nilai Ketrampilan'!$F$1="","",'Input Nilai Ketrampilan'!$F$1))</f>
        <v/>
      </c>
      <c r="CR3" s="89" t="str">
        <f>IF('Input Nilai Ketrampilan'!J52="","",'Input Nilai Ketrampilan'!J52)</f>
        <v/>
      </c>
      <c r="CS3" s="89" t="str">
        <f>IF(CR3="","",IF('Input Nilai Ketrampilan'!$F$1="","",'Input Nilai Ketrampilan'!$F$1))</f>
        <v/>
      </c>
    </row>
    <row r="4" spans="1:97">
      <c r="A4" s="72">
        <v>2</v>
      </c>
      <c r="B4" s="89" t="str">
        <f>IF('Input Nilai Ketrampilan'!O5="","",'Input Nilai Ketrampilan'!O5)</f>
        <v/>
      </c>
      <c r="C4" s="89" t="str">
        <f>IF(B4="","",IF('Input Nilai Ketrampilan'!$K$1="","",'Input Nilai Ketrampilan'!$K$1))</f>
        <v/>
      </c>
      <c r="D4" s="89" t="str">
        <f>IF('Input Nilai Ketrampilan'!O6="","",'Input Nilai Ketrampilan'!O6)</f>
        <v/>
      </c>
      <c r="E4" s="89" t="str">
        <f>IF(D4="","",IF('Input Nilai Ketrampilan'!$K$1="","",'Input Nilai Ketrampilan'!$K$1))</f>
        <v/>
      </c>
      <c r="F4" s="89" t="str">
        <f>IF('Input Nilai Ketrampilan'!O7="","",'Input Nilai Ketrampilan'!O7)</f>
        <v/>
      </c>
      <c r="G4" s="89" t="str">
        <f>IF(F4="","",IF('Input Nilai Ketrampilan'!$K$1="","",'Input Nilai Ketrampilan'!$K$1))</f>
        <v/>
      </c>
      <c r="H4" s="89" t="str">
        <f>IF('Input Nilai Ketrampilan'!O8="","",'Input Nilai Ketrampilan'!O8)</f>
        <v/>
      </c>
      <c r="I4" s="89" t="str">
        <f>IF(H4="","",IF('Input Nilai Ketrampilan'!$K$1="","",'Input Nilai Ketrampilan'!$K$1))</f>
        <v/>
      </c>
      <c r="J4" s="89" t="str">
        <f>IF('Input Nilai Ketrampilan'!O9="","",'Input Nilai Ketrampilan'!O9)</f>
        <v/>
      </c>
      <c r="K4" s="89" t="str">
        <f>IF(J4="","",IF('Input Nilai Ketrampilan'!$K$1="","",'Input Nilai Ketrampilan'!$K$1))</f>
        <v/>
      </c>
      <c r="L4" s="89" t="str">
        <f>IF('Input Nilai Ketrampilan'!O10="","",'Input Nilai Ketrampilan'!O10)</f>
        <v/>
      </c>
      <c r="M4" s="89" t="str">
        <f>IF(L4="","",IF('Input Nilai Ketrampilan'!$K$1="","",'Input Nilai Ketrampilan'!$K$1))</f>
        <v/>
      </c>
      <c r="N4" s="89" t="str">
        <f>IF('Input Nilai Ketrampilan'!O11="","",'Input Nilai Ketrampilan'!O11)</f>
        <v/>
      </c>
      <c r="O4" s="89" t="str">
        <f>IF(N4="","",IF('Input Nilai Ketrampilan'!$K$1="","",'Input Nilai Ketrampilan'!$K$1))</f>
        <v/>
      </c>
      <c r="P4" s="89" t="str">
        <f>IF('Input Nilai Ketrampilan'!O12="","",'Input Nilai Ketrampilan'!O12)</f>
        <v/>
      </c>
      <c r="Q4" s="89" t="str">
        <f>IF(P4="","",IF('Input Nilai Ketrampilan'!$K$1="","",'Input Nilai Ketrampilan'!$K$1))</f>
        <v/>
      </c>
      <c r="R4" s="89" t="str">
        <f>IF('Input Nilai Ketrampilan'!O13="","",'Input Nilai Ketrampilan'!O13)</f>
        <v/>
      </c>
      <c r="S4" s="89" t="str">
        <f>IF(R4="","",IF('Input Nilai Ketrampilan'!$K$1="","",'Input Nilai Ketrampilan'!$K$1))</f>
        <v/>
      </c>
      <c r="T4" s="89" t="str">
        <f>IF('Input Nilai Ketrampilan'!O14="","",'Input Nilai Ketrampilan'!O14)</f>
        <v/>
      </c>
      <c r="U4" s="89" t="str">
        <f>IF(T4="","",IF('Input Nilai Ketrampilan'!$K$1="","",'Input Nilai Ketrampilan'!$K$1))</f>
        <v/>
      </c>
      <c r="V4" s="89" t="str">
        <f>IF('Input Nilai Ketrampilan'!O15="","",'Input Nilai Ketrampilan'!O15)</f>
        <v/>
      </c>
      <c r="W4" s="89" t="str">
        <f>IF(V4="","",IF('Input Nilai Ketrampilan'!$K$1="","",'Input Nilai Ketrampilan'!$K$1))</f>
        <v/>
      </c>
      <c r="X4" s="89" t="str">
        <f>IF('Input Nilai Ketrampilan'!O16="","",'Input Nilai Ketrampilan'!O16)</f>
        <v/>
      </c>
      <c r="Y4" s="89" t="str">
        <f>IF(X4="","",IF('Input Nilai Ketrampilan'!$K$1="","",'Input Nilai Ketrampilan'!$K$1))</f>
        <v/>
      </c>
      <c r="Z4" s="89" t="str">
        <f>IF('Input Nilai Ketrampilan'!O17="","",'Input Nilai Ketrampilan'!O17)</f>
        <v/>
      </c>
      <c r="AA4" s="89" t="str">
        <f>IF(Z4="","",IF('Input Nilai Ketrampilan'!$K$1="","",'Input Nilai Ketrampilan'!$K$1))</f>
        <v/>
      </c>
      <c r="AB4" s="89" t="str">
        <f>IF('Input Nilai Ketrampilan'!O18="","",'Input Nilai Ketrampilan'!O18)</f>
        <v/>
      </c>
      <c r="AC4" s="89" t="str">
        <f>IF(AB4="","",IF('Input Nilai Ketrampilan'!$K$1="","",'Input Nilai Ketrampilan'!$K$1))</f>
        <v/>
      </c>
      <c r="AD4" s="89" t="str">
        <f>IF('Input Nilai Ketrampilan'!O19="","",'Input Nilai Ketrampilan'!O19)</f>
        <v/>
      </c>
      <c r="AE4" s="89" t="str">
        <f>IF(AD4="","",IF('Input Nilai Ketrampilan'!$K$1="","",'Input Nilai Ketrampilan'!$K$1))</f>
        <v/>
      </c>
      <c r="AF4" s="89" t="str">
        <f>IF('Input Nilai Ketrampilan'!O20="","",'Input Nilai Ketrampilan'!O20)</f>
        <v/>
      </c>
      <c r="AG4" s="89" t="str">
        <f>IF(AF4="","",IF('Input Nilai Ketrampilan'!$K$1="","",'Input Nilai Ketrampilan'!$K$1))</f>
        <v/>
      </c>
      <c r="AH4" s="89" t="str">
        <f>IF('Input Nilai Ketrampilan'!O21="","",'Input Nilai Ketrampilan'!O21)</f>
        <v/>
      </c>
      <c r="AI4" s="89" t="str">
        <f>IF(AH4="","",IF('Input Nilai Ketrampilan'!$K$1="","",'Input Nilai Ketrampilan'!$K$1))</f>
        <v/>
      </c>
      <c r="AJ4" s="89" t="str">
        <f>IF('Input Nilai Ketrampilan'!O22="","",'Input Nilai Ketrampilan'!O22)</f>
        <v/>
      </c>
      <c r="AK4" s="89" t="str">
        <f>IF(AJ4="","",IF('Input Nilai Ketrampilan'!$K$1="","",'Input Nilai Ketrampilan'!$K$1))</f>
        <v/>
      </c>
      <c r="AL4" s="89" t="str">
        <f>IF('Input Nilai Ketrampilan'!O23="","",'Input Nilai Ketrampilan'!O23)</f>
        <v/>
      </c>
      <c r="AM4" s="89" t="str">
        <f>IF(AL4="","",IF('Input Nilai Ketrampilan'!$K$1="","",'Input Nilai Ketrampilan'!$K$1))</f>
        <v/>
      </c>
      <c r="AN4" s="89" t="str">
        <f>IF('Input Nilai Ketrampilan'!O24="","",'Input Nilai Ketrampilan'!O24)</f>
        <v/>
      </c>
      <c r="AO4" s="89" t="str">
        <f>IF(AN4="","",IF('Input Nilai Ketrampilan'!$K$1="","",'Input Nilai Ketrampilan'!$K$1))</f>
        <v/>
      </c>
      <c r="AP4" s="89" t="str">
        <f>IF('Input Nilai Ketrampilan'!O25="","",'Input Nilai Ketrampilan'!O25)</f>
        <v/>
      </c>
      <c r="AQ4" s="89" t="str">
        <f>IF(AP4="","",IF('Input Nilai Ketrampilan'!$K$1="","",'Input Nilai Ketrampilan'!$K$1))</f>
        <v/>
      </c>
      <c r="AR4" s="89" t="str">
        <f>IF('Input Nilai Ketrampilan'!O26="","",'Input Nilai Ketrampilan'!O26)</f>
        <v/>
      </c>
      <c r="AS4" s="89" t="str">
        <f>IF(AR4="","",IF('Input Nilai Ketrampilan'!$K$1="","",'Input Nilai Ketrampilan'!$K$1))</f>
        <v/>
      </c>
      <c r="AT4" s="89" t="str">
        <f>IF('Input Nilai Ketrampilan'!O27="","",'Input Nilai Ketrampilan'!O27)</f>
        <v/>
      </c>
      <c r="AU4" s="89" t="str">
        <f>IF(AT4="","",IF('Input Nilai Ketrampilan'!$K$1="","",'Input Nilai Ketrampilan'!$K$1))</f>
        <v/>
      </c>
      <c r="AV4" s="89" t="str">
        <f>IF('Input Nilai Ketrampilan'!O28="","",'Input Nilai Ketrampilan'!O28)</f>
        <v/>
      </c>
      <c r="AW4" s="89" t="str">
        <f>IF(AV4="","",IF('Input Nilai Ketrampilan'!$K$1="","",'Input Nilai Ketrampilan'!$K$1))</f>
        <v/>
      </c>
      <c r="AX4" s="89" t="str">
        <f>IF('Input Nilai Ketrampilan'!O29="","",'Input Nilai Ketrampilan'!O29)</f>
        <v/>
      </c>
      <c r="AY4" s="89" t="str">
        <f>IF(AX4="","",IF('Input Nilai Ketrampilan'!$K$1="","",'Input Nilai Ketrampilan'!$K$1))</f>
        <v/>
      </c>
      <c r="AZ4" s="89" t="str">
        <f>IF('Input Nilai Ketrampilan'!O30="","",'Input Nilai Ketrampilan'!O30)</f>
        <v/>
      </c>
      <c r="BA4" s="89" t="str">
        <f>IF(AZ4="","",IF('Input Nilai Ketrampilan'!$K$1="","",'Input Nilai Ketrampilan'!$K$1))</f>
        <v/>
      </c>
      <c r="BB4" s="89" t="str">
        <f>IF('Input Nilai Ketrampilan'!O31="","",'Input Nilai Ketrampilan'!O31)</f>
        <v/>
      </c>
      <c r="BC4" s="89" t="str">
        <f>IF(BB4="","",IF('Input Nilai Ketrampilan'!$K$1="","",'Input Nilai Ketrampilan'!$K$1))</f>
        <v/>
      </c>
      <c r="BD4" s="89" t="str">
        <f>IF('Input Nilai Ketrampilan'!O32="","",'Input Nilai Ketrampilan'!O32)</f>
        <v/>
      </c>
      <c r="BE4" s="89" t="str">
        <f>IF(BD4="","",IF('Input Nilai Ketrampilan'!$K$1="","",'Input Nilai Ketrampilan'!$K$1))</f>
        <v/>
      </c>
      <c r="BF4" s="89" t="str">
        <f>IF('Input Nilai Ketrampilan'!O33="","",'Input Nilai Ketrampilan'!O33)</f>
        <v/>
      </c>
      <c r="BG4" s="89" t="str">
        <f>IF(BF4="","",IF('Input Nilai Ketrampilan'!$K$1="","",'Input Nilai Ketrampilan'!$K$1))</f>
        <v/>
      </c>
      <c r="BH4" s="89" t="str">
        <f>IF('Input Nilai Ketrampilan'!O34="","",'Input Nilai Ketrampilan'!O34)</f>
        <v/>
      </c>
      <c r="BI4" s="89" t="str">
        <f>IF(BH4="","",IF('Input Nilai Ketrampilan'!$K$1="","",'Input Nilai Ketrampilan'!$K$1))</f>
        <v/>
      </c>
      <c r="BJ4" s="89" t="str">
        <f>IF('Input Nilai Ketrampilan'!O35="","",'Input Nilai Ketrampilan'!O35)</f>
        <v/>
      </c>
      <c r="BK4" s="89" t="str">
        <f>IF(BJ4="","",IF('Input Nilai Ketrampilan'!$K$1="","",'Input Nilai Ketrampilan'!$K$1))</f>
        <v/>
      </c>
      <c r="BL4" s="89" t="str">
        <f>IF('Input Nilai Ketrampilan'!O36="","",'Input Nilai Ketrampilan'!O36)</f>
        <v/>
      </c>
      <c r="BM4" s="89" t="str">
        <f>IF(BL4="","",IF('Input Nilai Ketrampilan'!$K$1="","",'Input Nilai Ketrampilan'!$K$1))</f>
        <v/>
      </c>
      <c r="BN4" s="89" t="str">
        <f>IF('Input Nilai Ketrampilan'!O37="","",'Input Nilai Ketrampilan'!O37)</f>
        <v/>
      </c>
      <c r="BO4" s="89" t="str">
        <f>IF(BN4="","",IF('Input Nilai Ketrampilan'!$K$1="","",'Input Nilai Ketrampilan'!$K$1))</f>
        <v/>
      </c>
      <c r="BP4" s="89" t="str">
        <f>IF('Input Nilai Ketrampilan'!O38="","",'Input Nilai Ketrampilan'!O38)</f>
        <v/>
      </c>
      <c r="BQ4" s="89" t="str">
        <f>IF(BP4="","",IF('Input Nilai Ketrampilan'!$K$1="","",'Input Nilai Ketrampilan'!$K$1))</f>
        <v/>
      </c>
      <c r="BR4" s="89" t="str">
        <f>IF('Input Nilai Ketrampilan'!O39="","",'Input Nilai Ketrampilan'!O39)</f>
        <v/>
      </c>
      <c r="BS4" s="89" t="str">
        <f>IF(BR4="","",IF('Input Nilai Ketrampilan'!$K$1="","",'Input Nilai Ketrampilan'!$K$1))</f>
        <v/>
      </c>
      <c r="BT4" s="89" t="str">
        <f>IF('Input Nilai Ketrampilan'!O40="","",'Input Nilai Ketrampilan'!O40)</f>
        <v/>
      </c>
      <c r="BU4" s="89" t="str">
        <f>IF(BT4="","",IF('Input Nilai Ketrampilan'!$K$1="","",'Input Nilai Ketrampilan'!$K$1))</f>
        <v/>
      </c>
      <c r="BV4" s="89" t="str">
        <f>IF('Input Nilai Ketrampilan'!O41="","",'Input Nilai Ketrampilan'!O41)</f>
        <v/>
      </c>
      <c r="BW4" s="89" t="str">
        <f>IF(BV4="","",IF('Input Nilai Ketrampilan'!$K$1="","",'Input Nilai Ketrampilan'!$K$1))</f>
        <v/>
      </c>
      <c r="BX4" s="89" t="str">
        <f>IF('Input Nilai Ketrampilan'!O42="","",'Input Nilai Ketrampilan'!O42)</f>
        <v/>
      </c>
      <c r="BY4" s="89" t="str">
        <f>IF(BX4="","",IF('Input Nilai Ketrampilan'!$K$1="","",'Input Nilai Ketrampilan'!$K$1))</f>
        <v/>
      </c>
      <c r="BZ4" s="89" t="str">
        <f>IF('Input Nilai Ketrampilan'!O43="","",'Input Nilai Ketrampilan'!O43)</f>
        <v/>
      </c>
      <c r="CA4" s="89" t="str">
        <f>IF(BZ4="","",IF('Input Nilai Ketrampilan'!$K$1="","",'Input Nilai Ketrampilan'!$K$1))</f>
        <v/>
      </c>
      <c r="CB4" s="89" t="str">
        <f>IF('Input Nilai Ketrampilan'!O44="","",'Input Nilai Ketrampilan'!O44)</f>
        <v/>
      </c>
      <c r="CC4" s="89" t="str">
        <f>IF(CB4="","",IF('Input Nilai Ketrampilan'!$K$1="","",'Input Nilai Ketrampilan'!$K$1))</f>
        <v/>
      </c>
      <c r="CD4" s="89" t="str">
        <f>IF('Input Nilai Ketrampilan'!O45="","",'Input Nilai Ketrampilan'!O45)</f>
        <v/>
      </c>
      <c r="CE4" s="89" t="str">
        <f>IF(CD4="","",IF('Input Nilai Ketrampilan'!$K$1="","",'Input Nilai Ketrampilan'!$K$1))</f>
        <v/>
      </c>
      <c r="CF4" s="89" t="str">
        <f>IF('Input Nilai Ketrampilan'!O46="","",'Input Nilai Ketrampilan'!O46)</f>
        <v/>
      </c>
      <c r="CG4" s="89" t="str">
        <f>IF(CF4="","",IF('Input Nilai Ketrampilan'!$K$1="","",'Input Nilai Ketrampilan'!$K$1))</f>
        <v/>
      </c>
      <c r="CH4" s="89" t="str">
        <f>IF('Input Nilai Ketrampilan'!O47="","",'Input Nilai Ketrampilan'!O47)</f>
        <v/>
      </c>
      <c r="CI4" s="89" t="str">
        <f>IF(CH4="","",IF('Input Nilai Ketrampilan'!$K$1="","",'Input Nilai Ketrampilan'!$K$1))</f>
        <v/>
      </c>
      <c r="CJ4" s="89" t="str">
        <f>IF('Input Nilai Ketrampilan'!O48="","",'Input Nilai Ketrampilan'!O48)</f>
        <v/>
      </c>
      <c r="CK4" s="89" t="str">
        <f>IF(CJ4="","",IF('Input Nilai Ketrampilan'!$K$1="","",'Input Nilai Ketrampilan'!$K$1))</f>
        <v/>
      </c>
      <c r="CL4" s="89" t="str">
        <f>IF('Input Nilai Ketrampilan'!O49="","",'Input Nilai Ketrampilan'!O49)</f>
        <v/>
      </c>
      <c r="CM4" s="89" t="str">
        <f>IF(CL4="","",IF('Input Nilai Ketrampilan'!$K$1="","",'Input Nilai Ketrampilan'!$K$1))</f>
        <v/>
      </c>
      <c r="CN4" s="89" t="str">
        <f>IF('Input Nilai Ketrampilan'!O50="","",'Input Nilai Ketrampilan'!O50)</f>
        <v/>
      </c>
      <c r="CO4" s="89" t="str">
        <f>IF(CN4="","",IF('Input Nilai Ketrampilan'!$K$1="","",'Input Nilai Ketrampilan'!$K$1))</f>
        <v/>
      </c>
      <c r="CP4" s="89" t="str">
        <f>IF('Input Nilai Ketrampilan'!O51="","",'Input Nilai Ketrampilan'!O51)</f>
        <v/>
      </c>
      <c r="CQ4" s="89" t="str">
        <f>IF(CP4="","",IF('Input Nilai Ketrampilan'!$K$1="","",'Input Nilai Ketrampilan'!$K$1))</f>
        <v/>
      </c>
      <c r="CR4" s="89" t="str">
        <f>IF('Input Nilai Ketrampilan'!O52="","",'Input Nilai Ketrampilan'!O52)</f>
        <v/>
      </c>
      <c r="CS4" s="89" t="str">
        <f>IF(CR4="","",IF('Input Nilai Ketrampilan'!$K$1="","",'Input Nilai Ketrampilan'!$K$1))</f>
        <v/>
      </c>
    </row>
    <row r="5" spans="1:97">
      <c r="A5" s="72">
        <v>3</v>
      </c>
      <c r="B5" s="89" t="str">
        <f>IF('Input Nilai Ketrampilan'!T5="","",'Input Nilai Ketrampilan'!T5)</f>
        <v/>
      </c>
      <c r="C5" s="89" t="str">
        <f>IF(B5="","",IF('Input Nilai Ketrampilan'!$P$1="","",'Input Nilai Ketrampilan'!$P$1))</f>
        <v/>
      </c>
      <c r="D5" s="89" t="str">
        <f>IF('Input Nilai Ketrampilan'!T6="","",'Input Nilai Ketrampilan'!T6)</f>
        <v/>
      </c>
      <c r="E5" s="89" t="str">
        <f>IF(D5="","",IF('Input Nilai Ketrampilan'!$P$1="","",'Input Nilai Ketrampilan'!$P$1))</f>
        <v/>
      </c>
      <c r="F5" s="89" t="str">
        <f>IF('Input Nilai Ketrampilan'!T7="","",'Input Nilai Ketrampilan'!T7)</f>
        <v/>
      </c>
      <c r="G5" s="89" t="str">
        <f>IF(F5="","",IF('Input Nilai Ketrampilan'!$P$1="","",'Input Nilai Ketrampilan'!$P$1))</f>
        <v/>
      </c>
      <c r="H5" s="89" t="str">
        <f>IF('Input Nilai Ketrampilan'!T8="","",'Input Nilai Ketrampilan'!T8)</f>
        <v/>
      </c>
      <c r="I5" s="89" t="str">
        <f>IF(H5="","",IF('Input Nilai Ketrampilan'!$P$1="","",'Input Nilai Ketrampilan'!$P$1))</f>
        <v/>
      </c>
      <c r="J5" s="89" t="str">
        <f>IF('Input Nilai Ketrampilan'!T9="","",'Input Nilai Ketrampilan'!T9)</f>
        <v/>
      </c>
      <c r="K5" s="89" t="str">
        <f>IF(J5="","",IF('Input Nilai Ketrampilan'!$P$1="","",'Input Nilai Ketrampilan'!$P$1))</f>
        <v/>
      </c>
      <c r="L5" s="89" t="str">
        <f>IF('Input Nilai Ketrampilan'!T10="","",'Input Nilai Ketrampilan'!T10)</f>
        <v/>
      </c>
      <c r="M5" s="89" t="str">
        <f>IF(L5="","",IF('Input Nilai Ketrampilan'!$P$1="","",'Input Nilai Ketrampilan'!$P$1))</f>
        <v/>
      </c>
      <c r="N5" s="89" t="str">
        <f>IF('Input Nilai Ketrampilan'!T11="","",'Input Nilai Ketrampilan'!T11)</f>
        <v/>
      </c>
      <c r="O5" s="89" t="str">
        <f>IF(N5="","",IF('Input Nilai Ketrampilan'!$P$1="","",'Input Nilai Ketrampilan'!$P$1))</f>
        <v/>
      </c>
      <c r="P5" s="89" t="str">
        <f>IF('Input Nilai Ketrampilan'!T12="","",'Input Nilai Ketrampilan'!T12)</f>
        <v/>
      </c>
      <c r="Q5" s="89" t="str">
        <f>IF(P5="","",IF('Input Nilai Ketrampilan'!$P$1="","",'Input Nilai Ketrampilan'!$P$1))</f>
        <v/>
      </c>
      <c r="R5" s="89" t="str">
        <f>IF('Input Nilai Ketrampilan'!T13="","",'Input Nilai Ketrampilan'!T13)</f>
        <v/>
      </c>
      <c r="S5" s="89" t="str">
        <f>IF(R5="","",IF('Input Nilai Ketrampilan'!$P$1="","",'Input Nilai Ketrampilan'!$P$1))</f>
        <v/>
      </c>
      <c r="T5" s="89" t="str">
        <f>IF('Input Nilai Ketrampilan'!T14="","",'Input Nilai Ketrampilan'!T14)</f>
        <v/>
      </c>
      <c r="U5" s="89" t="str">
        <f>IF(T5="","",IF('Input Nilai Ketrampilan'!$P$1="","",'Input Nilai Ketrampilan'!$P$1))</f>
        <v/>
      </c>
      <c r="V5" s="89" t="str">
        <f>IF('Input Nilai Ketrampilan'!T15="","",'Input Nilai Ketrampilan'!T15)</f>
        <v/>
      </c>
      <c r="W5" s="89" t="str">
        <f>IF(V5="","",IF('Input Nilai Ketrampilan'!$P$1="","",'Input Nilai Ketrampilan'!$P$1))</f>
        <v/>
      </c>
      <c r="X5" s="89" t="str">
        <f>IF('Input Nilai Ketrampilan'!T16="","",'Input Nilai Ketrampilan'!T16)</f>
        <v/>
      </c>
      <c r="Y5" s="89" t="str">
        <f>IF(X5="","",IF('Input Nilai Ketrampilan'!$P$1="","",'Input Nilai Ketrampilan'!$P$1))</f>
        <v/>
      </c>
      <c r="Z5" s="89" t="str">
        <f>IF('Input Nilai Ketrampilan'!T17="","",'Input Nilai Ketrampilan'!T17)</f>
        <v/>
      </c>
      <c r="AA5" s="89" t="str">
        <f>IF(Z5="","",IF('Input Nilai Ketrampilan'!$P$1="","",'Input Nilai Ketrampilan'!$P$1))</f>
        <v/>
      </c>
      <c r="AB5" s="89" t="str">
        <f>IF('Input Nilai Ketrampilan'!T18="","",'Input Nilai Ketrampilan'!T18)</f>
        <v/>
      </c>
      <c r="AC5" s="89" t="str">
        <f>IF(AB5="","",IF('Input Nilai Ketrampilan'!$P$1="","",'Input Nilai Ketrampilan'!$P$1))</f>
        <v/>
      </c>
      <c r="AD5" s="89" t="str">
        <f>IF('Input Nilai Ketrampilan'!T19="","",'Input Nilai Ketrampilan'!T19)</f>
        <v/>
      </c>
      <c r="AE5" s="89" t="str">
        <f>IF(AD5="","",IF('Input Nilai Ketrampilan'!$P$1="","",'Input Nilai Ketrampilan'!$P$1))</f>
        <v/>
      </c>
      <c r="AF5" s="89" t="str">
        <f>IF('Input Nilai Ketrampilan'!T20="","",'Input Nilai Ketrampilan'!T20)</f>
        <v/>
      </c>
      <c r="AG5" s="89" t="str">
        <f>IF(AF5="","",IF('Input Nilai Ketrampilan'!$P$1="","",'Input Nilai Ketrampilan'!$P$1))</f>
        <v/>
      </c>
      <c r="AH5" s="89" t="str">
        <f>IF('Input Nilai Ketrampilan'!T21="","",'Input Nilai Ketrampilan'!T21)</f>
        <v/>
      </c>
      <c r="AI5" s="89" t="str">
        <f>IF(AH5="","",IF('Input Nilai Ketrampilan'!$P$1="","",'Input Nilai Ketrampilan'!$P$1))</f>
        <v/>
      </c>
      <c r="AJ5" s="89" t="str">
        <f>IF('Input Nilai Ketrampilan'!T22="","",'Input Nilai Ketrampilan'!T22)</f>
        <v/>
      </c>
      <c r="AK5" s="89" t="str">
        <f>IF(AJ5="","",IF('Input Nilai Ketrampilan'!$P$1="","",'Input Nilai Ketrampilan'!$P$1))</f>
        <v/>
      </c>
      <c r="AL5" s="89" t="str">
        <f>IF('Input Nilai Ketrampilan'!T23="","",'Input Nilai Ketrampilan'!T23)</f>
        <v/>
      </c>
      <c r="AM5" s="89" t="str">
        <f>IF(AL5="","",IF('Input Nilai Ketrampilan'!$P$1="","",'Input Nilai Ketrampilan'!$P$1))</f>
        <v/>
      </c>
      <c r="AN5" s="89" t="str">
        <f>IF('Input Nilai Ketrampilan'!T24="","",'Input Nilai Ketrampilan'!T24)</f>
        <v/>
      </c>
      <c r="AO5" s="89" t="str">
        <f>IF(AN5="","",IF('Input Nilai Ketrampilan'!$P$1="","",'Input Nilai Ketrampilan'!$P$1))</f>
        <v/>
      </c>
      <c r="AP5" s="89" t="str">
        <f>IF('Input Nilai Ketrampilan'!T25="","",'Input Nilai Ketrampilan'!T25)</f>
        <v/>
      </c>
      <c r="AQ5" s="89" t="str">
        <f>IF(AP5="","",IF('Input Nilai Ketrampilan'!$P$1="","",'Input Nilai Ketrampilan'!$P$1))</f>
        <v/>
      </c>
      <c r="AR5" s="89" t="str">
        <f>IF('Input Nilai Ketrampilan'!T26="","",'Input Nilai Ketrampilan'!T26)</f>
        <v/>
      </c>
      <c r="AS5" s="89" t="str">
        <f>IF(AR5="","",IF('Input Nilai Ketrampilan'!$P$1="","",'Input Nilai Ketrampilan'!$P$1))</f>
        <v/>
      </c>
      <c r="AT5" s="89" t="str">
        <f>IF('Input Nilai Ketrampilan'!T27="","",'Input Nilai Ketrampilan'!T27)</f>
        <v/>
      </c>
      <c r="AU5" s="89" t="str">
        <f>IF(AT5="","",IF('Input Nilai Ketrampilan'!$P$1="","",'Input Nilai Ketrampilan'!$P$1))</f>
        <v/>
      </c>
      <c r="AV5" s="89" t="str">
        <f>IF('Input Nilai Ketrampilan'!T28="","",'Input Nilai Ketrampilan'!T28)</f>
        <v/>
      </c>
      <c r="AW5" s="89" t="str">
        <f>IF(AV5="","",IF('Input Nilai Ketrampilan'!$P$1="","",'Input Nilai Ketrampilan'!$P$1))</f>
        <v/>
      </c>
      <c r="AX5" s="89" t="str">
        <f>IF('Input Nilai Ketrampilan'!T29="","",'Input Nilai Ketrampilan'!T29)</f>
        <v/>
      </c>
      <c r="AY5" s="89" t="str">
        <f>IF(AX5="","",IF('Input Nilai Ketrampilan'!$P$1="","",'Input Nilai Ketrampilan'!$P$1))</f>
        <v/>
      </c>
      <c r="AZ5" s="89" t="str">
        <f>IF('Input Nilai Ketrampilan'!T30="","",'Input Nilai Ketrampilan'!T30)</f>
        <v/>
      </c>
      <c r="BA5" s="89" t="str">
        <f>IF(AZ5="","",IF('Input Nilai Ketrampilan'!$P$1="","",'Input Nilai Ketrampilan'!$P$1))</f>
        <v/>
      </c>
      <c r="BB5" s="89" t="str">
        <f>IF('Input Nilai Ketrampilan'!T31="","",'Input Nilai Ketrampilan'!T31)</f>
        <v/>
      </c>
      <c r="BC5" s="89" t="str">
        <f>IF(BB5="","",IF('Input Nilai Ketrampilan'!$P$1="","",'Input Nilai Ketrampilan'!$P$1))</f>
        <v/>
      </c>
      <c r="BD5" s="89" t="str">
        <f>IF('Input Nilai Ketrampilan'!T32="","",'Input Nilai Ketrampilan'!T32)</f>
        <v/>
      </c>
      <c r="BE5" s="89" t="str">
        <f>IF(BD5="","",IF('Input Nilai Ketrampilan'!$P$1="","",'Input Nilai Ketrampilan'!$P$1))</f>
        <v/>
      </c>
      <c r="BF5" s="89" t="str">
        <f>IF('Input Nilai Ketrampilan'!T33="","",'Input Nilai Ketrampilan'!T33)</f>
        <v/>
      </c>
      <c r="BG5" s="89" t="str">
        <f>IF(BF5="","",IF('Input Nilai Ketrampilan'!$P$1="","",'Input Nilai Ketrampilan'!$P$1))</f>
        <v/>
      </c>
      <c r="BH5" s="89" t="str">
        <f>IF('Input Nilai Ketrampilan'!T34="","",'Input Nilai Ketrampilan'!T34)</f>
        <v/>
      </c>
      <c r="BI5" s="89" t="str">
        <f>IF(BH5="","",IF('Input Nilai Ketrampilan'!$P$1="","",'Input Nilai Ketrampilan'!$P$1))</f>
        <v/>
      </c>
      <c r="BJ5" s="89" t="str">
        <f>IF('Input Nilai Ketrampilan'!T35="","",'Input Nilai Ketrampilan'!T35)</f>
        <v/>
      </c>
      <c r="BK5" s="89" t="str">
        <f>IF(BJ5="","",IF('Input Nilai Ketrampilan'!$P$1="","",'Input Nilai Ketrampilan'!$P$1))</f>
        <v/>
      </c>
      <c r="BL5" s="89" t="str">
        <f>IF('Input Nilai Ketrampilan'!T36="","",'Input Nilai Ketrampilan'!T36)</f>
        <v/>
      </c>
      <c r="BM5" s="89" t="str">
        <f>IF(BL5="","",IF('Input Nilai Ketrampilan'!$P$1="","",'Input Nilai Ketrampilan'!$P$1))</f>
        <v/>
      </c>
      <c r="BN5" s="89" t="str">
        <f>IF('Input Nilai Ketrampilan'!T37="","",'Input Nilai Ketrampilan'!T37)</f>
        <v/>
      </c>
      <c r="BO5" s="89" t="str">
        <f>IF(BN5="","",IF('Input Nilai Ketrampilan'!$P$1="","",'Input Nilai Ketrampilan'!$P$1))</f>
        <v/>
      </c>
      <c r="BP5" s="89" t="str">
        <f>IF('Input Nilai Ketrampilan'!T38="","",'Input Nilai Ketrampilan'!T38)</f>
        <v/>
      </c>
      <c r="BQ5" s="89" t="str">
        <f>IF(BP5="","",IF('Input Nilai Ketrampilan'!$P$1="","",'Input Nilai Ketrampilan'!$P$1))</f>
        <v/>
      </c>
      <c r="BR5" s="89" t="str">
        <f>IF('Input Nilai Ketrampilan'!T39="","",'Input Nilai Ketrampilan'!T39)</f>
        <v/>
      </c>
      <c r="BS5" s="89" t="str">
        <f>IF(BR5="","",IF('Input Nilai Ketrampilan'!$P$1="","",'Input Nilai Ketrampilan'!$P$1))</f>
        <v/>
      </c>
      <c r="BT5" s="89" t="str">
        <f>IF('Input Nilai Ketrampilan'!T40="","",'Input Nilai Ketrampilan'!T40)</f>
        <v/>
      </c>
      <c r="BU5" s="89" t="str">
        <f>IF(BT5="","",IF('Input Nilai Ketrampilan'!$P$1="","",'Input Nilai Ketrampilan'!$P$1))</f>
        <v/>
      </c>
      <c r="BV5" s="89" t="str">
        <f>IF('Input Nilai Ketrampilan'!T41="","",'Input Nilai Ketrampilan'!T41)</f>
        <v/>
      </c>
      <c r="BW5" s="89" t="str">
        <f>IF(BV5="","",IF('Input Nilai Ketrampilan'!$P$1="","",'Input Nilai Ketrampilan'!$P$1))</f>
        <v/>
      </c>
      <c r="BX5" s="89" t="str">
        <f>IF('Input Nilai Ketrampilan'!T42="","",'Input Nilai Ketrampilan'!T42)</f>
        <v/>
      </c>
      <c r="BY5" s="89" t="str">
        <f>IF(BX5="","",IF('Input Nilai Ketrampilan'!$P$1="","",'Input Nilai Ketrampilan'!$P$1))</f>
        <v/>
      </c>
      <c r="BZ5" s="89" t="str">
        <f>IF('Input Nilai Ketrampilan'!T43="","",'Input Nilai Ketrampilan'!T43)</f>
        <v/>
      </c>
      <c r="CA5" s="89" t="str">
        <f>IF(BZ5="","",IF('Input Nilai Ketrampilan'!$P$1="","",'Input Nilai Ketrampilan'!$P$1))</f>
        <v/>
      </c>
      <c r="CB5" s="89" t="str">
        <f>IF('Input Nilai Ketrampilan'!T44="","",'Input Nilai Ketrampilan'!T44)</f>
        <v/>
      </c>
      <c r="CC5" s="89" t="str">
        <f>IF(CB5="","",IF('Input Nilai Ketrampilan'!$P$1="","",'Input Nilai Ketrampilan'!$P$1))</f>
        <v/>
      </c>
      <c r="CD5" s="89" t="str">
        <f>IF('Input Nilai Ketrampilan'!T45="","",'Input Nilai Ketrampilan'!T45)</f>
        <v/>
      </c>
      <c r="CE5" s="89" t="str">
        <f>IF(CD5="","",IF('Input Nilai Ketrampilan'!$P$1="","",'Input Nilai Ketrampilan'!$P$1))</f>
        <v/>
      </c>
      <c r="CF5" s="89" t="str">
        <f>IF('Input Nilai Ketrampilan'!T46="","",'Input Nilai Ketrampilan'!T46)</f>
        <v/>
      </c>
      <c r="CG5" s="89" t="str">
        <f>IF(CF5="","",IF('Input Nilai Ketrampilan'!$P$1="","",'Input Nilai Ketrampilan'!$P$1))</f>
        <v/>
      </c>
      <c r="CH5" s="89" t="str">
        <f>IF('Input Nilai Ketrampilan'!T47="","",'Input Nilai Ketrampilan'!T47)</f>
        <v/>
      </c>
      <c r="CI5" s="89" t="str">
        <f>IF(CH5="","",IF('Input Nilai Ketrampilan'!$P$1="","",'Input Nilai Ketrampilan'!$P$1))</f>
        <v/>
      </c>
      <c r="CJ5" s="89" t="str">
        <f>IF('Input Nilai Ketrampilan'!T48="","",'Input Nilai Ketrampilan'!T48)</f>
        <v/>
      </c>
      <c r="CK5" s="89" t="str">
        <f>IF(CJ5="","",IF('Input Nilai Ketrampilan'!$P$1="","",'Input Nilai Ketrampilan'!$P$1))</f>
        <v/>
      </c>
      <c r="CL5" s="89" t="str">
        <f>IF('Input Nilai Ketrampilan'!T49="","",'Input Nilai Ketrampilan'!T49)</f>
        <v/>
      </c>
      <c r="CM5" s="89" t="str">
        <f>IF(CL5="","",IF('Input Nilai Ketrampilan'!$P$1="","",'Input Nilai Ketrampilan'!$P$1))</f>
        <v/>
      </c>
      <c r="CN5" s="89" t="str">
        <f>IF('Input Nilai Ketrampilan'!T50="","",'Input Nilai Ketrampilan'!T50)</f>
        <v/>
      </c>
      <c r="CO5" s="89" t="str">
        <f>IF(CN5="","",IF('Input Nilai Ketrampilan'!$P$1="","",'Input Nilai Ketrampilan'!$P$1))</f>
        <v/>
      </c>
      <c r="CP5" s="89" t="str">
        <f>IF('Input Nilai Ketrampilan'!T51="","",'Input Nilai Ketrampilan'!T51)</f>
        <v/>
      </c>
      <c r="CQ5" s="89" t="str">
        <f>IF(CP5="","",IF('Input Nilai Ketrampilan'!$P$1="","",'Input Nilai Ketrampilan'!$P$1))</f>
        <v/>
      </c>
      <c r="CR5" s="89" t="str">
        <f>IF('Input Nilai Ketrampilan'!T52="","",'Input Nilai Ketrampilan'!T52)</f>
        <v/>
      </c>
      <c r="CS5" s="89" t="str">
        <f>IF(CR5="","",IF('Input Nilai Ketrampilan'!$P$1="","",'Input Nilai Ketrampilan'!$P$1))</f>
        <v/>
      </c>
    </row>
    <row r="6" spans="1:97">
      <c r="A6" s="72">
        <v>4</v>
      </c>
      <c r="B6" s="89" t="str">
        <f>IF('Input Nilai Ketrampilan'!Y5="","",'Input Nilai Ketrampilan'!Y5)</f>
        <v/>
      </c>
      <c r="C6" s="89" t="str">
        <f>IF(B6="","",IF('Input Nilai Ketrampilan'!$U$1="","",'Input Nilai Ketrampilan'!$U$1))</f>
        <v/>
      </c>
      <c r="D6" s="89" t="str">
        <f>IF('Input Nilai Ketrampilan'!Y6="","",'Input Nilai Ketrampilan'!Y6)</f>
        <v/>
      </c>
      <c r="E6" s="89" t="str">
        <f>IF(D6="","",IF('Input Nilai Ketrampilan'!$U$1="","",'Input Nilai Ketrampilan'!$U$1))</f>
        <v/>
      </c>
      <c r="F6" s="89" t="str">
        <f>IF('Input Nilai Ketrampilan'!Y7="","",'Input Nilai Ketrampilan'!Y7)</f>
        <v/>
      </c>
      <c r="G6" s="89" t="str">
        <f>IF(F6="","",IF('Input Nilai Ketrampilan'!$U$1="","",'Input Nilai Ketrampilan'!$U$1))</f>
        <v/>
      </c>
      <c r="H6" s="89" t="str">
        <f>IF('Input Nilai Ketrampilan'!Y8="","",'Input Nilai Ketrampilan'!Y8)</f>
        <v/>
      </c>
      <c r="I6" s="89" t="str">
        <f>IF(H6="","",IF('Input Nilai Ketrampilan'!$U$1="","",'Input Nilai Ketrampilan'!$U$1))</f>
        <v/>
      </c>
      <c r="J6" s="89" t="str">
        <f>IF('Input Nilai Ketrampilan'!Y9="","",'Input Nilai Ketrampilan'!Y9)</f>
        <v/>
      </c>
      <c r="K6" s="89" t="str">
        <f>IF(J6="","",IF('Input Nilai Ketrampilan'!$U$1="","",'Input Nilai Ketrampilan'!$U$1))</f>
        <v/>
      </c>
      <c r="L6" s="89" t="str">
        <f>IF('Input Nilai Ketrampilan'!Y10="","",'Input Nilai Ketrampilan'!Y10)</f>
        <v/>
      </c>
      <c r="M6" s="89" t="str">
        <f>IF(L6="","",IF('Input Nilai Ketrampilan'!$U$1="","",'Input Nilai Ketrampilan'!$U$1))</f>
        <v/>
      </c>
      <c r="N6" s="89" t="str">
        <f>IF('Input Nilai Ketrampilan'!Y11="","",'Input Nilai Ketrampilan'!Y11)</f>
        <v/>
      </c>
      <c r="O6" s="89" t="str">
        <f>IF(N6="","",IF('Input Nilai Ketrampilan'!$U$1="","",'Input Nilai Ketrampilan'!$U$1))</f>
        <v/>
      </c>
      <c r="P6" s="89" t="str">
        <f>IF('Input Nilai Ketrampilan'!Y12="","",'Input Nilai Ketrampilan'!Y12)</f>
        <v/>
      </c>
      <c r="Q6" s="89" t="str">
        <f>IF(P6="","",IF('Input Nilai Ketrampilan'!$U$1="","",'Input Nilai Ketrampilan'!$U$1))</f>
        <v/>
      </c>
      <c r="R6" s="89" t="str">
        <f>IF('Input Nilai Ketrampilan'!Y13="","",'Input Nilai Ketrampilan'!Y13)</f>
        <v/>
      </c>
      <c r="S6" s="89" t="str">
        <f>IF(R6="","",IF('Input Nilai Ketrampilan'!$U$1="","",'Input Nilai Ketrampilan'!$U$1))</f>
        <v/>
      </c>
      <c r="T6" s="89" t="str">
        <f>IF('Input Nilai Ketrampilan'!Y14="","",'Input Nilai Ketrampilan'!Y14)</f>
        <v/>
      </c>
      <c r="U6" s="89" t="str">
        <f>IF(T6="","",IF('Input Nilai Ketrampilan'!$U$1="","",'Input Nilai Ketrampilan'!$U$1))</f>
        <v/>
      </c>
      <c r="V6" s="89" t="str">
        <f>IF('Input Nilai Ketrampilan'!Y15="","",'Input Nilai Ketrampilan'!Y15)</f>
        <v/>
      </c>
      <c r="W6" s="89" t="str">
        <f>IF(V6="","",IF('Input Nilai Ketrampilan'!$U$1="","",'Input Nilai Ketrampilan'!$U$1))</f>
        <v/>
      </c>
      <c r="X6" s="89" t="str">
        <f>IF('Input Nilai Ketrampilan'!Y16="","",'Input Nilai Ketrampilan'!Y16)</f>
        <v/>
      </c>
      <c r="Y6" s="89" t="str">
        <f>IF(X6="","",IF('Input Nilai Ketrampilan'!$U$1="","",'Input Nilai Ketrampilan'!$U$1))</f>
        <v/>
      </c>
      <c r="Z6" s="89" t="str">
        <f>IF('Input Nilai Ketrampilan'!Y17="","",'Input Nilai Ketrampilan'!Y17)</f>
        <v/>
      </c>
      <c r="AA6" s="89" t="str">
        <f>IF(Z6="","",IF('Input Nilai Ketrampilan'!$U$1="","",'Input Nilai Ketrampilan'!$U$1))</f>
        <v/>
      </c>
      <c r="AB6" s="89" t="str">
        <f>IF('Input Nilai Ketrampilan'!Y18="","",'Input Nilai Ketrampilan'!Y18)</f>
        <v/>
      </c>
      <c r="AC6" s="89" t="str">
        <f>IF(AB6="","",IF('Input Nilai Ketrampilan'!$U$1="","",'Input Nilai Ketrampilan'!$U$1))</f>
        <v/>
      </c>
      <c r="AD6" s="89" t="str">
        <f>IF('Input Nilai Ketrampilan'!Y19="","",'Input Nilai Ketrampilan'!Y19)</f>
        <v/>
      </c>
      <c r="AE6" s="89" t="str">
        <f>IF(AD6="","",IF('Input Nilai Ketrampilan'!$U$1="","",'Input Nilai Ketrampilan'!$U$1))</f>
        <v/>
      </c>
      <c r="AF6" s="89" t="str">
        <f>IF('Input Nilai Ketrampilan'!Y20="","",'Input Nilai Ketrampilan'!Y20)</f>
        <v/>
      </c>
      <c r="AG6" s="89" t="str">
        <f>IF(AF6="","",IF('Input Nilai Ketrampilan'!$U$1="","",'Input Nilai Ketrampilan'!$U$1))</f>
        <v/>
      </c>
      <c r="AH6" s="89" t="str">
        <f>IF('Input Nilai Ketrampilan'!Y21="","",'Input Nilai Ketrampilan'!Y21)</f>
        <v/>
      </c>
      <c r="AI6" s="89" t="str">
        <f>IF(AH6="","",IF('Input Nilai Ketrampilan'!$U$1="","",'Input Nilai Ketrampilan'!$U$1))</f>
        <v/>
      </c>
      <c r="AJ6" s="89" t="str">
        <f>IF('Input Nilai Ketrampilan'!Y22="","",'Input Nilai Ketrampilan'!Y22)</f>
        <v/>
      </c>
      <c r="AK6" s="89" t="str">
        <f>IF(AJ6="","",IF('Input Nilai Ketrampilan'!$U$1="","",'Input Nilai Ketrampilan'!$U$1))</f>
        <v/>
      </c>
      <c r="AL6" s="89" t="str">
        <f>IF('Input Nilai Ketrampilan'!Y23="","",'Input Nilai Ketrampilan'!Y23)</f>
        <v/>
      </c>
      <c r="AM6" s="89" t="str">
        <f>IF(AL6="","",IF('Input Nilai Ketrampilan'!$U$1="","",'Input Nilai Ketrampilan'!$U$1))</f>
        <v/>
      </c>
      <c r="AN6" s="89" t="str">
        <f>IF('Input Nilai Ketrampilan'!Y24="","",'Input Nilai Ketrampilan'!Y24)</f>
        <v/>
      </c>
      <c r="AO6" s="89" t="str">
        <f>IF(AN6="","",IF('Input Nilai Ketrampilan'!$U$1="","",'Input Nilai Ketrampilan'!$U$1))</f>
        <v/>
      </c>
      <c r="AP6" s="89" t="str">
        <f>IF('Input Nilai Ketrampilan'!Y25="","",'Input Nilai Ketrampilan'!Y25)</f>
        <v/>
      </c>
      <c r="AQ6" s="89" t="str">
        <f>IF(AP6="","",IF('Input Nilai Ketrampilan'!$U$1="","",'Input Nilai Ketrampilan'!$U$1))</f>
        <v/>
      </c>
      <c r="AR6" s="89" t="str">
        <f>IF('Input Nilai Ketrampilan'!Y26="","",'Input Nilai Ketrampilan'!Y26)</f>
        <v/>
      </c>
      <c r="AS6" s="89" t="str">
        <f>IF(AR6="","",IF('Input Nilai Ketrampilan'!$U$1="","",'Input Nilai Ketrampilan'!$U$1))</f>
        <v/>
      </c>
      <c r="AT6" s="89" t="str">
        <f>IF('Input Nilai Ketrampilan'!Y27="","",'Input Nilai Ketrampilan'!Y27)</f>
        <v/>
      </c>
      <c r="AU6" s="89" t="str">
        <f>IF(AT6="","",IF('Input Nilai Ketrampilan'!$U$1="","",'Input Nilai Ketrampilan'!$U$1))</f>
        <v/>
      </c>
      <c r="AV6" s="89" t="str">
        <f>IF('Input Nilai Ketrampilan'!Y28="","",'Input Nilai Ketrampilan'!Y28)</f>
        <v/>
      </c>
      <c r="AW6" s="89" t="str">
        <f>IF(AV6="","",IF('Input Nilai Ketrampilan'!$U$1="","",'Input Nilai Ketrampilan'!$U$1))</f>
        <v/>
      </c>
      <c r="AX6" s="89" t="str">
        <f>IF('Input Nilai Ketrampilan'!Y29="","",'Input Nilai Ketrampilan'!Y29)</f>
        <v/>
      </c>
      <c r="AY6" s="89" t="str">
        <f>IF(AX6="","",IF('Input Nilai Ketrampilan'!$U$1="","",'Input Nilai Ketrampilan'!$U$1))</f>
        <v/>
      </c>
      <c r="AZ6" s="89" t="str">
        <f>IF('Input Nilai Ketrampilan'!Y30="","",'Input Nilai Ketrampilan'!Y30)</f>
        <v/>
      </c>
      <c r="BA6" s="89" t="str">
        <f>IF(AZ6="","",IF('Input Nilai Ketrampilan'!$U$1="","",'Input Nilai Ketrampilan'!$U$1))</f>
        <v/>
      </c>
      <c r="BB6" s="89" t="str">
        <f>IF('Input Nilai Ketrampilan'!Y31="","",'Input Nilai Ketrampilan'!Y31)</f>
        <v/>
      </c>
      <c r="BC6" s="89" t="str">
        <f>IF(BB6="","",IF('Input Nilai Ketrampilan'!$U$1="","",'Input Nilai Ketrampilan'!$U$1))</f>
        <v/>
      </c>
      <c r="BD6" s="89" t="str">
        <f>IF('Input Nilai Ketrampilan'!Y32="","",'Input Nilai Ketrampilan'!Y32)</f>
        <v/>
      </c>
      <c r="BE6" s="89" t="str">
        <f>IF(BD6="","",IF('Input Nilai Ketrampilan'!$U$1="","",'Input Nilai Ketrampilan'!$U$1))</f>
        <v/>
      </c>
      <c r="BF6" s="89" t="str">
        <f>IF('Input Nilai Ketrampilan'!Y33="","",'Input Nilai Ketrampilan'!Y33)</f>
        <v/>
      </c>
      <c r="BG6" s="89" t="str">
        <f>IF(BF6="","",IF('Input Nilai Ketrampilan'!$U$1="","",'Input Nilai Ketrampilan'!$U$1))</f>
        <v/>
      </c>
      <c r="BH6" s="89" t="str">
        <f>IF('Input Nilai Ketrampilan'!Y34="","",'Input Nilai Ketrampilan'!Y34)</f>
        <v/>
      </c>
      <c r="BI6" s="89" t="str">
        <f>IF(BH6="","",IF('Input Nilai Ketrampilan'!$U$1="","",'Input Nilai Ketrampilan'!$U$1))</f>
        <v/>
      </c>
      <c r="BJ6" s="89" t="str">
        <f>IF('Input Nilai Ketrampilan'!Y35="","",'Input Nilai Ketrampilan'!Y35)</f>
        <v/>
      </c>
      <c r="BK6" s="89" t="str">
        <f>IF(BJ6="","",IF('Input Nilai Ketrampilan'!$U$1="","",'Input Nilai Ketrampilan'!$U$1))</f>
        <v/>
      </c>
      <c r="BL6" s="89" t="str">
        <f>IF('Input Nilai Ketrampilan'!Y36="","",'Input Nilai Ketrampilan'!Y36)</f>
        <v/>
      </c>
      <c r="BM6" s="89" t="str">
        <f>IF(BL6="","",IF('Input Nilai Ketrampilan'!$U$1="","",'Input Nilai Ketrampilan'!$U$1))</f>
        <v/>
      </c>
      <c r="BN6" s="89" t="str">
        <f>IF('Input Nilai Ketrampilan'!Y37="","",'Input Nilai Ketrampilan'!Y37)</f>
        <v/>
      </c>
      <c r="BO6" s="89" t="str">
        <f>IF(BN6="","",IF('Input Nilai Ketrampilan'!$U$1="","",'Input Nilai Ketrampilan'!$U$1))</f>
        <v/>
      </c>
      <c r="BP6" s="89" t="str">
        <f>IF('Input Nilai Ketrampilan'!Y38="","",'Input Nilai Ketrampilan'!Y38)</f>
        <v/>
      </c>
      <c r="BQ6" s="89" t="str">
        <f>IF(BP6="","",IF('Input Nilai Ketrampilan'!$U$1="","",'Input Nilai Ketrampilan'!$U$1))</f>
        <v/>
      </c>
      <c r="BR6" s="89" t="str">
        <f>IF('Input Nilai Ketrampilan'!Y39="","",'Input Nilai Ketrampilan'!Y39)</f>
        <v/>
      </c>
      <c r="BS6" s="89" t="str">
        <f>IF(BR6="","",IF('Input Nilai Ketrampilan'!$U$1="","",'Input Nilai Ketrampilan'!$U$1))</f>
        <v/>
      </c>
      <c r="BT6" s="89" t="str">
        <f>IF('Input Nilai Ketrampilan'!Y40="","",'Input Nilai Ketrampilan'!Y40)</f>
        <v/>
      </c>
      <c r="BU6" s="89" t="str">
        <f>IF(BT6="","",IF('Input Nilai Ketrampilan'!$U$1="","",'Input Nilai Ketrampilan'!$U$1))</f>
        <v/>
      </c>
      <c r="BV6" s="89" t="str">
        <f>IF('Input Nilai Ketrampilan'!Y41="","",'Input Nilai Ketrampilan'!Y41)</f>
        <v/>
      </c>
      <c r="BW6" s="89" t="str">
        <f>IF(BV6="","",IF('Input Nilai Ketrampilan'!$U$1="","",'Input Nilai Ketrampilan'!$U$1))</f>
        <v/>
      </c>
      <c r="BX6" s="89" t="str">
        <f>IF('Input Nilai Ketrampilan'!Y42="","",'Input Nilai Ketrampilan'!Y42)</f>
        <v/>
      </c>
      <c r="BY6" s="89" t="str">
        <f>IF(BX6="","",IF('Input Nilai Ketrampilan'!$U$1="","",'Input Nilai Ketrampilan'!$U$1))</f>
        <v/>
      </c>
      <c r="BZ6" s="89" t="str">
        <f>IF('Input Nilai Ketrampilan'!Y43="","",'Input Nilai Ketrampilan'!Y43)</f>
        <v/>
      </c>
      <c r="CA6" s="89" t="str">
        <f>IF(BZ6="","",IF('Input Nilai Ketrampilan'!$U$1="","",'Input Nilai Ketrampilan'!$U$1))</f>
        <v/>
      </c>
      <c r="CB6" s="89" t="str">
        <f>IF('Input Nilai Ketrampilan'!Y44="","",'Input Nilai Ketrampilan'!Y44)</f>
        <v/>
      </c>
      <c r="CC6" s="89" t="str">
        <f>IF(CB6="","",IF('Input Nilai Ketrampilan'!$U$1="","",'Input Nilai Ketrampilan'!$U$1))</f>
        <v/>
      </c>
      <c r="CD6" s="89" t="str">
        <f>IF('Input Nilai Ketrampilan'!Y45="","",'Input Nilai Ketrampilan'!Y45)</f>
        <v/>
      </c>
      <c r="CE6" s="89" t="str">
        <f>IF(CD6="","",IF('Input Nilai Ketrampilan'!$U$1="","",'Input Nilai Ketrampilan'!$U$1))</f>
        <v/>
      </c>
      <c r="CF6" s="89" t="str">
        <f>IF('Input Nilai Ketrampilan'!Y46="","",'Input Nilai Ketrampilan'!Y46)</f>
        <v/>
      </c>
      <c r="CG6" s="89" t="str">
        <f>IF(CF6="","",IF('Input Nilai Ketrampilan'!$U$1="","",'Input Nilai Ketrampilan'!$U$1))</f>
        <v/>
      </c>
      <c r="CH6" s="89" t="str">
        <f>IF('Input Nilai Ketrampilan'!Y47="","",'Input Nilai Ketrampilan'!Y47)</f>
        <v/>
      </c>
      <c r="CI6" s="89" t="str">
        <f>IF(CH6="","",IF('Input Nilai Ketrampilan'!$U$1="","",'Input Nilai Ketrampilan'!$U$1))</f>
        <v/>
      </c>
      <c r="CJ6" s="89" t="str">
        <f>IF('Input Nilai Ketrampilan'!Y48="","",'Input Nilai Ketrampilan'!Y48)</f>
        <v/>
      </c>
      <c r="CK6" s="89" t="str">
        <f>IF(CJ6="","",IF('Input Nilai Ketrampilan'!$U$1="","",'Input Nilai Ketrampilan'!$U$1))</f>
        <v/>
      </c>
      <c r="CL6" s="89" t="str">
        <f>IF('Input Nilai Ketrampilan'!Y49="","",'Input Nilai Ketrampilan'!Y49)</f>
        <v/>
      </c>
      <c r="CM6" s="89" t="str">
        <f>IF(CL6="","",IF('Input Nilai Ketrampilan'!$U$1="","",'Input Nilai Ketrampilan'!$U$1))</f>
        <v/>
      </c>
      <c r="CN6" s="89" t="str">
        <f>IF('Input Nilai Ketrampilan'!Y50="","",'Input Nilai Ketrampilan'!Y50)</f>
        <v/>
      </c>
      <c r="CO6" s="89" t="str">
        <f>IF(CN6="","",IF('Input Nilai Ketrampilan'!$U$1="","",'Input Nilai Ketrampilan'!$U$1))</f>
        <v/>
      </c>
      <c r="CP6" s="89" t="str">
        <f>IF('Input Nilai Ketrampilan'!Y51="","",'Input Nilai Ketrampilan'!Y51)</f>
        <v/>
      </c>
      <c r="CQ6" s="89" t="str">
        <f>IF(CP6="","",IF('Input Nilai Ketrampilan'!$U$1="","",'Input Nilai Ketrampilan'!$U$1))</f>
        <v/>
      </c>
      <c r="CR6" s="89" t="str">
        <f>IF('Input Nilai Ketrampilan'!Y52="","",'Input Nilai Ketrampilan'!Y52)</f>
        <v/>
      </c>
      <c r="CS6" s="89" t="str">
        <f>IF(CR6="","",IF('Input Nilai Ketrampilan'!$U$1="","",'Input Nilai Ketrampilan'!$U$1))</f>
        <v/>
      </c>
    </row>
    <row r="7" spans="1:97">
      <c r="A7" s="72">
        <v>5</v>
      </c>
      <c r="B7" s="89" t="str">
        <f>IF('Input Nilai Ketrampilan'!AD5="","",'Input Nilai Ketrampilan'!AD5)</f>
        <v/>
      </c>
      <c r="C7" s="89" t="str">
        <f>IF(B7="","",IF('Input Nilai Ketrampilan'!$Z$1="","",'Input Nilai Ketrampilan'!$Z$1))</f>
        <v/>
      </c>
      <c r="D7" s="89" t="str">
        <f>IF('Input Nilai Ketrampilan'!AD6="","",'Input Nilai Ketrampilan'!AD6)</f>
        <v/>
      </c>
      <c r="E7" s="89" t="str">
        <f>IF(D7="","",IF('Input Nilai Ketrampilan'!$Z$1="","",'Input Nilai Ketrampilan'!$Z$1))</f>
        <v/>
      </c>
      <c r="F7" s="89" t="str">
        <f>IF('Input Nilai Ketrampilan'!AD7="","",'Input Nilai Ketrampilan'!AD7)</f>
        <v/>
      </c>
      <c r="G7" s="89" t="str">
        <f>IF(F7="","",IF('Input Nilai Ketrampilan'!$Z$1="","",'Input Nilai Ketrampilan'!$Z$1))</f>
        <v/>
      </c>
      <c r="H7" s="89" t="str">
        <f>IF('Input Nilai Ketrampilan'!AD8="","",'Input Nilai Ketrampilan'!AD8)</f>
        <v/>
      </c>
      <c r="I7" s="89" t="str">
        <f>IF(H7="","",IF('Input Nilai Ketrampilan'!$Z$1="","",'Input Nilai Ketrampilan'!$Z$1))</f>
        <v/>
      </c>
      <c r="J7" s="89" t="str">
        <f>IF('Input Nilai Ketrampilan'!AD9="","",'Input Nilai Ketrampilan'!AD9)</f>
        <v/>
      </c>
      <c r="K7" s="89" t="str">
        <f>IF(J7="","",IF('Input Nilai Ketrampilan'!$Z$1="","",'Input Nilai Ketrampilan'!$Z$1))</f>
        <v/>
      </c>
      <c r="L7" s="89" t="str">
        <f>IF('Input Nilai Ketrampilan'!AD10="","",'Input Nilai Ketrampilan'!AD10)</f>
        <v/>
      </c>
      <c r="M7" s="89" t="str">
        <f>IF(L7="","",IF('Input Nilai Ketrampilan'!$Z$1="","",'Input Nilai Ketrampilan'!$Z$1))</f>
        <v/>
      </c>
      <c r="N7" s="89" t="str">
        <f>IF('Input Nilai Ketrampilan'!AD11="","",'Input Nilai Ketrampilan'!AD11)</f>
        <v/>
      </c>
      <c r="O7" s="89" t="str">
        <f>IF(N7="","",IF('Input Nilai Ketrampilan'!$Z$1="","",'Input Nilai Ketrampilan'!$Z$1))</f>
        <v/>
      </c>
      <c r="P7" s="89" t="str">
        <f>IF('Input Nilai Ketrampilan'!AD12="","",'Input Nilai Ketrampilan'!AD12)</f>
        <v/>
      </c>
      <c r="Q7" s="89" t="str">
        <f>IF(P7="","",IF('Input Nilai Ketrampilan'!$Z$1="","",'Input Nilai Ketrampilan'!$Z$1))</f>
        <v/>
      </c>
      <c r="R7" s="89" t="str">
        <f>IF('Input Nilai Ketrampilan'!AD13="","",'Input Nilai Ketrampilan'!AD13)</f>
        <v/>
      </c>
      <c r="S7" s="89" t="str">
        <f>IF(R7="","",IF('Input Nilai Ketrampilan'!$Z$1="","",'Input Nilai Ketrampilan'!$Z$1))</f>
        <v/>
      </c>
      <c r="T7" s="89" t="str">
        <f>IF('Input Nilai Ketrampilan'!AD14="","",'Input Nilai Ketrampilan'!AD14)</f>
        <v/>
      </c>
      <c r="U7" s="89" t="str">
        <f>IF(T7="","",IF('Input Nilai Ketrampilan'!$Z$1="","",'Input Nilai Ketrampilan'!$Z$1))</f>
        <v/>
      </c>
      <c r="V7" s="89" t="str">
        <f>IF('Input Nilai Ketrampilan'!AD15="","",'Input Nilai Ketrampilan'!AD15)</f>
        <v/>
      </c>
      <c r="W7" s="89" t="str">
        <f>IF(V7="","",IF('Input Nilai Ketrampilan'!$Z$1="","",'Input Nilai Ketrampilan'!$Z$1))</f>
        <v/>
      </c>
      <c r="X7" s="89" t="str">
        <f>IF('Input Nilai Ketrampilan'!AD16="","",'Input Nilai Ketrampilan'!AD16)</f>
        <v/>
      </c>
      <c r="Y7" s="89" t="str">
        <f>IF(X7="","",IF('Input Nilai Ketrampilan'!$Z$1="","",'Input Nilai Ketrampilan'!$Z$1))</f>
        <v/>
      </c>
      <c r="Z7" s="89" t="str">
        <f>IF('Input Nilai Ketrampilan'!AD17="","",'Input Nilai Ketrampilan'!AD17)</f>
        <v/>
      </c>
      <c r="AA7" s="89" t="str">
        <f>IF(Z7="","",IF('Input Nilai Ketrampilan'!$Z$1="","",'Input Nilai Ketrampilan'!$Z$1))</f>
        <v/>
      </c>
      <c r="AB7" s="89" t="str">
        <f>IF('Input Nilai Ketrampilan'!AD18="","",'Input Nilai Ketrampilan'!AD18)</f>
        <v/>
      </c>
      <c r="AC7" s="89" t="str">
        <f>IF(AB7="","",IF('Input Nilai Ketrampilan'!$Z$1="","",'Input Nilai Ketrampilan'!$Z$1))</f>
        <v/>
      </c>
      <c r="AD7" s="89" t="str">
        <f>IF('Input Nilai Ketrampilan'!AD19="","",'Input Nilai Ketrampilan'!AD19)</f>
        <v/>
      </c>
      <c r="AE7" s="89" t="str">
        <f>IF(AD7="","",IF('Input Nilai Ketrampilan'!$Z$1="","",'Input Nilai Ketrampilan'!$Z$1))</f>
        <v/>
      </c>
      <c r="AF7" s="89" t="str">
        <f>IF('Input Nilai Ketrampilan'!AD20="","",'Input Nilai Ketrampilan'!AD20)</f>
        <v/>
      </c>
      <c r="AG7" s="89" t="str">
        <f>IF(AF7="","",IF('Input Nilai Ketrampilan'!$Z$1="","",'Input Nilai Ketrampilan'!$Z$1))</f>
        <v/>
      </c>
      <c r="AH7" s="89" t="str">
        <f>IF('Input Nilai Ketrampilan'!AD21="","",'Input Nilai Ketrampilan'!AD21)</f>
        <v/>
      </c>
      <c r="AI7" s="89" t="str">
        <f>IF(AH7="","",IF('Input Nilai Ketrampilan'!$Z$1="","",'Input Nilai Ketrampilan'!$Z$1))</f>
        <v/>
      </c>
      <c r="AJ7" s="89" t="str">
        <f>IF('Input Nilai Ketrampilan'!AD22="","",'Input Nilai Ketrampilan'!AD22)</f>
        <v/>
      </c>
      <c r="AK7" s="89" t="str">
        <f>IF(AJ7="","",IF('Input Nilai Ketrampilan'!$Z$1="","",'Input Nilai Ketrampilan'!$Z$1))</f>
        <v/>
      </c>
      <c r="AL7" s="89" t="str">
        <f>IF('Input Nilai Ketrampilan'!AD23="","",'Input Nilai Ketrampilan'!AD23)</f>
        <v/>
      </c>
      <c r="AM7" s="89" t="str">
        <f>IF(AL7="","",IF('Input Nilai Ketrampilan'!$Z$1="","",'Input Nilai Ketrampilan'!$Z$1))</f>
        <v/>
      </c>
      <c r="AN7" s="89" t="str">
        <f>IF('Input Nilai Ketrampilan'!AD24="","",'Input Nilai Ketrampilan'!AD24)</f>
        <v/>
      </c>
      <c r="AO7" s="89" t="str">
        <f>IF(AN7="","",IF('Input Nilai Ketrampilan'!$Z$1="","",'Input Nilai Ketrampilan'!$Z$1))</f>
        <v/>
      </c>
      <c r="AP7" s="89" t="str">
        <f>IF('Input Nilai Ketrampilan'!AD25="","",'Input Nilai Ketrampilan'!AD25)</f>
        <v/>
      </c>
      <c r="AQ7" s="89" t="str">
        <f>IF(AP7="","",IF('Input Nilai Ketrampilan'!$Z$1="","",'Input Nilai Ketrampilan'!$Z$1))</f>
        <v/>
      </c>
      <c r="AR7" s="89" t="str">
        <f>IF('Input Nilai Ketrampilan'!AD26="","",'Input Nilai Ketrampilan'!AD26)</f>
        <v/>
      </c>
      <c r="AS7" s="89" t="str">
        <f>IF(AR7="","",IF('Input Nilai Ketrampilan'!$Z$1="","",'Input Nilai Ketrampilan'!$Z$1))</f>
        <v/>
      </c>
      <c r="AT7" s="89" t="str">
        <f>IF('Input Nilai Ketrampilan'!AD27="","",'Input Nilai Ketrampilan'!AD27)</f>
        <v/>
      </c>
      <c r="AU7" s="89" t="str">
        <f>IF(AT7="","",IF('Input Nilai Ketrampilan'!$Z$1="","",'Input Nilai Ketrampilan'!$Z$1))</f>
        <v/>
      </c>
      <c r="AV7" s="89" t="str">
        <f>IF('Input Nilai Ketrampilan'!AD28="","",'Input Nilai Ketrampilan'!AD28)</f>
        <v/>
      </c>
      <c r="AW7" s="89" t="str">
        <f>IF(AV7="","",IF('Input Nilai Ketrampilan'!$Z$1="","",'Input Nilai Ketrampilan'!$Z$1))</f>
        <v/>
      </c>
      <c r="AX7" s="89" t="str">
        <f>IF('Input Nilai Ketrampilan'!AD29="","",'Input Nilai Ketrampilan'!AD29)</f>
        <v/>
      </c>
      <c r="AY7" s="89" t="str">
        <f>IF(AX7="","",IF('Input Nilai Ketrampilan'!$Z$1="","",'Input Nilai Ketrampilan'!$Z$1))</f>
        <v/>
      </c>
      <c r="AZ7" s="89" t="str">
        <f>IF('Input Nilai Ketrampilan'!AD30="","",'Input Nilai Ketrampilan'!AD30)</f>
        <v/>
      </c>
      <c r="BA7" s="89" t="str">
        <f>IF(AZ7="","",IF('Input Nilai Ketrampilan'!$Z$1="","",'Input Nilai Ketrampilan'!$Z$1))</f>
        <v/>
      </c>
      <c r="BB7" s="89" t="str">
        <f>IF('Input Nilai Ketrampilan'!AD31="","",'Input Nilai Ketrampilan'!AD31)</f>
        <v/>
      </c>
      <c r="BC7" s="89" t="str">
        <f>IF(BB7="","",IF('Input Nilai Ketrampilan'!$Z$1="","",'Input Nilai Ketrampilan'!$Z$1))</f>
        <v/>
      </c>
      <c r="BD7" s="89" t="str">
        <f>IF('Input Nilai Ketrampilan'!AD32="","",'Input Nilai Ketrampilan'!AD32)</f>
        <v/>
      </c>
      <c r="BE7" s="89" t="str">
        <f>IF(BD7="","",IF('Input Nilai Ketrampilan'!$Z$1="","",'Input Nilai Ketrampilan'!$Z$1))</f>
        <v/>
      </c>
      <c r="BF7" s="89" t="str">
        <f>IF('Input Nilai Ketrampilan'!AD33="","",'Input Nilai Ketrampilan'!AD33)</f>
        <v/>
      </c>
      <c r="BG7" s="89" t="str">
        <f>IF(BF7="","",IF('Input Nilai Ketrampilan'!$Z$1="","",'Input Nilai Ketrampilan'!$Z$1))</f>
        <v/>
      </c>
      <c r="BH7" s="89" t="str">
        <f>IF('Input Nilai Ketrampilan'!AD34="","",'Input Nilai Ketrampilan'!AD34)</f>
        <v/>
      </c>
      <c r="BI7" s="89" t="str">
        <f>IF(BH7="","",IF('Input Nilai Ketrampilan'!$Z$1="","",'Input Nilai Ketrampilan'!$Z$1))</f>
        <v/>
      </c>
      <c r="BJ7" s="89" t="str">
        <f>IF('Input Nilai Ketrampilan'!AD35="","",'Input Nilai Ketrampilan'!AD35)</f>
        <v/>
      </c>
      <c r="BK7" s="89" t="str">
        <f>IF(BJ7="","",IF('Input Nilai Ketrampilan'!$Z$1="","",'Input Nilai Ketrampilan'!$Z$1))</f>
        <v/>
      </c>
      <c r="BL7" s="89" t="str">
        <f>IF('Input Nilai Ketrampilan'!AD36="","",'Input Nilai Ketrampilan'!AD36)</f>
        <v/>
      </c>
      <c r="BM7" s="89" t="str">
        <f>IF(BL7="","",IF('Input Nilai Ketrampilan'!$Z$1="","",'Input Nilai Ketrampilan'!$Z$1))</f>
        <v/>
      </c>
      <c r="BN7" s="89" t="str">
        <f>IF('Input Nilai Ketrampilan'!AD37="","",'Input Nilai Ketrampilan'!AD37)</f>
        <v/>
      </c>
      <c r="BO7" s="89" t="str">
        <f>IF(BN7="","",IF('Input Nilai Ketrampilan'!$Z$1="","",'Input Nilai Ketrampilan'!$Z$1))</f>
        <v/>
      </c>
      <c r="BP7" s="89" t="str">
        <f>IF('Input Nilai Ketrampilan'!AD38="","",'Input Nilai Ketrampilan'!AD38)</f>
        <v/>
      </c>
      <c r="BQ7" s="89" t="str">
        <f>IF(BP7="","",IF('Input Nilai Ketrampilan'!$Z$1="","",'Input Nilai Ketrampilan'!$Z$1))</f>
        <v/>
      </c>
      <c r="BR7" s="89" t="str">
        <f>IF('Input Nilai Ketrampilan'!AD39="","",'Input Nilai Ketrampilan'!AD39)</f>
        <v/>
      </c>
      <c r="BS7" s="89" t="str">
        <f>IF(BR7="","",IF('Input Nilai Ketrampilan'!$Z$1="","",'Input Nilai Ketrampilan'!$Z$1))</f>
        <v/>
      </c>
      <c r="BT7" s="89" t="str">
        <f>IF('Input Nilai Ketrampilan'!AD40="","",'Input Nilai Ketrampilan'!AD40)</f>
        <v/>
      </c>
      <c r="BU7" s="89" t="str">
        <f>IF(BT7="","",IF('Input Nilai Ketrampilan'!$Z$1="","",'Input Nilai Ketrampilan'!$Z$1))</f>
        <v/>
      </c>
      <c r="BV7" s="89" t="str">
        <f>IF('Input Nilai Ketrampilan'!AD41="","",'Input Nilai Ketrampilan'!AD41)</f>
        <v/>
      </c>
      <c r="BW7" s="89" t="str">
        <f>IF(BV7="","",IF('Input Nilai Ketrampilan'!$Z$1="","",'Input Nilai Ketrampilan'!$Z$1))</f>
        <v/>
      </c>
      <c r="BX7" s="89" t="str">
        <f>IF('Input Nilai Ketrampilan'!AD42="","",'Input Nilai Ketrampilan'!AD42)</f>
        <v/>
      </c>
      <c r="BY7" s="89" t="str">
        <f>IF(BX7="","",IF('Input Nilai Ketrampilan'!$Z$1="","",'Input Nilai Ketrampilan'!$Z$1))</f>
        <v/>
      </c>
      <c r="BZ7" s="89" t="str">
        <f>IF('Input Nilai Ketrampilan'!AD43="","",'Input Nilai Ketrampilan'!AD43)</f>
        <v/>
      </c>
      <c r="CA7" s="89" t="str">
        <f>IF(BZ7="","",IF('Input Nilai Ketrampilan'!$Z$1="","",'Input Nilai Ketrampilan'!$Z$1))</f>
        <v/>
      </c>
      <c r="CB7" s="89" t="str">
        <f>IF('Input Nilai Ketrampilan'!AD44="","",'Input Nilai Ketrampilan'!AD44)</f>
        <v/>
      </c>
      <c r="CC7" s="89" t="str">
        <f>IF(CB7="","",IF('Input Nilai Ketrampilan'!$Z$1="","",'Input Nilai Ketrampilan'!$Z$1))</f>
        <v/>
      </c>
      <c r="CD7" s="89" t="str">
        <f>IF('Input Nilai Ketrampilan'!AD45="","",'Input Nilai Ketrampilan'!AD45)</f>
        <v/>
      </c>
      <c r="CE7" s="89" t="str">
        <f>IF(CD7="","",IF('Input Nilai Ketrampilan'!$Z$1="","",'Input Nilai Ketrampilan'!$Z$1))</f>
        <v/>
      </c>
      <c r="CF7" s="89" t="str">
        <f>IF('Input Nilai Ketrampilan'!AD46="","",'Input Nilai Ketrampilan'!AD46)</f>
        <v/>
      </c>
      <c r="CG7" s="89" t="str">
        <f>IF(CF7="","",IF('Input Nilai Ketrampilan'!$Z$1="","",'Input Nilai Ketrampilan'!$Z$1))</f>
        <v/>
      </c>
      <c r="CH7" s="89" t="str">
        <f>IF('Input Nilai Ketrampilan'!AD47="","",'Input Nilai Ketrampilan'!AD47)</f>
        <v/>
      </c>
      <c r="CI7" s="89" t="str">
        <f>IF(CH7="","",IF('Input Nilai Ketrampilan'!$Z$1="","",'Input Nilai Ketrampilan'!$Z$1))</f>
        <v/>
      </c>
      <c r="CJ7" s="89" t="str">
        <f>IF('Input Nilai Ketrampilan'!AD48="","",'Input Nilai Ketrampilan'!AD48)</f>
        <v/>
      </c>
      <c r="CK7" s="89" t="str">
        <f>IF(CJ7="","",IF('Input Nilai Ketrampilan'!$Z$1="","",'Input Nilai Ketrampilan'!$Z$1))</f>
        <v/>
      </c>
      <c r="CL7" s="89" t="str">
        <f>IF('Input Nilai Ketrampilan'!AD49="","",'Input Nilai Ketrampilan'!AD49)</f>
        <v/>
      </c>
      <c r="CM7" s="89" t="str">
        <f>IF(CL7="","",IF('Input Nilai Ketrampilan'!$Z$1="","",'Input Nilai Ketrampilan'!$Z$1))</f>
        <v/>
      </c>
      <c r="CN7" s="89" t="str">
        <f>IF('Input Nilai Ketrampilan'!AD50="","",'Input Nilai Ketrampilan'!AD50)</f>
        <v/>
      </c>
      <c r="CO7" s="89" t="str">
        <f>IF(CN7="","",IF('Input Nilai Ketrampilan'!$Z$1="","",'Input Nilai Ketrampilan'!$Z$1))</f>
        <v/>
      </c>
      <c r="CP7" s="89" t="str">
        <f>IF('Input Nilai Ketrampilan'!AD51="","",'Input Nilai Ketrampilan'!AD51)</f>
        <v/>
      </c>
      <c r="CQ7" s="89" t="str">
        <f>IF(CP7="","",IF('Input Nilai Ketrampilan'!$Z$1="","",'Input Nilai Ketrampilan'!$Z$1))</f>
        <v/>
      </c>
      <c r="CR7" s="89" t="str">
        <f>IF('Input Nilai Ketrampilan'!AD52="","",'Input Nilai Ketrampilan'!AD52)</f>
        <v/>
      </c>
      <c r="CS7" s="89" t="str">
        <f>IF(CR7="","",IF('Input Nilai Ketrampilan'!$Z$1="","",'Input Nilai Ketrampilan'!$Z$1))</f>
        <v/>
      </c>
    </row>
    <row r="8" spans="1:97">
      <c r="A8" s="72">
        <v>6</v>
      </c>
      <c r="B8" s="89" t="str">
        <f>IF('Input Nilai Ketrampilan'!AI5="","",'Input Nilai Ketrampilan'!AI5)</f>
        <v/>
      </c>
      <c r="C8" s="89" t="str">
        <f>IF(B8="","",IF('Input Nilai Ketrampilan'!$AE$1="","",'Input Nilai Ketrampilan'!$AE$1))</f>
        <v/>
      </c>
      <c r="D8" s="89" t="str">
        <f>IF('Input Nilai Ketrampilan'!AI6="","",'Input Nilai Ketrampilan'!AI6)</f>
        <v/>
      </c>
      <c r="E8" s="89" t="str">
        <f>IF(D8="","",IF('Input Nilai Ketrampilan'!$AE$1="","",'Input Nilai Ketrampilan'!$AE$1))</f>
        <v/>
      </c>
      <c r="F8" s="89" t="str">
        <f>IF('Input Nilai Ketrampilan'!AI7="","",'Input Nilai Ketrampilan'!AI7)</f>
        <v/>
      </c>
      <c r="G8" s="89" t="str">
        <f>IF(F8="","",IF('Input Nilai Ketrampilan'!$AE$1="","",'Input Nilai Ketrampilan'!$AE$1))</f>
        <v/>
      </c>
      <c r="H8" s="89" t="str">
        <f>IF('Input Nilai Ketrampilan'!AI8="","",'Input Nilai Ketrampilan'!AI8)</f>
        <v/>
      </c>
      <c r="I8" s="89" t="str">
        <f>IF(H8="","",IF('Input Nilai Ketrampilan'!$AE$1="","",'Input Nilai Ketrampilan'!$AE$1))</f>
        <v/>
      </c>
      <c r="J8" s="89" t="str">
        <f>IF('Input Nilai Ketrampilan'!AI9="","",'Input Nilai Ketrampilan'!AI9)</f>
        <v/>
      </c>
      <c r="K8" s="89" t="str">
        <f>IF(J8="","",IF('Input Nilai Ketrampilan'!$AE$1="","",'Input Nilai Ketrampilan'!$AE$1))</f>
        <v/>
      </c>
      <c r="L8" s="89" t="str">
        <f>IF('Input Nilai Ketrampilan'!AI10="","",'Input Nilai Ketrampilan'!AI10)</f>
        <v/>
      </c>
      <c r="M8" s="89" t="str">
        <f>IF(L8="","",IF('Input Nilai Ketrampilan'!$AE$1="","",'Input Nilai Ketrampilan'!$AE$1))</f>
        <v/>
      </c>
      <c r="N8" s="89" t="str">
        <f>IF('Input Nilai Ketrampilan'!AI11="","",'Input Nilai Ketrampilan'!AI11)</f>
        <v/>
      </c>
      <c r="O8" s="89" t="str">
        <f>IF(N8="","",IF('Input Nilai Ketrampilan'!$AE$1="","",'Input Nilai Ketrampilan'!$AE$1))</f>
        <v/>
      </c>
      <c r="P8" s="89" t="str">
        <f>IF('Input Nilai Ketrampilan'!AI12="","",'Input Nilai Ketrampilan'!AI12)</f>
        <v/>
      </c>
      <c r="Q8" s="89" t="str">
        <f>IF(P8="","",IF('Input Nilai Ketrampilan'!$AE$1="","",'Input Nilai Ketrampilan'!$AE$1))</f>
        <v/>
      </c>
      <c r="R8" s="89" t="str">
        <f>IF('Input Nilai Ketrampilan'!AI13="","",'Input Nilai Ketrampilan'!AI13)</f>
        <v/>
      </c>
      <c r="S8" s="89" t="str">
        <f>IF(R8="","",IF('Input Nilai Ketrampilan'!$AE$1="","",'Input Nilai Ketrampilan'!$AE$1))</f>
        <v/>
      </c>
      <c r="T8" s="89" t="str">
        <f>IF('Input Nilai Ketrampilan'!AI14="","",'Input Nilai Ketrampilan'!AI14)</f>
        <v/>
      </c>
      <c r="U8" s="89" t="str">
        <f>IF(T8="","",IF('Input Nilai Ketrampilan'!$AE$1="","",'Input Nilai Ketrampilan'!$AE$1))</f>
        <v/>
      </c>
      <c r="V8" s="89" t="str">
        <f>IF('Input Nilai Ketrampilan'!AI15="","",'Input Nilai Ketrampilan'!AI15)</f>
        <v/>
      </c>
      <c r="W8" s="89" t="str">
        <f>IF(V8="","",IF('Input Nilai Ketrampilan'!$AE$1="","",'Input Nilai Ketrampilan'!$AE$1))</f>
        <v/>
      </c>
      <c r="X8" s="89" t="str">
        <f>IF('Input Nilai Ketrampilan'!AI16="","",'Input Nilai Ketrampilan'!AI16)</f>
        <v/>
      </c>
      <c r="Y8" s="89" t="str">
        <f>IF(X8="","",IF('Input Nilai Ketrampilan'!$AE$1="","",'Input Nilai Ketrampilan'!$AE$1))</f>
        <v/>
      </c>
      <c r="Z8" s="89" t="str">
        <f>IF('Input Nilai Ketrampilan'!AI17="","",'Input Nilai Ketrampilan'!AI17)</f>
        <v/>
      </c>
      <c r="AA8" s="89" t="str">
        <f>IF(Z8="","",IF('Input Nilai Ketrampilan'!$AE$1="","",'Input Nilai Ketrampilan'!$AE$1))</f>
        <v/>
      </c>
      <c r="AB8" s="89" t="str">
        <f>IF('Input Nilai Ketrampilan'!AI18="","",'Input Nilai Ketrampilan'!AI18)</f>
        <v/>
      </c>
      <c r="AC8" s="89" t="str">
        <f>IF(AB8="","",IF('Input Nilai Ketrampilan'!$AE$1="","",'Input Nilai Ketrampilan'!$AE$1))</f>
        <v/>
      </c>
      <c r="AD8" s="89" t="str">
        <f>IF('Input Nilai Ketrampilan'!AI19="","",'Input Nilai Ketrampilan'!AI19)</f>
        <v/>
      </c>
      <c r="AE8" s="89" t="str">
        <f>IF(AD8="","",IF('Input Nilai Ketrampilan'!$AE$1="","",'Input Nilai Ketrampilan'!$AE$1))</f>
        <v/>
      </c>
      <c r="AF8" s="89" t="str">
        <f>IF('Input Nilai Ketrampilan'!AI20="","",'Input Nilai Ketrampilan'!AI20)</f>
        <v/>
      </c>
      <c r="AG8" s="89" t="str">
        <f>IF(AF8="","",IF('Input Nilai Ketrampilan'!$AE$1="","",'Input Nilai Ketrampilan'!$AE$1))</f>
        <v/>
      </c>
      <c r="AH8" s="89" t="str">
        <f>IF('Input Nilai Ketrampilan'!AI21="","",'Input Nilai Ketrampilan'!AI21)</f>
        <v/>
      </c>
      <c r="AI8" s="89" t="str">
        <f>IF(AH8="","",IF('Input Nilai Ketrampilan'!$AE$1="","",'Input Nilai Ketrampilan'!$AE$1))</f>
        <v/>
      </c>
      <c r="AJ8" s="89" t="str">
        <f>IF('Input Nilai Ketrampilan'!AI22="","",'Input Nilai Ketrampilan'!AI22)</f>
        <v/>
      </c>
      <c r="AK8" s="89" t="str">
        <f>IF(AJ8="","",IF('Input Nilai Ketrampilan'!$AE$1="","",'Input Nilai Ketrampilan'!$AE$1))</f>
        <v/>
      </c>
      <c r="AL8" s="89" t="str">
        <f>IF('Input Nilai Ketrampilan'!AI23="","",'Input Nilai Ketrampilan'!AI23)</f>
        <v/>
      </c>
      <c r="AM8" s="89" t="str">
        <f>IF(AL8="","",IF('Input Nilai Ketrampilan'!$AE$1="","",'Input Nilai Ketrampilan'!$AE$1))</f>
        <v/>
      </c>
      <c r="AN8" s="89" t="str">
        <f>IF('Input Nilai Ketrampilan'!AI24="","",'Input Nilai Ketrampilan'!AI24)</f>
        <v/>
      </c>
      <c r="AO8" s="89" t="str">
        <f>IF(AN8="","",IF('Input Nilai Ketrampilan'!$AE$1="","",'Input Nilai Ketrampilan'!$AE$1))</f>
        <v/>
      </c>
      <c r="AP8" s="89" t="str">
        <f>IF('Input Nilai Ketrampilan'!AI25="","",'Input Nilai Ketrampilan'!AI25)</f>
        <v/>
      </c>
      <c r="AQ8" s="89" t="str">
        <f>IF(AP8="","",IF('Input Nilai Ketrampilan'!$AE$1="","",'Input Nilai Ketrampilan'!$AE$1))</f>
        <v/>
      </c>
      <c r="AR8" s="89" t="str">
        <f>IF('Input Nilai Ketrampilan'!AI26="","",'Input Nilai Ketrampilan'!AI26)</f>
        <v/>
      </c>
      <c r="AS8" s="89" t="str">
        <f>IF(AR8="","",IF('Input Nilai Ketrampilan'!$AE$1="","",'Input Nilai Ketrampilan'!$AE$1))</f>
        <v/>
      </c>
      <c r="AT8" s="89" t="str">
        <f>IF('Input Nilai Ketrampilan'!AI27="","",'Input Nilai Ketrampilan'!AI27)</f>
        <v/>
      </c>
      <c r="AU8" s="89" t="str">
        <f>IF(AT8="","",IF('Input Nilai Ketrampilan'!$AE$1="","",'Input Nilai Ketrampilan'!$AE$1))</f>
        <v/>
      </c>
      <c r="AV8" s="89" t="str">
        <f>IF('Input Nilai Ketrampilan'!AI28="","",'Input Nilai Ketrampilan'!AI28)</f>
        <v/>
      </c>
      <c r="AW8" s="89" t="str">
        <f>IF(AV8="","",IF('Input Nilai Ketrampilan'!$AE$1="","",'Input Nilai Ketrampilan'!$AE$1))</f>
        <v/>
      </c>
      <c r="AX8" s="89" t="str">
        <f>IF('Input Nilai Ketrampilan'!AI29="","",'Input Nilai Ketrampilan'!AI29)</f>
        <v/>
      </c>
      <c r="AY8" s="89" t="str">
        <f>IF(AX8="","",IF('Input Nilai Ketrampilan'!$AE$1="","",'Input Nilai Ketrampilan'!$AE$1))</f>
        <v/>
      </c>
      <c r="AZ8" s="89" t="str">
        <f>IF('Input Nilai Ketrampilan'!AI30="","",'Input Nilai Ketrampilan'!AI30)</f>
        <v/>
      </c>
      <c r="BA8" s="89" t="str">
        <f>IF(AZ8="","",IF('Input Nilai Ketrampilan'!$AE$1="","",'Input Nilai Ketrampilan'!$AE$1))</f>
        <v/>
      </c>
      <c r="BB8" s="89" t="str">
        <f>IF('Input Nilai Ketrampilan'!AI31="","",'Input Nilai Ketrampilan'!AI31)</f>
        <v/>
      </c>
      <c r="BC8" s="89" t="str">
        <f>IF(BB8="","",IF('Input Nilai Ketrampilan'!$AE$1="","",'Input Nilai Ketrampilan'!$AE$1))</f>
        <v/>
      </c>
      <c r="BD8" s="89" t="str">
        <f>IF('Input Nilai Ketrampilan'!AI32="","",'Input Nilai Ketrampilan'!AI32)</f>
        <v/>
      </c>
      <c r="BE8" s="89" t="str">
        <f>IF(BD8="","",IF('Input Nilai Ketrampilan'!$AE$1="","",'Input Nilai Ketrampilan'!$AE$1))</f>
        <v/>
      </c>
      <c r="BF8" s="89" t="str">
        <f>IF('Input Nilai Ketrampilan'!AI33="","",'Input Nilai Ketrampilan'!AI33)</f>
        <v/>
      </c>
      <c r="BG8" s="89" t="str">
        <f>IF(BF8="","",IF('Input Nilai Ketrampilan'!$AE$1="","",'Input Nilai Ketrampilan'!$AE$1))</f>
        <v/>
      </c>
      <c r="BH8" s="89" t="str">
        <f>IF('Input Nilai Ketrampilan'!AI34="","",'Input Nilai Ketrampilan'!AI34)</f>
        <v/>
      </c>
      <c r="BI8" s="89" t="str">
        <f>IF(BH8="","",IF('Input Nilai Ketrampilan'!$AE$1="","",'Input Nilai Ketrampilan'!$AE$1))</f>
        <v/>
      </c>
      <c r="BJ8" s="89" t="str">
        <f>IF('Input Nilai Ketrampilan'!AI35="","",'Input Nilai Ketrampilan'!AI35)</f>
        <v/>
      </c>
      <c r="BK8" s="89" t="str">
        <f>IF(BJ8="","",IF('Input Nilai Ketrampilan'!$AE$1="","",'Input Nilai Ketrampilan'!$AE$1))</f>
        <v/>
      </c>
      <c r="BL8" s="89" t="str">
        <f>IF('Input Nilai Ketrampilan'!AI36="","",'Input Nilai Ketrampilan'!AI36)</f>
        <v/>
      </c>
      <c r="BM8" s="89" t="str">
        <f>IF(BL8="","",IF('Input Nilai Ketrampilan'!$AE$1="","",'Input Nilai Ketrampilan'!$AE$1))</f>
        <v/>
      </c>
      <c r="BN8" s="89" t="str">
        <f>IF('Input Nilai Ketrampilan'!AI37="","",'Input Nilai Ketrampilan'!AI37)</f>
        <v/>
      </c>
      <c r="BO8" s="89" t="str">
        <f>IF(BN8="","",IF('Input Nilai Ketrampilan'!$AE$1="","",'Input Nilai Ketrampilan'!$AE$1))</f>
        <v/>
      </c>
      <c r="BP8" s="89" t="str">
        <f>IF('Input Nilai Ketrampilan'!AI38="","",'Input Nilai Ketrampilan'!AI38)</f>
        <v/>
      </c>
      <c r="BQ8" s="89" t="str">
        <f>IF(BP8="","",IF('Input Nilai Ketrampilan'!$AE$1="","",'Input Nilai Ketrampilan'!$AE$1))</f>
        <v/>
      </c>
      <c r="BR8" s="89" t="str">
        <f>IF('Input Nilai Ketrampilan'!AI39="","",'Input Nilai Ketrampilan'!AI39)</f>
        <v/>
      </c>
      <c r="BS8" s="89" t="str">
        <f>IF(BR8="","",IF('Input Nilai Ketrampilan'!$AE$1="","",'Input Nilai Ketrampilan'!$AE$1))</f>
        <v/>
      </c>
      <c r="BT8" s="89" t="str">
        <f>IF('Input Nilai Ketrampilan'!AI40="","",'Input Nilai Ketrampilan'!AI40)</f>
        <v/>
      </c>
      <c r="BU8" s="89" t="str">
        <f>IF(BT8="","",IF('Input Nilai Ketrampilan'!$AE$1="","",'Input Nilai Ketrampilan'!$AE$1))</f>
        <v/>
      </c>
      <c r="BV8" s="89" t="str">
        <f>IF('Input Nilai Ketrampilan'!AI41="","",'Input Nilai Ketrampilan'!AI41)</f>
        <v/>
      </c>
      <c r="BW8" s="89" t="str">
        <f>IF(BV8="","",IF('Input Nilai Ketrampilan'!$AE$1="","",'Input Nilai Ketrampilan'!$AE$1))</f>
        <v/>
      </c>
      <c r="BX8" s="89" t="str">
        <f>IF('Input Nilai Ketrampilan'!AI42="","",'Input Nilai Ketrampilan'!AI42)</f>
        <v/>
      </c>
      <c r="BY8" s="89" t="str">
        <f>IF(BX8="","",IF('Input Nilai Ketrampilan'!$AE$1="","",'Input Nilai Ketrampilan'!$AE$1))</f>
        <v/>
      </c>
      <c r="BZ8" s="89" t="str">
        <f>IF('Input Nilai Ketrampilan'!AI43="","",'Input Nilai Ketrampilan'!AI43)</f>
        <v/>
      </c>
      <c r="CA8" s="89" t="str">
        <f>IF(BZ8="","",IF('Input Nilai Ketrampilan'!$AE$1="","",'Input Nilai Ketrampilan'!$AE$1))</f>
        <v/>
      </c>
      <c r="CB8" s="89" t="str">
        <f>IF('Input Nilai Ketrampilan'!AI44="","",'Input Nilai Ketrampilan'!AI44)</f>
        <v/>
      </c>
      <c r="CC8" s="89" t="str">
        <f>IF(CB8="","",IF('Input Nilai Ketrampilan'!$AE$1="","",'Input Nilai Ketrampilan'!$AE$1))</f>
        <v/>
      </c>
      <c r="CD8" s="89" t="str">
        <f>IF('Input Nilai Ketrampilan'!AI45="","",'Input Nilai Ketrampilan'!AI45)</f>
        <v/>
      </c>
      <c r="CE8" s="89" t="str">
        <f>IF(CD8="","",IF('Input Nilai Ketrampilan'!$AE$1="","",'Input Nilai Ketrampilan'!$AE$1))</f>
        <v/>
      </c>
      <c r="CF8" s="89" t="str">
        <f>IF('Input Nilai Ketrampilan'!AI46="","",'Input Nilai Ketrampilan'!AI46)</f>
        <v/>
      </c>
      <c r="CG8" s="89" t="str">
        <f>IF(CF8="","",IF('Input Nilai Ketrampilan'!$AE$1="","",'Input Nilai Ketrampilan'!$AE$1))</f>
        <v/>
      </c>
      <c r="CH8" s="89" t="str">
        <f>IF('Input Nilai Ketrampilan'!AI47="","",'Input Nilai Ketrampilan'!AI47)</f>
        <v/>
      </c>
      <c r="CI8" s="89" t="str">
        <f>IF(CH8="","",IF('Input Nilai Ketrampilan'!$AE$1="","",'Input Nilai Ketrampilan'!$AE$1))</f>
        <v/>
      </c>
      <c r="CJ8" s="89" t="str">
        <f>IF('Input Nilai Ketrampilan'!AI48="","",'Input Nilai Ketrampilan'!AI48)</f>
        <v/>
      </c>
      <c r="CK8" s="89" t="str">
        <f>IF(CJ8="","",IF('Input Nilai Ketrampilan'!$AE$1="","",'Input Nilai Ketrampilan'!$AE$1))</f>
        <v/>
      </c>
      <c r="CL8" s="89" t="str">
        <f>IF('Input Nilai Ketrampilan'!AI49="","",'Input Nilai Ketrampilan'!AI49)</f>
        <v/>
      </c>
      <c r="CM8" s="89" t="str">
        <f>IF(CL8="","",IF('Input Nilai Ketrampilan'!$AE$1="","",'Input Nilai Ketrampilan'!$AE$1))</f>
        <v/>
      </c>
      <c r="CN8" s="89" t="str">
        <f>IF('Input Nilai Ketrampilan'!AI50="","",'Input Nilai Ketrampilan'!AI50)</f>
        <v/>
      </c>
      <c r="CO8" s="89" t="str">
        <f>IF(CN8="","",IF('Input Nilai Ketrampilan'!$AE$1="","",'Input Nilai Ketrampilan'!$AE$1))</f>
        <v/>
      </c>
      <c r="CP8" s="89" t="str">
        <f>IF('Input Nilai Ketrampilan'!AI51="","",'Input Nilai Ketrampilan'!AI51)</f>
        <v/>
      </c>
      <c r="CQ8" s="89" t="str">
        <f>IF(CP8="","",IF('Input Nilai Ketrampilan'!$AE$1="","",'Input Nilai Ketrampilan'!$AE$1))</f>
        <v/>
      </c>
      <c r="CR8" s="89" t="str">
        <f>IF('Input Nilai Ketrampilan'!AI52="","",'Input Nilai Ketrampilan'!AI52)</f>
        <v/>
      </c>
      <c r="CS8" s="89" t="str">
        <f>IF(CR8="","",IF('Input Nilai Ketrampilan'!$AE$1="","",'Input Nilai Ketrampilan'!$AE$1))</f>
        <v/>
      </c>
    </row>
    <row r="9" spans="1:97">
      <c r="A9" s="72">
        <v>7</v>
      </c>
      <c r="B9" s="89" t="str">
        <f>IF('Input Nilai Ketrampilan'!AN5="","",'Input Nilai Ketrampilan'!AN5)</f>
        <v/>
      </c>
      <c r="C9" s="89" t="str">
        <f>IF(B9="","",IF('Input Nilai Ketrampilan'!$AJ$1="","",'Input Nilai Ketrampilan'!$AJ$1))</f>
        <v/>
      </c>
      <c r="D9" s="89" t="str">
        <f>IF('Input Nilai Ketrampilan'!AN6="","",'Input Nilai Ketrampilan'!AN6)</f>
        <v/>
      </c>
      <c r="E9" s="89" t="str">
        <f>IF(D9="","",IF('Input Nilai Ketrampilan'!$AJ$1="","",'Input Nilai Ketrampilan'!$AJ$1))</f>
        <v/>
      </c>
      <c r="F9" s="89" t="str">
        <f>IF('Input Nilai Ketrampilan'!AN7="","",'Input Nilai Ketrampilan'!AN7)</f>
        <v/>
      </c>
      <c r="G9" s="89" t="str">
        <f>IF(F9="","",IF('Input Nilai Ketrampilan'!$AJ$1="","",'Input Nilai Ketrampilan'!$AJ$1))</f>
        <v/>
      </c>
      <c r="H9" s="89" t="str">
        <f>IF('Input Nilai Ketrampilan'!AN8="","",'Input Nilai Ketrampilan'!AN8)</f>
        <v/>
      </c>
      <c r="I9" s="89" t="str">
        <f>IF(H9="","",IF('Input Nilai Ketrampilan'!$AJ$1="","",'Input Nilai Ketrampilan'!$AJ$1))</f>
        <v/>
      </c>
      <c r="J9" s="89" t="str">
        <f>IF('Input Nilai Ketrampilan'!AN9="","",'Input Nilai Ketrampilan'!AN9)</f>
        <v/>
      </c>
      <c r="K9" s="89" t="str">
        <f>IF(J9="","",IF('Input Nilai Ketrampilan'!$AJ$1="","",'Input Nilai Ketrampilan'!$AJ$1))</f>
        <v/>
      </c>
      <c r="L9" s="89" t="str">
        <f>IF('Input Nilai Ketrampilan'!AN10="","",'Input Nilai Ketrampilan'!AN10)</f>
        <v/>
      </c>
      <c r="M9" s="89" t="str">
        <f>IF(L9="","",IF('Input Nilai Ketrampilan'!$AJ$1="","",'Input Nilai Ketrampilan'!$AJ$1))</f>
        <v/>
      </c>
      <c r="N9" s="89" t="str">
        <f>IF('Input Nilai Ketrampilan'!AN11="","",'Input Nilai Ketrampilan'!AN11)</f>
        <v/>
      </c>
      <c r="O9" s="89" t="str">
        <f>IF(N9="","",IF('Input Nilai Ketrampilan'!$AJ$1="","",'Input Nilai Ketrampilan'!$AJ$1))</f>
        <v/>
      </c>
      <c r="P9" s="89" t="str">
        <f>IF('Input Nilai Ketrampilan'!AN12="","",'Input Nilai Ketrampilan'!AN12)</f>
        <v/>
      </c>
      <c r="Q9" s="89" t="str">
        <f>IF(P9="","",IF('Input Nilai Ketrampilan'!$AJ$1="","",'Input Nilai Ketrampilan'!$AJ$1))</f>
        <v/>
      </c>
      <c r="R9" s="89" t="str">
        <f>IF('Input Nilai Ketrampilan'!AN13="","",'Input Nilai Ketrampilan'!AN13)</f>
        <v/>
      </c>
      <c r="S9" s="89" t="str">
        <f>IF(R9="","",IF('Input Nilai Ketrampilan'!$AJ$1="","",'Input Nilai Ketrampilan'!$AJ$1))</f>
        <v/>
      </c>
      <c r="T9" s="89" t="str">
        <f>IF('Input Nilai Ketrampilan'!AN14="","",'Input Nilai Ketrampilan'!AN14)</f>
        <v/>
      </c>
      <c r="U9" s="89" t="str">
        <f>IF(T9="","",IF('Input Nilai Ketrampilan'!$AJ$1="","",'Input Nilai Ketrampilan'!$AJ$1))</f>
        <v/>
      </c>
      <c r="V9" s="89" t="str">
        <f>IF('Input Nilai Ketrampilan'!AN15="","",'Input Nilai Ketrampilan'!AN15)</f>
        <v/>
      </c>
      <c r="W9" s="89" t="str">
        <f>IF(V9="","",IF('Input Nilai Ketrampilan'!$AJ$1="","",'Input Nilai Ketrampilan'!$AJ$1))</f>
        <v/>
      </c>
      <c r="X9" s="89" t="str">
        <f>IF('Input Nilai Ketrampilan'!AN16="","",'Input Nilai Ketrampilan'!AN16)</f>
        <v/>
      </c>
      <c r="Y9" s="89" t="str">
        <f>IF(X9="","",IF('Input Nilai Ketrampilan'!$AJ$1="","",'Input Nilai Ketrampilan'!$AJ$1))</f>
        <v/>
      </c>
      <c r="Z9" s="89" t="str">
        <f>IF('Input Nilai Ketrampilan'!AN17="","",'Input Nilai Ketrampilan'!AN17)</f>
        <v/>
      </c>
      <c r="AA9" s="89" t="str">
        <f>IF(Z9="","",IF('Input Nilai Ketrampilan'!$AJ$1="","",'Input Nilai Ketrampilan'!$AJ$1))</f>
        <v/>
      </c>
      <c r="AB9" s="89" t="str">
        <f>IF('Input Nilai Ketrampilan'!AN18="","",'Input Nilai Ketrampilan'!AN18)</f>
        <v/>
      </c>
      <c r="AC9" s="89" t="str">
        <f>IF(AB9="","",IF('Input Nilai Ketrampilan'!$AJ$1="","",'Input Nilai Ketrampilan'!$AJ$1))</f>
        <v/>
      </c>
      <c r="AD9" s="89" t="str">
        <f>IF('Input Nilai Ketrampilan'!AN19="","",'Input Nilai Ketrampilan'!AN19)</f>
        <v/>
      </c>
      <c r="AE9" s="89" t="str">
        <f>IF(AD9="","",IF('Input Nilai Ketrampilan'!$AJ$1="","",'Input Nilai Ketrampilan'!$AJ$1))</f>
        <v/>
      </c>
      <c r="AF9" s="89" t="str">
        <f>IF('Input Nilai Ketrampilan'!AN20="","",'Input Nilai Ketrampilan'!AN20)</f>
        <v/>
      </c>
      <c r="AG9" s="89" t="str">
        <f>IF(AF9="","",IF('Input Nilai Ketrampilan'!$AJ$1="","",'Input Nilai Ketrampilan'!$AJ$1))</f>
        <v/>
      </c>
      <c r="AH9" s="89" t="str">
        <f>IF('Input Nilai Ketrampilan'!AN21="","",'Input Nilai Ketrampilan'!AN21)</f>
        <v/>
      </c>
      <c r="AI9" s="89" t="str">
        <f>IF(AH9="","",IF('Input Nilai Ketrampilan'!$AJ$1="","",'Input Nilai Ketrampilan'!$AJ$1))</f>
        <v/>
      </c>
      <c r="AJ9" s="89" t="str">
        <f>IF('Input Nilai Ketrampilan'!AN22="","",'Input Nilai Ketrampilan'!AN22)</f>
        <v/>
      </c>
      <c r="AK9" s="89" t="str">
        <f>IF(AJ9="","",IF('Input Nilai Ketrampilan'!$AJ$1="","",'Input Nilai Ketrampilan'!$AJ$1))</f>
        <v/>
      </c>
      <c r="AL9" s="89" t="str">
        <f>IF('Input Nilai Ketrampilan'!AN23="","",'Input Nilai Ketrampilan'!AN23)</f>
        <v/>
      </c>
      <c r="AM9" s="89" t="str">
        <f>IF(AL9="","",IF('Input Nilai Ketrampilan'!$AJ$1="","",'Input Nilai Ketrampilan'!$AJ$1))</f>
        <v/>
      </c>
      <c r="AN9" s="89" t="str">
        <f>IF('Input Nilai Ketrampilan'!AN24="","",'Input Nilai Ketrampilan'!AN24)</f>
        <v/>
      </c>
      <c r="AO9" s="89" t="str">
        <f>IF(AN9="","",IF('Input Nilai Ketrampilan'!$AJ$1="","",'Input Nilai Ketrampilan'!$AJ$1))</f>
        <v/>
      </c>
      <c r="AP9" s="89" t="str">
        <f>IF('Input Nilai Ketrampilan'!AN25="","",'Input Nilai Ketrampilan'!AN25)</f>
        <v/>
      </c>
      <c r="AQ9" s="89" t="str">
        <f>IF(AP9="","",IF('Input Nilai Ketrampilan'!$AJ$1="","",'Input Nilai Ketrampilan'!$AJ$1))</f>
        <v/>
      </c>
      <c r="AR9" s="89" t="str">
        <f>IF('Input Nilai Ketrampilan'!AN26="","",'Input Nilai Ketrampilan'!AN26)</f>
        <v/>
      </c>
      <c r="AS9" s="89" t="str">
        <f>IF(AR9="","",IF('Input Nilai Ketrampilan'!$AJ$1="","",'Input Nilai Ketrampilan'!$AJ$1))</f>
        <v/>
      </c>
      <c r="AT9" s="89" t="str">
        <f>IF('Input Nilai Ketrampilan'!AN27="","",'Input Nilai Ketrampilan'!AN27)</f>
        <v/>
      </c>
      <c r="AU9" s="89" t="str">
        <f>IF(AT9="","",IF('Input Nilai Ketrampilan'!$AJ$1="","",'Input Nilai Ketrampilan'!$AJ$1))</f>
        <v/>
      </c>
      <c r="AV9" s="89" t="str">
        <f>IF('Input Nilai Ketrampilan'!AN28="","",'Input Nilai Ketrampilan'!AN28)</f>
        <v/>
      </c>
      <c r="AW9" s="89" t="str">
        <f>IF(AV9="","",IF('Input Nilai Ketrampilan'!$AJ$1="","",'Input Nilai Ketrampilan'!$AJ$1))</f>
        <v/>
      </c>
      <c r="AX9" s="89" t="str">
        <f>IF('Input Nilai Ketrampilan'!AN29="","",'Input Nilai Ketrampilan'!AN29)</f>
        <v/>
      </c>
      <c r="AY9" s="89" t="str">
        <f>IF(AX9="","",IF('Input Nilai Ketrampilan'!$AJ$1="","",'Input Nilai Ketrampilan'!$AJ$1))</f>
        <v/>
      </c>
      <c r="AZ9" s="89" t="str">
        <f>IF('Input Nilai Ketrampilan'!AN30="","",'Input Nilai Ketrampilan'!AN30)</f>
        <v/>
      </c>
      <c r="BA9" s="89" t="str">
        <f>IF(AZ9="","",IF('Input Nilai Ketrampilan'!$AJ$1="","",'Input Nilai Ketrampilan'!$AJ$1))</f>
        <v/>
      </c>
      <c r="BB9" s="89" t="str">
        <f>IF('Input Nilai Ketrampilan'!AN31="","",'Input Nilai Ketrampilan'!AN31)</f>
        <v/>
      </c>
      <c r="BC9" s="89" t="str">
        <f>IF(BB9="","",IF('Input Nilai Ketrampilan'!$AJ$1="","",'Input Nilai Ketrampilan'!$AJ$1))</f>
        <v/>
      </c>
      <c r="BD9" s="89" t="str">
        <f>IF('Input Nilai Ketrampilan'!AN32="","",'Input Nilai Ketrampilan'!AN32)</f>
        <v/>
      </c>
      <c r="BE9" s="89" t="str">
        <f>IF(BD9="","",IF('Input Nilai Ketrampilan'!$AJ$1="","",'Input Nilai Ketrampilan'!$AJ$1))</f>
        <v/>
      </c>
      <c r="BF9" s="89" t="str">
        <f>IF('Input Nilai Ketrampilan'!AN33="","",'Input Nilai Ketrampilan'!AN33)</f>
        <v/>
      </c>
      <c r="BG9" s="89" t="str">
        <f>IF(BF9="","",IF('Input Nilai Ketrampilan'!$AJ$1="","",'Input Nilai Ketrampilan'!$AJ$1))</f>
        <v/>
      </c>
      <c r="BH9" s="89" t="str">
        <f>IF('Input Nilai Ketrampilan'!AN34="","",'Input Nilai Ketrampilan'!AN34)</f>
        <v/>
      </c>
      <c r="BI9" s="89" t="str">
        <f>IF(BH9="","",IF('Input Nilai Ketrampilan'!$AJ$1="","",'Input Nilai Ketrampilan'!$AJ$1))</f>
        <v/>
      </c>
      <c r="BJ9" s="89" t="str">
        <f>IF('Input Nilai Ketrampilan'!AN35="","",'Input Nilai Ketrampilan'!AN35)</f>
        <v/>
      </c>
      <c r="BK9" s="89" t="str">
        <f>IF(BJ9="","",IF('Input Nilai Ketrampilan'!$AJ$1="","",'Input Nilai Ketrampilan'!$AJ$1))</f>
        <v/>
      </c>
      <c r="BL9" s="89" t="str">
        <f>IF('Input Nilai Ketrampilan'!AN36="","",'Input Nilai Ketrampilan'!AN36)</f>
        <v/>
      </c>
      <c r="BM9" s="89" t="str">
        <f>IF(BL9="","",IF('Input Nilai Ketrampilan'!$AJ$1="","",'Input Nilai Ketrampilan'!$AJ$1))</f>
        <v/>
      </c>
      <c r="BN9" s="89" t="str">
        <f>IF('Input Nilai Ketrampilan'!AN37="","",'Input Nilai Ketrampilan'!AN37)</f>
        <v/>
      </c>
      <c r="BO9" s="89" t="str">
        <f>IF(BN9="","",IF('Input Nilai Ketrampilan'!$AJ$1="","",'Input Nilai Ketrampilan'!$AJ$1))</f>
        <v/>
      </c>
      <c r="BP9" s="89" t="str">
        <f>IF('Input Nilai Ketrampilan'!AN38="","",'Input Nilai Ketrampilan'!AN38)</f>
        <v/>
      </c>
      <c r="BQ9" s="89" t="str">
        <f>IF(BP9="","",IF('Input Nilai Ketrampilan'!$AJ$1="","",'Input Nilai Ketrampilan'!$AJ$1))</f>
        <v/>
      </c>
      <c r="BR9" s="89" t="str">
        <f>IF('Input Nilai Ketrampilan'!AN39="","",'Input Nilai Ketrampilan'!AN39)</f>
        <v/>
      </c>
      <c r="BS9" s="89" t="str">
        <f>IF(BR9="","",IF('Input Nilai Ketrampilan'!$AJ$1="","",'Input Nilai Ketrampilan'!$AJ$1))</f>
        <v/>
      </c>
      <c r="BT9" s="89" t="str">
        <f>IF('Input Nilai Ketrampilan'!AN40="","",'Input Nilai Ketrampilan'!AN40)</f>
        <v/>
      </c>
      <c r="BU9" s="89" t="str">
        <f>IF(BT9="","",IF('Input Nilai Ketrampilan'!$AJ$1="","",'Input Nilai Ketrampilan'!$AJ$1))</f>
        <v/>
      </c>
      <c r="BV9" s="89" t="str">
        <f>IF('Input Nilai Ketrampilan'!AN41="","",'Input Nilai Ketrampilan'!AN41)</f>
        <v/>
      </c>
      <c r="BW9" s="89" t="str">
        <f>IF(BV9="","",IF('Input Nilai Ketrampilan'!$AJ$1="","",'Input Nilai Ketrampilan'!$AJ$1))</f>
        <v/>
      </c>
      <c r="BX9" s="89" t="str">
        <f>IF('Input Nilai Ketrampilan'!AN42="","",'Input Nilai Ketrampilan'!AN42)</f>
        <v/>
      </c>
      <c r="BY9" s="89" t="str">
        <f>IF(BX9="","",IF('Input Nilai Ketrampilan'!$AJ$1="","",'Input Nilai Ketrampilan'!$AJ$1))</f>
        <v/>
      </c>
      <c r="BZ9" s="89" t="str">
        <f>IF('Input Nilai Ketrampilan'!AN43="","",'Input Nilai Ketrampilan'!AN43)</f>
        <v/>
      </c>
      <c r="CA9" s="89" t="str">
        <f>IF(BZ9="","",IF('Input Nilai Ketrampilan'!$AJ$1="","",'Input Nilai Ketrampilan'!$AJ$1))</f>
        <v/>
      </c>
      <c r="CB9" s="89" t="str">
        <f>IF('Input Nilai Ketrampilan'!AN44="","",'Input Nilai Ketrampilan'!AN44)</f>
        <v/>
      </c>
      <c r="CC9" s="89" t="str">
        <f>IF(CB9="","",IF('Input Nilai Ketrampilan'!$AJ$1="","",'Input Nilai Ketrampilan'!$AJ$1))</f>
        <v/>
      </c>
      <c r="CD9" s="89" t="str">
        <f>IF('Input Nilai Ketrampilan'!AN45="","",'Input Nilai Ketrampilan'!AN45)</f>
        <v/>
      </c>
      <c r="CE9" s="89" t="str">
        <f>IF(CD9="","",IF('Input Nilai Ketrampilan'!$AJ$1="","",'Input Nilai Ketrampilan'!$AJ$1))</f>
        <v/>
      </c>
      <c r="CF9" s="89" t="str">
        <f>IF('Input Nilai Ketrampilan'!AN46="","",'Input Nilai Ketrampilan'!AN46)</f>
        <v/>
      </c>
      <c r="CG9" s="89" t="str">
        <f>IF(CF9="","",IF('Input Nilai Ketrampilan'!$AJ$1="","",'Input Nilai Ketrampilan'!$AJ$1))</f>
        <v/>
      </c>
      <c r="CH9" s="89" t="str">
        <f>IF('Input Nilai Ketrampilan'!AN47="","",'Input Nilai Ketrampilan'!AN47)</f>
        <v/>
      </c>
      <c r="CI9" s="89" t="str">
        <f>IF(CH9="","",IF('Input Nilai Ketrampilan'!$AJ$1="","",'Input Nilai Ketrampilan'!$AJ$1))</f>
        <v/>
      </c>
      <c r="CJ9" s="89" t="str">
        <f>IF('Input Nilai Ketrampilan'!AN48="","",'Input Nilai Ketrampilan'!AN48)</f>
        <v/>
      </c>
      <c r="CK9" s="89" t="str">
        <f>IF(CJ9="","",IF('Input Nilai Ketrampilan'!$AJ$1="","",'Input Nilai Ketrampilan'!$AJ$1))</f>
        <v/>
      </c>
      <c r="CL9" s="89" t="str">
        <f>IF('Input Nilai Ketrampilan'!AN49="","",'Input Nilai Ketrampilan'!AN49)</f>
        <v/>
      </c>
      <c r="CM9" s="89" t="str">
        <f>IF(CL9="","",IF('Input Nilai Ketrampilan'!$AJ$1="","",'Input Nilai Ketrampilan'!$AJ$1))</f>
        <v/>
      </c>
      <c r="CN9" s="89" t="str">
        <f>IF('Input Nilai Ketrampilan'!AN50="","",'Input Nilai Ketrampilan'!AN50)</f>
        <v/>
      </c>
      <c r="CO9" s="89" t="str">
        <f>IF(CN9="","",IF('Input Nilai Ketrampilan'!$AJ$1="","",'Input Nilai Ketrampilan'!$AJ$1))</f>
        <v/>
      </c>
      <c r="CP9" s="89" t="str">
        <f>IF('Input Nilai Ketrampilan'!AN51="","",'Input Nilai Ketrampilan'!AN51)</f>
        <v/>
      </c>
      <c r="CQ9" s="89" t="str">
        <f>IF(CP9="","",IF('Input Nilai Ketrampilan'!$AJ$1="","",'Input Nilai Ketrampilan'!$AJ$1))</f>
        <v/>
      </c>
      <c r="CR9" s="89" t="str">
        <f>IF('Input Nilai Ketrampilan'!AN52="","",'Input Nilai Ketrampilan'!AN52)</f>
        <v/>
      </c>
      <c r="CS9" s="89" t="str">
        <f>IF(CR9="","",IF('Input Nilai Ketrampilan'!$AJ$1="","",'Input Nilai Ketrampilan'!$AJ$1))</f>
        <v/>
      </c>
    </row>
    <row r="10" spans="1:97">
      <c r="A10" s="72">
        <v>8</v>
      </c>
      <c r="B10" s="89" t="str">
        <f>IF('Input Nilai Ketrampilan'!AS5="","",'Input Nilai Ketrampilan'!AS5)</f>
        <v/>
      </c>
      <c r="C10" s="89" t="str">
        <f>IF(B10="","",IF('Input Nilai Ketrampilan'!$AO$1="","",'Input Nilai Ketrampilan'!$AO$1))</f>
        <v/>
      </c>
      <c r="D10" s="89" t="str">
        <f>IF('Input Nilai Ketrampilan'!AS6="","",'Input Nilai Ketrampilan'!AS6)</f>
        <v/>
      </c>
      <c r="E10" s="89" t="str">
        <f>IF(D10="","",IF('Input Nilai Ketrampilan'!$AO$1="","",'Input Nilai Ketrampilan'!$AO$1))</f>
        <v/>
      </c>
      <c r="F10" s="89" t="str">
        <f>IF('Input Nilai Ketrampilan'!AS7="","",'Input Nilai Ketrampilan'!AS7)</f>
        <v/>
      </c>
      <c r="G10" s="89" t="str">
        <f>IF(F10="","",IF('Input Nilai Ketrampilan'!$AO$1="","",'Input Nilai Ketrampilan'!$AO$1))</f>
        <v/>
      </c>
      <c r="H10" s="89" t="str">
        <f>IF('Input Nilai Ketrampilan'!AS8="","",'Input Nilai Ketrampilan'!AS8)</f>
        <v/>
      </c>
      <c r="I10" s="89" t="str">
        <f>IF(H10="","",IF('Input Nilai Ketrampilan'!$AO$1="","",'Input Nilai Ketrampilan'!$AO$1))</f>
        <v/>
      </c>
      <c r="J10" s="89" t="str">
        <f>IF('Input Nilai Ketrampilan'!AS9="","",'Input Nilai Ketrampilan'!AS9)</f>
        <v/>
      </c>
      <c r="K10" s="89" t="str">
        <f>IF(J10="","",IF('Input Nilai Ketrampilan'!$AO$1="","",'Input Nilai Ketrampilan'!$AO$1))</f>
        <v/>
      </c>
      <c r="L10" s="89" t="str">
        <f>IF('Input Nilai Ketrampilan'!AS10="","",'Input Nilai Ketrampilan'!AS10)</f>
        <v/>
      </c>
      <c r="M10" s="89" t="str">
        <f>IF(L10="","",IF('Input Nilai Ketrampilan'!$AO$1="","",'Input Nilai Ketrampilan'!$AO$1))</f>
        <v/>
      </c>
      <c r="N10" s="89" t="str">
        <f>IF('Input Nilai Ketrampilan'!AS11="","",'Input Nilai Ketrampilan'!AS11)</f>
        <v/>
      </c>
      <c r="O10" s="89" t="str">
        <f>IF(N10="","",IF('Input Nilai Ketrampilan'!$AO$1="","",'Input Nilai Ketrampilan'!$AO$1))</f>
        <v/>
      </c>
      <c r="P10" s="89" t="str">
        <f>IF('Input Nilai Ketrampilan'!AS12="","",'Input Nilai Ketrampilan'!AS12)</f>
        <v/>
      </c>
      <c r="Q10" s="89" t="str">
        <f>IF(P10="","",IF('Input Nilai Ketrampilan'!$AO$1="","",'Input Nilai Ketrampilan'!$AO$1))</f>
        <v/>
      </c>
      <c r="R10" s="89" t="str">
        <f>IF('Input Nilai Ketrampilan'!AS13="","",'Input Nilai Ketrampilan'!AS13)</f>
        <v/>
      </c>
      <c r="S10" s="89" t="str">
        <f>IF(R10="","",IF('Input Nilai Ketrampilan'!$AO$1="","",'Input Nilai Ketrampilan'!$AO$1))</f>
        <v/>
      </c>
      <c r="T10" s="89" t="str">
        <f>IF('Input Nilai Ketrampilan'!AS14="","",'Input Nilai Ketrampilan'!AS14)</f>
        <v/>
      </c>
      <c r="U10" s="89" t="str">
        <f>IF(T10="","",IF('Input Nilai Ketrampilan'!$AO$1="","",'Input Nilai Ketrampilan'!$AO$1))</f>
        <v/>
      </c>
      <c r="V10" s="89" t="str">
        <f>IF('Input Nilai Ketrampilan'!AS15="","",'Input Nilai Ketrampilan'!AS15)</f>
        <v/>
      </c>
      <c r="W10" s="89" t="str">
        <f>IF(V10="","",IF('Input Nilai Ketrampilan'!$AO$1="","",'Input Nilai Ketrampilan'!$AO$1))</f>
        <v/>
      </c>
      <c r="X10" s="89" t="str">
        <f>IF('Input Nilai Ketrampilan'!AS16="","",'Input Nilai Ketrampilan'!AS16)</f>
        <v/>
      </c>
      <c r="Y10" s="89" t="str">
        <f>IF(X10="","",IF('Input Nilai Ketrampilan'!$AO$1="","",'Input Nilai Ketrampilan'!$AO$1))</f>
        <v/>
      </c>
      <c r="Z10" s="89" t="str">
        <f>IF('Input Nilai Ketrampilan'!AS17="","",'Input Nilai Ketrampilan'!AS17)</f>
        <v/>
      </c>
      <c r="AA10" s="89" t="str">
        <f>IF(Z10="","",IF('Input Nilai Ketrampilan'!$AO$1="","",'Input Nilai Ketrampilan'!$AO$1))</f>
        <v/>
      </c>
      <c r="AB10" s="89" t="str">
        <f>IF('Input Nilai Ketrampilan'!AS18="","",'Input Nilai Ketrampilan'!AS18)</f>
        <v/>
      </c>
      <c r="AC10" s="89" t="str">
        <f>IF(AB10="","",IF('Input Nilai Ketrampilan'!$AO$1="","",'Input Nilai Ketrampilan'!$AO$1))</f>
        <v/>
      </c>
      <c r="AD10" s="89" t="str">
        <f>IF('Input Nilai Ketrampilan'!AS19="","",'Input Nilai Ketrampilan'!AS19)</f>
        <v/>
      </c>
      <c r="AE10" s="89" t="str">
        <f>IF(AD10="","",IF('Input Nilai Ketrampilan'!$AO$1="","",'Input Nilai Ketrampilan'!$AO$1))</f>
        <v/>
      </c>
      <c r="AF10" s="89" t="str">
        <f>IF('Input Nilai Ketrampilan'!AS20="","",'Input Nilai Ketrampilan'!AS20)</f>
        <v/>
      </c>
      <c r="AG10" s="89" t="str">
        <f>IF(AF10="","",IF('Input Nilai Ketrampilan'!$AO$1="","",'Input Nilai Ketrampilan'!$AO$1))</f>
        <v/>
      </c>
      <c r="AH10" s="89" t="str">
        <f>IF('Input Nilai Ketrampilan'!AS21="","",'Input Nilai Ketrampilan'!AS21)</f>
        <v/>
      </c>
      <c r="AI10" s="89" t="str">
        <f>IF(AH10="","",IF('Input Nilai Ketrampilan'!$AO$1="","",'Input Nilai Ketrampilan'!$AO$1))</f>
        <v/>
      </c>
      <c r="AJ10" s="89" t="str">
        <f>IF('Input Nilai Ketrampilan'!AS22="","",'Input Nilai Ketrampilan'!AS22)</f>
        <v/>
      </c>
      <c r="AK10" s="89" t="str">
        <f>IF(AJ10="","",IF('Input Nilai Ketrampilan'!$AO$1="","",'Input Nilai Ketrampilan'!$AO$1))</f>
        <v/>
      </c>
      <c r="AL10" s="89" t="str">
        <f>IF('Input Nilai Ketrampilan'!AS23="","",'Input Nilai Ketrampilan'!AS23)</f>
        <v/>
      </c>
      <c r="AM10" s="89" t="str">
        <f>IF(AL10="","",IF('Input Nilai Ketrampilan'!$AO$1="","",'Input Nilai Ketrampilan'!$AO$1))</f>
        <v/>
      </c>
      <c r="AN10" s="89" t="str">
        <f>IF('Input Nilai Ketrampilan'!AS24="","",'Input Nilai Ketrampilan'!AS24)</f>
        <v/>
      </c>
      <c r="AO10" s="89" t="str">
        <f>IF(AN10="","",IF('Input Nilai Ketrampilan'!$AO$1="","",'Input Nilai Ketrampilan'!$AO$1))</f>
        <v/>
      </c>
      <c r="AP10" s="89" t="str">
        <f>IF('Input Nilai Ketrampilan'!AS25="","",'Input Nilai Ketrampilan'!AS25)</f>
        <v/>
      </c>
      <c r="AQ10" s="89" t="str">
        <f>IF(AP10="","",IF('Input Nilai Ketrampilan'!$AO$1="","",'Input Nilai Ketrampilan'!$AO$1))</f>
        <v/>
      </c>
      <c r="AR10" s="89" t="str">
        <f>IF('Input Nilai Ketrampilan'!AS26="","",'Input Nilai Ketrampilan'!AS26)</f>
        <v/>
      </c>
      <c r="AS10" s="89" t="str">
        <f>IF(AR10="","",IF('Input Nilai Ketrampilan'!$AO$1="","",'Input Nilai Ketrampilan'!$AO$1))</f>
        <v/>
      </c>
      <c r="AT10" s="89" t="str">
        <f>IF('Input Nilai Ketrampilan'!AS27="","",'Input Nilai Ketrampilan'!AS27)</f>
        <v/>
      </c>
      <c r="AU10" s="89" t="str">
        <f>IF(AT10="","",IF('Input Nilai Ketrampilan'!$AO$1="","",'Input Nilai Ketrampilan'!$AO$1))</f>
        <v/>
      </c>
      <c r="AV10" s="89" t="str">
        <f>IF('Input Nilai Ketrampilan'!AS28="","",'Input Nilai Ketrampilan'!AS28)</f>
        <v/>
      </c>
      <c r="AW10" s="89" t="str">
        <f>IF(AV10="","",IF('Input Nilai Ketrampilan'!$AO$1="","",'Input Nilai Ketrampilan'!$AO$1))</f>
        <v/>
      </c>
      <c r="AX10" s="89" t="str">
        <f>IF('Input Nilai Ketrampilan'!AS29="","",'Input Nilai Ketrampilan'!AS29)</f>
        <v/>
      </c>
      <c r="AY10" s="89" t="str">
        <f>IF(AX10="","",IF('Input Nilai Ketrampilan'!$AO$1="","",'Input Nilai Ketrampilan'!$AO$1))</f>
        <v/>
      </c>
      <c r="AZ10" s="89" t="str">
        <f>IF('Input Nilai Ketrampilan'!AS30="","",'Input Nilai Ketrampilan'!AS30)</f>
        <v/>
      </c>
      <c r="BA10" s="89" t="str">
        <f>IF(AZ10="","",IF('Input Nilai Ketrampilan'!$AO$1="","",'Input Nilai Ketrampilan'!$AO$1))</f>
        <v/>
      </c>
      <c r="BB10" s="89" t="str">
        <f>IF('Input Nilai Ketrampilan'!AS31="","",'Input Nilai Ketrampilan'!AS31)</f>
        <v/>
      </c>
      <c r="BC10" s="89" t="str">
        <f>IF(BB10="","",IF('Input Nilai Ketrampilan'!$AO$1="","",'Input Nilai Ketrampilan'!$AO$1))</f>
        <v/>
      </c>
      <c r="BD10" s="89" t="str">
        <f>IF('Input Nilai Ketrampilan'!AS32="","",'Input Nilai Ketrampilan'!AS32)</f>
        <v/>
      </c>
      <c r="BE10" s="89" t="str">
        <f>IF(BD10="","",IF('Input Nilai Ketrampilan'!$AO$1="","",'Input Nilai Ketrampilan'!$AO$1))</f>
        <v/>
      </c>
      <c r="BF10" s="89" t="str">
        <f>IF('Input Nilai Ketrampilan'!AS33="","",'Input Nilai Ketrampilan'!AS33)</f>
        <v/>
      </c>
      <c r="BG10" s="89" t="str">
        <f>IF(BF10="","",IF('Input Nilai Ketrampilan'!$AO$1="","",'Input Nilai Ketrampilan'!$AO$1))</f>
        <v/>
      </c>
      <c r="BH10" s="89" t="str">
        <f>IF('Input Nilai Ketrampilan'!AS34="","",'Input Nilai Ketrampilan'!AS34)</f>
        <v/>
      </c>
      <c r="BI10" s="89" t="str">
        <f>IF(BH10="","",IF('Input Nilai Ketrampilan'!$AO$1="","",'Input Nilai Ketrampilan'!$AO$1))</f>
        <v/>
      </c>
      <c r="BJ10" s="89" t="str">
        <f>IF('Input Nilai Ketrampilan'!AS35="","",'Input Nilai Ketrampilan'!AS35)</f>
        <v/>
      </c>
      <c r="BK10" s="89" t="str">
        <f>IF(BJ10="","",IF('Input Nilai Ketrampilan'!$AO$1="","",'Input Nilai Ketrampilan'!$AO$1))</f>
        <v/>
      </c>
      <c r="BL10" s="89" t="str">
        <f>IF('Input Nilai Ketrampilan'!AS36="","",'Input Nilai Ketrampilan'!AS36)</f>
        <v/>
      </c>
      <c r="BM10" s="89" t="str">
        <f>IF(BL10="","",IF('Input Nilai Ketrampilan'!$AO$1="","",'Input Nilai Ketrampilan'!$AO$1))</f>
        <v/>
      </c>
      <c r="BN10" s="89" t="str">
        <f>IF('Input Nilai Ketrampilan'!AS37="","",'Input Nilai Ketrampilan'!AS37)</f>
        <v/>
      </c>
      <c r="BO10" s="89" t="str">
        <f>IF(BN10="","",IF('Input Nilai Ketrampilan'!$AO$1="","",'Input Nilai Ketrampilan'!$AO$1))</f>
        <v/>
      </c>
      <c r="BP10" s="89" t="str">
        <f>IF('Input Nilai Ketrampilan'!AS38="","",'Input Nilai Ketrampilan'!AS38)</f>
        <v/>
      </c>
      <c r="BQ10" s="89" t="str">
        <f>IF(BP10="","",IF('Input Nilai Ketrampilan'!$AO$1="","",'Input Nilai Ketrampilan'!$AO$1))</f>
        <v/>
      </c>
      <c r="BR10" s="89" t="str">
        <f>IF('Input Nilai Ketrampilan'!AS39="","",'Input Nilai Ketrampilan'!AS39)</f>
        <v/>
      </c>
      <c r="BS10" s="89" t="str">
        <f>IF(BR10="","",IF('Input Nilai Ketrampilan'!$AO$1="","",'Input Nilai Ketrampilan'!$AO$1))</f>
        <v/>
      </c>
      <c r="BT10" s="89" t="str">
        <f>IF('Input Nilai Ketrampilan'!AS40="","",'Input Nilai Ketrampilan'!AS40)</f>
        <v/>
      </c>
      <c r="BU10" s="89" t="str">
        <f>IF(BT10="","",IF('Input Nilai Ketrampilan'!$AO$1="","",'Input Nilai Ketrampilan'!$AO$1))</f>
        <v/>
      </c>
      <c r="BV10" s="89" t="str">
        <f>IF('Input Nilai Ketrampilan'!AS41="","",'Input Nilai Ketrampilan'!AS41)</f>
        <v/>
      </c>
      <c r="BW10" s="89" t="str">
        <f>IF(BV10="","",IF('Input Nilai Ketrampilan'!$AO$1="","",'Input Nilai Ketrampilan'!$AO$1))</f>
        <v/>
      </c>
      <c r="BX10" s="89" t="str">
        <f>IF('Input Nilai Ketrampilan'!AS42="","",'Input Nilai Ketrampilan'!AS42)</f>
        <v/>
      </c>
      <c r="BY10" s="89" t="str">
        <f>IF(BX10="","",IF('Input Nilai Ketrampilan'!$AO$1="","",'Input Nilai Ketrampilan'!$AO$1))</f>
        <v/>
      </c>
      <c r="BZ10" s="89" t="str">
        <f>IF('Input Nilai Ketrampilan'!AS43="","",'Input Nilai Ketrampilan'!AS43)</f>
        <v/>
      </c>
      <c r="CA10" s="89" t="str">
        <f>IF(BZ10="","",IF('Input Nilai Ketrampilan'!$AO$1="","",'Input Nilai Ketrampilan'!$AO$1))</f>
        <v/>
      </c>
      <c r="CB10" s="89" t="str">
        <f>IF('Input Nilai Ketrampilan'!AS44="","",'Input Nilai Ketrampilan'!AS44)</f>
        <v/>
      </c>
      <c r="CC10" s="89" t="str">
        <f>IF(CB10="","",IF('Input Nilai Ketrampilan'!$AO$1="","",'Input Nilai Ketrampilan'!$AO$1))</f>
        <v/>
      </c>
      <c r="CD10" s="89" t="str">
        <f>IF('Input Nilai Ketrampilan'!AS45="","",'Input Nilai Ketrampilan'!AS45)</f>
        <v/>
      </c>
      <c r="CE10" s="89" t="str">
        <f>IF(CD10="","",IF('Input Nilai Ketrampilan'!$AO$1="","",'Input Nilai Ketrampilan'!$AO$1))</f>
        <v/>
      </c>
      <c r="CF10" s="89" t="str">
        <f>IF('Input Nilai Ketrampilan'!AS46="","",'Input Nilai Ketrampilan'!AS46)</f>
        <v/>
      </c>
      <c r="CG10" s="89" t="str">
        <f>IF(CF10="","",IF('Input Nilai Ketrampilan'!$AO$1="","",'Input Nilai Ketrampilan'!$AO$1))</f>
        <v/>
      </c>
      <c r="CH10" s="89" t="str">
        <f>IF('Input Nilai Ketrampilan'!AS47="","",'Input Nilai Ketrampilan'!AS47)</f>
        <v/>
      </c>
      <c r="CI10" s="89" t="str">
        <f>IF(CH10="","",IF('Input Nilai Ketrampilan'!$AO$1="","",'Input Nilai Ketrampilan'!$AO$1))</f>
        <v/>
      </c>
      <c r="CJ10" s="89" t="str">
        <f>IF('Input Nilai Ketrampilan'!AS48="","",'Input Nilai Ketrampilan'!AS48)</f>
        <v/>
      </c>
      <c r="CK10" s="89" t="str">
        <f>IF(CJ10="","",IF('Input Nilai Ketrampilan'!$AO$1="","",'Input Nilai Ketrampilan'!$AO$1))</f>
        <v/>
      </c>
      <c r="CL10" s="89" t="str">
        <f>IF('Input Nilai Ketrampilan'!AS49="","",'Input Nilai Ketrampilan'!AS49)</f>
        <v/>
      </c>
      <c r="CM10" s="89" t="str">
        <f>IF(CL10="","",IF('Input Nilai Ketrampilan'!$AO$1="","",'Input Nilai Ketrampilan'!$AO$1))</f>
        <v/>
      </c>
      <c r="CN10" s="89" t="str">
        <f>IF('Input Nilai Ketrampilan'!AS50="","",'Input Nilai Ketrampilan'!AS50)</f>
        <v/>
      </c>
      <c r="CO10" s="89" t="str">
        <f>IF(CN10="","",IF('Input Nilai Ketrampilan'!$AO$1="","",'Input Nilai Ketrampilan'!$AO$1))</f>
        <v/>
      </c>
      <c r="CP10" s="89" t="str">
        <f>IF('Input Nilai Ketrampilan'!AS51="","",'Input Nilai Ketrampilan'!AS51)</f>
        <v/>
      </c>
      <c r="CQ10" s="89" t="str">
        <f>IF(CP10="","",IF('Input Nilai Ketrampilan'!$AO$1="","",'Input Nilai Ketrampilan'!$AO$1))</f>
        <v/>
      </c>
      <c r="CR10" s="89" t="str">
        <f>IF('Input Nilai Ketrampilan'!AS52="","",'Input Nilai Ketrampilan'!AS52)</f>
        <v/>
      </c>
      <c r="CS10" s="89" t="str">
        <f>IF(CR10="","",IF('Input Nilai Ketrampilan'!$AO$1="","",'Input Nilai Ketrampilan'!$AO$1))</f>
        <v/>
      </c>
    </row>
    <row r="11" spans="1:97">
      <c r="A11" s="72">
        <v>9</v>
      </c>
      <c r="B11" s="89" t="str">
        <f>IF('Input Nilai Ketrampilan'!AX5="","",'Input Nilai Ketrampilan'!AX5)</f>
        <v/>
      </c>
      <c r="C11" s="89" t="str">
        <f>IF(B11="","",IF('Input Nilai Ketrampilan'!$AT$1="","",'Input Nilai Ketrampilan'!$AT$1))</f>
        <v/>
      </c>
      <c r="D11" s="89" t="str">
        <f>IF('Input Nilai Ketrampilan'!AX6="","",'Input Nilai Ketrampilan'!AX6)</f>
        <v/>
      </c>
      <c r="E11" s="89" t="str">
        <f>IF(D11="","",IF('Input Nilai Ketrampilan'!$AT$1="","",'Input Nilai Ketrampilan'!$AT$1))</f>
        <v/>
      </c>
      <c r="F11" s="89" t="str">
        <f>IF('Input Nilai Ketrampilan'!AX7="","",'Input Nilai Ketrampilan'!AX7)</f>
        <v/>
      </c>
      <c r="G11" s="89" t="str">
        <f>IF(F11="","",IF('Input Nilai Ketrampilan'!$AT$1="","",'Input Nilai Ketrampilan'!$AT$1))</f>
        <v/>
      </c>
      <c r="H11" s="89" t="str">
        <f>IF('Input Nilai Ketrampilan'!AX8="","",'Input Nilai Ketrampilan'!AX8)</f>
        <v/>
      </c>
      <c r="I11" s="89" t="str">
        <f>IF(H11="","",IF('Input Nilai Ketrampilan'!$AT$1="","",'Input Nilai Ketrampilan'!$AT$1))</f>
        <v/>
      </c>
      <c r="J11" s="89" t="str">
        <f>IF('Input Nilai Ketrampilan'!AX9="","",'Input Nilai Ketrampilan'!AX9)</f>
        <v/>
      </c>
      <c r="K11" s="89" t="str">
        <f>IF(J11="","",IF('Input Nilai Ketrampilan'!$AT$1="","",'Input Nilai Ketrampilan'!$AT$1))</f>
        <v/>
      </c>
      <c r="L11" s="89" t="str">
        <f>IF('Input Nilai Ketrampilan'!AX10="","",'Input Nilai Ketrampilan'!AX10)</f>
        <v/>
      </c>
      <c r="M11" s="89" t="str">
        <f>IF(L11="","",IF('Input Nilai Ketrampilan'!$AT$1="","",'Input Nilai Ketrampilan'!$AT$1))</f>
        <v/>
      </c>
      <c r="N11" s="89" t="str">
        <f>IF('Input Nilai Ketrampilan'!AX11="","",'Input Nilai Ketrampilan'!AX11)</f>
        <v/>
      </c>
      <c r="O11" s="89" t="str">
        <f>IF(N11="","",IF('Input Nilai Ketrampilan'!$AT$1="","",'Input Nilai Ketrampilan'!$AT$1))</f>
        <v/>
      </c>
      <c r="P11" s="89" t="str">
        <f>IF('Input Nilai Ketrampilan'!AX12="","",'Input Nilai Ketrampilan'!AX12)</f>
        <v/>
      </c>
      <c r="Q11" s="89" t="str">
        <f>IF(P11="","",IF('Input Nilai Ketrampilan'!$AT$1="","",'Input Nilai Ketrampilan'!$AT$1))</f>
        <v/>
      </c>
      <c r="R11" s="89" t="str">
        <f>IF('Input Nilai Ketrampilan'!AX13="","",'Input Nilai Ketrampilan'!AX13)</f>
        <v/>
      </c>
      <c r="S11" s="89" t="str">
        <f>IF(R11="","",IF('Input Nilai Ketrampilan'!$AT$1="","",'Input Nilai Ketrampilan'!$AT$1))</f>
        <v/>
      </c>
      <c r="T11" s="89" t="str">
        <f>IF('Input Nilai Ketrampilan'!AX14="","",'Input Nilai Ketrampilan'!AX14)</f>
        <v/>
      </c>
      <c r="U11" s="89" t="str">
        <f>IF(T11="","",IF('Input Nilai Ketrampilan'!$AT$1="","",'Input Nilai Ketrampilan'!$AT$1))</f>
        <v/>
      </c>
      <c r="V11" s="89" t="str">
        <f>IF('Input Nilai Ketrampilan'!AX15="","",'Input Nilai Ketrampilan'!AX15)</f>
        <v/>
      </c>
      <c r="W11" s="89" t="str">
        <f>IF(V11="","",IF('Input Nilai Ketrampilan'!$AT$1="","",'Input Nilai Ketrampilan'!$AT$1))</f>
        <v/>
      </c>
      <c r="X11" s="89" t="str">
        <f>IF('Input Nilai Ketrampilan'!AX16="","",'Input Nilai Ketrampilan'!AX16)</f>
        <v/>
      </c>
      <c r="Y11" s="89" t="str">
        <f>IF(X11="","",IF('Input Nilai Ketrampilan'!$AT$1="","",'Input Nilai Ketrampilan'!$AT$1))</f>
        <v/>
      </c>
      <c r="Z11" s="89" t="str">
        <f>IF('Input Nilai Ketrampilan'!AX17="","",'Input Nilai Ketrampilan'!AX17)</f>
        <v/>
      </c>
      <c r="AA11" s="89" t="str">
        <f>IF(Z11="","",IF('Input Nilai Ketrampilan'!$AT$1="","",'Input Nilai Ketrampilan'!$AT$1))</f>
        <v/>
      </c>
      <c r="AB11" s="89" t="str">
        <f>IF('Input Nilai Ketrampilan'!AX18="","",'Input Nilai Ketrampilan'!AX18)</f>
        <v/>
      </c>
      <c r="AC11" s="89" t="str">
        <f>IF(AB11="","",IF('Input Nilai Ketrampilan'!$AT$1="","",'Input Nilai Ketrampilan'!$AT$1))</f>
        <v/>
      </c>
      <c r="AD11" s="89" t="str">
        <f>IF('Input Nilai Ketrampilan'!AX19="","",'Input Nilai Ketrampilan'!AX19)</f>
        <v/>
      </c>
      <c r="AE11" s="89" t="str">
        <f>IF(AD11="","",IF('Input Nilai Ketrampilan'!$AT$1="","",'Input Nilai Ketrampilan'!$AT$1))</f>
        <v/>
      </c>
      <c r="AF11" s="89" t="str">
        <f>IF('Input Nilai Ketrampilan'!AX20="","",'Input Nilai Ketrampilan'!AX20)</f>
        <v/>
      </c>
      <c r="AG11" s="89" t="str">
        <f>IF(AF11="","",IF('Input Nilai Ketrampilan'!$AT$1="","",'Input Nilai Ketrampilan'!$AT$1))</f>
        <v/>
      </c>
      <c r="AH11" s="89" t="str">
        <f>IF('Input Nilai Ketrampilan'!AX21="","",'Input Nilai Ketrampilan'!AX21)</f>
        <v/>
      </c>
      <c r="AI11" s="89" t="str">
        <f>IF(AH11="","",IF('Input Nilai Ketrampilan'!$AT$1="","",'Input Nilai Ketrampilan'!$AT$1))</f>
        <v/>
      </c>
      <c r="AJ11" s="89" t="str">
        <f>IF('Input Nilai Ketrampilan'!AX22="","",'Input Nilai Ketrampilan'!AX22)</f>
        <v/>
      </c>
      <c r="AK11" s="89" t="str">
        <f>IF(AJ11="","",IF('Input Nilai Ketrampilan'!$AT$1="","",'Input Nilai Ketrampilan'!$AT$1))</f>
        <v/>
      </c>
      <c r="AL11" s="89" t="str">
        <f>IF('Input Nilai Ketrampilan'!AX23="","",'Input Nilai Ketrampilan'!AX23)</f>
        <v/>
      </c>
      <c r="AM11" s="89" t="str">
        <f>IF(AL11="","",IF('Input Nilai Ketrampilan'!$AT$1="","",'Input Nilai Ketrampilan'!$AT$1))</f>
        <v/>
      </c>
      <c r="AN11" s="89" t="str">
        <f>IF('Input Nilai Ketrampilan'!AX24="","",'Input Nilai Ketrampilan'!AX24)</f>
        <v/>
      </c>
      <c r="AO11" s="89" t="str">
        <f>IF(AN11="","",IF('Input Nilai Ketrampilan'!$AT$1="","",'Input Nilai Ketrampilan'!$AT$1))</f>
        <v/>
      </c>
      <c r="AP11" s="89" t="str">
        <f>IF('Input Nilai Ketrampilan'!AX25="","",'Input Nilai Ketrampilan'!AX25)</f>
        <v/>
      </c>
      <c r="AQ11" s="89" t="str">
        <f>IF(AP11="","",IF('Input Nilai Ketrampilan'!$AT$1="","",'Input Nilai Ketrampilan'!$AT$1))</f>
        <v/>
      </c>
      <c r="AR11" s="89" t="str">
        <f>IF('Input Nilai Ketrampilan'!AX26="","",'Input Nilai Ketrampilan'!AX26)</f>
        <v/>
      </c>
      <c r="AS11" s="89" t="str">
        <f>IF(AR11="","",IF('Input Nilai Ketrampilan'!$AT$1="","",'Input Nilai Ketrampilan'!$AT$1))</f>
        <v/>
      </c>
      <c r="AT11" s="89" t="str">
        <f>IF('Input Nilai Ketrampilan'!AX27="","",'Input Nilai Ketrampilan'!AX27)</f>
        <v/>
      </c>
      <c r="AU11" s="89" t="str">
        <f>IF(AT11="","",IF('Input Nilai Ketrampilan'!$AT$1="","",'Input Nilai Ketrampilan'!$AT$1))</f>
        <v/>
      </c>
      <c r="AV11" s="89" t="str">
        <f>IF('Input Nilai Ketrampilan'!AX28="","",'Input Nilai Ketrampilan'!AX28)</f>
        <v/>
      </c>
      <c r="AW11" s="89" t="str">
        <f>IF(AV11="","",IF('Input Nilai Ketrampilan'!$AT$1="","",'Input Nilai Ketrampilan'!$AT$1))</f>
        <v/>
      </c>
      <c r="AX11" s="89" t="str">
        <f>IF('Input Nilai Ketrampilan'!AX29="","",'Input Nilai Ketrampilan'!AX29)</f>
        <v/>
      </c>
      <c r="AY11" s="89" t="str">
        <f>IF(AX11="","",IF('Input Nilai Ketrampilan'!$AT$1="","",'Input Nilai Ketrampilan'!$AT$1))</f>
        <v/>
      </c>
      <c r="AZ11" s="89" t="str">
        <f>IF('Input Nilai Ketrampilan'!AX30="","",'Input Nilai Ketrampilan'!AX30)</f>
        <v/>
      </c>
      <c r="BA11" s="89" t="str">
        <f>IF(AZ11="","",IF('Input Nilai Ketrampilan'!$AT$1="","",'Input Nilai Ketrampilan'!$AT$1))</f>
        <v/>
      </c>
      <c r="BB11" s="89" t="str">
        <f>IF('Input Nilai Ketrampilan'!AX31="","",'Input Nilai Ketrampilan'!AX31)</f>
        <v/>
      </c>
      <c r="BC11" s="89" t="str">
        <f>IF(BB11="","",IF('Input Nilai Ketrampilan'!$AT$1="","",'Input Nilai Ketrampilan'!$AT$1))</f>
        <v/>
      </c>
      <c r="BD11" s="89" t="str">
        <f>IF('Input Nilai Ketrampilan'!AX32="","",'Input Nilai Ketrampilan'!AX32)</f>
        <v/>
      </c>
      <c r="BE11" s="89" t="str">
        <f>IF(BD11="","",IF('Input Nilai Ketrampilan'!$AT$1="","",'Input Nilai Ketrampilan'!$AT$1))</f>
        <v/>
      </c>
      <c r="BF11" s="89" t="str">
        <f>IF('Input Nilai Ketrampilan'!AX33="","",'Input Nilai Ketrampilan'!AX33)</f>
        <v/>
      </c>
      <c r="BG11" s="89" t="str">
        <f>IF(BF11="","",IF('Input Nilai Ketrampilan'!$AT$1="","",'Input Nilai Ketrampilan'!$AT$1))</f>
        <v/>
      </c>
      <c r="BH11" s="89" t="str">
        <f>IF('Input Nilai Ketrampilan'!AX34="","",'Input Nilai Ketrampilan'!AX34)</f>
        <v/>
      </c>
      <c r="BI11" s="89" t="str">
        <f>IF(BH11="","",IF('Input Nilai Ketrampilan'!$AT$1="","",'Input Nilai Ketrampilan'!$AT$1))</f>
        <v/>
      </c>
      <c r="BJ11" s="89" t="str">
        <f>IF('Input Nilai Ketrampilan'!AX35="","",'Input Nilai Ketrampilan'!AX35)</f>
        <v/>
      </c>
      <c r="BK11" s="89" t="str">
        <f>IF(BJ11="","",IF('Input Nilai Ketrampilan'!$AT$1="","",'Input Nilai Ketrampilan'!$AT$1))</f>
        <v/>
      </c>
      <c r="BL11" s="89" t="str">
        <f>IF('Input Nilai Ketrampilan'!AX36="","",'Input Nilai Ketrampilan'!AX36)</f>
        <v/>
      </c>
      <c r="BM11" s="89" t="str">
        <f>IF(BL11="","",IF('Input Nilai Ketrampilan'!$AT$1="","",'Input Nilai Ketrampilan'!$AT$1))</f>
        <v/>
      </c>
      <c r="BN11" s="89" t="str">
        <f>IF('Input Nilai Ketrampilan'!AX37="","",'Input Nilai Ketrampilan'!AX37)</f>
        <v/>
      </c>
      <c r="BO11" s="89" t="str">
        <f>IF(BN11="","",IF('Input Nilai Ketrampilan'!$AT$1="","",'Input Nilai Ketrampilan'!$AT$1))</f>
        <v/>
      </c>
      <c r="BP11" s="89" t="str">
        <f>IF('Input Nilai Ketrampilan'!AX38="","",'Input Nilai Ketrampilan'!AX38)</f>
        <v/>
      </c>
      <c r="BQ11" s="89" t="str">
        <f>IF(BP11="","",IF('Input Nilai Ketrampilan'!$AT$1="","",'Input Nilai Ketrampilan'!$AT$1))</f>
        <v/>
      </c>
      <c r="BR11" s="89" t="str">
        <f>IF('Input Nilai Ketrampilan'!AX39="","",'Input Nilai Ketrampilan'!AX39)</f>
        <v/>
      </c>
      <c r="BS11" s="89" t="str">
        <f>IF(BR11="","",IF('Input Nilai Ketrampilan'!$AT$1="","",'Input Nilai Ketrampilan'!$AT$1))</f>
        <v/>
      </c>
      <c r="BT11" s="89" t="str">
        <f>IF('Input Nilai Ketrampilan'!AX40="","",'Input Nilai Ketrampilan'!AX40)</f>
        <v/>
      </c>
      <c r="BU11" s="89" t="str">
        <f>IF(BT11="","",IF('Input Nilai Ketrampilan'!$AT$1="","",'Input Nilai Ketrampilan'!$AT$1))</f>
        <v/>
      </c>
      <c r="BV11" s="89" t="str">
        <f>IF('Input Nilai Ketrampilan'!AX41="","",'Input Nilai Ketrampilan'!AX41)</f>
        <v/>
      </c>
      <c r="BW11" s="89" t="str">
        <f>IF(BV11="","",IF('Input Nilai Ketrampilan'!$AT$1="","",'Input Nilai Ketrampilan'!$AT$1))</f>
        <v/>
      </c>
      <c r="BX11" s="89" t="str">
        <f>IF('Input Nilai Ketrampilan'!AX42="","",'Input Nilai Ketrampilan'!AX42)</f>
        <v/>
      </c>
      <c r="BY11" s="89" t="str">
        <f>IF(BX11="","",IF('Input Nilai Ketrampilan'!$AT$1="","",'Input Nilai Ketrampilan'!$AT$1))</f>
        <v/>
      </c>
      <c r="BZ11" s="89" t="str">
        <f>IF('Input Nilai Ketrampilan'!AX43="","",'Input Nilai Ketrampilan'!AX43)</f>
        <v/>
      </c>
      <c r="CA11" s="89" t="str">
        <f>IF(BZ11="","",IF('Input Nilai Ketrampilan'!$AT$1="","",'Input Nilai Ketrampilan'!$AT$1))</f>
        <v/>
      </c>
      <c r="CB11" s="89" t="str">
        <f>IF('Input Nilai Ketrampilan'!AX44="","",'Input Nilai Ketrampilan'!AX44)</f>
        <v/>
      </c>
      <c r="CC11" s="89" t="str">
        <f>IF(CB11="","",IF('Input Nilai Ketrampilan'!$AT$1="","",'Input Nilai Ketrampilan'!$AT$1))</f>
        <v/>
      </c>
      <c r="CD11" s="89" t="str">
        <f>IF('Input Nilai Ketrampilan'!AX45="","",'Input Nilai Ketrampilan'!AX45)</f>
        <v/>
      </c>
      <c r="CE11" s="89" t="str">
        <f>IF(CD11="","",IF('Input Nilai Ketrampilan'!$AT$1="","",'Input Nilai Ketrampilan'!$AT$1))</f>
        <v/>
      </c>
      <c r="CF11" s="89" t="str">
        <f>IF('Input Nilai Ketrampilan'!AX46="","",'Input Nilai Ketrampilan'!AX46)</f>
        <v/>
      </c>
      <c r="CG11" s="89" t="str">
        <f>IF(CF11="","",IF('Input Nilai Ketrampilan'!$AT$1="","",'Input Nilai Ketrampilan'!$AT$1))</f>
        <v/>
      </c>
      <c r="CH11" s="89" t="str">
        <f>IF('Input Nilai Ketrampilan'!AX47="","",'Input Nilai Ketrampilan'!AX47)</f>
        <v/>
      </c>
      <c r="CI11" s="89" t="str">
        <f>IF(CH11="","",IF('Input Nilai Ketrampilan'!$AT$1="","",'Input Nilai Ketrampilan'!$AT$1))</f>
        <v/>
      </c>
      <c r="CJ11" s="89" t="str">
        <f>IF('Input Nilai Ketrampilan'!AX48="","",'Input Nilai Ketrampilan'!AX48)</f>
        <v/>
      </c>
      <c r="CK11" s="89" t="str">
        <f>IF(CJ11="","",IF('Input Nilai Ketrampilan'!$AT$1="","",'Input Nilai Ketrampilan'!$AT$1))</f>
        <v/>
      </c>
      <c r="CL11" s="89" t="str">
        <f>IF('Input Nilai Ketrampilan'!AX49="","",'Input Nilai Ketrampilan'!AX49)</f>
        <v/>
      </c>
      <c r="CM11" s="89" t="str">
        <f>IF(CL11="","",IF('Input Nilai Ketrampilan'!$AT$1="","",'Input Nilai Ketrampilan'!$AT$1))</f>
        <v/>
      </c>
      <c r="CN11" s="89" t="str">
        <f>IF('Input Nilai Ketrampilan'!AX50="","",'Input Nilai Ketrampilan'!AX50)</f>
        <v/>
      </c>
      <c r="CO11" s="89" t="str">
        <f>IF(CN11="","",IF('Input Nilai Ketrampilan'!$AT$1="","",'Input Nilai Ketrampilan'!$AT$1))</f>
        <v/>
      </c>
      <c r="CP11" s="89" t="str">
        <f>IF('Input Nilai Ketrampilan'!AX51="","",'Input Nilai Ketrampilan'!AX51)</f>
        <v/>
      </c>
      <c r="CQ11" s="89" t="str">
        <f>IF(CP11="","",IF('Input Nilai Ketrampilan'!$AT$1="","",'Input Nilai Ketrampilan'!$AT$1))</f>
        <v/>
      </c>
      <c r="CR11" s="89" t="str">
        <f>IF('Input Nilai Ketrampilan'!AX52="","",'Input Nilai Ketrampilan'!AX52)</f>
        <v/>
      </c>
      <c r="CS11" s="89" t="str">
        <f>IF(CR11="","",IF('Input Nilai Ketrampilan'!$AT$1="","",'Input Nilai Ketrampilan'!$AT$1))</f>
        <v/>
      </c>
    </row>
    <row r="12" spans="1:97">
      <c r="A12" s="72">
        <v>10</v>
      </c>
      <c r="B12" s="89" t="str">
        <f>IF('Input Nilai Ketrampilan'!BC5="","",'Input Nilai Ketrampilan'!BC5)</f>
        <v/>
      </c>
      <c r="C12" s="89" t="str">
        <f>IF(B12="","",IF('Input Nilai Ketrampilan'!$AY$1="","",'Input Nilai Ketrampilan'!$AY$1))</f>
        <v/>
      </c>
      <c r="D12" s="89" t="str">
        <f>IF('Input Nilai Ketrampilan'!BC6="","",'Input Nilai Ketrampilan'!BC6)</f>
        <v/>
      </c>
      <c r="E12" s="89" t="str">
        <f>IF(D12="","",IF('Input Nilai Ketrampilan'!$AY$1="","",'Input Nilai Ketrampilan'!$AY$1))</f>
        <v/>
      </c>
      <c r="F12" s="89" t="str">
        <f>IF('Input Nilai Ketrampilan'!BC7="","",'Input Nilai Ketrampilan'!BC7)</f>
        <v/>
      </c>
      <c r="G12" s="89" t="str">
        <f>IF(F12="","",IF('Input Nilai Ketrampilan'!$AY$1="","",'Input Nilai Ketrampilan'!$AY$1))</f>
        <v/>
      </c>
      <c r="H12" s="89" t="str">
        <f>IF('Input Nilai Ketrampilan'!BC8="","",'Input Nilai Ketrampilan'!BC8)</f>
        <v/>
      </c>
      <c r="I12" s="89" t="str">
        <f>IF(H12="","",IF('Input Nilai Ketrampilan'!$AY$1="","",'Input Nilai Ketrampilan'!$AY$1))</f>
        <v/>
      </c>
      <c r="J12" s="89" t="str">
        <f>IF('Input Nilai Ketrampilan'!BC9="","",'Input Nilai Ketrampilan'!BC9)</f>
        <v/>
      </c>
      <c r="K12" s="89" t="str">
        <f>IF(J12="","",IF('Input Nilai Ketrampilan'!$AY$1="","",'Input Nilai Ketrampilan'!$AY$1))</f>
        <v/>
      </c>
      <c r="L12" s="89" t="str">
        <f>IF('Input Nilai Ketrampilan'!BC10="","",'Input Nilai Ketrampilan'!BC10)</f>
        <v/>
      </c>
      <c r="M12" s="89" t="str">
        <f>IF(L12="","",IF('Input Nilai Ketrampilan'!$AY$1="","",'Input Nilai Ketrampilan'!$AY$1))</f>
        <v/>
      </c>
      <c r="N12" s="89" t="str">
        <f>IF('Input Nilai Ketrampilan'!BC11="","",'Input Nilai Ketrampilan'!BC11)</f>
        <v/>
      </c>
      <c r="O12" s="89" t="str">
        <f>IF(N12="","",IF('Input Nilai Ketrampilan'!$AY$1="","",'Input Nilai Ketrampilan'!$AY$1))</f>
        <v/>
      </c>
      <c r="P12" s="89" t="str">
        <f>IF('Input Nilai Ketrampilan'!BC12="","",'Input Nilai Ketrampilan'!BC12)</f>
        <v/>
      </c>
      <c r="Q12" s="89" t="str">
        <f>IF(P12="","",IF('Input Nilai Ketrampilan'!$AY$1="","",'Input Nilai Ketrampilan'!$AY$1))</f>
        <v/>
      </c>
      <c r="R12" s="89" t="str">
        <f>IF('Input Nilai Ketrampilan'!BC13="","",'Input Nilai Ketrampilan'!BC13)</f>
        <v/>
      </c>
      <c r="S12" s="89" t="str">
        <f>IF(R12="","",IF('Input Nilai Ketrampilan'!$AY$1="","",'Input Nilai Ketrampilan'!$AY$1))</f>
        <v/>
      </c>
      <c r="T12" s="89" t="str">
        <f>IF('Input Nilai Ketrampilan'!BC14="","",'Input Nilai Ketrampilan'!BC14)</f>
        <v/>
      </c>
      <c r="U12" s="89" t="str">
        <f>IF(T12="","",IF('Input Nilai Ketrampilan'!$AY$1="","",'Input Nilai Ketrampilan'!$AY$1))</f>
        <v/>
      </c>
      <c r="V12" s="89" t="str">
        <f>IF('Input Nilai Ketrampilan'!BC15="","",'Input Nilai Ketrampilan'!BC15)</f>
        <v/>
      </c>
      <c r="W12" s="89" t="str">
        <f>IF(V12="","",IF('Input Nilai Ketrampilan'!$AY$1="","",'Input Nilai Ketrampilan'!$AY$1))</f>
        <v/>
      </c>
      <c r="X12" s="89" t="str">
        <f>IF('Input Nilai Ketrampilan'!BC16="","",'Input Nilai Ketrampilan'!BC16)</f>
        <v/>
      </c>
      <c r="Y12" s="89" t="str">
        <f>IF(X12="","",IF('Input Nilai Ketrampilan'!$AY$1="","",'Input Nilai Ketrampilan'!$AY$1))</f>
        <v/>
      </c>
      <c r="Z12" s="89" t="str">
        <f>IF('Input Nilai Ketrampilan'!BC17="","",'Input Nilai Ketrampilan'!BC17)</f>
        <v/>
      </c>
      <c r="AA12" s="89" t="str">
        <f>IF(Z12="","",IF('Input Nilai Ketrampilan'!$AY$1="","",'Input Nilai Ketrampilan'!$AY$1))</f>
        <v/>
      </c>
      <c r="AB12" s="89" t="str">
        <f>IF('Input Nilai Ketrampilan'!BC18="","",'Input Nilai Ketrampilan'!BC18)</f>
        <v/>
      </c>
      <c r="AC12" s="89" t="str">
        <f>IF(AB12="","",IF('Input Nilai Ketrampilan'!$AY$1="","",'Input Nilai Ketrampilan'!$AY$1))</f>
        <v/>
      </c>
      <c r="AD12" s="89" t="str">
        <f>IF('Input Nilai Ketrampilan'!BC19="","",'Input Nilai Ketrampilan'!BC19)</f>
        <v/>
      </c>
      <c r="AE12" s="89" t="str">
        <f>IF(AD12="","",IF('Input Nilai Ketrampilan'!$AY$1="","",'Input Nilai Ketrampilan'!$AY$1))</f>
        <v/>
      </c>
      <c r="AF12" s="89" t="str">
        <f>IF('Input Nilai Ketrampilan'!BC20="","",'Input Nilai Ketrampilan'!BC20)</f>
        <v/>
      </c>
      <c r="AG12" s="89" t="str">
        <f>IF(AF12="","",IF('Input Nilai Ketrampilan'!$AY$1="","",'Input Nilai Ketrampilan'!$AY$1))</f>
        <v/>
      </c>
      <c r="AH12" s="89" t="str">
        <f>IF('Input Nilai Ketrampilan'!BC21="","",'Input Nilai Ketrampilan'!BC21)</f>
        <v/>
      </c>
      <c r="AI12" s="89" t="str">
        <f>IF(AH12="","",IF('Input Nilai Ketrampilan'!$AY$1="","",'Input Nilai Ketrampilan'!$AY$1))</f>
        <v/>
      </c>
      <c r="AJ12" s="89" t="str">
        <f>IF('Input Nilai Ketrampilan'!BC22="","",'Input Nilai Ketrampilan'!BC22)</f>
        <v/>
      </c>
      <c r="AK12" s="89" t="str">
        <f>IF(AJ12="","",IF('Input Nilai Ketrampilan'!$AY$1="","",'Input Nilai Ketrampilan'!$AY$1))</f>
        <v/>
      </c>
      <c r="AL12" s="89" t="str">
        <f>IF('Input Nilai Ketrampilan'!BC23="","",'Input Nilai Ketrampilan'!BC23)</f>
        <v/>
      </c>
      <c r="AM12" s="89" t="str">
        <f>IF(AL12="","",IF('Input Nilai Ketrampilan'!$AY$1="","",'Input Nilai Ketrampilan'!$AY$1))</f>
        <v/>
      </c>
      <c r="AN12" s="89" t="str">
        <f>IF('Input Nilai Ketrampilan'!BC24="","",'Input Nilai Ketrampilan'!BC24)</f>
        <v/>
      </c>
      <c r="AO12" s="89" t="str">
        <f>IF(AN12="","",IF('Input Nilai Ketrampilan'!$AY$1="","",'Input Nilai Ketrampilan'!$AY$1))</f>
        <v/>
      </c>
      <c r="AP12" s="89" t="str">
        <f>IF('Input Nilai Ketrampilan'!BC25="","",'Input Nilai Ketrampilan'!BC25)</f>
        <v/>
      </c>
      <c r="AQ12" s="89" t="str">
        <f>IF(AP12="","",IF('Input Nilai Ketrampilan'!$AY$1="","",'Input Nilai Ketrampilan'!$AY$1))</f>
        <v/>
      </c>
      <c r="AR12" s="89" t="str">
        <f>IF('Input Nilai Ketrampilan'!BC26="","",'Input Nilai Ketrampilan'!BC26)</f>
        <v/>
      </c>
      <c r="AS12" s="89" t="str">
        <f>IF(AR12="","",IF('Input Nilai Ketrampilan'!$AY$1="","",'Input Nilai Ketrampilan'!$AY$1))</f>
        <v/>
      </c>
      <c r="AT12" s="89" t="str">
        <f>IF('Input Nilai Ketrampilan'!BC27="","",'Input Nilai Ketrampilan'!BC27)</f>
        <v/>
      </c>
      <c r="AU12" s="89" t="str">
        <f>IF(AT12="","",IF('Input Nilai Ketrampilan'!$AY$1="","",'Input Nilai Ketrampilan'!$AY$1))</f>
        <v/>
      </c>
      <c r="AV12" s="89" t="str">
        <f>IF('Input Nilai Ketrampilan'!BC28="","",'Input Nilai Ketrampilan'!BC28)</f>
        <v/>
      </c>
      <c r="AW12" s="89" t="str">
        <f>IF(AV12="","",IF('Input Nilai Ketrampilan'!$AY$1="","",'Input Nilai Ketrampilan'!$AY$1))</f>
        <v/>
      </c>
      <c r="AX12" s="89" t="str">
        <f>IF('Input Nilai Ketrampilan'!BC29="","",'Input Nilai Ketrampilan'!BC29)</f>
        <v/>
      </c>
      <c r="AY12" s="89" t="str">
        <f>IF(AX12="","",IF('Input Nilai Ketrampilan'!$AY$1="","",'Input Nilai Ketrampilan'!$AY$1))</f>
        <v/>
      </c>
      <c r="AZ12" s="89" t="str">
        <f>IF('Input Nilai Ketrampilan'!BC30="","",'Input Nilai Ketrampilan'!BC30)</f>
        <v/>
      </c>
      <c r="BA12" s="89" t="str">
        <f>IF(AZ12="","",IF('Input Nilai Ketrampilan'!$AY$1="","",'Input Nilai Ketrampilan'!$AY$1))</f>
        <v/>
      </c>
      <c r="BB12" s="89" t="str">
        <f>IF('Input Nilai Ketrampilan'!BC31="","",'Input Nilai Ketrampilan'!BC31)</f>
        <v/>
      </c>
      <c r="BC12" s="89" t="str">
        <f>IF(BB12="","",IF('Input Nilai Ketrampilan'!$AY$1="","",'Input Nilai Ketrampilan'!$AY$1))</f>
        <v/>
      </c>
      <c r="BD12" s="89" t="str">
        <f>IF('Input Nilai Ketrampilan'!BC32="","",'Input Nilai Ketrampilan'!BC32)</f>
        <v/>
      </c>
      <c r="BE12" s="89" t="str">
        <f>IF(BD12="","",IF('Input Nilai Ketrampilan'!$AY$1="","",'Input Nilai Ketrampilan'!$AY$1))</f>
        <v/>
      </c>
      <c r="BF12" s="89" t="str">
        <f>IF('Input Nilai Ketrampilan'!BC33="","",'Input Nilai Ketrampilan'!BC33)</f>
        <v/>
      </c>
      <c r="BG12" s="89" t="str">
        <f>IF(BF12="","",IF('Input Nilai Ketrampilan'!$AY$1="","",'Input Nilai Ketrampilan'!$AY$1))</f>
        <v/>
      </c>
      <c r="BH12" s="89" t="str">
        <f>IF('Input Nilai Ketrampilan'!BC34="","",'Input Nilai Ketrampilan'!BC34)</f>
        <v/>
      </c>
      <c r="BI12" s="89" t="str">
        <f>IF(BH12="","",IF('Input Nilai Ketrampilan'!$AY$1="","",'Input Nilai Ketrampilan'!$AY$1))</f>
        <v/>
      </c>
      <c r="BJ12" s="89" t="str">
        <f>IF('Input Nilai Ketrampilan'!BC35="","",'Input Nilai Ketrampilan'!BC35)</f>
        <v/>
      </c>
      <c r="BK12" s="89" t="str">
        <f>IF(BJ12="","",IF('Input Nilai Ketrampilan'!$AY$1="","",'Input Nilai Ketrampilan'!$AY$1))</f>
        <v/>
      </c>
      <c r="BL12" s="89" t="str">
        <f>IF('Input Nilai Ketrampilan'!BC36="","",'Input Nilai Ketrampilan'!BC36)</f>
        <v/>
      </c>
      <c r="BM12" s="89" t="str">
        <f>IF(BL12="","",IF('Input Nilai Ketrampilan'!$AY$1="","",'Input Nilai Ketrampilan'!$AY$1))</f>
        <v/>
      </c>
      <c r="BN12" s="89" t="str">
        <f>IF('Input Nilai Ketrampilan'!BC37="","",'Input Nilai Ketrampilan'!BC37)</f>
        <v/>
      </c>
      <c r="BO12" s="89" t="str">
        <f>IF(BN12="","",IF('Input Nilai Ketrampilan'!$AY$1="","",'Input Nilai Ketrampilan'!$AY$1))</f>
        <v/>
      </c>
      <c r="BP12" s="89" t="str">
        <f>IF('Input Nilai Ketrampilan'!BC38="","",'Input Nilai Ketrampilan'!BC38)</f>
        <v/>
      </c>
      <c r="BQ12" s="89" t="str">
        <f>IF(BP12="","",IF('Input Nilai Ketrampilan'!$AY$1="","",'Input Nilai Ketrampilan'!$AY$1))</f>
        <v/>
      </c>
      <c r="BR12" s="89" t="str">
        <f>IF('Input Nilai Ketrampilan'!BC39="","",'Input Nilai Ketrampilan'!BC39)</f>
        <v/>
      </c>
      <c r="BS12" s="89" t="str">
        <f>IF(BR12="","",IF('Input Nilai Ketrampilan'!$AY$1="","",'Input Nilai Ketrampilan'!$AY$1))</f>
        <v/>
      </c>
      <c r="BT12" s="89" t="str">
        <f>IF('Input Nilai Ketrampilan'!BC40="","",'Input Nilai Ketrampilan'!BC40)</f>
        <v/>
      </c>
      <c r="BU12" s="89" t="str">
        <f>IF(BT12="","",IF('Input Nilai Ketrampilan'!$AY$1="","",'Input Nilai Ketrampilan'!$AY$1))</f>
        <v/>
      </c>
      <c r="BV12" s="89" t="str">
        <f>IF('Input Nilai Ketrampilan'!BC41="","",'Input Nilai Ketrampilan'!BC41)</f>
        <v/>
      </c>
      <c r="BW12" s="89" t="str">
        <f>IF(BV12="","",IF('Input Nilai Ketrampilan'!$AY$1="","",'Input Nilai Ketrampilan'!$AY$1))</f>
        <v/>
      </c>
      <c r="BX12" s="89" t="str">
        <f>IF('Input Nilai Ketrampilan'!BC42="","",'Input Nilai Ketrampilan'!BC42)</f>
        <v/>
      </c>
      <c r="BY12" s="89" t="str">
        <f>IF(BX12="","",IF('Input Nilai Ketrampilan'!$AY$1="","",'Input Nilai Ketrampilan'!$AY$1))</f>
        <v/>
      </c>
      <c r="BZ12" s="89" t="str">
        <f>IF('Input Nilai Ketrampilan'!BC43="","",'Input Nilai Ketrampilan'!BC43)</f>
        <v/>
      </c>
      <c r="CA12" s="89" t="str">
        <f>IF(BZ12="","",IF('Input Nilai Ketrampilan'!$AY$1="","",'Input Nilai Ketrampilan'!$AY$1))</f>
        <v/>
      </c>
      <c r="CB12" s="89" t="str">
        <f>IF('Input Nilai Ketrampilan'!BC44="","",'Input Nilai Ketrampilan'!BC44)</f>
        <v/>
      </c>
      <c r="CC12" s="89" t="str">
        <f>IF(CB12="","",IF('Input Nilai Ketrampilan'!$AY$1="","",'Input Nilai Ketrampilan'!$AY$1))</f>
        <v/>
      </c>
      <c r="CD12" s="89" t="str">
        <f>IF('Input Nilai Ketrampilan'!BC45="","",'Input Nilai Ketrampilan'!BC45)</f>
        <v/>
      </c>
      <c r="CE12" s="89" t="str">
        <f>IF(CD12="","",IF('Input Nilai Ketrampilan'!$AY$1="","",'Input Nilai Ketrampilan'!$AY$1))</f>
        <v/>
      </c>
      <c r="CF12" s="89" t="str">
        <f>IF('Input Nilai Ketrampilan'!BC46="","",'Input Nilai Ketrampilan'!BC46)</f>
        <v/>
      </c>
      <c r="CG12" s="89" t="str">
        <f>IF(CF12="","",IF('Input Nilai Ketrampilan'!$AY$1="","",'Input Nilai Ketrampilan'!$AY$1))</f>
        <v/>
      </c>
      <c r="CH12" s="89" t="str">
        <f>IF('Input Nilai Ketrampilan'!BC47="","",'Input Nilai Ketrampilan'!BC47)</f>
        <v/>
      </c>
      <c r="CI12" s="89" t="str">
        <f>IF(CH12="","",IF('Input Nilai Ketrampilan'!$AY$1="","",'Input Nilai Ketrampilan'!$AY$1))</f>
        <v/>
      </c>
      <c r="CJ12" s="89" t="str">
        <f>IF('Input Nilai Ketrampilan'!BC48="","",'Input Nilai Ketrampilan'!BC48)</f>
        <v/>
      </c>
      <c r="CK12" s="89" t="str">
        <f>IF(CJ12="","",IF('Input Nilai Ketrampilan'!$AY$1="","",'Input Nilai Ketrampilan'!$AY$1))</f>
        <v/>
      </c>
      <c r="CL12" s="89" t="str">
        <f>IF('Input Nilai Ketrampilan'!BC49="","",'Input Nilai Ketrampilan'!BC49)</f>
        <v/>
      </c>
      <c r="CM12" s="89" t="str">
        <f>IF(CL12="","",IF('Input Nilai Ketrampilan'!$AY$1="","",'Input Nilai Ketrampilan'!$AY$1))</f>
        <v/>
      </c>
      <c r="CN12" s="89" t="str">
        <f>IF('Input Nilai Ketrampilan'!BC50="","",'Input Nilai Ketrampilan'!BC50)</f>
        <v/>
      </c>
      <c r="CO12" s="89" t="str">
        <f>IF(CN12="","",IF('Input Nilai Ketrampilan'!$AY$1="","",'Input Nilai Ketrampilan'!$AY$1))</f>
        <v/>
      </c>
      <c r="CP12" s="89" t="str">
        <f>IF('Input Nilai Ketrampilan'!BC51="","",'Input Nilai Ketrampilan'!BC51)</f>
        <v/>
      </c>
      <c r="CQ12" s="89" t="str">
        <f>IF(CP12="","",IF('Input Nilai Ketrampilan'!$AY$1="","",'Input Nilai Ketrampilan'!$AY$1))</f>
        <v/>
      </c>
      <c r="CR12" s="89" t="str">
        <f>IF('Input Nilai Ketrampilan'!BC52="","",'Input Nilai Ketrampilan'!BC52)</f>
        <v/>
      </c>
      <c r="CS12" s="89" t="str">
        <f>IF(CR12="","",IF('Input Nilai Ketrampilan'!$AY$1="","",'Input Nilai Ketrampilan'!$AY$1))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09.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2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>
        <f>'DATA SISWA'!C5</f>
        <v>0</v>
      </c>
      <c r="D5" s="89">
        <f>'DATA SISWA'!D5</f>
        <v>0</v>
      </c>
      <c r="E5" s="89" t="str">
        <f>'DATA SISWA'!E5</f>
        <v>VII-A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>
        <f>'DATA SISWA'!C6</f>
        <v>0</v>
      </c>
      <c r="D6" s="89">
        <f>'DATA SISWA'!D6</f>
        <v>0</v>
      </c>
      <c r="E6" s="89" t="str">
        <f>'DATA SISWA'!E6</f>
        <v>VII-A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>
        <f>'DATA SISWA'!C7</f>
        <v>0</v>
      </c>
      <c r="D7" s="89">
        <f>'DATA SISWA'!D7</f>
        <v>0</v>
      </c>
      <c r="E7" s="89" t="str">
        <f>'DATA SISWA'!E7</f>
        <v>VII-A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>
        <f>'DATA SISWA'!C8</f>
        <v>0</v>
      </c>
      <c r="D8" s="89">
        <f>'DATA SISWA'!D8</f>
        <v>0</v>
      </c>
      <c r="E8" s="89" t="str">
        <f>'DATA SISWA'!E8</f>
        <v>VII-A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>
        <f>'DATA SISWA'!C9</f>
        <v>0</v>
      </c>
      <c r="D9" s="89">
        <f>'DATA SISWA'!D9</f>
        <v>0</v>
      </c>
      <c r="E9" s="89" t="str">
        <f>'DATA SISWA'!E9</f>
        <v>VII-A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>
        <f>'DATA SISWA'!C10</f>
        <v>0</v>
      </c>
      <c r="D10" s="89">
        <f>'DATA SISWA'!D10</f>
        <v>0</v>
      </c>
      <c r="E10" s="89" t="str">
        <f>'DATA SISWA'!E10</f>
        <v>VII-A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>
        <f>'DATA SISWA'!C11</f>
        <v>0</v>
      </c>
      <c r="D11" s="89">
        <f>'DATA SISWA'!D11</f>
        <v>0</v>
      </c>
      <c r="E11" s="89" t="str">
        <f>'DATA SISWA'!E11</f>
        <v>VII-A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>
        <f>'DATA SISWA'!C12</f>
        <v>0</v>
      </c>
      <c r="D12" s="89">
        <f>'DATA SISWA'!D12</f>
        <v>0</v>
      </c>
      <c r="E12" s="89" t="str">
        <f>'DATA SISWA'!E12</f>
        <v>VII-A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>
        <f>'DATA SISWA'!C13</f>
        <v>0</v>
      </c>
      <c r="D13" s="89">
        <f>'DATA SISWA'!D13</f>
        <v>0</v>
      </c>
      <c r="E13" s="89" t="str">
        <f>'DATA SISWA'!E13</f>
        <v>VII-A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>
        <f>'DATA SISWA'!C14</f>
        <v>0</v>
      </c>
      <c r="D14" s="89">
        <f>'DATA SISWA'!D14</f>
        <v>0</v>
      </c>
      <c r="E14" s="89" t="str">
        <f>'DATA SISWA'!E14</f>
        <v>VII-A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>
        <f>'DATA SISWA'!C15</f>
        <v>0</v>
      </c>
      <c r="D15" s="89">
        <f>'DATA SISWA'!D15</f>
        <v>0</v>
      </c>
      <c r="E15" s="89" t="str">
        <f>'DATA SISWA'!E15</f>
        <v>VII-A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>
        <f>'DATA SISWA'!C16</f>
        <v>0</v>
      </c>
      <c r="D16" s="89">
        <f>'DATA SISWA'!D16</f>
        <v>0</v>
      </c>
      <c r="E16" s="89" t="str">
        <f>'DATA SISWA'!E16</f>
        <v>VII-A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>
        <f>'DATA SISWA'!C17</f>
        <v>0</v>
      </c>
      <c r="D17" s="89">
        <f>'DATA SISWA'!D17</f>
        <v>0</v>
      </c>
      <c r="E17" s="89" t="str">
        <f>'DATA SISWA'!E17</f>
        <v>VII-A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>
        <f>'DATA SISWA'!C18</f>
        <v>0</v>
      </c>
      <c r="D18" s="89">
        <f>'DATA SISWA'!D18</f>
        <v>0</v>
      </c>
      <c r="E18" s="89" t="str">
        <f>'DATA SISWA'!E18</f>
        <v>VII-A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>
        <f>'DATA SISWA'!C19</f>
        <v>0</v>
      </c>
      <c r="D19" s="89">
        <f>'DATA SISWA'!D19</f>
        <v>0</v>
      </c>
      <c r="E19" s="89" t="str">
        <f>'DATA SISWA'!E19</f>
        <v>VII-A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>
        <f>'DATA SISWA'!C20</f>
        <v>0</v>
      </c>
      <c r="D20" s="89">
        <f>'DATA SISWA'!D20</f>
        <v>0</v>
      </c>
      <c r="E20" s="89" t="str">
        <f>'DATA SISWA'!E20</f>
        <v>VII-A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>
        <f>'DATA SISWA'!C21</f>
        <v>0</v>
      </c>
      <c r="D21" s="89">
        <f>'DATA SISWA'!D21</f>
        <v>0</v>
      </c>
      <c r="E21" s="89" t="str">
        <f>'DATA SISWA'!E21</f>
        <v>VII-A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>
        <f>'DATA SISWA'!C22</f>
        <v>0</v>
      </c>
      <c r="D22" s="89">
        <f>'DATA SISWA'!D22</f>
        <v>0</v>
      </c>
      <c r="E22" s="89" t="str">
        <f>'DATA SISWA'!E22</f>
        <v>VII-A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>
        <f>'DATA SISWA'!C23</f>
        <v>0</v>
      </c>
      <c r="D23" s="89">
        <f>'DATA SISWA'!D23</f>
        <v>0</v>
      </c>
      <c r="E23" s="89" t="str">
        <f>'DATA SISWA'!E23</f>
        <v>VII-A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>
        <f>'DATA SISWA'!C24</f>
        <v>0</v>
      </c>
      <c r="D24" s="89">
        <f>'DATA SISWA'!D24</f>
        <v>0</v>
      </c>
      <c r="E24" s="89" t="str">
        <f>'DATA SISWA'!E24</f>
        <v>VII-A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VII-A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VII-A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VII-A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VII-A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VII-A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VII-A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VII-A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VII-A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VII-A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VII-A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VII-A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VII-A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VII-A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VII-A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VII-A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VII-A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VII-A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VII-A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VII-A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VII-A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VII-A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VII-A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VII-A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VII-A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VII-A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VII-A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VII-A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VII-A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2"/>
      <c r="B14" s="212"/>
      <c r="C14" s="213"/>
      <c r="D14" s="214"/>
      <c r="E14" s="214"/>
      <c r="F14" s="214"/>
      <c r="G14" s="214"/>
      <c r="I14" s="200"/>
    </row>
    <row r="15" spans="1:9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3"/>
      <c r="B20" s="212"/>
      <c r="C20" s="215"/>
      <c r="D20" s="216"/>
      <c r="E20" s="216"/>
      <c r="F20" s="216"/>
      <c r="G20" s="216"/>
    </row>
    <row r="21" spans="1:9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2"/>
      <c r="B29" s="212"/>
      <c r="C29" s="215"/>
      <c r="D29" s="217"/>
      <c r="E29" s="217"/>
      <c r="F29" s="217"/>
      <c r="G29" s="217"/>
    </row>
    <row r="30" spans="1:9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3"/>
      <c r="B35" s="212"/>
      <c r="C35" s="215"/>
      <c r="D35" s="216"/>
      <c r="E35" s="216"/>
      <c r="F35" s="216"/>
      <c r="G35" s="216"/>
    </row>
    <row r="36" spans="1:7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2"/>
      <c r="B41" s="212"/>
      <c r="C41" s="215"/>
      <c r="D41" s="216"/>
      <c r="E41" s="216"/>
      <c r="F41" s="216"/>
      <c r="G41" s="216"/>
    </row>
    <row r="42" spans="1:7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3"/>
      <c r="B46" s="212"/>
      <c r="C46" s="215"/>
      <c r="D46" s="216"/>
      <c r="E46" s="216"/>
      <c r="F46" s="216"/>
      <c r="G46" s="216"/>
    </row>
    <row r="47" spans="1:7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2"/>
      <c r="B52" s="212"/>
      <c r="C52" s="215"/>
      <c r="D52" s="216"/>
      <c r="E52" s="216"/>
      <c r="F52" s="216"/>
      <c r="G52" s="216"/>
    </row>
    <row r="53" spans="1:7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3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VII-A</v>
      </c>
      <c r="F1" s="646" t="s">
        <v>308</v>
      </c>
      <c r="G1" s="647"/>
      <c r="H1" s="647"/>
      <c r="I1" s="647"/>
      <c r="J1" s="647"/>
      <c r="K1" s="647"/>
      <c r="L1" s="647"/>
      <c r="M1" s="647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MUZAKKI, S.Pd</v>
      </c>
    </row>
    <row r="5" spans="1:44" ht="15" customHeight="1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8" t="s">
        <v>10</v>
      </c>
      <c r="Z5" s="649"/>
      <c r="AA5" s="649"/>
      <c r="AB5" s="650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51"/>
      <c r="Z6" s="652"/>
      <c r="AA6" s="652"/>
      <c r="AB6" s="653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>
        <f>'DATA SISWA'!C5</f>
        <v>0</v>
      </c>
      <c r="D9" s="115">
        <f>'DATA SISWA'!D5</f>
        <v>0</v>
      </c>
      <c r="E9" s="106" t="str">
        <f>'DATA SISWA'!E5</f>
        <v>VII-A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>
        <f>'DATA SISWA'!C6</f>
        <v>0</v>
      </c>
      <c r="D10" s="115">
        <f>'DATA SISWA'!D6</f>
        <v>0</v>
      </c>
      <c r="E10" s="106" t="str">
        <f>'DATA SISWA'!E6</f>
        <v>VII-A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>
        <f>'DATA SISWA'!C7</f>
        <v>0</v>
      </c>
      <c r="D11" s="115">
        <f>'DATA SISWA'!D7</f>
        <v>0</v>
      </c>
      <c r="E11" s="106" t="str">
        <f>'DATA SISWA'!E7</f>
        <v>VII-A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>
        <f>'DATA SISWA'!C8</f>
        <v>0</v>
      </c>
      <c r="D12" s="115">
        <f>'DATA SISWA'!D8</f>
        <v>0</v>
      </c>
      <c r="E12" s="106" t="str">
        <f>'DATA SISWA'!E8</f>
        <v>VII-A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>
        <f>'DATA SISWA'!C9</f>
        <v>0</v>
      </c>
      <c r="D13" s="115">
        <f>'DATA SISWA'!D9</f>
        <v>0</v>
      </c>
      <c r="E13" s="106" t="str">
        <f>'DATA SISWA'!E9</f>
        <v>VII-A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>
        <f>'DATA SISWA'!C10</f>
        <v>0</v>
      </c>
      <c r="D14" s="115">
        <f>'DATA SISWA'!D10</f>
        <v>0</v>
      </c>
      <c r="E14" s="106" t="str">
        <f>'DATA SISWA'!E10</f>
        <v>VII-A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>
        <f>'DATA SISWA'!C11</f>
        <v>0</v>
      </c>
      <c r="D15" s="115">
        <f>'DATA SISWA'!D11</f>
        <v>0</v>
      </c>
      <c r="E15" s="106" t="str">
        <f>'DATA SISWA'!E11</f>
        <v>VII-A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>
        <f>'DATA SISWA'!C12</f>
        <v>0</v>
      </c>
      <c r="D16" s="115">
        <f>'DATA SISWA'!D12</f>
        <v>0</v>
      </c>
      <c r="E16" s="106" t="str">
        <f>'DATA SISWA'!E12</f>
        <v>VII-A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>
        <f>'DATA SISWA'!C13</f>
        <v>0</v>
      </c>
      <c r="D17" s="115">
        <f>'DATA SISWA'!D13</f>
        <v>0</v>
      </c>
      <c r="E17" s="106" t="str">
        <f>'DATA SISWA'!E13</f>
        <v>VII-A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>
        <f>'DATA SISWA'!C14</f>
        <v>0</v>
      </c>
      <c r="D18" s="115">
        <f>'DATA SISWA'!D14</f>
        <v>0</v>
      </c>
      <c r="E18" s="106" t="str">
        <f>'DATA SISWA'!E14</f>
        <v>VII-A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>
        <f>'DATA SISWA'!C15</f>
        <v>0</v>
      </c>
      <c r="D19" s="115">
        <f>'DATA SISWA'!D15</f>
        <v>0</v>
      </c>
      <c r="E19" s="106" t="str">
        <f>'DATA SISWA'!E15</f>
        <v>VII-A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>
        <f>'DATA SISWA'!C16</f>
        <v>0</v>
      </c>
      <c r="D20" s="115">
        <f>'DATA SISWA'!D16</f>
        <v>0</v>
      </c>
      <c r="E20" s="106" t="str">
        <f>'DATA SISWA'!E16</f>
        <v>VII-A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>
        <f>'DATA SISWA'!C17</f>
        <v>0</v>
      </c>
      <c r="D21" s="115">
        <f>'DATA SISWA'!D17</f>
        <v>0</v>
      </c>
      <c r="E21" s="106" t="str">
        <f>'DATA SISWA'!E17</f>
        <v>VII-A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>
        <f>'DATA SISWA'!C18</f>
        <v>0</v>
      </c>
      <c r="D22" s="115">
        <f>'DATA SISWA'!D18</f>
        <v>0</v>
      </c>
      <c r="E22" s="106" t="str">
        <f>'DATA SISWA'!E18</f>
        <v>VII-A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>
        <f>'DATA SISWA'!C19</f>
        <v>0</v>
      </c>
      <c r="D23" s="115">
        <f>'DATA SISWA'!D19</f>
        <v>0</v>
      </c>
      <c r="E23" s="106" t="str">
        <f>'DATA SISWA'!E19</f>
        <v>VII-A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>
        <f>'DATA SISWA'!C20</f>
        <v>0</v>
      </c>
      <c r="D24" s="115">
        <f>'DATA SISWA'!D20</f>
        <v>0</v>
      </c>
      <c r="E24" s="106" t="str">
        <f>'DATA SISWA'!E20</f>
        <v>VII-A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>
        <f>'DATA SISWA'!C21</f>
        <v>0</v>
      </c>
      <c r="D25" s="115">
        <f>'DATA SISWA'!D21</f>
        <v>0</v>
      </c>
      <c r="E25" s="106" t="str">
        <f>'DATA SISWA'!E21</f>
        <v>VII-A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>
        <f>'DATA SISWA'!C22</f>
        <v>0</v>
      </c>
      <c r="D26" s="115">
        <f>'DATA SISWA'!D22</f>
        <v>0</v>
      </c>
      <c r="E26" s="106" t="str">
        <f>'DATA SISWA'!E22</f>
        <v>VII-A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>
        <f>'DATA SISWA'!C23</f>
        <v>0</v>
      </c>
      <c r="D27" s="115">
        <f>'DATA SISWA'!D23</f>
        <v>0</v>
      </c>
      <c r="E27" s="106" t="str">
        <f>'DATA SISWA'!E23</f>
        <v>VII-A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>
        <f>'DATA SISWA'!C24</f>
        <v>0</v>
      </c>
      <c r="D28" s="115">
        <f>'DATA SISWA'!D24</f>
        <v>0</v>
      </c>
      <c r="E28" s="106" t="str">
        <f>'DATA SISWA'!E24</f>
        <v>VII-A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>
        <f>'DATA SISWA'!C25</f>
        <v>0</v>
      </c>
      <c r="D29" s="115">
        <f>'DATA SISWA'!D25</f>
        <v>0</v>
      </c>
      <c r="E29" s="106" t="str">
        <f>'DATA SISWA'!E25</f>
        <v>VII-A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>
        <f>'DATA SISWA'!C26</f>
        <v>0</v>
      </c>
      <c r="D30" s="115">
        <f>'DATA SISWA'!D26</f>
        <v>0</v>
      </c>
      <c r="E30" s="106" t="str">
        <f>'DATA SISWA'!E26</f>
        <v>VII-A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>
        <f>'DATA SISWA'!C27</f>
        <v>0</v>
      </c>
      <c r="D31" s="115">
        <f>'DATA SISWA'!D27</f>
        <v>0</v>
      </c>
      <c r="E31" s="106" t="str">
        <f>'DATA SISWA'!E27</f>
        <v>VII-A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>
        <f>'DATA SISWA'!C28</f>
        <v>0</v>
      </c>
      <c r="D32" s="115">
        <f>'DATA SISWA'!D28</f>
        <v>0</v>
      </c>
      <c r="E32" s="106" t="str">
        <f>'DATA SISWA'!E28</f>
        <v>VII-A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>
        <f>'DATA SISWA'!C29</f>
        <v>0</v>
      </c>
      <c r="D33" s="115">
        <f>'DATA SISWA'!D29</f>
        <v>0</v>
      </c>
      <c r="E33" s="106" t="str">
        <f>'DATA SISWA'!E29</f>
        <v>VII-A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>
        <f>'DATA SISWA'!C30</f>
        <v>0</v>
      </c>
      <c r="D34" s="115">
        <f>'DATA SISWA'!D30</f>
        <v>0</v>
      </c>
      <c r="E34" s="106" t="str">
        <f>'DATA SISWA'!E30</f>
        <v>VII-A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>
        <f>'DATA SISWA'!C31</f>
        <v>0</v>
      </c>
      <c r="D35" s="115">
        <f>'DATA SISWA'!D31</f>
        <v>0</v>
      </c>
      <c r="E35" s="106" t="str">
        <f>'DATA SISWA'!E31</f>
        <v>VII-A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>
        <f>'DATA SISWA'!C32</f>
        <v>0</v>
      </c>
      <c r="D36" s="115">
        <f>'DATA SISWA'!D32</f>
        <v>0</v>
      </c>
      <c r="E36" s="106" t="str">
        <f>'DATA SISWA'!E32</f>
        <v>VII-A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>
        <f>'DATA SISWA'!C33</f>
        <v>0</v>
      </c>
      <c r="D37" s="115">
        <f>'DATA SISWA'!D33</f>
        <v>0</v>
      </c>
      <c r="E37" s="106" t="str">
        <f>'DATA SISWA'!E33</f>
        <v>VII-A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>
        <f>'DATA SISWA'!C34</f>
        <v>0</v>
      </c>
      <c r="D38" s="115">
        <f>'DATA SISWA'!D34</f>
        <v>0</v>
      </c>
      <c r="E38" s="106" t="str">
        <f>'DATA SISWA'!E34</f>
        <v>VII-A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>
        <f>'DATA SISWA'!C35</f>
        <v>0</v>
      </c>
      <c r="D39" s="115">
        <f>'DATA SISWA'!D35</f>
        <v>0</v>
      </c>
      <c r="E39" s="106" t="str">
        <f>'DATA SISWA'!E35</f>
        <v>VII-A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>
        <f>'DATA SISWA'!C36</f>
        <v>0</v>
      </c>
      <c r="D40" s="115">
        <f>'DATA SISWA'!D36</f>
        <v>0</v>
      </c>
      <c r="E40" s="106" t="str">
        <f>'DATA SISWA'!E36</f>
        <v>VII-A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>
        <f>'DATA SISWA'!C37</f>
        <v>0</v>
      </c>
      <c r="D41" s="115">
        <f>'DATA SISWA'!D37</f>
        <v>0</v>
      </c>
      <c r="E41" s="106" t="str">
        <f>'DATA SISWA'!E37</f>
        <v>VII-A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>
        <f>'DATA SISWA'!C38</f>
        <v>0</v>
      </c>
      <c r="D42" s="115">
        <f>'DATA SISWA'!D38</f>
        <v>0</v>
      </c>
      <c r="E42" s="106" t="str">
        <f>'DATA SISWA'!E38</f>
        <v>VII-A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>
        <f>'DATA SISWA'!C39</f>
        <v>0</v>
      </c>
      <c r="D43" s="115">
        <f>'DATA SISWA'!D39</f>
        <v>0</v>
      </c>
      <c r="E43" s="106" t="str">
        <f>'DATA SISWA'!E39</f>
        <v>VII-A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>
        <f>'DATA SISWA'!C40</f>
        <v>0</v>
      </c>
      <c r="D44" s="115">
        <f>'DATA SISWA'!D40</f>
        <v>0</v>
      </c>
      <c r="E44" s="106" t="str">
        <f>'DATA SISWA'!E40</f>
        <v>VII-A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>
        <f>'DATA SISWA'!C41</f>
        <v>0</v>
      </c>
      <c r="D45" s="115">
        <f>'DATA SISWA'!D41</f>
        <v>0</v>
      </c>
      <c r="E45" s="106" t="str">
        <f>'DATA SISWA'!E41</f>
        <v>VII-A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>
        <f>'DATA SISWA'!C42</f>
        <v>0</v>
      </c>
      <c r="D46" s="115">
        <f>'DATA SISWA'!D42</f>
        <v>0</v>
      </c>
      <c r="E46" s="106" t="str">
        <f>'DATA SISWA'!E42</f>
        <v>VII-A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>
        <f>'DATA SISWA'!C43</f>
        <v>0</v>
      </c>
      <c r="D47" s="115">
        <f>'DATA SISWA'!D43</f>
        <v>0</v>
      </c>
      <c r="E47" s="106" t="str">
        <f>'DATA SISWA'!E43</f>
        <v>VII-A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>
        <f>'DATA SISWA'!C44</f>
        <v>0</v>
      </c>
      <c r="D48" s="115">
        <f>'DATA SISWA'!D44</f>
        <v>0</v>
      </c>
      <c r="E48" s="106" t="str">
        <f>'DATA SISWA'!E44</f>
        <v>VII-A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>
        <f>'DATA SISWA'!C45</f>
        <v>0</v>
      </c>
      <c r="D49" s="115">
        <f>'DATA SISWA'!D45</f>
        <v>0</v>
      </c>
      <c r="E49" s="106" t="str">
        <f>'DATA SISWA'!E45</f>
        <v>VII-A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>
        <f>'DATA SISWA'!C46</f>
        <v>0</v>
      </c>
      <c r="D50" s="115">
        <f>'DATA SISWA'!D46</f>
        <v>0</v>
      </c>
      <c r="E50" s="106" t="str">
        <f>'DATA SISWA'!E46</f>
        <v>VII-A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>
        <f>'DATA SISWA'!C47</f>
        <v>0</v>
      </c>
      <c r="D51" s="115">
        <f>'DATA SISWA'!D47</f>
        <v>0</v>
      </c>
      <c r="E51" s="106" t="str">
        <f>'DATA SISWA'!E47</f>
        <v>VII-A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>
        <f>'DATA SISWA'!C48</f>
        <v>0</v>
      </c>
      <c r="D52" s="115">
        <f>'DATA SISWA'!D48</f>
        <v>0</v>
      </c>
      <c r="E52" s="106" t="str">
        <f>'DATA SISWA'!E48</f>
        <v>VII-A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>
        <f>'DATA SISWA'!C49</f>
        <v>0</v>
      </c>
      <c r="D53" s="115">
        <f>'DATA SISWA'!D49</f>
        <v>0</v>
      </c>
      <c r="E53" s="106" t="str">
        <f>'DATA SISWA'!E49</f>
        <v>VII-A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>
        <f>'DATA SISWA'!C50</f>
        <v>0</v>
      </c>
      <c r="D54" s="115">
        <f>'DATA SISWA'!D50</f>
        <v>0</v>
      </c>
      <c r="E54" s="106" t="str">
        <f>'DATA SISWA'!E50</f>
        <v>VII-A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>
        <f>'DATA SISWA'!C51</f>
        <v>0</v>
      </c>
      <c r="D55" s="115">
        <f>'DATA SISWA'!D51</f>
        <v>0</v>
      </c>
      <c r="E55" s="106" t="str">
        <f>'DATA SISWA'!E51</f>
        <v>VII-A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>
        <f>'DATA SISWA'!C52</f>
        <v>0</v>
      </c>
      <c r="D56" s="115">
        <f>'DATA SISWA'!D52</f>
        <v>0</v>
      </c>
      <c r="E56" s="106" t="str">
        <f>'DATA SISWA'!E52</f>
        <v>VII-A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AG7" activePane="bottomRight" state="frozen"/>
      <selection pane="topRight" activeCell="F1" sqref="F1"/>
      <selection pane="bottomLeft" activeCell="A5" sqref="A5"/>
      <selection pane="bottomRight" activeCell="AL7" sqref="AL7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5" t="str">
        <f>IF(KDOKE!B3="","",KDOKE!B3)</f>
        <v>Melaksanakan sholat dhuhur berjemaah dan sholatt dhuha, berdo'a di awal di akhir kegiatan pembelajaran , serta melaksanakan kegiatan amaliyah siswa</v>
      </c>
      <c r="G1" s="655"/>
      <c r="H1" s="655"/>
      <c r="I1" s="656"/>
      <c r="J1" s="657" t="str">
        <f>IF(KDOKE!B7="","",KDOKE!B7)</f>
        <v>Santun dalam bersikap, disiplin dalam mentaati tata tertib madrasah, peduli pada lingkungan, orang tua, bertanggung jawab dalam melaksanakan tugas, baik sebagai individu maupun makhluk sosial</v>
      </c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9"/>
    </row>
    <row r="2" spans="1:38" ht="13.5" customHeight="1">
      <c r="F2" s="655"/>
      <c r="G2" s="655"/>
      <c r="H2" s="655"/>
      <c r="I2" s="656"/>
      <c r="J2" s="660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661"/>
      <c r="AA2" s="661"/>
      <c r="AB2" s="661"/>
      <c r="AC2" s="661"/>
      <c r="AD2" s="661"/>
      <c r="AE2" s="661"/>
      <c r="AF2" s="661"/>
      <c r="AG2" s="661"/>
      <c r="AH2" s="661"/>
      <c r="AI2" s="661"/>
      <c r="AJ2" s="662"/>
    </row>
    <row r="3" spans="1:38" ht="15" customHeight="1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54" t="s">
        <v>207</v>
      </c>
      <c r="G3" s="654"/>
      <c r="H3" s="619" t="s">
        <v>7</v>
      </c>
      <c r="I3" s="663" t="s">
        <v>221</v>
      </c>
      <c r="J3" s="654" t="s">
        <v>8</v>
      </c>
      <c r="K3" s="654"/>
      <c r="L3" s="654"/>
      <c r="M3" s="625" t="s">
        <v>7</v>
      </c>
      <c r="N3" s="654" t="s">
        <v>9</v>
      </c>
      <c r="O3" s="654"/>
      <c r="P3" s="654"/>
      <c r="Q3" s="625" t="s">
        <v>7</v>
      </c>
      <c r="R3" s="654" t="s">
        <v>6</v>
      </c>
      <c r="S3" s="654"/>
      <c r="T3" s="654"/>
      <c r="U3" s="625" t="s">
        <v>7</v>
      </c>
      <c r="V3" s="651" t="s">
        <v>10</v>
      </c>
      <c r="W3" s="652"/>
      <c r="X3" s="652"/>
      <c r="Y3" s="625" t="s">
        <v>7</v>
      </c>
      <c r="Z3" s="654" t="s">
        <v>11</v>
      </c>
      <c r="AA3" s="654"/>
      <c r="AB3" s="654"/>
      <c r="AC3" s="625" t="s">
        <v>7</v>
      </c>
      <c r="AD3" s="654" t="s">
        <v>12</v>
      </c>
      <c r="AE3" s="654"/>
      <c r="AF3" s="654"/>
      <c r="AG3" s="625" t="s">
        <v>7</v>
      </c>
      <c r="AH3" s="654" t="s">
        <v>236</v>
      </c>
      <c r="AI3" s="654"/>
      <c r="AJ3" s="654"/>
      <c r="AK3" s="619" t="s">
        <v>7</v>
      </c>
      <c r="AL3" s="663" t="s">
        <v>221</v>
      </c>
    </row>
    <row r="4" spans="1:38" ht="15" customHeight="1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51"/>
      <c r="W4" s="652"/>
      <c r="X4" s="652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>
        <f>'DATA SISWA'!C5</f>
        <v>0</v>
      </c>
      <c r="D7" s="115">
        <f>'DATA SISWA'!D5</f>
        <v>0</v>
      </c>
      <c r="E7" s="106" t="str">
        <f>'DATA SISWA'!E5</f>
        <v>VII-A</v>
      </c>
      <c r="F7" s="128">
        <v>3</v>
      </c>
      <c r="G7" s="128">
        <v>3</v>
      </c>
      <c r="H7" s="117">
        <f>IF(AND(F7="",G7=""),"",MAX(F7:G7))</f>
        <v>3</v>
      </c>
      <c r="I7" s="130" t="str">
        <f>IF(OR($F$1="",H7=""),"",$F$1)</f>
        <v>Melaksanakan sholat dhuhur berjemaah dan sholatt dhuha, berdo'a di awal di akhir kegiatan pembelajaran , serta melaksanakan kegiatan amaliyah siswa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Santun dalam bersikap, disiplin dalam mentaati tata tertib madrasah, peduli pada lingkungan, orang tua, bertanggung jawab dalam melaksanakan tugas, baik sebagai individu maupun makhluk sosial</v>
      </c>
    </row>
    <row r="8" spans="1:38" ht="15" customHeight="1">
      <c r="A8" s="106">
        <f>'DATA SISWA'!A6</f>
        <v>2</v>
      </c>
      <c r="B8" s="106">
        <f>'DATA SISWA'!B6</f>
        <v>0</v>
      </c>
      <c r="C8" s="115">
        <f>'DATA SISWA'!C6</f>
        <v>0</v>
      </c>
      <c r="D8" s="115">
        <f>'DATA SISWA'!D6</f>
        <v>0</v>
      </c>
      <c r="E8" s="106" t="str">
        <f>'DATA SISWA'!E6</f>
        <v>VII-A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Melaksanakan sholat dhuhur berjemaah dan sholatt dhuha, berdo'a di awal di akhir kegiatan pembelajaran , serta melaksanakan kegiatan amaliyah siswa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Santun dalam bersikap, disiplin dalam mentaati tata tertib madrasah, peduli pada lingkungan, orang tua, bertanggung jawab dalam melaksanakan tugas, baik sebagai individu maupun makhluk sosial</v>
      </c>
    </row>
    <row r="9" spans="1:38" ht="15" customHeight="1">
      <c r="A9" s="106">
        <f>'DATA SISWA'!A7</f>
        <v>3</v>
      </c>
      <c r="B9" s="106">
        <f>'DATA SISWA'!B7</f>
        <v>0</v>
      </c>
      <c r="C9" s="115">
        <f>'DATA SISWA'!C7</f>
        <v>0</v>
      </c>
      <c r="D9" s="115">
        <f>'DATA SISWA'!D7</f>
        <v>0</v>
      </c>
      <c r="E9" s="106" t="str">
        <f>'DATA SISWA'!E7</f>
        <v>VII-A</v>
      </c>
      <c r="F9" s="128"/>
      <c r="G9" s="128">
        <v>3</v>
      </c>
      <c r="H9" s="117">
        <f t="shared" si="0"/>
        <v>3</v>
      </c>
      <c r="I9" s="130" t="str">
        <f t="shared" si="1"/>
        <v>Melaksanakan sholat dhuhur berjemaah dan sholatt dhuha, berdo'a di awal di akhir kegiatan pembelajaran , serta melaksanakan kegiatan amaliyah siswa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0" spans="1:38" ht="15" customHeight="1">
      <c r="A10" s="106">
        <f>'DATA SISWA'!A8</f>
        <v>4</v>
      </c>
      <c r="B10" s="106">
        <f>'DATA SISWA'!B8</f>
        <v>0</v>
      </c>
      <c r="C10" s="115">
        <f>'DATA SISWA'!C8</f>
        <v>0</v>
      </c>
      <c r="D10" s="115">
        <f>'DATA SISWA'!D8</f>
        <v>0</v>
      </c>
      <c r="E10" s="106" t="str">
        <f>'DATA SISWA'!E8</f>
        <v>VII-A</v>
      </c>
      <c r="F10" s="128"/>
      <c r="G10" s="128">
        <v>3</v>
      </c>
      <c r="H10" s="117">
        <f t="shared" si="0"/>
        <v>3</v>
      </c>
      <c r="I10" s="130" t="str">
        <f t="shared" si="1"/>
        <v>Melaksanakan sholat dhuhur berjemaah dan sholatt dhuha, berdo'a di awal di akhir kegiatan pembelajaran , serta melaksanakan kegiatan amaliyah siswa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1" spans="1:38" ht="15" customHeight="1">
      <c r="A11" s="106">
        <f>'DATA SISWA'!A9</f>
        <v>5</v>
      </c>
      <c r="B11" s="106">
        <f>'DATA SISWA'!B9</f>
        <v>0</v>
      </c>
      <c r="C11" s="115">
        <f>'DATA SISWA'!C9</f>
        <v>0</v>
      </c>
      <c r="D11" s="115">
        <f>'DATA SISWA'!D9</f>
        <v>0</v>
      </c>
      <c r="E11" s="106" t="str">
        <f>'DATA SISWA'!E9</f>
        <v>VII-A</v>
      </c>
      <c r="F11" s="128"/>
      <c r="G11" s="128">
        <v>3</v>
      </c>
      <c r="H11" s="117">
        <f t="shared" si="0"/>
        <v>3</v>
      </c>
      <c r="I11" s="130" t="str">
        <f t="shared" si="1"/>
        <v>Melaksanakan sholat dhuhur berjemaah dan sholatt dhuha, berdo'a di awal di akhir kegiatan pembelajaran , serta melaksanakan kegiatan amaliyah siswa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2" spans="1:38" ht="15" customHeight="1">
      <c r="A12" s="106">
        <f>'DATA SISWA'!A10</f>
        <v>6</v>
      </c>
      <c r="B12" s="106">
        <f>'DATA SISWA'!B10</f>
        <v>0</v>
      </c>
      <c r="C12" s="115">
        <f>'DATA SISWA'!C10</f>
        <v>0</v>
      </c>
      <c r="D12" s="115">
        <f>'DATA SISWA'!D10</f>
        <v>0</v>
      </c>
      <c r="E12" s="106" t="str">
        <f>'DATA SISWA'!E10</f>
        <v>VII-A</v>
      </c>
      <c r="F12" s="128"/>
      <c r="G12" s="128">
        <v>3</v>
      </c>
      <c r="H12" s="117">
        <f t="shared" si="0"/>
        <v>3</v>
      </c>
      <c r="I12" s="130" t="str">
        <f t="shared" si="1"/>
        <v>Melaksanakan sholat dhuhur berjemaah dan sholatt dhuha, berdo'a di awal di akhir kegiatan pembelajaran , serta melaksanakan kegiatan amaliyah siswa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3" spans="1:38" ht="15" customHeight="1">
      <c r="A13" s="106">
        <f>'DATA SISWA'!A11</f>
        <v>7</v>
      </c>
      <c r="B13" s="106">
        <f>'DATA SISWA'!B11</f>
        <v>0</v>
      </c>
      <c r="C13" s="115">
        <f>'DATA SISWA'!C11</f>
        <v>0</v>
      </c>
      <c r="D13" s="115">
        <f>'DATA SISWA'!D11</f>
        <v>0</v>
      </c>
      <c r="E13" s="106" t="str">
        <f>'DATA SISWA'!E11</f>
        <v>VII-A</v>
      </c>
      <c r="F13" s="128"/>
      <c r="G13" s="128">
        <v>3</v>
      </c>
      <c r="H13" s="117">
        <f t="shared" si="0"/>
        <v>3</v>
      </c>
      <c r="I13" s="130" t="str">
        <f t="shared" si="1"/>
        <v>Melaksanakan sholat dhuhur berjemaah dan sholatt dhuha, berdo'a di awal di akhir kegiatan pembelajaran , serta melaksanakan kegiatan amaliyah siswa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4" spans="1:38" ht="15" customHeight="1">
      <c r="A14" s="106">
        <f>'DATA SISWA'!A12</f>
        <v>8</v>
      </c>
      <c r="B14" s="106">
        <f>'DATA SISWA'!B12</f>
        <v>0</v>
      </c>
      <c r="C14" s="115">
        <f>'DATA SISWA'!C12</f>
        <v>0</v>
      </c>
      <c r="D14" s="115">
        <f>'DATA SISWA'!D12</f>
        <v>0</v>
      </c>
      <c r="E14" s="106" t="str">
        <f>'DATA SISWA'!E12</f>
        <v>VII-A</v>
      </c>
      <c r="F14" s="128"/>
      <c r="G14" s="128">
        <v>3</v>
      </c>
      <c r="H14" s="117">
        <f t="shared" si="0"/>
        <v>3</v>
      </c>
      <c r="I14" s="130" t="str">
        <f t="shared" si="1"/>
        <v>Melaksanakan sholat dhuhur berjemaah dan sholatt dhuha, berdo'a di awal di akhir kegiatan pembelajaran , serta melaksanakan kegiatan amaliyah siswa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5" spans="1:38" ht="15" customHeight="1">
      <c r="A15" s="106">
        <f>'DATA SISWA'!A13</f>
        <v>9</v>
      </c>
      <c r="B15" s="106">
        <f>'DATA SISWA'!B13</f>
        <v>0</v>
      </c>
      <c r="C15" s="115">
        <f>'DATA SISWA'!C13</f>
        <v>0</v>
      </c>
      <c r="D15" s="115">
        <f>'DATA SISWA'!D13</f>
        <v>0</v>
      </c>
      <c r="E15" s="106" t="str">
        <f>'DATA SISWA'!E13</f>
        <v>VII-A</v>
      </c>
      <c r="F15" s="128"/>
      <c r="G15" s="128">
        <v>3</v>
      </c>
      <c r="H15" s="117">
        <f t="shared" si="0"/>
        <v>3</v>
      </c>
      <c r="I15" s="130" t="str">
        <f t="shared" si="1"/>
        <v>Melaksanakan sholat dhuhur berjemaah dan sholatt dhuha, berdo'a di awal di akhir kegiatan pembelajaran , serta melaksanakan kegiatan amaliyah siswa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6" spans="1:38" ht="15" customHeight="1">
      <c r="A16" s="106">
        <f>'DATA SISWA'!A14</f>
        <v>10</v>
      </c>
      <c r="B16" s="106">
        <f>'DATA SISWA'!B14</f>
        <v>0</v>
      </c>
      <c r="C16" s="115">
        <f>'DATA SISWA'!C14</f>
        <v>0</v>
      </c>
      <c r="D16" s="115">
        <f>'DATA SISWA'!D14</f>
        <v>0</v>
      </c>
      <c r="E16" s="106" t="str">
        <f>'DATA SISWA'!E14</f>
        <v>VII-A</v>
      </c>
      <c r="F16" s="128"/>
      <c r="G16" s="128">
        <v>3</v>
      </c>
      <c r="H16" s="117">
        <f t="shared" si="0"/>
        <v>3</v>
      </c>
      <c r="I16" s="130" t="str">
        <f t="shared" si="1"/>
        <v>Melaksanakan sholat dhuhur berjemaah dan sholatt dhuha, berdo'a di awal di akhir kegiatan pembelajaran , serta melaksanakan kegiatan amaliyah siswa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7" spans="1:38" ht="15" customHeight="1">
      <c r="A17" s="106">
        <f>'DATA SISWA'!A15</f>
        <v>11</v>
      </c>
      <c r="B17" s="106">
        <f>'DATA SISWA'!B15</f>
        <v>0</v>
      </c>
      <c r="C17" s="115">
        <f>'DATA SISWA'!C15</f>
        <v>0</v>
      </c>
      <c r="D17" s="115">
        <f>'DATA SISWA'!D15</f>
        <v>0</v>
      </c>
      <c r="E17" s="106" t="str">
        <f>'DATA SISWA'!E15</f>
        <v>VII-A</v>
      </c>
      <c r="F17" s="128"/>
      <c r="G17" s="128">
        <v>3</v>
      </c>
      <c r="H17" s="117">
        <f t="shared" si="0"/>
        <v>3</v>
      </c>
      <c r="I17" s="130" t="str">
        <f t="shared" si="1"/>
        <v>Melaksanakan sholat dhuhur berjemaah dan sholatt dhuha, berdo'a di awal di akhir kegiatan pembelajaran , serta melaksanakan kegiatan amaliyah siswa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8" spans="1:38" ht="15" customHeight="1">
      <c r="A18" s="106">
        <f>'DATA SISWA'!A16</f>
        <v>12</v>
      </c>
      <c r="B18" s="106">
        <f>'DATA SISWA'!B16</f>
        <v>0</v>
      </c>
      <c r="C18" s="115">
        <f>'DATA SISWA'!C16</f>
        <v>0</v>
      </c>
      <c r="D18" s="115">
        <f>'DATA SISWA'!D16</f>
        <v>0</v>
      </c>
      <c r="E18" s="106" t="str">
        <f>'DATA SISWA'!E16</f>
        <v>VII-A</v>
      </c>
      <c r="F18" s="128"/>
      <c r="G18" s="128">
        <v>3</v>
      </c>
      <c r="H18" s="117">
        <f t="shared" si="0"/>
        <v>3</v>
      </c>
      <c r="I18" s="130" t="str">
        <f t="shared" si="1"/>
        <v>Melaksanakan sholat dhuhur berjemaah dan sholatt dhuha, berdo'a di awal di akhir kegiatan pembelajaran , serta melaksanakan kegiatan amaliyah siswa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9" spans="1:38" ht="15" customHeight="1">
      <c r="A19" s="106">
        <f>'DATA SISWA'!A17</f>
        <v>13</v>
      </c>
      <c r="B19" s="106">
        <f>'DATA SISWA'!B17</f>
        <v>0</v>
      </c>
      <c r="C19" s="115">
        <f>'DATA SISWA'!C17</f>
        <v>0</v>
      </c>
      <c r="D19" s="115">
        <f>'DATA SISWA'!D17</f>
        <v>0</v>
      </c>
      <c r="E19" s="106" t="str">
        <f>'DATA SISWA'!E17</f>
        <v>VII-A</v>
      </c>
      <c r="F19" s="128"/>
      <c r="G19" s="128">
        <v>3</v>
      </c>
      <c r="H19" s="117">
        <f t="shared" si="0"/>
        <v>3</v>
      </c>
      <c r="I19" s="130" t="str">
        <f t="shared" si="1"/>
        <v>Melaksanakan sholat dhuhur berjemaah dan sholatt dhuha, berdo'a di awal di akhir kegiatan pembelajaran , serta melaksanakan kegiatan amaliyah siswa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0" spans="1:38" ht="15" customHeight="1">
      <c r="A20" s="106">
        <f>'DATA SISWA'!A18</f>
        <v>14</v>
      </c>
      <c r="B20" s="106">
        <f>'DATA SISWA'!B18</f>
        <v>0</v>
      </c>
      <c r="C20" s="115">
        <f>'DATA SISWA'!C18</f>
        <v>0</v>
      </c>
      <c r="D20" s="115">
        <f>'DATA SISWA'!D18</f>
        <v>0</v>
      </c>
      <c r="E20" s="106" t="str">
        <f>'DATA SISWA'!E18</f>
        <v>VII-A</v>
      </c>
      <c r="F20" s="128"/>
      <c r="G20" s="128">
        <v>3</v>
      </c>
      <c r="H20" s="117">
        <f t="shared" si="0"/>
        <v>3</v>
      </c>
      <c r="I20" s="130" t="str">
        <f t="shared" si="1"/>
        <v>Melaksanakan sholat dhuhur berjemaah dan sholatt dhuha, berdo'a di awal di akhir kegiatan pembelajaran , serta melaksanakan kegiatan amaliyah siswa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1" spans="1:38" ht="15" customHeight="1">
      <c r="A21" s="106">
        <f>'DATA SISWA'!A19</f>
        <v>15</v>
      </c>
      <c r="B21" s="106">
        <f>'DATA SISWA'!B19</f>
        <v>0</v>
      </c>
      <c r="C21" s="115">
        <f>'DATA SISWA'!C19</f>
        <v>0</v>
      </c>
      <c r="D21" s="115">
        <f>'DATA SISWA'!D19</f>
        <v>0</v>
      </c>
      <c r="E21" s="106" t="str">
        <f>'DATA SISWA'!E19</f>
        <v>VII-A</v>
      </c>
      <c r="F21" s="128"/>
      <c r="G21" s="128">
        <v>3</v>
      </c>
      <c r="H21" s="117">
        <f t="shared" si="0"/>
        <v>3</v>
      </c>
      <c r="I21" s="130" t="str">
        <f t="shared" si="1"/>
        <v>Melaksanakan sholat dhuhur berjemaah dan sholatt dhuha, berdo'a di awal di akhir kegiatan pembelajaran , serta melaksanakan kegiatan amaliyah siswa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2" spans="1:38" ht="15" customHeight="1">
      <c r="A22" s="106">
        <f>'DATA SISWA'!A20</f>
        <v>16</v>
      </c>
      <c r="B22" s="106">
        <f>'DATA SISWA'!B20</f>
        <v>0</v>
      </c>
      <c r="C22" s="115">
        <f>'DATA SISWA'!C20</f>
        <v>0</v>
      </c>
      <c r="D22" s="115">
        <f>'DATA SISWA'!D20</f>
        <v>0</v>
      </c>
      <c r="E22" s="106" t="str">
        <f>'DATA SISWA'!E20</f>
        <v>VII-A</v>
      </c>
      <c r="F22" s="128"/>
      <c r="G22" s="128">
        <v>3</v>
      </c>
      <c r="H22" s="117">
        <f t="shared" si="0"/>
        <v>3</v>
      </c>
      <c r="I22" s="130" t="str">
        <f t="shared" si="1"/>
        <v>Melaksanakan sholat dhuhur berjemaah dan sholatt dhuha, berdo'a di awal di akhir kegiatan pembelajaran , serta melaksanakan kegiatan amaliyah siswa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3" spans="1:38" ht="15" customHeight="1">
      <c r="A23" s="106">
        <f>'DATA SISWA'!A21</f>
        <v>17</v>
      </c>
      <c r="B23" s="106">
        <f>'DATA SISWA'!B21</f>
        <v>0</v>
      </c>
      <c r="C23" s="115">
        <f>'DATA SISWA'!C21</f>
        <v>0</v>
      </c>
      <c r="D23" s="115">
        <f>'DATA SISWA'!D21</f>
        <v>0</v>
      </c>
      <c r="E23" s="106" t="str">
        <f>'DATA SISWA'!E21</f>
        <v>VII-A</v>
      </c>
      <c r="F23" s="128"/>
      <c r="G23" s="128">
        <v>3</v>
      </c>
      <c r="H23" s="117">
        <f t="shared" si="0"/>
        <v>3</v>
      </c>
      <c r="I23" s="130" t="str">
        <f t="shared" si="1"/>
        <v>Melaksanakan sholat dhuhur berjemaah dan sholatt dhuha, berdo'a di awal di akhir kegiatan pembelajaran , serta melaksanakan kegiatan amaliyah siswa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4" spans="1:38" ht="15" customHeight="1">
      <c r="A24" s="106">
        <f>'DATA SISWA'!A22</f>
        <v>18</v>
      </c>
      <c r="B24" s="106">
        <f>'DATA SISWA'!B22</f>
        <v>0</v>
      </c>
      <c r="C24" s="115">
        <f>'DATA SISWA'!C22</f>
        <v>0</v>
      </c>
      <c r="D24" s="115">
        <f>'DATA SISWA'!D22</f>
        <v>0</v>
      </c>
      <c r="E24" s="106" t="str">
        <f>'DATA SISWA'!E22</f>
        <v>VII-A</v>
      </c>
      <c r="F24" s="128"/>
      <c r="G24" s="128">
        <v>3</v>
      </c>
      <c r="H24" s="117">
        <f t="shared" si="0"/>
        <v>3</v>
      </c>
      <c r="I24" s="130" t="str">
        <f t="shared" si="1"/>
        <v>Melaksanakan sholat dhuhur berjemaah dan sholatt dhuha, berdo'a di awal di akhir kegiatan pembelajaran , serta melaksanakan kegiatan amaliyah siswa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5" spans="1:38" ht="15" customHeight="1">
      <c r="A25" s="106">
        <f>'DATA SISWA'!A23</f>
        <v>19</v>
      </c>
      <c r="B25" s="106">
        <f>'DATA SISWA'!B23</f>
        <v>0</v>
      </c>
      <c r="C25" s="115">
        <f>'DATA SISWA'!C23</f>
        <v>0</v>
      </c>
      <c r="D25" s="115">
        <f>'DATA SISWA'!D23</f>
        <v>0</v>
      </c>
      <c r="E25" s="106" t="str">
        <f>'DATA SISWA'!E23</f>
        <v>VII-A</v>
      </c>
      <c r="F25" s="128"/>
      <c r="G25" s="128">
        <v>3</v>
      </c>
      <c r="H25" s="117">
        <f t="shared" si="0"/>
        <v>3</v>
      </c>
      <c r="I25" s="130" t="str">
        <f t="shared" si="1"/>
        <v>Melaksanakan sholat dhuhur berjemaah dan sholatt dhuha, berdo'a di awal di akhir kegiatan pembelajaran , serta melaksanakan kegiatan amaliyah siswa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6" spans="1:38" ht="15" customHeight="1">
      <c r="A26" s="106">
        <f>'DATA SISWA'!A24</f>
        <v>20</v>
      </c>
      <c r="B26" s="106">
        <f>'DATA SISWA'!B24</f>
        <v>0</v>
      </c>
      <c r="C26" s="115">
        <f>'DATA SISWA'!C24</f>
        <v>0</v>
      </c>
      <c r="D26" s="115">
        <f>'DATA SISWA'!D24</f>
        <v>0</v>
      </c>
      <c r="E26" s="106" t="str">
        <f>'DATA SISWA'!E24</f>
        <v>VII-A</v>
      </c>
      <c r="F26" s="128"/>
      <c r="G26" s="128">
        <v>3</v>
      </c>
      <c r="H26" s="117">
        <f t="shared" si="0"/>
        <v>3</v>
      </c>
      <c r="I26" s="130" t="str">
        <f t="shared" si="1"/>
        <v>Melaksanakan sholat dhuhur berjemaah dan sholatt dhuha, berdo'a di awal di akhir kegiatan pembelajaran , serta melaksanakan kegiatan amaliyah siswa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7" spans="1:38" ht="15" customHeight="1">
      <c r="A27" s="106">
        <f>'DATA SISWA'!A25</f>
        <v>21</v>
      </c>
      <c r="B27" s="106">
        <f>'DATA SISWA'!B25</f>
        <v>0</v>
      </c>
      <c r="C27" s="115">
        <f>'DATA SISWA'!C25</f>
        <v>0</v>
      </c>
      <c r="D27" s="115">
        <f>'DATA SISWA'!D25</f>
        <v>0</v>
      </c>
      <c r="E27" s="106" t="str">
        <f>'DATA SISWA'!E25</f>
        <v>VII-A</v>
      </c>
      <c r="F27" s="128"/>
      <c r="G27" s="128">
        <v>3</v>
      </c>
      <c r="H27" s="117">
        <f t="shared" si="0"/>
        <v>3</v>
      </c>
      <c r="I27" s="130" t="str">
        <f t="shared" si="1"/>
        <v>Melaksanakan sholat dhuhur berjemaah dan sholatt dhuha, berdo'a di awal di akhir kegiatan pembelajaran , serta melaksanakan kegiatan amaliyah siswa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8" spans="1:38" ht="15" customHeight="1">
      <c r="A28" s="106">
        <f>'DATA SISWA'!A26</f>
        <v>22</v>
      </c>
      <c r="B28" s="106">
        <f>'DATA SISWA'!B26</f>
        <v>0</v>
      </c>
      <c r="C28" s="115">
        <f>'DATA SISWA'!C26</f>
        <v>0</v>
      </c>
      <c r="D28" s="115">
        <f>'DATA SISWA'!D26</f>
        <v>0</v>
      </c>
      <c r="E28" s="106" t="str">
        <f>'DATA SISWA'!E26</f>
        <v>VII-A</v>
      </c>
      <c r="F28" s="128"/>
      <c r="G28" s="128">
        <v>3</v>
      </c>
      <c r="H28" s="117">
        <f t="shared" si="0"/>
        <v>3</v>
      </c>
      <c r="I28" s="130" t="str">
        <f t="shared" si="1"/>
        <v>Melaksanakan sholat dhuhur berjemaah dan sholatt dhuha, berdo'a di awal di akhir kegiatan pembelajaran , serta melaksanakan kegiatan amaliyah siswa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9" spans="1:38" ht="15" customHeight="1">
      <c r="A29" s="106">
        <f>'DATA SISWA'!A27</f>
        <v>23</v>
      </c>
      <c r="B29" s="106">
        <f>'DATA SISWA'!B27</f>
        <v>0</v>
      </c>
      <c r="C29" s="115">
        <f>'DATA SISWA'!C27</f>
        <v>0</v>
      </c>
      <c r="D29" s="115">
        <f>'DATA SISWA'!D27</f>
        <v>0</v>
      </c>
      <c r="E29" s="106" t="str">
        <f>'DATA SISWA'!E27</f>
        <v>VII-A</v>
      </c>
      <c r="F29" s="128"/>
      <c r="G29" s="128">
        <v>3</v>
      </c>
      <c r="H29" s="117">
        <f t="shared" si="0"/>
        <v>3</v>
      </c>
      <c r="I29" s="130" t="str">
        <f t="shared" si="1"/>
        <v>Melaksanakan sholat dhuhur berjemaah dan sholatt dhuha, berdo'a di awal di akhir kegiatan pembelajaran , serta melaksanakan kegiatan amaliyah siswa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0" spans="1:38" ht="15" customHeight="1">
      <c r="A30" s="106">
        <f>'DATA SISWA'!A28</f>
        <v>24</v>
      </c>
      <c r="B30" s="106">
        <f>'DATA SISWA'!B28</f>
        <v>0</v>
      </c>
      <c r="C30" s="115">
        <f>'DATA SISWA'!C28</f>
        <v>0</v>
      </c>
      <c r="D30" s="115">
        <f>'DATA SISWA'!D28</f>
        <v>0</v>
      </c>
      <c r="E30" s="106" t="str">
        <f>'DATA SISWA'!E28</f>
        <v>VII-A</v>
      </c>
      <c r="F30" s="128"/>
      <c r="G30" s="128">
        <v>3</v>
      </c>
      <c r="H30" s="117">
        <f t="shared" si="0"/>
        <v>3</v>
      </c>
      <c r="I30" s="130" t="str">
        <f t="shared" si="1"/>
        <v>Melaksanakan sholat dhuhur berjemaah dan sholatt dhuha, berdo'a di awal di akhir kegiatan pembelajaran , serta melaksanakan kegiatan amaliyah siswa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1" spans="1:38" ht="15" customHeight="1">
      <c r="A31" s="106">
        <f>'DATA SISWA'!A29</f>
        <v>25</v>
      </c>
      <c r="B31" s="106">
        <f>'DATA SISWA'!B29</f>
        <v>0</v>
      </c>
      <c r="C31" s="115">
        <f>'DATA SISWA'!C29</f>
        <v>0</v>
      </c>
      <c r="D31" s="115">
        <f>'DATA SISWA'!D29</f>
        <v>0</v>
      </c>
      <c r="E31" s="106" t="str">
        <f>'DATA SISWA'!E29</f>
        <v>VII-A</v>
      </c>
      <c r="F31" s="128"/>
      <c r="G31" s="128">
        <v>3</v>
      </c>
      <c r="H31" s="117">
        <f t="shared" si="0"/>
        <v>3</v>
      </c>
      <c r="I31" s="130" t="str">
        <f t="shared" si="1"/>
        <v>Melaksanakan sholat dhuhur berjemaah dan sholatt dhuha, berdo'a di awal di akhir kegiatan pembelajaran , serta melaksanakan kegiatan amaliyah siswa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2" spans="1:38" ht="15" customHeight="1">
      <c r="A32" s="106">
        <f>'DATA SISWA'!A30</f>
        <v>26</v>
      </c>
      <c r="B32" s="106">
        <f>'DATA SISWA'!B30</f>
        <v>0</v>
      </c>
      <c r="C32" s="115">
        <f>'DATA SISWA'!C30</f>
        <v>0</v>
      </c>
      <c r="D32" s="115">
        <f>'DATA SISWA'!D30</f>
        <v>0</v>
      </c>
      <c r="E32" s="106" t="str">
        <f>'DATA SISWA'!E30</f>
        <v>VII-A</v>
      </c>
      <c r="F32" s="128"/>
      <c r="G32" s="128">
        <v>3</v>
      </c>
      <c r="H32" s="117">
        <f t="shared" si="0"/>
        <v>3</v>
      </c>
      <c r="I32" s="130" t="str">
        <f t="shared" si="1"/>
        <v>Melaksanakan sholat dhuhur berjemaah dan sholatt dhuha, berdo'a di awal di akhir kegiatan pembelajaran , serta melaksanakan kegiatan amaliyah siswa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3" spans="1:38" ht="15" customHeight="1">
      <c r="A33" s="106">
        <f>'DATA SISWA'!A31</f>
        <v>27</v>
      </c>
      <c r="B33" s="106">
        <f>'DATA SISWA'!B31</f>
        <v>0</v>
      </c>
      <c r="C33" s="115">
        <f>'DATA SISWA'!C31</f>
        <v>0</v>
      </c>
      <c r="D33" s="115">
        <f>'DATA SISWA'!D31</f>
        <v>0</v>
      </c>
      <c r="E33" s="106" t="str">
        <f>'DATA SISWA'!E31</f>
        <v>VII-A</v>
      </c>
      <c r="F33" s="128"/>
      <c r="G33" s="128">
        <v>3</v>
      </c>
      <c r="H33" s="117">
        <f t="shared" si="0"/>
        <v>3</v>
      </c>
      <c r="I33" s="130" t="str">
        <f t="shared" si="1"/>
        <v>Melaksanakan sholat dhuhur berjemaah dan sholatt dhuha, berdo'a di awal di akhir kegiatan pembelajaran , serta melaksanakan kegiatan amaliyah siswa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4" spans="1:38" ht="15" customHeight="1">
      <c r="A34" s="106">
        <f>'DATA SISWA'!A32</f>
        <v>28</v>
      </c>
      <c r="B34" s="106">
        <f>'DATA SISWA'!B32</f>
        <v>0</v>
      </c>
      <c r="C34" s="115">
        <f>'DATA SISWA'!C32</f>
        <v>0</v>
      </c>
      <c r="D34" s="115">
        <f>'DATA SISWA'!D32</f>
        <v>0</v>
      </c>
      <c r="E34" s="106" t="str">
        <f>'DATA SISWA'!E32</f>
        <v>VII-A</v>
      </c>
      <c r="F34" s="128"/>
      <c r="G34" s="128">
        <v>3</v>
      </c>
      <c r="H34" s="117">
        <f t="shared" si="0"/>
        <v>3</v>
      </c>
      <c r="I34" s="130" t="str">
        <f t="shared" si="1"/>
        <v>Melaksanakan sholat dhuhur berjemaah dan sholatt dhuha, berdo'a di awal di akhir kegiatan pembelajaran , serta melaksanakan kegiatan amaliyah siswa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5" spans="1:38" ht="15" customHeight="1">
      <c r="A35" s="106">
        <f>'DATA SISWA'!A33</f>
        <v>29</v>
      </c>
      <c r="B35" s="106">
        <f>'DATA SISWA'!B33</f>
        <v>0</v>
      </c>
      <c r="C35" s="115">
        <f>'DATA SISWA'!C33</f>
        <v>0</v>
      </c>
      <c r="D35" s="115">
        <f>'DATA SISWA'!D33</f>
        <v>0</v>
      </c>
      <c r="E35" s="106" t="str">
        <f>'DATA SISWA'!E33</f>
        <v>VII-A</v>
      </c>
      <c r="F35" s="128"/>
      <c r="G35" s="128">
        <v>3</v>
      </c>
      <c r="H35" s="117">
        <f t="shared" si="0"/>
        <v>3</v>
      </c>
      <c r="I35" s="130" t="str">
        <f t="shared" si="1"/>
        <v>Melaksanakan sholat dhuhur berjemaah dan sholatt dhuha, berdo'a di awal di akhir kegiatan pembelajaran , serta melaksanakan kegiatan amaliyah siswa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6" spans="1:38" ht="15" customHeight="1">
      <c r="A36" s="106">
        <f>'DATA SISWA'!A34</f>
        <v>30</v>
      </c>
      <c r="B36" s="106">
        <f>'DATA SISWA'!B34</f>
        <v>0</v>
      </c>
      <c r="C36" s="115">
        <f>'DATA SISWA'!C34</f>
        <v>0</v>
      </c>
      <c r="D36" s="115">
        <f>'DATA SISWA'!D34</f>
        <v>0</v>
      </c>
      <c r="E36" s="106" t="str">
        <f>'DATA SISWA'!E34</f>
        <v>VII-A</v>
      </c>
      <c r="F36" s="128"/>
      <c r="G36" s="128">
        <v>3</v>
      </c>
      <c r="H36" s="117">
        <f t="shared" si="0"/>
        <v>3</v>
      </c>
      <c r="I36" s="130" t="str">
        <f t="shared" si="1"/>
        <v>Melaksanakan sholat dhuhur berjemaah dan sholatt dhuha, berdo'a di awal di akhir kegiatan pembelajaran , serta melaksanakan kegiatan amaliyah siswa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7" spans="1:38" ht="15" customHeight="1">
      <c r="A37" s="106">
        <f>'DATA SISWA'!A35</f>
        <v>31</v>
      </c>
      <c r="B37" s="106">
        <f>'DATA SISWA'!B35</f>
        <v>0</v>
      </c>
      <c r="C37" s="115">
        <f>'DATA SISWA'!C35</f>
        <v>0</v>
      </c>
      <c r="D37" s="115">
        <f>'DATA SISWA'!D35</f>
        <v>0</v>
      </c>
      <c r="E37" s="106" t="str">
        <f>'DATA SISWA'!E35</f>
        <v>VII-A</v>
      </c>
      <c r="F37" s="128"/>
      <c r="G37" s="128">
        <v>3</v>
      </c>
      <c r="H37" s="117">
        <f t="shared" si="0"/>
        <v>3</v>
      </c>
      <c r="I37" s="130" t="str">
        <f t="shared" si="1"/>
        <v>Melaksanakan sholat dhuhur berjemaah dan sholatt dhuha, berdo'a di awal di akhir kegiatan pembelajaran , serta melaksanakan kegiatan amaliyah siswa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8" spans="1:38" ht="15" customHeight="1">
      <c r="A38" s="106">
        <f>'DATA SISWA'!A36</f>
        <v>32</v>
      </c>
      <c r="B38" s="106">
        <f>'DATA SISWA'!B36</f>
        <v>0</v>
      </c>
      <c r="C38" s="115">
        <f>'DATA SISWA'!C36</f>
        <v>0</v>
      </c>
      <c r="D38" s="115">
        <f>'DATA SISWA'!D36</f>
        <v>0</v>
      </c>
      <c r="E38" s="106" t="str">
        <f>'DATA SISWA'!E36</f>
        <v>VII-A</v>
      </c>
      <c r="F38" s="128"/>
      <c r="G38" s="128">
        <v>3</v>
      </c>
      <c r="H38" s="117">
        <f t="shared" si="0"/>
        <v>3</v>
      </c>
      <c r="I38" s="130" t="str">
        <f t="shared" si="1"/>
        <v>Melaksanakan sholat dhuhur berjemaah dan sholatt dhuha, berdo'a di awal di akhir kegiatan pembelajaran , serta melaksanakan kegiatan amaliyah siswa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9" spans="1:38" ht="15" customHeight="1">
      <c r="A39" s="106">
        <f>'DATA SISWA'!A37</f>
        <v>33</v>
      </c>
      <c r="B39" s="106">
        <f>'DATA SISWA'!B37</f>
        <v>0</v>
      </c>
      <c r="C39" s="115">
        <f>'DATA SISWA'!C37</f>
        <v>0</v>
      </c>
      <c r="D39" s="115">
        <f>'DATA SISWA'!D37</f>
        <v>0</v>
      </c>
      <c r="E39" s="106" t="str">
        <f>'DATA SISWA'!E37</f>
        <v>VII-A</v>
      </c>
      <c r="F39" s="128"/>
      <c r="G39" s="128">
        <v>3</v>
      </c>
      <c r="H39" s="117">
        <f t="shared" si="0"/>
        <v>3</v>
      </c>
      <c r="I39" s="130" t="str">
        <f t="shared" si="1"/>
        <v>Melaksanakan sholat dhuhur berjemaah dan sholatt dhuha, berdo'a di awal di akhir kegiatan pembelajaran , serta melaksanakan kegiatan amaliyah siswa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0" spans="1:38" ht="15" customHeight="1">
      <c r="A40" s="106">
        <f>'DATA SISWA'!A38</f>
        <v>34</v>
      </c>
      <c r="B40" s="106">
        <f>'DATA SISWA'!B38</f>
        <v>0</v>
      </c>
      <c r="C40" s="115">
        <f>'DATA SISWA'!C38</f>
        <v>0</v>
      </c>
      <c r="D40" s="115">
        <f>'DATA SISWA'!D38</f>
        <v>0</v>
      </c>
      <c r="E40" s="106" t="str">
        <f>'DATA SISWA'!E38</f>
        <v>VII-A</v>
      </c>
      <c r="F40" s="128"/>
      <c r="G40" s="128">
        <v>3</v>
      </c>
      <c r="H40" s="117">
        <f t="shared" si="0"/>
        <v>3</v>
      </c>
      <c r="I40" s="130" t="str">
        <f t="shared" si="1"/>
        <v>Melaksanakan sholat dhuhur berjemaah dan sholatt dhuha, berdo'a di awal di akhir kegiatan pembelajaran , serta melaksanakan kegiatan amaliyah siswa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1" spans="1:38" ht="15" customHeight="1">
      <c r="A41" s="106">
        <f>'DATA SISWA'!A39</f>
        <v>35</v>
      </c>
      <c r="B41" s="106">
        <f>'DATA SISWA'!B39</f>
        <v>0</v>
      </c>
      <c r="C41" s="115">
        <f>'DATA SISWA'!C39</f>
        <v>0</v>
      </c>
      <c r="D41" s="115">
        <f>'DATA SISWA'!D39</f>
        <v>0</v>
      </c>
      <c r="E41" s="106" t="str">
        <f>'DATA SISWA'!E39</f>
        <v>VII-A</v>
      </c>
      <c r="F41" s="128"/>
      <c r="G41" s="128">
        <v>3</v>
      </c>
      <c r="H41" s="117">
        <f t="shared" si="0"/>
        <v>3</v>
      </c>
      <c r="I41" s="130" t="str">
        <f t="shared" si="1"/>
        <v>Melaksanakan sholat dhuhur berjemaah dan sholatt dhuha, berdo'a di awal di akhir kegiatan pembelajaran , serta melaksanakan kegiatan amaliyah siswa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2" spans="1:38" ht="15" customHeight="1">
      <c r="A42" s="106">
        <f>'DATA SISWA'!A40</f>
        <v>36</v>
      </c>
      <c r="B42" s="106">
        <f>'DATA SISWA'!B40</f>
        <v>0</v>
      </c>
      <c r="C42" s="115">
        <f>'DATA SISWA'!C40</f>
        <v>0</v>
      </c>
      <c r="D42" s="115">
        <f>'DATA SISWA'!D40</f>
        <v>0</v>
      </c>
      <c r="E42" s="106" t="str">
        <f>'DATA SISWA'!E40</f>
        <v>VII-A</v>
      </c>
      <c r="F42" s="128"/>
      <c r="G42" s="128">
        <v>3</v>
      </c>
      <c r="H42" s="117">
        <f t="shared" si="0"/>
        <v>3</v>
      </c>
      <c r="I42" s="130" t="str">
        <f t="shared" si="1"/>
        <v>Melaksanakan sholat dhuhur berjemaah dan sholatt dhuha, berdo'a di awal di akhir kegiatan pembelajaran , serta melaksanakan kegiatan amaliyah siswa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3" spans="1:38" ht="15" customHeight="1">
      <c r="A43" s="106">
        <f>'DATA SISWA'!A41</f>
        <v>37</v>
      </c>
      <c r="B43" s="106">
        <f>'DATA SISWA'!B41</f>
        <v>0</v>
      </c>
      <c r="C43" s="115">
        <f>'DATA SISWA'!C41</f>
        <v>0</v>
      </c>
      <c r="D43" s="115">
        <f>'DATA SISWA'!D41</f>
        <v>0</v>
      </c>
      <c r="E43" s="106" t="str">
        <f>'DATA SISWA'!E41</f>
        <v>VII-A</v>
      </c>
      <c r="F43" s="128"/>
      <c r="G43" s="128">
        <v>3</v>
      </c>
      <c r="H43" s="117">
        <f t="shared" si="0"/>
        <v>3</v>
      </c>
      <c r="I43" s="130" t="str">
        <f t="shared" si="1"/>
        <v>Melaksanakan sholat dhuhur berjemaah dan sholatt dhuha, berdo'a di awal di akhir kegiatan pembelajaran , serta melaksanakan kegiatan amaliyah siswa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4" spans="1:38" ht="15" customHeight="1">
      <c r="A44" s="106">
        <f>'DATA SISWA'!A42</f>
        <v>38</v>
      </c>
      <c r="B44" s="106">
        <f>'DATA SISWA'!B42</f>
        <v>0</v>
      </c>
      <c r="C44" s="115">
        <f>'DATA SISWA'!C42</f>
        <v>0</v>
      </c>
      <c r="D44" s="115">
        <f>'DATA SISWA'!D42</f>
        <v>0</v>
      </c>
      <c r="E44" s="106" t="str">
        <f>'DATA SISWA'!E42</f>
        <v>VII-A</v>
      </c>
      <c r="F44" s="128"/>
      <c r="G44" s="128">
        <v>3</v>
      </c>
      <c r="H44" s="117">
        <f t="shared" si="0"/>
        <v>3</v>
      </c>
      <c r="I44" s="130" t="str">
        <f t="shared" si="1"/>
        <v>Melaksanakan sholat dhuhur berjemaah dan sholatt dhuha, berdo'a di awal di akhir kegiatan pembelajaran , serta melaksanakan kegiatan amaliyah siswa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5" spans="1:38" ht="15" customHeight="1">
      <c r="A45" s="106">
        <f>'DATA SISWA'!A43</f>
        <v>39</v>
      </c>
      <c r="B45" s="106">
        <f>'DATA SISWA'!B43</f>
        <v>0</v>
      </c>
      <c r="C45" s="115">
        <f>'DATA SISWA'!C43</f>
        <v>0</v>
      </c>
      <c r="D45" s="115">
        <f>'DATA SISWA'!D43</f>
        <v>0</v>
      </c>
      <c r="E45" s="106" t="str">
        <f>'DATA SISWA'!E43</f>
        <v>VII-A</v>
      </c>
      <c r="F45" s="128"/>
      <c r="G45" s="128">
        <v>3</v>
      </c>
      <c r="H45" s="117">
        <f t="shared" si="0"/>
        <v>3</v>
      </c>
      <c r="I45" s="130" t="str">
        <f t="shared" si="1"/>
        <v>Melaksanakan sholat dhuhur berjemaah dan sholatt dhuha, berdo'a di awal di akhir kegiatan pembelajaran , serta melaksanakan kegiatan amaliyah siswa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6" spans="1:38" ht="15" customHeight="1">
      <c r="A46" s="106">
        <f>'DATA SISWA'!A44</f>
        <v>40</v>
      </c>
      <c r="B46" s="106">
        <f>'DATA SISWA'!B44</f>
        <v>0</v>
      </c>
      <c r="C46" s="115">
        <f>'DATA SISWA'!C44</f>
        <v>0</v>
      </c>
      <c r="D46" s="115">
        <f>'DATA SISWA'!D44</f>
        <v>0</v>
      </c>
      <c r="E46" s="106" t="str">
        <f>'DATA SISWA'!E44</f>
        <v>VII-A</v>
      </c>
      <c r="F46" s="128"/>
      <c r="G46" s="128">
        <v>3</v>
      </c>
      <c r="H46" s="117">
        <f t="shared" si="0"/>
        <v>3</v>
      </c>
      <c r="I46" s="130" t="str">
        <f t="shared" si="1"/>
        <v>Melaksanakan sholat dhuhur berjemaah dan sholatt dhuha, berdo'a di awal di akhir kegiatan pembelajaran , serta melaksanakan kegiatan amaliyah siswa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7" spans="1:38" ht="15" customHeight="1">
      <c r="A47" s="106">
        <f>'DATA SISWA'!A45</f>
        <v>41</v>
      </c>
      <c r="B47" s="106">
        <f>'DATA SISWA'!B45</f>
        <v>0</v>
      </c>
      <c r="C47" s="115">
        <f>'DATA SISWA'!C45</f>
        <v>0</v>
      </c>
      <c r="D47" s="115">
        <f>'DATA SISWA'!D45</f>
        <v>0</v>
      </c>
      <c r="E47" s="106" t="str">
        <f>'DATA SISWA'!E45</f>
        <v>VII-A</v>
      </c>
      <c r="F47" s="128"/>
      <c r="G47" s="128">
        <v>3</v>
      </c>
      <c r="H47" s="117">
        <f t="shared" si="0"/>
        <v>3</v>
      </c>
      <c r="I47" s="130" t="str">
        <f t="shared" si="1"/>
        <v>Melaksanakan sholat dhuhur berjemaah dan sholatt dhuha, berdo'a di awal di akhir kegiatan pembelajaran , serta melaksanakan kegiatan amaliyah siswa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8" spans="1:38" ht="15" customHeight="1">
      <c r="A48" s="106">
        <f>'DATA SISWA'!A46</f>
        <v>42</v>
      </c>
      <c r="B48" s="106">
        <f>'DATA SISWA'!B46</f>
        <v>0</v>
      </c>
      <c r="C48" s="115">
        <f>'DATA SISWA'!C46</f>
        <v>0</v>
      </c>
      <c r="D48" s="115">
        <f>'DATA SISWA'!D46</f>
        <v>0</v>
      </c>
      <c r="E48" s="106" t="str">
        <f>'DATA SISWA'!E46</f>
        <v>VII-A</v>
      </c>
      <c r="F48" s="128"/>
      <c r="G48" s="128">
        <v>3</v>
      </c>
      <c r="H48" s="117">
        <f t="shared" si="0"/>
        <v>3</v>
      </c>
      <c r="I48" s="130" t="str">
        <f t="shared" si="1"/>
        <v>Melaksanakan sholat dhuhur berjemaah dan sholatt dhuha, berdo'a di awal di akhir kegiatan pembelajaran , serta melaksanakan kegiatan amaliyah siswa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9" spans="1:38" ht="15" customHeight="1">
      <c r="A49" s="106">
        <f>'DATA SISWA'!A47</f>
        <v>43</v>
      </c>
      <c r="B49" s="106">
        <f>'DATA SISWA'!B47</f>
        <v>0</v>
      </c>
      <c r="C49" s="115">
        <f>'DATA SISWA'!C47</f>
        <v>0</v>
      </c>
      <c r="D49" s="115">
        <f>'DATA SISWA'!D47</f>
        <v>0</v>
      </c>
      <c r="E49" s="106" t="str">
        <f>'DATA SISWA'!E47</f>
        <v>VII-A</v>
      </c>
      <c r="F49" s="128"/>
      <c r="G49" s="128">
        <v>3</v>
      </c>
      <c r="H49" s="117">
        <f t="shared" si="0"/>
        <v>3</v>
      </c>
      <c r="I49" s="130" t="str">
        <f t="shared" si="1"/>
        <v>Melaksanakan sholat dhuhur berjemaah dan sholatt dhuha, berdo'a di awal di akhir kegiatan pembelajaran , serta melaksanakan kegiatan amaliyah siswa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0" spans="1:38" ht="15" customHeight="1">
      <c r="A50" s="106">
        <f>'DATA SISWA'!A48</f>
        <v>44</v>
      </c>
      <c r="B50" s="106">
        <f>'DATA SISWA'!B48</f>
        <v>0</v>
      </c>
      <c r="C50" s="115">
        <f>'DATA SISWA'!C48</f>
        <v>0</v>
      </c>
      <c r="D50" s="115">
        <f>'DATA SISWA'!D48</f>
        <v>0</v>
      </c>
      <c r="E50" s="106" t="str">
        <f>'DATA SISWA'!E48</f>
        <v>VII-A</v>
      </c>
      <c r="F50" s="128"/>
      <c r="G50" s="128">
        <v>3</v>
      </c>
      <c r="H50" s="117">
        <f t="shared" si="0"/>
        <v>3</v>
      </c>
      <c r="I50" s="130" t="str">
        <f t="shared" si="1"/>
        <v>Melaksanakan sholat dhuhur berjemaah dan sholatt dhuha, berdo'a di awal di akhir kegiatan pembelajaran , serta melaksanakan kegiatan amaliyah siswa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1" spans="1:38" ht="15" customHeight="1">
      <c r="A51" s="106">
        <f>'DATA SISWA'!A49</f>
        <v>45</v>
      </c>
      <c r="B51" s="106">
        <f>'DATA SISWA'!B49</f>
        <v>0</v>
      </c>
      <c r="C51" s="115">
        <f>'DATA SISWA'!C49</f>
        <v>0</v>
      </c>
      <c r="D51" s="115">
        <f>'DATA SISWA'!D49</f>
        <v>0</v>
      </c>
      <c r="E51" s="106" t="str">
        <f>'DATA SISWA'!E49</f>
        <v>VII-A</v>
      </c>
      <c r="F51" s="128"/>
      <c r="G51" s="128">
        <v>3</v>
      </c>
      <c r="H51" s="117">
        <f t="shared" si="0"/>
        <v>3</v>
      </c>
      <c r="I51" s="130" t="str">
        <f t="shared" si="1"/>
        <v>Melaksanakan sholat dhuhur berjemaah dan sholatt dhuha, berdo'a di awal di akhir kegiatan pembelajaran , serta melaksanakan kegiatan amaliyah siswa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2" spans="1:38" ht="15" customHeight="1">
      <c r="A52" s="106">
        <f>'DATA SISWA'!A50</f>
        <v>46</v>
      </c>
      <c r="B52" s="106">
        <f>'DATA SISWA'!B50</f>
        <v>0</v>
      </c>
      <c r="C52" s="115">
        <f>'DATA SISWA'!C50</f>
        <v>0</v>
      </c>
      <c r="D52" s="115">
        <f>'DATA SISWA'!D50</f>
        <v>0</v>
      </c>
      <c r="E52" s="106" t="str">
        <f>'DATA SISWA'!E50</f>
        <v>VII-A</v>
      </c>
      <c r="F52" s="128"/>
      <c r="G52" s="128">
        <v>3</v>
      </c>
      <c r="H52" s="117">
        <f t="shared" si="0"/>
        <v>3</v>
      </c>
      <c r="I52" s="130" t="str">
        <f t="shared" si="1"/>
        <v>Melaksanakan sholat dhuhur berjemaah dan sholatt dhuha, berdo'a di awal di akhir kegiatan pembelajaran , serta melaksanakan kegiatan amaliyah siswa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3" spans="1:38" ht="15" customHeight="1">
      <c r="A53" s="106">
        <f>'DATA SISWA'!A51</f>
        <v>47</v>
      </c>
      <c r="B53" s="106">
        <f>'DATA SISWA'!B51</f>
        <v>0</v>
      </c>
      <c r="C53" s="115">
        <f>'DATA SISWA'!C51</f>
        <v>0</v>
      </c>
      <c r="D53" s="115">
        <f>'DATA SISWA'!D51</f>
        <v>0</v>
      </c>
      <c r="E53" s="106" t="str">
        <f>'DATA SISWA'!E51</f>
        <v>VII-A</v>
      </c>
      <c r="F53" s="128"/>
      <c r="G53" s="128">
        <v>3</v>
      </c>
      <c r="H53" s="117">
        <f t="shared" si="0"/>
        <v>3</v>
      </c>
      <c r="I53" s="130" t="str">
        <f t="shared" si="1"/>
        <v>Melaksanakan sholat dhuhur berjemaah dan sholatt dhuha, berdo'a di awal di akhir kegiatan pembelajaran , serta melaksanakan kegiatan amaliyah siswa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4" spans="1:38" ht="15" customHeight="1">
      <c r="A54" s="106">
        <f>'DATA SISWA'!A52</f>
        <v>48</v>
      </c>
      <c r="B54" s="106">
        <f>'DATA SISWA'!B52</f>
        <v>0</v>
      </c>
      <c r="C54" s="115">
        <f>'DATA SISWA'!C52</f>
        <v>0</v>
      </c>
      <c r="D54" s="115">
        <f>'DATA SISWA'!D52</f>
        <v>0</v>
      </c>
      <c r="E54" s="106" t="str">
        <f>'DATA SISWA'!E52</f>
        <v>VII-A</v>
      </c>
      <c r="F54" s="128"/>
      <c r="G54" s="128">
        <v>3</v>
      </c>
      <c r="H54" s="117">
        <f t="shared" si="0"/>
        <v>3</v>
      </c>
      <c r="I54" s="130" t="str">
        <f t="shared" si="1"/>
        <v>Melaksanakan sholat dhuhur berjemaah dan sholatt dhuha, berdo'a di awal di akhir kegiatan pembelajaran , serta melaksanakan kegiatan amaliyah siswa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>
        <f>'DATA SISWA'!C5</f>
        <v>0</v>
      </c>
      <c r="D5" s="106">
        <f>'DATA SISWA'!D5</f>
        <v>0</v>
      </c>
      <c r="E5" s="326" t="str">
        <f>'DATA SISWA'!E5</f>
        <v>VII-A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>
        <f>'DATA SISWA'!C6</f>
        <v>0</v>
      </c>
      <c r="D6" s="106">
        <f>'DATA SISWA'!D6</f>
        <v>0</v>
      </c>
      <c r="E6" s="326" t="str">
        <f>'DATA SISWA'!E6</f>
        <v>VII-A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>
        <f>'DATA SISWA'!C7</f>
        <v>0</v>
      </c>
      <c r="D7" s="106">
        <f>'DATA SISWA'!D7</f>
        <v>0</v>
      </c>
      <c r="E7" s="326" t="str">
        <f>'DATA SISWA'!E7</f>
        <v>VII-A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>
        <f>'DATA SISWA'!C8</f>
        <v>0</v>
      </c>
      <c r="D8" s="106">
        <f>'DATA SISWA'!D8</f>
        <v>0</v>
      </c>
      <c r="E8" s="326" t="str">
        <f>'DATA SISWA'!E8</f>
        <v>VII-A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>
        <f>'DATA SISWA'!C9</f>
        <v>0</v>
      </c>
      <c r="D9" s="106">
        <f>'DATA SISWA'!D9</f>
        <v>0</v>
      </c>
      <c r="E9" s="326" t="str">
        <f>'DATA SISWA'!E9</f>
        <v>VII-A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>
        <f>'DATA SISWA'!C10</f>
        <v>0</v>
      </c>
      <c r="D10" s="106">
        <f>'DATA SISWA'!D10</f>
        <v>0</v>
      </c>
      <c r="E10" s="326" t="str">
        <f>'DATA SISWA'!E10</f>
        <v>VII-A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>
        <f>'DATA SISWA'!C11</f>
        <v>0</v>
      </c>
      <c r="D11" s="106">
        <f>'DATA SISWA'!D11</f>
        <v>0</v>
      </c>
      <c r="E11" s="326" t="str">
        <f>'DATA SISWA'!E11</f>
        <v>VII-A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>
        <f>'DATA SISWA'!C12</f>
        <v>0</v>
      </c>
      <c r="D12" s="106">
        <f>'DATA SISWA'!D12</f>
        <v>0</v>
      </c>
      <c r="E12" s="326" t="str">
        <f>'DATA SISWA'!E12</f>
        <v>VII-A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>
        <f>'DATA SISWA'!C13</f>
        <v>0</v>
      </c>
      <c r="D13" s="106">
        <f>'DATA SISWA'!D13</f>
        <v>0</v>
      </c>
      <c r="E13" s="326" t="str">
        <f>'DATA SISWA'!E13</f>
        <v>VII-A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>
        <f>'DATA SISWA'!C14</f>
        <v>0</v>
      </c>
      <c r="D14" s="106">
        <f>'DATA SISWA'!D14</f>
        <v>0</v>
      </c>
      <c r="E14" s="326" t="str">
        <f>'DATA SISWA'!E14</f>
        <v>VII-A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>
        <f>'DATA SISWA'!C15</f>
        <v>0</v>
      </c>
      <c r="D15" s="106">
        <f>'DATA SISWA'!D15</f>
        <v>0</v>
      </c>
      <c r="E15" s="326" t="str">
        <f>'DATA SISWA'!E15</f>
        <v>VII-A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>
        <f>'DATA SISWA'!C16</f>
        <v>0</v>
      </c>
      <c r="D16" s="106">
        <f>'DATA SISWA'!D16</f>
        <v>0</v>
      </c>
      <c r="E16" s="326" t="str">
        <f>'DATA SISWA'!E16</f>
        <v>VII-A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>
        <f>'DATA SISWA'!C17</f>
        <v>0</v>
      </c>
      <c r="D17" s="106">
        <f>'DATA SISWA'!D17</f>
        <v>0</v>
      </c>
      <c r="E17" s="326" t="str">
        <f>'DATA SISWA'!E17</f>
        <v>VII-A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>
        <f>'DATA SISWA'!C18</f>
        <v>0</v>
      </c>
      <c r="D18" s="106">
        <f>'DATA SISWA'!D18</f>
        <v>0</v>
      </c>
      <c r="E18" s="326" t="str">
        <f>'DATA SISWA'!E18</f>
        <v>VII-A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>
        <f>'DATA SISWA'!C19</f>
        <v>0</v>
      </c>
      <c r="D19" s="106">
        <f>'DATA SISWA'!D19</f>
        <v>0</v>
      </c>
      <c r="E19" s="326" t="str">
        <f>'DATA SISWA'!E19</f>
        <v>VII-A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>
        <f>'DATA SISWA'!C20</f>
        <v>0</v>
      </c>
      <c r="D20" s="106">
        <f>'DATA SISWA'!D20</f>
        <v>0</v>
      </c>
      <c r="E20" s="326" t="str">
        <f>'DATA SISWA'!E20</f>
        <v>VII-A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>
        <f>'DATA SISWA'!C21</f>
        <v>0</v>
      </c>
      <c r="D21" s="106">
        <f>'DATA SISWA'!D21</f>
        <v>0</v>
      </c>
      <c r="E21" s="326" t="str">
        <f>'DATA SISWA'!E21</f>
        <v>VII-A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>
        <f>'DATA SISWA'!C22</f>
        <v>0</v>
      </c>
      <c r="D22" s="106">
        <f>'DATA SISWA'!D22</f>
        <v>0</v>
      </c>
      <c r="E22" s="326" t="str">
        <f>'DATA SISWA'!E22</f>
        <v>VII-A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>
        <f>'DATA SISWA'!C23</f>
        <v>0</v>
      </c>
      <c r="D23" s="106">
        <f>'DATA SISWA'!D23</f>
        <v>0</v>
      </c>
      <c r="E23" s="326" t="str">
        <f>'DATA SISWA'!E23</f>
        <v>VII-A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>
        <f>'DATA SISWA'!C24</f>
        <v>0</v>
      </c>
      <c r="D24" s="106">
        <f>'DATA SISWA'!D24</f>
        <v>0</v>
      </c>
      <c r="E24" s="326" t="str">
        <f>'DATA SISWA'!E24</f>
        <v>VII-A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326" t="str">
        <f>'DATA SISWA'!E25</f>
        <v>VII-A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326" t="str">
        <f>'DATA SISWA'!E26</f>
        <v>VII-A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326" t="str">
        <f>'DATA SISWA'!E27</f>
        <v>VII-A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326" t="str">
        <f>'DATA SISWA'!E28</f>
        <v>VII-A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326" t="str">
        <f>'DATA SISWA'!E29</f>
        <v>VII-A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326" t="str">
        <f>'DATA SISWA'!E30</f>
        <v>VII-A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326" t="str">
        <f>'DATA SISWA'!E31</f>
        <v>VII-A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326" t="str">
        <f>'DATA SISWA'!E32</f>
        <v>VII-A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326" t="str">
        <f>'DATA SISWA'!E33</f>
        <v>VII-A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326" t="str">
        <f>'DATA SISWA'!E34</f>
        <v>VII-A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326" t="str">
        <f>'DATA SISWA'!E35</f>
        <v>VII-A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326" t="str">
        <f>'DATA SISWA'!E36</f>
        <v>VII-A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326" t="str">
        <f>'DATA SISWA'!E37</f>
        <v>VII-A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326" t="str">
        <f>'DATA SISWA'!E38</f>
        <v>VII-A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326" t="str">
        <f>'DATA SISWA'!E39</f>
        <v>VII-A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326" t="str">
        <f>'DATA SISWA'!E40</f>
        <v>VII-A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326" t="str">
        <f>'DATA SISWA'!E41</f>
        <v>VII-A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326" t="str">
        <f>'DATA SISWA'!E42</f>
        <v>VII-A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326" t="str">
        <f>'DATA SISWA'!E43</f>
        <v>VII-A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326" t="str">
        <f>'DATA SISWA'!E44</f>
        <v>VII-A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326" t="str">
        <f>'DATA SISWA'!E45</f>
        <v>VII-A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326" t="str">
        <f>'DATA SISWA'!E46</f>
        <v>VII-A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326" t="str">
        <f>'DATA SISWA'!E47</f>
        <v>VII-A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326" t="str">
        <f>'DATA SISWA'!E48</f>
        <v>VII-A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326" t="str">
        <f>'DATA SISWA'!E49</f>
        <v>VII-A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326" t="str">
        <f>'DATA SISWA'!E50</f>
        <v>VII-A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326" t="str">
        <f>'DATA SISWA'!E51</f>
        <v>VII-A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326" t="str">
        <f>'DATA SISWA'!E52</f>
        <v>VII-A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2">
        <f>menu!E13</f>
        <v>0</v>
      </c>
      <c r="D1" s="672"/>
      <c r="E1" s="672"/>
      <c r="F1" s="672"/>
      <c r="G1" s="673" t="s">
        <v>246</v>
      </c>
      <c r="H1" s="673"/>
      <c r="I1" s="674" t="str">
        <f>menu!D15</f>
        <v>GANJIL</v>
      </c>
      <c r="J1" s="674"/>
      <c r="K1" s="675" t="s">
        <v>247</v>
      </c>
      <c r="L1" s="676"/>
      <c r="M1" s="46">
        <f>menu!D19</f>
        <v>0</v>
      </c>
      <c r="N1" s="133"/>
    </row>
    <row r="2" spans="1:122" ht="16.5">
      <c r="A2" s="131"/>
      <c r="B2" s="132" t="s">
        <v>248</v>
      </c>
      <c r="C2" s="677" t="str">
        <f>menu!D14</f>
        <v>VII-A</v>
      </c>
      <c r="D2" s="677"/>
      <c r="E2" s="134"/>
      <c r="F2" s="673" t="s">
        <v>249</v>
      </c>
      <c r="G2" s="673"/>
      <c r="H2" s="673"/>
      <c r="I2" s="678" t="str">
        <f>menu!D16</f>
        <v>2017/2018</v>
      </c>
      <c r="J2" s="678"/>
      <c r="K2" s="675" t="s">
        <v>250</v>
      </c>
      <c r="L2" s="675"/>
      <c r="M2" s="679"/>
      <c r="N2" s="679"/>
    </row>
    <row r="3" spans="1:122">
      <c r="A3" s="131"/>
      <c r="B3" s="190" t="s">
        <v>251</v>
      </c>
      <c r="C3" s="682" t="s">
        <v>252</v>
      </c>
      <c r="D3" s="682"/>
      <c r="E3" s="682"/>
      <c r="F3" s="682"/>
      <c r="G3" s="682"/>
      <c r="H3" s="682"/>
      <c r="I3" s="682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3" t="s">
        <v>253</v>
      </c>
      <c r="D5" s="684"/>
      <c r="E5" s="684"/>
      <c r="F5" s="684"/>
      <c r="G5" s="684"/>
      <c r="H5" s="684"/>
      <c r="I5" s="684"/>
      <c r="J5" s="685"/>
      <c r="K5" s="138" t="s">
        <v>254</v>
      </c>
      <c r="L5" s="138"/>
      <c r="M5" s="138"/>
      <c r="N5" s="139"/>
      <c r="O5" s="683" t="s">
        <v>253</v>
      </c>
      <c r="P5" s="684"/>
      <c r="Q5" s="684"/>
      <c r="R5" s="684"/>
      <c r="S5" s="684"/>
      <c r="T5" s="684"/>
      <c r="U5" s="684"/>
      <c r="V5" s="685"/>
      <c r="W5" s="138" t="s">
        <v>254</v>
      </c>
      <c r="X5" s="138"/>
      <c r="Y5" s="138"/>
      <c r="Z5" s="139"/>
      <c r="AA5" s="683" t="s">
        <v>253</v>
      </c>
      <c r="AB5" s="684"/>
      <c r="AC5" s="684"/>
      <c r="AD5" s="684"/>
      <c r="AE5" s="684"/>
      <c r="AF5" s="684"/>
      <c r="AG5" s="684"/>
      <c r="AH5" s="685"/>
      <c r="AI5" s="138" t="s">
        <v>254</v>
      </c>
      <c r="AJ5" s="138"/>
      <c r="AK5" s="138"/>
      <c r="AL5" s="139"/>
      <c r="AM5" s="683" t="s">
        <v>253</v>
      </c>
      <c r="AN5" s="684"/>
      <c r="AO5" s="684"/>
      <c r="AP5" s="684"/>
      <c r="AQ5" s="684"/>
      <c r="AR5" s="684"/>
      <c r="AS5" s="684"/>
      <c r="AT5" s="685"/>
      <c r="AU5" s="138" t="s">
        <v>254</v>
      </c>
      <c r="AV5" s="138"/>
      <c r="AW5" s="138"/>
      <c r="AX5" s="139"/>
      <c r="AY5" s="683" t="s">
        <v>253</v>
      </c>
      <c r="AZ5" s="684"/>
      <c r="BA5" s="684"/>
      <c r="BB5" s="684"/>
      <c r="BC5" s="684"/>
      <c r="BD5" s="684"/>
      <c r="BE5" s="684"/>
      <c r="BF5" s="685"/>
      <c r="BG5" s="138" t="s">
        <v>254</v>
      </c>
      <c r="BH5" s="138"/>
      <c r="BI5" s="138"/>
      <c r="BJ5" s="139"/>
      <c r="BK5" s="683" t="s">
        <v>253</v>
      </c>
      <c r="BL5" s="684"/>
      <c r="BM5" s="684"/>
      <c r="BN5" s="684"/>
      <c r="BO5" s="684"/>
      <c r="BP5" s="684"/>
      <c r="BQ5" s="684"/>
      <c r="BR5" s="685"/>
      <c r="BS5" s="138" t="s">
        <v>254</v>
      </c>
      <c r="BT5" s="138"/>
      <c r="BU5" s="138"/>
      <c r="BV5" s="139"/>
      <c r="BW5" s="683" t="s">
        <v>253</v>
      </c>
      <c r="BX5" s="684"/>
      <c r="BY5" s="684"/>
      <c r="BZ5" s="684"/>
      <c r="CA5" s="684"/>
      <c r="CB5" s="684"/>
      <c r="CC5" s="684"/>
      <c r="CD5" s="685"/>
      <c r="CE5" s="138" t="s">
        <v>254</v>
      </c>
      <c r="CF5" s="138"/>
      <c r="CG5" s="138"/>
      <c r="CH5" s="139"/>
      <c r="CI5" s="683" t="s">
        <v>253</v>
      </c>
      <c r="CJ5" s="684"/>
      <c r="CK5" s="684"/>
      <c r="CL5" s="684"/>
      <c r="CM5" s="684"/>
      <c r="CN5" s="684"/>
      <c r="CO5" s="684"/>
      <c r="CP5" s="685"/>
      <c r="CQ5" s="138" t="s">
        <v>254</v>
      </c>
      <c r="CR5" s="138"/>
      <c r="CS5" s="138"/>
      <c r="CT5" s="139"/>
      <c r="CU5" s="683" t="s">
        <v>253</v>
      </c>
      <c r="CV5" s="684"/>
      <c r="CW5" s="684"/>
      <c r="CX5" s="684"/>
      <c r="CY5" s="684"/>
      <c r="CZ5" s="684"/>
      <c r="DA5" s="684"/>
      <c r="DB5" s="685"/>
      <c r="DC5" s="138" t="s">
        <v>254</v>
      </c>
      <c r="DD5" s="138"/>
      <c r="DE5" s="138"/>
      <c r="DF5" s="139"/>
      <c r="DG5" s="683" t="s">
        <v>253</v>
      </c>
      <c r="DH5" s="684"/>
      <c r="DI5" s="684"/>
      <c r="DJ5" s="684"/>
      <c r="DK5" s="684"/>
      <c r="DL5" s="684"/>
      <c r="DM5" s="684"/>
      <c r="DN5" s="68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6"/>
      <c r="D6" s="687"/>
      <c r="E6" s="687"/>
      <c r="F6" s="687"/>
      <c r="G6" s="687"/>
      <c r="H6" s="687"/>
      <c r="I6" s="687"/>
      <c r="J6" s="688"/>
      <c r="K6" s="141" t="s">
        <v>255</v>
      </c>
      <c r="L6" s="78"/>
      <c r="M6" s="78"/>
      <c r="N6" s="79"/>
      <c r="O6" s="686"/>
      <c r="P6" s="687"/>
      <c r="Q6" s="687"/>
      <c r="R6" s="687"/>
      <c r="S6" s="687"/>
      <c r="T6" s="687"/>
      <c r="U6" s="687"/>
      <c r="V6" s="688"/>
      <c r="W6" s="141" t="s">
        <v>255</v>
      </c>
      <c r="X6" s="78"/>
      <c r="Y6" s="78"/>
      <c r="Z6" s="79"/>
      <c r="AA6" s="686"/>
      <c r="AB6" s="687"/>
      <c r="AC6" s="687"/>
      <c r="AD6" s="687"/>
      <c r="AE6" s="687"/>
      <c r="AF6" s="687"/>
      <c r="AG6" s="687"/>
      <c r="AH6" s="688"/>
      <c r="AI6" s="141" t="s">
        <v>255</v>
      </c>
      <c r="AJ6" s="78"/>
      <c r="AK6" s="78"/>
      <c r="AL6" s="79"/>
      <c r="AM6" s="686"/>
      <c r="AN6" s="687"/>
      <c r="AO6" s="687"/>
      <c r="AP6" s="687"/>
      <c r="AQ6" s="687"/>
      <c r="AR6" s="687"/>
      <c r="AS6" s="687"/>
      <c r="AT6" s="688"/>
      <c r="AU6" s="141" t="s">
        <v>255</v>
      </c>
      <c r="AV6" s="78"/>
      <c r="AW6" s="78"/>
      <c r="AX6" s="79"/>
      <c r="AY6" s="686"/>
      <c r="AZ6" s="687"/>
      <c r="BA6" s="687"/>
      <c r="BB6" s="687"/>
      <c r="BC6" s="687"/>
      <c r="BD6" s="687"/>
      <c r="BE6" s="687"/>
      <c r="BF6" s="688"/>
      <c r="BG6" s="141" t="s">
        <v>255</v>
      </c>
      <c r="BH6" s="78"/>
      <c r="BI6" s="78"/>
      <c r="BJ6" s="79"/>
      <c r="BK6" s="686"/>
      <c r="BL6" s="687"/>
      <c r="BM6" s="687"/>
      <c r="BN6" s="687"/>
      <c r="BO6" s="687"/>
      <c r="BP6" s="687"/>
      <c r="BQ6" s="687"/>
      <c r="BR6" s="688"/>
      <c r="BS6" s="141" t="s">
        <v>255</v>
      </c>
      <c r="BT6" s="78"/>
      <c r="BU6" s="78"/>
      <c r="BV6" s="79"/>
      <c r="BW6" s="686"/>
      <c r="BX6" s="687"/>
      <c r="BY6" s="687"/>
      <c r="BZ6" s="687"/>
      <c r="CA6" s="687"/>
      <c r="CB6" s="687"/>
      <c r="CC6" s="687"/>
      <c r="CD6" s="688"/>
      <c r="CE6" s="141" t="s">
        <v>255</v>
      </c>
      <c r="CF6" s="78"/>
      <c r="CG6" s="78"/>
      <c r="CH6" s="79"/>
      <c r="CI6" s="686"/>
      <c r="CJ6" s="687"/>
      <c r="CK6" s="687"/>
      <c r="CL6" s="687"/>
      <c r="CM6" s="687"/>
      <c r="CN6" s="687"/>
      <c r="CO6" s="687"/>
      <c r="CP6" s="688"/>
      <c r="CQ6" s="141" t="s">
        <v>255</v>
      </c>
      <c r="CR6" s="78"/>
      <c r="CS6" s="78"/>
      <c r="CT6" s="79"/>
      <c r="CU6" s="686"/>
      <c r="CV6" s="687"/>
      <c r="CW6" s="687"/>
      <c r="CX6" s="687"/>
      <c r="CY6" s="687"/>
      <c r="CZ6" s="687"/>
      <c r="DA6" s="687"/>
      <c r="DB6" s="688"/>
      <c r="DC6" s="141" t="s">
        <v>255</v>
      </c>
      <c r="DD6" s="78"/>
      <c r="DE6" s="78"/>
      <c r="DF6" s="79"/>
      <c r="DG6" s="686"/>
      <c r="DH6" s="687"/>
      <c r="DI6" s="687"/>
      <c r="DJ6" s="687"/>
      <c r="DK6" s="687"/>
      <c r="DL6" s="687"/>
      <c r="DM6" s="687"/>
      <c r="DN6" s="68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9"/>
      <c r="D7" s="690"/>
      <c r="E7" s="690"/>
      <c r="F7" s="690"/>
      <c r="G7" s="690"/>
      <c r="H7" s="690"/>
      <c r="I7" s="690"/>
      <c r="J7" s="691"/>
      <c r="K7" s="141" t="s">
        <v>256</v>
      </c>
      <c r="L7" s="80"/>
      <c r="M7" s="80"/>
      <c r="N7" s="81"/>
      <c r="O7" s="689"/>
      <c r="P7" s="690"/>
      <c r="Q7" s="690"/>
      <c r="R7" s="690"/>
      <c r="S7" s="690"/>
      <c r="T7" s="690"/>
      <c r="U7" s="690"/>
      <c r="V7" s="691"/>
      <c r="W7" s="141" t="s">
        <v>256</v>
      </c>
      <c r="X7" s="80"/>
      <c r="Y7" s="80"/>
      <c r="Z7" s="81"/>
      <c r="AA7" s="689"/>
      <c r="AB7" s="690"/>
      <c r="AC7" s="690"/>
      <c r="AD7" s="690"/>
      <c r="AE7" s="690"/>
      <c r="AF7" s="690"/>
      <c r="AG7" s="690"/>
      <c r="AH7" s="691"/>
      <c r="AI7" s="141" t="s">
        <v>256</v>
      </c>
      <c r="AJ7" s="80"/>
      <c r="AK7" s="80"/>
      <c r="AL7" s="81"/>
      <c r="AM7" s="689"/>
      <c r="AN7" s="690"/>
      <c r="AO7" s="690"/>
      <c r="AP7" s="690"/>
      <c r="AQ7" s="690"/>
      <c r="AR7" s="690"/>
      <c r="AS7" s="690"/>
      <c r="AT7" s="691"/>
      <c r="AU7" s="141" t="s">
        <v>256</v>
      </c>
      <c r="AV7" s="80"/>
      <c r="AW7" s="80"/>
      <c r="AX7" s="81"/>
      <c r="AY7" s="689"/>
      <c r="AZ7" s="690"/>
      <c r="BA7" s="690"/>
      <c r="BB7" s="690"/>
      <c r="BC7" s="690"/>
      <c r="BD7" s="690"/>
      <c r="BE7" s="690"/>
      <c r="BF7" s="691"/>
      <c r="BG7" s="141" t="s">
        <v>256</v>
      </c>
      <c r="BH7" s="80"/>
      <c r="BI7" s="80"/>
      <c r="BJ7" s="81"/>
      <c r="BK7" s="689"/>
      <c r="BL7" s="690"/>
      <c r="BM7" s="690"/>
      <c r="BN7" s="690"/>
      <c r="BO7" s="690"/>
      <c r="BP7" s="690"/>
      <c r="BQ7" s="690"/>
      <c r="BR7" s="691"/>
      <c r="BS7" s="141" t="s">
        <v>256</v>
      </c>
      <c r="BT7" s="80"/>
      <c r="BU7" s="80"/>
      <c r="BV7" s="81"/>
      <c r="BW7" s="689"/>
      <c r="BX7" s="690"/>
      <c r="BY7" s="690"/>
      <c r="BZ7" s="690"/>
      <c r="CA7" s="690"/>
      <c r="CB7" s="690"/>
      <c r="CC7" s="690"/>
      <c r="CD7" s="691"/>
      <c r="CE7" s="141" t="s">
        <v>256</v>
      </c>
      <c r="CF7" s="80"/>
      <c r="CG7" s="80"/>
      <c r="CH7" s="81"/>
      <c r="CI7" s="689"/>
      <c r="CJ7" s="690"/>
      <c r="CK7" s="690"/>
      <c r="CL7" s="690"/>
      <c r="CM7" s="690"/>
      <c r="CN7" s="690"/>
      <c r="CO7" s="690"/>
      <c r="CP7" s="691"/>
      <c r="CQ7" s="141" t="s">
        <v>256</v>
      </c>
      <c r="CR7" s="80"/>
      <c r="CS7" s="80"/>
      <c r="CT7" s="81"/>
      <c r="CU7" s="689"/>
      <c r="CV7" s="690"/>
      <c r="CW7" s="690"/>
      <c r="CX7" s="690"/>
      <c r="CY7" s="690"/>
      <c r="CZ7" s="690"/>
      <c r="DA7" s="690"/>
      <c r="DB7" s="691"/>
      <c r="DC7" s="141" t="s">
        <v>256</v>
      </c>
      <c r="DD7" s="80"/>
      <c r="DE7" s="80"/>
      <c r="DF7" s="81"/>
      <c r="DG7" s="689"/>
      <c r="DH7" s="690"/>
      <c r="DI7" s="690"/>
      <c r="DJ7" s="690"/>
      <c r="DK7" s="690"/>
      <c r="DL7" s="690"/>
      <c r="DM7" s="690"/>
      <c r="DN7" s="69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6"/>
      <c r="D8" s="687"/>
      <c r="E8" s="687"/>
      <c r="F8" s="687"/>
      <c r="G8" s="687"/>
      <c r="H8" s="687"/>
      <c r="I8" s="687"/>
      <c r="J8" s="688"/>
      <c r="K8" s="141" t="s">
        <v>257</v>
      </c>
      <c r="L8" s="78"/>
      <c r="M8" s="78"/>
      <c r="N8" s="79"/>
      <c r="O8" s="686"/>
      <c r="P8" s="687"/>
      <c r="Q8" s="687"/>
      <c r="R8" s="687"/>
      <c r="S8" s="687"/>
      <c r="T8" s="687"/>
      <c r="U8" s="687"/>
      <c r="V8" s="688"/>
      <c r="W8" s="141" t="s">
        <v>257</v>
      </c>
      <c r="X8" s="78"/>
      <c r="Y8" s="78"/>
      <c r="Z8" s="79"/>
      <c r="AA8" s="686"/>
      <c r="AB8" s="687"/>
      <c r="AC8" s="687"/>
      <c r="AD8" s="687"/>
      <c r="AE8" s="687"/>
      <c r="AF8" s="687"/>
      <c r="AG8" s="687"/>
      <c r="AH8" s="688"/>
      <c r="AI8" s="141" t="s">
        <v>257</v>
      </c>
      <c r="AJ8" s="78"/>
      <c r="AK8" s="78"/>
      <c r="AL8" s="79"/>
      <c r="AM8" s="686"/>
      <c r="AN8" s="687"/>
      <c r="AO8" s="687"/>
      <c r="AP8" s="687"/>
      <c r="AQ8" s="687"/>
      <c r="AR8" s="687"/>
      <c r="AS8" s="687"/>
      <c r="AT8" s="688"/>
      <c r="AU8" s="141" t="s">
        <v>257</v>
      </c>
      <c r="AV8" s="78"/>
      <c r="AW8" s="78"/>
      <c r="AX8" s="79"/>
      <c r="AY8" s="686"/>
      <c r="AZ8" s="687"/>
      <c r="BA8" s="687"/>
      <c r="BB8" s="687"/>
      <c r="BC8" s="687"/>
      <c r="BD8" s="687"/>
      <c r="BE8" s="687"/>
      <c r="BF8" s="688"/>
      <c r="BG8" s="141" t="s">
        <v>257</v>
      </c>
      <c r="BH8" s="78"/>
      <c r="BI8" s="78"/>
      <c r="BJ8" s="79"/>
      <c r="BK8" s="686"/>
      <c r="BL8" s="687"/>
      <c r="BM8" s="687"/>
      <c r="BN8" s="687"/>
      <c r="BO8" s="687"/>
      <c r="BP8" s="687"/>
      <c r="BQ8" s="687"/>
      <c r="BR8" s="688"/>
      <c r="BS8" s="141" t="s">
        <v>257</v>
      </c>
      <c r="BT8" s="78"/>
      <c r="BU8" s="78"/>
      <c r="BV8" s="79"/>
      <c r="BW8" s="686"/>
      <c r="BX8" s="687"/>
      <c r="BY8" s="687"/>
      <c r="BZ8" s="687"/>
      <c r="CA8" s="687"/>
      <c r="CB8" s="687"/>
      <c r="CC8" s="687"/>
      <c r="CD8" s="688"/>
      <c r="CE8" s="141" t="s">
        <v>257</v>
      </c>
      <c r="CF8" s="78"/>
      <c r="CG8" s="78"/>
      <c r="CH8" s="79"/>
      <c r="CI8" s="686"/>
      <c r="CJ8" s="687"/>
      <c r="CK8" s="687"/>
      <c r="CL8" s="687"/>
      <c r="CM8" s="687"/>
      <c r="CN8" s="687"/>
      <c r="CO8" s="687"/>
      <c r="CP8" s="688"/>
      <c r="CQ8" s="141" t="s">
        <v>257</v>
      </c>
      <c r="CR8" s="78"/>
      <c r="CS8" s="78"/>
      <c r="CT8" s="79"/>
      <c r="CU8" s="686"/>
      <c r="CV8" s="687"/>
      <c r="CW8" s="687"/>
      <c r="CX8" s="687"/>
      <c r="CY8" s="687"/>
      <c r="CZ8" s="687"/>
      <c r="DA8" s="687"/>
      <c r="DB8" s="688"/>
      <c r="DC8" s="141" t="s">
        <v>257</v>
      </c>
      <c r="DD8" s="78"/>
      <c r="DE8" s="78"/>
      <c r="DF8" s="79"/>
      <c r="DG8" s="686"/>
      <c r="DH8" s="687"/>
      <c r="DI8" s="687"/>
      <c r="DJ8" s="687"/>
      <c r="DK8" s="687"/>
      <c r="DL8" s="687"/>
      <c r="DM8" s="687"/>
      <c r="DN8" s="68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9"/>
      <c r="D9" s="690"/>
      <c r="E9" s="690"/>
      <c r="F9" s="690"/>
      <c r="G9" s="690"/>
      <c r="H9" s="690"/>
      <c r="I9" s="690"/>
      <c r="J9" s="691"/>
      <c r="K9" s="142" t="s">
        <v>258</v>
      </c>
      <c r="L9" s="82"/>
      <c r="M9" s="82"/>
      <c r="N9" s="83"/>
      <c r="O9" s="689"/>
      <c r="P9" s="690"/>
      <c r="Q9" s="690"/>
      <c r="R9" s="690"/>
      <c r="S9" s="690"/>
      <c r="T9" s="690"/>
      <c r="U9" s="690"/>
      <c r="V9" s="691"/>
      <c r="W9" s="142" t="s">
        <v>258</v>
      </c>
      <c r="X9" s="82"/>
      <c r="Y9" s="82"/>
      <c r="Z9" s="83"/>
      <c r="AA9" s="689"/>
      <c r="AB9" s="690"/>
      <c r="AC9" s="690"/>
      <c r="AD9" s="690"/>
      <c r="AE9" s="690"/>
      <c r="AF9" s="690"/>
      <c r="AG9" s="690"/>
      <c r="AH9" s="691"/>
      <c r="AI9" s="142" t="s">
        <v>258</v>
      </c>
      <c r="AJ9" s="82"/>
      <c r="AK9" s="82"/>
      <c r="AL9" s="83"/>
      <c r="AM9" s="689"/>
      <c r="AN9" s="690"/>
      <c r="AO9" s="690"/>
      <c r="AP9" s="690"/>
      <c r="AQ9" s="690"/>
      <c r="AR9" s="690"/>
      <c r="AS9" s="690"/>
      <c r="AT9" s="691"/>
      <c r="AU9" s="142" t="s">
        <v>258</v>
      </c>
      <c r="AV9" s="82"/>
      <c r="AW9" s="82"/>
      <c r="AX9" s="83"/>
      <c r="AY9" s="689"/>
      <c r="AZ9" s="690"/>
      <c r="BA9" s="690"/>
      <c r="BB9" s="690"/>
      <c r="BC9" s="690"/>
      <c r="BD9" s="690"/>
      <c r="BE9" s="690"/>
      <c r="BF9" s="691"/>
      <c r="BG9" s="142" t="s">
        <v>258</v>
      </c>
      <c r="BH9" s="82"/>
      <c r="BI9" s="82"/>
      <c r="BJ9" s="83"/>
      <c r="BK9" s="689"/>
      <c r="BL9" s="690"/>
      <c r="BM9" s="690"/>
      <c r="BN9" s="690"/>
      <c r="BO9" s="690"/>
      <c r="BP9" s="690"/>
      <c r="BQ9" s="690"/>
      <c r="BR9" s="691"/>
      <c r="BS9" s="142" t="s">
        <v>258</v>
      </c>
      <c r="BT9" s="82"/>
      <c r="BU9" s="82"/>
      <c r="BV9" s="83"/>
      <c r="BW9" s="689"/>
      <c r="BX9" s="690"/>
      <c r="BY9" s="690"/>
      <c r="BZ9" s="690"/>
      <c r="CA9" s="690"/>
      <c r="CB9" s="690"/>
      <c r="CC9" s="690"/>
      <c r="CD9" s="691"/>
      <c r="CE9" s="142" t="s">
        <v>258</v>
      </c>
      <c r="CF9" s="82"/>
      <c r="CG9" s="82"/>
      <c r="CH9" s="83"/>
      <c r="CI9" s="689"/>
      <c r="CJ9" s="690"/>
      <c r="CK9" s="690"/>
      <c r="CL9" s="690"/>
      <c r="CM9" s="690"/>
      <c r="CN9" s="690"/>
      <c r="CO9" s="690"/>
      <c r="CP9" s="691"/>
      <c r="CQ9" s="142" t="s">
        <v>258</v>
      </c>
      <c r="CR9" s="82"/>
      <c r="CS9" s="82"/>
      <c r="CT9" s="83"/>
      <c r="CU9" s="689"/>
      <c r="CV9" s="690"/>
      <c r="CW9" s="690"/>
      <c r="CX9" s="690"/>
      <c r="CY9" s="690"/>
      <c r="CZ9" s="690"/>
      <c r="DA9" s="690"/>
      <c r="DB9" s="691"/>
      <c r="DC9" s="142" t="s">
        <v>258</v>
      </c>
      <c r="DD9" s="82"/>
      <c r="DE9" s="82"/>
      <c r="DF9" s="83"/>
      <c r="DG9" s="689"/>
      <c r="DH9" s="690"/>
      <c r="DI9" s="690"/>
      <c r="DJ9" s="690"/>
      <c r="DK9" s="690"/>
      <c r="DL9" s="690"/>
      <c r="DM9" s="690"/>
      <c r="DN9" s="69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6"/>
      <c r="D10" s="687"/>
      <c r="E10" s="687"/>
      <c r="F10" s="687"/>
      <c r="G10" s="687"/>
      <c r="H10" s="687"/>
      <c r="I10" s="687"/>
      <c r="J10" s="688"/>
      <c r="K10" s="131"/>
      <c r="L10" s="186"/>
      <c r="M10" s="143"/>
      <c r="N10" s="143"/>
      <c r="O10" s="686"/>
      <c r="P10" s="687"/>
      <c r="Q10" s="687"/>
      <c r="R10" s="687"/>
      <c r="S10" s="687"/>
      <c r="T10" s="687"/>
      <c r="U10" s="687"/>
      <c r="V10" s="688"/>
      <c r="W10" s="131"/>
      <c r="X10" s="186"/>
      <c r="Y10" s="143"/>
      <c r="Z10" s="143"/>
      <c r="AA10" s="686"/>
      <c r="AB10" s="687"/>
      <c r="AC10" s="687"/>
      <c r="AD10" s="687"/>
      <c r="AE10" s="687"/>
      <c r="AF10" s="687"/>
      <c r="AG10" s="687"/>
      <c r="AH10" s="688"/>
      <c r="AI10" s="131"/>
      <c r="AJ10" s="186"/>
      <c r="AK10" s="143"/>
      <c r="AL10" s="143"/>
      <c r="AM10" s="686"/>
      <c r="AN10" s="687"/>
      <c r="AO10" s="687"/>
      <c r="AP10" s="687"/>
      <c r="AQ10" s="687"/>
      <c r="AR10" s="687"/>
      <c r="AS10" s="687"/>
      <c r="AT10" s="688"/>
      <c r="AU10" s="131"/>
      <c r="AV10" s="186"/>
      <c r="AW10" s="143"/>
      <c r="AX10" s="143"/>
      <c r="AY10" s="686"/>
      <c r="AZ10" s="687"/>
      <c r="BA10" s="687"/>
      <c r="BB10" s="687"/>
      <c r="BC10" s="687"/>
      <c r="BD10" s="687"/>
      <c r="BE10" s="687"/>
      <c r="BF10" s="688"/>
      <c r="BG10" s="131"/>
      <c r="BH10" s="186"/>
      <c r="BI10" s="143"/>
      <c r="BJ10" s="143"/>
      <c r="BK10" s="686"/>
      <c r="BL10" s="687"/>
      <c r="BM10" s="687"/>
      <c r="BN10" s="687"/>
      <c r="BO10" s="687"/>
      <c r="BP10" s="687"/>
      <c r="BQ10" s="687"/>
      <c r="BR10" s="688"/>
      <c r="BS10" s="131"/>
      <c r="BT10" s="186"/>
      <c r="BU10" s="143"/>
      <c r="BV10" s="143"/>
      <c r="BW10" s="686"/>
      <c r="BX10" s="687"/>
      <c r="BY10" s="687"/>
      <c r="BZ10" s="687"/>
      <c r="CA10" s="687"/>
      <c r="CB10" s="687"/>
      <c r="CC10" s="687"/>
      <c r="CD10" s="688"/>
      <c r="CE10" s="131"/>
      <c r="CF10" s="186"/>
      <c r="CG10" s="143"/>
      <c r="CH10" s="143"/>
      <c r="CI10" s="686"/>
      <c r="CJ10" s="687"/>
      <c r="CK10" s="687"/>
      <c r="CL10" s="687"/>
      <c r="CM10" s="687"/>
      <c r="CN10" s="687"/>
      <c r="CO10" s="687"/>
      <c r="CP10" s="688"/>
      <c r="CQ10" s="131"/>
      <c r="CR10" s="186"/>
      <c r="CS10" s="143"/>
      <c r="CT10" s="143"/>
      <c r="CU10" s="686"/>
      <c r="CV10" s="687"/>
      <c r="CW10" s="687"/>
      <c r="CX10" s="687"/>
      <c r="CY10" s="687"/>
      <c r="CZ10" s="687"/>
      <c r="DA10" s="687"/>
      <c r="DB10" s="688"/>
      <c r="DC10" s="131"/>
      <c r="DD10" s="186"/>
      <c r="DE10" s="143"/>
      <c r="DF10" s="143"/>
      <c r="DG10" s="686"/>
      <c r="DH10" s="687"/>
      <c r="DI10" s="687"/>
      <c r="DJ10" s="687"/>
      <c r="DK10" s="687"/>
      <c r="DL10" s="687"/>
      <c r="DM10" s="687"/>
      <c r="DN10" s="688"/>
      <c r="DO10" s="131"/>
      <c r="DP10" s="186"/>
      <c r="DQ10" s="143"/>
      <c r="DR10" s="143"/>
    </row>
    <row r="11" spans="1:122">
      <c r="A11" s="131"/>
      <c r="B11" s="140" t="s">
        <v>260</v>
      </c>
      <c r="C11" s="689"/>
      <c r="D11" s="690"/>
      <c r="E11" s="690"/>
      <c r="F11" s="690"/>
      <c r="G11" s="690"/>
      <c r="H11" s="690"/>
      <c r="I11" s="690"/>
      <c r="J11" s="691"/>
      <c r="K11" s="131"/>
      <c r="L11" s="186"/>
      <c r="M11" s="143"/>
      <c r="N11" s="143"/>
      <c r="O11" s="689"/>
      <c r="P11" s="690"/>
      <c r="Q11" s="690"/>
      <c r="R11" s="690"/>
      <c r="S11" s="690"/>
      <c r="T11" s="690"/>
      <c r="U11" s="690"/>
      <c r="V11" s="691"/>
      <c r="W11" s="131"/>
      <c r="X11" s="186"/>
      <c r="Y11" s="143"/>
      <c r="Z11" s="143"/>
      <c r="AA11" s="689"/>
      <c r="AB11" s="690"/>
      <c r="AC11" s="690"/>
      <c r="AD11" s="690"/>
      <c r="AE11" s="690"/>
      <c r="AF11" s="690"/>
      <c r="AG11" s="690"/>
      <c r="AH11" s="691"/>
      <c r="AI11" s="131"/>
      <c r="AJ11" s="186"/>
      <c r="AK11" s="143"/>
      <c r="AL11" s="143"/>
      <c r="AM11" s="689"/>
      <c r="AN11" s="690"/>
      <c r="AO11" s="690"/>
      <c r="AP11" s="690"/>
      <c r="AQ11" s="690"/>
      <c r="AR11" s="690"/>
      <c r="AS11" s="690"/>
      <c r="AT11" s="691"/>
      <c r="AU11" s="131"/>
      <c r="AV11" s="186"/>
      <c r="AW11" s="143"/>
      <c r="AX11" s="143"/>
      <c r="AY11" s="689"/>
      <c r="AZ11" s="690"/>
      <c r="BA11" s="690"/>
      <c r="BB11" s="690"/>
      <c r="BC11" s="690"/>
      <c r="BD11" s="690"/>
      <c r="BE11" s="690"/>
      <c r="BF11" s="691"/>
      <c r="BG11" s="131"/>
      <c r="BH11" s="186"/>
      <c r="BI11" s="143"/>
      <c r="BJ11" s="143"/>
      <c r="BK11" s="689"/>
      <c r="BL11" s="690"/>
      <c r="BM11" s="690"/>
      <c r="BN11" s="690"/>
      <c r="BO11" s="690"/>
      <c r="BP11" s="690"/>
      <c r="BQ11" s="690"/>
      <c r="BR11" s="691"/>
      <c r="BS11" s="131"/>
      <c r="BT11" s="186"/>
      <c r="BU11" s="143"/>
      <c r="BV11" s="143"/>
      <c r="BW11" s="689"/>
      <c r="BX11" s="690"/>
      <c r="BY11" s="690"/>
      <c r="BZ11" s="690"/>
      <c r="CA11" s="690"/>
      <c r="CB11" s="690"/>
      <c r="CC11" s="690"/>
      <c r="CD11" s="691"/>
      <c r="CE11" s="131"/>
      <c r="CF11" s="186"/>
      <c r="CG11" s="143"/>
      <c r="CH11" s="143"/>
      <c r="CI11" s="689"/>
      <c r="CJ11" s="690"/>
      <c r="CK11" s="690"/>
      <c r="CL11" s="690"/>
      <c r="CM11" s="690"/>
      <c r="CN11" s="690"/>
      <c r="CO11" s="690"/>
      <c r="CP11" s="691"/>
      <c r="CQ11" s="131"/>
      <c r="CR11" s="186"/>
      <c r="CS11" s="143"/>
      <c r="CT11" s="143"/>
      <c r="CU11" s="689"/>
      <c r="CV11" s="690"/>
      <c r="CW11" s="690"/>
      <c r="CX11" s="690"/>
      <c r="CY11" s="690"/>
      <c r="CZ11" s="690"/>
      <c r="DA11" s="690"/>
      <c r="DB11" s="691"/>
      <c r="DC11" s="131"/>
      <c r="DD11" s="186"/>
      <c r="DE11" s="143"/>
      <c r="DF11" s="143"/>
      <c r="DG11" s="689"/>
      <c r="DH11" s="690"/>
      <c r="DI11" s="690"/>
      <c r="DJ11" s="690"/>
      <c r="DK11" s="690"/>
      <c r="DL11" s="690"/>
      <c r="DM11" s="690"/>
      <c r="DN11" s="691"/>
      <c r="DO11" s="131"/>
      <c r="DP11" s="186"/>
      <c r="DQ11" s="143"/>
      <c r="DR11" s="143"/>
    </row>
    <row r="12" spans="1:122">
      <c r="A12" s="131"/>
      <c r="B12" s="140" t="s">
        <v>261</v>
      </c>
      <c r="C12" s="686"/>
      <c r="D12" s="687"/>
      <c r="E12" s="687"/>
      <c r="F12" s="687"/>
      <c r="G12" s="687"/>
      <c r="H12" s="687"/>
      <c r="I12" s="687"/>
      <c r="J12" s="688"/>
      <c r="K12" s="131"/>
      <c r="L12" s="680"/>
      <c r="M12" s="680"/>
      <c r="N12" s="143"/>
      <c r="O12" s="686"/>
      <c r="P12" s="687"/>
      <c r="Q12" s="687"/>
      <c r="R12" s="687"/>
      <c r="S12" s="687"/>
      <c r="T12" s="687"/>
      <c r="U12" s="687"/>
      <c r="V12" s="688"/>
      <c r="W12" s="131"/>
      <c r="X12" s="680"/>
      <c r="Y12" s="680"/>
      <c r="Z12" s="143"/>
      <c r="AA12" s="686"/>
      <c r="AB12" s="687"/>
      <c r="AC12" s="687"/>
      <c r="AD12" s="687"/>
      <c r="AE12" s="687"/>
      <c r="AF12" s="687"/>
      <c r="AG12" s="687"/>
      <c r="AH12" s="688"/>
      <c r="AI12" s="131"/>
      <c r="AJ12" s="680"/>
      <c r="AK12" s="680"/>
      <c r="AL12" s="143"/>
      <c r="AM12" s="686"/>
      <c r="AN12" s="687"/>
      <c r="AO12" s="687"/>
      <c r="AP12" s="687"/>
      <c r="AQ12" s="687"/>
      <c r="AR12" s="687"/>
      <c r="AS12" s="687"/>
      <c r="AT12" s="688"/>
      <c r="AU12" s="131"/>
      <c r="AV12" s="680"/>
      <c r="AW12" s="680"/>
      <c r="AX12" s="143"/>
      <c r="AY12" s="686"/>
      <c r="AZ12" s="687"/>
      <c r="BA12" s="687"/>
      <c r="BB12" s="687"/>
      <c r="BC12" s="687"/>
      <c r="BD12" s="687"/>
      <c r="BE12" s="687"/>
      <c r="BF12" s="688"/>
      <c r="BG12" s="131"/>
      <c r="BH12" s="680"/>
      <c r="BI12" s="680"/>
      <c r="BJ12" s="143"/>
      <c r="BK12" s="686"/>
      <c r="BL12" s="687"/>
      <c r="BM12" s="687"/>
      <c r="BN12" s="687"/>
      <c r="BO12" s="687"/>
      <c r="BP12" s="687"/>
      <c r="BQ12" s="687"/>
      <c r="BR12" s="688"/>
      <c r="BS12" s="131"/>
      <c r="BT12" s="680"/>
      <c r="BU12" s="680"/>
      <c r="BV12" s="143"/>
      <c r="BW12" s="686"/>
      <c r="BX12" s="687"/>
      <c r="BY12" s="687"/>
      <c r="BZ12" s="687"/>
      <c r="CA12" s="687"/>
      <c r="CB12" s="687"/>
      <c r="CC12" s="687"/>
      <c r="CD12" s="688"/>
      <c r="CE12" s="131"/>
      <c r="CF12" s="680"/>
      <c r="CG12" s="680"/>
      <c r="CH12" s="143"/>
      <c r="CI12" s="686"/>
      <c r="CJ12" s="687"/>
      <c r="CK12" s="687"/>
      <c r="CL12" s="687"/>
      <c r="CM12" s="687"/>
      <c r="CN12" s="687"/>
      <c r="CO12" s="687"/>
      <c r="CP12" s="688"/>
      <c r="CQ12" s="131"/>
      <c r="CR12" s="680"/>
      <c r="CS12" s="680"/>
      <c r="CT12" s="143"/>
      <c r="CU12" s="686"/>
      <c r="CV12" s="687"/>
      <c r="CW12" s="687"/>
      <c r="CX12" s="687"/>
      <c r="CY12" s="687"/>
      <c r="CZ12" s="687"/>
      <c r="DA12" s="687"/>
      <c r="DB12" s="688"/>
      <c r="DC12" s="131"/>
      <c r="DD12" s="680"/>
      <c r="DE12" s="680"/>
      <c r="DF12" s="143"/>
      <c r="DG12" s="686"/>
      <c r="DH12" s="687"/>
      <c r="DI12" s="687"/>
      <c r="DJ12" s="687"/>
      <c r="DK12" s="687"/>
      <c r="DL12" s="687"/>
      <c r="DM12" s="687"/>
      <c r="DN12" s="688"/>
      <c r="DO12" s="131"/>
      <c r="DP12" s="680"/>
      <c r="DQ12" s="680"/>
      <c r="DR12" s="143"/>
    </row>
    <row r="13" spans="1:122" ht="15.75" thickBot="1">
      <c r="A13" s="131"/>
      <c r="B13" s="190"/>
      <c r="C13" s="681"/>
      <c r="D13" s="681"/>
      <c r="E13" s="681"/>
      <c r="F13" s="681"/>
      <c r="G13" s="681"/>
      <c r="H13" s="681"/>
      <c r="I13" s="681"/>
      <c r="J13" s="681"/>
      <c r="K13" s="131"/>
      <c r="L13" s="680"/>
      <c r="M13" s="680"/>
      <c r="N13" s="144"/>
      <c r="O13" s="681"/>
      <c r="P13" s="681"/>
      <c r="Q13" s="681"/>
      <c r="R13" s="681"/>
      <c r="S13" s="681"/>
      <c r="T13" s="681"/>
      <c r="U13" s="681"/>
      <c r="V13" s="681"/>
      <c r="W13" s="131"/>
      <c r="X13" s="680"/>
      <c r="Y13" s="680"/>
      <c r="Z13" s="144"/>
      <c r="AA13" s="681"/>
      <c r="AB13" s="681"/>
      <c r="AC13" s="681"/>
      <c r="AD13" s="681"/>
      <c r="AE13" s="681"/>
      <c r="AF13" s="681"/>
      <c r="AG13" s="681"/>
      <c r="AH13" s="681"/>
      <c r="AI13" s="131"/>
      <c r="AJ13" s="680"/>
      <c r="AK13" s="680"/>
      <c r="AL13" s="144"/>
      <c r="AM13" s="681"/>
      <c r="AN13" s="681"/>
      <c r="AO13" s="681"/>
      <c r="AP13" s="681"/>
      <c r="AQ13" s="681"/>
      <c r="AR13" s="681"/>
      <c r="AS13" s="681"/>
      <c r="AT13" s="681"/>
      <c r="AU13" s="131"/>
      <c r="AV13" s="680"/>
      <c r="AW13" s="680"/>
      <c r="AX13" s="144"/>
      <c r="AY13" s="681"/>
      <c r="AZ13" s="681"/>
      <c r="BA13" s="681"/>
      <c r="BB13" s="681"/>
      <c r="BC13" s="681"/>
      <c r="BD13" s="681"/>
      <c r="BE13" s="681"/>
      <c r="BF13" s="681"/>
      <c r="BG13" s="131"/>
      <c r="BH13" s="680"/>
      <c r="BI13" s="680"/>
      <c r="BJ13" s="144"/>
      <c r="BK13" s="681"/>
      <c r="BL13" s="681"/>
      <c r="BM13" s="681"/>
      <c r="BN13" s="681"/>
      <c r="BO13" s="681"/>
      <c r="BP13" s="681"/>
      <c r="BQ13" s="681"/>
      <c r="BR13" s="681"/>
      <c r="BS13" s="131"/>
      <c r="BT13" s="680"/>
      <c r="BU13" s="680"/>
      <c r="BV13" s="144"/>
      <c r="BW13" s="681"/>
      <c r="BX13" s="681"/>
      <c r="BY13" s="681"/>
      <c r="BZ13" s="681"/>
      <c r="CA13" s="681"/>
      <c r="CB13" s="681"/>
      <c r="CC13" s="681"/>
      <c r="CD13" s="681"/>
      <c r="CE13" s="131"/>
      <c r="CF13" s="680"/>
      <c r="CG13" s="680"/>
      <c r="CH13" s="144"/>
      <c r="CI13" s="681"/>
      <c r="CJ13" s="681"/>
      <c r="CK13" s="681"/>
      <c r="CL13" s="681"/>
      <c r="CM13" s="681"/>
      <c r="CN13" s="681"/>
      <c r="CO13" s="681"/>
      <c r="CP13" s="681"/>
      <c r="CQ13" s="131"/>
      <c r="CR13" s="680"/>
      <c r="CS13" s="680"/>
      <c r="CT13" s="144"/>
      <c r="CU13" s="681"/>
      <c r="CV13" s="681"/>
      <c r="CW13" s="681"/>
      <c r="CX13" s="681"/>
      <c r="CY13" s="681"/>
      <c r="CZ13" s="681"/>
      <c r="DA13" s="681"/>
      <c r="DB13" s="681"/>
      <c r="DC13" s="131"/>
      <c r="DD13" s="680"/>
      <c r="DE13" s="680"/>
      <c r="DF13" s="144"/>
      <c r="DG13" s="681"/>
      <c r="DH13" s="681"/>
      <c r="DI13" s="681"/>
      <c r="DJ13" s="681"/>
      <c r="DK13" s="681"/>
      <c r="DL13" s="681"/>
      <c r="DM13" s="681"/>
      <c r="DN13" s="681"/>
      <c r="DO13" s="131"/>
      <c r="DP13" s="680"/>
      <c r="DQ13" s="680"/>
      <c r="DR13" s="144"/>
    </row>
    <row r="14" spans="1:122" ht="15.75" thickBot="1">
      <c r="A14" s="131"/>
      <c r="B14" s="131"/>
      <c r="C14" s="699">
        <f>IF('Input Nilai Ketrampilan'!F2="","",'Input Nilai Ketrampilan'!F2)</f>
        <v>41</v>
      </c>
      <c r="D14" s="700"/>
      <c r="E14" s="700"/>
      <c r="F14" s="700"/>
      <c r="G14" s="700"/>
      <c r="H14" s="700"/>
      <c r="I14" s="700"/>
      <c r="J14" s="700"/>
      <c r="K14" s="700"/>
      <c r="L14" s="700"/>
      <c r="M14" s="700"/>
      <c r="N14" s="701"/>
      <c r="O14" s="699">
        <f>IF('Input Nilai Ketrampilan'!K2="","",'Input Nilai Ketrampilan'!K2)</f>
        <v>42</v>
      </c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1"/>
      <c r="AA14" s="699">
        <f>IF('Input Nilai Ketrampilan'!P2="","",'Input Nilai Ketrampilan'!P2)</f>
        <v>43</v>
      </c>
      <c r="AB14" s="700"/>
      <c r="AC14" s="700"/>
      <c r="AD14" s="700"/>
      <c r="AE14" s="700"/>
      <c r="AF14" s="700"/>
      <c r="AG14" s="700"/>
      <c r="AH14" s="700"/>
      <c r="AI14" s="700"/>
      <c r="AJ14" s="700"/>
      <c r="AK14" s="700"/>
      <c r="AL14" s="701"/>
      <c r="AM14" s="699">
        <f>IF('Input Nilai Ketrampilan'!U2="","",'Input Nilai Ketrampilan'!U2)</f>
        <v>44</v>
      </c>
      <c r="AN14" s="700"/>
      <c r="AO14" s="700"/>
      <c r="AP14" s="700"/>
      <c r="AQ14" s="700"/>
      <c r="AR14" s="700"/>
      <c r="AS14" s="700"/>
      <c r="AT14" s="700"/>
      <c r="AU14" s="700"/>
      <c r="AV14" s="700"/>
      <c r="AW14" s="700"/>
      <c r="AX14" s="701"/>
      <c r="AY14" s="699">
        <f>IF('Input Nilai Ketrampilan'!Z2="","",'Input Nilai Ketrampilan'!Z2)</f>
        <v>45</v>
      </c>
      <c r="AZ14" s="700"/>
      <c r="BA14" s="700"/>
      <c r="BB14" s="700"/>
      <c r="BC14" s="700"/>
      <c r="BD14" s="700"/>
      <c r="BE14" s="700"/>
      <c r="BF14" s="700"/>
      <c r="BG14" s="700"/>
      <c r="BH14" s="700"/>
      <c r="BI14" s="700"/>
      <c r="BJ14" s="701"/>
      <c r="BK14" s="699">
        <f>IF('Input Nilai Ketrampilan'!AE2="","",'Input Nilai Ketrampilan'!AE2)</f>
        <v>46</v>
      </c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1"/>
      <c r="BW14" s="699">
        <f>IF('Input Nilai Ketrampilan'!AJ2="","",'Input Nilai Ketrampilan'!AJ2)</f>
        <v>47</v>
      </c>
      <c r="BX14" s="700"/>
      <c r="BY14" s="700"/>
      <c r="BZ14" s="700"/>
      <c r="CA14" s="700"/>
      <c r="CB14" s="700"/>
      <c r="CC14" s="700"/>
      <c r="CD14" s="700"/>
      <c r="CE14" s="700"/>
      <c r="CF14" s="700"/>
      <c r="CG14" s="700"/>
      <c r="CH14" s="701"/>
      <c r="CI14" s="699">
        <f>IF('Input Nilai Ketrampilan'!AO2="","",'Input Nilai Ketrampilan'!AO2)</f>
        <v>48</v>
      </c>
      <c r="CJ14" s="700"/>
      <c r="CK14" s="700"/>
      <c r="CL14" s="700"/>
      <c r="CM14" s="700"/>
      <c r="CN14" s="700"/>
      <c r="CO14" s="700"/>
      <c r="CP14" s="700"/>
      <c r="CQ14" s="700"/>
      <c r="CR14" s="700"/>
      <c r="CS14" s="700"/>
      <c r="CT14" s="701"/>
      <c r="CU14" s="699">
        <f>IF('Input Nilai Ketrampilan'!AT2="","",'Input Nilai Ketrampilan'!AT2)</f>
        <v>49</v>
      </c>
      <c r="CV14" s="700"/>
      <c r="CW14" s="700"/>
      <c r="CX14" s="700"/>
      <c r="CY14" s="700"/>
      <c r="CZ14" s="700"/>
      <c r="DA14" s="700"/>
      <c r="DB14" s="700"/>
      <c r="DC14" s="700"/>
      <c r="DD14" s="700"/>
      <c r="DE14" s="700"/>
      <c r="DF14" s="701"/>
      <c r="DG14" s="699" t="e">
        <f>IF('Input Nilai Ketrampilan'!#REF!="","",'Input Nilai Ketrampilan'!#REF!)</f>
        <v>#REF!</v>
      </c>
      <c r="DH14" s="700"/>
      <c r="DI14" s="700"/>
      <c r="DJ14" s="700"/>
      <c r="DK14" s="700"/>
      <c r="DL14" s="700"/>
      <c r="DM14" s="700"/>
      <c r="DN14" s="700"/>
      <c r="DO14" s="700"/>
      <c r="DP14" s="700"/>
      <c r="DQ14" s="700"/>
      <c r="DR14" s="701"/>
    </row>
    <row r="15" spans="1:122">
      <c r="A15" s="520" t="s">
        <v>262</v>
      </c>
      <c r="B15" s="145" t="s">
        <v>263</v>
      </c>
      <c r="C15" s="693" t="s">
        <v>264</v>
      </c>
      <c r="D15" s="695" t="s">
        <v>265</v>
      </c>
      <c r="E15" s="693" t="s">
        <v>266</v>
      </c>
      <c r="F15" s="693" t="s">
        <v>267</v>
      </c>
      <c r="G15" s="693" t="s">
        <v>268</v>
      </c>
      <c r="H15" s="693" t="s">
        <v>269</v>
      </c>
      <c r="I15" s="695" t="s">
        <v>270</v>
      </c>
      <c r="J15" s="702" t="s">
        <v>271</v>
      </c>
      <c r="K15" s="704" t="s">
        <v>272</v>
      </c>
      <c r="L15" s="704" t="s">
        <v>273</v>
      </c>
      <c r="M15" s="697" t="s">
        <v>274</v>
      </c>
      <c r="N15" s="697" t="s">
        <v>104</v>
      </c>
      <c r="O15" s="693" t="s">
        <v>264</v>
      </c>
      <c r="P15" s="695" t="s">
        <v>265</v>
      </c>
      <c r="Q15" s="693" t="s">
        <v>266</v>
      </c>
      <c r="R15" s="693" t="s">
        <v>267</v>
      </c>
      <c r="S15" s="693" t="s">
        <v>268</v>
      </c>
      <c r="T15" s="693" t="s">
        <v>269</v>
      </c>
      <c r="U15" s="695" t="s">
        <v>270</v>
      </c>
      <c r="V15" s="702" t="s">
        <v>271</v>
      </c>
      <c r="W15" s="704" t="s">
        <v>272</v>
      </c>
      <c r="X15" s="704" t="s">
        <v>273</v>
      </c>
      <c r="Y15" s="697" t="s">
        <v>274</v>
      </c>
      <c r="Z15" s="697" t="s">
        <v>104</v>
      </c>
      <c r="AA15" s="693" t="s">
        <v>264</v>
      </c>
      <c r="AB15" s="695" t="s">
        <v>265</v>
      </c>
      <c r="AC15" s="693" t="s">
        <v>266</v>
      </c>
      <c r="AD15" s="693" t="s">
        <v>267</v>
      </c>
      <c r="AE15" s="693" t="s">
        <v>268</v>
      </c>
      <c r="AF15" s="693" t="s">
        <v>269</v>
      </c>
      <c r="AG15" s="695" t="s">
        <v>270</v>
      </c>
      <c r="AH15" s="702" t="s">
        <v>271</v>
      </c>
      <c r="AI15" s="704" t="s">
        <v>272</v>
      </c>
      <c r="AJ15" s="704" t="s">
        <v>273</v>
      </c>
      <c r="AK15" s="697" t="s">
        <v>274</v>
      </c>
      <c r="AL15" s="697" t="s">
        <v>104</v>
      </c>
      <c r="AM15" s="693" t="s">
        <v>264</v>
      </c>
      <c r="AN15" s="695" t="s">
        <v>265</v>
      </c>
      <c r="AO15" s="693" t="s">
        <v>266</v>
      </c>
      <c r="AP15" s="693" t="s">
        <v>267</v>
      </c>
      <c r="AQ15" s="693" t="s">
        <v>268</v>
      </c>
      <c r="AR15" s="693" t="s">
        <v>269</v>
      </c>
      <c r="AS15" s="695" t="s">
        <v>270</v>
      </c>
      <c r="AT15" s="702" t="s">
        <v>271</v>
      </c>
      <c r="AU15" s="704" t="s">
        <v>272</v>
      </c>
      <c r="AV15" s="704" t="s">
        <v>273</v>
      </c>
      <c r="AW15" s="697" t="s">
        <v>274</v>
      </c>
      <c r="AX15" s="697" t="s">
        <v>104</v>
      </c>
      <c r="AY15" s="693" t="s">
        <v>264</v>
      </c>
      <c r="AZ15" s="695" t="s">
        <v>265</v>
      </c>
      <c r="BA15" s="693" t="s">
        <v>266</v>
      </c>
      <c r="BB15" s="693" t="s">
        <v>267</v>
      </c>
      <c r="BC15" s="693" t="s">
        <v>268</v>
      </c>
      <c r="BD15" s="693" t="s">
        <v>269</v>
      </c>
      <c r="BE15" s="695" t="s">
        <v>270</v>
      </c>
      <c r="BF15" s="702" t="s">
        <v>271</v>
      </c>
      <c r="BG15" s="704" t="s">
        <v>272</v>
      </c>
      <c r="BH15" s="704" t="s">
        <v>273</v>
      </c>
      <c r="BI15" s="697" t="s">
        <v>274</v>
      </c>
      <c r="BJ15" s="697" t="s">
        <v>104</v>
      </c>
      <c r="BK15" s="693" t="s">
        <v>264</v>
      </c>
      <c r="BL15" s="695" t="s">
        <v>265</v>
      </c>
      <c r="BM15" s="693" t="s">
        <v>266</v>
      </c>
      <c r="BN15" s="693" t="s">
        <v>267</v>
      </c>
      <c r="BO15" s="693" t="s">
        <v>268</v>
      </c>
      <c r="BP15" s="693" t="s">
        <v>269</v>
      </c>
      <c r="BQ15" s="695" t="s">
        <v>270</v>
      </c>
      <c r="BR15" s="702" t="s">
        <v>271</v>
      </c>
      <c r="BS15" s="704" t="s">
        <v>272</v>
      </c>
      <c r="BT15" s="704" t="s">
        <v>273</v>
      </c>
      <c r="BU15" s="697" t="s">
        <v>274</v>
      </c>
      <c r="BV15" s="697" t="s">
        <v>104</v>
      </c>
      <c r="BW15" s="693" t="s">
        <v>264</v>
      </c>
      <c r="BX15" s="695" t="s">
        <v>265</v>
      </c>
      <c r="BY15" s="693" t="s">
        <v>266</v>
      </c>
      <c r="BZ15" s="693" t="s">
        <v>267</v>
      </c>
      <c r="CA15" s="693" t="s">
        <v>268</v>
      </c>
      <c r="CB15" s="693" t="s">
        <v>269</v>
      </c>
      <c r="CC15" s="695" t="s">
        <v>270</v>
      </c>
      <c r="CD15" s="702" t="s">
        <v>271</v>
      </c>
      <c r="CE15" s="704" t="s">
        <v>272</v>
      </c>
      <c r="CF15" s="704" t="s">
        <v>273</v>
      </c>
      <c r="CG15" s="697" t="s">
        <v>274</v>
      </c>
      <c r="CH15" s="697" t="s">
        <v>104</v>
      </c>
      <c r="CI15" s="693" t="s">
        <v>264</v>
      </c>
      <c r="CJ15" s="695" t="s">
        <v>265</v>
      </c>
      <c r="CK15" s="693" t="s">
        <v>266</v>
      </c>
      <c r="CL15" s="693" t="s">
        <v>267</v>
      </c>
      <c r="CM15" s="693" t="s">
        <v>268</v>
      </c>
      <c r="CN15" s="693" t="s">
        <v>269</v>
      </c>
      <c r="CO15" s="695" t="s">
        <v>270</v>
      </c>
      <c r="CP15" s="702" t="s">
        <v>271</v>
      </c>
      <c r="CQ15" s="704" t="s">
        <v>272</v>
      </c>
      <c r="CR15" s="704" t="s">
        <v>273</v>
      </c>
      <c r="CS15" s="697" t="s">
        <v>274</v>
      </c>
      <c r="CT15" s="697" t="s">
        <v>104</v>
      </c>
      <c r="CU15" s="693" t="s">
        <v>264</v>
      </c>
      <c r="CV15" s="695" t="s">
        <v>265</v>
      </c>
      <c r="CW15" s="693" t="s">
        <v>266</v>
      </c>
      <c r="CX15" s="693" t="s">
        <v>267</v>
      </c>
      <c r="CY15" s="693" t="s">
        <v>268</v>
      </c>
      <c r="CZ15" s="693" t="s">
        <v>269</v>
      </c>
      <c r="DA15" s="695" t="s">
        <v>270</v>
      </c>
      <c r="DB15" s="702" t="s">
        <v>271</v>
      </c>
      <c r="DC15" s="704" t="s">
        <v>272</v>
      </c>
      <c r="DD15" s="704" t="s">
        <v>273</v>
      </c>
      <c r="DE15" s="697" t="s">
        <v>274</v>
      </c>
      <c r="DF15" s="697" t="s">
        <v>104</v>
      </c>
      <c r="DG15" s="693" t="s">
        <v>264</v>
      </c>
      <c r="DH15" s="695" t="s">
        <v>265</v>
      </c>
      <c r="DI15" s="693" t="s">
        <v>266</v>
      </c>
      <c r="DJ15" s="693" t="s">
        <v>267</v>
      </c>
      <c r="DK15" s="693" t="s">
        <v>268</v>
      </c>
      <c r="DL15" s="693" t="s">
        <v>269</v>
      </c>
      <c r="DM15" s="695" t="s">
        <v>270</v>
      </c>
      <c r="DN15" s="702" t="s">
        <v>271</v>
      </c>
      <c r="DO15" s="704" t="s">
        <v>272</v>
      </c>
      <c r="DP15" s="704" t="s">
        <v>273</v>
      </c>
      <c r="DQ15" s="697" t="s">
        <v>274</v>
      </c>
      <c r="DR15" s="697" t="s">
        <v>104</v>
      </c>
    </row>
    <row r="16" spans="1:122" ht="24.75" customHeight="1">
      <c r="A16" s="692"/>
      <c r="C16" s="694"/>
      <c r="D16" s="693"/>
      <c r="E16" s="696"/>
      <c r="F16" s="694"/>
      <c r="G16" s="694"/>
      <c r="H16" s="694"/>
      <c r="I16" s="693"/>
      <c r="J16" s="703"/>
      <c r="K16" s="705"/>
      <c r="L16" s="706"/>
      <c r="M16" s="698"/>
      <c r="N16" s="698"/>
      <c r="O16" s="694"/>
      <c r="P16" s="693"/>
      <c r="Q16" s="696"/>
      <c r="R16" s="694"/>
      <c r="S16" s="694"/>
      <c r="T16" s="694"/>
      <c r="U16" s="693"/>
      <c r="V16" s="703"/>
      <c r="W16" s="705"/>
      <c r="X16" s="706"/>
      <c r="Y16" s="698"/>
      <c r="Z16" s="698"/>
      <c r="AA16" s="694"/>
      <c r="AB16" s="693"/>
      <c r="AC16" s="696"/>
      <c r="AD16" s="694"/>
      <c r="AE16" s="694"/>
      <c r="AF16" s="694"/>
      <c r="AG16" s="693"/>
      <c r="AH16" s="703"/>
      <c r="AI16" s="705"/>
      <c r="AJ16" s="706"/>
      <c r="AK16" s="698"/>
      <c r="AL16" s="698"/>
      <c r="AM16" s="694"/>
      <c r="AN16" s="693"/>
      <c r="AO16" s="696"/>
      <c r="AP16" s="694"/>
      <c r="AQ16" s="694"/>
      <c r="AR16" s="694"/>
      <c r="AS16" s="693"/>
      <c r="AT16" s="703"/>
      <c r="AU16" s="705"/>
      <c r="AV16" s="706"/>
      <c r="AW16" s="698"/>
      <c r="AX16" s="698"/>
      <c r="AY16" s="694"/>
      <c r="AZ16" s="693"/>
      <c r="BA16" s="696"/>
      <c r="BB16" s="694"/>
      <c r="BC16" s="694"/>
      <c r="BD16" s="694"/>
      <c r="BE16" s="693"/>
      <c r="BF16" s="703"/>
      <c r="BG16" s="705"/>
      <c r="BH16" s="706"/>
      <c r="BI16" s="698"/>
      <c r="BJ16" s="698"/>
      <c r="BK16" s="694"/>
      <c r="BL16" s="693"/>
      <c r="BM16" s="696"/>
      <c r="BN16" s="694"/>
      <c r="BO16" s="694"/>
      <c r="BP16" s="694"/>
      <c r="BQ16" s="693"/>
      <c r="BR16" s="703"/>
      <c r="BS16" s="705"/>
      <c r="BT16" s="706"/>
      <c r="BU16" s="698"/>
      <c r="BV16" s="698"/>
      <c r="BW16" s="694"/>
      <c r="BX16" s="693"/>
      <c r="BY16" s="696"/>
      <c r="BZ16" s="694"/>
      <c r="CA16" s="694"/>
      <c r="CB16" s="694"/>
      <c r="CC16" s="693"/>
      <c r="CD16" s="703"/>
      <c r="CE16" s="705"/>
      <c r="CF16" s="706"/>
      <c r="CG16" s="698"/>
      <c r="CH16" s="698"/>
      <c r="CI16" s="694"/>
      <c r="CJ16" s="693"/>
      <c r="CK16" s="696"/>
      <c r="CL16" s="694"/>
      <c r="CM16" s="694"/>
      <c r="CN16" s="694"/>
      <c r="CO16" s="693"/>
      <c r="CP16" s="703"/>
      <c r="CQ16" s="705"/>
      <c r="CR16" s="706"/>
      <c r="CS16" s="698"/>
      <c r="CT16" s="698"/>
      <c r="CU16" s="694"/>
      <c r="CV16" s="693"/>
      <c r="CW16" s="696"/>
      <c r="CX16" s="694"/>
      <c r="CY16" s="694"/>
      <c r="CZ16" s="694"/>
      <c r="DA16" s="693"/>
      <c r="DB16" s="703"/>
      <c r="DC16" s="705"/>
      <c r="DD16" s="706"/>
      <c r="DE16" s="698"/>
      <c r="DF16" s="698"/>
      <c r="DG16" s="694"/>
      <c r="DH16" s="693"/>
      <c r="DI16" s="696"/>
      <c r="DJ16" s="694"/>
      <c r="DK16" s="694"/>
      <c r="DL16" s="694"/>
      <c r="DM16" s="693"/>
      <c r="DN16" s="703"/>
      <c r="DO16" s="705"/>
      <c r="DP16" s="706"/>
      <c r="DQ16" s="698"/>
      <c r="DR16" s="698"/>
    </row>
    <row r="17" spans="1:122" ht="15.7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>
        <f>'DATA SISWA'!C5</f>
        <v>0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>
        <f>'DATA SISWA'!C6</f>
        <v>0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>
        <f>'DATA SISWA'!C7</f>
        <v>0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>
        <f>'DATA SISWA'!C8</f>
        <v>0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>
        <f>'DATA SISWA'!C9</f>
        <v>0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>
        <f>'DATA SISWA'!C10</f>
        <v>0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>
        <f>'DATA SISWA'!C11</f>
        <v>0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>
        <f>'DATA SISWA'!C12</f>
        <v>0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>
        <f>'DATA SISWA'!C13</f>
        <v>0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>
        <f>'DATA SISWA'!C14</f>
        <v>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>
        <f>'DATA SISWA'!C15</f>
        <v>0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>
        <f>'DATA SISWA'!C16</f>
        <v>0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>
        <f>'DATA SISWA'!C17</f>
        <v>0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>
        <f>'DATA SISWA'!C18</f>
        <v>0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>
        <f>'DATA SISWA'!C19</f>
        <v>0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>
        <f>'DATA SISWA'!C20</f>
        <v>0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>
        <f>'DATA SISWA'!C21</f>
        <v>0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>
        <f>'DATA SISWA'!C22</f>
        <v>0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>
        <f>'DATA SISWA'!C23</f>
        <v>0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>
        <f>'DATA SISWA'!C24</f>
        <v>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>
        <f>'DATA SISWA'!C25</f>
        <v>0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>
        <f>'DATA SISWA'!C26</f>
        <v>0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>
        <f>'DATA SISWA'!C27</f>
        <v>0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>
        <f>'DATA SISWA'!C28</f>
        <v>0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>
        <f>'DATA SISWA'!C29</f>
        <v>0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>
        <f>'DATA SISWA'!C30</f>
        <v>0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>
        <f>'DATA SISWA'!C31</f>
        <v>0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>
        <f>'DATA SISWA'!C32</f>
        <v>0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>
        <f>'DATA SISWA'!C33</f>
        <v>0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>
        <f>'DATA SISWA'!C34</f>
        <v>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>
        <f>'DATA SISWA'!C35</f>
        <v>0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>
        <f>'DATA SISWA'!C36</f>
        <v>0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>
        <f>'DATA SISWA'!C37</f>
        <v>0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>
        <f>'DATA SISWA'!C38</f>
        <v>0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>
        <f>'DATA SISWA'!C39</f>
        <v>0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>
        <f>'DATA SISWA'!C40</f>
        <v>0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>
        <f>'DATA SISWA'!C41</f>
        <v>0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>
        <f>'DATA SISWA'!C42</f>
        <v>0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>
        <f>'DATA SISWA'!C43</f>
        <v>0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>
        <f>'DATA SISWA'!C44</f>
        <v>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>
        <f>'DATA SISWA'!C45</f>
        <v>0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>
        <f>'DATA SISWA'!C46</f>
        <v>0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>
        <f>'DATA SISWA'!C47</f>
        <v>0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>
        <f>'DATA SISWA'!C48</f>
        <v>0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>
        <f>'DATA SISWA'!C49</f>
        <v>0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>
        <f>'DATA SISWA'!C50</f>
        <v>0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>
        <f>'DATA SISWA'!C51</f>
        <v>0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>
        <f>'DATA SISWA'!C52</f>
        <v>0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/>
      </c>
      <c r="D67" s="73" t="str">
        <f t="shared" ref="D67:BO67" si="70">IFERROR(AVERAGE(D19:D66),"  ")</f>
        <v/>
      </c>
      <c r="E67" s="73" t="str">
        <f t="shared" si="70"/>
        <v/>
      </c>
      <c r="F67" s="73" t="str">
        <f t="shared" si="70"/>
        <v/>
      </c>
      <c r="G67" s="73" t="str">
        <f t="shared" si="70"/>
        <v/>
      </c>
      <c r="H67" s="73" t="str">
        <f t="shared" si="70"/>
        <v/>
      </c>
      <c r="I67" s="73" t="str">
        <f t="shared" si="70"/>
        <v/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/>
      </c>
      <c r="N67" s="73" t="str">
        <f t="shared" si="70"/>
        <v/>
      </c>
      <c r="O67" s="73" t="str">
        <f t="shared" si="70"/>
        <v/>
      </c>
      <c r="P67" s="73" t="str">
        <f t="shared" si="70"/>
        <v/>
      </c>
      <c r="Q67" s="73" t="str">
        <f t="shared" si="70"/>
        <v/>
      </c>
      <c r="R67" s="73" t="str">
        <f t="shared" si="70"/>
        <v/>
      </c>
      <c r="S67" s="73" t="str">
        <f t="shared" si="70"/>
        <v/>
      </c>
      <c r="T67" s="73" t="str">
        <f t="shared" si="70"/>
        <v/>
      </c>
      <c r="U67" s="73" t="str">
        <f t="shared" si="70"/>
        <v/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/>
      </c>
      <c r="Z67" s="73" t="str">
        <f t="shared" si="70"/>
        <v/>
      </c>
      <c r="AA67" s="73" t="str">
        <f t="shared" si="70"/>
        <v/>
      </c>
      <c r="AB67" s="73" t="str">
        <f t="shared" si="70"/>
        <v/>
      </c>
      <c r="AC67" s="73" t="str">
        <f t="shared" si="70"/>
        <v/>
      </c>
      <c r="AD67" s="73" t="str">
        <f t="shared" si="70"/>
        <v/>
      </c>
      <c r="AE67" s="73" t="str">
        <f t="shared" si="70"/>
        <v/>
      </c>
      <c r="AF67" s="73" t="str">
        <f t="shared" si="70"/>
        <v/>
      </c>
      <c r="AG67" s="73" t="str">
        <f t="shared" si="70"/>
        <v/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/>
      </c>
      <c r="AL67" s="73" t="str">
        <f t="shared" si="70"/>
        <v/>
      </c>
      <c r="AM67" s="73" t="str">
        <f t="shared" si="70"/>
        <v/>
      </c>
      <c r="AN67" s="73" t="str">
        <f t="shared" si="70"/>
        <v/>
      </c>
      <c r="AO67" s="73" t="str">
        <f t="shared" si="70"/>
        <v/>
      </c>
      <c r="AP67" s="73" t="str">
        <f t="shared" si="70"/>
        <v/>
      </c>
      <c r="AQ67" s="73" t="str">
        <f t="shared" si="70"/>
        <v/>
      </c>
      <c r="AR67" s="73" t="str">
        <f t="shared" si="70"/>
        <v/>
      </c>
      <c r="AS67" s="73" t="str">
        <f t="shared" si="70"/>
        <v/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/>
      </c>
      <c r="AX67" s="73" t="str">
        <f t="shared" si="70"/>
        <v/>
      </c>
      <c r="AY67" s="73" t="str">
        <f t="shared" si="70"/>
        <v/>
      </c>
      <c r="AZ67" s="73" t="str">
        <f t="shared" si="70"/>
        <v/>
      </c>
      <c r="BA67" s="73" t="str">
        <f t="shared" si="70"/>
        <v/>
      </c>
      <c r="BB67" s="73" t="str">
        <f t="shared" si="70"/>
        <v/>
      </c>
      <c r="BC67" s="73" t="str">
        <f t="shared" si="70"/>
        <v/>
      </c>
      <c r="BD67" s="73" t="str">
        <f t="shared" si="70"/>
        <v/>
      </c>
      <c r="BE67" s="73" t="str">
        <f t="shared" si="70"/>
        <v/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/>
      </c>
      <c r="BJ67" s="73" t="str">
        <f t="shared" si="70"/>
        <v/>
      </c>
      <c r="BK67" s="73" t="str">
        <f t="shared" si="70"/>
        <v/>
      </c>
      <c r="BL67" s="73" t="str">
        <f t="shared" si="70"/>
        <v/>
      </c>
      <c r="BM67" s="73" t="str">
        <f t="shared" si="70"/>
        <v/>
      </c>
      <c r="BN67" s="73" t="str">
        <f t="shared" si="70"/>
        <v/>
      </c>
      <c r="BO67" s="73" t="str">
        <f t="shared" si="70"/>
        <v/>
      </c>
      <c r="BP67" s="73" t="str">
        <f t="shared" ref="BP67:DR67" si="71">IFERROR(AVERAGE(BP19:BP66),"  ")</f>
        <v/>
      </c>
      <c r="BQ67" s="73" t="str">
        <f t="shared" si="71"/>
        <v/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/>
      </c>
      <c r="BV67" s="73" t="str">
        <f t="shared" si="71"/>
        <v/>
      </c>
      <c r="BW67" s="73" t="str">
        <f t="shared" si="71"/>
        <v/>
      </c>
      <c r="BX67" s="73" t="str">
        <f t="shared" si="71"/>
        <v/>
      </c>
      <c r="BY67" s="73" t="str">
        <f t="shared" si="71"/>
        <v/>
      </c>
      <c r="BZ67" s="73" t="str">
        <f t="shared" si="71"/>
        <v/>
      </c>
      <c r="CA67" s="73" t="str">
        <f t="shared" si="71"/>
        <v/>
      </c>
      <c r="CB67" s="73" t="str">
        <f t="shared" si="71"/>
        <v/>
      </c>
      <c r="CC67" s="73" t="str">
        <f t="shared" si="71"/>
        <v/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/>
      </c>
      <c r="CH67" s="73" t="str">
        <f t="shared" si="71"/>
        <v/>
      </c>
      <c r="CI67" s="73" t="str">
        <f t="shared" si="71"/>
        <v/>
      </c>
      <c r="CJ67" s="73" t="str">
        <f t="shared" si="71"/>
        <v/>
      </c>
      <c r="CK67" s="73" t="str">
        <f t="shared" si="71"/>
        <v/>
      </c>
      <c r="CL67" s="73" t="str">
        <f t="shared" si="71"/>
        <v/>
      </c>
      <c r="CM67" s="73" t="str">
        <f t="shared" si="71"/>
        <v/>
      </c>
      <c r="CN67" s="73" t="str">
        <f t="shared" si="71"/>
        <v/>
      </c>
      <c r="CO67" s="73" t="str">
        <f t="shared" si="71"/>
        <v/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/>
      </c>
      <c r="CT67" s="73" t="str">
        <f t="shared" si="71"/>
        <v/>
      </c>
      <c r="CU67" s="73" t="str">
        <f t="shared" si="71"/>
        <v/>
      </c>
      <c r="CV67" s="73" t="str">
        <f t="shared" si="71"/>
        <v/>
      </c>
      <c r="CW67" s="73" t="str">
        <f t="shared" si="71"/>
        <v/>
      </c>
      <c r="CX67" s="73" t="str">
        <f t="shared" si="71"/>
        <v/>
      </c>
      <c r="CY67" s="73" t="str">
        <f t="shared" si="71"/>
        <v/>
      </c>
      <c r="CZ67" s="73" t="str">
        <f t="shared" si="71"/>
        <v/>
      </c>
      <c r="DA67" s="73" t="str">
        <f t="shared" si="71"/>
        <v/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/>
      </c>
      <c r="DF67" s="73" t="str">
        <f t="shared" si="71"/>
        <v/>
      </c>
      <c r="DG67" s="73" t="str">
        <f t="shared" si="71"/>
        <v/>
      </c>
      <c r="DH67" s="73" t="str">
        <f t="shared" si="71"/>
        <v/>
      </c>
      <c r="DI67" s="73" t="str">
        <f t="shared" si="71"/>
        <v/>
      </c>
      <c r="DJ67" s="73" t="str">
        <f t="shared" si="71"/>
        <v/>
      </c>
      <c r="DK67" s="73" t="str">
        <f t="shared" si="71"/>
        <v/>
      </c>
      <c r="DL67" s="73" t="str">
        <f t="shared" si="71"/>
        <v/>
      </c>
      <c r="DM67" s="73" t="str">
        <f t="shared" si="71"/>
        <v/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/>
      </c>
      <c r="DR67" s="73" t="str">
        <f t="shared" si="71"/>
        <v/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5" t="s">
        <v>426</v>
      </c>
      <c r="C1" s="726"/>
      <c r="D1" s="726"/>
      <c r="E1" s="726"/>
      <c r="F1" s="726"/>
      <c r="G1" s="726"/>
      <c r="H1" s="726"/>
      <c r="I1" s="726"/>
      <c r="J1" s="726"/>
      <c r="K1" s="726"/>
      <c r="L1" s="727"/>
      <c r="M1" s="42"/>
    </row>
    <row r="2" spans="1:13" ht="15.75" thickBot="1">
      <c r="A2" s="41"/>
      <c r="B2" s="728"/>
      <c r="C2" s="729"/>
      <c r="D2" s="729"/>
      <c r="E2" s="729"/>
      <c r="F2" s="729"/>
      <c r="G2" s="729"/>
      <c r="H2" s="729"/>
      <c r="I2" s="729"/>
      <c r="J2" s="729"/>
      <c r="K2" s="729"/>
      <c r="L2" s="730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2" t="str">
        <f>menu!D13</f>
        <v>MATEMATIKA</v>
      </c>
      <c r="D4" s="672"/>
      <c r="E4" s="672"/>
      <c r="F4" s="672"/>
      <c r="G4" s="724" t="s">
        <v>246</v>
      </c>
      <c r="H4" s="724"/>
      <c r="I4" s="674"/>
      <c r="J4" s="674"/>
      <c r="L4" s="267" t="s">
        <v>247</v>
      </c>
      <c r="M4" s="266"/>
    </row>
    <row r="5" spans="1:13" ht="16.5">
      <c r="A5" s="41"/>
      <c r="B5" s="45" t="s">
        <v>248</v>
      </c>
      <c r="C5" s="677" t="str">
        <f>menu!D14</f>
        <v>VII-A</v>
      </c>
      <c r="D5" s="672"/>
      <c r="E5" s="47"/>
      <c r="F5" s="724" t="s">
        <v>249</v>
      </c>
      <c r="G5" s="724"/>
      <c r="H5" s="724"/>
      <c r="I5" s="678"/>
      <c r="J5" s="678"/>
      <c r="K5" s="230"/>
      <c r="L5" s="46">
        <f>menu!D19</f>
        <v>0</v>
      </c>
      <c r="M5" s="42"/>
    </row>
    <row r="6" spans="1:13">
      <c r="A6" s="41"/>
      <c r="B6" s="48" t="s">
        <v>251</v>
      </c>
      <c r="C6" s="682" t="s">
        <v>427</v>
      </c>
      <c r="D6" s="682"/>
      <c r="E6" s="682"/>
      <c r="F6" s="682"/>
      <c r="G6" s="682"/>
      <c r="H6" s="682"/>
      <c r="I6" s="682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3" t="s">
        <v>253</v>
      </c>
      <c r="D8" s="723"/>
      <c r="E8" s="723"/>
      <c r="F8" s="723"/>
      <c r="G8" s="723"/>
      <c r="H8" s="723"/>
      <c r="I8" s="723"/>
      <c r="J8" s="723"/>
      <c r="K8" s="289" t="s">
        <v>254</v>
      </c>
      <c r="L8" s="77"/>
    </row>
    <row r="9" spans="1:13">
      <c r="A9" s="41"/>
      <c r="B9" s="52" t="s">
        <v>255</v>
      </c>
      <c r="C9" s="716"/>
      <c r="D9" s="716"/>
      <c r="E9" s="716"/>
      <c r="F9" s="716"/>
      <c r="G9" s="716"/>
      <c r="H9" s="716"/>
      <c r="I9" s="716"/>
      <c r="J9" s="716"/>
      <c r="K9" s="290" t="s">
        <v>255</v>
      </c>
      <c r="L9" s="79"/>
    </row>
    <row r="10" spans="1:13">
      <c r="A10" s="41"/>
      <c r="B10" s="52" t="s">
        <v>256</v>
      </c>
      <c r="C10" s="722"/>
      <c r="D10" s="722"/>
      <c r="E10" s="722"/>
      <c r="F10" s="722"/>
      <c r="G10" s="722"/>
      <c r="H10" s="722"/>
      <c r="I10" s="722"/>
      <c r="J10" s="722"/>
      <c r="K10" s="290" t="s">
        <v>256</v>
      </c>
      <c r="L10" s="81"/>
    </row>
    <row r="11" spans="1:13">
      <c r="A11" s="41"/>
      <c r="B11" s="52" t="s">
        <v>257</v>
      </c>
      <c r="C11" s="716"/>
      <c r="D11" s="716"/>
      <c r="E11" s="716"/>
      <c r="F11" s="716"/>
      <c r="G11" s="716"/>
      <c r="H11" s="716"/>
      <c r="I11" s="716"/>
      <c r="J11" s="716"/>
      <c r="K11" s="290" t="s">
        <v>257</v>
      </c>
      <c r="L11" s="79"/>
    </row>
    <row r="12" spans="1:13">
      <c r="A12" s="41"/>
      <c r="B12" s="52" t="s">
        <v>258</v>
      </c>
      <c r="C12" s="722"/>
      <c r="D12" s="722"/>
      <c r="E12" s="722"/>
      <c r="F12" s="722"/>
      <c r="G12" s="722"/>
      <c r="H12" s="722"/>
      <c r="I12" s="722"/>
      <c r="J12" s="722"/>
      <c r="K12" s="291" t="s">
        <v>258</v>
      </c>
      <c r="L12" s="83"/>
    </row>
    <row r="13" spans="1:13">
      <c r="A13" s="41"/>
      <c r="B13" s="52" t="s">
        <v>259</v>
      </c>
      <c r="C13" s="716"/>
      <c r="D13" s="716"/>
      <c r="E13" s="716"/>
      <c r="F13" s="716"/>
      <c r="G13" s="716"/>
      <c r="H13" s="716"/>
      <c r="I13" s="716"/>
      <c r="J13" s="716"/>
      <c r="K13" s="290" t="s">
        <v>259</v>
      </c>
      <c r="L13" s="79"/>
      <c r="M13" s="53"/>
    </row>
    <row r="14" spans="1:13">
      <c r="A14" s="41"/>
      <c r="B14" s="52" t="s">
        <v>260</v>
      </c>
      <c r="C14" s="722"/>
      <c r="D14" s="722"/>
      <c r="E14" s="722"/>
      <c r="F14" s="722"/>
      <c r="G14" s="722"/>
      <c r="H14" s="722"/>
      <c r="I14" s="722"/>
      <c r="J14" s="722"/>
      <c r="K14" s="290" t="s">
        <v>260</v>
      </c>
      <c r="L14" s="81"/>
      <c r="M14" s="53"/>
    </row>
    <row r="15" spans="1:13">
      <c r="A15" s="41"/>
      <c r="B15" s="52" t="s">
        <v>261</v>
      </c>
      <c r="C15" s="716"/>
      <c r="D15" s="716"/>
      <c r="E15" s="716"/>
      <c r="F15" s="716"/>
      <c r="G15" s="716"/>
      <c r="H15" s="716"/>
      <c r="I15" s="716"/>
      <c r="J15" s="716"/>
      <c r="K15" s="291" t="s">
        <v>261</v>
      </c>
      <c r="L15" s="292"/>
      <c r="M15" s="53"/>
    </row>
    <row r="16" spans="1:13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8" t="s">
        <v>262</v>
      </c>
      <c r="B18" s="56" t="s">
        <v>263</v>
      </c>
      <c r="C18" s="709" t="s">
        <v>264</v>
      </c>
      <c r="D18" s="710" t="s">
        <v>265</v>
      </c>
      <c r="E18" s="709" t="s">
        <v>266</v>
      </c>
      <c r="F18" s="709" t="s">
        <v>267</v>
      </c>
      <c r="G18" s="709" t="s">
        <v>268</v>
      </c>
      <c r="H18" s="709" t="s">
        <v>269</v>
      </c>
      <c r="I18" s="710" t="s">
        <v>270</v>
      </c>
      <c r="J18" s="712" t="s">
        <v>271</v>
      </c>
      <c r="K18" s="714" t="s">
        <v>272</v>
      </c>
      <c r="L18" s="707" t="s">
        <v>104</v>
      </c>
      <c r="M18" s="57"/>
    </row>
    <row r="19" spans="1:13" ht="24.75" customHeight="1">
      <c r="A19" s="719"/>
      <c r="B19" s="42"/>
      <c r="C19" s="709"/>
      <c r="D19" s="711"/>
      <c r="E19" s="721"/>
      <c r="F19" s="709"/>
      <c r="G19" s="709"/>
      <c r="H19" s="709"/>
      <c r="I19" s="711"/>
      <c r="J19" s="713"/>
      <c r="K19" s="715"/>
      <c r="L19" s="708"/>
      <c r="M19" s="42"/>
    </row>
    <row r="20" spans="1:13" ht="15.7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>
        <f>'DATA SISWA'!C5</f>
        <v>0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>
        <f>'DATA SISWA'!C6</f>
        <v>0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>
        <f>'DATA SISWA'!C7</f>
        <v>0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>
        <f>'DATA SISWA'!C8</f>
        <v>0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>
        <f>'DATA SISWA'!C9</f>
        <v>0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>
        <f>'DATA SISWA'!C10</f>
        <v>0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>
        <f>'DATA SISWA'!C11</f>
        <v>0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>
        <f>'DATA SISWA'!C12</f>
        <v>0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>
        <f>'DATA SISWA'!C13</f>
        <v>0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>
        <f>'DATA SISWA'!C14</f>
        <v>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>
        <f>'DATA SISWA'!C15</f>
        <v>0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>
        <f>'DATA SISWA'!C16</f>
        <v>0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>
        <f>'DATA SISWA'!C17</f>
        <v>0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>
        <f>'DATA SISWA'!C18</f>
        <v>0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>
        <f>'DATA SISWA'!C19</f>
        <v>0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>
        <f>'DATA SISWA'!C20</f>
        <v>0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>
        <f>'DATA SISWA'!C21</f>
        <v>0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>
        <f>'DATA SISWA'!C22</f>
        <v>0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>
        <f>'DATA SISWA'!C23</f>
        <v>0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>
        <f>'DATA SISWA'!C24</f>
        <v>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>
        <f>'DATA SISWA'!C25</f>
        <v>0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>
        <f>'DATA SISWA'!C26</f>
        <v>0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>
        <f>'DATA SISWA'!C27</f>
        <v>0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>
        <f>'DATA SISWA'!C28</f>
        <v>0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>
        <f>'DATA SISWA'!C29</f>
        <v>0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>
        <f>'DATA SISWA'!C30</f>
        <v>0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>
        <f>'DATA SISWA'!C31</f>
        <v>0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>
        <f>'DATA SISWA'!C32</f>
        <v>0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>
        <f>'DATA SISWA'!C33</f>
        <v>0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>
        <f>'DATA SISWA'!C34</f>
        <v>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>
        <f>'DATA SISWA'!C35</f>
        <v>0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>
        <f>'DATA SISWA'!C36</f>
        <v>0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>
        <f>'DATA SISWA'!C37</f>
        <v>0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>
        <f>'DATA SISWA'!C38</f>
        <v>0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>
        <f>'DATA SISWA'!C39</f>
        <v>0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>
        <f>'DATA SISWA'!C40</f>
        <v>0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>
        <f>'DATA SISWA'!C41</f>
        <v>0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>
        <f>'DATA SISWA'!C42</f>
        <v>0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>
        <f>'DATA SISWA'!C43</f>
        <v>0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>
        <f>'DATA SISWA'!C44</f>
        <v>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>
        <f>'DATA SISWA'!C45</f>
        <v>0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>
        <f>'DATA SISWA'!C46</f>
        <v>0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>
        <f>'DATA SISWA'!C47</f>
        <v>0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>
        <f>'DATA SISWA'!C48</f>
        <v>0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>
        <f>'DATA SISWA'!C49</f>
        <v>0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>
        <f>'DATA SISWA'!C50</f>
        <v>0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>
        <f>'DATA SISWA'!C51</f>
        <v>0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>
        <f>'DATA SISWA'!C52</f>
        <v>0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/>
      </c>
      <c r="D70" s="73" t="str">
        <f t="shared" si="0"/>
        <v/>
      </c>
      <c r="E70" s="73" t="str">
        <f t="shared" si="0"/>
        <v/>
      </c>
      <c r="F70" s="73" t="str">
        <f t="shared" si="0"/>
        <v/>
      </c>
      <c r="G70" s="73" t="str">
        <f t="shared" si="0"/>
        <v/>
      </c>
      <c r="H70" s="73" t="str">
        <f t="shared" si="0"/>
        <v/>
      </c>
      <c r="I70" s="73" t="str">
        <f t="shared" si="0"/>
        <v/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2018-02-04T01:50:13Z</dcterms:modified>
</cp:coreProperties>
</file>