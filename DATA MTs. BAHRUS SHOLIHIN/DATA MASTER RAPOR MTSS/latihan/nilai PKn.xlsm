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30" i="31" l="1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X48" i="6" s="1"/>
  <c r="CK11" i="44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CJ3" i="45"/>
  <c r="CK3" s="1"/>
  <c r="BD48" i="8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BJ48" i="8" l="1"/>
  <c r="BJ49"/>
  <c r="Y46" i="30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J47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5" i="8"/>
  <c r="I54" i="31" s="1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CX10" i="6" s="1"/>
  <c r="M8" i="44"/>
  <c r="M7"/>
  <c r="O12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U11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AY9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14" i="6" l="1"/>
  <c r="CW29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F39" i="31" s="1"/>
  <c r="CR38" i="6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E28" i="31" s="1"/>
  <c r="CS7" i="6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F44" i="31" s="1"/>
  <c r="CR35" i="6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D33"/>
  <c r="D50"/>
  <c r="E50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<sst xmlns="http://schemas.openxmlformats.org/spreadsheetml/2006/main" count="2365" uniqueCount="576">
  <si>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</si>
  <si>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</si>
  <si>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</si>
  <si>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</si>
  <si>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</si>
  <si>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</si>
  <si>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</si>
  <si>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</si>
  <si>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</si>
  <si>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</si>
  <si>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</si>
  <si>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</si>
  <si>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</si>
  <si>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</si>
  <si>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</si>
  <si>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</si>
  <si>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</si>
  <si>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</si>
  <si>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</si>
  <si>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</si>
  <si>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</si>
  <si>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</si>
  <si>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</si>
  <si>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</si>
  <si>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</si>
  <si>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</si>
  <si>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</si>
  <si>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</si>
  <si>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</si>
  <si>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</si>
  <si>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</si>
  <si>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</si>
  <si>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</si>
  <si>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</si>
  <si>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</si>
  <si>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</si>
  <si>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</si>
  <si>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</si>
  <si>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</si>
  <si>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</si>
  <si>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</si>
  <si>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</si>
  <si>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</si>
  <si>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</si>
  <si>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</si>
  <si>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</si>
  <si>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</si>
  <si>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</si>
  <si>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</si>
  <si>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</si>
  <si>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</si>
  <si>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</si>
  <si>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</si>
  <si>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</si>
  <si>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</si>
  <si>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</si>
  <si>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</si>
  <si>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</si>
  <si>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</si>
  <si>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</si>
  <si>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</si>
  <si>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</si>
  <si>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</si>
  <si>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</si>
  <si>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</si>
  <si>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</si>
  <si>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</si>
  <si>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</si>
  <si>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</si>
  <si>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</si>
  <si>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</si>
  <si>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</si>
  <si>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</si>
  <si>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</si>
  <si>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</si>
  <si>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</si>
  <si>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</si>
  <si>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</si>
  <si>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</si>
  <si>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</si>
  <si>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</si>
  <si>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</si>
  <si>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</si>
  <si>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</si>
  <si>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</si>
  <si>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</si>
  <si>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</si>
  <si>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</si>
  <si>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</si>
  <si>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</si>
  <si>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</si>
  <si>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</si>
  <si>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</si>
  <si>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</si>
  <si>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</si>
  <si>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</si>
  <si>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</si>
  <si>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</si>
  <si>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</si>
  <si>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</si>
  <si>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</si>
  <si>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</si>
  <si>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</si>
  <si>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</si>
  <si>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</si>
  <si>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</si>
  <si>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</si>
  <si>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</si>
  <si>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</si>
  <si>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</si>
  <si>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</si>
  <si>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</si>
  <si>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</si>
  <si>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</si>
  <si>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</si>
  <si>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</si>
  <si>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</si>
  <si>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</si>
  <si>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</si>
  <si>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</si>
  <si>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</si>
  <si>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</si>
  <si>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</si>
  <si>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</si>
  <si>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</si>
  <si>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</si>
  <si>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</si>
  <si>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</si>
  <si>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</si>
  <si>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</si>
  <si>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</si>
  <si>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</si>
  <si>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</si>
  <si>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</si>
  <si>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</si>
  <si>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</si>
  <si>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</si>
  <si>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</si>
  <si>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</si>
  <si>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</si>
  <si>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</si>
  <si>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</si>
  <si>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</si>
  <si>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</si>
  <si>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</si>
  <si>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</si>
  <si>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</si>
  <si>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</si>
  <si>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</si>
  <si>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</si>
  <si>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</si>
  <si>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</si>
  <si>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</si>
  <si>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</si>
  <si>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</si>
  <si>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</si>
  <si>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</si>
  <si>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</si>
  <si>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</si>
  <si>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</si>
  <si>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</si>
  <si>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</si>
  <si>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</si>
  <si>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</si>
  <si>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</si>
  <si>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</si>
  <si>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</si>
  <si>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</si>
  <si>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</si>
  <si>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</si>
  <si>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</si>
  <si>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</si>
  <si>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</si>
  <si>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</si>
  <si>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</si>
  <si>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</si>
  <si>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</si>
  <si>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</si>
  <si>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</si>
  <si>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</si>
  <si>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</si>
  <si>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</si>
  <si>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</si>
  <si>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</si>
  <si>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</si>
  <si>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</si>
  <si>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</si>
  <si>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</si>
  <si>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</si>
  <si>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</si>
  <si>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</si>
  <si>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</si>
  <si>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</si>
  <si>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</si>
  <si>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</si>
  <si>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</si>
  <si>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</si>
  <si>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</si>
  <si>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</si>
  <si>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</si>
  <si>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</si>
  <si>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</si>
  <si>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</si>
  <si>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</si>
  <si>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</si>
  <si>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</si>
  <si>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</si>
  <si>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</si>
  <si>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</si>
  <si>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</si>
  <si>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</si>
  <si>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</si>
  <si>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</si>
  <si>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</si>
  <si>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</si>
  <si>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</si>
  <si>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</si>
  <si>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</si>
  <si>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</si>
  <si>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</si>
  <si>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</si>
  <si>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</si>
  <si>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</si>
  <si>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</si>
  <si>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</si>
  <si>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</si>
  <si>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</si>
  <si>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</si>
  <si>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</si>
  <si>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</si>
  <si>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</si>
  <si>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</si>
  <si>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</si>
  <si>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</si>
  <si>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</si>
  <si>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</si>
  <si>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</si>
  <si>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</si>
  <si>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</si>
  <si>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</si>
  <si>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</si>
  <si>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</si>
  <si>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</si>
  <si>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</si>
  <si>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</si>
  <si>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</si>
  <si>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</si>
  <si>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</si>
  <si>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</si>
  <si>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</si>
  <si>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</si>
  <si>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</si>
  <si>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</si>
  <si>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</si>
  <si>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</si>
  <si>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</si>
  <si>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</si>
  <si>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</si>
  <si>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</si>
  <si>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</si>
  <si>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</si>
  <si>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</si>
  <si>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</si>
  <si>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</si>
  <si>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</si>
  <si>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</si>
  <si>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</si>
  <si>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</si>
  <si>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</si>
  <si>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</si>
  <si>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</si>
  <si>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</si>
  <si>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</si>
  <si>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</si>
  <si>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</si>
  <si>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</si>
  <si>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</si>
  <si>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</si>
  <si>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</si>
  <si>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</si>
  <si>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</si>
  <si>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</si>
  <si>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</si>
  <si>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</si>
  <si>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</si>
  <si>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</si>
  <si>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</si>
  <si>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</si>
  <si>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</si>
  <si>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</si>
  <si>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</si>
  <si>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</si>
  <si>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</si>
  <si>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</si>
  <si>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</si>
  <si>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</si>
  <si>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</si>
  <si>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</si>
  <si>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</si>
  <si>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</si>
  <si>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</si>
  <si>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</si>
  <si>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</si>
  <si>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</si>
  <si>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</si>
  <si>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</si>
  <si>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</si>
  <si>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</si>
  <si>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</si>
  <si>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</si>
  <si>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</si>
  <si>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</si>
  <si>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</si>
  <si>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</si>
  <si>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</si>
  <si>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</si>
  <si>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</si>
  <si>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</si>
  <si>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</si>
  <si>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</si>
  <si>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</si>
  <si>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</si>
  <si>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</si>
  <si>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</si>
  <si>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</si>
  <si>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</si>
  <si>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</si>
  <si>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</si>
  <si>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</si>
  <si>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</si>
  <si>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</si>
  <si>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</si>
  <si>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</si>
  <si>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</si>
  <si>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</si>
  <si>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</si>
  <si>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</si>
  <si>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</si>
  <si>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</si>
  <si>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</si>
  <si>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</si>
  <si>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</si>
  <si>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</si>
  <si>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</si>
  <si>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</si>
  <si>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</si>
  <si>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</si>
  <si>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</si>
  <si>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</si>
  <si>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</si>
  <si>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</si>
  <si>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</si>
  <si>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</si>
  <si>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</si>
  <si>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</si>
  <si>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</si>
  <si>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</si>
  <si>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</si>
  <si>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</si>
  <si>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</si>
  <si>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</si>
  <si>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</si>
  <si>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</si>
  <si>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</si>
  <si>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</si>
  <si>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</si>
  <si>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</si>
  <si>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</si>
  <si>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</si>
  <si>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</si>
  <si>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</si>
  <si>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</si>
  <si>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</si>
  <si>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</si>
  <si>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</si>
  <si>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</si>
  <si>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</si>
  <si>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</si>
  <si>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</si>
  <si>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</si>
  <si>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</si>
  <si>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</si>
  <si>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</si>
  <si>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</si>
  <si>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</si>
  <si>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</si>
  <si>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</si>
  <si>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</si>
  <si>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</si>
  <si>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</si>
  <si>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</si>
  <si>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</si>
  <si>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</si>
  <si>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</si>
  <si>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</si>
  <si>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</si>
  <si>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</si>
  <si>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</si>
  <si>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</si>
  <si>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</si>
  <si>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</si>
  <si>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</si>
  <si>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</si>
  <si>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</si>
  <si>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</si>
  <si>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</si>
  <si>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</si>
  <si>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</si>
  <si>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</si>
  <si>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</si>
  <si>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</si>
  <si>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</si>
  <si>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</si>
  <si>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</si>
  <si>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</si>
  <si>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</si>
  <si>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</si>
  <si>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</si>
  <si>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</si>
  <si>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</si>
  <si>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</si>
  <si>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</si>
  <si>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</si>
  <si>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</si>
  <si>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</si>
  <si>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</si>
  <si>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</si>
  <si>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</si>
  <si>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</si>
  <si>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</si>
  <si>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</si>
  <si>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</si>
  <si>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</si>
  <si>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</si>
  <si>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</si>
  <si>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</si>
  <si>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</si>
  <si>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</si>
  <si>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</si>
  <si>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</si>
  <si>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</si>
  <si>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</si>
  <si>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</si>
  <si>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</si>
  <si>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</si>
  <si>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</si>
  <si>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</si>
  <si>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</si>
  <si>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</si>
  <si>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</si>
  <si>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</si>
  <si>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</si>
  <si>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</si>
  <si>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</si>
  <si>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</si>
  <si>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</si>
  <si>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</si>
  <si>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</si>
  <si>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</si>
  <si>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</si>
  <si>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</si>
  <si>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</si>
  <si>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</si>
  <si>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</si>
  <si>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</si>
  <si>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</si>
  <si>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</si>
  <si>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</si>
  <si>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</si>
  <si>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</si>
  <si>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</si>
  <si>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</si>
  <si>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</si>
  <si>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</si>
  <si>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</si>
  <si>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</si>
  <si>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</si>
  <si>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</si>
  <si>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</si>
  <si>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</si>
  <si>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</si>
  <si>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</si>
  <si>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</si>
  <si>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</si>
  <si>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</si>
  <si>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</si>
  <si>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</si>
  <si>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</si>
  <si>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</si>
  <si>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</si>
  <si>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</si>
  <si>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</si>
  <si>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</si>
  <si>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</si>
  <si>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</si>
  <si>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</si>
  <si>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</si>
  <si>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</si>
  <si>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</si>
  <si>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</si>
  <si>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</si>
  <si>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</si>
  <si>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</si>
  <si>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</si>
  <si>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</si>
  <si>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</si>
  <si>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</si>
  <si>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</si>
  <si>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</si>
  <si>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</si>
  <si>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</si>
  <si>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</si>
  <si>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</si>
  <si>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</si>
  <si>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</si>
  <si>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</si>
  <si>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</si>
  <si>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</si>
  <si>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</si>
  <si>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</si>
  <si>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</si>
  <si>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</si>
  <si>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</si>
  <si>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</si>
  <si>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</si>
  <si>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</si>
  <si>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</si>
  <si>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</si>
  <si>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</si>
  <si>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</si>
  <si>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</si>
  <si>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</si>
  <si>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</si>
  <si>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</si>
  <si>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</si>
  <si>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</si>
  <si>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</si>
  <si>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</si>
  <si>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</si>
  <si>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</si>
  <si>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</si>
  <si>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</si>
  <si>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</si>
  <si>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</si>
  <si>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</si>
  <si>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</si>
  <si>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</si>
  <si>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</si>
  <si>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</si>
  <si>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</si>
  <si>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</si>
  <si>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</si>
  <si>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</si>
  <si>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</si>
  <si>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</si>
  <si>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pkn</t>
  </si>
  <si>
    <t>pengetahuan Pkn 1</t>
  </si>
  <si>
    <t>pengetahuan Pkn 2</t>
  </si>
  <si>
    <t>pengetahuan Pkn 3</t>
  </si>
  <si>
    <t>pengetahuan Pkn 4</t>
  </si>
  <si>
    <t>pengetahuan Pkn 5</t>
  </si>
  <si>
    <t>pengetahuan Pkn 6</t>
  </si>
  <si>
    <t>pengetahuan Pkn 7</t>
  </si>
  <si>
    <t>pengetahuan Pkn 8</t>
  </si>
  <si>
    <t>pengetahuan Pkn 9</t>
  </si>
  <si>
    <t>pengetahuan Pkn 10</t>
  </si>
  <si>
    <t>ketrampilan Pkn 1</t>
  </si>
  <si>
    <t>ketrampilan Pkn 2</t>
  </si>
  <si>
    <t>ketrampilan Pkn 3</t>
  </si>
  <si>
    <t>ketrampilan Pkn 4</t>
  </si>
  <si>
    <t>ketrampilan Pkn 5</t>
  </si>
  <si>
    <t>ketrampilan Pkn 6</t>
  </si>
  <si>
    <t>ketrampilan Pkn 7</t>
  </si>
  <si>
    <t>ketrampilan Pkn 8</t>
  </si>
  <si>
    <t>ketrampilan Pkn 9</t>
  </si>
  <si>
    <t>ketrampilan Pkn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</si>
</sst>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1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2" customWidth="1"/>
    <col min="18" max="18" width="16.28515625" style="472" customWidth="1"/>
    <col min="19" max="19" width="39.42578125" style="472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9" t="s">
        <v>428</v>
      </c>
      <c r="F1" s="459"/>
      <c r="G1" s="459"/>
      <c r="H1" s="459"/>
      <c r="I1" s="459"/>
      <c r="J1" s="459"/>
      <c r="K1" s="459"/>
      <c r="L1" s="459"/>
      <c r="M1" s="459"/>
      <c r="N1" s="460"/>
      <c r="O1" s="433" t="s">
        <v>303</v>
      </c>
      <c r="P1" s="434"/>
      <c r="Q1" s="434"/>
      <c r="R1" s="439">
        <v>80</v>
      </c>
      <c r="S1" s="439"/>
    </row>
    <row r="2" spans="1:19" ht="32.25" customHeight="1" thickBot="1">
      <c r="B2" s="402"/>
      <c r="C2" s="403"/>
      <c r="D2" s="404"/>
      <c r="E2" s="468" t="s">
        <v>488</v>
      </c>
      <c r="F2" s="469"/>
      <c r="G2" s="469"/>
      <c r="H2" s="469"/>
      <c r="I2" s="469"/>
      <c r="J2" s="469"/>
      <c r="K2" s="469"/>
      <c r="L2" s="469"/>
      <c r="M2" s="469"/>
      <c r="N2" s="470"/>
      <c r="O2" s="433"/>
      <c r="P2" s="434"/>
      <c r="Q2" s="434"/>
      <c r="R2" s="439"/>
      <c r="S2" s="439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3"/>
      <c r="P3" s="434"/>
      <c r="Q3" s="434"/>
      <c r="R3" s="440"/>
      <c r="S3" s="440"/>
    </row>
    <row r="4" spans="1:19" ht="20.25" customHeight="1">
      <c r="B4" s="461" t="s">
        <v>470</v>
      </c>
      <c r="C4" s="462"/>
      <c r="D4" s="462"/>
      <c r="E4" s="463"/>
      <c r="F4" s="337"/>
      <c r="G4" s="383"/>
      <c r="H4" s="384"/>
      <c r="I4" s="384"/>
      <c r="J4" s="384"/>
      <c r="K4" s="384"/>
      <c r="L4" s="384"/>
      <c r="M4" s="384"/>
      <c r="N4" s="384"/>
      <c r="O4" s="436" t="s">
        <v>486</v>
      </c>
      <c r="P4" s="437"/>
      <c r="Q4" s="437"/>
      <c r="R4" s="437"/>
      <c r="S4" s="438"/>
    </row>
    <row r="5" spans="1:19" ht="20.25" customHeight="1">
      <c r="A5" s="318"/>
      <c r="B5" s="464"/>
      <c r="C5" s="465"/>
      <c r="D5" s="465"/>
      <c r="E5" s="466"/>
      <c r="F5" s="338"/>
      <c r="G5" s="385"/>
      <c r="H5" s="467"/>
      <c r="I5" s="467"/>
      <c r="J5" s="467"/>
      <c r="K5" s="467"/>
      <c r="L5" s="467"/>
      <c r="M5" s="467"/>
      <c r="N5" s="386"/>
      <c r="O5" s="435" t="s">
        <v>476</v>
      </c>
      <c r="P5" s="435"/>
      <c r="Q5" s="435"/>
      <c r="R5" s="356" t="s">
        <v>477</v>
      </c>
      <c r="S5" s="356" t="s">
        <v>453</v>
      </c>
    </row>
    <row r="6" spans="1:19" ht="20.25" customHeight="1">
      <c r="A6" s="318"/>
      <c r="B6" s="464"/>
      <c r="C6" s="465"/>
      <c r="D6" s="465"/>
      <c r="E6" s="466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4"/>
      <c r="C7" s="465"/>
      <c r="D7" s="465"/>
      <c r="E7" s="466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4"/>
      <c r="C8" s="465"/>
      <c r="D8" s="465"/>
      <c r="E8" s="466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4" t="s">
        <v>471</v>
      </c>
      <c r="C9" s="445"/>
      <c r="D9" s="445"/>
      <c r="E9" s="446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2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1" t="s">
        <v>555</v>
      </c>
      <c r="E13" s="452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7" t="s">
        <v>501</v>
      </c>
      <c r="E14" s="448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9" t="s">
        <v>552</v>
      </c>
      <c r="E15" s="450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7" t="s">
        <v>503</v>
      </c>
      <c r="E16" s="428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1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3" t="s">
        <v>487</v>
      </c>
      <c r="C18" s="454"/>
      <c r="D18" s="454"/>
      <c r="E18" s="455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3"/>
      <c r="C19" s="454"/>
      <c r="D19" s="454"/>
      <c r="E19" s="455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3"/>
      <c r="C20" s="454"/>
      <c r="D20" s="454"/>
      <c r="E20" s="455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6"/>
      <c r="C21" s="457"/>
      <c r="D21" s="457"/>
      <c r="E21" s="458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1"/>
      <c r="C22" s="442"/>
      <c r="D22" s="442"/>
      <c r="E22" s="443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1" t="s">
        <v>489</v>
      </c>
      <c r="R22" s="471"/>
      <c r="S22" s="471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1"/>
      <c r="R23" s="471"/>
      <c r="S23" s="471"/>
    </row>
    <row r="24" spans="2:19" ht="15" hidden="1" customHeight="1">
      <c r="Q24" s="471"/>
      <c r="R24" s="471"/>
      <c r="S24" s="471"/>
    </row>
    <row r="25" spans="2:19" ht="15" hidden="1" customHeight="1">
      <c r="Q25" s="471"/>
      <c r="R25" s="471"/>
      <c r="S25" s="471"/>
    </row>
    <row r="26" spans="2:19" ht="15" hidden="1" customHeight="1">
      <c r="Q26" s="471"/>
      <c r="R26" s="471"/>
      <c r="S26" s="471"/>
    </row>
    <row r="27" spans="2:19" ht="15" hidden="1" customHeight="1">
      <c r="Q27" s="471"/>
      <c r="R27" s="471"/>
      <c r="S27" s="471"/>
    </row>
    <row r="28" spans="2:19" ht="15" hidden="1" customHeight="1">
      <c r="Q28" s="471"/>
      <c r="R28" s="471"/>
      <c r="S28" s="471"/>
    </row>
    <row r="29" spans="2:19" ht="15" hidden="1" customHeight="1">
      <c r="Q29" s="471"/>
      <c r="R29" s="471"/>
      <c r="S29" s="471"/>
    </row>
    <row r="30" spans="2:19" ht="15" hidden="1" customHeight="1">
      <c r="Q30" s="471"/>
      <c r="R30" s="471"/>
      <c r="S30" s="471"/>
    </row>
    <row r="31" spans="2:19" ht="15" hidden="1" customHeight="1">
      <c r="Q31" s="471"/>
      <c r="R31" s="471"/>
      <c r="S31" s="471"/>
    </row>
    <row r="32" spans="2:19" ht="15" hidden="1" customHeight="1">
      <c r="Q32" s="471"/>
      <c r="R32" s="471"/>
      <c r="S32" s="471"/>
    </row>
    <row r="33" spans="17:19" ht="15" hidden="1" customHeight="1">
      <c r="Q33" s="471"/>
      <c r="R33" s="471"/>
      <c r="S33" s="471"/>
    </row>
    <row r="34" spans="17:19" ht="15" hidden="1" customHeight="1">
      <c r="Q34" s="471"/>
      <c r="R34" s="471"/>
      <c r="S34" s="471"/>
    </row>
    <row r="35" spans="17:19" ht="15" hidden="1" customHeight="1">
      <c r="Q35" s="471"/>
      <c r="R35" s="471"/>
      <c r="S35" s="471"/>
    </row>
    <row r="36" spans="17:19" ht="15" hidden="1" customHeight="1">
      <c r="Q36" s="471"/>
      <c r="R36" s="471"/>
      <c r="S36" s="471"/>
    </row>
    <row r="37" spans="17:19" ht="15" hidden="1" customHeight="1">
      <c r="Q37" s="471"/>
      <c r="R37" s="471"/>
      <c r="S37" s="471"/>
    </row>
    <row r="38" spans="17:19" ht="15" hidden="1" customHeight="1">
      <c r="Q38" s="471"/>
      <c r="R38" s="471"/>
      <c r="S38" s="471"/>
    </row>
    <row r="39" spans="17:19" ht="15" hidden="1" customHeight="1">
      <c r="Q39" s="471"/>
      <c r="R39" s="471"/>
      <c r="S39" s="471"/>
    </row>
    <row r="40" spans="17:19" ht="15" hidden="1" customHeight="1">
      <c r="Q40" s="471"/>
      <c r="R40" s="471"/>
      <c r="S40" s="471"/>
    </row>
    <row r="41" spans="17:19" ht="15" hidden="1" customHeight="1">
      <c r="Q41" s="471"/>
      <c r="R41" s="471"/>
      <c r="S41" s="471"/>
    </row>
    <row r="42" spans="17:19" ht="15" hidden="1" customHeight="1">
      <c r="Q42" s="471"/>
      <c r="R42" s="471"/>
      <c r="S42" s="471"/>
    </row>
    <row r="43" spans="17:19" ht="15" hidden="1" customHeight="1">
      <c r="Q43" s="471"/>
      <c r="R43" s="471"/>
      <c r="S43" s="471"/>
    </row>
    <row r="44" spans="17:19" ht="15" hidden="1" customHeight="1">
      <c r="Q44" s="471"/>
      <c r="R44" s="471"/>
      <c r="S44" s="471"/>
    </row>
    <row r="45" spans="17:19" ht="15" hidden="1" customHeight="1">
      <c r="Q45" s="471"/>
      <c r="R45" s="471"/>
      <c r="S45" s="471"/>
    </row>
    <row r="46" spans="17:19" ht="15" hidden="1" customHeight="1">
      <c r="Q46" s="471"/>
      <c r="R46" s="471"/>
      <c r="S46" s="471"/>
    </row>
    <row r="47" spans="17:19" ht="15" hidden="1" customHeight="1">
      <c r="Q47" s="471"/>
      <c r="R47" s="471"/>
      <c r="S47" s="471"/>
    </row>
    <row r="48" spans="17:19" ht="15" hidden="1" customHeight="1">
      <c r="Q48" s="471"/>
      <c r="R48" s="471"/>
      <c r="S48" s="471"/>
    </row>
    <row r="49" spans="17:19" ht="15" hidden="1" customHeight="1">
      <c r="Q49" s="471"/>
      <c r="R49" s="471"/>
      <c r="S49" s="471"/>
    </row>
    <row r="50" spans="17:19" ht="15" hidden="1" customHeight="1">
      <c r="Q50" s="471"/>
      <c r="R50" s="471"/>
      <c r="S50" s="471"/>
    </row>
    <row r="51" spans="17:19" ht="15" hidden="1" customHeight="1">
      <c r="Q51" s="471"/>
      <c r="R51" s="471"/>
      <c r="S51" s="471"/>
    </row>
    <row r="52" spans="17:19" ht="15" hidden="1" customHeight="1">
      <c r="Q52" s="471"/>
      <c r="R52" s="471"/>
      <c r="S52" s="471"/>
    </row>
    <row r="53" spans="17:19" ht="15" hidden="1" customHeight="1">
      <c r="Q53" s="471"/>
      <c r="R53" s="471"/>
      <c r="S53" s="471"/>
    </row>
    <row r="54" spans="17:19" ht="15" hidden="1" customHeight="1">
      <c r="Q54" s="471"/>
      <c r="R54" s="471"/>
      <c r="S54" s="471"/>
    </row>
    <row r="55" spans="17:19" ht="15" hidden="1" customHeight="1">
      <c r="Q55" s="471"/>
      <c r="R55" s="471"/>
      <c r="S55" s="471"/>
    </row>
    <row r="56" spans="17:19" ht="15" hidden="1" customHeight="1">
      <c r="Q56" s="471"/>
      <c r="R56" s="471"/>
      <c r="S56" s="471"/>
    </row>
    <row r="57" spans="17:19" ht="15" hidden="1" customHeight="1">
      <c r="Q57" s="471"/>
      <c r="R57" s="471"/>
      <c r="S57" s="471"/>
    </row>
    <row r="58" spans="17:19" ht="15" hidden="1" customHeight="1">
      <c r="Q58" s="471"/>
      <c r="R58" s="471"/>
      <c r="S58" s="471"/>
    </row>
    <row r="59" spans="17:19" ht="15" hidden="1" customHeight="1">
      <c r="Q59" s="471"/>
      <c r="R59" s="471"/>
      <c r="S59" s="471"/>
    </row>
    <row r="60" spans="17:19" ht="15" hidden="1" customHeight="1">
      <c r="Q60" s="471"/>
      <c r="R60" s="471"/>
      <c r="S60" s="471"/>
    </row>
    <row r="61" spans="17:19" ht="15" hidden="1" customHeight="1">
      <c r="Q61" s="471"/>
      <c r="R61" s="471"/>
      <c r="S61" s="471"/>
    </row>
    <row r="62" spans="17:19" ht="15" hidden="1" customHeight="1">
      <c r="Q62" s="471"/>
      <c r="R62" s="471"/>
      <c r="S62" s="471"/>
    </row>
    <row r="63" spans="17:19" ht="15" hidden="1" customHeight="1">
      <c r="Q63" s="471"/>
      <c r="R63" s="471"/>
      <c r="S63" s="471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5" t="s">
        <v>456</v>
      </c>
      <c r="D1" s="475"/>
      <c r="E1" s="329"/>
    </row>
    <row r="2" spans="1:5">
      <c r="A2" s="328"/>
      <c r="B2" s="328"/>
      <c r="C2" s="475"/>
      <c r="D2" s="475"/>
      <c r="E2" s="328"/>
    </row>
    <row r="3" spans="1:5">
      <c r="A3" s="328"/>
      <c r="B3" s="328"/>
      <c r="C3" s="475"/>
      <c r="D3" s="475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6" t="s">
        <v>464</v>
      </c>
      <c r="D10" s="477"/>
      <c r="E10" s="328"/>
    </row>
    <row r="11" spans="1:5">
      <c r="A11" s="328"/>
      <c r="B11" s="328"/>
      <c r="C11" s="473" t="s">
        <v>465</v>
      </c>
      <c r="D11" s="474"/>
      <c r="E11" s="328"/>
    </row>
    <row r="12" spans="1:5">
      <c r="A12" s="328"/>
      <c r="B12" s="328"/>
      <c r="C12" s="473" t="s">
        <v>466</v>
      </c>
      <c r="D12" s="474"/>
      <c r="E12" s="328"/>
    </row>
    <row r="13" spans="1:5">
      <c r="A13" s="328"/>
      <c r="B13" s="328"/>
      <c r="C13" s="473" t="s">
        <v>467</v>
      </c>
      <c r="D13" s="474"/>
      <c r="E13" s="328"/>
    </row>
    <row r="14" spans="1:5">
      <c r="A14" s="328"/>
      <c r="B14" s="328"/>
      <c r="C14" s="473" t="s">
        <v>468</v>
      </c>
      <c r="D14" s="474"/>
      <c r="E14" s="328"/>
    </row>
    <row r="15" spans="1:5">
      <c r="A15" s="328"/>
      <c r="B15" s="328"/>
      <c r="C15" s="473" t="s">
        <v>469</v>
      </c>
      <c r="D15" s="474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</row>
    <row r="2" spans="1:5" ht="15" customHeight="1">
      <c r="A2" s="479"/>
      <c r="B2" s="479"/>
      <c r="C2" s="481"/>
      <c r="D2" s="482"/>
      <c r="E2" s="484"/>
    </row>
    <row r="3" spans="1:5" s="97" customFormat="1" ht="80.25" customHeight="1">
      <c r="A3" s="480"/>
      <c r="B3" s="480"/>
      <c r="C3" s="481"/>
      <c r="D3" s="482"/>
      <c r="E3" s="485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6" workbookViewId="0">
      <selection activeCell="B29" sqref="B29:B38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6" t="s">
        <v>420</v>
      </c>
      <c r="B1" s="486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7" t="s">
        <v>419</v>
      </c>
      <c r="B5" s="487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8" t="s">
        <v>319</v>
      </c>
      <c r="B9" s="488"/>
    </row>
    <row r="10" spans="1:2" ht="31.5">
      <c r="A10" s="284" t="s">
        <v>101</v>
      </c>
      <c r="B10" s="285" t="s">
        <v>221</v>
      </c>
    </row>
    <row r="11" spans="1:2" ht="15.75">
      <c r="A11" s="415">
        <v>31</v>
      </c>
      <c r="B11" s="412" t="s">
        <v>556</v>
      </c>
    </row>
    <row r="12" spans="1:2" ht="15.75">
      <c r="A12" s="416">
        <v>32</v>
      </c>
      <c r="B12" s="412" t="s">
        <v>557</v>
      </c>
    </row>
    <row r="13" spans="1:2" ht="15.75">
      <c r="A13" s="416">
        <v>33</v>
      </c>
      <c r="B13" s="412" t="s">
        <v>558</v>
      </c>
    </row>
    <row r="14" spans="1:2" ht="15.75">
      <c r="A14" s="417">
        <v>34</v>
      </c>
      <c r="B14" s="412" t="s">
        <v>559</v>
      </c>
    </row>
    <row r="15" spans="1:2" ht="15.75">
      <c r="A15" s="415">
        <v>35</v>
      </c>
      <c r="B15" s="412" t="s">
        <v>560</v>
      </c>
    </row>
    <row r="16" spans="1:2" ht="15.75">
      <c r="A16" s="416">
        <v>36</v>
      </c>
      <c r="B16" s="413" t="s">
        <v>561</v>
      </c>
    </row>
    <row r="17" spans="1:2" ht="15.75">
      <c r="A17" s="416">
        <v>37</v>
      </c>
      <c r="B17" s="414" t="s">
        <v>562</v>
      </c>
    </row>
    <row r="18" spans="1:2">
      <c r="A18" s="417">
        <v>38</v>
      </c>
      <c r="B18" s="277" t="s">
        <v>563</v>
      </c>
    </row>
    <row r="19" spans="1:2">
      <c r="A19" s="415">
        <v>39</v>
      </c>
      <c r="B19" s="277" t="s">
        <v>564</v>
      </c>
    </row>
    <row r="20" spans="1:2">
      <c r="A20" s="416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9" t="s">
        <v>320</v>
      </c>
      <c r="B27" s="489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10" t="s">
        <v>566</v>
      </c>
    </row>
    <row r="30" spans="1:2" ht="15.75">
      <c r="A30" s="278">
        <v>42</v>
      </c>
      <c r="B30" s="410" t="s">
        <v>567</v>
      </c>
    </row>
    <row r="31" spans="1:2" ht="15.75">
      <c r="A31" s="278">
        <v>43</v>
      </c>
      <c r="B31" s="410" t="s">
        <v>568</v>
      </c>
    </row>
    <row r="32" spans="1:2" ht="15.75">
      <c r="A32" s="278">
        <v>44</v>
      </c>
      <c r="B32" s="410" t="s">
        <v>569</v>
      </c>
    </row>
    <row r="33" spans="1:2" ht="15.75">
      <c r="A33" s="278">
        <v>45</v>
      </c>
      <c r="B33" s="410" t="s">
        <v>570</v>
      </c>
    </row>
    <row r="34" spans="1:2" ht="15.75">
      <c r="A34" s="278">
        <v>46</v>
      </c>
      <c r="B34" s="410" t="s">
        <v>571</v>
      </c>
    </row>
    <row r="35" spans="1:2" ht="15.75">
      <c r="A35" s="278">
        <v>47</v>
      </c>
      <c r="B35" s="411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10" t="s">
        <v>317</v>
      </c>
      <c r="B1" s="495">
        <v>2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</row>
    <row r="2" spans="1:14" ht="15" customHeight="1">
      <c r="A2" s="510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</row>
    <row r="3" spans="1:14" ht="15" customHeight="1">
      <c r="A3" s="510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</row>
    <row r="5" spans="1:14" ht="45" customHeight="1">
      <c r="A5" s="263" t="s">
        <v>316</v>
      </c>
      <c r="B5" s="496" t="str">
        <f>VLOOKUP(B1,nilai_jadi,3,FALSE)</f>
        <v>Siswa 2</v>
      </c>
      <c r="C5" s="496"/>
      <c r="D5" s="496"/>
      <c r="E5" s="496"/>
      <c r="F5" s="496"/>
      <c r="G5" s="496"/>
      <c r="H5" s="496"/>
      <c r="I5" s="496"/>
      <c r="J5" s="496"/>
      <c r="K5" s="496"/>
      <c r="L5" s="496"/>
      <c r="M5" s="496"/>
      <c r="N5" s="496"/>
    </row>
    <row r="7" spans="1:14" ht="4.5" customHeight="1"/>
    <row r="8" spans="1:14" ht="2.25" customHeight="1"/>
    <row r="9" spans="1:14" ht="15" customHeight="1">
      <c r="B9" s="499" t="s">
        <v>424</v>
      </c>
      <c r="C9" s="500"/>
      <c r="D9" s="500"/>
      <c r="E9" s="500"/>
      <c r="F9" s="514" t="s">
        <v>425</v>
      </c>
      <c r="G9" s="514"/>
      <c r="H9" s="514"/>
      <c r="I9" s="514"/>
      <c r="J9" s="514"/>
      <c r="K9" s="514"/>
      <c r="L9" s="514"/>
      <c r="M9" s="514"/>
      <c r="N9" s="515"/>
    </row>
    <row r="10" spans="1:14" ht="6" customHeight="1">
      <c r="B10" s="501"/>
      <c r="C10" s="502"/>
      <c r="D10" s="502"/>
      <c r="E10" s="502"/>
      <c r="F10" s="516"/>
      <c r="G10" s="516"/>
      <c r="H10" s="516"/>
      <c r="I10" s="516"/>
      <c r="J10" s="516"/>
      <c r="K10" s="516"/>
      <c r="L10" s="516"/>
      <c r="M10" s="516"/>
      <c r="N10" s="517"/>
    </row>
    <row r="11" spans="1:14" ht="40.5" customHeight="1">
      <c r="A11" s="493" t="s">
        <v>308</v>
      </c>
      <c r="B11" s="262">
        <f>VLOOKUP(B1,nilai_jadi,12,FALSE)</f>
        <v>3</v>
      </c>
      <c r="C11" s="497" t="s">
        <v>423</v>
      </c>
      <c r="D11" s="498"/>
      <c r="E11" s="498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6" t="s">
        <v>221</v>
      </c>
      <c r="N11" s="507"/>
    </row>
    <row r="12" spans="1:14" ht="86.25" customHeight="1">
      <c r="A12" s="494"/>
      <c r="B12" s="262">
        <f>VLOOKUP(B1,nilai_jadi,10,FALSE)</f>
        <v>3</v>
      </c>
      <c r="C12" s="503" t="str">
        <f>VLOOKUP(B1,nilai_jadi,11,FALSE)</f>
        <v>rajin beribadah dan berpuasa</v>
      </c>
      <c r="D12" s="504"/>
      <c r="E12" s="505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8" t="str">
        <f>VLOOKUP(B1,nilai_jadi,19,FALSE)</f>
        <v>patuh terhadap tata tertib madrasah</v>
      </c>
      <c r="N12" s="509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1" t="str">
        <f>VLOOKUP(B1,nilai_jadi,6,FALSE)</f>
        <v>Memiliki penguasaan semua materi cukup,  sudah menguasai pengetahuan Pkn 7, dan perlu ditingkatkan dalam pengetahuan Pkn 10</v>
      </c>
      <c r="E13" s="512"/>
      <c r="F13" s="512"/>
      <c r="G13" s="512"/>
      <c r="H13" s="512"/>
      <c r="I13" s="512"/>
      <c r="J13" s="512"/>
      <c r="K13" s="512"/>
      <c r="L13" s="512"/>
      <c r="M13" s="512"/>
      <c r="N13" s="513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90" t="str">
        <f>VLOOKUP(B1,nilai_jadi,9,FALSE)</f>
        <v>cukup terampil ketrampilan Pkn 7</v>
      </c>
      <c r="E14" s="491"/>
      <c r="F14" s="491"/>
      <c r="G14" s="491"/>
      <c r="H14" s="491"/>
      <c r="I14" s="491"/>
      <c r="J14" s="491"/>
      <c r="K14" s="491"/>
      <c r="L14" s="491"/>
      <c r="M14" s="491"/>
      <c r="N14" s="492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pkn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7" t="s">
        <v>290</v>
      </c>
      <c r="B5" s="528" t="s">
        <v>291</v>
      </c>
      <c r="C5" s="529" t="s">
        <v>300</v>
      </c>
      <c r="D5" s="529"/>
      <c r="E5" s="529"/>
      <c r="F5" s="529"/>
      <c r="G5" s="529"/>
      <c r="H5" s="529"/>
      <c r="I5" s="529"/>
      <c r="J5" s="529"/>
      <c r="K5" s="529"/>
      <c r="L5" s="529"/>
      <c r="M5" s="524" t="s">
        <v>301</v>
      </c>
      <c r="N5" s="525"/>
      <c r="O5" s="525"/>
      <c r="P5" s="525"/>
      <c r="Q5" s="525"/>
      <c r="R5" s="525"/>
      <c r="S5" s="525"/>
      <c r="T5" s="525"/>
      <c r="U5" s="525"/>
      <c r="V5" s="526"/>
      <c r="W5" s="534" t="s">
        <v>498</v>
      </c>
      <c r="X5" s="530" t="s">
        <v>490</v>
      </c>
      <c r="Y5" s="530"/>
      <c r="Z5" s="530"/>
      <c r="AA5" s="530"/>
      <c r="AB5" s="530"/>
      <c r="AC5" s="530"/>
      <c r="AD5" s="530"/>
      <c r="AE5" s="530"/>
      <c r="AF5" s="530"/>
      <c r="AG5" s="530"/>
      <c r="AH5" s="530"/>
    </row>
    <row r="6" spans="1:34">
      <c r="A6" s="527"/>
      <c r="B6" s="528"/>
      <c r="C6" s="522" t="s">
        <v>293</v>
      </c>
      <c r="D6" s="523"/>
      <c r="E6" s="523"/>
      <c r="F6" s="523"/>
      <c r="G6" s="523"/>
      <c r="H6" s="523"/>
      <c r="I6" s="523"/>
      <c r="J6" s="523"/>
      <c r="K6" s="523"/>
      <c r="L6" s="523"/>
      <c r="M6" s="524" t="s">
        <v>293</v>
      </c>
      <c r="N6" s="525"/>
      <c r="O6" s="525"/>
      <c r="P6" s="525"/>
      <c r="Q6" s="525"/>
      <c r="R6" s="525"/>
      <c r="S6" s="525"/>
      <c r="T6" s="525"/>
      <c r="U6" s="525"/>
      <c r="V6" s="526"/>
      <c r="W6" s="535"/>
      <c r="X6" s="518" t="s">
        <v>422</v>
      </c>
      <c r="Y6" s="519"/>
      <c r="Z6" s="531" t="s">
        <v>421</v>
      </c>
      <c r="AA6" s="532"/>
      <c r="AB6" s="532"/>
      <c r="AC6" s="532"/>
      <c r="AD6" s="532"/>
      <c r="AE6" s="532"/>
      <c r="AF6" s="532"/>
      <c r="AG6" s="533"/>
      <c r="AH6" s="520" t="s">
        <v>303</v>
      </c>
    </row>
    <row r="7" spans="1:34">
      <c r="A7" s="527"/>
      <c r="B7" s="528"/>
      <c r="C7" s="109" t="s">
        <v>279</v>
      </c>
      <c r="D7" s="109" t="s">
        <v>280</v>
      </c>
      <c r="E7" s="109" t="s">
        <v>281</v>
      </c>
      <c r="F7" s="109" t="s">
        <v>282</v>
      </c>
      <c r="G7" s="419" t="s">
        <v>2</v>
      </c>
      <c r="H7" s="420" t="s">
        <v>491</v>
      </c>
      <c r="I7" s="420" t="s">
        <v>292</v>
      </c>
      <c r="J7" s="420" t="s">
        <v>495</v>
      </c>
      <c r="K7" s="420" t="s">
        <v>492</v>
      </c>
      <c r="L7" s="420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9" t="s">
        <v>497</v>
      </c>
      <c r="T7" s="422" t="s">
        <v>494</v>
      </c>
      <c r="U7" s="422" t="s">
        <v>492</v>
      </c>
      <c r="V7" s="422" t="s">
        <v>493</v>
      </c>
      <c r="W7" s="536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1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70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3">
        <f>IF(G8="","",AVERAGE(C8:F8))</f>
        <v>82.75</v>
      </c>
      <c r="I8" s="423">
        <f>IF(G8="","",((2*H8)+G8)/3)</f>
        <v>84.333333333333329</v>
      </c>
      <c r="J8" s="423">
        <f>IF(G8="","",ROUND(I8,0))</f>
        <v>84</v>
      </c>
      <c r="K8" s="421">
        <f>IF(J8="","",J8)</f>
        <v>84</v>
      </c>
      <c r="L8" s="421" t="str">
        <f>IF(G8="","",IF(K8&gt;=menu!$O$6,"A",IF(K8&gt;=menu!$O$7,"B",IF(K8&gt;=menu!$O$8,"C","D"))))</f>
        <v>C</v>
      </c>
      <c r="M8" s="219">
        <f>IF('Input Nilai Ketrampilan'!J5="","",('Input Nilai Ketrampilan'!J5))</f>
        <v>90</v>
      </c>
      <c r="N8" s="219">
        <f>IF('Input Nilai Ketrampilan'!O5="","",'Input Nilai Ketrampilan'!O5)</f>
        <v>96</v>
      </c>
      <c r="O8" s="219">
        <f>IF('Input Nilai Ketrampilan'!T5="","",'Input Nilai Ketrampilan'!T5)</f>
        <v>80</v>
      </c>
      <c r="P8" s="219">
        <f>IF('Input Nilai Ketrampilan'!Y5="","",'Input Nilai Ketrampilan'!Y5)</f>
        <v>94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30">
        <f>IF(B8="","",menu!$D$17)</f>
        <v>4</v>
      </c>
      <c r="T8" s="424">
        <f>IF(M8="","",AVERAGE(M8:P8))</f>
        <v>90</v>
      </c>
      <c r="U8" s="425">
        <f>IF(M8="","",ROUND(T8,0))</f>
        <v>90</v>
      </c>
      <c r="V8" s="425" t="str">
        <f>IF(M8="","",IF(U8&gt;=menu!$O$6,"A",IF(U8&gt;=menu!$O$7,"B",IF(U8&gt;=menu!$O$8,"C","D"))))</f>
        <v>B</v>
      </c>
      <c r="W8" s="426">
        <f>IF(K8="","",AVERAGE(K8,U8))</f>
        <v>87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8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3">
        <f t="shared" ref="H9:H55" si="0">IF(G9="","",AVERAGE(C9:F9))</f>
        <v>76.6875</v>
      </c>
      <c r="I9" s="423">
        <f t="shared" ref="I9:I55" si="1">IF(G9="","",((2*H9)+G9)/3)</f>
        <v>81.125</v>
      </c>
      <c r="J9" s="423">
        <f t="shared" ref="J9:J55" si="2">IF(G9="","",ROUND(I9,0))</f>
        <v>81</v>
      </c>
      <c r="K9" s="421">
        <f t="shared" ref="K9:K55" si="3">IF(J9="","",J9)</f>
        <v>81</v>
      </c>
      <c r="L9" s="421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30">
        <f>IF(B9="","",menu!$D$17)</f>
        <v>4</v>
      </c>
      <c r="T9" s="424">
        <f t="shared" ref="T9:T55" si="4">IF(M9="","",AVERAGE(M9:P9))</f>
        <v>76.6875</v>
      </c>
      <c r="U9" s="425">
        <f t="shared" ref="U9:U55" si="5">IF(M9="","",ROUND(T9,0))</f>
        <v>77</v>
      </c>
      <c r="V9" s="425" t="str">
        <f>IF(M9="","",IF(U9&gt;=menu!$O$6,"A",IF(U9&gt;=menu!$O$7,"B",IF(U9&gt;=menu!$O$8,"C","D"))))</f>
        <v>D</v>
      </c>
      <c r="W9" s="426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8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3">
        <f t="shared" si="0"/>
        <v>95</v>
      </c>
      <c r="I10" s="423">
        <f t="shared" si="1"/>
        <v>92.5</v>
      </c>
      <c r="J10" s="423">
        <f t="shared" si="2"/>
        <v>93</v>
      </c>
      <c r="K10" s="421">
        <f t="shared" si="3"/>
        <v>93</v>
      </c>
      <c r="L10" s="421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30">
        <f>IF(B10="","",menu!$D$17)</f>
        <v>4</v>
      </c>
      <c r="T10" s="424">
        <f t="shared" si="4"/>
        <v>95</v>
      </c>
      <c r="U10" s="425">
        <f t="shared" si="5"/>
        <v>95</v>
      </c>
      <c r="V10" s="425" t="str">
        <f>IF(M10="","",IF(U10&gt;=menu!$O$6,"A",IF(U10&gt;=menu!$O$7,"B",IF(U10&gt;=menu!$O$8,"C","D"))))</f>
        <v>B</v>
      </c>
      <c r="W10" s="426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8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3">
        <f t="shared" si="0"/>
        <v>93.125</v>
      </c>
      <c r="I11" s="423">
        <f t="shared" si="1"/>
        <v>91.25</v>
      </c>
      <c r="J11" s="423">
        <f t="shared" si="2"/>
        <v>91</v>
      </c>
      <c r="K11" s="421">
        <f t="shared" si="3"/>
        <v>91</v>
      </c>
      <c r="L11" s="421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30">
        <f>IF(B11="","",menu!$D$17)</f>
        <v>4</v>
      </c>
      <c r="T11" s="424">
        <f t="shared" si="4"/>
        <v>93.125</v>
      </c>
      <c r="U11" s="425">
        <f t="shared" si="5"/>
        <v>93</v>
      </c>
      <c r="V11" s="425" t="str">
        <f>IF(M11="","",IF(U11&gt;=menu!$O$6,"A",IF(U11&gt;=menu!$O$7,"B",IF(U11&gt;=menu!$O$8,"C","D"))))</f>
        <v>B</v>
      </c>
      <c r="W11" s="426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8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3">
        <f t="shared" si="0"/>
        <v>82.6875</v>
      </c>
      <c r="I12" s="423">
        <f t="shared" si="1"/>
        <v>85.125</v>
      </c>
      <c r="J12" s="423">
        <f t="shared" si="2"/>
        <v>85</v>
      </c>
      <c r="K12" s="421">
        <f t="shared" si="3"/>
        <v>85</v>
      </c>
      <c r="L12" s="421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30">
        <f>IF(B12="","",menu!$D$17)</f>
        <v>4</v>
      </c>
      <c r="T12" s="424">
        <f t="shared" si="4"/>
        <v>82.6875</v>
      </c>
      <c r="U12" s="425">
        <f t="shared" si="5"/>
        <v>83</v>
      </c>
      <c r="V12" s="425" t="str">
        <f>IF(M12="","",IF(U12&gt;=menu!$O$6,"A",IF(U12&gt;=menu!$O$7,"B",IF(U12&gt;=menu!$O$8,"C","D"))))</f>
        <v>C</v>
      </c>
      <c r="W12" s="426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8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3">
        <f t="shared" si="0"/>
        <v>91.875</v>
      </c>
      <c r="I13" s="423">
        <f t="shared" si="1"/>
        <v>90.416666666666671</v>
      </c>
      <c r="J13" s="423">
        <f t="shared" si="2"/>
        <v>90</v>
      </c>
      <c r="K13" s="421">
        <f t="shared" si="3"/>
        <v>90</v>
      </c>
      <c r="L13" s="421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30">
        <f>IF(B13="","",menu!$D$17)</f>
        <v>4</v>
      </c>
      <c r="T13" s="424">
        <f t="shared" si="4"/>
        <v>91.875</v>
      </c>
      <c r="U13" s="425">
        <f t="shared" si="5"/>
        <v>92</v>
      </c>
      <c r="V13" s="425" t="str">
        <f>IF(M13="","",IF(U13&gt;=menu!$O$6,"A",IF(U13&gt;=menu!$O$7,"B",IF(U13&gt;=menu!$O$8,"C","D"))))</f>
        <v>B</v>
      </c>
      <c r="W13" s="426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8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3">
        <f t="shared" si="0"/>
        <v>82.1875</v>
      </c>
      <c r="I14" s="423">
        <f t="shared" si="1"/>
        <v>82.291666666666671</v>
      </c>
      <c r="J14" s="423">
        <f t="shared" si="2"/>
        <v>82</v>
      </c>
      <c r="K14" s="421">
        <f t="shared" si="3"/>
        <v>82</v>
      </c>
      <c r="L14" s="421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30">
        <f>IF(B14="","",menu!$D$17)</f>
        <v>4</v>
      </c>
      <c r="T14" s="424">
        <f t="shared" si="4"/>
        <v>82.1875</v>
      </c>
      <c r="U14" s="425">
        <f t="shared" si="5"/>
        <v>82</v>
      </c>
      <c r="V14" s="425" t="str">
        <f>IF(M14="","",IF(U14&gt;=menu!$O$6,"A",IF(U14&gt;=menu!$O$7,"B",IF(U14&gt;=menu!$O$8,"C","D"))))</f>
        <v>C</v>
      </c>
      <c r="W14" s="426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8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3">
        <f t="shared" si="0"/>
        <v>88.75</v>
      </c>
      <c r="I15" s="423">
        <f t="shared" si="1"/>
        <v>88.333333333333329</v>
      </c>
      <c r="J15" s="423">
        <f t="shared" si="2"/>
        <v>88</v>
      </c>
      <c r="K15" s="421">
        <f t="shared" si="3"/>
        <v>88</v>
      </c>
      <c r="L15" s="421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30">
        <f>IF(B15="","",menu!$D$17)</f>
        <v>4</v>
      </c>
      <c r="T15" s="424">
        <f t="shared" si="4"/>
        <v>88.75</v>
      </c>
      <c r="U15" s="425">
        <f t="shared" si="5"/>
        <v>89</v>
      </c>
      <c r="V15" s="425" t="str">
        <f>IF(M15="","",IF(U15&gt;=menu!$O$6,"A",IF(U15&gt;=menu!$O$7,"B",IF(U15&gt;=menu!$O$8,"C","D"))))</f>
        <v>B</v>
      </c>
      <c r="W15" s="426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8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3">
        <f t="shared" si="0"/>
        <v>92.5</v>
      </c>
      <c r="I16" s="423">
        <f t="shared" si="1"/>
        <v>90.833333333333329</v>
      </c>
      <c r="J16" s="423">
        <f t="shared" si="2"/>
        <v>91</v>
      </c>
      <c r="K16" s="421">
        <f t="shared" si="3"/>
        <v>91</v>
      </c>
      <c r="L16" s="421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30">
        <f>IF(B16="","",menu!$D$17)</f>
        <v>4</v>
      </c>
      <c r="T16" s="424">
        <f t="shared" si="4"/>
        <v>92.5</v>
      </c>
      <c r="U16" s="425">
        <f t="shared" si="5"/>
        <v>93</v>
      </c>
      <c r="V16" s="425" t="str">
        <f>IF(M16="","",IF(U16&gt;=menu!$O$6,"A",IF(U16&gt;=menu!$O$7,"B",IF(U16&gt;=menu!$O$8,"C","D"))))</f>
        <v>B</v>
      </c>
      <c r="W16" s="426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8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3">
        <f t="shared" si="0"/>
        <v>82.6875</v>
      </c>
      <c r="I17" s="423">
        <f t="shared" si="1"/>
        <v>85.125</v>
      </c>
      <c r="J17" s="423">
        <f t="shared" si="2"/>
        <v>85</v>
      </c>
      <c r="K17" s="421">
        <f t="shared" si="3"/>
        <v>85</v>
      </c>
      <c r="L17" s="421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30">
        <f>IF(B17="","",menu!$D$17)</f>
        <v>4</v>
      </c>
      <c r="T17" s="424">
        <f t="shared" si="4"/>
        <v>82.6875</v>
      </c>
      <c r="U17" s="425">
        <f t="shared" si="5"/>
        <v>83</v>
      </c>
      <c r="V17" s="425" t="str">
        <f>IF(M17="","",IF(U17&gt;=menu!$O$6,"A",IF(U17&gt;=menu!$O$7,"B",IF(U17&gt;=menu!$O$8,"C","D"))))</f>
        <v>C</v>
      </c>
      <c r="W17" s="426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8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3">
        <f t="shared" si="0"/>
        <v>74.875</v>
      </c>
      <c r="I18" s="423">
        <f t="shared" si="1"/>
        <v>78.25</v>
      </c>
      <c r="J18" s="423">
        <f t="shared" si="2"/>
        <v>78</v>
      </c>
      <c r="K18" s="421">
        <f t="shared" si="3"/>
        <v>78</v>
      </c>
      <c r="L18" s="421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30">
        <f>IF(B18="","",menu!$D$17)</f>
        <v>4</v>
      </c>
      <c r="T18" s="424">
        <f t="shared" si="4"/>
        <v>74.875</v>
      </c>
      <c r="U18" s="425">
        <f t="shared" si="5"/>
        <v>75</v>
      </c>
      <c r="V18" s="425" t="str">
        <f>IF(M18="","",IF(U18&gt;=menu!$O$6,"A",IF(U18&gt;=menu!$O$7,"B",IF(U18&gt;=menu!$O$8,"C","D"))))</f>
        <v>D</v>
      </c>
      <c r="W18" s="426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8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3">
        <f t="shared" si="0"/>
        <v>90</v>
      </c>
      <c r="I19" s="423">
        <f t="shared" si="1"/>
        <v>89.166666666666671</v>
      </c>
      <c r="J19" s="423">
        <f t="shared" si="2"/>
        <v>89</v>
      </c>
      <c r="K19" s="421">
        <f t="shared" si="3"/>
        <v>89</v>
      </c>
      <c r="L19" s="421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30">
        <f>IF(B19="","",menu!$D$17)</f>
        <v>4</v>
      </c>
      <c r="T19" s="424">
        <f t="shared" si="4"/>
        <v>90</v>
      </c>
      <c r="U19" s="425">
        <f t="shared" si="5"/>
        <v>90</v>
      </c>
      <c r="V19" s="425" t="str">
        <f>IF(M19="","",IF(U19&gt;=menu!$O$6,"A",IF(U19&gt;=menu!$O$7,"B",IF(U19&gt;=menu!$O$8,"C","D"))))</f>
        <v>B</v>
      </c>
      <c r="W19" s="426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8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3">
        <f t="shared" si="0"/>
        <v>92.1875</v>
      </c>
      <c r="I20" s="423">
        <f t="shared" si="1"/>
        <v>90.625</v>
      </c>
      <c r="J20" s="423">
        <f t="shared" si="2"/>
        <v>91</v>
      </c>
      <c r="K20" s="421">
        <f t="shared" si="3"/>
        <v>91</v>
      </c>
      <c r="L20" s="421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30">
        <f>IF(B20="","",menu!$D$17)</f>
        <v>4</v>
      </c>
      <c r="T20" s="424">
        <f t="shared" si="4"/>
        <v>92.1875</v>
      </c>
      <c r="U20" s="425">
        <f t="shared" si="5"/>
        <v>92</v>
      </c>
      <c r="V20" s="425" t="str">
        <f>IF(M20="","",IF(U20&gt;=menu!$O$6,"A",IF(U20&gt;=menu!$O$7,"B",IF(U20&gt;=menu!$O$8,"C","D"))))</f>
        <v>B</v>
      </c>
      <c r="W20" s="426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8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3">
        <f t="shared" si="0"/>
        <v>92.3125</v>
      </c>
      <c r="I21" s="423">
        <f t="shared" si="1"/>
        <v>91.541666666666671</v>
      </c>
      <c r="J21" s="423">
        <f t="shared" si="2"/>
        <v>92</v>
      </c>
      <c r="K21" s="421">
        <f t="shared" si="3"/>
        <v>92</v>
      </c>
      <c r="L21" s="421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30">
        <f>IF(B21="","",menu!$D$17)</f>
        <v>4</v>
      </c>
      <c r="T21" s="424">
        <f t="shared" si="4"/>
        <v>92.3125</v>
      </c>
      <c r="U21" s="425">
        <f t="shared" si="5"/>
        <v>92</v>
      </c>
      <c r="V21" s="425" t="str">
        <f>IF(M21="","",IF(U21&gt;=menu!$O$6,"A",IF(U21&gt;=menu!$O$7,"B",IF(U21&gt;=menu!$O$8,"C","D"))))</f>
        <v>B</v>
      </c>
      <c r="W21" s="426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8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3">
        <f t="shared" si="0"/>
        <v>88.9375</v>
      </c>
      <c r="I22" s="423">
        <f t="shared" si="1"/>
        <v>89.291666666666671</v>
      </c>
      <c r="J22" s="423">
        <f t="shared" si="2"/>
        <v>89</v>
      </c>
      <c r="K22" s="421">
        <f t="shared" si="3"/>
        <v>89</v>
      </c>
      <c r="L22" s="421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30">
        <f>IF(B22="","",menu!$D$17)</f>
        <v>4</v>
      </c>
      <c r="T22" s="424">
        <f t="shared" si="4"/>
        <v>88.9375</v>
      </c>
      <c r="U22" s="425">
        <f t="shared" si="5"/>
        <v>89</v>
      </c>
      <c r="V22" s="425" t="str">
        <f>IF(M22="","",IF(U22&gt;=menu!$O$6,"A",IF(U22&gt;=menu!$O$7,"B",IF(U22&gt;=menu!$O$8,"C","D"))))</f>
        <v>B</v>
      </c>
      <c r="W22" s="426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8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3">
        <f t="shared" si="0"/>
        <v>93.4375</v>
      </c>
      <c r="I23" s="423">
        <f t="shared" si="1"/>
        <v>91.458333333333329</v>
      </c>
      <c r="J23" s="423">
        <f t="shared" si="2"/>
        <v>91</v>
      </c>
      <c r="K23" s="421">
        <f t="shared" si="3"/>
        <v>91</v>
      </c>
      <c r="L23" s="421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30">
        <f>IF(B23="","",menu!$D$17)</f>
        <v>4</v>
      </c>
      <c r="T23" s="424">
        <f t="shared" si="4"/>
        <v>93.4375</v>
      </c>
      <c r="U23" s="425">
        <f t="shared" si="5"/>
        <v>93</v>
      </c>
      <c r="V23" s="425" t="str">
        <f>IF(M23="","",IF(U23&gt;=menu!$O$6,"A",IF(U23&gt;=menu!$O$7,"B",IF(U23&gt;=menu!$O$8,"C","D"))))</f>
        <v>B</v>
      </c>
      <c r="W23" s="426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8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3">
        <f t="shared" si="0"/>
        <v>89.375</v>
      </c>
      <c r="I24" s="423">
        <f t="shared" si="1"/>
        <v>89.583333333333329</v>
      </c>
      <c r="J24" s="423">
        <f t="shared" si="2"/>
        <v>90</v>
      </c>
      <c r="K24" s="421">
        <f t="shared" si="3"/>
        <v>90</v>
      </c>
      <c r="L24" s="421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30">
        <f>IF(B24="","",menu!$D$17)</f>
        <v>4</v>
      </c>
      <c r="T24" s="424">
        <f t="shared" si="4"/>
        <v>89.375</v>
      </c>
      <c r="U24" s="425">
        <f t="shared" si="5"/>
        <v>89</v>
      </c>
      <c r="V24" s="425" t="str">
        <f>IF(M24="","",IF(U24&gt;=menu!$O$6,"A",IF(U24&gt;=menu!$O$7,"B",IF(U24&gt;=menu!$O$8,"C","D"))))</f>
        <v>B</v>
      </c>
      <c r="W24" s="426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8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3">
        <f t="shared" si="0"/>
        <v>90.375</v>
      </c>
      <c r="I25" s="423">
        <f t="shared" si="1"/>
        <v>89.416666666666671</v>
      </c>
      <c r="J25" s="423">
        <f t="shared" si="2"/>
        <v>89</v>
      </c>
      <c r="K25" s="421">
        <f t="shared" si="3"/>
        <v>89</v>
      </c>
      <c r="L25" s="421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30">
        <f>IF(B25="","",menu!$D$17)</f>
        <v>4</v>
      </c>
      <c r="T25" s="424">
        <f t="shared" si="4"/>
        <v>90.375</v>
      </c>
      <c r="U25" s="425">
        <f t="shared" si="5"/>
        <v>90</v>
      </c>
      <c r="V25" s="425" t="str">
        <f>IF(M25="","",IF(U25&gt;=menu!$O$6,"A",IF(U25&gt;=menu!$O$7,"B",IF(U25&gt;=menu!$O$8,"C","D"))))</f>
        <v>B</v>
      </c>
      <c r="W25" s="426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8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3">
        <f t="shared" si="0"/>
        <v>85.9375</v>
      </c>
      <c r="I26" s="423">
        <f t="shared" si="1"/>
        <v>87.291666666666671</v>
      </c>
      <c r="J26" s="423">
        <f t="shared" si="2"/>
        <v>87</v>
      </c>
      <c r="K26" s="421">
        <f t="shared" si="3"/>
        <v>87</v>
      </c>
      <c r="L26" s="421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30">
        <f>IF(B26="","",menu!$D$17)</f>
        <v>4</v>
      </c>
      <c r="T26" s="424">
        <f t="shared" si="4"/>
        <v>85.9375</v>
      </c>
      <c r="U26" s="425">
        <f t="shared" si="5"/>
        <v>86</v>
      </c>
      <c r="V26" s="425" t="str">
        <f>IF(M26="","",IF(U26&gt;=menu!$O$6,"A",IF(U26&gt;=menu!$O$7,"B",IF(U26&gt;=menu!$O$8,"C","D"))))</f>
        <v>C</v>
      </c>
      <c r="W26" s="426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8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3">
        <f t="shared" si="0"/>
        <v>83.125</v>
      </c>
      <c r="I27" s="423">
        <f t="shared" si="1"/>
        <v>84.583333333333329</v>
      </c>
      <c r="J27" s="423">
        <f t="shared" si="2"/>
        <v>85</v>
      </c>
      <c r="K27" s="421">
        <f t="shared" si="3"/>
        <v>85</v>
      </c>
      <c r="L27" s="421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30">
        <f>IF(B27="","",menu!$D$17)</f>
        <v>4</v>
      </c>
      <c r="T27" s="424">
        <f t="shared" si="4"/>
        <v>83.125</v>
      </c>
      <c r="U27" s="425">
        <f t="shared" si="5"/>
        <v>83</v>
      </c>
      <c r="V27" s="425" t="str">
        <f>IF(M27="","",IF(U27&gt;=menu!$O$6,"A",IF(U27&gt;=menu!$O$7,"B",IF(U27&gt;=menu!$O$8,"C","D"))))</f>
        <v>C</v>
      </c>
      <c r="W27" s="426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8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3">
        <f t="shared" si="0"/>
        <v>85.9375</v>
      </c>
      <c r="I28" s="423">
        <f t="shared" si="1"/>
        <v>87.291666666666671</v>
      </c>
      <c r="J28" s="423">
        <f t="shared" si="2"/>
        <v>87</v>
      </c>
      <c r="K28" s="421">
        <f t="shared" si="3"/>
        <v>87</v>
      </c>
      <c r="L28" s="421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30">
        <f>IF(B28="","",menu!$D$17)</f>
        <v>4</v>
      </c>
      <c r="T28" s="424">
        <f t="shared" si="4"/>
        <v>85.9375</v>
      </c>
      <c r="U28" s="425">
        <f t="shared" si="5"/>
        <v>86</v>
      </c>
      <c r="V28" s="425" t="str">
        <f>IF(M28="","",IF(U28&gt;=menu!$O$6,"A",IF(U28&gt;=menu!$O$7,"B",IF(U28&gt;=menu!$O$8,"C","D"))))</f>
        <v>C</v>
      </c>
      <c r="W28" s="426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8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3">
        <f t="shared" si="0"/>
        <v>81.125</v>
      </c>
      <c r="I29" s="423">
        <f t="shared" si="1"/>
        <v>83.25</v>
      </c>
      <c r="J29" s="423">
        <f t="shared" si="2"/>
        <v>83</v>
      </c>
      <c r="K29" s="421">
        <f t="shared" si="3"/>
        <v>83</v>
      </c>
      <c r="L29" s="421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30">
        <f>IF(B29="","",menu!$D$17)</f>
        <v>4</v>
      </c>
      <c r="T29" s="424">
        <f t="shared" si="4"/>
        <v>81.125</v>
      </c>
      <c r="U29" s="425">
        <f t="shared" si="5"/>
        <v>81</v>
      </c>
      <c r="V29" s="425" t="str">
        <f>IF(M29="","",IF(U29&gt;=menu!$O$6,"A",IF(U29&gt;=menu!$O$7,"B",IF(U29&gt;=menu!$O$8,"C","D"))))</f>
        <v>C</v>
      </c>
      <c r="W29" s="426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8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3">
        <f t="shared" si="0"/>
        <v>92.5</v>
      </c>
      <c r="I30" s="423">
        <f t="shared" si="1"/>
        <v>91.666666666666671</v>
      </c>
      <c r="J30" s="423">
        <f t="shared" si="2"/>
        <v>92</v>
      </c>
      <c r="K30" s="421">
        <f t="shared" si="3"/>
        <v>92</v>
      </c>
      <c r="L30" s="421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30">
        <f>IF(B30="","",menu!$D$17)</f>
        <v>4</v>
      </c>
      <c r="T30" s="424">
        <f t="shared" si="4"/>
        <v>92.5</v>
      </c>
      <c r="U30" s="425">
        <f t="shared" si="5"/>
        <v>93</v>
      </c>
      <c r="V30" s="425" t="str">
        <f>IF(M30="","",IF(U30&gt;=menu!$O$6,"A",IF(U30&gt;=menu!$O$7,"B",IF(U30&gt;=menu!$O$8,"C","D"))))</f>
        <v>B</v>
      </c>
      <c r="W30" s="426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8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3">
        <f t="shared" si="0"/>
        <v>87.375</v>
      </c>
      <c r="I31" s="423">
        <f t="shared" si="1"/>
        <v>88.25</v>
      </c>
      <c r="J31" s="423">
        <f t="shared" si="2"/>
        <v>88</v>
      </c>
      <c r="K31" s="421">
        <f t="shared" si="3"/>
        <v>88</v>
      </c>
      <c r="L31" s="421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30">
        <f>IF(B31="","",menu!$D$17)</f>
        <v>4</v>
      </c>
      <c r="T31" s="424">
        <f t="shared" si="4"/>
        <v>87.375</v>
      </c>
      <c r="U31" s="425">
        <f t="shared" si="5"/>
        <v>87</v>
      </c>
      <c r="V31" s="425" t="str">
        <f>IF(M31="","",IF(U31&gt;=menu!$O$6,"A",IF(U31&gt;=menu!$O$7,"B",IF(U31&gt;=menu!$O$8,"C","D"))))</f>
        <v>C</v>
      </c>
      <c r="W31" s="426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8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3">
        <f t="shared" si="0"/>
        <v>81.125</v>
      </c>
      <c r="I32" s="423">
        <f t="shared" si="1"/>
        <v>84.083333333333329</v>
      </c>
      <c r="J32" s="423">
        <f t="shared" si="2"/>
        <v>84</v>
      </c>
      <c r="K32" s="421">
        <f t="shared" si="3"/>
        <v>84</v>
      </c>
      <c r="L32" s="421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30">
        <f>IF(B32="","",menu!$D$17)</f>
        <v>4</v>
      </c>
      <c r="T32" s="424">
        <f t="shared" si="4"/>
        <v>81.125</v>
      </c>
      <c r="U32" s="425">
        <f t="shared" si="5"/>
        <v>81</v>
      </c>
      <c r="V32" s="425" t="str">
        <f>IF(M32="","",IF(U32&gt;=menu!$O$6,"A",IF(U32&gt;=menu!$O$7,"B",IF(U32&gt;=menu!$O$8,"C","D"))))</f>
        <v>C</v>
      </c>
      <c r="W32" s="426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8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3">
        <f t="shared" si="0"/>
        <v>93.4375</v>
      </c>
      <c r="I33" s="423">
        <f t="shared" si="1"/>
        <v>91.458333333333329</v>
      </c>
      <c r="J33" s="423">
        <f t="shared" si="2"/>
        <v>91</v>
      </c>
      <c r="K33" s="421">
        <f t="shared" si="3"/>
        <v>91</v>
      </c>
      <c r="L33" s="421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30">
        <f>IF(B33="","",menu!$D$17)</f>
        <v>4</v>
      </c>
      <c r="T33" s="424">
        <f t="shared" si="4"/>
        <v>93.4375</v>
      </c>
      <c r="U33" s="425">
        <f t="shared" si="5"/>
        <v>93</v>
      </c>
      <c r="V33" s="425" t="str">
        <f>IF(M33="","",IF(U33&gt;=menu!$O$6,"A",IF(U33&gt;=menu!$O$7,"B",IF(U33&gt;=menu!$O$8,"C","D"))))</f>
        <v>B</v>
      </c>
      <c r="W33" s="426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8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3">
        <f t="shared" si="0"/>
        <v>94.375</v>
      </c>
      <c r="I34" s="423">
        <f t="shared" si="1"/>
        <v>92.916666666666671</v>
      </c>
      <c r="J34" s="423">
        <f t="shared" si="2"/>
        <v>93</v>
      </c>
      <c r="K34" s="421">
        <f t="shared" si="3"/>
        <v>93</v>
      </c>
      <c r="L34" s="421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30">
        <f>IF(B34="","",menu!$D$17)</f>
        <v>4</v>
      </c>
      <c r="T34" s="424">
        <f t="shared" si="4"/>
        <v>94.375</v>
      </c>
      <c r="U34" s="425">
        <f t="shared" si="5"/>
        <v>94</v>
      </c>
      <c r="V34" s="425" t="str">
        <f>IF(M34="","",IF(U34&gt;=menu!$O$6,"A",IF(U34&gt;=menu!$O$7,"B",IF(U34&gt;=menu!$O$8,"C","D"))))</f>
        <v>B</v>
      </c>
      <c r="W34" s="426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8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3">
        <f t="shared" si="0"/>
        <v>87.375</v>
      </c>
      <c r="I35" s="423">
        <f t="shared" si="1"/>
        <v>88.25</v>
      </c>
      <c r="J35" s="423">
        <f t="shared" si="2"/>
        <v>88</v>
      </c>
      <c r="K35" s="421">
        <f t="shared" si="3"/>
        <v>88</v>
      </c>
      <c r="L35" s="421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30">
        <f>IF(B35="","",menu!$D$17)</f>
        <v>4</v>
      </c>
      <c r="T35" s="424">
        <f t="shared" si="4"/>
        <v>87.375</v>
      </c>
      <c r="U35" s="425">
        <f t="shared" si="5"/>
        <v>87</v>
      </c>
      <c r="V35" s="425" t="str">
        <f>IF(M35="","",IF(U35&gt;=menu!$O$6,"A",IF(U35&gt;=menu!$O$7,"B",IF(U35&gt;=menu!$O$8,"C","D"))))</f>
        <v>C</v>
      </c>
      <c r="W35" s="426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8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3">
        <f t="shared" si="0"/>
        <v>79.4375</v>
      </c>
      <c r="I36" s="423">
        <f t="shared" si="1"/>
        <v>84.625</v>
      </c>
      <c r="J36" s="423">
        <f t="shared" si="2"/>
        <v>85</v>
      </c>
      <c r="K36" s="421">
        <f t="shared" si="3"/>
        <v>85</v>
      </c>
      <c r="L36" s="421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30">
        <f>IF(B36="","",menu!$D$17)</f>
        <v>4</v>
      </c>
      <c r="T36" s="424">
        <f t="shared" si="4"/>
        <v>79.4375</v>
      </c>
      <c r="U36" s="425">
        <f t="shared" si="5"/>
        <v>79</v>
      </c>
      <c r="V36" s="425" t="str">
        <f>IF(M36="","",IF(U36&gt;=menu!$O$6,"A",IF(U36&gt;=menu!$O$7,"B",IF(U36&gt;=menu!$O$8,"C","D"))))</f>
        <v>D</v>
      </c>
      <c r="W36" s="426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8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3">
        <f t="shared" si="0"/>
        <v>93.5</v>
      </c>
      <c r="I37" s="423">
        <f t="shared" si="1"/>
        <v>92.333333333333329</v>
      </c>
      <c r="J37" s="423">
        <f t="shared" si="2"/>
        <v>92</v>
      </c>
      <c r="K37" s="421">
        <f t="shared" si="3"/>
        <v>92</v>
      </c>
      <c r="L37" s="421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30">
        <f>IF(B37="","",menu!$D$17)</f>
        <v>4</v>
      </c>
      <c r="T37" s="424">
        <f t="shared" si="4"/>
        <v>93.5</v>
      </c>
      <c r="U37" s="425">
        <f t="shared" si="5"/>
        <v>94</v>
      </c>
      <c r="V37" s="425" t="str">
        <f>IF(M37="","",IF(U37&gt;=menu!$O$6,"A",IF(U37&gt;=menu!$O$7,"B",IF(U37&gt;=menu!$O$8,"C","D"))))</f>
        <v>B</v>
      </c>
      <c r="W37" s="426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8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3">
        <f t="shared" si="0"/>
        <v>94.375</v>
      </c>
      <c r="I38" s="423">
        <f t="shared" si="1"/>
        <v>91.25</v>
      </c>
      <c r="J38" s="423">
        <f t="shared" si="2"/>
        <v>91</v>
      </c>
      <c r="K38" s="421">
        <f t="shared" si="3"/>
        <v>91</v>
      </c>
      <c r="L38" s="421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30">
        <f>IF(B38="","",menu!$D$17)</f>
        <v>4</v>
      </c>
      <c r="T38" s="424">
        <f t="shared" si="4"/>
        <v>94.375</v>
      </c>
      <c r="U38" s="425">
        <f t="shared" si="5"/>
        <v>94</v>
      </c>
      <c r="V38" s="425" t="str">
        <f>IF(M38="","",IF(U38&gt;=menu!$O$6,"A",IF(U38&gt;=menu!$O$7,"B",IF(U38&gt;=menu!$O$8,"C","D"))))</f>
        <v>B</v>
      </c>
      <c r="W38" s="426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8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3">
        <f t="shared" si="0"/>
        <v>97.1875</v>
      </c>
      <c r="I39" s="423">
        <f t="shared" si="1"/>
        <v>93.125</v>
      </c>
      <c r="J39" s="423">
        <f t="shared" si="2"/>
        <v>93</v>
      </c>
      <c r="K39" s="421">
        <f t="shared" si="3"/>
        <v>93</v>
      </c>
      <c r="L39" s="421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30">
        <f>IF(B39="","",menu!$D$17)</f>
        <v>4</v>
      </c>
      <c r="T39" s="424">
        <f t="shared" si="4"/>
        <v>97.1875</v>
      </c>
      <c r="U39" s="425">
        <f t="shared" si="5"/>
        <v>97</v>
      </c>
      <c r="V39" s="425" t="str">
        <f>IF(M39="","",IF(U39&gt;=menu!$O$6,"A",IF(U39&gt;=menu!$O$7,"B",IF(U39&gt;=menu!$O$8,"C","D"))))</f>
        <v>A</v>
      </c>
      <c r="W39" s="426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8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3">
        <f t="shared" si="0"/>
        <v>96.25</v>
      </c>
      <c r="I40" s="423">
        <f t="shared" si="1"/>
        <v>93.333333333333329</v>
      </c>
      <c r="J40" s="423">
        <f t="shared" si="2"/>
        <v>93</v>
      </c>
      <c r="K40" s="421">
        <f t="shared" si="3"/>
        <v>93</v>
      </c>
      <c r="L40" s="421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30">
        <f>IF(B40="","",menu!$D$17)</f>
        <v>4</v>
      </c>
      <c r="T40" s="424">
        <f t="shared" si="4"/>
        <v>96.25</v>
      </c>
      <c r="U40" s="425">
        <f t="shared" si="5"/>
        <v>96</v>
      </c>
      <c r="V40" s="425" t="str">
        <f>IF(M40="","",IF(U40&gt;=menu!$O$6,"A",IF(U40&gt;=menu!$O$7,"B",IF(U40&gt;=menu!$O$8,"C","D"))))</f>
        <v>A</v>
      </c>
      <c r="W40" s="426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8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3">
        <f t="shared" si="0"/>
        <v>74.0625</v>
      </c>
      <c r="I41" s="423">
        <f t="shared" si="1"/>
        <v>78.541666666666671</v>
      </c>
      <c r="J41" s="423">
        <f t="shared" si="2"/>
        <v>79</v>
      </c>
      <c r="K41" s="421">
        <f t="shared" si="3"/>
        <v>79</v>
      </c>
      <c r="L41" s="421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30">
        <f>IF(B41="","",menu!$D$17)</f>
        <v>4</v>
      </c>
      <c r="T41" s="424">
        <f t="shared" si="4"/>
        <v>74.0625</v>
      </c>
      <c r="U41" s="425">
        <f t="shared" si="5"/>
        <v>74</v>
      </c>
      <c r="V41" s="425" t="str">
        <f>IF(M41="","",IF(U41&gt;=menu!$O$6,"A",IF(U41&gt;=menu!$O$7,"B",IF(U41&gt;=menu!$O$8,"C","D"))))</f>
        <v>D</v>
      </c>
      <c r="W41" s="426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8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3">
        <f t="shared" si="0"/>
        <v>88.125</v>
      </c>
      <c r="I42" s="423">
        <f t="shared" si="1"/>
        <v>88.75</v>
      </c>
      <c r="J42" s="423">
        <f t="shared" si="2"/>
        <v>89</v>
      </c>
      <c r="K42" s="421">
        <f t="shared" si="3"/>
        <v>89</v>
      </c>
      <c r="L42" s="421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30">
        <f>IF(B42="","",menu!$D$17)</f>
        <v>4</v>
      </c>
      <c r="T42" s="424">
        <f t="shared" si="4"/>
        <v>88.125</v>
      </c>
      <c r="U42" s="425">
        <f t="shared" si="5"/>
        <v>88</v>
      </c>
      <c r="V42" s="425" t="str">
        <f>IF(M42="","",IF(U42&gt;=menu!$O$6,"A",IF(U42&gt;=menu!$O$7,"B",IF(U42&gt;=menu!$O$8,"C","D"))))</f>
        <v>B</v>
      </c>
      <c r="W42" s="426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8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3">
        <f t="shared" si="0"/>
        <v>84.375</v>
      </c>
      <c r="I43" s="423">
        <f t="shared" si="1"/>
        <v>85.416666666666671</v>
      </c>
      <c r="J43" s="423">
        <f t="shared" si="2"/>
        <v>85</v>
      </c>
      <c r="K43" s="421">
        <f t="shared" si="3"/>
        <v>85</v>
      </c>
      <c r="L43" s="421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30">
        <f>IF(B43="","",menu!$D$17)</f>
        <v>4</v>
      </c>
      <c r="T43" s="424">
        <f t="shared" si="4"/>
        <v>84.375</v>
      </c>
      <c r="U43" s="425">
        <f t="shared" si="5"/>
        <v>84</v>
      </c>
      <c r="V43" s="425" t="str">
        <f>IF(M43="","",IF(U43&gt;=menu!$O$6,"A",IF(U43&gt;=menu!$O$7,"B",IF(U43&gt;=menu!$O$8,"C","D"))))</f>
        <v>C</v>
      </c>
      <c r="W43" s="426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8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3">
        <f t="shared" si="0"/>
        <v>87.8125</v>
      </c>
      <c r="I44" s="423">
        <f t="shared" si="1"/>
        <v>88.541666666666671</v>
      </c>
      <c r="J44" s="423">
        <f t="shared" si="2"/>
        <v>89</v>
      </c>
      <c r="K44" s="421">
        <f t="shared" si="3"/>
        <v>89</v>
      </c>
      <c r="L44" s="421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30">
        <f>IF(B44="","",menu!$D$17)</f>
        <v>4</v>
      </c>
      <c r="T44" s="424">
        <f t="shared" si="4"/>
        <v>87.8125</v>
      </c>
      <c r="U44" s="425">
        <f t="shared" si="5"/>
        <v>88</v>
      </c>
      <c r="V44" s="425" t="str">
        <f>IF(M44="","",IF(U44&gt;=menu!$O$6,"A",IF(U44&gt;=menu!$O$7,"B",IF(U44&gt;=menu!$O$8,"C","D"))))</f>
        <v>B</v>
      </c>
      <c r="W44" s="426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8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3">
        <f t="shared" si="0"/>
        <v>84.9375</v>
      </c>
      <c r="I45" s="423">
        <f t="shared" si="1"/>
        <v>85.791666666666671</v>
      </c>
      <c r="J45" s="423">
        <f t="shared" si="2"/>
        <v>86</v>
      </c>
      <c r="K45" s="421">
        <f t="shared" si="3"/>
        <v>86</v>
      </c>
      <c r="L45" s="421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30">
        <f>IF(B45="","",menu!$D$17)</f>
        <v>4</v>
      </c>
      <c r="T45" s="424">
        <f t="shared" si="4"/>
        <v>84.9375</v>
      </c>
      <c r="U45" s="425">
        <f t="shared" si="5"/>
        <v>85</v>
      </c>
      <c r="V45" s="425" t="str">
        <f>IF(M45="","",IF(U45&gt;=menu!$O$6,"A",IF(U45&gt;=menu!$O$7,"B",IF(U45&gt;=menu!$O$8,"C","D"))))</f>
        <v>C</v>
      </c>
      <c r="W45" s="426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8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3">
        <f t="shared" si="0"/>
        <v>87.6875</v>
      </c>
      <c r="I46" s="423">
        <f t="shared" si="1"/>
        <v>88.458333333333329</v>
      </c>
      <c r="J46" s="423">
        <f t="shared" si="2"/>
        <v>88</v>
      </c>
      <c r="K46" s="421">
        <f t="shared" si="3"/>
        <v>88</v>
      </c>
      <c r="L46" s="421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30">
        <f>IF(B46="","",menu!$D$17)</f>
        <v>4</v>
      </c>
      <c r="T46" s="424">
        <f t="shared" si="4"/>
        <v>87.6875</v>
      </c>
      <c r="U46" s="425">
        <f t="shared" si="5"/>
        <v>88</v>
      </c>
      <c r="V46" s="425" t="str">
        <f>IF(M46="","",IF(U46&gt;=menu!$O$6,"A",IF(U46&gt;=menu!$O$7,"B",IF(U46&gt;=menu!$O$8,"C","D"))))</f>
        <v>B</v>
      </c>
      <c r="W46" s="426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8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3">
        <f t="shared" si="0"/>
        <v>90.3125</v>
      </c>
      <c r="I47" s="423">
        <f t="shared" si="1"/>
        <v>89.375</v>
      </c>
      <c r="J47" s="423">
        <f t="shared" si="2"/>
        <v>89</v>
      </c>
      <c r="K47" s="421">
        <f t="shared" si="3"/>
        <v>89</v>
      </c>
      <c r="L47" s="421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30">
        <f>IF(B47="","",menu!$D$17)</f>
        <v>4</v>
      </c>
      <c r="T47" s="424">
        <f t="shared" si="4"/>
        <v>90.3125</v>
      </c>
      <c r="U47" s="425">
        <f t="shared" si="5"/>
        <v>90</v>
      </c>
      <c r="V47" s="425" t="str">
        <f>IF(M47="","",IF(U47&gt;=menu!$O$6,"A",IF(U47&gt;=menu!$O$7,"B",IF(U47&gt;=menu!$O$8,"C","D"))))</f>
        <v>B</v>
      </c>
      <c r="W47" s="426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8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3">
        <f t="shared" si="0"/>
        <v>85.125</v>
      </c>
      <c r="I48" s="423">
        <f t="shared" si="1"/>
        <v>86.75</v>
      </c>
      <c r="J48" s="423">
        <f t="shared" si="2"/>
        <v>87</v>
      </c>
      <c r="K48" s="421">
        <f t="shared" si="3"/>
        <v>87</v>
      </c>
      <c r="L48" s="421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30">
        <f>IF(B48="","",menu!$D$17)</f>
        <v>4</v>
      </c>
      <c r="T48" s="424">
        <f t="shared" si="4"/>
        <v>85.125</v>
      </c>
      <c r="U48" s="425">
        <f t="shared" si="5"/>
        <v>85</v>
      </c>
      <c r="V48" s="425" t="str">
        <f>IF(M48="","",IF(U48&gt;=menu!$O$6,"A",IF(U48&gt;=menu!$O$7,"B",IF(U48&gt;=menu!$O$8,"C","D"))))</f>
        <v>C</v>
      </c>
      <c r="W48" s="426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8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3">
        <f t="shared" si="0"/>
        <v>88.375</v>
      </c>
      <c r="I49" s="423">
        <f t="shared" si="1"/>
        <v>88.083333333333329</v>
      </c>
      <c r="J49" s="423">
        <f t="shared" si="2"/>
        <v>88</v>
      </c>
      <c r="K49" s="421">
        <f t="shared" si="3"/>
        <v>88</v>
      </c>
      <c r="L49" s="421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30">
        <f>IF(B49="","",menu!$D$17)</f>
        <v>4</v>
      </c>
      <c r="T49" s="424">
        <f t="shared" si="4"/>
        <v>88.375</v>
      </c>
      <c r="U49" s="425">
        <f t="shared" si="5"/>
        <v>88</v>
      </c>
      <c r="V49" s="425" t="str">
        <f>IF(M49="","",IF(U49&gt;=menu!$O$6,"A",IF(U49&gt;=menu!$O$7,"B",IF(U49&gt;=menu!$O$8,"C","D"))))</f>
        <v>B</v>
      </c>
      <c r="W49" s="426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8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3">
        <f t="shared" si="0"/>
        <v>90.9375</v>
      </c>
      <c r="I50" s="423">
        <f t="shared" si="1"/>
        <v>90.625</v>
      </c>
      <c r="J50" s="423">
        <f t="shared" si="2"/>
        <v>91</v>
      </c>
      <c r="K50" s="421">
        <f t="shared" si="3"/>
        <v>91</v>
      </c>
      <c r="L50" s="421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30">
        <f>IF(B50="","",menu!$D$17)</f>
        <v>4</v>
      </c>
      <c r="T50" s="424">
        <f t="shared" si="4"/>
        <v>90.9375</v>
      </c>
      <c r="U50" s="425">
        <f t="shared" si="5"/>
        <v>91</v>
      </c>
      <c r="V50" s="425" t="str">
        <f>IF(M50="","",IF(U50&gt;=menu!$O$6,"A",IF(U50&gt;=menu!$O$7,"B",IF(U50&gt;=menu!$O$8,"C","D"))))</f>
        <v>B</v>
      </c>
      <c r="W50" s="426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8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3">
        <f t="shared" si="0"/>
        <v>89.375</v>
      </c>
      <c r="I51" s="423">
        <f t="shared" si="1"/>
        <v>89.583333333333329</v>
      </c>
      <c r="J51" s="423">
        <f t="shared" si="2"/>
        <v>90</v>
      </c>
      <c r="K51" s="421">
        <f t="shared" si="3"/>
        <v>90</v>
      </c>
      <c r="L51" s="421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30">
        <f>IF(B51="","",menu!$D$17)</f>
        <v>4</v>
      </c>
      <c r="T51" s="424">
        <f t="shared" si="4"/>
        <v>89.375</v>
      </c>
      <c r="U51" s="425">
        <f t="shared" si="5"/>
        <v>89</v>
      </c>
      <c r="V51" s="425" t="str">
        <f>IF(M51="","",IF(U51&gt;=menu!$O$6,"A",IF(U51&gt;=menu!$O$7,"B",IF(U51&gt;=menu!$O$8,"C","D"))))</f>
        <v>B</v>
      </c>
      <c r="W51" s="426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8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3">
        <f t="shared" si="0"/>
        <v>86.0625</v>
      </c>
      <c r="I52" s="423">
        <f t="shared" si="1"/>
        <v>87.375</v>
      </c>
      <c r="J52" s="423">
        <f t="shared" si="2"/>
        <v>87</v>
      </c>
      <c r="K52" s="421">
        <f t="shared" si="3"/>
        <v>87</v>
      </c>
      <c r="L52" s="421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30">
        <f>IF(B52="","",menu!$D$17)</f>
        <v>4</v>
      </c>
      <c r="T52" s="424">
        <f t="shared" si="4"/>
        <v>86.0625</v>
      </c>
      <c r="U52" s="425">
        <f t="shared" si="5"/>
        <v>86</v>
      </c>
      <c r="V52" s="425" t="str">
        <f>IF(M52="","",IF(U52&gt;=menu!$O$6,"A",IF(U52&gt;=menu!$O$7,"B",IF(U52&gt;=menu!$O$8,"C","D"))))</f>
        <v>C</v>
      </c>
      <c r="W52" s="426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8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3">
        <f t="shared" si="0"/>
        <v>82.5</v>
      </c>
      <c r="I53" s="423">
        <f t="shared" si="1"/>
        <v>84.166666666666671</v>
      </c>
      <c r="J53" s="423">
        <f t="shared" si="2"/>
        <v>84</v>
      </c>
      <c r="K53" s="421">
        <f t="shared" si="3"/>
        <v>84</v>
      </c>
      <c r="L53" s="421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30">
        <f>IF(B53="","",menu!$D$17)</f>
        <v>4</v>
      </c>
      <c r="T53" s="424">
        <f t="shared" si="4"/>
        <v>82.5</v>
      </c>
      <c r="U53" s="425">
        <f t="shared" si="5"/>
        <v>83</v>
      </c>
      <c r="V53" s="425" t="str">
        <f>IF(M53="","",IF(U53&gt;=menu!$O$6,"A",IF(U53&gt;=menu!$O$7,"B",IF(U53&gt;=menu!$O$8,"C","D"))))</f>
        <v>C</v>
      </c>
      <c r="W53" s="426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8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3">
        <f t="shared" si="0"/>
        <v>94</v>
      </c>
      <c r="I54" s="423">
        <f t="shared" si="1"/>
        <v>92.666666666666671</v>
      </c>
      <c r="J54" s="423">
        <f t="shared" si="2"/>
        <v>93</v>
      </c>
      <c r="K54" s="421">
        <f t="shared" si="3"/>
        <v>93</v>
      </c>
      <c r="L54" s="421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30">
        <f>IF(B54="","",menu!$D$17)</f>
        <v>4</v>
      </c>
      <c r="T54" s="424">
        <f t="shared" si="4"/>
        <v>94</v>
      </c>
      <c r="U54" s="425">
        <f t="shared" si="5"/>
        <v>94</v>
      </c>
      <c r="V54" s="425" t="str">
        <f>IF(M54="","",IF(U54&gt;=menu!$O$6,"A",IF(U54&gt;=menu!$O$7,"B",IF(U54&gt;=menu!$O$8,"C","D"))))</f>
        <v>B</v>
      </c>
      <c r="W54" s="426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8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3">
        <f t="shared" si="0"/>
        <v>92.875</v>
      </c>
      <c r="I55" s="423">
        <f t="shared" si="1"/>
        <v>91.916666666666671</v>
      </c>
      <c r="J55" s="423">
        <f t="shared" si="2"/>
        <v>92</v>
      </c>
      <c r="K55" s="421">
        <f t="shared" si="3"/>
        <v>92</v>
      </c>
      <c r="L55" s="421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30">
        <f>IF(B55="","",menu!$D$17)</f>
        <v>4</v>
      </c>
      <c r="T55" s="424">
        <f t="shared" si="4"/>
        <v>92.875</v>
      </c>
      <c r="U55" s="425">
        <f t="shared" si="5"/>
        <v>93</v>
      </c>
      <c r="V55" s="425" t="str">
        <f>IF(M55="","",IF(U55&gt;=menu!$O$6,"A",IF(U55&gt;=menu!$O$7,"B",IF(U55&gt;=menu!$O$8,"C","D"))))</f>
        <v>B</v>
      </c>
      <c r="W55" s="426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8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7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9"/>
    </row>
    <row r="2" spans="1:20" ht="15.75">
      <c r="D2" s="550" t="str">
        <f>UPPER('[1]Data Raport'!C3:F3)</f>
        <v/>
      </c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2"/>
    </row>
    <row r="3" spans="1:20" ht="9" customHeight="1">
      <c r="D3" s="553" t="str">
        <f>UPPER('[1]Data Raport'!C5:F5)</f>
        <v/>
      </c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5"/>
    </row>
    <row r="4" spans="1:20" ht="8.25" customHeight="1">
      <c r="D4" s="556" t="s">
        <v>284</v>
      </c>
      <c r="E4" s="557"/>
      <c r="F4" s="557"/>
      <c r="G4" s="557"/>
      <c r="H4" s="557"/>
      <c r="I4" s="557"/>
      <c r="J4" s="557"/>
      <c r="K4" s="557"/>
      <c r="L4" s="557"/>
      <c r="M4" s="557"/>
      <c r="N4" s="557"/>
      <c r="O4" s="557"/>
      <c r="P4" s="557"/>
      <c r="Q4" s="557"/>
      <c r="R4" s="557"/>
      <c r="S4" s="558"/>
    </row>
    <row r="5" spans="1:20" ht="8.25" customHeight="1">
      <c r="D5" s="559"/>
      <c r="E5" s="560"/>
      <c r="F5" s="560"/>
      <c r="G5" s="560"/>
      <c r="H5" s="560"/>
      <c r="I5" s="560"/>
      <c r="J5" s="560"/>
      <c r="K5" s="560"/>
      <c r="L5" s="560"/>
      <c r="M5" s="560"/>
      <c r="N5" s="560"/>
      <c r="O5" s="560"/>
      <c r="P5" s="560"/>
      <c r="Q5" s="560"/>
      <c r="R5" s="560"/>
      <c r="S5" s="561"/>
    </row>
    <row r="6" spans="1:20" ht="8.25" customHeight="1">
      <c r="D6" s="562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563"/>
      <c r="P6" s="563"/>
      <c r="Q6" s="563"/>
      <c r="R6" s="563"/>
      <c r="S6" s="564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pkn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5" t="str">
        <f>menu!D14&amp;menu!E14</f>
        <v>7a</v>
      </c>
      <c r="E9" s="565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6"/>
      <c r="Q9" s="566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7"/>
      <c r="Q10" s="537"/>
      <c r="R10" s="241"/>
      <c r="S10" s="153"/>
    </row>
    <row r="11" spans="1:20">
      <c r="D11" s="152"/>
      <c r="E11" s="152"/>
      <c r="F11" s="152"/>
    </row>
    <row r="12" spans="1:20" s="246" customFormat="1">
      <c r="A12" s="538" t="s">
        <v>262</v>
      </c>
      <c r="B12" s="545" t="s">
        <v>288</v>
      </c>
      <c r="C12" s="538" t="s">
        <v>239</v>
      </c>
      <c r="D12" s="539" t="s">
        <v>35</v>
      </c>
      <c r="E12" s="540"/>
      <c r="F12" s="541"/>
      <c r="G12" s="542" t="s">
        <v>244</v>
      </c>
      <c r="H12" s="543"/>
      <c r="I12" s="544"/>
      <c r="J12" s="518" t="s">
        <v>422</v>
      </c>
      <c r="K12" s="519"/>
      <c r="L12" s="242"/>
      <c r="M12" s="242"/>
      <c r="N12" s="242"/>
      <c r="O12" s="242"/>
      <c r="P12" s="243" t="s">
        <v>421</v>
      </c>
      <c r="Q12" s="244"/>
      <c r="R12" s="244"/>
      <c r="S12" s="245"/>
      <c r="T12" s="520" t="s">
        <v>303</v>
      </c>
    </row>
    <row r="13" spans="1:20">
      <c r="A13" s="538"/>
      <c r="B13" s="546"/>
      <c r="C13" s="538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1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83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Pkn 7, dan perlu ditingkatkan dalam pengetahuan Pkn 8</v>
      </c>
      <c r="G14" s="227">
        <f>IF('Input Nilai Ketrampilan'!BF5="","",'Input Nilai Ketrampilan'!BF5)</f>
        <v>88</v>
      </c>
      <c r="H14" s="227" t="str">
        <f>IF('Input Nilai Ketrampilan'!BG5="","",'Input Nilai Ketrampilan'!BG5)</f>
        <v>B</v>
      </c>
      <c r="I14" s="228" t="str">
        <f>IF('Input Nilai Ketrampilan'!BK5="","",'Input Nilai Ketrampilan'!BK5)</f>
        <v>terampil ketrampilan Pkn 2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09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Pkn 7, dan perlu ditingkatkan dalam pengetahuan Pkn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Pkn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09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Pkn 8, dan perlu ditingkatkan dalam pengetahuan Pkn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Pkn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09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Pkn 1, dan perlu ditingkatkan dalam pengetahuan Pkn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Pkn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09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Pkn 7, dan perlu ditingkatkan dalam pengetahuan Pkn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Pkn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09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Pkn 2, dan perlu ditingkatkan dalam pengetahuan Pkn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Pkn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09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Pkn 4, dan perlu ditingkatkan dalam pengetahuan Pkn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Pkn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09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Pkn 4, dan perlu ditingkatkan dalam pengetahuan Pkn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Pkn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09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Pkn 4, dan perlu ditingkatkan dalam pengetahuan Pkn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Pkn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09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Pkn 7, dan perlu ditingkatkan dalam pengetahuan Pkn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Pkn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09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Pkn 1, dan perlu ditingkatkan dalam pengetahuan Pkn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Pkn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09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Pkn 1, dan perlu ditingkatkan dalam pengetahuan Pkn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Pkn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09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Pkn 2, dan perlu ditingkatkan dalam pengetahuan Pkn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Pkn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09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Pkn 8, dan perlu ditingkatkan dalam pengetahuan Pkn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Pkn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09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Pkn 1, dan perlu ditingkatkan dalam pengetahuan Pkn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Pkn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09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Pkn 4, dan perlu ditingkatkan dalam pengetahuan Pkn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Pkn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09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Pkn 1, dan perlu ditingkatkan dalam pengetahuan Pkn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Pkn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09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Pkn 8, dan perlu ditingkatkan dalam pengetahuan Pkn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Pkn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09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Pkn 4, dan perlu ditingkatkan dalam pengetahuan Pkn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Pkn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09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Pkn 7, dan perlu ditingkatkan dalam pengetahuan Pkn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Pkn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09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Pkn 1, dan perlu ditingkatkan dalam pengetahuan Pkn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Pkn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09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Pkn 7, dan perlu ditingkatkan dalam pengetahuan Pkn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Pkn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09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Pkn 4, dan perlu ditingkatkan dalam pengetahuan Pkn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Pkn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09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Pkn 1, dan perlu ditingkatkan dalam pengetahuan Pkn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Pkn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09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Pkn 8, dan perlu ditingkatkan dalam pengetahuan Pkn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Pkn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09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Pkn 4, dan perlu ditingkatkan dalam pengetahuan Pkn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Pkn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09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Pkn 4, dan perlu ditingkatkan dalam pengetahuan Pkn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Pkn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09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Pkn 1, dan perlu ditingkatkan dalam pengetahuan Pkn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Pkn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09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Pkn 8, dan perlu ditingkatkan dalam pengetahuan Pkn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Pkn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09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Pkn 8, dan perlu ditingkatkan dalam pengetahuan Pkn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Pkn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09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Pkn 2, dan perlu ditingkatkan dalam pengetahuan Pkn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Pkn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09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Pkn 4, dan perlu ditingkatkan dalam pengetahuan Pkn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Pkn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09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Pkn 1, dan perlu ditingkatkan dalam pengetahuan Pkn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Pkn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09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Pkn 8, dan perlu ditingkatkan dalam pengetahuan Pkn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Pkn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09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Pkn 4, dan perlu ditingkatkan dalam pengetahuan Pkn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Pkn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09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Pkn 1, dan perlu ditingkatkan dalam pengetahuan Pkn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Pkn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09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Pkn 3, dan perlu ditingkatkan dalam pengetahuan Pkn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Pkn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09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Pkn 8, dan perlu ditingkatkan dalam pengetahuan Pkn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Pkn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09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Pkn 4, dan perlu ditingkatkan dalam pengetahuan Pkn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Pkn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09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Pkn 2, dan perlu ditingkatkan dalam pengetahuan Pkn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Pkn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09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Pkn 1, dan perlu ditingkatkan dalam pengetahuan Pkn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Pkn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09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Pkn 4, dan perlu ditingkatkan dalam pengetahuan Pkn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Pkn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09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Pkn 4, dan perlu ditingkatkan dalam pengetahuan Pkn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Pkn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09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Pkn 2, dan perlu ditingkatkan dalam pengetahuan Pkn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Pkn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09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Pkn 8, dan perlu ditingkatkan dalam pengetahuan Pkn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Pkn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09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Pkn 4, dan perlu ditingkatkan dalam pengetahuan Pkn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Pkn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09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Pkn 4, dan perlu ditingkatkan dalam pengetahuan Pkn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Pkn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09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Pkn 2, dan perlu ditingkatkan dalam pengetahuan Pkn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Pkn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09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83.45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pkn</v>
      </c>
    </row>
    <row r="4" spans="1:21" ht="21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567"/>
      <c r="G4" s="567"/>
      <c r="H4" s="567"/>
      <c r="I4" s="567"/>
      <c r="J4" s="567"/>
      <c r="K4" s="567"/>
      <c r="L4" s="567"/>
      <c r="M4" s="482" t="s">
        <v>436</v>
      </c>
      <c r="N4" s="568"/>
      <c r="O4" s="568"/>
      <c r="P4" s="568"/>
      <c r="Q4" s="568"/>
      <c r="R4" s="568"/>
      <c r="S4" s="568"/>
      <c r="T4" s="568"/>
      <c r="U4" s="482" t="s">
        <v>437</v>
      </c>
    </row>
    <row r="5" spans="1:21" ht="18.75" customHeight="1">
      <c r="A5" s="479"/>
      <c r="B5" s="479"/>
      <c r="C5" s="481"/>
      <c r="D5" s="482"/>
      <c r="E5" s="484"/>
      <c r="F5" s="568"/>
      <c r="G5" s="568"/>
      <c r="H5" s="568"/>
      <c r="I5" s="568"/>
      <c r="J5" s="568"/>
      <c r="K5" s="568"/>
      <c r="L5" s="568"/>
      <c r="M5" s="482"/>
      <c r="N5" s="568"/>
      <c r="O5" s="568"/>
      <c r="P5" s="568"/>
      <c r="Q5" s="568"/>
      <c r="R5" s="568"/>
      <c r="S5" s="568"/>
      <c r="T5" s="568"/>
      <c r="U5" s="482"/>
    </row>
    <row r="6" spans="1:21" s="97" customFormat="1" ht="81" customHeight="1">
      <c r="A6" s="480"/>
      <c r="B6" s="480"/>
      <c r="C6" s="481"/>
      <c r="D6" s="482"/>
      <c r="E6" s="485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2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2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O5" activePane="bottomRight" state="frozen"/>
      <selection pane="topRight" activeCell="F1" sqref="F1"/>
      <selection pane="bottomLeft" activeCell="A6" sqref="A6"/>
      <selection pane="bottomRight" activeCell="BU8" sqref="BU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1" t="s">
        <v>15</v>
      </c>
      <c r="B1" s="591" t="s">
        <v>16</v>
      </c>
      <c r="C1" s="598" t="s">
        <v>0</v>
      </c>
      <c r="D1" s="599" t="s">
        <v>1</v>
      </c>
      <c r="E1" s="594" t="s">
        <v>17</v>
      </c>
      <c r="F1" s="600" t="str">
        <f>IF(KDOKE!B11="","",KDOKE!B11)</f>
        <v>pengetahuan Pkn 1</v>
      </c>
      <c r="G1" s="600"/>
      <c r="H1" s="600"/>
      <c r="I1" s="600"/>
      <c r="J1" s="600"/>
      <c r="K1" s="600"/>
      <c r="L1" s="600"/>
      <c r="M1" s="569" t="s">
        <v>436</v>
      </c>
      <c r="N1" s="601" t="str">
        <f>IF(KDOKE!B12="","",KDOKE!B12)</f>
        <v>pengetahuan Pkn 2</v>
      </c>
      <c r="O1" s="601"/>
      <c r="P1" s="601"/>
      <c r="Q1" s="601"/>
      <c r="R1" s="601"/>
      <c r="S1" s="601"/>
      <c r="T1" s="601"/>
      <c r="U1" s="569" t="s">
        <v>437</v>
      </c>
      <c r="V1" s="572" t="str">
        <f>IF(KDOKE!B13="","",KDOKE!B13)</f>
        <v>pengetahuan Pkn 3</v>
      </c>
      <c r="W1" s="572"/>
      <c r="X1" s="572"/>
      <c r="Y1" s="572"/>
      <c r="Z1" s="572"/>
      <c r="AA1" s="572"/>
      <c r="AB1" s="572"/>
      <c r="AC1" s="569" t="s">
        <v>438</v>
      </c>
      <c r="AD1" s="571" t="str">
        <f>IF(KDOKE!B14="","",KDOKE!B14)</f>
        <v>pengetahuan Pkn 4</v>
      </c>
      <c r="AE1" s="571"/>
      <c r="AF1" s="571"/>
      <c r="AG1" s="571"/>
      <c r="AH1" s="571"/>
      <c r="AI1" s="571"/>
      <c r="AJ1" s="571"/>
      <c r="AK1" s="569" t="s">
        <v>439</v>
      </c>
      <c r="AL1" s="573" t="str">
        <f>IF(KDOKE!B15="","",KDOKE!B15)</f>
        <v>pengetahuan Pkn 5</v>
      </c>
      <c r="AM1" s="573"/>
      <c r="AN1" s="573"/>
      <c r="AO1" s="573"/>
      <c r="AP1" s="573"/>
      <c r="AQ1" s="573"/>
      <c r="AR1" s="573"/>
      <c r="AS1" s="569" t="s">
        <v>440</v>
      </c>
      <c r="AT1" s="570" t="str">
        <f>IF(KDOKE!B16="","",KDOKE!B16)</f>
        <v>pengetahuan Pkn 6</v>
      </c>
      <c r="AU1" s="570"/>
      <c r="AV1" s="570"/>
      <c r="AW1" s="570"/>
      <c r="AX1" s="570"/>
      <c r="AY1" s="570"/>
      <c r="AZ1" s="570"/>
      <c r="BA1" s="569" t="s">
        <v>441</v>
      </c>
      <c r="BB1" s="597" t="str">
        <f>IF(KDOKE!B17="","",KDOKE!B17)</f>
        <v>pengetahuan Pkn 7</v>
      </c>
      <c r="BC1" s="597"/>
      <c r="BD1" s="597"/>
      <c r="BE1" s="597"/>
      <c r="BF1" s="597"/>
      <c r="BG1" s="597"/>
      <c r="BH1" s="597"/>
      <c r="BI1" s="569" t="s">
        <v>442</v>
      </c>
      <c r="BJ1" s="578" t="str">
        <f>IF(KDOKE!B18="","",KDOKE!B18)</f>
        <v>pengetahuan Pkn 8</v>
      </c>
      <c r="BK1" s="578"/>
      <c r="BL1" s="578"/>
      <c r="BM1" s="578"/>
      <c r="BN1" s="578"/>
      <c r="BO1" s="578"/>
      <c r="BP1" s="578"/>
      <c r="BQ1" s="569" t="s">
        <v>443</v>
      </c>
      <c r="BR1" s="581" t="str">
        <f>IF(KDOKE!B19="","",KDOKE!B19)</f>
        <v>pengetahuan Pkn 9</v>
      </c>
      <c r="BS1" s="581"/>
      <c r="BT1" s="581"/>
      <c r="BU1" s="581"/>
      <c r="BV1" s="581"/>
      <c r="BW1" s="581"/>
      <c r="BX1" s="581"/>
      <c r="BY1" s="569" t="s">
        <v>444</v>
      </c>
      <c r="BZ1" s="570" t="str">
        <f>IF(KDOKE!B20="","",KDOKE!B20)</f>
        <v>pengetahuan Pkn 10</v>
      </c>
      <c r="CA1" s="570"/>
      <c r="CB1" s="570"/>
      <c r="CC1" s="570"/>
      <c r="CD1" s="570"/>
      <c r="CE1" s="570"/>
      <c r="CF1" s="570"/>
      <c r="CG1" s="569" t="s">
        <v>445</v>
      </c>
      <c r="CH1" s="577" t="s">
        <v>27</v>
      </c>
      <c r="CI1" s="602" t="s">
        <v>323</v>
      </c>
      <c r="CJ1" s="582" t="s">
        <v>322</v>
      </c>
      <c r="CK1" s="92" t="s">
        <v>448</v>
      </c>
      <c r="CL1" s="574" t="s">
        <v>450</v>
      </c>
      <c r="CM1" s="614" t="s">
        <v>429</v>
      </c>
      <c r="CN1" s="615"/>
      <c r="CO1" s="616"/>
      <c r="CP1" s="605" t="s">
        <v>435</v>
      </c>
      <c r="CQ1" s="605" t="s">
        <v>433</v>
      </c>
      <c r="CR1" s="605" t="s">
        <v>434</v>
      </c>
      <c r="CS1" s="605" t="s">
        <v>394</v>
      </c>
      <c r="CT1" s="612" t="s">
        <v>303</v>
      </c>
      <c r="CU1" s="613"/>
      <c r="CV1" s="608" t="s">
        <v>324</v>
      </c>
      <c r="CW1" s="588" t="s">
        <v>325</v>
      </c>
      <c r="CX1" s="585" t="s">
        <v>326</v>
      </c>
    </row>
    <row r="2" spans="1:102" ht="18.75" customHeight="1">
      <c r="A2" s="592"/>
      <c r="B2" s="592"/>
      <c r="C2" s="598"/>
      <c r="D2" s="599"/>
      <c r="E2" s="595"/>
      <c r="F2" s="573">
        <f>IF(KDOKE!A11="","",KDOKE!A11)</f>
        <v>31</v>
      </c>
      <c r="G2" s="573"/>
      <c r="H2" s="573"/>
      <c r="I2" s="573"/>
      <c r="J2" s="573"/>
      <c r="K2" s="573"/>
      <c r="L2" s="573"/>
      <c r="M2" s="569"/>
      <c r="N2" s="601">
        <f>IF(KDOKE!A12="","",KDOKE!A12)</f>
        <v>32</v>
      </c>
      <c r="O2" s="601"/>
      <c r="P2" s="601"/>
      <c r="Q2" s="601"/>
      <c r="R2" s="601"/>
      <c r="S2" s="601"/>
      <c r="T2" s="601"/>
      <c r="U2" s="569"/>
      <c r="V2" s="572">
        <f>IF(KDOKE!A13="","",KDOKE!A13)</f>
        <v>33</v>
      </c>
      <c r="W2" s="572"/>
      <c r="X2" s="572"/>
      <c r="Y2" s="572"/>
      <c r="Z2" s="572"/>
      <c r="AA2" s="572"/>
      <c r="AB2" s="572"/>
      <c r="AC2" s="569"/>
      <c r="AD2" s="571">
        <f>IF(KDOKE!A14="","",KDOKE!A14)</f>
        <v>34</v>
      </c>
      <c r="AE2" s="571"/>
      <c r="AF2" s="571"/>
      <c r="AG2" s="571"/>
      <c r="AH2" s="571"/>
      <c r="AI2" s="571"/>
      <c r="AJ2" s="571"/>
      <c r="AK2" s="569"/>
      <c r="AL2" s="573">
        <f>IF(KDOKE!A15="","",KDOKE!A15)</f>
        <v>35</v>
      </c>
      <c r="AM2" s="573"/>
      <c r="AN2" s="573"/>
      <c r="AO2" s="573"/>
      <c r="AP2" s="573"/>
      <c r="AQ2" s="573"/>
      <c r="AR2" s="573"/>
      <c r="AS2" s="569"/>
      <c r="AT2" s="570">
        <f>IF(KDOKE!A16="","",KDOKE!A16)</f>
        <v>36</v>
      </c>
      <c r="AU2" s="570"/>
      <c r="AV2" s="570"/>
      <c r="AW2" s="570"/>
      <c r="AX2" s="570"/>
      <c r="AY2" s="570"/>
      <c r="AZ2" s="570"/>
      <c r="BA2" s="569"/>
      <c r="BB2" s="597">
        <f>IF(KDOKE!A17="","",KDOKE!A17)</f>
        <v>37</v>
      </c>
      <c r="BC2" s="597"/>
      <c r="BD2" s="597"/>
      <c r="BE2" s="597"/>
      <c r="BF2" s="597"/>
      <c r="BG2" s="597"/>
      <c r="BH2" s="597"/>
      <c r="BI2" s="569"/>
      <c r="BJ2" s="578">
        <f>IF(KDOKE!A18="","",KDOKE!A18)</f>
        <v>38</v>
      </c>
      <c r="BK2" s="578"/>
      <c r="BL2" s="578"/>
      <c r="BM2" s="578"/>
      <c r="BN2" s="578"/>
      <c r="BO2" s="578"/>
      <c r="BP2" s="578"/>
      <c r="BQ2" s="569"/>
      <c r="BR2" s="581">
        <f>IF(KDOKE!A19="","",KDOKE!A19)</f>
        <v>39</v>
      </c>
      <c r="BS2" s="581"/>
      <c r="BT2" s="581"/>
      <c r="BU2" s="581"/>
      <c r="BV2" s="581"/>
      <c r="BW2" s="581"/>
      <c r="BX2" s="581"/>
      <c r="BY2" s="569"/>
      <c r="BZ2" s="570">
        <f>IF(KDOKE!A20="","",KDOKE!A20)</f>
        <v>310</v>
      </c>
      <c r="CA2" s="570"/>
      <c r="CB2" s="570"/>
      <c r="CC2" s="570"/>
      <c r="CD2" s="570"/>
      <c r="CE2" s="570"/>
      <c r="CF2" s="570"/>
      <c r="CG2" s="569"/>
      <c r="CH2" s="577"/>
      <c r="CI2" s="603"/>
      <c r="CJ2" s="583"/>
      <c r="CK2" s="579" t="s">
        <v>449</v>
      </c>
      <c r="CL2" s="575"/>
      <c r="CM2" s="307" t="s">
        <v>430</v>
      </c>
      <c r="CN2" s="307" t="s">
        <v>431</v>
      </c>
      <c r="CO2" s="307" t="s">
        <v>432</v>
      </c>
      <c r="CP2" s="606"/>
      <c r="CQ2" s="606"/>
      <c r="CR2" s="606"/>
      <c r="CS2" s="606"/>
      <c r="CT2" s="611">
        <f>menu!R1</f>
        <v>80</v>
      </c>
      <c r="CU2" s="611"/>
      <c r="CV2" s="609"/>
      <c r="CW2" s="589"/>
      <c r="CX2" s="586"/>
    </row>
    <row r="3" spans="1:102" s="97" customFormat="1" ht="81" customHeight="1">
      <c r="A3" s="593"/>
      <c r="B3" s="593"/>
      <c r="C3" s="598"/>
      <c r="D3" s="599"/>
      <c r="E3" s="596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9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9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9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9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9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9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9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9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9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9"/>
      <c r="CH3" s="577"/>
      <c r="CI3" s="604"/>
      <c r="CJ3" s="584"/>
      <c r="CK3" s="580"/>
      <c r="CL3" s="576"/>
      <c r="CM3" s="306">
        <v>2</v>
      </c>
      <c r="CN3" s="306">
        <v>1</v>
      </c>
      <c r="CO3" s="306">
        <v>1</v>
      </c>
      <c r="CP3" s="607"/>
      <c r="CQ3" s="607"/>
      <c r="CR3" s="607"/>
      <c r="CS3" s="607"/>
      <c r="CT3" s="396" t="s">
        <v>484</v>
      </c>
      <c r="CU3" s="224" t="s">
        <v>485</v>
      </c>
      <c r="CV3" s="610"/>
      <c r="CW3" s="590"/>
      <c r="CX3" s="587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98</v>
      </c>
      <c r="BC5" s="100"/>
      <c r="BD5" s="100"/>
      <c r="BE5" s="90"/>
      <c r="BF5" s="310">
        <f>IF(AND(BB5="",BC5="",BD5="",BE5=""),"",AVERAGE(BB5:BE5))</f>
        <v>98</v>
      </c>
      <c r="BG5" s="100"/>
      <c r="BH5" s="100"/>
      <c r="BI5" s="319">
        <f>IF(AND(BB5="",BC5="",BD5="",BE5=""),"",IF(AND(BG5="",BH5=""),BF5,MAX(BF5:BH5)))</f>
        <v>98</v>
      </c>
      <c r="BJ5" s="100"/>
      <c r="BK5" s="100"/>
      <c r="BL5" s="100">
        <v>40</v>
      </c>
      <c r="BM5" s="90"/>
      <c r="BN5" s="310">
        <f>IF(AND(BJ5="",BK5="",BL5="",BM5=""),"",AVERAGE(BJ5:BM5))</f>
        <v>40</v>
      </c>
      <c r="BO5" s="100"/>
      <c r="BP5" s="100"/>
      <c r="BQ5" s="319">
        <f>IF(AND(BJ5="",BK5="",BL5="",BM5=""),"",IF(AND(BO5="",BP5=""),BN5,MAX(BN5:BP5)))</f>
        <v>40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82.1</v>
      </c>
      <c r="CI5" s="104">
        <f t="shared" ref="CI5:CI52" si="1">MAX(M5,U5,AC5,AK5,AS5,BA5,BI5,BQ5,BY5,CG5)</f>
        <v>98</v>
      </c>
      <c r="CJ5" s="104">
        <f t="shared" ref="CJ5:CJ52" si="2">MIN(M5,U5,AC5,AK5,AS5,BA5,BI5,BQ5,BY5,CG5)</f>
        <v>40</v>
      </c>
      <c r="CK5" s="90">
        <v>87.5</v>
      </c>
      <c r="CL5" s="100">
        <v>80</v>
      </c>
      <c r="CM5" s="322">
        <f>IF(CH5="","",CH5*$CM$3)</f>
        <v>164.2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82.924999999999997</v>
      </c>
      <c r="CQ5" s="323">
        <f>IF(CP5="","",ROUNDUP(CP5,0))</f>
        <v>83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Pkn 7, dan perlu ditingkatkan dalam pengetahuan Pkn 8</v>
      </c>
      <c r="CW5" s="107" t="str">
        <f>IF(CI5="","",VLOOKUP(CI5,DATAPENG!$B$3:$C$12,2,FALSE))</f>
        <v>pengetahuan Pkn 7</v>
      </c>
      <c r="CX5" s="107" t="str">
        <f>IF(CJ5="","",VLOOKUP(CJ5,DATAPENG!$B$3:$C$12,2,FALSE))</f>
        <v>pengetahuan Pkn 8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Pkn 7, dan perlu ditingkatkan dalam pengetahuan Pkn 10</v>
      </c>
      <c r="CW6" s="108" t="str">
        <f>IF(CI6="","",VLOOKUP(CI6,DATAPENG!$D$3:$E$12,2,FALSE))</f>
        <v>pengetahuan Pkn 7</v>
      </c>
      <c r="CX6" s="108" t="str">
        <f>IF(CJ6="","",VLOOKUP(CJ6,DATAPENG!$D$3:$E$12,2,FALSE))</f>
        <v>pengetahuan Pkn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Pkn 8, dan perlu ditingkatkan dalam pengetahuan Pkn 9</v>
      </c>
      <c r="CW7" s="108" t="str">
        <f>IF(CI7="","",VLOOKUP(CI7,DATAPENG!$F$3:$G$12,2,FALSE))</f>
        <v>pengetahuan Pkn 8</v>
      </c>
      <c r="CX7" s="108" t="str">
        <f>IF(CJ7="","",VLOOKUP(CJ7,DATAPENG!$F$3:$G$12,2,FALSE))</f>
        <v>pengetahuan Pkn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Pkn 1, dan perlu ditingkatkan dalam pengetahuan Pkn 10</v>
      </c>
      <c r="CW8" s="108" t="str">
        <f>IF(CI8="","",VLOOKUP(CI8,DATAPENG!$H$3:$I$12,2,FALSE))</f>
        <v>pengetahuan Pkn 1</v>
      </c>
      <c r="CX8" s="108" t="str">
        <f>IF(CJ8="","",VLOOKUP(CJ8,DATAPENG!$H$3:$I$12,2,FALSE))</f>
        <v>pengetahuan Pkn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Pkn 7, dan perlu ditingkatkan dalam pengetahuan Pkn 6</v>
      </c>
      <c r="CW9" s="108" t="str">
        <f>IF(CI9="","",VLOOKUP(CI9,DATAPENG!$J$3:$K$12,2,FALSE))</f>
        <v>pengetahuan Pkn 7</v>
      </c>
      <c r="CX9" s="108" t="str">
        <f>IF(CJ9="","",VLOOKUP(CJ9,DATAPENG!$J$3:$K$12,2,FALSE))</f>
        <v>pengetahuan Pkn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Pkn 2, dan perlu ditingkatkan dalam pengetahuan Pkn 10</v>
      </c>
      <c r="CW10" s="108" t="str">
        <f>IF(CI10="","",VLOOKUP(CI10,DATAPENG!$L$3:$M$12,2,FALSE))</f>
        <v>pengetahuan Pkn 2</v>
      </c>
      <c r="CX10" s="108" t="str">
        <f>IF(CJ10="","",VLOOKUP(CJ10,DATAPENG!$L$3:$M$12,2,FALSE))</f>
        <v>pengetahuan Pkn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Pkn 4, dan perlu ditingkatkan dalam pengetahuan Pkn 2</v>
      </c>
      <c r="CW11" s="108" t="str">
        <f>IF(CI11="","",VLOOKUP(CI11,DATAPENG!$N$3:$O$12,2,FALSE))</f>
        <v>pengetahuan Pkn 4</v>
      </c>
      <c r="CX11" s="108" t="str">
        <f>IF(CJ11="","",VLOOKUP(CJ11,DATAPENG!$N$3:$O$12,2,FALSE))</f>
        <v>pengetahuan Pkn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Pkn 4, dan perlu ditingkatkan dalam pengetahuan Pkn 10</v>
      </c>
      <c r="CW12" s="108" t="str">
        <f>IF(CI12="","",VLOOKUP(CI12,DATAPENG!$P$3:$Q$12,2,FALSE))</f>
        <v>pengetahuan Pkn 4</v>
      </c>
      <c r="CX12" s="108" t="str">
        <f>IF(CJ12="","",VLOOKUP(CJ12,DATAPENG!$P$3:$Q$12,2,FALSE))</f>
        <v>pengetahuan Pkn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Pkn 4, dan perlu ditingkatkan dalam pengetahuan Pkn 10</v>
      </c>
      <c r="CW13" s="108" t="str">
        <f>IF(CI13="","",VLOOKUP(CI13,DATAPENG!$R$3:$S$12,2,FALSE))</f>
        <v>pengetahuan Pkn 4</v>
      </c>
      <c r="CX13" s="108" t="str">
        <f>IF(CJ13="","",VLOOKUP(CJ13,DATAPENG!$R$3:$S$12,2,FALSE))</f>
        <v>pengetahuan Pkn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Pkn 7, dan perlu ditingkatkan dalam pengetahuan Pkn 6</v>
      </c>
      <c r="CW14" s="108" t="str">
        <f>IF(CI14="","",VLOOKUP(CI14,DATAPENG!$T$3:$U$12,2,FALSE))</f>
        <v>pengetahuan Pkn 7</v>
      </c>
      <c r="CX14" s="108" t="str">
        <f>IF(CJ14="","",VLOOKUP(CJ14,DATAPENG!$T$3:$U$12,2,FALSE))</f>
        <v>pengetahuan Pkn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Pkn 1, dan perlu ditingkatkan dalam pengetahuan Pkn 6</v>
      </c>
      <c r="CW15" s="108" t="str">
        <f>IF(CI15="","",VLOOKUP(CI15,DATAPENG!$V$3:$W$12,2,FALSE))</f>
        <v>pengetahuan Pkn 1</v>
      </c>
      <c r="CX15" s="108" t="str">
        <f>IF(CJ15="","",VLOOKUP(CJ15,DATAPENG!$V$3:$W$12,2,FALSE))</f>
        <v>pengetahuan Pkn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Pkn 1, dan perlu ditingkatkan dalam pengetahuan Pkn 10</v>
      </c>
      <c r="CW16" s="108" t="str">
        <f>IF(CI16="","",VLOOKUP(CI16,DATAPENG!$X$3:$Y$12,2,FALSE))</f>
        <v>pengetahuan Pkn 1</v>
      </c>
      <c r="CX16" s="108" t="str">
        <f>IF(CJ16="","",VLOOKUP(CJ16,DATAPENG!$X$3:$Y$12,2,FALSE))</f>
        <v>pengetahuan Pkn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Pkn 2, dan perlu ditingkatkan dalam pengetahuan Pkn 9</v>
      </c>
      <c r="CW17" s="108" t="str">
        <f>IF(CI17="","",VLOOKUP(CI17,DATAPENG!$Z$3:$AA$12,2,FALSE))</f>
        <v>pengetahuan Pkn 2</v>
      </c>
      <c r="CX17" s="108" t="str">
        <f>IF(CJ17="","",VLOOKUP(CJ17,DATAPENG!$Z$3:$AA$12,2,FALSE))</f>
        <v>pengetahuan Pkn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Pkn 8, dan perlu ditingkatkan dalam pengetahuan Pkn 10</v>
      </c>
      <c r="CW18" s="108" t="str">
        <f>IF(CI18="","",VLOOKUP(CI18,DATAPENG!$AB$3:$AC$12,2,FALSE))</f>
        <v>pengetahuan Pkn 8</v>
      </c>
      <c r="CX18" s="108" t="str">
        <f>IF(CJ18="","",VLOOKUP(CJ18,DATAPENG!$AB$3:$AC$12,2,FALSE))</f>
        <v>pengetahuan Pkn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Pkn 1, dan perlu ditingkatkan dalam pengetahuan Pkn 6</v>
      </c>
      <c r="CW19" s="108" t="str">
        <f>IF(CI19="","",VLOOKUP(CI19,DATAPENG!$AD$3:$AE$12,2,FALSE))</f>
        <v>pengetahuan Pkn 1</v>
      </c>
      <c r="CX19" s="108" t="str">
        <f>IF(CJ19="","",VLOOKUP(CJ19,DATAPENG!$AD$3:$AE$12,2,FALSE))</f>
        <v>pengetahuan Pkn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Pkn 4, dan perlu ditingkatkan dalam pengetahuan Pkn 9</v>
      </c>
      <c r="CW20" s="108" t="str">
        <f>IF(CI20="","",VLOOKUP(CI20,DATAPENG!$AF$3:$AG$12,2,FALSE))</f>
        <v>pengetahuan Pkn 4</v>
      </c>
      <c r="CX20" s="108" t="str">
        <f>IF(CJ20="","",VLOOKUP(CJ20,DATAPENG!$AF$3:$AG$12,2,FALSE))</f>
        <v>pengetahuan Pkn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Pkn 1, dan perlu ditingkatkan dalam pengetahuan Pkn 10</v>
      </c>
      <c r="CW21" s="108" t="str">
        <f>IF(CI21="","",VLOOKUP(CI21,DATAPENG!$AH$3:$AI$12,2,FALSE))</f>
        <v>pengetahuan Pkn 1</v>
      </c>
      <c r="CX21" s="108" t="str">
        <f>IF(CJ21="","",VLOOKUP(CJ21,DATAPENG!$AH$3:$AI$12,2,FALSE))</f>
        <v>pengetahuan Pkn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Pkn 8, dan perlu ditingkatkan dalam pengetahuan Pkn 10</v>
      </c>
      <c r="CW22" s="108" t="str">
        <f>IF(CI22="","",VLOOKUP(CI22,DATAPENG!$AJ$3:$AK$12,2,FALSE))</f>
        <v>pengetahuan Pkn 8</v>
      </c>
      <c r="CX22" s="108" t="str">
        <f>IF(CJ22="","",VLOOKUP(CJ22,DATAPENG!$AJ$3:$AK$12,2,FALSE))</f>
        <v>pengetahuan Pkn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Pkn 4, dan perlu ditingkatkan dalam pengetahuan Pkn 9</v>
      </c>
      <c r="CW23" s="108" t="str">
        <f>IF(CI23="","",VLOOKUP(CI23,DATAPENG!$AL$3:$AM$12,2,FALSE))</f>
        <v>pengetahuan Pkn 4</v>
      </c>
      <c r="CX23" s="108" t="str">
        <f>IF(CJ23="","",VLOOKUP(CJ23,DATAPENG!$AL$3:$AM$12,2,FALSE))</f>
        <v>pengetahuan Pkn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Pkn 7, dan perlu ditingkatkan dalam pengetahuan Pkn 10</v>
      </c>
      <c r="CW24" s="108" t="str">
        <f>IF(CI24="","",VLOOKUP(CI24,DATAPENG!$AN$3:$AO$12,2,FALSE))</f>
        <v>pengetahuan Pkn 7</v>
      </c>
      <c r="CX24" s="108" t="str">
        <f>IF(CJ24="","",VLOOKUP(CJ24,DATAPENG!$AN$3:$AO$12,2,FALSE))</f>
        <v>pengetahuan Pkn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Pkn 1, dan perlu ditingkatkan dalam pengetahuan Pkn 10</v>
      </c>
      <c r="CW25" s="108" t="str">
        <f>IF(CI25="","",VLOOKUP(CI25,DATAPENG!$AP$3:$AQ$12,2,FALSE))</f>
        <v>pengetahuan Pkn 1</v>
      </c>
      <c r="CX25" s="108" t="str">
        <f>IF(CJ25="","",VLOOKUP(CJ25,DATAPENG!$AP$3:$AQ$12,2,FALSE))</f>
        <v>pengetahuan Pkn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Pkn 7, dan perlu ditingkatkan dalam pengetahuan Pkn 10</v>
      </c>
      <c r="CW26" s="108" t="str">
        <f>IF(CI26="","",VLOOKUP(CI26,DATAPENG!$AR$3:$AS$12,2,FALSE))</f>
        <v>pengetahuan Pkn 7</v>
      </c>
      <c r="CX26" s="108" t="str">
        <f>IF(CJ26="","",VLOOKUP(CJ26,DATAPENG!$AR$3:$AS$12,2,FALSE))</f>
        <v>pengetahuan Pkn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Pkn 4, dan perlu ditingkatkan dalam pengetahuan Pkn 10</v>
      </c>
      <c r="CW27" s="108" t="str">
        <f>IF(CI27="","",VLOOKUP(CI27,DATAPENG!$AT$3:$AU$12,2,FALSE))</f>
        <v>pengetahuan Pkn 4</v>
      </c>
      <c r="CX27" s="108" t="str">
        <f>IF(CJ27="","",VLOOKUP(CJ27,DATAPENG!$AT$3:$AU$12,2,FALSE))</f>
        <v>pengetahuan Pkn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Pkn 1, dan perlu ditingkatkan dalam pengetahuan Pkn 10</v>
      </c>
      <c r="CW28" s="108" t="str">
        <f>IF(CI28="","",VLOOKUP(CI28,DATAPENG!$AV$3:$AW$12,2,FALSE))</f>
        <v>pengetahuan Pkn 1</v>
      </c>
      <c r="CX28" s="108" t="str">
        <f>IF(CJ28="","",VLOOKUP(CJ28,DATAPENG!$AV$3:$AW$12,2,FALSE))</f>
        <v>pengetahuan Pkn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Pkn 8, dan perlu ditingkatkan dalam pengetahuan Pkn 10</v>
      </c>
      <c r="CW29" s="108" t="str">
        <f>IF(CI29="","",VLOOKUP(CI29,DATAPENG!$AX$3:$AY$12,2,FALSE))</f>
        <v>pengetahuan Pkn 8</v>
      </c>
      <c r="CX29" s="108" t="str">
        <f>IF(CJ29="","",VLOOKUP(CJ29,DATAPENG!$AX$3:$AY$12,2,FALSE))</f>
        <v>pengetahuan Pkn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Pkn 4, dan perlu ditingkatkan dalam pengetahuan Pkn 9</v>
      </c>
      <c r="CW30" s="108" t="str">
        <f>IF(CI30="","",VLOOKUP(CI30,DATAPENG!$AZ$3:$BA$12,2,FALSE))</f>
        <v>pengetahuan Pkn 4</v>
      </c>
      <c r="CX30" s="108" t="str">
        <f>IF(CJ30="","",VLOOKUP(CJ30,DATAPENG!$AZ$3:$BA$12,2,FALSE))</f>
        <v>pengetahuan Pkn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Pkn 4, dan perlu ditingkatkan dalam pengetahuan Pkn 6</v>
      </c>
      <c r="CW31" s="108" t="str">
        <f>IF(CI31="","",VLOOKUP(CI31,DATAPENG!$BB$3:$BC$12,2,FALSE))</f>
        <v>pengetahuan Pkn 4</v>
      </c>
      <c r="CX31" s="108" t="str">
        <f>IF(CJ31="","",VLOOKUP(CJ31,DATAPENG!$BB$3:$BC$12,2,FALSE))</f>
        <v>pengetahuan Pkn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Pkn 1, dan perlu ditingkatkan dalam pengetahuan Pkn 6</v>
      </c>
      <c r="CW32" s="108" t="str">
        <f>IF(CI32="","",VLOOKUP(CI32,DATAPENG!$BD$3:$BE$12,2,FALSE))</f>
        <v>pengetahuan Pkn 1</v>
      </c>
      <c r="CX32" s="108" t="str">
        <f>IF(CJ32="","",VLOOKUP(CJ32,DATAPENG!$BD$3:$BE$12,2,FALSE))</f>
        <v>pengetahuan Pkn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Pkn 8, dan perlu ditingkatkan dalam pengetahuan Pkn 9</v>
      </c>
      <c r="CW33" s="108" t="str">
        <f>IF(CI33="","",VLOOKUP(CI33,DATAPENG!$BF$3:$BG$12,2,FALSE))</f>
        <v>pengetahuan Pkn 8</v>
      </c>
      <c r="CX33" s="108" t="str">
        <f>IF(CJ33="","",VLOOKUP(CJ33,DATAPENG!$BF$3:$BG$12,2,FALSE))</f>
        <v>pengetahuan Pkn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Pkn 8, dan perlu ditingkatkan dalam pengetahuan Pkn 9</v>
      </c>
      <c r="CW34" s="108" t="str">
        <f>IF(CI34="","",VLOOKUP(CI34,DATAPENG!$BH$3:$BI$12,2,FALSE))</f>
        <v>pengetahuan Pkn 8</v>
      </c>
      <c r="CX34" s="108" t="str">
        <f>IF(CJ34="","",VLOOKUP(CJ34,DATAPENG!$BH$3:$BI$12,2,FALSE))</f>
        <v>pengetahuan Pkn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Pkn 2, dan perlu ditingkatkan dalam pengetahuan Pkn 10</v>
      </c>
      <c r="CW35" s="108" t="str">
        <f>IF(CI35="","",VLOOKUP(CI35,DATAPENG!$BJ$3:$BK$12,2,FALSE))</f>
        <v>pengetahuan Pkn 2</v>
      </c>
      <c r="CX35" s="108" t="str">
        <f>IF(CJ35="","",VLOOKUP(CJ35,DATAPENG!$BJ$3:$BK$12,2,FALSE))</f>
        <v>pengetahuan Pkn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Pkn 4, dan perlu ditingkatkan dalam pengetahuan Pkn 6</v>
      </c>
      <c r="CW36" s="108" t="str">
        <f>IF(CI36="","",VLOOKUP(CI36,DATAPENG!$BL$3:$BM$12,2,FALSE))</f>
        <v>pengetahuan Pkn 4</v>
      </c>
      <c r="CX36" s="108" t="str">
        <f>IF(CJ36="","",VLOOKUP(CJ36,DATAPENG!$BL$3:$BM$12,2,FALSE))</f>
        <v>pengetahuan Pkn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Pkn 1, dan perlu ditingkatkan dalam pengetahuan Pkn 10</v>
      </c>
      <c r="CW37" s="108" t="str">
        <f>IF(CI37="","",VLOOKUP(CI37,DATAPENG!$BN$3:$BO$12,2,FALSE))</f>
        <v>pengetahuan Pkn 1</v>
      </c>
      <c r="CX37" s="108" t="str">
        <f>IF(CJ37="","",VLOOKUP(CJ37,DATAPENG!$BN$3:$BO$12,2,FALSE))</f>
        <v>pengetahuan Pkn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Pkn 8, dan perlu ditingkatkan dalam pengetahuan Pkn 2</v>
      </c>
      <c r="CW38" s="108" t="str">
        <f>IF(CI38="","",VLOOKUP(CI38,DATAPENG!$BP$3:$BQ$12,2,FALSE))</f>
        <v>pengetahuan Pkn 8</v>
      </c>
      <c r="CX38" s="108" t="str">
        <f>IF(CJ38="","",VLOOKUP(CJ38,DATAPENG!$BP$3:$BQ$12,2,FALSE))</f>
        <v>pengetahuan Pkn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Pkn 4, dan perlu ditingkatkan dalam pengetahuan Pkn 10</v>
      </c>
      <c r="CW39" s="108" t="str">
        <f>IF(CI39="","",VLOOKUP(CI39,DATAPENG!$BR$3:$BS$12,2,FALSE))</f>
        <v>pengetahuan Pkn 4</v>
      </c>
      <c r="CX39" s="108" t="str">
        <f>IF(CJ39="","",VLOOKUP(CJ39,DATAPENG!$BR$3:$BS$12,2,FALSE))</f>
        <v>pengetahuan Pkn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Pkn 1, dan perlu ditingkatkan dalam pengetahuan Pkn 9</v>
      </c>
      <c r="CW40" s="108" t="str">
        <f>IF(CI40="","",VLOOKUP(CI40,DATAPENG!$BT$3:$BU$12,2,FALSE))</f>
        <v>pengetahuan Pkn 1</v>
      </c>
      <c r="CX40" s="108" t="str">
        <f>IF(CJ40="","",VLOOKUP(CJ40,DATAPENG!$BT$3:$BU$12,2,FALSE))</f>
        <v>pengetahuan Pkn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Pkn 3, dan perlu ditingkatkan dalam pengetahuan Pkn 10</v>
      </c>
      <c r="CW41" s="108" t="str">
        <f>IF(CI41="","",VLOOKUP(CI41,DATAPENG!$BV$3:$BW$12,2,FALSE))</f>
        <v>pengetahuan Pkn 3</v>
      </c>
      <c r="CX41" s="108" t="str">
        <f>IF(CJ41="","",VLOOKUP(CJ41,DATAPENG!$BV$3:$BW$12,2,FALSE))</f>
        <v>pengetahuan Pkn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Pkn 8, dan perlu ditingkatkan dalam pengetahuan Pkn 10</v>
      </c>
      <c r="CW42" s="108" t="str">
        <f>IF(CI42="","",VLOOKUP(CI42,DATAPENG!$BX$3:$BY$12,2,FALSE))</f>
        <v>pengetahuan Pkn 8</v>
      </c>
      <c r="CX42" s="108" t="str">
        <f>IF(CJ42="","",VLOOKUP(CJ42,DATAPENG!$BX$3:$BY$12,2,FALSE))</f>
        <v>pengetahuan Pkn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Pkn 4, dan perlu ditingkatkan dalam pengetahuan Pkn 10</v>
      </c>
      <c r="CW43" s="108" t="str">
        <f>IF(CI43="","",VLOOKUP(CI43,DATAPENG!$BZ$3:$CA$12,2,FALSE))</f>
        <v>pengetahuan Pkn 4</v>
      </c>
      <c r="CX43" s="108" t="str">
        <f>IF(CJ43="","",VLOOKUP(CJ43,DATAPENG!$BZ$3:$CA$12,2,FALSE))</f>
        <v>pengetahuan Pkn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Pkn 2, dan perlu ditingkatkan dalam pengetahuan Pkn 9</v>
      </c>
      <c r="CW44" s="108" t="str">
        <f>IF(CI44="","",VLOOKUP(CI44,DATAPENG!$CB$3:$CC$12,2,FALSE))</f>
        <v>pengetahuan Pkn 2</v>
      </c>
      <c r="CX44" s="108" t="str">
        <f>IF(CJ44="","",VLOOKUP(CJ44,DATAPENG!$CB$3:$CC$12,2,FALSE))</f>
        <v>pengetahuan Pkn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Pkn 1, dan perlu ditingkatkan dalam pengetahuan Pkn 10</v>
      </c>
      <c r="CW45" s="108" t="str">
        <f>IF(CI45="","",VLOOKUP(CI45,DATAPENG!$CD$3:$CE$12,2,FALSE))</f>
        <v>pengetahuan Pkn 1</v>
      </c>
      <c r="CX45" s="108" t="str">
        <f>IF(CJ45="","",VLOOKUP(CJ45,DATAPENG!$CD$3:$CE$12,2,FALSE))</f>
        <v>pengetahuan Pkn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Pkn 4, dan perlu ditingkatkan dalam pengetahuan Pkn 6</v>
      </c>
      <c r="CW46" s="108" t="str">
        <f>IF(CI46="","",VLOOKUP(CI46,DATAPENG!$CF$3:$CG$12,2,FALSE))</f>
        <v>pengetahuan Pkn 4</v>
      </c>
      <c r="CX46" s="108" t="str">
        <f>IF(CJ46="","",VLOOKUP(CJ46,DATAPENG!$CF$3:$CG$12,2,FALSE))</f>
        <v>pengetahuan Pkn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Pkn 4, dan perlu ditingkatkan dalam pengetahuan Pkn 6</v>
      </c>
      <c r="CW47" s="108" t="str">
        <f>IF(CI47="","",VLOOKUP(CI47,DATAPENG!$CH$3:$CI$12,2,FALSE))</f>
        <v>pengetahuan Pkn 4</v>
      </c>
      <c r="CX47" s="108" t="str">
        <f>IF(CJ47="","",VLOOKUP(CJ47,DATAPENG!$CH$3:$CI$12,2,FALSE))</f>
        <v>pengetahuan Pkn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Pkn 2, dan perlu ditingkatkan dalam pengetahuan Pkn 10</v>
      </c>
      <c r="CW48" s="108" t="str">
        <f>IF(CI48="","",VLOOKUP(CI48,DATAPENG!$CJ$3:$CK$12,2,FALSE))</f>
        <v>pengetahuan Pkn 2</v>
      </c>
      <c r="CX48" s="108" t="str">
        <f>IF(CJ48="","",VLOOKUP(CJ48,DATAPENG!$CJ$3:$CK$12,2,FALSE))</f>
        <v>pengetahuan Pkn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Pkn 8, dan perlu ditingkatkan dalam pengetahuan Pkn 6</v>
      </c>
      <c r="CW49" s="108" t="str">
        <f>IF(CI49="","",VLOOKUP(CI49,DATAPENG!$CL$3:$CM$12,2,FALSE))</f>
        <v>pengetahuan Pkn 8</v>
      </c>
      <c r="CX49" s="108" t="str">
        <f>IF(CJ49="","",VLOOKUP(CJ49,DATAPENG!$CL$3:$CM$12,2,FALSE))</f>
        <v>pengetahuan Pkn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Pkn 4, dan perlu ditingkatkan dalam pengetahuan Pkn 9</v>
      </c>
      <c r="CW50" s="108" t="str">
        <f>IF(CI50="","",VLOOKUP(CI50,DATAPENG!$CN$3:$CO$12,2,FALSE))</f>
        <v>pengetahuan Pkn 4</v>
      </c>
      <c r="CX50" s="108" t="str">
        <f>IF(CJ50="","",VLOOKUP(CJ50,DATAPENG!$CN$3:$CO$12,2,FALSE))</f>
        <v>pengetahuan Pkn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Pkn 4, dan perlu ditingkatkan dalam pengetahuan Pkn 6</v>
      </c>
      <c r="CW51" s="108" t="str">
        <f>IF(CI51="","",VLOOKUP(CI51,DATAPENG!$CP$3:$CQ$12,2,FALSE))</f>
        <v>pengetahuan Pkn 4</v>
      </c>
      <c r="CX51" s="108" t="str">
        <f>IF(CJ51="","",VLOOKUP(CJ51,DATAPENG!$CP$3:$CQ$12,2,FALSE))</f>
        <v>pengetahuan Pkn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Pkn 2, dan perlu ditingkatkan dalam pengetahuan Pkn 10</v>
      </c>
      <c r="CW52" s="108" t="str">
        <f>IF(CI52="","",VLOOKUP(CI52,DATAPENG!$CR$3:$CS$12,2,FALSE))</f>
        <v>pengetahuan Pkn 2</v>
      </c>
      <c r="CX52" s="108" t="str">
        <f>IF(CJ52="","",VLOOKUP(CJ52,DATAPENG!$CR$3:$CS$12,2,FALSE))</f>
        <v>pengetahuan Pkn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8" t="s">
        <v>369</v>
      </c>
      <c r="AY1" s="618"/>
      <c r="AZ1" s="618" t="s">
        <v>370</v>
      </c>
      <c r="BA1" s="618"/>
      <c r="BB1" s="618" t="s">
        <v>371</v>
      </c>
      <c r="BC1" s="618"/>
      <c r="BD1" s="618" t="s">
        <v>372</v>
      </c>
      <c r="BE1" s="618"/>
      <c r="BF1" s="618" t="s">
        <v>373</v>
      </c>
      <c r="BG1" s="618"/>
      <c r="BH1" s="618" t="s">
        <v>374</v>
      </c>
      <c r="BI1" s="618"/>
      <c r="BJ1" s="618" t="s">
        <v>375</v>
      </c>
      <c r="BK1" s="618"/>
      <c r="BL1" s="618" t="s">
        <v>376</v>
      </c>
      <c r="BM1" s="618"/>
      <c r="BN1" s="618" t="s">
        <v>377</v>
      </c>
      <c r="BO1" s="618"/>
      <c r="BP1" s="618" t="s">
        <v>378</v>
      </c>
      <c r="BQ1" s="618"/>
      <c r="BR1" s="618" t="s">
        <v>379</v>
      </c>
      <c r="BS1" s="618"/>
      <c r="BT1" s="618" t="s">
        <v>380</v>
      </c>
      <c r="BU1" s="618"/>
      <c r="BV1" s="618" t="s">
        <v>381</v>
      </c>
      <c r="BW1" s="618"/>
      <c r="BX1" s="618" t="s">
        <v>382</v>
      </c>
      <c r="BY1" s="618"/>
      <c r="BZ1" s="618" t="s">
        <v>383</v>
      </c>
      <c r="CA1" s="618"/>
      <c r="CB1" s="618" t="s">
        <v>384</v>
      </c>
      <c r="CC1" s="618"/>
      <c r="CD1" s="618" t="s">
        <v>385</v>
      </c>
      <c r="CE1" s="618"/>
      <c r="CF1" s="618" t="s">
        <v>386</v>
      </c>
      <c r="CG1" s="618"/>
      <c r="CH1" s="618" t="s">
        <v>387</v>
      </c>
      <c r="CI1" s="618"/>
      <c r="CJ1" s="618" t="s">
        <v>388</v>
      </c>
      <c r="CK1" s="618"/>
      <c r="CL1" s="618" t="s">
        <v>389</v>
      </c>
      <c r="CM1" s="618"/>
      <c r="CN1" s="618" t="s">
        <v>390</v>
      </c>
      <c r="CO1" s="618"/>
      <c r="CP1" s="618" t="s">
        <v>391</v>
      </c>
      <c r="CQ1" s="618"/>
      <c r="CR1" s="618" t="s">
        <v>392</v>
      </c>
      <c r="CS1" s="618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Pkn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Pkn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Pkn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Pkn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Pkn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Pkn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Pkn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Pkn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Pkn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Pkn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Pkn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Pkn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Pkn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Pkn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Pkn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Pkn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Pkn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Pkn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Pkn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Pkn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Pkn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Pkn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Pkn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Pkn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Pkn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Pkn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Pkn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Pkn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Pkn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Pkn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Pkn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Pkn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Pkn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Pkn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Pkn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Pkn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Pkn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Pkn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Pkn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Pkn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Pkn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Pkn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Pkn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Pkn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Pkn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Pkn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Pkn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Pkn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Pkn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Pkn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Pkn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Pkn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Pkn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Pkn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Pkn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Pkn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Pkn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Pkn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Pkn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Pkn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Pkn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Pkn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Pkn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Pkn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Pkn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Pkn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Pkn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Pkn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Pkn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Pkn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Pkn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Pkn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Pkn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Pkn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Pkn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Pkn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Pkn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Pkn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Pkn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Pkn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Pkn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Pkn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Pkn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Pkn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Pkn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Pkn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Pkn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Pkn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Pkn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Pkn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Pkn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Pkn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Pkn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Pkn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Pkn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Pkn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Pkn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Pkn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Pkn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Pkn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Pkn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Pkn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Pkn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Pkn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Pkn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Pkn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Pkn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Pkn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Pkn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Pkn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Pkn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Pkn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Pkn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Pkn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Pkn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Pkn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Pkn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Pkn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Pkn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Pkn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Pkn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Pkn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Pkn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Pkn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Pkn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Pkn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Pkn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Pkn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Pkn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Pkn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Pkn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Pkn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Pkn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Pkn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Pkn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Pkn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Pkn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Pkn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Pkn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Pkn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Pkn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Pkn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Pkn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Pkn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Pkn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Pkn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Pkn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Pkn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Pkn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Pkn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Pkn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Pkn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Pkn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Pkn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Pkn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Pkn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Pkn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Pkn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Pkn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Pkn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Pkn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Pkn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Pkn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Pkn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Pkn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Pkn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Pkn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Pkn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Pkn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Pkn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Pkn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Pkn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Pkn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Pkn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Pkn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Pkn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Pkn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Pkn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Pkn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Pkn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Pkn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Pkn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Pkn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Pkn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Pkn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Pkn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Pkn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Pkn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Pkn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Pkn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Pkn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Pkn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Pkn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Pkn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Pkn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Pkn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Pkn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Pkn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Pkn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Pkn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Pkn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Pkn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Pkn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Pkn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Pkn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Pkn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Pkn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Pkn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Pkn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Pkn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Pkn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Pkn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Pkn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Pkn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Pkn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Pkn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Pkn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Pkn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Pkn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Pkn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Pkn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Pkn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Pkn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Pkn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Pkn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Pkn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Pkn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Pkn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Pkn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Pkn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Pkn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Pkn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Pkn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Pkn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Pkn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Pkn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Pkn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Pkn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Pkn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Pkn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Pkn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Pkn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Pkn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Pkn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Pkn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Pkn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Pkn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Pkn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Pkn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Pkn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Pkn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Pkn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Pkn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Pkn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Pkn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Pkn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Pkn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Pkn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Pkn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Pkn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Pkn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Pkn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Pkn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Pkn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Pkn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Pkn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Pkn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Pkn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Pkn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Pkn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Pkn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Pkn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Pkn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Pkn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Pkn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Pkn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Pkn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Pkn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Pkn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Pkn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Pkn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Pkn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Pkn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Pkn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Pkn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Pkn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Pkn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Pkn 6</v>
      </c>
    </row>
    <row r="9" spans="1:97">
      <c r="A9" s="72">
        <v>7</v>
      </c>
      <c r="B9" s="89">
        <f>IF('Input Nilai Pengetahuan'!BI5="","",'Input Nilai Pengetahuan'!BI5)</f>
        <v>98</v>
      </c>
      <c r="C9" s="89" t="str">
        <f>IF(B3="","",IF('Input Nilai Pengetahuan'!$BB$1="","",'Input Nilai Pengetahuan'!$BB$1))</f>
        <v>pengetahuan Pkn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Pkn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Pkn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Pkn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Pkn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Pkn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Pkn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Pkn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Pkn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Pkn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Pkn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Pkn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Pkn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Pkn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Pkn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Pkn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Pkn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Pkn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Pkn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Pkn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Pkn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Pkn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Pkn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Pkn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Pkn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Pkn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Pkn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Pkn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Pkn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Pkn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Pkn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Pkn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Pkn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Pkn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Pkn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Pkn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Pkn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Pkn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Pkn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Pkn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Pkn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Pkn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Pkn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Pkn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Pkn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Pkn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Pkn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Pkn 7</v>
      </c>
    </row>
    <row r="10" spans="1:97">
      <c r="A10" s="72">
        <v>8</v>
      </c>
      <c r="B10" s="89">
        <f>IF('Input Nilai Pengetahuan'!BQ5="","",'Input Nilai Pengetahuan'!BQ5)</f>
        <v>40</v>
      </c>
      <c r="C10" s="89" t="str">
        <f>IF(B3="","",IF('Input Nilai Pengetahuan'!$BJ$1="","",'Input Nilai Pengetahuan'!$BJ$1))</f>
        <v>pengetahuan Pkn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Pkn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Pkn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Pkn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Pkn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Pkn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Pkn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Pkn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Pkn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Pkn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Pkn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Pkn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Pkn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Pkn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Pkn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Pkn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Pkn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Pkn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Pkn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Pkn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Pkn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Pkn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Pkn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Pkn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Pkn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Pkn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Pkn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Pkn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Pkn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Pkn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Pkn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Pkn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Pkn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Pkn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Pkn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Pkn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Pkn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Pkn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Pkn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Pkn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Pkn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Pkn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Pkn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Pkn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Pkn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Pkn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Pkn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Pkn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Pkn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Pkn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Pkn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Pkn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Pkn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Pkn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Pkn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Pkn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Pkn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Pkn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Pkn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Pkn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Pkn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Pkn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Pkn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Pkn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Pkn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Pkn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Pkn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Pkn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Pkn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Pkn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Pkn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Pkn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Pkn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Pkn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Pkn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Pkn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Pkn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Pkn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Pkn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Pkn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Pkn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Pkn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Pkn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Pkn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Pkn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Pkn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Pkn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Pkn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Pkn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Pkn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Pkn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Pkn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Pkn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Pkn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Pkn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Pkn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Pkn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Pkn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Pkn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Pkn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Pkn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Pkn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Pkn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Pkn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Pkn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Pkn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Pkn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Pkn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Pkn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Pkn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Pkn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Pkn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Pkn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Pkn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Pkn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Pkn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Pkn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Pkn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Pkn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Pkn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Pkn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Pkn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Pkn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Pkn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Pkn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Pkn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Pkn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Pkn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Pkn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Pkn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Pkn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Pkn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Pkn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Pkn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Pkn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Pkn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Pkn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Pkn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Pkn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Pkn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Pkn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Pkn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Pkn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Pkn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19</v>
      </c>
      <c r="G1" s="482"/>
      <c r="H1" s="482"/>
      <c r="I1" s="619" t="s">
        <v>7</v>
      </c>
      <c r="J1" s="620" t="s">
        <v>302</v>
      </c>
      <c r="K1" s="482" t="s">
        <v>19</v>
      </c>
      <c r="L1" s="482"/>
      <c r="M1" s="482"/>
      <c r="N1" s="619" t="s">
        <v>7</v>
      </c>
      <c r="O1" s="620" t="s">
        <v>302</v>
      </c>
      <c r="P1" s="482" t="s">
        <v>19</v>
      </c>
      <c r="Q1" s="482"/>
      <c r="R1" s="482"/>
      <c r="S1" s="619" t="s">
        <v>7</v>
      </c>
      <c r="T1" s="620" t="s">
        <v>302</v>
      </c>
      <c r="U1" s="482" t="s">
        <v>19</v>
      </c>
      <c r="V1" s="482"/>
      <c r="W1" s="482"/>
      <c r="X1" s="619" t="s">
        <v>7</v>
      </c>
      <c r="Y1" s="620" t="s">
        <v>302</v>
      </c>
      <c r="Z1" s="482" t="s">
        <v>19</v>
      </c>
      <c r="AA1" s="482"/>
      <c r="AB1" s="482"/>
      <c r="AC1" s="619" t="s">
        <v>7</v>
      </c>
      <c r="AD1" s="620" t="s">
        <v>302</v>
      </c>
      <c r="AE1" s="482" t="s">
        <v>19</v>
      </c>
      <c r="AF1" s="482"/>
      <c r="AG1" s="482"/>
      <c r="AH1" s="619" t="s">
        <v>7</v>
      </c>
      <c r="AI1" s="620" t="s">
        <v>302</v>
      </c>
      <c r="AJ1" s="482" t="s">
        <v>19</v>
      </c>
      <c r="AK1" s="482"/>
      <c r="AL1" s="482"/>
      <c r="AM1" s="619" t="s">
        <v>7</v>
      </c>
      <c r="AN1" s="620" t="s">
        <v>302</v>
      </c>
      <c r="AO1" s="482" t="s">
        <v>19</v>
      </c>
      <c r="AP1" s="482"/>
      <c r="AQ1" s="482"/>
      <c r="AR1" s="623" t="s">
        <v>7</v>
      </c>
      <c r="AS1" s="620" t="s">
        <v>302</v>
      </c>
      <c r="AT1" s="482" t="s">
        <v>19</v>
      </c>
      <c r="AU1" s="482"/>
      <c r="AV1" s="482"/>
      <c r="AW1" s="623" t="s">
        <v>7</v>
      </c>
      <c r="AX1" s="620" t="s">
        <v>302</v>
      </c>
      <c r="AY1" s="482" t="s">
        <v>19</v>
      </c>
      <c r="AZ1" s="482"/>
      <c r="BA1" s="482"/>
      <c r="BB1" s="623" t="s">
        <v>7</v>
      </c>
      <c r="BC1" s="620" t="s">
        <v>302</v>
      </c>
      <c r="BD1" s="619" t="s">
        <v>27</v>
      </c>
      <c r="BE1" s="605" t="s">
        <v>28</v>
      </c>
      <c r="BF1" s="605" t="s">
        <v>29</v>
      </c>
      <c r="BG1" s="93" t="s">
        <v>303</v>
      </c>
      <c r="BH1" s="608" t="s">
        <v>30</v>
      </c>
      <c r="BI1" s="588" t="s">
        <v>283</v>
      </c>
      <c r="BJ1" s="585" t="s">
        <v>36</v>
      </c>
    </row>
    <row r="2" spans="1:62">
      <c r="A2" s="479"/>
      <c r="B2" s="479"/>
      <c r="C2" s="481"/>
      <c r="D2" s="482"/>
      <c r="E2" s="484"/>
      <c r="F2" s="482" t="s">
        <v>18</v>
      </c>
      <c r="G2" s="482"/>
      <c r="H2" s="482"/>
      <c r="I2" s="619"/>
      <c r="J2" s="621"/>
      <c r="K2" s="482" t="s">
        <v>20</v>
      </c>
      <c r="L2" s="482"/>
      <c r="M2" s="482"/>
      <c r="N2" s="619"/>
      <c r="O2" s="621"/>
      <c r="P2" s="482" t="s">
        <v>21</v>
      </c>
      <c r="Q2" s="482"/>
      <c r="R2" s="482"/>
      <c r="S2" s="619"/>
      <c r="T2" s="621"/>
      <c r="U2" s="482" t="s">
        <v>22</v>
      </c>
      <c r="V2" s="482"/>
      <c r="W2" s="482"/>
      <c r="X2" s="619"/>
      <c r="Y2" s="621"/>
      <c r="Z2" s="482" t="s">
        <v>23</v>
      </c>
      <c r="AA2" s="482"/>
      <c r="AB2" s="482"/>
      <c r="AC2" s="619"/>
      <c r="AD2" s="621"/>
      <c r="AE2" s="482" t="s">
        <v>24</v>
      </c>
      <c r="AF2" s="482"/>
      <c r="AG2" s="482"/>
      <c r="AH2" s="619"/>
      <c r="AI2" s="621"/>
      <c r="AJ2" s="482" t="s">
        <v>25</v>
      </c>
      <c r="AK2" s="482"/>
      <c r="AL2" s="482"/>
      <c r="AM2" s="619"/>
      <c r="AN2" s="621"/>
      <c r="AO2" s="482" t="s">
        <v>26</v>
      </c>
      <c r="AP2" s="482"/>
      <c r="AQ2" s="482"/>
      <c r="AR2" s="624"/>
      <c r="AS2" s="621"/>
      <c r="AT2" s="482" t="s">
        <v>44</v>
      </c>
      <c r="AU2" s="482"/>
      <c r="AV2" s="482"/>
      <c r="AW2" s="624"/>
      <c r="AX2" s="621"/>
      <c r="AY2" s="482" t="s">
        <v>45</v>
      </c>
      <c r="AZ2" s="482"/>
      <c r="BA2" s="482"/>
      <c r="BB2" s="624"/>
      <c r="BC2" s="621"/>
      <c r="BD2" s="619"/>
      <c r="BE2" s="606"/>
      <c r="BF2" s="606"/>
      <c r="BG2" s="103">
        <f>menu!$D$19</f>
        <v>0</v>
      </c>
      <c r="BH2" s="609"/>
      <c r="BI2" s="589"/>
      <c r="BJ2" s="586"/>
    </row>
    <row r="3" spans="1:62" ht="69.75">
      <c r="A3" s="480"/>
      <c r="B3" s="480"/>
      <c r="C3" s="481"/>
      <c r="D3" s="482"/>
      <c r="E3" s="485"/>
      <c r="F3" s="111" t="s">
        <v>31</v>
      </c>
      <c r="G3" s="112" t="s">
        <v>32</v>
      </c>
      <c r="H3" s="111" t="s">
        <v>33</v>
      </c>
      <c r="I3" s="619"/>
      <c r="J3" s="622"/>
      <c r="K3" s="111" t="s">
        <v>31</v>
      </c>
      <c r="L3" s="112" t="s">
        <v>32</v>
      </c>
      <c r="M3" s="111" t="s">
        <v>33</v>
      </c>
      <c r="N3" s="619"/>
      <c r="O3" s="622"/>
      <c r="P3" s="111" t="s">
        <v>31</v>
      </c>
      <c r="Q3" s="112" t="s">
        <v>32</v>
      </c>
      <c r="R3" s="111" t="s">
        <v>33</v>
      </c>
      <c r="S3" s="619"/>
      <c r="T3" s="622"/>
      <c r="U3" s="111" t="s">
        <v>31</v>
      </c>
      <c r="V3" s="112" t="s">
        <v>32</v>
      </c>
      <c r="W3" s="111" t="s">
        <v>33</v>
      </c>
      <c r="X3" s="619"/>
      <c r="Y3" s="622"/>
      <c r="Z3" s="111" t="s">
        <v>31</v>
      </c>
      <c r="AA3" s="112" t="s">
        <v>32</v>
      </c>
      <c r="AB3" s="111" t="s">
        <v>33</v>
      </c>
      <c r="AC3" s="619"/>
      <c r="AD3" s="622"/>
      <c r="AE3" s="111" t="s">
        <v>31</v>
      </c>
      <c r="AF3" s="112" t="s">
        <v>32</v>
      </c>
      <c r="AG3" s="111" t="s">
        <v>33</v>
      </c>
      <c r="AH3" s="619"/>
      <c r="AI3" s="622"/>
      <c r="AJ3" s="111" t="s">
        <v>31</v>
      </c>
      <c r="AK3" s="112" t="s">
        <v>32</v>
      </c>
      <c r="AL3" s="111" t="s">
        <v>33</v>
      </c>
      <c r="AM3" s="619"/>
      <c r="AN3" s="622"/>
      <c r="AO3" s="111" t="s">
        <v>31</v>
      </c>
      <c r="AP3" s="112" t="s">
        <v>32</v>
      </c>
      <c r="AQ3" s="111" t="s">
        <v>33</v>
      </c>
      <c r="AR3" s="625"/>
      <c r="AS3" s="622"/>
      <c r="AT3" s="111" t="s">
        <v>31</v>
      </c>
      <c r="AU3" s="112" t="s">
        <v>32</v>
      </c>
      <c r="AV3" s="111" t="s">
        <v>33</v>
      </c>
      <c r="AW3" s="625"/>
      <c r="AX3" s="622"/>
      <c r="AY3" s="111" t="s">
        <v>31</v>
      </c>
      <c r="AZ3" s="112" t="s">
        <v>32</v>
      </c>
      <c r="BA3" s="111" t="s">
        <v>33</v>
      </c>
      <c r="BB3" s="625"/>
      <c r="BC3" s="622"/>
      <c r="BD3" s="619"/>
      <c r="BE3" s="607"/>
      <c r="BF3" s="607"/>
      <c r="BG3" s="114" t="s">
        <v>304</v>
      </c>
      <c r="BH3" s="610"/>
      <c r="BI3" s="590"/>
      <c r="BJ3" s="587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>
      <c r="A2" s="192" t="str">
        <f>menu!D13</f>
        <v>pkn</v>
      </c>
      <c r="O2" s="184" t="s">
        <v>313</v>
      </c>
      <c r="R2" s="193" t="str">
        <f>menu!D11</f>
        <v>Master</v>
      </c>
    </row>
    <row r="4" spans="1:21" ht="15" customHeight="1">
      <c r="A4" s="478" t="s">
        <v>15</v>
      </c>
      <c r="B4" s="478" t="s">
        <v>16</v>
      </c>
      <c r="C4" s="481" t="s">
        <v>0</v>
      </c>
      <c r="D4" s="482" t="s">
        <v>1</v>
      </c>
      <c r="E4" s="483" t="s">
        <v>17</v>
      </c>
      <c r="F4" s="482"/>
      <c r="G4" s="482"/>
      <c r="H4" s="482"/>
      <c r="I4" s="629" t="s">
        <v>7</v>
      </c>
      <c r="J4" s="482"/>
      <c r="K4" s="482"/>
      <c r="L4" s="482"/>
      <c r="M4" s="629" t="s">
        <v>7</v>
      </c>
      <c r="N4" s="482"/>
      <c r="O4" s="482"/>
      <c r="P4" s="482"/>
      <c r="Q4" s="629" t="s">
        <v>7</v>
      </c>
      <c r="R4" s="482"/>
      <c r="S4" s="482"/>
      <c r="T4" s="482"/>
      <c r="U4" s="629" t="s">
        <v>7</v>
      </c>
    </row>
    <row r="5" spans="1:21" ht="15" customHeight="1">
      <c r="A5" s="479"/>
      <c r="B5" s="479"/>
      <c r="C5" s="481"/>
      <c r="D5" s="482"/>
      <c r="E5" s="484"/>
      <c r="F5" s="482"/>
      <c r="G5" s="482"/>
      <c r="H5" s="482"/>
      <c r="I5" s="629"/>
      <c r="J5" s="482"/>
      <c r="K5" s="482"/>
      <c r="L5" s="482"/>
      <c r="M5" s="629"/>
      <c r="N5" s="482"/>
      <c r="O5" s="482"/>
      <c r="P5" s="482"/>
      <c r="Q5" s="629"/>
      <c r="R5" s="482"/>
      <c r="S5" s="482"/>
      <c r="T5" s="482"/>
      <c r="U5" s="629"/>
    </row>
    <row r="6" spans="1:21" s="97" customFormat="1" ht="80.25" customHeight="1">
      <c r="A6" s="480"/>
      <c r="B6" s="480"/>
      <c r="C6" s="481"/>
      <c r="D6" s="482"/>
      <c r="E6" s="485"/>
      <c r="F6" s="111" t="s">
        <v>31</v>
      </c>
      <c r="G6" s="112" t="s">
        <v>32</v>
      </c>
      <c r="H6" s="111" t="s">
        <v>33</v>
      </c>
      <c r="I6" s="629"/>
      <c r="J6" s="111" t="s">
        <v>31</v>
      </c>
      <c r="K6" s="112" t="s">
        <v>32</v>
      </c>
      <c r="L6" s="111" t="s">
        <v>33</v>
      </c>
      <c r="M6" s="629"/>
      <c r="N6" s="111" t="s">
        <v>31</v>
      </c>
      <c r="O6" s="112" t="s">
        <v>32</v>
      </c>
      <c r="P6" s="111" t="s">
        <v>33</v>
      </c>
      <c r="Q6" s="629"/>
      <c r="R6" s="111" t="s">
        <v>31</v>
      </c>
      <c r="S6" s="112" t="s">
        <v>32</v>
      </c>
      <c r="T6" s="111" t="s">
        <v>33</v>
      </c>
      <c r="U6" s="629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U6" sqref="U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630" t="str">
        <f>IF(KDOKE!B29="","",KDOKE!B29)</f>
        <v>ketrampilan Pkn 1</v>
      </c>
      <c r="G1" s="630"/>
      <c r="H1" s="630"/>
      <c r="I1" s="630"/>
      <c r="J1" s="619" t="s">
        <v>7</v>
      </c>
      <c r="K1" s="630" t="str">
        <f>IF(KDOKE!B30="","",KDOKE!B30)</f>
        <v>ketrampilan Pkn 2</v>
      </c>
      <c r="L1" s="630"/>
      <c r="M1" s="630"/>
      <c r="N1" s="630"/>
      <c r="O1" s="619" t="s">
        <v>7</v>
      </c>
      <c r="P1" s="630" t="str">
        <f>IF(KDOKE!B31="","",KDOKE!B31)</f>
        <v>ketrampilan Pkn 3</v>
      </c>
      <c r="Q1" s="630"/>
      <c r="R1" s="630"/>
      <c r="S1" s="630"/>
      <c r="T1" s="619" t="s">
        <v>7</v>
      </c>
      <c r="U1" s="630" t="str">
        <f>IF(KDOKE!B32="","",KDOKE!B32)</f>
        <v>ketrampilan Pkn 4</v>
      </c>
      <c r="V1" s="630"/>
      <c r="W1" s="630"/>
      <c r="X1" s="630"/>
      <c r="Y1" s="619" t="s">
        <v>7</v>
      </c>
      <c r="Z1" s="630" t="str">
        <f>IF(KDOKE!B33="","",KDOKE!B33)</f>
        <v>ketrampilan Pkn 5</v>
      </c>
      <c r="AA1" s="630"/>
      <c r="AB1" s="630"/>
      <c r="AC1" s="630"/>
      <c r="AD1" s="619" t="s">
        <v>7</v>
      </c>
      <c r="AE1" s="630" t="str">
        <f>IF(KDOKE!B34="","",KDOKE!B34)</f>
        <v>ketrampilan Pkn 6</v>
      </c>
      <c r="AF1" s="630"/>
      <c r="AG1" s="630"/>
      <c r="AH1" s="630"/>
      <c r="AI1" s="619" t="s">
        <v>7</v>
      </c>
      <c r="AJ1" s="630" t="str">
        <f>IF(KDOKE!B35="","",KDOKE!B35)</f>
        <v>ketrampilan Pkn 7</v>
      </c>
      <c r="AK1" s="630"/>
      <c r="AL1" s="630"/>
      <c r="AM1" s="630"/>
      <c r="AN1" s="619" t="s">
        <v>7</v>
      </c>
      <c r="AO1" s="630" t="str">
        <f>IF(KDOKE!B36="","",KDOKE!B36)</f>
        <v>ketrampilan Pkn 8</v>
      </c>
      <c r="AP1" s="630"/>
      <c r="AQ1" s="630"/>
      <c r="AR1" s="630"/>
      <c r="AS1" s="623" t="s">
        <v>7</v>
      </c>
      <c r="AT1" s="630" t="str">
        <f>IF(KDOKE!B37="","",KDOKE!B37)</f>
        <v>ketrampilan Pkn 9</v>
      </c>
      <c r="AU1" s="630"/>
      <c r="AV1" s="630"/>
      <c r="AW1" s="630"/>
      <c r="AX1" s="623" t="s">
        <v>7</v>
      </c>
      <c r="AY1" s="630" t="str">
        <f>IF(KDOKE!B38="","",KDOKE!B38)</f>
        <v>ketrampilan Pkn 10</v>
      </c>
      <c r="AZ1" s="630"/>
      <c r="BA1" s="630"/>
      <c r="BB1" s="630"/>
      <c r="BC1" s="623" t="s">
        <v>7</v>
      </c>
      <c r="BD1" s="579" t="s">
        <v>395</v>
      </c>
      <c r="BE1" s="569" t="s">
        <v>27</v>
      </c>
      <c r="BF1" s="631" t="s">
        <v>28</v>
      </c>
      <c r="BG1" s="634" t="s">
        <v>30</v>
      </c>
      <c r="BH1" s="93" t="s">
        <v>303</v>
      </c>
      <c r="BI1" s="608" t="s">
        <v>396</v>
      </c>
      <c r="BJ1" s="588" t="s">
        <v>283</v>
      </c>
      <c r="BK1" s="585" t="s">
        <v>36</v>
      </c>
    </row>
    <row r="2" spans="1:63" ht="15" customHeight="1">
      <c r="A2" s="479"/>
      <c r="B2" s="479"/>
      <c r="C2" s="481"/>
      <c r="D2" s="482"/>
      <c r="E2" s="484"/>
      <c r="F2" s="568">
        <f>IF(KDOKE!A29="","",KDOKE!A29)</f>
        <v>41</v>
      </c>
      <c r="G2" s="568"/>
      <c r="H2" s="568"/>
      <c r="I2" s="568"/>
      <c r="J2" s="619"/>
      <c r="K2" s="568">
        <f>IF(KDOKE!A30="","",KDOKE!A30)</f>
        <v>42</v>
      </c>
      <c r="L2" s="568"/>
      <c r="M2" s="568"/>
      <c r="N2" s="568"/>
      <c r="O2" s="619"/>
      <c r="P2" s="568">
        <f>IF(KDOKE!A31="","",KDOKE!A31)</f>
        <v>43</v>
      </c>
      <c r="Q2" s="568"/>
      <c r="R2" s="568"/>
      <c r="S2" s="568"/>
      <c r="T2" s="619"/>
      <c r="U2" s="568">
        <f>IF(KDOKE!A32="","",KDOKE!A32)</f>
        <v>44</v>
      </c>
      <c r="V2" s="568"/>
      <c r="W2" s="568"/>
      <c r="X2" s="568"/>
      <c r="Y2" s="619"/>
      <c r="Z2" s="568">
        <f>IF(KDOKE!A33="","",KDOKE!A33)</f>
        <v>45</v>
      </c>
      <c r="AA2" s="568"/>
      <c r="AB2" s="568"/>
      <c r="AC2" s="568"/>
      <c r="AD2" s="619"/>
      <c r="AE2" s="568">
        <f>IF(KDOKE!A34="","",KDOKE!A34)</f>
        <v>46</v>
      </c>
      <c r="AF2" s="568"/>
      <c r="AG2" s="568"/>
      <c r="AH2" s="568"/>
      <c r="AI2" s="619"/>
      <c r="AJ2" s="568">
        <f>IF(KDOKE!A35="","",KDOKE!A35)</f>
        <v>47</v>
      </c>
      <c r="AK2" s="568"/>
      <c r="AL2" s="568"/>
      <c r="AM2" s="568"/>
      <c r="AN2" s="619"/>
      <c r="AO2" s="568">
        <f>IF(KDOKE!A36="","",KDOKE!A36)</f>
        <v>48</v>
      </c>
      <c r="AP2" s="568"/>
      <c r="AQ2" s="568"/>
      <c r="AR2" s="568"/>
      <c r="AS2" s="624"/>
      <c r="AT2" s="568">
        <f>IF(KDOKE!A37="","",KDOKE!A37)</f>
        <v>49</v>
      </c>
      <c r="AU2" s="568"/>
      <c r="AV2" s="568"/>
      <c r="AW2" s="568"/>
      <c r="AX2" s="624"/>
      <c r="AY2" s="568">
        <f>IF(KDOKE!A38="","",KDOKE!A38)</f>
        <v>410</v>
      </c>
      <c r="AZ2" s="568"/>
      <c r="BA2" s="568"/>
      <c r="BB2" s="568"/>
      <c r="BC2" s="624"/>
      <c r="BD2" s="637"/>
      <c r="BE2" s="569"/>
      <c r="BF2" s="632"/>
      <c r="BG2" s="635"/>
      <c r="BH2" s="288">
        <f>menu!R1</f>
        <v>80</v>
      </c>
      <c r="BI2" s="609"/>
      <c r="BJ2" s="589"/>
      <c r="BK2" s="586"/>
    </row>
    <row r="3" spans="1:63" s="97" customFormat="1" ht="80.25" customHeight="1">
      <c r="A3" s="480"/>
      <c r="B3" s="480"/>
      <c r="C3" s="481"/>
      <c r="D3" s="482"/>
      <c r="E3" s="485"/>
      <c r="F3" s="111" t="s">
        <v>447</v>
      </c>
      <c r="G3" s="111" t="s">
        <v>31</v>
      </c>
      <c r="H3" s="112" t="s">
        <v>32</v>
      </c>
      <c r="I3" s="111" t="s">
        <v>33</v>
      </c>
      <c r="J3" s="619"/>
      <c r="K3" s="111" t="s">
        <v>447</v>
      </c>
      <c r="L3" s="111" t="s">
        <v>31</v>
      </c>
      <c r="M3" s="112" t="s">
        <v>32</v>
      </c>
      <c r="N3" s="111" t="s">
        <v>33</v>
      </c>
      <c r="O3" s="619"/>
      <c r="P3" s="111" t="s">
        <v>447</v>
      </c>
      <c r="Q3" s="111" t="s">
        <v>31</v>
      </c>
      <c r="R3" s="112" t="s">
        <v>32</v>
      </c>
      <c r="S3" s="111" t="s">
        <v>33</v>
      </c>
      <c r="T3" s="619"/>
      <c r="U3" s="111" t="s">
        <v>447</v>
      </c>
      <c r="V3" s="111" t="s">
        <v>31</v>
      </c>
      <c r="W3" s="112" t="s">
        <v>32</v>
      </c>
      <c r="X3" s="111" t="s">
        <v>33</v>
      </c>
      <c r="Y3" s="619"/>
      <c r="Z3" s="111" t="s">
        <v>447</v>
      </c>
      <c r="AA3" s="111" t="s">
        <v>31</v>
      </c>
      <c r="AB3" s="112" t="s">
        <v>32</v>
      </c>
      <c r="AC3" s="111" t="s">
        <v>33</v>
      </c>
      <c r="AD3" s="619"/>
      <c r="AE3" s="111" t="s">
        <v>447</v>
      </c>
      <c r="AF3" s="111" t="s">
        <v>31</v>
      </c>
      <c r="AG3" s="112" t="s">
        <v>32</v>
      </c>
      <c r="AH3" s="111" t="s">
        <v>33</v>
      </c>
      <c r="AI3" s="619"/>
      <c r="AJ3" s="111" t="s">
        <v>447</v>
      </c>
      <c r="AK3" s="111" t="s">
        <v>31</v>
      </c>
      <c r="AL3" s="112" t="s">
        <v>32</v>
      </c>
      <c r="AM3" s="111" t="s">
        <v>33</v>
      </c>
      <c r="AN3" s="619"/>
      <c r="AO3" s="111" t="s">
        <v>447</v>
      </c>
      <c r="AP3" s="111" t="s">
        <v>31</v>
      </c>
      <c r="AQ3" s="112" t="s">
        <v>32</v>
      </c>
      <c r="AR3" s="111" t="s">
        <v>33</v>
      </c>
      <c r="AS3" s="625"/>
      <c r="AT3" s="111" t="s">
        <v>447</v>
      </c>
      <c r="AU3" s="111" t="s">
        <v>31</v>
      </c>
      <c r="AV3" s="112" t="s">
        <v>32</v>
      </c>
      <c r="AW3" s="111" t="s">
        <v>33</v>
      </c>
      <c r="AX3" s="625"/>
      <c r="AY3" s="111" t="s">
        <v>447</v>
      </c>
      <c r="AZ3" s="111" t="s">
        <v>31</v>
      </c>
      <c r="BA3" s="112" t="s">
        <v>32</v>
      </c>
      <c r="BB3" s="111" t="s">
        <v>33</v>
      </c>
      <c r="BC3" s="625"/>
      <c r="BD3" s="580"/>
      <c r="BE3" s="569"/>
      <c r="BF3" s="633"/>
      <c r="BG3" s="636"/>
      <c r="BH3" s="114" t="s">
        <v>304</v>
      </c>
      <c r="BI3" s="610"/>
      <c r="BJ3" s="590"/>
      <c r="BK3" s="587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96</v>
      </c>
      <c r="L5" s="90"/>
      <c r="M5" s="90"/>
      <c r="N5" s="90"/>
      <c r="O5" s="311">
        <f>IF(AND(K5="",L5="",M5="",N5=""),"",AVERAGE(K5:N5))</f>
        <v>96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94</v>
      </c>
      <c r="V5" s="90"/>
      <c r="W5" s="90"/>
      <c r="X5" s="90"/>
      <c r="Y5" s="311">
        <f>IF(AND(U5="",V5="",W5="",X5=""),"",AVERAGE(U5:X5))</f>
        <v>94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96</v>
      </c>
      <c r="BE5" s="313">
        <f t="shared" ref="BE5:BE52" si="0">IF(AND(J5="",O5=""),"",AVERAGE(BC5,AX5,AS5,AN5,AI5,AD5,Y5,T5,O5,J5))</f>
        <v>88.45</v>
      </c>
      <c r="BF5" s="314">
        <f>IF(BE5="","",ROUND(BE5,0))</f>
        <v>88</v>
      </c>
      <c r="BG5" s="315" t="str">
        <f>IF(BF5="","",IF(BF5&gt;=menu!$O$6,"A",IF(BF5&gt;=menu!$O$7,"B",IF(BF5&gt;=menu!$O$8,"C","D"))))</f>
        <v>B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terampil</v>
      </c>
      <c r="BJ5" s="115" t="str">
        <f>IF(BD5="","",VLOOKUP(BD5,DATAKET!$B$3:$C$12,2,FALSE))</f>
        <v>ketrampilan Pkn 2</v>
      </c>
      <c r="BK5" s="104" t="str">
        <f>IF(BF5="","",BI5&amp;" "&amp;BJ5)</f>
        <v>terampil ketrampilan Pkn 2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Pkn 7</v>
      </c>
      <c r="BK6" s="104" t="str">
        <f t="shared" ref="BK6:BK52" si="14">IF(BF6="","",BI6&amp;" "&amp;BJ6)</f>
        <v>cukup terampil ketrampilan Pkn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Pkn 1</v>
      </c>
      <c r="BK7" s="104" t="str">
        <f t="shared" si="14"/>
        <v>terampil ketrampilan Pkn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Pkn 1</v>
      </c>
      <c r="BK8" s="104" t="str">
        <f t="shared" si="14"/>
        <v>cukup terampil ketrampilan Pkn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Pkn 7</v>
      </c>
      <c r="BK9" s="104" t="str">
        <f t="shared" si="14"/>
        <v>kurang terampil ketrampilan Pkn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Pkn 2</v>
      </c>
      <c r="BK10" s="104" t="str">
        <f t="shared" si="14"/>
        <v>cukup terampil ketrampilan Pkn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Pkn 4</v>
      </c>
      <c r="BK11" s="104" t="str">
        <f t="shared" si="14"/>
        <v>cukup terampil ketrampilan Pkn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Pkn 4</v>
      </c>
      <c r="BK12" s="104" t="str">
        <f t="shared" si="14"/>
        <v>cukup terampil ketrampilan Pkn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Pkn 4</v>
      </c>
      <c r="BK13" s="104" t="str">
        <f t="shared" si="14"/>
        <v>cukup terampil ketrampilan Pkn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Pkn 7</v>
      </c>
      <c r="BK14" s="104" t="str">
        <f t="shared" si="14"/>
        <v>cukup terampil ketrampilan Pkn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Pkn 10</v>
      </c>
      <c r="BK15" s="104" t="str">
        <f t="shared" si="14"/>
        <v>kurang terampil ketrampilan Pkn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Pkn 1</v>
      </c>
      <c r="BK16" s="104" t="str">
        <f t="shared" si="14"/>
        <v>cukup terampil ketrampilan Pkn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Pkn 2</v>
      </c>
      <c r="BK17" s="104" t="str">
        <f t="shared" si="14"/>
        <v>cukup terampil ketrampilan Pkn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Pkn 1</v>
      </c>
      <c r="BK18" s="104" t="str">
        <f t="shared" si="14"/>
        <v>cukup terampil ketrampilan Pkn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Pkn 1</v>
      </c>
      <c r="BK19" s="104" t="str">
        <f t="shared" si="14"/>
        <v>cukup terampil ketrampilan Pkn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Pkn 4</v>
      </c>
      <c r="BK20" s="104" t="str">
        <f t="shared" si="14"/>
        <v>cukup terampil ketrampilan Pkn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Pkn 1</v>
      </c>
      <c r="BK21" s="104" t="str">
        <f t="shared" si="14"/>
        <v>cukup terampil ketrampilan Pkn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Pkn 7</v>
      </c>
      <c r="BK22" s="104" t="str">
        <f t="shared" si="14"/>
        <v>cukup terampil ketrampilan Pkn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Pkn 4</v>
      </c>
      <c r="BK23" s="104" t="str">
        <f t="shared" si="14"/>
        <v>kurang terampil ketrampilan Pkn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Pkn 7</v>
      </c>
      <c r="BK24" s="104" t="str">
        <f t="shared" si="14"/>
        <v>cukup terampil ketrampilan Pkn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Pkn 1</v>
      </c>
      <c r="BK25" s="104" t="str">
        <f t="shared" si="14"/>
        <v>cukup terampil ketrampilan Pkn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Pkn 10</v>
      </c>
      <c r="BK26" s="104" t="str">
        <f t="shared" si="14"/>
        <v>cukup terampil ketrampilan Pkn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Pkn 4</v>
      </c>
      <c r="BK27" s="104" t="str">
        <f t="shared" si="14"/>
        <v>cukup terampil ketrampilan Pkn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Pkn 1</v>
      </c>
      <c r="BK28" s="104" t="str">
        <f t="shared" si="14"/>
        <v>cukup terampil ketrampilan Pkn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Pkn 7</v>
      </c>
      <c r="BK29" s="104" t="str">
        <f t="shared" si="14"/>
        <v>cukup terampil ketrampilan Pkn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Pkn 4</v>
      </c>
      <c r="BK30" s="104" t="str">
        <f t="shared" si="14"/>
        <v>cukup terampil ketrampilan Pkn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Pkn 4</v>
      </c>
      <c r="BK31" s="104" t="str">
        <f t="shared" si="14"/>
        <v>terampil ketrampilan Pkn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Pkn 10</v>
      </c>
      <c r="BK32" s="104" t="str">
        <f t="shared" si="14"/>
        <v>cukup terampil ketrampilan Pkn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Pkn 9</v>
      </c>
      <c r="BK33" s="104" t="str">
        <f t="shared" si="14"/>
        <v>cukup terampil ketrampilan Pkn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Pkn 1</v>
      </c>
      <c r="BK34" s="104" t="str">
        <f t="shared" si="14"/>
        <v>cukup terampil ketrampilan Pkn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Pkn 2</v>
      </c>
      <c r="BK35" s="104" t="str">
        <f t="shared" si="14"/>
        <v>terampil ketrampilan Pkn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Pkn 4</v>
      </c>
      <c r="BK36" s="104" t="str">
        <f t="shared" si="14"/>
        <v>cukup terampil ketrampilan Pkn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Pkn 1</v>
      </c>
      <c r="BK37" s="104" t="str">
        <f t="shared" si="14"/>
        <v>terampil ketrampilan Pkn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Pkn 7</v>
      </c>
      <c r="BK38" s="104" t="str">
        <f t="shared" si="14"/>
        <v>kurang terampil ketrampilan Pkn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Pkn 4</v>
      </c>
      <c r="BK39" s="104" t="str">
        <f t="shared" si="14"/>
        <v>cukup terampil ketrampilan Pkn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Pkn 1</v>
      </c>
      <c r="BK40" s="104" t="str">
        <f t="shared" si="14"/>
        <v>kurang terampil ketrampilan Pkn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Pkn 3</v>
      </c>
      <c r="BK41" s="104" t="str">
        <f t="shared" si="14"/>
        <v>cukup terampil ketrampilan Pkn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Pkn 1</v>
      </c>
      <c r="BK42" s="104" t="str">
        <f t="shared" si="14"/>
        <v>cukup terampil ketrampilan Pkn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Pkn 4</v>
      </c>
      <c r="BK43" s="104" t="str">
        <f t="shared" si="14"/>
        <v>cukup terampil ketrampilan Pkn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Pkn 2</v>
      </c>
      <c r="BK44" s="104" t="str">
        <f t="shared" si="14"/>
        <v>cukup terampil ketrampilan Pkn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Pkn 10</v>
      </c>
      <c r="BK45" s="104" t="str">
        <f t="shared" si="14"/>
        <v>cukup terampil ketrampilan Pkn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Pkn 4</v>
      </c>
      <c r="BK46" s="104" t="str">
        <f t="shared" si="14"/>
        <v>cukup terampil ketrampilan Pkn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Pkn 4</v>
      </c>
      <c r="BK47" s="104" t="str">
        <f t="shared" si="14"/>
        <v>cukup terampil ketrampilan Pkn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Pkn 2</v>
      </c>
      <c r="BK48" s="104" t="str">
        <f t="shared" si="14"/>
        <v>cukup terampil ketrampilan Pkn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Pkn 5</v>
      </c>
      <c r="BK49" s="104" t="str">
        <f t="shared" si="14"/>
        <v>cukup terampil ketrampilan Pkn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Pkn 10</v>
      </c>
      <c r="BK50" s="104" t="str">
        <f t="shared" si="14"/>
        <v>cukup terampil ketrampilan Pkn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Pkn 4</v>
      </c>
      <c r="BK51" s="104" t="str">
        <f t="shared" si="14"/>
        <v>cukup terampil ketrampilan Pkn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Pkn 2</v>
      </c>
      <c r="BK52" s="104" t="str">
        <f t="shared" si="14"/>
        <v>cukup terampil ketrampilan Pkn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8" t="s">
        <v>369</v>
      </c>
      <c r="AY1" s="618"/>
      <c r="AZ1" s="618" t="s">
        <v>370</v>
      </c>
      <c r="BA1" s="618"/>
      <c r="BB1" s="618" t="s">
        <v>371</v>
      </c>
      <c r="BC1" s="618"/>
      <c r="BD1" s="618" t="s">
        <v>372</v>
      </c>
      <c r="BE1" s="618"/>
      <c r="BF1" s="618" t="s">
        <v>373</v>
      </c>
      <c r="BG1" s="618"/>
      <c r="BH1" s="618" t="s">
        <v>374</v>
      </c>
      <c r="BI1" s="618"/>
      <c r="BJ1" s="618" t="s">
        <v>375</v>
      </c>
      <c r="BK1" s="618"/>
      <c r="BL1" s="618" t="s">
        <v>376</v>
      </c>
      <c r="BM1" s="618"/>
      <c r="BN1" s="618" t="s">
        <v>377</v>
      </c>
      <c r="BO1" s="618"/>
      <c r="BP1" s="618" t="s">
        <v>378</v>
      </c>
      <c r="BQ1" s="618"/>
      <c r="BR1" s="618" t="s">
        <v>379</v>
      </c>
      <c r="BS1" s="618"/>
      <c r="BT1" s="618" t="s">
        <v>380</v>
      </c>
      <c r="BU1" s="618"/>
      <c r="BV1" s="618" t="s">
        <v>381</v>
      </c>
      <c r="BW1" s="618"/>
      <c r="BX1" s="618" t="s">
        <v>382</v>
      </c>
      <c r="BY1" s="618"/>
      <c r="BZ1" s="618" t="s">
        <v>383</v>
      </c>
      <c r="CA1" s="618"/>
      <c r="CB1" s="618" t="s">
        <v>384</v>
      </c>
      <c r="CC1" s="618"/>
      <c r="CD1" s="618" t="s">
        <v>385</v>
      </c>
      <c r="CE1" s="618"/>
      <c r="CF1" s="618" t="s">
        <v>386</v>
      </c>
      <c r="CG1" s="618"/>
      <c r="CH1" s="618" t="s">
        <v>387</v>
      </c>
      <c r="CI1" s="618"/>
      <c r="CJ1" s="618" t="s">
        <v>388</v>
      </c>
      <c r="CK1" s="618"/>
      <c r="CL1" s="618" t="s">
        <v>389</v>
      </c>
      <c r="CM1" s="618"/>
      <c r="CN1" s="618" t="s">
        <v>390</v>
      </c>
      <c r="CO1" s="618"/>
      <c r="CP1" s="618" t="s">
        <v>391</v>
      </c>
      <c r="CQ1" s="618"/>
      <c r="CR1" s="618" t="s">
        <v>392</v>
      </c>
      <c r="CS1" s="618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Pkn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Pkn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Pkn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Pkn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Pkn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Pkn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Pkn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Pkn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Pkn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Pkn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Pkn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Pkn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Pkn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Pkn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Pkn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Pkn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Pkn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Pkn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Pkn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Pkn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Pkn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Pkn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Pkn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Pkn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Pkn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Pkn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Pkn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Pkn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Pkn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Pkn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Pkn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Pkn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Pkn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Pkn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Pkn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Pkn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Pkn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Pkn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Pkn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Pkn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Pkn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Pkn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Pkn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Pkn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Pkn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Pkn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Pkn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Pkn 1</v>
      </c>
    </row>
    <row r="4" spans="1:97">
      <c r="A4" s="72">
        <v>2</v>
      </c>
      <c r="B4" s="89">
        <f>IF('Input Nilai Ketrampilan'!O5="","",'Input Nilai Ketrampilan'!O5)</f>
        <v>96</v>
      </c>
      <c r="C4" s="89" t="str">
        <f>IF(B4="","",IF('Input Nilai Ketrampilan'!$K$1="","",'Input Nilai Ketrampilan'!$K$1))</f>
        <v>ketrampilan Pkn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Pkn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Pkn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Pkn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Pkn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Pkn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Pkn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Pkn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Pkn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Pkn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Pkn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Pkn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Pkn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Pkn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Pkn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Pkn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Pkn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Pkn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Pkn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Pkn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Pkn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Pkn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Pkn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Pkn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Pkn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Pkn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Pkn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Pkn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Pkn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Pkn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Pkn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Pkn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Pkn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Pkn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Pkn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Pkn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Pkn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Pkn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Pkn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Pkn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Pkn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Pkn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Pkn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Pkn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Pkn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Pkn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Pkn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Pkn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Pkn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Pkn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Pkn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Pkn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Pkn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Pkn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Pkn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Pkn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Pkn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Pkn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Pkn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Pkn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Pkn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Pkn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Pkn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Pkn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Pkn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Pkn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Pkn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Pkn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Pkn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Pkn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Pkn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Pkn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Pkn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Pkn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Pkn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Pkn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Pkn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Pkn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Pkn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Pkn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Pkn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Pkn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Pkn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Pkn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Pkn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Pkn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Pkn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Pkn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Pkn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Pkn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Pkn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Pkn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Pkn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Pkn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Pkn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Pkn 3</v>
      </c>
    </row>
    <row r="6" spans="1:97">
      <c r="A6" s="72">
        <v>4</v>
      </c>
      <c r="B6" s="89">
        <f>IF('Input Nilai Ketrampilan'!Y5="","",'Input Nilai Ketrampilan'!Y5)</f>
        <v>94</v>
      </c>
      <c r="C6" s="89" t="str">
        <f>IF(B6="","",IF('Input Nilai Ketrampilan'!$U$1="","",'Input Nilai Ketrampilan'!$U$1))</f>
        <v>ketrampilan Pkn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Pkn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Pkn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Pkn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Pkn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Pkn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Pkn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Pkn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Pkn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Pkn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Pkn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Pkn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Pkn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Pkn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Pkn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Pkn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Pkn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Pkn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Pkn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Pkn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Pkn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Pkn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Pkn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Pkn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Pkn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Pkn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Pkn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Pkn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Pkn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Pkn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Pkn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Pkn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Pkn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Pkn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Pkn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Pkn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Pkn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Pkn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Pkn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Pkn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Pkn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Pkn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Pkn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Pkn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Pkn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Pkn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Pkn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Pkn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Pkn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Pkn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Pkn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Pkn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Pkn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Pkn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Pkn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Pkn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Pkn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Pkn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Pkn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Pkn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Pkn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Pkn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Pkn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Pkn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Pkn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Pkn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Pkn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Pkn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Pkn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Pkn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Pkn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Pkn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Pkn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Pkn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Pkn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Pkn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Pkn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Pkn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Pkn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Pkn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Pkn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Pkn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Pkn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Pkn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Pkn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Pkn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Pkn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Pkn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Pkn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Pkn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Pkn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Pkn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Pkn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Pkn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Pkn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Pkn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Pkn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Pkn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Pkn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Pkn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Pkn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Pkn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Pkn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Pkn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Pkn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Pkn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Pkn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Pkn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Pkn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Pkn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Pkn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Pkn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Pkn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Pkn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Pkn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Pkn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Pkn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Pkn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Pkn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Pkn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Pkn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Pkn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Pkn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Pkn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Pkn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Pkn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Pkn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Pkn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Pkn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Pkn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Pkn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Pkn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Pkn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Pkn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Pkn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Pkn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Pkn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Pkn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Pkn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Pkn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Pkn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Pkn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Pkn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Pkn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Pkn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Pkn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Pkn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Pkn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Pkn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Pkn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Pkn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Pkn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Pkn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Pkn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Pkn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Pkn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Pkn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Pkn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Pkn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Pkn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Pkn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Pkn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Pkn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Pkn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Pkn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Pkn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Pkn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Pkn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Pkn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Pkn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Pkn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Pkn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Pkn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Pkn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Pkn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Pkn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Pkn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Pkn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Pkn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Pkn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Pkn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Pkn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Pkn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Pkn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Pkn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Pkn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Pkn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Pkn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Pkn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Pkn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Pkn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Pkn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Pkn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Pkn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Pkn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Pkn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Pkn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Pkn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Pkn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Pkn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Pkn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Pkn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Pkn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Pkn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Pkn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Pkn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Pkn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Pkn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Pkn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Pkn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Pkn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Pkn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Pkn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Pkn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Pkn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Pkn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Pkn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Pkn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Pkn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Pkn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Pkn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Pkn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Pkn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Pkn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Pkn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Pkn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Pkn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Pkn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Pkn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Pkn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Pkn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Pkn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Pkn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Pkn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Pkn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Pkn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Pkn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Pkn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Pkn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Pkn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Pkn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Pkn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Pkn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Pkn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Pkn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Pkn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Pkn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Pkn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Pkn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Pkn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Pkn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Pkn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Pkn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Pkn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Pkn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Pkn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Pkn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Pkn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Pkn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Pkn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Pkn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Pkn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Pkn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Pkn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Pkn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Pkn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Pkn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Pkn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Pkn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Pkn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Pkn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Pkn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Pkn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Pkn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Pkn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Pkn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Pkn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Pkn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Pkn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Pkn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Pkn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Pkn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Pkn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Pkn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Pkn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Pkn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Pkn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Pkn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Pkn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Pkn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Pkn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Pkn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Pkn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Pkn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Pkn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Pkn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Pkn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Pkn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Pkn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Pkn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Pkn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Pkn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Pkn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Pkn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Pkn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Pkn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Pkn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Pkn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Pkn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Pkn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Pkn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Pkn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Pkn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Pkn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Pkn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Pkn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Pkn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Pkn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Pkn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Pkn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Pkn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Pkn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Pkn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Pkn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Pkn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Pkn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Pkn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Pkn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Pkn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Pkn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Pkn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Pkn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Pkn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Pkn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Pkn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Pkn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49</v>
      </c>
      <c r="G1" s="482"/>
      <c r="H1" s="482"/>
      <c r="I1" s="482"/>
      <c r="J1" s="638" t="s">
        <v>43</v>
      </c>
      <c r="K1" s="482" t="s">
        <v>37</v>
      </c>
      <c r="L1" s="482"/>
      <c r="M1" s="482"/>
      <c r="N1" s="482"/>
      <c r="O1" s="638" t="s">
        <v>43</v>
      </c>
      <c r="P1" s="482" t="s">
        <v>37</v>
      </c>
      <c r="Q1" s="482"/>
      <c r="R1" s="482"/>
      <c r="S1" s="482"/>
      <c r="T1" s="638" t="s">
        <v>43</v>
      </c>
      <c r="U1" s="482" t="s">
        <v>37</v>
      </c>
      <c r="V1" s="482"/>
      <c r="W1" s="482"/>
      <c r="X1" s="482"/>
      <c r="Y1" s="638" t="s">
        <v>43</v>
      </c>
      <c r="Z1" s="482" t="s">
        <v>37</v>
      </c>
      <c r="AA1" s="482"/>
      <c r="AB1" s="482"/>
      <c r="AC1" s="482"/>
      <c r="AD1" s="638" t="s">
        <v>43</v>
      </c>
      <c r="AE1" s="482" t="s">
        <v>37</v>
      </c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638" t="s">
        <v>43</v>
      </c>
      <c r="AO1" s="482" t="s">
        <v>37</v>
      </c>
      <c r="AP1" s="482"/>
      <c r="AQ1" s="482"/>
      <c r="AR1" s="482"/>
      <c r="AS1" s="638" t="s">
        <v>43</v>
      </c>
      <c r="AT1" s="482" t="s">
        <v>37</v>
      </c>
      <c r="AU1" s="482"/>
      <c r="AV1" s="482"/>
      <c r="AW1" s="482"/>
      <c r="AX1" s="638" t="s">
        <v>43</v>
      </c>
      <c r="AY1" s="482" t="s">
        <v>37</v>
      </c>
      <c r="AZ1" s="482"/>
      <c r="BA1" s="482"/>
      <c r="BB1" s="482"/>
      <c r="BC1" s="638" t="s">
        <v>43</v>
      </c>
    </row>
    <row r="2" spans="1:5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639"/>
      <c r="K2" s="482">
        <f>'Input Nilai Ketrampilan'!K2</f>
        <v>42</v>
      </c>
      <c r="L2" s="482"/>
      <c r="M2" s="482"/>
      <c r="N2" s="482"/>
      <c r="O2" s="639"/>
      <c r="P2" s="482">
        <f>'Input Nilai Ketrampilan'!P2</f>
        <v>43</v>
      </c>
      <c r="Q2" s="482"/>
      <c r="R2" s="482"/>
      <c r="S2" s="482"/>
      <c r="T2" s="639"/>
      <c r="U2" s="482">
        <f>'Input Nilai Ketrampilan'!U2</f>
        <v>44</v>
      </c>
      <c r="V2" s="482"/>
      <c r="W2" s="482"/>
      <c r="X2" s="482"/>
      <c r="Y2" s="639"/>
      <c r="Z2" s="482">
        <f>'Input Nilai Ketrampilan'!Z2</f>
        <v>45</v>
      </c>
      <c r="AA2" s="482"/>
      <c r="AB2" s="482"/>
      <c r="AC2" s="482"/>
      <c r="AD2" s="639"/>
      <c r="AE2" s="482">
        <f>'Input Nilai Ketrampilan'!AE2</f>
        <v>46</v>
      </c>
      <c r="AF2" s="482"/>
      <c r="AG2" s="482"/>
      <c r="AH2" s="482"/>
      <c r="AI2" s="639"/>
      <c r="AJ2" s="482">
        <f>'Input Nilai Ketrampilan'!AJ2</f>
        <v>47</v>
      </c>
      <c r="AK2" s="482"/>
      <c r="AL2" s="482"/>
      <c r="AM2" s="482"/>
      <c r="AN2" s="639"/>
      <c r="AO2" s="482">
        <f>'Input Nilai Ketrampilan'!AO2</f>
        <v>48</v>
      </c>
      <c r="AP2" s="482"/>
      <c r="AQ2" s="482"/>
      <c r="AR2" s="482"/>
      <c r="AS2" s="639"/>
      <c r="AT2" s="482">
        <f>'Input Nilai Ketrampilan'!AT2</f>
        <v>49</v>
      </c>
      <c r="AU2" s="482"/>
      <c r="AV2" s="482"/>
      <c r="AW2" s="482"/>
      <c r="AX2" s="639"/>
      <c r="AY2" s="482">
        <f>'Input Nilai Ketrampilan'!AY2</f>
        <v>410</v>
      </c>
      <c r="AZ2" s="482"/>
      <c r="BA2" s="482"/>
      <c r="BB2" s="482"/>
      <c r="BC2" s="639"/>
    </row>
    <row r="3" spans="1:55" ht="110.25">
      <c r="A3" s="480"/>
      <c r="B3" s="480"/>
      <c r="C3" s="481"/>
      <c r="D3" s="482"/>
      <c r="E3" s="485"/>
      <c r="F3" s="111" t="s">
        <v>46</v>
      </c>
      <c r="G3" s="112" t="s">
        <v>47</v>
      </c>
      <c r="H3" s="112" t="s">
        <v>48</v>
      </c>
      <c r="I3" s="111" t="s">
        <v>42</v>
      </c>
      <c r="J3" s="640"/>
      <c r="K3" s="111" t="s">
        <v>46</v>
      </c>
      <c r="L3" s="112" t="s">
        <v>47</v>
      </c>
      <c r="M3" s="112" t="s">
        <v>48</v>
      </c>
      <c r="N3" s="111" t="s">
        <v>42</v>
      </c>
      <c r="O3" s="640"/>
      <c r="P3" s="111" t="s">
        <v>46</v>
      </c>
      <c r="Q3" s="112" t="s">
        <v>47</v>
      </c>
      <c r="R3" s="112" t="s">
        <v>48</v>
      </c>
      <c r="S3" s="111" t="s">
        <v>42</v>
      </c>
      <c r="T3" s="640"/>
      <c r="U3" s="111" t="s">
        <v>46</v>
      </c>
      <c r="V3" s="112" t="s">
        <v>47</v>
      </c>
      <c r="W3" s="112" t="s">
        <v>48</v>
      </c>
      <c r="X3" s="111" t="s">
        <v>42</v>
      </c>
      <c r="Y3" s="640"/>
      <c r="Z3" s="111" t="s">
        <v>46</v>
      </c>
      <c r="AA3" s="112" t="s">
        <v>47</v>
      </c>
      <c r="AB3" s="112" t="s">
        <v>48</v>
      </c>
      <c r="AC3" s="111" t="s">
        <v>42</v>
      </c>
      <c r="AD3" s="640"/>
      <c r="AE3" s="111" t="s">
        <v>46</v>
      </c>
      <c r="AF3" s="112" t="s">
        <v>47</v>
      </c>
      <c r="AG3" s="112" t="s">
        <v>48</v>
      </c>
      <c r="AH3" s="111" t="s">
        <v>42</v>
      </c>
      <c r="AI3" s="640"/>
      <c r="AJ3" s="111" t="s">
        <v>46</v>
      </c>
      <c r="AK3" s="112" t="s">
        <v>47</v>
      </c>
      <c r="AL3" s="112" t="s">
        <v>48</v>
      </c>
      <c r="AM3" s="111" t="s">
        <v>42</v>
      </c>
      <c r="AN3" s="640"/>
      <c r="AO3" s="111" t="s">
        <v>46</v>
      </c>
      <c r="AP3" s="112" t="s">
        <v>47</v>
      </c>
      <c r="AQ3" s="112" t="s">
        <v>48</v>
      </c>
      <c r="AR3" s="111" t="s">
        <v>42</v>
      </c>
      <c r="AS3" s="640"/>
      <c r="AT3" s="111" t="s">
        <v>46</v>
      </c>
      <c r="AU3" s="112" t="s">
        <v>47</v>
      </c>
      <c r="AV3" s="112" t="s">
        <v>48</v>
      </c>
      <c r="AW3" s="111" t="s">
        <v>42</v>
      </c>
      <c r="AX3" s="640"/>
      <c r="AY3" s="111" t="s">
        <v>46</v>
      </c>
      <c r="AZ3" s="112" t="s">
        <v>47</v>
      </c>
      <c r="BA3" s="112" t="s">
        <v>48</v>
      </c>
      <c r="BB3" s="111" t="s">
        <v>42</v>
      </c>
      <c r="BC3" s="640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483" t="s">
        <v>17</v>
      </c>
      <c r="F1" s="482" t="s">
        <v>37</v>
      </c>
      <c r="G1" s="482"/>
      <c r="H1" s="482"/>
      <c r="I1" s="482"/>
      <c r="J1" s="482"/>
      <c r="K1" s="638" t="s">
        <v>43</v>
      </c>
      <c r="L1" s="482" t="s">
        <v>37</v>
      </c>
      <c r="M1" s="482"/>
      <c r="N1" s="482"/>
      <c r="O1" s="482"/>
      <c r="P1" s="482"/>
      <c r="Q1" s="638" t="s">
        <v>43</v>
      </c>
      <c r="R1" s="482" t="s">
        <v>37</v>
      </c>
      <c r="S1" s="482"/>
      <c r="T1" s="482"/>
      <c r="U1" s="482"/>
      <c r="V1" s="482"/>
      <c r="W1" s="638" t="s">
        <v>43</v>
      </c>
      <c r="X1" s="482" t="s">
        <v>37</v>
      </c>
      <c r="Y1" s="482"/>
      <c r="Z1" s="482"/>
      <c r="AA1" s="482"/>
      <c r="AB1" s="482"/>
      <c r="AC1" s="638" t="s">
        <v>43</v>
      </c>
      <c r="AD1" s="482" t="s">
        <v>37</v>
      </c>
      <c r="AE1" s="482"/>
      <c r="AF1" s="482"/>
      <c r="AG1" s="482"/>
      <c r="AH1" s="482"/>
      <c r="AI1" s="638" t="s">
        <v>43</v>
      </c>
      <c r="AJ1" s="482" t="s">
        <v>37</v>
      </c>
      <c r="AK1" s="482"/>
      <c r="AL1" s="482"/>
      <c r="AM1" s="482"/>
      <c r="AN1" s="482"/>
      <c r="AO1" s="638" t="s">
        <v>43</v>
      </c>
      <c r="AP1" s="482" t="s">
        <v>37</v>
      </c>
      <c r="AQ1" s="482"/>
      <c r="AR1" s="482"/>
      <c r="AS1" s="482"/>
      <c r="AT1" s="482"/>
      <c r="AU1" s="638" t="s">
        <v>43</v>
      </c>
      <c r="AV1" s="482" t="s">
        <v>37</v>
      </c>
      <c r="AW1" s="482"/>
      <c r="AX1" s="482"/>
      <c r="AY1" s="482"/>
      <c r="AZ1" s="482"/>
      <c r="BA1" s="638" t="s">
        <v>43</v>
      </c>
      <c r="BB1" s="482" t="s">
        <v>37</v>
      </c>
      <c r="BC1" s="482"/>
      <c r="BD1" s="482"/>
      <c r="BE1" s="482"/>
      <c r="BF1" s="482"/>
      <c r="BG1" s="638" t="s">
        <v>43</v>
      </c>
      <c r="BH1" s="482" t="s">
        <v>37</v>
      </c>
      <c r="BI1" s="482"/>
      <c r="BJ1" s="482"/>
      <c r="BK1" s="482"/>
      <c r="BL1" s="482"/>
      <c r="BM1" s="638" t="s">
        <v>43</v>
      </c>
    </row>
    <row r="2" spans="1:65" ht="15" customHeight="1">
      <c r="A2" s="479"/>
      <c r="B2" s="479"/>
      <c r="C2" s="481"/>
      <c r="D2" s="482"/>
      <c r="E2" s="484"/>
      <c r="F2" s="482">
        <f>'Input Nilai Ketrampilan'!F2:I2</f>
        <v>41</v>
      </c>
      <c r="G2" s="482"/>
      <c r="H2" s="482"/>
      <c r="I2" s="482"/>
      <c r="J2" s="482"/>
      <c r="K2" s="639"/>
      <c r="L2" s="482">
        <f>'Input Nilai Ketrampilan'!K2</f>
        <v>42</v>
      </c>
      <c r="M2" s="482"/>
      <c r="N2" s="482"/>
      <c r="O2" s="482"/>
      <c r="P2" s="482"/>
      <c r="Q2" s="639"/>
      <c r="R2" s="482">
        <f>'Input Nilai Ketrampilan'!P2</f>
        <v>43</v>
      </c>
      <c r="S2" s="482"/>
      <c r="T2" s="482"/>
      <c r="U2" s="482"/>
      <c r="V2" s="482"/>
      <c r="W2" s="639"/>
      <c r="X2" s="482">
        <f>'Input Nilai Ketrampilan'!U2</f>
        <v>44</v>
      </c>
      <c r="Y2" s="482"/>
      <c r="Z2" s="482"/>
      <c r="AA2" s="482"/>
      <c r="AB2" s="482"/>
      <c r="AC2" s="639"/>
      <c r="AD2" s="482">
        <f>'Input Nilai Ketrampilan'!Z2</f>
        <v>45</v>
      </c>
      <c r="AE2" s="482"/>
      <c r="AF2" s="482"/>
      <c r="AG2" s="482"/>
      <c r="AH2" s="482"/>
      <c r="AI2" s="639"/>
      <c r="AJ2" s="482">
        <f>'Input Nilai Ketrampilan'!AE2</f>
        <v>46</v>
      </c>
      <c r="AK2" s="482"/>
      <c r="AL2" s="482"/>
      <c r="AM2" s="482"/>
      <c r="AN2" s="482"/>
      <c r="AO2" s="639"/>
      <c r="AP2" s="482">
        <f>'Input Nilai Ketrampilan'!AJ2</f>
        <v>47</v>
      </c>
      <c r="AQ2" s="482"/>
      <c r="AR2" s="482"/>
      <c r="AS2" s="482"/>
      <c r="AT2" s="482"/>
      <c r="AU2" s="639"/>
      <c r="AV2" s="482">
        <f>'Input Nilai Ketrampilan'!AO2</f>
        <v>48</v>
      </c>
      <c r="AW2" s="482"/>
      <c r="AX2" s="482"/>
      <c r="AY2" s="482"/>
      <c r="AZ2" s="482"/>
      <c r="BA2" s="639"/>
      <c r="BB2" s="482">
        <f>'Input Nilai Ketrampilan'!AT2</f>
        <v>49</v>
      </c>
      <c r="BC2" s="482"/>
      <c r="BD2" s="482"/>
      <c r="BE2" s="482"/>
      <c r="BF2" s="482"/>
      <c r="BG2" s="639"/>
      <c r="BH2" s="482">
        <f>'Input Nilai Ketrampilan'!AY2</f>
        <v>410</v>
      </c>
      <c r="BI2" s="482"/>
      <c r="BJ2" s="482"/>
      <c r="BK2" s="482"/>
      <c r="BL2" s="482"/>
      <c r="BM2" s="639"/>
    </row>
    <row r="3" spans="1:65" ht="103.5">
      <c r="A3" s="480"/>
      <c r="B3" s="480"/>
      <c r="C3" s="481"/>
      <c r="D3" s="482"/>
      <c r="E3" s="485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40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40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40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40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40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40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40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40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40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40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1" t="s">
        <v>58</v>
      </c>
      <c r="B9" s="641" t="s">
        <v>59</v>
      </c>
      <c r="C9" s="641" t="s">
        <v>60</v>
      </c>
      <c r="D9" s="641"/>
      <c r="E9" s="641"/>
      <c r="F9" s="641"/>
    </row>
    <row r="10" spans="1:6" ht="15.75">
      <c r="A10" s="641"/>
      <c r="B10" s="641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4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2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2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2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2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2"/>
      <c r="B14" s="212"/>
      <c r="C14" s="213"/>
      <c r="D14" s="214"/>
      <c r="E14" s="214"/>
      <c r="F14" s="214"/>
      <c r="G14" s="214"/>
      <c r="I14" s="200"/>
    </row>
    <row r="15" spans="1:9">
      <c r="A15" s="643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3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3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3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3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3"/>
      <c r="B20" s="212"/>
      <c r="C20" s="215"/>
      <c r="D20" s="216"/>
      <c r="E20" s="216"/>
      <c r="F20" s="216"/>
      <c r="G20" s="216"/>
    </row>
    <row r="21" spans="1:9">
      <c r="A21" s="642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2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2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2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2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2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2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2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2"/>
      <c r="B29" s="212"/>
      <c r="C29" s="215"/>
      <c r="D29" s="217"/>
      <c r="E29" s="217"/>
      <c r="F29" s="217"/>
      <c r="G29" s="217"/>
    </row>
    <row r="30" spans="1:9">
      <c r="A30" s="643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3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3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3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3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3"/>
      <c r="B35" s="212"/>
      <c r="C35" s="215"/>
      <c r="D35" s="216"/>
      <c r="E35" s="216"/>
      <c r="F35" s="216"/>
      <c r="G35" s="216"/>
    </row>
    <row r="36" spans="1:7">
      <c r="A36" s="642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2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2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2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2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2"/>
      <c r="B41" s="212"/>
      <c r="C41" s="215"/>
      <c r="D41" s="216"/>
      <c r="E41" s="216"/>
      <c r="F41" s="216"/>
      <c r="G41" s="216"/>
    </row>
    <row r="42" spans="1:7">
      <c r="A42" s="643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3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3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3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3"/>
      <c r="B46" s="212"/>
      <c r="C46" s="215"/>
      <c r="D46" s="216"/>
      <c r="E46" s="216"/>
      <c r="F46" s="216"/>
      <c r="G46" s="216"/>
    </row>
    <row r="47" spans="1:7">
      <c r="A47" s="642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2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2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2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2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2"/>
      <c r="B52" s="212"/>
      <c r="C52" s="215"/>
      <c r="D52" s="216"/>
      <c r="E52" s="216"/>
      <c r="F52" s="216"/>
      <c r="G52" s="216"/>
    </row>
    <row r="53" spans="1:7">
      <c r="A53" s="643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3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3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3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3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3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3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3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3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3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3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3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2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2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2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2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2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2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2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2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2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3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3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3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3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3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3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2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2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2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2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2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3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3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3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3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3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2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2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2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2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2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2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3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3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3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3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3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3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6" t="s">
        <v>308</v>
      </c>
      <c r="G1" s="647"/>
      <c r="H1" s="647"/>
      <c r="I1" s="647"/>
      <c r="J1" s="647"/>
      <c r="K1" s="647"/>
      <c r="L1" s="647"/>
      <c r="M1" s="647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8" t="s">
        <v>15</v>
      </c>
      <c r="B5" s="478" t="s">
        <v>16</v>
      </c>
      <c r="C5" s="481" t="s">
        <v>0</v>
      </c>
      <c r="D5" s="482" t="s">
        <v>1</v>
      </c>
      <c r="E5" s="483" t="s">
        <v>17</v>
      </c>
      <c r="F5" s="645" t="s">
        <v>207</v>
      </c>
      <c r="G5" s="645"/>
      <c r="H5" s="645"/>
      <c r="I5" s="619" t="s">
        <v>7</v>
      </c>
      <c r="J5" s="645" t="s">
        <v>8</v>
      </c>
      <c r="K5" s="645"/>
      <c r="L5" s="645"/>
      <c r="M5" s="645"/>
      <c r="N5" s="619" t="s">
        <v>7</v>
      </c>
      <c r="O5" s="645" t="s">
        <v>9</v>
      </c>
      <c r="P5" s="645"/>
      <c r="Q5" s="645"/>
      <c r="R5" s="645"/>
      <c r="S5" s="619" t="s">
        <v>7</v>
      </c>
      <c r="T5" s="645" t="s">
        <v>6</v>
      </c>
      <c r="U5" s="645"/>
      <c r="V5" s="645"/>
      <c r="W5" s="645"/>
      <c r="X5" s="619" t="s">
        <v>7</v>
      </c>
      <c r="Y5" s="648" t="s">
        <v>10</v>
      </c>
      <c r="Z5" s="649"/>
      <c r="AA5" s="649"/>
      <c r="AB5" s="650"/>
      <c r="AC5" s="619" t="s">
        <v>7</v>
      </c>
      <c r="AD5" s="645" t="s">
        <v>11</v>
      </c>
      <c r="AE5" s="645"/>
      <c r="AF5" s="645"/>
      <c r="AG5" s="645"/>
      <c r="AH5" s="619" t="s">
        <v>7</v>
      </c>
      <c r="AI5" s="645" t="s">
        <v>12</v>
      </c>
      <c r="AJ5" s="645"/>
      <c r="AK5" s="645"/>
      <c r="AL5" s="645"/>
      <c r="AM5" s="619" t="s">
        <v>7</v>
      </c>
      <c r="AN5" s="645" t="s">
        <v>236</v>
      </c>
      <c r="AO5" s="645"/>
      <c r="AP5" s="645"/>
      <c r="AQ5" s="645"/>
      <c r="AR5" s="619" t="s">
        <v>7</v>
      </c>
    </row>
    <row r="6" spans="1:44" ht="15" customHeight="1">
      <c r="A6" s="479"/>
      <c r="B6" s="479"/>
      <c r="C6" s="481"/>
      <c r="D6" s="482"/>
      <c r="E6" s="484"/>
      <c r="F6" s="645"/>
      <c r="G6" s="645"/>
      <c r="H6" s="645"/>
      <c r="I6" s="619"/>
      <c r="J6" s="645"/>
      <c r="K6" s="645"/>
      <c r="L6" s="645"/>
      <c r="M6" s="645"/>
      <c r="N6" s="619"/>
      <c r="O6" s="645"/>
      <c r="P6" s="645"/>
      <c r="Q6" s="645"/>
      <c r="R6" s="645"/>
      <c r="S6" s="619"/>
      <c r="T6" s="645"/>
      <c r="U6" s="645"/>
      <c r="V6" s="645"/>
      <c r="W6" s="645"/>
      <c r="X6" s="619"/>
      <c r="Y6" s="651"/>
      <c r="Z6" s="652"/>
      <c r="AA6" s="652"/>
      <c r="AB6" s="653"/>
      <c r="AC6" s="619"/>
      <c r="AD6" s="645"/>
      <c r="AE6" s="645"/>
      <c r="AF6" s="645"/>
      <c r="AG6" s="645"/>
      <c r="AH6" s="619"/>
      <c r="AI6" s="645"/>
      <c r="AJ6" s="645"/>
      <c r="AK6" s="645"/>
      <c r="AL6" s="645"/>
      <c r="AM6" s="619"/>
      <c r="AN6" s="645"/>
      <c r="AO6" s="645"/>
      <c r="AP6" s="645"/>
      <c r="AQ6" s="645"/>
      <c r="AR6" s="619"/>
    </row>
    <row r="7" spans="1:44" s="97" customFormat="1" ht="102.75" customHeight="1">
      <c r="A7" s="480"/>
      <c r="B7" s="480"/>
      <c r="C7" s="481"/>
      <c r="D7" s="482"/>
      <c r="E7" s="485"/>
      <c r="F7" s="185" t="s">
        <v>219</v>
      </c>
      <c r="G7" s="185" t="s">
        <v>238</v>
      </c>
      <c r="H7" s="116" t="s">
        <v>218</v>
      </c>
      <c r="I7" s="619"/>
      <c r="J7" s="185" t="s">
        <v>219</v>
      </c>
      <c r="K7" s="185" t="s">
        <v>220</v>
      </c>
      <c r="L7" s="185" t="s">
        <v>238</v>
      </c>
      <c r="M7" s="116" t="s">
        <v>218</v>
      </c>
      <c r="N7" s="619"/>
      <c r="O7" s="185" t="s">
        <v>219</v>
      </c>
      <c r="P7" s="185" t="s">
        <v>220</v>
      </c>
      <c r="Q7" s="185" t="s">
        <v>238</v>
      </c>
      <c r="R7" s="116" t="s">
        <v>218</v>
      </c>
      <c r="S7" s="619"/>
      <c r="T7" s="185" t="s">
        <v>219</v>
      </c>
      <c r="U7" s="185" t="s">
        <v>220</v>
      </c>
      <c r="V7" s="185" t="s">
        <v>238</v>
      </c>
      <c r="W7" s="116" t="s">
        <v>218</v>
      </c>
      <c r="X7" s="619"/>
      <c r="Y7" s="185" t="s">
        <v>219</v>
      </c>
      <c r="Z7" s="185" t="s">
        <v>220</v>
      </c>
      <c r="AA7" s="185" t="s">
        <v>238</v>
      </c>
      <c r="AB7" s="116" t="s">
        <v>218</v>
      </c>
      <c r="AC7" s="619"/>
      <c r="AD7" s="185" t="s">
        <v>219</v>
      </c>
      <c r="AE7" s="185" t="s">
        <v>220</v>
      </c>
      <c r="AF7" s="185" t="s">
        <v>238</v>
      </c>
      <c r="AG7" s="116" t="s">
        <v>218</v>
      </c>
      <c r="AH7" s="619"/>
      <c r="AI7" s="185" t="s">
        <v>219</v>
      </c>
      <c r="AJ7" s="185" t="s">
        <v>220</v>
      </c>
      <c r="AK7" s="185" t="s">
        <v>238</v>
      </c>
      <c r="AL7" s="116" t="s">
        <v>218</v>
      </c>
      <c r="AM7" s="619"/>
      <c r="AN7" s="185" t="s">
        <v>219</v>
      </c>
      <c r="AO7" s="185" t="s">
        <v>220</v>
      </c>
      <c r="AP7" s="185" t="s">
        <v>238</v>
      </c>
      <c r="AQ7" s="116" t="s">
        <v>218</v>
      </c>
      <c r="AR7" s="619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5" t="str">
        <f>IF(KDOKE!B3="","",KDOKE!B3)</f>
        <v>rajin beribadah dan berpuasa</v>
      </c>
      <c r="G1" s="655"/>
      <c r="H1" s="655"/>
      <c r="I1" s="656"/>
      <c r="J1" s="657" t="str">
        <f>IF(KDOKE!B7="","",KDOKE!B7)</f>
        <v>patuh terhadap tata tertib madrasah</v>
      </c>
      <c r="K1" s="658"/>
      <c r="L1" s="658"/>
      <c r="M1" s="658"/>
      <c r="N1" s="658"/>
      <c r="O1" s="658"/>
      <c r="P1" s="658"/>
      <c r="Q1" s="658"/>
      <c r="R1" s="658"/>
      <c r="S1" s="658"/>
      <c r="T1" s="658"/>
      <c r="U1" s="658"/>
      <c r="V1" s="658"/>
      <c r="W1" s="658"/>
      <c r="X1" s="658"/>
      <c r="Y1" s="658"/>
      <c r="Z1" s="658"/>
      <c r="AA1" s="658"/>
      <c r="AB1" s="658"/>
      <c r="AC1" s="658"/>
      <c r="AD1" s="658"/>
      <c r="AE1" s="658"/>
      <c r="AF1" s="658"/>
      <c r="AG1" s="658"/>
      <c r="AH1" s="658"/>
      <c r="AI1" s="658"/>
      <c r="AJ1" s="659"/>
    </row>
    <row r="2" spans="1:38" ht="13.5" customHeight="1">
      <c r="F2" s="655"/>
      <c r="G2" s="655"/>
      <c r="H2" s="655"/>
      <c r="I2" s="656"/>
      <c r="J2" s="660"/>
      <c r="K2" s="661"/>
      <c r="L2" s="661"/>
      <c r="M2" s="661"/>
      <c r="N2" s="661"/>
      <c r="O2" s="661"/>
      <c r="P2" s="661"/>
      <c r="Q2" s="661"/>
      <c r="R2" s="661"/>
      <c r="S2" s="661"/>
      <c r="T2" s="661"/>
      <c r="U2" s="661"/>
      <c r="V2" s="661"/>
      <c r="W2" s="661"/>
      <c r="X2" s="661"/>
      <c r="Y2" s="661"/>
      <c r="Z2" s="661"/>
      <c r="AA2" s="661"/>
      <c r="AB2" s="661"/>
      <c r="AC2" s="661"/>
      <c r="AD2" s="661"/>
      <c r="AE2" s="661"/>
      <c r="AF2" s="661"/>
      <c r="AG2" s="661"/>
      <c r="AH2" s="661"/>
      <c r="AI2" s="661"/>
      <c r="AJ2" s="662"/>
    </row>
    <row r="3" spans="1:38" ht="15" customHeight="1">
      <c r="A3" s="478" t="s">
        <v>15</v>
      </c>
      <c r="B3" s="478" t="s">
        <v>16</v>
      </c>
      <c r="C3" s="481" t="s">
        <v>0</v>
      </c>
      <c r="D3" s="482" t="s">
        <v>1</v>
      </c>
      <c r="E3" s="483" t="s">
        <v>17</v>
      </c>
      <c r="F3" s="654" t="s">
        <v>207</v>
      </c>
      <c r="G3" s="654"/>
      <c r="H3" s="619" t="s">
        <v>7</v>
      </c>
      <c r="I3" s="663" t="s">
        <v>221</v>
      </c>
      <c r="J3" s="654" t="s">
        <v>8</v>
      </c>
      <c r="K3" s="654"/>
      <c r="L3" s="654"/>
      <c r="M3" s="625" t="s">
        <v>7</v>
      </c>
      <c r="N3" s="654" t="s">
        <v>9</v>
      </c>
      <c r="O3" s="654"/>
      <c r="P3" s="654"/>
      <c r="Q3" s="625" t="s">
        <v>7</v>
      </c>
      <c r="R3" s="654" t="s">
        <v>6</v>
      </c>
      <c r="S3" s="654"/>
      <c r="T3" s="654"/>
      <c r="U3" s="625" t="s">
        <v>7</v>
      </c>
      <c r="V3" s="651" t="s">
        <v>10</v>
      </c>
      <c r="W3" s="652"/>
      <c r="X3" s="652"/>
      <c r="Y3" s="625" t="s">
        <v>7</v>
      </c>
      <c r="Z3" s="654" t="s">
        <v>11</v>
      </c>
      <c r="AA3" s="654"/>
      <c r="AB3" s="654"/>
      <c r="AC3" s="625" t="s">
        <v>7</v>
      </c>
      <c r="AD3" s="654" t="s">
        <v>12</v>
      </c>
      <c r="AE3" s="654"/>
      <c r="AF3" s="654"/>
      <c r="AG3" s="625" t="s">
        <v>7</v>
      </c>
      <c r="AH3" s="654" t="s">
        <v>236</v>
      </c>
      <c r="AI3" s="654"/>
      <c r="AJ3" s="654"/>
      <c r="AK3" s="619" t="s">
        <v>7</v>
      </c>
      <c r="AL3" s="663" t="s">
        <v>221</v>
      </c>
    </row>
    <row r="4" spans="1:38" ht="15" customHeight="1">
      <c r="A4" s="479"/>
      <c r="B4" s="479"/>
      <c r="C4" s="481"/>
      <c r="D4" s="482"/>
      <c r="E4" s="484"/>
      <c r="F4" s="645"/>
      <c r="G4" s="645"/>
      <c r="H4" s="619"/>
      <c r="I4" s="663"/>
      <c r="J4" s="645"/>
      <c r="K4" s="645"/>
      <c r="L4" s="645"/>
      <c r="M4" s="619"/>
      <c r="N4" s="645"/>
      <c r="O4" s="645"/>
      <c r="P4" s="645"/>
      <c r="Q4" s="619"/>
      <c r="R4" s="645"/>
      <c r="S4" s="645"/>
      <c r="T4" s="645"/>
      <c r="U4" s="619"/>
      <c r="V4" s="651"/>
      <c r="W4" s="652"/>
      <c r="X4" s="652"/>
      <c r="Y4" s="619"/>
      <c r="Z4" s="645"/>
      <c r="AA4" s="645"/>
      <c r="AB4" s="645"/>
      <c r="AC4" s="619"/>
      <c r="AD4" s="645"/>
      <c r="AE4" s="645"/>
      <c r="AF4" s="645"/>
      <c r="AG4" s="619"/>
      <c r="AH4" s="645"/>
      <c r="AI4" s="645"/>
      <c r="AJ4" s="645"/>
      <c r="AK4" s="619"/>
      <c r="AL4" s="663"/>
    </row>
    <row r="5" spans="1:38" s="97" customFormat="1" ht="102.75" customHeight="1">
      <c r="A5" s="480"/>
      <c r="B5" s="480"/>
      <c r="C5" s="481"/>
      <c r="D5" s="482"/>
      <c r="E5" s="485"/>
      <c r="F5" s="308" t="s">
        <v>219</v>
      </c>
      <c r="G5" s="308" t="s">
        <v>238</v>
      </c>
      <c r="H5" s="619"/>
      <c r="I5" s="664"/>
      <c r="J5" s="308" t="s">
        <v>219</v>
      </c>
      <c r="K5" s="308" t="s">
        <v>220</v>
      </c>
      <c r="L5" s="308" t="s">
        <v>238</v>
      </c>
      <c r="M5" s="619"/>
      <c r="N5" s="308" t="s">
        <v>219</v>
      </c>
      <c r="O5" s="308" t="s">
        <v>220</v>
      </c>
      <c r="P5" s="308" t="s">
        <v>238</v>
      </c>
      <c r="Q5" s="619"/>
      <c r="R5" s="308" t="s">
        <v>219</v>
      </c>
      <c r="S5" s="308" t="s">
        <v>220</v>
      </c>
      <c r="T5" s="308" t="s">
        <v>238</v>
      </c>
      <c r="U5" s="619"/>
      <c r="V5" s="308" t="s">
        <v>219</v>
      </c>
      <c r="W5" s="308" t="s">
        <v>220</v>
      </c>
      <c r="X5" s="308" t="s">
        <v>238</v>
      </c>
      <c r="Y5" s="619"/>
      <c r="Z5" s="308" t="s">
        <v>219</v>
      </c>
      <c r="AA5" s="308" t="s">
        <v>220</v>
      </c>
      <c r="AB5" s="308" t="s">
        <v>238</v>
      </c>
      <c r="AC5" s="619"/>
      <c r="AD5" s="308" t="s">
        <v>219</v>
      </c>
      <c r="AE5" s="308" t="s">
        <v>220</v>
      </c>
      <c r="AF5" s="308" t="s">
        <v>238</v>
      </c>
      <c r="AG5" s="619"/>
      <c r="AH5" s="308" t="s">
        <v>219</v>
      </c>
      <c r="AI5" s="308" t="s">
        <v>220</v>
      </c>
      <c r="AJ5" s="116" t="s">
        <v>218</v>
      </c>
      <c r="AK5" s="619"/>
      <c r="AL5" s="664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3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3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2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2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3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3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2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2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3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3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2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2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3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3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2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2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2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2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3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3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3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3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2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2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2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2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2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2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2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2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3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3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3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3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2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2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2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2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3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3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3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2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2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2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2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3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3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3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3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7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5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5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5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5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5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6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6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6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6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6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6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5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5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5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5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5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5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5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5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5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6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6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6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6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6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6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5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5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5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5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5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5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6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6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6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6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6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5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5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5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5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5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5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6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6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6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6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6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6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4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2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2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2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2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3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3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3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3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3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3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2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2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2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2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2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2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2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2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2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3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3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3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3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3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3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2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2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2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2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2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2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3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3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3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3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3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2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2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2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2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2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3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3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3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3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3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3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8" t="s">
        <v>15</v>
      </c>
      <c r="B1" s="478" t="s">
        <v>16</v>
      </c>
      <c r="C1" s="481" t="s">
        <v>0</v>
      </c>
      <c r="D1" s="482" t="s">
        <v>1</v>
      </c>
      <c r="E1" s="669" t="s">
        <v>17</v>
      </c>
      <c r="F1" s="668" t="s">
        <v>454</v>
      </c>
      <c r="G1" s="668"/>
      <c r="H1" s="668"/>
      <c r="I1" s="668"/>
    </row>
    <row r="2" spans="1:9" ht="15" customHeight="1">
      <c r="A2" s="479"/>
      <c r="B2" s="479"/>
      <c r="C2" s="481"/>
      <c r="D2" s="482"/>
      <c r="E2" s="670"/>
      <c r="F2" s="668"/>
      <c r="G2" s="668"/>
      <c r="H2" s="668"/>
      <c r="I2" s="668"/>
    </row>
    <row r="3" spans="1:9" s="97" customFormat="1" ht="63.75" customHeight="1">
      <c r="A3" s="480"/>
      <c r="B3" s="480"/>
      <c r="C3" s="481"/>
      <c r="D3" s="482"/>
      <c r="E3" s="671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2">
        <f>menu!E13</f>
        <v>0</v>
      </c>
      <c r="D1" s="672"/>
      <c r="E1" s="672"/>
      <c r="F1" s="672"/>
      <c r="G1" s="673" t="s">
        <v>246</v>
      </c>
      <c r="H1" s="673"/>
      <c r="I1" s="674" t="str">
        <f>menu!D15</f>
        <v>Ganjil</v>
      </c>
      <c r="J1" s="674"/>
      <c r="K1" s="675" t="s">
        <v>247</v>
      </c>
      <c r="L1" s="676"/>
      <c r="M1" s="46">
        <f>menu!D19</f>
        <v>0</v>
      </c>
      <c r="N1" s="133"/>
    </row>
    <row r="2" spans="1:122" ht="16.5">
      <c r="A2" s="131"/>
      <c r="B2" s="132" t="s">
        <v>248</v>
      </c>
      <c r="C2" s="677" t="str">
        <f>menu!D14</f>
        <v>7a</v>
      </c>
      <c r="D2" s="677"/>
      <c r="E2" s="134"/>
      <c r="F2" s="673" t="s">
        <v>249</v>
      </c>
      <c r="G2" s="673"/>
      <c r="H2" s="673"/>
      <c r="I2" s="678" t="str">
        <f>menu!D16</f>
        <v>2017/2018</v>
      </c>
      <c r="J2" s="678"/>
      <c r="K2" s="675" t="s">
        <v>250</v>
      </c>
      <c r="L2" s="675"/>
      <c r="M2" s="679"/>
      <c r="N2" s="679"/>
    </row>
    <row r="3" spans="1:122">
      <c r="A3" s="131"/>
      <c r="B3" s="190" t="s">
        <v>251</v>
      </c>
      <c r="C3" s="682" t="s">
        <v>252</v>
      </c>
      <c r="D3" s="682"/>
      <c r="E3" s="682"/>
      <c r="F3" s="682"/>
      <c r="G3" s="682"/>
      <c r="H3" s="682"/>
      <c r="I3" s="682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3" t="s">
        <v>253</v>
      </c>
      <c r="D5" s="684"/>
      <c r="E5" s="684"/>
      <c r="F5" s="684"/>
      <c r="G5" s="684"/>
      <c r="H5" s="684"/>
      <c r="I5" s="684"/>
      <c r="J5" s="685"/>
      <c r="K5" s="138" t="s">
        <v>254</v>
      </c>
      <c r="L5" s="138"/>
      <c r="M5" s="138"/>
      <c r="N5" s="139"/>
      <c r="O5" s="683" t="s">
        <v>253</v>
      </c>
      <c r="P5" s="684"/>
      <c r="Q5" s="684"/>
      <c r="R5" s="684"/>
      <c r="S5" s="684"/>
      <c r="T5" s="684"/>
      <c r="U5" s="684"/>
      <c r="V5" s="685"/>
      <c r="W5" s="138" t="s">
        <v>254</v>
      </c>
      <c r="X5" s="138"/>
      <c r="Y5" s="138"/>
      <c r="Z5" s="139"/>
      <c r="AA5" s="683" t="s">
        <v>253</v>
      </c>
      <c r="AB5" s="684"/>
      <c r="AC5" s="684"/>
      <c r="AD5" s="684"/>
      <c r="AE5" s="684"/>
      <c r="AF5" s="684"/>
      <c r="AG5" s="684"/>
      <c r="AH5" s="685"/>
      <c r="AI5" s="138" t="s">
        <v>254</v>
      </c>
      <c r="AJ5" s="138"/>
      <c r="AK5" s="138"/>
      <c r="AL5" s="139"/>
      <c r="AM5" s="683" t="s">
        <v>253</v>
      </c>
      <c r="AN5" s="684"/>
      <c r="AO5" s="684"/>
      <c r="AP5" s="684"/>
      <c r="AQ5" s="684"/>
      <c r="AR5" s="684"/>
      <c r="AS5" s="684"/>
      <c r="AT5" s="685"/>
      <c r="AU5" s="138" t="s">
        <v>254</v>
      </c>
      <c r="AV5" s="138"/>
      <c r="AW5" s="138"/>
      <c r="AX5" s="139"/>
      <c r="AY5" s="683" t="s">
        <v>253</v>
      </c>
      <c r="AZ5" s="684"/>
      <c r="BA5" s="684"/>
      <c r="BB5" s="684"/>
      <c r="BC5" s="684"/>
      <c r="BD5" s="684"/>
      <c r="BE5" s="684"/>
      <c r="BF5" s="685"/>
      <c r="BG5" s="138" t="s">
        <v>254</v>
      </c>
      <c r="BH5" s="138"/>
      <c r="BI5" s="138"/>
      <c r="BJ5" s="139"/>
      <c r="BK5" s="683" t="s">
        <v>253</v>
      </c>
      <c r="BL5" s="684"/>
      <c r="BM5" s="684"/>
      <c r="BN5" s="684"/>
      <c r="BO5" s="684"/>
      <c r="BP5" s="684"/>
      <c r="BQ5" s="684"/>
      <c r="BR5" s="685"/>
      <c r="BS5" s="138" t="s">
        <v>254</v>
      </c>
      <c r="BT5" s="138"/>
      <c r="BU5" s="138"/>
      <c r="BV5" s="139"/>
      <c r="BW5" s="683" t="s">
        <v>253</v>
      </c>
      <c r="BX5" s="684"/>
      <c r="BY5" s="684"/>
      <c r="BZ5" s="684"/>
      <c r="CA5" s="684"/>
      <c r="CB5" s="684"/>
      <c r="CC5" s="684"/>
      <c r="CD5" s="685"/>
      <c r="CE5" s="138" t="s">
        <v>254</v>
      </c>
      <c r="CF5" s="138"/>
      <c r="CG5" s="138"/>
      <c r="CH5" s="139"/>
      <c r="CI5" s="683" t="s">
        <v>253</v>
      </c>
      <c r="CJ5" s="684"/>
      <c r="CK5" s="684"/>
      <c r="CL5" s="684"/>
      <c r="CM5" s="684"/>
      <c r="CN5" s="684"/>
      <c r="CO5" s="684"/>
      <c r="CP5" s="685"/>
      <c r="CQ5" s="138" t="s">
        <v>254</v>
      </c>
      <c r="CR5" s="138"/>
      <c r="CS5" s="138"/>
      <c r="CT5" s="139"/>
      <c r="CU5" s="683" t="s">
        <v>253</v>
      </c>
      <c r="CV5" s="684"/>
      <c r="CW5" s="684"/>
      <c r="CX5" s="684"/>
      <c r="CY5" s="684"/>
      <c r="CZ5" s="684"/>
      <c r="DA5" s="684"/>
      <c r="DB5" s="685"/>
      <c r="DC5" s="138" t="s">
        <v>254</v>
      </c>
      <c r="DD5" s="138"/>
      <c r="DE5" s="138"/>
      <c r="DF5" s="139"/>
      <c r="DG5" s="683" t="s">
        <v>253</v>
      </c>
      <c r="DH5" s="684"/>
      <c r="DI5" s="684"/>
      <c r="DJ5" s="684"/>
      <c r="DK5" s="684"/>
      <c r="DL5" s="684"/>
      <c r="DM5" s="684"/>
      <c r="DN5" s="685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6"/>
      <c r="D6" s="687"/>
      <c r="E6" s="687"/>
      <c r="F6" s="687"/>
      <c r="G6" s="687"/>
      <c r="H6" s="687"/>
      <c r="I6" s="687"/>
      <c r="J6" s="688"/>
      <c r="K6" s="141" t="s">
        <v>255</v>
      </c>
      <c r="L6" s="78"/>
      <c r="M6" s="78"/>
      <c r="N6" s="79"/>
      <c r="O6" s="686"/>
      <c r="P6" s="687"/>
      <c r="Q6" s="687"/>
      <c r="R6" s="687"/>
      <c r="S6" s="687"/>
      <c r="T6" s="687"/>
      <c r="U6" s="687"/>
      <c r="V6" s="688"/>
      <c r="W6" s="141" t="s">
        <v>255</v>
      </c>
      <c r="X6" s="78"/>
      <c r="Y6" s="78"/>
      <c r="Z6" s="79"/>
      <c r="AA6" s="686"/>
      <c r="AB6" s="687"/>
      <c r="AC6" s="687"/>
      <c r="AD6" s="687"/>
      <c r="AE6" s="687"/>
      <c r="AF6" s="687"/>
      <c r="AG6" s="687"/>
      <c r="AH6" s="688"/>
      <c r="AI6" s="141" t="s">
        <v>255</v>
      </c>
      <c r="AJ6" s="78"/>
      <c r="AK6" s="78"/>
      <c r="AL6" s="79"/>
      <c r="AM6" s="686"/>
      <c r="AN6" s="687"/>
      <c r="AO6" s="687"/>
      <c r="AP6" s="687"/>
      <c r="AQ6" s="687"/>
      <c r="AR6" s="687"/>
      <c r="AS6" s="687"/>
      <c r="AT6" s="688"/>
      <c r="AU6" s="141" t="s">
        <v>255</v>
      </c>
      <c r="AV6" s="78"/>
      <c r="AW6" s="78"/>
      <c r="AX6" s="79"/>
      <c r="AY6" s="686"/>
      <c r="AZ6" s="687"/>
      <c r="BA6" s="687"/>
      <c r="BB6" s="687"/>
      <c r="BC6" s="687"/>
      <c r="BD6" s="687"/>
      <c r="BE6" s="687"/>
      <c r="BF6" s="688"/>
      <c r="BG6" s="141" t="s">
        <v>255</v>
      </c>
      <c r="BH6" s="78"/>
      <c r="BI6" s="78"/>
      <c r="BJ6" s="79"/>
      <c r="BK6" s="686"/>
      <c r="BL6" s="687"/>
      <c r="BM6" s="687"/>
      <c r="BN6" s="687"/>
      <c r="BO6" s="687"/>
      <c r="BP6" s="687"/>
      <c r="BQ6" s="687"/>
      <c r="BR6" s="688"/>
      <c r="BS6" s="141" t="s">
        <v>255</v>
      </c>
      <c r="BT6" s="78"/>
      <c r="BU6" s="78"/>
      <c r="BV6" s="79"/>
      <c r="BW6" s="686"/>
      <c r="BX6" s="687"/>
      <c r="BY6" s="687"/>
      <c r="BZ6" s="687"/>
      <c r="CA6" s="687"/>
      <c r="CB6" s="687"/>
      <c r="CC6" s="687"/>
      <c r="CD6" s="688"/>
      <c r="CE6" s="141" t="s">
        <v>255</v>
      </c>
      <c r="CF6" s="78"/>
      <c r="CG6" s="78"/>
      <c r="CH6" s="79"/>
      <c r="CI6" s="686"/>
      <c r="CJ6" s="687"/>
      <c r="CK6" s="687"/>
      <c r="CL6" s="687"/>
      <c r="CM6" s="687"/>
      <c r="CN6" s="687"/>
      <c r="CO6" s="687"/>
      <c r="CP6" s="688"/>
      <c r="CQ6" s="141" t="s">
        <v>255</v>
      </c>
      <c r="CR6" s="78"/>
      <c r="CS6" s="78"/>
      <c r="CT6" s="79"/>
      <c r="CU6" s="686"/>
      <c r="CV6" s="687"/>
      <c r="CW6" s="687"/>
      <c r="CX6" s="687"/>
      <c r="CY6" s="687"/>
      <c r="CZ6" s="687"/>
      <c r="DA6" s="687"/>
      <c r="DB6" s="688"/>
      <c r="DC6" s="141" t="s">
        <v>255</v>
      </c>
      <c r="DD6" s="78"/>
      <c r="DE6" s="78"/>
      <c r="DF6" s="79"/>
      <c r="DG6" s="686"/>
      <c r="DH6" s="687"/>
      <c r="DI6" s="687"/>
      <c r="DJ6" s="687"/>
      <c r="DK6" s="687"/>
      <c r="DL6" s="687"/>
      <c r="DM6" s="687"/>
      <c r="DN6" s="688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9"/>
      <c r="D7" s="690"/>
      <c r="E7" s="690"/>
      <c r="F7" s="690"/>
      <c r="G7" s="690"/>
      <c r="H7" s="690"/>
      <c r="I7" s="690"/>
      <c r="J7" s="691"/>
      <c r="K7" s="141" t="s">
        <v>256</v>
      </c>
      <c r="L7" s="80"/>
      <c r="M7" s="80"/>
      <c r="N7" s="81"/>
      <c r="O7" s="689"/>
      <c r="P7" s="690"/>
      <c r="Q7" s="690"/>
      <c r="R7" s="690"/>
      <c r="S7" s="690"/>
      <c r="T7" s="690"/>
      <c r="U7" s="690"/>
      <c r="V7" s="691"/>
      <c r="W7" s="141" t="s">
        <v>256</v>
      </c>
      <c r="X7" s="80"/>
      <c r="Y7" s="80"/>
      <c r="Z7" s="81"/>
      <c r="AA7" s="689"/>
      <c r="AB7" s="690"/>
      <c r="AC7" s="690"/>
      <c r="AD7" s="690"/>
      <c r="AE7" s="690"/>
      <c r="AF7" s="690"/>
      <c r="AG7" s="690"/>
      <c r="AH7" s="691"/>
      <c r="AI7" s="141" t="s">
        <v>256</v>
      </c>
      <c r="AJ7" s="80"/>
      <c r="AK7" s="80"/>
      <c r="AL7" s="81"/>
      <c r="AM7" s="689"/>
      <c r="AN7" s="690"/>
      <c r="AO7" s="690"/>
      <c r="AP7" s="690"/>
      <c r="AQ7" s="690"/>
      <c r="AR7" s="690"/>
      <c r="AS7" s="690"/>
      <c r="AT7" s="691"/>
      <c r="AU7" s="141" t="s">
        <v>256</v>
      </c>
      <c r="AV7" s="80"/>
      <c r="AW7" s="80"/>
      <c r="AX7" s="81"/>
      <c r="AY7" s="689"/>
      <c r="AZ7" s="690"/>
      <c r="BA7" s="690"/>
      <c r="BB7" s="690"/>
      <c r="BC7" s="690"/>
      <c r="BD7" s="690"/>
      <c r="BE7" s="690"/>
      <c r="BF7" s="691"/>
      <c r="BG7" s="141" t="s">
        <v>256</v>
      </c>
      <c r="BH7" s="80"/>
      <c r="BI7" s="80"/>
      <c r="BJ7" s="81"/>
      <c r="BK7" s="689"/>
      <c r="BL7" s="690"/>
      <c r="BM7" s="690"/>
      <c r="BN7" s="690"/>
      <c r="BO7" s="690"/>
      <c r="BP7" s="690"/>
      <c r="BQ7" s="690"/>
      <c r="BR7" s="691"/>
      <c r="BS7" s="141" t="s">
        <v>256</v>
      </c>
      <c r="BT7" s="80"/>
      <c r="BU7" s="80"/>
      <c r="BV7" s="81"/>
      <c r="BW7" s="689"/>
      <c r="BX7" s="690"/>
      <c r="BY7" s="690"/>
      <c r="BZ7" s="690"/>
      <c r="CA7" s="690"/>
      <c r="CB7" s="690"/>
      <c r="CC7" s="690"/>
      <c r="CD7" s="691"/>
      <c r="CE7" s="141" t="s">
        <v>256</v>
      </c>
      <c r="CF7" s="80"/>
      <c r="CG7" s="80"/>
      <c r="CH7" s="81"/>
      <c r="CI7" s="689"/>
      <c r="CJ7" s="690"/>
      <c r="CK7" s="690"/>
      <c r="CL7" s="690"/>
      <c r="CM7" s="690"/>
      <c r="CN7" s="690"/>
      <c r="CO7" s="690"/>
      <c r="CP7" s="691"/>
      <c r="CQ7" s="141" t="s">
        <v>256</v>
      </c>
      <c r="CR7" s="80"/>
      <c r="CS7" s="80"/>
      <c r="CT7" s="81"/>
      <c r="CU7" s="689"/>
      <c r="CV7" s="690"/>
      <c r="CW7" s="690"/>
      <c r="CX7" s="690"/>
      <c r="CY7" s="690"/>
      <c r="CZ7" s="690"/>
      <c r="DA7" s="690"/>
      <c r="DB7" s="691"/>
      <c r="DC7" s="141" t="s">
        <v>256</v>
      </c>
      <c r="DD7" s="80"/>
      <c r="DE7" s="80"/>
      <c r="DF7" s="81"/>
      <c r="DG7" s="689"/>
      <c r="DH7" s="690"/>
      <c r="DI7" s="690"/>
      <c r="DJ7" s="690"/>
      <c r="DK7" s="690"/>
      <c r="DL7" s="690"/>
      <c r="DM7" s="690"/>
      <c r="DN7" s="691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6"/>
      <c r="D8" s="687"/>
      <c r="E8" s="687"/>
      <c r="F8" s="687"/>
      <c r="G8" s="687"/>
      <c r="H8" s="687"/>
      <c r="I8" s="687"/>
      <c r="J8" s="688"/>
      <c r="K8" s="141" t="s">
        <v>257</v>
      </c>
      <c r="L8" s="78"/>
      <c r="M8" s="78"/>
      <c r="N8" s="79"/>
      <c r="O8" s="686"/>
      <c r="P8" s="687"/>
      <c r="Q8" s="687"/>
      <c r="R8" s="687"/>
      <c r="S8" s="687"/>
      <c r="T8" s="687"/>
      <c r="U8" s="687"/>
      <c r="V8" s="688"/>
      <c r="W8" s="141" t="s">
        <v>257</v>
      </c>
      <c r="X8" s="78"/>
      <c r="Y8" s="78"/>
      <c r="Z8" s="79"/>
      <c r="AA8" s="686"/>
      <c r="AB8" s="687"/>
      <c r="AC8" s="687"/>
      <c r="AD8" s="687"/>
      <c r="AE8" s="687"/>
      <c r="AF8" s="687"/>
      <c r="AG8" s="687"/>
      <c r="AH8" s="688"/>
      <c r="AI8" s="141" t="s">
        <v>257</v>
      </c>
      <c r="AJ8" s="78"/>
      <c r="AK8" s="78"/>
      <c r="AL8" s="79"/>
      <c r="AM8" s="686"/>
      <c r="AN8" s="687"/>
      <c r="AO8" s="687"/>
      <c r="AP8" s="687"/>
      <c r="AQ8" s="687"/>
      <c r="AR8" s="687"/>
      <c r="AS8" s="687"/>
      <c r="AT8" s="688"/>
      <c r="AU8" s="141" t="s">
        <v>257</v>
      </c>
      <c r="AV8" s="78"/>
      <c r="AW8" s="78"/>
      <c r="AX8" s="79"/>
      <c r="AY8" s="686"/>
      <c r="AZ8" s="687"/>
      <c r="BA8" s="687"/>
      <c r="BB8" s="687"/>
      <c r="BC8" s="687"/>
      <c r="BD8" s="687"/>
      <c r="BE8" s="687"/>
      <c r="BF8" s="688"/>
      <c r="BG8" s="141" t="s">
        <v>257</v>
      </c>
      <c r="BH8" s="78"/>
      <c r="BI8" s="78"/>
      <c r="BJ8" s="79"/>
      <c r="BK8" s="686"/>
      <c r="BL8" s="687"/>
      <c r="BM8" s="687"/>
      <c r="BN8" s="687"/>
      <c r="BO8" s="687"/>
      <c r="BP8" s="687"/>
      <c r="BQ8" s="687"/>
      <c r="BR8" s="688"/>
      <c r="BS8" s="141" t="s">
        <v>257</v>
      </c>
      <c r="BT8" s="78"/>
      <c r="BU8" s="78"/>
      <c r="BV8" s="79"/>
      <c r="BW8" s="686"/>
      <c r="BX8" s="687"/>
      <c r="BY8" s="687"/>
      <c r="BZ8" s="687"/>
      <c r="CA8" s="687"/>
      <c r="CB8" s="687"/>
      <c r="CC8" s="687"/>
      <c r="CD8" s="688"/>
      <c r="CE8" s="141" t="s">
        <v>257</v>
      </c>
      <c r="CF8" s="78"/>
      <c r="CG8" s="78"/>
      <c r="CH8" s="79"/>
      <c r="CI8" s="686"/>
      <c r="CJ8" s="687"/>
      <c r="CK8" s="687"/>
      <c r="CL8" s="687"/>
      <c r="CM8" s="687"/>
      <c r="CN8" s="687"/>
      <c r="CO8" s="687"/>
      <c r="CP8" s="688"/>
      <c r="CQ8" s="141" t="s">
        <v>257</v>
      </c>
      <c r="CR8" s="78"/>
      <c r="CS8" s="78"/>
      <c r="CT8" s="79"/>
      <c r="CU8" s="686"/>
      <c r="CV8" s="687"/>
      <c r="CW8" s="687"/>
      <c r="CX8" s="687"/>
      <c r="CY8" s="687"/>
      <c r="CZ8" s="687"/>
      <c r="DA8" s="687"/>
      <c r="DB8" s="688"/>
      <c r="DC8" s="141" t="s">
        <v>257</v>
      </c>
      <c r="DD8" s="78"/>
      <c r="DE8" s="78"/>
      <c r="DF8" s="79"/>
      <c r="DG8" s="686"/>
      <c r="DH8" s="687"/>
      <c r="DI8" s="687"/>
      <c r="DJ8" s="687"/>
      <c r="DK8" s="687"/>
      <c r="DL8" s="687"/>
      <c r="DM8" s="687"/>
      <c r="DN8" s="688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9"/>
      <c r="D9" s="690"/>
      <c r="E9" s="690"/>
      <c r="F9" s="690"/>
      <c r="G9" s="690"/>
      <c r="H9" s="690"/>
      <c r="I9" s="690"/>
      <c r="J9" s="691"/>
      <c r="K9" s="142" t="s">
        <v>258</v>
      </c>
      <c r="L9" s="82"/>
      <c r="M9" s="82"/>
      <c r="N9" s="83"/>
      <c r="O9" s="689"/>
      <c r="P9" s="690"/>
      <c r="Q9" s="690"/>
      <c r="R9" s="690"/>
      <c r="S9" s="690"/>
      <c r="T9" s="690"/>
      <c r="U9" s="690"/>
      <c r="V9" s="691"/>
      <c r="W9" s="142" t="s">
        <v>258</v>
      </c>
      <c r="X9" s="82"/>
      <c r="Y9" s="82"/>
      <c r="Z9" s="83"/>
      <c r="AA9" s="689"/>
      <c r="AB9" s="690"/>
      <c r="AC9" s="690"/>
      <c r="AD9" s="690"/>
      <c r="AE9" s="690"/>
      <c r="AF9" s="690"/>
      <c r="AG9" s="690"/>
      <c r="AH9" s="691"/>
      <c r="AI9" s="142" t="s">
        <v>258</v>
      </c>
      <c r="AJ9" s="82"/>
      <c r="AK9" s="82"/>
      <c r="AL9" s="83"/>
      <c r="AM9" s="689"/>
      <c r="AN9" s="690"/>
      <c r="AO9" s="690"/>
      <c r="AP9" s="690"/>
      <c r="AQ9" s="690"/>
      <c r="AR9" s="690"/>
      <c r="AS9" s="690"/>
      <c r="AT9" s="691"/>
      <c r="AU9" s="142" t="s">
        <v>258</v>
      </c>
      <c r="AV9" s="82"/>
      <c r="AW9" s="82"/>
      <c r="AX9" s="83"/>
      <c r="AY9" s="689"/>
      <c r="AZ9" s="690"/>
      <c r="BA9" s="690"/>
      <c r="BB9" s="690"/>
      <c r="BC9" s="690"/>
      <c r="BD9" s="690"/>
      <c r="BE9" s="690"/>
      <c r="BF9" s="691"/>
      <c r="BG9" s="142" t="s">
        <v>258</v>
      </c>
      <c r="BH9" s="82"/>
      <c r="BI9" s="82"/>
      <c r="BJ9" s="83"/>
      <c r="BK9" s="689"/>
      <c r="BL9" s="690"/>
      <c r="BM9" s="690"/>
      <c r="BN9" s="690"/>
      <c r="BO9" s="690"/>
      <c r="BP9" s="690"/>
      <c r="BQ9" s="690"/>
      <c r="BR9" s="691"/>
      <c r="BS9" s="142" t="s">
        <v>258</v>
      </c>
      <c r="BT9" s="82"/>
      <c r="BU9" s="82"/>
      <c r="BV9" s="83"/>
      <c r="BW9" s="689"/>
      <c r="BX9" s="690"/>
      <c r="BY9" s="690"/>
      <c r="BZ9" s="690"/>
      <c r="CA9" s="690"/>
      <c r="CB9" s="690"/>
      <c r="CC9" s="690"/>
      <c r="CD9" s="691"/>
      <c r="CE9" s="142" t="s">
        <v>258</v>
      </c>
      <c r="CF9" s="82"/>
      <c r="CG9" s="82"/>
      <c r="CH9" s="83"/>
      <c r="CI9" s="689"/>
      <c r="CJ9" s="690"/>
      <c r="CK9" s="690"/>
      <c r="CL9" s="690"/>
      <c r="CM9" s="690"/>
      <c r="CN9" s="690"/>
      <c r="CO9" s="690"/>
      <c r="CP9" s="691"/>
      <c r="CQ9" s="142" t="s">
        <v>258</v>
      </c>
      <c r="CR9" s="82"/>
      <c r="CS9" s="82"/>
      <c r="CT9" s="83"/>
      <c r="CU9" s="689"/>
      <c r="CV9" s="690"/>
      <c r="CW9" s="690"/>
      <c r="CX9" s="690"/>
      <c r="CY9" s="690"/>
      <c r="CZ9" s="690"/>
      <c r="DA9" s="690"/>
      <c r="DB9" s="691"/>
      <c r="DC9" s="142" t="s">
        <v>258</v>
      </c>
      <c r="DD9" s="82"/>
      <c r="DE9" s="82"/>
      <c r="DF9" s="83"/>
      <c r="DG9" s="689"/>
      <c r="DH9" s="690"/>
      <c r="DI9" s="690"/>
      <c r="DJ9" s="690"/>
      <c r="DK9" s="690"/>
      <c r="DL9" s="690"/>
      <c r="DM9" s="690"/>
      <c r="DN9" s="691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6"/>
      <c r="D10" s="687"/>
      <c r="E10" s="687"/>
      <c r="F10" s="687"/>
      <c r="G10" s="687"/>
      <c r="H10" s="687"/>
      <c r="I10" s="687"/>
      <c r="J10" s="688"/>
      <c r="K10" s="131"/>
      <c r="L10" s="186"/>
      <c r="M10" s="143"/>
      <c r="N10" s="143"/>
      <c r="O10" s="686"/>
      <c r="P10" s="687"/>
      <c r="Q10" s="687"/>
      <c r="R10" s="687"/>
      <c r="S10" s="687"/>
      <c r="T10" s="687"/>
      <c r="U10" s="687"/>
      <c r="V10" s="688"/>
      <c r="W10" s="131"/>
      <c r="X10" s="186"/>
      <c r="Y10" s="143"/>
      <c r="Z10" s="143"/>
      <c r="AA10" s="686"/>
      <c r="AB10" s="687"/>
      <c r="AC10" s="687"/>
      <c r="AD10" s="687"/>
      <c r="AE10" s="687"/>
      <c r="AF10" s="687"/>
      <c r="AG10" s="687"/>
      <c r="AH10" s="688"/>
      <c r="AI10" s="131"/>
      <c r="AJ10" s="186"/>
      <c r="AK10" s="143"/>
      <c r="AL10" s="143"/>
      <c r="AM10" s="686"/>
      <c r="AN10" s="687"/>
      <c r="AO10" s="687"/>
      <c r="AP10" s="687"/>
      <c r="AQ10" s="687"/>
      <c r="AR10" s="687"/>
      <c r="AS10" s="687"/>
      <c r="AT10" s="688"/>
      <c r="AU10" s="131"/>
      <c r="AV10" s="186"/>
      <c r="AW10" s="143"/>
      <c r="AX10" s="143"/>
      <c r="AY10" s="686"/>
      <c r="AZ10" s="687"/>
      <c r="BA10" s="687"/>
      <c r="BB10" s="687"/>
      <c r="BC10" s="687"/>
      <c r="BD10" s="687"/>
      <c r="BE10" s="687"/>
      <c r="BF10" s="688"/>
      <c r="BG10" s="131"/>
      <c r="BH10" s="186"/>
      <c r="BI10" s="143"/>
      <c r="BJ10" s="143"/>
      <c r="BK10" s="686"/>
      <c r="BL10" s="687"/>
      <c r="BM10" s="687"/>
      <c r="BN10" s="687"/>
      <c r="BO10" s="687"/>
      <c r="BP10" s="687"/>
      <c r="BQ10" s="687"/>
      <c r="BR10" s="688"/>
      <c r="BS10" s="131"/>
      <c r="BT10" s="186"/>
      <c r="BU10" s="143"/>
      <c r="BV10" s="143"/>
      <c r="BW10" s="686"/>
      <c r="BX10" s="687"/>
      <c r="BY10" s="687"/>
      <c r="BZ10" s="687"/>
      <c r="CA10" s="687"/>
      <c r="CB10" s="687"/>
      <c r="CC10" s="687"/>
      <c r="CD10" s="688"/>
      <c r="CE10" s="131"/>
      <c r="CF10" s="186"/>
      <c r="CG10" s="143"/>
      <c r="CH10" s="143"/>
      <c r="CI10" s="686"/>
      <c r="CJ10" s="687"/>
      <c r="CK10" s="687"/>
      <c r="CL10" s="687"/>
      <c r="CM10" s="687"/>
      <c r="CN10" s="687"/>
      <c r="CO10" s="687"/>
      <c r="CP10" s="688"/>
      <c r="CQ10" s="131"/>
      <c r="CR10" s="186"/>
      <c r="CS10" s="143"/>
      <c r="CT10" s="143"/>
      <c r="CU10" s="686"/>
      <c r="CV10" s="687"/>
      <c r="CW10" s="687"/>
      <c r="CX10" s="687"/>
      <c r="CY10" s="687"/>
      <c r="CZ10" s="687"/>
      <c r="DA10" s="687"/>
      <c r="DB10" s="688"/>
      <c r="DC10" s="131"/>
      <c r="DD10" s="186"/>
      <c r="DE10" s="143"/>
      <c r="DF10" s="143"/>
      <c r="DG10" s="686"/>
      <c r="DH10" s="687"/>
      <c r="DI10" s="687"/>
      <c r="DJ10" s="687"/>
      <c r="DK10" s="687"/>
      <c r="DL10" s="687"/>
      <c r="DM10" s="687"/>
      <c r="DN10" s="688"/>
      <c r="DO10" s="131"/>
      <c r="DP10" s="186"/>
      <c r="DQ10" s="143"/>
      <c r="DR10" s="143"/>
    </row>
    <row r="11" spans="1:122">
      <c r="A11" s="131"/>
      <c r="B11" s="140" t="s">
        <v>260</v>
      </c>
      <c r="C11" s="689"/>
      <c r="D11" s="690"/>
      <c r="E11" s="690"/>
      <c r="F11" s="690"/>
      <c r="G11" s="690"/>
      <c r="H11" s="690"/>
      <c r="I11" s="690"/>
      <c r="J11" s="691"/>
      <c r="K11" s="131"/>
      <c r="L11" s="186"/>
      <c r="M11" s="143"/>
      <c r="N11" s="143"/>
      <c r="O11" s="689"/>
      <c r="P11" s="690"/>
      <c r="Q11" s="690"/>
      <c r="R11" s="690"/>
      <c r="S11" s="690"/>
      <c r="T11" s="690"/>
      <c r="U11" s="690"/>
      <c r="V11" s="691"/>
      <c r="W11" s="131"/>
      <c r="X11" s="186"/>
      <c r="Y11" s="143"/>
      <c r="Z11" s="143"/>
      <c r="AA11" s="689"/>
      <c r="AB11" s="690"/>
      <c r="AC11" s="690"/>
      <c r="AD11" s="690"/>
      <c r="AE11" s="690"/>
      <c r="AF11" s="690"/>
      <c r="AG11" s="690"/>
      <c r="AH11" s="691"/>
      <c r="AI11" s="131"/>
      <c r="AJ11" s="186"/>
      <c r="AK11" s="143"/>
      <c r="AL11" s="143"/>
      <c r="AM11" s="689"/>
      <c r="AN11" s="690"/>
      <c r="AO11" s="690"/>
      <c r="AP11" s="690"/>
      <c r="AQ11" s="690"/>
      <c r="AR11" s="690"/>
      <c r="AS11" s="690"/>
      <c r="AT11" s="691"/>
      <c r="AU11" s="131"/>
      <c r="AV11" s="186"/>
      <c r="AW11" s="143"/>
      <c r="AX11" s="143"/>
      <c r="AY11" s="689"/>
      <c r="AZ11" s="690"/>
      <c r="BA11" s="690"/>
      <c r="BB11" s="690"/>
      <c r="BC11" s="690"/>
      <c r="BD11" s="690"/>
      <c r="BE11" s="690"/>
      <c r="BF11" s="691"/>
      <c r="BG11" s="131"/>
      <c r="BH11" s="186"/>
      <c r="BI11" s="143"/>
      <c r="BJ11" s="143"/>
      <c r="BK11" s="689"/>
      <c r="BL11" s="690"/>
      <c r="BM11" s="690"/>
      <c r="BN11" s="690"/>
      <c r="BO11" s="690"/>
      <c r="BP11" s="690"/>
      <c r="BQ11" s="690"/>
      <c r="BR11" s="691"/>
      <c r="BS11" s="131"/>
      <c r="BT11" s="186"/>
      <c r="BU11" s="143"/>
      <c r="BV11" s="143"/>
      <c r="BW11" s="689"/>
      <c r="BX11" s="690"/>
      <c r="BY11" s="690"/>
      <c r="BZ11" s="690"/>
      <c r="CA11" s="690"/>
      <c r="CB11" s="690"/>
      <c r="CC11" s="690"/>
      <c r="CD11" s="691"/>
      <c r="CE11" s="131"/>
      <c r="CF11" s="186"/>
      <c r="CG11" s="143"/>
      <c r="CH11" s="143"/>
      <c r="CI11" s="689"/>
      <c r="CJ11" s="690"/>
      <c r="CK11" s="690"/>
      <c r="CL11" s="690"/>
      <c r="CM11" s="690"/>
      <c r="CN11" s="690"/>
      <c r="CO11" s="690"/>
      <c r="CP11" s="691"/>
      <c r="CQ11" s="131"/>
      <c r="CR11" s="186"/>
      <c r="CS11" s="143"/>
      <c r="CT11" s="143"/>
      <c r="CU11" s="689"/>
      <c r="CV11" s="690"/>
      <c r="CW11" s="690"/>
      <c r="CX11" s="690"/>
      <c r="CY11" s="690"/>
      <c r="CZ11" s="690"/>
      <c r="DA11" s="690"/>
      <c r="DB11" s="691"/>
      <c r="DC11" s="131"/>
      <c r="DD11" s="186"/>
      <c r="DE11" s="143"/>
      <c r="DF11" s="143"/>
      <c r="DG11" s="689"/>
      <c r="DH11" s="690"/>
      <c r="DI11" s="690"/>
      <c r="DJ11" s="690"/>
      <c r="DK11" s="690"/>
      <c r="DL11" s="690"/>
      <c r="DM11" s="690"/>
      <c r="DN11" s="691"/>
      <c r="DO11" s="131"/>
      <c r="DP11" s="186"/>
      <c r="DQ11" s="143"/>
      <c r="DR11" s="143"/>
    </row>
    <row r="12" spans="1:122">
      <c r="A12" s="131"/>
      <c r="B12" s="140" t="s">
        <v>261</v>
      </c>
      <c r="C12" s="686"/>
      <c r="D12" s="687"/>
      <c r="E12" s="687"/>
      <c r="F12" s="687"/>
      <c r="G12" s="687"/>
      <c r="H12" s="687"/>
      <c r="I12" s="687"/>
      <c r="J12" s="688"/>
      <c r="K12" s="131"/>
      <c r="L12" s="680"/>
      <c r="M12" s="680"/>
      <c r="N12" s="143"/>
      <c r="O12" s="686"/>
      <c r="P12" s="687"/>
      <c r="Q12" s="687"/>
      <c r="R12" s="687"/>
      <c r="S12" s="687"/>
      <c r="T12" s="687"/>
      <c r="U12" s="687"/>
      <c r="V12" s="688"/>
      <c r="W12" s="131"/>
      <c r="X12" s="680"/>
      <c r="Y12" s="680"/>
      <c r="Z12" s="143"/>
      <c r="AA12" s="686"/>
      <c r="AB12" s="687"/>
      <c r="AC12" s="687"/>
      <c r="AD12" s="687"/>
      <c r="AE12" s="687"/>
      <c r="AF12" s="687"/>
      <c r="AG12" s="687"/>
      <c r="AH12" s="688"/>
      <c r="AI12" s="131"/>
      <c r="AJ12" s="680"/>
      <c r="AK12" s="680"/>
      <c r="AL12" s="143"/>
      <c r="AM12" s="686"/>
      <c r="AN12" s="687"/>
      <c r="AO12" s="687"/>
      <c r="AP12" s="687"/>
      <c r="AQ12" s="687"/>
      <c r="AR12" s="687"/>
      <c r="AS12" s="687"/>
      <c r="AT12" s="688"/>
      <c r="AU12" s="131"/>
      <c r="AV12" s="680"/>
      <c r="AW12" s="680"/>
      <c r="AX12" s="143"/>
      <c r="AY12" s="686"/>
      <c r="AZ12" s="687"/>
      <c r="BA12" s="687"/>
      <c r="BB12" s="687"/>
      <c r="BC12" s="687"/>
      <c r="BD12" s="687"/>
      <c r="BE12" s="687"/>
      <c r="BF12" s="688"/>
      <c r="BG12" s="131"/>
      <c r="BH12" s="680"/>
      <c r="BI12" s="680"/>
      <c r="BJ12" s="143"/>
      <c r="BK12" s="686"/>
      <c r="BL12" s="687"/>
      <c r="BM12" s="687"/>
      <c r="BN12" s="687"/>
      <c r="BO12" s="687"/>
      <c r="BP12" s="687"/>
      <c r="BQ12" s="687"/>
      <c r="BR12" s="688"/>
      <c r="BS12" s="131"/>
      <c r="BT12" s="680"/>
      <c r="BU12" s="680"/>
      <c r="BV12" s="143"/>
      <c r="BW12" s="686"/>
      <c r="BX12" s="687"/>
      <c r="BY12" s="687"/>
      <c r="BZ12" s="687"/>
      <c r="CA12" s="687"/>
      <c r="CB12" s="687"/>
      <c r="CC12" s="687"/>
      <c r="CD12" s="688"/>
      <c r="CE12" s="131"/>
      <c r="CF12" s="680"/>
      <c r="CG12" s="680"/>
      <c r="CH12" s="143"/>
      <c r="CI12" s="686"/>
      <c r="CJ12" s="687"/>
      <c r="CK12" s="687"/>
      <c r="CL12" s="687"/>
      <c r="CM12" s="687"/>
      <c r="CN12" s="687"/>
      <c r="CO12" s="687"/>
      <c r="CP12" s="688"/>
      <c r="CQ12" s="131"/>
      <c r="CR12" s="680"/>
      <c r="CS12" s="680"/>
      <c r="CT12" s="143"/>
      <c r="CU12" s="686"/>
      <c r="CV12" s="687"/>
      <c r="CW12" s="687"/>
      <c r="CX12" s="687"/>
      <c r="CY12" s="687"/>
      <c r="CZ12" s="687"/>
      <c r="DA12" s="687"/>
      <c r="DB12" s="688"/>
      <c r="DC12" s="131"/>
      <c r="DD12" s="680"/>
      <c r="DE12" s="680"/>
      <c r="DF12" s="143"/>
      <c r="DG12" s="686"/>
      <c r="DH12" s="687"/>
      <c r="DI12" s="687"/>
      <c r="DJ12" s="687"/>
      <c r="DK12" s="687"/>
      <c r="DL12" s="687"/>
      <c r="DM12" s="687"/>
      <c r="DN12" s="688"/>
      <c r="DO12" s="131"/>
      <c r="DP12" s="680"/>
      <c r="DQ12" s="680"/>
      <c r="DR12" s="143"/>
    </row>
    <row r="13" spans="1:122" ht="15.75" thickBot="1">
      <c r="A13" s="131"/>
      <c r="B13" s="190"/>
      <c r="C13" s="681"/>
      <c r="D13" s="681"/>
      <c r="E13" s="681"/>
      <c r="F13" s="681"/>
      <c r="G13" s="681"/>
      <c r="H13" s="681"/>
      <c r="I13" s="681"/>
      <c r="J13" s="681"/>
      <c r="K13" s="131"/>
      <c r="L13" s="680"/>
      <c r="M13" s="680"/>
      <c r="N13" s="144"/>
      <c r="O13" s="681"/>
      <c r="P13" s="681"/>
      <c r="Q13" s="681"/>
      <c r="R13" s="681"/>
      <c r="S13" s="681"/>
      <c r="T13" s="681"/>
      <c r="U13" s="681"/>
      <c r="V13" s="681"/>
      <c r="W13" s="131"/>
      <c r="X13" s="680"/>
      <c r="Y13" s="680"/>
      <c r="Z13" s="144"/>
      <c r="AA13" s="681"/>
      <c r="AB13" s="681"/>
      <c r="AC13" s="681"/>
      <c r="AD13" s="681"/>
      <c r="AE13" s="681"/>
      <c r="AF13" s="681"/>
      <c r="AG13" s="681"/>
      <c r="AH13" s="681"/>
      <c r="AI13" s="131"/>
      <c r="AJ13" s="680"/>
      <c r="AK13" s="680"/>
      <c r="AL13" s="144"/>
      <c r="AM13" s="681"/>
      <c r="AN13" s="681"/>
      <c r="AO13" s="681"/>
      <c r="AP13" s="681"/>
      <c r="AQ13" s="681"/>
      <c r="AR13" s="681"/>
      <c r="AS13" s="681"/>
      <c r="AT13" s="681"/>
      <c r="AU13" s="131"/>
      <c r="AV13" s="680"/>
      <c r="AW13" s="680"/>
      <c r="AX13" s="144"/>
      <c r="AY13" s="681"/>
      <c r="AZ13" s="681"/>
      <c r="BA13" s="681"/>
      <c r="BB13" s="681"/>
      <c r="BC13" s="681"/>
      <c r="BD13" s="681"/>
      <c r="BE13" s="681"/>
      <c r="BF13" s="681"/>
      <c r="BG13" s="131"/>
      <c r="BH13" s="680"/>
      <c r="BI13" s="680"/>
      <c r="BJ13" s="144"/>
      <c r="BK13" s="681"/>
      <c r="BL13" s="681"/>
      <c r="BM13" s="681"/>
      <c r="BN13" s="681"/>
      <c r="BO13" s="681"/>
      <c r="BP13" s="681"/>
      <c r="BQ13" s="681"/>
      <c r="BR13" s="681"/>
      <c r="BS13" s="131"/>
      <c r="BT13" s="680"/>
      <c r="BU13" s="680"/>
      <c r="BV13" s="144"/>
      <c r="BW13" s="681"/>
      <c r="BX13" s="681"/>
      <c r="BY13" s="681"/>
      <c r="BZ13" s="681"/>
      <c r="CA13" s="681"/>
      <c r="CB13" s="681"/>
      <c r="CC13" s="681"/>
      <c r="CD13" s="681"/>
      <c r="CE13" s="131"/>
      <c r="CF13" s="680"/>
      <c r="CG13" s="680"/>
      <c r="CH13" s="144"/>
      <c r="CI13" s="681"/>
      <c r="CJ13" s="681"/>
      <c r="CK13" s="681"/>
      <c r="CL13" s="681"/>
      <c r="CM13" s="681"/>
      <c r="CN13" s="681"/>
      <c r="CO13" s="681"/>
      <c r="CP13" s="681"/>
      <c r="CQ13" s="131"/>
      <c r="CR13" s="680"/>
      <c r="CS13" s="680"/>
      <c r="CT13" s="144"/>
      <c r="CU13" s="681"/>
      <c r="CV13" s="681"/>
      <c r="CW13" s="681"/>
      <c r="CX13" s="681"/>
      <c r="CY13" s="681"/>
      <c r="CZ13" s="681"/>
      <c r="DA13" s="681"/>
      <c r="DB13" s="681"/>
      <c r="DC13" s="131"/>
      <c r="DD13" s="680"/>
      <c r="DE13" s="680"/>
      <c r="DF13" s="144"/>
      <c r="DG13" s="681"/>
      <c r="DH13" s="681"/>
      <c r="DI13" s="681"/>
      <c r="DJ13" s="681"/>
      <c r="DK13" s="681"/>
      <c r="DL13" s="681"/>
      <c r="DM13" s="681"/>
      <c r="DN13" s="681"/>
      <c r="DO13" s="131"/>
      <c r="DP13" s="680"/>
      <c r="DQ13" s="680"/>
      <c r="DR13" s="144"/>
    </row>
    <row r="14" spans="1:122" ht="15.75" thickBot="1">
      <c r="A14" s="131"/>
      <c r="B14" s="131"/>
      <c r="C14" s="699">
        <f>IF('Input Nilai Ketrampilan'!F2="","",'Input Nilai Ketrampilan'!F2)</f>
        <v>41</v>
      </c>
      <c r="D14" s="700"/>
      <c r="E14" s="700"/>
      <c r="F14" s="700"/>
      <c r="G14" s="700"/>
      <c r="H14" s="700"/>
      <c r="I14" s="700"/>
      <c r="J14" s="700"/>
      <c r="K14" s="700"/>
      <c r="L14" s="700"/>
      <c r="M14" s="700"/>
      <c r="N14" s="701"/>
      <c r="O14" s="699">
        <f>IF('Input Nilai Ketrampilan'!K2="","",'Input Nilai Ketrampilan'!K2)</f>
        <v>42</v>
      </c>
      <c r="P14" s="700"/>
      <c r="Q14" s="700"/>
      <c r="R14" s="700"/>
      <c r="S14" s="700"/>
      <c r="T14" s="700"/>
      <c r="U14" s="700"/>
      <c r="V14" s="700"/>
      <c r="W14" s="700"/>
      <c r="X14" s="700"/>
      <c r="Y14" s="700"/>
      <c r="Z14" s="701"/>
      <c r="AA14" s="699">
        <f>IF('Input Nilai Ketrampilan'!P2="","",'Input Nilai Ketrampilan'!P2)</f>
        <v>43</v>
      </c>
      <c r="AB14" s="700"/>
      <c r="AC14" s="700"/>
      <c r="AD14" s="700"/>
      <c r="AE14" s="700"/>
      <c r="AF14" s="700"/>
      <c r="AG14" s="700"/>
      <c r="AH14" s="700"/>
      <c r="AI14" s="700"/>
      <c r="AJ14" s="700"/>
      <c r="AK14" s="700"/>
      <c r="AL14" s="701"/>
      <c r="AM14" s="699">
        <f>IF('Input Nilai Ketrampilan'!U2="","",'Input Nilai Ketrampilan'!U2)</f>
        <v>44</v>
      </c>
      <c r="AN14" s="700"/>
      <c r="AO14" s="700"/>
      <c r="AP14" s="700"/>
      <c r="AQ14" s="700"/>
      <c r="AR14" s="700"/>
      <c r="AS14" s="700"/>
      <c r="AT14" s="700"/>
      <c r="AU14" s="700"/>
      <c r="AV14" s="700"/>
      <c r="AW14" s="700"/>
      <c r="AX14" s="701"/>
      <c r="AY14" s="699">
        <f>IF('Input Nilai Ketrampilan'!Z2="","",'Input Nilai Ketrampilan'!Z2)</f>
        <v>45</v>
      </c>
      <c r="AZ14" s="700"/>
      <c r="BA14" s="700"/>
      <c r="BB14" s="700"/>
      <c r="BC14" s="700"/>
      <c r="BD14" s="700"/>
      <c r="BE14" s="700"/>
      <c r="BF14" s="700"/>
      <c r="BG14" s="700"/>
      <c r="BH14" s="700"/>
      <c r="BI14" s="700"/>
      <c r="BJ14" s="701"/>
      <c r="BK14" s="699">
        <f>IF('Input Nilai Ketrampilan'!AE2="","",'Input Nilai Ketrampilan'!AE2)</f>
        <v>46</v>
      </c>
      <c r="BL14" s="700"/>
      <c r="BM14" s="700"/>
      <c r="BN14" s="700"/>
      <c r="BO14" s="700"/>
      <c r="BP14" s="700"/>
      <c r="BQ14" s="700"/>
      <c r="BR14" s="700"/>
      <c r="BS14" s="700"/>
      <c r="BT14" s="700"/>
      <c r="BU14" s="700"/>
      <c r="BV14" s="701"/>
      <c r="BW14" s="699">
        <f>IF('Input Nilai Ketrampilan'!AJ2="","",'Input Nilai Ketrampilan'!AJ2)</f>
        <v>47</v>
      </c>
      <c r="BX14" s="700"/>
      <c r="BY14" s="700"/>
      <c r="BZ14" s="700"/>
      <c r="CA14" s="700"/>
      <c r="CB14" s="700"/>
      <c r="CC14" s="700"/>
      <c r="CD14" s="700"/>
      <c r="CE14" s="700"/>
      <c r="CF14" s="700"/>
      <c r="CG14" s="700"/>
      <c r="CH14" s="701"/>
      <c r="CI14" s="699">
        <f>IF('Input Nilai Ketrampilan'!AO2="","",'Input Nilai Ketrampilan'!AO2)</f>
        <v>48</v>
      </c>
      <c r="CJ14" s="700"/>
      <c r="CK14" s="700"/>
      <c r="CL14" s="700"/>
      <c r="CM14" s="700"/>
      <c r="CN14" s="700"/>
      <c r="CO14" s="700"/>
      <c r="CP14" s="700"/>
      <c r="CQ14" s="700"/>
      <c r="CR14" s="700"/>
      <c r="CS14" s="700"/>
      <c r="CT14" s="701"/>
      <c r="CU14" s="699">
        <f>IF('Input Nilai Ketrampilan'!AT2="","",'Input Nilai Ketrampilan'!AT2)</f>
        <v>49</v>
      </c>
      <c r="CV14" s="700"/>
      <c r="CW14" s="700"/>
      <c r="CX14" s="700"/>
      <c r="CY14" s="700"/>
      <c r="CZ14" s="700"/>
      <c r="DA14" s="700"/>
      <c r="DB14" s="700"/>
      <c r="DC14" s="700"/>
      <c r="DD14" s="700"/>
      <c r="DE14" s="700"/>
      <c r="DF14" s="701"/>
      <c r="DG14" s="699" t="e">
        <f>IF('Input Nilai Ketrampilan'!#REF!="","",'Input Nilai Ketrampilan'!#REF!)</f>
        <v>#REF!</v>
      </c>
      <c r="DH14" s="700"/>
      <c r="DI14" s="700"/>
      <c r="DJ14" s="700"/>
      <c r="DK14" s="700"/>
      <c r="DL14" s="700"/>
      <c r="DM14" s="700"/>
      <c r="DN14" s="700"/>
      <c r="DO14" s="700"/>
      <c r="DP14" s="700"/>
      <c r="DQ14" s="700"/>
      <c r="DR14" s="701"/>
    </row>
    <row r="15" spans="1:122">
      <c r="A15" s="520" t="s">
        <v>262</v>
      </c>
      <c r="B15" s="145" t="s">
        <v>263</v>
      </c>
      <c r="C15" s="693" t="s">
        <v>264</v>
      </c>
      <c r="D15" s="695" t="s">
        <v>265</v>
      </c>
      <c r="E15" s="693" t="s">
        <v>266</v>
      </c>
      <c r="F15" s="693" t="s">
        <v>267</v>
      </c>
      <c r="G15" s="693" t="s">
        <v>268</v>
      </c>
      <c r="H15" s="693" t="s">
        <v>269</v>
      </c>
      <c r="I15" s="695" t="s">
        <v>270</v>
      </c>
      <c r="J15" s="702" t="s">
        <v>271</v>
      </c>
      <c r="K15" s="704" t="s">
        <v>272</v>
      </c>
      <c r="L15" s="704" t="s">
        <v>273</v>
      </c>
      <c r="M15" s="697" t="s">
        <v>274</v>
      </c>
      <c r="N15" s="697" t="s">
        <v>104</v>
      </c>
      <c r="O15" s="693" t="s">
        <v>264</v>
      </c>
      <c r="P15" s="695" t="s">
        <v>265</v>
      </c>
      <c r="Q15" s="693" t="s">
        <v>266</v>
      </c>
      <c r="R15" s="693" t="s">
        <v>267</v>
      </c>
      <c r="S15" s="693" t="s">
        <v>268</v>
      </c>
      <c r="T15" s="693" t="s">
        <v>269</v>
      </c>
      <c r="U15" s="695" t="s">
        <v>270</v>
      </c>
      <c r="V15" s="702" t="s">
        <v>271</v>
      </c>
      <c r="W15" s="704" t="s">
        <v>272</v>
      </c>
      <c r="X15" s="704" t="s">
        <v>273</v>
      </c>
      <c r="Y15" s="697" t="s">
        <v>274</v>
      </c>
      <c r="Z15" s="697" t="s">
        <v>104</v>
      </c>
      <c r="AA15" s="693" t="s">
        <v>264</v>
      </c>
      <c r="AB15" s="695" t="s">
        <v>265</v>
      </c>
      <c r="AC15" s="693" t="s">
        <v>266</v>
      </c>
      <c r="AD15" s="693" t="s">
        <v>267</v>
      </c>
      <c r="AE15" s="693" t="s">
        <v>268</v>
      </c>
      <c r="AF15" s="693" t="s">
        <v>269</v>
      </c>
      <c r="AG15" s="695" t="s">
        <v>270</v>
      </c>
      <c r="AH15" s="702" t="s">
        <v>271</v>
      </c>
      <c r="AI15" s="704" t="s">
        <v>272</v>
      </c>
      <c r="AJ15" s="704" t="s">
        <v>273</v>
      </c>
      <c r="AK15" s="697" t="s">
        <v>274</v>
      </c>
      <c r="AL15" s="697" t="s">
        <v>104</v>
      </c>
      <c r="AM15" s="693" t="s">
        <v>264</v>
      </c>
      <c r="AN15" s="695" t="s">
        <v>265</v>
      </c>
      <c r="AO15" s="693" t="s">
        <v>266</v>
      </c>
      <c r="AP15" s="693" t="s">
        <v>267</v>
      </c>
      <c r="AQ15" s="693" t="s">
        <v>268</v>
      </c>
      <c r="AR15" s="693" t="s">
        <v>269</v>
      </c>
      <c r="AS15" s="695" t="s">
        <v>270</v>
      </c>
      <c r="AT15" s="702" t="s">
        <v>271</v>
      </c>
      <c r="AU15" s="704" t="s">
        <v>272</v>
      </c>
      <c r="AV15" s="704" t="s">
        <v>273</v>
      </c>
      <c r="AW15" s="697" t="s">
        <v>274</v>
      </c>
      <c r="AX15" s="697" t="s">
        <v>104</v>
      </c>
      <c r="AY15" s="693" t="s">
        <v>264</v>
      </c>
      <c r="AZ15" s="695" t="s">
        <v>265</v>
      </c>
      <c r="BA15" s="693" t="s">
        <v>266</v>
      </c>
      <c r="BB15" s="693" t="s">
        <v>267</v>
      </c>
      <c r="BC15" s="693" t="s">
        <v>268</v>
      </c>
      <c r="BD15" s="693" t="s">
        <v>269</v>
      </c>
      <c r="BE15" s="695" t="s">
        <v>270</v>
      </c>
      <c r="BF15" s="702" t="s">
        <v>271</v>
      </c>
      <c r="BG15" s="704" t="s">
        <v>272</v>
      </c>
      <c r="BH15" s="704" t="s">
        <v>273</v>
      </c>
      <c r="BI15" s="697" t="s">
        <v>274</v>
      </c>
      <c r="BJ15" s="697" t="s">
        <v>104</v>
      </c>
      <c r="BK15" s="693" t="s">
        <v>264</v>
      </c>
      <c r="BL15" s="695" t="s">
        <v>265</v>
      </c>
      <c r="BM15" s="693" t="s">
        <v>266</v>
      </c>
      <c r="BN15" s="693" t="s">
        <v>267</v>
      </c>
      <c r="BO15" s="693" t="s">
        <v>268</v>
      </c>
      <c r="BP15" s="693" t="s">
        <v>269</v>
      </c>
      <c r="BQ15" s="695" t="s">
        <v>270</v>
      </c>
      <c r="BR15" s="702" t="s">
        <v>271</v>
      </c>
      <c r="BS15" s="704" t="s">
        <v>272</v>
      </c>
      <c r="BT15" s="704" t="s">
        <v>273</v>
      </c>
      <c r="BU15" s="697" t="s">
        <v>274</v>
      </c>
      <c r="BV15" s="697" t="s">
        <v>104</v>
      </c>
      <c r="BW15" s="693" t="s">
        <v>264</v>
      </c>
      <c r="BX15" s="695" t="s">
        <v>265</v>
      </c>
      <c r="BY15" s="693" t="s">
        <v>266</v>
      </c>
      <c r="BZ15" s="693" t="s">
        <v>267</v>
      </c>
      <c r="CA15" s="693" t="s">
        <v>268</v>
      </c>
      <c r="CB15" s="693" t="s">
        <v>269</v>
      </c>
      <c r="CC15" s="695" t="s">
        <v>270</v>
      </c>
      <c r="CD15" s="702" t="s">
        <v>271</v>
      </c>
      <c r="CE15" s="704" t="s">
        <v>272</v>
      </c>
      <c r="CF15" s="704" t="s">
        <v>273</v>
      </c>
      <c r="CG15" s="697" t="s">
        <v>274</v>
      </c>
      <c r="CH15" s="697" t="s">
        <v>104</v>
      </c>
      <c r="CI15" s="693" t="s">
        <v>264</v>
      </c>
      <c r="CJ15" s="695" t="s">
        <v>265</v>
      </c>
      <c r="CK15" s="693" t="s">
        <v>266</v>
      </c>
      <c r="CL15" s="693" t="s">
        <v>267</v>
      </c>
      <c r="CM15" s="693" t="s">
        <v>268</v>
      </c>
      <c r="CN15" s="693" t="s">
        <v>269</v>
      </c>
      <c r="CO15" s="695" t="s">
        <v>270</v>
      </c>
      <c r="CP15" s="702" t="s">
        <v>271</v>
      </c>
      <c r="CQ15" s="704" t="s">
        <v>272</v>
      </c>
      <c r="CR15" s="704" t="s">
        <v>273</v>
      </c>
      <c r="CS15" s="697" t="s">
        <v>274</v>
      </c>
      <c r="CT15" s="697" t="s">
        <v>104</v>
      </c>
      <c r="CU15" s="693" t="s">
        <v>264</v>
      </c>
      <c r="CV15" s="695" t="s">
        <v>265</v>
      </c>
      <c r="CW15" s="693" t="s">
        <v>266</v>
      </c>
      <c r="CX15" s="693" t="s">
        <v>267</v>
      </c>
      <c r="CY15" s="693" t="s">
        <v>268</v>
      </c>
      <c r="CZ15" s="693" t="s">
        <v>269</v>
      </c>
      <c r="DA15" s="695" t="s">
        <v>270</v>
      </c>
      <c r="DB15" s="702" t="s">
        <v>271</v>
      </c>
      <c r="DC15" s="704" t="s">
        <v>272</v>
      </c>
      <c r="DD15" s="704" t="s">
        <v>273</v>
      </c>
      <c r="DE15" s="697" t="s">
        <v>274</v>
      </c>
      <c r="DF15" s="697" t="s">
        <v>104</v>
      </c>
      <c r="DG15" s="693" t="s">
        <v>264</v>
      </c>
      <c r="DH15" s="695" t="s">
        <v>265</v>
      </c>
      <c r="DI15" s="693" t="s">
        <v>266</v>
      </c>
      <c r="DJ15" s="693" t="s">
        <v>267</v>
      </c>
      <c r="DK15" s="693" t="s">
        <v>268</v>
      </c>
      <c r="DL15" s="693" t="s">
        <v>269</v>
      </c>
      <c r="DM15" s="695" t="s">
        <v>270</v>
      </c>
      <c r="DN15" s="702" t="s">
        <v>271</v>
      </c>
      <c r="DO15" s="704" t="s">
        <v>272</v>
      </c>
      <c r="DP15" s="704" t="s">
        <v>273</v>
      </c>
      <c r="DQ15" s="697" t="s">
        <v>274</v>
      </c>
      <c r="DR15" s="697" t="s">
        <v>104</v>
      </c>
    </row>
    <row r="16" spans="1:122" ht="24.75" customHeight="1">
      <c r="A16" s="692"/>
      <c r="C16" s="694"/>
      <c r="D16" s="693"/>
      <c r="E16" s="696"/>
      <c r="F16" s="694"/>
      <c r="G16" s="694"/>
      <c r="H16" s="694"/>
      <c r="I16" s="693"/>
      <c r="J16" s="703"/>
      <c r="K16" s="705"/>
      <c r="L16" s="706"/>
      <c r="M16" s="698"/>
      <c r="N16" s="698"/>
      <c r="O16" s="694"/>
      <c r="P16" s="693"/>
      <c r="Q16" s="696"/>
      <c r="R16" s="694"/>
      <c r="S16" s="694"/>
      <c r="T16" s="694"/>
      <c r="U16" s="693"/>
      <c r="V16" s="703"/>
      <c r="W16" s="705"/>
      <c r="X16" s="706"/>
      <c r="Y16" s="698"/>
      <c r="Z16" s="698"/>
      <c r="AA16" s="694"/>
      <c r="AB16" s="693"/>
      <c r="AC16" s="696"/>
      <c r="AD16" s="694"/>
      <c r="AE16" s="694"/>
      <c r="AF16" s="694"/>
      <c r="AG16" s="693"/>
      <c r="AH16" s="703"/>
      <c r="AI16" s="705"/>
      <c r="AJ16" s="706"/>
      <c r="AK16" s="698"/>
      <c r="AL16" s="698"/>
      <c r="AM16" s="694"/>
      <c r="AN16" s="693"/>
      <c r="AO16" s="696"/>
      <c r="AP16" s="694"/>
      <c r="AQ16" s="694"/>
      <c r="AR16" s="694"/>
      <c r="AS16" s="693"/>
      <c r="AT16" s="703"/>
      <c r="AU16" s="705"/>
      <c r="AV16" s="706"/>
      <c r="AW16" s="698"/>
      <c r="AX16" s="698"/>
      <c r="AY16" s="694"/>
      <c r="AZ16" s="693"/>
      <c r="BA16" s="696"/>
      <c r="BB16" s="694"/>
      <c r="BC16" s="694"/>
      <c r="BD16" s="694"/>
      <c r="BE16" s="693"/>
      <c r="BF16" s="703"/>
      <c r="BG16" s="705"/>
      <c r="BH16" s="706"/>
      <c r="BI16" s="698"/>
      <c r="BJ16" s="698"/>
      <c r="BK16" s="694"/>
      <c r="BL16" s="693"/>
      <c r="BM16" s="696"/>
      <c r="BN16" s="694"/>
      <c r="BO16" s="694"/>
      <c r="BP16" s="694"/>
      <c r="BQ16" s="693"/>
      <c r="BR16" s="703"/>
      <c r="BS16" s="705"/>
      <c r="BT16" s="706"/>
      <c r="BU16" s="698"/>
      <c r="BV16" s="698"/>
      <c r="BW16" s="694"/>
      <c r="BX16" s="693"/>
      <c r="BY16" s="696"/>
      <c r="BZ16" s="694"/>
      <c r="CA16" s="694"/>
      <c r="CB16" s="694"/>
      <c r="CC16" s="693"/>
      <c r="CD16" s="703"/>
      <c r="CE16" s="705"/>
      <c r="CF16" s="706"/>
      <c r="CG16" s="698"/>
      <c r="CH16" s="698"/>
      <c r="CI16" s="694"/>
      <c r="CJ16" s="693"/>
      <c r="CK16" s="696"/>
      <c r="CL16" s="694"/>
      <c r="CM16" s="694"/>
      <c r="CN16" s="694"/>
      <c r="CO16" s="693"/>
      <c r="CP16" s="703"/>
      <c r="CQ16" s="705"/>
      <c r="CR16" s="706"/>
      <c r="CS16" s="698"/>
      <c r="CT16" s="698"/>
      <c r="CU16" s="694"/>
      <c r="CV16" s="693"/>
      <c r="CW16" s="696"/>
      <c r="CX16" s="694"/>
      <c r="CY16" s="694"/>
      <c r="CZ16" s="694"/>
      <c r="DA16" s="693"/>
      <c r="DB16" s="703"/>
      <c r="DC16" s="705"/>
      <c r="DD16" s="706"/>
      <c r="DE16" s="698"/>
      <c r="DF16" s="698"/>
      <c r="DG16" s="694"/>
      <c r="DH16" s="693"/>
      <c r="DI16" s="696"/>
      <c r="DJ16" s="694"/>
      <c r="DK16" s="694"/>
      <c r="DL16" s="694"/>
      <c r="DM16" s="693"/>
      <c r="DN16" s="703"/>
      <c r="DO16" s="705"/>
      <c r="DP16" s="706"/>
      <c r="DQ16" s="698"/>
      <c r="DR16" s="698"/>
    </row>
    <row r="17" spans="1:122" ht="15.75">
      <c r="A17" s="521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5" t="s">
        <v>426</v>
      </c>
      <c r="C1" s="726"/>
      <c r="D1" s="726"/>
      <c r="E1" s="726"/>
      <c r="F1" s="726"/>
      <c r="G1" s="726"/>
      <c r="H1" s="726"/>
      <c r="I1" s="726"/>
      <c r="J1" s="726"/>
      <c r="K1" s="726"/>
      <c r="L1" s="727"/>
      <c r="M1" s="42"/>
    </row>
    <row r="2" spans="1:13" ht="15.75" thickBot="1">
      <c r="A2" s="41"/>
      <c r="B2" s="728"/>
      <c r="C2" s="729"/>
      <c r="D2" s="729"/>
      <c r="E2" s="729"/>
      <c r="F2" s="729"/>
      <c r="G2" s="729"/>
      <c r="H2" s="729"/>
      <c r="I2" s="729"/>
      <c r="J2" s="729"/>
      <c r="K2" s="729"/>
      <c r="L2" s="730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2" t="str">
        <f>menu!D13</f>
        <v>pkn</v>
      </c>
      <c r="D4" s="672"/>
      <c r="E4" s="672"/>
      <c r="F4" s="672"/>
      <c r="G4" s="724" t="s">
        <v>246</v>
      </c>
      <c r="H4" s="724"/>
      <c r="I4" s="674"/>
      <c r="J4" s="674"/>
      <c r="L4" s="267" t="s">
        <v>247</v>
      </c>
      <c r="M4" s="266"/>
    </row>
    <row r="5" spans="1:13" ht="16.5">
      <c r="A5" s="41"/>
      <c r="B5" s="45" t="s">
        <v>248</v>
      </c>
      <c r="C5" s="677" t="str">
        <f>menu!D14</f>
        <v>7a</v>
      </c>
      <c r="D5" s="672"/>
      <c r="E5" s="47"/>
      <c r="F5" s="724" t="s">
        <v>249</v>
      </c>
      <c r="G5" s="724"/>
      <c r="H5" s="724"/>
      <c r="I5" s="678"/>
      <c r="J5" s="678"/>
      <c r="K5" s="230"/>
      <c r="L5" s="46">
        <f>menu!D19</f>
        <v>0</v>
      </c>
      <c r="M5" s="42"/>
    </row>
    <row r="6" spans="1:13">
      <c r="A6" s="41"/>
      <c r="B6" s="48" t="s">
        <v>251</v>
      </c>
      <c r="C6" s="682" t="s">
        <v>427</v>
      </c>
      <c r="D6" s="682"/>
      <c r="E6" s="682"/>
      <c r="F6" s="682"/>
      <c r="G6" s="682"/>
      <c r="H6" s="682"/>
      <c r="I6" s="682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3" t="s">
        <v>253</v>
      </c>
      <c r="D8" s="723"/>
      <c r="E8" s="723"/>
      <c r="F8" s="723"/>
      <c r="G8" s="723"/>
      <c r="H8" s="723"/>
      <c r="I8" s="723"/>
      <c r="J8" s="723"/>
      <c r="K8" s="289" t="s">
        <v>254</v>
      </c>
      <c r="L8" s="77"/>
    </row>
    <row r="9" spans="1:13">
      <c r="A9" s="41"/>
      <c r="B9" s="52" t="s">
        <v>255</v>
      </c>
      <c r="C9" s="716"/>
      <c r="D9" s="716"/>
      <c r="E9" s="716"/>
      <c r="F9" s="716"/>
      <c r="G9" s="716"/>
      <c r="H9" s="716"/>
      <c r="I9" s="716"/>
      <c r="J9" s="716"/>
      <c r="K9" s="290" t="s">
        <v>255</v>
      </c>
      <c r="L9" s="79"/>
    </row>
    <row r="10" spans="1:13">
      <c r="A10" s="41"/>
      <c r="B10" s="52" t="s">
        <v>256</v>
      </c>
      <c r="C10" s="722"/>
      <c r="D10" s="722"/>
      <c r="E10" s="722"/>
      <c r="F10" s="722"/>
      <c r="G10" s="722"/>
      <c r="H10" s="722"/>
      <c r="I10" s="722"/>
      <c r="J10" s="722"/>
      <c r="K10" s="290" t="s">
        <v>256</v>
      </c>
      <c r="L10" s="81"/>
    </row>
    <row r="11" spans="1:13">
      <c r="A11" s="41"/>
      <c r="B11" s="52" t="s">
        <v>257</v>
      </c>
      <c r="C11" s="716"/>
      <c r="D11" s="716"/>
      <c r="E11" s="716"/>
      <c r="F11" s="716"/>
      <c r="G11" s="716"/>
      <c r="H11" s="716"/>
      <c r="I11" s="716"/>
      <c r="J11" s="716"/>
      <c r="K11" s="290" t="s">
        <v>257</v>
      </c>
      <c r="L11" s="79"/>
    </row>
    <row r="12" spans="1:13">
      <c r="A12" s="41"/>
      <c r="B12" s="52" t="s">
        <v>258</v>
      </c>
      <c r="C12" s="722"/>
      <c r="D12" s="722"/>
      <c r="E12" s="722"/>
      <c r="F12" s="722"/>
      <c r="G12" s="722"/>
      <c r="H12" s="722"/>
      <c r="I12" s="722"/>
      <c r="J12" s="722"/>
      <c r="K12" s="291" t="s">
        <v>258</v>
      </c>
      <c r="L12" s="83"/>
    </row>
    <row r="13" spans="1:13">
      <c r="A13" s="41"/>
      <c r="B13" s="52" t="s">
        <v>259</v>
      </c>
      <c r="C13" s="716"/>
      <c r="D13" s="716"/>
      <c r="E13" s="716"/>
      <c r="F13" s="716"/>
      <c r="G13" s="716"/>
      <c r="H13" s="716"/>
      <c r="I13" s="716"/>
      <c r="J13" s="716"/>
      <c r="K13" s="290" t="s">
        <v>259</v>
      </c>
      <c r="L13" s="79"/>
      <c r="M13" s="53"/>
    </row>
    <row r="14" spans="1:13">
      <c r="A14" s="41"/>
      <c r="B14" s="52" t="s">
        <v>260</v>
      </c>
      <c r="C14" s="722"/>
      <c r="D14" s="722"/>
      <c r="E14" s="722"/>
      <c r="F14" s="722"/>
      <c r="G14" s="722"/>
      <c r="H14" s="722"/>
      <c r="I14" s="722"/>
      <c r="J14" s="722"/>
      <c r="K14" s="290" t="s">
        <v>260</v>
      </c>
      <c r="L14" s="81"/>
      <c r="M14" s="53"/>
    </row>
    <row r="15" spans="1:13">
      <c r="A15" s="41"/>
      <c r="B15" s="52" t="s">
        <v>261</v>
      </c>
      <c r="C15" s="716"/>
      <c r="D15" s="716"/>
      <c r="E15" s="716"/>
      <c r="F15" s="716"/>
      <c r="G15" s="716"/>
      <c r="H15" s="716"/>
      <c r="I15" s="716"/>
      <c r="J15" s="716"/>
      <c r="K15" s="291" t="s">
        <v>261</v>
      </c>
      <c r="L15" s="292"/>
      <c r="M15" s="53"/>
    </row>
    <row r="16" spans="1:13">
      <c r="A16" s="41"/>
      <c r="B16" s="48"/>
      <c r="C16" s="717"/>
      <c r="D16" s="717"/>
      <c r="E16" s="717"/>
      <c r="F16" s="717"/>
      <c r="G16" s="717"/>
      <c r="H16" s="717"/>
      <c r="I16" s="717"/>
      <c r="J16" s="717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8" t="s">
        <v>262</v>
      </c>
      <c r="B18" s="56" t="s">
        <v>263</v>
      </c>
      <c r="C18" s="709" t="s">
        <v>264</v>
      </c>
      <c r="D18" s="710" t="s">
        <v>265</v>
      </c>
      <c r="E18" s="709" t="s">
        <v>266</v>
      </c>
      <c r="F18" s="709" t="s">
        <v>267</v>
      </c>
      <c r="G18" s="709" t="s">
        <v>268</v>
      </c>
      <c r="H18" s="709" t="s">
        <v>269</v>
      </c>
      <c r="I18" s="710" t="s">
        <v>270</v>
      </c>
      <c r="J18" s="712" t="s">
        <v>271</v>
      </c>
      <c r="K18" s="714" t="s">
        <v>272</v>
      </c>
      <c r="L18" s="707" t="s">
        <v>104</v>
      </c>
      <c r="M18" s="57"/>
    </row>
    <row r="19" spans="1:13" ht="24.75" customHeight="1">
      <c r="A19" s="719"/>
      <c r="B19" s="42"/>
      <c r="C19" s="709"/>
      <c r="D19" s="711"/>
      <c r="E19" s="721"/>
      <c r="F19" s="709"/>
      <c r="G19" s="709"/>
      <c r="H19" s="709"/>
      <c r="I19" s="711"/>
      <c r="J19" s="713"/>
      <c r="K19" s="715"/>
      <c r="L19" s="708"/>
      <c r="M19" s="42"/>
    </row>
    <row r="20" spans="1:13" ht="15.75">
      <c r="A20" s="720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2017-06-06T21:57:45Z</dcterms:modified>
</cp:coreProperties>
</file>