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SheetTabs="0" xWindow="-15" yWindow="-15" windowWidth="10980" windowHeight="754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/>
</workbook>
</file>

<file path=xl/calcChain.xml><?xml version="1.0" encoding="utf-8"?>
<calcChain xmlns="http://schemas.openxmlformats.org/spreadsheetml/2006/main">
  <c r="T9" i="34"/>
  <c r="U9"/>
  <c r="T10"/>
  <c r="U10" s="1"/>
  <c r="T11"/>
  <c r="U11"/>
  <c r="T12"/>
  <c r="U12" s="1"/>
  <c r="T13"/>
  <c r="U13"/>
  <c r="T14"/>
  <c r="U14" s="1"/>
  <c r="T15"/>
  <c r="U15"/>
  <c r="T16"/>
  <c r="U16" s="1"/>
  <c r="T17"/>
  <c r="U17"/>
  <c r="T18"/>
  <c r="U18" s="1"/>
  <c r="T19"/>
  <c r="U19"/>
  <c r="T20"/>
  <c r="U20" s="1"/>
  <c r="T21"/>
  <c r="U21"/>
  <c r="T22"/>
  <c r="U22" s="1"/>
  <c r="T23"/>
  <c r="U23"/>
  <c r="T24"/>
  <c r="U24" s="1"/>
  <c r="T25"/>
  <c r="U25"/>
  <c r="T26"/>
  <c r="U26" s="1"/>
  <c r="T27"/>
  <c r="U27"/>
  <c r="T28"/>
  <c r="U28" s="1"/>
  <c r="T29"/>
  <c r="U29"/>
  <c r="T30"/>
  <c r="U30" s="1"/>
  <c r="T31"/>
  <c r="U31"/>
  <c r="T32"/>
  <c r="U32" s="1"/>
  <c r="T33"/>
  <c r="U33"/>
  <c r="T34"/>
  <c r="U34" s="1"/>
  <c r="T35"/>
  <c r="U35"/>
  <c r="T36"/>
  <c r="U36" s="1"/>
  <c r="T37"/>
  <c r="U37"/>
  <c r="T38"/>
  <c r="U38" s="1"/>
  <c r="T39"/>
  <c r="U39"/>
  <c r="T40"/>
  <c r="U40" s="1"/>
  <c r="T41"/>
  <c r="U41"/>
  <c r="T42"/>
  <c r="U42" s="1"/>
  <c r="T43"/>
  <c r="U43"/>
  <c r="T44"/>
  <c r="U44" s="1"/>
  <c r="T45"/>
  <c r="U45"/>
  <c r="T46"/>
  <c r="U46" s="1"/>
  <c r="T47"/>
  <c r="U47"/>
  <c r="T48"/>
  <c r="U48" s="1"/>
  <c r="T49"/>
  <c r="U49"/>
  <c r="T50"/>
  <c r="U50" s="1"/>
  <c r="T51"/>
  <c r="U51"/>
  <c r="T52"/>
  <c r="U52" s="1"/>
  <c r="T53"/>
  <c r="U53"/>
  <c r="T54"/>
  <c r="U54" s="1"/>
  <c r="T55"/>
  <c r="U55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G52" s="1"/>
  <c r="CD51"/>
  <c r="CG51" s="1"/>
  <c r="CD50"/>
  <c r="CG50" s="1"/>
  <c r="CD49"/>
  <c r="CG49" s="1"/>
  <c r="CD48"/>
  <c r="CG48" s="1"/>
  <c r="CD47"/>
  <c r="CG47" s="1"/>
  <c r="CD46"/>
  <c r="CG46" s="1"/>
  <c r="CD45"/>
  <c r="CG45" s="1"/>
  <c r="CD44"/>
  <c r="CG44" s="1"/>
  <c r="CD43"/>
  <c r="CG43" s="1"/>
  <c r="CD42"/>
  <c r="CG42" s="1"/>
  <c r="CD41"/>
  <c r="CG41" s="1"/>
  <c r="CD40"/>
  <c r="CG40" s="1"/>
  <c r="CD39"/>
  <c r="CG39" s="1"/>
  <c r="CD38"/>
  <c r="CG38" s="1"/>
  <c r="CD37"/>
  <c r="CG37" s="1"/>
  <c r="CD36"/>
  <c r="CG36" s="1"/>
  <c r="CD35"/>
  <c r="CG35" s="1"/>
  <c r="CD34"/>
  <c r="CG34" s="1"/>
  <c r="CD33"/>
  <c r="CG33" s="1"/>
  <c r="CD32"/>
  <c r="CG32" s="1"/>
  <c r="CD31"/>
  <c r="CG31" s="1"/>
  <c r="CD30"/>
  <c r="CG30" s="1"/>
  <c r="CD29"/>
  <c r="CG29" s="1"/>
  <c r="CD28"/>
  <c r="CG28" s="1"/>
  <c r="CD27"/>
  <c r="CG27" s="1"/>
  <c r="CD26"/>
  <c r="CG26" s="1"/>
  <c r="CD25"/>
  <c r="CG25" s="1"/>
  <c r="CD24"/>
  <c r="CG24" s="1"/>
  <c r="CD23"/>
  <c r="CG23" s="1"/>
  <c r="CD22"/>
  <c r="CG22" s="1"/>
  <c r="CD21"/>
  <c r="CG21" s="1"/>
  <c r="CD20"/>
  <c r="CG20" s="1"/>
  <c r="CD19"/>
  <c r="CG19" s="1"/>
  <c r="CD18"/>
  <c r="CG18" s="1"/>
  <c r="CD17"/>
  <c r="CG17" s="1"/>
  <c r="CD16"/>
  <c r="CG16" s="1"/>
  <c r="CD15"/>
  <c r="CG15" s="1"/>
  <c r="CD14"/>
  <c r="CG14" s="1"/>
  <c r="CD13"/>
  <c r="CG13" s="1"/>
  <c r="CD12"/>
  <c r="CG12" s="1"/>
  <c r="CD11"/>
  <c r="CG11" s="1"/>
  <c r="CD10"/>
  <c r="CG10" s="1"/>
  <c r="CD9"/>
  <c r="CG9" s="1"/>
  <c r="CD8"/>
  <c r="CG8" s="1"/>
  <c r="CD7"/>
  <c r="CG7" s="1"/>
  <c r="CD6"/>
  <c r="CG6" s="1"/>
  <c r="CD5"/>
  <c r="CG5" s="1"/>
  <c r="BV52"/>
  <c r="BY52" s="1"/>
  <c r="BV51"/>
  <c r="BY51" s="1"/>
  <c r="BV50"/>
  <c r="BY50" s="1"/>
  <c r="BV49"/>
  <c r="BY49" s="1"/>
  <c r="BV48"/>
  <c r="BY48" s="1"/>
  <c r="BV47"/>
  <c r="BY47" s="1"/>
  <c r="BV46"/>
  <c r="BY46" s="1"/>
  <c r="BV45"/>
  <c r="BY45" s="1"/>
  <c r="BV44"/>
  <c r="BY44" s="1"/>
  <c r="BV43"/>
  <c r="BY43" s="1"/>
  <c r="BV42"/>
  <c r="BY42" s="1"/>
  <c r="BV41"/>
  <c r="BY41" s="1"/>
  <c r="BV40"/>
  <c r="BY40" s="1"/>
  <c r="BV39"/>
  <c r="BY39" s="1"/>
  <c r="BV38"/>
  <c r="BY38" s="1"/>
  <c r="BV37"/>
  <c r="BY37" s="1"/>
  <c r="BV36"/>
  <c r="BY36" s="1"/>
  <c r="BV35"/>
  <c r="BY35" s="1"/>
  <c r="BV34"/>
  <c r="BY34" s="1"/>
  <c r="BV33"/>
  <c r="BY33" s="1"/>
  <c r="BV32"/>
  <c r="BY32" s="1"/>
  <c r="BV31"/>
  <c r="BY31" s="1"/>
  <c r="BV30"/>
  <c r="BY30" s="1"/>
  <c r="BV29"/>
  <c r="BY29" s="1"/>
  <c r="BV28"/>
  <c r="BY28" s="1"/>
  <c r="BV27"/>
  <c r="BY27" s="1"/>
  <c r="BV26"/>
  <c r="BY26" s="1"/>
  <c r="BV25"/>
  <c r="BY25" s="1"/>
  <c r="BV24"/>
  <c r="BY24" s="1"/>
  <c r="BV23"/>
  <c r="BY23" s="1"/>
  <c r="BV22"/>
  <c r="BY22" s="1"/>
  <c r="BV21"/>
  <c r="BY21" s="1"/>
  <c r="BV20"/>
  <c r="BY20" s="1"/>
  <c r="BV19"/>
  <c r="BY19" s="1"/>
  <c r="BV18"/>
  <c r="BY18" s="1"/>
  <c r="BV17"/>
  <c r="BY17" s="1"/>
  <c r="BV16"/>
  <c r="BY16" s="1"/>
  <c r="BV15"/>
  <c r="BY15" s="1"/>
  <c r="BV14"/>
  <c r="BY14" s="1"/>
  <c r="BV13"/>
  <c r="BY13" s="1"/>
  <c r="BV12"/>
  <c r="BY12" s="1"/>
  <c r="BV11"/>
  <c r="BY11" s="1"/>
  <c r="BV10"/>
  <c r="BY10" s="1"/>
  <c r="BV9"/>
  <c r="BY9" s="1"/>
  <c r="BV8"/>
  <c r="BY8" s="1"/>
  <c r="BV7"/>
  <c r="BY7" s="1"/>
  <c r="BV6"/>
  <c r="BY6" s="1"/>
  <c r="BV5"/>
  <c r="BY5" s="1"/>
  <c r="BN52"/>
  <c r="BQ52" s="1"/>
  <c r="BN51"/>
  <c r="BQ51" s="1"/>
  <c r="BN50"/>
  <c r="BQ50" s="1"/>
  <c r="BN49"/>
  <c r="BQ49" s="1"/>
  <c r="BN48"/>
  <c r="BQ48" s="1"/>
  <c r="BN47"/>
  <c r="BQ47" s="1"/>
  <c r="BN46"/>
  <c r="BQ46" s="1"/>
  <c r="BN45"/>
  <c r="BQ45" s="1"/>
  <c r="BN44"/>
  <c r="BQ44" s="1"/>
  <c r="BN43"/>
  <c r="BQ43" s="1"/>
  <c r="BN42"/>
  <c r="BQ42" s="1"/>
  <c r="BN41"/>
  <c r="BQ41" s="1"/>
  <c r="BN40"/>
  <c r="BQ40" s="1"/>
  <c r="BN39"/>
  <c r="BQ39" s="1"/>
  <c r="BN38"/>
  <c r="BQ38" s="1"/>
  <c r="BN37"/>
  <c r="BQ37" s="1"/>
  <c r="BN36"/>
  <c r="BQ36" s="1"/>
  <c r="BN35"/>
  <c r="BQ35" s="1"/>
  <c r="BN34"/>
  <c r="BQ34" s="1"/>
  <c r="BN33"/>
  <c r="BQ33" s="1"/>
  <c r="BN32"/>
  <c r="BQ32" s="1"/>
  <c r="BN31"/>
  <c r="BQ31" s="1"/>
  <c r="BN30"/>
  <c r="BQ30" s="1"/>
  <c r="BN29"/>
  <c r="BQ29" s="1"/>
  <c r="BN28"/>
  <c r="BQ28" s="1"/>
  <c r="BN27"/>
  <c r="BQ27" s="1"/>
  <c r="BN26"/>
  <c r="BQ26" s="1"/>
  <c r="BN25"/>
  <c r="BQ25" s="1"/>
  <c r="BN24"/>
  <c r="BQ24" s="1"/>
  <c r="BN23"/>
  <c r="BQ23" s="1"/>
  <c r="BN22"/>
  <c r="BQ22" s="1"/>
  <c r="BN21"/>
  <c r="BQ21" s="1"/>
  <c r="BN20"/>
  <c r="BQ20" s="1"/>
  <c r="BN19"/>
  <c r="BQ19" s="1"/>
  <c r="BN18"/>
  <c r="BQ18" s="1"/>
  <c r="BN17"/>
  <c r="BQ17" s="1"/>
  <c r="BN16"/>
  <c r="BQ16" s="1"/>
  <c r="BN15"/>
  <c r="BQ15" s="1"/>
  <c r="BN14"/>
  <c r="BQ14" s="1"/>
  <c r="BN13"/>
  <c r="BQ13" s="1"/>
  <c r="BN12"/>
  <c r="BQ12" s="1"/>
  <c r="BN11"/>
  <c r="BQ11" s="1"/>
  <c r="BN10"/>
  <c r="BQ10" s="1"/>
  <c r="BN9"/>
  <c r="BQ9" s="1"/>
  <c r="BN8"/>
  <c r="BQ8" s="1"/>
  <c r="BN7"/>
  <c r="BQ7" s="1"/>
  <c r="BN6"/>
  <c r="BQ6" s="1"/>
  <c r="BN5"/>
  <c r="BQ5" s="1"/>
  <c r="BF52"/>
  <c r="BI52" s="1"/>
  <c r="BF51"/>
  <c r="BI51" s="1"/>
  <c r="BF50"/>
  <c r="BI50" s="1"/>
  <c r="BF49"/>
  <c r="BI49" s="1"/>
  <c r="BF48"/>
  <c r="BI48" s="1"/>
  <c r="BF47"/>
  <c r="BI47" s="1"/>
  <c r="BF46"/>
  <c r="BI46" s="1"/>
  <c r="BF45"/>
  <c r="BI45" s="1"/>
  <c r="BF44"/>
  <c r="BI44" s="1"/>
  <c r="BF43"/>
  <c r="BI43" s="1"/>
  <c r="BF42"/>
  <c r="BI42" s="1"/>
  <c r="BF41"/>
  <c r="BI41" s="1"/>
  <c r="BF40"/>
  <c r="BI40" s="1"/>
  <c r="BF39"/>
  <c r="BI39" s="1"/>
  <c r="BF38"/>
  <c r="BI38" s="1"/>
  <c r="BF37"/>
  <c r="BI37" s="1"/>
  <c r="BF36"/>
  <c r="BI36" s="1"/>
  <c r="BF35"/>
  <c r="BI35" s="1"/>
  <c r="BF34"/>
  <c r="BI34" s="1"/>
  <c r="BF33"/>
  <c r="BI33" s="1"/>
  <c r="BF32"/>
  <c r="BI32" s="1"/>
  <c r="BF31"/>
  <c r="BI31" s="1"/>
  <c r="BF30"/>
  <c r="BI30" s="1"/>
  <c r="BF29"/>
  <c r="BI29" s="1"/>
  <c r="BF28"/>
  <c r="BI28" s="1"/>
  <c r="BF27"/>
  <c r="BI27" s="1"/>
  <c r="BF26"/>
  <c r="BI26" s="1"/>
  <c r="BF25"/>
  <c r="BI25" s="1"/>
  <c r="BF24"/>
  <c r="BI24" s="1"/>
  <c r="BF23"/>
  <c r="BI23" s="1"/>
  <c r="BF22"/>
  <c r="BI22" s="1"/>
  <c r="BF21"/>
  <c r="BI21" s="1"/>
  <c r="BF20"/>
  <c r="BI20" s="1"/>
  <c r="BF19"/>
  <c r="BI19" s="1"/>
  <c r="BF18"/>
  <c r="BI18" s="1"/>
  <c r="BF17"/>
  <c r="BI17" s="1"/>
  <c r="BF16"/>
  <c r="BI16" s="1"/>
  <c r="BF15"/>
  <c r="BI15" s="1"/>
  <c r="BF14"/>
  <c r="BI14" s="1"/>
  <c r="BF13"/>
  <c r="BI13" s="1"/>
  <c r="BF12"/>
  <c r="BI12" s="1"/>
  <c r="BF11"/>
  <c r="BI11" s="1"/>
  <c r="BF10"/>
  <c r="BI10" s="1"/>
  <c r="BF9"/>
  <c r="BI9" s="1"/>
  <c r="BF8"/>
  <c r="BI8" s="1"/>
  <c r="BF7"/>
  <c r="BI7" s="1"/>
  <c r="BF6"/>
  <c r="BI6" s="1"/>
  <c r="BF5"/>
  <c r="BI5" s="1"/>
  <c r="AX52"/>
  <c r="BA52" s="1"/>
  <c r="AX51"/>
  <c r="BA51" s="1"/>
  <c r="AX50"/>
  <c r="BA50" s="1"/>
  <c r="AX49"/>
  <c r="BA49" s="1"/>
  <c r="AX48"/>
  <c r="BA48" s="1"/>
  <c r="AX47"/>
  <c r="BA47" s="1"/>
  <c r="AX46"/>
  <c r="BA46" s="1"/>
  <c r="AX45"/>
  <c r="BA45" s="1"/>
  <c r="AX44"/>
  <c r="BA44" s="1"/>
  <c r="AX43"/>
  <c r="BA43" s="1"/>
  <c r="AX42"/>
  <c r="BA42" s="1"/>
  <c r="AX41"/>
  <c r="BA41" s="1"/>
  <c r="AX40"/>
  <c r="BA40" s="1"/>
  <c r="AX39"/>
  <c r="BA39" s="1"/>
  <c r="AX38"/>
  <c r="BA38" s="1"/>
  <c r="AX37"/>
  <c r="BA37" s="1"/>
  <c r="AX36"/>
  <c r="BA36" s="1"/>
  <c r="AX35"/>
  <c r="BA35" s="1"/>
  <c r="AX34"/>
  <c r="BA34" s="1"/>
  <c r="AX33"/>
  <c r="BA33" s="1"/>
  <c r="AX32"/>
  <c r="BA32" s="1"/>
  <c r="AX31"/>
  <c r="BA31" s="1"/>
  <c r="AX30"/>
  <c r="BA30" s="1"/>
  <c r="AX29"/>
  <c r="BA29" s="1"/>
  <c r="AX28"/>
  <c r="BA28" s="1"/>
  <c r="AX27"/>
  <c r="BA27" s="1"/>
  <c r="AX26"/>
  <c r="BA26" s="1"/>
  <c r="AX25"/>
  <c r="BA25" s="1"/>
  <c r="AX24"/>
  <c r="BA24" s="1"/>
  <c r="AX23"/>
  <c r="BA23" s="1"/>
  <c r="AX22"/>
  <c r="BA22" s="1"/>
  <c r="AX21"/>
  <c r="BA21" s="1"/>
  <c r="AX20"/>
  <c r="BA20" s="1"/>
  <c r="AX19"/>
  <c r="BA19" s="1"/>
  <c r="AX18"/>
  <c r="BA18" s="1"/>
  <c r="AX17"/>
  <c r="BA17" s="1"/>
  <c r="AX16"/>
  <c r="BA16" s="1"/>
  <c r="AX15"/>
  <c r="BA15" s="1"/>
  <c r="AX14"/>
  <c r="BA14" s="1"/>
  <c r="AX13"/>
  <c r="BA13" s="1"/>
  <c r="AX12"/>
  <c r="BA12" s="1"/>
  <c r="AX11"/>
  <c r="BA11" s="1"/>
  <c r="AX10"/>
  <c r="BA10" s="1"/>
  <c r="AX9"/>
  <c r="BA9" s="1"/>
  <c r="AX8"/>
  <c r="BA8" s="1"/>
  <c r="AX7"/>
  <c r="BA7" s="1"/>
  <c r="AX6"/>
  <c r="BA6" s="1"/>
  <c r="AX5"/>
  <c r="BA5" s="1"/>
  <c r="AP52"/>
  <c r="AS52" s="1"/>
  <c r="AP51"/>
  <c r="AS51" s="1"/>
  <c r="AP50"/>
  <c r="AS50" s="1"/>
  <c r="AP49"/>
  <c r="AS49" s="1"/>
  <c r="AP48"/>
  <c r="AS48" s="1"/>
  <c r="AP47"/>
  <c r="AS47" s="1"/>
  <c r="AP46"/>
  <c r="AS46" s="1"/>
  <c r="AP45"/>
  <c r="AS45" s="1"/>
  <c r="AP44"/>
  <c r="AS44" s="1"/>
  <c r="AP43"/>
  <c r="AS43" s="1"/>
  <c r="AP42"/>
  <c r="AS42" s="1"/>
  <c r="AP41"/>
  <c r="AS41" s="1"/>
  <c r="AP40"/>
  <c r="AS40" s="1"/>
  <c r="AP39"/>
  <c r="AS39" s="1"/>
  <c r="AP38"/>
  <c r="AS38" s="1"/>
  <c r="AP37"/>
  <c r="AS37" s="1"/>
  <c r="AP36"/>
  <c r="AS36" s="1"/>
  <c r="AP35"/>
  <c r="AS35" s="1"/>
  <c r="AP34"/>
  <c r="AS34" s="1"/>
  <c r="AP33"/>
  <c r="AS33" s="1"/>
  <c r="AP32"/>
  <c r="AS32" s="1"/>
  <c r="AP31"/>
  <c r="AS31" s="1"/>
  <c r="AP30"/>
  <c r="AS30" s="1"/>
  <c r="AP29"/>
  <c r="AS29" s="1"/>
  <c r="AP28"/>
  <c r="AS28" s="1"/>
  <c r="AP27"/>
  <c r="AS27" s="1"/>
  <c r="AP26"/>
  <c r="AS26" s="1"/>
  <c r="AP25"/>
  <c r="AS25" s="1"/>
  <c r="AP24"/>
  <c r="AS24" s="1"/>
  <c r="AP23"/>
  <c r="AS23" s="1"/>
  <c r="AP22"/>
  <c r="AS22" s="1"/>
  <c r="AP21"/>
  <c r="AS21" s="1"/>
  <c r="AP20"/>
  <c r="AS20" s="1"/>
  <c r="AP19"/>
  <c r="AS19" s="1"/>
  <c r="AP18"/>
  <c r="AS18" s="1"/>
  <c r="AP17"/>
  <c r="AS17" s="1"/>
  <c r="AP16"/>
  <c r="AS16" s="1"/>
  <c r="AP15"/>
  <c r="AS15" s="1"/>
  <c r="AP14"/>
  <c r="AS14" s="1"/>
  <c r="AP13"/>
  <c r="AS13" s="1"/>
  <c r="AP12"/>
  <c r="AS12" s="1"/>
  <c r="AP11"/>
  <c r="AS11" s="1"/>
  <c r="AP10"/>
  <c r="AS10" s="1"/>
  <c r="AP9"/>
  <c r="AS9" s="1"/>
  <c r="AP8"/>
  <c r="AS8" s="1"/>
  <c r="AP7"/>
  <c r="AS7" s="1"/>
  <c r="AP6"/>
  <c r="AS6" s="1"/>
  <c r="AP5"/>
  <c r="AS5" s="1"/>
  <c r="AH52"/>
  <c r="AK52" s="1"/>
  <c r="AH51"/>
  <c r="AK51" s="1"/>
  <c r="AH50"/>
  <c r="AK50" s="1"/>
  <c r="AH49"/>
  <c r="AK49" s="1"/>
  <c r="AH48"/>
  <c r="AK48" s="1"/>
  <c r="AH47"/>
  <c r="AK47" s="1"/>
  <c r="AH46"/>
  <c r="AK46" s="1"/>
  <c r="AH45"/>
  <c r="AK45" s="1"/>
  <c r="AH44"/>
  <c r="AK44" s="1"/>
  <c r="AH43"/>
  <c r="AK43" s="1"/>
  <c r="AH42"/>
  <c r="AK42" s="1"/>
  <c r="AH41"/>
  <c r="AK41" s="1"/>
  <c r="AH40"/>
  <c r="AK40" s="1"/>
  <c r="AH39"/>
  <c r="AK39" s="1"/>
  <c r="AH38"/>
  <c r="AK38" s="1"/>
  <c r="AH37"/>
  <c r="AK37" s="1"/>
  <c r="AH36"/>
  <c r="AK36" s="1"/>
  <c r="AH35"/>
  <c r="AK35" s="1"/>
  <c r="AH34"/>
  <c r="AK34" s="1"/>
  <c r="AH33"/>
  <c r="AK33" s="1"/>
  <c r="AH32"/>
  <c r="AK32" s="1"/>
  <c r="AH31"/>
  <c r="AK31" s="1"/>
  <c r="AH30"/>
  <c r="AK30" s="1"/>
  <c r="AH29"/>
  <c r="AK29" s="1"/>
  <c r="AH28"/>
  <c r="AK28" s="1"/>
  <c r="AH27"/>
  <c r="AK27" s="1"/>
  <c r="AH26"/>
  <c r="AK26" s="1"/>
  <c r="AH25"/>
  <c r="AK25" s="1"/>
  <c r="AH24"/>
  <c r="AK24" s="1"/>
  <c r="AH23"/>
  <c r="AK23" s="1"/>
  <c r="AH22"/>
  <c r="AK22" s="1"/>
  <c r="AH21"/>
  <c r="AK21" s="1"/>
  <c r="AH20"/>
  <c r="AK20" s="1"/>
  <c r="AH19"/>
  <c r="AK19" s="1"/>
  <c r="AH18"/>
  <c r="AK18" s="1"/>
  <c r="AH17"/>
  <c r="AK17" s="1"/>
  <c r="AH16"/>
  <c r="AK16" s="1"/>
  <c r="AH15"/>
  <c r="AK15" s="1"/>
  <c r="AH14"/>
  <c r="AK14" s="1"/>
  <c r="AH13"/>
  <c r="AK13" s="1"/>
  <c r="AH12"/>
  <c r="AK12" s="1"/>
  <c r="AH11"/>
  <c r="AK11" s="1"/>
  <c r="AH10"/>
  <c r="AK10" s="1"/>
  <c r="AH9"/>
  <c r="AK9" s="1"/>
  <c r="AH8"/>
  <c r="AK8" s="1"/>
  <c r="AH7"/>
  <c r="AK7" s="1"/>
  <c r="AH6"/>
  <c r="AK6" s="1"/>
  <c r="AH5"/>
  <c r="AK5" s="1"/>
  <c r="Z52"/>
  <c r="AC52" s="1"/>
  <c r="Z51"/>
  <c r="AC51" s="1"/>
  <c r="Z50"/>
  <c r="AC50" s="1"/>
  <c r="Z49"/>
  <c r="AC49" s="1"/>
  <c r="Z48"/>
  <c r="AC48" s="1"/>
  <c r="Z47"/>
  <c r="AC47" s="1"/>
  <c r="Z46"/>
  <c r="AC46" s="1"/>
  <c r="Z45"/>
  <c r="AC45" s="1"/>
  <c r="Z44"/>
  <c r="AC44" s="1"/>
  <c r="Z43"/>
  <c r="AC43" s="1"/>
  <c r="Z42"/>
  <c r="AC42" s="1"/>
  <c r="Z41"/>
  <c r="AC41" s="1"/>
  <c r="Z40"/>
  <c r="AC40" s="1"/>
  <c r="Z39"/>
  <c r="AC39" s="1"/>
  <c r="Z38"/>
  <c r="AC38" s="1"/>
  <c r="Z37"/>
  <c r="AC37" s="1"/>
  <c r="Z36"/>
  <c r="AC36" s="1"/>
  <c r="Z35"/>
  <c r="AC35" s="1"/>
  <c r="Z34"/>
  <c r="AC34" s="1"/>
  <c r="Z33"/>
  <c r="AC33" s="1"/>
  <c r="Z32"/>
  <c r="AC32" s="1"/>
  <c r="Z31"/>
  <c r="AC31" s="1"/>
  <c r="Z30"/>
  <c r="AC30" s="1"/>
  <c r="Z29"/>
  <c r="AC29" s="1"/>
  <c r="Z28"/>
  <c r="AC28" s="1"/>
  <c r="Z27"/>
  <c r="AC27" s="1"/>
  <c r="Z26"/>
  <c r="AC26" s="1"/>
  <c r="Z25"/>
  <c r="AC25" s="1"/>
  <c r="Z24"/>
  <c r="AC24" s="1"/>
  <c r="Z23"/>
  <c r="AC23" s="1"/>
  <c r="Z22"/>
  <c r="AC22" s="1"/>
  <c r="Z21"/>
  <c r="AC21" s="1"/>
  <c r="Z20"/>
  <c r="AC20" s="1"/>
  <c r="Z19"/>
  <c r="AC19" s="1"/>
  <c r="Z18"/>
  <c r="AC18" s="1"/>
  <c r="Z17"/>
  <c r="AC17" s="1"/>
  <c r="Z16"/>
  <c r="AC16" s="1"/>
  <c r="Z15"/>
  <c r="AC15" s="1"/>
  <c r="Z14"/>
  <c r="AC14" s="1"/>
  <c r="Z13"/>
  <c r="AC13" s="1"/>
  <c r="Z12"/>
  <c r="AC12" s="1"/>
  <c r="Z11"/>
  <c r="AC11" s="1"/>
  <c r="Z10"/>
  <c r="AC10" s="1"/>
  <c r="Z9"/>
  <c r="AC9" s="1"/>
  <c r="Z8"/>
  <c r="AC8" s="1"/>
  <c r="Z7"/>
  <c r="AC7" s="1"/>
  <c r="Z6"/>
  <c r="AC6" s="1"/>
  <c r="Z5"/>
  <c r="AC5" s="1"/>
  <c r="R52"/>
  <c r="U52" s="1"/>
  <c r="R51"/>
  <c r="U51" s="1"/>
  <c r="R50"/>
  <c r="U50" s="1"/>
  <c r="R49"/>
  <c r="U49" s="1"/>
  <c r="R48"/>
  <c r="U48" s="1"/>
  <c r="R47"/>
  <c r="U47" s="1"/>
  <c r="R46"/>
  <c r="U46" s="1"/>
  <c r="R45"/>
  <c r="U45" s="1"/>
  <c r="R44"/>
  <c r="U44" s="1"/>
  <c r="R43"/>
  <c r="U43" s="1"/>
  <c r="R42"/>
  <c r="U42" s="1"/>
  <c r="R41"/>
  <c r="U41" s="1"/>
  <c r="R40"/>
  <c r="U40" s="1"/>
  <c r="R39"/>
  <c r="U39" s="1"/>
  <c r="R38"/>
  <c r="U38" s="1"/>
  <c r="R37"/>
  <c r="U37" s="1"/>
  <c r="R36"/>
  <c r="U36" s="1"/>
  <c r="R35"/>
  <c r="U35" s="1"/>
  <c r="R34"/>
  <c r="U34" s="1"/>
  <c r="R33"/>
  <c r="U33" s="1"/>
  <c r="R32"/>
  <c r="U32" s="1"/>
  <c r="R31"/>
  <c r="U31" s="1"/>
  <c r="R30"/>
  <c r="U30" s="1"/>
  <c r="R29"/>
  <c r="U29" s="1"/>
  <c r="R28"/>
  <c r="U28" s="1"/>
  <c r="R27"/>
  <c r="U27" s="1"/>
  <c r="R26"/>
  <c r="U26" s="1"/>
  <c r="R25"/>
  <c r="U25" s="1"/>
  <c r="R24"/>
  <c r="U24" s="1"/>
  <c r="R23"/>
  <c r="U23" s="1"/>
  <c r="R22"/>
  <c r="U22" s="1"/>
  <c r="R21"/>
  <c r="U21" s="1"/>
  <c r="R20"/>
  <c r="U20" s="1"/>
  <c r="R19"/>
  <c r="U19" s="1"/>
  <c r="R18"/>
  <c r="U18" s="1"/>
  <c r="R17"/>
  <c r="U17" s="1"/>
  <c r="R16"/>
  <c r="U16" s="1"/>
  <c r="R15"/>
  <c r="U15" s="1"/>
  <c r="R14"/>
  <c r="U14" s="1"/>
  <c r="R13"/>
  <c r="U13" s="1"/>
  <c r="R12"/>
  <c r="U12" s="1"/>
  <c r="R11"/>
  <c r="U11" s="1"/>
  <c r="R10"/>
  <c r="U10" s="1"/>
  <c r="R9"/>
  <c r="U9" s="1"/>
  <c r="R8"/>
  <c r="U8" s="1"/>
  <c r="R7"/>
  <c r="U7" s="1"/>
  <c r="R6"/>
  <c r="U6" s="1"/>
  <c r="R5"/>
  <c r="U5" s="1"/>
  <c r="J52"/>
  <c r="M52" s="1"/>
  <c r="J51"/>
  <c r="M51" s="1"/>
  <c r="J50"/>
  <c r="M50" s="1"/>
  <c r="J49"/>
  <c r="M49" s="1"/>
  <c r="J48"/>
  <c r="M48" s="1"/>
  <c r="J47"/>
  <c r="M47" s="1"/>
  <c r="J46"/>
  <c r="M46" s="1"/>
  <c r="J45"/>
  <c r="M45" s="1"/>
  <c r="J44"/>
  <c r="M44" s="1"/>
  <c r="J43"/>
  <c r="M43" s="1"/>
  <c r="J42"/>
  <c r="M42" s="1"/>
  <c r="J41"/>
  <c r="M41" s="1"/>
  <c r="J40"/>
  <c r="M40" s="1"/>
  <c r="J39"/>
  <c r="M39" s="1"/>
  <c r="J38"/>
  <c r="M38" s="1"/>
  <c r="J37"/>
  <c r="M37" s="1"/>
  <c r="J36"/>
  <c r="M36" s="1"/>
  <c r="J35"/>
  <c r="M35" s="1"/>
  <c r="J34"/>
  <c r="M34" s="1"/>
  <c r="J33"/>
  <c r="M33" s="1"/>
  <c r="J32"/>
  <c r="M32" s="1"/>
  <c r="J31"/>
  <c r="M31" s="1"/>
  <c r="J30"/>
  <c r="M30" s="1"/>
  <c r="J29"/>
  <c r="M29" s="1"/>
  <c r="J28"/>
  <c r="M28" s="1"/>
  <c r="J27"/>
  <c r="M27" s="1"/>
  <c r="J26"/>
  <c r="M26" s="1"/>
  <c r="J25"/>
  <c r="M25" s="1"/>
  <c r="J24"/>
  <c r="M24" s="1"/>
  <c r="J23"/>
  <c r="M23" s="1"/>
  <c r="J22"/>
  <c r="M22" s="1"/>
  <c r="J21"/>
  <c r="M21" s="1"/>
  <c r="J20"/>
  <c r="M20" s="1"/>
  <c r="J19"/>
  <c r="M19" s="1"/>
  <c r="J18"/>
  <c r="M18" s="1"/>
  <c r="J17"/>
  <c r="M17" s="1"/>
  <c r="J16"/>
  <c r="M16" s="1"/>
  <c r="J15"/>
  <c r="M15" s="1"/>
  <c r="J14"/>
  <c r="M14" s="1"/>
  <c r="J13"/>
  <c r="M13" s="1"/>
  <c r="J12"/>
  <c r="M12" s="1"/>
  <c r="J11"/>
  <c r="M11" s="1"/>
  <c r="J10"/>
  <c r="M10" s="1"/>
  <c r="J9"/>
  <c r="M9" s="1"/>
  <c r="J8"/>
  <c r="M8" s="1"/>
  <c r="J6"/>
  <c r="M6" s="1"/>
  <c r="J7"/>
  <c r="M7" s="1"/>
  <c r="J5"/>
  <c r="M5" s="1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V43" i="34" l="1"/>
  <c r="V27"/>
  <c r="V11"/>
  <c r="V41"/>
  <c r="V25"/>
  <c r="V9"/>
  <c r="V42"/>
  <c r="V26"/>
  <c r="V10"/>
  <c r="V24"/>
  <c r="V46"/>
  <c r="V30"/>
  <c r="V14"/>
  <c r="V44"/>
  <c r="V28"/>
  <c r="V12"/>
  <c r="V47"/>
  <c r="V31"/>
  <c r="V15"/>
  <c r="V45"/>
  <c r="V29"/>
  <c r="V13"/>
  <c r="V48"/>
  <c r="V51"/>
  <c r="V35"/>
  <c r="V19"/>
  <c r="V49"/>
  <c r="V33"/>
  <c r="V17"/>
  <c r="V50"/>
  <c r="V34"/>
  <c r="V18"/>
  <c r="V32"/>
  <c r="V16"/>
  <c r="V54"/>
  <c r="V38"/>
  <c r="V22"/>
  <c r="V52"/>
  <c r="V36"/>
  <c r="V20"/>
  <c r="V55"/>
  <c r="V39"/>
  <c r="V23"/>
  <c r="V53"/>
  <c r="V37"/>
  <c r="V21"/>
  <c r="V40"/>
  <c r="AF8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16"/>
  <c r="S57"/>
  <c r="S49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61" i="31" l="1"/>
  <c r="S24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 s="1"/>
  <c r="CM50"/>
  <c r="CP50" s="1"/>
  <c r="CM46"/>
  <c r="CP46" s="1"/>
  <c r="CM51"/>
  <c r="CP51" s="1"/>
  <c r="CM45"/>
  <c r="CP45" s="1"/>
  <c r="CM49"/>
  <c r="CP49" s="1"/>
  <c r="CM52"/>
  <c r="CP52" s="1"/>
  <c r="CM48"/>
  <c r="CP48" s="1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Y46" l="1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H58" i="31" s="1"/>
  <c r="BH52" i="8"/>
  <c r="BI52"/>
  <c r="BG52"/>
  <c r="BJ51"/>
  <c r="BH50"/>
  <c r="BI50"/>
  <c r="BG50"/>
  <c r="BH51"/>
  <c r="BG51"/>
  <c r="H60" i="31" s="1"/>
  <c r="BI51" i="8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BK50" i="8"/>
  <c r="I59" i="31" s="1"/>
  <c r="H59"/>
  <c r="BK49" i="8"/>
  <c r="I58" i="31" s="1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J47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6" i="8"/>
  <c r="I55" i="31" s="1"/>
  <c r="BR25" i="45"/>
  <c r="BR23"/>
  <c r="BR21"/>
  <c r="BR19"/>
  <c r="BR17"/>
  <c r="BR24"/>
  <c r="BR22"/>
  <c r="BR20"/>
  <c r="BR18"/>
  <c r="BR16"/>
  <c r="BT15"/>
  <c r="C8" i="17"/>
  <c r="BK45" i="8" l="1"/>
  <c r="I54" i="31" s="1"/>
  <c r="BK47" i="8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/>
  <c r="CM41"/>
  <c r="CP41"/>
  <c r="CM29"/>
  <c r="CP29" s="1"/>
  <c r="CM35"/>
  <c r="CP35" s="1"/>
  <c r="CM39"/>
  <c r="CP39"/>
  <c r="CM43"/>
  <c r="CP43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/>
  <c r="CM30"/>
  <c r="CP30"/>
  <c r="CM33"/>
  <c r="CP33"/>
  <c r="CM36"/>
  <c r="CP36"/>
  <c r="CM40"/>
  <c r="CP40"/>
  <c r="CM44"/>
  <c r="CP44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K12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U11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AC10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CW29" i="6" s="1"/>
  <c r="AY9" i="44"/>
  <c r="AY7"/>
  <c r="AY12"/>
  <c r="AY11"/>
  <c r="AY10"/>
  <c r="AY8"/>
  <c r="BC3"/>
  <c r="CW31" i="6" s="1"/>
  <c r="BC12" i="44"/>
  <c r="BC10"/>
  <c r="BC9"/>
  <c r="BC8"/>
  <c r="BC7"/>
  <c r="BC11"/>
  <c r="BI3"/>
  <c r="BI11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14" i="6" l="1"/>
  <c r="CW18"/>
  <c r="CW9"/>
  <c r="CW34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CQ17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D15" i="31" l="1"/>
  <c r="CS6" i="6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CS1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CR35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21"/>
  <c r="F17"/>
  <c r="D17"/>
  <c r="D44"/>
  <c r="F44"/>
  <c r="F29"/>
  <c r="D29"/>
  <c r="D22"/>
  <c r="D27"/>
  <c r="F27"/>
  <c r="D20"/>
  <c r="E20"/>
  <c r="D25"/>
  <c r="E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E36"/>
  <c r="D41"/>
  <c r="D43"/>
  <c r="F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C10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4" i="8" l="1"/>
  <c r="BJ36"/>
  <c r="BJ43"/>
  <c r="BJ41"/>
  <c r="BJ38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BI9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G42"/>
  <c r="H51" i="31" s="1"/>
  <c r="BH8" i="8"/>
  <c r="BG8"/>
  <c r="BI8"/>
  <c r="BH44"/>
  <c r="BI44"/>
  <c r="BG44"/>
  <c r="BH43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W5" i="6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H31"/>
  <c r="H53"/>
  <c r="BK43" i="8"/>
  <c r="I52" i="31" s="1"/>
  <c r="H52"/>
  <c r="H50"/>
  <c r="H43"/>
  <c r="BK33" i="8"/>
  <c r="I42" i="31" s="1"/>
  <c r="BK31" i="8"/>
  <c r="I40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H18"/>
  <c r="BJ8" i="8"/>
  <c r="H17" i="31"/>
  <c r="H16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CV5" s="1"/>
  <c r="BK42" i="8"/>
  <c r="I51" i="31" s="1"/>
  <c r="BJ5" i="8"/>
  <c r="BK44"/>
  <c r="I53" i="31" s="1"/>
  <c r="BK37" i="8"/>
  <c r="I46" i="31" s="1"/>
  <c r="BK35" i="8"/>
  <c r="I44" i="31" s="1"/>
  <c r="BK34" i="8"/>
  <c r="I43" i="31" s="1"/>
  <c r="BK29" i="8"/>
  <c r="I38" i="31" s="1"/>
  <c r="V8" i="34"/>
  <c r="W8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<sst xmlns="http://schemas.openxmlformats.org/spreadsheetml/2006/main" count="2365" uniqueCount="576">
  <si>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</si>
  <si>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</si>
  <si>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</si>
  <si>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</si>
  <si>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</si>
  <si>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</si>
  <si>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</si>
  <si>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</si>
  <si>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</si>
  <si>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</si>
  <si>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</si>
  <si>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</si>
  <si>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</si>
  <si>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</si>
  <si>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</si>
  <si>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</si>
  <si>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</si>
  <si>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</si>
  <si>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</si>
  <si>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</si>
  <si>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</si>
  <si>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</si>
  <si>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</si>
  <si>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</si>
  <si>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</si>
  <si>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</si>
  <si>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</si>
  <si>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</si>
  <si>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</si>
  <si>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</si>
  <si>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</si>
  <si>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</si>
  <si>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</si>
  <si>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</si>
  <si>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</si>
  <si>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</si>
  <si>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</si>
  <si>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</si>
  <si>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</si>
  <si>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</si>
  <si>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</si>
  <si>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</si>
  <si>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</si>
  <si>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</si>
  <si>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</si>
  <si>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</si>
  <si>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</si>
  <si>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</si>
  <si>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</si>
  <si>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</si>
  <si>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</si>
  <si>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</si>
  <si>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</si>
  <si>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</si>
  <si>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</si>
  <si>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</si>
  <si>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</si>
  <si>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</si>
  <si>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</si>
  <si>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</si>
  <si>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</si>
  <si>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</si>
  <si>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</si>
  <si>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</si>
  <si>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</si>
  <si>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</si>
  <si>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</si>
  <si>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</si>
  <si>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</si>
  <si>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</si>
  <si>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</si>
  <si>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</si>
  <si>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</si>
  <si>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</si>
  <si>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</si>
  <si>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</si>
  <si>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</si>
  <si>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</si>
  <si>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</si>
  <si>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</si>
  <si>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</si>
  <si>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</si>
  <si>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</si>
  <si>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</si>
  <si>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</si>
  <si>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</si>
  <si>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</si>
  <si>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</si>
  <si>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</si>
  <si>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</si>
  <si>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</si>
  <si>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</si>
  <si>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</si>
  <si>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</si>
  <si>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</si>
  <si>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</si>
  <si>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</si>
  <si>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</si>
  <si>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</si>
  <si>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</si>
  <si>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</si>
  <si>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</si>
  <si>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</si>
  <si>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</si>
  <si>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</si>
  <si>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</si>
  <si>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</si>
  <si>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</si>
  <si>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</si>
  <si>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</si>
  <si>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</si>
  <si>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</si>
  <si>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</si>
  <si>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</si>
  <si>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</si>
  <si>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</si>
  <si>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</si>
  <si>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</si>
  <si>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</si>
  <si>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</si>
  <si>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</si>
  <si>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</si>
  <si>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</si>
  <si>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</si>
  <si>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</si>
  <si>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</si>
  <si>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</si>
  <si>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</si>
  <si>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</si>
  <si>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</si>
  <si>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</si>
  <si>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</si>
  <si>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</si>
  <si>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</si>
  <si>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</si>
  <si>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</si>
  <si>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</si>
  <si>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</si>
  <si>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</si>
  <si>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</si>
  <si>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</si>
  <si>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</si>
  <si>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</si>
  <si>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</si>
  <si>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</si>
  <si>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</si>
  <si>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</si>
  <si>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</si>
  <si>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</si>
  <si>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</si>
  <si>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</si>
  <si>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</si>
  <si>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</si>
  <si>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</si>
  <si>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</si>
  <si>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</si>
  <si>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</si>
  <si>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</si>
  <si>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</si>
  <si>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</si>
  <si>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</si>
  <si>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</si>
  <si>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</si>
  <si>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</si>
  <si>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</si>
  <si>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</si>
  <si>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</si>
  <si>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</si>
  <si>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</si>
  <si>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</si>
  <si>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</si>
  <si>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</si>
  <si>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</si>
  <si>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</si>
  <si>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</si>
  <si>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</si>
  <si>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</si>
  <si>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</si>
  <si>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</si>
  <si>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</si>
  <si>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</si>
  <si>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</si>
  <si>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</si>
  <si>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</si>
  <si>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</si>
  <si>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</si>
  <si>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</si>
  <si>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</si>
  <si>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</si>
  <si>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</si>
  <si>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</si>
  <si>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</si>
  <si>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</si>
  <si>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</si>
  <si>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</si>
  <si>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</si>
  <si>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</si>
  <si>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</si>
  <si>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</si>
  <si>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</si>
  <si>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</si>
  <si>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</si>
  <si>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</si>
  <si>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</si>
  <si>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</si>
  <si>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</si>
  <si>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</si>
  <si>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</si>
  <si>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</si>
  <si>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</si>
  <si>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</si>
  <si>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</si>
  <si>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</si>
  <si>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</si>
  <si>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</si>
  <si>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</si>
  <si>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</si>
  <si>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</si>
  <si>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</si>
  <si>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</si>
  <si>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</si>
  <si>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</si>
  <si>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</si>
  <si>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</si>
  <si>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</si>
  <si>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</si>
  <si>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</si>
  <si>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</si>
  <si>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</si>
  <si>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</si>
  <si>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</si>
  <si>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</si>
  <si>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</si>
  <si>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</si>
  <si>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</si>
  <si>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</si>
  <si>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</si>
  <si>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</si>
  <si>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</si>
  <si>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</si>
  <si>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</si>
  <si>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</si>
  <si>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</si>
  <si>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</si>
  <si>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</si>
  <si>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</si>
  <si>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</si>
  <si>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</si>
  <si>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</si>
  <si>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</si>
  <si>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</si>
  <si>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</si>
  <si>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</si>
  <si>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</si>
  <si>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</si>
  <si>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</si>
  <si>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</si>
  <si>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</si>
  <si>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</si>
  <si>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</si>
  <si>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</si>
  <si>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</si>
  <si>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</si>
  <si>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</si>
  <si>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</si>
  <si>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</si>
  <si>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</si>
  <si>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</si>
  <si>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</si>
  <si>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</si>
  <si>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</si>
  <si>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</si>
  <si>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</si>
  <si>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</si>
  <si>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</si>
  <si>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</si>
  <si>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</si>
  <si>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</si>
  <si>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</si>
  <si>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</si>
  <si>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</si>
  <si>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</si>
  <si>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</si>
  <si>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</si>
  <si>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</si>
  <si>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</si>
  <si>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</si>
  <si>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</si>
  <si>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</si>
  <si>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</si>
  <si>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</si>
  <si>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</si>
  <si>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</si>
  <si>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</si>
  <si>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</si>
  <si>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</si>
  <si>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</si>
  <si>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</si>
  <si>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</si>
  <si>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</si>
  <si>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</si>
  <si>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</si>
  <si>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</si>
  <si>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</si>
  <si>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</si>
  <si>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</si>
  <si>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</si>
  <si>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</si>
  <si>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</si>
  <si>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</si>
  <si>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</si>
  <si>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</si>
  <si>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</si>
  <si>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</si>
  <si>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</si>
  <si>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</si>
  <si>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</si>
  <si>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</si>
  <si>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</si>
  <si>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</si>
  <si>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</si>
  <si>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</si>
  <si>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</si>
  <si>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</si>
  <si>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</si>
  <si>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</si>
  <si>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</si>
  <si>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</si>
  <si>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</si>
  <si>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</si>
  <si>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</si>
  <si>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</si>
  <si>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</si>
  <si>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</si>
  <si>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</si>
  <si>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</si>
  <si>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</si>
  <si>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</si>
  <si>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</si>
  <si>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</si>
  <si>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</si>
  <si>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</si>
  <si>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</si>
  <si>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</si>
  <si>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</si>
  <si>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</si>
  <si>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</si>
  <si>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</si>
  <si>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</si>
  <si>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</si>
  <si>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</si>
  <si>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</si>
  <si>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</si>
  <si>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</si>
  <si>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</si>
  <si>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</si>
  <si>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</si>
  <si>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</si>
  <si>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</si>
  <si>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</si>
  <si>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</si>
  <si>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</si>
  <si>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</si>
  <si>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</si>
  <si>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</si>
  <si>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</si>
  <si>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</si>
  <si>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</si>
  <si>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</si>
  <si>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</si>
  <si>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</si>
  <si>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</si>
  <si>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</si>
  <si>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</si>
  <si>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</si>
  <si>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</si>
  <si>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</si>
  <si>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</si>
  <si>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</si>
  <si>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</si>
  <si>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</si>
  <si>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</si>
  <si>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</si>
  <si>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</si>
  <si>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</si>
  <si>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</si>
  <si>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</si>
  <si>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</si>
  <si>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</si>
  <si>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</si>
  <si>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</si>
  <si>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</si>
  <si>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</si>
  <si>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</si>
  <si>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</si>
  <si>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</si>
  <si>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</si>
  <si>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</si>
  <si>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</si>
  <si>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</si>
  <si>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</si>
  <si>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</si>
  <si>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</si>
  <si>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</si>
  <si>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</si>
  <si>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</si>
  <si>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</si>
  <si>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</si>
  <si>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</si>
  <si>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</si>
  <si>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</si>
  <si>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</si>
  <si>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</si>
  <si>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</si>
  <si>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</si>
  <si>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</si>
  <si>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</si>
  <si>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</si>
  <si>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</si>
  <si>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</si>
  <si>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</si>
  <si>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</si>
  <si>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</si>
  <si>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</si>
  <si>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</si>
  <si>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</si>
  <si>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</si>
  <si>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</si>
  <si>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</si>
  <si>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</si>
  <si>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</si>
  <si>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</si>
  <si>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</si>
  <si>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</si>
  <si>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</si>
  <si>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</si>
  <si>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</si>
  <si>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</si>
  <si>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</si>
  <si>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</si>
  <si>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</si>
  <si>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</si>
  <si>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</si>
  <si>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</si>
  <si>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</si>
  <si>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</si>
  <si>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</si>
  <si>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</si>
  <si>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</si>
  <si>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</si>
  <si>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</si>
  <si>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</si>
  <si>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</si>
  <si>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</si>
  <si>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</si>
  <si>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</si>
  <si>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</si>
  <si>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</si>
  <si>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</si>
  <si>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</si>
  <si>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</si>
  <si>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</si>
  <si>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</si>
  <si>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</si>
  <si>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</si>
  <si>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</si>
  <si>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</si>
  <si>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</si>
  <si>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</si>
  <si>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</si>
  <si>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</si>
  <si>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</si>
  <si>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</si>
  <si>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</si>
  <si>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</si>
  <si>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</si>
  <si>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</si>
  <si>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</si>
  <si>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</si>
  <si>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</si>
  <si>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</si>
  <si>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</si>
  <si>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</si>
  <si>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</si>
  <si>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</si>
  <si>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</si>
  <si>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</si>
  <si>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</si>
  <si>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</si>
  <si>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</si>
  <si>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</si>
  <si>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</si>
  <si>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</si>
  <si>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</si>
  <si>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</si>
  <si>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</si>
  <si>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</si>
  <si>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</si>
  <si>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</si>
  <si>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</si>
  <si>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</si>
  <si>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</si>
  <si>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</si>
  <si>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</si>
  <si>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</si>
  <si>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</si>
  <si>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</si>
  <si>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</si>
  <si>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</si>
  <si>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</si>
  <si>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</si>
  <si>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</si>
  <si>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</si>
  <si>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</si>
  <si>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</si>
  <si>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</si>
  <si>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</si>
  <si>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</si>
  <si>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</si>
  <si>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</si>
  <si>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</si>
  <si>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</si>
  <si>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</si>
  <si>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</si>
  <si>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</si>
  <si>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</si>
  <si>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</si>
  <si>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</si>
  <si>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</si>
  <si>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</si>
  <si>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</si>
  <si>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</si>
  <si>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</si>
  <si>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</si>
  <si>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</si>
  <si>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</si>
  <si>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</si>
  <si>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</si>
  <si>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</si>
  <si>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</si>
  <si>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</si>
  <si>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</si>
  <si>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</si>
  <si>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</si>
  <si>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</si>
  <si>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</si>
  <si>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</si>
  <si>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</si>
  <si>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</si>
  <si>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</si>
  <si>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</si>
  <si>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</si>
  <si>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</si>
  <si>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</si>
  <si>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</si>
  <si>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Bahasa Arab</t>
  </si>
  <si>
    <t>pengetahuan bahasa arab 2</t>
  </si>
  <si>
    <t>pengetahuan bahasa arab 3</t>
  </si>
  <si>
    <t>pengetahuan bahasa arab 4</t>
  </si>
  <si>
    <t>pengetahuan bahasa arab 5</t>
  </si>
  <si>
    <t>pengetahuan bahasa arab 6</t>
  </si>
  <si>
    <t>pengetahuan bahasa arab 7</t>
  </si>
  <si>
    <t>pengetahuan bahasa arab 8</t>
  </si>
  <si>
    <t>pengetahuan bahasa arab 9</t>
  </si>
  <si>
    <t>pengetahuan bahasa arab 10</t>
  </si>
  <si>
    <t>ketrampilan bahasa arab 1</t>
  </si>
  <si>
    <t>ketrampilan bahasa arab 2</t>
  </si>
  <si>
    <t>ketrampilan bahasa arab 3</t>
  </si>
  <si>
    <t>ketrampilan bahasa arab 4</t>
  </si>
  <si>
    <t>ketrampilan bahasa arab 5</t>
  </si>
  <si>
    <t>ketrampilan bahasa arab 6</t>
  </si>
  <si>
    <t>ketrampilan bahasa arab 7</t>
  </si>
  <si>
    <t>ketrampilan bahasa arab 8</t>
  </si>
  <si>
    <t>ketrampilan bahasa arab 9</t>
  </si>
  <si>
    <t>ketrampilan bahasa arab 10</t>
  </si>
  <si>
    <t>Menciptakan kebersamaan warga madrasah yang religius melalui perilaku yang ikhlas, mandiri, dan bebas berkreasi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</si>
</sst>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4" fillId="35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34" borderId="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16" borderId="1" xfId="0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abSelected="1" topLeftCell="A7" zoomScale="110" zoomScaleNormal="11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70</v>
      </c>
      <c r="S1" s="438"/>
    </row>
    <row r="2" spans="1:19" ht="32.25" customHeight="1" thickBot="1">
      <c r="B2" s="402"/>
      <c r="C2" s="403"/>
      <c r="D2" s="404"/>
      <c r="E2" s="467" t="s">
        <v>488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470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486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476</v>
      </c>
      <c r="P5" s="434"/>
      <c r="Q5" s="434"/>
      <c r="R5" s="356" t="s">
        <v>477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92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81</v>
      </c>
      <c r="P7" s="359" t="s">
        <v>483</v>
      </c>
      <c r="Q7" s="357">
        <f>O7+ROUND((100-$R$1)/3,0)</f>
        <v>91</v>
      </c>
      <c r="R7" s="357" t="s">
        <v>479</v>
      </c>
      <c r="S7" s="356" t="s">
        <v>473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70</v>
      </c>
      <c r="P8" s="359" t="s">
        <v>483</v>
      </c>
      <c r="Q8" s="357">
        <f>O8+ROUND((100-$R$1)/3,0)</f>
        <v>80</v>
      </c>
      <c r="R8" s="357" t="s">
        <v>480</v>
      </c>
      <c r="S8" s="356" t="s">
        <v>474</v>
      </c>
    </row>
    <row r="9" spans="1:19" ht="20.25" customHeight="1" thickBot="1">
      <c r="B9" s="443" t="s">
        <v>471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70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555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501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552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503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0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487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489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C5" sqref="C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workbookViewId="0">
      <selection activeCell="B12" sqref="B12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553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554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575</v>
      </c>
    </row>
    <row r="12" spans="1:2" ht="15.75">
      <c r="A12" s="415">
        <v>32</v>
      </c>
      <c r="B12" s="411" t="s">
        <v>556</v>
      </c>
    </row>
    <row r="13" spans="1:2" ht="15.75">
      <c r="A13" s="415">
        <v>33</v>
      </c>
      <c r="B13" s="411" t="s">
        <v>557</v>
      </c>
    </row>
    <row r="14" spans="1:2" ht="15.75">
      <c r="A14" s="416">
        <v>34</v>
      </c>
      <c r="B14" s="411" t="s">
        <v>558</v>
      </c>
    </row>
    <row r="15" spans="1:2" ht="15.75">
      <c r="A15" s="414">
        <v>35</v>
      </c>
      <c r="B15" s="411" t="s">
        <v>559</v>
      </c>
    </row>
    <row r="16" spans="1:2" ht="15.75">
      <c r="A16" s="415">
        <v>36</v>
      </c>
      <c r="B16" s="412" t="s">
        <v>560</v>
      </c>
    </row>
    <row r="17" spans="1:2" ht="15.75">
      <c r="A17" s="415">
        <v>37</v>
      </c>
      <c r="B17" s="413" t="s">
        <v>561</v>
      </c>
    </row>
    <row r="18" spans="1:2">
      <c r="A18" s="416">
        <v>38</v>
      </c>
      <c r="B18" s="277" t="s">
        <v>562</v>
      </c>
    </row>
    <row r="19" spans="1:2">
      <c r="A19" s="414">
        <v>39</v>
      </c>
      <c r="B19" s="277" t="s">
        <v>563</v>
      </c>
    </row>
    <row r="20" spans="1:2">
      <c r="A20" s="415">
        <v>310</v>
      </c>
      <c r="B20" s="277" t="s">
        <v>564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565</v>
      </c>
    </row>
    <row r="30" spans="1:2" ht="15.75">
      <c r="A30" s="278">
        <v>42</v>
      </c>
      <c r="B30" s="409" t="s">
        <v>566</v>
      </c>
    </row>
    <row r="31" spans="1:2" ht="15.75">
      <c r="A31" s="278">
        <v>43</v>
      </c>
      <c r="B31" s="409" t="s">
        <v>567</v>
      </c>
    </row>
    <row r="32" spans="1:2" ht="15.75">
      <c r="A32" s="278">
        <v>44</v>
      </c>
      <c r="B32" s="409" t="s">
        <v>568</v>
      </c>
    </row>
    <row r="33" spans="1:2" ht="15.75">
      <c r="A33" s="278">
        <v>45</v>
      </c>
      <c r="B33" s="409" t="s">
        <v>569</v>
      </c>
    </row>
    <row r="34" spans="1:2" ht="15.75">
      <c r="A34" s="278">
        <v>46</v>
      </c>
      <c r="B34" s="409" t="s">
        <v>570</v>
      </c>
    </row>
    <row r="35" spans="1:2" ht="15.75">
      <c r="A35" s="278">
        <v>47</v>
      </c>
      <c r="B35" s="410" t="s">
        <v>571</v>
      </c>
    </row>
    <row r="36" spans="1:2">
      <c r="A36" s="278">
        <v>48</v>
      </c>
      <c r="B36" s="279" t="s">
        <v>572</v>
      </c>
    </row>
    <row r="37" spans="1:2">
      <c r="A37" s="278">
        <v>49</v>
      </c>
      <c r="B37" s="279" t="s">
        <v>573</v>
      </c>
    </row>
    <row r="38" spans="1:2">
      <c r="A38" s="278">
        <v>410</v>
      </c>
      <c r="B38" s="279" t="s">
        <v>574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zoomScale="120" zoomScaleNormal="120" workbookViewId="0">
      <selection activeCell="D13" sqref="D13:N1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10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10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85</v>
      </c>
      <c r="C13" s="259" t="str">
        <f>VLOOKUP(B1,nilai_jadi,5,FALSE)</f>
        <v>B</v>
      </c>
      <c r="D13" s="510" t="str">
        <f>VLOOKUP(B1,nilai_jadi,6,FALSE)</f>
        <v>Memiliki penguasaan semua materi baik,  sudah menguasai pengetahuan bahasa arab 7, dan perlu ditingkatkan dalam pengetahuan bahasa arab 6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B</v>
      </c>
      <c r="D14" s="489" t="str">
        <f>VLOOKUP(B1,nilai_jadi,9,FALSE)</f>
        <v>terampil ketrampilan bahasa arab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:AH55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Bahasa Arab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498</v>
      </c>
      <c r="X5" s="529" t="s">
        <v>490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491</v>
      </c>
      <c r="I7" s="419" t="s">
        <v>292</v>
      </c>
      <c r="J7" s="419" t="s">
        <v>495</v>
      </c>
      <c r="K7" s="419" t="s">
        <v>492</v>
      </c>
      <c r="L7" s="419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497</v>
      </c>
      <c r="T7" s="421" t="s">
        <v>494</v>
      </c>
      <c r="U7" s="421" t="s">
        <v>492</v>
      </c>
      <c r="V7" s="421" t="s">
        <v>493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90</v>
      </c>
      <c r="D8" s="218">
        <f>IF('Input Nilai Pengetahuan'!U5="","",'Input Nilai Pengetahuan'!U5)</f>
        <v>98</v>
      </c>
      <c r="E8" s="218">
        <f>IF('Input Nilai Pengetahuan'!AC5="","",'Input Nilai Pengetahuan'!AC5)</f>
        <v>60</v>
      </c>
      <c r="F8" s="218">
        <f>IF('Input Nilai Pengetahuan'!AK5="","",'Input Nilai Pengetahuan'!AK5)</f>
        <v>91</v>
      </c>
      <c r="G8" s="220">
        <f>IF('Input Nilai Pengetahuan'!CK5="","",'Input Nilai Pengetahuan'!CK5)</f>
        <v>87.5</v>
      </c>
      <c r="H8" s="422">
        <f>IF(G8="","",AVERAGE(C8:F8))</f>
        <v>84.75</v>
      </c>
      <c r="I8" s="422">
        <f>IF(G8="","",((2*H8)+G8)/3)</f>
        <v>85.666666666666671</v>
      </c>
      <c r="J8" s="422">
        <f>IF(G8="","",ROUND(I8,0))</f>
        <v>86</v>
      </c>
      <c r="K8" s="420">
        <f>IF(J8="","",J8)</f>
        <v>86</v>
      </c>
      <c r="L8" s="420" t="str">
        <f>IF(G8="","",IF(K8&gt;=menu!$O$6,"A",IF(K8&gt;=menu!$O$7,"B",IF(K8&gt;=menu!$O$8,"C","D"))))</f>
        <v>B</v>
      </c>
      <c r="M8" s="219">
        <f>IF('Input Nilai Ketrampilan'!J5="","",('Input Nilai Ketrampilan'!J5))</f>
        <v>82.5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87</v>
      </c>
      <c r="S8" s="429">
        <f>IF(B8="","",menu!$D$17)</f>
        <v>4</v>
      </c>
      <c r="T8" s="423">
        <f>IF(M8="","",AVERAGE(M8:P8))</f>
        <v>80.875</v>
      </c>
      <c r="U8" s="424">
        <f>IF(M8="","",ROUND(T8,0))</f>
        <v>81</v>
      </c>
      <c r="V8" s="424" t="str">
        <f>IF(M8="","",IF(U8&gt;=menu!$O$6,"A",IF(U8&gt;=menu!$O$7,"B",IF(U8&gt;=menu!$O$8,"C","D"))))</f>
        <v>B</v>
      </c>
      <c r="W8" s="425">
        <f>IF(K8="","",AVERAGE(K8,U8))</f>
        <v>83.5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70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75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73.5625</v>
      </c>
      <c r="I9" s="422">
        <f t="shared" ref="I9:I55" si="1">IF(G9="","",((2*H9)+G9)/3)</f>
        <v>79.041666666666671</v>
      </c>
      <c r="J9" s="422">
        <f t="shared" ref="J9:J55" si="2">IF(G9="","",ROUND(I9,0))</f>
        <v>79</v>
      </c>
      <c r="K9" s="420">
        <f t="shared" ref="K9:K55" si="3">IF(J9="","",J9)</f>
        <v>79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C</v>
      </c>
      <c r="W9" s="425">
        <f t="shared" ref="W9:W55" si="6">IF(K9="","",AVERAGE(K9,U9))</f>
        <v>78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70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A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A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70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A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70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B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B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70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A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70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B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B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70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70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A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70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B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B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70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C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C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70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70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A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70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A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A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70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70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A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70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70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70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B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B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70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B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B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70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B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B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70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B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B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70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A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A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70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B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70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B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B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70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A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70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A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A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70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B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70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B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C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70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A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A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70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A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70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A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70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A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70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C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C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70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70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B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B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70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70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B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B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70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70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70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B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B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70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70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70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70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B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B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70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B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B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70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A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A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70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A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A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70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36"/>
      <c r="E1" s="537"/>
      <c r="F1" s="537"/>
      <c r="G1" s="537"/>
      <c r="H1" s="537"/>
      <c r="I1" s="537"/>
      <c r="J1" s="537"/>
      <c r="K1" s="537"/>
      <c r="L1" s="537"/>
      <c r="M1" s="537"/>
      <c r="N1" s="537"/>
      <c r="O1" s="537"/>
      <c r="P1" s="537"/>
      <c r="Q1" s="537"/>
      <c r="R1" s="537"/>
      <c r="S1" s="538"/>
    </row>
    <row r="2" spans="1:20" ht="15.75">
      <c r="D2" s="539" t="str">
        <f>UPPER('[1]Data Raport'!C3:F3)</f>
        <v/>
      </c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1"/>
    </row>
    <row r="3" spans="1:20" ht="9" customHeight="1">
      <c r="D3" s="542" t="str">
        <f>UPPER('[1]Data Raport'!C5:F5)</f>
        <v/>
      </c>
      <c r="E3" s="543"/>
      <c r="F3" s="543"/>
      <c r="G3" s="543"/>
      <c r="H3" s="543"/>
      <c r="I3" s="543"/>
      <c r="J3" s="543"/>
      <c r="K3" s="543"/>
      <c r="L3" s="543"/>
      <c r="M3" s="543"/>
      <c r="N3" s="543"/>
      <c r="O3" s="543"/>
      <c r="P3" s="543"/>
      <c r="Q3" s="543"/>
      <c r="R3" s="543"/>
      <c r="S3" s="544"/>
    </row>
    <row r="4" spans="1:20" ht="8.25" customHeight="1">
      <c r="D4" s="545" t="s">
        <v>284</v>
      </c>
      <c r="E4" s="546"/>
      <c r="F4" s="546"/>
      <c r="G4" s="546"/>
      <c r="H4" s="546"/>
      <c r="I4" s="546"/>
      <c r="J4" s="546"/>
      <c r="K4" s="546"/>
      <c r="L4" s="546"/>
      <c r="M4" s="546"/>
      <c r="N4" s="546"/>
      <c r="O4" s="546"/>
      <c r="P4" s="546"/>
      <c r="Q4" s="546"/>
      <c r="R4" s="546"/>
      <c r="S4" s="547"/>
    </row>
    <row r="5" spans="1:20" ht="8.25" customHeight="1">
      <c r="D5" s="548"/>
      <c r="E5" s="549"/>
      <c r="F5" s="549"/>
      <c r="G5" s="549"/>
      <c r="H5" s="549"/>
      <c r="I5" s="549"/>
      <c r="J5" s="549"/>
      <c r="K5" s="549"/>
      <c r="L5" s="549"/>
      <c r="M5" s="549"/>
      <c r="N5" s="549"/>
      <c r="O5" s="549"/>
      <c r="P5" s="549"/>
      <c r="Q5" s="549"/>
      <c r="R5" s="549"/>
      <c r="S5" s="550"/>
    </row>
    <row r="6" spans="1:20" ht="8.25" customHeight="1">
      <c r="D6" s="551"/>
      <c r="E6" s="552"/>
      <c r="F6" s="552"/>
      <c r="G6" s="552"/>
      <c r="H6" s="552"/>
      <c r="I6" s="552"/>
      <c r="J6" s="552"/>
      <c r="K6" s="552"/>
      <c r="L6" s="552"/>
      <c r="M6" s="552"/>
      <c r="N6" s="552"/>
      <c r="O6" s="552"/>
      <c r="P6" s="552"/>
      <c r="Q6" s="552"/>
      <c r="R6" s="552"/>
      <c r="S6" s="55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Bahasa Arab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54" t="str">
        <f>menu!D14&amp;menu!E14</f>
        <v>7a</v>
      </c>
      <c r="E9" s="55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55"/>
      <c r="Q9" s="55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56"/>
      <c r="Q10" s="556"/>
      <c r="R10" s="241"/>
      <c r="S10" s="153"/>
    </row>
    <row r="11" spans="1:20">
      <c r="D11" s="152"/>
      <c r="E11" s="152"/>
      <c r="F11" s="152"/>
    </row>
    <row r="12" spans="1:20" s="246" customFormat="1">
      <c r="A12" s="557" t="s">
        <v>262</v>
      </c>
      <c r="B12" s="564" t="s">
        <v>288</v>
      </c>
      <c r="C12" s="557" t="s">
        <v>239</v>
      </c>
      <c r="D12" s="558" t="s">
        <v>35</v>
      </c>
      <c r="E12" s="559"/>
      <c r="F12" s="560"/>
      <c r="G12" s="561" t="s">
        <v>244</v>
      </c>
      <c r="H12" s="562"/>
      <c r="I12" s="56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57"/>
      <c r="B13" s="565"/>
      <c r="C13" s="55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85</v>
      </c>
      <c r="E14" s="227" t="str">
        <f>IF('Input Nilai Pengetahuan'!CR5="","",'Input Nilai Pengetahuan'!CR5)</f>
        <v>B</v>
      </c>
      <c r="F14" s="228" t="str">
        <f>IF('Input Nilai Pengetahuan'!CV5="","",'Input Nilai Pengetahuan'!CV5)</f>
        <v>Memiliki penguasaan semua materi baik,  sudah menguasai pengetahuan bahasa arab 2, dan perlu ditingkatkan dalam pengetahuan bahasa arab 3</v>
      </c>
      <c r="G14" s="227">
        <f>IF('Input Nilai Ketrampilan'!BF5="","",'Input Nilai Ketrampilan'!BF5)</f>
        <v>86</v>
      </c>
      <c r="H14" s="227" t="str">
        <f>IF('Input Nilai Ketrampilan'!BG5="","",'Input Nilai Ketrampilan'!BG5)</f>
        <v>B</v>
      </c>
      <c r="I14" s="228" t="str">
        <f>IF('Input Nilai Ketrampilan'!BK5="","",'Input Nilai Ketrampilan'!BK5)</f>
        <v>terampil ketrampilan bahasa arab 9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70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83</v>
      </c>
      <c r="E15" s="227" t="str">
        <f>IF('Input Nilai Pengetahuan'!CR6="","",'Input Nilai Pengetahuan'!CR6)</f>
        <v>B</v>
      </c>
      <c r="F15" s="228" t="str">
        <f>IF('Input Nilai Pengetahuan'!CV6="","",'Input Nilai Pengetahuan'!CV6)</f>
        <v>Memiliki penguasaan semua materi baik,  sudah menguasai pengetahuan bahasa arab 7, dan perlu ditingkatkan dalam pengetahuan bahasa arab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B</v>
      </c>
      <c r="I15" s="228" t="str">
        <f>IF('Input Nilai Ketrampilan'!BK6="","",'Input Nilai Ketrampilan'!BK6)</f>
        <v>terampil ketrampilan bahasa arab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70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B</v>
      </c>
      <c r="F16" s="228" t="str">
        <f>IF('Input Nilai Pengetahuan'!CV7="","",'Input Nilai Pengetahuan'!CV7)</f>
        <v>Memiliki penguasaan semua materi baik,  sudah menguasai pengetahuan bahasa arab 8, dan perlu ditingkatkan dalam pengetahuan bahasa arab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bahasa arab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70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B</v>
      </c>
      <c r="F17" s="228" t="str">
        <f>IF('Input Nilai Pengetahuan'!CV8="","",'Input Nilai Pengetahuan'!CV8)</f>
        <v>Memiliki penguasaan semua materi baik,  sudah menguasai Menciptakan kebersamaan warga madrasah yang religius melalui perilaku yang ikhlas, mandiri, dan bebas berkreasi, dan perlu ditingkatkan dalam pengetahuan bahasa arab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B</v>
      </c>
      <c r="I17" s="228" t="str">
        <f>IF('Input Nilai Ketrampilan'!BK8="","",'Input Nilai Ketrampilan'!BK8)</f>
        <v>terampil ketrampilan bahasa arab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70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C</v>
      </c>
      <c r="F18" s="228" t="str">
        <f>IF('Input Nilai Pengetahuan'!CV9="","",'Input Nilai Pengetahuan'!CV9)</f>
        <v>Memiliki penguasaan semua materi cukup,  sudah menguasai pengetahuan bahasa arab 7, dan perlu ditingkatkan dalam pengetahuan bahasa arab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C</v>
      </c>
      <c r="I18" s="228" t="str">
        <f>IF('Input Nilai Ketrampilan'!BK9="","",'Input Nilai Ketrampilan'!BK9)</f>
        <v>cukup terampil ketrampilan bahasa arab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70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B</v>
      </c>
      <c r="F19" s="228" t="str">
        <f>IF('Input Nilai Pengetahuan'!CV10="","",'Input Nilai Pengetahuan'!CV10)</f>
        <v>Memiliki penguasaan semua materi baik,  sudah menguasai pengetahuan bahasa arab 2, dan perlu ditingkatkan dalam pengetahuan bahasa arab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B</v>
      </c>
      <c r="I19" s="228" t="str">
        <f>IF('Input Nilai Ketrampilan'!BK10="","",'Input Nilai Ketrampilan'!BK10)</f>
        <v>terampil ketrampilan bahasa arab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70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B</v>
      </c>
      <c r="F20" s="228" t="str">
        <f>IF('Input Nilai Pengetahuan'!CV11="","",'Input Nilai Pengetahuan'!CV11)</f>
        <v>Memiliki penguasaan semua materi baik,  sudah menguasai pengetahuan bahasa arab 4, dan perlu ditingkatkan dalam pengetahuan bahasa arab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B</v>
      </c>
      <c r="I20" s="228" t="str">
        <f>IF('Input Nilai Ketrampilan'!BK11="","",'Input Nilai Ketrampilan'!BK11)</f>
        <v>terampil ketrampilan bahasa arab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70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B</v>
      </c>
      <c r="F21" s="228" t="str">
        <f>IF('Input Nilai Pengetahuan'!CV12="","",'Input Nilai Pengetahuan'!CV12)</f>
        <v>Memiliki penguasaan semua materi baik,  sudah menguasai pengetahuan bahasa arab 4, dan perlu ditingkatkan dalam pengetahuan bahasa arab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B</v>
      </c>
      <c r="I21" s="228" t="str">
        <f>IF('Input Nilai Ketrampilan'!BK12="","",'Input Nilai Ketrampilan'!BK12)</f>
        <v>terampil ketrampilan bahasa arab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70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B</v>
      </c>
      <c r="F22" s="228" t="str">
        <f>IF('Input Nilai Pengetahuan'!CV13="","",'Input Nilai Pengetahuan'!CV13)</f>
        <v>Memiliki penguasaan semua materi baik,  sudah menguasai pengetahuan bahasa arab 4, dan perlu ditingkatkan dalam pengetahuan bahasa arab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B</v>
      </c>
      <c r="I22" s="228" t="str">
        <f>IF('Input Nilai Ketrampilan'!BK13="","",'Input Nilai Ketrampilan'!BK13)</f>
        <v>terampil ketrampilan bahasa arab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70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B</v>
      </c>
      <c r="F23" s="228" t="str">
        <f>IF('Input Nilai Pengetahuan'!CV14="","",'Input Nilai Pengetahuan'!CV14)</f>
        <v>Memiliki penguasaan semua materi baik,  sudah menguasai pengetahuan bahasa arab 7, dan perlu ditingkatkan dalam pengetahuan bahasa arab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B</v>
      </c>
      <c r="I23" s="228" t="str">
        <f>IF('Input Nilai Ketrampilan'!BK14="","",'Input Nilai Ketrampilan'!BK14)</f>
        <v>terampil ketrampilan bahasa arab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70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C</v>
      </c>
      <c r="F24" s="228" t="str">
        <f>IF('Input Nilai Pengetahuan'!CV15="","",'Input Nilai Pengetahuan'!CV15)</f>
        <v>Memiliki penguasaan semua materi cukup,  sudah menguasai Menciptakan kebersamaan warga madrasah yang religius melalui perilaku yang ikhlas, mandiri, dan bebas berkreasi, dan perlu ditingkatkan dalam pengetahuan bahasa arab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C</v>
      </c>
      <c r="I24" s="228" t="str">
        <f>IF('Input Nilai Ketrampilan'!BK15="","",'Input Nilai Ketrampilan'!BK15)</f>
        <v>cukup terampil ketrampilan bahasa arab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70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B</v>
      </c>
      <c r="F25" s="228" t="str">
        <f>IF('Input Nilai Pengetahuan'!CV16="","",'Input Nilai Pengetahuan'!CV16)</f>
        <v>Memiliki penguasaan semua materi baik,  sudah menguasai Menciptakan kebersamaan warga madrasah yang religius melalui perilaku yang ikhlas, mandiri, dan bebas berkreasi, dan perlu ditingkatkan dalam pengetahuan bahasa arab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B</v>
      </c>
      <c r="I25" s="228" t="str">
        <f>IF('Input Nilai Ketrampilan'!BK16="","",'Input Nilai Ketrampilan'!BK16)</f>
        <v>terampil ketrampilan bahasa arab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70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B</v>
      </c>
      <c r="F26" s="228" t="str">
        <f>IF('Input Nilai Pengetahuan'!CV17="","",'Input Nilai Pengetahuan'!CV17)</f>
        <v>Memiliki penguasaan semua materi baik,  sudah menguasai pengetahuan bahasa arab 2, dan perlu ditingkatkan dalam pengetahuan bahasa arab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B</v>
      </c>
      <c r="I26" s="228" t="str">
        <f>IF('Input Nilai Ketrampilan'!BK17="","",'Input Nilai Ketrampilan'!BK17)</f>
        <v>terampil ketrampilan bahasa arab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70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B</v>
      </c>
      <c r="F27" s="228" t="str">
        <f>IF('Input Nilai Pengetahuan'!CV18="","",'Input Nilai Pengetahuan'!CV18)</f>
        <v>Memiliki penguasaan semua materi baik,  sudah menguasai pengetahuan bahasa arab 8, dan perlu ditingkatkan dalam pengetahuan bahasa arab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B</v>
      </c>
      <c r="I27" s="228" t="str">
        <f>IF('Input Nilai Ketrampilan'!BK18="","",'Input Nilai Ketrampilan'!BK18)</f>
        <v>terampil ketrampilan bahasa arab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70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B</v>
      </c>
      <c r="F28" s="228" t="str">
        <f>IF('Input Nilai Pengetahuan'!CV19="","",'Input Nilai Pengetahuan'!CV19)</f>
        <v>Memiliki penguasaan semua materi baik,  sudah menguasai Menciptakan kebersamaan warga madrasah yang religius melalui perilaku yang ikhlas, mandiri, dan bebas berkreasi, dan perlu ditingkatkan dalam pengetahuan bahasa arab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B</v>
      </c>
      <c r="I28" s="228" t="str">
        <f>IF('Input Nilai Ketrampilan'!BK19="","",'Input Nilai Ketrampilan'!BK19)</f>
        <v>terampil ketrampilan bahasa arab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70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B</v>
      </c>
      <c r="F29" s="228" t="str">
        <f>IF('Input Nilai Pengetahuan'!CV20="","",'Input Nilai Pengetahuan'!CV20)</f>
        <v>Memiliki penguasaan semua materi baik,  sudah menguasai pengetahuan bahasa arab 4, dan perlu ditingkatkan dalam pengetahuan bahasa arab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B</v>
      </c>
      <c r="I29" s="228" t="str">
        <f>IF('Input Nilai Ketrampilan'!BK20="","",'Input Nilai Ketrampilan'!BK20)</f>
        <v>terampil ketrampilan bahasa arab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70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B</v>
      </c>
      <c r="F30" s="228" t="str">
        <f>IF('Input Nilai Pengetahuan'!CV21="","",'Input Nilai Pengetahuan'!CV21)</f>
        <v>Memiliki penguasaan semua materi baik,  sudah menguasai Menciptakan kebersamaan warga madrasah yang religius melalui perilaku yang ikhlas, mandiri, dan bebas berkreasi, dan perlu ditingkatkan dalam pengetahuan bahasa arab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B</v>
      </c>
      <c r="I30" s="228" t="str">
        <f>IF('Input Nilai Ketrampilan'!BK21="","",'Input Nilai Ketrampilan'!BK21)</f>
        <v>terampil ketrampilan bahasa arab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70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B</v>
      </c>
      <c r="F31" s="228" t="str">
        <f>IF('Input Nilai Pengetahuan'!CV22="","",'Input Nilai Pengetahuan'!CV22)</f>
        <v>Memiliki penguasaan semua materi baik,  sudah menguasai pengetahuan bahasa arab 8, dan perlu ditingkatkan dalam pengetahuan bahasa arab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B</v>
      </c>
      <c r="I31" s="228" t="str">
        <f>IF('Input Nilai Ketrampilan'!BK22="","",'Input Nilai Ketrampilan'!BK22)</f>
        <v>terampil ketrampilan bahasa arab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70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B</v>
      </c>
      <c r="F32" s="228" t="str">
        <f>IF('Input Nilai Pengetahuan'!CV23="","",'Input Nilai Pengetahuan'!CV23)</f>
        <v>Memiliki penguasaan semua materi baik,  sudah menguasai pengetahuan bahasa arab 4, dan perlu ditingkatkan dalam pengetahuan bahasa arab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C</v>
      </c>
      <c r="I32" s="228" t="str">
        <f>IF('Input Nilai Ketrampilan'!BK23="","",'Input Nilai Ketrampilan'!BK23)</f>
        <v>cukup terampil ketrampilan bahasa arab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70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B</v>
      </c>
      <c r="F33" s="228" t="str">
        <f>IF('Input Nilai Pengetahuan'!CV24="","",'Input Nilai Pengetahuan'!CV24)</f>
        <v>Memiliki penguasaan semua materi baik,  sudah menguasai pengetahuan bahasa arab 7, dan perlu ditingkatkan dalam pengetahuan bahasa arab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B</v>
      </c>
      <c r="I33" s="228" t="str">
        <f>IF('Input Nilai Ketrampilan'!BK24="","",'Input Nilai Ketrampilan'!BK24)</f>
        <v>terampil ketrampilan bahasa arab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70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B</v>
      </c>
      <c r="F34" s="228" t="str">
        <f>IF('Input Nilai Pengetahuan'!CV25="","",'Input Nilai Pengetahuan'!CV25)</f>
        <v>Memiliki penguasaan semua materi baik,  sudah menguasai Menciptakan kebersamaan warga madrasah yang religius melalui perilaku yang ikhlas, mandiri, dan bebas berkreasi, dan perlu ditingkatkan dalam pengetahuan bahasa arab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B</v>
      </c>
      <c r="I34" s="228" t="str">
        <f>IF('Input Nilai Ketrampilan'!BK25="","",'Input Nilai Ketrampilan'!BK25)</f>
        <v>terampil ketrampilan bahasa arab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70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B</v>
      </c>
      <c r="F35" s="228" t="str">
        <f>IF('Input Nilai Pengetahuan'!CV26="","",'Input Nilai Pengetahuan'!CV26)</f>
        <v>Memiliki penguasaan semua materi baik,  sudah menguasai pengetahuan bahasa arab 7, dan perlu ditingkatkan dalam pengetahuan bahasa arab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bahasa arab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70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B</v>
      </c>
      <c r="F36" s="228" t="str">
        <f>IF('Input Nilai Pengetahuan'!CV27="","",'Input Nilai Pengetahuan'!CV27)</f>
        <v>Memiliki penguasaan semua materi baik,  sudah menguasai pengetahuan bahasa arab 4, dan perlu ditingkatkan dalam pengetahuan bahasa arab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B</v>
      </c>
      <c r="I36" s="228" t="str">
        <f>IF('Input Nilai Ketrampilan'!BK27="","",'Input Nilai Ketrampilan'!BK27)</f>
        <v>terampil ketrampilan bahasa arab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70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B</v>
      </c>
      <c r="F37" s="228" t="str">
        <f>IF('Input Nilai Pengetahuan'!CV28="","",'Input Nilai Pengetahuan'!CV28)</f>
        <v>Memiliki penguasaan semua materi baik,  sudah menguasai Menciptakan kebersamaan warga madrasah yang religius melalui perilaku yang ikhlas, mandiri, dan bebas berkreasi, dan perlu ditingkatkan dalam pengetahuan bahasa arab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B</v>
      </c>
      <c r="I37" s="228" t="str">
        <f>IF('Input Nilai Ketrampilan'!BK28="","",'Input Nilai Ketrampilan'!BK28)</f>
        <v>terampil ketrampilan bahasa arab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70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B</v>
      </c>
      <c r="F38" s="228" t="str">
        <f>IF('Input Nilai Pengetahuan'!CV29="","",'Input Nilai Pengetahuan'!CV29)</f>
        <v xml:space="preserve"> Memiliki penguasaan materi sudah baik dalam pengetahuan bahasa arab 8, dan lebih ditingkatkan dalam pengetahuan bahasa arab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B</v>
      </c>
      <c r="I38" s="228" t="str">
        <f>IF('Input Nilai Ketrampilan'!BK29="","",'Input Nilai Ketrampilan'!BK29)</f>
        <v>terampil ketrampilan bahasa arab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70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B</v>
      </c>
      <c r="F39" s="228" t="str">
        <f>IF('Input Nilai Pengetahuan'!CV30="","",'Input Nilai Pengetahuan'!CV30)</f>
        <v>Memiliki penguasaan semua materi baik,  sudah menguasai pengetahuan bahasa arab 4, dan perlu ditingkatkan dalam pengetahuan bahasa arab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B</v>
      </c>
      <c r="I39" s="228" t="str">
        <f>IF('Input Nilai Ketrampilan'!BK30="","",'Input Nilai Ketrampilan'!BK30)</f>
        <v>terampil ketrampilan bahasa arab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70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bahasa arab 4, dan perlu ditingkatkan dalam pengetahuan bahasa arab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bahasa arab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70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B</v>
      </c>
      <c r="F41" s="228" t="str">
        <f>IF('Input Nilai Pengetahuan'!CV32="","",'Input Nilai Pengetahuan'!CV32)</f>
        <v>Memiliki penguasaan semua materi baik,  sudah menguasai Menciptakan kebersamaan warga madrasah yang religius melalui perilaku yang ikhlas, mandiri, dan bebas berkreasi, dan perlu ditingkatkan dalam pengetahuan bahasa arab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B</v>
      </c>
      <c r="I41" s="228" t="str">
        <f>IF('Input Nilai Ketrampilan'!BK32="","",'Input Nilai Ketrampilan'!BK32)</f>
        <v>terampil ketrampilan bahasa arab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70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B</v>
      </c>
      <c r="F42" s="228" t="str">
        <f>IF('Input Nilai Pengetahuan'!CV33="","",'Input Nilai Pengetahuan'!CV33)</f>
        <v>Memiliki penguasaan semua materi baik,  sudah menguasai pengetahuan bahasa arab 8, dan perlu ditingkatkan dalam pengetahuan bahasa arab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bahasa arab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70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B</v>
      </c>
      <c r="F43" s="228" t="str">
        <f>IF('Input Nilai Pengetahuan'!CV34="","",'Input Nilai Pengetahuan'!CV34)</f>
        <v>Memiliki penguasaan semua materi baik,  sudah menguasai pengetahuan bahasa arab 8, dan perlu ditingkatkan dalam pengetahuan bahasa arab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B</v>
      </c>
      <c r="I43" s="228" t="str">
        <f>IF('Input Nilai Ketrampilan'!BK34="","",'Input Nilai Ketrampilan'!BK34)</f>
        <v>terampil ketrampilan bahasa arab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70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bahasa arab 2, dan perlu ditingkatkan dalam pengetahuan bahasa arab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bahasa arab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70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B</v>
      </c>
      <c r="F45" s="228" t="str">
        <f>IF('Input Nilai Pengetahuan'!CV36="","",'Input Nilai Pengetahuan'!CV36)</f>
        <v>Memiliki penguasaan semua materi baik,  sudah menguasai pengetahuan bahasa arab 4, dan perlu ditingkatkan dalam pengetahuan bahasa arab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B</v>
      </c>
      <c r="I45" s="228" t="str">
        <f>IF('Input Nilai Ketrampilan'!BK36="","",'Input Nilai Ketrampilan'!BK36)</f>
        <v>terampil ketrampilan bahasa arab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70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B</v>
      </c>
      <c r="F46" s="228" t="str">
        <f>IF('Input Nilai Pengetahuan'!CV37="","",'Input Nilai Pengetahuan'!CV37)</f>
        <v>Memiliki penguasaan semua materi baik,  sudah menguasai Menciptakan kebersamaan warga madrasah yang religius melalui perilaku yang ikhlas, mandiri, dan bebas berkreasi, dan perlu ditingkatkan dalam pengetahuan bahasa arab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bahasa arab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70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bahasa arab 8, dan perlu ditingkatkan dalam pengetahuan bahasa arab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C</v>
      </c>
      <c r="I47" s="228" t="str">
        <f>IF('Input Nilai Ketrampilan'!BK38="","",'Input Nilai Ketrampilan'!BK38)</f>
        <v>cukup terampil ketrampilan bahasa arab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70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B</v>
      </c>
      <c r="F48" s="228" t="str">
        <f>IF('Input Nilai Pengetahuan'!CV39="","",'Input Nilai Pengetahuan'!CV39)</f>
        <v>Memiliki penguasaan semua materi baik,  sudah menguasai pengetahuan bahasa arab 4, dan perlu ditingkatkan dalam pengetahuan bahasa arab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B</v>
      </c>
      <c r="I48" s="228" t="str">
        <f>IF('Input Nilai Ketrampilan'!BK39="","",'Input Nilai Ketrampilan'!BK39)</f>
        <v>terampil ketrampilan bahasa arab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70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B</v>
      </c>
      <c r="F49" s="228" t="str">
        <f>IF('Input Nilai Pengetahuan'!CV40="","",'Input Nilai Pengetahuan'!CV40)</f>
        <v>Memiliki penguasaan semua materi baik,  sudah menguasai Menciptakan kebersamaan warga madrasah yang religius melalui perilaku yang ikhlas, mandiri, dan bebas berkreasi, dan perlu ditingkatkan dalam pengetahuan bahasa arab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C</v>
      </c>
      <c r="I49" s="228" t="str">
        <f>IF('Input Nilai Ketrampilan'!BK40="","",'Input Nilai Ketrampilan'!BK40)</f>
        <v>cukup terampil ketrampilan bahasa arab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70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bahasa arab 3, dan perlu ditingkatkan dalam pengetahuan bahasa arab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bahasa arab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70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B</v>
      </c>
      <c r="F51" s="228" t="str">
        <f>IF('Input Nilai Pengetahuan'!CV42="","",'Input Nilai Pengetahuan'!CV42)</f>
        <v>Memiliki penguasaan semua materi baik,  sudah menguasai pengetahuan bahasa arab 8, dan perlu ditingkatkan dalam pengetahuan bahasa arab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B</v>
      </c>
      <c r="I51" s="228" t="str">
        <f>IF('Input Nilai Ketrampilan'!BK42="","",'Input Nilai Ketrampilan'!BK42)</f>
        <v>cukup terampil ketrampilan bahasa arab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70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B</v>
      </c>
      <c r="F52" s="228" t="str">
        <f>IF('Input Nilai Pengetahuan'!CV43="","",'Input Nilai Pengetahuan'!CV43)</f>
        <v>Memiliki penguasaan semua materi baik,  sudah menguasai pengetahuan bahasa arab 4, dan perlu ditingkatkan dalam pengetahuan bahasa arab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terampil ketrampilan bahasa arab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70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B</v>
      </c>
      <c r="F53" s="228" t="str">
        <f>IF('Input Nilai Pengetahuan'!CV44="","",'Input Nilai Pengetahuan'!CV44)</f>
        <v>Memiliki penguasaan semua materi baik,  sudah menguasai pengetahuan bahasa arab 2, dan perlu ditingkatkan dalam pengetahuan bahasa arab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B</v>
      </c>
      <c r="I53" s="228" t="str">
        <f>IF('Input Nilai Ketrampilan'!BK44="","",'Input Nilai Ketrampilan'!BK44)</f>
        <v>terampil ketrampilan bahasa arab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70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B</v>
      </c>
      <c r="F54" s="228" t="str">
        <f>IF('Input Nilai Pengetahuan'!CV45="","",'Input Nilai Pengetahuan'!CV45)</f>
        <v>Memiliki penguasaan semua materi baik,  sudah menguasai Menciptakan kebersamaan warga madrasah yang religius melalui perilaku yang ikhlas, mandiri, dan bebas berkreasi, dan perlu ditingkatkan dalam pengetahuan bahasa arab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B</v>
      </c>
      <c r="I54" s="228" t="str">
        <f>IF('Input Nilai Ketrampilan'!BK45="","",'Input Nilai Ketrampilan'!BK45)</f>
        <v>terampil ketrampilan bahasa arab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70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B</v>
      </c>
      <c r="F55" s="228" t="str">
        <f>IF('Input Nilai Pengetahuan'!CV46="","",'Input Nilai Pengetahuan'!CV46)</f>
        <v>Memiliki penguasaan semua materi baik,  sudah menguasai pengetahuan bahasa arab 4, dan perlu ditingkatkan dalam pengetahuan bahasa arab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B</v>
      </c>
      <c r="I55" s="228" t="str">
        <f>IF('Input Nilai Ketrampilan'!BK46="","",'Input Nilai Ketrampilan'!BK46)</f>
        <v>terampil ketrampilan bahasa arab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70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B</v>
      </c>
      <c r="F56" s="228" t="str">
        <f>IF('Input Nilai Pengetahuan'!CV47="","",'Input Nilai Pengetahuan'!CV47)</f>
        <v>Memiliki penguasaan semua materi baik,  sudah menguasai pengetahuan bahasa arab 4, dan perlu ditingkatkan dalam pengetahuan bahasa arab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B</v>
      </c>
      <c r="I56" s="228" t="str">
        <f>IF('Input Nilai Ketrampilan'!BK47="","",'Input Nilai Ketrampilan'!BK47)</f>
        <v>terampil ketrampilan bahasa arab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70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B</v>
      </c>
      <c r="F57" s="228" t="str">
        <f>IF('Input Nilai Pengetahuan'!CV48="","",'Input Nilai Pengetahuan'!CV48)</f>
        <v>Memiliki penguasaan semua materi baik,  sudah menguasai pengetahuan bahasa arab 2, dan perlu ditingkatkan dalam pengetahuan bahasa arab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B</v>
      </c>
      <c r="I57" s="228" t="str">
        <f>IF('Input Nilai Ketrampilan'!BK48="","",'Input Nilai Ketrampilan'!BK48)</f>
        <v>terampil ketrampilan bahasa arab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70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B</v>
      </c>
      <c r="F58" s="228" t="str">
        <f>IF('Input Nilai Pengetahuan'!CV49="","",'Input Nilai Pengetahuan'!CV49)</f>
        <v>Memiliki penguasaan semua materi baik,  sudah menguasai pengetahuan bahasa arab 8, dan perlu ditingkatkan dalam pengetahuan bahasa arab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B</v>
      </c>
      <c r="I58" s="228" t="str">
        <f>IF('Input Nilai Ketrampilan'!BK49="","",'Input Nilai Ketrampilan'!BK49)</f>
        <v>terampil ketrampilan bahasa arab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70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B</v>
      </c>
      <c r="F59" s="228" t="str">
        <f>IF('Input Nilai Pengetahuan'!CV50="","",'Input Nilai Pengetahuan'!CV50)</f>
        <v>Memiliki penguasaan semua materi baik,  sudah menguasai pengetahuan bahasa arab 4, dan perlu ditingkatkan dalam pengetahuan bahasa arab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B</v>
      </c>
      <c r="I59" s="228" t="str">
        <f>IF('Input Nilai Ketrampilan'!BK50="","",'Input Nilai Ketrampilan'!BK50)</f>
        <v>terampil ketrampilan bahasa arab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70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B</v>
      </c>
      <c r="F60" s="228" t="str">
        <f>IF('Input Nilai Pengetahuan'!CV51="","",'Input Nilai Pengetahuan'!CV51)</f>
        <v>Memiliki penguasaan semua materi baik,  sudah menguasai pengetahuan bahasa arab 4, dan perlu ditingkatkan dalam pengetahuan bahasa arab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B</v>
      </c>
      <c r="I60" s="228" t="str">
        <f>IF('Input Nilai Ketrampilan'!BK51="","",'Input Nilai Ketrampilan'!BK51)</f>
        <v>terampil ketrampilan bahasa arab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70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B</v>
      </c>
      <c r="F61" s="228" t="str">
        <f>IF('Input Nilai Pengetahuan'!CV52="","",'Input Nilai Pengetahuan'!CV52)</f>
        <v>Memiliki penguasaan semua materi baik,  sudah menguasai pengetahuan bahasa arab 2, dan perlu ditingkatkan dalam pengetahuan bahasa arab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B</v>
      </c>
      <c r="I61" s="228" t="str">
        <f>IF('Input Nilai Ketrampilan'!BK52="","",'Input Nilai Ketrampilan'!BK52)</f>
        <v>terampil ketrampilan bahasa arab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70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4C3" sheet="1" objects="1" scenarios="1" formatCells="0" formatColumns="0" formatRows="0" insertColumns="0" insertRows="0" insertHyperlinks="0" deleteColumns="0" deleteRows="0"/>
  <mergeCells count="14">
    <mergeCell ref="T12:T13"/>
    <mergeCell ref="P10:Q10"/>
    <mergeCell ref="A12:A13"/>
    <mergeCell ref="C12:C13"/>
    <mergeCell ref="D12:F12"/>
    <mergeCell ref="G12:I12"/>
    <mergeCell ref="B12:B13"/>
    <mergeCell ref="J12:K12"/>
    <mergeCell ref="D1:S1"/>
    <mergeCell ref="D2:S2"/>
    <mergeCell ref="D3:S3"/>
    <mergeCell ref="D4:S6"/>
    <mergeCell ref="D9:E9"/>
    <mergeCell ref="P9:Q9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Bahasa Arab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F4:L4"/>
    <mergeCell ref="M4:M6"/>
    <mergeCell ref="N4:T4"/>
    <mergeCell ref="U4:U6"/>
    <mergeCell ref="F5:L5"/>
    <mergeCell ref="N5:T5"/>
    <mergeCell ref="A4:A6"/>
    <mergeCell ref="B4:B6"/>
    <mergeCell ref="C4:C6"/>
    <mergeCell ref="D4:D6"/>
    <mergeCell ref="E4:E6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50" zoomScaleNormal="150" workbookViewId="0">
      <pane xSplit="5" ySplit="4" topLeftCell="F5" activePane="bottomRight" state="frozen"/>
      <selection pane="topRight" activeCell="F1" sqref="F1"/>
      <selection pane="bottomLeft" activeCell="A6" sqref="A6"/>
      <selection pane="bottomRight" activeCell="AE5" sqref="AE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89" t="s">
        <v>15</v>
      </c>
      <c r="B1" s="589" t="s">
        <v>16</v>
      </c>
      <c r="C1" s="597" t="s">
        <v>0</v>
      </c>
      <c r="D1" s="598" t="s">
        <v>1</v>
      </c>
      <c r="E1" s="592" t="s">
        <v>17</v>
      </c>
      <c r="F1" s="599" t="str">
        <f>IF(KDOKE!B11="","",KDOKE!B11)</f>
        <v>Menciptakan kebersamaan warga madrasah yang religius melalui perilaku yang ikhlas, mandiri, dan bebas berkreasi</v>
      </c>
      <c r="G1" s="599"/>
      <c r="H1" s="599"/>
      <c r="I1" s="599"/>
      <c r="J1" s="599"/>
      <c r="K1" s="599"/>
      <c r="L1" s="599"/>
      <c r="M1" s="596" t="s">
        <v>436</v>
      </c>
      <c r="N1" s="600" t="str">
        <f>IF(KDOKE!B12="","",KDOKE!B12)</f>
        <v>pengetahuan bahasa arab 2</v>
      </c>
      <c r="O1" s="600"/>
      <c r="P1" s="600"/>
      <c r="Q1" s="600"/>
      <c r="R1" s="600"/>
      <c r="S1" s="600"/>
      <c r="T1" s="600"/>
      <c r="U1" s="596" t="s">
        <v>437</v>
      </c>
      <c r="V1" s="601" t="str">
        <f>IF(KDOKE!B13="","",KDOKE!B13)</f>
        <v>pengetahuan bahasa arab 3</v>
      </c>
      <c r="W1" s="601"/>
      <c r="X1" s="601"/>
      <c r="Y1" s="601"/>
      <c r="Z1" s="601"/>
      <c r="AA1" s="601"/>
      <c r="AB1" s="601"/>
      <c r="AC1" s="596" t="s">
        <v>438</v>
      </c>
      <c r="AD1" s="615" t="str">
        <f>IF(KDOKE!B14="","",KDOKE!B14)</f>
        <v>pengetahuan bahasa arab 4</v>
      </c>
      <c r="AE1" s="615"/>
      <c r="AF1" s="615"/>
      <c r="AG1" s="615"/>
      <c r="AH1" s="615"/>
      <c r="AI1" s="615"/>
      <c r="AJ1" s="615"/>
      <c r="AK1" s="596" t="s">
        <v>439</v>
      </c>
      <c r="AL1" s="602" t="str">
        <f>IF(KDOKE!B15="","",KDOKE!B15)</f>
        <v>pengetahuan bahasa arab 5</v>
      </c>
      <c r="AM1" s="602"/>
      <c r="AN1" s="602"/>
      <c r="AO1" s="602"/>
      <c r="AP1" s="602"/>
      <c r="AQ1" s="602"/>
      <c r="AR1" s="602"/>
      <c r="AS1" s="596" t="s">
        <v>440</v>
      </c>
      <c r="AT1" s="611" t="str">
        <f>IF(KDOKE!B16="","",KDOKE!B16)</f>
        <v>pengetahuan bahasa arab 6</v>
      </c>
      <c r="AU1" s="611"/>
      <c r="AV1" s="611"/>
      <c r="AW1" s="611"/>
      <c r="AX1" s="611"/>
      <c r="AY1" s="611"/>
      <c r="AZ1" s="611"/>
      <c r="BA1" s="596" t="s">
        <v>441</v>
      </c>
      <c r="BB1" s="595" t="str">
        <f>IF(KDOKE!B17="","",KDOKE!B17)</f>
        <v>pengetahuan bahasa arab 7</v>
      </c>
      <c r="BC1" s="595"/>
      <c r="BD1" s="595"/>
      <c r="BE1" s="595"/>
      <c r="BF1" s="595"/>
      <c r="BG1" s="595"/>
      <c r="BH1" s="595"/>
      <c r="BI1" s="596" t="s">
        <v>442</v>
      </c>
      <c r="BJ1" s="607" t="str">
        <f>IF(KDOKE!B18="","",KDOKE!B18)</f>
        <v>pengetahuan bahasa arab 8</v>
      </c>
      <c r="BK1" s="607"/>
      <c r="BL1" s="607"/>
      <c r="BM1" s="607"/>
      <c r="BN1" s="607"/>
      <c r="BO1" s="607"/>
      <c r="BP1" s="607"/>
      <c r="BQ1" s="596" t="s">
        <v>443</v>
      </c>
      <c r="BR1" s="610" t="str">
        <f>IF(KDOKE!B19="","",KDOKE!B19)</f>
        <v>pengetahuan bahasa arab 9</v>
      </c>
      <c r="BS1" s="610"/>
      <c r="BT1" s="610"/>
      <c r="BU1" s="610"/>
      <c r="BV1" s="610"/>
      <c r="BW1" s="610"/>
      <c r="BX1" s="610"/>
      <c r="BY1" s="596" t="s">
        <v>444</v>
      </c>
      <c r="BZ1" s="611" t="str">
        <f>IF(KDOKE!B20="","",KDOKE!B20)</f>
        <v>pengetahuan bahasa arab 10</v>
      </c>
      <c r="CA1" s="611"/>
      <c r="CB1" s="611"/>
      <c r="CC1" s="611"/>
      <c r="CD1" s="611"/>
      <c r="CE1" s="611"/>
      <c r="CF1" s="611"/>
      <c r="CG1" s="596" t="s">
        <v>445</v>
      </c>
      <c r="CH1" s="606" t="s">
        <v>27</v>
      </c>
      <c r="CI1" s="568" t="s">
        <v>323</v>
      </c>
      <c r="CJ1" s="612" t="s">
        <v>322</v>
      </c>
      <c r="CK1" s="92" t="s">
        <v>448</v>
      </c>
      <c r="CL1" s="603" t="s">
        <v>450</v>
      </c>
      <c r="CM1" s="580" t="s">
        <v>429</v>
      </c>
      <c r="CN1" s="581"/>
      <c r="CO1" s="582"/>
      <c r="CP1" s="571" t="s">
        <v>435</v>
      </c>
      <c r="CQ1" s="571" t="s">
        <v>433</v>
      </c>
      <c r="CR1" s="571" t="s">
        <v>434</v>
      </c>
      <c r="CS1" s="571" t="s">
        <v>394</v>
      </c>
      <c r="CT1" s="578" t="s">
        <v>303</v>
      </c>
      <c r="CU1" s="579"/>
      <c r="CV1" s="574" t="s">
        <v>324</v>
      </c>
      <c r="CW1" s="586" t="s">
        <v>325</v>
      </c>
      <c r="CX1" s="583" t="s">
        <v>326</v>
      </c>
    </row>
    <row r="2" spans="1:102" ht="18.75" customHeight="1">
      <c r="A2" s="590"/>
      <c r="B2" s="590"/>
      <c r="C2" s="597"/>
      <c r="D2" s="598"/>
      <c r="E2" s="593"/>
      <c r="F2" s="602">
        <f>IF(KDOKE!A11="","",KDOKE!A11)</f>
        <v>31</v>
      </c>
      <c r="G2" s="602"/>
      <c r="H2" s="602"/>
      <c r="I2" s="602"/>
      <c r="J2" s="602"/>
      <c r="K2" s="602"/>
      <c r="L2" s="602"/>
      <c r="M2" s="596"/>
      <c r="N2" s="600">
        <f>IF(KDOKE!A12="","",KDOKE!A12)</f>
        <v>32</v>
      </c>
      <c r="O2" s="600"/>
      <c r="P2" s="600"/>
      <c r="Q2" s="600"/>
      <c r="R2" s="600"/>
      <c r="S2" s="600"/>
      <c r="T2" s="600"/>
      <c r="U2" s="596"/>
      <c r="V2" s="601">
        <f>IF(KDOKE!A13="","",KDOKE!A13)</f>
        <v>33</v>
      </c>
      <c r="W2" s="601"/>
      <c r="X2" s="601"/>
      <c r="Y2" s="601"/>
      <c r="Z2" s="601"/>
      <c r="AA2" s="601"/>
      <c r="AB2" s="601"/>
      <c r="AC2" s="596"/>
      <c r="AD2" s="615">
        <f>IF(KDOKE!A14="","",KDOKE!A14)</f>
        <v>34</v>
      </c>
      <c r="AE2" s="615"/>
      <c r="AF2" s="615"/>
      <c r="AG2" s="615"/>
      <c r="AH2" s="615"/>
      <c r="AI2" s="615"/>
      <c r="AJ2" s="615"/>
      <c r="AK2" s="596"/>
      <c r="AL2" s="602">
        <f>IF(KDOKE!A15="","",KDOKE!A15)</f>
        <v>35</v>
      </c>
      <c r="AM2" s="602"/>
      <c r="AN2" s="602"/>
      <c r="AO2" s="602"/>
      <c r="AP2" s="602"/>
      <c r="AQ2" s="602"/>
      <c r="AR2" s="602"/>
      <c r="AS2" s="596"/>
      <c r="AT2" s="611">
        <f>IF(KDOKE!A16="","",KDOKE!A16)</f>
        <v>36</v>
      </c>
      <c r="AU2" s="611"/>
      <c r="AV2" s="611"/>
      <c r="AW2" s="611"/>
      <c r="AX2" s="611"/>
      <c r="AY2" s="611"/>
      <c r="AZ2" s="611"/>
      <c r="BA2" s="596"/>
      <c r="BB2" s="595">
        <f>IF(KDOKE!A17="","",KDOKE!A17)</f>
        <v>37</v>
      </c>
      <c r="BC2" s="595"/>
      <c r="BD2" s="595"/>
      <c r="BE2" s="595"/>
      <c r="BF2" s="595"/>
      <c r="BG2" s="595"/>
      <c r="BH2" s="595"/>
      <c r="BI2" s="596"/>
      <c r="BJ2" s="607">
        <f>IF(KDOKE!A18="","",KDOKE!A18)</f>
        <v>38</v>
      </c>
      <c r="BK2" s="607"/>
      <c r="BL2" s="607"/>
      <c r="BM2" s="607"/>
      <c r="BN2" s="607"/>
      <c r="BO2" s="607"/>
      <c r="BP2" s="607"/>
      <c r="BQ2" s="596"/>
      <c r="BR2" s="610">
        <f>IF(KDOKE!A19="","",KDOKE!A19)</f>
        <v>39</v>
      </c>
      <c r="BS2" s="610"/>
      <c r="BT2" s="610"/>
      <c r="BU2" s="610"/>
      <c r="BV2" s="610"/>
      <c r="BW2" s="610"/>
      <c r="BX2" s="610"/>
      <c r="BY2" s="596"/>
      <c r="BZ2" s="611">
        <f>IF(KDOKE!A20="","",KDOKE!A20)</f>
        <v>310</v>
      </c>
      <c r="CA2" s="611"/>
      <c r="CB2" s="611"/>
      <c r="CC2" s="611"/>
      <c r="CD2" s="611"/>
      <c r="CE2" s="611"/>
      <c r="CF2" s="611"/>
      <c r="CG2" s="596"/>
      <c r="CH2" s="606"/>
      <c r="CI2" s="569"/>
      <c r="CJ2" s="613"/>
      <c r="CK2" s="608" t="s">
        <v>449</v>
      </c>
      <c r="CL2" s="604"/>
      <c r="CM2" s="307" t="s">
        <v>430</v>
      </c>
      <c r="CN2" s="307" t="s">
        <v>431</v>
      </c>
      <c r="CO2" s="307" t="s">
        <v>432</v>
      </c>
      <c r="CP2" s="572"/>
      <c r="CQ2" s="572"/>
      <c r="CR2" s="572"/>
      <c r="CS2" s="572"/>
      <c r="CT2" s="577">
        <f>menu!R1</f>
        <v>70</v>
      </c>
      <c r="CU2" s="577"/>
      <c r="CV2" s="575"/>
      <c r="CW2" s="587"/>
      <c r="CX2" s="584"/>
    </row>
    <row r="3" spans="1:102" s="97" customFormat="1" ht="81" customHeight="1">
      <c r="A3" s="591"/>
      <c r="B3" s="591"/>
      <c r="C3" s="597"/>
      <c r="D3" s="598"/>
      <c r="E3" s="594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96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96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96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96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96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96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96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96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96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96"/>
      <c r="CH3" s="606"/>
      <c r="CI3" s="570"/>
      <c r="CJ3" s="614"/>
      <c r="CK3" s="609"/>
      <c r="CL3" s="605"/>
      <c r="CM3" s="306">
        <v>2</v>
      </c>
      <c r="CN3" s="306">
        <v>1</v>
      </c>
      <c r="CO3" s="306">
        <v>1</v>
      </c>
      <c r="CP3" s="573"/>
      <c r="CQ3" s="573"/>
      <c r="CR3" s="573"/>
      <c r="CS3" s="573"/>
      <c r="CT3" s="396" t="s">
        <v>484</v>
      </c>
      <c r="CU3" s="224" t="s">
        <v>485</v>
      </c>
      <c r="CV3" s="576"/>
      <c r="CW3" s="588"/>
      <c r="CX3" s="585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45</v>
      </c>
      <c r="G5" s="100"/>
      <c r="H5" s="100"/>
      <c r="I5" s="353"/>
      <c r="J5" s="310">
        <f>IF(AND(F5="",G5="",H5="",I5=""),"",AVERAGE(F5:I5))</f>
        <v>45</v>
      </c>
      <c r="K5" s="353">
        <v>67</v>
      </c>
      <c r="L5" s="100">
        <v>90</v>
      </c>
      <c r="M5" s="319">
        <f>IF(AND(F5="",G5="",H5="",I5=""),"",IF(AND(K5="",L5=""),J5,MAX(J5:L5)))</f>
        <v>90</v>
      </c>
      <c r="N5" s="353"/>
      <c r="O5" s="100">
        <v>98</v>
      </c>
      <c r="P5" s="100"/>
      <c r="Q5" s="353"/>
      <c r="R5" s="310">
        <f>IF(AND(N5="",O5="",P5="",Q5=""),"",AVERAGE(N5:Q5))</f>
        <v>98</v>
      </c>
      <c r="S5" s="353"/>
      <c r="T5" s="100"/>
      <c r="U5" s="319">
        <f>IF(AND(N5="",O5="",P5="",Q5=""),"",IF(AND(S5="",T5=""),R5,MAX(R5:T5)))</f>
        <v>98</v>
      </c>
      <c r="V5" s="353"/>
      <c r="W5" s="100"/>
      <c r="X5" s="100"/>
      <c r="Y5" s="353">
        <v>60</v>
      </c>
      <c r="Z5" s="310">
        <f>IF(AND(V5="",W5="",X5="",Y5=""),"",AVERAGE(V5:Y5))</f>
        <v>60</v>
      </c>
      <c r="AA5" s="100"/>
      <c r="AB5" s="100"/>
      <c r="AC5" s="319">
        <f>IF(AND(V5="",W5="",X5="",Y5=""),"",IF(AND(AA5="",AB5=""),Z5,MAX(Z5:AB5)))</f>
        <v>60</v>
      </c>
      <c r="AD5" s="353"/>
      <c r="AE5" s="100">
        <v>91</v>
      </c>
      <c r="AF5" s="100"/>
      <c r="AG5" s="353"/>
      <c r="AH5" s="310">
        <f>IF(AND(AD5="",AE5="",AF5="",AG5=""),"",AVERAGE(AD5:AG5))</f>
        <v>91</v>
      </c>
      <c r="AI5" s="100"/>
      <c r="AJ5" s="100"/>
      <c r="AK5" s="319">
        <f>IF(AND(AD5="",AE5="",AF5="",AG5=""),"",IF(AND(AI5="",AJ5=""),AH5,MAX(AH5:AJ5)))</f>
        <v>91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87</v>
      </c>
      <c r="AU5" s="100"/>
      <c r="AV5" s="100"/>
      <c r="AW5" s="90"/>
      <c r="AX5" s="310">
        <f>IF(AND(AT5="",AU5="",AV5="",AW5=""),"",AVERAGE(AT5:AW5))</f>
        <v>87</v>
      </c>
      <c r="AY5" s="100"/>
      <c r="AZ5" s="100"/>
      <c r="BA5" s="319">
        <f>IF(AND(AT5="",AU5="",AV5="",AW5=""),"",IF(AND(AY5="",AZ5=""),AX5,MAX(AX5:AZ5)))</f>
        <v>87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86.1</v>
      </c>
      <c r="CI5" s="104">
        <f t="shared" ref="CI5:CI52" si="1">MAX(M5,U5,AC5,AK5,AS5,BA5,BI5,BQ5,BY5,CG5)</f>
        <v>98</v>
      </c>
      <c r="CJ5" s="104">
        <f t="shared" ref="CJ5:CJ52" si="2">MIN(M5,U5,AC5,AK5,AS5,BA5,BI5,BQ5,BY5,CG5)</f>
        <v>60</v>
      </c>
      <c r="CK5" s="90">
        <v>87.5</v>
      </c>
      <c r="CL5" s="100">
        <v>80</v>
      </c>
      <c r="CM5" s="322">
        <f>IF(CH5="","",CH5*$CM$3)</f>
        <v>172.2</v>
      </c>
      <c r="CN5" s="322">
        <f>IF(CK5="","",CK5*$CN$3)</f>
        <v>87.5</v>
      </c>
      <c r="CO5" s="322">
        <f>IF(CL5="","",CL5*$CO$3)</f>
        <v>80</v>
      </c>
      <c r="CP5" s="225">
        <f>IF(OR(CH5="",CK5="",CL5=""),"",(SUM(CM5:CO5)/SUM($CM$3:$CO$3)))</f>
        <v>84.924999999999997</v>
      </c>
      <c r="CQ5" s="323">
        <f>IF(CP5="","",ROUNDUP(CP5,0))</f>
        <v>85</v>
      </c>
      <c r="CR5" s="105" t="str">
        <f>IF(CQ5="","",IF(CQ5&gt;=menu!$O$6,"A",IF(CQ5&gt;=menu!$O$7,"B",IF(CQ5&gt;=menu!$O$8,"C","D"))))</f>
        <v>B</v>
      </c>
      <c r="CS5" s="105" t="str">
        <f>IF(CQ5="","",IF(CQ5&gt;=menu!$O$6,"sangat baik",IF(CQ5&gt;=menu!$O$7,"baik",IF(CQ5&gt;=menu!$O$8,"cukup","kurang"))))</f>
        <v>baik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baik,  sudah menguasai pengetahuan bahasa arab 2, dan perlu ditingkatkan dalam pengetahuan bahasa arab 3</v>
      </c>
      <c r="CW5" s="107" t="str">
        <f>IF(CI5="","",VLOOKUP(CI5,DATAPENG!$B$3:$C$12,2,FALSE))</f>
        <v>pengetahuan bahasa arab 2</v>
      </c>
      <c r="CX5" s="107" t="str">
        <f>IF(CJ5="","",VLOOKUP(CJ5,DATAPENG!$B$3:$C$12,2,FALSE))</f>
        <v>pengetahuan bahasa arab 3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60</v>
      </c>
      <c r="G6" s="100"/>
      <c r="H6" s="100">
        <v>90</v>
      </c>
      <c r="I6" s="353"/>
      <c r="J6" s="310">
        <f t="shared" ref="J6:J8" si="3">IF(AND(F6="",G6="",H6="",I6=""),"",AVERAGE(F6:I6))</f>
        <v>75</v>
      </c>
      <c r="K6" s="353"/>
      <c r="L6" s="100"/>
      <c r="M6" s="319">
        <f t="shared" ref="M6:M52" si="4">IF(AND(F6="",G6="",H6="",I6=""),"",IF(AND(K6="",L6=""),J6,MAX(J6:L6)))</f>
        <v>75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>IF(AND(AD6="",AE6="",AF6="",AG6=""),"",AVERAGE(AD6:AG6))</f>
        <v>93</v>
      </c>
      <c r="AI6" s="100"/>
      <c r="AJ6" s="100"/>
      <c r="AK6" s="319">
        <f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9">IF(AND(AL6="",AM6="",AN6="",AO6=""),"",AVERAGE(AL6:AO6))</f>
        <v>94</v>
      </c>
      <c r="AQ6" s="100"/>
      <c r="AR6" s="100"/>
      <c r="AS6" s="319">
        <f t="shared" ref="AS6:AS52" si="10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1">IF(AND(AT6="",AU6="",AV6="",AW6=""),"",AVERAGE(AT6:AW6))</f>
        <v>86</v>
      </c>
      <c r="AY6" s="100"/>
      <c r="AZ6" s="100"/>
      <c r="BA6" s="319">
        <f t="shared" ref="BA6:BA52" si="12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3">IF(AND(BB6="",BC6="",BD6="",BE6=""),"",AVERAGE(BB6:BE6))</f>
        <v>95</v>
      </c>
      <c r="BG6" s="100"/>
      <c r="BH6" s="100"/>
      <c r="BI6" s="319">
        <f t="shared" ref="BI6:BI52" si="14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5">IF(AND(BJ6="",BK6="",BL6="",BM6=""),"",AVERAGE(BJ6:BM6))</f>
        <v>95</v>
      </c>
      <c r="BO6" s="100"/>
      <c r="BP6" s="100"/>
      <c r="BQ6" s="319">
        <f t="shared" ref="BQ6:BQ52" si="16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7">IF(AND(BR6="",BS6="",BT6="",BU6=""),"",AVERAGE(BR6:BU6))</f>
        <v>74</v>
      </c>
      <c r="BW6" s="100"/>
      <c r="BX6" s="100"/>
      <c r="BY6" s="319">
        <f t="shared" ref="BY6:BY52" si="18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19">IF(AND(BZ6="",CA6="",CB6="",CC6=""),"",AVERAGE(BZ6:CC6))</f>
        <v>45</v>
      </c>
      <c r="CE6" s="100"/>
      <c r="CF6" s="100"/>
      <c r="CG6" s="319">
        <f t="shared" ref="CG6:CG52" si="20">IF(AND(BZ6="",CA6="",CB6="",CC6=""),"",IF(AND(CE6="",CF6=""),CD6,MAX(CD6:CF6)))</f>
        <v>45</v>
      </c>
      <c r="CH6" s="321">
        <f t="shared" si="0"/>
        <v>78.325000000000003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1">IF(CH6="","",CH6*$CM$3)</f>
        <v>156.65</v>
      </c>
      <c r="CN6" s="322">
        <f t="shared" ref="CN6:CN52" si="22">IF(CK6="","",CK6*$CN$3)</f>
        <v>90</v>
      </c>
      <c r="CO6" s="322">
        <f t="shared" ref="CO6:CO52" si="23">IF(CL6="","",CL6*$CO$3)</f>
        <v>85</v>
      </c>
      <c r="CP6" s="225">
        <f t="shared" ref="CP6:CP52" si="24">IF(OR(CH6="",CK6="",CL6=""),"",(SUM(CM6:CO6)/SUM($CM$3:$CO$3)))</f>
        <v>82.912499999999994</v>
      </c>
      <c r="CQ6" s="323">
        <f t="shared" ref="CQ6:CQ52" si="25">IF(CP6="","",ROUNDUP(CP6,0))</f>
        <v>83</v>
      </c>
      <c r="CR6" s="105" t="str">
        <f>IF(CQ6="","",IF(CQ6&gt;=menu!$O$6,"A",IF(CQ6&gt;=menu!$O$7,"B",IF(CQ6&gt;=menu!$O$8,"C","D"))))</f>
        <v>B</v>
      </c>
      <c r="CS6" s="105" t="str">
        <f>IF(CQ6="","",IF(CQ6&gt;=menu!$O$6,"sangat baik",IF(CQ6&gt;=menu!$O$7,"baik",IF(CQ6&gt;=menu!$O$8,"cukup","kurang"))))</f>
        <v>baik</v>
      </c>
      <c r="CT6" s="398" t="str">
        <f t="shared" ref="CT6:CT52" si="26">IF(CI6="","",IF(CI6&gt;=$CT$2,"TUNTAS","TIDAK"))</f>
        <v>TUNTAS</v>
      </c>
      <c r="CU6" s="397" t="str">
        <f t="shared" ref="CU6:CU52" si="27">IF(CJ6="","",IF(CJ6&gt;=$CT$2,"TUNTAS","TIDAK"))</f>
        <v>TIDAK</v>
      </c>
      <c r="CV6" s="115" t="str">
        <f t="shared" ref="CV6:CV52" si="28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baik,  sudah menguasai pengetahuan bahasa arab 7, dan perlu ditingkatkan dalam pengetahuan bahasa arab 10</v>
      </c>
      <c r="CW6" s="108" t="str">
        <f>IF(CI6="","",VLOOKUP(CI6,DATAPENG!$D$3:$E$12,2,FALSE))</f>
        <v>pengetahuan bahasa arab 7</v>
      </c>
      <c r="CX6" s="108" t="str">
        <f>IF(CJ6="","",VLOOKUP(CJ6,DATAPENG!$D$3:$E$12,2,FALSE))</f>
        <v>pengetahuan bahasa arab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ref="AH7:AH8" si="29">IF(AND(AD7="",AE7="",AF7="",AG7=""),"",AVERAGE(AD7:AG7))</f>
        <v>95</v>
      </c>
      <c r="AI7" s="100"/>
      <c r="AJ7" s="100"/>
      <c r="AK7" s="319">
        <f t="shared" ref="AK7:AK52" si="30">IF(AND(AD7="",AE7="",AF7="",AG7=""),"",IF(AND(AI7="",AJ7=""),AH7,MAX(AH7:AJ7)))</f>
        <v>95</v>
      </c>
      <c r="AL7" s="100">
        <v>95</v>
      </c>
      <c r="AM7" s="100"/>
      <c r="AN7" s="100">
        <v>95</v>
      </c>
      <c r="AO7" s="90"/>
      <c r="AP7" s="310">
        <f t="shared" si="9"/>
        <v>95</v>
      </c>
      <c r="AQ7" s="100"/>
      <c r="AR7" s="100"/>
      <c r="AS7" s="319">
        <f t="shared" si="10"/>
        <v>95</v>
      </c>
      <c r="AT7" s="100">
        <v>86</v>
      </c>
      <c r="AU7" s="100"/>
      <c r="AV7" s="100"/>
      <c r="AW7" s="90"/>
      <c r="AX7" s="310">
        <f t="shared" si="11"/>
        <v>86</v>
      </c>
      <c r="AY7" s="100"/>
      <c r="AZ7" s="100"/>
      <c r="BA7" s="319">
        <f t="shared" si="12"/>
        <v>86</v>
      </c>
      <c r="BB7" s="100">
        <v>86</v>
      </c>
      <c r="BC7" s="100"/>
      <c r="BD7" s="100"/>
      <c r="BE7" s="90"/>
      <c r="BF7" s="310">
        <f t="shared" si="13"/>
        <v>86</v>
      </c>
      <c r="BG7" s="100"/>
      <c r="BH7" s="100"/>
      <c r="BI7" s="319">
        <f t="shared" si="14"/>
        <v>86</v>
      </c>
      <c r="BJ7" s="100"/>
      <c r="BK7" s="100"/>
      <c r="BL7" s="100">
        <v>100</v>
      </c>
      <c r="BM7" s="90"/>
      <c r="BN7" s="310">
        <f t="shared" si="15"/>
        <v>100</v>
      </c>
      <c r="BO7" s="100"/>
      <c r="BP7" s="100"/>
      <c r="BQ7" s="319">
        <f t="shared" si="16"/>
        <v>100</v>
      </c>
      <c r="BR7" s="100">
        <v>67</v>
      </c>
      <c r="BS7" s="100"/>
      <c r="BT7" s="100"/>
      <c r="BU7" s="90"/>
      <c r="BV7" s="310">
        <f t="shared" si="17"/>
        <v>67</v>
      </c>
      <c r="BW7" s="100"/>
      <c r="BX7" s="100"/>
      <c r="BY7" s="319">
        <f t="shared" si="18"/>
        <v>67</v>
      </c>
      <c r="BZ7" s="100">
        <v>70</v>
      </c>
      <c r="CA7" s="100"/>
      <c r="CB7" s="100"/>
      <c r="CC7" s="90"/>
      <c r="CD7" s="310">
        <f t="shared" si="19"/>
        <v>70</v>
      </c>
      <c r="CE7" s="100"/>
      <c r="CF7" s="100"/>
      <c r="CG7" s="319">
        <f t="shared" si="20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1"/>
        <v>176.8</v>
      </c>
      <c r="CN7" s="322">
        <f t="shared" si="22"/>
        <v>87.5</v>
      </c>
      <c r="CO7" s="322">
        <f t="shared" si="23"/>
        <v>80</v>
      </c>
      <c r="CP7" s="225">
        <f t="shared" si="24"/>
        <v>86.075000000000003</v>
      </c>
      <c r="CQ7" s="323">
        <f t="shared" si="25"/>
        <v>87</v>
      </c>
      <c r="CR7" s="105" t="str">
        <f>IF(CQ7="","",IF(CQ7&gt;=menu!$O$6,"A",IF(CQ7&gt;=menu!$O$7,"B",IF(CQ7&gt;=menu!$O$8,"C","D"))))</f>
        <v>B</v>
      </c>
      <c r="CS7" s="105" t="str">
        <f>IF(CQ7="","",IF(CQ7&gt;=menu!$O$6,"sangat baik",IF(CQ7&gt;=menu!$O$7,"baik",IF(CQ7&gt;=menu!$O$8,"cukup","kurang"))))</f>
        <v>baik</v>
      </c>
      <c r="CT7" s="398" t="str">
        <f t="shared" si="26"/>
        <v>TUNTAS</v>
      </c>
      <c r="CU7" s="397" t="str">
        <f t="shared" si="27"/>
        <v>TIDAK</v>
      </c>
      <c r="CV7" s="115" t="str">
        <f t="shared" si="28"/>
        <v>Memiliki penguasaan semua materi baik,  sudah menguasai pengetahuan bahasa arab 8, dan perlu ditingkatkan dalam pengetahuan bahasa arab 9</v>
      </c>
      <c r="CW7" s="108" t="str">
        <f>IF(CI7="","",VLOOKUP(CI7,DATAPENG!$F$3:$G$12,2,FALSE))</f>
        <v>pengetahuan bahasa arab 8</v>
      </c>
      <c r="CX7" s="108" t="str">
        <f>IF(CJ7="","",VLOOKUP(CJ7,DATAPENG!$F$3:$G$12,2,FALSE))</f>
        <v>pengetahuan bahasa arab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29"/>
        <v>95</v>
      </c>
      <c r="AI8" s="100"/>
      <c r="AJ8" s="100"/>
      <c r="AK8" s="319">
        <f t="shared" si="30"/>
        <v>95</v>
      </c>
      <c r="AL8" s="100">
        <v>87.5</v>
      </c>
      <c r="AM8" s="100"/>
      <c r="AN8" s="100">
        <v>87.5</v>
      </c>
      <c r="AO8" s="90"/>
      <c r="AP8" s="310">
        <f t="shared" si="9"/>
        <v>87.5</v>
      </c>
      <c r="AQ8" s="100"/>
      <c r="AR8" s="100"/>
      <c r="AS8" s="319">
        <f t="shared" si="10"/>
        <v>87.5</v>
      </c>
      <c r="AT8" s="100">
        <v>80</v>
      </c>
      <c r="AU8" s="100"/>
      <c r="AV8" s="100"/>
      <c r="AW8" s="90"/>
      <c r="AX8" s="310">
        <f t="shared" si="11"/>
        <v>80</v>
      </c>
      <c r="AY8" s="100"/>
      <c r="AZ8" s="100"/>
      <c r="BA8" s="319">
        <f t="shared" si="12"/>
        <v>80</v>
      </c>
      <c r="BB8" s="100">
        <v>80</v>
      </c>
      <c r="BC8" s="100"/>
      <c r="BD8" s="100"/>
      <c r="BE8" s="90"/>
      <c r="BF8" s="310">
        <f t="shared" si="13"/>
        <v>80</v>
      </c>
      <c r="BG8" s="100"/>
      <c r="BH8" s="100"/>
      <c r="BI8" s="319">
        <f t="shared" si="14"/>
        <v>80</v>
      </c>
      <c r="BJ8" s="100"/>
      <c r="BK8" s="100"/>
      <c r="BL8" s="100">
        <v>90</v>
      </c>
      <c r="BM8" s="90"/>
      <c r="BN8" s="310">
        <f t="shared" si="15"/>
        <v>90</v>
      </c>
      <c r="BO8" s="100"/>
      <c r="BP8" s="100"/>
      <c r="BQ8" s="319">
        <f t="shared" si="16"/>
        <v>90</v>
      </c>
      <c r="BR8" s="100">
        <v>67</v>
      </c>
      <c r="BS8" s="100"/>
      <c r="BT8" s="100"/>
      <c r="BU8" s="90"/>
      <c r="BV8" s="310">
        <f t="shared" si="17"/>
        <v>67</v>
      </c>
      <c r="BW8" s="100"/>
      <c r="BX8" s="100"/>
      <c r="BY8" s="319">
        <f t="shared" si="18"/>
        <v>67</v>
      </c>
      <c r="BZ8" s="100">
        <v>35</v>
      </c>
      <c r="CA8" s="100"/>
      <c r="CB8" s="100"/>
      <c r="CC8" s="90"/>
      <c r="CD8" s="310">
        <f t="shared" si="19"/>
        <v>35</v>
      </c>
      <c r="CE8" s="100"/>
      <c r="CF8" s="100"/>
      <c r="CG8" s="319">
        <f t="shared" si="20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1"/>
        <v>162.4</v>
      </c>
      <c r="CN8" s="322">
        <f t="shared" si="22"/>
        <v>87.5</v>
      </c>
      <c r="CO8" s="322">
        <f t="shared" si="23"/>
        <v>87.5</v>
      </c>
      <c r="CP8" s="225">
        <f t="shared" si="24"/>
        <v>84.35</v>
      </c>
      <c r="CQ8" s="323">
        <f t="shared" si="25"/>
        <v>85</v>
      </c>
      <c r="CR8" s="105" t="str">
        <f>IF(CQ8="","",IF(CQ8&gt;=menu!$O$6,"A",IF(CQ8&gt;=menu!$O$7,"B",IF(CQ8&gt;=menu!$O$8,"C","D"))))</f>
        <v>B</v>
      </c>
      <c r="CS8" s="105" t="str">
        <f>IF(CQ8="","",IF(CQ8&gt;=menu!$O$6,"sangat baik",IF(CQ8&gt;=menu!$O$7,"baik",IF(CQ8&gt;=menu!$O$8,"cukup","kurang"))))</f>
        <v>baik</v>
      </c>
      <c r="CT8" s="398" t="str">
        <f t="shared" si="26"/>
        <v>TUNTAS</v>
      </c>
      <c r="CU8" s="397" t="str">
        <f t="shared" si="27"/>
        <v>TIDAK</v>
      </c>
      <c r="CV8" s="115" t="str">
        <f t="shared" si="28"/>
        <v>Memiliki penguasaan semua materi baik,  sudah menguasai Menciptakan kebersamaan warga madrasah yang religius melalui perilaku yang ikhlas, mandiri, dan bebas berkreasi, dan perlu ditingkatkan dalam pengetahuan bahasa arab 10</v>
      </c>
      <c r="CW8" s="108" t="str">
        <f>IF(CI8="","",VLOOKUP(CI8,DATAPENG!$H$3:$I$12,2,FALSE))</f>
        <v>Menciptakan kebersamaan warga madrasah yang religius melalui perilaku yang ikhlas, mandiri, dan bebas berkreasi</v>
      </c>
      <c r="CX8" s="108" t="str">
        <f>IF(CJ8="","",VLOOKUP(CJ8,DATAPENG!$H$3:$I$12,2,FALSE))</f>
        <v>pengetahuan bahasa arab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3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0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2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4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6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18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0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1"/>
        <v>150</v>
      </c>
      <c r="CN9" s="322">
        <f t="shared" si="22"/>
        <v>90</v>
      </c>
      <c r="CO9" s="322">
        <f t="shared" si="23"/>
        <v>75</v>
      </c>
      <c r="CP9" s="225">
        <f t="shared" si="24"/>
        <v>78.75</v>
      </c>
      <c r="CQ9" s="323">
        <f t="shared" si="25"/>
        <v>79</v>
      </c>
      <c r="CR9" s="105" t="str">
        <f>IF(CQ9="","",IF(CQ9&gt;=menu!$O$6,"A",IF(CQ9&gt;=menu!$O$7,"B",IF(CQ9&gt;=menu!$O$8,"C","D"))))</f>
        <v>C</v>
      </c>
      <c r="CS9" s="105" t="str">
        <f>IF(CQ9="","",IF(CQ9&gt;=menu!$O$6,"sangat baik",IF(CQ9&gt;=menu!$O$7,"baik",IF(CQ9&gt;=menu!$O$8,"cukup","kurang"))))</f>
        <v>cukup</v>
      </c>
      <c r="CT9" s="398" t="str">
        <f t="shared" si="26"/>
        <v>TUNTAS</v>
      </c>
      <c r="CU9" s="397" t="str">
        <f t="shared" si="27"/>
        <v>TIDAK</v>
      </c>
      <c r="CV9" s="115" t="str">
        <f t="shared" si="28"/>
        <v>Memiliki penguasaan semua materi cukup,  sudah menguasai pengetahuan bahasa arab 7, dan perlu ditingkatkan dalam pengetahuan bahasa arab 6</v>
      </c>
      <c r="CW9" s="108" t="str">
        <f>IF(CI9="","",VLOOKUP(CI9,DATAPENG!$J$3:$K$12,2,FALSE))</f>
        <v>pengetahuan bahasa arab 7</v>
      </c>
      <c r="CX9" s="108" t="str">
        <f>IF(CJ9="","",VLOOKUP(CJ9,DATAPENG!$J$3:$K$12,2,FALSE))</f>
        <v>pengetahuan bahasa arab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3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0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2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4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6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18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0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1"/>
        <v>164.8</v>
      </c>
      <c r="CN10" s="322">
        <f t="shared" si="22"/>
        <v>87.5</v>
      </c>
      <c r="CO10" s="322">
        <f t="shared" si="23"/>
        <v>80</v>
      </c>
      <c r="CP10" s="225">
        <f t="shared" si="24"/>
        <v>83.075000000000003</v>
      </c>
      <c r="CQ10" s="323">
        <f t="shared" si="25"/>
        <v>84</v>
      </c>
      <c r="CR10" s="105" t="str">
        <f>IF(CQ10="","",IF(CQ10&gt;=menu!$O$6,"A",IF(CQ10&gt;=menu!$O$7,"B",IF(CQ10&gt;=menu!$O$8,"C","D"))))</f>
        <v>B</v>
      </c>
      <c r="CS10" s="105" t="str">
        <f>IF(CQ10="","",IF(CQ10&gt;=menu!$O$6,"sangat baik",IF(CQ10&gt;=menu!$O$7,"baik",IF(CQ10&gt;=menu!$O$8,"cukup","kurang"))))</f>
        <v>baik</v>
      </c>
      <c r="CT10" s="398" t="str">
        <f t="shared" si="26"/>
        <v>TUNTAS</v>
      </c>
      <c r="CU10" s="397" t="str">
        <f t="shared" si="27"/>
        <v>TIDAK</v>
      </c>
      <c r="CV10" s="115" t="str">
        <f t="shared" si="28"/>
        <v>Memiliki penguasaan semua materi baik,  sudah menguasai pengetahuan bahasa arab 2, dan perlu ditingkatkan dalam pengetahuan bahasa arab 10</v>
      </c>
      <c r="CW10" s="108" t="str">
        <f>IF(CI10="","",VLOOKUP(CI10,DATAPENG!$L$3:$M$12,2,FALSE))</f>
        <v>pengetahuan bahasa arab 2</v>
      </c>
      <c r="CX10" s="108" t="str">
        <f>IF(CJ10="","",VLOOKUP(CJ10,DATAPENG!$L$3:$M$12,2,FALSE))</f>
        <v>pengetahuan bahasa arab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3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0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2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4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6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18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0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1"/>
        <v>154.85</v>
      </c>
      <c r="CN11" s="322">
        <f t="shared" si="22"/>
        <v>82.5</v>
      </c>
      <c r="CO11" s="322">
        <f t="shared" si="23"/>
        <v>90</v>
      </c>
      <c r="CP11" s="225">
        <f t="shared" si="24"/>
        <v>81.837500000000006</v>
      </c>
      <c r="CQ11" s="323">
        <f t="shared" si="25"/>
        <v>82</v>
      </c>
      <c r="CR11" s="105" t="str">
        <f>IF(CQ11="","",IF(CQ11&gt;=menu!$O$6,"A",IF(CQ11&gt;=menu!$O$7,"B",IF(CQ11&gt;=menu!$O$8,"C","D"))))</f>
        <v>B</v>
      </c>
      <c r="CS11" s="105" t="str">
        <f>IF(CQ11="","",IF(CQ11&gt;=menu!$O$6,"sangat baik",IF(CQ11&gt;=menu!$O$7,"baik",IF(CQ11&gt;=menu!$O$8,"cukup","kurang"))))</f>
        <v>baik</v>
      </c>
      <c r="CT11" s="398" t="str">
        <f t="shared" si="26"/>
        <v>TUNTAS</v>
      </c>
      <c r="CU11" s="397" t="str">
        <f t="shared" si="27"/>
        <v>TIDAK</v>
      </c>
      <c r="CV11" s="115" t="str">
        <f t="shared" si="28"/>
        <v>Memiliki penguasaan semua materi baik,  sudah menguasai pengetahuan bahasa arab 4, dan perlu ditingkatkan dalam pengetahuan bahasa arab 2</v>
      </c>
      <c r="CW11" s="108" t="str">
        <f>IF(CI11="","",VLOOKUP(CI11,DATAPENG!$N$3:$O$12,2,FALSE))</f>
        <v>pengetahuan bahasa arab 4</v>
      </c>
      <c r="CX11" s="108" t="str">
        <f>IF(CJ11="","",VLOOKUP(CJ11,DATAPENG!$N$3:$O$12,2,FALSE))</f>
        <v>pengetahuan bahasa arab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3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0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2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4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6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18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0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1"/>
        <v>165.4</v>
      </c>
      <c r="CN12" s="322">
        <f t="shared" si="22"/>
        <v>87.5</v>
      </c>
      <c r="CO12" s="322">
        <f t="shared" si="23"/>
        <v>90</v>
      </c>
      <c r="CP12" s="225">
        <f t="shared" si="24"/>
        <v>85.724999999999994</v>
      </c>
      <c r="CQ12" s="323">
        <f t="shared" si="25"/>
        <v>86</v>
      </c>
      <c r="CR12" s="105" t="str">
        <f>IF(CQ12="","",IF(CQ12&gt;=menu!$O$6,"A",IF(CQ12&gt;=menu!$O$7,"B",IF(CQ12&gt;=menu!$O$8,"C","D"))))</f>
        <v>B</v>
      </c>
      <c r="CS12" s="105" t="str">
        <f>IF(CQ12="","",IF(CQ12&gt;=menu!$O$6,"sangat baik",IF(CQ12&gt;=menu!$O$7,"baik",IF(CQ12&gt;=menu!$O$8,"cukup","kurang"))))</f>
        <v>baik</v>
      </c>
      <c r="CT12" s="398" t="str">
        <f t="shared" si="26"/>
        <v>TUNTAS</v>
      </c>
      <c r="CU12" s="397" t="str">
        <f t="shared" si="27"/>
        <v>TIDAK</v>
      </c>
      <c r="CV12" s="115" t="str">
        <f t="shared" si="28"/>
        <v>Memiliki penguasaan semua materi baik,  sudah menguasai pengetahuan bahasa arab 4, dan perlu ditingkatkan dalam pengetahuan bahasa arab 10</v>
      </c>
      <c r="CW12" s="108" t="str">
        <f>IF(CI12="","",VLOOKUP(CI12,DATAPENG!$P$3:$Q$12,2,FALSE))</f>
        <v>pengetahuan bahasa arab 4</v>
      </c>
      <c r="CX12" s="108" t="str">
        <f>IF(CJ12="","",VLOOKUP(CJ12,DATAPENG!$P$3:$Q$12,2,FALSE))</f>
        <v>pengetahuan bahasa arab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3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0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2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4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6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18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0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1"/>
        <v>159.4</v>
      </c>
      <c r="CN13" s="322">
        <f t="shared" si="22"/>
        <v>87.5</v>
      </c>
      <c r="CO13" s="322">
        <f t="shared" si="23"/>
        <v>90</v>
      </c>
      <c r="CP13" s="225">
        <f t="shared" si="24"/>
        <v>84.224999999999994</v>
      </c>
      <c r="CQ13" s="323">
        <f t="shared" si="25"/>
        <v>85</v>
      </c>
      <c r="CR13" s="105" t="str">
        <f>IF(CQ13="","",IF(CQ13&gt;=menu!$O$6,"A",IF(CQ13&gt;=menu!$O$7,"B",IF(CQ13&gt;=menu!$O$8,"C","D"))))</f>
        <v>B</v>
      </c>
      <c r="CS13" s="105" t="str">
        <f>IF(CQ13="","",IF(CQ13&gt;=menu!$O$6,"sangat baik",IF(CQ13&gt;=menu!$O$7,"baik",IF(CQ13&gt;=menu!$O$8,"cukup","kurang"))))</f>
        <v>baik</v>
      </c>
      <c r="CT13" s="398" t="str">
        <f t="shared" si="26"/>
        <v>TUNTAS</v>
      </c>
      <c r="CU13" s="397" t="str">
        <f t="shared" si="27"/>
        <v>TIDAK</v>
      </c>
      <c r="CV13" s="115" t="str">
        <f t="shared" si="28"/>
        <v>Memiliki penguasaan semua materi baik,  sudah menguasai pengetahuan bahasa arab 4, dan perlu ditingkatkan dalam pengetahuan bahasa arab 10</v>
      </c>
      <c r="CW13" s="108" t="str">
        <f>IF(CI13="","",VLOOKUP(CI13,DATAPENG!$R$3:$S$12,2,FALSE))</f>
        <v>pengetahuan bahasa arab 4</v>
      </c>
      <c r="CX13" s="108" t="str">
        <f>IF(CJ13="","",VLOOKUP(CJ13,DATAPENG!$R$3:$S$12,2,FALSE))</f>
        <v>pengetahuan bahasa arab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3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0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2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4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6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18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0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1"/>
        <v>158.9</v>
      </c>
      <c r="CN14" s="322">
        <f t="shared" si="22"/>
        <v>90</v>
      </c>
      <c r="CO14" s="322">
        <f t="shared" si="23"/>
        <v>90</v>
      </c>
      <c r="CP14" s="225">
        <f t="shared" si="24"/>
        <v>84.724999999999994</v>
      </c>
      <c r="CQ14" s="323">
        <f t="shared" si="25"/>
        <v>85</v>
      </c>
      <c r="CR14" s="105" t="str">
        <f>IF(CQ14="","",IF(CQ14&gt;=menu!$O$6,"A",IF(CQ14&gt;=menu!$O$7,"B",IF(CQ14&gt;=menu!$O$8,"C","D"))))</f>
        <v>B</v>
      </c>
      <c r="CS14" s="105" t="str">
        <f>IF(CQ14="","",IF(CQ14&gt;=menu!$O$6,"sangat baik",IF(CQ14&gt;=menu!$O$7,"baik",IF(CQ14&gt;=menu!$O$8,"cukup","kurang"))))</f>
        <v>baik</v>
      </c>
      <c r="CT14" s="398" t="str">
        <f t="shared" si="26"/>
        <v>TUNTAS</v>
      </c>
      <c r="CU14" s="397" t="str">
        <f t="shared" si="27"/>
        <v>TIDAK</v>
      </c>
      <c r="CV14" s="115" t="str">
        <f t="shared" si="28"/>
        <v>Memiliki penguasaan semua materi baik,  sudah menguasai pengetahuan bahasa arab 7, dan perlu ditingkatkan dalam pengetahuan bahasa arab 6</v>
      </c>
      <c r="CW14" s="108" t="str">
        <f>IF(CI14="","",VLOOKUP(CI14,DATAPENG!$T$3:$U$12,2,FALSE))</f>
        <v>pengetahuan bahasa arab 7</v>
      </c>
      <c r="CX14" s="108" t="str">
        <f>IF(CJ14="","",VLOOKUP(CJ14,DATAPENG!$T$3:$U$12,2,FALSE))</f>
        <v>pengetahuan bahasa arab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3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0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2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4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6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18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0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1"/>
        <v>136.80000000000001</v>
      </c>
      <c r="CN15" s="322">
        <f t="shared" si="22"/>
        <v>85</v>
      </c>
      <c r="CO15" s="322">
        <f t="shared" si="23"/>
        <v>87.5</v>
      </c>
      <c r="CP15" s="225">
        <f t="shared" si="24"/>
        <v>77.325000000000003</v>
      </c>
      <c r="CQ15" s="323">
        <f t="shared" si="25"/>
        <v>78</v>
      </c>
      <c r="CR15" s="105" t="str">
        <f>IF(CQ15="","",IF(CQ15&gt;=menu!$O$6,"A",IF(CQ15&gt;=menu!$O$7,"B",IF(CQ15&gt;=menu!$O$8,"C","D"))))</f>
        <v>C</v>
      </c>
      <c r="CS15" s="105" t="str">
        <f>IF(CQ15="","",IF(CQ15&gt;=menu!$O$6,"sangat baik",IF(CQ15&gt;=menu!$O$7,"baik",IF(CQ15&gt;=menu!$O$8,"cukup","kurang"))))</f>
        <v>cukup</v>
      </c>
      <c r="CT15" s="398" t="str">
        <f t="shared" si="26"/>
        <v>TUNTAS</v>
      </c>
      <c r="CU15" s="397" t="str">
        <f t="shared" si="27"/>
        <v>TIDAK</v>
      </c>
      <c r="CV15" s="115" t="str">
        <f t="shared" si="28"/>
        <v>Memiliki penguasaan semua materi cukup,  sudah menguasai Menciptakan kebersamaan warga madrasah yang religius melalui perilaku yang ikhlas, mandiri, dan bebas berkreasi, dan perlu ditingkatkan dalam pengetahuan bahasa arab 6</v>
      </c>
      <c r="CW15" s="108" t="str">
        <f>IF(CI15="","",VLOOKUP(CI15,DATAPENG!$V$3:$W$12,2,FALSE))</f>
        <v>Menciptakan kebersamaan warga madrasah yang religius melalui perilaku yang ikhlas, mandiri, dan bebas berkreasi</v>
      </c>
      <c r="CX15" s="108" t="str">
        <f>IF(CJ15="","",VLOOKUP(CJ15,DATAPENG!$V$3:$W$12,2,FALSE))</f>
        <v>pengetahuan bahasa arab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3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0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2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4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6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18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0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1"/>
        <v>163.9</v>
      </c>
      <c r="CN16" s="322">
        <f t="shared" si="22"/>
        <v>87.5</v>
      </c>
      <c r="CO16" s="322">
        <f t="shared" si="23"/>
        <v>87.5</v>
      </c>
      <c r="CP16" s="225">
        <f t="shared" si="24"/>
        <v>84.724999999999994</v>
      </c>
      <c r="CQ16" s="323">
        <f t="shared" si="25"/>
        <v>85</v>
      </c>
      <c r="CR16" s="105" t="str">
        <f>IF(CQ16="","",IF(CQ16&gt;=menu!$O$6,"A",IF(CQ16&gt;=menu!$O$7,"B",IF(CQ16&gt;=menu!$O$8,"C","D"))))</f>
        <v>B</v>
      </c>
      <c r="CS16" s="105" t="str">
        <f>IF(CQ16="","",IF(CQ16&gt;=menu!$O$6,"sangat baik",IF(CQ16&gt;=menu!$O$7,"baik",IF(CQ16&gt;=menu!$O$8,"cukup","kurang"))))</f>
        <v>baik</v>
      </c>
      <c r="CT16" s="398" t="str">
        <f t="shared" si="26"/>
        <v>TUNTAS</v>
      </c>
      <c r="CU16" s="397" t="str">
        <f t="shared" si="27"/>
        <v>TIDAK</v>
      </c>
      <c r="CV16" s="115" t="str">
        <f t="shared" si="28"/>
        <v>Memiliki penguasaan semua materi baik,  sudah menguasai Menciptakan kebersamaan warga madrasah yang religius melalui perilaku yang ikhlas, mandiri, dan bebas berkreasi, dan perlu ditingkatkan dalam pengetahuan bahasa arab 10</v>
      </c>
      <c r="CW16" s="108" t="str">
        <f>IF(CI16="","",VLOOKUP(CI16,DATAPENG!$X$3:$Y$12,2,FALSE))</f>
        <v>Menciptakan kebersamaan warga madrasah yang religius melalui perilaku yang ikhlas, mandiri, dan bebas berkreasi</v>
      </c>
      <c r="CX16" s="108" t="str">
        <f>IF(CJ16="","",VLOOKUP(CJ16,DATAPENG!$X$3:$Y$12,2,FALSE))</f>
        <v>pengetahuan bahasa arab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3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0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2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4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6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18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0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1"/>
        <v>157.9</v>
      </c>
      <c r="CN17" s="322">
        <f t="shared" si="22"/>
        <v>87.5</v>
      </c>
      <c r="CO17" s="322">
        <f t="shared" si="23"/>
        <v>92.5</v>
      </c>
      <c r="CP17" s="225">
        <f t="shared" si="24"/>
        <v>84.474999999999994</v>
      </c>
      <c r="CQ17" s="323">
        <f t="shared" si="25"/>
        <v>85</v>
      </c>
      <c r="CR17" s="105" t="str">
        <f>IF(CQ17="","",IF(CQ17&gt;=menu!$O$6,"A",IF(CQ17&gt;=menu!$O$7,"B",IF(CQ17&gt;=menu!$O$8,"C","D"))))</f>
        <v>B</v>
      </c>
      <c r="CS17" s="105" t="str">
        <f>IF(CQ17="","",IF(CQ17&gt;=menu!$O$6,"sangat baik",IF(CQ17&gt;=menu!$O$7,"baik",IF(CQ17&gt;=menu!$O$8,"cukup","kurang"))))</f>
        <v>baik</v>
      </c>
      <c r="CT17" s="398" t="str">
        <f t="shared" si="26"/>
        <v>TUNTAS</v>
      </c>
      <c r="CU17" s="397" t="str">
        <f t="shared" si="27"/>
        <v>TIDAK</v>
      </c>
      <c r="CV17" s="115" t="str">
        <f t="shared" si="28"/>
        <v>Memiliki penguasaan semua materi baik,  sudah menguasai pengetahuan bahasa arab 2, dan perlu ditingkatkan dalam pengetahuan bahasa arab 9</v>
      </c>
      <c r="CW17" s="108" t="str">
        <f>IF(CI17="","",VLOOKUP(CI17,DATAPENG!$Z$3:$AA$12,2,FALSE))</f>
        <v>pengetahuan bahasa arab 2</v>
      </c>
      <c r="CX17" s="108" t="str">
        <f>IF(CJ17="","",VLOOKUP(CJ17,DATAPENG!$Z$3:$AA$12,2,FALSE))</f>
        <v>pengetahuan bahasa arab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3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0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2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4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6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18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0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1"/>
        <v>170.1</v>
      </c>
      <c r="CN18" s="322">
        <f t="shared" si="22"/>
        <v>90</v>
      </c>
      <c r="CO18" s="322">
        <f t="shared" si="23"/>
        <v>80</v>
      </c>
      <c r="CP18" s="225">
        <f t="shared" si="24"/>
        <v>85.025000000000006</v>
      </c>
      <c r="CQ18" s="323">
        <f t="shared" si="25"/>
        <v>86</v>
      </c>
      <c r="CR18" s="105" t="str">
        <f>IF(CQ18="","",IF(CQ18&gt;=menu!$O$6,"A",IF(CQ18&gt;=menu!$O$7,"B",IF(CQ18&gt;=menu!$O$8,"C","D"))))</f>
        <v>B</v>
      </c>
      <c r="CS18" s="105" t="str">
        <f>IF(CQ18="","",IF(CQ18&gt;=menu!$O$6,"sangat baik",IF(CQ18&gt;=menu!$O$7,"baik",IF(CQ18&gt;=menu!$O$8,"cukup","kurang"))))</f>
        <v>baik</v>
      </c>
      <c r="CT18" s="398" t="str">
        <f t="shared" si="26"/>
        <v>TUNTAS</v>
      </c>
      <c r="CU18" s="397" t="str">
        <f t="shared" si="27"/>
        <v>TIDAK</v>
      </c>
      <c r="CV18" s="115" t="str">
        <f t="shared" si="28"/>
        <v>Memiliki penguasaan semua materi baik,  sudah menguasai pengetahuan bahasa arab 8, dan perlu ditingkatkan dalam pengetahuan bahasa arab 10</v>
      </c>
      <c r="CW18" s="108" t="str">
        <f>IF(CI18="","",VLOOKUP(CI18,DATAPENG!$AB$3:$AC$12,2,FALSE))</f>
        <v>pengetahuan bahasa arab 8</v>
      </c>
      <c r="CX18" s="108" t="str">
        <f>IF(CJ18="","",VLOOKUP(CJ18,DATAPENG!$AB$3:$AC$12,2,FALSE))</f>
        <v>pengetahuan bahasa arab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3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0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2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4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6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18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0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1"/>
        <v>163.5</v>
      </c>
      <c r="CN19" s="322">
        <f t="shared" si="22"/>
        <v>90</v>
      </c>
      <c r="CO19" s="322">
        <f t="shared" si="23"/>
        <v>77.5</v>
      </c>
      <c r="CP19" s="225">
        <f t="shared" si="24"/>
        <v>82.75</v>
      </c>
      <c r="CQ19" s="323">
        <f t="shared" si="25"/>
        <v>83</v>
      </c>
      <c r="CR19" s="105" t="str">
        <f>IF(CQ19="","",IF(CQ19&gt;=menu!$O$6,"A",IF(CQ19&gt;=menu!$O$7,"B",IF(CQ19&gt;=menu!$O$8,"C","D"))))</f>
        <v>B</v>
      </c>
      <c r="CS19" s="105" t="str">
        <f>IF(CQ19="","",IF(CQ19&gt;=menu!$O$6,"sangat baik",IF(CQ19&gt;=menu!$O$7,"baik",IF(CQ19&gt;=menu!$O$8,"cukup","kurang"))))</f>
        <v>baik</v>
      </c>
      <c r="CT19" s="398" t="str">
        <f t="shared" si="26"/>
        <v>TUNTAS</v>
      </c>
      <c r="CU19" s="397" t="str">
        <f t="shared" si="27"/>
        <v>TIDAK</v>
      </c>
      <c r="CV19" s="115" t="str">
        <f t="shared" si="28"/>
        <v>Memiliki penguasaan semua materi baik,  sudah menguasai Menciptakan kebersamaan warga madrasah yang religius melalui perilaku yang ikhlas, mandiri, dan bebas berkreasi, dan perlu ditingkatkan dalam pengetahuan bahasa arab 6</v>
      </c>
      <c r="CW19" s="108" t="str">
        <f>IF(CI19="","",VLOOKUP(CI19,DATAPENG!$AD$3:$AE$12,2,FALSE))</f>
        <v>Menciptakan kebersamaan warga madrasah yang religius melalui perilaku yang ikhlas, mandiri, dan bebas berkreasi</v>
      </c>
      <c r="CX19" s="108" t="str">
        <f>IF(CJ19="","",VLOOKUP(CJ19,DATAPENG!$AD$3:$AE$12,2,FALSE))</f>
        <v>pengetahuan bahasa arab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3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0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2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4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6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18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0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1"/>
        <v>163.25</v>
      </c>
      <c r="CN20" s="322">
        <f t="shared" si="22"/>
        <v>87.5</v>
      </c>
      <c r="CO20" s="322">
        <f t="shared" si="23"/>
        <v>92.5</v>
      </c>
      <c r="CP20" s="225">
        <f t="shared" si="24"/>
        <v>85.8125</v>
      </c>
      <c r="CQ20" s="323">
        <f t="shared" si="25"/>
        <v>86</v>
      </c>
      <c r="CR20" s="105" t="str">
        <f>IF(CQ20="","",IF(CQ20&gt;=menu!$O$6,"A",IF(CQ20&gt;=menu!$O$7,"B",IF(CQ20&gt;=menu!$O$8,"C","D"))))</f>
        <v>B</v>
      </c>
      <c r="CS20" s="105" t="str">
        <f>IF(CQ20="","",IF(CQ20&gt;=menu!$O$6,"sangat baik",IF(CQ20&gt;=menu!$O$7,"baik",IF(CQ20&gt;=menu!$O$8,"cukup","kurang"))))</f>
        <v>baik</v>
      </c>
      <c r="CT20" s="398" t="str">
        <f t="shared" si="26"/>
        <v>TUNTAS</v>
      </c>
      <c r="CU20" s="397" t="str">
        <f t="shared" si="27"/>
        <v>TIDAK</v>
      </c>
      <c r="CV20" s="115" t="str">
        <f t="shared" si="28"/>
        <v>Memiliki penguasaan semua materi baik,  sudah menguasai pengetahuan bahasa arab 4, dan perlu ditingkatkan dalam pengetahuan bahasa arab 9</v>
      </c>
      <c r="CW20" s="108" t="str">
        <f>IF(CI20="","",VLOOKUP(CI20,DATAPENG!$AF$3:$AG$12,2,FALSE))</f>
        <v>pengetahuan bahasa arab 4</v>
      </c>
      <c r="CX20" s="108" t="str">
        <f>IF(CJ20="","",VLOOKUP(CJ20,DATAPENG!$AF$3:$AG$12,2,FALSE))</f>
        <v>pengetahuan bahasa arab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3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0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2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4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6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18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0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1"/>
        <v>164.5</v>
      </c>
      <c r="CN21" s="322">
        <f t="shared" si="22"/>
        <v>90</v>
      </c>
      <c r="CO21" s="322">
        <f t="shared" si="23"/>
        <v>87.5</v>
      </c>
      <c r="CP21" s="225">
        <f t="shared" si="24"/>
        <v>85.5</v>
      </c>
      <c r="CQ21" s="323">
        <f t="shared" si="25"/>
        <v>86</v>
      </c>
      <c r="CR21" s="105" t="str">
        <f>IF(CQ21="","",IF(CQ21&gt;=menu!$O$6,"A",IF(CQ21&gt;=menu!$O$7,"B",IF(CQ21&gt;=menu!$O$8,"C","D"))))</f>
        <v>B</v>
      </c>
      <c r="CS21" s="105" t="str">
        <f>IF(CQ21="","",IF(CQ21&gt;=menu!$O$6,"sangat baik",IF(CQ21&gt;=menu!$O$7,"baik",IF(CQ21&gt;=menu!$O$8,"cukup","kurang"))))</f>
        <v>baik</v>
      </c>
      <c r="CT21" s="398" t="str">
        <f t="shared" si="26"/>
        <v>TUNTAS</v>
      </c>
      <c r="CU21" s="397" t="str">
        <f t="shared" si="27"/>
        <v>TIDAK</v>
      </c>
      <c r="CV21" s="115" t="str">
        <f t="shared" si="28"/>
        <v>Memiliki penguasaan semua materi baik,  sudah menguasai Menciptakan kebersamaan warga madrasah yang religius melalui perilaku yang ikhlas, mandiri, dan bebas berkreasi, dan perlu ditingkatkan dalam pengetahuan bahasa arab 10</v>
      </c>
      <c r="CW21" s="108" t="str">
        <f>IF(CI21="","",VLOOKUP(CI21,DATAPENG!$AH$3:$AI$12,2,FALSE))</f>
        <v>Menciptakan kebersamaan warga madrasah yang religius melalui perilaku yang ikhlas, mandiri, dan bebas berkreasi</v>
      </c>
      <c r="CX21" s="108" t="str">
        <f>IF(CJ21="","",VLOOKUP(CJ21,DATAPENG!$AH$3:$AI$12,2,FALSE))</f>
        <v>pengetahuan bahasa arab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3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0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2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4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6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18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0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1"/>
        <v>160.19999999999999</v>
      </c>
      <c r="CN22" s="322">
        <f t="shared" si="22"/>
        <v>87.5</v>
      </c>
      <c r="CO22" s="322">
        <f t="shared" si="23"/>
        <v>77.5</v>
      </c>
      <c r="CP22" s="225">
        <f t="shared" si="24"/>
        <v>81.3</v>
      </c>
      <c r="CQ22" s="323">
        <f t="shared" si="25"/>
        <v>82</v>
      </c>
      <c r="CR22" s="105" t="str">
        <f>IF(CQ22="","",IF(CQ22&gt;=menu!$O$6,"A",IF(CQ22&gt;=menu!$O$7,"B",IF(CQ22&gt;=menu!$O$8,"C","D"))))</f>
        <v>B</v>
      </c>
      <c r="CS22" s="105" t="str">
        <f>IF(CQ22="","",IF(CQ22&gt;=menu!$O$6,"sangat baik",IF(CQ22&gt;=menu!$O$7,"baik",IF(CQ22&gt;=menu!$O$8,"cukup","kurang"))))</f>
        <v>baik</v>
      </c>
      <c r="CT22" s="398" t="str">
        <f t="shared" si="26"/>
        <v>TUNTAS</v>
      </c>
      <c r="CU22" s="397" t="str">
        <f t="shared" si="27"/>
        <v>TIDAK</v>
      </c>
      <c r="CV22" s="115" t="str">
        <f t="shared" si="28"/>
        <v>Memiliki penguasaan semua materi baik,  sudah menguasai pengetahuan bahasa arab 8, dan perlu ditingkatkan dalam pengetahuan bahasa arab 10</v>
      </c>
      <c r="CW22" s="108" t="str">
        <f>IF(CI22="","",VLOOKUP(CI22,DATAPENG!$AJ$3:$AK$12,2,FALSE))</f>
        <v>pengetahuan bahasa arab 8</v>
      </c>
      <c r="CX22" s="108" t="str">
        <f>IF(CJ22="","",VLOOKUP(CJ22,DATAPENG!$AJ$3:$AK$12,2,FALSE))</f>
        <v>pengetahuan bahasa arab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3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0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2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4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6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18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0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1"/>
        <v>152.75</v>
      </c>
      <c r="CN23" s="322">
        <f t="shared" si="22"/>
        <v>90</v>
      </c>
      <c r="CO23" s="322">
        <f t="shared" si="23"/>
        <v>80</v>
      </c>
      <c r="CP23" s="225">
        <f t="shared" si="24"/>
        <v>80.6875</v>
      </c>
      <c r="CQ23" s="323">
        <f t="shared" si="25"/>
        <v>81</v>
      </c>
      <c r="CR23" s="105" t="str">
        <f>IF(CQ23="","",IF(CQ23&gt;=menu!$O$6,"A",IF(CQ23&gt;=menu!$O$7,"B",IF(CQ23&gt;=menu!$O$8,"C","D"))))</f>
        <v>B</v>
      </c>
      <c r="CS23" s="105" t="str">
        <f>IF(CQ23="","",IF(CQ23&gt;=menu!$O$6,"sangat baik",IF(CQ23&gt;=menu!$O$7,"baik",IF(CQ23&gt;=menu!$O$8,"cukup","kurang"))))</f>
        <v>baik</v>
      </c>
      <c r="CT23" s="398" t="str">
        <f t="shared" si="26"/>
        <v>TUNTAS</v>
      </c>
      <c r="CU23" s="397" t="str">
        <f t="shared" si="27"/>
        <v>TIDAK</v>
      </c>
      <c r="CV23" s="115" t="str">
        <f t="shared" si="28"/>
        <v>Memiliki penguasaan semua materi baik,  sudah menguasai pengetahuan bahasa arab 4, dan perlu ditingkatkan dalam pengetahuan bahasa arab 9</v>
      </c>
      <c r="CW23" s="108" t="str">
        <f>IF(CI23="","",VLOOKUP(CI23,DATAPENG!$AL$3:$AM$12,2,FALSE))</f>
        <v>pengetahuan bahasa arab 4</v>
      </c>
      <c r="CX23" s="108" t="str">
        <f>IF(CJ23="","",VLOOKUP(CJ23,DATAPENG!$AL$3:$AM$12,2,FALSE))</f>
        <v>pengetahuan bahasa arab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3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0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2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4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6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18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0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1"/>
        <v>150.6</v>
      </c>
      <c r="CN24" s="322">
        <f t="shared" si="22"/>
        <v>87.5</v>
      </c>
      <c r="CO24" s="322">
        <f t="shared" si="23"/>
        <v>87.5</v>
      </c>
      <c r="CP24" s="225">
        <f t="shared" si="24"/>
        <v>81.400000000000006</v>
      </c>
      <c r="CQ24" s="323">
        <f t="shared" si="25"/>
        <v>82</v>
      </c>
      <c r="CR24" s="105" t="str">
        <f>IF(CQ24="","",IF(CQ24&gt;=menu!$O$6,"A",IF(CQ24&gt;=menu!$O$7,"B",IF(CQ24&gt;=menu!$O$8,"C","D"))))</f>
        <v>B</v>
      </c>
      <c r="CS24" s="105" t="str">
        <f>IF(CQ24="","",IF(CQ24&gt;=menu!$O$6,"sangat baik",IF(CQ24&gt;=menu!$O$7,"baik",IF(CQ24&gt;=menu!$O$8,"cukup","kurang"))))</f>
        <v>baik</v>
      </c>
      <c r="CT24" s="398" t="str">
        <f t="shared" si="26"/>
        <v>TUNTAS</v>
      </c>
      <c r="CU24" s="397" t="str">
        <f t="shared" si="27"/>
        <v>TIDAK</v>
      </c>
      <c r="CV24" s="115" t="str">
        <f t="shared" si="28"/>
        <v>Memiliki penguasaan semua materi baik,  sudah menguasai pengetahuan bahasa arab 7, dan perlu ditingkatkan dalam pengetahuan bahasa arab 10</v>
      </c>
      <c r="CW24" s="108" t="str">
        <f>IF(CI24="","",VLOOKUP(CI24,DATAPENG!$AN$3:$AO$12,2,FALSE))</f>
        <v>pengetahuan bahasa arab 7</v>
      </c>
      <c r="CX24" s="108" t="str">
        <f>IF(CJ24="","",VLOOKUP(CJ24,DATAPENG!$AN$3:$AO$12,2,FALSE))</f>
        <v>pengetahuan bahasa arab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3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0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2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4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6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18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0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1"/>
        <v>158.19999999999999</v>
      </c>
      <c r="CN25" s="322">
        <f t="shared" si="22"/>
        <v>90</v>
      </c>
      <c r="CO25" s="322">
        <f t="shared" si="23"/>
        <v>79</v>
      </c>
      <c r="CP25" s="225">
        <f t="shared" si="24"/>
        <v>81.8</v>
      </c>
      <c r="CQ25" s="323">
        <f t="shared" si="25"/>
        <v>82</v>
      </c>
      <c r="CR25" s="105" t="str">
        <f>IF(CQ25="","",IF(CQ25&gt;=menu!$O$6,"A",IF(CQ25&gt;=menu!$O$7,"B",IF(CQ25&gt;=menu!$O$8,"C","D"))))</f>
        <v>B</v>
      </c>
      <c r="CS25" s="105" t="str">
        <f>IF(CQ25="","",IF(CQ25&gt;=menu!$O$6,"sangat baik",IF(CQ25&gt;=menu!$O$7,"baik",IF(CQ25&gt;=menu!$O$8,"cukup","kurang"))))</f>
        <v>baik</v>
      </c>
      <c r="CT25" s="398" t="str">
        <f t="shared" si="26"/>
        <v>TUNTAS</v>
      </c>
      <c r="CU25" s="397" t="str">
        <f t="shared" si="27"/>
        <v>TIDAK</v>
      </c>
      <c r="CV25" s="115" t="str">
        <f t="shared" si="28"/>
        <v>Memiliki penguasaan semua materi baik,  sudah menguasai Menciptakan kebersamaan warga madrasah yang religius melalui perilaku yang ikhlas, mandiri, dan bebas berkreasi, dan perlu ditingkatkan dalam pengetahuan bahasa arab 10</v>
      </c>
      <c r="CW25" s="108" t="str">
        <f>IF(CI25="","",VLOOKUP(CI25,DATAPENG!$AP$3:$AQ$12,2,FALSE))</f>
        <v>Menciptakan kebersamaan warga madrasah yang religius melalui perilaku yang ikhlas, mandiri, dan bebas berkreasi</v>
      </c>
      <c r="CX25" s="108" t="str">
        <f>IF(CJ25="","",VLOOKUP(CJ25,DATAPENG!$AP$3:$AQ$12,2,FALSE))</f>
        <v>pengetahuan bahasa arab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3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0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2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4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6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18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0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1"/>
        <v>147.4</v>
      </c>
      <c r="CN26" s="322">
        <f t="shared" si="22"/>
        <v>87.5</v>
      </c>
      <c r="CO26" s="322">
        <f t="shared" si="23"/>
        <v>97.5</v>
      </c>
      <c r="CP26" s="225">
        <f t="shared" si="24"/>
        <v>83.1</v>
      </c>
      <c r="CQ26" s="323">
        <f t="shared" si="25"/>
        <v>84</v>
      </c>
      <c r="CR26" s="105" t="str">
        <f>IF(CQ26="","",IF(CQ26&gt;=menu!$O$6,"A",IF(CQ26&gt;=menu!$O$7,"B",IF(CQ26&gt;=menu!$O$8,"C","D"))))</f>
        <v>B</v>
      </c>
      <c r="CS26" s="105" t="str">
        <f>IF(CQ26="","",IF(CQ26&gt;=menu!$O$6,"sangat baik",IF(CQ26&gt;=menu!$O$7,"baik",IF(CQ26&gt;=menu!$O$8,"cukup","kurang"))))</f>
        <v>baik</v>
      </c>
      <c r="CT26" s="398" t="str">
        <f t="shared" si="26"/>
        <v>TUNTAS</v>
      </c>
      <c r="CU26" s="397" t="str">
        <f t="shared" si="27"/>
        <v>TIDAK</v>
      </c>
      <c r="CV26" s="115" t="str">
        <f t="shared" si="28"/>
        <v>Memiliki penguasaan semua materi baik,  sudah menguasai pengetahuan bahasa arab 7, dan perlu ditingkatkan dalam pengetahuan bahasa arab 10</v>
      </c>
      <c r="CW26" s="108" t="str">
        <f>IF(CI26="","",VLOOKUP(CI26,DATAPENG!$AR$3:$AS$12,2,FALSE))</f>
        <v>pengetahuan bahasa arab 7</v>
      </c>
      <c r="CX26" s="108" t="str">
        <f>IF(CJ26="","",VLOOKUP(CJ26,DATAPENG!$AR$3:$AS$12,2,FALSE))</f>
        <v>pengetahuan bahasa arab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3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0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2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4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6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18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0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1"/>
        <v>162.80000000000001</v>
      </c>
      <c r="CN27" s="322">
        <f t="shared" si="22"/>
        <v>90</v>
      </c>
      <c r="CO27" s="322">
        <f t="shared" si="23"/>
        <v>90</v>
      </c>
      <c r="CP27" s="225">
        <f t="shared" si="24"/>
        <v>85.7</v>
      </c>
      <c r="CQ27" s="323">
        <f t="shared" si="25"/>
        <v>86</v>
      </c>
      <c r="CR27" s="105" t="str">
        <f>IF(CQ27="","",IF(CQ27&gt;=menu!$O$6,"A",IF(CQ27&gt;=menu!$O$7,"B",IF(CQ27&gt;=menu!$O$8,"C","D"))))</f>
        <v>B</v>
      </c>
      <c r="CS27" s="105" t="str">
        <f>IF(CQ27="","",IF(CQ27&gt;=menu!$O$6,"sangat baik",IF(CQ27&gt;=menu!$O$7,"baik",IF(CQ27&gt;=menu!$O$8,"cukup","kurang"))))</f>
        <v>baik</v>
      </c>
      <c r="CT27" s="398" t="str">
        <f t="shared" si="26"/>
        <v>TUNTAS</v>
      </c>
      <c r="CU27" s="397" t="str">
        <f t="shared" si="27"/>
        <v>TIDAK</v>
      </c>
      <c r="CV27" s="115" t="str">
        <f t="shared" si="28"/>
        <v>Memiliki penguasaan semua materi baik,  sudah menguasai pengetahuan bahasa arab 4, dan perlu ditingkatkan dalam pengetahuan bahasa arab 10</v>
      </c>
      <c r="CW27" s="108" t="str">
        <f>IF(CI27="","",VLOOKUP(CI27,DATAPENG!$AT$3:$AU$12,2,FALSE))</f>
        <v>pengetahuan bahasa arab 4</v>
      </c>
      <c r="CX27" s="108" t="str">
        <f>IF(CJ27="","",VLOOKUP(CJ27,DATAPENG!$AT$3:$AU$12,2,FALSE))</f>
        <v>pengetahuan bahasa arab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3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0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2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4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6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18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0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1"/>
        <v>161</v>
      </c>
      <c r="CN28" s="322">
        <f t="shared" si="22"/>
        <v>90</v>
      </c>
      <c r="CO28" s="322">
        <f t="shared" si="23"/>
        <v>80</v>
      </c>
      <c r="CP28" s="225">
        <f t="shared" si="24"/>
        <v>82.75</v>
      </c>
      <c r="CQ28" s="323">
        <f t="shared" si="25"/>
        <v>83</v>
      </c>
      <c r="CR28" s="105" t="str">
        <f>IF(CQ28="","",IF(CQ28&gt;=menu!$O$6,"A",IF(CQ28&gt;=menu!$O$7,"B",IF(CQ28&gt;=menu!$O$8,"C","D"))))</f>
        <v>B</v>
      </c>
      <c r="CS28" s="105" t="str">
        <f>IF(CQ28="","",IF(CQ28&gt;=menu!$O$6,"sangat baik",IF(CQ28&gt;=menu!$O$7,"baik",IF(CQ28&gt;=menu!$O$8,"cukup","kurang"))))</f>
        <v>baik</v>
      </c>
      <c r="CT28" s="398" t="str">
        <f t="shared" si="26"/>
        <v>TUNTAS</v>
      </c>
      <c r="CU28" s="397" t="str">
        <f t="shared" si="27"/>
        <v>TIDAK</v>
      </c>
      <c r="CV28" s="115" t="str">
        <f t="shared" si="28"/>
        <v>Memiliki penguasaan semua materi baik,  sudah menguasai Menciptakan kebersamaan warga madrasah yang religius melalui perilaku yang ikhlas, mandiri, dan bebas berkreasi, dan perlu ditingkatkan dalam pengetahuan bahasa arab 10</v>
      </c>
      <c r="CW28" s="108" t="str">
        <f>IF(CI28="","",VLOOKUP(CI28,DATAPENG!$AV$3:$AW$12,2,FALSE))</f>
        <v>Menciptakan kebersamaan warga madrasah yang religius melalui perilaku yang ikhlas, mandiri, dan bebas berkreasi</v>
      </c>
      <c r="CX28" s="108" t="str">
        <f>IF(CJ28="","",VLOOKUP(CJ28,DATAPENG!$AV$3:$AW$12,2,FALSE))</f>
        <v>pengetahuan bahasa arab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3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0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2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4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6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18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0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1"/>
        <v>165.7</v>
      </c>
      <c r="CN29" s="322">
        <f t="shared" si="22"/>
        <v>90</v>
      </c>
      <c r="CO29" s="322">
        <f t="shared" si="23"/>
        <v>82.5</v>
      </c>
      <c r="CP29" s="225">
        <f t="shared" si="24"/>
        <v>84.55</v>
      </c>
      <c r="CQ29" s="323">
        <f t="shared" si="25"/>
        <v>85</v>
      </c>
      <c r="CR29" s="105" t="str">
        <f>IF(CQ29="","",IF(CQ29&gt;=menu!$O$6,"A",IF(CQ29&gt;=menu!$O$7,"B",IF(CQ29&gt;=menu!$O$8,"C","D"))))</f>
        <v>B</v>
      </c>
      <c r="CS29" s="105" t="str">
        <f>IF(CQ29="","",IF(CQ29&gt;=menu!$O$6,"sangat baik",IF(CQ29&gt;=menu!$O$7,"baik",IF(CQ29&gt;=menu!$O$8,"cukup","kurang"))))</f>
        <v>baik</v>
      </c>
      <c r="CT29" s="398" t="str">
        <f t="shared" si="26"/>
        <v>TUNTAS</v>
      </c>
      <c r="CU29" s="397" t="str">
        <f t="shared" si="27"/>
        <v>TUNTAS</v>
      </c>
      <c r="CV29" s="115" t="str">
        <f t="shared" si="28"/>
        <v xml:space="preserve"> Memiliki penguasaan materi sudah baik dalam pengetahuan bahasa arab 8, dan lebih ditingkatkan dalam pengetahuan bahasa arab 10</v>
      </c>
      <c r="CW29" s="108" t="str">
        <f>IF(CI29="","",VLOOKUP(CI29,DATAPENG!$AX$3:$AY$12,2,FALSE))</f>
        <v>pengetahuan bahasa arab 8</v>
      </c>
      <c r="CX29" s="108" t="str">
        <f>IF(CJ29="","",VLOOKUP(CJ29,DATAPENG!$AX$3:$AY$12,2,FALSE))</f>
        <v>pengetahuan bahasa arab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3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0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2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4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6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18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0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1"/>
        <v>162.55000000000001</v>
      </c>
      <c r="CN30" s="322">
        <f t="shared" si="22"/>
        <v>87.5</v>
      </c>
      <c r="CO30" s="322">
        <f t="shared" si="23"/>
        <v>85</v>
      </c>
      <c r="CP30" s="225">
        <f t="shared" si="24"/>
        <v>83.762500000000003</v>
      </c>
      <c r="CQ30" s="323">
        <f t="shared" si="25"/>
        <v>84</v>
      </c>
      <c r="CR30" s="105" t="str">
        <f>IF(CQ30="","",IF(CQ30&gt;=menu!$O$6,"A",IF(CQ30&gt;=menu!$O$7,"B",IF(CQ30&gt;=menu!$O$8,"C","D"))))</f>
        <v>B</v>
      </c>
      <c r="CS30" s="105" t="str">
        <f>IF(CQ30="","",IF(CQ30&gt;=menu!$O$6,"sangat baik",IF(CQ30&gt;=menu!$O$7,"baik",IF(CQ30&gt;=menu!$O$8,"cukup","kurang"))))</f>
        <v>baik</v>
      </c>
      <c r="CT30" s="398" t="str">
        <f t="shared" si="26"/>
        <v>TUNTAS</v>
      </c>
      <c r="CU30" s="397" t="str">
        <f t="shared" si="27"/>
        <v>TIDAK</v>
      </c>
      <c r="CV30" s="115" t="str">
        <f t="shared" si="28"/>
        <v>Memiliki penguasaan semua materi baik,  sudah menguasai pengetahuan bahasa arab 4, dan perlu ditingkatkan dalam pengetahuan bahasa arab 9</v>
      </c>
      <c r="CW30" s="108" t="str">
        <f>IF(CI30="","",VLOOKUP(CI30,DATAPENG!$AZ$3:$BA$12,2,FALSE))</f>
        <v>pengetahuan bahasa arab 4</v>
      </c>
      <c r="CX30" s="108" t="str">
        <f>IF(CJ30="","",VLOOKUP(CJ30,DATAPENG!$AZ$3:$BA$12,2,FALSE))</f>
        <v>pengetahuan bahasa arab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3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0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2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4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6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18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0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1"/>
        <v>170.4</v>
      </c>
      <c r="CN31" s="322">
        <f t="shared" si="22"/>
        <v>90</v>
      </c>
      <c r="CO31" s="322">
        <f t="shared" si="23"/>
        <v>97.5</v>
      </c>
      <c r="CP31" s="225">
        <f t="shared" si="24"/>
        <v>89.474999999999994</v>
      </c>
      <c r="CQ31" s="323">
        <f t="shared" si="25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6"/>
        <v>TUNTAS</v>
      </c>
      <c r="CU31" s="397" t="str">
        <f t="shared" si="27"/>
        <v>TIDAK</v>
      </c>
      <c r="CV31" s="115" t="str">
        <f t="shared" si="28"/>
        <v>Memiliki penguasaan semua materi baik,  sudah menguasai pengetahuan bahasa arab 4, dan perlu ditingkatkan dalam pengetahuan bahasa arab 6</v>
      </c>
      <c r="CW31" s="108" t="str">
        <f>IF(CI31="","",VLOOKUP(CI31,DATAPENG!$BB$3:$BC$12,2,FALSE))</f>
        <v>pengetahuan bahasa arab 4</v>
      </c>
      <c r="CX31" s="108" t="str">
        <f>IF(CJ31="","",VLOOKUP(CJ31,DATAPENG!$BB$3:$BC$12,2,FALSE))</f>
        <v>pengetahuan bahasa arab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3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0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2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4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6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18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0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1"/>
        <v>156.30000000000001</v>
      </c>
      <c r="CN32" s="322">
        <f t="shared" si="22"/>
        <v>90</v>
      </c>
      <c r="CO32" s="322">
        <f t="shared" si="23"/>
        <v>92.5</v>
      </c>
      <c r="CP32" s="225">
        <f t="shared" si="24"/>
        <v>84.7</v>
      </c>
      <c r="CQ32" s="323">
        <f t="shared" si="25"/>
        <v>85</v>
      </c>
      <c r="CR32" s="105" t="str">
        <f>IF(CQ32="","",IF(CQ32&gt;=menu!$O$6,"A",IF(CQ32&gt;=menu!$O$7,"B",IF(CQ32&gt;=menu!$O$8,"C","D"))))</f>
        <v>B</v>
      </c>
      <c r="CS32" s="105" t="str">
        <f>IF(CQ32="","",IF(CQ32&gt;=menu!$O$6,"sangat baik",IF(CQ32&gt;=menu!$O$7,"baik",IF(CQ32&gt;=menu!$O$8,"cukup","kurang"))))</f>
        <v>baik</v>
      </c>
      <c r="CT32" s="398" t="str">
        <f t="shared" si="26"/>
        <v>TUNTAS</v>
      </c>
      <c r="CU32" s="397" t="str">
        <f t="shared" si="27"/>
        <v>TIDAK</v>
      </c>
      <c r="CV32" s="115" t="str">
        <f t="shared" si="28"/>
        <v>Memiliki penguasaan semua materi baik,  sudah menguasai Menciptakan kebersamaan warga madrasah yang religius melalui perilaku yang ikhlas, mandiri, dan bebas berkreasi, dan perlu ditingkatkan dalam pengetahuan bahasa arab 6</v>
      </c>
      <c r="CW32" s="108" t="str">
        <f>IF(CI32="","",VLOOKUP(CI32,DATAPENG!$BD$3:$BE$12,2,FALSE))</f>
        <v>Menciptakan kebersamaan warga madrasah yang religius melalui perilaku yang ikhlas, mandiri, dan bebas berkreasi</v>
      </c>
      <c r="CX32" s="108" t="str">
        <f>IF(CJ32="","",VLOOKUP(CJ32,DATAPENG!$BD$3:$BE$12,2,FALSE))</f>
        <v>pengetahuan bahasa arab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3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0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2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4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6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18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0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1"/>
        <v>157.9</v>
      </c>
      <c r="CN33" s="322">
        <f t="shared" si="22"/>
        <v>95</v>
      </c>
      <c r="CO33" s="322">
        <f t="shared" si="23"/>
        <v>80</v>
      </c>
      <c r="CP33" s="225">
        <f t="shared" si="24"/>
        <v>83.224999999999994</v>
      </c>
      <c r="CQ33" s="323">
        <f t="shared" si="25"/>
        <v>84</v>
      </c>
      <c r="CR33" s="105" t="str">
        <f>IF(CQ33="","",IF(CQ33&gt;=menu!$O$6,"A",IF(CQ33&gt;=menu!$O$7,"B",IF(CQ33&gt;=menu!$O$8,"C","D"))))</f>
        <v>B</v>
      </c>
      <c r="CS33" s="105" t="str">
        <f>IF(CQ33="","",IF(CQ33&gt;=menu!$O$6,"sangat baik",IF(CQ33&gt;=menu!$O$7,"baik",IF(CQ33&gt;=menu!$O$8,"cukup","kurang"))))</f>
        <v>baik</v>
      </c>
      <c r="CT33" s="398" t="str">
        <f t="shared" si="26"/>
        <v>TUNTAS</v>
      </c>
      <c r="CU33" s="397" t="str">
        <f t="shared" si="27"/>
        <v>TIDAK</v>
      </c>
      <c r="CV33" s="115" t="str">
        <f t="shared" si="28"/>
        <v>Memiliki penguasaan semua materi baik,  sudah menguasai pengetahuan bahasa arab 8, dan perlu ditingkatkan dalam pengetahuan bahasa arab 9</v>
      </c>
      <c r="CW33" s="108" t="str">
        <f>IF(CI33="","",VLOOKUP(CI33,DATAPENG!$BF$3:$BG$12,2,FALSE))</f>
        <v>pengetahuan bahasa arab 8</v>
      </c>
      <c r="CX33" s="108" t="str">
        <f>IF(CJ33="","",VLOOKUP(CJ33,DATAPENG!$BF$3:$BG$12,2,FALSE))</f>
        <v>pengetahuan bahasa arab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3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0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2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4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6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18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0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1"/>
        <v>168.1</v>
      </c>
      <c r="CN34" s="322">
        <f t="shared" si="22"/>
        <v>90</v>
      </c>
      <c r="CO34" s="322">
        <f t="shared" si="23"/>
        <v>85</v>
      </c>
      <c r="CP34" s="225">
        <f t="shared" si="24"/>
        <v>85.775000000000006</v>
      </c>
      <c r="CQ34" s="323">
        <f t="shared" si="25"/>
        <v>86</v>
      </c>
      <c r="CR34" s="105" t="str">
        <f>IF(CQ34="","",IF(CQ34&gt;=menu!$O$6,"A",IF(CQ34&gt;=menu!$O$7,"B",IF(CQ34&gt;=menu!$O$8,"C","D"))))</f>
        <v>B</v>
      </c>
      <c r="CS34" s="105" t="str">
        <f>IF(CQ34="","",IF(CQ34&gt;=menu!$O$6,"sangat baik",IF(CQ34&gt;=menu!$O$7,"baik",IF(CQ34&gt;=menu!$O$8,"cukup","kurang"))))</f>
        <v>baik</v>
      </c>
      <c r="CT34" s="398" t="str">
        <f t="shared" si="26"/>
        <v>TUNTAS</v>
      </c>
      <c r="CU34" s="397" t="str">
        <f t="shared" si="27"/>
        <v>TIDAK</v>
      </c>
      <c r="CV34" s="115" t="str">
        <f t="shared" si="28"/>
        <v>Memiliki penguasaan semua materi baik,  sudah menguasai pengetahuan bahasa arab 8, dan perlu ditingkatkan dalam pengetahuan bahasa arab 9</v>
      </c>
      <c r="CW34" s="108" t="str">
        <f>IF(CI34="","",VLOOKUP(CI34,DATAPENG!$BH$3:$BI$12,2,FALSE))</f>
        <v>pengetahuan bahasa arab 8</v>
      </c>
      <c r="CX34" s="108" t="str">
        <f>IF(CJ34="","",VLOOKUP(CJ34,DATAPENG!$BH$3:$BI$12,2,FALSE))</f>
        <v>pengetahuan bahasa arab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3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0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2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4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6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18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0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1"/>
        <v>168.9</v>
      </c>
      <c r="CN35" s="322">
        <f t="shared" si="22"/>
        <v>85</v>
      </c>
      <c r="CO35" s="322">
        <f t="shared" si="23"/>
        <v>95</v>
      </c>
      <c r="CP35" s="225">
        <f t="shared" si="24"/>
        <v>87.224999999999994</v>
      </c>
      <c r="CQ35" s="323">
        <f t="shared" si="25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6"/>
        <v>TUNTAS</v>
      </c>
      <c r="CU35" s="397" t="str">
        <f t="shared" si="27"/>
        <v>TIDAK</v>
      </c>
      <c r="CV35" s="115" t="str">
        <f t="shared" si="28"/>
        <v>Memiliki penguasaan semua materi baik,  sudah menguasai pengetahuan bahasa arab 2, dan perlu ditingkatkan dalam pengetahuan bahasa arab 10</v>
      </c>
      <c r="CW35" s="108" t="str">
        <f>IF(CI35="","",VLOOKUP(CI35,DATAPENG!$BJ$3:$BK$12,2,FALSE))</f>
        <v>pengetahuan bahasa arab 2</v>
      </c>
      <c r="CX35" s="108" t="str">
        <f>IF(CJ35="","",VLOOKUP(CJ35,DATAPENG!$BJ$3:$BK$12,2,FALSE))</f>
        <v>pengetahuan bahasa arab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3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0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2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4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6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18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0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1"/>
        <v>163.15</v>
      </c>
      <c r="CN36" s="322">
        <f t="shared" si="22"/>
        <v>85</v>
      </c>
      <c r="CO36" s="322">
        <f t="shared" si="23"/>
        <v>80</v>
      </c>
      <c r="CP36" s="225">
        <f t="shared" si="24"/>
        <v>82.037499999999994</v>
      </c>
      <c r="CQ36" s="323">
        <f t="shared" si="25"/>
        <v>83</v>
      </c>
      <c r="CR36" s="105" t="str">
        <f>IF(CQ36="","",IF(CQ36&gt;=menu!$O$6,"A",IF(CQ36&gt;=menu!$O$7,"B",IF(CQ36&gt;=menu!$O$8,"C","D"))))</f>
        <v>B</v>
      </c>
      <c r="CS36" s="105" t="str">
        <f>IF(CQ36="","",IF(CQ36&gt;=menu!$O$6,"sangat baik",IF(CQ36&gt;=menu!$O$7,"baik",IF(CQ36&gt;=menu!$O$8,"cukup","kurang"))))</f>
        <v>baik</v>
      </c>
      <c r="CT36" s="398" t="str">
        <f t="shared" si="26"/>
        <v>TUNTAS</v>
      </c>
      <c r="CU36" s="397" t="str">
        <f t="shared" si="27"/>
        <v>TIDAK</v>
      </c>
      <c r="CV36" s="115" t="str">
        <f t="shared" si="28"/>
        <v>Memiliki penguasaan semua materi baik,  sudah menguasai pengetahuan bahasa arab 4, dan perlu ditingkatkan dalam pengetahuan bahasa arab 6</v>
      </c>
      <c r="CW36" s="108" t="str">
        <f>IF(CI36="","",VLOOKUP(CI36,DATAPENG!$BL$3:$BM$12,2,FALSE))</f>
        <v>pengetahuan bahasa arab 4</v>
      </c>
      <c r="CX36" s="108" t="str">
        <f>IF(CJ36="","",VLOOKUP(CJ36,DATAPENG!$BL$3:$BM$12,2,FALSE))</f>
        <v>pengetahuan bahasa arab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3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0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2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4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6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18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0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1"/>
        <v>171.3</v>
      </c>
      <c r="CN37" s="322">
        <f t="shared" si="22"/>
        <v>87.5</v>
      </c>
      <c r="CO37" s="322">
        <f t="shared" si="23"/>
        <v>80</v>
      </c>
      <c r="CP37" s="225">
        <f t="shared" si="24"/>
        <v>84.7</v>
      </c>
      <c r="CQ37" s="323">
        <f t="shared" si="25"/>
        <v>85</v>
      </c>
      <c r="CR37" s="105" t="str">
        <f>IF(CQ37="","",IF(CQ37&gt;=menu!$O$6,"A",IF(CQ37&gt;=menu!$O$7,"B",IF(CQ37&gt;=menu!$O$8,"C","D"))))</f>
        <v>B</v>
      </c>
      <c r="CS37" s="105" t="str">
        <f>IF(CQ37="","",IF(CQ37&gt;=menu!$O$6,"sangat baik",IF(CQ37&gt;=menu!$O$7,"baik",IF(CQ37&gt;=menu!$O$8,"cukup","kurang"))))</f>
        <v>baik</v>
      </c>
      <c r="CT37" s="398" t="str">
        <f t="shared" si="26"/>
        <v>TUNTAS</v>
      </c>
      <c r="CU37" s="397" t="str">
        <f t="shared" si="27"/>
        <v>TIDAK</v>
      </c>
      <c r="CV37" s="115" t="str">
        <f t="shared" si="28"/>
        <v>Memiliki penguasaan semua materi baik,  sudah menguasai Menciptakan kebersamaan warga madrasah yang religius melalui perilaku yang ikhlas, mandiri, dan bebas berkreasi, dan perlu ditingkatkan dalam pengetahuan bahasa arab 10</v>
      </c>
      <c r="CW37" s="108" t="str">
        <f>IF(CI37="","",VLOOKUP(CI37,DATAPENG!$BN$3:$BO$12,2,FALSE))</f>
        <v>Menciptakan kebersamaan warga madrasah yang religius melalui perilaku yang ikhlas, mandiri, dan bebas berkreasi</v>
      </c>
      <c r="CX37" s="108" t="str">
        <f>IF(CJ37="","",VLOOKUP(CJ37,DATAPENG!$BN$3:$BO$12,2,FALSE))</f>
        <v>pengetahuan bahasa arab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3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0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2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4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6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18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0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1"/>
        <v>156.30000000000001</v>
      </c>
      <c r="CN38" s="322">
        <f t="shared" si="22"/>
        <v>87.5</v>
      </c>
      <c r="CO38" s="322">
        <f t="shared" si="23"/>
        <v>75</v>
      </c>
      <c r="CP38" s="225">
        <f t="shared" si="24"/>
        <v>79.7</v>
      </c>
      <c r="CQ38" s="323">
        <f t="shared" si="25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6"/>
        <v>TUNTAS</v>
      </c>
      <c r="CU38" s="397" t="str">
        <f t="shared" si="27"/>
        <v>TIDAK</v>
      </c>
      <c r="CV38" s="115" t="str">
        <f t="shared" si="28"/>
        <v>Memiliki penguasaan semua materi cukup,  sudah menguasai pengetahuan bahasa arab 8, dan perlu ditingkatkan dalam pengetahuan bahasa arab 2</v>
      </c>
      <c r="CW38" s="108" t="str">
        <f>IF(CI38="","",VLOOKUP(CI38,DATAPENG!$BP$3:$BQ$12,2,FALSE))</f>
        <v>pengetahuan bahasa arab 8</v>
      </c>
      <c r="CX38" s="108" t="str">
        <f>IF(CJ38="","",VLOOKUP(CJ38,DATAPENG!$BP$3:$BQ$12,2,FALSE))</f>
        <v>pengetahuan bahasa arab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3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0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2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4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6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18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0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1"/>
        <v>156.1</v>
      </c>
      <c r="CN39" s="322">
        <f t="shared" si="22"/>
        <v>90</v>
      </c>
      <c r="CO39" s="322">
        <f t="shared" si="23"/>
        <v>92.5</v>
      </c>
      <c r="CP39" s="225">
        <f t="shared" si="24"/>
        <v>84.65</v>
      </c>
      <c r="CQ39" s="323">
        <f t="shared" si="25"/>
        <v>85</v>
      </c>
      <c r="CR39" s="105" t="str">
        <f>IF(CQ39="","",IF(CQ39&gt;=menu!$O$6,"A",IF(CQ39&gt;=menu!$O$7,"B",IF(CQ39&gt;=menu!$O$8,"C","D"))))</f>
        <v>B</v>
      </c>
      <c r="CS39" s="105" t="str">
        <f>IF(CQ39="","",IF(CQ39&gt;=menu!$O$6,"sangat baik",IF(CQ39&gt;=menu!$O$7,"baik",IF(CQ39&gt;=menu!$O$8,"cukup","kurang"))))</f>
        <v>baik</v>
      </c>
      <c r="CT39" s="398" t="str">
        <f t="shared" si="26"/>
        <v>TUNTAS</v>
      </c>
      <c r="CU39" s="397" t="str">
        <f t="shared" si="27"/>
        <v>TIDAK</v>
      </c>
      <c r="CV39" s="115" t="str">
        <f t="shared" si="28"/>
        <v>Memiliki penguasaan semua materi baik,  sudah menguasai pengetahuan bahasa arab 4, dan perlu ditingkatkan dalam pengetahuan bahasa arab 10</v>
      </c>
      <c r="CW39" s="108" t="str">
        <f>IF(CI39="","",VLOOKUP(CI39,DATAPENG!$BR$3:$BS$12,2,FALSE))</f>
        <v>pengetahuan bahasa arab 4</v>
      </c>
      <c r="CX39" s="108" t="str">
        <f>IF(CJ39="","",VLOOKUP(CJ39,DATAPENG!$BR$3:$BS$12,2,FALSE))</f>
        <v>pengetahuan bahasa arab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3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0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2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4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6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18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0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1"/>
        <v>151.65</v>
      </c>
      <c r="CN40" s="322">
        <f t="shared" si="22"/>
        <v>87.5</v>
      </c>
      <c r="CO40" s="322">
        <f t="shared" si="23"/>
        <v>87.5</v>
      </c>
      <c r="CP40" s="225">
        <f t="shared" si="24"/>
        <v>81.662499999999994</v>
      </c>
      <c r="CQ40" s="323">
        <f t="shared" si="25"/>
        <v>82</v>
      </c>
      <c r="CR40" s="105" t="str">
        <f>IF(CQ40="","",IF(CQ40&gt;=menu!$O$6,"A",IF(CQ40&gt;=menu!$O$7,"B",IF(CQ40&gt;=menu!$O$8,"C","D"))))</f>
        <v>B</v>
      </c>
      <c r="CS40" s="105" t="str">
        <f>IF(CQ40="","",IF(CQ40&gt;=menu!$O$6,"sangat baik",IF(CQ40&gt;=menu!$O$7,"baik",IF(CQ40&gt;=menu!$O$8,"cukup","kurang"))))</f>
        <v>baik</v>
      </c>
      <c r="CT40" s="398" t="str">
        <f t="shared" si="26"/>
        <v>TUNTAS</v>
      </c>
      <c r="CU40" s="397" t="str">
        <f t="shared" si="27"/>
        <v>TIDAK</v>
      </c>
      <c r="CV40" s="115" t="str">
        <f t="shared" si="28"/>
        <v>Memiliki penguasaan semua materi baik,  sudah menguasai Menciptakan kebersamaan warga madrasah yang religius melalui perilaku yang ikhlas, mandiri, dan bebas berkreasi, dan perlu ditingkatkan dalam pengetahuan bahasa arab 9</v>
      </c>
      <c r="CW40" s="108" t="str">
        <f>IF(CI40="","",VLOOKUP(CI40,DATAPENG!$BT$3:$BU$12,2,FALSE))</f>
        <v>Menciptakan kebersamaan warga madrasah yang religius melalui perilaku yang ikhlas, mandiri, dan bebas berkreasi</v>
      </c>
      <c r="CX40" s="108" t="str">
        <f>IF(CJ40="","",VLOOKUP(CJ40,DATAPENG!$BT$3:$BU$12,2,FALSE))</f>
        <v>pengetahuan bahasa arab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3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0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2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4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6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18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0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1"/>
        <v>151.55000000000001</v>
      </c>
      <c r="CN41" s="322">
        <f t="shared" si="22"/>
        <v>90</v>
      </c>
      <c r="CO41" s="322">
        <f t="shared" si="23"/>
        <v>77.5</v>
      </c>
      <c r="CP41" s="225">
        <f t="shared" si="24"/>
        <v>79.762500000000003</v>
      </c>
      <c r="CQ41" s="323">
        <f t="shared" si="25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6"/>
        <v>TUNTAS</v>
      </c>
      <c r="CU41" s="397" t="str">
        <f t="shared" si="27"/>
        <v>TIDAK</v>
      </c>
      <c r="CV41" s="115" t="str">
        <f t="shared" si="28"/>
        <v>Memiliki penguasaan semua materi cukup,  sudah menguasai pengetahuan bahasa arab 3, dan perlu ditingkatkan dalam pengetahuan bahasa arab 10</v>
      </c>
      <c r="CW41" s="108" t="str">
        <f>IF(CI41="","",VLOOKUP(CI41,DATAPENG!$BV$3:$BW$12,2,FALSE))</f>
        <v>pengetahuan bahasa arab 3</v>
      </c>
      <c r="CX41" s="108" t="str">
        <f>IF(CJ41="","",VLOOKUP(CJ41,DATAPENG!$BV$3:$BW$12,2,FALSE))</f>
        <v>pengetahuan bahasa arab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3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0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2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4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6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18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0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1"/>
        <v>160.25</v>
      </c>
      <c r="CN42" s="322">
        <f t="shared" si="22"/>
        <v>87.5</v>
      </c>
      <c r="CO42" s="322">
        <f t="shared" si="23"/>
        <v>80</v>
      </c>
      <c r="CP42" s="225">
        <f t="shared" si="24"/>
        <v>81.9375</v>
      </c>
      <c r="CQ42" s="323">
        <f t="shared" si="25"/>
        <v>82</v>
      </c>
      <c r="CR42" s="105" t="str">
        <f>IF(CQ42="","",IF(CQ42&gt;=menu!$O$6,"A",IF(CQ42&gt;=menu!$O$7,"B",IF(CQ42&gt;=menu!$O$8,"C","D"))))</f>
        <v>B</v>
      </c>
      <c r="CS42" s="105" t="str">
        <f>IF(CQ42="","",IF(CQ42&gt;=menu!$O$6,"sangat baik",IF(CQ42&gt;=menu!$O$7,"baik",IF(CQ42&gt;=menu!$O$8,"cukup","kurang"))))</f>
        <v>baik</v>
      </c>
      <c r="CT42" s="398" t="str">
        <f t="shared" si="26"/>
        <v>TUNTAS</v>
      </c>
      <c r="CU42" s="397" t="str">
        <f t="shared" si="27"/>
        <v>TIDAK</v>
      </c>
      <c r="CV42" s="115" t="str">
        <f t="shared" si="28"/>
        <v>Memiliki penguasaan semua materi baik,  sudah menguasai pengetahuan bahasa arab 8, dan perlu ditingkatkan dalam pengetahuan bahasa arab 10</v>
      </c>
      <c r="CW42" s="108" t="str">
        <f>IF(CI42="","",VLOOKUP(CI42,DATAPENG!$BX$3:$BY$12,2,FALSE))</f>
        <v>pengetahuan bahasa arab 8</v>
      </c>
      <c r="CX42" s="108" t="str">
        <f>IF(CJ42="","",VLOOKUP(CJ42,DATAPENG!$BX$3:$BY$12,2,FALSE))</f>
        <v>pengetahuan bahasa arab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3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0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2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4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6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18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0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1"/>
        <v>165.9</v>
      </c>
      <c r="CN43" s="322">
        <f t="shared" si="22"/>
        <v>90</v>
      </c>
      <c r="CO43" s="322">
        <f t="shared" si="23"/>
        <v>87.5</v>
      </c>
      <c r="CP43" s="225">
        <f t="shared" si="24"/>
        <v>85.85</v>
      </c>
      <c r="CQ43" s="323">
        <f t="shared" si="25"/>
        <v>86</v>
      </c>
      <c r="CR43" s="105" t="str">
        <f>IF(CQ43="","",IF(CQ43&gt;=menu!$O$6,"A",IF(CQ43&gt;=menu!$O$7,"B",IF(CQ43&gt;=menu!$O$8,"C","D"))))</f>
        <v>B</v>
      </c>
      <c r="CS43" s="105" t="str">
        <f>IF(CQ43="","",IF(CQ43&gt;=menu!$O$6,"sangat baik",IF(CQ43&gt;=menu!$O$7,"baik",IF(CQ43&gt;=menu!$O$8,"cukup","kurang"))))</f>
        <v>baik</v>
      </c>
      <c r="CT43" s="398" t="str">
        <f t="shared" si="26"/>
        <v>TUNTAS</v>
      </c>
      <c r="CU43" s="397" t="str">
        <f t="shared" si="27"/>
        <v>TIDAK</v>
      </c>
      <c r="CV43" s="115" t="str">
        <f t="shared" si="28"/>
        <v>Memiliki penguasaan semua materi baik,  sudah menguasai pengetahuan bahasa arab 4, dan perlu ditingkatkan dalam pengetahuan bahasa arab 10</v>
      </c>
      <c r="CW43" s="108" t="str">
        <f>IF(CI43="","",VLOOKUP(CI43,DATAPENG!$BZ$3:$CA$12,2,FALSE))</f>
        <v>pengetahuan bahasa arab 4</v>
      </c>
      <c r="CX43" s="108" t="str">
        <f>IF(CJ43="","",VLOOKUP(CJ43,DATAPENG!$BZ$3:$CA$12,2,FALSE))</f>
        <v>pengetahuan bahasa arab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3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0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2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4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6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18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0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1"/>
        <v>160.69999999999999</v>
      </c>
      <c r="CN44" s="322">
        <f t="shared" si="22"/>
        <v>87.5</v>
      </c>
      <c r="CO44" s="322">
        <f t="shared" si="23"/>
        <v>79</v>
      </c>
      <c r="CP44" s="225">
        <f t="shared" si="24"/>
        <v>81.8</v>
      </c>
      <c r="CQ44" s="323">
        <f t="shared" si="25"/>
        <v>82</v>
      </c>
      <c r="CR44" s="105" t="str">
        <f>IF(CQ44="","",IF(CQ44&gt;=menu!$O$6,"A",IF(CQ44&gt;=menu!$O$7,"B",IF(CQ44&gt;=menu!$O$8,"C","D"))))</f>
        <v>B</v>
      </c>
      <c r="CS44" s="105" t="str">
        <f>IF(CQ44="","",IF(CQ44&gt;=menu!$O$6,"sangat baik",IF(CQ44&gt;=menu!$O$7,"baik",IF(CQ44&gt;=menu!$O$8,"cukup","kurang"))))</f>
        <v>baik</v>
      </c>
      <c r="CT44" s="398" t="str">
        <f t="shared" si="26"/>
        <v>TUNTAS</v>
      </c>
      <c r="CU44" s="397" t="str">
        <f t="shared" si="27"/>
        <v>TIDAK</v>
      </c>
      <c r="CV44" s="115" t="str">
        <f t="shared" si="28"/>
        <v>Memiliki penguasaan semua materi baik,  sudah menguasai pengetahuan bahasa arab 2, dan perlu ditingkatkan dalam pengetahuan bahasa arab 9</v>
      </c>
      <c r="CW44" s="108" t="str">
        <f>IF(CI44="","",VLOOKUP(CI44,DATAPENG!$CB$3:$CC$12,2,FALSE))</f>
        <v>pengetahuan bahasa arab 2</v>
      </c>
      <c r="CX44" s="108" t="str">
        <f>IF(CJ44="","",VLOOKUP(CJ44,DATAPENG!$CB$3:$CC$12,2,FALSE))</f>
        <v>pengetahuan bahasa arab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3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0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2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4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6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18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0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1"/>
        <v>160.25</v>
      </c>
      <c r="CN45" s="322">
        <f t="shared" si="22"/>
        <v>90</v>
      </c>
      <c r="CO45" s="322">
        <f t="shared" si="23"/>
        <v>97.5</v>
      </c>
      <c r="CP45" s="225">
        <f t="shared" si="24"/>
        <v>86.9375</v>
      </c>
      <c r="CQ45" s="323">
        <f t="shared" si="25"/>
        <v>87</v>
      </c>
      <c r="CR45" s="105" t="str">
        <f>IF(CQ45="","",IF(CQ45&gt;=menu!$O$6,"A",IF(CQ45&gt;=menu!$O$7,"B",IF(CQ45&gt;=menu!$O$8,"C","D"))))</f>
        <v>B</v>
      </c>
      <c r="CS45" s="105" t="str">
        <f>IF(CQ45="","",IF(CQ45&gt;=menu!$O$6,"sangat baik",IF(CQ45&gt;=menu!$O$7,"baik",IF(CQ45&gt;=menu!$O$8,"cukup","kurang"))))</f>
        <v>baik</v>
      </c>
      <c r="CT45" s="398" t="str">
        <f t="shared" si="26"/>
        <v>TUNTAS</v>
      </c>
      <c r="CU45" s="397" t="str">
        <f t="shared" si="27"/>
        <v>TIDAK</v>
      </c>
      <c r="CV45" s="115" t="str">
        <f t="shared" si="28"/>
        <v>Memiliki penguasaan semua materi baik,  sudah menguasai Menciptakan kebersamaan warga madrasah yang religius melalui perilaku yang ikhlas, mandiri, dan bebas berkreasi, dan perlu ditingkatkan dalam pengetahuan bahasa arab 10</v>
      </c>
      <c r="CW45" s="108" t="str">
        <f>IF(CI45="","",VLOOKUP(CI45,DATAPENG!$CD$3:$CE$12,2,FALSE))</f>
        <v>Menciptakan kebersamaan warga madrasah yang religius melalui perilaku yang ikhlas, mandiri, dan bebas berkreasi</v>
      </c>
      <c r="CX45" s="108" t="str">
        <f>IF(CJ45="","",VLOOKUP(CJ45,DATAPENG!$CD$3:$CE$12,2,FALSE))</f>
        <v>pengetahuan bahasa arab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3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0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2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4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6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18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0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1"/>
        <v>165</v>
      </c>
      <c r="CN46" s="322">
        <f t="shared" si="22"/>
        <v>87.5</v>
      </c>
      <c r="CO46" s="322">
        <f t="shared" si="23"/>
        <v>90</v>
      </c>
      <c r="CP46" s="225">
        <f t="shared" si="24"/>
        <v>85.625</v>
      </c>
      <c r="CQ46" s="323">
        <f t="shared" si="25"/>
        <v>86</v>
      </c>
      <c r="CR46" s="105" t="str">
        <f>IF(CQ46="","",IF(CQ46&gt;=menu!$O$6,"A",IF(CQ46&gt;=menu!$O$7,"B",IF(CQ46&gt;=menu!$O$8,"C","D"))))</f>
        <v>B</v>
      </c>
      <c r="CS46" s="105" t="str">
        <f>IF(CQ46="","",IF(CQ46&gt;=menu!$O$6,"sangat baik",IF(CQ46&gt;=menu!$O$7,"baik",IF(CQ46&gt;=menu!$O$8,"cukup","kurang"))))</f>
        <v>baik</v>
      </c>
      <c r="CT46" s="398" t="str">
        <f t="shared" si="26"/>
        <v>TUNTAS</v>
      </c>
      <c r="CU46" s="397" t="str">
        <f t="shared" si="27"/>
        <v>TIDAK</v>
      </c>
      <c r="CV46" s="115" t="str">
        <f t="shared" si="28"/>
        <v>Memiliki penguasaan semua materi baik,  sudah menguasai pengetahuan bahasa arab 4, dan perlu ditingkatkan dalam pengetahuan bahasa arab 6</v>
      </c>
      <c r="CW46" s="108" t="str">
        <f>IF(CI46="","",VLOOKUP(CI46,DATAPENG!$CF$3:$CG$12,2,FALSE))</f>
        <v>pengetahuan bahasa arab 4</v>
      </c>
      <c r="CX46" s="108" t="str">
        <f>IF(CJ46="","",VLOOKUP(CJ46,DATAPENG!$CF$3:$CG$12,2,FALSE))</f>
        <v>pengetahuan bahasa arab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3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0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2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4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6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18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0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1"/>
        <v>160.35</v>
      </c>
      <c r="CN47" s="322">
        <f t="shared" si="22"/>
        <v>90</v>
      </c>
      <c r="CO47" s="322">
        <f t="shared" si="23"/>
        <v>80</v>
      </c>
      <c r="CP47" s="225">
        <f t="shared" si="24"/>
        <v>82.587500000000006</v>
      </c>
      <c r="CQ47" s="323">
        <f t="shared" si="25"/>
        <v>83</v>
      </c>
      <c r="CR47" s="105" t="str">
        <f>IF(CQ47="","",IF(CQ47&gt;=menu!$O$6,"A",IF(CQ47&gt;=menu!$O$7,"B",IF(CQ47&gt;=menu!$O$8,"C","D"))))</f>
        <v>B</v>
      </c>
      <c r="CS47" s="105" t="str">
        <f>IF(CQ47="","",IF(CQ47&gt;=menu!$O$6,"sangat baik",IF(CQ47&gt;=menu!$O$7,"baik",IF(CQ47&gt;=menu!$O$8,"cukup","kurang"))))</f>
        <v>baik</v>
      </c>
      <c r="CT47" s="398" t="str">
        <f t="shared" si="26"/>
        <v>TUNTAS</v>
      </c>
      <c r="CU47" s="397" t="str">
        <f t="shared" si="27"/>
        <v>TIDAK</v>
      </c>
      <c r="CV47" s="115" t="str">
        <f t="shared" si="28"/>
        <v>Memiliki penguasaan semua materi baik,  sudah menguasai pengetahuan bahasa arab 4, dan perlu ditingkatkan dalam pengetahuan bahasa arab 6</v>
      </c>
      <c r="CW47" s="108" t="str">
        <f>IF(CI47="","",VLOOKUP(CI47,DATAPENG!$CH$3:$CI$12,2,FALSE))</f>
        <v>pengetahuan bahasa arab 4</v>
      </c>
      <c r="CX47" s="108" t="str">
        <f>IF(CJ47="","",VLOOKUP(CJ47,DATAPENG!$CH$3:$CI$12,2,FALSE))</f>
        <v>pengetahuan bahasa arab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3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0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2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4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6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18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0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1"/>
        <v>163.80000000000001</v>
      </c>
      <c r="CN48" s="322">
        <f t="shared" si="22"/>
        <v>90</v>
      </c>
      <c r="CO48" s="322">
        <f t="shared" si="23"/>
        <v>82.5</v>
      </c>
      <c r="CP48" s="225">
        <f t="shared" si="24"/>
        <v>84.075000000000003</v>
      </c>
      <c r="CQ48" s="323">
        <f t="shared" si="25"/>
        <v>85</v>
      </c>
      <c r="CR48" s="105" t="str">
        <f>IF(CQ48="","",IF(CQ48&gt;=menu!$O$6,"A",IF(CQ48&gt;=menu!$O$7,"B",IF(CQ48&gt;=menu!$O$8,"C","D"))))</f>
        <v>B</v>
      </c>
      <c r="CS48" s="105" t="str">
        <f>IF(CQ48="","",IF(CQ48&gt;=menu!$O$6,"sangat baik",IF(CQ48&gt;=menu!$O$7,"baik",IF(CQ48&gt;=menu!$O$8,"cukup","kurang"))))</f>
        <v>baik</v>
      </c>
      <c r="CT48" s="398" t="str">
        <f t="shared" si="26"/>
        <v>TUNTAS</v>
      </c>
      <c r="CU48" s="397" t="str">
        <f t="shared" si="27"/>
        <v>TIDAK</v>
      </c>
      <c r="CV48" s="115" t="str">
        <f t="shared" si="28"/>
        <v>Memiliki penguasaan semua materi baik,  sudah menguasai pengetahuan bahasa arab 2, dan perlu ditingkatkan dalam pengetahuan bahasa arab 10</v>
      </c>
      <c r="CW48" s="108" t="str">
        <f>IF(CI48="","",VLOOKUP(CI48,DATAPENG!$CJ$3:$CK$12,2,FALSE))</f>
        <v>pengetahuan bahasa arab 2</v>
      </c>
      <c r="CX48" s="108" t="str">
        <f>IF(CJ48="","",VLOOKUP(CJ48,DATAPENG!$CJ$3:$CK$12,2,FALSE))</f>
        <v>pengetahuan bahasa arab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3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0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2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4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6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18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0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1"/>
        <v>171.25</v>
      </c>
      <c r="CN49" s="322">
        <f t="shared" si="22"/>
        <v>90</v>
      </c>
      <c r="CO49" s="322">
        <f t="shared" si="23"/>
        <v>85</v>
      </c>
      <c r="CP49" s="225">
        <f t="shared" si="24"/>
        <v>86.5625</v>
      </c>
      <c r="CQ49" s="323">
        <f t="shared" si="25"/>
        <v>87</v>
      </c>
      <c r="CR49" s="105" t="str">
        <f>IF(CQ49="","",IF(CQ49&gt;=menu!$O$6,"A",IF(CQ49&gt;=menu!$O$7,"B",IF(CQ49&gt;=menu!$O$8,"C","D"))))</f>
        <v>B</v>
      </c>
      <c r="CS49" s="105" t="str">
        <f>IF(CQ49="","",IF(CQ49&gt;=menu!$O$6,"sangat baik",IF(CQ49&gt;=menu!$O$7,"baik",IF(CQ49&gt;=menu!$O$8,"cukup","kurang"))))</f>
        <v>baik</v>
      </c>
      <c r="CT49" s="398" t="str">
        <f t="shared" si="26"/>
        <v>TUNTAS</v>
      </c>
      <c r="CU49" s="397" t="str">
        <f t="shared" si="27"/>
        <v>TIDAK</v>
      </c>
      <c r="CV49" s="115" t="str">
        <f t="shared" si="28"/>
        <v>Memiliki penguasaan semua materi baik,  sudah menguasai pengetahuan bahasa arab 8, dan perlu ditingkatkan dalam pengetahuan bahasa arab 6</v>
      </c>
      <c r="CW49" s="108" t="str">
        <f>IF(CI49="","",VLOOKUP(CI49,DATAPENG!$CL$3:$CM$12,2,FALSE))</f>
        <v>pengetahuan bahasa arab 8</v>
      </c>
      <c r="CX49" s="108" t="str">
        <f>IF(CJ49="","",VLOOKUP(CJ49,DATAPENG!$CL$3:$CM$12,2,FALSE))</f>
        <v>pengetahuan bahasa arab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3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0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2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4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6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18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0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1"/>
        <v>156.9</v>
      </c>
      <c r="CN50" s="322">
        <f t="shared" si="22"/>
        <v>87.5</v>
      </c>
      <c r="CO50" s="322">
        <f t="shared" si="23"/>
        <v>97.5</v>
      </c>
      <c r="CP50" s="225">
        <f t="shared" si="24"/>
        <v>85.474999999999994</v>
      </c>
      <c r="CQ50" s="323">
        <f t="shared" si="25"/>
        <v>86</v>
      </c>
      <c r="CR50" s="105" t="str">
        <f>IF(CQ50="","",IF(CQ50&gt;=menu!$O$6,"A",IF(CQ50&gt;=menu!$O$7,"B",IF(CQ50&gt;=menu!$O$8,"C","D"))))</f>
        <v>B</v>
      </c>
      <c r="CS50" s="105" t="str">
        <f>IF(CQ50="","",IF(CQ50&gt;=menu!$O$6,"sangat baik",IF(CQ50&gt;=menu!$O$7,"baik",IF(CQ50&gt;=menu!$O$8,"cukup","kurang"))))</f>
        <v>baik</v>
      </c>
      <c r="CT50" s="398" t="str">
        <f t="shared" si="26"/>
        <v>TUNTAS</v>
      </c>
      <c r="CU50" s="397" t="str">
        <f t="shared" si="27"/>
        <v>TIDAK</v>
      </c>
      <c r="CV50" s="115" t="str">
        <f t="shared" si="28"/>
        <v>Memiliki penguasaan semua materi baik,  sudah menguasai pengetahuan bahasa arab 4, dan perlu ditingkatkan dalam pengetahuan bahasa arab 9</v>
      </c>
      <c r="CW50" s="108" t="str">
        <f>IF(CI50="","",VLOOKUP(CI50,DATAPENG!$CN$3:$CO$12,2,FALSE))</f>
        <v>pengetahuan bahasa arab 4</v>
      </c>
      <c r="CX50" s="108" t="str">
        <f>IF(CJ50="","",VLOOKUP(CJ50,DATAPENG!$CN$3:$CO$12,2,FALSE))</f>
        <v>pengetahuan bahasa arab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3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0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2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4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6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18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0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1"/>
        <v>160.85</v>
      </c>
      <c r="CN51" s="322">
        <f t="shared" si="22"/>
        <v>90</v>
      </c>
      <c r="CO51" s="322">
        <f t="shared" si="23"/>
        <v>92.5</v>
      </c>
      <c r="CP51" s="225">
        <f t="shared" si="24"/>
        <v>85.837500000000006</v>
      </c>
      <c r="CQ51" s="323">
        <f t="shared" si="25"/>
        <v>86</v>
      </c>
      <c r="CR51" s="105" t="str">
        <f>IF(CQ51="","",IF(CQ51&gt;=menu!$O$6,"A",IF(CQ51&gt;=menu!$O$7,"B",IF(CQ51&gt;=menu!$O$8,"C","D"))))</f>
        <v>B</v>
      </c>
      <c r="CS51" s="105" t="str">
        <f>IF(CQ51="","",IF(CQ51&gt;=menu!$O$6,"sangat baik",IF(CQ51&gt;=menu!$O$7,"baik",IF(CQ51&gt;=menu!$O$8,"cukup","kurang"))))</f>
        <v>baik</v>
      </c>
      <c r="CT51" s="398" t="str">
        <f t="shared" si="26"/>
        <v>TUNTAS</v>
      </c>
      <c r="CU51" s="397" t="str">
        <f t="shared" si="27"/>
        <v>TIDAK</v>
      </c>
      <c r="CV51" s="115" t="str">
        <f t="shared" si="28"/>
        <v>Memiliki penguasaan semua materi baik,  sudah menguasai pengetahuan bahasa arab 4, dan perlu ditingkatkan dalam pengetahuan bahasa arab 6</v>
      </c>
      <c r="CW51" s="108" t="str">
        <f>IF(CI51="","",VLOOKUP(CI51,DATAPENG!$CP$3:$CQ$12,2,FALSE))</f>
        <v>pengetahuan bahasa arab 4</v>
      </c>
      <c r="CX51" s="108" t="str">
        <f>IF(CJ51="","",VLOOKUP(CJ51,DATAPENG!$CP$3:$CQ$12,2,FALSE))</f>
        <v>pengetahuan bahasa arab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3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0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2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4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6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18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0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1"/>
        <v>168.2</v>
      </c>
      <c r="CN52" s="322">
        <f t="shared" si="22"/>
        <v>90</v>
      </c>
      <c r="CO52" s="322">
        <f t="shared" si="23"/>
        <v>80</v>
      </c>
      <c r="CP52" s="225">
        <f t="shared" si="24"/>
        <v>84.55</v>
      </c>
      <c r="CQ52" s="323">
        <f t="shared" si="25"/>
        <v>85</v>
      </c>
      <c r="CR52" s="105" t="str">
        <f>IF(CQ52="","",IF(CQ52&gt;=menu!$O$6,"A",IF(CQ52&gt;=menu!$O$7,"B",IF(CQ52&gt;=menu!$O$8,"C","D"))))</f>
        <v>B</v>
      </c>
      <c r="CS52" s="105" t="str">
        <f>IF(CQ52="","",IF(CQ52&gt;=menu!$O$6,"sangat baik",IF(CQ52&gt;=menu!$O$7,"baik",IF(CQ52&gt;=menu!$O$8,"cukup","kurang"))))</f>
        <v>baik</v>
      </c>
      <c r="CT52" s="398" t="str">
        <f t="shared" si="26"/>
        <v>TUNTAS</v>
      </c>
      <c r="CU52" s="397" t="str">
        <f t="shared" si="27"/>
        <v>TIDAK</v>
      </c>
      <c r="CV52" s="115" t="str">
        <f t="shared" si="28"/>
        <v>Memiliki penguasaan semua materi baik,  sudah menguasai pengetahuan bahasa arab 2, dan perlu ditingkatkan dalam pengetahuan bahasa arab 10</v>
      </c>
      <c r="CW52" s="108" t="str">
        <f>IF(CI52="","",VLOOKUP(CI52,DATAPENG!$CR$3:$CS$12,2,FALSE))</f>
        <v>pengetahuan bahasa arab 2</v>
      </c>
      <c r="CX52" s="108" t="str">
        <f>IF(CJ52="","",VLOOKUP(CJ52,DATAPENG!$CR$3:$CS$12,2,FALSE))</f>
        <v>pengetahuan bahasa arab 10</v>
      </c>
    </row>
    <row r="53" spans="1:102">
      <c r="CW53" s="223"/>
    </row>
  </sheetData>
  <sheetProtection password="D4C3" sheet="1" objects="1" scenarios="1"/>
  <mergeCells count="50"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</mergeCells>
  <conditionalFormatting sqref="CT5:CU52">
    <cfRule type="containsText" dxfId="1" priority="2" operator="containsText" text="TIDAK">
      <formula>NOT(ISERROR(SEARCH("TIDAK",CT5)))</formula>
    </cfRule>
  </conditionalFormatting>
  <conditionalFormatting sqref="CQ5:CQ52">
    <cfRule type="cellIs" dxfId="0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6" t="s">
        <v>369</v>
      </c>
      <c r="AY1" s="616"/>
      <c r="AZ1" s="616" t="s">
        <v>370</v>
      </c>
      <c r="BA1" s="616"/>
      <c r="BB1" s="616" t="s">
        <v>371</v>
      </c>
      <c r="BC1" s="616"/>
      <c r="BD1" s="616" t="s">
        <v>372</v>
      </c>
      <c r="BE1" s="616"/>
      <c r="BF1" s="616" t="s">
        <v>373</v>
      </c>
      <c r="BG1" s="616"/>
      <c r="BH1" s="616" t="s">
        <v>374</v>
      </c>
      <c r="BI1" s="616"/>
      <c r="BJ1" s="616" t="s">
        <v>375</v>
      </c>
      <c r="BK1" s="616"/>
      <c r="BL1" s="616" t="s">
        <v>376</v>
      </c>
      <c r="BM1" s="616"/>
      <c r="BN1" s="616" t="s">
        <v>377</v>
      </c>
      <c r="BO1" s="616"/>
      <c r="BP1" s="616" t="s">
        <v>378</v>
      </c>
      <c r="BQ1" s="616"/>
      <c r="BR1" s="616" t="s">
        <v>379</v>
      </c>
      <c r="BS1" s="616"/>
      <c r="BT1" s="616" t="s">
        <v>380</v>
      </c>
      <c r="BU1" s="616"/>
      <c r="BV1" s="616" t="s">
        <v>381</v>
      </c>
      <c r="BW1" s="616"/>
      <c r="BX1" s="616" t="s">
        <v>382</v>
      </c>
      <c r="BY1" s="616"/>
      <c r="BZ1" s="616" t="s">
        <v>383</v>
      </c>
      <c r="CA1" s="616"/>
      <c r="CB1" s="616" t="s">
        <v>384</v>
      </c>
      <c r="CC1" s="616"/>
      <c r="CD1" s="616" t="s">
        <v>385</v>
      </c>
      <c r="CE1" s="616"/>
      <c r="CF1" s="616" t="s">
        <v>386</v>
      </c>
      <c r="CG1" s="616"/>
      <c r="CH1" s="616" t="s">
        <v>387</v>
      </c>
      <c r="CI1" s="616"/>
      <c r="CJ1" s="616" t="s">
        <v>388</v>
      </c>
      <c r="CK1" s="616"/>
      <c r="CL1" s="616" t="s">
        <v>389</v>
      </c>
      <c r="CM1" s="616"/>
      <c r="CN1" s="616" t="s">
        <v>390</v>
      </c>
      <c r="CO1" s="616"/>
      <c r="CP1" s="616" t="s">
        <v>391</v>
      </c>
      <c r="CQ1" s="616"/>
      <c r="CR1" s="616" t="s">
        <v>392</v>
      </c>
      <c r="CS1" s="616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90</v>
      </c>
      <c r="C3" s="89" t="str">
        <f>IF(B3="","",IF('Input Nilai Pengetahuan'!$F$1="","",'Input Nilai Pengetahuan'!$F$1))</f>
        <v>Menciptakan kebersamaan warga madrasah yang religius melalui perilaku yang ikhlas, mandiri, dan bebas berkreasi</v>
      </c>
      <c r="D3" s="89">
        <f>IF('Input Nilai Pengetahuan'!M6="","",'Input Nilai Pengetahuan'!M6)</f>
        <v>75</v>
      </c>
      <c r="E3" s="89" t="str">
        <f>IF(D3="","",IF('Input Nilai Pengetahuan'!$F$1="","",'Input Nilai Pengetahuan'!$F$1))</f>
        <v>Menciptakan kebersamaan warga madrasah yang religius melalui perilaku yang ikhlas, mandiri, dan bebas berkreasi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Menciptakan kebersamaan warga madrasah yang religius melalui perilaku yang ikhlas, mandiri, dan bebas berkreasi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Menciptakan kebersamaan warga madrasah yang religius melalui perilaku yang ikhlas, mandiri, dan bebas berkreasi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Menciptakan kebersamaan warga madrasah yang religius melalui perilaku yang ikhlas, mandiri, dan bebas berkreasi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Menciptakan kebersamaan warga madrasah yang religius melalui perilaku yang ikhlas, mandiri, dan bebas berkreasi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Menciptakan kebersamaan warga madrasah yang religius melalui perilaku yang ikhlas, mandiri, dan bebas berkreasi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Menciptakan kebersamaan warga madrasah yang religius melalui perilaku yang ikhlas, mandiri, dan bebas berkreasi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Menciptakan kebersamaan warga madrasah yang religius melalui perilaku yang ikhlas, mandiri, dan bebas berkreasi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Menciptakan kebersamaan warga madrasah yang religius melalui perilaku yang ikhlas, mandiri, dan bebas berkreasi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Menciptakan kebersamaan warga madrasah yang religius melalui perilaku yang ikhlas, mandiri, dan bebas berkreasi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Menciptakan kebersamaan warga madrasah yang religius melalui perilaku yang ikhlas, mandiri, dan bebas berkreasi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Menciptakan kebersamaan warga madrasah yang religius melalui perilaku yang ikhlas, mandiri, dan bebas berkreasi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Menciptakan kebersamaan warga madrasah yang religius melalui perilaku yang ikhlas, mandiri, dan bebas berkreasi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Menciptakan kebersamaan warga madrasah yang religius melalui perilaku yang ikhlas, mandiri, dan bebas berkreasi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Menciptakan kebersamaan warga madrasah yang religius melalui perilaku yang ikhlas, mandiri, dan bebas berkreasi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Menciptakan kebersamaan warga madrasah yang religius melalui perilaku yang ikhlas, mandiri, dan bebas berkreasi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Menciptakan kebersamaan warga madrasah yang religius melalui perilaku yang ikhlas, mandiri, dan bebas berkreasi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Menciptakan kebersamaan warga madrasah yang religius melalui perilaku yang ikhlas, mandiri, dan bebas berkreasi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Menciptakan kebersamaan warga madrasah yang religius melalui perilaku yang ikhlas, mandiri, dan bebas berkreasi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Menciptakan kebersamaan warga madrasah yang religius melalui perilaku yang ikhlas, mandiri, dan bebas berkreasi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Menciptakan kebersamaan warga madrasah yang religius melalui perilaku yang ikhlas, mandiri, dan bebas berkreasi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Menciptakan kebersamaan warga madrasah yang religius melalui perilaku yang ikhlas, mandiri, dan bebas berkreasi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Menciptakan kebersamaan warga madrasah yang religius melalui perilaku yang ikhlas, mandiri, dan bebas berkreasi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Menciptakan kebersamaan warga madrasah yang religius melalui perilaku yang ikhlas, mandiri, dan bebas berkreasi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Menciptakan kebersamaan warga madrasah yang religius melalui perilaku yang ikhlas, mandiri, dan bebas berkreasi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Menciptakan kebersamaan warga madrasah yang religius melalui perilaku yang ikhlas, mandiri, dan bebas berkreasi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Menciptakan kebersamaan warga madrasah yang religius melalui perilaku yang ikhlas, mandiri, dan bebas berkreasi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Menciptakan kebersamaan warga madrasah yang religius melalui perilaku yang ikhlas, mandiri, dan bebas berkreasi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Menciptakan kebersamaan warga madrasah yang religius melalui perilaku yang ikhlas, mandiri, dan bebas berkreasi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Menciptakan kebersamaan warga madrasah yang religius melalui perilaku yang ikhlas, mandiri, dan bebas berkreasi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Menciptakan kebersamaan warga madrasah yang religius melalui perilaku yang ikhlas, mandiri, dan bebas berkreasi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Menciptakan kebersamaan warga madrasah yang religius melalui perilaku yang ikhlas, mandiri, dan bebas berkreasi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Menciptakan kebersamaan warga madrasah yang religius melalui perilaku yang ikhlas, mandiri, dan bebas berkreasi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Menciptakan kebersamaan warga madrasah yang religius melalui perilaku yang ikhlas, mandiri, dan bebas berkreasi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Menciptakan kebersamaan warga madrasah yang religius melalui perilaku yang ikhlas, mandiri, dan bebas berkreasi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Menciptakan kebersamaan warga madrasah yang religius melalui perilaku yang ikhlas, mandiri, dan bebas berkreasi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Menciptakan kebersamaan warga madrasah yang religius melalui perilaku yang ikhlas, mandiri, dan bebas berkreasi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Menciptakan kebersamaan warga madrasah yang religius melalui perilaku yang ikhlas, mandiri, dan bebas berkreasi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Menciptakan kebersamaan warga madrasah yang religius melalui perilaku yang ikhlas, mandiri, dan bebas berkreasi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Menciptakan kebersamaan warga madrasah yang religius melalui perilaku yang ikhlas, mandiri, dan bebas berkreasi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Menciptakan kebersamaan warga madrasah yang religius melalui perilaku yang ikhlas, mandiri, dan bebas berkreasi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Menciptakan kebersamaan warga madrasah yang religius melalui perilaku yang ikhlas, mandiri, dan bebas berkreasi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Menciptakan kebersamaan warga madrasah yang religius melalui perilaku yang ikhlas, mandiri, dan bebas berkreasi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Menciptakan kebersamaan warga madrasah yang religius melalui perilaku yang ikhlas, mandiri, dan bebas berkreasi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Menciptakan kebersamaan warga madrasah yang religius melalui perilaku yang ikhlas, mandiri, dan bebas berkreasi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Menciptakan kebersamaan warga madrasah yang religius melalui perilaku yang ikhlas, mandiri, dan bebas berkreasi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Menciptakan kebersamaan warga madrasah yang religius melalui perilaku yang ikhlas, mandiri, dan bebas berkreasi</v>
      </c>
    </row>
    <row r="4" spans="1:97">
      <c r="A4" s="72">
        <v>2</v>
      </c>
      <c r="B4" s="89">
        <f>IF('Input Nilai Pengetahuan'!U5="","",'Input Nilai Pengetahuan'!U5)</f>
        <v>98</v>
      </c>
      <c r="C4" s="89" t="str">
        <f>IF(B4="","",IF('Input Nilai Pengetahuan'!$N$1="","",'Input Nilai Pengetahuan'!$N$1))</f>
        <v>pengetahuan bahasa arab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bahasa arab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bahasa arab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bahasa arab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bahasa arab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bahasa arab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bahasa arab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bahasa arab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bahasa arab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bahasa arab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bahasa arab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bahasa arab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bahasa arab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bahasa arab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bahasa arab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bahasa arab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bahasa arab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bahasa arab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bahasa arab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bahasa arab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bahasa arab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bahasa arab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bahasa arab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bahasa arab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bahasa arab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bahasa arab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bahasa arab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bahasa arab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bahasa arab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bahasa arab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bahasa arab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bahasa arab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bahasa arab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bahasa arab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bahasa arab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bahasa arab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bahasa arab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bahasa arab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bahasa arab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bahasa arab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bahasa arab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bahasa arab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bahasa arab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bahasa arab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bahasa arab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bahasa arab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bahasa arab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bahasa arab 2</v>
      </c>
    </row>
    <row r="5" spans="1:97">
      <c r="A5" s="72">
        <v>3</v>
      </c>
      <c r="B5" s="89">
        <f>IF('Input Nilai Pengetahuan'!AC5="","",'Input Nilai Pengetahuan'!AC5)</f>
        <v>60</v>
      </c>
      <c r="C5" s="89" t="str">
        <f>IF(B5="","",IF('Input Nilai Pengetahuan'!$V$1="","",'Input Nilai Pengetahuan'!$V$1))</f>
        <v>pengetahuan bahasa arab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bahasa arab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bahasa arab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bahasa arab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bahasa arab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bahasa arab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bahasa arab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bahasa arab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bahasa arab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bahasa arab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bahasa arab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bahasa arab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bahasa arab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bahasa arab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bahasa arab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bahasa arab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bahasa arab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bahasa arab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bahasa arab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bahasa arab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bahasa arab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bahasa arab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bahasa arab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bahasa arab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bahasa arab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bahasa arab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bahasa arab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bahasa arab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bahasa arab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bahasa arab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bahasa arab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bahasa arab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bahasa arab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bahasa arab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bahasa arab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bahasa arab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bahasa arab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bahasa arab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bahasa arab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bahasa arab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bahasa arab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bahasa arab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bahasa arab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bahasa arab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bahasa arab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bahasa arab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bahasa arab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bahasa arab 3</v>
      </c>
    </row>
    <row r="6" spans="1:97">
      <c r="A6" s="72">
        <v>4</v>
      </c>
      <c r="B6" s="89">
        <f>IF('Input Nilai Pengetahuan'!AK5="","",'Input Nilai Pengetahuan'!AK5)</f>
        <v>91</v>
      </c>
      <c r="C6" s="89" t="str">
        <f>IF(B6="","",IF('Input Nilai Pengetahuan'!$AD$1="","",'Input Nilai Pengetahuan'!$AD$1))</f>
        <v>pengetahuan bahasa arab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bahasa arab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bahasa arab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bahasa arab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bahasa arab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bahasa arab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bahasa arab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bahasa arab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bahasa arab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bahasa arab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bahasa arab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bahasa arab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bahasa arab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bahasa arab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bahasa arab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bahasa arab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bahasa arab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bahasa arab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bahasa arab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bahasa arab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bahasa arab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bahasa arab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bahasa arab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bahasa arab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bahasa arab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bahasa arab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bahasa arab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bahasa arab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bahasa arab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bahasa arab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bahasa arab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bahasa arab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bahasa arab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bahasa arab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bahasa arab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bahasa arab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bahasa arab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bahasa arab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bahasa arab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bahasa arab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bahasa arab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bahasa arab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bahasa arab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bahasa arab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bahasa arab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bahasa arab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bahasa arab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bahasa arab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bahasa arab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bahasa arab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bahasa arab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bahasa arab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bahasa arab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bahasa arab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bahasa arab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bahasa arab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bahasa arab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bahasa arab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bahasa arab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bahasa arab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bahasa arab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bahasa arab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bahasa arab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bahasa arab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bahasa arab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bahasa arab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bahasa arab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bahasa arab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bahasa arab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bahasa arab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bahasa arab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bahasa arab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bahasa arab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bahasa arab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bahasa arab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bahasa arab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bahasa arab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bahasa arab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bahasa arab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bahasa arab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bahasa arab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bahasa arab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bahasa arab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bahasa arab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bahasa arab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bahasa arab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bahasa arab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bahasa arab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bahasa arab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bahasa arab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bahasa arab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bahasa arab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bahasa arab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bahasa arab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bahasa arab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bahasa arab 5</v>
      </c>
    </row>
    <row r="8" spans="1:97">
      <c r="A8" s="72">
        <v>6</v>
      </c>
      <c r="B8" s="89">
        <f>IF('Input Nilai Pengetahuan'!BA5="","",'Input Nilai Pengetahuan'!BA5)</f>
        <v>87</v>
      </c>
      <c r="C8" s="89" t="str">
        <f>IF(B3="","",IF('Input Nilai Pengetahuan'!$AT$1="","",'Input Nilai Pengetahuan'!$AT$1))</f>
        <v>pengetahuan bahasa arab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bahasa arab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bahasa arab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bahasa arab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bahasa arab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bahasa arab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bahasa arab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bahasa arab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bahasa arab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bahasa arab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bahasa arab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bahasa arab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bahasa arab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bahasa arab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bahasa arab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bahasa arab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bahasa arab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bahasa arab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bahasa arab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bahasa arab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bahasa arab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bahasa arab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bahasa arab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bahasa arab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bahasa arab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bahasa arab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bahasa arab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bahasa arab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bahasa arab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bahasa arab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bahasa arab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bahasa arab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bahasa arab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bahasa arab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bahasa arab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bahasa arab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bahasa arab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bahasa arab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bahasa arab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bahasa arab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bahasa arab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bahasa arab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bahasa arab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bahasa arab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bahasa arab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bahasa arab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bahasa arab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bahasa arab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bahasa arab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bahasa arab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bahasa arab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bahasa arab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bahasa arab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bahasa arab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bahasa arab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bahasa arab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bahasa arab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bahasa arab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bahasa arab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bahasa arab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bahasa arab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bahasa arab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bahasa arab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bahasa arab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bahasa arab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bahasa arab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bahasa arab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bahasa arab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bahasa arab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bahasa arab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bahasa arab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bahasa arab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bahasa arab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bahasa arab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bahasa arab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bahasa arab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bahasa arab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bahasa arab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bahasa arab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bahasa arab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bahasa arab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bahasa arab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bahasa arab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bahasa arab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bahasa arab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bahasa arab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bahasa arab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bahasa arab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bahasa arab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bahasa arab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bahasa arab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bahasa arab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bahasa arab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bahasa arab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bahasa arab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bahasa arab 7</v>
      </c>
    </row>
    <row r="10" spans="1:97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bahasa arab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bahasa arab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bahasa arab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bahasa arab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bahasa arab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bahasa arab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bahasa arab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bahasa arab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bahasa arab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bahasa arab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bahasa arab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bahasa arab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bahasa arab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bahasa arab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bahasa arab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bahasa arab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bahasa arab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bahasa arab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bahasa arab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bahasa arab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bahasa arab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bahasa arab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bahasa arab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bahasa arab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bahasa arab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bahasa arab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bahasa arab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bahasa arab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bahasa arab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bahasa arab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bahasa arab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bahasa arab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bahasa arab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bahasa arab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bahasa arab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bahasa arab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bahasa arab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bahasa arab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bahasa arab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bahasa arab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bahasa arab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bahasa arab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bahasa arab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bahasa arab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bahasa arab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bahasa arab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bahasa arab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bahasa arab 8</v>
      </c>
    </row>
    <row r="11" spans="1:97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bahasa arab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bahasa arab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bahasa arab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bahasa arab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bahasa arab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bahasa arab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bahasa arab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bahasa arab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bahasa arab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bahasa arab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bahasa arab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bahasa arab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bahasa arab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bahasa arab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bahasa arab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bahasa arab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bahasa arab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bahasa arab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bahasa arab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bahasa arab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bahasa arab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bahasa arab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bahasa arab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bahasa arab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bahasa arab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bahasa arab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bahasa arab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bahasa arab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bahasa arab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bahasa arab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bahasa arab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bahasa arab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bahasa arab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bahasa arab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bahasa arab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bahasa arab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bahasa arab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bahasa arab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bahasa arab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bahasa arab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bahasa arab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bahasa arab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bahasa arab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bahasa arab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bahasa arab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bahasa arab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bahasa arab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bahasa arab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bahasa arab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bahasa arab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bahasa arab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bahasa arab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bahasa arab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bahasa arab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bahasa arab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bahasa arab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bahasa arab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bahasa arab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bahasa arab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bahasa arab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bahasa arab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bahasa arab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bahasa arab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bahasa arab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bahasa arab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bahasa arab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bahasa arab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bahasa arab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bahasa arab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bahasa arab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bahasa arab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bahasa arab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bahasa arab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bahasa arab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bahasa arab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bahasa arab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bahasa arab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bahasa arab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bahasa arab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bahasa arab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bahasa arab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bahasa arab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bahasa arab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bahasa arab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bahasa arab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bahasa arab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bahasa arab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bahasa arab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bahasa arab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bahasa arab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bahasa arab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bahasa arab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bahasa arab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bahasa arab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bahasa arab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bahasa arab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571" t="s">
        <v>28</v>
      </c>
      <c r="BF1" s="571" t="s">
        <v>29</v>
      </c>
      <c r="BG1" s="93" t="s">
        <v>303</v>
      </c>
      <c r="BH1" s="574" t="s">
        <v>30</v>
      </c>
      <c r="BI1" s="586" t="s">
        <v>283</v>
      </c>
      <c r="BJ1" s="583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572"/>
      <c r="BF2" s="572"/>
      <c r="BG2" s="103">
        <f>menu!$D$19</f>
        <v>0</v>
      </c>
      <c r="BH2" s="575"/>
      <c r="BI2" s="587"/>
      <c r="BJ2" s="584"/>
    </row>
    <row r="3" spans="1:62" ht="69.75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573"/>
      <c r="BF3" s="573"/>
      <c r="BG3" s="114" t="s">
        <v>304</v>
      </c>
      <c r="BH3" s="576"/>
      <c r="BI3" s="588"/>
      <c r="BJ3" s="585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A1:A3"/>
    <mergeCell ref="B1:B3"/>
    <mergeCell ref="C1:C3"/>
    <mergeCell ref="D1:D3"/>
    <mergeCell ref="E1:E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E1:BE3"/>
    <mergeCell ref="BF1:BF3"/>
    <mergeCell ref="BH1:BH3"/>
    <mergeCell ref="BI1:BI3"/>
    <mergeCell ref="BJ1:BJ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6" t="s">
        <v>314</v>
      </c>
      <c r="G1" s="627"/>
      <c r="H1" s="627"/>
      <c r="I1" s="627"/>
      <c r="J1" s="627"/>
      <c r="K1" s="627"/>
      <c r="L1" s="628"/>
    </row>
    <row r="2" spans="1:21" ht="21" customHeight="1">
      <c r="A2" s="192" t="str">
        <f>menu!D13</f>
        <v>Bahasa Arab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5" t="s">
        <v>7</v>
      </c>
      <c r="J4" s="481"/>
      <c r="K4" s="481"/>
      <c r="L4" s="481"/>
      <c r="M4" s="625" t="s">
        <v>7</v>
      </c>
      <c r="N4" s="481"/>
      <c r="O4" s="481"/>
      <c r="P4" s="481"/>
      <c r="Q4" s="625" t="s">
        <v>7</v>
      </c>
      <c r="R4" s="481"/>
      <c r="S4" s="481"/>
      <c r="T4" s="481"/>
      <c r="U4" s="625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5"/>
      <c r="J5" s="481"/>
      <c r="K5" s="481"/>
      <c r="L5" s="481"/>
      <c r="M5" s="625"/>
      <c r="N5" s="481"/>
      <c r="O5" s="481"/>
      <c r="P5" s="481"/>
      <c r="Q5" s="625"/>
      <c r="R5" s="481"/>
      <c r="S5" s="481"/>
      <c r="T5" s="481"/>
      <c r="U5" s="625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5"/>
      <c r="J6" s="111" t="s">
        <v>31</v>
      </c>
      <c r="K6" s="112" t="s">
        <v>32</v>
      </c>
      <c r="L6" s="111" t="s">
        <v>33</v>
      </c>
      <c r="M6" s="625"/>
      <c r="N6" s="111" t="s">
        <v>31</v>
      </c>
      <c r="O6" s="112" t="s">
        <v>32</v>
      </c>
      <c r="P6" s="111" t="s">
        <v>33</v>
      </c>
      <c r="Q6" s="625"/>
      <c r="R6" s="111" t="s">
        <v>31</v>
      </c>
      <c r="S6" s="112" t="s">
        <v>32</v>
      </c>
      <c r="T6" s="111" t="s">
        <v>33</v>
      </c>
      <c r="U6" s="625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F1:L1"/>
    <mergeCell ref="A4:A6"/>
    <mergeCell ref="B4:B6"/>
    <mergeCell ref="C4:C6"/>
    <mergeCell ref="D4:D6"/>
    <mergeCell ref="E4:E6"/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H5" sqref="H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30" t="str">
        <f>IF(KDOKE!B29="","",KDOKE!B29)</f>
        <v>ketrampilan bahasa arab 1</v>
      </c>
      <c r="G1" s="630"/>
      <c r="H1" s="630"/>
      <c r="I1" s="630"/>
      <c r="J1" s="618" t="s">
        <v>7</v>
      </c>
      <c r="K1" s="630" t="str">
        <f>IF(KDOKE!B30="","",KDOKE!B30)</f>
        <v>ketrampilan bahasa arab 2</v>
      </c>
      <c r="L1" s="630"/>
      <c r="M1" s="630"/>
      <c r="N1" s="630"/>
      <c r="O1" s="618" t="s">
        <v>7</v>
      </c>
      <c r="P1" s="630" t="str">
        <f>IF(KDOKE!B31="","",KDOKE!B31)</f>
        <v>ketrampilan bahasa arab 3</v>
      </c>
      <c r="Q1" s="630"/>
      <c r="R1" s="630"/>
      <c r="S1" s="630"/>
      <c r="T1" s="618" t="s">
        <v>7</v>
      </c>
      <c r="U1" s="630" t="str">
        <f>IF(KDOKE!B32="","",KDOKE!B32)</f>
        <v>ketrampilan bahasa arab 4</v>
      </c>
      <c r="V1" s="630"/>
      <c r="W1" s="630"/>
      <c r="X1" s="630"/>
      <c r="Y1" s="618" t="s">
        <v>7</v>
      </c>
      <c r="Z1" s="630" t="str">
        <f>IF(KDOKE!B33="","",KDOKE!B33)</f>
        <v>ketrampilan bahasa arab 5</v>
      </c>
      <c r="AA1" s="630"/>
      <c r="AB1" s="630"/>
      <c r="AC1" s="630"/>
      <c r="AD1" s="618" t="s">
        <v>7</v>
      </c>
      <c r="AE1" s="630" t="str">
        <f>IF(KDOKE!B34="","",KDOKE!B34)</f>
        <v>ketrampilan bahasa arab 6</v>
      </c>
      <c r="AF1" s="630"/>
      <c r="AG1" s="630"/>
      <c r="AH1" s="630"/>
      <c r="AI1" s="618" t="s">
        <v>7</v>
      </c>
      <c r="AJ1" s="630" t="str">
        <f>IF(KDOKE!B35="","",KDOKE!B35)</f>
        <v>ketrampilan bahasa arab 7</v>
      </c>
      <c r="AK1" s="630"/>
      <c r="AL1" s="630"/>
      <c r="AM1" s="630"/>
      <c r="AN1" s="618" t="s">
        <v>7</v>
      </c>
      <c r="AO1" s="630" t="str">
        <f>IF(KDOKE!B36="","",KDOKE!B36)</f>
        <v>ketrampilan bahasa arab 8</v>
      </c>
      <c r="AP1" s="630"/>
      <c r="AQ1" s="630"/>
      <c r="AR1" s="630"/>
      <c r="AS1" s="622" t="s">
        <v>7</v>
      </c>
      <c r="AT1" s="630" t="str">
        <f>IF(KDOKE!B37="","",KDOKE!B37)</f>
        <v>ketrampilan bahasa arab 9</v>
      </c>
      <c r="AU1" s="630"/>
      <c r="AV1" s="630"/>
      <c r="AW1" s="630"/>
      <c r="AX1" s="622" t="s">
        <v>7</v>
      </c>
      <c r="AY1" s="630" t="str">
        <f>IF(KDOKE!B38="","",KDOKE!B38)</f>
        <v>ketrampilan bahasa arab 10</v>
      </c>
      <c r="AZ1" s="630"/>
      <c r="BA1" s="630"/>
      <c r="BB1" s="630"/>
      <c r="BC1" s="622" t="s">
        <v>7</v>
      </c>
      <c r="BD1" s="608" t="s">
        <v>395</v>
      </c>
      <c r="BE1" s="596" t="s">
        <v>27</v>
      </c>
      <c r="BF1" s="631" t="s">
        <v>28</v>
      </c>
      <c r="BG1" s="634" t="s">
        <v>30</v>
      </c>
      <c r="BH1" s="93" t="s">
        <v>303</v>
      </c>
      <c r="BI1" s="574" t="s">
        <v>396</v>
      </c>
      <c r="BJ1" s="586" t="s">
        <v>283</v>
      </c>
      <c r="BK1" s="583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29"/>
      <c r="BE2" s="596"/>
      <c r="BF2" s="632"/>
      <c r="BG2" s="635"/>
      <c r="BH2" s="288">
        <f>menu!R1</f>
        <v>70</v>
      </c>
      <c r="BI2" s="575"/>
      <c r="BJ2" s="587"/>
      <c r="BK2" s="584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609"/>
      <c r="BE3" s="596"/>
      <c r="BF3" s="633"/>
      <c r="BG3" s="636"/>
      <c r="BH3" s="114" t="s">
        <v>304</v>
      </c>
      <c r="BI3" s="576"/>
      <c r="BJ3" s="588"/>
      <c r="BK3" s="585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>
        <v>75</v>
      </c>
      <c r="H5" s="90"/>
      <c r="I5" s="90"/>
      <c r="J5" s="311">
        <f>IF(AND(F5="",G5="",H5="",I5=""),"",AVERAGE(F5:I5))</f>
        <v>82.5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87</v>
      </c>
      <c r="AF5" s="90"/>
      <c r="AG5" s="90"/>
      <c r="AH5" s="90"/>
      <c r="AI5" s="311">
        <f>IF(AND(AE5="",AF5="",AG5="",AH5=""),"",AVERAGE(AE5:AH5))</f>
        <v>87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99</v>
      </c>
      <c r="AV5" s="90"/>
      <c r="AW5" s="90"/>
      <c r="AX5" s="311">
        <f>IF(AND(AT5="",AU5="",AV5="",AW5=""),"",AVERAGE(AT5:AW5))</f>
        <v>99</v>
      </c>
      <c r="AY5" s="90">
        <v>80</v>
      </c>
      <c r="AZ5" s="90"/>
      <c r="BA5" s="90"/>
      <c r="BB5" s="90"/>
      <c r="BC5" s="311">
        <f>IF(AND(AY5="",AZ5="",BA5="",BB5=""),"",AVERAGE(AY5:BB5))</f>
        <v>80</v>
      </c>
      <c r="BD5" s="312">
        <f>IF(AND(J5="",O5=""),"",MAX(BC5,AX5,AS5,AN5,AI5,AD5,Y5,T5,O5,J5))</f>
        <v>99</v>
      </c>
      <c r="BE5" s="313">
        <f t="shared" ref="BE5:BE52" si="0">IF(AND(J5="",O5=""),"",AVERAGE(BC5,AX5,AS5,AN5,AI5,AD5,Y5,T5,O5,J5))</f>
        <v>85.95</v>
      </c>
      <c r="BF5" s="314">
        <f>IF(BE5="","",ROUND(BE5,0))</f>
        <v>86</v>
      </c>
      <c r="BG5" s="315" t="str">
        <f>IF(BF5="","",IF(BF5&gt;=menu!$O$6,"A",IF(BF5&gt;=menu!$O$7,"B",IF(BF5&gt;=menu!$O$8,"C","D"))))</f>
        <v>B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terampil</v>
      </c>
      <c r="BJ5" s="115" t="str">
        <f>IF(BD5="","",VLOOKUP(BD5,DATAKET!$B$3:$C$12,2,FALSE))</f>
        <v>ketrampilan bahasa arab 9</v>
      </c>
      <c r="BK5" s="104" t="str">
        <f>IF(BF5="","",BI5&amp;" "&amp;BJ5)</f>
        <v>terampil ketrampilan bahasa arab 9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B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terampil</v>
      </c>
      <c r="BJ6" s="115" t="str">
        <f>IF(BD6="","",VLOOKUP(BD6,DATAKET!$D$3:$E$12,2,FALSE))</f>
        <v>ketrampilan bahasa arab 7</v>
      </c>
      <c r="BK6" s="104" t="str">
        <f t="shared" ref="BK6:BK52" si="14">IF(BF6="","",BI6&amp;" "&amp;BJ6)</f>
        <v>terampil ketrampilan bahasa arab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bahasa arab 1</v>
      </c>
      <c r="BK7" s="104" t="str">
        <f t="shared" si="14"/>
        <v>terampil ketrampilan bahasa arab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B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terampil</v>
      </c>
      <c r="BJ8" s="115" t="str">
        <f>IF(BD8="","",VLOOKUP(BD8,DATAKET!$H$3:$I$12,2,FALSE))</f>
        <v>ketrampilan bahasa arab 1</v>
      </c>
      <c r="BK8" s="104" t="str">
        <f t="shared" si="14"/>
        <v>terampil ketrampilan bahasa arab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C</v>
      </c>
      <c r="BH9" s="105" t="str">
        <f t="shared" si="13"/>
        <v>TUNTAS</v>
      </c>
      <c r="BI9" s="106" t="str">
        <f>IF(BF9="","",IF(BF9&gt;=menu!$O$6,"sangat terampil",IF(BE9&gt;=menu!$O$7,"terampil",IF(BF9&gt;=menu!$O$8,"cukup terampil","kurang terampil"))))</f>
        <v>cukup terampil</v>
      </c>
      <c r="BJ9" s="115" t="str">
        <f>IF(BD9="","",VLOOKUP(BD9,DATAKET!$J$3:$K$12,2,FALSE))</f>
        <v>ketrampilan bahasa arab 7</v>
      </c>
      <c r="BK9" s="104" t="str">
        <f t="shared" si="14"/>
        <v>cukup terampil ketrampilan bahasa arab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B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terampil</v>
      </c>
      <c r="BJ10" s="115" t="str">
        <f>IF(BD10="","",VLOOKUP(BD10,DATAKET!$L$3:$M$12,2,FALSE))</f>
        <v>ketrampilan bahasa arab 2</v>
      </c>
      <c r="BK10" s="104" t="str">
        <f t="shared" si="14"/>
        <v>terampil ketrampilan bahasa arab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B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terampil</v>
      </c>
      <c r="BJ11" s="115" t="str">
        <f>IF(BD11="","",VLOOKUP(BD11,DATAKET!$N$3:$O$12,2,FALSE))</f>
        <v>ketrampilan bahasa arab 4</v>
      </c>
      <c r="BK11" s="104" t="str">
        <f t="shared" si="14"/>
        <v>terampil ketrampilan bahasa arab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B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terampil</v>
      </c>
      <c r="BJ12" s="115" t="str">
        <f>IF(BD12="","",VLOOKUP(BD12,DATAKET!$P$3:$Q$12,2,FALSE))</f>
        <v>ketrampilan bahasa arab 4</v>
      </c>
      <c r="BK12" s="104" t="str">
        <f t="shared" si="14"/>
        <v>terampil ketrampilan bahasa arab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B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terampil</v>
      </c>
      <c r="BJ13" s="115" t="str">
        <f>IF(BD13="","",VLOOKUP(BD13,DATAKET!$R$3:$S$12,2,FALSE))</f>
        <v>ketrampilan bahasa arab 4</v>
      </c>
      <c r="BK13" s="104" t="str">
        <f t="shared" si="14"/>
        <v>terampil ketrampilan bahasa arab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B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terampil</v>
      </c>
      <c r="BJ14" s="115" t="str">
        <f>IF(BD14="","",VLOOKUP(BD14,DATAKET!$T$3:$U$12,2,FALSE))</f>
        <v>ketrampilan bahasa arab 7</v>
      </c>
      <c r="BK14" s="104" t="str">
        <f t="shared" si="14"/>
        <v>terampil ketrampilan bahasa arab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C</v>
      </c>
      <c r="BH15" s="105" t="str">
        <f t="shared" si="13"/>
        <v>TUNTAS</v>
      </c>
      <c r="BI15" s="106" t="str">
        <f>IF(BF15="","",IF(BF15&gt;=menu!$O$6,"sangat terampil",IF(BE15&gt;=menu!$O$7,"terampil",IF(BF15&gt;=menu!$O$8,"cukup terampil","kurang terampil"))))</f>
        <v>cukup terampil</v>
      </c>
      <c r="BJ15" s="115" t="str">
        <f>IF(BD15="","",VLOOKUP(BD15,DATAKET!$V$3:$W$12,2,FALSE))</f>
        <v>ketrampilan bahasa arab 10</v>
      </c>
      <c r="BK15" s="104" t="str">
        <f t="shared" si="14"/>
        <v>cukup terampil ketrampilan bahasa arab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B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terampil</v>
      </c>
      <c r="BJ16" s="115" t="str">
        <f>IF(BD16="","",VLOOKUP(BD16,DATAKET!$X$3:$Y$12,2,FALSE))</f>
        <v>ketrampilan bahasa arab 1</v>
      </c>
      <c r="BK16" s="104" t="str">
        <f t="shared" si="14"/>
        <v>terampil ketrampilan bahasa arab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B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terampil</v>
      </c>
      <c r="BJ17" s="115" t="str">
        <f>IF(BD17="","",VLOOKUP(BD17,DATAKET!$Z$3:$AA$12,2,FALSE))</f>
        <v>ketrampilan bahasa arab 2</v>
      </c>
      <c r="BK17" s="104" t="str">
        <f t="shared" si="14"/>
        <v>terampil ketrampilan bahasa arab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B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terampil</v>
      </c>
      <c r="BJ18" s="115" t="str">
        <f>IF(BD18="","",VLOOKUP(BD18,DATAKET!$AB$3:$AC$12,2,FALSE))</f>
        <v>ketrampilan bahasa arab 1</v>
      </c>
      <c r="BK18" s="104" t="str">
        <f t="shared" si="14"/>
        <v>terampil ketrampilan bahasa arab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B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terampil</v>
      </c>
      <c r="BJ19" s="115" t="str">
        <f>IF(BD19="","",VLOOKUP(BD19,DATAKET!$AD$3:$AE$12,2,FALSE))</f>
        <v>ketrampilan bahasa arab 1</v>
      </c>
      <c r="BK19" s="104" t="str">
        <f t="shared" si="14"/>
        <v>terampil ketrampilan bahasa arab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B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terampil</v>
      </c>
      <c r="BJ20" s="115" t="str">
        <f>IF(BD20="","",VLOOKUP(BD20,DATAKET!$AF$3:$AG$12,2,FALSE))</f>
        <v>ketrampilan bahasa arab 4</v>
      </c>
      <c r="BK20" s="104" t="str">
        <f t="shared" si="14"/>
        <v>terampil ketrampilan bahasa arab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B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terampil</v>
      </c>
      <c r="BJ21" s="115" t="str">
        <f>IF(BD21="","",VLOOKUP(BD21,DATAKET!$AH$3:$AI$12,2,FALSE))</f>
        <v>ketrampilan bahasa arab 1</v>
      </c>
      <c r="BK21" s="104" t="str">
        <f t="shared" si="14"/>
        <v>terampil ketrampilan bahasa arab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B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terampil</v>
      </c>
      <c r="BJ22" s="115" t="str">
        <f>IF(BD22="","",VLOOKUP(BD22,DATAKET!$AJ$3:$AK$12,2,FALSE))</f>
        <v>ketrampilan bahasa arab 7</v>
      </c>
      <c r="BK22" s="104" t="str">
        <f t="shared" si="14"/>
        <v>terampil ketrampilan bahasa arab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C</v>
      </c>
      <c r="BH23" s="105" t="str">
        <f t="shared" si="13"/>
        <v>TUNTAS</v>
      </c>
      <c r="BI23" s="106" t="str">
        <f>IF(BF23="","",IF(BF23&gt;=menu!$O$6,"sangat terampil",IF(BE23&gt;=menu!$O$7,"terampil",IF(BF23&gt;=menu!$O$8,"cukup terampil","kurang terampil"))))</f>
        <v>cukup terampil</v>
      </c>
      <c r="BJ23" s="115" t="str">
        <f>IF(BD23="","",VLOOKUP(BD23,DATAKET!$AL$3:$AM$12,2,FALSE))</f>
        <v>ketrampilan bahasa arab 4</v>
      </c>
      <c r="BK23" s="104" t="str">
        <f t="shared" si="14"/>
        <v>cukup terampil ketrampilan bahasa arab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B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terampil</v>
      </c>
      <c r="BJ24" s="115" t="str">
        <f>IF(BD24="","",VLOOKUP(BD24,DATAKET!$AN$3:$AO$12,2,FALSE))</f>
        <v>ketrampilan bahasa arab 7</v>
      </c>
      <c r="BK24" s="104" t="str">
        <f t="shared" si="14"/>
        <v>terampil ketrampilan bahasa arab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B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terampil</v>
      </c>
      <c r="BJ25" s="115" t="str">
        <f>IF(BD25="","",VLOOKUP(BD25,DATAKET!$AP$3:$AQ$12,2,FALSE))</f>
        <v>ketrampilan bahasa arab 1</v>
      </c>
      <c r="BK25" s="104" t="str">
        <f t="shared" si="14"/>
        <v>terampil ketrampilan bahasa arab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bahasa arab 10</v>
      </c>
      <c r="BK26" s="104" t="str">
        <f t="shared" si="14"/>
        <v>cukup terampil ketrampilan bahasa arab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B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terampil</v>
      </c>
      <c r="BJ27" s="115" t="str">
        <f>IF(BD27="","",VLOOKUP(BD27,DATAKET!$AT$3:$AU$12,2,FALSE))</f>
        <v>ketrampilan bahasa arab 4</v>
      </c>
      <c r="BK27" s="104" t="str">
        <f t="shared" si="14"/>
        <v>terampil ketrampilan bahasa arab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B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terampil</v>
      </c>
      <c r="BJ28" s="115" t="str">
        <f>IF(BD28="","",VLOOKUP(BD28,DATAKET!$AV$3:$AW$12,2,FALSE))</f>
        <v>ketrampilan bahasa arab 1</v>
      </c>
      <c r="BK28" s="104" t="str">
        <f t="shared" si="14"/>
        <v>terampil ketrampilan bahasa arab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B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terampil</v>
      </c>
      <c r="BJ29" s="115" t="str">
        <f>IF(BD29="","",VLOOKUP(BD29,DATAKET!$AX$3:$AY$12,2,FALSE))</f>
        <v>ketrampilan bahasa arab 7</v>
      </c>
      <c r="BK29" s="104" t="str">
        <f t="shared" si="14"/>
        <v>terampil ketrampilan bahasa arab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B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terampil</v>
      </c>
      <c r="BJ30" s="115" t="str">
        <f>IF(BD30="","",VLOOKUP(BD30,DATAKET!$AZ$3:$BA$12,2,FALSE))</f>
        <v>ketrampilan bahasa arab 4</v>
      </c>
      <c r="BK30" s="104" t="str">
        <f t="shared" si="14"/>
        <v>terampil ketrampilan bahasa arab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bahasa arab 4</v>
      </c>
      <c r="BK31" s="104" t="str">
        <f t="shared" si="14"/>
        <v>terampil ketrampilan bahasa arab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B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terampil</v>
      </c>
      <c r="BJ32" s="115" t="str">
        <f>IF(BD32="","",VLOOKUP(BD32,DATAKET!$BD$3:$BE$12,2,FALSE))</f>
        <v>ketrampilan bahasa arab 10</v>
      </c>
      <c r="BK32" s="104" t="str">
        <f t="shared" si="14"/>
        <v>terampil ketrampilan bahasa arab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bahasa arab 9</v>
      </c>
      <c r="BK33" s="104" t="str">
        <f t="shared" si="14"/>
        <v>cukup terampil ketrampilan bahasa arab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B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terampil</v>
      </c>
      <c r="BJ34" s="115" t="str">
        <f>IF(BD34="","",VLOOKUP(BD34,DATAKET!$BH$3:$BI$12,2,FALSE))</f>
        <v>ketrampilan bahasa arab 1</v>
      </c>
      <c r="BK34" s="104" t="str">
        <f t="shared" si="14"/>
        <v>terampil ketrampilan bahasa arab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bahasa arab 2</v>
      </c>
      <c r="BK35" s="104" t="str">
        <f t="shared" si="14"/>
        <v>terampil ketrampilan bahasa arab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B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terampil</v>
      </c>
      <c r="BJ36" s="115" t="str">
        <f>IF(BD36="","",VLOOKUP(BD36,DATAKET!$BL$3:$BM$12,2,FALSE))</f>
        <v>ketrampilan bahasa arab 4</v>
      </c>
      <c r="BK36" s="104" t="str">
        <f t="shared" si="14"/>
        <v>terampil ketrampilan bahasa arab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bahasa arab 1</v>
      </c>
      <c r="BK37" s="104" t="str">
        <f t="shared" si="14"/>
        <v>terampil ketrampilan bahasa arab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C</v>
      </c>
      <c r="BH38" s="105" t="str">
        <f t="shared" si="13"/>
        <v>TUNTAS</v>
      </c>
      <c r="BI38" s="106" t="str">
        <f>IF(BF38="","",IF(BF38&gt;=menu!$O$6,"sangat terampil",IF(BE38&gt;=menu!$O$7,"terampil",IF(BF38&gt;=menu!$O$8,"cukup terampil","kurang terampil"))))</f>
        <v>cukup terampil</v>
      </c>
      <c r="BJ38" s="115" t="str">
        <f>IF(BD38="","",VLOOKUP(BD38,DATAKET!$BP$3:$BQ$12,2,FALSE))</f>
        <v>ketrampilan bahasa arab 7</v>
      </c>
      <c r="BK38" s="104" t="str">
        <f t="shared" si="14"/>
        <v>cukup terampil ketrampilan bahasa arab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B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terampil</v>
      </c>
      <c r="BJ39" s="115" t="str">
        <f>IF(BD39="","",VLOOKUP(BD39,DATAKET!$BR$3:$BS$12,2,FALSE))</f>
        <v>ketrampilan bahasa arab 4</v>
      </c>
      <c r="BK39" s="104" t="str">
        <f t="shared" si="14"/>
        <v>terampil ketrampilan bahasa arab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C</v>
      </c>
      <c r="BH40" s="105" t="str">
        <f t="shared" si="13"/>
        <v>TUNTAS</v>
      </c>
      <c r="BI40" s="106" t="str">
        <f>IF(BF40="","",IF(BF40&gt;=menu!$O$6,"sangat terampil",IF(BE40&gt;=menu!$O$7,"terampil",IF(BF40&gt;=menu!$O$8,"cukup terampil","kurang terampil"))))</f>
        <v>cukup terampil</v>
      </c>
      <c r="BJ40" s="115" t="str">
        <f>IF(BD40="","",VLOOKUP(BD40,DATAKET!$BT$3:$BU$12,2,FALSE))</f>
        <v>ketrampilan bahasa arab 1</v>
      </c>
      <c r="BK40" s="104" t="str">
        <f t="shared" si="14"/>
        <v>cukup terampil ketrampilan bahasa arab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bahasa arab 3</v>
      </c>
      <c r="BK41" s="104" t="str">
        <f t="shared" si="14"/>
        <v>cukup terampil ketrampilan bahasa arab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B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bahasa arab 1</v>
      </c>
      <c r="BK42" s="104" t="str">
        <f t="shared" si="14"/>
        <v>cukup terampil ketrampilan bahasa arab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terampil</v>
      </c>
      <c r="BJ43" s="115" t="str">
        <f>IF(BD43="","",VLOOKUP(BD43,DATAKET!$BZ$3:$CA$12,2,FALSE))</f>
        <v>ketrampilan bahasa arab 4</v>
      </c>
      <c r="BK43" s="104" t="str">
        <f t="shared" si="14"/>
        <v>terampil ketrampilan bahasa arab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B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terampil</v>
      </c>
      <c r="BJ44" s="115" t="str">
        <f>IF(BD44="","",VLOOKUP(BD44,DATAKET!$CB$3:$CC$12,2,FALSE))</f>
        <v>ketrampilan bahasa arab 2</v>
      </c>
      <c r="BK44" s="104" t="str">
        <f t="shared" si="14"/>
        <v>terampil ketrampilan bahasa arab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B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terampil</v>
      </c>
      <c r="BJ45" s="115" t="str">
        <f>IF(BD45="","",VLOOKUP(BD45,DATAKET!$CD$3:$CE$12,2,FALSE))</f>
        <v>ketrampilan bahasa arab 10</v>
      </c>
      <c r="BK45" s="104" t="str">
        <f t="shared" si="14"/>
        <v>terampil ketrampilan bahasa arab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B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terampil</v>
      </c>
      <c r="BJ46" s="115" t="str">
        <f>IF(BD46="","",VLOOKUP(BD46,DATAKET!$CF$3:$CG$12,2,FALSE))</f>
        <v>ketrampilan bahasa arab 4</v>
      </c>
      <c r="BK46" s="104" t="str">
        <f t="shared" si="14"/>
        <v>terampil ketrampilan bahasa arab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B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terampil</v>
      </c>
      <c r="BJ47" s="115" t="str">
        <f>IF(BD47="","",VLOOKUP(BD47,DATAKET!$CH$3:$CI$12,2,FALSE))</f>
        <v>ketrampilan bahasa arab 4</v>
      </c>
      <c r="BK47" s="104" t="str">
        <f t="shared" si="14"/>
        <v>terampil ketrampilan bahasa arab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B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terampil</v>
      </c>
      <c r="BJ48" s="115" t="str">
        <f>IF(BD48="","",VLOOKUP(BD48,DATAKET!$CJ$3:$CK$12,2,FALSE))</f>
        <v>ketrampilan bahasa arab 2</v>
      </c>
      <c r="BK48" s="104" t="str">
        <f t="shared" si="14"/>
        <v>terampil ketrampilan bahasa arab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B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terampil</v>
      </c>
      <c r="BJ49" s="115" t="str">
        <f>IF(BD49="","",VLOOKUP(BD49,DATAKET!$CL$3:$CM$12,2,FALSE))</f>
        <v>ketrampilan bahasa arab 5</v>
      </c>
      <c r="BK49" s="104" t="str">
        <f t="shared" si="14"/>
        <v>terampil ketrampilan bahasa arab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B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terampil</v>
      </c>
      <c r="BJ50" s="115" t="str">
        <f>IF(BD50="","",VLOOKUP(BD50,DATAKET!$CN$3:$CO$12,2,FALSE))</f>
        <v>ketrampilan bahasa arab 10</v>
      </c>
      <c r="BK50" s="104" t="str">
        <f t="shared" si="14"/>
        <v>terampil ketrampilan bahasa arab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B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terampil</v>
      </c>
      <c r="BJ51" s="115" t="str">
        <f>IF(BD51="","",VLOOKUP(BD51,DATAKET!$CP$3:$CQ$12,2,FALSE))</f>
        <v>ketrampilan bahasa arab 4</v>
      </c>
      <c r="BK51" s="104" t="str">
        <f t="shared" si="14"/>
        <v>terampil ketrampilan bahasa arab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B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terampil</v>
      </c>
      <c r="BJ52" s="115" t="str">
        <f>IF(BD52="","",VLOOKUP(BD52,DATAKET!$CR$3:$CS$12,2,FALSE))</f>
        <v>ketrampilan bahasa arab 2</v>
      </c>
      <c r="BK52" s="104" t="str">
        <f t="shared" si="14"/>
        <v>terampil ketrampilan bahasa arab 2</v>
      </c>
    </row>
  </sheetData>
  <sheetProtection password="D4C3" sheet="1" objects="1" scenarios="1"/>
  <dataConsolidate/>
  <mergeCells count="42">
    <mergeCell ref="AT1:AW1"/>
    <mergeCell ref="AX1:AX3"/>
    <mergeCell ref="AT2:AW2"/>
    <mergeCell ref="AJ1:AM1"/>
    <mergeCell ref="AN1:AN3"/>
    <mergeCell ref="AO1:AR1"/>
    <mergeCell ref="AS1:AS3"/>
    <mergeCell ref="AI1:AI3"/>
    <mergeCell ref="AE2:AH2"/>
    <mergeCell ref="AE1:AH1"/>
    <mergeCell ref="AJ2:AM2"/>
    <mergeCell ref="AO2:AR2"/>
    <mergeCell ref="A1:A3"/>
    <mergeCell ref="B1:B3"/>
    <mergeCell ref="C1:C3"/>
    <mergeCell ref="D1:D3"/>
    <mergeCell ref="E1:E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BJ1:BJ3"/>
    <mergeCell ref="BK1:BK3"/>
    <mergeCell ref="BF1:BF3"/>
    <mergeCell ref="BG1:BG3"/>
    <mergeCell ref="BI1:BI3"/>
    <mergeCell ref="BE1:BE3"/>
    <mergeCell ref="BD1:BD3"/>
    <mergeCell ref="AY1:BB1"/>
    <mergeCell ref="BC1:BC3"/>
    <mergeCell ref="AY2:BB2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7" t="s">
        <v>321</v>
      </c>
      <c r="C1" s="617"/>
      <c r="D1" s="617" t="s">
        <v>346</v>
      </c>
      <c r="E1" s="617"/>
      <c r="F1" s="617" t="s">
        <v>347</v>
      </c>
      <c r="G1" s="617"/>
      <c r="H1" s="617" t="s">
        <v>348</v>
      </c>
      <c r="I1" s="617"/>
      <c r="J1" s="617" t="s">
        <v>349</v>
      </c>
      <c r="K1" s="617"/>
      <c r="L1" s="617" t="s">
        <v>350</v>
      </c>
      <c r="M1" s="617"/>
      <c r="N1" s="617" t="s">
        <v>351</v>
      </c>
      <c r="O1" s="617"/>
      <c r="P1" s="617" t="s">
        <v>352</v>
      </c>
      <c r="Q1" s="617"/>
      <c r="R1" s="617" t="s">
        <v>353</v>
      </c>
      <c r="S1" s="617"/>
      <c r="T1" s="617" t="s">
        <v>354</v>
      </c>
      <c r="U1" s="617"/>
      <c r="V1" s="617" t="s">
        <v>355</v>
      </c>
      <c r="W1" s="617"/>
      <c r="X1" s="617" t="s">
        <v>356</v>
      </c>
      <c r="Y1" s="617"/>
      <c r="Z1" s="617" t="s">
        <v>357</v>
      </c>
      <c r="AA1" s="617"/>
      <c r="AB1" s="617" t="s">
        <v>358</v>
      </c>
      <c r="AC1" s="617"/>
      <c r="AD1" s="617" t="s">
        <v>359</v>
      </c>
      <c r="AE1" s="617"/>
      <c r="AF1" s="617" t="s">
        <v>360</v>
      </c>
      <c r="AG1" s="617"/>
      <c r="AH1" s="617" t="s">
        <v>361</v>
      </c>
      <c r="AI1" s="617"/>
      <c r="AJ1" s="617" t="s">
        <v>362</v>
      </c>
      <c r="AK1" s="617"/>
      <c r="AL1" s="617" t="s">
        <v>363</v>
      </c>
      <c r="AM1" s="617"/>
      <c r="AN1" s="617" t="s">
        <v>364</v>
      </c>
      <c r="AO1" s="617"/>
      <c r="AP1" s="617" t="s">
        <v>365</v>
      </c>
      <c r="AQ1" s="617"/>
      <c r="AR1" s="617" t="s">
        <v>366</v>
      </c>
      <c r="AS1" s="617"/>
      <c r="AT1" s="617" t="s">
        <v>367</v>
      </c>
      <c r="AU1" s="617"/>
      <c r="AV1" s="617" t="s">
        <v>368</v>
      </c>
      <c r="AW1" s="617"/>
      <c r="AX1" s="616" t="s">
        <v>369</v>
      </c>
      <c r="AY1" s="616"/>
      <c r="AZ1" s="616" t="s">
        <v>370</v>
      </c>
      <c r="BA1" s="616"/>
      <c r="BB1" s="616" t="s">
        <v>371</v>
      </c>
      <c r="BC1" s="616"/>
      <c r="BD1" s="616" t="s">
        <v>372</v>
      </c>
      <c r="BE1" s="616"/>
      <c r="BF1" s="616" t="s">
        <v>373</v>
      </c>
      <c r="BG1" s="616"/>
      <c r="BH1" s="616" t="s">
        <v>374</v>
      </c>
      <c r="BI1" s="616"/>
      <c r="BJ1" s="616" t="s">
        <v>375</v>
      </c>
      <c r="BK1" s="616"/>
      <c r="BL1" s="616" t="s">
        <v>376</v>
      </c>
      <c r="BM1" s="616"/>
      <c r="BN1" s="616" t="s">
        <v>377</v>
      </c>
      <c r="BO1" s="616"/>
      <c r="BP1" s="616" t="s">
        <v>378</v>
      </c>
      <c r="BQ1" s="616"/>
      <c r="BR1" s="616" t="s">
        <v>379</v>
      </c>
      <c r="BS1" s="616"/>
      <c r="BT1" s="616" t="s">
        <v>380</v>
      </c>
      <c r="BU1" s="616"/>
      <c r="BV1" s="616" t="s">
        <v>381</v>
      </c>
      <c r="BW1" s="616"/>
      <c r="BX1" s="616" t="s">
        <v>382</v>
      </c>
      <c r="BY1" s="616"/>
      <c r="BZ1" s="616" t="s">
        <v>383</v>
      </c>
      <c r="CA1" s="616"/>
      <c r="CB1" s="616" t="s">
        <v>384</v>
      </c>
      <c r="CC1" s="616"/>
      <c r="CD1" s="616" t="s">
        <v>385</v>
      </c>
      <c r="CE1" s="616"/>
      <c r="CF1" s="616" t="s">
        <v>386</v>
      </c>
      <c r="CG1" s="616"/>
      <c r="CH1" s="616" t="s">
        <v>387</v>
      </c>
      <c r="CI1" s="616"/>
      <c r="CJ1" s="616" t="s">
        <v>388</v>
      </c>
      <c r="CK1" s="616"/>
      <c r="CL1" s="616" t="s">
        <v>389</v>
      </c>
      <c r="CM1" s="616"/>
      <c r="CN1" s="616" t="s">
        <v>390</v>
      </c>
      <c r="CO1" s="616"/>
      <c r="CP1" s="616" t="s">
        <v>391</v>
      </c>
      <c r="CQ1" s="616"/>
      <c r="CR1" s="616" t="s">
        <v>392</v>
      </c>
      <c r="CS1" s="616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82.5</v>
      </c>
      <c r="C3" s="89" t="str">
        <f>IF(B3="","",IF('Input Nilai Ketrampilan'!$F$1="","",'Input Nilai Ketrampilan'!$F$1))</f>
        <v>ketrampilan bahasa arab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bahasa arab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bahasa arab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bahasa arab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bahasa arab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bahasa arab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bahasa arab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bahasa arab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bahasa arab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bahasa arab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bahasa arab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bahasa arab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bahasa arab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bahasa arab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bahasa arab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bahasa arab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bahasa arab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bahasa arab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bahasa arab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bahasa arab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bahasa arab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bahasa arab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bahasa arab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bahasa arab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bahasa arab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bahasa arab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bahasa arab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bahasa arab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bahasa arab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bahasa arab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bahasa arab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bahasa arab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bahasa arab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bahasa arab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bahasa arab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bahasa arab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bahasa arab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bahasa arab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bahasa arab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bahasa arab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bahasa arab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bahasa arab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bahasa arab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bahasa arab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bahasa arab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bahasa arab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bahasa arab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bahasa arab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bahasa arab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bahasa arab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bahasa arab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bahasa arab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bahasa arab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bahasa arab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bahasa arab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bahasa arab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bahasa arab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bahasa arab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bahasa arab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bahasa arab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bahasa arab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bahasa arab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bahasa arab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bahasa arab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bahasa arab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bahasa arab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bahasa arab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bahasa arab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bahasa arab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bahasa arab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bahasa arab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bahasa arab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bahasa arab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bahasa arab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bahasa arab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bahasa arab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bahasa arab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bahasa arab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bahasa arab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bahasa arab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bahasa arab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bahasa arab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bahasa arab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bahasa arab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bahasa arab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bahasa arab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bahasa arab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bahasa arab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bahasa arab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bahasa arab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bahasa arab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bahasa arab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bahasa arab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bahasa arab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bahasa arab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bahasa arab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bahasa arab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bahasa arab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bahasa arab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bahasa arab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bahasa arab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bahasa arab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bahasa arab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bahasa arab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bahasa arab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bahasa arab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bahasa arab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bahasa arab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bahasa arab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bahasa arab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bahasa arab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bahasa arab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bahasa arab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bahasa arab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bahasa arab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bahasa arab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bahasa arab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bahasa arab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bahasa arab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bahasa arab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bahasa arab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bahasa arab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bahasa arab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bahasa arab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bahasa arab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bahasa arab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bahasa arab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bahasa arab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bahasa arab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bahasa arab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bahasa arab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bahasa arab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bahasa arab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bahasa arab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bahasa arab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bahasa arab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bahasa arab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bahasa arab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bahasa arab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bahasa arab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bahasa arab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bahasa arab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bahasa arab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bahasa arab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bahasa arab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bahasa arab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bahasa arab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bahasa arab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bahasa arab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bahasa arab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bahasa arab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bahasa arab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bahasa arab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bahasa arab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bahasa arab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bahasa arab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bahasa arab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bahasa arab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bahasa arab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bahasa arab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bahasa arab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bahasa arab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bahasa arab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bahasa arab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bahasa arab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bahasa arab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bahasa arab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bahasa arab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bahasa arab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bahasa arab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bahasa arab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bahasa arab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bahasa arab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bahasa arab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bahasa arab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bahasa arab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bahasa arab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bahasa arab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bahasa arab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bahasa arab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bahasa arab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bahasa arab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bahasa arab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bahasa arab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bahasa arab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bahasa arab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bahasa arab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bahasa arab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bahasa arab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bahasa arab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bahasa arab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bahasa arab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bahasa arab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bahasa arab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bahasa arab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bahasa arab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bahasa arab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bahasa arab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bahasa arab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bahasa arab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bahasa arab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bahasa arab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bahasa arab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bahasa arab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bahasa arab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bahasa arab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bahasa arab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bahasa arab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bahasa arab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bahasa arab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bahasa arab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bahasa arab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bahasa arab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bahasa arab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bahasa arab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bahasa arab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bahasa arab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bahasa arab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bahasa arab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bahasa arab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bahasa arab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bahasa arab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bahasa arab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bahasa arab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bahasa arab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bahasa arab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bahasa arab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bahasa arab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bahasa arab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bahasa arab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bahasa arab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bahasa arab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bahasa arab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bahasa arab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bahasa arab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bahasa arab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bahasa arab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bahasa arab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bahasa arab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bahasa arab 5</v>
      </c>
    </row>
    <row r="8" spans="1:97">
      <c r="A8" s="72">
        <v>6</v>
      </c>
      <c r="B8" s="89">
        <f>IF('Input Nilai Ketrampilan'!AI5="","",'Input Nilai Ketrampilan'!AI5)</f>
        <v>87</v>
      </c>
      <c r="C8" s="89" t="str">
        <f>IF(B8="","",IF('Input Nilai Ketrampilan'!$AE$1="","",'Input Nilai Ketrampilan'!$AE$1))</f>
        <v>ketrampilan bahasa arab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bahasa arab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bahasa arab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bahasa arab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bahasa arab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bahasa arab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bahasa arab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bahasa arab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bahasa arab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bahasa arab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bahasa arab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bahasa arab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bahasa arab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bahasa arab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bahasa arab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bahasa arab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bahasa arab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bahasa arab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bahasa arab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bahasa arab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bahasa arab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bahasa arab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bahasa arab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bahasa arab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bahasa arab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bahasa arab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bahasa arab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bahasa arab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bahasa arab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bahasa arab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bahasa arab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bahasa arab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bahasa arab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bahasa arab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bahasa arab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bahasa arab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bahasa arab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bahasa arab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bahasa arab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bahasa arab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bahasa arab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bahasa arab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bahasa arab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bahasa arab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bahasa arab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bahasa arab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bahasa arab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bahasa arab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bahasa arab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bahasa arab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bahasa arab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bahasa arab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bahasa arab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bahasa arab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bahasa arab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bahasa arab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bahasa arab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bahasa arab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bahasa arab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bahasa arab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bahasa arab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bahasa arab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bahasa arab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bahasa arab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bahasa arab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bahasa arab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bahasa arab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bahasa arab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bahasa arab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bahasa arab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bahasa arab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bahasa arab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bahasa arab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bahasa arab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bahasa arab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bahasa arab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bahasa arab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bahasa arab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bahasa arab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bahasa arab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bahasa arab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bahasa arab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bahasa arab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bahasa arab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bahasa arab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bahasa arab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bahasa arab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bahasa arab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bahasa arab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bahasa arab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bahasa arab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bahasa arab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bahasa arab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bahasa arab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bahasa arab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bahasa arab 7</v>
      </c>
    </row>
    <row r="10" spans="1:97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bahasa arab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bahasa arab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bahasa arab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bahasa arab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bahasa arab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bahasa arab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bahasa arab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bahasa arab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bahasa arab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bahasa arab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bahasa arab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bahasa arab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bahasa arab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bahasa arab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bahasa arab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bahasa arab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bahasa arab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bahasa arab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bahasa arab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bahasa arab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bahasa arab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bahasa arab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bahasa arab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bahasa arab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bahasa arab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bahasa arab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bahasa arab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bahasa arab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bahasa arab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bahasa arab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bahasa arab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bahasa arab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bahasa arab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bahasa arab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bahasa arab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bahasa arab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bahasa arab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bahasa arab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bahasa arab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bahasa arab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bahasa arab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bahasa arab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bahasa arab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bahasa arab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bahasa arab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bahasa arab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bahasa arab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bahasa arab 8</v>
      </c>
    </row>
    <row r="11" spans="1:97">
      <c r="A11" s="72">
        <v>9</v>
      </c>
      <c r="B11" s="89">
        <f>IF('Input Nilai Ketrampilan'!AX5="","",'Input Nilai Ketrampilan'!AX5)</f>
        <v>99</v>
      </c>
      <c r="C11" s="89" t="str">
        <f>IF(B11="","",IF('Input Nilai Ketrampilan'!$AT$1="","",'Input Nilai Ketrampilan'!$AT$1))</f>
        <v>ketrampilan bahasa arab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bahasa arab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bahasa arab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bahasa arab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bahasa arab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bahasa arab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bahasa arab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bahasa arab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bahasa arab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bahasa arab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bahasa arab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bahasa arab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bahasa arab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bahasa arab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bahasa arab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bahasa arab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bahasa arab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bahasa arab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bahasa arab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bahasa arab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bahasa arab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bahasa arab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bahasa arab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bahasa arab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bahasa arab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bahasa arab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bahasa arab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bahasa arab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bahasa arab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bahasa arab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bahasa arab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bahasa arab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bahasa arab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bahasa arab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bahasa arab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bahasa arab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bahasa arab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bahasa arab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bahasa arab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bahasa arab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bahasa arab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bahasa arab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bahasa arab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bahasa arab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bahasa arab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bahasa arab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bahasa arab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bahasa arab 9</v>
      </c>
    </row>
    <row r="12" spans="1:97">
      <c r="A12" s="72">
        <v>10</v>
      </c>
      <c r="B12" s="89">
        <f>IF('Input Nilai Ketrampilan'!BC5="","",'Input Nilai Ketrampilan'!BC5)</f>
        <v>80</v>
      </c>
      <c r="C12" s="89" t="str">
        <f>IF(B12="","",IF('Input Nilai Ketrampilan'!$AY$1="","",'Input Nilai Ketrampilan'!$AY$1))</f>
        <v>ketrampilan bahasa arab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bahasa arab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bahasa arab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bahasa arab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bahasa arab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bahasa arab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bahasa arab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bahasa arab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bahasa arab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bahasa arab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bahasa arab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bahasa arab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bahasa arab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bahasa arab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bahasa arab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bahasa arab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bahasa arab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bahasa arab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bahasa arab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bahasa arab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bahasa arab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bahasa arab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bahasa arab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bahasa arab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bahasa arab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bahasa arab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bahasa arab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bahasa arab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bahasa arab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bahasa arab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bahasa arab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bahasa arab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bahasa arab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bahasa arab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bahasa arab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bahasa arab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bahasa arab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bahasa arab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bahasa arab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bahasa arab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bahasa arab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bahasa arab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bahasa arab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bahasa arab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bahasa arab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bahasa arab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bahasa arab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bahasa arab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10.2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  <mergeCell ref="AY2:BB2"/>
    <mergeCell ref="Y1:Y3"/>
    <mergeCell ref="Z1:AC1"/>
    <mergeCell ref="AD1:AD3"/>
    <mergeCell ref="AE1:AH1"/>
    <mergeCell ref="AI1:AI3"/>
    <mergeCell ref="AJ1:AM1"/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</mergeCells>
  <conditionalFormatting sqref="F5:F52">
    <cfRule type="expression" dxfId="739" priority="80">
      <formula>MOD(COLUMN(),2)=1</formula>
    </cfRule>
  </conditionalFormatting>
  <conditionalFormatting sqref="F5:F52">
    <cfRule type="expression" dxfId="738" priority="79">
      <formula>MOD(COLUMN(),2)=1</formula>
    </cfRule>
  </conditionalFormatting>
  <conditionalFormatting sqref="G5:H52">
    <cfRule type="expression" dxfId="737" priority="78">
      <formula>MOD(COLUMN(),2)=1</formula>
    </cfRule>
  </conditionalFormatting>
  <conditionalFormatting sqref="G5:H52">
    <cfRule type="expression" dxfId="736" priority="77">
      <formula>MOD(COLUMN(),2)=1</formula>
    </cfRule>
  </conditionalFormatting>
  <conditionalFormatting sqref="K5:K52">
    <cfRule type="expression" dxfId="735" priority="72">
      <formula>MOD(COLUMN(),2)=1</formula>
    </cfRule>
  </conditionalFormatting>
  <conditionalFormatting sqref="K5:K52">
    <cfRule type="expression" dxfId="734" priority="71">
      <formula>MOD(COLUMN(),2)=1</formula>
    </cfRule>
  </conditionalFormatting>
  <conditionalFormatting sqref="L5:M52">
    <cfRule type="expression" dxfId="733" priority="70">
      <formula>MOD(COLUMN(),2)=1</formula>
    </cfRule>
  </conditionalFormatting>
  <conditionalFormatting sqref="L5:M52">
    <cfRule type="expression" dxfId="732" priority="69">
      <formula>MOD(COLUMN(),2)=1</formula>
    </cfRule>
  </conditionalFormatting>
  <conditionalFormatting sqref="P5:P52">
    <cfRule type="expression" dxfId="731" priority="64">
      <formula>MOD(COLUMN(),2)=1</formula>
    </cfRule>
  </conditionalFormatting>
  <conditionalFormatting sqref="P5:P52">
    <cfRule type="expression" dxfId="730" priority="63">
      <formula>MOD(COLUMN(),2)=1</formula>
    </cfRule>
  </conditionalFormatting>
  <conditionalFormatting sqref="Q5:R52">
    <cfRule type="expression" dxfId="729" priority="62">
      <formula>MOD(COLUMN(),2)=1</formula>
    </cfRule>
  </conditionalFormatting>
  <conditionalFormatting sqref="Q5:R52">
    <cfRule type="expression" dxfId="728" priority="61">
      <formula>MOD(COLUMN(),2)=1</formula>
    </cfRule>
  </conditionalFormatting>
  <conditionalFormatting sqref="U5:U52">
    <cfRule type="expression" dxfId="727" priority="56">
      <formula>MOD(COLUMN(),2)=1</formula>
    </cfRule>
  </conditionalFormatting>
  <conditionalFormatting sqref="U5:U52">
    <cfRule type="expression" dxfId="726" priority="55">
      <formula>MOD(COLUMN(),2)=1</formula>
    </cfRule>
  </conditionalFormatting>
  <conditionalFormatting sqref="V5:W52">
    <cfRule type="expression" dxfId="725" priority="54">
      <formula>MOD(COLUMN(),2)=1</formula>
    </cfRule>
  </conditionalFormatting>
  <conditionalFormatting sqref="V5:W52">
    <cfRule type="expression" dxfId="724" priority="53">
      <formula>MOD(COLUMN(),2)=1</formula>
    </cfRule>
  </conditionalFormatting>
  <conditionalFormatting sqref="Z5:Z52">
    <cfRule type="expression" dxfId="723" priority="48">
      <formula>MOD(COLUMN(),2)=1</formula>
    </cfRule>
  </conditionalFormatting>
  <conditionalFormatting sqref="Z5:Z52">
    <cfRule type="expression" dxfId="722" priority="47">
      <formula>MOD(COLUMN(),2)=1</formula>
    </cfRule>
  </conditionalFormatting>
  <conditionalFormatting sqref="AA5:AB52">
    <cfRule type="expression" dxfId="721" priority="46">
      <formula>MOD(COLUMN(),2)=1</formula>
    </cfRule>
  </conditionalFormatting>
  <conditionalFormatting sqref="AA5:AB52">
    <cfRule type="expression" dxfId="720" priority="45">
      <formula>MOD(COLUMN(),2)=1</formula>
    </cfRule>
  </conditionalFormatting>
  <conditionalFormatting sqref="AE5">
    <cfRule type="expression" dxfId="719" priority="40">
      <formula>MOD(COLUMN(),2)=1</formula>
    </cfRule>
  </conditionalFormatting>
  <conditionalFormatting sqref="AE5">
    <cfRule type="expression" dxfId="718" priority="39">
      <formula>MOD(COLUMN(),2)=1</formula>
    </cfRule>
  </conditionalFormatting>
  <conditionalFormatting sqref="AF5:AG5">
    <cfRule type="expression" dxfId="717" priority="38">
      <formula>MOD(COLUMN(),2)=1</formula>
    </cfRule>
  </conditionalFormatting>
  <conditionalFormatting sqref="AF5:AG5">
    <cfRule type="expression" dxfId="716" priority="37">
      <formula>MOD(COLUMN(),2)=1</formula>
    </cfRule>
  </conditionalFormatting>
  <conditionalFormatting sqref="AE6:AE52">
    <cfRule type="expression" dxfId="715" priority="36">
      <formula>MOD(COLUMN(),2)=1</formula>
    </cfRule>
  </conditionalFormatting>
  <conditionalFormatting sqref="AE6:AE52">
    <cfRule type="expression" dxfId="714" priority="35">
      <formula>MOD(COLUMN(),2)=1</formula>
    </cfRule>
  </conditionalFormatting>
  <conditionalFormatting sqref="AF6:AG52">
    <cfRule type="expression" dxfId="713" priority="34">
      <formula>MOD(COLUMN(),2)=1</formula>
    </cfRule>
  </conditionalFormatting>
  <conditionalFormatting sqref="AF6:AG52">
    <cfRule type="expression" dxfId="712" priority="33">
      <formula>MOD(COLUMN(),2)=1</formula>
    </cfRule>
  </conditionalFormatting>
  <conditionalFormatting sqref="AJ5">
    <cfRule type="expression" dxfId="711" priority="32">
      <formula>MOD(COLUMN(),2)=1</formula>
    </cfRule>
  </conditionalFormatting>
  <conditionalFormatting sqref="AJ5">
    <cfRule type="expression" dxfId="710" priority="31">
      <formula>MOD(COLUMN(),2)=1</formula>
    </cfRule>
  </conditionalFormatting>
  <conditionalFormatting sqref="AK5:AL5">
    <cfRule type="expression" dxfId="709" priority="30">
      <formula>MOD(COLUMN(),2)=1</formula>
    </cfRule>
  </conditionalFormatting>
  <conditionalFormatting sqref="AK5:AL5">
    <cfRule type="expression" dxfId="708" priority="29">
      <formula>MOD(COLUMN(),2)=1</formula>
    </cfRule>
  </conditionalFormatting>
  <conditionalFormatting sqref="AJ6:AJ52">
    <cfRule type="expression" dxfId="707" priority="28">
      <formula>MOD(COLUMN(),2)=1</formula>
    </cfRule>
  </conditionalFormatting>
  <conditionalFormatting sqref="AJ6:AJ52">
    <cfRule type="expression" dxfId="706" priority="27">
      <formula>MOD(COLUMN(),2)=1</formula>
    </cfRule>
  </conditionalFormatting>
  <conditionalFormatting sqref="AK6:AL52">
    <cfRule type="expression" dxfId="705" priority="26">
      <formula>MOD(COLUMN(),2)=1</formula>
    </cfRule>
  </conditionalFormatting>
  <conditionalFormatting sqref="AK6:AL52">
    <cfRule type="expression" dxfId="704" priority="25">
      <formula>MOD(COLUMN(),2)=1</formula>
    </cfRule>
  </conditionalFormatting>
  <conditionalFormatting sqref="AO5">
    <cfRule type="expression" dxfId="703" priority="24">
      <formula>MOD(COLUMN(),2)=1</formula>
    </cfRule>
  </conditionalFormatting>
  <conditionalFormatting sqref="AO5">
    <cfRule type="expression" dxfId="702" priority="23">
      <formula>MOD(COLUMN(),2)=1</formula>
    </cfRule>
  </conditionalFormatting>
  <conditionalFormatting sqref="AP5:AQ5">
    <cfRule type="expression" dxfId="701" priority="22">
      <formula>MOD(COLUMN(),2)=1</formula>
    </cfRule>
  </conditionalFormatting>
  <conditionalFormatting sqref="AP5:AQ5">
    <cfRule type="expression" dxfId="700" priority="21">
      <formula>MOD(COLUMN(),2)=1</formula>
    </cfRule>
  </conditionalFormatting>
  <conditionalFormatting sqref="AO6:AO52">
    <cfRule type="expression" dxfId="699" priority="20">
      <formula>MOD(COLUMN(),2)=1</formula>
    </cfRule>
  </conditionalFormatting>
  <conditionalFormatting sqref="AO6:AO52">
    <cfRule type="expression" dxfId="698" priority="19">
      <formula>MOD(COLUMN(),2)=1</formula>
    </cfRule>
  </conditionalFormatting>
  <conditionalFormatting sqref="AP6:AQ52">
    <cfRule type="expression" dxfId="697" priority="18">
      <formula>MOD(COLUMN(),2)=1</formula>
    </cfRule>
  </conditionalFormatting>
  <conditionalFormatting sqref="AP6:AQ52">
    <cfRule type="expression" dxfId="696" priority="17">
      <formula>MOD(COLUMN(),2)=1</formula>
    </cfRule>
  </conditionalFormatting>
  <conditionalFormatting sqref="AT5">
    <cfRule type="expression" dxfId="695" priority="16">
      <formula>MOD(COLUMN(),2)=1</formula>
    </cfRule>
  </conditionalFormatting>
  <conditionalFormatting sqref="AT5">
    <cfRule type="expression" dxfId="694" priority="15">
      <formula>MOD(COLUMN(),2)=1</formula>
    </cfRule>
  </conditionalFormatting>
  <conditionalFormatting sqref="AU5:AV5">
    <cfRule type="expression" dxfId="693" priority="14">
      <formula>MOD(COLUMN(),2)=1</formula>
    </cfRule>
  </conditionalFormatting>
  <conditionalFormatting sqref="AU5:AV5">
    <cfRule type="expression" dxfId="692" priority="13">
      <formula>MOD(COLUMN(),2)=1</formula>
    </cfRule>
  </conditionalFormatting>
  <conditionalFormatting sqref="AT6:AT52">
    <cfRule type="expression" dxfId="691" priority="12">
      <formula>MOD(COLUMN(),2)=1</formula>
    </cfRule>
  </conditionalFormatting>
  <conditionalFormatting sqref="AT6:AT52">
    <cfRule type="expression" dxfId="690" priority="11">
      <formula>MOD(COLUMN(),2)=1</formula>
    </cfRule>
  </conditionalFormatting>
  <conditionalFormatting sqref="AU6:AV52">
    <cfRule type="expression" dxfId="689" priority="10">
      <formula>MOD(COLUMN(),2)=1</formula>
    </cfRule>
  </conditionalFormatting>
  <conditionalFormatting sqref="AU6:AV52">
    <cfRule type="expression" dxfId="688" priority="9">
      <formula>MOD(COLUMN(),2)=1</formula>
    </cfRule>
  </conditionalFormatting>
  <conditionalFormatting sqref="AY5">
    <cfRule type="expression" dxfId="687" priority="8">
      <formula>MOD(COLUMN(),2)=1</formula>
    </cfRule>
  </conditionalFormatting>
  <conditionalFormatting sqref="AY5">
    <cfRule type="expression" dxfId="686" priority="7">
      <formula>MOD(COLUMN(),2)=1</formula>
    </cfRule>
  </conditionalFormatting>
  <conditionalFormatting sqref="AZ5:BA5">
    <cfRule type="expression" dxfId="685" priority="6">
      <formula>MOD(COLUMN(),2)=1</formula>
    </cfRule>
  </conditionalFormatting>
  <conditionalFormatting sqref="AZ5:BA5">
    <cfRule type="expression" dxfId="684" priority="5">
      <formula>MOD(COLUMN(),2)=1</formula>
    </cfRule>
  </conditionalFormatting>
  <conditionalFormatting sqref="AY6:AY52">
    <cfRule type="expression" dxfId="683" priority="4">
      <formula>MOD(COLUMN(),2)=1</formula>
    </cfRule>
  </conditionalFormatting>
  <conditionalFormatting sqref="AY6:AY52">
    <cfRule type="expression" dxfId="682" priority="3">
      <formula>MOD(COLUMN(),2)=1</formula>
    </cfRule>
  </conditionalFormatting>
  <conditionalFormatting sqref="AZ6:BA52">
    <cfRule type="expression" dxfId="681" priority="2">
      <formula>MOD(COLUMN(),2)=1</formula>
    </cfRule>
  </conditionalFormatting>
  <conditionalFormatting sqref="AZ6:BA52">
    <cfRule type="expression" dxfId="68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3.5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BB1:BF1"/>
    <mergeCell ref="BG1:BG3"/>
    <mergeCell ref="BB2:BF2"/>
    <mergeCell ref="BH1:BL1"/>
    <mergeCell ref="BM1:BM3"/>
    <mergeCell ref="BH2:BL2"/>
    <mergeCell ref="AP1:AT1"/>
    <mergeCell ref="AU1:AU3"/>
    <mergeCell ref="AP2:AT2"/>
    <mergeCell ref="AV1:AZ1"/>
    <mergeCell ref="BA1:BA3"/>
    <mergeCell ref="AV2:AZ2"/>
  </mergeCells>
  <conditionalFormatting sqref="F26">
    <cfRule type="expression" dxfId="679" priority="79">
      <formula>MOD(COLUMN(),2)=1</formula>
    </cfRule>
  </conditionalFormatting>
  <conditionalFormatting sqref="F26">
    <cfRule type="expression" dxfId="678" priority="78">
      <formula>MOD(COLUMN(),2)=1</formula>
    </cfRule>
  </conditionalFormatting>
  <conditionalFormatting sqref="F5">
    <cfRule type="expression" dxfId="677" priority="77">
      <formula>MOD(COLUMN(),2)=1</formula>
    </cfRule>
  </conditionalFormatting>
  <conditionalFormatting sqref="G5:I5 G29:I29 G33:I33 G37:I37 G41:I41 G45:I45 G49:I49 G53:I53 G9:I9 G13:I13 G17:I17 G21:I21 G25:I25">
    <cfRule type="expression" dxfId="676" priority="76">
      <formula>MOD(COLUMN(),2)=1</formula>
    </cfRule>
  </conditionalFormatting>
  <conditionalFormatting sqref="F6:F53">
    <cfRule type="expression" dxfId="675" priority="75">
      <formula>MOD(COLUMN(),2)=1</formula>
    </cfRule>
  </conditionalFormatting>
  <conditionalFormatting sqref="G6:I53">
    <cfRule type="expression" dxfId="674" priority="74">
      <formula>MOD(COLUMN(),2)=1</formula>
    </cfRule>
  </conditionalFormatting>
  <conditionalFormatting sqref="L26">
    <cfRule type="expression" dxfId="673" priority="73">
      <formula>MOD(COLUMN(),2)=1</formula>
    </cfRule>
  </conditionalFormatting>
  <conditionalFormatting sqref="L26">
    <cfRule type="expression" dxfId="672" priority="72">
      <formula>MOD(COLUMN(),2)=1</formula>
    </cfRule>
  </conditionalFormatting>
  <conditionalFormatting sqref="L5">
    <cfRule type="expression" dxfId="671" priority="71">
      <formula>MOD(COLUMN(),2)=1</formula>
    </cfRule>
  </conditionalFormatting>
  <conditionalFormatting sqref="M5:O5">
    <cfRule type="expression" dxfId="670" priority="70">
      <formula>MOD(COLUMN(),2)=1</formula>
    </cfRule>
  </conditionalFormatting>
  <conditionalFormatting sqref="L6:L53">
    <cfRule type="expression" dxfId="669" priority="69">
      <formula>MOD(COLUMN(),2)=1</formula>
    </cfRule>
  </conditionalFormatting>
  <conditionalFormatting sqref="M6:O53">
    <cfRule type="expression" dxfId="668" priority="68">
      <formula>MOD(COLUMN(),2)=1</formula>
    </cfRule>
  </conditionalFormatting>
  <conditionalFormatting sqref="R26">
    <cfRule type="expression" dxfId="667" priority="67">
      <formula>MOD(COLUMN(),2)=1</formula>
    </cfRule>
  </conditionalFormatting>
  <conditionalFormatting sqref="R26">
    <cfRule type="expression" dxfId="666" priority="66">
      <formula>MOD(COLUMN(),2)=1</formula>
    </cfRule>
  </conditionalFormatting>
  <conditionalFormatting sqref="R5">
    <cfRule type="expression" dxfId="665" priority="65">
      <formula>MOD(COLUMN(),2)=1</formula>
    </cfRule>
  </conditionalFormatting>
  <conditionalFormatting sqref="S5:U5">
    <cfRule type="expression" dxfId="664" priority="64">
      <formula>MOD(COLUMN(),2)=1</formula>
    </cfRule>
  </conditionalFormatting>
  <conditionalFormatting sqref="R6:R53">
    <cfRule type="expression" dxfId="663" priority="63">
      <formula>MOD(COLUMN(),2)=1</formula>
    </cfRule>
  </conditionalFormatting>
  <conditionalFormatting sqref="S6:U53">
    <cfRule type="expression" dxfId="662" priority="62">
      <formula>MOD(COLUMN(),2)=1</formula>
    </cfRule>
  </conditionalFormatting>
  <conditionalFormatting sqref="X26">
    <cfRule type="expression" dxfId="661" priority="61">
      <formula>MOD(COLUMN(),2)=1</formula>
    </cfRule>
  </conditionalFormatting>
  <conditionalFormatting sqref="X26">
    <cfRule type="expression" dxfId="660" priority="60">
      <formula>MOD(COLUMN(),2)=1</formula>
    </cfRule>
  </conditionalFormatting>
  <conditionalFormatting sqref="X5">
    <cfRule type="expression" dxfId="659" priority="59">
      <formula>MOD(COLUMN(),2)=1</formula>
    </cfRule>
  </conditionalFormatting>
  <conditionalFormatting sqref="Y5:AA5">
    <cfRule type="expression" dxfId="658" priority="58">
      <formula>MOD(COLUMN(),2)=1</formula>
    </cfRule>
  </conditionalFormatting>
  <conditionalFormatting sqref="X6:X53">
    <cfRule type="expression" dxfId="657" priority="57">
      <formula>MOD(COLUMN(),2)=1</formula>
    </cfRule>
  </conditionalFormatting>
  <conditionalFormatting sqref="Y6:AA53">
    <cfRule type="expression" dxfId="656" priority="56">
      <formula>MOD(COLUMN(),2)=1</formula>
    </cfRule>
  </conditionalFormatting>
  <conditionalFormatting sqref="AD26">
    <cfRule type="expression" dxfId="655" priority="55">
      <formula>MOD(COLUMN(),2)=1</formula>
    </cfRule>
  </conditionalFormatting>
  <conditionalFormatting sqref="AD26">
    <cfRule type="expression" dxfId="654" priority="54">
      <formula>MOD(COLUMN(),2)=1</formula>
    </cfRule>
  </conditionalFormatting>
  <conditionalFormatting sqref="AD5">
    <cfRule type="expression" dxfId="653" priority="53">
      <formula>MOD(COLUMN(),2)=1</formula>
    </cfRule>
  </conditionalFormatting>
  <conditionalFormatting sqref="AE5:AG5">
    <cfRule type="expression" dxfId="652" priority="52">
      <formula>MOD(COLUMN(),2)=1</formula>
    </cfRule>
  </conditionalFormatting>
  <conditionalFormatting sqref="AD6:AD53">
    <cfRule type="expression" dxfId="651" priority="51">
      <formula>MOD(COLUMN(),2)=1</formula>
    </cfRule>
  </conditionalFormatting>
  <conditionalFormatting sqref="AE6:AG53">
    <cfRule type="expression" dxfId="650" priority="50">
      <formula>MOD(COLUMN(),2)=1</formula>
    </cfRule>
  </conditionalFormatting>
  <conditionalFormatting sqref="AJ26">
    <cfRule type="expression" dxfId="649" priority="49">
      <formula>MOD(COLUMN(),2)=1</formula>
    </cfRule>
  </conditionalFormatting>
  <conditionalFormatting sqref="AJ26">
    <cfRule type="expression" dxfId="648" priority="48">
      <formula>MOD(COLUMN(),2)=1</formula>
    </cfRule>
  </conditionalFormatting>
  <conditionalFormatting sqref="AJ5">
    <cfRule type="expression" dxfId="647" priority="47">
      <formula>MOD(COLUMN(),2)=1</formula>
    </cfRule>
  </conditionalFormatting>
  <conditionalFormatting sqref="AK5:AM5">
    <cfRule type="expression" dxfId="646" priority="46">
      <formula>MOD(COLUMN(),2)=1</formula>
    </cfRule>
  </conditionalFormatting>
  <conditionalFormatting sqref="AJ6:AJ53">
    <cfRule type="expression" dxfId="645" priority="45">
      <formula>MOD(COLUMN(),2)=1</formula>
    </cfRule>
  </conditionalFormatting>
  <conditionalFormatting sqref="AK6:AM53">
    <cfRule type="expression" dxfId="644" priority="44">
      <formula>MOD(COLUMN(),2)=1</formula>
    </cfRule>
  </conditionalFormatting>
  <conditionalFormatting sqref="AP26">
    <cfRule type="expression" dxfId="643" priority="43">
      <formula>MOD(COLUMN(),2)=1</formula>
    </cfRule>
  </conditionalFormatting>
  <conditionalFormatting sqref="AP26">
    <cfRule type="expression" dxfId="642" priority="42">
      <formula>MOD(COLUMN(),2)=1</formula>
    </cfRule>
  </conditionalFormatting>
  <conditionalFormatting sqref="AP5">
    <cfRule type="expression" dxfId="641" priority="41">
      <formula>MOD(COLUMN(),2)=1</formula>
    </cfRule>
  </conditionalFormatting>
  <conditionalFormatting sqref="AQ5:AS5">
    <cfRule type="expression" dxfId="640" priority="40">
      <formula>MOD(COLUMN(),2)=1</formula>
    </cfRule>
  </conditionalFormatting>
  <conditionalFormatting sqref="AP6:AP53">
    <cfRule type="expression" dxfId="639" priority="39">
      <formula>MOD(COLUMN(),2)=1</formula>
    </cfRule>
  </conditionalFormatting>
  <conditionalFormatting sqref="AQ6:AS53">
    <cfRule type="expression" dxfId="638" priority="38">
      <formula>MOD(COLUMN(),2)=1</formula>
    </cfRule>
  </conditionalFormatting>
  <conditionalFormatting sqref="AV26">
    <cfRule type="expression" dxfId="637" priority="37">
      <formula>MOD(COLUMN(),2)=1</formula>
    </cfRule>
  </conditionalFormatting>
  <conditionalFormatting sqref="AV26">
    <cfRule type="expression" dxfId="636" priority="36">
      <formula>MOD(COLUMN(),2)=1</formula>
    </cfRule>
  </conditionalFormatting>
  <conditionalFormatting sqref="AV5">
    <cfRule type="expression" dxfId="635" priority="35">
      <formula>MOD(COLUMN(),2)=1</formula>
    </cfRule>
  </conditionalFormatting>
  <conditionalFormatting sqref="AW5:AY5">
    <cfRule type="expression" dxfId="634" priority="34">
      <formula>MOD(COLUMN(),2)=1</formula>
    </cfRule>
  </conditionalFormatting>
  <conditionalFormatting sqref="AV6:AV53">
    <cfRule type="expression" dxfId="633" priority="33">
      <formula>MOD(COLUMN(),2)=1</formula>
    </cfRule>
  </conditionalFormatting>
  <conditionalFormatting sqref="AW6:AY53">
    <cfRule type="expression" dxfId="632" priority="32">
      <formula>MOD(COLUMN(),2)=1</formula>
    </cfRule>
  </conditionalFormatting>
  <conditionalFormatting sqref="BB26">
    <cfRule type="expression" dxfId="631" priority="31">
      <formula>MOD(COLUMN(),2)=1</formula>
    </cfRule>
  </conditionalFormatting>
  <conditionalFormatting sqref="BB26">
    <cfRule type="expression" dxfId="630" priority="30">
      <formula>MOD(COLUMN(),2)=1</formula>
    </cfRule>
  </conditionalFormatting>
  <conditionalFormatting sqref="BB5">
    <cfRule type="expression" dxfId="629" priority="29">
      <formula>MOD(COLUMN(),2)=1</formula>
    </cfRule>
  </conditionalFormatting>
  <conditionalFormatting sqref="BC5:BE5">
    <cfRule type="expression" dxfId="628" priority="28">
      <formula>MOD(COLUMN(),2)=1</formula>
    </cfRule>
  </conditionalFormatting>
  <conditionalFormatting sqref="BB6:BB53">
    <cfRule type="expression" dxfId="627" priority="27">
      <formula>MOD(COLUMN(),2)=1</formula>
    </cfRule>
  </conditionalFormatting>
  <conditionalFormatting sqref="BC6:BE53">
    <cfRule type="expression" dxfId="626" priority="26">
      <formula>MOD(COLUMN(),2)=1</formula>
    </cfRule>
  </conditionalFormatting>
  <conditionalFormatting sqref="BH26">
    <cfRule type="expression" dxfId="625" priority="25">
      <formula>MOD(COLUMN(),2)=1</formula>
    </cfRule>
  </conditionalFormatting>
  <conditionalFormatting sqref="BH26">
    <cfRule type="expression" dxfId="624" priority="24">
      <formula>MOD(COLUMN(),2)=1</formula>
    </cfRule>
  </conditionalFormatting>
  <conditionalFormatting sqref="BH5">
    <cfRule type="expression" dxfId="623" priority="23">
      <formula>MOD(COLUMN(),2)=1</formula>
    </cfRule>
  </conditionalFormatting>
  <conditionalFormatting sqref="BI5:BK5">
    <cfRule type="expression" dxfId="622" priority="22">
      <formula>MOD(COLUMN(),2)=1</formula>
    </cfRule>
  </conditionalFormatting>
  <conditionalFormatting sqref="BH6:BH53">
    <cfRule type="expression" dxfId="621" priority="21">
      <formula>MOD(COLUMN(),2)=1</formula>
    </cfRule>
  </conditionalFormatting>
  <conditionalFormatting sqref="BI6:BK53">
    <cfRule type="expression" dxfId="620" priority="20">
      <formula>MOD(COLUMN(),2)=1</formula>
    </cfRule>
  </conditionalFormatting>
  <conditionalFormatting sqref="X5">
    <cfRule type="expression" dxfId="619" priority="19">
      <formula>MOD(COLUMN(),2)=1</formula>
    </cfRule>
  </conditionalFormatting>
  <conditionalFormatting sqref="Y5:AA5">
    <cfRule type="expression" dxfId="618" priority="18">
      <formula>MOD(COLUMN(),2)=1</formula>
    </cfRule>
  </conditionalFormatting>
  <conditionalFormatting sqref="AD5">
    <cfRule type="expression" dxfId="617" priority="17">
      <formula>MOD(COLUMN(),2)=1</formula>
    </cfRule>
  </conditionalFormatting>
  <conditionalFormatting sqref="AE5:AG5">
    <cfRule type="expression" dxfId="616" priority="16">
      <formula>MOD(COLUMN(),2)=1</formula>
    </cfRule>
  </conditionalFormatting>
  <conditionalFormatting sqref="AJ5">
    <cfRule type="expression" dxfId="615" priority="15">
      <formula>MOD(COLUMN(),2)=1</formula>
    </cfRule>
  </conditionalFormatting>
  <conditionalFormatting sqref="AK5:AM5">
    <cfRule type="expression" dxfId="614" priority="14">
      <formula>MOD(COLUMN(),2)=1</formula>
    </cfRule>
  </conditionalFormatting>
  <conditionalFormatting sqref="AP5">
    <cfRule type="expression" dxfId="613" priority="13">
      <formula>MOD(COLUMN(),2)=1</formula>
    </cfRule>
  </conditionalFormatting>
  <conditionalFormatting sqref="AQ5:AS5">
    <cfRule type="expression" dxfId="612" priority="12">
      <formula>MOD(COLUMN(),2)=1</formula>
    </cfRule>
  </conditionalFormatting>
  <conditionalFormatting sqref="AV5">
    <cfRule type="expression" dxfId="611" priority="11">
      <formula>MOD(COLUMN(),2)=1</formula>
    </cfRule>
  </conditionalFormatting>
  <conditionalFormatting sqref="AW5:AY5">
    <cfRule type="expression" dxfId="610" priority="10">
      <formula>MOD(COLUMN(),2)=1</formula>
    </cfRule>
  </conditionalFormatting>
  <conditionalFormatting sqref="BB5">
    <cfRule type="expression" dxfId="609" priority="9">
      <formula>MOD(COLUMN(),2)=1</formula>
    </cfRule>
  </conditionalFormatting>
  <conditionalFormatting sqref="BC5:BE5">
    <cfRule type="expression" dxfId="608" priority="8">
      <formula>MOD(COLUMN(),2)=1</formula>
    </cfRule>
  </conditionalFormatting>
  <conditionalFormatting sqref="BH5">
    <cfRule type="expression" dxfId="607" priority="7">
      <formula>MOD(COLUMN(),2)=1</formula>
    </cfRule>
  </conditionalFormatting>
  <conditionalFormatting sqref="BI5:BK5">
    <cfRule type="expression" dxfId="606" priority="6">
      <formula>MOD(COLUMN(),2)=1</formula>
    </cfRule>
  </conditionalFormatting>
  <conditionalFormatting sqref="F9">
    <cfRule type="expression" dxfId="605" priority="5">
      <formula>MOD(COLUMN(),2)=1</formula>
    </cfRule>
  </conditionalFormatting>
  <conditionalFormatting sqref="F13">
    <cfRule type="expression" dxfId="604" priority="4">
      <formula>MOD(COLUMN(),2)=1</formula>
    </cfRule>
  </conditionalFormatting>
  <conditionalFormatting sqref="F17">
    <cfRule type="expression" dxfId="603" priority="3">
      <formula>MOD(COLUMN(),2)=1</formula>
    </cfRule>
  </conditionalFormatting>
  <conditionalFormatting sqref="F21">
    <cfRule type="expression" dxfId="602" priority="2">
      <formula>MOD(COLUMN(),2)=1</formula>
    </cfRule>
  </conditionalFormatting>
  <conditionalFormatting sqref="F25">
    <cfRule type="expression" dxfId="601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600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9" priority="78">
      <formula>MOD(COLUMN(),2)=1</formula>
    </cfRule>
  </conditionalFormatting>
  <conditionalFormatting sqref="B8:C8 B23:C23 B29:C29 B40:C40 B46:C46 AZ8 AZ23 AZ29 AZ40 AZ46">
    <cfRule type="cellIs" dxfId="598" priority="77" operator="notEqual">
      <formula>$B$2</formula>
    </cfRule>
  </conditionalFormatting>
  <conditionalFormatting sqref="B17:C17 AZ17">
    <cfRule type="cellIs" dxfId="597" priority="76" operator="notEqual">
      <formula>$B$2</formula>
    </cfRule>
  </conditionalFormatting>
  <conditionalFormatting sqref="B34:C34 AZ34">
    <cfRule type="cellIs" dxfId="596" priority="75" operator="notEqual">
      <formula>$B$2</formula>
    </cfRule>
  </conditionalFormatting>
  <conditionalFormatting sqref="AZ8 AZ23 AZ29 AZ40 AZ46">
    <cfRule type="cellIs" dxfId="595" priority="74" operator="notEqual">
      <formula>$B$2</formula>
    </cfRule>
  </conditionalFormatting>
  <conditionalFormatting sqref="AZ17">
    <cfRule type="cellIs" dxfId="594" priority="73" operator="notEqual">
      <formula>$B$2</formula>
    </cfRule>
  </conditionalFormatting>
  <conditionalFormatting sqref="AZ34">
    <cfRule type="cellIs" dxfId="593" priority="72" operator="notEqual">
      <formula>$B$2</formula>
    </cfRule>
  </conditionalFormatting>
  <conditionalFormatting sqref="D8:AY8">
    <cfRule type="expression" dxfId="592" priority="64">
      <formula>MOD(COLUMN(),2)=1</formula>
    </cfRule>
  </conditionalFormatting>
  <conditionalFormatting sqref="D8:AY8">
    <cfRule type="cellIs" dxfId="591" priority="63" operator="notEqual">
      <formula>$B$2</formula>
    </cfRule>
  </conditionalFormatting>
  <conditionalFormatting sqref="D8:AY8">
    <cfRule type="expression" dxfId="590" priority="62">
      <formula>MOD(COLUMN(),2)=1</formula>
    </cfRule>
  </conditionalFormatting>
  <conditionalFormatting sqref="D8:AY8">
    <cfRule type="cellIs" dxfId="589" priority="61" operator="notEqual">
      <formula>$B$2</formula>
    </cfRule>
  </conditionalFormatting>
  <conditionalFormatting sqref="D8:AY8">
    <cfRule type="expression" dxfId="588" priority="60">
      <formula>MOD(COLUMN(),2)=1</formula>
    </cfRule>
  </conditionalFormatting>
  <conditionalFormatting sqref="D8:AY8">
    <cfRule type="cellIs" dxfId="587" priority="59" operator="notEqual">
      <formula>$B$2</formula>
    </cfRule>
  </conditionalFormatting>
  <conditionalFormatting sqref="D8:AY8">
    <cfRule type="expression" dxfId="586" priority="58">
      <formula>MOD(COLUMN(),2)=1</formula>
    </cfRule>
  </conditionalFormatting>
  <conditionalFormatting sqref="D8:AY8">
    <cfRule type="cellIs" dxfId="585" priority="57" operator="notEqual">
      <formula>$B$2</formula>
    </cfRule>
  </conditionalFormatting>
  <conditionalFormatting sqref="D17:AY17">
    <cfRule type="expression" dxfId="584" priority="56">
      <formula>MOD(COLUMN(),2)=1</formula>
    </cfRule>
  </conditionalFormatting>
  <conditionalFormatting sqref="D17:AY17">
    <cfRule type="cellIs" dxfId="583" priority="55" operator="notEqual">
      <formula>$B$2</formula>
    </cfRule>
  </conditionalFormatting>
  <conditionalFormatting sqref="D17:AY17">
    <cfRule type="expression" dxfId="582" priority="54">
      <formula>MOD(COLUMN(),2)=1</formula>
    </cfRule>
  </conditionalFormatting>
  <conditionalFormatting sqref="D17:AY17">
    <cfRule type="cellIs" dxfId="581" priority="53" operator="notEqual">
      <formula>$B$2</formula>
    </cfRule>
  </conditionalFormatting>
  <conditionalFormatting sqref="D17:AY17">
    <cfRule type="expression" dxfId="580" priority="52">
      <formula>MOD(COLUMN(),2)=1</formula>
    </cfRule>
  </conditionalFormatting>
  <conditionalFormatting sqref="D17:AY17">
    <cfRule type="cellIs" dxfId="579" priority="51" operator="notEqual">
      <formula>$B$2</formula>
    </cfRule>
  </conditionalFormatting>
  <conditionalFormatting sqref="D17:AY17">
    <cfRule type="expression" dxfId="578" priority="50">
      <formula>MOD(COLUMN(),2)=1</formula>
    </cfRule>
  </conditionalFormatting>
  <conditionalFormatting sqref="D17:AY17">
    <cfRule type="cellIs" dxfId="577" priority="49" operator="notEqual">
      <formula>$B$2</formula>
    </cfRule>
  </conditionalFormatting>
  <conditionalFormatting sqref="D23:AY23">
    <cfRule type="expression" dxfId="576" priority="40">
      <formula>MOD(COLUMN(),2)=1</formula>
    </cfRule>
  </conditionalFormatting>
  <conditionalFormatting sqref="D23:AY23">
    <cfRule type="cellIs" dxfId="575" priority="39" operator="notEqual">
      <formula>$B$2</formula>
    </cfRule>
  </conditionalFormatting>
  <conditionalFormatting sqref="D23:AY23">
    <cfRule type="expression" dxfId="574" priority="38">
      <formula>MOD(COLUMN(),2)=1</formula>
    </cfRule>
  </conditionalFormatting>
  <conditionalFormatting sqref="D23:AY23">
    <cfRule type="cellIs" dxfId="573" priority="37" operator="notEqual">
      <formula>$B$2</formula>
    </cfRule>
  </conditionalFormatting>
  <conditionalFormatting sqref="D23:AY23">
    <cfRule type="expression" dxfId="572" priority="36">
      <formula>MOD(COLUMN(),2)=1</formula>
    </cfRule>
  </conditionalFormatting>
  <conditionalFormatting sqref="D23:AY23">
    <cfRule type="cellIs" dxfId="571" priority="35" operator="notEqual">
      <formula>$B$2</formula>
    </cfRule>
  </conditionalFormatting>
  <conditionalFormatting sqref="D23:AY23">
    <cfRule type="expression" dxfId="570" priority="34">
      <formula>MOD(COLUMN(),2)=1</formula>
    </cfRule>
  </conditionalFormatting>
  <conditionalFormatting sqref="D23:AY23">
    <cfRule type="cellIs" dxfId="569" priority="33" operator="notEqual">
      <formula>$B$2</formula>
    </cfRule>
  </conditionalFormatting>
  <conditionalFormatting sqref="D29:AY29">
    <cfRule type="expression" dxfId="568" priority="32">
      <formula>MOD(COLUMN(),2)=1</formula>
    </cfRule>
  </conditionalFormatting>
  <conditionalFormatting sqref="D29:AY29">
    <cfRule type="cellIs" dxfId="567" priority="31" operator="notEqual">
      <formula>$B$2</formula>
    </cfRule>
  </conditionalFormatting>
  <conditionalFormatting sqref="D29:AY29">
    <cfRule type="expression" dxfId="566" priority="30">
      <formula>MOD(COLUMN(),2)=1</formula>
    </cfRule>
  </conditionalFormatting>
  <conditionalFormatting sqref="D29:AY29">
    <cfRule type="cellIs" dxfId="565" priority="29" operator="notEqual">
      <formula>$B$2</formula>
    </cfRule>
  </conditionalFormatting>
  <conditionalFormatting sqref="D29:AY29">
    <cfRule type="expression" dxfId="564" priority="28">
      <formula>MOD(COLUMN(),2)=1</formula>
    </cfRule>
  </conditionalFormatting>
  <conditionalFormatting sqref="D29:AY29">
    <cfRule type="cellIs" dxfId="563" priority="27" operator="notEqual">
      <formula>$B$2</formula>
    </cfRule>
  </conditionalFormatting>
  <conditionalFormatting sqref="D29:AY29">
    <cfRule type="expression" dxfId="562" priority="26">
      <formula>MOD(COLUMN(),2)=1</formula>
    </cfRule>
  </conditionalFormatting>
  <conditionalFormatting sqref="D29:AY29">
    <cfRule type="cellIs" dxfId="561" priority="25" operator="notEqual">
      <formula>$B$2</formula>
    </cfRule>
  </conditionalFormatting>
  <conditionalFormatting sqref="D34:AY34">
    <cfRule type="expression" dxfId="560" priority="24">
      <formula>MOD(COLUMN(),2)=1</formula>
    </cfRule>
  </conditionalFormatting>
  <conditionalFormatting sqref="D34:AY34">
    <cfRule type="cellIs" dxfId="559" priority="23" operator="notEqual">
      <formula>$B$2</formula>
    </cfRule>
  </conditionalFormatting>
  <conditionalFormatting sqref="D34:AY34">
    <cfRule type="expression" dxfId="558" priority="22">
      <formula>MOD(COLUMN(),2)=1</formula>
    </cfRule>
  </conditionalFormatting>
  <conditionalFormatting sqref="D34:AY34">
    <cfRule type="cellIs" dxfId="557" priority="21" operator="notEqual">
      <formula>$B$2</formula>
    </cfRule>
  </conditionalFormatting>
  <conditionalFormatting sqref="D34:AY34">
    <cfRule type="expression" dxfId="556" priority="20">
      <formula>MOD(COLUMN(),2)=1</formula>
    </cfRule>
  </conditionalFormatting>
  <conditionalFormatting sqref="D34:AY34">
    <cfRule type="cellIs" dxfId="555" priority="19" operator="notEqual">
      <formula>$B$2</formula>
    </cfRule>
  </conditionalFormatting>
  <conditionalFormatting sqref="D34:AY34">
    <cfRule type="expression" dxfId="554" priority="18">
      <formula>MOD(COLUMN(),2)=1</formula>
    </cfRule>
  </conditionalFormatting>
  <conditionalFormatting sqref="D34:AY34">
    <cfRule type="cellIs" dxfId="553" priority="17" operator="notEqual">
      <formula>$B$2</formula>
    </cfRule>
  </conditionalFormatting>
  <conditionalFormatting sqref="D40:AY40">
    <cfRule type="expression" dxfId="552" priority="16">
      <formula>MOD(COLUMN(),2)=1</formula>
    </cfRule>
  </conditionalFormatting>
  <conditionalFormatting sqref="D40:AY40">
    <cfRule type="cellIs" dxfId="551" priority="15" operator="notEqual">
      <formula>$B$2</formula>
    </cfRule>
  </conditionalFormatting>
  <conditionalFormatting sqref="D40:AY40">
    <cfRule type="expression" dxfId="550" priority="14">
      <formula>MOD(COLUMN(),2)=1</formula>
    </cfRule>
  </conditionalFormatting>
  <conditionalFormatting sqref="D40:AY40">
    <cfRule type="cellIs" dxfId="549" priority="13" operator="notEqual">
      <formula>$B$2</formula>
    </cfRule>
  </conditionalFormatting>
  <conditionalFormatting sqref="D40:AY40">
    <cfRule type="expression" dxfId="548" priority="12">
      <formula>MOD(COLUMN(),2)=1</formula>
    </cfRule>
  </conditionalFormatting>
  <conditionalFormatting sqref="D40:AY40">
    <cfRule type="cellIs" dxfId="547" priority="11" operator="notEqual">
      <formula>$B$2</formula>
    </cfRule>
  </conditionalFormatting>
  <conditionalFormatting sqref="D40:AY40">
    <cfRule type="expression" dxfId="546" priority="10">
      <formula>MOD(COLUMN(),2)=1</formula>
    </cfRule>
  </conditionalFormatting>
  <conditionalFormatting sqref="D40:AY40">
    <cfRule type="cellIs" dxfId="545" priority="9" operator="notEqual">
      <formula>$B$2</formula>
    </cfRule>
  </conditionalFormatting>
  <conditionalFormatting sqref="D46:AY46">
    <cfRule type="expression" dxfId="544" priority="8">
      <formula>MOD(COLUMN(),2)=1</formula>
    </cfRule>
  </conditionalFormatting>
  <conditionalFormatting sqref="D46:AY46">
    <cfRule type="cellIs" dxfId="543" priority="7" operator="notEqual">
      <formula>$B$2</formula>
    </cfRule>
  </conditionalFormatting>
  <conditionalFormatting sqref="D46:AY46">
    <cfRule type="expression" dxfId="542" priority="6">
      <formula>MOD(COLUMN(),2)=1</formula>
    </cfRule>
  </conditionalFormatting>
  <conditionalFormatting sqref="D46:AY46">
    <cfRule type="cellIs" dxfId="541" priority="5" operator="notEqual">
      <formula>$B$2</formula>
    </cfRule>
  </conditionalFormatting>
  <conditionalFormatting sqref="D46:AY46">
    <cfRule type="expression" dxfId="540" priority="4">
      <formula>MOD(COLUMN(),2)=1</formula>
    </cfRule>
  </conditionalFormatting>
  <conditionalFormatting sqref="D46:AY46">
    <cfRule type="cellIs" dxfId="539" priority="3" operator="notEqual">
      <formula>$B$2</formula>
    </cfRule>
  </conditionalFormatting>
  <conditionalFormatting sqref="D46:AY46">
    <cfRule type="expression" dxfId="538" priority="2">
      <formula>MOD(COLUMN(),2)=1</formula>
    </cfRule>
  </conditionalFormatting>
  <conditionalFormatting sqref="D46:AY46">
    <cfRule type="cellIs" dxfId="537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51" t="s">
        <v>308</v>
      </c>
      <c r="G1" s="652"/>
      <c r="H1" s="652"/>
      <c r="I1" s="652"/>
      <c r="J1" s="652"/>
      <c r="K1" s="652"/>
      <c r="L1" s="652"/>
      <c r="M1" s="652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5" t="s">
        <v>10</v>
      </c>
      <c r="Z5" s="646"/>
      <c r="AA5" s="646"/>
      <c r="AB5" s="647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48"/>
      <c r="Z6" s="649"/>
      <c r="AA6" s="649"/>
      <c r="AB6" s="650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F5:H6"/>
    <mergeCell ref="F1:M1"/>
    <mergeCell ref="A5:A7"/>
    <mergeCell ref="B5:B7"/>
    <mergeCell ref="C5:C7"/>
    <mergeCell ref="D5:D7"/>
    <mergeCell ref="E5:E7"/>
    <mergeCell ref="S5:S7"/>
    <mergeCell ref="T5:W6"/>
    <mergeCell ref="X5:X7"/>
    <mergeCell ref="Y5:AB6"/>
    <mergeCell ref="I5:I7"/>
    <mergeCell ref="J5:M6"/>
    <mergeCell ref="N5:N7"/>
    <mergeCell ref="O5:R6"/>
    <mergeCell ref="AM5:AM7"/>
    <mergeCell ref="AN5:AQ6"/>
    <mergeCell ref="AR5:AR7"/>
    <mergeCell ref="AC5:AC7"/>
    <mergeCell ref="AD5:AG6"/>
    <mergeCell ref="AH5:AH7"/>
    <mergeCell ref="AI5:AL6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7" activePane="bottomRight" state="frozen"/>
      <selection pane="topRight" activeCell="F1" sqref="F1"/>
      <selection pane="bottomLeft" activeCell="A5" sqref="A5"/>
      <selection pane="bottomRight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3" t="str">
        <f>IF(KDOKE!B3="","",KDOKE!B3)</f>
        <v>rajin beribadah dan berpuasa</v>
      </c>
      <c r="G1" s="653"/>
      <c r="H1" s="653"/>
      <c r="I1" s="654"/>
      <c r="J1" s="655" t="str">
        <f>IF(KDOKE!B7="","",KDOKE!B7)</f>
        <v>patuh terhadap tata tertib madrasah</v>
      </c>
      <c r="K1" s="656"/>
      <c r="L1" s="656"/>
      <c r="M1" s="656"/>
      <c r="N1" s="656"/>
      <c r="O1" s="656"/>
      <c r="P1" s="656"/>
      <c r="Q1" s="656"/>
      <c r="R1" s="656"/>
      <c r="S1" s="656"/>
      <c r="T1" s="656"/>
      <c r="U1" s="656"/>
      <c r="V1" s="656"/>
      <c r="W1" s="656"/>
      <c r="X1" s="656"/>
      <c r="Y1" s="656"/>
      <c r="Z1" s="656"/>
      <c r="AA1" s="656"/>
      <c r="AB1" s="656"/>
      <c r="AC1" s="656"/>
      <c r="AD1" s="656"/>
      <c r="AE1" s="656"/>
      <c r="AF1" s="656"/>
      <c r="AG1" s="656"/>
      <c r="AH1" s="656"/>
      <c r="AI1" s="656"/>
      <c r="AJ1" s="657"/>
    </row>
    <row r="2" spans="1:38" ht="13.5" customHeight="1">
      <c r="F2" s="653"/>
      <c r="G2" s="653"/>
      <c r="H2" s="653"/>
      <c r="I2" s="654"/>
      <c r="J2" s="658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  <c r="AC2" s="659"/>
      <c r="AD2" s="659"/>
      <c r="AE2" s="659"/>
      <c r="AF2" s="659"/>
      <c r="AG2" s="659"/>
      <c r="AH2" s="659"/>
      <c r="AI2" s="659"/>
      <c r="AJ2" s="660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61" t="s">
        <v>207</v>
      </c>
      <c r="G3" s="661"/>
      <c r="H3" s="618" t="s">
        <v>7</v>
      </c>
      <c r="I3" s="662" t="s">
        <v>221</v>
      </c>
      <c r="J3" s="661" t="s">
        <v>8</v>
      </c>
      <c r="K3" s="661"/>
      <c r="L3" s="661"/>
      <c r="M3" s="624" t="s">
        <v>7</v>
      </c>
      <c r="N3" s="661" t="s">
        <v>9</v>
      </c>
      <c r="O3" s="661"/>
      <c r="P3" s="661"/>
      <c r="Q3" s="624" t="s">
        <v>7</v>
      </c>
      <c r="R3" s="661" t="s">
        <v>6</v>
      </c>
      <c r="S3" s="661"/>
      <c r="T3" s="661"/>
      <c r="U3" s="624" t="s">
        <v>7</v>
      </c>
      <c r="V3" s="648" t="s">
        <v>10</v>
      </c>
      <c r="W3" s="649"/>
      <c r="X3" s="649"/>
      <c r="Y3" s="624" t="s">
        <v>7</v>
      </c>
      <c r="Z3" s="661" t="s">
        <v>11</v>
      </c>
      <c r="AA3" s="661"/>
      <c r="AB3" s="661"/>
      <c r="AC3" s="624" t="s">
        <v>7</v>
      </c>
      <c r="AD3" s="661" t="s">
        <v>12</v>
      </c>
      <c r="AE3" s="661"/>
      <c r="AF3" s="661"/>
      <c r="AG3" s="624" t="s">
        <v>7</v>
      </c>
      <c r="AH3" s="661" t="s">
        <v>236</v>
      </c>
      <c r="AI3" s="661"/>
      <c r="AJ3" s="661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48"/>
      <c r="W4" s="649"/>
      <c r="X4" s="649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V3:X4"/>
    <mergeCell ref="Y3:Y5"/>
    <mergeCell ref="J3:L4"/>
    <mergeCell ref="M3:M5"/>
    <mergeCell ref="A3:A5"/>
    <mergeCell ref="B3:B5"/>
    <mergeCell ref="C3:C5"/>
    <mergeCell ref="D3:D5"/>
    <mergeCell ref="E3:E5"/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6" priority="112">
      <formula>MOD(COLUMN(),2)=1</formula>
    </cfRule>
  </conditionalFormatting>
  <conditionalFormatting sqref="B8:C8 B14:C14 B46:C46 B52:C52 B35:C35 B29:C29">
    <cfRule type="cellIs" dxfId="535" priority="111" operator="notEqual">
      <formula>$B$2</formula>
    </cfRule>
  </conditionalFormatting>
  <conditionalFormatting sqref="B23:C23">
    <cfRule type="cellIs" dxfId="534" priority="110" operator="notEqual">
      <formula>$B$2</formula>
    </cfRule>
  </conditionalFormatting>
  <conditionalFormatting sqref="B40:C40">
    <cfRule type="cellIs" dxfId="533" priority="109" operator="notEqual">
      <formula>$B$2</formula>
    </cfRule>
  </conditionalFormatting>
  <conditionalFormatting sqref="AP2:XFD2 D1:AO2">
    <cfRule type="expression" dxfId="532" priority="108">
      <formula>MOD(COLUMN(),2)=1</formula>
    </cfRule>
  </conditionalFormatting>
  <conditionalFormatting sqref="F1:AY1">
    <cfRule type="expression" dxfId="531" priority="104">
      <formula>MOD(COLUMN(),2)=1</formula>
    </cfRule>
  </conditionalFormatting>
  <conditionalFormatting sqref="D1:E2 F2:AY2">
    <cfRule type="expression" dxfId="530" priority="102">
      <formula>MOD(COLUMN(),2)=1</formula>
    </cfRule>
  </conditionalFormatting>
  <conditionalFormatting sqref="B8:C8 B14:C14 B46:C46 B52:C52 B35:C35 B29:C29">
    <cfRule type="cellIs" dxfId="529" priority="101" operator="notEqual">
      <formula>$B$2</formula>
    </cfRule>
  </conditionalFormatting>
  <conditionalFormatting sqref="B23:C23">
    <cfRule type="cellIs" dxfId="528" priority="100" operator="notEqual">
      <formula>$B$2</formula>
    </cfRule>
  </conditionalFormatting>
  <conditionalFormatting sqref="B40:C40">
    <cfRule type="cellIs" dxfId="527" priority="99" operator="notEqual">
      <formula>$B$2</formula>
    </cfRule>
  </conditionalFormatting>
  <conditionalFormatting sqref="D1:E2 F2:AY2">
    <cfRule type="expression" dxfId="526" priority="98">
      <formula>MOD(COLUMN(),2)=1</formula>
    </cfRule>
  </conditionalFormatting>
  <conditionalFormatting sqref="D3:AY7">
    <cfRule type="expression" dxfId="525" priority="69">
      <formula>MOD(COLUMN(),2)=1</formula>
    </cfRule>
  </conditionalFormatting>
  <conditionalFormatting sqref="D3:AY7">
    <cfRule type="expression" dxfId="524" priority="68">
      <formula>MOD(COLUMN(),2)=1</formula>
    </cfRule>
  </conditionalFormatting>
  <conditionalFormatting sqref="D3:AY7">
    <cfRule type="expression" dxfId="523" priority="67">
      <formula>MOD(COLUMN(),2)=1</formula>
    </cfRule>
  </conditionalFormatting>
  <conditionalFormatting sqref="D3:AY7">
    <cfRule type="expression" dxfId="522" priority="66">
      <formula>MOD(COLUMN(),2)=1</formula>
    </cfRule>
  </conditionalFormatting>
  <conditionalFormatting sqref="D9:AY13 D15:AY22 D24:AY28 D30:AY34 D36:AY39 D41:AY45 D47:AY51">
    <cfRule type="expression" dxfId="521" priority="65">
      <formula>MOD(COLUMN(),2)=1</formula>
    </cfRule>
  </conditionalFormatting>
  <conditionalFormatting sqref="D14:AY14">
    <cfRule type="expression" dxfId="520" priority="64">
      <formula>MOD(COLUMN(),2)=1</formula>
    </cfRule>
  </conditionalFormatting>
  <conditionalFormatting sqref="D14:AY14">
    <cfRule type="cellIs" dxfId="519" priority="63" operator="notEqual">
      <formula>$B$2</formula>
    </cfRule>
  </conditionalFormatting>
  <conditionalFormatting sqref="D14:AY14">
    <cfRule type="expression" dxfId="518" priority="62">
      <formula>MOD(COLUMN(),2)=1</formula>
    </cfRule>
  </conditionalFormatting>
  <conditionalFormatting sqref="D14:AY14">
    <cfRule type="cellIs" dxfId="517" priority="61" operator="notEqual">
      <formula>$B$2</formula>
    </cfRule>
  </conditionalFormatting>
  <conditionalFormatting sqref="D14:AY14">
    <cfRule type="expression" dxfId="516" priority="60">
      <formula>MOD(COLUMN(),2)=1</formula>
    </cfRule>
  </conditionalFormatting>
  <conditionalFormatting sqref="D14:AY14">
    <cfRule type="cellIs" dxfId="515" priority="59" operator="notEqual">
      <formula>$B$2</formula>
    </cfRule>
  </conditionalFormatting>
  <conditionalFormatting sqref="D14:AY14">
    <cfRule type="expression" dxfId="514" priority="58">
      <formula>MOD(COLUMN(),2)=1</formula>
    </cfRule>
  </conditionalFormatting>
  <conditionalFormatting sqref="D14:AY14">
    <cfRule type="cellIs" dxfId="513" priority="57" operator="notEqual">
      <formula>$B$2</formula>
    </cfRule>
  </conditionalFormatting>
  <conditionalFormatting sqref="D23:AY23">
    <cfRule type="expression" dxfId="512" priority="56">
      <formula>MOD(COLUMN(),2)=1</formula>
    </cfRule>
  </conditionalFormatting>
  <conditionalFormatting sqref="D23:AY23">
    <cfRule type="cellIs" dxfId="511" priority="55" operator="notEqual">
      <formula>$B$2</formula>
    </cfRule>
  </conditionalFormatting>
  <conditionalFormatting sqref="D23:AY23">
    <cfRule type="expression" dxfId="510" priority="54">
      <formula>MOD(COLUMN(),2)=1</formula>
    </cfRule>
  </conditionalFormatting>
  <conditionalFormatting sqref="D23:AY23">
    <cfRule type="cellIs" dxfId="509" priority="53" operator="notEqual">
      <formula>$B$2</formula>
    </cfRule>
  </conditionalFormatting>
  <conditionalFormatting sqref="D23:AY23">
    <cfRule type="expression" dxfId="508" priority="52">
      <formula>MOD(COLUMN(),2)=1</formula>
    </cfRule>
  </conditionalFormatting>
  <conditionalFormatting sqref="D23:AY23">
    <cfRule type="cellIs" dxfId="507" priority="51" operator="notEqual">
      <formula>$B$2</formula>
    </cfRule>
  </conditionalFormatting>
  <conditionalFormatting sqref="D23:AY23">
    <cfRule type="expression" dxfId="506" priority="50">
      <formula>MOD(COLUMN(),2)=1</formula>
    </cfRule>
  </conditionalFormatting>
  <conditionalFormatting sqref="D23:AY23">
    <cfRule type="cellIs" dxfId="505" priority="49" operator="notEqual">
      <formula>$B$2</formula>
    </cfRule>
  </conditionalFormatting>
  <conditionalFormatting sqref="D29:AY29">
    <cfRule type="expression" dxfId="504" priority="48">
      <formula>MOD(COLUMN(),2)=1</formula>
    </cfRule>
  </conditionalFormatting>
  <conditionalFormatting sqref="D29:AY29">
    <cfRule type="cellIs" dxfId="503" priority="47" operator="notEqual">
      <formula>$B$2</formula>
    </cfRule>
  </conditionalFormatting>
  <conditionalFormatting sqref="D29:AY29">
    <cfRule type="expression" dxfId="502" priority="46">
      <formula>MOD(COLUMN(),2)=1</formula>
    </cfRule>
  </conditionalFormatting>
  <conditionalFormatting sqref="D29:AY29">
    <cfRule type="cellIs" dxfId="501" priority="45" operator="notEqual">
      <formula>$B$2</formula>
    </cfRule>
  </conditionalFormatting>
  <conditionalFormatting sqref="D29:AY29">
    <cfRule type="expression" dxfId="500" priority="44">
      <formula>MOD(COLUMN(),2)=1</formula>
    </cfRule>
  </conditionalFormatting>
  <conditionalFormatting sqref="D29:AY29">
    <cfRule type="cellIs" dxfId="499" priority="43" operator="notEqual">
      <formula>$B$2</formula>
    </cfRule>
  </conditionalFormatting>
  <conditionalFormatting sqref="D29:AY29">
    <cfRule type="expression" dxfId="498" priority="42">
      <formula>MOD(COLUMN(),2)=1</formula>
    </cfRule>
  </conditionalFormatting>
  <conditionalFormatting sqref="D29:AY29">
    <cfRule type="cellIs" dxfId="497" priority="41" operator="notEqual">
      <formula>$B$2</formula>
    </cfRule>
  </conditionalFormatting>
  <conditionalFormatting sqref="D35:AY35">
    <cfRule type="expression" dxfId="496" priority="40">
      <formula>MOD(COLUMN(),2)=1</formula>
    </cfRule>
  </conditionalFormatting>
  <conditionalFormatting sqref="D35:AY35">
    <cfRule type="cellIs" dxfId="495" priority="39" operator="notEqual">
      <formula>$B$2</formula>
    </cfRule>
  </conditionalFormatting>
  <conditionalFormatting sqref="D35:AY35">
    <cfRule type="expression" dxfId="494" priority="38">
      <formula>MOD(COLUMN(),2)=1</formula>
    </cfRule>
  </conditionalFormatting>
  <conditionalFormatting sqref="D35:AY35">
    <cfRule type="cellIs" dxfId="493" priority="37" operator="notEqual">
      <formula>$B$2</formula>
    </cfRule>
  </conditionalFormatting>
  <conditionalFormatting sqref="D35:AY35">
    <cfRule type="expression" dxfId="492" priority="36">
      <formula>MOD(COLUMN(),2)=1</formula>
    </cfRule>
  </conditionalFormatting>
  <conditionalFormatting sqref="D35:AY35">
    <cfRule type="cellIs" dxfId="491" priority="35" operator="notEqual">
      <formula>$B$2</formula>
    </cfRule>
  </conditionalFormatting>
  <conditionalFormatting sqref="D35:AY35">
    <cfRule type="expression" dxfId="490" priority="34">
      <formula>MOD(COLUMN(),2)=1</formula>
    </cfRule>
  </conditionalFormatting>
  <conditionalFormatting sqref="D35:AY35">
    <cfRule type="cellIs" dxfId="489" priority="33" operator="notEqual">
      <formula>$B$2</formula>
    </cfRule>
  </conditionalFormatting>
  <conditionalFormatting sqref="D40:AY40">
    <cfRule type="expression" dxfId="488" priority="32">
      <formula>MOD(COLUMN(),2)=1</formula>
    </cfRule>
  </conditionalFormatting>
  <conditionalFormatting sqref="D40:AY40">
    <cfRule type="cellIs" dxfId="487" priority="31" operator="notEqual">
      <formula>$B$2</formula>
    </cfRule>
  </conditionalFormatting>
  <conditionalFormatting sqref="D40:AY40">
    <cfRule type="expression" dxfId="486" priority="30">
      <formula>MOD(COLUMN(),2)=1</formula>
    </cfRule>
  </conditionalFormatting>
  <conditionalFormatting sqref="D40:AY40">
    <cfRule type="cellIs" dxfId="485" priority="29" operator="notEqual">
      <formula>$B$2</formula>
    </cfRule>
  </conditionalFormatting>
  <conditionalFormatting sqref="D40:AY40">
    <cfRule type="expression" dxfId="484" priority="28">
      <formula>MOD(COLUMN(),2)=1</formula>
    </cfRule>
  </conditionalFormatting>
  <conditionalFormatting sqref="D40:AY40">
    <cfRule type="cellIs" dxfId="483" priority="27" operator="notEqual">
      <formula>$B$2</formula>
    </cfRule>
  </conditionalFormatting>
  <conditionalFormatting sqref="D40:AY40">
    <cfRule type="expression" dxfId="482" priority="26">
      <formula>MOD(COLUMN(),2)=1</formula>
    </cfRule>
  </conditionalFormatting>
  <conditionalFormatting sqref="D40:AY40">
    <cfRule type="cellIs" dxfId="481" priority="25" operator="notEqual">
      <formula>$B$2</formula>
    </cfRule>
  </conditionalFormatting>
  <conditionalFormatting sqref="D46:AY46">
    <cfRule type="expression" dxfId="480" priority="24">
      <formula>MOD(COLUMN(),2)=1</formula>
    </cfRule>
  </conditionalFormatting>
  <conditionalFormatting sqref="D46:AY46">
    <cfRule type="cellIs" dxfId="479" priority="23" operator="notEqual">
      <formula>$B$2</formula>
    </cfRule>
  </conditionalFormatting>
  <conditionalFormatting sqref="D46:AY46">
    <cfRule type="expression" dxfId="478" priority="22">
      <formula>MOD(COLUMN(),2)=1</formula>
    </cfRule>
  </conditionalFormatting>
  <conditionalFormatting sqref="D46:AY46">
    <cfRule type="cellIs" dxfId="477" priority="21" operator="notEqual">
      <formula>$B$2</formula>
    </cfRule>
  </conditionalFormatting>
  <conditionalFormatting sqref="D46:AY46">
    <cfRule type="expression" dxfId="476" priority="20">
      <formula>MOD(COLUMN(),2)=1</formula>
    </cfRule>
  </conditionalFormatting>
  <conditionalFormatting sqref="D46:AY46">
    <cfRule type="cellIs" dxfId="475" priority="19" operator="notEqual">
      <formula>$B$2</formula>
    </cfRule>
  </conditionalFormatting>
  <conditionalFormatting sqref="D46:AY46">
    <cfRule type="expression" dxfId="474" priority="18">
      <formula>MOD(COLUMN(),2)=1</formula>
    </cfRule>
  </conditionalFormatting>
  <conditionalFormatting sqref="D46:AY46">
    <cfRule type="cellIs" dxfId="473" priority="17" operator="notEqual">
      <formula>$B$2</formula>
    </cfRule>
  </conditionalFormatting>
  <conditionalFormatting sqref="D52:AY52">
    <cfRule type="expression" dxfId="472" priority="16">
      <formula>MOD(COLUMN(),2)=1</formula>
    </cfRule>
  </conditionalFormatting>
  <conditionalFormatting sqref="D52:AY52">
    <cfRule type="cellIs" dxfId="471" priority="15" operator="notEqual">
      <formula>$B$2</formula>
    </cfRule>
  </conditionalFormatting>
  <conditionalFormatting sqref="D52:AY52">
    <cfRule type="expression" dxfId="470" priority="14">
      <formula>MOD(COLUMN(),2)=1</formula>
    </cfRule>
  </conditionalFormatting>
  <conditionalFormatting sqref="D52:AY52">
    <cfRule type="cellIs" dxfId="469" priority="13" operator="notEqual">
      <formula>$B$2</formula>
    </cfRule>
  </conditionalFormatting>
  <conditionalFormatting sqref="D52:AY52">
    <cfRule type="expression" dxfId="468" priority="12">
      <formula>MOD(COLUMN(),2)=1</formula>
    </cfRule>
  </conditionalFormatting>
  <conditionalFormatting sqref="D52:AY52">
    <cfRule type="cellIs" dxfId="467" priority="11" operator="notEqual">
      <formula>$B$2</formula>
    </cfRule>
  </conditionalFormatting>
  <conditionalFormatting sqref="D52:AY52">
    <cfRule type="expression" dxfId="466" priority="10">
      <formula>MOD(COLUMN(),2)=1</formula>
    </cfRule>
  </conditionalFormatting>
  <conditionalFormatting sqref="D52:AY52">
    <cfRule type="cellIs" dxfId="465" priority="9" operator="notEqual">
      <formula>$B$2</formula>
    </cfRule>
  </conditionalFormatting>
  <conditionalFormatting sqref="D8:AY8">
    <cfRule type="expression" dxfId="464" priority="8">
      <formula>MOD(COLUMN(),2)=1</formula>
    </cfRule>
  </conditionalFormatting>
  <conditionalFormatting sqref="D8:AY8">
    <cfRule type="cellIs" dxfId="463" priority="7" operator="notEqual">
      <formula>$B$2</formula>
    </cfRule>
  </conditionalFormatting>
  <conditionalFormatting sqref="D8:AY8">
    <cfRule type="expression" dxfId="462" priority="6">
      <formula>MOD(COLUMN(),2)=1</formula>
    </cfRule>
  </conditionalFormatting>
  <conditionalFormatting sqref="D8:AY8">
    <cfRule type="cellIs" dxfId="461" priority="5" operator="notEqual">
      <formula>$B$2</formula>
    </cfRule>
  </conditionalFormatting>
  <conditionalFormatting sqref="D8:AY8">
    <cfRule type="expression" dxfId="460" priority="4">
      <formula>MOD(COLUMN(),2)=1</formula>
    </cfRule>
  </conditionalFormatting>
  <conditionalFormatting sqref="D8:AY8">
    <cfRule type="cellIs" dxfId="459" priority="3" operator="notEqual">
      <formula>$B$2</formula>
    </cfRule>
  </conditionalFormatting>
  <conditionalFormatting sqref="D8:AY8">
    <cfRule type="expression" dxfId="458" priority="2">
      <formula>MOD(COLUMN(),2)=1</formula>
    </cfRule>
  </conditionalFormatting>
  <conditionalFormatting sqref="D8:AY8">
    <cfRule type="cellIs" dxfId="457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6" priority="108">
      <formula>MOD(COLUMN(),2)=1</formula>
    </cfRule>
  </conditionalFormatting>
  <conditionalFormatting sqref="B8:C8 B14:C14 B46:C46 B52:C52 B35:C35 B29:C29">
    <cfRule type="cellIs" dxfId="455" priority="107" operator="notEqual">
      <formula>$B$2</formula>
    </cfRule>
  </conditionalFormatting>
  <conditionalFormatting sqref="B23:C23">
    <cfRule type="cellIs" dxfId="454" priority="106" operator="notEqual">
      <formula>$B$2</formula>
    </cfRule>
  </conditionalFormatting>
  <conditionalFormatting sqref="B40:C40">
    <cfRule type="cellIs" dxfId="453" priority="105" operator="notEqual">
      <formula>$B$2</formula>
    </cfRule>
  </conditionalFormatting>
  <conditionalFormatting sqref="AP2:XFD2 D1:AO2 D3:AY7">
    <cfRule type="expression" dxfId="452" priority="104">
      <formula>MOD(COLUMN(),2)=1</formula>
    </cfRule>
  </conditionalFormatting>
  <conditionalFormatting sqref="F1:AY1">
    <cfRule type="expression" dxfId="451" priority="100">
      <formula>MOD(COLUMN(),2)=1</formula>
    </cfRule>
  </conditionalFormatting>
  <conditionalFormatting sqref="D1:E2 F2:AY2 D3:AY7">
    <cfRule type="expression" dxfId="450" priority="98">
      <formula>MOD(COLUMN(),2)=1</formula>
    </cfRule>
  </conditionalFormatting>
  <conditionalFormatting sqref="B8:C8 B14:C14 B46:C46 B52:C52 B35:C35 B29:C29">
    <cfRule type="cellIs" dxfId="449" priority="97" operator="notEqual">
      <formula>$B$2</formula>
    </cfRule>
  </conditionalFormatting>
  <conditionalFormatting sqref="B23:C23">
    <cfRule type="cellIs" dxfId="448" priority="96" operator="notEqual">
      <formula>$B$2</formula>
    </cfRule>
  </conditionalFormatting>
  <conditionalFormatting sqref="B40:C40">
    <cfRule type="cellIs" dxfId="447" priority="95" operator="notEqual">
      <formula>$B$2</formula>
    </cfRule>
  </conditionalFormatting>
  <conditionalFormatting sqref="D1:E2 F2:AY2 D3:AY7">
    <cfRule type="expression" dxfId="446" priority="94">
      <formula>MOD(COLUMN(),2)=1</formula>
    </cfRule>
  </conditionalFormatting>
  <conditionalFormatting sqref="D9:AY13 D15:AY22 D24:AY28 D30:AY34 D36:AY39 D41:AY45 D47:AY51">
    <cfRule type="expression" dxfId="445" priority="65">
      <formula>MOD(COLUMN(),2)=1</formula>
    </cfRule>
  </conditionalFormatting>
  <conditionalFormatting sqref="D14:AY14">
    <cfRule type="expression" dxfId="444" priority="64">
      <formula>MOD(COLUMN(),2)=1</formula>
    </cfRule>
  </conditionalFormatting>
  <conditionalFormatting sqref="D14:AY14">
    <cfRule type="cellIs" dxfId="443" priority="63" operator="notEqual">
      <formula>$B$2</formula>
    </cfRule>
  </conditionalFormatting>
  <conditionalFormatting sqref="D14:AY14">
    <cfRule type="expression" dxfId="442" priority="62">
      <formula>MOD(COLUMN(),2)=1</formula>
    </cfRule>
  </conditionalFormatting>
  <conditionalFormatting sqref="D14:AY14">
    <cfRule type="cellIs" dxfId="441" priority="61" operator="notEqual">
      <formula>$B$2</formula>
    </cfRule>
  </conditionalFormatting>
  <conditionalFormatting sqref="D14:AY14">
    <cfRule type="expression" dxfId="440" priority="60">
      <formula>MOD(COLUMN(),2)=1</formula>
    </cfRule>
  </conditionalFormatting>
  <conditionalFormatting sqref="D14:AY14">
    <cfRule type="cellIs" dxfId="439" priority="59" operator="notEqual">
      <formula>$B$2</formula>
    </cfRule>
  </conditionalFormatting>
  <conditionalFormatting sqref="D14:AY14">
    <cfRule type="expression" dxfId="438" priority="58">
      <formula>MOD(COLUMN(),2)=1</formula>
    </cfRule>
  </conditionalFormatting>
  <conditionalFormatting sqref="D14:AY14">
    <cfRule type="cellIs" dxfId="437" priority="57" operator="notEqual">
      <formula>$B$2</formula>
    </cfRule>
  </conditionalFormatting>
  <conditionalFormatting sqref="D23:AY23">
    <cfRule type="expression" dxfId="436" priority="56">
      <formula>MOD(COLUMN(),2)=1</formula>
    </cfRule>
  </conditionalFormatting>
  <conditionalFormatting sqref="D23:AY23">
    <cfRule type="cellIs" dxfId="435" priority="55" operator="notEqual">
      <formula>$B$2</formula>
    </cfRule>
  </conditionalFormatting>
  <conditionalFormatting sqref="D23:AY23">
    <cfRule type="expression" dxfId="434" priority="54">
      <formula>MOD(COLUMN(),2)=1</formula>
    </cfRule>
  </conditionalFormatting>
  <conditionalFormatting sqref="D23:AY23">
    <cfRule type="cellIs" dxfId="433" priority="53" operator="notEqual">
      <formula>$B$2</formula>
    </cfRule>
  </conditionalFormatting>
  <conditionalFormatting sqref="D23:AY23">
    <cfRule type="expression" dxfId="432" priority="52">
      <formula>MOD(COLUMN(),2)=1</formula>
    </cfRule>
  </conditionalFormatting>
  <conditionalFormatting sqref="D23:AY23">
    <cfRule type="cellIs" dxfId="431" priority="51" operator="notEqual">
      <formula>$B$2</formula>
    </cfRule>
  </conditionalFormatting>
  <conditionalFormatting sqref="D23:AY23">
    <cfRule type="expression" dxfId="430" priority="50">
      <formula>MOD(COLUMN(),2)=1</formula>
    </cfRule>
  </conditionalFormatting>
  <conditionalFormatting sqref="D23:AY23">
    <cfRule type="cellIs" dxfId="429" priority="49" operator="notEqual">
      <formula>$B$2</formula>
    </cfRule>
  </conditionalFormatting>
  <conditionalFormatting sqref="D29:AY29">
    <cfRule type="expression" dxfId="428" priority="48">
      <formula>MOD(COLUMN(),2)=1</formula>
    </cfRule>
  </conditionalFormatting>
  <conditionalFormatting sqref="D29:AY29">
    <cfRule type="cellIs" dxfId="427" priority="47" operator="notEqual">
      <formula>$B$2</formula>
    </cfRule>
  </conditionalFormatting>
  <conditionalFormatting sqref="D29:AY29">
    <cfRule type="expression" dxfId="426" priority="46">
      <formula>MOD(COLUMN(),2)=1</formula>
    </cfRule>
  </conditionalFormatting>
  <conditionalFormatting sqref="D29:AY29">
    <cfRule type="cellIs" dxfId="425" priority="45" operator="notEqual">
      <formula>$B$2</formula>
    </cfRule>
  </conditionalFormatting>
  <conditionalFormatting sqref="D29:AY29">
    <cfRule type="expression" dxfId="424" priority="44">
      <formula>MOD(COLUMN(),2)=1</formula>
    </cfRule>
  </conditionalFormatting>
  <conditionalFormatting sqref="D29:AY29">
    <cfRule type="cellIs" dxfId="423" priority="43" operator="notEqual">
      <formula>$B$2</formula>
    </cfRule>
  </conditionalFormatting>
  <conditionalFormatting sqref="D29:AY29">
    <cfRule type="expression" dxfId="422" priority="42">
      <formula>MOD(COLUMN(),2)=1</formula>
    </cfRule>
  </conditionalFormatting>
  <conditionalFormatting sqref="D29:AY29">
    <cfRule type="cellIs" dxfId="421" priority="41" operator="notEqual">
      <formula>$B$2</formula>
    </cfRule>
  </conditionalFormatting>
  <conditionalFormatting sqref="D35:AY35">
    <cfRule type="expression" dxfId="420" priority="40">
      <formula>MOD(COLUMN(),2)=1</formula>
    </cfRule>
  </conditionalFormatting>
  <conditionalFormatting sqref="D35:AY35">
    <cfRule type="cellIs" dxfId="419" priority="39" operator="notEqual">
      <formula>$B$2</formula>
    </cfRule>
  </conditionalFormatting>
  <conditionalFormatting sqref="D35:AY35">
    <cfRule type="expression" dxfId="418" priority="38">
      <formula>MOD(COLUMN(),2)=1</formula>
    </cfRule>
  </conditionalFormatting>
  <conditionalFormatting sqref="D35:AY35">
    <cfRule type="cellIs" dxfId="417" priority="37" operator="notEqual">
      <formula>$B$2</formula>
    </cfRule>
  </conditionalFormatting>
  <conditionalFormatting sqref="D35:AY35">
    <cfRule type="expression" dxfId="416" priority="36">
      <formula>MOD(COLUMN(),2)=1</formula>
    </cfRule>
  </conditionalFormatting>
  <conditionalFormatting sqref="D35:AY35">
    <cfRule type="cellIs" dxfId="415" priority="35" operator="notEqual">
      <formula>$B$2</formula>
    </cfRule>
  </conditionalFormatting>
  <conditionalFormatting sqref="D35:AY35">
    <cfRule type="expression" dxfId="414" priority="34">
      <formula>MOD(COLUMN(),2)=1</formula>
    </cfRule>
  </conditionalFormatting>
  <conditionalFormatting sqref="D35:AY35">
    <cfRule type="cellIs" dxfId="413" priority="33" operator="notEqual">
      <formula>$B$2</formula>
    </cfRule>
  </conditionalFormatting>
  <conditionalFormatting sqref="D40:AY40">
    <cfRule type="expression" dxfId="412" priority="32">
      <formula>MOD(COLUMN(),2)=1</formula>
    </cfRule>
  </conditionalFormatting>
  <conditionalFormatting sqref="D40:AY40">
    <cfRule type="cellIs" dxfId="411" priority="31" operator="notEqual">
      <formula>$B$2</formula>
    </cfRule>
  </conditionalFormatting>
  <conditionalFormatting sqref="D40:AY40">
    <cfRule type="expression" dxfId="410" priority="30">
      <formula>MOD(COLUMN(),2)=1</formula>
    </cfRule>
  </conditionalFormatting>
  <conditionalFormatting sqref="D40:AY40">
    <cfRule type="cellIs" dxfId="409" priority="29" operator="notEqual">
      <formula>$B$2</formula>
    </cfRule>
  </conditionalFormatting>
  <conditionalFormatting sqref="D40:AY40">
    <cfRule type="expression" dxfId="408" priority="28">
      <formula>MOD(COLUMN(),2)=1</formula>
    </cfRule>
  </conditionalFormatting>
  <conditionalFormatting sqref="D40:AY40">
    <cfRule type="cellIs" dxfId="407" priority="27" operator="notEqual">
      <formula>$B$2</formula>
    </cfRule>
  </conditionalFormatting>
  <conditionalFormatting sqref="D40:AY40">
    <cfRule type="expression" dxfId="406" priority="26">
      <formula>MOD(COLUMN(),2)=1</formula>
    </cfRule>
  </conditionalFormatting>
  <conditionalFormatting sqref="D40:AY40">
    <cfRule type="cellIs" dxfId="405" priority="25" operator="notEqual">
      <formula>$B$2</formula>
    </cfRule>
  </conditionalFormatting>
  <conditionalFormatting sqref="D46:AY46">
    <cfRule type="expression" dxfId="404" priority="24">
      <formula>MOD(COLUMN(),2)=1</formula>
    </cfRule>
  </conditionalFormatting>
  <conditionalFormatting sqref="D46:AY46">
    <cfRule type="cellIs" dxfId="403" priority="23" operator="notEqual">
      <formula>$B$2</formula>
    </cfRule>
  </conditionalFormatting>
  <conditionalFormatting sqref="D46:AY46">
    <cfRule type="expression" dxfId="402" priority="22">
      <formula>MOD(COLUMN(),2)=1</formula>
    </cfRule>
  </conditionalFormatting>
  <conditionalFormatting sqref="D46:AY46">
    <cfRule type="cellIs" dxfId="401" priority="21" operator="notEqual">
      <formula>$B$2</formula>
    </cfRule>
  </conditionalFormatting>
  <conditionalFormatting sqref="D46:AY46">
    <cfRule type="expression" dxfId="400" priority="20">
      <formula>MOD(COLUMN(),2)=1</formula>
    </cfRule>
  </conditionalFormatting>
  <conditionalFormatting sqref="D46:AY46">
    <cfRule type="cellIs" dxfId="399" priority="19" operator="notEqual">
      <formula>$B$2</formula>
    </cfRule>
  </conditionalFormatting>
  <conditionalFormatting sqref="D46:AY46">
    <cfRule type="expression" dxfId="398" priority="18">
      <formula>MOD(COLUMN(),2)=1</formula>
    </cfRule>
  </conditionalFormatting>
  <conditionalFormatting sqref="D46:AY46">
    <cfRule type="cellIs" dxfId="397" priority="17" operator="notEqual">
      <formula>$B$2</formula>
    </cfRule>
  </conditionalFormatting>
  <conditionalFormatting sqref="D52:AY52">
    <cfRule type="expression" dxfId="396" priority="16">
      <formula>MOD(COLUMN(),2)=1</formula>
    </cfRule>
  </conditionalFormatting>
  <conditionalFormatting sqref="D52:AY52">
    <cfRule type="cellIs" dxfId="395" priority="15" operator="notEqual">
      <formula>$B$2</formula>
    </cfRule>
  </conditionalFormatting>
  <conditionalFormatting sqref="D52:AY52">
    <cfRule type="expression" dxfId="394" priority="14">
      <formula>MOD(COLUMN(),2)=1</formula>
    </cfRule>
  </conditionalFormatting>
  <conditionalFormatting sqref="D52:AY52">
    <cfRule type="cellIs" dxfId="393" priority="13" operator="notEqual">
      <formula>$B$2</formula>
    </cfRule>
  </conditionalFormatting>
  <conditionalFormatting sqref="D52:AY52">
    <cfRule type="expression" dxfId="392" priority="12">
      <formula>MOD(COLUMN(),2)=1</formula>
    </cfRule>
  </conditionalFormatting>
  <conditionalFormatting sqref="D52:AY52">
    <cfRule type="cellIs" dxfId="391" priority="11" operator="notEqual">
      <formula>$B$2</formula>
    </cfRule>
  </conditionalFormatting>
  <conditionalFormatting sqref="D52:AY52">
    <cfRule type="expression" dxfId="390" priority="10">
      <formula>MOD(COLUMN(),2)=1</formula>
    </cfRule>
  </conditionalFormatting>
  <conditionalFormatting sqref="D52:AY52">
    <cfRule type="cellIs" dxfId="389" priority="9" operator="notEqual">
      <formula>$B$2</formula>
    </cfRule>
  </conditionalFormatting>
  <conditionalFormatting sqref="D8:AY8">
    <cfRule type="expression" dxfId="388" priority="8">
      <formula>MOD(COLUMN(),2)=1</formula>
    </cfRule>
  </conditionalFormatting>
  <conditionalFormatting sqref="D8:AY8">
    <cfRule type="cellIs" dxfId="387" priority="7" operator="notEqual">
      <formula>$B$2</formula>
    </cfRule>
  </conditionalFormatting>
  <conditionalFormatting sqref="D8:AY8">
    <cfRule type="expression" dxfId="386" priority="6">
      <formula>MOD(COLUMN(),2)=1</formula>
    </cfRule>
  </conditionalFormatting>
  <conditionalFormatting sqref="D8:AY8">
    <cfRule type="cellIs" dxfId="385" priority="5" operator="notEqual">
      <formula>$B$2</formula>
    </cfRule>
  </conditionalFormatting>
  <conditionalFormatting sqref="D8:AY8">
    <cfRule type="expression" dxfId="384" priority="4">
      <formula>MOD(COLUMN(),2)=1</formula>
    </cfRule>
  </conditionalFormatting>
  <conditionalFormatting sqref="D8:AY8">
    <cfRule type="cellIs" dxfId="383" priority="3" operator="notEqual">
      <formula>$B$2</formula>
    </cfRule>
  </conditionalFormatting>
  <conditionalFormatting sqref="D8:AY8">
    <cfRule type="expression" dxfId="382" priority="2">
      <formula>MOD(COLUMN(),2)=1</formula>
    </cfRule>
  </conditionalFormatting>
  <conditionalFormatting sqref="D8:AY8">
    <cfRule type="cellIs" dxfId="381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80" priority="271">
      <formula>MOD(COLUMN(),2)=1</formula>
    </cfRule>
  </conditionalFormatting>
  <conditionalFormatting sqref="B14:C14 B29:C29 B35:C35 B46:C46 B52:C52 B8:D8">
    <cfRule type="cellIs" dxfId="379" priority="270" operator="notEqual">
      <formula>$B$2</formula>
    </cfRule>
  </conditionalFormatting>
  <conditionalFormatting sqref="B23:C23">
    <cfRule type="cellIs" dxfId="378" priority="269" operator="notEqual">
      <formula>$B$2</formula>
    </cfRule>
  </conditionalFormatting>
  <conditionalFormatting sqref="B40:C40">
    <cfRule type="cellIs" dxfId="377" priority="268" operator="notEqual">
      <formula>$B$2</formula>
    </cfRule>
  </conditionalFormatting>
  <conditionalFormatting sqref="AP2:XFD2 D1:AO2 D8">
    <cfRule type="expression" dxfId="376" priority="267">
      <formula>MOD(COLUMN(),2)=1</formula>
    </cfRule>
  </conditionalFormatting>
  <conditionalFormatting sqref="D8">
    <cfRule type="cellIs" dxfId="375" priority="266" operator="notEqual">
      <formula>$B$2</formula>
    </cfRule>
  </conditionalFormatting>
  <conditionalFormatting sqref="F1:AY1">
    <cfRule type="expression" dxfId="374" priority="263">
      <formula>MOD(COLUMN(),2)=1</formula>
    </cfRule>
  </conditionalFormatting>
  <conditionalFormatting sqref="F2:AY2 D1:E2 D8">
    <cfRule type="expression" dxfId="373" priority="261">
      <formula>MOD(COLUMN(),2)=1</formula>
    </cfRule>
  </conditionalFormatting>
  <conditionalFormatting sqref="B14:C14 B29:C29 B35:C35 B46:C46 B52:C52 B8:D8">
    <cfRule type="cellIs" dxfId="372" priority="260" operator="notEqual">
      <formula>$B$2</formula>
    </cfRule>
  </conditionalFormatting>
  <conditionalFormatting sqref="B23:C23">
    <cfRule type="cellIs" dxfId="371" priority="259" operator="notEqual">
      <formula>$B$2</formula>
    </cfRule>
  </conditionalFormatting>
  <conditionalFormatting sqref="B40:C40">
    <cfRule type="cellIs" dxfId="370" priority="258" operator="notEqual">
      <formula>$B$2</formula>
    </cfRule>
  </conditionalFormatting>
  <conditionalFormatting sqref="F2:AY2 D1:E2 D8">
    <cfRule type="expression" dxfId="369" priority="257">
      <formula>MOD(COLUMN(),2)=1</formula>
    </cfRule>
  </conditionalFormatting>
  <conditionalFormatting sqref="D8">
    <cfRule type="cellIs" dxfId="368" priority="256" operator="notEqual">
      <formula>$B$2</formula>
    </cfRule>
  </conditionalFormatting>
  <conditionalFormatting sqref="D3">
    <cfRule type="expression" dxfId="367" priority="208">
      <formula>MOD(COLUMN(),2)=1</formula>
    </cfRule>
  </conditionalFormatting>
  <conditionalFormatting sqref="D3">
    <cfRule type="expression" dxfId="366" priority="207">
      <formula>MOD(COLUMN(),2)=1</formula>
    </cfRule>
  </conditionalFormatting>
  <conditionalFormatting sqref="D3">
    <cfRule type="expression" dxfId="365" priority="206">
      <formula>MOD(COLUMN(),2)=1</formula>
    </cfRule>
  </conditionalFormatting>
  <conditionalFormatting sqref="D3">
    <cfRule type="expression" dxfId="364" priority="205">
      <formula>MOD(COLUMN(),2)=1</formula>
    </cfRule>
  </conditionalFormatting>
  <conditionalFormatting sqref="D4:D7">
    <cfRule type="expression" dxfId="363" priority="204">
      <formula>MOD(COLUMN(),2)=1</formula>
    </cfRule>
  </conditionalFormatting>
  <conditionalFormatting sqref="D4:D7">
    <cfRule type="expression" dxfId="362" priority="203">
      <formula>MOD(COLUMN(),2)=1</formula>
    </cfRule>
  </conditionalFormatting>
  <conditionalFormatting sqref="D4:D7">
    <cfRule type="expression" dxfId="361" priority="202">
      <formula>MOD(COLUMN(),2)=1</formula>
    </cfRule>
  </conditionalFormatting>
  <conditionalFormatting sqref="D4:D7">
    <cfRule type="expression" dxfId="360" priority="201">
      <formula>MOD(COLUMN(),2)=1</formula>
    </cfRule>
  </conditionalFormatting>
  <conditionalFormatting sqref="D9:D13">
    <cfRule type="expression" dxfId="359" priority="184">
      <formula>MOD(COLUMN(),2)=1</formula>
    </cfRule>
  </conditionalFormatting>
  <conditionalFormatting sqref="D9:D13">
    <cfRule type="expression" dxfId="358" priority="183">
      <formula>MOD(COLUMN(),2)=1</formula>
    </cfRule>
  </conditionalFormatting>
  <conditionalFormatting sqref="D9:D13">
    <cfRule type="expression" dxfId="357" priority="182">
      <formula>MOD(COLUMN(),2)=1</formula>
    </cfRule>
  </conditionalFormatting>
  <conditionalFormatting sqref="D9:D13">
    <cfRule type="expression" dxfId="356" priority="181">
      <formula>MOD(COLUMN(),2)=1</formula>
    </cfRule>
  </conditionalFormatting>
  <conditionalFormatting sqref="D14">
    <cfRule type="expression" dxfId="355" priority="180">
      <formula>MOD(COLUMN(),2)=1</formula>
    </cfRule>
  </conditionalFormatting>
  <conditionalFormatting sqref="D14">
    <cfRule type="cellIs" dxfId="354" priority="179" operator="notEqual">
      <formula>$B$2</formula>
    </cfRule>
  </conditionalFormatting>
  <conditionalFormatting sqref="D14">
    <cfRule type="expression" dxfId="353" priority="178">
      <formula>MOD(COLUMN(),2)=1</formula>
    </cfRule>
  </conditionalFormatting>
  <conditionalFormatting sqref="D14">
    <cfRule type="cellIs" dxfId="352" priority="177" operator="notEqual">
      <formula>$B$2</formula>
    </cfRule>
  </conditionalFormatting>
  <conditionalFormatting sqref="D14">
    <cfRule type="expression" dxfId="351" priority="176">
      <formula>MOD(COLUMN(),2)=1</formula>
    </cfRule>
  </conditionalFormatting>
  <conditionalFormatting sqref="D14">
    <cfRule type="cellIs" dxfId="350" priority="175" operator="notEqual">
      <formula>$B$2</formula>
    </cfRule>
  </conditionalFormatting>
  <conditionalFormatting sqref="D14">
    <cfRule type="expression" dxfId="349" priority="174">
      <formula>MOD(COLUMN(),2)=1</formula>
    </cfRule>
  </conditionalFormatting>
  <conditionalFormatting sqref="D14">
    <cfRule type="cellIs" dxfId="348" priority="173" operator="notEqual">
      <formula>$B$2</formula>
    </cfRule>
  </conditionalFormatting>
  <conditionalFormatting sqref="D23">
    <cfRule type="expression" dxfId="347" priority="172">
      <formula>MOD(COLUMN(),2)=1</formula>
    </cfRule>
  </conditionalFormatting>
  <conditionalFormatting sqref="D23">
    <cfRule type="cellIs" dxfId="346" priority="171" operator="notEqual">
      <formula>$B$2</formula>
    </cfRule>
  </conditionalFormatting>
  <conditionalFormatting sqref="D23">
    <cfRule type="expression" dxfId="345" priority="170">
      <formula>MOD(COLUMN(),2)=1</formula>
    </cfRule>
  </conditionalFormatting>
  <conditionalFormatting sqref="D23">
    <cfRule type="cellIs" dxfId="344" priority="169" operator="notEqual">
      <formula>$B$2</formula>
    </cfRule>
  </conditionalFormatting>
  <conditionalFormatting sqref="D23">
    <cfRule type="expression" dxfId="343" priority="168">
      <formula>MOD(COLUMN(),2)=1</formula>
    </cfRule>
  </conditionalFormatting>
  <conditionalFormatting sqref="D23">
    <cfRule type="cellIs" dxfId="342" priority="167" operator="notEqual">
      <formula>$B$2</formula>
    </cfRule>
  </conditionalFormatting>
  <conditionalFormatting sqref="D23">
    <cfRule type="expression" dxfId="341" priority="166">
      <formula>MOD(COLUMN(),2)=1</formula>
    </cfRule>
  </conditionalFormatting>
  <conditionalFormatting sqref="D23">
    <cfRule type="cellIs" dxfId="340" priority="165" operator="notEqual">
      <formula>$B$2</formula>
    </cfRule>
  </conditionalFormatting>
  <conditionalFormatting sqref="D29">
    <cfRule type="expression" dxfId="339" priority="164">
      <formula>MOD(COLUMN(),2)=1</formula>
    </cfRule>
  </conditionalFormatting>
  <conditionalFormatting sqref="D29">
    <cfRule type="cellIs" dxfId="338" priority="163" operator="notEqual">
      <formula>$B$2</formula>
    </cfRule>
  </conditionalFormatting>
  <conditionalFormatting sqref="D29">
    <cfRule type="expression" dxfId="337" priority="162">
      <formula>MOD(COLUMN(),2)=1</formula>
    </cfRule>
  </conditionalFormatting>
  <conditionalFormatting sqref="D29">
    <cfRule type="cellIs" dxfId="336" priority="161" operator="notEqual">
      <formula>$B$2</formula>
    </cfRule>
  </conditionalFormatting>
  <conditionalFormatting sqref="D29">
    <cfRule type="expression" dxfId="335" priority="160">
      <formula>MOD(COLUMN(),2)=1</formula>
    </cfRule>
  </conditionalFormatting>
  <conditionalFormatting sqref="D29">
    <cfRule type="cellIs" dxfId="334" priority="159" operator="notEqual">
      <formula>$B$2</formula>
    </cfRule>
  </conditionalFormatting>
  <conditionalFormatting sqref="D29">
    <cfRule type="expression" dxfId="333" priority="158">
      <formula>MOD(COLUMN(),2)=1</formula>
    </cfRule>
  </conditionalFormatting>
  <conditionalFormatting sqref="D29">
    <cfRule type="cellIs" dxfId="332" priority="157" operator="notEqual">
      <formula>$B$2</formula>
    </cfRule>
  </conditionalFormatting>
  <conditionalFormatting sqref="D35">
    <cfRule type="expression" dxfId="331" priority="156">
      <formula>MOD(COLUMN(),2)=1</formula>
    </cfRule>
  </conditionalFormatting>
  <conditionalFormatting sqref="D35">
    <cfRule type="cellIs" dxfId="330" priority="155" operator="notEqual">
      <formula>$B$2</formula>
    </cfRule>
  </conditionalFormatting>
  <conditionalFormatting sqref="D35">
    <cfRule type="expression" dxfId="329" priority="154">
      <formula>MOD(COLUMN(),2)=1</formula>
    </cfRule>
  </conditionalFormatting>
  <conditionalFormatting sqref="D35">
    <cfRule type="cellIs" dxfId="328" priority="153" operator="notEqual">
      <formula>$B$2</formula>
    </cfRule>
  </conditionalFormatting>
  <conditionalFormatting sqref="D35">
    <cfRule type="expression" dxfId="327" priority="152">
      <formula>MOD(COLUMN(),2)=1</formula>
    </cfRule>
  </conditionalFormatting>
  <conditionalFormatting sqref="D35">
    <cfRule type="cellIs" dxfId="326" priority="151" operator="notEqual">
      <formula>$B$2</formula>
    </cfRule>
  </conditionalFormatting>
  <conditionalFormatting sqref="D35">
    <cfRule type="expression" dxfId="325" priority="150">
      <formula>MOD(COLUMN(),2)=1</formula>
    </cfRule>
  </conditionalFormatting>
  <conditionalFormatting sqref="D35">
    <cfRule type="cellIs" dxfId="324" priority="149" operator="notEqual">
      <formula>$B$2</formula>
    </cfRule>
  </conditionalFormatting>
  <conditionalFormatting sqref="D40">
    <cfRule type="expression" dxfId="323" priority="148">
      <formula>MOD(COLUMN(),2)=1</formula>
    </cfRule>
  </conditionalFormatting>
  <conditionalFormatting sqref="D40">
    <cfRule type="cellIs" dxfId="322" priority="147" operator="notEqual">
      <formula>$B$2</formula>
    </cfRule>
  </conditionalFormatting>
  <conditionalFormatting sqref="D40">
    <cfRule type="expression" dxfId="321" priority="146">
      <formula>MOD(COLUMN(),2)=1</formula>
    </cfRule>
  </conditionalFormatting>
  <conditionalFormatting sqref="D40">
    <cfRule type="cellIs" dxfId="320" priority="145" operator="notEqual">
      <formula>$B$2</formula>
    </cfRule>
  </conditionalFormatting>
  <conditionalFormatting sqref="D40">
    <cfRule type="cellIs" dxfId="319" priority="144" operator="notEqual">
      <formula>$B$2</formula>
    </cfRule>
  </conditionalFormatting>
  <conditionalFormatting sqref="D40">
    <cfRule type="expression" dxfId="318" priority="143">
      <formula>MOD(COLUMN(),2)=1</formula>
    </cfRule>
  </conditionalFormatting>
  <conditionalFormatting sqref="D40">
    <cfRule type="cellIs" dxfId="317" priority="142" operator="notEqual">
      <formula>$B$2</formula>
    </cfRule>
  </conditionalFormatting>
  <conditionalFormatting sqref="D40">
    <cfRule type="expression" dxfId="316" priority="141">
      <formula>MOD(COLUMN(),2)=1</formula>
    </cfRule>
  </conditionalFormatting>
  <conditionalFormatting sqref="D46">
    <cfRule type="expression" dxfId="315" priority="140">
      <formula>MOD(COLUMN(),2)=1</formula>
    </cfRule>
  </conditionalFormatting>
  <conditionalFormatting sqref="D46">
    <cfRule type="cellIs" dxfId="314" priority="139" operator="notEqual">
      <formula>$B$2</formula>
    </cfRule>
  </conditionalFormatting>
  <conditionalFormatting sqref="D46">
    <cfRule type="expression" dxfId="313" priority="138">
      <formula>MOD(COLUMN(),2)=1</formula>
    </cfRule>
  </conditionalFormatting>
  <conditionalFormatting sqref="D46">
    <cfRule type="cellIs" dxfId="312" priority="137" operator="notEqual">
      <formula>$B$2</formula>
    </cfRule>
  </conditionalFormatting>
  <conditionalFormatting sqref="D46">
    <cfRule type="expression" dxfId="311" priority="136">
      <formula>MOD(COLUMN(),2)=1</formula>
    </cfRule>
  </conditionalFormatting>
  <conditionalFormatting sqref="D46">
    <cfRule type="cellIs" dxfId="310" priority="135" operator="notEqual">
      <formula>$B$2</formula>
    </cfRule>
  </conditionalFormatting>
  <conditionalFormatting sqref="D46">
    <cfRule type="expression" dxfId="309" priority="134">
      <formula>MOD(COLUMN(),2)=1</formula>
    </cfRule>
  </conditionalFormatting>
  <conditionalFormatting sqref="D46">
    <cfRule type="cellIs" dxfId="308" priority="133" operator="notEqual">
      <formula>$B$2</formula>
    </cfRule>
  </conditionalFormatting>
  <conditionalFormatting sqref="D52">
    <cfRule type="expression" dxfId="307" priority="132">
      <formula>MOD(COLUMN(),2)=1</formula>
    </cfRule>
  </conditionalFormatting>
  <conditionalFormatting sqref="D52">
    <cfRule type="cellIs" dxfId="306" priority="131" operator="notEqual">
      <formula>$B$2</formula>
    </cfRule>
  </conditionalFormatting>
  <conditionalFormatting sqref="D52">
    <cfRule type="expression" dxfId="305" priority="130">
      <formula>MOD(COLUMN(),2)=1</formula>
    </cfRule>
  </conditionalFormatting>
  <conditionalFormatting sqref="D52">
    <cfRule type="cellIs" dxfId="304" priority="129" operator="notEqual">
      <formula>$B$2</formula>
    </cfRule>
  </conditionalFormatting>
  <conditionalFormatting sqref="D52">
    <cfRule type="expression" dxfId="303" priority="128">
      <formula>MOD(COLUMN(),2)=1</formula>
    </cfRule>
  </conditionalFormatting>
  <conditionalFormatting sqref="D52">
    <cfRule type="cellIs" dxfId="302" priority="127" operator="notEqual">
      <formula>$B$2</formula>
    </cfRule>
  </conditionalFormatting>
  <conditionalFormatting sqref="D52">
    <cfRule type="expression" dxfId="301" priority="126">
      <formula>MOD(COLUMN(),2)=1</formula>
    </cfRule>
  </conditionalFormatting>
  <conditionalFormatting sqref="D52">
    <cfRule type="cellIs" dxfId="300" priority="125" operator="notEqual">
      <formula>$B$2</formula>
    </cfRule>
  </conditionalFormatting>
  <conditionalFormatting sqref="D15:D22">
    <cfRule type="expression" dxfId="299" priority="124">
      <formula>MOD(COLUMN(),2)=1</formula>
    </cfRule>
  </conditionalFormatting>
  <conditionalFormatting sqref="D15:D22">
    <cfRule type="expression" dxfId="298" priority="123">
      <formula>MOD(COLUMN(),2)=1</formula>
    </cfRule>
  </conditionalFormatting>
  <conditionalFormatting sqref="D15:D22">
    <cfRule type="expression" dxfId="297" priority="122">
      <formula>MOD(COLUMN(),2)=1</formula>
    </cfRule>
  </conditionalFormatting>
  <conditionalFormatting sqref="D15:D22">
    <cfRule type="expression" dxfId="296" priority="121">
      <formula>MOD(COLUMN(),2)=1</formula>
    </cfRule>
  </conditionalFormatting>
  <conditionalFormatting sqref="D24:D28">
    <cfRule type="expression" dxfId="295" priority="120">
      <formula>MOD(COLUMN(),2)=1</formula>
    </cfRule>
  </conditionalFormatting>
  <conditionalFormatting sqref="D24:D28">
    <cfRule type="expression" dxfId="294" priority="119">
      <formula>MOD(COLUMN(),2)=1</formula>
    </cfRule>
  </conditionalFormatting>
  <conditionalFormatting sqref="D24:D28">
    <cfRule type="expression" dxfId="293" priority="118">
      <formula>MOD(COLUMN(),2)=1</formula>
    </cfRule>
  </conditionalFormatting>
  <conditionalFormatting sqref="D24:D28">
    <cfRule type="expression" dxfId="292" priority="117">
      <formula>MOD(COLUMN(),2)=1</formula>
    </cfRule>
  </conditionalFormatting>
  <conditionalFormatting sqref="D30:D34">
    <cfRule type="expression" dxfId="291" priority="116">
      <formula>MOD(COLUMN(),2)=1</formula>
    </cfRule>
  </conditionalFormatting>
  <conditionalFormatting sqref="D30:D34">
    <cfRule type="expression" dxfId="290" priority="115">
      <formula>MOD(COLUMN(),2)=1</formula>
    </cfRule>
  </conditionalFormatting>
  <conditionalFormatting sqref="D30:D34">
    <cfRule type="expression" dxfId="289" priority="114">
      <formula>MOD(COLUMN(),2)=1</formula>
    </cfRule>
  </conditionalFormatting>
  <conditionalFormatting sqref="D30:D34">
    <cfRule type="expression" dxfId="288" priority="113">
      <formula>MOD(COLUMN(),2)=1</formula>
    </cfRule>
  </conditionalFormatting>
  <conditionalFormatting sqref="D36:D39">
    <cfRule type="expression" dxfId="287" priority="112">
      <formula>MOD(COLUMN(),2)=1</formula>
    </cfRule>
  </conditionalFormatting>
  <conditionalFormatting sqref="D36:D39">
    <cfRule type="expression" dxfId="286" priority="111">
      <formula>MOD(COLUMN(),2)=1</formula>
    </cfRule>
  </conditionalFormatting>
  <conditionalFormatting sqref="D36:D39">
    <cfRule type="expression" dxfId="285" priority="110">
      <formula>MOD(COLUMN(),2)=1</formula>
    </cfRule>
  </conditionalFormatting>
  <conditionalFormatting sqref="D36:D39">
    <cfRule type="expression" dxfId="284" priority="109">
      <formula>MOD(COLUMN(),2)=1</formula>
    </cfRule>
  </conditionalFormatting>
  <conditionalFormatting sqref="D41:D45">
    <cfRule type="expression" dxfId="283" priority="108">
      <formula>MOD(COLUMN(),2)=1</formula>
    </cfRule>
  </conditionalFormatting>
  <conditionalFormatting sqref="D41:D45">
    <cfRule type="expression" dxfId="282" priority="107">
      <formula>MOD(COLUMN(),2)=1</formula>
    </cfRule>
  </conditionalFormatting>
  <conditionalFormatting sqref="D41:D45">
    <cfRule type="expression" dxfId="281" priority="106">
      <formula>MOD(COLUMN(),2)=1</formula>
    </cfRule>
  </conditionalFormatting>
  <conditionalFormatting sqref="D41:D45">
    <cfRule type="expression" dxfId="280" priority="105">
      <formula>MOD(COLUMN(),2)=1</formula>
    </cfRule>
  </conditionalFormatting>
  <conditionalFormatting sqref="D47:D51">
    <cfRule type="expression" dxfId="279" priority="104">
      <formula>MOD(COLUMN(),2)=1</formula>
    </cfRule>
  </conditionalFormatting>
  <conditionalFormatting sqref="D47:D51">
    <cfRule type="expression" dxfId="278" priority="103">
      <formula>MOD(COLUMN(),2)=1</formula>
    </cfRule>
  </conditionalFormatting>
  <conditionalFormatting sqref="D47:D51">
    <cfRule type="expression" dxfId="277" priority="102">
      <formula>MOD(COLUMN(),2)=1</formula>
    </cfRule>
  </conditionalFormatting>
  <conditionalFormatting sqref="D47:D51">
    <cfRule type="expression" dxfId="276" priority="101">
      <formula>MOD(COLUMN(),2)=1</formula>
    </cfRule>
  </conditionalFormatting>
  <conditionalFormatting sqref="E9:AY13">
    <cfRule type="expression" dxfId="275" priority="100">
      <formula>MOD(COLUMN(),2)=1</formula>
    </cfRule>
  </conditionalFormatting>
  <conditionalFormatting sqref="E9:AY13">
    <cfRule type="expression" dxfId="274" priority="99">
      <formula>MOD(COLUMN(),2)=1</formula>
    </cfRule>
  </conditionalFormatting>
  <conditionalFormatting sqref="E9:AY13">
    <cfRule type="expression" dxfId="273" priority="98">
      <formula>MOD(COLUMN(),2)=1</formula>
    </cfRule>
  </conditionalFormatting>
  <conditionalFormatting sqref="E9:AY13">
    <cfRule type="expression" dxfId="272" priority="97">
      <formula>MOD(COLUMN(),2)=1</formula>
    </cfRule>
  </conditionalFormatting>
  <conditionalFormatting sqref="E14:AY14">
    <cfRule type="expression" dxfId="271" priority="96">
      <formula>MOD(COLUMN(),2)=1</formula>
    </cfRule>
  </conditionalFormatting>
  <conditionalFormatting sqref="E14:AY14">
    <cfRule type="cellIs" dxfId="270" priority="95" operator="notEqual">
      <formula>$B$2</formula>
    </cfRule>
  </conditionalFormatting>
  <conditionalFormatting sqref="E14:AY14">
    <cfRule type="expression" dxfId="269" priority="94">
      <formula>MOD(COLUMN(),2)=1</formula>
    </cfRule>
  </conditionalFormatting>
  <conditionalFormatting sqref="E14:AY14">
    <cfRule type="cellIs" dxfId="268" priority="93" operator="notEqual">
      <formula>$B$2</formula>
    </cfRule>
  </conditionalFormatting>
  <conditionalFormatting sqref="E14:AY14">
    <cfRule type="expression" dxfId="267" priority="92">
      <formula>MOD(COLUMN(),2)=1</formula>
    </cfRule>
  </conditionalFormatting>
  <conditionalFormatting sqref="E14:AY14">
    <cfRule type="cellIs" dxfId="266" priority="91" operator="notEqual">
      <formula>$B$2</formula>
    </cfRule>
  </conditionalFormatting>
  <conditionalFormatting sqref="E14:AY14">
    <cfRule type="expression" dxfId="265" priority="90">
      <formula>MOD(COLUMN(),2)=1</formula>
    </cfRule>
  </conditionalFormatting>
  <conditionalFormatting sqref="E14:AY14">
    <cfRule type="cellIs" dxfId="264" priority="89" operator="notEqual">
      <formula>$B$2</formula>
    </cfRule>
  </conditionalFormatting>
  <conditionalFormatting sqref="E23:AY23">
    <cfRule type="expression" dxfId="263" priority="88">
      <formula>MOD(COLUMN(),2)=1</formula>
    </cfRule>
  </conditionalFormatting>
  <conditionalFormatting sqref="E23:AY23">
    <cfRule type="cellIs" dxfId="262" priority="87" operator="notEqual">
      <formula>$B$2</formula>
    </cfRule>
  </conditionalFormatting>
  <conditionalFormatting sqref="E23:AY23">
    <cfRule type="expression" dxfId="261" priority="86">
      <formula>MOD(COLUMN(),2)=1</formula>
    </cfRule>
  </conditionalFormatting>
  <conditionalFormatting sqref="E23:AY23">
    <cfRule type="cellIs" dxfId="260" priority="85" operator="notEqual">
      <formula>$B$2</formula>
    </cfRule>
  </conditionalFormatting>
  <conditionalFormatting sqref="E23:AY23">
    <cfRule type="expression" dxfId="259" priority="84">
      <formula>MOD(COLUMN(),2)=1</formula>
    </cfRule>
  </conditionalFormatting>
  <conditionalFormatting sqref="E23:AY23">
    <cfRule type="cellIs" dxfId="258" priority="83" operator="notEqual">
      <formula>$B$2</formula>
    </cfRule>
  </conditionalFormatting>
  <conditionalFormatting sqref="E23:AY23">
    <cfRule type="expression" dxfId="257" priority="82">
      <formula>MOD(COLUMN(),2)=1</formula>
    </cfRule>
  </conditionalFormatting>
  <conditionalFormatting sqref="E23:AY23">
    <cfRule type="cellIs" dxfId="256" priority="81" operator="notEqual">
      <formula>$B$2</formula>
    </cfRule>
  </conditionalFormatting>
  <conditionalFormatting sqref="E29:AY29">
    <cfRule type="expression" dxfId="255" priority="80">
      <formula>MOD(COLUMN(),2)=1</formula>
    </cfRule>
  </conditionalFormatting>
  <conditionalFormatting sqref="E29:AY29">
    <cfRule type="cellIs" dxfId="254" priority="79" operator="notEqual">
      <formula>$B$2</formula>
    </cfRule>
  </conditionalFormatting>
  <conditionalFormatting sqref="E29:AY29">
    <cfRule type="expression" dxfId="253" priority="78">
      <formula>MOD(COLUMN(),2)=1</formula>
    </cfRule>
  </conditionalFormatting>
  <conditionalFormatting sqref="E29:AY29">
    <cfRule type="cellIs" dxfId="252" priority="77" operator="notEqual">
      <formula>$B$2</formula>
    </cfRule>
  </conditionalFormatting>
  <conditionalFormatting sqref="E29:AY29">
    <cfRule type="expression" dxfId="251" priority="76">
      <formula>MOD(COLUMN(),2)=1</formula>
    </cfRule>
  </conditionalFormatting>
  <conditionalFormatting sqref="E29:AY29">
    <cfRule type="cellIs" dxfId="250" priority="75" operator="notEqual">
      <formula>$B$2</formula>
    </cfRule>
  </conditionalFormatting>
  <conditionalFormatting sqref="E29:AY29">
    <cfRule type="expression" dxfId="249" priority="74">
      <formula>MOD(COLUMN(),2)=1</formula>
    </cfRule>
  </conditionalFormatting>
  <conditionalFormatting sqref="E29:AY29">
    <cfRule type="cellIs" dxfId="248" priority="73" operator="notEqual">
      <formula>$B$2</formula>
    </cfRule>
  </conditionalFormatting>
  <conditionalFormatting sqref="E35:AY35">
    <cfRule type="expression" dxfId="247" priority="72">
      <formula>MOD(COLUMN(),2)=1</formula>
    </cfRule>
  </conditionalFormatting>
  <conditionalFormatting sqref="E35:AY35">
    <cfRule type="cellIs" dxfId="246" priority="71" operator="notEqual">
      <formula>$B$2</formula>
    </cfRule>
  </conditionalFormatting>
  <conditionalFormatting sqref="E35:AY35">
    <cfRule type="expression" dxfId="245" priority="70">
      <formula>MOD(COLUMN(),2)=1</formula>
    </cfRule>
  </conditionalFormatting>
  <conditionalFormatting sqref="E35:AY35">
    <cfRule type="cellIs" dxfId="244" priority="69" operator="notEqual">
      <formula>$B$2</formula>
    </cfRule>
  </conditionalFormatting>
  <conditionalFormatting sqref="E35:AY35">
    <cfRule type="expression" dxfId="243" priority="68">
      <formula>MOD(COLUMN(),2)=1</formula>
    </cfRule>
  </conditionalFormatting>
  <conditionalFormatting sqref="E35:AY35">
    <cfRule type="cellIs" dxfId="242" priority="67" operator="notEqual">
      <formula>$B$2</formula>
    </cfRule>
  </conditionalFormatting>
  <conditionalFormatting sqref="E35:AY35">
    <cfRule type="expression" dxfId="241" priority="66">
      <formula>MOD(COLUMN(),2)=1</formula>
    </cfRule>
  </conditionalFormatting>
  <conditionalFormatting sqref="E35:AY35">
    <cfRule type="cellIs" dxfId="240" priority="65" operator="notEqual">
      <formula>$B$2</formula>
    </cfRule>
  </conditionalFormatting>
  <conditionalFormatting sqref="E40:AY40">
    <cfRule type="expression" dxfId="239" priority="64">
      <formula>MOD(COLUMN(),2)=1</formula>
    </cfRule>
  </conditionalFormatting>
  <conditionalFormatting sqref="E40:AY40">
    <cfRule type="cellIs" dxfId="238" priority="63" operator="notEqual">
      <formula>$B$2</formula>
    </cfRule>
  </conditionalFormatting>
  <conditionalFormatting sqref="E40:AY40">
    <cfRule type="expression" dxfId="237" priority="62">
      <formula>MOD(COLUMN(),2)=1</formula>
    </cfRule>
  </conditionalFormatting>
  <conditionalFormatting sqref="E40:AY40">
    <cfRule type="cellIs" dxfId="236" priority="61" operator="notEqual">
      <formula>$B$2</formula>
    </cfRule>
  </conditionalFormatting>
  <conditionalFormatting sqref="E40:AY40">
    <cfRule type="cellIs" dxfId="235" priority="60" operator="notEqual">
      <formula>$B$2</formula>
    </cfRule>
  </conditionalFormatting>
  <conditionalFormatting sqref="E40:AY40">
    <cfRule type="expression" dxfId="234" priority="59">
      <formula>MOD(COLUMN(),2)=1</formula>
    </cfRule>
  </conditionalFormatting>
  <conditionalFormatting sqref="E40:AY40">
    <cfRule type="cellIs" dxfId="233" priority="58" operator="notEqual">
      <formula>$B$2</formula>
    </cfRule>
  </conditionalFormatting>
  <conditionalFormatting sqref="E40:AY40">
    <cfRule type="expression" dxfId="232" priority="57">
      <formula>MOD(COLUMN(),2)=1</formula>
    </cfRule>
  </conditionalFormatting>
  <conditionalFormatting sqref="E46:AY46">
    <cfRule type="expression" dxfId="231" priority="56">
      <formula>MOD(COLUMN(),2)=1</formula>
    </cfRule>
  </conditionalFormatting>
  <conditionalFormatting sqref="E46:AY46">
    <cfRule type="cellIs" dxfId="230" priority="55" operator="notEqual">
      <formula>$B$2</formula>
    </cfRule>
  </conditionalFormatting>
  <conditionalFormatting sqref="E46:AY46">
    <cfRule type="expression" dxfId="229" priority="54">
      <formula>MOD(COLUMN(),2)=1</formula>
    </cfRule>
  </conditionalFormatting>
  <conditionalFormatting sqref="E46:AY46">
    <cfRule type="cellIs" dxfId="228" priority="53" operator="notEqual">
      <formula>$B$2</formula>
    </cfRule>
  </conditionalFormatting>
  <conditionalFormatting sqref="E46:AY46">
    <cfRule type="expression" dxfId="227" priority="52">
      <formula>MOD(COLUMN(),2)=1</formula>
    </cfRule>
  </conditionalFormatting>
  <conditionalFormatting sqref="E46:AY46">
    <cfRule type="cellIs" dxfId="226" priority="51" operator="notEqual">
      <formula>$B$2</formula>
    </cfRule>
  </conditionalFormatting>
  <conditionalFormatting sqref="E46:AY46">
    <cfRule type="expression" dxfId="225" priority="50">
      <formula>MOD(COLUMN(),2)=1</formula>
    </cfRule>
  </conditionalFormatting>
  <conditionalFormatting sqref="E46:AY46">
    <cfRule type="cellIs" dxfId="224" priority="49" operator="notEqual">
      <formula>$B$2</formula>
    </cfRule>
  </conditionalFormatting>
  <conditionalFormatting sqref="E52:AY52">
    <cfRule type="expression" dxfId="223" priority="48">
      <formula>MOD(COLUMN(),2)=1</formula>
    </cfRule>
  </conditionalFormatting>
  <conditionalFormatting sqref="E52:AY52">
    <cfRule type="cellIs" dxfId="222" priority="47" operator="notEqual">
      <formula>$B$2</formula>
    </cfRule>
  </conditionalFormatting>
  <conditionalFormatting sqref="E52:AY52">
    <cfRule type="expression" dxfId="221" priority="46">
      <formula>MOD(COLUMN(),2)=1</formula>
    </cfRule>
  </conditionalFormatting>
  <conditionalFormatting sqref="E52:AY52">
    <cfRule type="cellIs" dxfId="220" priority="45" operator="notEqual">
      <formula>$B$2</formula>
    </cfRule>
  </conditionalFormatting>
  <conditionalFormatting sqref="E52:AY52">
    <cfRule type="expression" dxfId="219" priority="44">
      <formula>MOD(COLUMN(),2)=1</formula>
    </cfRule>
  </conditionalFormatting>
  <conditionalFormatting sqref="E52:AY52">
    <cfRule type="cellIs" dxfId="218" priority="43" operator="notEqual">
      <formula>$B$2</formula>
    </cfRule>
  </conditionalFormatting>
  <conditionalFormatting sqref="E52:AY52">
    <cfRule type="expression" dxfId="217" priority="42">
      <formula>MOD(COLUMN(),2)=1</formula>
    </cfRule>
  </conditionalFormatting>
  <conditionalFormatting sqref="E52:AY52">
    <cfRule type="cellIs" dxfId="216" priority="41" operator="notEqual">
      <formula>$B$2</formula>
    </cfRule>
  </conditionalFormatting>
  <conditionalFormatting sqref="E15:AY22">
    <cfRule type="expression" dxfId="215" priority="40">
      <formula>MOD(COLUMN(),2)=1</formula>
    </cfRule>
  </conditionalFormatting>
  <conditionalFormatting sqref="E15:AY22">
    <cfRule type="expression" dxfId="214" priority="39">
      <formula>MOD(COLUMN(),2)=1</formula>
    </cfRule>
  </conditionalFormatting>
  <conditionalFormatting sqref="E15:AY22">
    <cfRule type="expression" dxfId="213" priority="38">
      <formula>MOD(COLUMN(),2)=1</formula>
    </cfRule>
  </conditionalFormatting>
  <conditionalFormatting sqref="E15:AY22">
    <cfRule type="expression" dxfId="212" priority="37">
      <formula>MOD(COLUMN(),2)=1</formula>
    </cfRule>
  </conditionalFormatting>
  <conditionalFormatting sqref="E24:AY28">
    <cfRule type="expression" dxfId="211" priority="36">
      <formula>MOD(COLUMN(),2)=1</formula>
    </cfRule>
  </conditionalFormatting>
  <conditionalFormatting sqref="E24:AY28">
    <cfRule type="expression" dxfId="210" priority="35">
      <formula>MOD(COLUMN(),2)=1</formula>
    </cfRule>
  </conditionalFormatting>
  <conditionalFormatting sqref="E24:AY28">
    <cfRule type="expression" dxfId="209" priority="34">
      <formula>MOD(COLUMN(),2)=1</formula>
    </cfRule>
  </conditionalFormatting>
  <conditionalFormatting sqref="E24:AY28">
    <cfRule type="expression" dxfId="208" priority="33">
      <formula>MOD(COLUMN(),2)=1</formula>
    </cfRule>
  </conditionalFormatting>
  <conditionalFormatting sqref="E30:AY34">
    <cfRule type="expression" dxfId="207" priority="32">
      <formula>MOD(COLUMN(),2)=1</formula>
    </cfRule>
  </conditionalFormatting>
  <conditionalFormatting sqref="E30:AY34">
    <cfRule type="expression" dxfId="206" priority="31">
      <formula>MOD(COLUMN(),2)=1</formula>
    </cfRule>
  </conditionalFormatting>
  <conditionalFormatting sqref="E30:AY34">
    <cfRule type="expression" dxfId="205" priority="30">
      <formula>MOD(COLUMN(),2)=1</formula>
    </cfRule>
  </conditionalFormatting>
  <conditionalFormatting sqref="E30:AY34">
    <cfRule type="expression" dxfId="204" priority="29">
      <formula>MOD(COLUMN(),2)=1</formula>
    </cfRule>
  </conditionalFormatting>
  <conditionalFormatting sqref="E36:AY39">
    <cfRule type="expression" dxfId="203" priority="28">
      <formula>MOD(COLUMN(),2)=1</formula>
    </cfRule>
  </conditionalFormatting>
  <conditionalFormatting sqref="E36:AY39">
    <cfRule type="expression" dxfId="202" priority="27">
      <formula>MOD(COLUMN(),2)=1</formula>
    </cfRule>
  </conditionalFormatting>
  <conditionalFormatting sqref="E36:AY39">
    <cfRule type="expression" dxfId="201" priority="26">
      <formula>MOD(COLUMN(),2)=1</formula>
    </cfRule>
  </conditionalFormatting>
  <conditionalFormatting sqref="E36:AY39">
    <cfRule type="expression" dxfId="200" priority="25">
      <formula>MOD(COLUMN(),2)=1</formula>
    </cfRule>
  </conditionalFormatting>
  <conditionalFormatting sqref="E41:AY45">
    <cfRule type="expression" dxfId="199" priority="24">
      <formula>MOD(COLUMN(),2)=1</formula>
    </cfRule>
  </conditionalFormatting>
  <conditionalFormatting sqref="E41:AY45">
    <cfRule type="expression" dxfId="198" priority="23">
      <formula>MOD(COLUMN(),2)=1</formula>
    </cfRule>
  </conditionalFormatting>
  <conditionalFormatting sqref="E41:AY45">
    <cfRule type="expression" dxfId="197" priority="22">
      <formula>MOD(COLUMN(),2)=1</formula>
    </cfRule>
  </conditionalFormatting>
  <conditionalFormatting sqref="E41:AY45">
    <cfRule type="expression" dxfId="196" priority="21">
      <formula>MOD(COLUMN(),2)=1</formula>
    </cfRule>
  </conditionalFormatting>
  <conditionalFormatting sqref="E47:AY51">
    <cfRule type="expression" dxfId="195" priority="20">
      <formula>MOD(COLUMN(),2)=1</formula>
    </cfRule>
  </conditionalFormatting>
  <conditionalFormatting sqref="E47:AY51">
    <cfRule type="expression" dxfId="194" priority="19">
      <formula>MOD(COLUMN(),2)=1</formula>
    </cfRule>
  </conditionalFormatting>
  <conditionalFormatting sqref="E47:AY51">
    <cfRule type="expression" dxfId="193" priority="18">
      <formula>MOD(COLUMN(),2)=1</formula>
    </cfRule>
  </conditionalFormatting>
  <conditionalFormatting sqref="E47:AY51">
    <cfRule type="expression" dxfId="192" priority="17">
      <formula>MOD(COLUMN(),2)=1</formula>
    </cfRule>
  </conditionalFormatting>
  <conditionalFormatting sqref="E8:AY8">
    <cfRule type="expression" dxfId="191" priority="16">
      <formula>MOD(COLUMN(),2)=1</formula>
    </cfRule>
  </conditionalFormatting>
  <conditionalFormatting sqref="E8:AY8">
    <cfRule type="cellIs" dxfId="190" priority="15" operator="notEqual">
      <formula>$B$2</formula>
    </cfRule>
  </conditionalFormatting>
  <conditionalFormatting sqref="E8:AY8">
    <cfRule type="expression" dxfId="189" priority="14">
      <formula>MOD(COLUMN(),2)=1</formula>
    </cfRule>
  </conditionalFormatting>
  <conditionalFormatting sqref="E8:AY8">
    <cfRule type="cellIs" dxfId="188" priority="13" operator="notEqual">
      <formula>$B$2</formula>
    </cfRule>
  </conditionalFormatting>
  <conditionalFormatting sqref="E8:AY8">
    <cfRule type="expression" dxfId="187" priority="12">
      <formula>MOD(COLUMN(),2)=1</formula>
    </cfRule>
  </conditionalFormatting>
  <conditionalFormatting sqref="E8:AY8">
    <cfRule type="cellIs" dxfId="186" priority="11" operator="notEqual">
      <formula>$B$2</formula>
    </cfRule>
  </conditionalFormatting>
  <conditionalFormatting sqref="E8:AY8">
    <cfRule type="expression" dxfId="185" priority="10">
      <formula>MOD(COLUMN(),2)=1</formula>
    </cfRule>
  </conditionalFormatting>
  <conditionalFormatting sqref="E8:AY8">
    <cfRule type="cellIs" dxfId="184" priority="9" operator="notEqual">
      <formula>$B$2</formula>
    </cfRule>
  </conditionalFormatting>
  <conditionalFormatting sqref="E3:AY3">
    <cfRule type="expression" dxfId="183" priority="8">
      <formula>MOD(COLUMN(),2)=1</formula>
    </cfRule>
  </conditionalFormatting>
  <conditionalFormatting sqref="E3:AY3">
    <cfRule type="expression" dxfId="182" priority="7">
      <formula>MOD(COLUMN(),2)=1</formula>
    </cfRule>
  </conditionalFormatting>
  <conditionalFormatting sqref="E3:AY3">
    <cfRule type="expression" dxfId="181" priority="6">
      <formula>MOD(COLUMN(),2)=1</formula>
    </cfRule>
  </conditionalFormatting>
  <conditionalFormatting sqref="E3:AY3">
    <cfRule type="expression" dxfId="180" priority="5">
      <formula>MOD(COLUMN(),2)=1</formula>
    </cfRule>
  </conditionalFormatting>
  <conditionalFormatting sqref="E4:AY7">
    <cfRule type="expression" dxfId="179" priority="4">
      <formula>MOD(COLUMN(),2)=1</formula>
    </cfRule>
  </conditionalFormatting>
  <conditionalFormatting sqref="E4:AY7">
    <cfRule type="expression" dxfId="178" priority="3">
      <formula>MOD(COLUMN(),2)=1</formula>
    </cfRule>
  </conditionalFormatting>
  <conditionalFormatting sqref="E4:AY7">
    <cfRule type="expression" dxfId="177" priority="2">
      <formula>MOD(COLUMN(),2)=1</formula>
    </cfRule>
  </conditionalFormatting>
  <conditionalFormatting sqref="E4:AY7">
    <cfRule type="expression" dxfId="176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5" priority="27">
      <formula>MOD(COLUMN(),2)=1</formula>
    </cfRule>
  </conditionalFormatting>
  <conditionalFormatting sqref="D40:E40">
    <cfRule type="cellIs" dxfId="174" priority="28" operator="notEqual">
      <formula>$B$2</formula>
    </cfRule>
  </conditionalFormatting>
  <conditionalFormatting sqref="D1:E52 F2:AY2">
    <cfRule type="expression" dxfId="173" priority="34">
      <formula>MOD(COLUMN(),2)=1</formula>
    </cfRule>
  </conditionalFormatting>
  <conditionalFormatting sqref="B8:E8 B14:E14 B46:E46 B52:E52 B35:E35 B29:E29">
    <cfRule type="cellIs" dxfId="172" priority="33" operator="notEqual">
      <formula>$B$2</formula>
    </cfRule>
  </conditionalFormatting>
  <conditionalFormatting sqref="B23:E23">
    <cfRule type="cellIs" dxfId="171" priority="32" operator="notEqual">
      <formula>$B$2</formula>
    </cfRule>
  </conditionalFormatting>
  <conditionalFormatting sqref="B40:E40">
    <cfRule type="cellIs" dxfId="170" priority="31" operator="notEqual">
      <formula>$B$2</formula>
    </cfRule>
  </conditionalFormatting>
  <conditionalFormatting sqref="D1:E52 F2:AY2">
    <cfRule type="expression" dxfId="169" priority="30">
      <formula>MOD(COLUMN(),2)=1</formula>
    </cfRule>
  </conditionalFormatting>
  <conditionalFormatting sqref="D8:E8 D14:E14 D46:E46 D52:E52 D35:E35 D29:E29">
    <cfRule type="cellIs" dxfId="168" priority="29" operator="notEqual">
      <formula>$B$2</formula>
    </cfRule>
  </conditionalFormatting>
  <conditionalFormatting sqref="D23:E23">
    <cfRule type="cellIs" dxfId="167" priority="35" operator="notEqual">
      <formula>$B$2</formula>
    </cfRule>
  </conditionalFormatting>
  <conditionalFormatting sqref="F40:G40">
    <cfRule type="cellIs" dxfId="166" priority="19" operator="notEqual">
      <formula>$B$2</formula>
    </cfRule>
  </conditionalFormatting>
  <conditionalFormatting sqref="F3:G52">
    <cfRule type="expression" dxfId="165" priority="26">
      <formula>MOD(COLUMN(),2)=1</formula>
    </cfRule>
  </conditionalFormatting>
  <conditionalFormatting sqref="F8:G8 F14:G14 F46:G46 F52:G52 F35:G35 F29:G29">
    <cfRule type="cellIs" dxfId="164" priority="25" operator="notEqual">
      <formula>$B$2</formula>
    </cfRule>
  </conditionalFormatting>
  <conditionalFormatting sqref="F23:G23">
    <cfRule type="cellIs" dxfId="163" priority="24" operator="notEqual">
      <formula>$B$2</formula>
    </cfRule>
  </conditionalFormatting>
  <conditionalFormatting sqref="F40:G40">
    <cfRule type="cellIs" dxfId="162" priority="23" operator="notEqual">
      <formula>$B$2</formula>
    </cfRule>
  </conditionalFormatting>
  <conditionalFormatting sqref="F3:G52">
    <cfRule type="expression" dxfId="161" priority="22">
      <formula>MOD(COLUMN(),2)=1</formula>
    </cfRule>
  </conditionalFormatting>
  <conditionalFormatting sqref="F8:G8 F14:G14 F46:G46 F52:G52 F35:G35 F29:G29">
    <cfRule type="cellIs" dxfId="160" priority="21" operator="notEqual">
      <formula>$B$2</formula>
    </cfRule>
  </conditionalFormatting>
  <conditionalFormatting sqref="F23:G23">
    <cfRule type="cellIs" dxfId="159" priority="20" operator="notEqual">
      <formula>$B$2</formula>
    </cfRule>
  </conditionalFormatting>
  <conditionalFormatting sqref="H3:AY7">
    <cfRule type="expression" dxfId="158" priority="18">
      <formula>MOD(COLUMN(),2)=1</formula>
    </cfRule>
  </conditionalFormatting>
  <conditionalFormatting sqref="H3:AY7">
    <cfRule type="expression" dxfId="157" priority="17">
      <formula>MOD(COLUMN(),2)=1</formula>
    </cfRule>
  </conditionalFormatting>
  <conditionalFormatting sqref="H40:I40 L40:M40 P40:Q40 T40:U40 X40:Y40 AB40:AC40 AF40:AG40 AJ40:AK40 AN40:AO40 AR40:AS40 AV40:AW40">
    <cfRule type="cellIs" dxfId="156" priority="9" operator="notEqual">
      <formula>$B$2</formula>
    </cfRule>
  </conditionalFormatting>
  <conditionalFormatting sqref="H8:I52 L8:M52 P8:Q52 T8:U52 X8:Y52 AB8:AC52 AF8:AG52 AJ8:AK52 AN8:AO52 AR8:AS52 AV8:AW52">
    <cfRule type="expression" dxfId="155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4" priority="15" operator="notEqual">
      <formula>$B$2</formula>
    </cfRule>
  </conditionalFormatting>
  <conditionalFormatting sqref="H23:I23 L23:M23 P23:Q23 T23:U23 X23:Y23 AB23:AC23 AF23:AG23 AJ23:AK23 AN23:AO23 AR23:AS23 AV23:AW23">
    <cfRule type="cellIs" dxfId="153" priority="14" operator="notEqual">
      <formula>$B$2</formula>
    </cfRule>
  </conditionalFormatting>
  <conditionalFormatting sqref="H40:I40 L40:M40 P40:Q40 T40:U40 X40:Y40 AB40:AC40 AF40:AG40 AJ40:AK40 AN40:AO40 AR40:AS40 AV40:AW40">
    <cfRule type="cellIs" dxfId="152" priority="13" operator="notEqual">
      <formula>$B$2</formula>
    </cfRule>
  </conditionalFormatting>
  <conditionalFormatting sqref="H8:I52 L8:M52 P8:Q52 T8:U52 X8:Y52 AB8:AC52 AF8:AG52 AJ8:AK52 AN8:AO52 AR8:AS52 AV8:AW52">
    <cfRule type="expression" dxfId="151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0" priority="11" operator="notEqual">
      <formula>$B$2</formula>
    </cfRule>
  </conditionalFormatting>
  <conditionalFormatting sqref="H23:I23 L23:M23 P23:Q23 T23:U23 X23:Y23 AB23:AC23 AF23:AG23 AJ23:AK23 AN23:AO23 AR23:AS23 AV23:AW23">
    <cfRule type="cellIs" dxfId="149" priority="10" operator="notEqual">
      <formula>$B$2</formula>
    </cfRule>
  </conditionalFormatting>
  <conditionalFormatting sqref="J40:K40 N40:O40 R40:S40 V40:W40 Z40:AA40 AD40:AE40 AH40:AI40 AL40:AM40 AP40:AQ40 AT40:AU40 AX40:AY40">
    <cfRule type="cellIs" dxfId="148" priority="1" operator="notEqual">
      <formula>$B$2</formula>
    </cfRule>
  </conditionalFormatting>
  <conditionalFormatting sqref="J8:K52 N8:O52 R8:S52 V8:W52 Z8:AA52 AD8:AE52 AH8:AI52 AL8:AM52 AP8:AQ52 AT8:AU52 AX8:AY52">
    <cfRule type="expression" dxfId="147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6" priority="7" operator="notEqual">
      <formula>$B$2</formula>
    </cfRule>
  </conditionalFormatting>
  <conditionalFormatting sqref="J23:K23 N23:O23 R23:S23 V23:W23 Z23:AA23 AD23:AE23 AH23:AI23 AL23:AM23 AP23:AQ23 AT23:AU23 AX23:AY23">
    <cfRule type="cellIs" dxfId="145" priority="6" operator="notEqual">
      <formula>$B$2</formula>
    </cfRule>
  </conditionalFormatting>
  <conditionalFormatting sqref="J40:K40 N40:O40 R40:S40 V40:W40 Z40:AA40 AD40:AE40 AH40:AI40 AL40:AM40 AP40:AQ40 AT40:AU40 AX40:AY40">
    <cfRule type="cellIs" dxfId="144" priority="5" operator="notEqual">
      <formula>$B$2</formula>
    </cfRule>
  </conditionalFormatting>
  <conditionalFormatting sqref="J8:K52 N8:O52 R8:S52 V8:W52 Z8:AA52 AD8:AE52 AH8:AI52 AL8:AM52 AP8:AQ52 AT8:AU52 AX8:AY52">
    <cfRule type="expression" dxfId="143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2" priority="3" operator="notEqual">
      <formula>$B$2</formula>
    </cfRule>
  </conditionalFormatting>
  <conditionalFormatting sqref="J23:K23 N23:O23 R23:S23 V23:W23 Z23:AA23 AD23:AE23 AH23:AI23 AL23:AM23 AP23:AQ23 AT23:AU23 AX23:AY23">
    <cfRule type="cellIs" dxfId="141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40" priority="160">
      <formula>MOD(COLUMN(),2)=1</formula>
    </cfRule>
  </conditionalFormatting>
  <conditionalFormatting sqref="D1:E2 F2:AY2">
    <cfRule type="expression" dxfId="139" priority="167">
      <formula>MOD(COLUMN(),2)=1</formula>
    </cfRule>
  </conditionalFormatting>
  <conditionalFormatting sqref="B8:C8 B14:C14 B46:C46 B52:C52 B35:C35 B29:C29">
    <cfRule type="cellIs" dxfId="138" priority="166" operator="notEqual">
      <formula>$B$2</formula>
    </cfRule>
  </conditionalFormatting>
  <conditionalFormatting sqref="B23:C23">
    <cfRule type="cellIs" dxfId="137" priority="165" operator="notEqual">
      <formula>$B$2</formula>
    </cfRule>
  </conditionalFormatting>
  <conditionalFormatting sqref="B40:C40">
    <cfRule type="cellIs" dxfId="136" priority="164" operator="notEqual">
      <formula>$B$2</formula>
    </cfRule>
  </conditionalFormatting>
  <conditionalFormatting sqref="D1:E2 F2:AY2">
    <cfRule type="expression" dxfId="135" priority="163">
      <formula>MOD(COLUMN(),2)=1</formula>
    </cfRule>
  </conditionalFormatting>
  <conditionalFormatting sqref="D3:AY7">
    <cfRule type="expression" dxfId="134" priority="133">
      <formula>MOD(COLUMN(),2)=1</formula>
    </cfRule>
  </conditionalFormatting>
  <conditionalFormatting sqref="D3:AY7">
    <cfRule type="expression" dxfId="133" priority="132">
      <formula>MOD(COLUMN(),2)=1</formula>
    </cfRule>
  </conditionalFormatting>
  <conditionalFormatting sqref="D3:AY7">
    <cfRule type="expression" dxfId="132" priority="131">
      <formula>MOD(COLUMN(),2)=1</formula>
    </cfRule>
  </conditionalFormatting>
  <conditionalFormatting sqref="D3:AY7">
    <cfRule type="expression" dxfId="131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30" priority="129">
      <formula>MOD(COLUMN(),2)=1</formula>
    </cfRule>
  </conditionalFormatting>
  <conditionalFormatting sqref="D14:AY14">
    <cfRule type="expression" dxfId="129" priority="128">
      <formula>MOD(COLUMN(),2)=1</formula>
    </cfRule>
  </conditionalFormatting>
  <conditionalFormatting sqref="D14:AY14">
    <cfRule type="cellIs" dxfId="128" priority="127" operator="notEqual">
      <formula>$B$2</formula>
    </cfRule>
  </conditionalFormatting>
  <conditionalFormatting sqref="D14:AY14">
    <cfRule type="expression" dxfId="127" priority="126">
      <formula>MOD(COLUMN(),2)=1</formula>
    </cfRule>
  </conditionalFormatting>
  <conditionalFormatting sqref="D14:AY14">
    <cfRule type="cellIs" dxfId="126" priority="125" operator="notEqual">
      <formula>$B$2</formula>
    </cfRule>
  </conditionalFormatting>
  <conditionalFormatting sqref="D14:AY14">
    <cfRule type="expression" dxfId="125" priority="124">
      <formula>MOD(COLUMN(),2)=1</formula>
    </cfRule>
  </conditionalFormatting>
  <conditionalFormatting sqref="D14:AY14">
    <cfRule type="cellIs" dxfId="124" priority="123" operator="notEqual">
      <formula>$B$2</formula>
    </cfRule>
  </conditionalFormatting>
  <conditionalFormatting sqref="D14:AY14">
    <cfRule type="expression" dxfId="123" priority="122">
      <formula>MOD(COLUMN(),2)=1</formula>
    </cfRule>
  </conditionalFormatting>
  <conditionalFormatting sqref="D14:AY14">
    <cfRule type="cellIs" dxfId="122" priority="121" operator="notEqual">
      <formula>$B$2</formula>
    </cfRule>
  </conditionalFormatting>
  <conditionalFormatting sqref="D23:AY23">
    <cfRule type="expression" dxfId="121" priority="120">
      <formula>MOD(COLUMN(),2)=1</formula>
    </cfRule>
  </conditionalFormatting>
  <conditionalFormatting sqref="D23:AY23">
    <cfRule type="cellIs" dxfId="120" priority="119" operator="notEqual">
      <formula>$B$2</formula>
    </cfRule>
  </conditionalFormatting>
  <conditionalFormatting sqref="D23:AY23">
    <cfRule type="expression" dxfId="119" priority="118">
      <formula>MOD(COLUMN(),2)=1</formula>
    </cfRule>
  </conditionalFormatting>
  <conditionalFormatting sqref="D23:AY23">
    <cfRule type="cellIs" dxfId="118" priority="117" operator="notEqual">
      <formula>$B$2</formula>
    </cfRule>
  </conditionalFormatting>
  <conditionalFormatting sqref="D23:AY23">
    <cfRule type="expression" dxfId="117" priority="116">
      <formula>MOD(COLUMN(),2)=1</formula>
    </cfRule>
  </conditionalFormatting>
  <conditionalFormatting sqref="D23:AY23">
    <cfRule type="cellIs" dxfId="116" priority="115" operator="notEqual">
      <formula>$B$2</formula>
    </cfRule>
  </conditionalFormatting>
  <conditionalFormatting sqref="D23:AY23">
    <cfRule type="expression" dxfId="115" priority="114">
      <formula>MOD(COLUMN(),2)=1</formula>
    </cfRule>
  </conditionalFormatting>
  <conditionalFormatting sqref="D23:AY23">
    <cfRule type="cellIs" dxfId="114" priority="113" operator="notEqual">
      <formula>$B$2</formula>
    </cfRule>
  </conditionalFormatting>
  <conditionalFormatting sqref="D29:AY29">
    <cfRule type="expression" dxfId="113" priority="112">
      <formula>MOD(COLUMN(),2)=1</formula>
    </cfRule>
  </conditionalFormatting>
  <conditionalFormatting sqref="D29:AY29">
    <cfRule type="cellIs" dxfId="112" priority="111" operator="notEqual">
      <formula>$B$2</formula>
    </cfRule>
  </conditionalFormatting>
  <conditionalFormatting sqref="D29:AY29">
    <cfRule type="expression" dxfId="111" priority="110">
      <formula>MOD(COLUMN(),2)=1</formula>
    </cfRule>
  </conditionalFormatting>
  <conditionalFormatting sqref="D29:AY29">
    <cfRule type="cellIs" dxfId="110" priority="109" operator="notEqual">
      <formula>$B$2</formula>
    </cfRule>
  </conditionalFormatting>
  <conditionalFormatting sqref="D29:AY29">
    <cfRule type="expression" dxfId="109" priority="108">
      <formula>MOD(COLUMN(),2)=1</formula>
    </cfRule>
  </conditionalFormatting>
  <conditionalFormatting sqref="D29:AY29">
    <cfRule type="cellIs" dxfId="108" priority="107" operator="notEqual">
      <formula>$B$2</formula>
    </cfRule>
  </conditionalFormatting>
  <conditionalFormatting sqref="D29:AY29">
    <cfRule type="expression" dxfId="107" priority="106">
      <formula>MOD(COLUMN(),2)=1</formula>
    </cfRule>
  </conditionalFormatting>
  <conditionalFormatting sqref="D29:AY29">
    <cfRule type="cellIs" dxfId="106" priority="105" operator="notEqual">
      <formula>$B$2</formula>
    </cfRule>
  </conditionalFormatting>
  <conditionalFormatting sqref="D35:AY35">
    <cfRule type="expression" dxfId="105" priority="104">
      <formula>MOD(COLUMN(),2)=1</formula>
    </cfRule>
  </conditionalFormatting>
  <conditionalFormatting sqref="D35:AY35">
    <cfRule type="cellIs" dxfId="104" priority="103" operator="notEqual">
      <formula>$B$2</formula>
    </cfRule>
  </conditionalFormatting>
  <conditionalFormatting sqref="D35:AY35">
    <cfRule type="expression" dxfId="103" priority="102">
      <formula>MOD(COLUMN(),2)=1</formula>
    </cfRule>
  </conditionalFormatting>
  <conditionalFormatting sqref="D35:AY35">
    <cfRule type="cellIs" dxfId="102" priority="101" operator="notEqual">
      <formula>$B$2</formula>
    </cfRule>
  </conditionalFormatting>
  <conditionalFormatting sqref="D35:AY35">
    <cfRule type="expression" dxfId="101" priority="100">
      <formula>MOD(COLUMN(),2)=1</formula>
    </cfRule>
  </conditionalFormatting>
  <conditionalFormatting sqref="D35:AY35">
    <cfRule type="cellIs" dxfId="100" priority="99" operator="notEqual">
      <formula>$B$2</formula>
    </cfRule>
  </conditionalFormatting>
  <conditionalFormatting sqref="D35:AY35">
    <cfRule type="expression" dxfId="99" priority="98">
      <formula>MOD(COLUMN(),2)=1</formula>
    </cfRule>
  </conditionalFormatting>
  <conditionalFormatting sqref="D35:AY35">
    <cfRule type="cellIs" dxfId="98" priority="97" operator="notEqual">
      <formula>$B$2</formula>
    </cfRule>
  </conditionalFormatting>
  <conditionalFormatting sqref="D40:AY40">
    <cfRule type="expression" dxfId="97" priority="96">
      <formula>MOD(COLUMN(),2)=1</formula>
    </cfRule>
  </conditionalFormatting>
  <conditionalFormatting sqref="D40:AY40">
    <cfRule type="cellIs" dxfId="96" priority="95" operator="notEqual">
      <formula>$B$2</formula>
    </cfRule>
  </conditionalFormatting>
  <conditionalFormatting sqref="D40:AY40">
    <cfRule type="expression" dxfId="95" priority="94">
      <formula>MOD(COLUMN(),2)=1</formula>
    </cfRule>
  </conditionalFormatting>
  <conditionalFormatting sqref="D40:AY40">
    <cfRule type="cellIs" dxfId="94" priority="93" operator="notEqual">
      <formula>$B$2</formula>
    </cfRule>
  </conditionalFormatting>
  <conditionalFormatting sqref="D40:AY40">
    <cfRule type="expression" dxfId="93" priority="92">
      <formula>MOD(COLUMN(),2)=1</formula>
    </cfRule>
  </conditionalFormatting>
  <conditionalFormatting sqref="D40:AY40">
    <cfRule type="cellIs" dxfId="92" priority="91" operator="notEqual">
      <formula>$B$2</formula>
    </cfRule>
  </conditionalFormatting>
  <conditionalFormatting sqref="D40:AY40">
    <cfRule type="expression" dxfId="91" priority="90">
      <formula>MOD(COLUMN(),2)=1</formula>
    </cfRule>
  </conditionalFormatting>
  <conditionalFormatting sqref="D40:AY40">
    <cfRule type="cellIs" dxfId="90" priority="89" operator="notEqual">
      <formula>$B$2</formula>
    </cfRule>
  </conditionalFormatting>
  <conditionalFormatting sqref="D46:AY46">
    <cfRule type="expression" dxfId="89" priority="88">
      <formula>MOD(COLUMN(),2)=1</formula>
    </cfRule>
  </conditionalFormatting>
  <conditionalFormatting sqref="D46:AY46">
    <cfRule type="cellIs" dxfId="88" priority="87" operator="notEqual">
      <formula>$B$2</formula>
    </cfRule>
  </conditionalFormatting>
  <conditionalFormatting sqref="D46:AY46">
    <cfRule type="expression" dxfId="87" priority="86">
      <formula>MOD(COLUMN(),2)=1</formula>
    </cfRule>
  </conditionalFormatting>
  <conditionalFormatting sqref="D46:AY46">
    <cfRule type="cellIs" dxfId="86" priority="85" operator="notEqual">
      <formula>$B$2</formula>
    </cfRule>
  </conditionalFormatting>
  <conditionalFormatting sqref="D46:AY46">
    <cfRule type="expression" dxfId="85" priority="84">
      <formula>MOD(COLUMN(),2)=1</formula>
    </cfRule>
  </conditionalFormatting>
  <conditionalFormatting sqref="D46:AY46">
    <cfRule type="cellIs" dxfId="84" priority="83" operator="notEqual">
      <formula>$B$2</formula>
    </cfRule>
  </conditionalFormatting>
  <conditionalFormatting sqref="D46:AY46">
    <cfRule type="expression" dxfId="83" priority="82">
      <formula>MOD(COLUMN(),2)=1</formula>
    </cfRule>
  </conditionalFormatting>
  <conditionalFormatting sqref="D46:AY46">
    <cfRule type="cellIs" dxfId="82" priority="81" operator="notEqual">
      <formula>$B$2</formula>
    </cfRule>
  </conditionalFormatting>
  <conditionalFormatting sqref="D52:AY52">
    <cfRule type="expression" dxfId="81" priority="80">
      <formula>MOD(COLUMN(),2)=1</formula>
    </cfRule>
  </conditionalFormatting>
  <conditionalFormatting sqref="D52:AY52">
    <cfRule type="cellIs" dxfId="80" priority="79" operator="notEqual">
      <formula>$B$2</formula>
    </cfRule>
  </conditionalFormatting>
  <conditionalFormatting sqref="D52:AY52">
    <cfRule type="expression" dxfId="79" priority="78">
      <formula>MOD(COLUMN(),2)=1</formula>
    </cfRule>
  </conditionalFormatting>
  <conditionalFormatting sqref="D52:AY52">
    <cfRule type="cellIs" dxfId="78" priority="77" operator="notEqual">
      <formula>$B$2</formula>
    </cfRule>
  </conditionalFormatting>
  <conditionalFormatting sqref="D52:AY52">
    <cfRule type="expression" dxfId="77" priority="76">
      <formula>MOD(COLUMN(),2)=1</formula>
    </cfRule>
  </conditionalFormatting>
  <conditionalFormatting sqref="D52:AY52">
    <cfRule type="cellIs" dxfId="76" priority="75" operator="notEqual">
      <formula>$B$2</formula>
    </cfRule>
  </conditionalFormatting>
  <conditionalFormatting sqref="D52:AY52">
    <cfRule type="expression" dxfId="75" priority="74">
      <formula>MOD(COLUMN(),2)=1</formula>
    </cfRule>
  </conditionalFormatting>
  <conditionalFormatting sqref="D52:AY52">
    <cfRule type="cellIs" dxfId="74" priority="73" operator="notEqual">
      <formula>$B$2</formula>
    </cfRule>
  </conditionalFormatting>
  <conditionalFormatting sqref="D8:AY8">
    <cfRule type="expression" dxfId="73" priority="72">
      <formula>MOD(COLUMN(),2)=1</formula>
    </cfRule>
  </conditionalFormatting>
  <conditionalFormatting sqref="D8:AY8">
    <cfRule type="cellIs" dxfId="72" priority="71" operator="notEqual">
      <formula>$B$2</formula>
    </cfRule>
  </conditionalFormatting>
  <conditionalFormatting sqref="D8:AY8">
    <cfRule type="expression" dxfId="71" priority="70">
      <formula>MOD(COLUMN(),2)=1</formula>
    </cfRule>
  </conditionalFormatting>
  <conditionalFormatting sqref="D8:AY8">
    <cfRule type="cellIs" dxfId="70" priority="69" operator="notEqual">
      <formula>$B$2</formula>
    </cfRule>
  </conditionalFormatting>
  <conditionalFormatting sqref="D8:AY8">
    <cfRule type="expression" dxfId="69" priority="68">
      <formula>MOD(COLUMN(),2)=1</formula>
    </cfRule>
  </conditionalFormatting>
  <conditionalFormatting sqref="D8:AY8">
    <cfRule type="cellIs" dxfId="68" priority="67" operator="notEqual">
      <formula>$B$2</formula>
    </cfRule>
  </conditionalFormatting>
  <conditionalFormatting sqref="D8:AY8">
    <cfRule type="expression" dxfId="67" priority="66">
      <formula>MOD(COLUMN(),2)=1</formula>
    </cfRule>
  </conditionalFormatting>
  <conditionalFormatting sqref="D8:AY8">
    <cfRule type="cellIs" dxfId="66" priority="65" operator="notEqual">
      <formula>$B$2</formula>
    </cfRule>
  </conditionalFormatting>
  <conditionalFormatting sqref="D9:D11">
    <cfRule type="expression" dxfId="65" priority="64">
      <formula>MOD(COLUMN(),2)=1</formula>
    </cfRule>
  </conditionalFormatting>
  <conditionalFormatting sqref="D9:D11">
    <cfRule type="expression" dxfId="64" priority="63">
      <formula>MOD(COLUMN(),2)=1</formula>
    </cfRule>
  </conditionalFormatting>
  <conditionalFormatting sqref="D9:D11">
    <cfRule type="expression" dxfId="63" priority="62">
      <formula>MOD(COLUMN(),2)=1</formula>
    </cfRule>
  </conditionalFormatting>
  <conditionalFormatting sqref="D9:D11">
    <cfRule type="expression" dxfId="62" priority="61">
      <formula>MOD(COLUMN(),2)=1</formula>
    </cfRule>
  </conditionalFormatting>
  <conditionalFormatting sqref="D15:D17">
    <cfRule type="expression" dxfId="61" priority="60">
      <formula>MOD(COLUMN(),2)=1</formula>
    </cfRule>
  </conditionalFormatting>
  <conditionalFormatting sqref="D15:D17">
    <cfRule type="expression" dxfId="60" priority="59">
      <formula>MOD(COLUMN(),2)=1</formula>
    </cfRule>
  </conditionalFormatting>
  <conditionalFormatting sqref="D15:D17">
    <cfRule type="expression" dxfId="59" priority="58">
      <formula>MOD(COLUMN(),2)=1</formula>
    </cfRule>
  </conditionalFormatting>
  <conditionalFormatting sqref="D15:D17">
    <cfRule type="expression" dxfId="58" priority="57">
      <formula>MOD(COLUMN(),2)=1</formula>
    </cfRule>
  </conditionalFormatting>
  <conditionalFormatting sqref="D24:D26">
    <cfRule type="expression" dxfId="57" priority="56">
      <formula>MOD(COLUMN(),2)=1</formula>
    </cfRule>
  </conditionalFormatting>
  <conditionalFormatting sqref="D24:D26">
    <cfRule type="expression" dxfId="56" priority="55">
      <formula>MOD(COLUMN(),2)=1</formula>
    </cfRule>
  </conditionalFormatting>
  <conditionalFormatting sqref="D24:D26">
    <cfRule type="expression" dxfId="55" priority="54">
      <formula>MOD(COLUMN(),2)=1</formula>
    </cfRule>
  </conditionalFormatting>
  <conditionalFormatting sqref="D24:D26">
    <cfRule type="expression" dxfId="54" priority="53">
      <formula>MOD(COLUMN(),2)=1</formula>
    </cfRule>
  </conditionalFormatting>
  <conditionalFormatting sqref="D30:D32">
    <cfRule type="expression" dxfId="53" priority="52">
      <formula>MOD(COLUMN(),2)=1</formula>
    </cfRule>
  </conditionalFormatting>
  <conditionalFormatting sqref="D30:D32">
    <cfRule type="expression" dxfId="52" priority="51">
      <formula>MOD(COLUMN(),2)=1</formula>
    </cfRule>
  </conditionalFormatting>
  <conditionalFormatting sqref="D30:D32">
    <cfRule type="expression" dxfId="51" priority="50">
      <formula>MOD(COLUMN(),2)=1</formula>
    </cfRule>
  </conditionalFormatting>
  <conditionalFormatting sqref="D30:D32">
    <cfRule type="expression" dxfId="50" priority="49">
      <formula>MOD(COLUMN(),2)=1</formula>
    </cfRule>
  </conditionalFormatting>
  <conditionalFormatting sqref="D36:D38">
    <cfRule type="expression" dxfId="49" priority="48">
      <formula>MOD(COLUMN(),2)=1</formula>
    </cfRule>
  </conditionalFormatting>
  <conditionalFormatting sqref="D36:D38">
    <cfRule type="expression" dxfId="48" priority="47">
      <formula>MOD(COLUMN(),2)=1</formula>
    </cfRule>
  </conditionalFormatting>
  <conditionalFormatting sqref="D36:D38">
    <cfRule type="expression" dxfId="47" priority="46">
      <formula>MOD(COLUMN(),2)=1</formula>
    </cfRule>
  </conditionalFormatting>
  <conditionalFormatting sqref="D36:D38">
    <cfRule type="expression" dxfId="46" priority="45">
      <formula>MOD(COLUMN(),2)=1</formula>
    </cfRule>
  </conditionalFormatting>
  <conditionalFormatting sqref="D41:D43">
    <cfRule type="expression" dxfId="45" priority="44">
      <formula>MOD(COLUMN(),2)=1</formula>
    </cfRule>
  </conditionalFormatting>
  <conditionalFormatting sqref="D41:D43">
    <cfRule type="expression" dxfId="44" priority="43">
      <formula>MOD(COLUMN(),2)=1</formula>
    </cfRule>
  </conditionalFormatting>
  <conditionalFormatting sqref="D41:D43">
    <cfRule type="expression" dxfId="43" priority="42">
      <formula>MOD(COLUMN(),2)=1</formula>
    </cfRule>
  </conditionalFormatting>
  <conditionalFormatting sqref="D41:D43">
    <cfRule type="expression" dxfId="42" priority="41">
      <formula>MOD(COLUMN(),2)=1</formula>
    </cfRule>
  </conditionalFormatting>
  <conditionalFormatting sqref="D47:D49">
    <cfRule type="expression" dxfId="41" priority="40">
      <formula>MOD(COLUMN(),2)=1</formula>
    </cfRule>
  </conditionalFormatting>
  <conditionalFormatting sqref="D47:D49">
    <cfRule type="expression" dxfId="40" priority="39">
      <formula>MOD(COLUMN(),2)=1</formula>
    </cfRule>
  </conditionalFormatting>
  <conditionalFormatting sqref="D47:D49">
    <cfRule type="expression" dxfId="39" priority="38">
      <formula>MOD(COLUMN(),2)=1</formula>
    </cfRule>
  </conditionalFormatting>
  <conditionalFormatting sqref="D47:D49">
    <cfRule type="expression" dxfId="38" priority="37">
      <formula>MOD(COLUMN(),2)=1</formula>
    </cfRule>
  </conditionalFormatting>
  <conditionalFormatting sqref="E9:E13">
    <cfRule type="expression" dxfId="37" priority="36">
      <formula>MOD(COLUMN(),2)=1</formula>
    </cfRule>
  </conditionalFormatting>
  <conditionalFormatting sqref="E9:E13">
    <cfRule type="expression" dxfId="36" priority="35">
      <formula>MOD(COLUMN(),2)=1</formula>
    </cfRule>
  </conditionalFormatting>
  <conditionalFormatting sqref="E9:E13">
    <cfRule type="expression" dxfId="35" priority="34">
      <formula>MOD(COLUMN(),2)=1</formula>
    </cfRule>
  </conditionalFormatting>
  <conditionalFormatting sqref="E9:E13">
    <cfRule type="expression" dxfId="34" priority="33">
      <formula>MOD(COLUMN(),2)=1</formula>
    </cfRule>
  </conditionalFormatting>
  <conditionalFormatting sqref="E9:AY11">
    <cfRule type="expression" dxfId="33" priority="32">
      <formula>MOD(COLUMN(),2)=1</formula>
    </cfRule>
  </conditionalFormatting>
  <conditionalFormatting sqref="E9:AY11">
    <cfRule type="expression" dxfId="32" priority="31">
      <formula>MOD(COLUMN(),2)=1</formula>
    </cfRule>
  </conditionalFormatting>
  <conditionalFormatting sqref="E9:AY11">
    <cfRule type="expression" dxfId="31" priority="30">
      <formula>MOD(COLUMN(),2)=1</formula>
    </cfRule>
  </conditionalFormatting>
  <conditionalFormatting sqref="E9:AY11">
    <cfRule type="expression" dxfId="30" priority="29">
      <formula>MOD(COLUMN(),2)=1</formula>
    </cfRule>
  </conditionalFormatting>
  <conditionalFormatting sqref="E15:AY17">
    <cfRule type="expression" dxfId="29" priority="28">
      <formula>MOD(COLUMN(),2)=1</formula>
    </cfRule>
  </conditionalFormatting>
  <conditionalFormatting sqref="E15:AY17">
    <cfRule type="expression" dxfId="28" priority="27">
      <formula>MOD(COLUMN(),2)=1</formula>
    </cfRule>
  </conditionalFormatting>
  <conditionalFormatting sqref="E15:AY17">
    <cfRule type="expression" dxfId="27" priority="26">
      <formula>MOD(COLUMN(),2)=1</formula>
    </cfRule>
  </conditionalFormatting>
  <conditionalFormatting sqref="E15:AY17">
    <cfRule type="expression" dxfId="26" priority="25">
      <formula>MOD(COLUMN(),2)=1</formula>
    </cfRule>
  </conditionalFormatting>
  <conditionalFormatting sqref="E24:AY26">
    <cfRule type="expression" dxfId="25" priority="24">
      <formula>MOD(COLUMN(),2)=1</formula>
    </cfRule>
  </conditionalFormatting>
  <conditionalFormatting sqref="E24:AY26">
    <cfRule type="expression" dxfId="24" priority="23">
      <formula>MOD(COLUMN(),2)=1</formula>
    </cfRule>
  </conditionalFormatting>
  <conditionalFormatting sqref="E24:AY26">
    <cfRule type="expression" dxfId="23" priority="22">
      <formula>MOD(COLUMN(),2)=1</formula>
    </cfRule>
  </conditionalFormatting>
  <conditionalFormatting sqref="E24:AY26">
    <cfRule type="expression" dxfId="22" priority="21">
      <formula>MOD(COLUMN(),2)=1</formula>
    </cfRule>
  </conditionalFormatting>
  <conditionalFormatting sqref="E30:AY32">
    <cfRule type="expression" dxfId="21" priority="20">
      <formula>MOD(COLUMN(),2)=1</formula>
    </cfRule>
  </conditionalFormatting>
  <conditionalFormatting sqref="E30:AY32">
    <cfRule type="expression" dxfId="20" priority="19">
      <formula>MOD(COLUMN(),2)=1</formula>
    </cfRule>
  </conditionalFormatting>
  <conditionalFormatting sqref="E30:AY32">
    <cfRule type="expression" dxfId="19" priority="18">
      <formula>MOD(COLUMN(),2)=1</formula>
    </cfRule>
  </conditionalFormatting>
  <conditionalFormatting sqref="E30:AY32">
    <cfRule type="expression" dxfId="18" priority="17">
      <formula>MOD(COLUMN(),2)=1</formula>
    </cfRule>
  </conditionalFormatting>
  <conditionalFormatting sqref="E36:AY38">
    <cfRule type="expression" dxfId="17" priority="16">
      <formula>MOD(COLUMN(),2)=1</formula>
    </cfRule>
  </conditionalFormatting>
  <conditionalFormatting sqref="E36:AY38">
    <cfRule type="expression" dxfId="16" priority="15">
      <formula>MOD(COLUMN(),2)=1</formula>
    </cfRule>
  </conditionalFormatting>
  <conditionalFormatting sqref="E36:AY38">
    <cfRule type="expression" dxfId="15" priority="14">
      <formula>MOD(COLUMN(),2)=1</formula>
    </cfRule>
  </conditionalFormatting>
  <conditionalFormatting sqref="E36:AY38">
    <cfRule type="expression" dxfId="14" priority="13">
      <formula>MOD(COLUMN(),2)=1</formula>
    </cfRule>
  </conditionalFormatting>
  <conditionalFormatting sqref="E41:AY43">
    <cfRule type="expression" dxfId="13" priority="12">
      <formula>MOD(COLUMN(),2)=1</formula>
    </cfRule>
  </conditionalFormatting>
  <conditionalFormatting sqref="E41:AY43">
    <cfRule type="expression" dxfId="12" priority="11">
      <formula>MOD(COLUMN(),2)=1</formula>
    </cfRule>
  </conditionalFormatting>
  <conditionalFormatting sqref="E41:AY43">
    <cfRule type="expression" dxfId="11" priority="10">
      <formula>MOD(COLUMN(),2)=1</formula>
    </cfRule>
  </conditionalFormatting>
  <conditionalFormatting sqref="E41:AY43">
    <cfRule type="expression" dxfId="10" priority="9">
      <formula>MOD(COLUMN(),2)=1</formula>
    </cfRule>
  </conditionalFormatting>
  <conditionalFormatting sqref="D47:D49">
    <cfRule type="expression" dxfId="9" priority="8">
      <formula>MOD(COLUMN(),2)=1</formula>
    </cfRule>
  </conditionalFormatting>
  <conditionalFormatting sqref="D47:D49">
    <cfRule type="expression" dxfId="8" priority="7">
      <formula>MOD(COLUMN(),2)=1</formula>
    </cfRule>
  </conditionalFormatting>
  <conditionalFormatting sqref="D47:D49">
    <cfRule type="expression" dxfId="7" priority="6">
      <formula>MOD(COLUMN(),2)=1</formula>
    </cfRule>
  </conditionalFormatting>
  <conditionalFormatting sqref="D47:D49">
    <cfRule type="expression" dxfId="6" priority="5">
      <formula>MOD(COLUMN(),2)=1</formula>
    </cfRule>
  </conditionalFormatting>
  <conditionalFormatting sqref="E47:AY49">
    <cfRule type="expression" dxfId="5" priority="4">
      <formula>MOD(COLUMN(),2)=1</formula>
    </cfRule>
  </conditionalFormatting>
  <conditionalFormatting sqref="E47:AY49">
    <cfRule type="expression" dxfId="4" priority="3">
      <formula>MOD(COLUMN(),2)=1</formula>
    </cfRule>
  </conditionalFormatting>
  <conditionalFormatting sqref="E47:AY49">
    <cfRule type="expression" dxfId="3" priority="2">
      <formula>MOD(COLUMN(),2)=1</formula>
    </cfRule>
  </conditionalFormatting>
  <conditionalFormatting sqref="E47:AY49">
    <cfRule type="expression" dxfId="2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98">
        <f>menu!E13</f>
        <v>0</v>
      </c>
      <c r="D1" s="698"/>
      <c r="E1" s="698"/>
      <c r="F1" s="698"/>
      <c r="G1" s="699" t="s">
        <v>246</v>
      </c>
      <c r="H1" s="699"/>
      <c r="I1" s="700" t="str">
        <f>menu!D15</f>
        <v>Ganjil</v>
      </c>
      <c r="J1" s="700"/>
      <c r="K1" s="701" t="s">
        <v>247</v>
      </c>
      <c r="L1" s="702"/>
      <c r="M1" s="46">
        <f>menu!D19</f>
        <v>0</v>
      </c>
      <c r="N1" s="133"/>
    </row>
    <row r="2" spans="1:122" ht="16.5">
      <c r="A2" s="131"/>
      <c r="B2" s="132" t="s">
        <v>248</v>
      </c>
      <c r="C2" s="703" t="str">
        <f>menu!D14</f>
        <v>7a</v>
      </c>
      <c r="D2" s="703"/>
      <c r="E2" s="134"/>
      <c r="F2" s="699" t="s">
        <v>249</v>
      </c>
      <c r="G2" s="699"/>
      <c r="H2" s="699"/>
      <c r="I2" s="704" t="str">
        <f>menu!D16</f>
        <v>2017/2018</v>
      </c>
      <c r="J2" s="704"/>
      <c r="K2" s="701" t="s">
        <v>250</v>
      </c>
      <c r="L2" s="701"/>
      <c r="M2" s="705"/>
      <c r="N2" s="705"/>
    </row>
    <row r="3" spans="1:122">
      <c r="A3" s="131"/>
      <c r="B3" s="190" t="s">
        <v>251</v>
      </c>
      <c r="C3" s="697" t="s">
        <v>252</v>
      </c>
      <c r="D3" s="697"/>
      <c r="E3" s="697"/>
      <c r="F3" s="697"/>
      <c r="G3" s="697"/>
      <c r="H3" s="697"/>
      <c r="I3" s="697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73" t="s">
        <v>253</v>
      </c>
      <c r="D5" s="674"/>
      <c r="E5" s="674"/>
      <c r="F5" s="674"/>
      <c r="G5" s="674"/>
      <c r="H5" s="674"/>
      <c r="I5" s="674"/>
      <c r="J5" s="675"/>
      <c r="K5" s="138" t="s">
        <v>254</v>
      </c>
      <c r="L5" s="138"/>
      <c r="M5" s="138"/>
      <c r="N5" s="139"/>
      <c r="O5" s="673" t="s">
        <v>253</v>
      </c>
      <c r="P5" s="674"/>
      <c r="Q5" s="674"/>
      <c r="R5" s="674"/>
      <c r="S5" s="674"/>
      <c r="T5" s="674"/>
      <c r="U5" s="674"/>
      <c r="V5" s="675"/>
      <c r="W5" s="138" t="s">
        <v>254</v>
      </c>
      <c r="X5" s="138"/>
      <c r="Y5" s="138"/>
      <c r="Z5" s="139"/>
      <c r="AA5" s="673" t="s">
        <v>253</v>
      </c>
      <c r="AB5" s="674"/>
      <c r="AC5" s="674"/>
      <c r="AD5" s="674"/>
      <c r="AE5" s="674"/>
      <c r="AF5" s="674"/>
      <c r="AG5" s="674"/>
      <c r="AH5" s="675"/>
      <c r="AI5" s="138" t="s">
        <v>254</v>
      </c>
      <c r="AJ5" s="138"/>
      <c r="AK5" s="138"/>
      <c r="AL5" s="139"/>
      <c r="AM5" s="673" t="s">
        <v>253</v>
      </c>
      <c r="AN5" s="674"/>
      <c r="AO5" s="674"/>
      <c r="AP5" s="674"/>
      <c r="AQ5" s="674"/>
      <c r="AR5" s="674"/>
      <c r="AS5" s="674"/>
      <c r="AT5" s="675"/>
      <c r="AU5" s="138" t="s">
        <v>254</v>
      </c>
      <c r="AV5" s="138"/>
      <c r="AW5" s="138"/>
      <c r="AX5" s="139"/>
      <c r="AY5" s="673" t="s">
        <v>253</v>
      </c>
      <c r="AZ5" s="674"/>
      <c r="BA5" s="674"/>
      <c r="BB5" s="674"/>
      <c r="BC5" s="674"/>
      <c r="BD5" s="674"/>
      <c r="BE5" s="674"/>
      <c r="BF5" s="675"/>
      <c r="BG5" s="138" t="s">
        <v>254</v>
      </c>
      <c r="BH5" s="138"/>
      <c r="BI5" s="138"/>
      <c r="BJ5" s="139"/>
      <c r="BK5" s="673" t="s">
        <v>253</v>
      </c>
      <c r="BL5" s="674"/>
      <c r="BM5" s="674"/>
      <c r="BN5" s="674"/>
      <c r="BO5" s="674"/>
      <c r="BP5" s="674"/>
      <c r="BQ5" s="674"/>
      <c r="BR5" s="675"/>
      <c r="BS5" s="138" t="s">
        <v>254</v>
      </c>
      <c r="BT5" s="138"/>
      <c r="BU5" s="138"/>
      <c r="BV5" s="139"/>
      <c r="BW5" s="673" t="s">
        <v>253</v>
      </c>
      <c r="BX5" s="674"/>
      <c r="BY5" s="674"/>
      <c r="BZ5" s="674"/>
      <c r="CA5" s="674"/>
      <c r="CB5" s="674"/>
      <c r="CC5" s="674"/>
      <c r="CD5" s="675"/>
      <c r="CE5" s="138" t="s">
        <v>254</v>
      </c>
      <c r="CF5" s="138"/>
      <c r="CG5" s="138"/>
      <c r="CH5" s="139"/>
      <c r="CI5" s="673" t="s">
        <v>253</v>
      </c>
      <c r="CJ5" s="674"/>
      <c r="CK5" s="674"/>
      <c r="CL5" s="674"/>
      <c r="CM5" s="674"/>
      <c r="CN5" s="674"/>
      <c r="CO5" s="674"/>
      <c r="CP5" s="675"/>
      <c r="CQ5" s="138" t="s">
        <v>254</v>
      </c>
      <c r="CR5" s="138"/>
      <c r="CS5" s="138"/>
      <c r="CT5" s="139"/>
      <c r="CU5" s="673" t="s">
        <v>253</v>
      </c>
      <c r="CV5" s="674"/>
      <c r="CW5" s="674"/>
      <c r="CX5" s="674"/>
      <c r="CY5" s="674"/>
      <c r="CZ5" s="674"/>
      <c r="DA5" s="674"/>
      <c r="DB5" s="675"/>
      <c r="DC5" s="138" t="s">
        <v>254</v>
      </c>
      <c r="DD5" s="138"/>
      <c r="DE5" s="138"/>
      <c r="DF5" s="139"/>
      <c r="DG5" s="673" t="s">
        <v>253</v>
      </c>
      <c r="DH5" s="674"/>
      <c r="DI5" s="674"/>
      <c r="DJ5" s="674"/>
      <c r="DK5" s="674"/>
      <c r="DL5" s="674"/>
      <c r="DM5" s="674"/>
      <c r="DN5" s="675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76"/>
      <c r="D6" s="677"/>
      <c r="E6" s="677"/>
      <c r="F6" s="677"/>
      <c r="G6" s="677"/>
      <c r="H6" s="677"/>
      <c r="I6" s="677"/>
      <c r="J6" s="678"/>
      <c r="K6" s="141" t="s">
        <v>255</v>
      </c>
      <c r="L6" s="78"/>
      <c r="M6" s="78"/>
      <c r="N6" s="79"/>
      <c r="O6" s="676"/>
      <c r="P6" s="677"/>
      <c r="Q6" s="677"/>
      <c r="R6" s="677"/>
      <c r="S6" s="677"/>
      <c r="T6" s="677"/>
      <c r="U6" s="677"/>
      <c r="V6" s="678"/>
      <c r="W6" s="141" t="s">
        <v>255</v>
      </c>
      <c r="X6" s="78"/>
      <c r="Y6" s="78"/>
      <c r="Z6" s="79"/>
      <c r="AA6" s="676"/>
      <c r="AB6" s="677"/>
      <c r="AC6" s="677"/>
      <c r="AD6" s="677"/>
      <c r="AE6" s="677"/>
      <c r="AF6" s="677"/>
      <c r="AG6" s="677"/>
      <c r="AH6" s="678"/>
      <c r="AI6" s="141" t="s">
        <v>255</v>
      </c>
      <c r="AJ6" s="78"/>
      <c r="AK6" s="78"/>
      <c r="AL6" s="79"/>
      <c r="AM6" s="676"/>
      <c r="AN6" s="677"/>
      <c r="AO6" s="677"/>
      <c r="AP6" s="677"/>
      <c r="AQ6" s="677"/>
      <c r="AR6" s="677"/>
      <c r="AS6" s="677"/>
      <c r="AT6" s="678"/>
      <c r="AU6" s="141" t="s">
        <v>255</v>
      </c>
      <c r="AV6" s="78"/>
      <c r="AW6" s="78"/>
      <c r="AX6" s="79"/>
      <c r="AY6" s="676"/>
      <c r="AZ6" s="677"/>
      <c r="BA6" s="677"/>
      <c r="BB6" s="677"/>
      <c r="BC6" s="677"/>
      <c r="BD6" s="677"/>
      <c r="BE6" s="677"/>
      <c r="BF6" s="678"/>
      <c r="BG6" s="141" t="s">
        <v>255</v>
      </c>
      <c r="BH6" s="78"/>
      <c r="BI6" s="78"/>
      <c r="BJ6" s="79"/>
      <c r="BK6" s="676"/>
      <c r="BL6" s="677"/>
      <c r="BM6" s="677"/>
      <c r="BN6" s="677"/>
      <c r="BO6" s="677"/>
      <c r="BP6" s="677"/>
      <c r="BQ6" s="677"/>
      <c r="BR6" s="678"/>
      <c r="BS6" s="141" t="s">
        <v>255</v>
      </c>
      <c r="BT6" s="78"/>
      <c r="BU6" s="78"/>
      <c r="BV6" s="79"/>
      <c r="BW6" s="676"/>
      <c r="BX6" s="677"/>
      <c r="BY6" s="677"/>
      <c r="BZ6" s="677"/>
      <c r="CA6" s="677"/>
      <c r="CB6" s="677"/>
      <c r="CC6" s="677"/>
      <c r="CD6" s="678"/>
      <c r="CE6" s="141" t="s">
        <v>255</v>
      </c>
      <c r="CF6" s="78"/>
      <c r="CG6" s="78"/>
      <c r="CH6" s="79"/>
      <c r="CI6" s="676"/>
      <c r="CJ6" s="677"/>
      <c r="CK6" s="677"/>
      <c r="CL6" s="677"/>
      <c r="CM6" s="677"/>
      <c r="CN6" s="677"/>
      <c r="CO6" s="677"/>
      <c r="CP6" s="678"/>
      <c r="CQ6" s="141" t="s">
        <v>255</v>
      </c>
      <c r="CR6" s="78"/>
      <c r="CS6" s="78"/>
      <c r="CT6" s="79"/>
      <c r="CU6" s="676"/>
      <c r="CV6" s="677"/>
      <c r="CW6" s="677"/>
      <c r="CX6" s="677"/>
      <c r="CY6" s="677"/>
      <c r="CZ6" s="677"/>
      <c r="DA6" s="677"/>
      <c r="DB6" s="678"/>
      <c r="DC6" s="141" t="s">
        <v>255</v>
      </c>
      <c r="DD6" s="78"/>
      <c r="DE6" s="78"/>
      <c r="DF6" s="79"/>
      <c r="DG6" s="676"/>
      <c r="DH6" s="677"/>
      <c r="DI6" s="677"/>
      <c r="DJ6" s="677"/>
      <c r="DK6" s="677"/>
      <c r="DL6" s="677"/>
      <c r="DM6" s="677"/>
      <c r="DN6" s="678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79"/>
      <c r="D7" s="680"/>
      <c r="E7" s="680"/>
      <c r="F7" s="680"/>
      <c r="G7" s="680"/>
      <c r="H7" s="680"/>
      <c r="I7" s="680"/>
      <c r="J7" s="681"/>
      <c r="K7" s="141" t="s">
        <v>256</v>
      </c>
      <c r="L7" s="80"/>
      <c r="M7" s="80"/>
      <c r="N7" s="81"/>
      <c r="O7" s="679"/>
      <c r="P7" s="680"/>
      <c r="Q7" s="680"/>
      <c r="R7" s="680"/>
      <c r="S7" s="680"/>
      <c r="T7" s="680"/>
      <c r="U7" s="680"/>
      <c r="V7" s="681"/>
      <c r="W7" s="141" t="s">
        <v>256</v>
      </c>
      <c r="X7" s="80"/>
      <c r="Y7" s="80"/>
      <c r="Z7" s="81"/>
      <c r="AA7" s="679"/>
      <c r="AB7" s="680"/>
      <c r="AC7" s="680"/>
      <c r="AD7" s="680"/>
      <c r="AE7" s="680"/>
      <c r="AF7" s="680"/>
      <c r="AG7" s="680"/>
      <c r="AH7" s="681"/>
      <c r="AI7" s="141" t="s">
        <v>256</v>
      </c>
      <c r="AJ7" s="80"/>
      <c r="AK7" s="80"/>
      <c r="AL7" s="81"/>
      <c r="AM7" s="679"/>
      <c r="AN7" s="680"/>
      <c r="AO7" s="680"/>
      <c r="AP7" s="680"/>
      <c r="AQ7" s="680"/>
      <c r="AR7" s="680"/>
      <c r="AS7" s="680"/>
      <c r="AT7" s="681"/>
      <c r="AU7" s="141" t="s">
        <v>256</v>
      </c>
      <c r="AV7" s="80"/>
      <c r="AW7" s="80"/>
      <c r="AX7" s="81"/>
      <c r="AY7" s="679"/>
      <c r="AZ7" s="680"/>
      <c r="BA7" s="680"/>
      <c r="BB7" s="680"/>
      <c r="BC7" s="680"/>
      <c r="BD7" s="680"/>
      <c r="BE7" s="680"/>
      <c r="BF7" s="681"/>
      <c r="BG7" s="141" t="s">
        <v>256</v>
      </c>
      <c r="BH7" s="80"/>
      <c r="BI7" s="80"/>
      <c r="BJ7" s="81"/>
      <c r="BK7" s="679"/>
      <c r="BL7" s="680"/>
      <c r="BM7" s="680"/>
      <c r="BN7" s="680"/>
      <c r="BO7" s="680"/>
      <c r="BP7" s="680"/>
      <c r="BQ7" s="680"/>
      <c r="BR7" s="681"/>
      <c r="BS7" s="141" t="s">
        <v>256</v>
      </c>
      <c r="BT7" s="80"/>
      <c r="BU7" s="80"/>
      <c r="BV7" s="81"/>
      <c r="BW7" s="679"/>
      <c r="BX7" s="680"/>
      <c r="BY7" s="680"/>
      <c r="BZ7" s="680"/>
      <c r="CA7" s="680"/>
      <c r="CB7" s="680"/>
      <c r="CC7" s="680"/>
      <c r="CD7" s="681"/>
      <c r="CE7" s="141" t="s">
        <v>256</v>
      </c>
      <c r="CF7" s="80"/>
      <c r="CG7" s="80"/>
      <c r="CH7" s="81"/>
      <c r="CI7" s="679"/>
      <c r="CJ7" s="680"/>
      <c r="CK7" s="680"/>
      <c r="CL7" s="680"/>
      <c r="CM7" s="680"/>
      <c r="CN7" s="680"/>
      <c r="CO7" s="680"/>
      <c r="CP7" s="681"/>
      <c r="CQ7" s="141" t="s">
        <v>256</v>
      </c>
      <c r="CR7" s="80"/>
      <c r="CS7" s="80"/>
      <c r="CT7" s="81"/>
      <c r="CU7" s="679"/>
      <c r="CV7" s="680"/>
      <c r="CW7" s="680"/>
      <c r="CX7" s="680"/>
      <c r="CY7" s="680"/>
      <c r="CZ7" s="680"/>
      <c r="DA7" s="680"/>
      <c r="DB7" s="681"/>
      <c r="DC7" s="141" t="s">
        <v>256</v>
      </c>
      <c r="DD7" s="80"/>
      <c r="DE7" s="80"/>
      <c r="DF7" s="81"/>
      <c r="DG7" s="679"/>
      <c r="DH7" s="680"/>
      <c r="DI7" s="680"/>
      <c r="DJ7" s="680"/>
      <c r="DK7" s="680"/>
      <c r="DL7" s="680"/>
      <c r="DM7" s="680"/>
      <c r="DN7" s="681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76"/>
      <c r="D8" s="677"/>
      <c r="E8" s="677"/>
      <c r="F8" s="677"/>
      <c r="G8" s="677"/>
      <c r="H8" s="677"/>
      <c r="I8" s="677"/>
      <c r="J8" s="678"/>
      <c r="K8" s="141" t="s">
        <v>257</v>
      </c>
      <c r="L8" s="78"/>
      <c r="M8" s="78"/>
      <c r="N8" s="79"/>
      <c r="O8" s="676"/>
      <c r="P8" s="677"/>
      <c r="Q8" s="677"/>
      <c r="R8" s="677"/>
      <c r="S8" s="677"/>
      <c r="T8" s="677"/>
      <c r="U8" s="677"/>
      <c r="V8" s="678"/>
      <c r="W8" s="141" t="s">
        <v>257</v>
      </c>
      <c r="X8" s="78"/>
      <c r="Y8" s="78"/>
      <c r="Z8" s="79"/>
      <c r="AA8" s="676"/>
      <c r="AB8" s="677"/>
      <c r="AC8" s="677"/>
      <c r="AD8" s="677"/>
      <c r="AE8" s="677"/>
      <c r="AF8" s="677"/>
      <c r="AG8" s="677"/>
      <c r="AH8" s="678"/>
      <c r="AI8" s="141" t="s">
        <v>257</v>
      </c>
      <c r="AJ8" s="78"/>
      <c r="AK8" s="78"/>
      <c r="AL8" s="79"/>
      <c r="AM8" s="676"/>
      <c r="AN8" s="677"/>
      <c r="AO8" s="677"/>
      <c r="AP8" s="677"/>
      <c r="AQ8" s="677"/>
      <c r="AR8" s="677"/>
      <c r="AS8" s="677"/>
      <c r="AT8" s="678"/>
      <c r="AU8" s="141" t="s">
        <v>257</v>
      </c>
      <c r="AV8" s="78"/>
      <c r="AW8" s="78"/>
      <c r="AX8" s="79"/>
      <c r="AY8" s="676"/>
      <c r="AZ8" s="677"/>
      <c r="BA8" s="677"/>
      <c r="BB8" s="677"/>
      <c r="BC8" s="677"/>
      <c r="BD8" s="677"/>
      <c r="BE8" s="677"/>
      <c r="BF8" s="678"/>
      <c r="BG8" s="141" t="s">
        <v>257</v>
      </c>
      <c r="BH8" s="78"/>
      <c r="BI8" s="78"/>
      <c r="BJ8" s="79"/>
      <c r="BK8" s="676"/>
      <c r="BL8" s="677"/>
      <c r="BM8" s="677"/>
      <c r="BN8" s="677"/>
      <c r="BO8" s="677"/>
      <c r="BP8" s="677"/>
      <c r="BQ8" s="677"/>
      <c r="BR8" s="678"/>
      <c r="BS8" s="141" t="s">
        <v>257</v>
      </c>
      <c r="BT8" s="78"/>
      <c r="BU8" s="78"/>
      <c r="BV8" s="79"/>
      <c r="BW8" s="676"/>
      <c r="BX8" s="677"/>
      <c r="BY8" s="677"/>
      <c r="BZ8" s="677"/>
      <c r="CA8" s="677"/>
      <c r="CB8" s="677"/>
      <c r="CC8" s="677"/>
      <c r="CD8" s="678"/>
      <c r="CE8" s="141" t="s">
        <v>257</v>
      </c>
      <c r="CF8" s="78"/>
      <c r="CG8" s="78"/>
      <c r="CH8" s="79"/>
      <c r="CI8" s="676"/>
      <c r="CJ8" s="677"/>
      <c r="CK8" s="677"/>
      <c r="CL8" s="677"/>
      <c r="CM8" s="677"/>
      <c r="CN8" s="677"/>
      <c r="CO8" s="677"/>
      <c r="CP8" s="678"/>
      <c r="CQ8" s="141" t="s">
        <v>257</v>
      </c>
      <c r="CR8" s="78"/>
      <c r="CS8" s="78"/>
      <c r="CT8" s="79"/>
      <c r="CU8" s="676"/>
      <c r="CV8" s="677"/>
      <c r="CW8" s="677"/>
      <c r="CX8" s="677"/>
      <c r="CY8" s="677"/>
      <c r="CZ8" s="677"/>
      <c r="DA8" s="677"/>
      <c r="DB8" s="678"/>
      <c r="DC8" s="141" t="s">
        <v>257</v>
      </c>
      <c r="DD8" s="78"/>
      <c r="DE8" s="78"/>
      <c r="DF8" s="79"/>
      <c r="DG8" s="676"/>
      <c r="DH8" s="677"/>
      <c r="DI8" s="677"/>
      <c r="DJ8" s="677"/>
      <c r="DK8" s="677"/>
      <c r="DL8" s="677"/>
      <c r="DM8" s="677"/>
      <c r="DN8" s="678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79"/>
      <c r="D9" s="680"/>
      <c r="E9" s="680"/>
      <c r="F9" s="680"/>
      <c r="G9" s="680"/>
      <c r="H9" s="680"/>
      <c r="I9" s="680"/>
      <c r="J9" s="681"/>
      <c r="K9" s="142" t="s">
        <v>258</v>
      </c>
      <c r="L9" s="82"/>
      <c r="M9" s="82"/>
      <c r="N9" s="83"/>
      <c r="O9" s="679"/>
      <c r="P9" s="680"/>
      <c r="Q9" s="680"/>
      <c r="R9" s="680"/>
      <c r="S9" s="680"/>
      <c r="T9" s="680"/>
      <c r="U9" s="680"/>
      <c r="V9" s="681"/>
      <c r="W9" s="142" t="s">
        <v>258</v>
      </c>
      <c r="X9" s="82"/>
      <c r="Y9" s="82"/>
      <c r="Z9" s="83"/>
      <c r="AA9" s="679"/>
      <c r="AB9" s="680"/>
      <c r="AC9" s="680"/>
      <c r="AD9" s="680"/>
      <c r="AE9" s="680"/>
      <c r="AF9" s="680"/>
      <c r="AG9" s="680"/>
      <c r="AH9" s="681"/>
      <c r="AI9" s="142" t="s">
        <v>258</v>
      </c>
      <c r="AJ9" s="82"/>
      <c r="AK9" s="82"/>
      <c r="AL9" s="83"/>
      <c r="AM9" s="679"/>
      <c r="AN9" s="680"/>
      <c r="AO9" s="680"/>
      <c r="AP9" s="680"/>
      <c r="AQ9" s="680"/>
      <c r="AR9" s="680"/>
      <c r="AS9" s="680"/>
      <c r="AT9" s="681"/>
      <c r="AU9" s="142" t="s">
        <v>258</v>
      </c>
      <c r="AV9" s="82"/>
      <c r="AW9" s="82"/>
      <c r="AX9" s="83"/>
      <c r="AY9" s="679"/>
      <c r="AZ9" s="680"/>
      <c r="BA9" s="680"/>
      <c r="BB9" s="680"/>
      <c r="BC9" s="680"/>
      <c r="BD9" s="680"/>
      <c r="BE9" s="680"/>
      <c r="BF9" s="681"/>
      <c r="BG9" s="142" t="s">
        <v>258</v>
      </c>
      <c r="BH9" s="82"/>
      <c r="BI9" s="82"/>
      <c r="BJ9" s="83"/>
      <c r="BK9" s="679"/>
      <c r="BL9" s="680"/>
      <c r="BM9" s="680"/>
      <c r="BN9" s="680"/>
      <c r="BO9" s="680"/>
      <c r="BP9" s="680"/>
      <c r="BQ9" s="680"/>
      <c r="BR9" s="681"/>
      <c r="BS9" s="142" t="s">
        <v>258</v>
      </c>
      <c r="BT9" s="82"/>
      <c r="BU9" s="82"/>
      <c r="BV9" s="83"/>
      <c r="BW9" s="679"/>
      <c r="BX9" s="680"/>
      <c r="BY9" s="680"/>
      <c r="BZ9" s="680"/>
      <c r="CA9" s="680"/>
      <c r="CB9" s="680"/>
      <c r="CC9" s="680"/>
      <c r="CD9" s="681"/>
      <c r="CE9" s="142" t="s">
        <v>258</v>
      </c>
      <c r="CF9" s="82"/>
      <c r="CG9" s="82"/>
      <c r="CH9" s="83"/>
      <c r="CI9" s="679"/>
      <c r="CJ9" s="680"/>
      <c r="CK9" s="680"/>
      <c r="CL9" s="680"/>
      <c r="CM9" s="680"/>
      <c r="CN9" s="680"/>
      <c r="CO9" s="680"/>
      <c r="CP9" s="681"/>
      <c r="CQ9" s="142" t="s">
        <v>258</v>
      </c>
      <c r="CR9" s="82"/>
      <c r="CS9" s="82"/>
      <c r="CT9" s="83"/>
      <c r="CU9" s="679"/>
      <c r="CV9" s="680"/>
      <c r="CW9" s="680"/>
      <c r="CX9" s="680"/>
      <c r="CY9" s="680"/>
      <c r="CZ9" s="680"/>
      <c r="DA9" s="680"/>
      <c r="DB9" s="681"/>
      <c r="DC9" s="142" t="s">
        <v>258</v>
      </c>
      <c r="DD9" s="82"/>
      <c r="DE9" s="82"/>
      <c r="DF9" s="83"/>
      <c r="DG9" s="679"/>
      <c r="DH9" s="680"/>
      <c r="DI9" s="680"/>
      <c r="DJ9" s="680"/>
      <c r="DK9" s="680"/>
      <c r="DL9" s="680"/>
      <c r="DM9" s="680"/>
      <c r="DN9" s="681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76"/>
      <c r="D10" s="677"/>
      <c r="E10" s="677"/>
      <c r="F10" s="677"/>
      <c r="G10" s="677"/>
      <c r="H10" s="677"/>
      <c r="I10" s="677"/>
      <c r="J10" s="678"/>
      <c r="K10" s="131"/>
      <c r="L10" s="186"/>
      <c r="M10" s="143"/>
      <c r="N10" s="143"/>
      <c r="O10" s="676"/>
      <c r="P10" s="677"/>
      <c r="Q10" s="677"/>
      <c r="R10" s="677"/>
      <c r="S10" s="677"/>
      <c r="T10" s="677"/>
      <c r="U10" s="677"/>
      <c r="V10" s="678"/>
      <c r="W10" s="131"/>
      <c r="X10" s="186"/>
      <c r="Y10" s="143"/>
      <c r="Z10" s="143"/>
      <c r="AA10" s="676"/>
      <c r="AB10" s="677"/>
      <c r="AC10" s="677"/>
      <c r="AD10" s="677"/>
      <c r="AE10" s="677"/>
      <c r="AF10" s="677"/>
      <c r="AG10" s="677"/>
      <c r="AH10" s="678"/>
      <c r="AI10" s="131"/>
      <c r="AJ10" s="186"/>
      <c r="AK10" s="143"/>
      <c r="AL10" s="143"/>
      <c r="AM10" s="676"/>
      <c r="AN10" s="677"/>
      <c r="AO10" s="677"/>
      <c r="AP10" s="677"/>
      <c r="AQ10" s="677"/>
      <c r="AR10" s="677"/>
      <c r="AS10" s="677"/>
      <c r="AT10" s="678"/>
      <c r="AU10" s="131"/>
      <c r="AV10" s="186"/>
      <c r="AW10" s="143"/>
      <c r="AX10" s="143"/>
      <c r="AY10" s="676"/>
      <c r="AZ10" s="677"/>
      <c r="BA10" s="677"/>
      <c r="BB10" s="677"/>
      <c r="BC10" s="677"/>
      <c r="BD10" s="677"/>
      <c r="BE10" s="677"/>
      <c r="BF10" s="678"/>
      <c r="BG10" s="131"/>
      <c r="BH10" s="186"/>
      <c r="BI10" s="143"/>
      <c r="BJ10" s="143"/>
      <c r="BK10" s="676"/>
      <c r="BL10" s="677"/>
      <c r="BM10" s="677"/>
      <c r="BN10" s="677"/>
      <c r="BO10" s="677"/>
      <c r="BP10" s="677"/>
      <c r="BQ10" s="677"/>
      <c r="BR10" s="678"/>
      <c r="BS10" s="131"/>
      <c r="BT10" s="186"/>
      <c r="BU10" s="143"/>
      <c r="BV10" s="143"/>
      <c r="BW10" s="676"/>
      <c r="BX10" s="677"/>
      <c r="BY10" s="677"/>
      <c r="BZ10" s="677"/>
      <c r="CA10" s="677"/>
      <c r="CB10" s="677"/>
      <c r="CC10" s="677"/>
      <c r="CD10" s="678"/>
      <c r="CE10" s="131"/>
      <c r="CF10" s="186"/>
      <c r="CG10" s="143"/>
      <c r="CH10" s="143"/>
      <c r="CI10" s="676"/>
      <c r="CJ10" s="677"/>
      <c r="CK10" s="677"/>
      <c r="CL10" s="677"/>
      <c r="CM10" s="677"/>
      <c r="CN10" s="677"/>
      <c r="CO10" s="677"/>
      <c r="CP10" s="678"/>
      <c r="CQ10" s="131"/>
      <c r="CR10" s="186"/>
      <c r="CS10" s="143"/>
      <c r="CT10" s="143"/>
      <c r="CU10" s="676"/>
      <c r="CV10" s="677"/>
      <c r="CW10" s="677"/>
      <c r="CX10" s="677"/>
      <c r="CY10" s="677"/>
      <c r="CZ10" s="677"/>
      <c r="DA10" s="677"/>
      <c r="DB10" s="678"/>
      <c r="DC10" s="131"/>
      <c r="DD10" s="186"/>
      <c r="DE10" s="143"/>
      <c r="DF10" s="143"/>
      <c r="DG10" s="676"/>
      <c r="DH10" s="677"/>
      <c r="DI10" s="677"/>
      <c r="DJ10" s="677"/>
      <c r="DK10" s="677"/>
      <c r="DL10" s="677"/>
      <c r="DM10" s="677"/>
      <c r="DN10" s="678"/>
      <c r="DO10" s="131"/>
      <c r="DP10" s="186"/>
      <c r="DQ10" s="143"/>
      <c r="DR10" s="143"/>
    </row>
    <row r="11" spans="1:122">
      <c r="A11" s="131"/>
      <c r="B11" s="140" t="s">
        <v>260</v>
      </c>
      <c r="C11" s="679"/>
      <c r="D11" s="680"/>
      <c r="E11" s="680"/>
      <c r="F11" s="680"/>
      <c r="G11" s="680"/>
      <c r="H11" s="680"/>
      <c r="I11" s="680"/>
      <c r="J11" s="681"/>
      <c r="K11" s="131"/>
      <c r="L11" s="186"/>
      <c r="M11" s="143"/>
      <c r="N11" s="143"/>
      <c r="O11" s="679"/>
      <c r="P11" s="680"/>
      <c r="Q11" s="680"/>
      <c r="R11" s="680"/>
      <c r="S11" s="680"/>
      <c r="T11" s="680"/>
      <c r="U11" s="680"/>
      <c r="V11" s="681"/>
      <c r="W11" s="131"/>
      <c r="X11" s="186"/>
      <c r="Y11" s="143"/>
      <c r="Z11" s="143"/>
      <c r="AA11" s="679"/>
      <c r="AB11" s="680"/>
      <c r="AC11" s="680"/>
      <c r="AD11" s="680"/>
      <c r="AE11" s="680"/>
      <c r="AF11" s="680"/>
      <c r="AG11" s="680"/>
      <c r="AH11" s="681"/>
      <c r="AI11" s="131"/>
      <c r="AJ11" s="186"/>
      <c r="AK11" s="143"/>
      <c r="AL11" s="143"/>
      <c r="AM11" s="679"/>
      <c r="AN11" s="680"/>
      <c r="AO11" s="680"/>
      <c r="AP11" s="680"/>
      <c r="AQ11" s="680"/>
      <c r="AR11" s="680"/>
      <c r="AS11" s="680"/>
      <c r="AT11" s="681"/>
      <c r="AU11" s="131"/>
      <c r="AV11" s="186"/>
      <c r="AW11" s="143"/>
      <c r="AX11" s="143"/>
      <c r="AY11" s="679"/>
      <c r="AZ11" s="680"/>
      <c r="BA11" s="680"/>
      <c r="BB11" s="680"/>
      <c r="BC11" s="680"/>
      <c r="BD11" s="680"/>
      <c r="BE11" s="680"/>
      <c r="BF11" s="681"/>
      <c r="BG11" s="131"/>
      <c r="BH11" s="186"/>
      <c r="BI11" s="143"/>
      <c r="BJ11" s="143"/>
      <c r="BK11" s="679"/>
      <c r="BL11" s="680"/>
      <c r="BM11" s="680"/>
      <c r="BN11" s="680"/>
      <c r="BO11" s="680"/>
      <c r="BP11" s="680"/>
      <c r="BQ11" s="680"/>
      <c r="BR11" s="681"/>
      <c r="BS11" s="131"/>
      <c r="BT11" s="186"/>
      <c r="BU11" s="143"/>
      <c r="BV11" s="143"/>
      <c r="BW11" s="679"/>
      <c r="BX11" s="680"/>
      <c r="BY11" s="680"/>
      <c r="BZ11" s="680"/>
      <c r="CA11" s="680"/>
      <c r="CB11" s="680"/>
      <c r="CC11" s="680"/>
      <c r="CD11" s="681"/>
      <c r="CE11" s="131"/>
      <c r="CF11" s="186"/>
      <c r="CG11" s="143"/>
      <c r="CH11" s="143"/>
      <c r="CI11" s="679"/>
      <c r="CJ11" s="680"/>
      <c r="CK11" s="680"/>
      <c r="CL11" s="680"/>
      <c r="CM11" s="680"/>
      <c r="CN11" s="680"/>
      <c r="CO11" s="680"/>
      <c r="CP11" s="681"/>
      <c r="CQ11" s="131"/>
      <c r="CR11" s="186"/>
      <c r="CS11" s="143"/>
      <c r="CT11" s="143"/>
      <c r="CU11" s="679"/>
      <c r="CV11" s="680"/>
      <c r="CW11" s="680"/>
      <c r="CX11" s="680"/>
      <c r="CY11" s="680"/>
      <c r="CZ11" s="680"/>
      <c r="DA11" s="680"/>
      <c r="DB11" s="681"/>
      <c r="DC11" s="131"/>
      <c r="DD11" s="186"/>
      <c r="DE11" s="143"/>
      <c r="DF11" s="143"/>
      <c r="DG11" s="679"/>
      <c r="DH11" s="680"/>
      <c r="DI11" s="680"/>
      <c r="DJ11" s="680"/>
      <c r="DK11" s="680"/>
      <c r="DL11" s="680"/>
      <c r="DM11" s="680"/>
      <c r="DN11" s="681"/>
      <c r="DO11" s="131"/>
      <c r="DP11" s="186"/>
      <c r="DQ11" s="143"/>
      <c r="DR11" s="143"/>
    </row>
    <row r="12" spans="1:122">
      <c r="A12" s="131"/>
      <c r="B12" s="140" t="s">
        <v>261</v>
      </c>
      <c r="C12" s="676"/>
      <c r="D12" s="677"/>
      <c r="E12" s="677"/>
      <c r="F12" s="677"/>
      <c r="G12" s="677"/>
      <c r="H12" s="677"/>
      <c r="I12" s="677"/>
      <c r="J12" s="678"/>
      <c r="K12" s="131"/>
      <c r="L12" s="671"/>
      <c r="M12" s="671"/>
      <c r="N12" s="143"/>
      <c r="O12" s="676"/>
      <c r="P12" s="677"/>
      <c r="Q12" s="677"/>
      <c r="R12" s="677"/>
      <c r="S12" s="677"/>
      <c r="T12" s="677"/>
      <c r="U12" s="677"/>
      <c r="V12" s="678"/>
      <c r="W12" s="131"/>
      <c r="X12" s="671"/>
      <c r="Y12" s="671"/>
      <c r="Z12" s="143"/>
      <c r="AA12" s="676"/>
      <c r="AB12" s="677"/>
      <c r="AC12" s="677"/>
      <c r="AD12" s="677"/>
      <c r="AE12" s="677"/>
      <c r="AF12" s="677"/>
      <c r="AG12" s="677"/>
      <c r="AH12" s="678"/>
      <c r="AI12" s="131"/>
      <c r="AJ12" s="671"/>
      <c r="AK12" s="671"/>
      <c r="AL12" s="143"/>
      <c r="AM12" s="676"/>
      <c r="AN12" s="677"/>
      <c r="AO12" s="677"/>
      <c r="AP12" s="677"/>
      <c r="AQ12" s="677"/>
      <c r="AR12" s="677"/>
      <c r="AS12" s="677"/>
      <c r="AT12" s="678"/>
      <c r="AU12" s="131"/>
      <c r="AV12" s="671"/>
      <c r="AW12" s="671"/>
      <c r="AX12" s="143"/>
      <c r="AY12" s="676"/>
      <c r="AZ12" s="677"/>
      <c r="BA12" s="677"/>
      <c r="BB12" s="677"/>
      <c r="BC12" s="677"/>
      <c r="BD12" s="677"/>
      <c r="BE12" s="677"/>
      <c r="BF12" s="678"/>
      <c r="BG12" s="131"/>
      <c r="BH12" s="671"/>
      <c r="BI12" s="671"/>
      <c r="BJ12" s="143"/>
      <c r="BK12" s="676"/>
      <c r="BL12" s="677"/>
      <c r="BM12" s="677"/>
      <c r="BN12" s="677"/>
      <c r="BO12" s="677"/>
      <c r="BP12" s="677"/>
      <c r="BQ12" s="677"/>
      <c r="BR12" s="678"/>
      <c r="BS12" s="131"/>
      <c r="BT12" s="671"/>
      <c r="BU12" s="671"/>
      <c r="BV12" s="143"/>
      <c r="BW12" s="676"/>
      <c r="BX12" s="677"/>
      <c r="BY12" s="677"/>
      <c r="BZ12" s="677"/>
      <c r="CA12" s="677"/>
      <c r="CB12" s="677"/>
      <c r="CC12" s="677"/>
      <c r="CD12" s="678"/>
      <c r="CE12" s="131"/>
      <c r="CF12" s="671"/>
      <c r="CG12" s="671"/>
      <c r="CH12" s="143"/>
      <c r="CI12" s="676"/>
      <c r="CJ12" s="677"/>
      <c r="CK12" s="677"/>
      <c r="CL12" s="677"/>
      <c r="CM12" s="677"/>
      <c r="CN12" s="677"/>
      <c r="CO12" s="677"/>
      <c r="CP12" s="678"/>
      <c r="CQ12" s="131"/>
      <c r="CR12" s="671"/>
      <c r="CS12" s="671"/>
      <c r="CT12" s="143"/>
      <c r="CU12" s="676"/>
      <c r="CV12" s="677"/>
      <c r="CW12" s="677"/>
      <c r="CX12" s="677"/>
      <c r="CY12" s="677"/>
      <c r="CZ12" s="677"/>
      <c r="DA12" s="677"/>
      <c r="DB12" s="678"/>
      <c r="DC12" s="131"/>
      <c r="DD12" s="671"/>
      <c r="DE12" s="671"/>
      <c r="DF12" s="143"/>
      <c r="DG12" s="676"/>
      <c r="DH12" s="677"/>
      <c r="DI12" s="677"/>
      <c r="DJ12" s="677"/>
      <c r="DK12" s="677"/>
      <c r="DL12" s="677"/>
      <c r="DM12" s="677"/>
      <c r="DN12" s="678"/>
      <c r="DO12" s="131"/>
      <c r="DP12" s="671"/>
      <c r="DQ12" s="671"/>
      <c r="DR12" s="143"/>
    </row>
    <row r="13" spans="1:122" ht="15.75" thickBot="1">
      <c r="A13" s="131"/>
      <c r="B13" s="190"/>
      <c r="C13" s="672"/>
      <c r="D13" s="672"/>
      <c r="E13" s="672"/>
      <c r="F13" s="672"/>
      <c r="G13" s="672"/>
      <c r="H13" s="672"/>
      <c r="I13" s="672"/>
      <c r="J13" s="672"/>
      <c r="K13" s="131"/>
      <c r="L13" s="671"/>
      <c r="M13" s="671"/>
      <c r="N13" s="144"/>
      <c r="O13" s="672"/>
      <c r="P13" s="672"/>
      <c r="Q13" s="672"/>
      <c r="R13" s="672"/>
      <c r="S13" s="672"/>
      <c r="T13" s="672"/>
      <c r="U13" s="672"/>
      <c r="V13" s="672"/>
      <c r="W13" s="131"/>
      <c r="X13" s="671"/>
      <c r="Y13" s="671"/>
      <c r="Z13" s="144"/>
      <c r="AA13" s="672"/>
      <c r="AB13" s="672"/>
      <c r="AC13" s="672"/>
      <c r="AD13" s="672"/>
      <c r="AE13" s="672"/>
      <c r="AF13" s="672"/>
      <c r="AG13" s="672"/>
      <c r="AH13" s="672"/>
      <c r="AI13" s="131"/>
      <c r="AJ13" s="671"/>
      <c r="AK13" s="671"/>
      <c r="AL13" s="144"/>
      <c r="AM13" s="672"/>
      <c r="AN13" s="672"/>
      <c r="AO13" s="672"/>
      <c r="AP13" s="672"/>
      <c r="AQ13" s="672"/>
      <c r="AR13" s="672"/>
      <c r="AS13" s="672"/>
      <c r="AT13" s="672"/>
      <c r="AU13" s="131"/>
      <c r="AV13" s="671"/>
      <c r="AW13" s="671"/>
      <c r="AX13" s="144"/>
      <c r="AY13" s="672"/>
      <c r="AZ13" s="672"/>
      <c r="BA13" s="672"/>
      <c r="BB13" s="672"/>
      <c r="BC13" s="672"/>
      <c r="BD13" s="672"/>
      <c r="BE13" s="672"/>
      <c r="BF13" s="672"/>
      <c r="BG13" s="131"/>
      <c r="BH13" s="671"/>
      <c r="BI13" s="671"/>
      <c r="BJ13" s="144"/>
      <c r="BK13" s="672"/>
      <c r="BL13" s="672"/>
      <c r="BM13" s="672"/>
      <c r="BN13" s="672"/>
      <c r="BO13" s="672"/>
      <c r="BP13" s="672"/>
      <c r="BQ13" s="672"/>
      <c r="BR13" s="672"/>
      <c r="BS13" s="131"/>
      <c r="BT13" s="671"/>
      <c r="BU13" s="671"/>
      <c r="BV13" s="144"/>
      <c r="BW13" s="672"/>
      <c r="BX13" s="672"/>
      <c r="BY13" s="672"/>
      <c r="BZ13" s="672"/>
      <c r="CA13" s="672"/>
      <c r="CB13" s="672"/>
      <c r="CC13" s="672"/>
      <c r="CD13" s="672"/>
      <c r="CE13" s="131"/>
      <c r="CF13" s="671"/>
      <c r="CG13" s="671"/>
      <c r="CH13" s="144"/>
      <c r="CI13" s="672"/>
      <c r="CJ13" s="672"/>
      <c r="CK13" s="672"/>
      <c r="CL13" s="672"/>
      <c r="CM13" s="672"/>
      <c r="CN13" s="672"/>
      <c r="CO13" s="672"/>
      <c r="CP13" s="672"/>
      <c r="CQ13" s="131"/>
      <c r="CR13" s="671"/>
      <c r="CS13" s="671"/>
      <c r="CT13" s="144"/>
      <c r="CU13" s="672"/>
      <c r="CV13" s="672"/>
      <c r="CW13" s="672"/>
      <c r="CX13" s="672"/>
      <c r="CY13" s="672"/>
      <c r="CZ13" s="672"/>
      <c r="DA13" s="672"/>
      <c r="DB13" s="672"/>
      <c r="DC13" s="131"/>
      <c r="DD13" s="671"/>
      <c r="DE13" s="671"/>
      <c r="DF13" s="144"/>
      <c r="DG13" s="672"/>
      <c r="DH13" s="672"/>
      <c r="DI13" s="672"/>
      <c r="DJ13" s="672"/>
      <c r="DK13" s="672"/>
      <c r="DL13" s="672"/>
      <c r="DM13" s="672"/>
      <c r="DN13" s="672"/>
      <c r="DO13" s="131"/>
      <c r="DP13" s="671"/>
      <c r="DQ13" s="671"/>
      <c r="DR13" s="144"/>
    </row>
    <row r="14" spans="1:122" ht="15.75" thickBot="1">
      <c r="A14" s="131"/>
      <c r="B14" s="131"/>
      <c r="C14" s="682">
        <f>IF('Input Nilai Ketrampilan'!F2="","",'Input Nilai Ketrampilan'!F2)</f>
        <v>41</v>
      </c>
      <c r="D14" s="683"/>
      <c r="E14" s="683"/>
      <c r="F14" s="683"/>
      <c r="G14" s="683"/>
      <c r="H14" s="683"/>
      <c r="I14" s="683"/>
      <c r="J14" s="683"/>
      <c r="K14" s="683"/>
      <c r="L14" s="683"/>
      <c r="M14" s="683"/>
      <c r="N14" s="684"/>
      <c r="O14" s="682">
        <f>IF('Input Nilai Ketrampilan'!K2="","",'Input Nilai Ketrampilan'!K2)</f>
        <v>42</v>
      </c>
      <c r="P14" s="683"/>
      <c r="Q14" s="683"/>
      <c r="R14" s="683"/>
      <c r="S14" s="683"/>
      <c r="T14" s="683"/>
      <c r="U14" s="683"/>
      <c r="V14" s="683"/>
      <c r="W14" s="683"/>
      <c r="X14" s="683"/>
      <c r="Y14" s="683"/>
      <c r="Z14" s="684"/>
      <c r="AA14" s="682">
        <f>IF('Input Nilai Ketrampilan'!P2="","",'Input Nilai Ketrampilan'!P2)</f>
        <v>43</v>
      </c>
      <c r="AB14" s="683"/>
      <c r="AC14" s="683"/>
      <c r="AD14" s="683"/>
      <c r="AE14" s="683"/>
      <c r="AF14" s="683"/>
      <c r="AG14" s="683"/>
      <c r="AH14" s="683"/>
      <c r="AI14" s="683"/>
      <c r="AJ14" s="683"/>
      <c r="AK14" s="683"/>
      <c r="AL14" s="684"/>
      <c r="AM14" s="682">
        <f>IF('Input Nilai Ketrampilan'!U2="","",'Input Nilai Ketrampilan'!U2)</f>
        <v>44</v>
      </c>
      <c r="AN14" s="683"/>
      <c r="AO14" s="683"/>
      <c r="AP14" s="683"/>
      <c r="AQ14" s="683"/>
      <c r="AR14" s="683"/>
      <c r="AS14" s="683"/>
      <c r="AT14" s="683"/>
      <c r="AU14" s="683"/>
      <c r="AV14" s="683"/>
      <c r="AW14" s="683"/>
      <c r="AX14" s="684"/>
      <c r="AY14" s="682">
        <f>IF('Input Nilai Ketrampilan'!Z2="","",'Input Nilai Ketrampilan'!Z2)</f>
        <v>45</v>
      </c>
      <c r="AZ14" s="683"/>
      <c r="BA14" s="683"/>
      <c r="BB14" s="683"/>
      <c r="BC14" s="683"/>
      <c r="BD14" s="683"/>
      <c r="BE14" s="683"/>
      <c r="BF14" s="683"/>
      <c r="BG14" s="683"/>
      <c r="BH14" s="683"/>
      <c r="BI14" s="683"/>
      <c r="BJ14" s="684"/>
      <c r="BK14" s="682">
        <f>IF('Input Nilai Ketrampilan'!AE2="","",'Input Nilai Ketrampilan'!AE2)</f>
        <v>46</v>
      </c>
      <c r="BL14" s="683"/>
      <c r="BM14" s="683"/>
      <c r="BN14" s="683"/>
      <c r="BO14" s="683"/>
      <c r="BP14" s="683"/>
      <c r="BQ14" s="683"/>
      <c r="BR14" s="683"/>
      <c r="BS14" s="683"/>
      <c r="BT14" s="683"/>
      <c r="BU14" s="683"/>
      <c r="BV14" s="684"/>
      <c r="BW14" s="682">
        <f>IF('Input Nilai Ketrampilan'!AJ2="","",'Input Nilai Ketrampilan'!AJ2)</f>
        <v>47</v>
      </c>
      <c r="BX14" s="683"/>
      <c r="BY14" s="683"/>
      <c r="BZ14" s="683"/>
      <c r="CA14" s="683"/>
      <c r="CB14" s="683"/>
      <c r="CC14" s="683"/>
      <c r="CD14" s="683"/>
      <c r="CE14" s="683"/>
      <c r="CF14" s="683"/>
      <c r="CG14" s="683"/>
      <c r="CH14" s="684"/>
      <c r="CI14" s="682">
        <f>IF('Input Nilai Ketrampilan'!AO2="","",'Input Nilai Ketrampilan'!AO2)</f>
        <v>48</v>
      </c>
      <c r="CJ14" s="683"/>
      <c r="CK14" s="683"/>
      <c r="CL14" s="683"/>
      <c r="CM14" s="683"/>
      <c r="CN14" s="683"/>
      <c r="CO14" s="683"/>
      <c r="CP14" s="683"/>
      <c r="CQ14" s="683"/>
      <c r="CR14" s="683"/>
      <c r="CS14" s="683"/>
      <c r="CT14" s="684"/>
      <c r="CU14" s="682">
        <f>IF('Input Nilai Ketrampilan'!AT2="","",'Input Nilai Ketrampilan'!AT2)</f>
        <v>49</v>
      </c>
      <c r="CV14" s="683"/>
      <c r="CW14" s="683"/>
      <c r="CX14" s="683"/>
      <c r="CY14" s="683"/>
      <c r="CZ14" s="683"/>
      <c r="DA14" s="683"/>
      <c r="DB14" s="683"/>
      <c r="DC14" s="683"/>
      <c r="DD14" s="683"/>
      <c r="DE14" s="683"/>
      <c r="DF14" s="684"/>
      <c r="DG14" s="682" t="e">
        <f>IF('Input Nilai Ketrampilan'!#REF!="","",'Input Nilai Ketrampilan'!#REF!)</f>
        <v>#REF!</v>
      </c>
      <c r="DH14" s="683"/>
      <c r="DI14" s="683"/>
      <c r="DJ14" s="683"/>
      <c r="DK14" s="683"/>
      <c r="DL14" s="683"/>
      <c r="DM14" s="683"/>
      <c r="DN14" s="683"/>
      <c r="DO14" s="683"/>
      <c r="DP14" s="683"/>
      <c r="DQ14" s="683"/>
      <c r="DR14" s="684"/>
    </row>
    <row r="15" spans="1:122">
      <c r="A15" s="519" t="s">
        <v>262</v>
      </c>
      <c r="B15" s="145" t="s">
        <v>263</v>
      </c>
      <c r="C15" s="685" t="s">
        <v>264</v>
      </c>
      <c r="D15" s="687" t="s">
        <v>265</v>
      </c>
      <c r="E15" s="685" t="s">
        <v>266</v>
      </c>
      <c r="F15" s="685" t="s">
        <v>267</v>
      </c>
      <c r="G15" s="685" t="s">
        <v>268</v>
      </c>
      <c r="H15" s="685" t="s">
        <v>269</v>
      </c>
      <c r="I15" s="687" t="s">
        <v>270</v>
      </c>
      <c r="J15" s="689" t="s">
        <v>271</v>
      </c>
      <c r="K15" s="691" t="s">
        <v>272</v>
      </c>
      <c r="L15" s="691" t="s">
        <v>273</v>
      </c>
      <c r="M15" s="694" t="s">
        <v>274</v>
      </c>
      <c r="N15" s="694" t="s">
        <v>104</v>
      </c>
      <c r="O15" s="685" t="s">
        <v>264</v>
      </c>
      <c r="P15" s="687" t="s">
        <v>265</v>
      </c>
      <c r="Q15" s="685" t="s">
        <v>266</v>
      </c>
      <c r="R15" s="685" t="s">
        <v>267</v>
      </c>
      <c r="S15" s="685" t="s">
        <v>268</v>
      </c>
      <c r="T15" s="685" t="s">
        <v>269</v>
      </c>
      <c r="U15" s="687" t="s">
        <v>270</v>
      </c>
      <c r="V15" s="689" t="s">
        <v>271</v>
      </c>
      <c r="W15" s="691" t="s">
        <v>272</v>
      </c>
      <c r="X15" s="691" t="s">
        <v>273</v>
      </c>
      <c r="Y15" s="694" t="s">
        <v>274</v>
      </c>
      <c r="Z15" s="694" t="s">
        <v>104</v>
      </c>
      <c r="AA15" s="685" t="s">
        <v>264</v>
      </c>
      <c r="AB15" s="687" t="s">
        <v>265</v>
      </c>
      <c r="AC15" s="685" t="s">
        <v>266</v>
      </c>
      <c r="AD15" s="685" t="s">
        <v>267</v>
      </c>
      <c r="AE15" s="685" t="s">
        <v>268</v>
      </c>
      <c r="AF15" s="685" t="s">
        <v>269</v>
      </c>
      <c r="AG15" s="687" t="s">
        <v>270</v>
      </c>
      <c r="AH15" s="689" t="s">
        <v>271</v>
      </c>
      <c r="AI15" s="691" t="s">
        <v>272</v>
      </c>
      <c r="AJ15" s="691" t="s">
        <v>273</v>
      </c>
      <c r="AK15" s="694" t="s">
        <v>274</v>
      </c>
      <c r="AL15" s="694" t="s">
        <v>104</v>
      </c>
      <c r="AM15" s="685" t="s">
        <v>264</v>
      </c>
      <c r="AN15" s="687" t="s">
        <v>265</v>
      </c>
      <c r="AO15" s="685" t="s">
        <v>266</v>
      </c>
      <c r="AP15" s="685" t="s">
        <v>267</v>
      </c>
      <c r="AQ15" s="685" t="s">
        <v>268</v>
      </c>
      <c r="AR15" s="685" t="s">
        <v>269</v>
      </c>
      <c r="AS15" s="687" t="s">
        <v>270</v>
      </c>
      <c r="AT15" s="689" t="s">
        <v>271</v>
      </c>
      <c r="AU15" s="691" t="s">
        <v>272</v>
      </c>
      <c r="AV15" s="691" t="s">
        <v>273</v>
      </c>
      <c r="AW15" s="694" t="s">
        <v>274</v>
      </c>
      <c r="AX15" s="694" t="s">
        <v>104</v>
      </c>
      <c r="AY15" s="685" t="s">
        <v>264</v>
      </c>
      <c r="AZ15" s="687" t="s">
        <v>265</v>
      </c>
      <c r="BA15" s="685" t="s">
        <v>266</v>
      </c>
      <c r="BB15" s="685" t="s">
        <v>267</v>
      </c>
      <c r="BC15" s="685" t="s">
        <v>268</v>
      </c>
      <c r="BD15" s="685" t="s">
        <v>269</v>
      </c>
      <c r="BE15" s="687" t="s">
        <v>270</v>
      </c>
      <c r="BF15" s="689" t="s">
        <v>271</v>
      </c>
      <c r="BG15" s="691" t="s">
        <v>272</v>
      </c>
      <c r="BH15" s="691" t="s">
        <v>273</v>
      </c>
      <c r="BI15" s="694" t="s">
        <v>274</v>
      </c>
      <c r="BJ15" s="694" t="s">
        <v>104</v>
      </c>
      <c r="BK15" s="685" t="s">
        <v>264</v>
      </c>
      <c r="BL15" s="687" t="s">
        <v>265</v>
      </c>
      <c r="BM15" s="685" t="s">
        <v>266</v>
      </c>
      <c r="BN15" s="685" t="s">
        <v>267</v>
      </c>
      <c r="BO15" s="685" t="s">
        <v>268</v>
      </c>
      <c r="BP15" s="685" t="s">
        <v>269</v>
      </c>
      <c r="BQ15" s="687" t="s">
        <v>270</v>
      </c>
      <c r="BR15" s="689" t="s">
        <v>271</v>
      </c>
      <c r="BS15" s="691" t="s">
        <v>272</v>
      </c>
      <c r="BT15" s="691" t="s">
        <v>273</v>
      </c>
      <c r="BU15" s="694" t="s">
        <v>274</v>
      </c>
      <c r="BV15" s="694" t="s">
        <v>104</v>
      </c>
      <c r="BW15" s="685" t="s">
        <v>264</v>
      </c>
      <c r="BX15" s="687" t="s">
        <v>265</v>
      </c>
      <c r="BY15" s="685" t="s">
        <v>266</v>
      </c>
      <c r="BZ15" s="685" t="s">
        <v>267</v>
      </c>
      <c r="CA15" s="685" t="s">
        <v>268</v>
      </c>
      <c r="CB15" s="685" t="s">
        <v>269</v>
      </c>
      <c r="CC15" s="687" t="s">
        <v>270</v>
      </c>
      <c r="CD15" s="689" t="s">
        <v>271</v>
      </c>
      <c r="CE15" s="691" t="s">
        <v>272</v>
      </c>
      <c r="CF15" s="691" t="s">
        <v>273</v>
      </c>
      <c r="CG15" s="694" t="s">
        <v>274</v>
      </c>
      <c r="CH15" s="694" t="s">
        <v>104</v>
      </c>
      <c r="CI15" s="685" t="s">
        <v>264</v>
      </c>
      <c r="CJ15" s="687" t="s">
        <v>265</v>
      </c>
      <c r="CK15" s="685" t="s">
        <v>266</v>
      </c>
      <c r="CL15" s="685" t="s">
        <v>267</v>
      </c>
      <c r="CM15" s="685" t="s">
        <v>268</v>
      </c>
      <c r="CN15" s="685" t="s">
        <v>269</v>
      </c>
      <c r="CO15" s="687" t="s">
        <v>270</v>
      </c>
      <c r="CP15" s="689" t="s">
        <v>271</v>
      </c>
      <c r="CQ15" s="691" t="s">
        <v>272</v>
      </c>
      <c r="CR15" s="691" t="s">
        <v>273</v>
      </c>
      <c r="CS15" s="694" t="s">
        <v>274</v>
      </c>
      <c r="CT15" s="694" t="s">
        <v>104</v>
      </c>
      <c r="CU15" s="685" t="s">
        <v>264</v>
      </c>
      <c r="CV15" s="687" t="s">
        <v>265</v>
      </c>
      <c r="CW15" s="685" t="s">
        <v>266</v>
      </c>
      <c r="CX15" s="685" t="s">
        <v>267</v>
      </c>
      <c r="CY15" s="685" t="s">
        <v>268</v>
      </c>
      <c r="CZ15" s="685" t="s">
        <v>269</v>
      </c>
      <c r="DA15" s="687" t="s">
        <v>270</v>
      </c>
      <c r="DB15" s="689" t="s">
        <v>271</v>
      </c>
      <c r="DC15" s="691" t="s">
        <v>272</v>
      </c>
      <c r="DD15" s="691" t="s">
        <v>273</v>
      </c>
      <c r="DE15" s="694" t="s">
        <v>274</v>
      </c>
      <c r="DF15" s="694" t="s">
        <v>104</v>
      </c>
      <c r="DG15" s="685" t="s">
        <v>264</v>
      </c>
      <c r="DH15" s="687" t="s">
        <v>265</v>
      </c>
      <c r="DI15" s="685" t="s">
        <v>266</v>
      </c>
      <c r="DJ15" s="685" t="s">
        <v>267</v>
      </c>
      <c r="DK15" s="685" t="s">
        <v>268</v>
      </c>
      <c r="DL15" s="685" t="s">
        <v>269</v>
      </c>
      <c r="DM15" s="687" t="s">
        <v>270</v>
      </c>
      <c r="DN15" s="689" t="s">
        <v>271</v>
      </c>
      <c r="DO15" s="691" t="s">
        <v>272</v>
      </c>
      <c r="DP15" s="691" t="s">
        <v>273</v>
      </c>
      <c r="DQ15" s="694" t="s">
        <v>274</v>
      </c>
      <c r="DR15" s="694" t="s">
        <v>104</v>
      </c>
    </row>
    <row r="16" spans="1:122" ht="24.75" customHeight="1">
      <c r="A16" s="696"/>
      <c r="C16" s="686"/>
      <c r="D16" s="685"/>
      <c r="E16" s="688"/>
      <c r="F16" s="686"/>
      <c r="G16" s="686"/>
      <c r="H16" s="686"/>
      <c r="I16" s="685"/>
      <c r="J16" s="690"/>
      <c r="K16" s="692"/>
      <c r="L16" s="693"/>
      <c r="M16" s="695"/>
      <c r="N16" s="695"/>
      <c r="O16" s="686"/>
      <c r="P16" s="685"/>
      <c r="Q16" s="688"/>
      <c r="R16" s="686"/>
      <c r="S16" s="686"/>
      <c r="T16" s="686"/>
      <c r="U16" s="685"/>
      <c r="V16" s="690"/>
      <c r="W16" s="692"/>
      <c r="X16" s="693"/>
      <c r="Y16" s="695"/>
      <c r="Z16" s="695"/>
      <c r="AA16" s="686"/>
      <c r="AB16" s="685"/>
      <c r="AC16" s="688"/>
      <c r="AD16" s="686"/>
      <c r="AE16" s="686"/>
      <c r="AF16" s="686"/>
      <c r="AG16" s="685"/>
      <c r="AH16" s="690"/>
      <c r="AI16" s="692"/>
      <c r="AJ16" s="693"/>
      <c r="AK16" s="695"/>
      <c r="AL16" s="695"/>
      <c r="AM16" s="686"/>
      <c r="AN16" s="685"/>
      <c r="AO16" s="688"/>
      <c r="AP16" s="686"/>
      <c r="AQ16" s="686"/>
      <c r="AR16" s="686"/>
      <c r="AS16" s="685"/>
      <c r="AT16" s="690"/>
      <c r="AU16" s="692"/>
      <c r="AV16" s="693"/>
      <c r="AW16" s="695"/>
      <c r="AX16" s="695"/>
      <c r="AY16" s="686"/>
      <c r="AZ16" s="685"/>
      <c r="BA16" s="688"/>
      <c r="BB16" s="686"/>
      <c r="BC16" s="686"/>
      <c r="BD16" s="686"/>
      <c r="BE16" s="685"/>
      <c r="BF16" s="690"/>
      <c r="BG16" s="692"/>
      <c r="BH16" s="693"/>
      <c r="BI16" s="695"/>
      <c r="BJ16" s="695"/>
      <c r="BK16" s="686"/>
      <c r="BL16" s="685"/>
      <c r="BM16" s="688"/>
      <c r="BN16" s="686"/>
      <c r="BO16" s="686"/>
      <c r="BP16" s="686"/>
      <c r="BQ16" s="685"/>
      <c r="BR16" s="690"/>
      <c r="BS16" s="692"/>
      <c r="BT16" s="693"/>
      <c r="BU16" s="695"/>
      <c r="BV16" s="695"/>
      <c r="BW16" s="686"/>
      <c r="BX16" s="685"/>
      <c r="BY16" s="688"/>
      <c r="BZ16" s="686"/>
      <c r="CA16" s="686"/>
      <c r="CB16" s="686"/>
      <c r="CC16" s="685"/>
      <c r="CD16" s="690"/>
      <c r="CE16" s="692"/>
      <c r="CF16" s="693"/>
      <c r="CG16" s="695"/>
      <c r="CH16" s="695"/>
      <c r="CI16" s="686"/>
      <c r="CJ16" s="685"/>
      <c r="CK16" s="688"/>
      <c r="CL16" s="686"/>
      <c r="CM16" s="686"/>
      <c r="CN16" s="686"/>
      <c r="CO16" s="685"/>
      <c r="CP16" s="690"/>
      <c r="CQ16" s="692"/>
      <c r="CR16" s="693"/>
      <c r="CS16" s="695"/>
      <c r="CT16" s="695"/>
      <c r="CU16" s="686"/>
      <c r="CV16" s="685"/>
      <c r="CW16" s="688"/>
      <c r="CX16" s="686"/>
      <c r="CY16" s="686"/>
      <c r="CZ16" s="686"/>
      <c r="DA16" s="685"/>
      <c r="DB16" s="690"/>
      <c r="DC16" s="692"/>
      <c r="DD16" s="693"/>
      <c r="DE16" s="695"/>
      <c r="DF16" s="695"/>
      <c r="DG16" s="686"/>
      <c r="DH16" s="685"/>
      <c r="DI16" s="688"/>
      <c r="DJ16" s="686"/>
      <c r="DK16" s="686"/>
      <c r="DL16" s="686"/>
      <c r="DM16" s="685"/>
      <c r="DN16" s="690"/>
      <c r="DO16" s="692"/>
      <c r="DP16" s="693"/>
      <c r="DQ16" s="695"/>
      <c r="DR16" s="695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C1:F1"/>
    <mergeCell ref="G1:H1"/>
    <mergeCell ref="I1:J1"/>
    <mergeCell ref="K1:L1"/>
    <mergeCell ref="C2:D2"/>
    <mergeCell ref="F2:H2"/>
    <mergeCell ref="I2:J2"/>
    <mergeCell ref="K2:L2"/>
    <mergeCell ref="M2:N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07" t="s">
        <v>426</v>
      </c>
      <c r="C1" s="708"/>
      <c r="D1" s="708"/>
      <c r="E1" s="708"/>
      <c r="F1" s="708"/>
      <c r="G1" s="708"/>
      <c r="H1" s="708"/>
      <c r="I1" s="708"/>
      <c r="J1" s="708"/>
      <c r="K1" s="708"/>
      <c r="L1" s="709"/>
      <c r="M1" s="42"/>
    </row>
    <row r="2" spans="1:13" ht="15.75" thickBot="1">
      <c r="A2" s="41"/>
      <c r="B2" s="710"/>
      <c r="C2" s="711"/>
      <c r="D2" s="711"/>
      <c r="E2" s="711"/>
      <c r="F2" s="711"/>
      <c r="G2" s="711"/>
      <c r="H2" s="711"/>
      <c r="I2" s="711"/>
      <c r="J2" s="711"/>
      <c r="K2" s="711"/>
      <c r="L2" s="712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98" t="str">
        <f>menu!D13</f>
        <v>Bahasa Arab</v>
      </c>
      <c r="D4" s="698"/>
      <c r="E4" s="698"/>
      <c r="F4" s="698"/>
      <c r="G4" s="706" t="s">
        <v>246</v>
      </c>
      <c r="H4" s="706"/>
      <c r="I4" s="700"/>
      <c r="J4" s="700"/>
      <c r="L4" s="267" t="s">
        <v>247</v>
      </c>
      <c r="M4" s="266"/>
    </row>
    <row r="5" spans="1:13" ht="16.5">
      <c r="A5" s="41"/>
      <c r="B5" s="45" t="s">
        <v>248</v>
      </c>
      <c r="C5" s="703" t="str">
        <f>menu!D14</f>
        <v>7a</v>
      </c>
      <c r="D5" s="698"/>
      <c r="E5" s="47"/>
      <c r="F5" s="706" t="s">
        <v>249</v>
      </c>
      <c r="G5" s="706"/>
      <c r="H5" s="706"/>
      <c r="I5" s="704"/>
      <c r="J5" s="704"/>
      <c r="K5" s="230"/>
      <c r="L5" s="46">
        <f>menu!D19</f>
        <v>0</v>
      </c>
      <c r="M5" s="42"/>
    </row>
    <row r="6" spans="1:13">
      <c r="A6" s="41"/>
      <c r="B6" s="48" t="s">
        <v>251</v>
      </c>
      <c r="C6" s="697" t="s">
        <v>427</v>
      </c>
      <c r="D6" s="697"/>
      <c r="E6" s="697"/>
      <c r="F6" s="697"/>
      <c r="G6" s="697"/>
      <c r="H6" s="697"/>
      <c r="I6" s="697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15" t="s">
        <v>253</v>
      </c>
      <c r="D8" s="715"/>
      <c r="E8" s="715"/>
      <c r="F8" s="715"/>
      <c r="G8" s="715"/>
      <c r="H8" s="715"/>
      <c r="I8" s="715"/>
      <c r="J8" s="715"/>
      <c r="K8" s="289" t="s">
        <v>254</v>
      </c>
      <c r="L8" s="77"/>
    </row>
    <row r="9" spans="1:13">
      <c r="A9" s="41"/>
      <c r="B9" s="52" t="s">
        <v>255</v>
      </c>
      <c r="C9" s="713"/>
      <c r="D9" s="713"/>
      <c r="E9" s="713"/>
      <c r="F9" s="713"/>
      <c r="G9" s="713"/>
      <c r="H9" s="713"/>
      <c r="I9" s="713"/>
      <c r="J9" s="713"/>
      <c r="K9" s="290" t="s">
        <v>255</v>
      </c>
      <c r="L9" s="79"/>
    </row>
    <row r="10" spans="1:13">
      <c r="A10" s="41"/>
      <c r="B10" s="52" t="s">
        <v>256</v>
      </c>
      <c r="C10" s="714"/>
      <c r="D10" s="714"/>
      <c r="E10" s="714"/>
      <c r="F10" s="714"/>
      <c r="G10" s="714"/>
      <c r="H10" s="714"/>
      <c r="I10" s="714"/>
      <c r="J10" s="714"/>
      <c r="K10" s="290" t="s">
        <v>256</v>
      </c>
      <c r="L10" s="81"/>
    </row>
    <row r="11" spans="1:13">
      <c r="A11" s="41"/>
      <c r="B11" s="52" t="s">
        <v>257</v>
      </c>
      <c r="C11" s="713"/>
      <c r="D11" s="713"/>
      <c r="E11" s="713"/>
      <c r="F11" s="713"/>
      <c r="G11" s="713"/>
      <c r="H11" s="713"/>
      <c r="I11" s="713"/>
      <c r="J11" s="713"/>
      <c r="K11" s="290" t="s">
        <v>257</v>
      </c>
      <c r="L11" s="79"/>
    </row>
    <row r="12" spans="1:13">
      <c r="A12" s="41"/>
      <c r="B12" s="52" t="s">
        <v>258</v>
      </c>
      <c r="C12" s="714"/>
      <c r="D12" s="714"/>
      <c r="E12" s="714"/>
      <c r="F12" s="714"/>
      <c r="G12" s="714"/>
      <c r="H12" s="714"/>
      <c r="I12" s="714"/>
      <c r="J12" s="714"/>
      <c r="K12" s="291" t="s">
        <v>258</v>
      </c>
      <c r="L12" s="83"/>
    </row>
    <row r="13" spans="1:13">
      <c r="A13" s="41"/>
      <c r="B13" s="52" t="s">
        <v>259</v>
      </c>
      <c r="C13" s="713"/>
      <c r="D13" s="713"/>
      <c r="E13" s="713"/>
      <c r="F13" s="713"/>
      <c r="G13" s="713"/>
      <c r="H13" s="713"/>
      <c r="I13" s="713"/>
      <c r="J13" s="713"/>
      <c r="K13" s="290" t="s">
        <v>259</v>
      </c>
      <c r="L13" s="79"/>
      <c r="M13" s="53"/>
    </row>
    <row r="14" spans="1:13">
      <c r="A14" s="41"/>
      <c r="B14" s="52" t="s">
        <v>260</v>
      </c>
      <c r="C14" s="714"/>
      <c r="D14" s="714"/>
      <c r="E14" s="714"/>
      <c r="F14" s="714"/>
      <c r="G14" s="714"/>
      <c r="H14" s="714"/>
      <c r="I14" s="714"/>
      <c r="J14" s="714"/>
      <c r="K14" s="290" t="s">
        <v>260</v>
      </c>
      <c r="L14" s="81"/>
      <c r="M14" s="53"/>
    </row>
    <row r="15" spans="1:13">
      <c r="A15" s="41"/>
      <c r="B15" s="52" t="s">
        <v>261</v>
      </c>
      <c r="C15" s="713"/>
      <c r="D15" s="713"/>
      <c r="E15" s="713"/>
      <c r="F15" s="713"/>
      <c r="G15" s="713"/>
      <c r="H15" s="713"/>
      <c r="I15" s="713"/>
      <c r="J15" s="713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20" t="s">
        <v>264</v>
      </c>
      <c r="D18" s="721" t="s">
        <v>265</v>
      </c>
      <c r="E18" s="720" t="s">
        <v>266</v>
      </c>
      <c r="F18" s="720" t="s">
        <v>267</v>
      </c>
      <c r="G18" s="720" t="s">
        <v>268</v>
      </c>
      <c r="H18" s="720" t="s">
        <v>269</v>
      </c>
      <c r="I18" s="721" t="s">
        <v>270</v>
      </c>
      <c r="J18" s="726" t="s">
        <v>271</v>
      </c>
      <c r="K18" s="728" t="s">
        <v>272</v>
      </c>
      <c r="L18" s="724" t="s">
        <v>104</v>
      </c>
      <c r="M18" s="57"/>
    </row>
    <row r="19" spans="1:13" ht="24.75" customHeight="1">
      <c r="A19" s="718"/>
      <c r="B19" s="42"/>
      <c r="C19" s="720"/>
      <c r="D19" s="722"/>
      <c r="E19" s="723"/>
      <c r="F19" s="720"/>
      <c r="G19" s="720"/>
      <c r="H19" s="720"/>
      <c r="I19" s="722"/>
      <c r="J19" s="727"/>
      <c r="K19" s="729"/>
      <c r="L19" s="725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L18:L19"/>
    <mergeCell ref="H18:H19"/>
    <mergeCell ref="I18:I19"/>
    <mergeCell ref="J18:J19"/>
    <mergeCell ref="K18:K19"/>
    <mergeCell ref="C15:J15"/>
    <mergeCell ref="C16:J16"/>
    <mergeCell ref="A18:A20"/>
    <mergeCell ref="C18:C19"/>
    <mergeCell ref="D18:D19"/>
    <mergeCell ref="E18:E19"/>
    <mergeCell ref="F18:F19"/>
    <mergeCell ref="G18:G19"/>
    <mergeCell ref="C11:J11"/>
    <mergeCell ref="C12:J12"/>
    <mergeCell ref="C13:J13"/>
    <mergeCell ref="C14:J14"/>
    <mergeCell ref="C6:I6"/>
    <mergeCell ref="C8:J8"/>
    <mergeCell ref="C9:J9"/>
    <mergeCell ref="C10:J10"/>
    <mergeCell ref="C5:D5"/>
    <mergeCell ref="F5:H5"/>
    <mergeCell ref="I5:J5"/>
    <mergeCell ref="B1:L2"/>
    <mergeCell ref="C4:F4"/>
    <mergeCell ref="G4:H4"/>
    <mergeCell ref="I4:J4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LENOVO</cp:lastModifiedBy>
  <cp:lastPrinted>2016-08-29T00:08:46Z</cp:lastPrinted>
  <dcterms:created xsi:type="dcterms:W3CDTF">2013-09-02T02:02:22Z</dcterms:created>
  <dcterms:modified xsi:type="dcterms:W3CDTF">2017-06-09T07:13:46Z</dcterms:modified>
</cp:coreProperties>
</file>