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7.xml" ContentType="application/vnd.openxmlformats-officedocument.spreadsheetml.comments+xml"/>
  <Override PartName="/xl/drawings/drawing26.xml" ContentType="application/vnd.openxmlformats-officedocument.drawing+xml"/>
  <Override PartName="/xl/comments8.xml" ContentType="application/vnd.openxmlformats-officedocument.spreadsheetml.comments+xml"/>
  <Override PartName="/xl/drawings/drawing27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7A2D7E96-6E34-419A-AE5F-296B3A7E7977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44525"/>
  <fileRecoveryPr autoRecover="0"/>
</workbook>
</file>

<file path=xl/calcChain.xml><?xml version="1.0" encoding="utf-8"?>
<calcChain xmlns="http://schemas.openxmlformats.org/spreadsheetml/2006/main">
  <c r="B9" i="34" l="1"/>
  <c r="S9" i="34" s="1"/>
  <c r="B10" i="34"/>
  <c r="S10" i="34" s="1"/>
  <c r="B11" i="34"/>
  <c r="S11" i="34" s="1"/>
  <c r="B12" i="34"/>
  <c r="S12" i="34" s="1"/>
  <c r="B13" i="34"/>
  <c r="S13" i="34" s="1"/>
  <c r="B14" i="34"/>
  <c r="S14" i="34" s="1"/>
  <c r="B15" i="34"/>
  <c r="S15" i="34" s="1"/>
  <c r="B16" i="34"/>
  <c r="S16" i="34" s="1"/>
  <c r="B17" i="34"/>
  <c r="S17" i="34" s="1"/>
  <c r="B18" i="34"/>
  <c r="S18" i="34" s="1"/>
  <c r="B19" i="34"/>
  <c r="S19" i="34" s="1"/>
  <c r="B20" i="34"/>
  <c r="S20" i="34" s="1"/>
  <c r="B21" i="34"/>
  <c r="S21" i="34" s="1"/>
  <c r="B22" i="34"/>
  <c r="S22" i="34" s="1"/>
  <c r="B23" i="34"/>
  <c r="S23" i="34" s="1"/>
  <c r="B24" i="34"/>
  <c r="S24" i="34" s="1"/>
  <c r="B25" i="34"/>
  <c r="S25" i="34" s="1"/>
  <c r="B26" i="34"/>
  <c r="S26" i="34" s="1"/>
  <c r="B27" i="34"/>
  <c r="S27" i="34" s="1"/>
  <c r="B28" i="34"/>
  <c r="S28" i="34" s="1"/>
  <c r="B29" i="34"/>
  <c r="S29" i="34" s="1"/>
  <c r="B30" i="34"/>
  <c r="S30" i="34" s="1"/>
  <c r="B31" i="34"/>
  <c r="S31" i="34" s="1"/>
  <c r="B32" i="34"/>
  <c r="S32" i="34" s="1"/>
  <c r="B33" i="34"/>
  <c r="S33" i="34" s="1"/>
  <c r="B34" i="34"/>
  <c r="S34" i="34" s="1"/>
  <c r="B35" i="34"/>
  <c r="S35" i="34" s="1"/>
  <c r="B36" i="34"/>
  <c r="S36" i="34" s="1"/>
  <c r="B37" i="34"/>
  <c r="S37" i="34" s="1"/>
  <c r="B38" i="34"/>
  <c r="S38" i="34" s="1"/>
  <c r="B39" i="34"/>
  <c r="S39" i="34" s="1"/>
  <c r="B40" i="34"/>
  <c r="S40" i="34" s="1"/>
  <c r="B41" i="34"/>
  <c r="S41" i="34" s="1"/>
  <c r="B42" i="34"/>
  <c r="S42" i="34" s="1"/>
  <c r="B43" i="34"/>
  <c r="S43" i="34" s="1"/>
  <c r="B44" i="34"/>
  <c r="S44" i="34" s="1"/>
  <c r="B45" i="34"/>
  <c r="S45" i="34" s="1"/>
  <c r="B46" i="34"/>
  <c r="S46" i="34" s="1"/>
  <c r="B47" i="34"/>
  <c r="S47" i="34" s="1"/>
  <c r="B48" i="34"/>
  <c r="S48" i="34" s="1"/>
  <c r="B49" i="34"/>
  <c r="S49" i="34" s="1"/>
  <c r="B50" i="34"/>
  <c r="S50" i="34" s="1"/>
  <c r="B51" i="34"/>
  <c r="S51" i="34" s="1"/>
  <c r="B52" i="34"/>
  <c r="S52" i="34" s="1"/>
  <c r="B53" i="34"/>
  <c r="S53" i="34" s="1"/>
  <c r="B54" i="34"/>
  <c r="S54" i="34" s="1"/>
  <c r="B55" i="34"/>
  <c r="S55" i="34" s="1"/>
  <c r="B8" i="34"/>
  <c r="S8" i="34" s="1"/>
  <c r="BH2" i="8" l="1"/>
  <c r="CT2" i="6"/>
  <c r="O8" i="28"/>
  <c r="Q8" i="28" s="1"/>
  <c r="O7" i="28" s="1"/>
  <c r="Q9" i="28"/>
  <c r="CD52" i="6"/>
  <c r="CG52" i="6" s="1"/>
  <c r="CD51" i="6"/>
  <c r="CG51" i="6" s="1"/>
  <c r="CD50" i="6"/>
  <c r="CG50" i="6" s="1"/>
  <c r="CD49" i="6"/>
  <c r="CG49" i="6" s="1"/>
  <c r="CD48" i="6"/>
  <c r="CG48" i="6" s="1"/>
  <c r="CD47" i="6"/>
  <c r="CG47" i="6" s="1"/>
  <c r="CD46" i="6"/>
  <c r="CG46" i="6" s="1"/>
  <c r="CD45" i="6"/>
  <c r="CG45" i="6" s="1"/>
  <c r="CD44" i="6"/>
  <c r="CG44" i="6" s="1"/>
  <c r="CD43" i="6"/>
  <c r="CG43" i="6" s="1"/>
  <c r="CD42" i="6"/>
  <c r="CG42" i="6" s="1"/>
  <c r="CD41" i="6"/>
  <c r="CG41" i="6" s="1"/>
  <c r="CD40" i="6"/>
  <c r="CG40" i="6" s="1"/>
  <c r="CD39" i="6"/>
  <c r="CG39" i="6" s="1"/>
  <c r="CD38" i="6"/>
  <c r="CG38" i="6" s="1"/>
  <c r="CD37" i="6"/>
  <c r="CG37" i="6" s="1"/>
  <c r="CD36" i="6"/>
  <c r="CG36" i="6" s="1"/>
  <c r="CD35" i="6"/>
  <c r="CG35" i="6" s="1"/>
  <c r="CD34" i="6"/>
  <c r="CG34" i="6" s="1"/>
  <c r="CD33" i="6"/>
  <c r="CG33" i="6" s="1"/>
  <c r="CD32" i="6"/>
  <c r="CG32" i="6" s="1"/>
  <c r="CD31" i="6"/>
  <c r="CG31" i="6" s="1"/>
  <c r="CD30" i="6"/>
  <c r="CG30" i="6" s="1"/>
  <c r="CD29" i="6"/>
  <c r="CG29" i="6" s="1"/>
  <c r="CD28" i="6"/>
  <c r="CG28" i="6" s="1"/>
  <c r="CD27" i="6"/>
  <c r="CG27" i="6" s="1"/>
  <c r="CD26" i="6"/>
  <c r="CG26" i="6" s="1"/>
  <c r="CD25" i="6"/>
  <c r="CG25" i="6" s="1"/>
  <c r="CD24" i="6"/>
  <c r="CG24" i="6" s="1"/>
  <c r="CD23" i="6"/>
  <c r="CG23" i="6" s="1"/>
  <c r="CD22" i="6"/>
  <c r="CG22" i="6" s="1"/>
  <c r="CD21" i="6"/>
  <c r="CG21" i="6" s="1"/>
  <c r="CD20" i="6"/>
  <c r="CG20" i="6" s="1"/>
  <c r="CD19" i="6"/>
  <c r="CG19" i="6" s="1"/>
  <c r="CD18" i="6"/>
  <c r="CG18" i="6" s="1"/>
  <c r="CD17" i="6"/>
  <c r="CG17" i="6" s="1"/>
  <c r="CD16" i="6"/>
  <c r="CG16" i="6" s="1"/>
  <c r="CD15" i="6"/>
  <c r="CG15" i="6" s="1"/>
  <c r="CD14" i="6"/>
  <c r="CG14" i="6" s="1"/>
  <c r="CD13" i="6"/>
  <c r="CG13" i="6" s="1"/>
  <c r="CD12" i="6"/>
  <c r="CG12" i="6" s="1"/>
  <c r="CD11" i="6"/>
  <c r="CG11" i="6" s="1"/>
  <c r="CD10" i="6"/>
  <c r="CG10" i="6" s="1"/>
  <c r="CD9" i="6"/>
  <c r="CG9" i="6" s="1"/>
  <c r="CD8" i="6"/>
  <c r="CG8" i="6" s="1"/>
  <c r="CD7" i="6"/>
  <c r="CG7" i="6" s="1"/>
  <c r="CD6" i="6"/>
  <c r="CG6" i="6" s="1"/>
  <c r="CD5" i="6"/>
  <c r="CG5" i="6" s="1"/>
  <c r="BV52" i="6"/>
  <c r="BY52" i="6" s="1"/>
  <c r="BV51" i="6"/>
  <c r="BY51" i="6" s="1"/>
  <c r="BV50" i="6"/>
  <c r="BY50" i="6" s="1"/>
  <c r="BV49" i="6"/>
  <c r="BY49" i="6" s="1"/>
  <c r="BV48" i="6"/>
  <c r="BY48" i="6" s="1"/>
  <c r="BV47" i="6"/>
  <c r="BY47" i="6" s="1"/>
  <c r="BV46" i="6"/>
  <c r="BY46" i="6" s="1"/>
  <c r="BV45" i="6"/>
  <c r="BY45" i="6" s="1"/>
  <c r="BV44" i="6"/>
  <c r="BY44" i="6" s="1"/>
  <c r="BV43" i="6"/>
  <c r="BY43" i="6" s="1"/>
  <c r="BV42" i="6"/>
  <c r="BY42" i="6" s="1"/>
  <c r="BV41" i="6"/>
  <c r="BY41" i="6" s="1"/>
  <c r="BV40" i="6"/>
  <c r="BY40" i="6" s="1"/>
  <c r="BV39" i="6"/>
  <c r="BY39" i="6" s="1"/>
  <c r="BV38" i="6"/>
  <c r="BY38" i="6" s="1"/>
  <c r="BV37" i="6"/>
  <c r="BY37" i="6" s="1"/>
  <c r="BV36" i="6"/>
  <c r="BY36" i="6" s="1"/>
  <c r="BV35" i="6"/>
  <c r="BY35" i="6" s="1"/>
  <c r="BV34" i="6"/>
  <c r="BY34" i="6" s="1"/>
  <c r="BV33" i="6"/>
  <c r="BY33" i="6" s="1"/>
  <c r="BV32" i="6"/>
  <c r="BY32" i="6" s="1"/>
  <c r="BV31" i="6"/>
  <c r="BY31" i="6" s="1"/>
  <c r="BV30" i="6"/>
  <c r="BY30" i="6" s="1"/>
  <c r="BV29" i="6"/>
  <c r="BY29" i="6" s="1"/>
  <c r="BV28" i="6"/>
  <c r="BY28" i="6" s="1"/>
  <c r="BV27" i="6"/>
  <c r="BY27" i="6" s="1"/>
  <c r="BV26" i="6"/>
  <c r="BY26" i="6" s="1"/>
  <c r="BV25" i="6"/>
  <c r="BY25" i="6" s="1"/>
  <c r="BV24" i="6"/>
  <c r="BY24" i="6" s="1"/>
  <c r="BV23" i="6"/>
  <c r="BY23" i="6" s="1"/>
  <c r="BV22" i="6"/>
  <c r="BY22" i="6" s="1"/>
  <c r="BV21" i="6"/>
  <c r="BY21" i="6" s="1"/>
  <c r="BV20" i="6"/>
  <c r="BY20" i="6" s="1"/>
  <c r="BV19" i="6"/>
  <c r="BY19" i="6" s="1"/>
  <c r="BV18" i="6"/>
  <c r="BY18" i="6" s="1"/>
  <c r="BV17" i="6"/>
  <c r="BY17" i="6" s="1"/>
  <c r="BV16" i="6"/>
  <c r="BY16" i="6" s="1"/>
  <c r="BV15" i="6"/>
  <c r="BY15" i="6" s="1"/>
  <c r="BV14" i="6"/>
  <c r="BY14" i="6" s="1"/>
  <c r="BV13" i="6"/>
  <c r="BY13" i="6" s="1"/>
  <c r="BV12" i="6"/>
  <c r="BY12" i="6" s="1"/>
  <c r="BV11" i="6"/>
  <c r="BY11" i="6" s="1"/>
  <c r="BV10" i="6"/>
  <c r="BY10" i="6" s="1"/>
  <c r="BV9" i="6"/>
  <c r="BY9" i="6" s="1"/>
  <c r="BV8" i="6"/>
  <c r="BY8" i="6" s="1"/>
  <c r="BV7" i="6"/>
  <c r="BY7" i="6" s="1"/>
  <c r="BV6" i="6"/>
  <c r="BY6" i="6" s="1"/>
  <c r="BV5" i="6"/>
  <c r="BY5" i="6" s="1"/>
  <c r="BN52" i="6"/>
  <c r="BQ52" i="6" s="1"/>
  <c r="BN51" i="6"/>
  <c r="BQ51" i="6" s="1"/>
  <c r="BN50" i="6"/>
  <c r="BQ50" i="6" s="1"/>
  <c r="BN49" i="6"/>
  <c r="BQ49" i="6" s="1"/>
  <c r="BN48" i="6"/>
  <c r="BQ48" i="6" s="1"/>
  <c r="BN47" i="6"/>
  <c r="BQ47" i="6" s="1"/>
  <c r="BN46" i="6"/>
  <c r="BQ46" i="6" s="1"/>
  <c r="BN45" i="6"/>
  <c r="BQ45" i="6" s="1"/>
  <c r="BN44" i="6"/>
  <c r="BQ44" i="6" s="1"/>
  <c r="BN43" i="6"/>
  <c r="BQ43" i="6" s="1"/>
  <c r="BN42" i="6"/>
  <c r="BQ42" i="6" s="1"/>
  <c r="BN41" i="6"/>
  <c r="BQ41" i="6" s="1"/>
  <c r="BN40" i="6"/>
  <c r="BQ40" i="6" s="1"/>
  <c r="BN39" i="6"/>
  <c r="BQ39" i="6" s="1"/>
  <c r="BN38" i="6"/>
  <c r="BQ38" i="6" s="1"/>
  <c r="BN37" i="6"/>
  <c r="BQ37" i="6" s="1"/>
  <c r="BN36" i="6"/>
  <c r="BQ36" i="6" s="1"/>
  <c r="BN35" i="6"/>
  <c r="BQ35" i="6" s="1"/>
  <c r="BN34" i="6"/>
  <c r="BQ34" i="6" s="1"/>
  <c r="BN33" i="6"/>
  <c r="BQ33" i="6" s="1"/>
  <c r="BN32" i="6"/>
  <c r="BQ32" i="6" s="1"/>
  <c r="BN31" i="6"/>
  <c r="BQ31" i="6" s="1"/>
  <c r="BN30" i="6"/>
  <c r="BQ30" i="6" s="1"/>
  <c r="BN29" i="6"/>
  <c r="BQ29" i="6" s="1"/>
  <c r="BN28" i="6"/>
  <c r="BQ28" i="6" s="1"/>
  <c r="BN27" i="6"/>
  <c r="BQ27" i="6" s="1"/>
  <c r="BN26" i="6"/>
  <c r="BQ26" i="6" s="1"/>
  <c r="BN25" i="6"/>
  <c r="BQ25" i="6" s="1"/>
  <c r="BN24" i="6"/>
  <c r="BQ24" i="6" s="1"/>
  <c r="BN23" i="6"/>
  <c r="BQ23" i="6" s="1"/>
  <c r="BN22" i="6"/>
  <c r="BQ22" i="6" s="1"/>
  <c r="BN21" i="6"/>
  <c r="BQ21" i="6" s="1"/>
  <c r="BN20" i="6"/>
  <c r="BQ20" i="6" s="1"/>
  <c r="BN19" i="6"/>
  <c r="BQ19" i="6" s="1"/>
  <c r="BN18" i="6"/>
  <c r="BQ18" i="6" s="1"/>
  <c r="BN17" i="6"/>
  <c r="BQ17" i="6" s="1"/>
  <c r="BN16" i="6"/>
  <c r="BQ16" i="6" s="1"/>
  <c r="BN15" i="6"/>
  <c r="BQ15" i="6" s="1"/>
  <c r="BN14" i="6"/>
  <c r="BQ14" i="6" s="1"/>
  <c r="BN13" i="6"/>
  <c r="BQ13" i="6" s="1"/>
  <c r="BN12" i="6"/>
  <c r="BQ12" i="6" s="1"/>
  <c r="BN11" i="6"/>
  <c r="BQ11" i="6" s="1"/>
  <c r="BN10" i="6"/>
  <c r="BQ10" i="6" s="1"/>
  <c r="BN9" i="6"/>
  <c r="BQ9" i="6" s="1"/>
  <c r="BN8" i="6"/>
  <c r="BQ8" i="6" s="1"/>
  <c r="BN7" i="6"/>
  <c r="BQ7" i="6" s="1"/>
  <c r="BN6" i="6"/>
  <c r="BQ6" i="6" s="1"/>
  <c r="BN5" i="6"/>
  <c r="BQ5" i="6" s="1"/>
  <c r="BF52" i="6"/>
  <c r="BI52" i="6" s="1"/>
  <c r="BF51" i="6"/>
  <c r="BI51" i="6" s="1"/>
  <c r="BF50" i="6"/>
  <c r="BI50" i="6" s="1"/>
  <c r="BF49" i="6"/>
  <c r="BI49" i="6" s="1"/>
  <c r="BF48" i="6"/>
  <c r="BI48" i="6" s="1"/>
  <c r="BF47" i="6"/>
  <c r="BI47" i="6" s="1"/>
  <c r="BF46" i="6"/>
  <c r="BI46" i="6" s="1"/>
  <c r="BF45" i="6"/>
  <c r="BI45" i="6" s="1"/>
  <c r="BF44" i="6"/>
  <c r="BI44" i="6" s="1"/>
  <c r="BF43" i="6"/>
  <c r="BI43" i="6" s="1"/>
  <c r="BF42" i="6"/>
  <c r="BI42" i="6" s="1"/>
  <c r="BF41" i="6"/>
  <c r="BI41" i="6" s="1"/>
  <c r="BF40" i="6"/>
  <c r="BI40" i="6" s="1"/>
  <c r="BF39" i="6"/>
  <c r="BI39" i="6" s="1"/>
  <c r="BF38" i="6"/>
  <c r="BI38" i="6" s="1"/>
  <c r="BF37" i="6"/>
  <c r="BI37" i="6" s="1"/>
  <c r="BF36" i="6"/>
  <c r="BI36" i="6" s="1"/>
  <c r="BF35" i="6"/>
  <c r="BI35" i="6" s="1"/>
  <c r="BF34" i="6"/>
  <c r="BI34" i="6" s="1"/>
  <c r="BF33" i="6"/>
  <c r="BI33" i="6" s="1"/>
  <c r="BF32" i="6"/>
  <c r="BI32" i="6" s="1"/>
  <c r="BF31" i="6"/>
  <c r="BI31" i="6" s="1"/>
  <c r="BF30" i="6"/>
  <c r="BI30" i="6" s="1"/>
  <c r="BF29" i="6"/>
  <c r="BI29" i="6" s="1"/>
  <c r="BF28" i="6"/>
  <c r="BI28" i="6" s="1"/>
  <c r="BF27" i="6"/>
  <c r="BI27" i="6" s="1"/>
  <c r="BF26" i="6"/>
  <c r="BI26" i="6" s="1"/>
  <c r="BF25" i="6"/>
  <c r="BI25" i="6" s="1"/>
  <c r="BF24" i="6"/>
  <c r="BI24" i="6" s="1"/>
  <c r="BF23" i="6"/>
  <c r="BI23" i="6" s="1"/>
  <c r="BF22" i="6"/>
  <c r="BI22" i="6" s="1"/>
  <c r="BF21" i="6"/>
  <c r="BI21" i="6" s="1"/>
  <c r="BF20" i="6"/>
  <c r="BI20" i="6" s="1"/>
  <c r="BF19" i="6"/>
  <c r="BI19" i="6" s="1"/>
  <c r="BF18" i="6"/>
  <c r="BI18" i="6" s="1"/>
  <c r="BF17" i="6"/>
  <c r="BI17" i="6" s="1"/>
  <c r="BF16" i="6"/>
  <c r="BI16" i="6" s="1"/>
  <c r="BF15" i="6"/>
  <c r="BI15" i="6" s="1"/>
  <c r="BF14" i="6"/>
  <c r="BI14" i="6" s="1"/>
  <c r="BF13" i="6"/>
  <c r="BI13" i="6" s="1"/>
  <c r="BF12" i="6"/>
  <c r="BI12" i="6" s="1"/>
  <c r="BF11" i="6"/>
  <c r="BI11" i="6" s="1"/>
  <c r="BF10" i="6"/>
  <c r="BI10" i="6" s="1"/>
  <c r="BF9" i="6"/>
  <c r="BI9" i="6" s="1"/>
  <c r="BF8" i="6"/>
  <c r="BI8" i="6" s="1"/>
  <c r="BF7" i="6"/>
  <c r="BI7" i="6" s="1"/>
  <c r="BF6" i="6"/>
  <c r="BI6" i="6" s="1"/>
  <c r="BF5" i="6"/>
  <c r="BI5" i="6" s="1"/>
  <c r="AX52" i="6"/>
  <c r="BA52" i="6" s="1"/>
  <c r="AX51" i="6"/>
  <c r="BA51" i="6" s="1"/>
  <c r="AX50" i="6"/>
  <c r="BA50" i="6" s="1"/>
  <c r="AX49" i="6"/>
  <c r="BA49" i="6" s="1"/>
  <c r="AX48" i="6"/>
  <c r="BA48" i="6" s="1"/>
  <c r="AX47" i="6"/>
  <c r="BA47" i="6" s="1"/>
  <c r="AX46" i="6"/>
  <c r="BA46" i="6" s="1"/>
  <c r="AX45" i="6"/>
  <c r="BA45" i="6" s="1"/>
  <c r="AX44" i="6"/>
  <c r="BA44" i="6" s="1"/>
  <c r="AX43" i="6"/>
  <c r="BA43" i="6" s="1"/>
  <c r="AX42" i="6"/>
  <c r="BA42" i="6" s="1"/>
  <c r="AX41" i="6"/>
  <c r="BA41" i="6" s="1"/>
  <c r="AX40" i="6"/>
  <c r="BA40" i="6" s="1"/>
  <c r="AX39" i="6"/>
  <c r="BA39" i="6" s="1"/>
  <c r="AX38" i="6"/>
  <c r="BA38" i="6" s="1"/>
  <c r="AX37" i="6"/>
  <c r="BA37" i="6" s="1"/>
  <c r="AX36" i="6"/>
  <c r="BA36" i="6" s="1"/>
  <c r="AX35" i="6"/>
  <c r="BA35" i="6" s="1"/>
  <c r="AX34" i="6"/>
  <c r="BA34" i="6" s="1"/>
  <c r="AX33" i="6"/>
  <c r="BA33" i="6" s="1"/>
  <c r="AX32" i="6"/>
  <c r="BA32" i="6" s="1"/>
  <c r="AX31" i="6"/>
  <c r="BA31" i="6" s="1"/>
  <c r="AX30" i="6"/>
  <c r="BA30" i="6" s="1"/>
  <c r="AX29" i="6"/>
  <c r="BA29" i="6" s="1"/>
  <c r="AX28" i="6"/>
  <c r="BA28" i="6" s="1"/>
  <c r="AX27" i="6"/>
  <c r="BA27" i="6" s="1"/>
  <c r="AX26" i="6"/>
  <c r="BA26" i="6" s="1"/>
  <c r="AX25" i="6"/>
  <c r="BA25" i="6" s="1"/>
  <c r="AX24" i="6"/>
  <c r="BA24" i="6" s="1"/>
  <c r="AX23" i="6"/>
  <c r="BA23" i="6" s="1"/>
  <c r="AX22" i="6"/>
  <c r="BA22" i="6" s="1"/>
  <c r="AX21" i="6"/>
  <c r="BA21" i="6" s="1"/>
  <c r="AX20" i="6"/>
  <c r="BA20" i="6" s="1"/>
  <c r="AX19" i="6"/>
  <c r="BA19" i="6" s="1"/>
  <c r="AX18" i="6"/>
  <c r="BA18" i="6" s="1"/>
  <c r="AX17" i="6"/>
  <c r="BA17" i="6" s="1"/>
  <c r="AX16" i="6"/>
  <c r="BA16" i="6" s="1"/>
  <c r="AX15" i="6"/>
  <c r="BA15" i="6" s="1"/>
  <c r="AX14" i="6"/>
  <c r="BA14" i="6" s="1"/>
  <c r="AX13" i="6"/>
  <c r="BA13" i="6" s="1"/>
  <c r="AX12" i="6"/>
  <c r="BA12" i="6" s="1"/>
  <c r="AX11" i="6"/>
  <c r="BA11" i="6" s="1"/>
  <c r="AX10" i="6"/>
  <c r="BA10" i="6" s="1"/>
  <c r="AX9" i="6"/>
  <c r="BA9" i="6" s="1"/>
  <c r="AX8" i="6"/>
  <c r="BA8" i="6" s="1"/>
  <c r="AX7" i="6"/>
  <c r="BA7" i="6" s="1"/>
  <c r="AX6" i="6"/>
  <c r="BA6" i="6" s="1"/>
  <c r="AX5" i="6"/>
  <c r="BA5" i="6" s="1"/>
  <c r="AP52" i="6"/>
  <c r="AS52" i="6" s="1"/>
  <c r="AP51" i="6"/>
  <c r="AS51" i="6" s="1"/>
  <c r="AP50" i="6"/>
  <c r="AS50" i="6" s="1"/>
  <c r="AP49" i="6"/>
  <c r="AS49" i="6" s="1"/>
  <c r="AP48" i="6"/>
  <c r="AS48" i="6" s="1"/>
  <c r="AP47" i="6"/>
  <c r="AS47" i="6" s="1"/>
  <c r="AP46" i="6"/>
  <c r="AS46" i="6" s="1"/>
  <c r="AP45" i="6"/>
  <c r="AS45" i="6" s="1"/>
  <c r="AP44" i="6"/>
  <c r="AS44" i="6" s="1"/>
  <c r="AP43" i="6"/>
  <c r="AS43" i="6" s="1"/>
  <c r="AP42" i="6"/>
  <c r="AS42" i="6" s="1"/>
  <c r="AP41" i="6"/>
  <c r="AS41" i="6" s="1"/>
  <c r="AP40" i="6"/>
  <c r="AS40" i="6" s="1"/>
  <c r="AP39" i="6"/>
  <c r="AS39" i="6" s="1"/>
  <c r="AP38" i="6"/>
  <c r="AS38" i="6" s="1"/>
  <c r="AP37" i="6"/>
  <c r="AS37" i="6" s="1"/>
  <c r="AP36" i="6"/>
  <c r="AS36" i="6" s="1"/>
  <c r="AP35" i="6"/>
  <c r="AS35" i="6" s="1"/>
  <c r="AP34" i="6"/>
  <c r="AS34" i="6" s="1"/>
  <c r="AP33" i="6"/>
  <c r="AS33" i="6" s="1"/>
  <c r="AP32" i="6"/>
  <c r="AS32" i="6" s="1"/>
  <c r="AP31" i="6"/>
  <c r="AS31" i="6" s="1"/>
  <c r="AP30" i="6"/>
  <c r="AS30" i="6" s="1"/>
  <c r="AP29" i="6"/>
  <c r="AS29" i="6" s="1"/>
  <c r="AP28" i="6"/>
  <c r="AS28" i="6" s="1"/>
  <c r="AP27" i="6"/>
  <c r="AS27" i="6" s="1"/>
  <c r="AP26" i="6"/>
  <c r="AS26" i="6" s="1"/>
  <c r="AP25" i="6"/>
  <c r="AS25" i="6" s="1"/>
  <c r="AP24" i="6"/>
  <c r="AS24" i="6" s="1"/>
  <c r="AP23" i="6"/>
  <c r="AS23" i="6" s="1"/>
  <c r="AP22" i="6"/>
  <c r="AS22" i="6" s="1"/>
  <c r="AP21" i="6"/>
  <c r="AS21" i="6" s="1"/>
  <c r="AP20" i="6"/>
  <c r="AS20" i="6" s="1"/>
  <c r="AP19" i="6"/>
  <c r="AS19" i="6" s="1"/>
  <c r="AP18" i="6"/>
  <c r="AS18" i="6" s="1"/>
  <c r="AP17" i="6"/>
  <c r="AS17" i="6" s="1"/>
  <c r="AP16" i="6"/>
  <c r="AS16" i="6" s="1"/>
  <c r="AP15" i="6"/>
  <c r="AS15" i="6" s="1"/>
  <c r="AP14" i="6"/>
  <c r="AS14" i="6" s="1"/>
  <c r="AP13" i="6"/>
  <c r="AS13" i="6" s="1"/>
  <c r="AP12" i="6"/>
  <c r="AS12" i="6" s="1"/>
  <c r="AP11" i="6"/>
  <c r="AS11" i="6" s="1"/>
  <c r="AP10" i="6"/>
  <c r="AS10" i="6" s="1"/>
  <c r="AP9" i="6"/>
  <c r="AS9" i="6" s="1"/>
  <c r="AP8" i="6"/>
  <c r="AS8" i="6" s="1"/>
  <c r="AP7" i="6"/>
  <c r="AS7" i="6" s="1"/>
  <c r="AP6" i="6"/>
  <c r="AS6" i="6" s="1"/>
  <c r="AP5" i="6"/>
  <c r="AS5" i="6" s="1"/>
  <c r="AH52" i="6"/>
  <c r="AK52" i="6" s="1"/>
  <c r="AH51" i="6"/>
  <c r="AK51" i="6" s="1"/>
  <c r="AH50" i="6"/>
  <c r="AK50" i="6" s="1"/>
  <c r="AH49" i="6"/>
  <c r="AK49" i="6" s="1"/>
  <c r="AH48" i="6"/>
  <c r="AK48" i="6" s="1"/>
  <c r="AH47" i="6"/>
  <c r="AK47" i="6" s="1"/>
  <c r="AH46" i="6"/>
  <c r="AK46" i="6" s="1"/>
  <c r="AH45" i="6"/>
  <c r="AK45" i="6" s="1"/>
  <c r="AH44" i="6"/>
  <c r="AK44" i="6" s="1"/>
  <c r="AH43" i="6"/>
  <c r="AK43" i="6" s="1"/>
  <c r="AH42" i="6"/>
  <c r="AK42" i="6" s="1"/>
  <c r="AH41" i="6"/>
  <c r="AK41" i="6" s="1"/>
  <c r="AH40" i="6"/>
  <c r="AK40" i="6" s="1"/>
  <c r="AH39" i="6"/>
  <c r="AK39" i="6" s="1"/>
  <c r="AH38" i="6"/>
  <c r="AK38" i="6" s="1"/>
  <c r="AH37" i="6"/>
  <c r="AK37" i="6" s="1"/>
  <c r="AH36" i="6"/>
  <c r="AK36" i="6" s="1"/>
  <c r="AH35" i="6"/>
  <c r="AK35" i="6" s="1"/>
  <c r="AH34" i="6"/>
  <c r="AK34" i="6" s="1"/>
  <c r="AH33" i="6"/>
  <c r="AK33" i="6" s="1"/>
  <c r="AH32" i="6"/>
  <c r="AK32" i="6" s="1"/>
  <c r="AH31" i="6"/>
  <c r="AK31" i="6" s="1"/>
  <c r="AH30" i="6"/>
  <c r="AK30" i="6" s="1"/>
  <c r="AH29" i="6"/>
  <c r="AK29" i="6" s="1"/>
  <c r="AH28" i="6"/>
  <c r="AK28" i="6" s="1"/>
  <c r="AH27" i="6"/>
  <c r="AK27" i="6" s="1"/>
  <c r="AH26" i="6"/>
  <c r="AK26" i="6" s="1"/>
  <c r="AH25" i="6"/>
  <c r="AK25" i="6" s="1"/>
  <c r="AH24" i="6"/>
  <c r="AK24" i="6" s="1"/>
  <c r="AH23" i="6"/>
  <c r="AK23" i="6" s="1"/>
  <c r="AH22" i="6"/>
  <c r="AK22" i="6" s="1"/>
  <c r="AH21" i="6"/>
  <c r="AK21" i="6" s="1"/>
  <c r="AH20" i="6"/>
  <c r="AK20" i="6" s="1"/>
  <c r="AH19" i="6"/>
  <c r="AK19" i="6" s="1"/>
  <c r="AH18" i="6"/>
  <c r="AK18" i="6" s="1"/>
  <c r="AH17" i="6"/>
  <c r="AK17" i="6" s="1"/>
  <c r="AH16" i="6"/>
  <c r="AK16" i="6" s="1"/>
  <c r="AH15" i="6"/>
  <c r="AK15" i="6" s="1"/>
  <c r="AH14" i="6"/>
  <c r="AK14" i="6" s="1"/>
  <c r="AH13" i="6"/>
  <c r="AK13" i="6" s="1"/>
  <c r="AH12" i="6"/>
  <c r="AK12" i="6" s="1"/>
  <c r="AH11" i="6"/>
  <c r="AK11" i="6" s="1"/>
  <c r="AH10" i="6"/>
  <c r="AK10" i="6" s="1"/>
  <c r="AH9" i="6"/>
  <c r="AK9" i="6" s="1"/>
  <c r="AH8" i="6"/>
  <c r="AK8" i="6" s="1"/>
  <c r="AH7" i="6"/>
  <c r="AK7" i="6" s="1"/>
  <c r="AH6" i="6"/>
  <c r="AK6" i="6" s="1"/>
  <c r="AH5" i="6"/>
  <c r="AK5" i="6" s="1"/>
  <c r="Z52" i="6"/>
  <c r="AC52" i="6" s="1"/>
  <c r="Z51" i="6"/>
  <c r="AC51" i="6" s="1"/>
  <c r="Z50" i="6"/>
  <c r="AC50" i="6" s="1"/>
  <c r="Z49" i="6"/>
  <c r="AC49" i="6" s="1"/>
  <c r="Z48" i="6"/>
  <c r="AC48" i="6" s="1"/>
  <c r="Z47" i="6"/>
  <c r="AC47" i="6" s="1"/>
  <c r="Z46" i="6"/>
  <c r="AC46" i="6" s="1"/>
  <c r="Z45" i="6"/>
  <c r="AC45" i="6" s="1"/>
  <c r="Z44" i="6"/>
  <c r="AC44" i="6" s="1"/>
  <c r="Z43" i="6"/>
  <c r="AC43" i="6" s="1"/>
  <c r="Z42" i="6"/>
  <c r="AC42" i="6" s="1"/>
  <c r="Z41" i="6"/>
  <c r="AC41" i="6" s="1"/>
  <c r="Z40" i="6"/>
  <c r="AC40" i="6" s="1"/>
  <c r="Z39" i="6"/>
  <c r="AC39" i="6" s="1"/>
  <c r="Z38" i="6"/>
  <c r="AC38" i="6" s="1"/>
  <c r="Z37" i="6"/>
  <c r="AC37" i="6" s="1"/>
  <c r="Z36" i="6"/>
  <c r="AC36" i="6" s="1"/>
  <c r="Z35" i="6"/>
  <c r="AC35" i="6" s="1"/>
  <c r="Z34" i="6"/>
  <c r="AC34" i="6" s="1"/>
  <c r="Z33" i="6"/>
  <c r="AC33" i="6" s="1"/>
  <c r="Z32" i="6"/>
  <c r="AC32" i="6" s="1"/>
  <c r="Z31" i="6"/>
  <c r="AC31" i="6" s="1"/>
  <c r="Z30" i="6"/>
  <c r="AC30" i="6" s="1"/>
  <c r="Z29" i="6"/>
  <c r="AC29" i="6" s="1"/>
  <c r="Z28" i="6"/>
  <c r="AC28" i="6" s="1"/>
  <c r="Z27" i="6"/>
  <c r="AC27" i="6" s="1"/>
  <c r="Z26" i="6"/>
  <c r="AC26" i="6" s="1"/>
  <c r="Z25" i="6"/>
  <c r="AC25" i="6" s="1"/>
  <c r="Z24" i="6"/>
  <c r="AC24" i="6" s="1"/>
  <c r="Z23" i="6"/>
  <c r="AC23" i="6" s="1"/>
  <c r="Z22" i="6"/>
  <c r="AC22" i="6" s="1"/>
  <c r="Z21" i="6"/>
  <c r="AC21" i="6" s="1"/>
  <c r="Z20" i="6"/>
  <c r="AC20" i="6" s="1"/>
  <c r="Z19" i="6"/>
  <c r="AC19" i="6" s="1"/>
  <c r="Z18" i="6"/>
  <c r="AC18" i="6" s="1"/>
  <c r="Z17" i="6"/>
  <c r="AC17" i="6" s="1"/>
  <c r="Z16" i="6"/>
  <c r="AC16" i="6" s="1"/>
  <c r="Z15" i="6"/>
  <c r="AC15" i="6" s="1"/>
  <c r="Z14" i="6"/>
  <c r="AC14" i="6" s="1"/>
  <c r="Z13" i="6"/>
  <c r="AC13" i="6" s="1"/>
  <c r="Z12" i="6"/>
  <c r="AC12" i="6" s="1"/>
  <c r="Z11" i="6"/>
  <c r="AC11" i="6" s="1"/>
  <c r="Z10" i="6"/>
  <c r="AC10" i="6" s="1"/>
  <c r="Z9" i="6"/>
  <c r="AC9" i="6" s="1"/>
  <c r="Z8" i="6"/>
  <c r="AC8" i="6" s="1"/>
  <c r="Z7" i="6"/>
  <c r="AC7" i="6" s="1"/>
  <c r="Z6" i="6"/>
  <c r="AC6" i="6" s="1"/>
  <c r="Z5" i="6"/>
  <c r="AC5" i="6" s="1"/>
  <c r="R52" i="6"/>
  <c r="U52" i="6" s="1"/>
  <c r="R51" i="6"/>
  <c r="U51" i="6" s="1"/>
  <c r="R50" i="6"/>
  <c r="U50" i="6" s="1"/>
  <c r="R49" i="6"/>
  <c r="U49" i="6" s="1"/>
  <c r="R48" i="6"/>
  <c r="U48" i="6" s="1"/>
  <c r="R47" i="6"/>
  <c r="U47" i="6" s="1"/>
  <c r="R46" i="6"/>
  <c r="U46" i="6" s="1"/>
  <c r="R45" i="6"/>
  <c r="U45" i="6" s="1"/>
  <c r="R44" i="6"/>
  <c r="U44" i="6" s="1"/>
  <c r="R43" i="6"/>
  <c r="U43" i="6" s="1"/>
  <c r="R42" i="6"/>
  <c r="U42" i="6" s="1"/>
  <c r="R41" i="6"/>
  <c r="U41" i="6" s="1"/>
  <c r="R40" i="6"/>
  <c r="U40" i="6" s="1"/>
  <c r="R39" i="6"/>
  <c r="U39" i="6" s="1"/>
  <c r="R38" i="6"/>
  <c r="U38" i="6" s="1"/>
  <c r="R37" i="6"/>
  <c r="U37" i="6" s="1"/>
  <c r="R36" i="6"/>
  <c r="U36" i="6" s="1"/>
  <c r="R35" i="6"/>
  <c r="U35" i="6" s="1"/>
  <c r="R34" i="6"/>
  <c r="U34" i="6" s="1"/>
  <c r="R33" i="6"/>
  <c r="U33" i="6" s="1"/>
  <c r="R32" i="6"/>
  <c r="U32" i="6" s="1"/>
  <c r="R31" i="6"/>
  <c r="U31" i="6" s="1"/>
  <c r="R30" i="6"/>
  <c r="U30" i="6" s="1"/>
  <c r="R29" i="6"/>
  <c r="U29" i="6" s="1"/>
  <c r="R28" i="6"/>
  <c r="U28" i="6" s="1"/>
  <c r="R27" i="6"/>
  <c r="U27" i="6" s="1"/>
  <c r="R26" i="6"/>
  <c r="U26" i="6" s="1"/>
  <c r="R25" i="6"/>
  <c r="U25" i="6" s="1"/>
  <c r="R24" i="6"/>
  <c r="U24" i="6" s="1"/>
  <c r="R23" i="6"/>
  <c r="U23" i="6" s="1"/>
  <c r="R22" i="6"/>
  <c r="U22" i="6" s="1"/>
  <c r="R21" i="6"/>
  <c r="U21" i="6" s="1"/>
  <c r="R20" i="6"/>
  <c r="U20" i="6" s="1"/>
  <c r="R19" i="6"/>
  <c r="U19" i="6" s="1"/>
  <c r="R18" i="6"/>
  <c r="U18" i="6" s="1"/>
  <c r="R17" i="6"/>
  <c r="U17" i="6" s="1"/>
  <c r="R16" i="6"/>
  <c r="U16" i="6" s="1"/>
  <c r="R15" i="6"/>
  <c r="U15" i="6" s="1"/>
  <c r="R14" i="6"/>
  <c r="U14" i="6" s="1"/>
  <c r="R13" i="6"/>
  <c r="U13" i="6" s="1"/>
  <c r="R12" i="6"/>
  <c r="U12" i="6" s="1"/>
  <c r="R11" i="6"/>
  <c r="U11" i="6" s="1"/>
  <c r="R10" i="6"/>
  <c r="U10" i="6" s="1"/>
  <c r="R9" i="6"/>
  <c r="U9" i="6" s="1"/>
  <c r="R8" i="6"/>
  <c r="U8" i="6" s="1"/>
  <c r="R7" i="6"/>
  <c r="U7" i="6" s="1"/>
  <c r="R6" i="6"/>
  <c r="U6" i="6" s="1"/>
  <c r="R5" i="6"/>
  <c r="U5" i="6" s="1"/>
  <c r="J52" i="6"/>
  <c r="M52" i="6" s="1"/>
  <c r="J51" i="6"/>
  <c r="M51" i="6" s="1"/>
  <c r="J50" i="6"/>
  <c r="M50" i="6" s="1"/>
  <c r="J49" i="6"/>
  <c r="M49" i="6" s="1"/>
  <c r="J48" i="6"/>
  <c r="M48" i="6" s="1"/>
  <c r="J47" i="6"/>
  <c r="M47" i="6" s="1"/>
  <c r="J46" i="6"/>
  <c r="M46" i="6" s="1"/>
  <c r="J45" i="6"/>
  <c r="M45" i="6" s="1"/>
  <c r="J44" i="6"/>
  <c r="M44" i="6" s="1"/>
  <c r="J43" i="6"/>
  <c r="M43" i="6" s="1"/>
  <c r="J42" i="6"/>
  <c r="M42" i="6" s="1"/>
  <c r="J41" i="6"/>
  <c r="M41" i="6" s="1"/>
  <c r="J40" i="6"/>
  <c r="M40" i="6" s="1"/>
  <c r="J39" i="6"/>
  <c r="M39" i="6" s="1"/>
  <c r="J38" i="6"/>
  <c r="M38" i="6" s="1"/>
  <c r="J37" i="6"/>
  <c r="M37" i="6" s="1"/>
  <c r="J36" i="6"/>
  <c r="M36" i="6" s="1"/>
  <c r="J35" i="6"/>
  <c r="M35" i="6" s="1"/>
  <c r="J34" i="6"/>
  <c r="M34" i="6" s="1"/>
  <c r="J33" i="6"/>
  <c r="M33" i="6" s="1"/>
  <c r="J32" i="6"/>
  <c r="M32" i="6" s="1"/>
  <c r="J31" i="6"/>
  <c r="M31" i="6" s="1"/>
  <c r="J30" i="6"/>
  <c r="M30" i="6" s="1"/>
  <c r="J29" i="6"/>
  <c r="M29" i="6" s="1"/>
  <c r="J28" i="6"/>
  <c r="M28" i="6" s="1"/>
  <c r="J27" i="6"/>
  <c r="M27" i="6" s="1"/>
  <c r="J26" i="6"/>
  <c r="M26" i="6" s="1"/>
  <c r="J25" i="6"/>
  <c r="M25" i="6" s="1"/>
  <c r="J24" i="6"/>
  <c r="M24" i="6" s="1"/>
  <c r="J23" i="6"/>
  <c r="M23" i="6" s="1"/>
  <c r="J22" i="6"/>
  <c r="M22" i="6" s="1"/>
  <c r="J21" i="6"/>
  <c r="M21" i="6" s="1"/>
  <c r="J20" i="6"/>
  <c r="M20" i="6" s="1"/>
  <c r="J19" i="6"/>
  <c r="M19" i="6" s="1"/>
  <c r="J18" i="6"/>
  <c r="M18" i="6" s="1"/>
  <c r="J17" i="6"/>
  <c r="M17" i="6" s="1"/>
  <c r="J16" i="6"/>
  <c r="M16" i="6" s="1"/>
  <c r="J15" i="6"/>
  <c r="M15" i="6" s="1"/>
  <c r="J14" i="6"/>
  <c r="M14" i="6" s="1"/>
  <c r="J13" i="6"/>
  <c r="M13" i="6" s="1"/>
  <c r="J12" i="6"/>
  <c r="M12" i="6" s="1"/>
  <c r="J11" i="6"/>
  <c r="M11" i="6" s="1"/>
  <c r="J10" i="6"/>
  <c r="M10" i="6" s="1"/>
  <c r="J9" i="6"/>
  <c r="M9" i="6" s="1"/>
  <c r="J8" i="6"/>
  <c r="M8" i="6" s="1"/>
  <c r="J6" i="6"/>
  <c r="M6" i="6" s="1"/>
  <c r="J7" i="6"/>
  <c r="M7" i="6" s="1"/>
  <c r="J5" i="6"/>
  <c r="M5" i="6" s="1"/>
  <c r="Q7" i="28" l="1"/>
  <c r="O6" i="28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 i="9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 i="9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 i="9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 i="9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 i="9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 i="9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 i="9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 i="8"/>
  <c r="BC50" i="8"/>
  <c r="BC49" i="8"/>
  <c r="BC48" i="8"/>
  <c r="BC47" i="8"/>
  <c r="BC46" i="8"/>
  <c r="BC45" i="8"/>
  <c r="BC44" i="8"/>
  <c r="BC43" i="8"/>
  <c r="BC42" i="8"/>
  <c r="BC41" i="8"/>
  <c r="BC40" i="8"/>
  <c r="BC39" i="8"/>
  <c r="BC38" i="8"/>
  <c r="BC37" i="8"/>
  <c r="BC36" i="8"/>
  <c r="BC35" i="8"/>
  <c r="BC34" i="8"/>
  <c r="BC33" i="8"/>
  <c r="BC32" i="8"/>
  <c r="BC31" i="8"/>
  <c r="BC30" i="8"/>
  <c r="BC29" i="8"/>
  <c r="BC28" i="8"/>
  <c r="BC27" i="8"/>
  <c r="BC26" i="8"/>
  <c r="BC25" i="8"/>
  <c r="BC24" i="8"/>
  <c r="BC23" i="8"/>
  <c r="BC22" i="8"/>
  <c r="BC21" i="8"/>
  <c r="BC20" i="8"/>
  <c r="BC19" i="8"/>
  <c r="BC18" i="8"/>
  <c r="BC17" i="8"/>
  <c r="BC16" i="8"/>
  <c r="BC15" i="8"/>
  <c r="BC14" i="8"/>
  <c r="BC13" i="8"/>
  <c r="BC12" i="8"/>
  <c r="BC11" i="8"/>
  <c r="BC10" i="8"/>
  <c r="BC9" i="8"/>
  <c r="BC8" i="8"/>
  <c r="BC7" i="8"/>
  <c r="BC6" i="8"/>
  <c r="BC5" i="8"/>
  <c r="AX52" i="8"/>
  <c r="AX51" i="8"/>
  <c r="AX50" i="8"/>
  <c r="AX49" i="8"/>
  <c r="AX48" i="8"/>
  <c r="AX4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X26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S52" i="8"/>
  <c r="AS51" i="8"/>
  <c r="AS50" i="8"/>
  <c r="AS49" i="8"/>
  <c r="AS48" i="8"/>
  <c r="AS47" i="8"/>
  <c r="AS46" i="8"/>
  <c r="AS45" i="8"/>
  <c r="AS44" i="8"/>
  <c r="AS43" i="8"/>
  <c r="AS42" i="8"/>
  <c r="AS41" i="8"/>
  <c r="AS40" i="8"/>
  <c r="AS39" i="8"/>
  <c r="AS38" i="8"/>
  <c r="AS37" i="8"/>
  <c r="AS36" i="8"/>
  <c r="AS35" i="8"/>
  <c r="AS34" i="8"/>
  <c r="AS33" i="8"/>
  <c r="AS32" i="8"/>
  <c r="AS31" i="8"/>
  <c r="AS30" i="8"/>
  <c r="AS29" i="8"/>
  <c r="AS28" i="8"/>
  <c r="AS27" i="8"/>
  <c r="AS26" i="8"/>
  <c r="AS25" i="8"/>
  <c r="AS24" i="8"/>
  <c r="AS23" i="8"/>
  <c r="AS22" i="8"/>
  <c r="AS21" i="8"/>
  <c r="AS20" i="8"/>
  <c r="AS19" i="8"/>
  <c r="AS18" i="8"/>
  <c r="AS17" i="8"/>
  <c r="AS16" i="8"/>
  <c r="AS15" i="8"/>
  <c r="AS14" i="8"/>
  <c r="AS13" i="8"/>
  <c r="AS12" i="8"/>
  <c r="AS11" i="8"/>
  <c r="AS10" i="8"/>
  <c r="AS9" i="8"/>
  <c r="AS8" i="8"/>
  <c r="AS7" i="8"/>
  <c r="AS6" i="8"/>
  <c r="AS5" i="8"/>
  <c r="AN52" i="8"/>
  <c r="AN51" i="8"/>
  <c r="AN50" i="8"/>
  <c r="AN49" i="8"/>
  <c r="AN48" i="8"/>
  <c r="AN4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N26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I7" i="8"/>
  <c r="AI6" i="8"/>
  <c r="AI5" i="8"/>
  <c r="AD52" i="8"/>
  <c r="AD51" i="8"/>
  <c r="AD50" i="8"/>
  <c r="AD49" i="8"/>
  <c r="AD48" i="8"/>
  <c r="AD4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D26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Y52" i="8"/>
  <c r="Y51" i="8"/>
  <c r="Y50" i="8"/>
  <c r="Y49" i="8"/>
  <c r="Y48" i="8"/>
  <c r="Y47" i="8"/>
  <c r="Y46" i="8"/>
  <c r="Y45" i="8"/>
  <c r="Y44" i="8"/>
  <c r="Y43" i="8"/>
  <c r="Y42" i="8"/>
  <c r="Y41" i="8"/>
  <c r="Y40" i="8"/>
  <c r="Y39" i="8"/>
  <c r="Y38" i="8"/>
  <c r="Y37" i="8"/>
  <c r="Y36" i="8"/>
  <c r="Y35" i="8"/>
  <c r="Y34" i="8"/>
  <c r="Y33" i="8"/>
  <c r="Y32" i="8"/>
  <c r="Y31" i="8"/>
  <c r="Y30" i="8"/>
  <c r="Y29" i="8"/>
  <c r="Y28" i="8"/>
  <c r="Y27" i="8"/>
  <c r="Y26" i="8"/>
  <c r="Y25" i="8"/>
  <c r="Y24" i="8"/>
  <c r="Y23" i="8"/>
  <c r="Y22" i="8"/>
  <c r="Y21" i="8"/>
  <c r="Y20" i="8"/>
  <c r="Y19" i="8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O52" i="8"/>
  <c r="O51" i="8"/>
  <c r="O50" i="8"/>
  <c r="O49" i="8"/>
  <c r="O48" i="8"/>
  <c r="O47" i="8"/>
  <c r="O46" i="8"/>
  <c r="O45" i="8"/>
  <c r="O44" i="8"/>
  <c r="O43" i="8"/>
  <c r="O42" i="8"/>
  <c r="O41" i="8"/>
  <c r="O40" i="8"/>
  <c r="O39" i="8"/>
  <c r="O38" i="8"/>
  <c r="O37" i="8"/>
  <c r="O36" i="8"/>
  <c r="O35" i="8"/>
  <c r="O34" i="8"/>
  <c r="O33" i="8"/>
  <c r="O32" i="8"/>
  <c r="O31" i="8"/>
  <c r="O30" i="8"/>
  <c r="O29" i="8"/>
  <c r="O28" i="8"/>
  <c r="O27" i="8"/>
  <c r="O26" i="8"/>
  <c r="O25" i="8"/>
  <c r="O24" i="8"/>
  <c r="O23" i="8"/>
  <c r="O22" i="8"/>
  <c r="O21" i="8"/>
  <c r="O20" i="8"/>
  <c r="O19" i="8"/>
  <c r="O18" i="8"/>
  <c r="O17" i="8"/>
  <c r="O16" i="8"/>
  <c r="O15" i="8"/>
  <c r="O14" i="8"/>
  <c r="O13" i="8"/>
  <c r="O12" i="8"/>
  <c r="O11" i="8"/>
  <c r="O10" i="8"/>
  <c r="O9" i="8"/>
  <c r="O8" i="8"/>
  <c r="O7" i="8"/>
  <c r="O6" i="8"/>
  <c r="O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" i="8"/>
  <c r="AF8" i="34" l="1"/>
  <c r="R14" i="31"/>
  <c r="Q14" i="31"/>
  <c r="AE8" i="34"/>
  <c r="AD8" i="34"/>
  <c r="P14" i="31"/>
  <c r="O14" i="31"/>
  <c r="AC8" i="34"/>
  <c r="AB8" i="34"/>
  <c r="N14" i="31"/>
  <c r="AA8" i="34"/>
  <c r="M14" i="31"/>
  <c r="L14" i="31"/>
  <c r="Z8" i="34"/>
  <c r="CN6" i="6"/>
  <c r="CO6" i="6"/>
  <c r="CN7" i="6"/>
  <c r="CO7" i="6"/>
  <c r="CN8" i="6"/>
  <c r="CO8" i="6"/>
  <c r="CN9" i="6"/>
  <c r="CO9" i="6"/>
  <c r="CN10" i="6"/>
  <c r="CO10" i="6"/>
  <c r="CN11" i="6"/>
  <c r="CO11" i="6"/>
  <c r="CN12" i="6"/>
  <c r="CO12" i="6"/>
  <c r="CN13" i="6"/>
  <c r="CO13" i="6"/>
  <c r="CN14" i="6"/>
  <c r="CO14" i="6"/>
  <c r="CN15" i="6"/>
  <c r="CO15" i="6"/>
  <c r="CN16" i="6"/>
  <c r="CO16" i="6"/>
  <c r="CN17" i="6"/>
  <c r="CO17" i="6"/>
  <c r="CN18" i="6"/>
  <c r="CO18" i="6"/>
  <c r="CN19" i="6"/>
  <c r="CO19" i="6"/>
  <c r="CN20" i="6"/>
  <c r="CO20" i="6"/>
  <c r="CN21" i="6"/>
  <c r="CO21" i="6"/>
  <c r="CN22" i="6"/>
  <c r="CO22" i="6"/>
  <c r="CN23" i="6"/>
  <c r="CO23" i="6"/>
  <c r="CN24" i="6"/>
  <c r="CO24" i="6"/>
  <c r="CN25" i="6"/>
  <c r="CO25" i="6"/>
  <c r="CN26" i="6"/>
  <c r="CO26" i="6"/>
  <c r="CN27" i="6"/>
  <c r="CO27" i="6"/>
  <c r="CN28" i="6"/>
  <c r="CO28" i="6"/>
  <c r="CN29" i="6"/>
  <c r="CO29" i="6"/>
  <c r="CN30" i="6"/>
  <c r="CO30" i="6"/>
  <c r="CN31" i="6"/>
  <c r="CO31" i="6"/>
  <c r="CN32" i="6"/>
  <c r="CO32" i="6"/>
  <c r="CN33" i="6"/>
  <c r="CO33" i="6"/>
  <c r="CN34" i="6"/>
  <c r="CO34" i="6"/>
  <c r="CN35" i="6"/>
  <c r="CO35" i="6"/>
  <c r="CN36" i="6"/>
  <c r="CO36" i="6"/>
  <c r="CN37" i="6"/>
  <c r="CO37" i="6"/>
  <c r="CN38" i="6"/>
  <c r="CO38" i="6"/>
  <c r="CN39" i="6"/>
  <c r="CO39" i="6"/>
  <c r="CN40" i="6"/>
  <c r="CO40" i="6"/>
  <c r="CN41" i="6"/>
  <c r="CO41" i="6"/>
  <c r="CN42" i="6"/>
  <c r="CO42" i="6"/>
  <c r="CN43" i="6"/>
  <c r="CO43" i="6"/>
  <c r="CN44" i="6"/>
  <c r="CO44" i="6"/>
  <c r="CN45" i="6"/>
  <c r="CO45" i="6"/>
  <c r="CN46" i="6"/>
  <c r="CO46" i="6"/>
  <c r="CN47" i="6"/>
  <c r="CO47" i="6"/>
  <c r="CN48" i="6"/>
  <c r="CO48" i="6"/>
  <c r="CN49" i="6"/>
  <c r="CO49" i="6"/>
  <c r="CN50" i="6"/>
  <c r="CO50" i="6"/>
  <c r="CN51" i="6"/>
  <c r="CO51" i="6"/>
  <c r="CN52" i="6"/>
  <c r="CO52" i="6"/>
  <c r="CN5" i="6"/>
  <c r="CO5" i="6"/>
  <c r="E5" i="18" l="1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AY1" i="8" l="1"/>
  <c r="AT1" i="8"/>
  <c r="AO1" i="8"/>
  <c r="AJ1" i="8"/>
  <c r="AE1" i="8"/>
  <c r="Z1" i="8"/>
  <c r="U1" i="8"/>
  <c r="P1" i="8"/>
  <c r="K1" i="8"/>
  <c r="F1" i="8"/>
  <c r="AY2" i="8"/>
  <c r="AT2" i="8"/>
  <c r="AO2" i="8"/>
  <c r="AJ2" i="8"/>
  <c r="AE2" i="8"/>
  <c r="Z2" i="8"/>
  <c r="U2" i="8"/>
  <c r="P2" i="8"/>
  <c r="K2" i="8"/>
  <c r="F2" i="8"/>
  <c r="BZ2" i="6"/>
  <c r="BZ1" i="6"/>
  <c r="BR2" i="6"/>
  <c r="BR1" i="6"/>
  <c r="BJ2" i="6"/>
  <c r="BJ1" i="6"/>
  <c r="BB2" i="6"/>
  <c r="BB1" i="6"/>
  <c r="AT2" i="6"/>
  <c r="AT1" i="6"/>
  <c r="AL2" i="6"/>
  <c r="AL1" i="6"/>
  <c r="AD1" i="6"/>
  <c r="AD2" i="6"/>
  <c r="V1" i="6"/>
  <c r="V2" i="6"/>
  <c r="N2" i="6"/>
  <c r="N1" i="6"/>
  <c r="F1" i="6"/>
  <c r="F2" i="6"/>
  <c r="P3" i="34"/>
  <c r="C4" i="29"/>
  <c r="A2" i="39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29" i="31"/>
  <c r="J30" i="31"/>
  <c r="J31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50" i="31"/>
  <c r="L51" i="31"/>
  <c r="L52" i="31"/>
  <c r="L53" i="31"/>
  <c r="L54" i="31"/>
  <c r="L55" i="31"/>
  <c r="L56" i="31"/>
  <c r="L57" i="31"/>
  <c r="L58" i="31"/>
  <c r="L59" i="31"/>
  <c r="L60" i="31"/>
  <c r="L61" i="31"/>
  <c r="M15" i="31"/>
  <c r="M16" i="31"/>
  <c r="M17" i="31"/>
  <c r="M18" i="31"/>
  <c r="M19" i="31"/>
  <c r="M20" i="31"/>
  <c r="M21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M49" i="31"/>
  <c r="M50" i="31"/>
  <c r="M51" i="31"/>
  <c r="M52" i="31"/>
  <c r="M53" i="31"/>
  <c r="M54" i="31"/>
  <c r="M55" i="31"/>
  <c r="M56" i="31"/>
  <c r="M57" i="31"/>
  <c r="M58" i="31"/>
  <c r="M59" i="31"/>
  <c r="M60" i="31"/>
  <c r="M61" i="31"/>
  <c r="N15" i="31"/>
  <c r="N16" i="31"/>
  <c r="N17" i="31"/>
  <c r="N18" i="31"/>
  <c r="N19" i="31"/>
  <c r="N20" i="31"/>
  <c r="N21" i="31"/>
  <c r="N22" i="31"/>
  <c r="N23" i="31"/>
  <c r="N24" i="31"/>
  <c r="N25" i="31"/>
  <c r="N26" i="31"/>
  <c r="N27" i="31"/>
  <c r="N28" i="31"/>
  <c r="N29" i="31"/>
  <c r="N30" i="31"/>
  <c r="N31" i="31"/>
  <c r="N32" i="31"/>
  <c r="N33" i="31"/>
  <c r="N34" i="31"/>
  <c r="N35" i="31"/>
  <c r="N36" i="31"/>
  <c r="N37" i="31"/>
  <c r="N38" i="31"/>
  <c r="N39" i="31"/>
  <c r="N40" i="31"/>
  <c r="N41" i="31"/>
  <c r="N42" i="31"/>
  <c r="N43" i="31"/>
  <c r="N44" i="31"/>
  <c r="N45" i="31"/>
  <c r="N46" i="31"/>
  <c r="N47" i="31"/>
  <c r="N48" i="31"/>
  <c r="N49" i="31"/>
  <c r="N50" i="31"/>
  <c r="N51" i="31"/>
  <c r="N52" i="31"/>
  <c r="N53" i="31"/>
  <c r="N54" i="31"/>
  <c r="N55" i="31"/>
  <c r="N56" i="31"/>
  <c r="N57" i="31"/>
  <c r="N58" i="31"/>
  <c r="N59" i="31"/>
  <c r="N60" i="31"/>
  <c r="N61" i="31"/>
  <c r="O15" i="31"/>
  <c r="O16" i="31"/>
  <c r="O17" i="31"/>
  <c r="O18" i="31"/>
  <c r="O19" i="31"/>
  <c r="O20" i="31"/>
  <c r="O21" i="31"/>
  <c r="O22" i="31"/>
  <c r="O23" i="31"/>
  <c r="O24" i="31"/>
  <c r="O25" i="31"/>
  <c r="O26" i="31"/>
  <c r="O27" i="31"/>
  <c r="O28" i="31"/>
  <c r="O29" i="31"/>
  <c r="O30" i="31"/>
  <c r="O31" i="31"/>
  <c r="O32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53" i="31"/>
  <c r="O54" i="31"/>
  <c r="O55" i="31"/>
  <c r="O56" i="31"/>
  <c r="O57" i="31"/>
  <c r="O58" i="31"/>
  <c r="O59" i="31"/>
  <c r="O60" i="31"/>
  <c r="O61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P52" i="31"/>
  <c r="P53" i="31"/>
  <c r="P54" i="31"/>
  <c r="P55" i="31"/>
  <c r="P56" i="31"/>
  <c r="P57" i="31"/>
  <c r="P58" i="31"/>
  <c r="P59" i="31"/>
  <c r="P60" i="31"/>
  <c r="P61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R15" i="31"/>
  <c r="R16" i="31"/>
  <c r="R17" i="31"/>
  <c r="R18" i="31"/>
  <c r="R19" i="31"/>
  <c r="R20" i="31"/>
  <c r="R21" i="31"/>
  <c r="R22" i="31"/>
  <c r="R23" i="31"/>
  <c r="R24" i="31"/>
  <c r="R25" i="31"/>
  <c r="R26" i="31"/>
  <c r="R27" i="31"/>
  <c r="R28" i="31"/>
  <c r="R29" i="31"/>
  <c r="R30" i="31"/>
  <c r="R31" i="31"/>
  <c r="R32" i="31"/>
  <c r="R33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R48" i="31"/>
  <c r="R49" i="31"/>
  <c r="R50" i="31"/>
  <c r="R51" i="31"/>
  <c r="R52" i="31"/>
  <c r="R53" i="31"/>
  <c r="R54" i="31"/>
  <c r="R55" i="31"/>
  <c r="R56" i="31"/>
  <c r="R57" i="31"/>
  <c r="R58" i="31"/>
  <c r="R59" i="31"/>
  <c r="R60" i="31"/>
  <c r="R61" i="31"/>
  <c r="F1" i="9" l="1"/>
  <c r="J1" i="9" l="1"/>
  <c r="D8" i="31"/>
  <c r="A2" i="38"/>
  <c r="AL8" i="9" l="1"/>
  <c r="AL10" i="9"/>
  <c r="AG11" i="34" s="1"/>
  <c r="AL12" i="9"/>
  <c r="AL14" i="9"/>
  <c r="AL16" i="9"/>
  <c r="AL18" i="9"/>
  <c r="AG19" i="34" s="1"/>
  <c r="AL20" i="9"/>
  <c r="AL22" i="9"/>
  <c r="AG23" i="34" s="1"/>
  <c r="AL24" i="9"/>
  <c r="AL26" i="9"/>
  <c r="AG27" i="34" s="1"/>
  <c r="AL28" i="9"/>
  <c r="AL30" i="9"/>
  <c r="AL32" i="9"/>
  <c r="AL34" i="9"/>
  <c r="AG35" i="34" s="1"/>
  <c r="AL36" i="9"/>
  <c r="AL38" i="9"/>
  <c r="AG39" i="34" s="1"/>
  <c r="AL40" i="9"/>
  <c r="AL42" i="9"/>
  <c r="AG43" i="34" s="1"/>
  <c r="AL44" i="9"/>
  <c r="AL46" i="9"/>
  <c r="AL48" i="9"/>
  <c r="AL50" i="9"/>
  <c r="AG51" i="34" s="1"/>
  <c r="AL52" i="9"/>
  <c r="AL54" i="9"/>
  <c r="AG55" i="34" s="1"/>
  <c r="AL7" i="9"/>
  <c r="AL9" i="9"/>
  <c r="AG10" i="34" s="1"/>
  <c r="AL11" i="9"/>
  <c r="AG12" i="34" s="1"/>
  <c r="AL13" i="9"/>
  <c r="AL15" i="9"/>
  <c r="AL17" i="9"/>
  <c r="AG18" i="34" s="1"/>
  <c r="AL19" i="9"/>
  <c r="AL21" i="9"/>
  <c r="AL23" i="9"/>
  <c r="AG24" i="34" s="1"/>
  <c r="AL25" i="9"/>
  <c r="AG26" i="34" s="1"/>
  <c r="AL27" i="9"/>
  <c r="AG28" i="34" s="1"/>
  <c r="AL29" i="9"/>
  <c r="AL31" i="9"/>
  <c r="AL33" i="9"/>
  <c r="AG34" i="34" s="1"/>
  <c r="AL35" i="9"/>
  <c r="AL37" i="9"/>
  <c r="AL39" i="9"/>
  <c r="AG40" i="34" s="1"/>
  <c r="AL41" i="9"/>
  <c r="AG42" i="34" s="1"/>
  <c r="AL43" i="9"/>
  <c r="AG44" i="34" s="1"/>
  <c r="AL45" i="9"/>
  <c r="AL47" i="9"/>
  <c r="AL49" i="9"/>
  <c r="AG50" i="34" s="1"/>
  <c r="AL51" i="9"/>
  <c r="AL53" i="9"/>
  <c r="S46" i="31"/>
  <c r="S40" i="31"/>
  <c r="S30" i="31"/>
  <c r="S16" i="31"/>
  <c r="S57" i="31"/>
  <c r="S49" i="31"/>
  <c r="S45" i="31"/>
  <c r="S33" i="31"/>
  <c r="S25" i="31"/>
  <c r="S17" i="31"/>
  <c r="I54" i="9"/>
  <c r="I52" i="9"/>
  <c r="I50" i="9"/>
  <c r="I48" i="9"/>
  <c r="I46" i="9"/>
  <c r="I44" i="9"/>
  <c r="I42" i="9"/>
  <c r="I40" i="9"/>
  <c r="I38" i="9"/>
  <c r="I36" i="9"/>
  <c r="I34" i="9"/>
  <c r="I32" i="9"/>
  <c r="I30" i="9"/>
  <c r="I28" i="9"/>
  <c r="I26" i="9"/>
  <c r="I24" i="9"/>
  <c r="I22" i="9"/>
  <c r="I20" i="9"/>
  <c r="I18" i="9"/>
  <c r="I16" i="9"/>
  <c r="I14" i="9"/>
  <c r="I12" i="9"/>
  <c r="I10" i="9"/>
  <c r="I8" i="9"/>
  <c r="I53" i="9"/>
  <c r="I51" i="9"/>
  <c r="I49" i="9"/>
  <c r="I47" i="9"/>
  <c r="I45" i="9"/>
  <c r="I43" i="9"/>
  <c r="I41" i="9"/>
  <c r="I39" i="9"/>
  <c r="I37" i="9"/>
  <c r="I35" i="9"/>
  <c r="I33" i="9"/>
  <c r="I31" i="9"/>
  <c r="I29" i="9"/>
  <c r="I27" i="9"/>
  <c r="I25" i="9"/>
  <c r="I23" i="9"/>
  <c r="I21" i="9"/>
  <c r="I19" i="9"/>
  <c r="I17" i="9"/>
  <c r="I15" i="9"/>
  <c r="I13" i="9"/>
  <c r="I11" i="9"/>
  <c r="I9" i="9"/>
  <c r="J14" i="31"/>
  <c r="I7" i="9"/>
  <c r="D16" i="45"/>
  <c r="H25" i="45"/>
  <c r="F25" i="45"/>
  <c r="D25" i="45"/>
  <c r="H24" i="45"/>
  <c r="F24" i="45"/>
  <c r="D24" i="45"/>
  <c r="H23" i="45"/>
  <c r="F23" i="45"/>
  <c r="D23" i="45"/>
  <c r="H22" i="45"/>
  <c r="F22" i="45"/>
  <c r="D22" i="45"/>
  <c r="H21" i="45"/>
  <c r="F21" i="45"/>
  <c r="D21" i="45"/>
  <c r="H20" i="45"/>
  <c r="F20" i="45"/>
  <c r="D20" i="45"/>
  <c r="H19" i="45"/>
  <c r="F19" i="45"/>
  <c r="D19" i="45"/>
  <c r="H18" i="45"/>
  <c r="F18" i="45"/>
  <c r="D18" i="45"/>
  <c r="H17" i="45"/>
  <c r="F17" i="45"/>
  <c r="D17" i="45"/>
  <c r="H16" i="45"/>
  <c r="F16" i="45"/>
  <c r="J15" i="45"/>
  <c r="D25" i="44"/>
  <c r="D24" i="44"/>
  <c r="D23" i="44"/>
  <c r="D22" i="44"/>
  <c r="D21" i="44"/>
  <c r="D20" i="44"/>
  <c r="D19" i="44"/>
  <c r="D18" i="44"/>
  <c r="D17" i="44"/>
  <c r="D16" i="44"/>
  <c r="F25" i="44"/>
  <c r="F24" i="44"/>
  <c r="F23" i="44"/>
  <c r="F22" i="44"/>
  <c r="F21" i="44"/>
  <c r="F20" i="44"/>
  <c r="F19" i="44"/>
  <c r="F18" i="44"/>
  <c r="F17" i="44"/>
  <c r="F16" i="44"/>
  <c r="H25" i="44"/>
  <c r="H24" i="44"/>
  <c r="H23" i="44"/>
  <c r="H22" i="44"/>
  <c r="H21" i="44"/>
  <c r="H20" i="44"/>
  <c r="H19" i="44"/>
  <c r="H18" i="44"/>
  <c r="H17" i="44"/>
  <c r="H16" i="44"/>
  <c r="J15" i="44"/>
  <c r="J24" i="44" s="1"/>
  <c r="S29" i="31" l="1"/>
  <c r="S41" i="31"/>
  <c r="S61" i="31"/>
  <c r="S24" i="31"/>
  <c r="S32" i="31"/>
  <c r="S48" i="31"/>
  <c r="K16" i="31"/>
  <c r="Y10" i="34"/>
  <c r="K56" i="31"/>
  <c r="Y50" i="34"/>
  <c r="Y8" i="34"/>
  <c r="K14" i="31"/>
  <c r="K20" i="31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 i="34"/>
  <c r="S14" i="31"/>
  <c r="S55" i="31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 i="31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 i="31"/>
  <c r="S50" i="31"/>
  <c r="K32" i="31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 i="44"/>
  <c r="L24" i="44" s="1"/>
  <c r="J23" i="44"/>
  <c r="J21" i="44"/>
  <c r="J17" i="44"/>
  <c r="J25" i="44"/>
  <c r="J16" i="44"/>
  <c r="J18" i="44"/>
  <c r="J20" i="44"/>
  <c r="J22" i="44"/>
  <c r="J25" i="45"/>
  <c r="J23" i="45"/>
  <c r="J21" i="45"/>
  <c r="J19" i="45"/>
  <c r="J17" i="45"/>
  <c r="J24" i="45"/>
  <c r="J22" i="45"/>
  <c r="J20" i="45"/>
  <c r="J18" i="45"/>
  <c r="J16" i="45"/>
  <c r="L15" i="45"/>
  <c r="L23" i="44" l="1"/>
  <c r="L18" i="44"/>
  <c r="L19" i="44"/>
  <c r="L20" i="44"/>
  <c r="N15" i="44"/>
  <c r="N24" i="44" s="1"/>
  <c r="L22" i="44"/>
  <c r="L16" i="44"/>
  <c r="L21" i="44"/>
  <c r="L17" i="44"/>
  <c r="L25" i="44"/>
  <c r="N22" i="44"/>
  <c r="N20" i="44"/>
  <c r="N18" i="44"/>
  <c r="N25" i="44"/>
  <c r="N21" i="44"/>
  <c r="N17" i="44"/>
  <c r="N19" i="44"/>
  <c r="P15" i="44"/>
  <c r="L24" i="45"/>
  <c r="L22" i="45"/>
  <c r="L20" i="45"/>
  <c r="L18" i="45"/>
  <c r="L16" i="45"/>
  <c r="L25" i="45"/>
  <c r="L23" i="45"/>
  <c r="L21" i="45"/>
  <c r="L19" i="45"/>
  <c r="L17" i="45"/>
  <c r="N15" i="45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G9" i="34"/>
  <c r="AH9" i="34" s="1"/>
  <c r="G10" i="34"/>
  <c r="AH10" i="34" s="1"/>
  <c r="G11" i="34"/>
  <c r="AH11" i="34" s="1"/>
  <c r="G12" i="34"/>
  <c r="AH12" i="34" s="1"/>
  <c r="G13" i="34"/>
  <c r="AH13" i="34" s="1"/>
  <c r="G14" i="34"/>
  <c r="AH14" i="34" s="1"/>
  <c r="G15" i="34"/>
  <c r="AH15" i="34" s="1"/>
  <c r="G16" i="34"/>
  <c r="AH16" i="34" s="1"/>
  <c r="G17" i="34"/>
  <c r="AH17" i="34" s="1"/>
  <c r="G18" i="34"/>
  <c r="AH18" i="34" s="1"/>
  <c r="G19" i="34"/>
  <c r="AH19" i="34" s="1"/>
  <c r="G20" i="34"/>
  <c r="AH20" i="34" s="1"/>
  <c r="G21" i="34"/>
  <c r="AH21" i="34" s="1"/>
  <c r="G22" i="34"/>
  <c r="AH22" i="34" s="1"/>
  <c r="G23" i="34"/>
  <c r="AH23" i="34" s="1"/>
  <c r="G24" i="34"/>
  <c r="AH24" i="34" s="1"/>
  <c r="G25" i="34"/>
  <c r="AH25" i="34" s="1"/>
  <c r="G26" i="34"/>
  <c r="AH26" i="34" s="1"/>
  <c r="G27" i="34"/>
  <c r="AH27" i="34" s="1"/>
  <c r="G28" i="34"/>
  <c r="AH28" i="34" s="1"/>
  <c r="G29" i="34"/>
  <c r="AH29" i="34" s="1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8" i="34"/>
  <c r="AH8" i="34" s="1"/>
  <c r="N23" i="44" l="1"/>
  <c r="N16" i="44"/>
  <c r="AH54" i="34"/>
  <c r="AH52" i="34"/>
  <c r="AH50" i="34"/>
  <c r="AH48" i="34"/>
  <c r="AH46" i="34"/>
  <c r="AH44" i="34"/>
  <c r="AH42" i="34"/>
  <c r="AH40" i="34"/>
  <c r="AH38" i="34"/>
  <c r="AH36" i="34"/>
  <c r="AH34" i="34"/>
  <c r="AH32" i="34"/>
  <c r="AH30" i="34"/>
  <c r="AH55" i="34"/>
  <c r="AH53" i="34"/>
  <c r="AH51" i="34"/>
  <c r="AH49" i="34"/>
  <c r="AH47" i="34"/>
  <c r="AH45" i="34"/>
  <c r="AH43" i="34"/>
  <c r="AH41" i="34"/>
  <c r="AH39" i="34"/>
  <c r="AH37" i="34"/>
  <c r="AH35" i="34"/>
  <c r="AH33" i="34"/>
  <c r="AH31" i="34"/>
  <c r="P24" i="44"/>
  <c r="P22" i="44"/>
  <c r="P20" i="44"/>
  <c r="P18" i="44"/>
  <c r="P16" i="44"/>
  <c r="R15" i="44"/>
  <c r="P23" i="44"/>
  <c r="P19" i="44"/>
  <c r="P25" i="44"/>
  <c r="P21" i="44"/>
  <c r="P17" i="44"/>
  <c r="N25" i="45"/>
  <c r="N23" i="45"/>
  <c r="N21" i="45"/>
  <c r="N19" i="45"/>
  <c r="N17" i="45"/>
  <c r="N24" i="45"/>
  <c r="N22" i="45"/>
  <c r="N20" i="45"/>
  <c r="N18" i="45"/>
  <c r="N16" i="45"/>
  <c r="P15" i="45"/>
  <c r="L2" i="16"/>
  <c r="DG14" i="30"/>
  <c r="CU14" i="30"/>
  <c r="CI14" i="30"/>
  <c r="BW14" i="30"/>
  <c r="BK14" i="30"/>
  <c r="AY14" i="30"/>
  <c r="AM14" i="30"/>
  <c r="AA14" i="30"/>
  <c r="O14" i="30"/>
  <c r="C14" i="30"/>
  <c r="F2" i="34"/>
  <c r="R24" i="44" l="1"/>
  <c r="R22" i="44"/>
  <c r="R20" i="44"/>
  <c r="R18" i="44"/>
  <c r="R16" i="44"/>
  <c r="R25" i="44"/>
  <c r="R21" i="44"/>
  <c r="R17" i="44"/>
  <c r="T15" i="44"/>
  <c r="R23" i="44"/>
  <c r="R19" i="44"/>
  <c r="P24" i="45"/>
  <c r="P22" i="45"/>
  <c r="P20" i="45"/>
  <c r="P18" i="45"/>
  <c r="P16" i="45"/>
  <c r="P25" i="45"/>
  <c r="P23" i="45"/>
  <c r="P21" i="45"/>
  <c r="P19" i="45"/>
  <c r="P17" i="45"/>
  <c r="R15" i="45"/>
  <c r="B59" i="31"/>
  <c r="C59" i="31"/>
  <c r="T59" i="31" s="1"/>
  <c r="B60" i="31"/>
  <c r="C60" i="31"/>
  <c r="T60" i="31" s="1"/>
  <c r="B61" i="31"/>
  <c r="C61" i="31"/>
  <c r="T61" i="31" s="1"/>
  <c r="A59" i="31"/>
  <c r="A60" i="31"/>
  <c r="A61" i="3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 i="17"/>
  <c r="F2" i="16"/>
  <c r="F2" i="17"/>
  <c r="I8" i="31"/>
  <c r="D9" i="31"/>
  <c r="T24" i="44" l="1"/>
  <c r="T22" i="44"/>
  <c r="T20" i="44"/>
  <c r="T18" i="44"/>
  <c r="T16" i="44"/>
  <c r="V15" i="44"/>
  <c r="T23" i="44"/>
  <c r="T19" i="44"/>
  <c r="T25" i="44"/>
  <c r="T21" i="44"/>
  <c r="T17" i="44"/>
  <c r="R25" i="45"/>
  <c r="R23" i="45"/>
  <c r="R21" i="45"/>
  <c r="R19" i="45"/>
  <c r="R17" i="45"/>
  <c r="R24" i="45"/>
  <c r="R22" i="45"/>
  <c r="R20" i="45"/>
  <c r="R18" i="45"/>
  <c r="R16" i="45"/>
  <c r="T15" i="45"/>
  <c r="I2" i="30"/>
  <c r="I1" i="30"/>
  <c r="L5" i="29"/>
  <c r="A67" i="29"/>
  <c r="B67" i="29"/>
  <c r="A68" i="29"/>
  <c r="B68" i="29"/>
  <c r="A69" i="29"/>
  <c r="B69" i="29"/>
  <c r="V24" i="44" l="1"/>
  <c r="V22" i="44"/>
  <c r="V20" i="44"/>
  <c r="V18" i="44"/>
  <c r="V16" i="44"/>
  <c r="V25" i="44"/>
  <c r="V21" i="44"/>
  <c r="V17" i="44"/>
  <c r="V23" i="44"/>
  <c r="V19" i="44"/>
  <c r="X15" i="44"/>
  <c r="T24" i="45"/>
  <c r="T22" i="45"/>
  <c r="T20" i="45"/>
  <c r="T18" i="45"/>
  <c r="T16" i="45"/>
  <c r="T25" i="45"/>
  <c r="T23" i="45"/>
  <c r="T21" i="45"/>
  <c r="T19" i="45"/>
  <c r="T17" i="45"/>
  <c r="V15" i="45"/>
  <c r="R2" i="39"/>
  <c r="A1" i="39"/>
  <c r="X24" i="44" l="1"/>
  <c r="X22" i="44"/>
  <c r="X20" i="44"/>
  <c r="X18" i="44"/>
  <c r="X16" i="44"/>
  <c r="Z15" i="44"/>
  <c r="X25" i="44"/>
  <c r="X21" i="44"/>
  <c r="X17" i="44"/>
  <c r="X23" i="44"/>
  <c r="X19" i="44"/>
  <c r="V25" i="45"/>
  <c r="V23" i="45"/>
  <c r="V21" i="45"/>
  <c r="V19" i="45"/>
  <c r="V17" i="45"/>
  <c r="V24" i="45"/>
  <c r="V22" i="45"/>
  <c r="V20" i="45"/>
  <c r="V18" i="45"/>
  <c r="V16" i="45"/>
  <c r="X15" i="45"/>
  <c r="K2" i="40"/>
  <c r="A2" i="40"/>
  <c r="A1" i="40"/>
  <c r="D56" i="40"/>
  <c r="C56" i="40"/>
  <c r="B56" i="40"/>
  <c r="A56" i="40"/>
  <c r="D55" i="40"/>
  <c r="C55" i="40"/>
  <c r="B55" i="40"/>
  <c r="A55" i="40"/>
  <c r="D54" i="40"/>
  <c r="C54" i="40"/>
  <c r="B54" i="40"/>
  <c r="A54" i="40"/>
  <c r="D53" i="40"/>
  <c r="C53" i="40"/>
  <c r="B53" i="40"/>
  <c r="A53" i="40"/>
  <c r="D52" i="40"/>
  <c r="C52" i="40"/>
  <c r="B52" i="40"/>
  <c r="A52" i="40"/>
  <c r="D51" i="40"/>
  <c r="C51" i="40"/>
  <c r="B51" i="40"/>
  <c r="A51" i="40"/>
  <c r="D50" i="40"/>
  <c r="C50" i="40"/>
  <c r="B50" i="40"/>
  <c r="A50" i="40"/>
  <c r="D49" i="40"/>
  <c r="C49" i="40"/>
  <c r="B49" i="40"/>
  <c r="A49" i="40"/>
  <c r="D48" i="40"/>
  <c r="C48" i="40"/>
  <c r="B48" i="40"/>
  <c r="A48" i="40"/>
  <c r="D47" i="40"/>
  <c r="C47" i="40"/>
  <c r="B47" i="40"/>
  <c r="A47" i="40"/>
  <c r="D46" i="40"/>
  <c r="C46" i="40"/>
  <c r="B46" i="40"/>
  <c r="A46" i="40"/>
  <c r="D45" i="40"/>
  <c r="C45" i="40"/>
  <c r="B45" i="40"/>
  <c r="A45" i="40"/>
  <c r="D44" i="40"/>
  <c r="C44" i="40"/>
  <c r="B44" i="40"/>
  <c r="A44" i="40"/>
  <c r="D43" i="40"/>
  <c r="C43" i="40"/>
  <c r="B43" i="40"/>
  <c r="A43" i="40"/>
  <c r="D42" i="40"/>
  <c r="C42" i="40"/>
  <c r="B42" i="40"/>
  <c r="A42" i="40"/>
  <c r="D41" i="40"/>
  <c r="C41" i="40"/>
  <c r="B41" i="40"/>
  <c r="A41" i="40"/>
  <c r="D40" i="40"/>
  <c r="C40" i="40"/>
  <c r="B40" i="40"/>
  <c r="A40" i="40"/>
  <c r="D39" i="40"/>
  <c r="C39" i="40"/>
  <c r="B39" i="40"/>
  <c r="A39" i="40"/>
  <c r="D38" i="40"/>
  <c r="C38" i="40"/>
  <c r="B38" i="40"/>
  <c r="A38" i="40"/>
  <c r="D37" i="40"/>
  <c r="C37" i="40"/>
  <c r="B37" i="40"/>
  <c r="A37" i="40"/>
  <c r="D36" i="40"/>
  <c r="C36" i="40"/>
  <c r="B36" i="40"/>
  <c r="A36" i="40"/>
  <c r="D35" i="40"/>
  <c r="C35" i="40"/>
  <c r="B35" i="40"/>
  <c r="A35" i="40"/>
  <c r="D34" i="40"/>
  <c r="C34" i="40"/>
  <c r="B34" i="40"/>
  <c r="A34" i="40"/>
  <c r="D33" i="40"/>
  <c r="C33" i="40"/>
  <c r="B33" i="40"/>
  <c r="A33" i="40"/>
  <c r="D32" i="40"/>
  <c r="C32" i="40"/>
  <c r="B32" i="40"/>
  <c r="A32" i="40"/>
  <c r="D31" i="40"/>
  <c r="C31" i="40"/>
  <c r="B31" i="40"/>
  <c r="A31" i="40"/>
  <c r="D30" i="40"/>
  <c r="C30" i="40"/>
  <c r="B30" i="40"/>
  <c r="A30" i="40"/>
  <c r="D29" i="40"/>
  <c r="C29" i="40"/>
  <c r="B29" i="40"/>
  <c r="A29" i="40"/>
  <c r="D28" i="40"/>
  <c r="C28" i="40"/>
  <c r="B28" i="40"/>
  <c r="A28" i="40"/>
  <c r="D27" i="40"/>
  <c r="C27" i="40"/>
  <c r="B27" i="40"/>
  <c r="A27" i="40"/>
  <c r="D26" i="40"/>
  <c r="C26" i="40"/>
  <c r="B26" i="40"/>
  <c r="A26" i="40"/>
  <c r="D25" i="40"/>
  <c r="C25" i="40"/>
  <c r="B25" i="40"/>
  <c r="A25" i="40"/>
  <c r="D24" i="40"/>
  <c r="C24" i="40"/>
  <c r="B24" i="40"/>
  <c r="A24" i="40"/>
  <c r="D23" i="40"/>
  <c r="C23" i="40"/>
  <c r="B23" i="40"/>
  <c r="A23" i="40"/>
  <c r="D22" i="40"/>
  <c r="C22" i="40"/>
  <c r="B22" i="40"/>
  <c r="A22" i="40"/>
  <c r="D21" i="40"/>
  <c r="C21" i="40"/>
  <c r="B21" i="40"/>
  <c r="A21" i="40"/>
  <c r="D20" i="40"/>
  <c r="C20" i="40"/>
  <c r="B20" i="40"/>
  <c r="A20" i="40"/>
  <c r="D19" i="40"/>
  <c r="C19" i="40"/>
  <c r="B19" i="40"/>
  <c r="A19" i="40"/>
  <c r="D18" i="40"/>
  <c r="C18" i="40"/>
  <c r="B18" i="40"/>
  <c r="A18" i="40"/>
  <c r="D17" i="40"/>
  <c r="C17" i="40"/>
  <c r="B17" i="40"/>
  <c r="A17" i="40"/>
  <c r="D16" i="40"/>
  <c r="C16" i="40"/>
  <c r="B16" i="40"/>
  <c r="A16" i="40"/>
  <c r="D15" i="40"/>
  <c r="C15" i="40"/>
  <c r="B15" i="40"/>
  <c r="A15" i="40"/>
  <c r="D14" i="40"/>
  <c r="C14" i="40"/>
  <c r="B14" i="40"/>
  <c r="A14" i="40"/>
  <c r="D13" i="40"/>
  <c r="C13" i="40"/>
  <c r="B13" i="40"/>
  <c r="A13" i="40"/>
  <c r="D12" i="40"/>
  <c r="C12" i="40"/>
  <c r="B12" i="40"/>
  <c r="A12" i="40"/>
  <c r="D11" i="40"/>
  <c r="C11" i="40"/>
  <c r="B11" i="40"/>
  <c r="A11" i="40"/>
  <c r="D10" i="40"/>
  <c r="C10" i="40"/>
  <c r="B10" i="40"/>
  <c r="A10" i="40"/>
  <c r="D9" i="40"/>
  <c r="C9" i="40"/>
  <c r="B9" i="40"/>
  <c r="A9" i="40"/>
  <c r="D55" i="39"/>
  <c r="C55" i="39"/>
  <c r="B55" i="39"/>
  <c r="A55" i="39"/>
  <c r="D54" i="39"/>
  <c r="C54" i="39"/>
  <c r="B54" i="39"/>
  <c r="A54" i="39"/>
  <c r="D53" i="39"/>
  <c r="C53" i="39"/>
  <c r="B53" i="39"/>
  <c r="A53" i="39"/>
  <c r="D52" i="39"/>
  <c r="C52" i="39"/>
  <c r="B52" i="39"/>
  <c r="A52" i="39"/>
  <c r="D51" i="39"/>
  <c r="C51" i="39"/>
  <c r="B51" i="39"/>
  <c r="A51" i="39"/>
  <c r="D50" i="39"/>
  <c r="C50" i="39"/>
  <c r="B50" i="39"/>
  <c r="A50" i="39"/>
  <c r="D49" i="39"/>
  <c r="C49" i="39"/>
  <c r="B49" i="39"/>
  <c r="A49" i="39"/>
  <c r="D48" i="39"/>
  <c r="C48" i="39"/>
  <c r="B48" i="39"/>
  <c r="A48" i="39"/>
  <c r="D47" i="39"/>
  <c r="C47" i="39"/>
  <c r="B47" i="39"/>
  <c r="A47" i="39"/>
  <c r="D46" i="39"/>
  <c r="C46" i="39"/>
  <c r="B46" i="39"/>
  <c r="A46" i="39"/>
  <c r="D45" i="39"/>
  <c r="C45" i="39"/>
  <c r="B45" i="39"/>
  <c r="A45" i="39"/>
  <c r="D44" i="39"/>
  <c r="C44" i="39"/>
  <c r="B44" i="39"/>
  <c r="A44" i="39"/>
  <c r="D43" i="39"/>
  <c r="C43" i="39"/>
  <c r="B43" i="39"/>
  <c r="A43" i="39"/>
  <c r="D42" i="39"/>
  <c r="C42" i="39"/>
  <c r="B42" i="39"/>
  <c r="A42" i="39"/>
  <c r="D41" i="39"/>
  <c r="C41" i="39"/>
  <c r="B41" i="39"/>
  <c r="A41" i="39"/>
  <c r="D40" i="39"/>
  <c r="C40" i="39"/>
  <c r="B40" i="39"/>
  <c r="A40" i="39"/>
  <c r="D39" i="39"/>
  <c r="C39" i="39"/>
  <c r="B39" i="39"/>
  <c r="A39" i="39"/>
  <c r="D38" i="39"/>
  <c r="C38" i="39"/>
  <c r="B38" i="39"/>
  <c r="A38" i="39"/>
  <c r="D37" i="39"/>
  <c r="C37" i="39"/>
  <c r="B37" i="39"/>
  <c r="A37" i="39"/>
  <c r="D36" i="39"/>
  <c r="C36" i="39"/>
  <c r="B36" i="39"/>
  <c r="A36" i="39"/>
  <c r="D35" i="39"/>
  <c r="C35" i="39"/>
  <c r="B35" i="39"/>
  <c r="A35" i="39"/>
  <c r="D34" i="39"/>
  <c r="C34" i="39"/>
  <c r="B34" i="39"/>
  <c r="A34" i="39"/>
  <c r="D33" i="39"/>
  <c r="C33" i="39"/>
  <c r="B33" i="39"/>
  <c r="A33" i="39"/>
  <c r="D32" i="39"/>
  <c r="C32" i="39"/>
  <c r="B32" i="39"/>
  <c r="A32" i="39"/>
  <c r="D31" i="39"/>
  <c r="C31" i="39"/>
  <c r="B31" i="39"/>
  <c r="A31" i="39"/>
  <c r="D30" i="39"/>
  <c r="C30" i="39"/>
  <c r="B30" i="39"/>
  <c r="A30" i="39"/>
  <c r="D29" i="39"/>
  <c r="C29" i="39"/>
  <c r="B29" i="39"/>
  <c r="A29" i="39"/>
  <c r="D28" i="39"/>
  <c r="C28" i="39"/>
  <c r="B28" i="39"/>
  <c r="A28" i="39"/>
  <c r="D27" i="39"/>
  <c r="C27" i="39"/>
  <c r="B27" i="39"/>
  <c r="A27" i="39"/>
  <c r="D26" i="39"/>
  <c r="C26" i="39"/>
  <c r="B26" i="39"/>
  <c r="A26" i="39"/>
  <c r="D25" i="39"/>
  <c r="C25" i="39"/>
  <c r="B25" i="39"/>
  <c r="A25" i="39"/>
  <c r="D24" i="39"/>
  <c r="C24" i="39"/>
  <c r="B24" i="39"/>
  <c r="A24" i="39"/>
  <c r="D23" i="39"/>
  <c r="C23" i="39"/>
  <c r="B23" i="39"/>
  <c r="A23" i="39"/>
  <c r="D22" i="39"/>
  <c r="C22" i="39"/>
  <c r="B22" i="39"/>
  <c r="A22" i="39"/>
  <c r="D21" i="39"/>
  <c r="C21" i="39"/>
  <c r="B21" i="39"/>
  <c r="A21" i="39"/>
  <c r="D20" i="39"/>
  <c r="C20" i="39"/>
  <c r="B20" i="39"/>
  <c r="A20" i="39"/>
  <c r="D19" i="39"/>
  <c r="C19" i="39"/>
  <c r="B19" i="39"/>
  <c r="A19" i="39"/>
  <c r="D18" i="39"/>
  <c r="C18" i="39"/>
  <c r="B18" i="39"/>
  <c r="A18" i="39"/>
  <c r="D17" i="39"/>
  <c r="C17" i="39"/>
  <c r="B17" i="39"/>
  <c r="A17" i="39"/>
  <c r="D16" i="39"/>
  <c r="C16" i="39"/>
  <c r="B16" i="39"/>
  <c r="A16" i="39"/>
  <c r="D15" i="39"/>
  <c r="C15" i="39"/>
  <c r="B15" i="39"/>
  <c r="A15" i="39"/>
  <c r="D14" i="39"/>
  <c r="C14" i="39"/>
  <c r="B14" i="39"/>
  <c r="A14" i="39"/>
  <c r="D13" i="39"/>
  <c r="C13" i="39"/>
  <c r="B13" i="39"/>
  <c r="A13" i="39"/>
  <c r="D12" i="39"/>
  <c r="C12" i="39"/>
  <c r="B12" i="39"/>
  <c r="A12" i="39"/>
  <c r="D11" i="39"/>
  <c r="C11" i="39"/>
  <c r="B11" i="39"/>
  <c r="A11" i="39"/>
  <c r="D10" i="39"/>
  <c r="C10" i="39"/>
  <c r="B10" i="39"/>
  <c r="A10" i="39"/>
  <c r="D9" i="39"/>
  <c r="C9" i="39"/>
  <c r="B9" i="39"/>
  <c r="A9" i="39"/>
  <c r="D8" i="39"/>
  <c r="C8" i="39"/>
  <c r="B8" i="39"/>
  <c r="A8" i="39"/>
  <c r="E10" i="40"/>
  <c r="E11" i="40"/>
  <c r="E12" i="40"/>
  <c r="E13" i="40"/>
  <c r="E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32" i="40"/>
  <c r="E33" i="40"/>
  <c r="E34" i="40"/>
  <c r="E35" i="40"/>
  <c r="E36" i="40"/>
  <c r="E37" i="40"/>
  <c r="E38" i="40"/>
  <c r="E39" i="40"/>
  <c r="E40" i="40"/>
  <c r="E41" i="40"/>
  <c r="E42" i="40"/>
  <c r="E43" i="40"/>
  <c r="E44" i="40"/>
  <c r="E45" i="40"/>
  <c r="E46" i="40"/>
  <c r="E47" i="40"/>
  <c r="E48" i="40"/>
  <c r="E49" i="40"/>
  <c r="E50" i="40"/>
  <c r="E51" i="40"/>
  <c r="E52" i="40"/>
  <c r="E53" i="40"/>
  <c r="E54" i="40"/>
  <c r="E55" i="40"/>
  <c r="E55" i="38"/>
  <c r="E9" i="40"/>
  <c r="A1" i="38"/>
  <c r="D55" i="38"/>
  <c r="C55" i="38"/>
  <c r="B55" i="38"/>
  <c r="A55" i="38"/>
  <c r="E54" i="38"/>
  <c r="D54" i="38"/>
  <c r="C54" i="38"/>
  <c r="B54" i="38"/>
  <c r="A54" i="38"/>
  <c r="E53" i="38"/>
  <c r="D53" i="38"/>
  <c r="C53" i="38"/>
  <c r="B53" i="38"/>
  <c r="A53" i="38"/>
  <c r="E52" i="38"/>
  <c r="D52" i="38"/>
  <c r="C52" i="38"/>
  <c r="B52" i="38"/>
  <c r="A52" i="38"/>
  <c r="E51" i="38"/>
  <c r="D51" i="38"/>
  <c r="C51" i="38"/>
  <c r="B51" i="38"/>
  <c r="A51" i="38"/>
  <c r="E50" i="38"/>
  <c r="D50" i="38"/>
  <c r="C50" i="38"/>
  <c r="B50" i="38"/>
  <c r="A50" i="38"/>
  <c r="E49" i="38"/>
  <c r="D49" i="38"/>
  <c r="C49" i="38"/>
  <c r="B49" i="38"/>
  <c r="A49" i="38"/>
  <c r="E48" i="38"/>
  <c r="D48" i="38"/>
  <c r="C48" i="38"/>
  <c r="B48" i="38"/>
  <c r="A48" i="38"/>
  <c r="E47" i="38"/>
  <c r="D47" i="38"/>
  <c r="C47" i="38"/>
  <c r="B47" i="38"/>
  <c r="A47" i="38"/>
  <c r="E46" i="38"/>
  <c r="D46" i="38"/>
  <c r="C46" i="38"/>
  <c r="B46" i="38"/>
  <c r="A46" i="38"/>
  <c r="E45" i="38"/>
  <c r="D45" i="38"/>
  <c r="C45" i="38"/>
  <c r="B45" i="38"/>
  <c r="A45" i="38"/>
  <c r="E44" i="38"/>
  <c r="D44" i="38"/>
  <c r="C44" i="38"/>
  <c r="B44" i="38"/>
  <c r="A44" i="38"/>
  <c r="E43" i="38"/>
  <c r="D43" i="38"/>
  <c r="C43" i="38"/>
  <c r="B43" i="38"/>
  <c r="A43" i="38"/>
  <c r="E42" i="38"/>
  <c r="D42" i="38"/>
  <c r="C42" i="38"/>
  <c r="B42" i="38"/>
  <c r="A42" i="38"/>
  <c r="E41" i="38"/>
  <c r="D41" i="38"/>
  <c r="C41" i="38"/>
  <c r="B41" i="38"/>
  <c r="A41" i="38"/>
  <c r="E40" i="38"/>
  <c r="D40" i="38"/>
  <c r="C40" i="38"/>
  <c r="B40" i="38"/>
  <c r="A40" i="38"/>
  <c r="E39" i="38"/>
  <c r="D39" i="38"/>
  <c r="C39" i="38"/>
  <c r="B39" i="38"/>
  <c r="A39" i="38"/>
  <c r="E38" i="38"/>
  <c r="D38" i="38"/>
  <c r="C38" i="38"/>
  <c r="B38" i="38"/>
  <c r="A38" i="38"/>
  <c r="E37" i="38"/>
  <c r="D37" i="38"/>
  <c r="C37" i="38"/>
  <c r="B37" i="38"/>
  <c r="A37" i="38"/>
  <c r="E36" i="38"/>
  <c r="D36" i="38"/>
  <c r="C36" i="38"/>
  <c r="B36" i="38"/>
  <c r="A36" i="38"/>
  <c r="E35" i="38"/>
  <c r="D35" i="38"/>
  <c r="C35" i="38"/>
  <c r="B35" i="38"/>
  <c r="A35" i="38"/>
  <c r="E34" i="38"/>
  <c r="D34" i="38"/>
  <c r="C34" i="38"/>
  <c r="B34" i="38"/>
  <c r="A34" i="38"/>
  <c r="E33" i="38"/>
  <c r="D33" i="38"/>
  <c r="C33" i="38"/>
  <c r="B33" i="38"/>
  <c r="A33" i="38"/>
  <c r="E32" i="38"/>
  <c r="D32" i="38"/>
  <c r="C32" i="38"/>
  <c r="B32" i="38"/>
  <c r="A32" i="38"/>
  <c r="E31" i="38"/>
  <c r="D31" i="38"/>
  <c r="C31" i="38"/>
  <c r="B31" i="38"/>
  <c r="A31" i="38"/>
  <c r="E30" i="38"/>
  <c r="D30" i="38"/>
  <c r="C30" i="38"/>
  <c r="B30" i="38"/>
  <c r="A30" i="38"/>
  <c r="E29" i="38"/>
  <c r="D29" i="38"/>
  <c r="C29" i="38"/>
  <c r="B29" i="38"/>
  <c r="A29" i="38"/>
  <c r="E28" i="38"/>
  <c r="D28" i="38"/>
  <c r="C28" i="38"/>
  <c r="B28" i="38"/>
  <c r="A28" i="38"/>
  <c r="E27" i="38"/>
  <c r="D27" i="38"/>
  <c r="C27" i="38"/>
  <c r="B27" i="38"/>
  <c r="A27" i="38"/>
  <c r="E26" i="38"/>
  <c r="D26" i="38"/>
  <c r="C26" i="38"/>
  <c r="B26" i="38"/>
  <c r="A26" i="38"/>
  <c r="E25" i="38"/>
  <c r="D25" i="38"/>
  <c r="C25" i="38"/>
  <c r="B25" i="38"/>
  <c r="A25" i="38"/>
  <c r="E24" i="38"/>
  <c r="D24" i="38"/>
  <c r="C24" i="38"/>
  <c r="B24" i="38"/>
  <c r="A24" i="38"/>
  <c r="E23" i="38"/>
  <c r="D23" i="38"/>
  <c r="C23" i="38"/>
  <c r="B23" i="38"/>
  <c r="A23" i="38"/>
  <c r="E22" i="38"/>
  <c r="D22" i="38"/>
  <c r="C22" i="38"/>
  <c r="B22" i="38"/>
  <c r="A22" i="38"/>
  <c r="E21" i="38"/>
  <c r="D21" i="38"/>
  <c r="C21" i="38"/>
  <c r="B21" i="38"/>
  <c r="A21" i="38"/>
  <c r="E20" i="38"/>
  <c r="D20" i="38"/>
  <c r="C20" i="38"/>
  <c r="B20" i="38"/>
  <c r="A20" i="38"/>
  <c r="E19" i="38"/>
  <c r="D19" i="38"/>
  <c r="C19" i="38"/>
  <c r="B19" i="38"/>
  <c r="A19" i="38"/>
  <c r="E18" i="38"/>
  <c r="D18" i="38"/>
  <c r="C18" i="38"/>
  <c r="B18" i="38"/>
  <c r="A18" i="38"/>
  <c r="E17" i="38"/>
  <c r="D17" i="38"/>
  <c r="C17" i="38"/>
  <c r="B17" i="38"/>
  <c r="A17" i="38"/>
  <c r="E16" i="38"/>
  <c r="D16" i="38"/>
  <c r="C16" i="38"/>
  <c r="B16" i="38"/>
  <c r="A16" i="38"/>
  <c r="E15" i="38"/>
  <c r="D15" i="38"/>
  <c r="C15" i="38"/>
  <c r="B15" i="38"/>
  <c r="A15" i="38"/>
  <c r="E14" i="38"/>
  <c r="D14" i="38"/>
  <c r="C14" i="38"/>
  <c r="B14" i="38"/>
  <c r="A14" i="38"/>
  <c r="E13" i="38"/>
  <c r="D13" i="38"/>
  <c r="C13" i="38"/>
  <c r="B13" i="38"/>
  <c r="A13" i="38"/>
  <c r="E12" i="38"/>
  <c r="D12" i="38"/>
  <c r="C12" i="38"/>
  <c r="B12" i="38"/>
  <c r="A12" i="38"/>
  <c r="E11" i="38"/>
  <c r="D11" i="38"/>
  <c r="C11" i="38"/>
  <c r="B11" i="38"/>
  <c r="A11" i="38"/>
  <c r="E10" i="38"/>
  <c r="D10" i="38"/>
  <c r="C10" i="38"/>
  <c r="B10" i="38"/>
  <c r="A10" i="38"/>
  <c r="E9" i="38"/>
  <c r="D9" i="38"/>
  <c r="C9" i="38"/>
  <c r="B9" i="38"/>
  <c r="A9" i="38"/>
  <c r="E8" i="38"/>
  <c r="D8" i="38"/>
  <c r="C8" i="38"/>
  <c r="B8" i="38"/>
  <c r="A8" i="38"/>
  <c r="Z24" i="44" l="1"/>
  <c r="Z22" i="44"/>
  <c r="Z20" i="44"/>
  <c r="Z18" i="44"/>
  <c r="Z16" i="44"/>
  <c r="Z23" i="44"/>
  <c r="Z19" i="44"/>
  <c r="AB15" i="44"/>
  <c r="Z25" i="44"/>
  <c r="Z21" i="44"/>
  <c r="Z17" i="44"/>
  <c r="X24" i="45"/>
  <c r="X22" i="45"/>
  <c r="X20" i="45"/>
  <c r="X18" i="45"/>
  <c r="X16" i="45"/>
  <c r="X25" i="45"/>
  <c r="X23" i="45"/>
  <c r="X21" i="45"/>
  <c r="X19" i="45"/>
  <c r="X17" i="45"/>
  <c r="Z15" i="45"/>
  <c r="E8" i="39"/>
  <c r="E10" i="39"/>
  <c r="E12" i="39"/>
  <c r="E14" i="39"/>
  <c r="E16" i="39"/>
  <c r="E18" i="39"/>
  <c r="E20" i="39"/>
  <c r="E22" i="39"/>
  <c r="E24" i="39"/>
  <c r="E26" i="39"/>
  <c r="E28" i="39"/>
  <c r="E30" i="39"/>
  <c r="E32" i="39"/>
  <c r="E34" i="39"/>
  <c r="E36" i="39"/>
  <c r="E38" i="39"/>
  <c r="E40" i="39"/>
  <c r="E42" i="39"/>
  <c r="E44" i="39"/>
  <c r="E46" i="39"/>
  <c r="E48" i="39"/>
  <c r="E50" i="39"/>
  <c r="E52" i="39"/>
  <c r="E54" i="39"/>
  <c r="E9" i="39"/>
  <c r="E11" i="39"/>
  <c r="E13" i="39"/>
  <c r="E15" i="39"/>
  <c r="E17" i="39"/>
  <c r="E19" i="39"/>
  <c r="E21" i="39"/>
  <c r="E23" i="39"/>
  <c r="E25" i="39"/>
  <c r="E27" i="39"/>
  <c r="E29" i="39"/>
  <c r="E31" i="39"/>
  <c r="E33" i="39"/>
  <c r="E35" i="39"/>
  <c r="E37" i="39"/>
  <c r="E39" i="39"/>
  <c r="E41" i="39"/>
  <c r="E43" i="39"/>
  <c r="E45" i="39"/>
  <c r="E47" i="39"/>
  <c r="E49" i="39"/>
  <c r="E51" i="39"/>
  <c r="E53" i="39"/>
  <c r="E55" i="39"/>
  <c r="E56" i="40"/>
  <c r="AB24" i="44" l="1"/>
  <c r="AB22" i="44"/>
  <c r="AB20" i="44"/>
  <c r="AB18" i="44"/>
  <c r="AB16" i="44"/>
  <c r="AD15" i="44"/>
  <c r="AB23" i="44"/>
  <c r="AB19" i="44"/>
  <c r="AB25" i="44"/>
  <c r="AB21" i="44"/>
  <c r="AB17" i="44"/>
  <c r="Z25" i="45"/>
  <c r="Z23" i="45"/>
  <c r="Z21" i="45"/>
  <c r="Z19" i="45"/>
  <c r="Z17" i="45"/>
  <c r="Z24" i="45"/>
  <c r="Z22" i="45"/>
  <c r="Z20" i="45"/>
  <c r="Z18" i="45"/>
  <c r="Z16" i="45"/>
  <c r="AB15" i="45"/>
  <c r="AY52" i="23"/>
  <c r="AX52" i="23"/>
  <c r="AW52" i="23"/>
  <c r="AV52" i="23"/>
  <c r="AU52" i="23"/>
  <c r="AT52" i="23"/>
  <c r="AS52" i="23"/>
  <c r="AR52" i="23"/>
  <c r="AQ52" i="23"/>
  <c r="AP52" i="23"/>
  <c r="AO52" i="23"/>
  <c r="AN52" i="23"/>
  <c r="AM52" i="23"/>
  <c r="AL52" i="23"/>
  <c r="AK52" i="23"/>
  <c r="AJ52" i="23"/>
  <c r="AI52" i="23"/>
  <c r="AH52" i="23"/>
  <c r="AG52" i="23"/>
  <c r="AF52" i="23"/>
  <c r="AE52" i="23"/>
  <c r="AD52" i="23"/>
  <c r="AC52" i="23"/>
  <c r="AB52" i="23"/>
  <c r="AA52" i="23"/>
  <c r="Z52" i="23"/>
  <c r="Y52" i="23"/>
  <c r="X52" i="23"/>
  <c r="W52" i="23"/>
  <c r="V52" i="23"/>
  <c r="U52" i="23"/>
  <c r="T52" i="23"/>
  <c r="S52" i="23"/>
  <c r="R52" i="23"/>
  <c r="Q52" i="23"/>
  <c r="P52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AY29" i="23"/>
  <c r="AX29" i="23"/>
  <c r="AW29" i="23"/>
  <c r="AV29" i="23"/>
  <c r="AU29" i="23"/>
  <c r="AT29" i="23"/>
  <c r="AS29" i="23"/>
  <c r="AR29" i="23"/>
  <c r="AQ29" i="23"/>
  <c r="AP29" i="23"/>
  <c r="AO29" i="23"/>
  <c r="AN29" i="23"/>
  <c r="AM29" i="23"/>
  <c r="AL29" i="23"/>
  <c r="AK29" i="23"/>
  <c r="AJ29" i="23"/>
  <c r="AI29" i="23"/>
  <c r="AH29" i="23"/>
  <c r="AG29" i="23"/>
  <c r="AF29" i="23"/>
  <c r="AE29" i="23"/>
  <c r="AD29" i="23"/>
  <c r="AC29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AY23" i="23"/>
  <c r="AX23" i="23"/>
  <c r="AW23" i="23"/>
  <c r="AV23" i="23"/>
  <c r="AU23" i="23"/>
  <c r="AT23" i="23"/>
  <c r="AS23" i="23"/>
  <c r="AR23" i="23"/>
  <c r="AQ23" i="23"/>
  <c r="AP23" i="23"/>
  <c r="AO23" i="23"/>
  <c r="AN23" i="23"/>
  <c r="AM23" i="23"/>
  <c r="AL23" i="23"/>
  <c r="AK23" i="23"/>
  <c r="AJ23" i="23"/>
  <c r="AI23" i="23"/>
  <c r="AH23" i="23"/>
  <c r="AG23" i="23"/>
  <c r="AF23" i="23"/>
  <c r="AE23" i="23"/>
  <c r="AD23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AY8" i="23"/>
  <c r="AX8" i="23"/>
  <c r="AW8" i="23"/>
  <c r="AV8" i="23"/>
  <c r="AU8" i="23"/>
  <c r="AT8" i="23"/>
  <c r="AS8" i="23"/>
  <c r="AR8" i="23"/>
  <c r="AQ8" i="23"/>
  <c r="AP8" i="23"/>
  <c r="AO8" i="23"/>
  <c r="AN8" i="23"/>
  <c r="AM8" i="23"/>
  <c r="AL8" i="23"/>
  <c r="AK8" i="23"/>
  <c r="AJ8" i="23"/>
  <c r="AI8" i="23"/>
  <c r="AH8" i="23"/>
  <c r="AG8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AY52" i="37"/>
  <c r="AX52" i="37"/>
  <c r="AW52" i="37"/>
  <c r="AV52" i="37"/>
  <c r="AU52" i="37"/>
  <c r="AT52" i="37"/>
  <c r="AS52" i="37"/>
  <c r="AR52" i="37"/>
  <c r="AQ52" i="37"/>
  <c r="AP52" i="37"/>
  <c r="AO52" i="37"/>
  <c r="AN52" i="37"/>
  <c r="AM52" i="37"/>
  <c r="AL52" i="37"/>
  <c r="AK52" i="37"/>
  <c r="AJ52" i="37"/>
  <c r="AI52" i="37"/>
  <c r="AH52" i="37"/>
  <c r="AG52" i="37"/>
  <c r="AF52" i="37"/>
  <c r="AE52" i="37"/>
  <c r="AD52" i="37"/>
  <c r="AC52" i="37"/>
  <c r="AB52" i="37"/>
  <c r="AA52" i="37"/>
  <c r="Z52" i="37"/>
  <c r="Y52" i="37"/>
  <c r="X52" i="37"/>
  <c r="W52" i="37"/>
  <c r="V52" i="37"/>
  <c r="U52" i="37"/>
  <c r="T52" i="37"/>
  <c r="S52" i="37"/>
  <c r="R52" i="37"/>
  <c r="Q52" i="37"/>
  <c r="P52" i="37"/>
  <c r="O52" i="37"/>
  <c r="N52" i="37"/>
  <c r="M52" i="37"/>
  <c r="L52" i="37"/>
  <c r="K52" i="37"/>
  <c r="J52" i="37"/>
  <c r="I52" i="37"/>
  <c r="H52" i="37"/>
  <c r="G52" i="37"/>
  <c r="F52" i="37"/>
  <c r="E52" i="37"/>
  <c r="D52" i="37"/>
  <c r="AY46" i="37"/>
  <c r="AX46" i="37"/>
  <c r="AW46" i="37"/>
  <c r="AV46" i="37"/>
  <c r="AU46" i="37"/>
  <c r="AT46" i="37"/>
  <c r="AS46" i="37"/>
  <c r="AR46" i="37"/>
  <c r="AQ46" i="37"/>
  <c r="AP46" i="37"/>
  <c r="AO46" i="37"/>
  <c r="AN46" i="37"/>
  <c r="AM46" i="37"/>
  <c r="AL46" i="37"/>
  <c r="AK46" i="37"/>
  <c r="AJ46" i="37"/>
  <c r="AI46" i="37"/>
  <c r="AH46" i="37"/>
  <c r="AG46" i="37"/>
  <c r="AF46" i="37"/>
  <c r="AE46" i="37"/>
  <c r="AD46" i="37"/>
  <c r="AC46" i="37"/>
  <c r="AB46" i="37"/>
  <c r="AA46" i="37"/>
  <c r="Z46" i="37"/>
  <c r="Y46" i="37"/>
  <c r="X46" i="37"/>
  <c r="W46" i="37"/>
  <c r="V46" i="37"/>
  <c r="U46" i="37"/>
  <c r="T46" i="37"/>
  <c r="S46" i="37"/>
  <c r="R46" i="37"/>
  <c r="Q46" i="37"/>
  <c r="P46" i="37"/>
  <c r="O46" i="37"/>
  <c r="N46" i="37"/>
  <c r="M46" i="37"/>
  <c r="L46" i="37"/>
  <c r="K46" i="37"/>
  <c r="J46" i="37"/>
  <c r="I46" i="37"/>
  <c r="H46" i="37"/>
  <c r="G46" i="37"/>
  <c r="F46" i="37"/>
  <c r="E46" i="37"/>
  <c r="D46" i="37"/>
  <c r="AY40" i="37"/>
  <c r="AX40" i="37"/>
  <c r="AW40" i="37"/>
  <c r="AV40" i="37"/>
  <c r="AU40" i="37"/>
  <c r="AT40" i="37"/>
  <c r="AS40" i="37"/>
  <c r="AR40" i="37"/>
  <c r="AQ40" i="37"/>
  <c r="AP40" i="37"/>
  <c r="AO40" i="37"/>
  <c r="AN40" i="37"/>
  <c r="AM40" i="37"/>
  <c r="AL40" i="37"/>
  <c r="AK40" i="37"/>
  <c r="AJ40" i="37"/>
  <c r="AI40" i="37"/>
  <c r="AH40" i="37"/>
  <c r="AG40" i="37"/>
  <c r="AF40" i="37"/>
  <c r="AE40" i="37"/>
  <c r="AD40" i="37"/>
  <c r="AC40" i="37"/>
  <c r="AB40" i="37"/>
  <c r="AA40" i="37"/>
  <c r="Z40" i="37"/>
  <c r="Y40" i="37"/>
  <c r="X40" i="37"/>
  <c r="W40" i="37"/>
  <c r="V40" i="37"/>
  <c r="U40" i="37"/>
  <c r="T40" i="37"/>
  <c r="S40" i="37"/>
  <c r="R40" i="37"/>
  <c r="Q40" i="37"/>
  <c r="P40" i="37"/>
  <c r="O40" i="37"/>
  <c r="N40" i="37"/>
  <c r="M40" i="37"/>
  <c r="L40" i="37"/>
  <c r="K40" i="37"/>
  <c r="J40" i="37"/>
  <c r="I40" i="37"/>
  <c r="H40" i="37"/>
  <c r="G40" i="37"/>
  <c r="F40" i="37"/>
  <c r="E40" i="37"/>
  <c r="D40" i="37"/>
  <c r="AY35" i="37"/>
  <c r="AX35" i="37"/>
  <c r="AW35" i="37"/>
  <c r="AV35" i="37"/>
  <c r="AU35" i="37"/>
  <c r="AT35" i="37"/>
  <c r="AS35" i="37"/>
  <c r="AR35" i="37"/>
  <c r="AQ35" i="37"/>
  <c r="AP35" i="37"/>
  <c r="AO35" i="37"/>
  <c r="AN35" i="37"/>
  <c r="AM35" i="37"/>
  <c r="AL35" i="37"/>
  <c r="AK35" i="37"/>
  <c r="AJ35" i="37"/>
  <c r="AI35" i="37"/>
  <c r="AH35" i="37"/>
  <c r="AG35" i="37"/>
  <c r="AF35" i="37"/>
  <c r="AE35" i="37"/>
  <c r="AD35" i="37"/>
  <c r="AC35" i="37"/>
  <c r="AB35" i="37"/>
  <c r="AA35" i="37"/>
  <c r="Z35" i="37"/>
  <c r="Y35" i="37"/>
  <c r="X35" i="37"/>
  <c r="W35" i="37"/>
  <c r="V35" i="37"/>
  <c r="U35" i="37"/>
  <c r="T35" i="37"/>
  <c r="S35" i="37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AY29" i="37"/>
  <c r="AX29" i="37"/>
  <c r="AW29" i="37"/>
  <c r="AV29" i="37"/>
  <c r="AU29" i="37"/>
  <c r="AT29" i="37"/>
  <c r="AS29" i="37"/>
  <c r="AR29" i="37"/>
  <c r="AQ29" i="37"/>
  <c r="AP29" i="37"/>
  <c r="AO29" i="37"/>
  <c r="AN29" i="37"/>
  <c r="AM29" i="37"/>
  <c r="AL29" i="37"/>
  <c r="AK29" i="37"/>
  <c r="AJ29" i="37"/>
  <c r="AI29" i="37"/>
  <c r="AH29" i="37"/>
  <c r="AG29" i="37"/>
  <c r="AF29" i="37"/>
  <c r="AE29" i="37"/>
  <c r="AD29" i="37"/>
  <c r="AC29" i="37"/>
  <c r="AB29" i="37"/>
  <c r="AA29" i="37"/>
  <c r="Z29" i="37"/>
  <c r="Y29" i="37"/>
  <c r="X29" i="37"/>
  <c r="W29" i="37"/>
  <c r="V29" i="37"/>
  <c r="U29" i="37"/>
  <c r="T29" i="37"/>
  <c r="S29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AY23" i="37"/>
  <c r="AX23" i="37"/>
  <c r="AW23" i="37"/>
  <c r="AV23" i="37"/>
  <c r="AU23" i="37"/>
  <c r="AT23" i="37"/>
  <c r="AS23" i="37"/>
  <c r="AR23" i="37"/>
  <c r="AQ23" i="37"/>
  <c r="AP23" i="37"/>
  <c r="AO23" i="37"/>
  <c r="AN23" i="37"/>
  <c r="AM23" i="37"/>
  <c r="AL23" i="37"/>
  <c r="AK23" i="37"/>
  <c r="AJ23" i="37"/>
  <c r="AI23" i="37"/>
  <c r="AH23" i="37"/>
  <c r="AG23" i="37"/>
  <c r="AF23" i="37"/>
  <c r="AE23" i="37"/>
  <c r="AD23" i="37"/>
  <c r="AC23" i="37"/>
  <c r="AB23" i="37"/>
  <c r="AA23" i="37"/>
  <c r="Z23" i="37"/>
  <c r="Y23" i="37"/>
  <c r="X23" i="37"/>
  <c r="W23" i="37"/>
  <c r="V23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AY14" i="37"/>
  <c r="AX14" i="37"/>
  <c r="AW14" i="37"/>
  <c r="AV14" i="37"/>
  <c r="AU14" i="37"/>
  <c r="AT14" i="37"/>
  <c r="AS14" i="37"/>
  <c r="AR14" i="37"/>
  <c r="AQ14" i="37"/>
  <c r="AP14" i="37"/>
  <c r="AO14" i="37"/>
  <c r="AN14" i="37"/>
  <c r="AM14" i="37"/>
  <c r="AL14" i="37"/>
  <c r="AK14" i="37"/>
  <c r="AJ14" i="37"/>
  <c r="AI14" i="37"/>
  <c r="AH14" i="37"/>
  <c r="AG14" i="37"/>
  <c r="AF14" i="37"/>
  <c r="AE14" i="37"/>
  <c r="AD14" i="37"/>
  <c r="AC14" i="37"/>
  <c r="AB14" i="37"/>
  <c r="AA14" i="37"/>
  <c r="Z14" i="37"/>
  <c r="Y14" i="37"/>
  <c r="X14" i="37"/>
  <c r="W14" i="37"/>
  <c r="V14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AY8" i="37"/>
  <c r="AX8" i="37"/>
  <c r="AW8" i="37"/>
  <c r="AV8" i="37"/>
  <c r="AU8" i="37"/>
  <c r="AT8" i="37"/>
  <c r="AS8" i="37"/>
  <c r="AR8" i="37"/>
  <c r="AQ8" i="37"/>
  <c r="AP8" i="37"/>
  <c r="AO8" i="37"/>
  <c r="AN8" i="37"/>
  <c r="AM8" i="37"/>
  <c r="AL8" i="37"/>
  <c r="AK8" i="37"/>
  <c r="AJ8" i="37"/>
  <c r="AI8" i="37"/>
  <c r="AH8" i="37"/>
  <c r="AG8" i="37"/>
  <c r="AF8" i="37"/>
  <c r="AE8" i="37"/>
  <c r="AD8" i="37"/>
  <c r="AC8" i="37"/>
  <c r="AB8" i="37"/>
  <c r="AA8" i="37"/>
  <c r="Z8" i="37"/>
  <c r="Y8" i="37"/>
  <c r="X8" i="37"/>
  <c r="W8" i="37"/>
  <c r="V8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E8" i="37"/>
  <c r="D8" i="37"/>
  <c r="E8" i="36"/>
  <c r="F8" i="36"/>
  <c r="G8" i="36"/>
  <c r="H8" i="36"/>
  <c r="I8" i="36"/>
  <c r="J8" i="36"/>
  <c r="K8" i="36"/>
  <c r="L8" i="36"/>
  <c r="M8" i="36"/>
  <c r="N8" i="36"/>
  <c r="O8" i="36"/>
  <c r="P8" i="36"/>
  <c r="Q8" i="36"/>
  <c r="R8" i="36"/>
  <c r="S8" i="36"/>
  <c r="T8" i="36"/>
  <c r="U8" i="36"/>
  <c r="V8" i="36"/>
  <c r="W8" i="36"/>
  <c r="X8" i="36"/>
  <c r="Y8" i="36"/>
  <c r="Z8" i="36"/>
  <c r="AA8" i="36"/>
  <c r="AB8" i="36"/>
  <c r="AC8" i="36"/>
  <c r="AD8" i="36"/>
  <c r="AE8" i="36"/>
  <c r="AF8" i="36"/>
  <c r="AG8" i="36"/>
  <c r="AH8" i="36"/>
  <c r="AI8" i="36"/>
  <c r="AJ8" i="36"/>
  <c r="AK8" i="36"/>
  <c r="AL8" i="36"/>
  <c r="AM8" i="36"/>
  <c r="AN8" i="36"/>
  <c r="AO8" i="36"/>
  <c r="AP8" i="36"/>
  <c r="AQ8" i="36"/>
  <c r="AR8" i="36"/>
  <c r="AS8" i="36"/>
  <c r="AT8" i="36"/>
  <c r="AU8" i="36"/>
  <c r="AV8" i="36"/>
  <c r="AW8" i="36"/>
  <c r="AX8" i="36"/>
  <c r="AY8" i="36"/>
  <c r="D8" i="36"/>
  <c r="AY52" i="36"/>
  <c r="AX52" i="36"/>
  <c r="AW52" i="36"/>
  <c r="AV52" i="36"/>
  <c r="AU52" i="36"/>
  <c r="AT52" i="36"/>
  <c r="AS52" i="36"/>
  <c r="AR52" i="36"/>
  <c r="AQ52" i="36"/>
  <c r="AP52" i="36"/>
  <c r="AO52" i="36"/>
  <c r="AN52" i="36"/>
  <c r="AM52" i="36"/>
  <c r="AL52" i="36"/>
  <c r="AK52" i="36"/>
  <c r="AJ52" i="36"/>
  <c r="AI52" i="36"/>
  <c r="AH52" i="36"/>
  <c r="AG52" i="36"/>
  <c r="AF52" i="36"/>
  <c r="AE52" i="36"/>
  <c r="AD52" i="36"/>
  <c r="AC52" i="36"/>
  <c r="AB52" i="36"/>
  <c r="AA52" i="36"/>
  <c r="Z52" i="36"/>
  <c r="Y52" i="36"/>
  <c r="X52" i="36"/>
  <c r="W52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AY46" i="36"/>
  <c r="AX46" i="36"/>
  <c r="AW46" i="36"/>
  <c r="AV46" i="36"/>
  <c r="AU46" i="36"/>
  <c r="AT46" i="36"/>
  <c r="AS46" i="36"/>
  <c r="AR46" i="36"/>
  <c r="AQ46" i="36"/>
  <c r="AP46" i="36"/>
  <c r="AO46" i="36"/>
  <c r="AN46" i="36"/>
  <c r="AM46" i="36"/>
  <c r="AL46" i="36"/>
  <c r="AK46" i="36"/>
  <c r="AJ46" i="36"/>
  <c r="AI46" i="36"/>
  <c r="AH46" i="36"/>
  <c r="AG46" i="36"/>
  <c r="AF46" i="36"/>
  <c r="AE46" i="36"/>
  <c r="AD46" i="36"/>
  <c r="AC46" i="36"/>
  <c r="AB46" i="36"/>
  <c r="AA46" i="36"/>
  <c r="Z46" i="36"/>
  <c r="Y46" i="36"/>
  <c r="X46" i="36"/>
  <c r="W46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AY40" i="36"/>
  <c r="AX40" i="36"/>
  <c r="AW40" i="36"/>
  <c r="AV40" i="36"/>
  <c r="AU40" i="36"/>
  <c r="AT40" i="36"/>
  <c r="AS40" i="36"/>
  <c r="AR40" i="36"/>
  <c r="AQ40" i="36"/>
  <c r="AP40" i="36"/>
  <c r="AO40" i="36"/>
  <c r="AN40" i="36"/>
  <c r="AM40" i="36"/>
  <c r="AL40" i="36"/>
  <c r="AK40" i="36"/>
  <c r="AJ40" i="36"/>
  <c r="AI40" i="36"/>
  <c r="AH40" i="36"/>
  <c r="AG40" i="36"/>
  <c r="AF40" i="36"/>
  <c r="AE40" i="36"/>
  <c r="AD40" i="36"/>
  <c r="AC40" i="36"/>
  <c r="AB40" i="36"/>
  <c r="AA40" i="36"/>
  <c r="Z40" i="36"/>
  <c r="Y40" i="36"/>
  <c r="X40" i="36"/>
  <c r="W40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AY35" i="36"/>
  <c r="AX35" i="36"/>
  <c r="AW35" i="36"/>
  <c r="AV35" i="36"/>
  <c r="AU35" i="36"/>
  <c r="AT35" i="36"/>
  <c r="AS35" i="36"/>
  <c r="AR35" i="36"/>
  <c r="AQ35" i="36"/>
  <c r="AP35" i="36"/>
  <c r="AO35" i="36"/>
  <c r="AN35" i="36"/>
  <c r="AM35" i="36"/>
  <c r="AL35" i="36"/>
  <c r="AK35" i="36"/>
  <c r="AJ35" i="36"/>
  <c r="AI35" i="36"/>
  <c r="AH35" i="36"/>
  <c r="AG35" i="36"/>
  <c r="AF35" i="36"/>
  <c r="AE35" i="36"/>
  <c r="AD35" i="36"/>
  <c r="AC35" i="36"/>
  <c r="AB35" i="36"/>
  <c r="AA35" i="36"/>
  <c r="Z35" i="36"/>
  <c r="Y35" i="36"/>
  <c r="X35" i="36"/>
  <c r="W35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AY29" i="36"/>
  <c r="AX29" i="36"/>
  <c r="AW29" i="36"/>
  <c r="AV29" i="36"/>
  <c r="AU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AY23" i="36"/>
  <c r="AX23" i="36"/>
  <c r="AW23" i="36"/>
  <c r="AV23" i="36"/>
  <c r="AU23" i="36"/>
  <c r="AT23" i="36"/>
  <c r="AS23" i="36"/>
  <c r="AR23" i="36"/>
  <c r="AQ23" i="36"/>
  <c r="AP23" i="36"/>
  <c r="AO23" i="36"/>
  <c r="AN23" i="36"/>
  <c r="AM23" i="36"/>
  <c r="AL23" i="36"/>
  <c r="AK23" i="36"/>
  <c r="AJ23" i="36"/>
  <c r="AI23" i="36"/>
  <c r="AH23" i="36"/>
  <c r="AG23" i="36"/>
  <c r="AF23" i="36"/>
  <c r="AE23" i="36"/>
  <c r="AD23" i="36"/>
  <c r="AC23" i="36"/>
  <c r="AB23" i="36"/>
  <c r="AA23" i="36"/>
  <c r="Z23" i="36"/>
  <c r="Y23" i="36"/>
  <c r="X23" i="36"/>
  <c r="W23" i="36"/>
  <c r="V23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AY14" i="36"/>
  <c r="AX14" i="36"/>
  <c r="AW14" i="36"/>
  <c r="AV14" i="36"/>
  <c r="AU14" i="36"/>
  <c r="AT14" i="36"/>
  <c r="AS14" i="36"/>
  <c r="AR14" i="36"/>
  <c r="AQ14" i="36"/>
  <c r="AP14" i="36"/>
  <c r="AO14" i="36"/>
  <c r="AN14" i="36"/>
  <c r="AM14" i="36"/>
  <c r="AL14" i="36"/>
  <c r="AK14" i="36"/>
  <c r="AJ14" i="36"/>
  <c r="AI14" i="36"/>
  <c r="AH14" i="36"/>
  <c r="AG14" i="36"/>
  <c r="AF14" i="36"/>
  <c r="AE14" i="36"/>
  <c r="AD14" i="36"/>
  <c r="AC14" i="36"/>
  <c r="AB14" i="36"/>
  <c r="AA14" i="36"/>
  <c r="Z14" i="36"/>
  <c r="Y14" i="36"/>
  <c r="X14" i="36"/>
  <c r="W14" i="36"/>
  <c r="V14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E46" i="21"/>
  <c r="F46" i="21"/>
  <c r="G46" i="21"/>
  <c r="H46" i="21"/>
  <c r="I46" i="21"/>
  <c r="J46" i="21"/>
  <c r="K46" i="21"/>
  <c r="L46" i="21"/>
  <c r="M46" i="21"/>
  <c r="N46" i="21"/>
  <c r="O46" i="21"/>
  <c r="P46" i="21"/>
  <c r="Q46" i="21"/>
  <c r="R46" i="21"/>
  <c r="S46" i="21"/>
  <c r="T46" i="21"/>
  <c r="U46" i="21"/>
  <c r="V46" i="21"/>
  <c r="W46" i="21"/>
  <c r="X46" i="21"/>
  <c r="Y46" i="21"/>
  <c r="Z46" i="21"/>
  <c r="AA46" i="21"/>
  <c r="AB46" i="21"/>
  <c r="AC46" i="21"/>
  <c r="AD46" i="21"/>
  <c r="AE46" i="21"/>
  <c r="AF46" i="21"/>
  <c r="AG46" i="21"/>
  <c r="AH46" i="21"/>
  <c r="AI46" i="21"/>
  <c r="AJ46" i="21"/>
  <c r="AK46" i="21"/>
  <c r="AL46" i="21"/>
  <c r="AM46" i="21"/>
  <c r="AN46" i="21"/>
  <c r="AO46" i="21"/>
  <c r="AP46" i="21"/>
  <c r="AQ46" i="21"/>
  <c r="AR46" i="21"/>
  <c r="AS46" i="21"/>
  <c r="AT46" i="21"/>
  <c r="AU46" i="21"/>
  <c r="AV46" i="21"/>
  <c r="AW46" i="21"/>
  <c r="AX46" i="21"/>
  <c r="AY46" i="21"/>
  <c r="D46" i="21"/>
  <c r="E40" i="21"/>
  <c r="F40" i="21"/>
  <c r="G40" i="21"/>
  <c r="H40" i="21"/>
  <c r="I40" i="21"/>
  <c r="J40" i="21"/>
  <c r="K40" i="21"/>
  <c r="L40" i="21"/>
  <c r="M40" i="21"/>
  <c r="N40" i="21"/>
  <c r="O40" i="21"/>
  <c r="P40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AC40" i="21"/>
  <c r="AD40" i="21"/>
  <c r="AE40" i="21"/>
  <c r="AF40" i="21"/>
  <c r="AG40" i="21"/>
  <c r="AH40" i="21"/>
  <c r="AI40" i="21"/>
  <c r="AJ40" i="21"/>
  <c r="AK40" i="21"/>
  <c r="AL40" i="21"/>
  <c r="AM40" i="21"/>
  <c r="AN40" i="21"/>
  <c r="AO40" i="21"/>
  <c r="AP40" i="21"/>
  <c r="AQ40" i="21"/>
  <c r="AR40" i="21"/>
  <c r="AS40" i="21"/>
  <c r="AT40" i="21"/>
  <c r="AU40" i="21"/>
  <c r="AV40" i="21"/>
  <c r="AW40" i="21"/>
  <c r="AX40" i="21"/>
  <c r="AY40" i="21"/>
  <c r="D40" i="21"/>
  <c r="E34" i="21"/>
  <c r="F34" i="21"/>
  <c r="G34" i="21"/>
  <c r="H34" i="21"/>
  <c r="I34" i="21"/>
  <c r="J34" i="21"/>
  <c r="K34" i="21"/>
  <c r="L34" i="21"/>
  <c r="M34" i="21"/>
  <c r="N34" i="21"/>
  <c r="O34" i="21"/>
  <c r="P34" i="21"/>
  <c r="Q34" i="21"/>
  <c r="R34" i="21"/>
  <c r="S34" i="21"/>
  <c r="T34" i="21"/>
  <c r="U34" i="21"/>
  <c r="V34" i="21"/>
  <c r="W34" i="21"/>
  <c r="X34" i="21"/>
  <c r="Y34" i="21"/>
  <c r="Z34" i="21"/>
  <c r="AA34" i="21"/>
  <c r="AB34" i="21"/>
  <c r="AC34" i="21"/>
  <c r="AD34" i="21"/>
  <c r="AE34" i="21"/>
  <c r="AF34" i="21"/>
  <c r="AG34" i="21"/>
  <c r="AH34" i="21"/>
  <c r="AI34" i="21"/>
  <c r="AJ34" i="21"/>
  <c r="AK34" i="21"/>
  <c r="AL34" i="21"/>
  <c r="AM34" i="21"/>
  <c r="AN34" i="21"/>
  <c r="AO34" i="21"/>
  <c r="AP34" i="21"/>
  <c r="AQ34" i="21"/>
  <c r="AR34" i="21"/>
  <c r="AS34" i="21"/>
  <c r="AT34" i="21"/>
  <c r="AU34" i="21"/>
  <c r="AV34" i="21"/>
  <c r="AW34" i="21"/>
  <c r="AX34" i="21"/>
  <c r="AY34" i="21"/>
  <c r="D34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U29" i="21"/>
  <c r="V29" i="21"/>
  <c r="W29" i="21"/>
  <c r="X29" i="21"/>
  <c r="Y29" i="21"/>
  <c r="Z29" i="21"/>
  <c r="AA29" i="21"/>
  <c r="AB29" i="21"/>
  <c r="AC29" i="21"/>
  <c r="AD29" i="21"/>
  <c r="AE29" i="21"/>
  <c r="AF29" i="21"/>
  <c r="AG29" i="21"/>
  <c r="AH29" i="21"/>
  <c r="AI29" i="21"/>
  <c r="AJ29" i="21"/>
  <c r="AK29" i="21"/>
  <c r="AL29" i="21"/>
  <c r="AM29" i="21"/>
  <c r="AN29" i="21"/>
  <c r="AO29" i="21"/>
  <c r="AP29" i="21"/>
  <c r="AQ29" i="21"/>
  <c r="AR29" i="21"/>
  <c r="AS29" i="21"/>
  <c r="AT29" i="21"/>
  <c r="AU29" i="21"/>
  <c r="AV29" i="21"/>
  <c r="AW29" i="21"/>
  <c r="AX29" i="21"/>
  <c r="AY29" i="21"/>
  <c r="D29" i="21"/>
  <c r="E23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AH23" i="21"/>
  <c r="AI23" i="21"/>
  <c r="AJ23" i="21"/>
  <c r="AK23" i="21"/>
  <c r="AL23" i="21"/>
  <c r="AM23" i="21"/>
  <c r="AN23" i="21"/>
  <c r="AO23" i="21"/>
  <c r="AP23" i="21"/>
  <c r="AQ23" i="21"/>
  <c r="AR23" i="21"/>
  <c r="AS23" i="21"/>
  <c r="AT23" i="21"/>
  <c r="AU23" i="21"/>
  <c r="AV23" i="21"/>
  <c r="AW23" i="21"/>
  <c r="AX23" i="21"/>
  <c r="AY23" i="21"/>
  <c r="D23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AA17" i="21"/>
  <c r="AB17" i="21"/>
  <c r="AC17" i="21"/>
  <c r="AD17" i="21"/>
  <c r="AE17" i="21"/>
  <c r="AF17" i="21"/>
  <c r="AG17" i="21"/>
  <c r="AH17" i="21"/>
  <c r="AI17" i="21"/>
  <c r="AJ17" i="21"/>
  <c r="AK17" i="21"/>
  <c r="AL17" i="21"/>
  <c r="AM17" i="21"/>
  <c r="AN17" i="21"/>
  <c r="AO17" i="21"/>
  <c r="AP17" i="21"/>
  <c r="AQ17" i="21"/>
  <c r="AR17" i="21"/>
  <c r="AS17" i="21"/>
  <c r="AT17" i="21"/>
  <c r="AU17" i="21"/>
  <c r="AV17" i="21"/>
  <c r="AW17" i="21"/>
  <c r="AX17" i="21"/>
  <c r="AY17" i="21"/>
  <c r="D17" i="21"/>
  <c r="E8" i="21"/>
  <c r="F8" i="21"/>
  <c r="G8" i="21"/>
  <c r="H8" i="21"/>
  <c r="I8" i="21"/>
  <c r="J8" i="21"/>
  <c r="K8" i="21"/>
  <c r="L8" i="21"/>
  <c r="M8" i="21"/>
  <c r="N8" i="21"/>
  <c r="O8" i="21"/>
  <c r="P8" i="21"/>
  <c r="Q8" i="21"/>
  <c r="R8" i="21"/>
  <c r="S8" i="21"/>
  <c r="T8" i="21"/>
  <c r="U8" i="21"/>
  <c r="V8" i="21"/>
  <c r="W8" i="21"/>
  <c r="X8" i="21"/>
  <c r="Y8" i="21"/>
  <c r="Z8" i="21"/>
  <c r="AA8" i="21"/>
  <c r="AB8" i="21"/>
  <c r="AC8" i="21"/>
  <c r="AD8" i="21"/>
  <c r="AE8" i="21"/>
  <c r="AF8" i="21"/>
  <c r="AG8" i="21"/>
  <c r="AH8" i="21"/>
  <c r="AI8" i="21"/>
  <c r="AJ8" i="21"/>
  <c r="AK8" i="21"/>
  <c r="AL8" i="21"/>
  <c r="AM8" i="21"/>
  <c r="AN8" i="21"/>
  <c r="AO8" i="21"/>
  <c r="AP8" i="21"/>
  <c r="AQ8" i="21"/>
  <c r="AR8" i="21"/>
  <c r="AS8" i="21"/>
  <c r="AT8" i="21"/>
  <c r="AU8" i="21"/>
  <c r="AV8" i="21"/>
  <c r="AW8" i="21"/>
  <c r="AX8" i="21"/>
  <c r="AY8" i="21"/>
  <c r="D8" i="21"/>
  <c r="F3" i="34"/>
  <c r="A48" i="34"/>
  <c r="A49" i="34"/>
  <c r="A50" i="34"/>
  <c r="A51" i="34"/>
  <c r="A52" i="34"/>
  <c r="A53" i="34"/>
  <c r="A54" i="34"/>
  <c r="A55" i="34"/>
  <c r="AD24" i="44" l="1"/>
  <c r="AD22" i="44"/>
  <c r="AD20" i="44"/>
  <c r="AD18" i="44"/>
  <c r="AD16" i="44"/>
  <c r="AD25" i="44"/>
  <c r="AD21" i="44"/>
  <c r="AD17" i="44"/>
  <c r="AD23" i="44"/>
  <c r="AD19" i="44"/>
  <c r="AF15" i="44"/>
  <c r="AB24" i="45"/>
  <c r="AB22" i="45"/>
  <c r="AB20" i="45"/>
  <c r="AB18" i="45"/>
  <c r="AB16" i="45"/>
  <c r="AB25" i="45"/>
  <c r="AB23" i="45"/>
  <c r="AB21" i="45"/>
  <c r="AB19" i="45"/>
  <c r="AB17" i="45"/>
  <c r="AD15" i="45"/>
  <c r="AF24" i="44" l="1"/>
  <c r="AF22" i="44"/>
  <c r="AF20" i="44"/>
  <c r="AF18" i="44"/>
  <c r="AF16" i="44"/>
  <c r="AH15" i="44"/>
  <c r="AF23" i="44"/>
  <c r="AF19" i="44"/>
  <c r="AF25" i="44"/>
  <c r="AF21" i="44"/>
  <c r="AF17" i="44"/>
  <c r="AD25" i="45"/>
  <c r="AD23" i="45"/>
  <c r="AD21" i="45"/>
  <c r="AD19" i="45"/>
  <c r="AD17" i="45"/>
  <c r="AD24" i="45"/>
  <c r="AD22" i="45"/>
  <c r="AD20" i="45"/>
  <c r="AD18" i="45"/>
  <c r="AD16" i="45"/>
  <c r="AF15" i="45"/>
  <c r="AY7" i="27"/>
  <c r="AX7" i="27"/>
  <c r="AW7" i="27"/>
  <c r="AV7" i="27"/>
  <c r="AU7" i="27"/>
  <c r="AT7" i="27"/>
  <c r="AS7" i="27"/>
  <c r="AR7" i="27"/>
  <c r="AQ7" i="27"/>
  <c r="AP7" i="27"/>
  <c r="AO7" i="27"/>
  <c r="AN7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X7" i="27"/>
  <c r="W7" i="27"/>
  <c r="V7" i="27"/>
  <c r="U7" i="27"/>
  <c r="T7" i="27"/>
  <c r="S7" i="27"/>
  <c r="R7" i="27"/>
  <c r="Q7" i="27"/>
  <c r="P7" i="27"/>
  <c r="O7" i="27"/>
  <c r="N7" i="27"/>
  <c r="M7" i="27"/>
  <c r="L7" i="27"/>
  <c r="K7" i="27"/>
  <c r="J7" i="27"/>
  <c r="I7" i="27"/>
  <c r="H7" i="27"/>
  <c r="G7" i="27"/>
  <c r="F7" i="27"/>
  <c r="E7" i="27"/>
  <c r="AY6" i="27"/>
  <c r="AX6" i="27"/>
  <c r="AW6" i="27"/>
  <c r="AV6" i="27"/>
  <c r="AU6" i="27"/>
  <c r="AT6" i="27"/>
  <c r="AS6" i="27"/>
  <c r="AR6" i="27"/>
  <c r="AQ6" i="27"/>
  <c r="AP6" i="27"/>
  <c r="AO6" i="27"/>
  <c r="AN6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X6" i="27"/>
  <c r="W6" i="27"/>
  <c r="V6" i="27"/>
  <c r="U6" i="27"/>
  <c r="T6" i="27"/>
  <c r="S6" i="27"/>
  <c r="R6" i="27"/>
  <c r="Q6" i="27"/>
  <c r="P6" i="27"/>
  <c r="O6" i="27"/>
  <c r="N6" i="27"/>
  <c r="M6" i="27"/>
  <c r="L6" i="27"/>
  <c r="K6" i="27"/>
  <c r="J6" i="27"/>
  <c r="I6" i="27"/>
  <c r="H6" i="27"/>
  <c r="G6" i="27"/>
  <c r="F6" i="27"/>
  <c r="E6" i="27"/>
  <c r="AY5" i="27"/>
  <c r="AX5" i="27"/>
  <c r="AW5" i="27"/>
  <c r="AV5" i="27"/>
  <c r="AU5" i="27"/>
  <c r="AT5" i="27"/>
  <c r="AS5" i="27"/>
  <c r="AR5" i="27"/>
  <c r="AQ5" i="27"/>
  <c r="AP5" i="27"/>
  <c r="AO5" i="27"/>
  <c r="AN5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X5" i="27"/>
  <c r="W5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5" i="27"/>
  <c r="F5" i="27"/>
  <c r="E5" i="27"/>
  <c r="AY4" i="27"/>
  <c r="AX4" i="27"/>
  <c r="AW4" i="27"/>
  <c r="AV4" i="27"/>
  <c r="AU4" i="27"/>
  <c r="AT4" i="27"/>
  <c r="AS4" i="27"/>
  <c r="AR4" i="27"/>
  <c r="AQ4" i="27"/>
  <c r="AP4" i="27"/>
  <c r="AO4" i="27"/>
  <c r="AN4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W4" i="27"/>
  <c r="V4" i="27"/>
  <c r="U4" i="27"/>
  <c r="T4" i="27"/>
  <c r="S4" i="27"/>
  <c r="R4" i="27"/>
  <c r="Q4" i="27"/>
  <c r="P4" i="27"/>
  <c r="O4" i="27"/>
  <c r="N4" i="27"/>
  <c r="M4" i="27"/>
  <c r="L4" i="27"/>
  <c r="K4" i="27"/>
  <c r="J4" i="27"/>
  <c r="I4" i="27"/>
  <c r="H4" i="27"/>
  <c r="G4" i="27"/>
  <c r="F4" i="27"/>
  <c r="E4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E3" i="27"/>
  <c r="AY51" i="27"/>
  <c r="AX51" i="27"/>
  <c r="AW51" i="27"/>
  <c r="AV51" i="27"/>
  <c r="AU51" i="27"/>
  <c r="AT51" i="27"/>
  <c r="AS51" i="27"/>
  <c r="AR51" i="27"/>
  <c r="AQ51" i="27"/>
  <c r="AP51" i="27"/>
  <c r="AO51" i="27"/>
  <c r="AN51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X51" i="27"/>
  <c r="W51" i="27"/>
  <c r="V51" i="27"/>
  <c r="U51" i="27"/>
  <c r="T51" i="27"/>
  <c r="S51" i="27"/>
  <c r="R51" i="27"/>
  <c r="Q51" i="27"/>
  <c r="P51" i="27"/>
  <c r="O51" i="27"/>
  <c r="N51" i="27"/>
  <c r="M51" i="27"/>
  <c r="L51" i="27"/>
  <c r="K51" i="27"/>
  <c r="J51" i="27"/>
  <c r="I51" i="27"/>
  <c r="H51" i="27"/>
  <c r="G51" i="27"/>
  <c r="F51" i="27"/>
  <c r="E51" i="27"/>
  <c r="AY50" i="27"/>
  <c r="AX50" i="27"/>
  <c r="AW50" i="27"/>
  <c r="AV50" i="27"/>
  <c r="AU50" i="27"/>
  <c r="AT50" i="27"/>
  <c r="AS50" i="27"/>
  <c r="AR50" i="27"/>
  <c r="AQ50" i="27"/>
  <c r="AP50" i="27"/>
  <c r="AO50" i="27"/>
  <c r="AN50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X50" i="27"/>
  <c r="W50" i="27"/>
  <c r="V50" i="27"/>
  <c r="U50" i="27"/>
  <c r="T50" i="27"/>
  <c r="S50" i="27"/>
  <c r="R50" i="27"/>
  <c r="Q50" i="27"/>
  <c r="P50" i="27"/>
  <c r="O50" i="27"/>
  <c r="N50" i="27"/>
  <c r="M50" i="27"/>
  <c r="L50" i="27"/>
  <c r="K50" i="27"/>
  <c r="J50" i="27"/>
  <c r="I50" i="27"/>
  <c r="H50" i="27"/>
  <c r="G50" i="27"/>
  <c r="F50" i="27"/>
  <c r="E50" i="27"/>
  <c r="AY49" i="27"/>
  <c r="AX49" i="27"/>
  <c r="AW49" i="27"/>
  <c r="AV49" i="27"/>
  <c r="AU49" i="27"/>
  <c r="AT49" i="27"/>
  <c r="AS49" i="27"/>
  <c r="AR49" i="27"/>
  <c r="AQ49" i="27"/>
  <c r="AP49" i="27"/>
  <c r="AO49" i="27"/>
  <c r="AN49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X49" i="27"/>
  <c r="W49" i="27"/>
  <c r="V49" i="27"/>
  <c r="U49" i="27"/>
  <c r="T49" i="27"/>
  <c r="S49" i="27"/>
  <c r="R49" i="27"/>
  <c r="Q49" i="27"/>
  <c r="P49" i="27"/>
  <c r="O49" i="27"/>
  <c r="N49" i="27"/>
  <c r="M49" i="27"/>
  <c r="L49" i="27"/>
  <c r="K49" i="27"/>
  <c r="J49" i="27"/>
  <c r="I49" i="27"/>
  <c r="H49" i="27"/>
  <c r="G49" i="27"/>
  <c r="F49" i="27"/>
  <c r="E49" i="27"/>
  <c r="AY48" i="27"/>
  <c r="AX48" i="27"/>
  <c r="AW48" i="27"/>
  <c r="AV48" i="27"/>
  <c r="AU48" i="27"/>
  <c r="AT48" i="27"/>
  <c r="AS48" i="27"/>
  <c r="AR48" i="27"/>
  <c r="AQ48" i="27"/>
  <c r="AP48" i="27"/>
  <c r="AO48" i="27"/>
  <c r="AN48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X48" i="27"/>
  <c r="W48" i="27"/>
  <c r="V48" i="27"/>
  <c r="U48" i="27"/>
  <c r="T48" i="27"/>
  <c r="S48" i="27"/>
  <c r="R48" i="27"/>
  <c r="Q48" i="27"/>
  <c r="P48" i="27"/>
  <c r="O48" i="27"/>
  <c r="N48" i="27"/>
  <c r="M48" i="27"/>
  <c r="L48" i="27"/>
  <c r="K48" i="27"/>
  <c r="J48" i="27"/>
  <c r="I48" i="27"/>
  <c r="H48" i="27"/>
  <c r="G48" i="27"/>
  <c r="F48" i="27"/>
  <c r="E48" i="27"/>
  <c r="AY47" i="27"/>
  <c r="AX47" i="27"/>
  <c r="AW47" i="27"/>
  <c r="AV47" i="27"/>
  <c r="AU47" i="27"/>
  <c r="AT47" i="27"/>
  <c r="AS47" i="27"/>
  <c r="AR47" i="27"/>
  <c r="AQ47" i="27"/>
  <c r="AP47" i="27"/>
  <c r="AO47" i="27"/>
  <c r="AN47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X47" i="27"/>
  <c r="W47" i="27"/>
  <c r="V47" i="27"/>
  <c r="U47" i="27"/>
  <c r="T47" i="27"/>
  <c r="S47" i="27"/>
  <c r="R47" i="27"/>
  <c r="Q47" i="27"/>
  <c r="P47" i="27"/>
  <c r="O47" i="27"/>
  <c r="N47" i="27"/>
  <c r="M47" i="27"/>
  <c r="L47" i="27"/>
  <c r="K47" i="27"/>
  <c r="J47" i="27"/>
  <c r="I47" i="27"/>
  <c r="H47" i="27"/>
  <c r="G47" i="27"/>
  <c r="F47" i="27"/>
  <c r="E47" i="27"/>
  <c r="AY45" i="27"/>
  <c r="AX45" i="27"/>
  <c r="AW45" i="27"/>
  <c r="AV45" i="27"/>
  <c r="AU45" i="27"/>
  <c r="AT45" i="27"/>
  <c r="AS45" i="27"/>
  <c r="AR45" i="27"/>
  <c r="AQ45" i="27"/>
  <c r="AP45" i="27"/>
  <c r="AO45" i="27"/>
  <c r="AN45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X45" i="27"/>
  <c r="W45" i="27"/>
  <c r="V45" i="27"/>
  <c r="U45" i="27"/>
  <c r="T45" i="27"/>
  <c r="S45" i="27"/>
  <c r="R45" i="27"/>
  <c r="Q45" i="27"/>
  <c r="P45" i="27"/>
  <c r="O45" i="27"/>
  <c r="N45" i="27"/>
  <c r="M45" i="27"/>
  <c r="L45" i="27"/>
  <c r="K45" i="27"/>
  <c r="J45" i="27"/>
  <c r="I45" i="27"/>
  <c r="H45" i="27"/>
  <c r="G45" i="27"/>
  <c r="F45" i="27"/>
  <c r="E45" i="27"/>
  <c r="AY44" i="27"/>
  <c r="AX44" i="27"/>
  <c r="AW44" i="27"/>
  <c r="AV44" i="27"/>
  <c r="AU44" i="27"/>
  <c r="AT44" i="27"/>
  <c r="AS44" i="27"/>
  <c r="AR44" i="27"/>
  <c r="AQ44" i="27"/>
  <c r="AP44" i="27"/>
  <c r="AO44" i="27"/>
  <c r="AN44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X44" i="27"/>
  <c r="W44" i="27"/>
  <c r="V44" i="27"/>
  <c r="U44" i="27"/>
  <c r="T44" i="27"/>
  <c r="S44" i="27"/>
  <c r="R44" i="27"/>
  <c r="Q44" i="27"/>
  <c r="P44" i="27"/>
  <c r="O44" i="27"/>
  <c r="N44" i="27"/>
  <c r="M44" i="27"/>
  <c r="L44" i="27"/>
  <c r="K44" i="27"/>
  <c r="J44" i="27"/>
  <c r="I44" i="27"/>
  <c r="H44" i="27"/>
  <c r="G44" i="27"/>
  <c r="F44" i="27"/>
  <c r="E44" i="27"/>
  <c r="AY43" i="27"/>
  <c r="AX43" i="27"/>
  <c r="AW43" i="27"/>
  <c r="AV43" i="27"/>
  <c r="AU43" i="27"/>
  <c r="AT43" i="27"/>
  <c r="AS43" i="27"/>
  <c r="AR43" i="27"/>
  <c r="AQ43" i="27"/>
  <c r="AP43" i="27"/>
  <c r="AO43" i="27"/>
  <c r="AN43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X43" i="27"/>
  <c r="W43" i="27"/>
  <c r="V43" i="27"/>
  <c r="U43" i="27"/>
  <c r="T43" i="27"/>
  <c r="S43" i="27"/>
  <c r="R43" i="27"/>
  <c r="Q43" i="27"/>
  <c r="P43" i="27"/>
  <c r="O43" i="27"/>
  <c r="N43" i="27"/>
  <c r="M43" i="27"/>
  <c r="L43" i="27"/>
  <c r="K43" i="27"/>
  <c r="J43" i="27"/>
  <c r="I43" i="27"/>
  <c r="H43" i="27"/>
  <c r="G43" i="27"/>
  <c r="F43" i="27"/>
  <c r="E43" i="27"/>
  <c r="AY42" i="27"/>
  <c r="AX42" i="27"/>
  <c r="AW42" i="27"/>
  <c r="AV42" i="27"/>
  <c r="AU42" i="27"/>
  <c r="AT42" i="27"/>
  <c r="AS42" i="27"/>
  <c r="AR42" i="27"/>
  <c r="AQ42" i="27"/>
  <c r="AP42" i="27"/>
  <c r="AO42" i="27"/>
  <c r="AN42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I42" i="27"/>
  <c r="H42" i="27"/>
  <c r="G42" i="27"/>
  <c r="F42" i="27"/>
  <c r="E42" i="27"/>
  <c r="AY41" i="27"/>
  <c r="AX41" i="27"/>
  <c r="AW41" i="27"/>
  <c r="AV41" i="27"/>
  <c r="AU41" i="27"/>
  <c r="AT41" i="27"/>
  <c r="AS41" i="27"/>
  <c r="AR41" i="27"/>
  <c r="AQ41" i="27"/>
  <c r="AP41" i="27"/>
  <c r="AO41" i="27"/>
  <c r="AN41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I41" i="27"/>
  <c r="H41" i="27"/>
  <c r="G41" i="27"/>
  <c r="F41" i="27"/>
  <c r="E41" i="27"/>
  <c r="AY39" i="27"/>
  <c r="AX39" i="27"/>
  <c r="AW39" i="27"/>
  <c r="AV39" i="27"/>
  <c r="AU39" i="27"/>
  <c r="AT39" i="27"/>
  <c r="AS39" i="27"/>
  <c r="AR39" i="27"/>
  <c r="AQ39" i="27"/>
  <c r="AP39" i="27"/>
  <c r="AO39" i="27"/>
  <c r="AN39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I39" i="27"/>
  <c r="H39" i="27"/>
  <c r="G39" i="27"/>
  <c r="F39" i="27"/>
  <c r="E39" i="27"/>
  <c r="AY38" i="27"/>
  <c r="AX38" i="27"/>
  <c r="AW38" i="27"/>
  <c r="AV38" i="27"/>
  <c r="AU38" i="27"/>
  <c r="AT38" i="27"/>
  <c r="AS38" i="27"/>
  <c r="AR38" i="27"/>
  <c r="AQ38" i="27"/>
  <c r="AP38" i="27"/>
  <c r="AO38" i="27"/>
  <c r="AN38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I38" i="27"/>
  <c r="H38" i="27"/>
  <c r="G38" i="27"/>
  <c r="F38" i="27"/>
  <c r="E38" i="27"/>
  <c r="AY37" i="27"/>
  <c r="AX37" i="27"/>
  <c r="AW37" i="27"/>
  <c r="AV37" i="27"/>
  <c r="AU37" i="27"/>
  <c r="AT37" i="27"/>
  <c r="AS37" i="27"/>
  <c r="AR37" i="27"/>
  <c r="AQ37" i="27"/>
  <c r="AP37" i="27"/>
  <c r="AO37" i="27"/>
  <c r="AN37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I37" i="27"/>
  <c r="H37" i="27"/>
  <c r="G37" i="27"/>
  <c r="F37" i="27"/>
  <c r="E37" i="27"/>
  <c r="AY36" i="27"/>
  <c r="AX36" i="27"/>
  <c r="AW36" i="27"/>
  <c r="AV36" i="27"/>
  <c r="AU36" i="27"/>
  <c r="AT36" i="27"/>
  <c r="AS36" i="27"/>
  <c r="AR36" i="27"/>
  <c r="AQ36" i="27"/>
  <c r="AP36" i="27"/>
  <c r="AO36" i="27"/>
  <c r="AN36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AY34" i="27"/>
  <c r="AX34" i="27"/>
  <c r="AW34" i="27"/>
  <c r="AV34" i="27"/>
  <c r="AU34" i="27"/>
  <c r="AT34" i="27"/>
  <c r="AS34" i="27"/>
  <c r="AR34" i="27"/>
  <c r="AQ34" i="27"/>
  <c r="AP34" i="27"/>
  <c r="AO34" i="27"/>
  <c r="AN34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X34" i="27"/>
  <c r="W34" i="27"/>
  <c r="V34" i="27"/>
  <c r="U34" i="27"/>
  <c r="T34" i="27"/>
  <c r="S34" i="27"/>
  <c r="R34" i="27"/>
  <c r="Q34" i="27"/>
  <c r="P34" i="27"/>
  <c r="O34" i="27"/>
  <c r="N34" i="27"/>
  <c r="M34" i="27"/>
  <c r="L34" i="27"/>
  <c r="K34" i="27"/>
  <c r="J34" i="27"/>
  <c r="I34" i="27"/>
  <c r="H34" i="27"/>
  <c r="G34" i="27"/>
  <c r="F34" i="27"/>
  <c r="E34" i="27"/>
  <c r="AY33" i="27"/>
  <c r="AX33" i="27"/>
  <c r="AW33" i="27"/>
  <c r="AV33" i="27"/>
  <c r="AU33" i="27"/>
  <c r="AT33" i="27"/>
  <c r="AS33" i="27"/>
  <c r="AR33" i="27"/>
  <c r="AQ33" i="27"/>
  <c r="AP33" i="27"/>
  <c r="AO33" i="27"/>
  <c r="AN33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X33" i="27"/>
  <c r="W33" i="27"/>
  <c r="V33" i="27"/>
  <c r="U33" i="27"/>
  <c r="T33" i="27"/>
  <c r="S33" i="27"/>
  <c r="R33" i="27"/>
  <c r="Q33" i="27"/>
  <c r="P33" i="27"/>
  <c r="O33" i="27"/>
  <c r="N33" i="27"/>
  <c r="M33" i="27"/>
  <c r="L33" i="27"/>
  <c r="K33" i="27"/>
  <c r="J33" i="27"/>
  <c r="I33" i="27"/>
  <c r="H33" i="27"/>
  <c r="G33" i="27"/>
  <c r="F33" i="27"/>
  <c r="E33" i="27"/>
  <c r="AY32" i="27"/>
  <c r="AX32" i="27"/>
  <c r="AW32" i="27"/>
  <c r="AV32" i="27"/>
  <c r="AU32" i="27"/>
  <c r="AT32" i="27"/>
  <c r="AS32" i="27"/>
  <c r="AR32" i="27"/>
  <c r="AQ32" i="27"/>
  <c r="AP32" i="27"/>
  <c r="AO32" i="27"/>
  <c r="AN32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X32" i="27"/>
  <c r="W32" i="27"/>
  <c r="V32" i="27"/>
  <c r="U32" i="27"/>
  <c r="T32" i="27"/>
  <c r="S32" i="27"/>
  <c r="R32" i="27"/>
  <c r="Q32" i="27"/>
  <c r="P32" i="27"/>
  <c r="O32" i="27"/>
  <c r="N32" i="27"/>
  <c r="M32" i="27"/>
  <c r="L32" i="27"/>
  <c r="K32" i="27"/>
  <c r="J32" i="27"/>
  <c r="I32" i="27"/>
  <c r="H32" i="27"/>
  <c r="G32" i="27"/>
  <c r="F32" i="27"/>
  <c r="E32" i="27"/>
  <c r="AY31" i="27"/>
  <c r="AX31" i="27"/>
  <c r="AW31" i="27"/>
  <c r="AV31" i="27"/>
  <c r="AU31" i="27"/>
  <c r="AT31" i="27"/>
  <c r="AS31" i="27"/>
  <c r="AR31" i="27"/>
  <c r="AQ31" i="27"/>
  <c r="AP31" i="27"/>
  <c r="AO31" i="27"/>
  <c r="AN31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X31" i="27"/>
  <c r="W31" i="27"/>
  <c r="V31" i="27"/>
  <c r="U31" i="27"/>
  <c r="T31" i="27"/>
  <c r="S31" i="27"/>
  <c r="R31" i="27"/>
  <c r="Q31" i="27"/>
  <c r="P31" i="27"/>
  <c r="O31" i="27"/>
  <c r="N31" i="27"/>
  <c r="M31" i="27"/>
  <c r="L31" i="27"/>
  <c r="K31" i="27"/>
  <c r="J31" i="27"/>
  <c r="I31" i="27"/>
  <c r="H31" i="27"/>
  <c r="G31" i="27"/>
  <c r="F31" i="27"/>
  <c r="E31" i="27"/>
  <c r="AY30" i="27"/>
  <c r="AX30" i="27"/>
  <c r="AW30" i="27"/>
  <c r="AV30" i="27"/>
  <c r="AU30" i="27"/>
  <c r="AT30" i="27"/>
  <c r="AS30" i="27"/>
  <c r="AR30" i="27"/>
  <c r="AQ30" i="27"/>
  <c r="AP30" i="27"/>
  <c r="AO30" i="27"/>
  <c r="AN30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F30" i="27"/>
  <c r="E30" i="27"/>
  <c r="AY28" i="27"/>
  <c r="AX28" i="27"/>
  <c r="AW28" i="27"/>
  <c r="AV28" i="27"/>
  <c r="AU28" i="27"/>
  <c r="AT28" i="27"/>
  <c r="AS28" i="27"/>
  <c r="AR28" i="27"/>
  <c r="AQ28" i="27"/>
  <c r="AP28" i="27"/>
  <c r="AO28" i="27"/>
  <c r="AN28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E28" i="27"/>
  <c r="AY27" i="27"/>
  <c r="AX27" i="27"/>
  <c r="AW27" i="27"/>
  <c r="AV27" i="27"/>
  <c r="AU27" i="27"/>
  <c r="AT27" i="27"/>
  <c r="AS27" i="27"/>
  <c r="AR27" i="27"/>
  <c r="AQ27" i="27"/>
  <c r="AP27" i="27"/>
  <c r="AO27" i="27"/>
  <c r="AN27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F27" i="27"/>
  <c r="E27" i="27"/>
  <c r="AY26" i="27"/>
  <c r="AX26" i="27"/>
  <c r="AW26" i="27"/>
  <c r="AV26" i="27"/>
  <c r="AU26" i="27"/>
  <c r="AT26" i="27"/>
  <c r="AS26" i="27"/>
  <c r="AR26" i="27"/>
  <c r="AQ26" i="27"/>
  <c r="AP26" i="27"/>
  <c r="AO26" i="27"/>
  <c r="AN26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F26" i="27"/>
  <c r="E26" i="27"/>
  <c r="AY25" i="27"/>
  <c r="AX25" i="27"/>
  <c r="AW25" i="27"/>
  <c r="AV25" i="27"/>
  <c r="AU25" i="27"/>
  <c r="AT25" i="27"/>
  <c r="AS25" i="27"/>
  <c r="AR25" i="27"/>
  <c r="AQ25" i="27"/>
  <c r="AP25" i="27"/>
  <c r="AO25" i="27"/>
  <c r="AN25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F25" i="27"/>
  <c r="E25" i="27"/>
  <c r="AY24" i="27"/>
  <c r="AX24" i="27"/>
  <c r="AW24" i="27"/>
  <c r="AV24" i="27"/>
  <c r="AU24" i="27"/>
  <c r="AT24" i="27"/>
  <c r="AS24" i="27"/>
  <c r="AR24" i="27"/>
  <c r="AQ24" i="27"/>
  <c r="AP24" i="27"/>
  <c r="AO24" i="27"/>
  <c r="AN24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X24" i="27"/>
  <c r="W24" i="27"/>
  <c r="V24" i="27"/>
  <c r="U24" i="27"/>
  <c r="T24" i="27"/>
  <c r="S24" i="27"/>
  <c r="R24" i="27"/>
  <c r="Q24" i="27"/>
  <c r="P24" i="27"/>
  <c r="O24" i="27"/>
  <c r="N24" i="27"/>
  <c r="M24" i="27"/>
  <c r="L24" i="27"/>
  <c r="K24" i="27"/>
  <c r="J24" i="27"/>
  <c r="I24" i="27"/>
  <c r="H24" i="27"/>
  <c r="G24" i="27"/>
  <c r="F24" i="27"/>
  <c r="E24" i="27"/>
  <c r="AY22" i="27"/>
  <c r="AX22" i="27"/>
  <c r="AW22" i="27"/>
  <c r="AV22" i="27"/>
  <c r="AU22" i="27"/>
  <c r="AT22" i="27"/>
  <c r="AS22" i="27"/>
  <c r="AR22" i="27"/>
  <c r="AQ22" i="27"/>
  <c r="AP22" i="27"/>
  <c r="AO22" i="27"/>
  <c r="AN22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X22" i="27"/>
  <c r="W22" i="27"/>
  <c r="V22" i="27"/>
  <c r="U22" i="27"/>
  <c r="T22" i="27"/>
  <c r="S22" i="27"/>
  <c r="R22" i="27"/>
  <c r="Q22" i="27"/>
  <c r="P22" i="27"/>
  <c r="O22" i="27"/>
  <c r="N22" i="27"/>
  <c r="M22" i="27"/>
  <c r="L22" i="27"/>
  <c r="K22" i="27"/>
  <c r="J22" i="27"/>
  <c r="I22" i="27"/>
  <c r="H22" i="27"/>
  <c r="G22" i="27"/>
  <c r="F22" i="27"/>
  <c r="E22" i="27"/>
  <c r="AY21" i="27"/>
  <c r="AX21" i="27"/>
  <c r="AW21" i="27"/>
  <c r="AV21" i="27"/>
  <c r="AU21" i="27"/>
  <c r="AT21" i="27"/>
  <c r="AS21" i="27"/>
  <c r="AR21" i="27"/>
  <c r="AQ21" i="27"/>
  <c r="AP21" i="27"/>
  <c r="AO21" i="27"/>
  <c r="AN21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X21" i="27"/>
  <c r="W21" i="27"/>
  <c r="V21" i="27"/>
  <c r="U21" i="27"/>
  <c r="T21" i="27"/>
  <c r="S21" i="27"/>
  <c r="R21" i="27"/>
  <c r="Q21" i="27"/>
  <c r="P21" i="27"/>
  <c r="O21" i="27"/>
  <c r="N21" i="27"/>
  <c r="M21" i="27"/>
  <c r="L21" i="27"/>
  <c r="K21" i="27"/>
  <c r="J21" i="27"/>
  <c r="I21" i="27"/>
  <c r="H21" i="27"/>
  <c r="G21" i="27"/>
  <c r="F21" i="27"/>
  <c r="E21" i="27"/>
  <c r="AY20" i="27"/>
  <c r="AX20" i="27"/>
  <c r="AW20" i="27"/>
  <c r="AV20" i="27"/>
  <c r="AU20" i="27"/>
  <c r="AT20" i="27"/>
  <c r="AS20" i="27"/>
  <c r="AR20" i="27"/>
  <c r="AQ20" i="27"/>
  <c r="AP20" i="27"/>
  <c r="AO20" i="27"/>
  <c r="AN20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X20" i="27"/>
  <c r="W20" i="27"/>
  <c r="V20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AY19" i="27"/>
  <c r="AX19" i="27"/>
  <c r="AW19" i="27"/>
  <c r="AV19" i="27"/>
  <c r="AU19" i="27"/>
  <c r="AT19" i="27"/>
  <c r="AS19" i="27"/>
  <c r="AR19" i="27"/>
  <c r="AQ19" i="27"/>
  <c r="AP19" i="27"/>
  <c r="AO19" i="27"/>
  <c r="AN19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X19" i="27"/>
  <c r="W19" i="27"/>
  <c r="V19" i="27"/>
  <c r="U19" i="27"/>
  <c r="T19" i="27"/>
  <c r="S19" i="27"/>
  <c r="R19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AY18" i="27"/>
  <c r="AX18" i="27"/>
  <c r="AW18" i="27"/>
  <c r="AV18" i="27"/>
  <c r="AU18" i="27"/>
  <c r="AT18" i="27"/>
  <c r="AS18" i="27"/>
  <c r="AR18" i="27"/>
  <c r="AQ18" i="27"/>
  <c r="AP18" i="27"/>
  <c r="AO18" i="27"/>
  <c r="AN18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X18" i="27"/>
  <c r="W18" i="27"/>
  <c r="V18" i="27"/>
  <c r="U18" i="27"/>
  <c r="T18" i="27"/>
  <c r="S18" i="27"/>
  <c r="R18" i="27"/>
  <c r="Q18" i="27"/>
  <c r="P18" i="27"/>
  <c r="O18" i="27"/>
  <c r="N18" i="27"/>
  <c r="M18" i="27"/>
  <c r="L18" i="27"/>
  <c r="K18" i="27"/>
  <c r="J18" i="27"/>
  <c r="I18" i="27"/>
  <c r="H18" i="27"/>
  <c r="G18" i="27"/>
  <c r="F18" i="27"/>
  <c r="E18" i="27"/>
  <c r="AY17" i="27"/>
  <c r="AX17" i="27"/>
  <c r="AW17" i="27"/>
  <c r="AV17" i="27"/>
  <c r="AU17" i="27"/>
  <c r="AT17" i="27"/>
  <c r="AS17" i="27"/>
  <c r="AR17" i="27"/>
  <c r="AQ17" i="27"/>
  <c r="AP17" i="27"/>
  <c r="AO17" i="27"/>
  <c r="AN17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X17" i="27"/>
  <c r="W17" i="27"/>
  <c r="V17" i="27"/>
  <c r="U17" i="27"/>
  <c r="T17" i="27"/>
  <c r="S17" i="27"/>
  <c r="R17" i="27"/>
  <c r="Q17" i="27"/>
  <c r="P17" i="27"/>
  <c r="O17" i="27"/>
  <c r="N17" i="27"/>
  <c r="M17" i="27"/>
  <c r="L17" i="27"/>
  <c r="K17" i="27"/>
  <c r="J17" i="27"/>
  <c r="I17" i="27"/>
  <c r="H17" i="27"/>
  <c r="G17" i="27"/>
  <c r="F17" i="27"/>
  <c r="E17" i="27"/>
  <c r="AY16" i="27"/>
  <c r="AX16" i="27"/>
  <c r="AW16" i="27"/>
  <c r="AV16" i="27"/>
  <c r="AU16" i="27"/>
  <c r="AT16" i="27"/>
  <c r="AS16" i="27"/>
  <c r="AR16" i="27"/>
  <c r="AQ16" i="27"/>
  <c r="AP16" i="27"/>
  <c r="AO16" i="27"/>
  <c r="AN16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X16" i="27"/>
  <c r="W16" i="27"/>
  <c r="V16" i="27"/>
  <c r="U16" i="27"/>
  <c r="T16" i="27"/>
  <c r="S16" i="27"/>
  <c r="R16" i="27"/>
  <c r="Q16" i="27"/>
  <c r="P16" i="27"/>
  <c r="O16" i="27"/>
  <c r="N16" i="27"/>
  <c r="M16" i="27"/>
  <c r="L16" i="27"/>
  <c r="K16" i="27"/>
  <c r="J16" i="27"/>
  <c r="I16" i="27"/>
  <c r="H16" i="27"/>
  <c r="G16" i="27"/>
  <c r="F16" i="27"/>
  <c r="E16" i="27"/>
  <c r="AY15" i="27"/>
  <c r="AX15" i="27"/>
  <c r="AW15" i="27"/>
  <c r="AV15" i="27"/>
  <c r="AU15" i="27"/>
  <c r="AT15" i="27"/>
  <c r="AS15" i="27"/>
  <c r="AR15" i="27"/>
  <c r="AQ15" i="27"/>
  <c r="AP15" i="27"/>
  <c r="AO15" i="27"/>
  <c r="AN15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X15" i="27"/>
  <c r="W15" i="27"/>
  <c r="V15" i="27"/>
  <c r="U15" i="27"/>
  <c r="T15" i="27"/>
  <c r="S15" i="27"/>
  <c r="R15" i="27"/>
  <c r="Q15" i="27"/>
  <c r="P15" i="27"/>
  <c r="O15" i="27"/>
  <c r="N15" i="27"/>
  <c r="M15" i="27"/>
  <c r="L15" i="27"/>
  <c r="K15" i="27"/>
  <c r="J15" i="27"/>
  <c r="I15" i="27"/>
  <c r="H15" i="27"/>
  <c r="G15" i="27"/>
  <c r="F15" i="27"/>
  <c r="E15" i="27"/>
  <c r="AY13" i="27"/>
  <c r="AX13" i="27"/>
  <c r="AW13" i="27"/>
  <c r="AV13" i="27"/>
  <c r="AU13" i="27"/>
  <c r="AT13" i="27"/>
  <c r="AS13" i="27"/>
  <c r="AR13" i="27"/>
  <c r="AQ13" i="27"/>
  <c r="AP13" i="27"/>
  <c r="AO13" i="27"/>
  <c r="AN13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X13" i="27"/>
  <c r="W13" i="27"/>
  <c r="V13" i="27"/>
  <c r="U13" i="27"/>
  <c r="T13" i="27"/>
  <c r="S13" i="27"/>
  <c r="R13" i="27"/>
  <c r="Q13" i="27"/>
  <c r="P13" i="27"/>
  <c r="O13" i="27"/>
  <c r="N13" i="27"/>
  <c r="M13" i="27"/>
  <c r="L13" i="27"/>
  <c r="K13" i="27"/>
  <c r="J13" i="27"/>
  <c r="I13" i="27"/>
  <c r="H13" i="27"/>
  <c r="G13" i="27"/>
  <c r="F13" i="27"/>
  <c r="E13" i="27"/>
  <c r="AY12" i="27"/>
  <c r="AX12" i="27"/>
  <c r="AW12" i="27"/>
  <c r="AV12" i="27"/>
  <c r="AU12" i="27"/>
  <c r="AT12" i="27"/>
  <c r="AS12" i="27"/>
  <c r="AR12" i="27"/>
  <c r="AQ12" i="27"/>
  <c r="AP12" i="27"/>
  <c r="AO12" i="27"/>
  <c r="AN12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X12" i="27"/>
  <c r="W12" i="27"/>
  <c r="V12" i="27"/>
  <c r="U12" i="27"/>
  <c r="T12" i="27"/>
  <c r="S12" i="27"/>
  <c r="R12" i="27"/>
  <c r="Q12" i="27"/>
  <c r="P12" i="27"/>
  <c r="O12" i="27"/>
  <c r="N12" i="27"/>
  <c r="M12" i="27"/>
  <c r="L12" i="27"/>
  <c r="K12" i="27"/>
  <c r="J12" i="27"/>
  <c r="I12" i="27"/>
  <c r="H12" i="27"/>
  <c r="G12" i="27"/>
  <c r="F12" i="27"/>
  <c r="E12" i="27"/>
  <c r="AY11" i="27"/>
  <c r="AX11" i="27"/>
  <c r="AW11" i="27"/>
  <c r="AV11" i="27"/>
  <c r="AU11" i="27"/>
  <c r="AT11" i="27"/>
  <c r="AS11" i="27"/>
  <c r="AR11" i="27"/>
  <c r="AQ11" i="27"/>
  <c r="AP11" i="27"/>
  <c r="AO11" i="27"/>
  <c r="AN11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X11" i="27"/>
  <c r="W11" i="27"/>
  <c r="V11" i="27"/>
  <c r="U11" i="27"/>
  <c r="T11" i="27"/>
  <c r="S11" i="27"/>
  <c r="R11" i="27"/>
  <c r="Q11" i="27"/>
  <c r="P11" i="27"/>
  <c r="O11" i="27"/>
  <c r="N11" i="27"/>
  <c r="M11" i="27"/>
  <c r="L11" i="27"/>
  <c r="K11" i="27"/>
  <c r="J11" i="27"/>
  <c r="I11" i="27"/>
  <c r="H11" i="27"/>
  <c r="G11" i="27"/>
  <c r="F11" i="27"/>
  <c r="E11" i="27"/>
  <c r="AY10" i="27"/>
  <c r="AX10" i="27"/>
  <c r="AW10" i="27"/>
  <c r="AV10" i="27"/>
  <c r="AU10" i="27"/>
  <c r="AT10" i="27"/>
  <c r="AS10" i="27"/>
  <c r="AR10" i="27"/>
  <c r="AQ10" i="27"/>
  <c r="AP10" i="27"/>
  <c r="AO10" i="27"/>
  <c r="AN10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X10" i="27"/>
  <c r="W10" i="27"/>
  <c r="V10" i="27"/>
  <c r="U10" i="27"/>
  <c r="T10" i="27"/>
  <c r="S10" i="27"/>
  <c r="R10" i="27"/>
  <c r="Q10" i="27"/>
  <c r="P10" i="27"/>
  <c r="O10" i="27"/>
  <c r="N10" i="27"/>
  <c r="M10" i="27"/>
  <c r="L10" i="27"/>
  <c r="K10" i="27"/>
  <c r="J10" i="27"/>
  <c r="I10" i="27"/>
  <c r="H10" i="27"/>
  <c r="G10" i="27"/>
  <c r="F10" i="27"/>
  <c r="E10" i="27"/>
  <c r="AY9" i="27"/>
  <c r="AX9" i="27"/>
  <c r="AW9" i="27"/>
  <c r="AV9" i="27"/>
  <c r="AU9" i="27"/>
  <c r="AT9" i="27"/>
  <c r="AS9" i="27"/>
  <c r="AR9" i="27"/>
  <c r="AQ9" i="27"/>
  <c r="AP9" i="27"/>
  <c r="AO9" i="27"/>
  <c r="AN9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X9" i="27"/>
  <c r="W9" i="27"/>
  <c r="V9" i="27"/>
  <c r="U9" i="27"/>
  <c r="T9" i="27"/>
  <c r="S9" i="27"/>
  <c r="R9" i="27"/>
  <c r="Q9" i="27"/>
  <c r="P9" i="27"/>
  <c r="O9" i="27"/>
  <c r="N9" i="27"/>
  <c r="M9" i="27"/>
  <c r="L9" i="27"/>
  <c r="K9" i="27"/>
  <c r="J9" i="27"/>
  <c r="I9" i="27"/>
  <c r="H9" i="27"/>
  <c r="G9" i="27"/>
  <c r="F9" i="27"/>
  <c r="E9" i="27"/>
  <c r="D51" i="27"/>
  <c r="D50" i="27"/>
  <c r="D49" i="27"/>
  <c r="D48" i="27"/>
  <c r="D47" i="27"/>
  <c r="D45" i="27"/>
  <c r="D44" i="27"/>
  <c r="D43" i="27"/>
  <c r="D42" i="27"/>
  <c r="D41" i="27"/>
  <c r="D39" i="27"/>
  <c r="D38" i="27"/>
  <c r="D37" i="27"/>
  <c r="D36" i="27"/>
  <c r="D34" i="27"/>
  <c r="D33" i="27"/>
  <c r="D32" i="27"/>
  <c r="D31" i="27"/>
  <c r="D30" i="27"/>
  <c r="D28" i="27"/>
  <c r="D27" i="27"/>
  <c r="D26" i="27"/>
  <c r="D25" i="27"/>
  <c r="D24" i="27"/>
  <c r="D22" i="27"/>
  <c r="D21" i="27"/>
  <c r="D20" i="27"/>
  <c r="D19" i="27"/>
  <c r="D18" i="27"/>
  <c r="D17" i="27"/>
  <c r="D16" i="27"/>
  <c r="D15" i="27"/>
  <c r="D10" i="27"/>
  <c r="D11" i="27"/>
  <c r="D12" i="27"/>
  <c r="D13" i="27"/>
  <c r="D9" i="27"/>
  <c r="D7" i="27"/>
  <c r="D6" i="27"/>
  <c r="D5" i="27"/>
  <c r="D4" i="27"/>
  <c r="D3" i="27"/>
  <c r="AH24" i="44" l="1"/>
  <c r="AH22" i="44"/>
  <c r="AH20" i="44"/>
  <c r="AH18" i="44"/>
  <c r="AH16" i="44"/>
  <c r="AH25" i="44"/>
  <c r="AH21" i="44"/>
  <c r="AH17" i="44"/>
  <c r="AJ15" i="44"/>
  <c r="AH23" i="44"/>
  <c r="AH19" i="44"/>
  <c r="AF24" i="45"/>
  <c r="AF22" i="45"/>
  <c r="AF20" i="45"/>
  <c r="AF18" i="45"/>
  <c r="AF16" i="45"/>
  <c r="AF25" i="45"/>
  <c r="AF23" i="45"/>
  <c r="AF21" i="45"/>
  <c r="AF19" i="45"/>
  <c r="AF17" i="45"/>
  <c r="AH15" i="45"/>
  <c r="F52" i="27"/>
  <c r="H52" i="27"/>
  <c r="J52" i="27"/>
  <c r="L52" i="27"/>
  <c r="N52" i="27"/>
  <c r="P52" i="27"/>
  <c r="R52" i="27"/>
  <c r="T52" i="27"/>
  <c r="V52" i="27"/>
  <c r="X52" i="27"/>
  <c r="Z52" i="27"/>
  <c r="AB52" i="27"/>
  <c r="AD52" i="27"/>
  <c r="AF52" i="27"/>
  <c r="AH52" i="27"/>
  <c r="AJ52" i="27"/>
  <c r="AL52" i="27"/>
  <c r="AN52" i="27"/>
  <c r="AP52" i="27"/>
  <c r="AR52" i="27"/>
  <c r="AT52" i="27"/>
  <c r="AV52" i="27"/>
  <c r="AX52" i="27"/>
  <c r="D46" i="27"/>
  <c r="D29" i="27"/>
  <c r="F35" i="27"/>
  <c r="H35" i="27"/>
  <c r="J35" i="27"/>
  <c r="L35" i="27"/>
  <c r="N35" i="27"/>
  <c r="P35" i="27"/>
  <c r="R35" i="27"/>
  <c r="T35" i="27"/>
  <c r="V35" i="27"/>
  <c r="X35" i="27"/>
  <c r="Z35" i="27"/>
  <c r="AB35" i="27"/>
  <c r="AD35" i="27"/>
  <c r="AF35" i="27"/>
  <c r="AH35" i="27"/>
  <c r="AJ35" i="27"/>
  <c r="AL35" i="27"/>
  <c r="AN35" i="27"/>
  <c r="AP35" i="27"/>
  <c r="AR35" i="27"/>
  <c r="AT35" i="27"/>
  <c r="AV35" i="27"/>
  <c r="AX35" i="27"/>
  <c r="E40" i="27"/>
  <c r="G40" i="27"/>
  <c r="I40" i="27"/>
  <c r="K40" i="27"/>
  <c r="M40" i="27"/>
  <c r="O40" i="27"/>
  <c r="Q40" i="27"/>
  <c r="S40" i="27"/>
  <c r="U40" i="27"/>
  <c r="W40" i="27"/>
  <c r="Y40" i="27"/>
  <c r="AA40" i="27"/>
  <c r="AC40" i="27"/>
  <c r="AE40" i="27"/>
  <c r="AG40" i="27"/>
  <c r="AI40" i="27"/>
  <c r="AK40" i="27"/>
  <c r="AM40" i="27"/>
  <c r="AO40" i="27"/>
  <c r="AQ40" i="27"/>
  <c r="AS40" i="27"/>
  <c r="AU40" i="27"/>
  <c r="AW40" i="27"/>
  <c r="AY40" i="27"/>
  <c r="E46" i="27"/>
  <c r="G46" i="27"/>
  <c r="I46" i="27"/>
  <c r="K46" i="27"/>
  <c r="M46" i="27"/>
  <c r="O46" i="27"/>
  <c r="Q46" i="27"/>
  <c r="S46" i="27"/>
  <c r="U46" i="27"/>
  <c r="W46" i="27"/>
  <c r="Y46" i="27"/>
  <c r="AA46" i="27"/>
  <c r="AC46" i="27"/>
  <c r="AE46" i="27"/>
  <c r="AG46" i="27"/>
  <c r="AI46" i="27"/>
  <c r="AK46" i="27"/>
  <c r="AM46" i="27"/>
  <c r="AO46" i="27"/>
  <c r="AQ46" i="27"/>
  <c r="AS46" i="27"/>
  <c r="AU46" i="27"/>
  <c r="AW46" i="27"/>
  <c r="AY46" i="27"/>
  <c r="E8" i="27"/>
  <c r="G8" i="27"/>
  <c r="I8" i="27"/>
  <c r="K8" i="27"/>
  <c r="M8" i="27"/>
  <c r="O8" i="27"/>
  <c r="Q8" i="27"/>
  <c r="S8" i="27"/>
  <c r="U8" i="27"/>
  <c r="W8" i="27"/>
  <c r="Y8" i="27"/>
  <c r="AA8" i="27"/>
  <c r="AC8" i="27"/>
  <c r="AE8" i="27"/>
  <c r="AG8" i="27"/>
  <c r="AI8" i="27"/>
  <c r="AK8" i="27"/>
  <c r="AM8" i="27"/>
  <c r="AO8" i="27"/>
  <c r="AQ8" i="27"/>
  <c r="AS8" i="27"/>
  <c r="AU8" i="27"/>
  <c r="AW8" i="27"/>
  <c r="AY8" i="27"/>
  <c r="D14" i="27"/>
  <c r="D23" i="27"/>
  <c r="D40" i="27"/>
  <c r="D52" i="27"/>
  <c r="E14" i="27"/>
  <c r="G14" i="27"/>
  <c r="I14" i="27"/>
  <c r="K14" i="27"/>
  <c r="M14" i="27"/>
  <c r="O14" i="27"/>
  <c r="Q14" i="27"/>
  <c r="S14" i="27"/>
  <c r="U14" i="27"/>
  <c r="W14" i="27"/>
  <c r="Y14" i="27"/>
  <c r="AA14" i="27"/>
  <c r="AC14" i="27"/>
  <c r="AE14" i="27"/>
  <c r="AG14" i="27"/>
  <c r="AI14" i="27"/>
  <c r="AK14" i="27"/>
  <c r="AM14" i="27"/>
  <c r="AO14" i="27"/>
  <c r="AQ14" i="27"/>
  <c r="AS14" i="27"/>
  <c r="AU14" i="27"/>
  <c r="AW14" i="27"/>
  <c r="AY14" i="27"/>
  <c r="F23" i="27"/>
  <c r="H23" i="27"/>
  <c r="J23" i="27"/>
  <c r="L23" i="27"/>
  <c r="N23" i="27"/>
  <c r="P23" i="27"/>
  <c r="R23" i="27"/>
  <c r="T23" i="27"/>
  <c r="V23" i="27"/>
  <c r="X23" i="27"/>
  <c r="Z23" i="27"/>
  <c r="AB23" i="27"/>
  <c r="AD23" i="27"/>
  <c r="AF23" i="27"/>
  <c r="AH23" i="27"/>
  <c r="AJ23" i="27"/>
  <c r="AL23" i="27"/>
  <c r="AN23" i="27"/>
  <c r="AP23" i="27"/>
  <c r="AR23" i="27"/>
  <c r="AT23" i="27"/>
  <c r="AV23" i="27"/>
  <c r="AX23" i="27"/>
  <c r="F29" i="27"/>
  <c r="H29" i="27"/>
  <c r="J29" i="27"/>
  <c r="L29" i="27"/>
  <c r="N29" i="27"/>
  <c r="P29" i="27"/>
  <c r="R29" i="27"/>
  <c r="T29" i="27"/>
  <c r="V29" i="27"/>
  <c r="X29" i="27"/>
  <c r="Z29" i="27"/>
  <c r="AB29" i="27"/>
  <c r="AD29" i="27"/>
  <c r="AF29" i="27"/>
  <c r="AH29" i="27"/>
  <c r="AJ29" i="27"/>
  <c r="AL29" i="27"/>
  <c r="AN29" i="27"/>
  <c r="AP29" i="27"/>
  <c r="AR29" i="27"/>
  <c r="AT29" i="27"/>
  <c r="AV29" i="27"/>
  <c r="AX29" i="27"/>
  <c r="E35" i="27"/>
  <c r="G35" i="27"/>
  <c r="I35" i="27"/>
  <c r="K35" i="27"/>
  <c r="M35" i="27"/>
  <c r="O35" i="27"/>
  <c r="Q35" i="27"/>
  <c r="S35" i="27"/>
  <c r="U35" i="27"/>
  <c r="W35" i="27"/>
  <c r="Y35" i="27"/>
  <c r="AA35" i="27"/>
  <c r="AC35" i="27"/>
  <c r="AE35" i="27"/>
  <c r="AG35" i="27"/>
  <c r="AI35" i="27"/>
  <c r="AK35" i="27"/>
  <c r="AM35" i="27"/>
  <c r="AO35" i="27"/>
  <c r="AQ35" i="27"/>
  <c r="AS35" i="27"/>
  <c r="AU35" i="27"/>
  <c r="AW35" i="27"/>
  <c r="AY35" i="27"/>
  <c r="F40" i="27"/>
  <c r="H40" i="27"/>
  <c r="J40" i="27"/>
  <c r="L40" i="27"/>
  <c r="N40" i="27"/>
  <c r="P40" i="27"/>
  <c r="R40" i="27"/>
  <c r="T40" i="27"/>
  <c r="V40" i="27"/>
  <c r="X40" i="27"/>
  <c r="Z40" i="27"/>
  <c r="AB40" i="27"/>
  <c r="AD40" i="27"/>
  <c r="AF40" i="27"/>
  <c r="AH40" i="27"/>
  <c r="AJ40" i="27"/>
  <c r="AL40" i="27"/>
  <c r="AN40" i="27"/>
  <c r="AP40" i="27"/>
  <c r="AR40" i="27"/>
  <c r="AT40" i="27"/>
  <c r="AV40" i="27"/>
  <c r="AX40" i="27"/>
  <c r="F46" i="27"/>
  <c r="H46" i="27"/>
  <c r="J46" i="27"/>
  <c r="L46" i="27"/>
  <c r="N46" i="27"/>
  <c r="P46" i="27"/>
  <c r="R46" i="27"/>
  <c r="T46" i="27"/>
  <c r="V46" i="27"/>
  <c r="X46" i="27"/>
  <c r="Z46" i="27"/>
  <c r="AB46" i="27"/>
  <c r="AD46" i="27"/>
  <c r="AF46" i="27"/>
  <c r="AH46" i="27"/>
  <c r="AJ46" i="27"/>
  <c r="AL46" i="27"/>
  <c r="AN46" i="27"/>
  <c r="AP46" i="27"/>
  <c r="AR46" i="27"/>
  <c r="AT46" i="27"/>
  <c r="AV46" i="27"/>
  <c r="AX46" i="27"/>
  <c r="E52" i="27"/>
  <c r="G52" i="27"/>
  <c r="I52" i="27"/>
  <c r="K52" i="27"/>
  <c r="M52" i="27"/>
  <c r="O52" i="27"/>
  <c r="Q52" i="27"/>
  <c r="S52" i="27"/>
  <c r="U52" i="27"/>
  <c r="W52" i="27"/>
  <c r="Y52" i="27"/>
  <c r="AA52" i="27"/>
  <c r="AC52" i="27"/>
  <c r="AE52" i="27"/>
  <c r="AG52" i="27"/>
  <c r="AI52" i="27"/>
  <c r="AK52" i="27"/>
  <c r="AM52" i="27"/>
  <c r="AO52" i="27"/>
  <c r="AQ52" i="27"/>
  <c r="AS52" i="27"/>
  <c r="AU52" i="27"/>
  <c r="AW52" i="27"/>
  <c r="AY52" i="27"/>
  <c r="F8" i="27"/>
  <c r="H8" i="27"/>
  <c r="J8" i="27"/>
  <c r="L8" i="27"/>
  <c r="N8" i="27"/>
  <c r="P8" i="27"/>
  <c r="R8" i="27"/>
  <c r="T8" i="27"/>
  <c r="V8" i="27"/>
  <c r="X8" i="27"/>
  <c r="Z8" i="27"/>
  <c r="AB8" i="27"/>
  <c r="AD8" i="27"/>
  <c r="AF8" i="27"/>
  <c r="AH8" i="27"/>
  <c r="AJ8" i="27"/>
  <c r="AL8" i="27"/>
  <c r="AN8" i="27"/>
  <c r="AP8" i="27"/>
  <c r="AR8" i="27"/>
  <c r="AT8" i="27"/>
  <c r="AV8" i="27"/>
  <c r="AX8" i="27"/>
  <c r="D8" i="27"/>
  <c r="D35" i="27"/>
  <c r="F14" i="27"/>
  <c r="H14" i="27"/>
  <c r="J14" i="27"/>
  <c r="L14" i="27"/>
  <c r="N14" i="27"/>
  <c r="P14" i="27"/>
  <c r="R14" i="27"/>
  <c r="T14" i="27"/>
  <c r="V14" i="27"/>
  <c r="X14" i="27"/>
  <c r="Z14" i="27"/>
  <c r="AB14" i="27"/>
  <c r="AD14" i="27"/>
  <c r="AF14" i="27"/>
  <c r="AH14" i="27"/>
  <c r="AJ14" i="27"/>
  <c r="AL14" i="27"/>
  <c r="AN14" i="27"/>
  <c r="AP14" i="27"/>
  <c r="AR14" i="27"/>
  <c r="AT14" i="27"/>
  <c r="AV14" i="27"/>
  <c r="AX14" i="27"/>
  <c r="E23" i="27"/>
  <c r="G23" i="27"/>
  <c r="I23" i="27"/>
  <c r="K23" i="27"/>
  <c r="M23" i="27"/>
  <c r="O23" i="27"/>
  <c r="Q23" i="27"/>
  <c r="S23" i="27"/>
  <c r="U23" i="27"/>
  <c r="W23" i="27"/>
  <c r="Y23" i="27"/>
  <c r="AA23" i="27"/>
  <c r="AC23" i="27"/>
  <c r="AE23" i="27"/>
  <c r="AG23" i="27"/>
  <c r="AI23" i="27"/>
  <c r="AK23" i="27"/>
  <c r="AM23" i="27"/>
  <c r="AO23" i="27"/>
  <c r="AQ23" i="27"/>
  <c r="AS23" i="27"/>
  <c r="AU23" i="27"/>
  <c r="AW23" i="27"/>
  <c r="AY23" i="27"/>
  <c r="E29" i="27"/>
  <c r="G29" i="27"/>
  <c r="I29" i="27"/>
  <c r="K29" i="27"/>
  <c r="M29" i="27"/>
  <c r="O29" i="27"/>
  <c r="Q29" i="27"/>
  <c r="S29" i="27"/>
  <c r="U29" i="27"/>
  <c r="W29" i="27"/>
  <c r="Y29" i="27"/>
  <c r="AA29" i="27"/>
  <c r="AC29" i="27"/>
  <c r="AE29" i="27"/>
  <c r="AG29" i="27"/>
  <c r="AI29" i="27"/>
  <c r="AK29" i="27"/>
  <c r="AM29" i="27"/>
  <c r="AO29" i="27"/>
  <c r="AQ29" i="27"/>
  <c r="AS29" i="27"/>
  <c r="AU29" i="27"/>
  <c r="AW29" i="27"/>
  <c r="AY29" i="27"/>
  <c r="F48" i="21"/>
  <c r="H48" i="21"/>
  <c r="J48" i="21"/>
  <c r="L48" i="21"/>
  <c r="N48" i="21"/>
  <c r="P48" i="21"/>
  <c r="R48" i="21"/>
  <c r="T48" i="21"/>
  <c r="V48" i="21"/>
  <c r="X48" i="21"/>
  <c r="Z48" i="21"/>
  <c r="AB48" i="21"/>
  <c r="AD48" i="21"/>
  <c r="AF48" i="21"/>
  <c r="AH48" i="21"/>
  <c r="AJ48" i="21"/>
  <c r="AL48" i="21"/>
  <c r="AN48" i="21"/>
  <c r="AP48" i="21"/>
  <c r="AR48" i="21"/>
  <c r="AT48" i="21"/>
  <c r="AV48" i="21"/>
  <c r="AX48" i="21"/>
  <c r="E54" i="23"/>
  <c r="G54" i="23"/>
  <c r="I54" i="23"/>
  <c r="K54" i="23"/>
  <c r="M54" i="23"/>
  <c r="O54" i="23"/>
  <c r="Q54" i="23"/>
  <c r="S54" i="23"/>
  <c r="U54" i="23"/>
  <c r="W54" i="23"/>
  <c r="Y54" i="23"/>
  <c r="AA54" i="23"/>
  <c r="AC54" i="23"/>
  <c r="AE54" i="23"/>
  <c r="AG54" i="23"/>
  <c r="AI54" i="23"/>
  <c r="AK54" i="23"/>
  <c r="AM54" i="23"/>
  <c r="AO54" i="23"/>
  <c r="AQ54" i="23"/>
  <c r="AS54" i="23"/>
  <c r="AU54" i="23"/>
  <c r="AW54" i="23"/>
  <c r="AY54" i="23"/>
  <c r="AJ24" i="44" l="1"/>
  <c r="AJ22" i="44"/>
  <c r="AJ20" i="44"/>
  <c r="AJ18" i="44"/>
  <c r="AJ16" i="44"/>
  <c r="AL15" i="44"/>
  <c r="AJ23" i="44"/>
  <c r="AJ19" i="44"/>
  <c r="AJ25" i="44"/>
  <c r="AJ21" i="44"/>
  <c r="AJ17" i="44"/>
  <c r="AH25" i="45"/>
  <c r="AH23" i="45"/>
  <c r="AH21" i="45"/>
  <c r="AH19" i="45"/>
  <c r="AH17" i="45"/>
  <c r="AH24" i="45"/>
  <c r="AH22" i="45"/>
  <c r="AH20" i="45"/>
  <c r="AH18" i="45"/>
  <c r="AH16" i="45"/>
  <c r="AJ15" i="45"/>
  <c r="H54" i="27"/>
  <c r="AM54" i="27"/>
  <c r="W54" i="27"/>
  <c r="AF54" i="27"/>
  <c r="N54" i="27"/>
  <c r="AR54" i="27"/>
  <c r="AI54" i="27"/>
  <c r="Z54" i="27"/>
  <c r="S54" i="27"/>
  <c r="K54" i="27"/>
  <c r="AV54" i="27"/>
  <c r="AP54" i="27"/>
  <c r="AB54" i="27"/>
  <c r="P54" i="27"/>
  <c r="F54" i="27"/>
  <c r="AY54" i="27"/>
  <c r="AX54" i="27"/>
  <c r="AU54" i="27"/>
  <c r="AQ54" i="27"/>
  <c r="AN54" i="27"/>
  <c r="AJ54" i="27"/>
  <c r="AH54" i="27"/>
  <c r="AE54" i="27"/>
  <c r="AA54" i="27"/>
  <c r="X54" i="27"/>
  <c r="T54" i="27"/>
  <c r="R54" i="27"/>
  <c r="O54" i="27"/>
  <c r="L54" i="27"/>
  <c r="J54" i="27"/>
  <c r="G54" i="27"/>
  <c r="AT54" i="27"/>
  <c r="AL54" i="27"/>
  <c r="AD54" i="27"/>
  <c r="V54" i="27"/>
  <c r="D54" i="23"/>
  <c r="AX54" i="23"/>
  <c r="AV54" i="23"/>
  <c r="AT54" i="23"/>
  <c r="AR54" i="23"/>
  <c r="AP54" i="23"/>
  <c r="AN54" i="23"/>
  <c r="AL54" i="23"/>
  <c r="AJ54" i="23"/>
  <c r="AH54" i="23"/>
  <c r="AF54" i="23"/>
  <c r="AD54" i="23"/>
  <c r="AB54" i="23"/>
  <c r="Z54" i="23"/>
  <c r="X54" i="23"/>
  <c r="V54" i="23"/>
  <c r="T54" i="23"/>
  <c r="R54" i="23"/>
  <c r="P54" i="23"/>
  <c r="N54" i="23"/>
  <c r="L54" i="23"/>
  <c r="J54" i="23"/>
  <c r="H54" i="23"/>
  <c r="F54" i="23"/>
  <c r="AY48" i="21"/>
  <c r="AW48" i="21"/>
  <c r="AU48" i="21"/>
  <c r="AS48" i="21"/>
  <c r="AQ48" i="21"/>
  <c r="AO48" i="21"/>
  <c r="AM48" i="21"/>
  <c r="AK48" i="21"/>
  <c r="AI48" i="21"/>
  <c r="AG48" i="21"/>
  <c r="AE48" i="21"/>
  <c r="AC48" i="21"/>
  <c r="AA48" i="21"/>
  <c r="Y48" i="21"/>
  <c r="W48" i="21"/>
  <c r="U48" i="21"/>
  <c r="S48" i="21"/>
  <c r="Q48" i="21"/>
  <c r="O48" i="21"/>
  <c r="M48" i="21"/>
  <c r="K48" i="21"/>
  <c r="I48" i="21"/>
  <c r="G48" i="21"/>
  <c r="E48" i="21"/>
  <c r="AW54" i="27"/>
  <c r="AS54" i="27"/>
  <c r="AO54" i="27"/>
  <c r="AK54" i="27"/>
  <c r="AG54" i="27"/>
  <c r="AC54" i="27"/>
  <c r="Y54" i="27"/>
  <c r="U54" i="27"/>
  <c r="Q54" i="27"/>
  <c r="M54" i="27"/>
  <c r="I54" i="27"/>
  <c r="E54" i="27"/>
  <c r="D48" i="21"/>
  <c r="BL45" i="16"/>
  <c r="BM45" i="16" s="1"/>
  <c r="BL46" i="16"/>
  <c r="BM46" i="16" s="1"/>
  <c r="BL47" i="16"/>
  <c r="BM47" i="16" s="1"/>
  <c r="BL48" i="16"/>
  <c r="BM48" i="16" s="1"/>
  <c r="BL49" i="16"/>
  <c r="BM49" i="16" s="1"/>
  <c r="BL50" i="16"/>
  <c r="BM50" i="16" s="1"/>
  <c r="BL51" i="16"/>
  <c r="BM51" i="16" s="1"/>
  <c r="BL52" i="16"/>
  <c r="BM52" i="16" s="1"/>
  <c r="BL53" i="16"/>
  <c r="BM53" i="16" s="1"/>
  <c r="BF45" i="16"/>
  <c r="BG45" i="16" s="1"/>
  <c r="BF46" i="16"/>
  <c r="BG46" i="16" s="1"/>
  <c r="BF47" i="16"/>
  <c r="BG47" i="16" s="1"/>
  <c r="BF48" i="16"/>
  <c r="BG48" i="16" s="1"/>
  <c r="BF49" i="16"/>
  <c r="BG49" i="16" s="1"/>
  <c r="BF50" i="16"/>
  <c r="BG50" i="16" s="1"/>
  <c r="BF51" i="16"/>
  <c r="BG51" i="16" s="1"/>
  <c r="BF52" i="16"/>
  <c r="BG52" i="16" s="1"/>
  <c r="BF53" i="16"/>
  <c r="BG53" i="16" s="1"/>
  <c r="AZ45" i="16"/>
  <c r="BA45" i="16" s="1"/>
  <c r="AZ46" i="16"/>
  <c r="BA46" i="16" s="1"/>
  <c r="AZ47" i="16"/>
  <c r="BA47" i="16" s="1"/>
  <c r="AZ48" i="16"/>
  <c r="BA48" i="16" s="1"/>
  <c r="AZ49" i="16"/>
  <c r="BA49" i="16" s="1"/>
  <c r="AZ50" i="16"/>
  <c r="BA50" i="16" s="1"/>
  <c r="AZ51" i="16"/>
  <c r="BA51" i="16" s="1"/>
  <c r="AZ52" i="16"/>
  <c r="BA52" i="16" s="1"/>
  <c r="AZ53" i="16"/>
  <c r="BA53" i="16" s="1"/>
  <c r="AT45" i="16"/>
  <c r="AU45" i="16" s="1"/>
  <c r="AT46" i="16"/>
  <c r="AU46" i="16" s="1"/>
  <c r="AT47" i="16"/>
  <c r="AU47" i="16" s="1"/>
  <c r="AT48" i="16"/>
  <c r="AU48" i="16" s="1"/>
  <c r="AT49" i="16"/>
  <c r="AU49" i="16" s="1"/>
  <c r="AT50" i="16"/>
  <c r="AU50" i="16" s="1"/>
  <c r="AT51" i="16"/>
  <c r="AU51" i="16" s="1"/>
  <c r="AT52" i="16"/>
  <c r="AU52" i="16" s="1"/>
  <c r="AT53" i="16"/>
  <c r="AU53" i="16" s="1"/>
  <c r="AN45" i="16"/>
  <c r="AO45" i="16" s="1"/>
  <c r="AN46" i="16"/>
  <c r="AO46" i="16" s="1"/>
  <c r="AN47" i="16"/>
  <c r="AO47" i="16" s="1"/>
  <c r="AN48" i="16"/>
  <c r="AO48" i="16" s="1"/>
  <c r="AN49" i="16"/>
  <c r="AO49" i="16" s="1"/>
  <c r="AN50" i="16"/>
  <c r="AO50" i="16" s="1"/>
  <c r="AN51" i="16"/>
  <c r="AO51" i="16" s="1"/>
  <c r="AN52" i="16"/>
  <c r="AO52" i="16" s="1"/>
  <c r="AN53" i="16"/>
  <c r="AO53" i="16" s="1"/>
  <c r="AH45" i="16"/>
  <c r="AI45" i="16" s="1"/>
  <c r="AH46" i="16"/>
  <c r="AI46" i="16" s="1"/>
  <c r="AH47" i="16"/>
  <c r="AI47" i="16" s="1"/>
  <c r="AH48" i="16"/>
  <c r="AI48" i="16" s="1"/>
  <c r="AH49" i="16"/>
  <c r="AI49" i="16" s="1"/>
  <c r="AH50" i="16"/>
  <c r="AI50" i="16" s="1"/>
  <c r="AH51" i="16"/>
  <c r="AI51" i="16" s="1"/>
  <c r="AH52" i="16"/>
  <c r="AI52" i="16" s="1"/>
  <c r="AH53" i="16"/>
  <c r="AI53" i="16" s="1"/>
  <c r="AB45" i="16"/>
  <c r="AC45" i="16" s="1"/>
  <c r="AB46" i="16"/>
  <c r="AC46" i="16" s="1"/>
  <c r="AB47" i="16"/>
  <c r="AC47" i="16" s="1"/>
  <c r="AB48" i="16"/>
  <c r="AC48" i="16" s="1"/>
  <c r="AB49" i="16"/>
  <c r="AC49" i="16" s="1"/>
  <c r="AB50" i="16"/>
  <c r="AC50" i="16" s="1"/>
  <c r="AB51" i="16"/>
  <c r="AC51" i="16" s="1"/>
  <c r="AB52" i="16"/>
  <c r="AC52" i="16" s="1"/>
  <c r="AB53" i="16"/>
  <c r="AC53" i="16" s="1"/>
  <c r="V45" i="16"/>
  <c r="W45" i="16" s="1"/>
  <c r="V46" i="16"/>
  <c r="W46" i="16" s="1"/>
  <c r="V47" i="16"/>
  <c r="W47" i="16" s="1"/>
  <c r="V48" i="16"/>
  <c r="W48" i="16" s="1"/>
  <c r="V49" i="16"/>
  <c r="W49" i="16" s="1"/>
  <c r="V50" i="16"/>
  <c r="W50" i="16" s="1"/>
  <c r="V51" i="16"/>
  <c r="W51" i="16" s="1"/>
  <c r="V52" i="16"/>
  <c r="W52" i="16" s="1"/>
  <c r="V53" i="16"/>
  <c r="W53" i="16" s="1"/>
  <c r="P45" i="16"/>
  <c r="Q45" i="16" s="1"/>
  <c r="P46" i="16"/>
  <c r="Q46" i="16" s="1"/>
  <c r="P47" i="16"/>
  <c r="Q47" i="16" s="1"/>
  <c r="P48" i="16"/>
  <c r="Q48" i="16" s="1"/>
  <c r="P49" i="16"/>
  <c r="Q49" i="16" s="1"/>
  <c r="P50" i="16"/>
  <c r="Q50" i="16" s="1"/>
  <c r="P51" i="16"/>
  <c r="Q51" i="16" s="1"/>
  <c r="P52" i="16"/>
  <c r="Q52" i="16" s="1"/>
  <c r="P53" i="16"/>
  <c r="Q53" i="16" s="1"/>
  <c r="J45" i="16"/>
  <c r="K45" i="16" s="1"/>
  <c r="J46" i="16"/>
  <c r="K46" i="16" s="1"/>
  <c r="J47" i="16"/>
  <c r="K47" i="16" s="1"/>
  <c r="J48" i="16"/>
  <c r="K48" i="16" s="1"/>
  <c r="J49" i="16"/>
  <c r="K49" i="16" s="1"/>
  <c r="J50" i="16"/>
  <c r="K50" i="16" s="1"/>
  <c r="J51" i="16"/>
  <c r="K51" i="16" s="1"/>
  <c r="J52" i="16"/>
  <c r="K52" i="16" s="1"/>
  <c r="J53" i="16"/>
  <c r="K53" i="16" s="1"/>
  <c r="A45" i="16"/>
  <c r="B45" i="16"/>
  <c r="C45" i="16"/>
  <c r="D45" i="16"/>
  <c r="E45" i="16"/>
  <c r="A46" i="16"/>
  <c r="B46" i="16"/>
  <c r="C46" i="16"/>
  <c r="D46" i="16"/>
  <c r="E46" i="16"/>
  <c r="A47" i="16"/>
  <c r="B47" i="16"/>
  <c r="C47" i="16"/>
  <c r="D47" i="16"/>
  <c r="E47" i="16"/>
  <c r="A48" i="16"/>
  <c r="B48" i="16"/>
  <c r="C48" i="16"/>
  <c r="D48" i="16"/>
  <c r="E48" i="16"/>
  <c r="A49" i="16"/>
  <c r="B49" i="16"/>
  <c r="C49" i="16"/>
  <c r="D49" i="16"/>
  <c r="E49" i="16"/>
  <c r="A50" i="16"/>
  <c r="B50" i="16"/>
  <c r="C50" i="16"/>
  <c r="D50" i="16"/>
  <c r="E50" i="16"/>
  <c r="A51" i="16"/>
  <c r="B51" i="16"/>
  <c r="C51" i="16"/>
  <c r="D51" i="16"/>
  <c r="E51" i="16"/>
  <c r="A52" i="16"/>
  <c r="B52" i="16"/>
  <c r="C52" i="16"/>
  <c r="D52" i="16"/>
  <c r="E52" i="16"/>
  <c r="A53" i="16"/>
  <c r="B53" i="16"/>
  <c r="C53" i="16"/>
  <c r="D53" i="16"/>
  <c r="E53" i="16"/>
  <c r="AL24" i="44" l="1"/>
  <c r="AL22" i="44"/>
  <c r="AL20" i="44"/>
  <c r="AL18" i="44"/>
  <c r="AL16" i="44"/>
  <c r="AL25" i="44"/>
  <c r="AL21" i="44"/>
  <c r="AL17" i="44"/>
  <c r="AL23" i="44"/>
  <c r="AL19" i="44"/>
  <c r="AN15" i="44"/>
  <c r="AJ24" i="45"/>
  <c r="AJ22" i="45"/>
  <c r="AJ20" i="45"/>
  <c r="AJ18" i="45"/>
  <c r="AJ16" i="45"/>
  <c r="AJ25" i="45"/>
  <c r="AJ23" i="45"/>
  <c r="AJ21" i="45"/>
  <c r="AJ19" i="45"/>
  <c r="AJ17" i="45"/>
  <c r="AL15" i="45"/>
  <c r="D54" i="27"/>
  <c r="AN24" i="44" l="1"/>
  <c r="AN22" i="44"/>
  <c r="AN20" i="44"/>
  <c r="AN18" i="44"/>
  <c r="AN16" i="44"/>
  <c r="AP15" i="44"/>
  <c r="AN23" i="44"/>
  <c r="AN19" i="44"/>
  <c r="AN25" i="44"/>
  <c r="AN21" i="44"/>
  <c r="AN17" i="44"/>
  <c r="AL25" i="45"/>
  <c r="AL23" i="45"/>
  <c r="AL21" i="45"/>
  <c r="AL19" i="45"/>
  <c r="AL17" i="45"/>
  <c r="AL24" i="45"/>
  <c r="AL22" i="45"/>
  <c r="AL20" i="45"/>
  <c r="AL18" i="45"/>
  <c r="AL16" i="45"/>
  <c r="AN15" i="45"/>
  <c r="D54" i="36"/>
  <c r="D54" i="37"/>
  <c r="F54" i="37"/>
  <c r="H54" i="37"/>
  <c r="J54" i="37"/>
  <c r="L54" i="37"/>
  <c r="N54" i="37"/>
  <c r="P54" i="37"/>
  <c r="R54" i="37"/>
  <c r="T54" i="37"/>
  <c r="V54" i="37"/>
  <c r="X54" i="37"/>
  <c r="Z54" i="37"/>
  <c r="AB54" i="37"/>
  <c r="AD54" i="37"/>
  <c r="AF54" i="37"/>
  <c r="AH54" i="37"/>
  <c r="AJ54" i="37"/>
  <c r="AL54" i="37"/>
  <c r="AN54" i="37"/>
  <c r="AP54" i="37"/>
  <c r="AR54" i="37"/>
  <c r="AT54" i="37"/>
  <c r="AV54" i="37"/>
  <c r="AX54" i="37"/>
  <c r="E54" i="37"/>
  <c r="G54" i="37"/>
  <c r="I54" i="37"/>
  <c r="K54" i="37"/>
  <c r="M54" i="37"/>
  <c r="O54" i="37"/>
  <c r="Q54" i="37"/>
  <c r="S54" i="37"/>
  <c r="U54" i="37"/>
  <c r="W54" i="37"/>
  <c r="Y54" i="37"/>
  <c r="AA54" i="37"/>
  <c r="AC54" i="37"/>
  <c r="AE54" i="37"/>
  <c r="AG54" i="37"/>
  <c r="AI54" i="37"/>
  <c r="AK54" i="37"/>
  <c r="AM54" i="37"/>
  <c r="AO54" i="37"/>
  <c r="AQ54" i="37"/>
  <c r="AS54" i="37"/>
  <c r="AU54" i="37"/>
  <c r="AW54" i="37"/>
  <c r="AY54" i="37"/>
  <c r="F54" i="36"/>
  <c r="H54" i="36"/>
  <c r="J54" i="36"/>
  <c r="L54" i="36"/>
  <c r="N54" i="36"/>
  <c r="P54" i="36"/>
  <c r="R54" i="36"/>
  <c r="T54" i="36"/>
  <c r="V54" i="36"/>
  <c r="X54" i="36"/>
  <c r="Z54" i="36"/>
  <c r="AB54" i="36"/>
  <c r="AD54" i="36"/>
  <c r="AF54" i="36"/>
  <c r="AH54" i="36"/>
  <c r="AJ54" i="36"/>
  <c r="AL54" i="36"/>
  <c r="AN54" i="36"/>
  <c r="AP54" i="36"/>
  <c r="AR54" i="36"/>
  <c r="AT54" i="36"/>
  <c r="AV54" i="36"/>
  <c r="AX54" i="36"/>
  <c r="E54" i="36"/>
  <c r="G54" i="36"/>
  <c r="I54" i="36"/>
  <c r="K54" i="36"/>
  <c r="M54" i="36"/>
  <c r="O54" i="36"/>
  <c r="Q54" i="36"/>
  <c r="S54" i="36"/>
  <c r="U54" i="36"/>
  <c r="W54" i="36"/>
  <c r="Y54" i="36"/>
  <c r="AA54" i="36"/>
  <c r="AC54" i="36"/>
  <c r="AE54" i="36"/>
  <c r="AG54" i="36"/>
  <c r="AI54" i="36"/>
  <c r="AK54" i="36"/>
  <c r="AM54" i="36"/>
  <c r="AO54" i="36"/>
  <c r="AQ54" i="36"/>
  <c r="AS54" i="36"/>
  <c r="AU54" i="36"/>
  <c r="AW54" i="36"/>
  <c r="AY54" i="36"/>
  <c r="A52" i="17"/>
  <c r="B52" i="17"/>
  <c r="C52" i="17"/>
  <c r="D52" i="17"/>
  <c r="E52" i="17"/>
  <c r="I52" i="17"/>
  <c r="J52" i="17" s="1"/>
  <c r="N52" i="17"/>
  <c r="O52" i="17" s="1"/>
  <c r="S52" i="17"/>
  <c r="T52" i="17" s="1"/>
  <c r="X52" i="17"/>
  <c r="Y52" i="17" s="1"/>
  <c r="AC52" i="17"/>
  <c r="AD52" i="17" s="1"/>
  <c r="AH52" i="17"/>
  <c r="AI52" i="17" s="1"/>
  <c r="AM52" i="17"/>
  <c r="AN52" i="17" s="1"/>
  <c r="AR52" i="17"/>
  <c r="AS52" i="17" s="1"/>
  <c r="AW52" i="17"/>
  <c r="AX52" i="17" s="1"/>
  <c r="BB52" i="17"/>
  <c r="BC52" i="17" s="1"/>
  <c r="A51" i="17"/>
  <c r="B51" i="17"/>
  <c r="C51" i="17"/>
  <c r="D51" i="17"/>
  <c r="E51" i="17"/>
  <c r="I51" i="17"/>
  <c r="J51" i="17" s="1"/>
  <c r="N51" i="17"/>
  <c r="O51" i="17" s="1"/>
  <c r="S51" i="17"/>
  <c r="T51" i="17" s="1"/>
  <c r="X51" i="17"/>
  <c r="Y51" i="17" s="1"/>
  <c r="AC51" i="17"/>
  <c r="AD51" i="17" s="1"/>
  <c r="AH51" i="17"/>
  <c r="AI51" i="17" s="1"/>
  <c r="AM51" i="17"/>
  <c r="AN51" i="17" s="1"/>
  <c r="AR51" i="17"/>
  <c r="AS51" i="17" s="1"/>
  <c r="AW51" i="17"/>
  <c r="AX51" i="17" s="1"/>
  <c r="BB51" i="17"/>
  <c r="BC51" i="17" s="1"/>
  <c r="A45" i="17"/>
  <c r="B45" i="17"/>
  <c r="C45" i="17"/>
  <c r="D45" i="17"/>
  <c r="E45" i="17"/>
  <c r="I45" i="17"/>
  <c r="J45" i="17" s="1"/>
  <c r="N45" i="17"/>
  <c r="O45" i="17" s="1"/>
  <c r="S45" i="17"/>
  <c r="T45" i="17" s="1"/>
  <c r="X45" i="17"/>
  <c r="Y45" i="17" s="1"/>
  <c r="AC45" i="17"/>
  <c r="AD45" i="17" s="1"/>
  <c r="AH45" i="17"/>
  <c r="AI45" i="17" s="1"/>
  <c r="AM45" i="17"/>
  <c r="AN45" i="17" s="1"/>
  <c r="AR45" i="17"/>
  <c r="AS45" i="17" s="1"/>
  <c r="AW45" i="17"/>
  <c r="AX45" i="17" s="1"/>
  <c r="BB45" i="17"/>
  <c r="BC45" i="17" s="1"/>
  <c r="A46" i="17"/>
  <c r="B46" i="17"/>
  <c r="C46" i="17"/>
  <c r="D46" i="17"/>
  <c r="E46" i="17"/>
  <c r="I46" i="17"/>
  <c r="J46" i="17" s="1"/>
  <c r="N46" i="17"/>
  <c r="O46" i="17" s="1"/>
  <c r="S46" i="17"/>
  <c r="T46" i="17" s="1"/>
  <c r="X46" i="17"/>
  <c r="Y46" i="17" s="1"/>
  <c r="AC46" i="17"/>
  <c r="AD46" i="17" s="1"/>
  <c r="AH46" i="17"/>
  <c r="AI46" i="17" s="1"/>
  <c r="AM46" i="17"/>
  <c r="AN46" i="17" s="1"/>
  <c r="AR46" i="17"/>
  <c r="AS46" i="17" s="1"/>
  <c r="AW46" i="17"/>
  <c r="AX46" i="17" s="1"/>
  <c r="BB46" i="17"/>
  <c r="BC46" i="17" s="1"/>
  <c r="A47" i="17"/>
  <c r="B47" i="17"/>
  <c r="C47" i="17"/>
  <c r="D47" i="17"/>
  <c r="E47" i="17"/>
  <c r="I47" i="17"/>
  <c r="J47" i="17" s="1"/>
  <c r="N47" i="17"/>
  <c r="O47" i="17" s="1"/>
  <c r="S47" i="17"/>
  <c r="T47" i="17" s="1"/>
  <c r="X47" i="17"/>
  <c r="Y47" i="17" s="1"/>
  <c r="AC47" i="17"/>
  <c r="AD47" i="17" s="1"/>
  <c r="AH47" i="17"/>
  <c r="AI47" i="17" s="1"/>
  <c r="AM47" i="17"/>
  <c r="AN47" i="17" s="1"/>
  <c r="AR47" i="17"/>
  <c r="AS47" i="17" s="1"/>
  <c r="AW47" i="17"/>
  <c r="AX47" i="17" s="1"/>
  <c r="BB47" i="17"/>
  <c r="BC47" i="17" s="1"/>
  <c r="A48" i="17"/>
  <c r="B48" i="17"/>
  <c r="C48" i="17"/>
  <c r="D48" i="17"/>
  <c r="E48" i="17"/>
  <c r="I48" i="17"/>
  <c r="J48" i="17" s="1"/>
  <c r="N48" i="17"/>
  <c r="O48" i="17" s="1"/>
  <c r="S48" i="17"/>
  <c r="T48" i="17" s="1"/>
  <c r="X48" i="17"/>
  <c r="Y48" i="17" s="1"/>
  <c r="AC48" i="17"/>
  <c r="AD48" i="17" s="1"/>
  <c r="AH48" i="17"/>
  <c r="AI48" i="17" s="1"/>
  <c r="AM48" i="17"/>
  <c r="AN48" i="17" s="1"/>
  <c r="AR48" i="17"/>
  <c r="AS48" i="17" s="1"/>
  <c r="AW48" i="17"/>
  <c r="AX48" i="17" s="1"/>
  <c r="BB48" i="17"/>
  <c r="BC48" i="17" s="1"/>
  <c r="A49" i="17"/>
  <c r="B49" i="17"/>
  <c r="C49" i="17"/>
  <c r="D49" i="17"/>
  <c r="E49" i="17"/>
  <c r="I49" i="17"/>
  <c r="J49" i="17" s="1"/>
  <c r="N49" i="17"/>
  <c r="O49" i="17" s="1"/>
  <c r="S49" i="17"/>
  <c r="T49" i="17" s="1"/>
  <c r="X49" i="17"/>
  <c r="Y49" i="17" s="1"/>
  <c r="AC49" i="17"/>
  <c r="AD49" i="17" s="1"/>
  <c r="AH49" i="17"/>
  <c r="AI49" i="17" s="1"/>
  <c r="AM49" i="17"/>
  <c r="AN49" i="17" s="1"/>
  <c r="AR49" i="17"/>
  <c r="AS49" i="17" s="1"/>
  <c r="AW49" i="17"/>
  <c r="AX49" i="17" s="1"/>
  <c r="BB49" i="17"/>
  <c r="BC49" i="17" s="1"/>
  <c r="A50" i="17"/>
  <c r="B50" i="17"/>
  <c r="C50" i="17"/>
  <c r="D50" i="17"/>
  <c r="E50" i="17"/>
  <c r="I50" i="17"/>
  <c r="J50" i="17" s="1"/>
  <c r="N50" i="17"/>
  <c r="O50" i="17" s="1"/>
  <c r="S50" i="17"/>
  <c r="T50" i="17" s="1"/>
  <c r="X50" i="17"/>
  <c r="Y50" i="17" s="1"/>
  <c r="AC50" i="17"/>
  <c r="AD50" i="17" s="1"/>
  <c r="AH50" i="17"/>
  <c r="AI50" i="17" s="1"/>
  <c r="AM50" i="17"/>
  <c r="AN50" i="17" s="1"/>
  <c r="AR50" i="17"/>
  <c r="AS50" i="17" s="1"/>
  <c r="AW50" i="17"/>
  <c r="AX50" i="17" s="1"/>
  <c r="BB50" i="17"/>
  <c r="BC50" i="17" s="1"/>
  <c r="AP24" i="44" l="1"/>
  <c r="AP22" i="44"/>
  <c r="AP20" i="44"/>
  <c r="AP18" i="44"/>
  <c r="AP16" i="44"/>
  <c r="AP25" i="44"/>
  <c r="AP21" i="44"/>
  <c r="AP17" i="44"/>
  <c r="AR15" i="44"/>
  <c r="AP23" i="44"/>
  <c r="AP19" i="44"/>
  <c r="AN24" i="45"/>
  <c r="AN22" i="45"/>
  <c r="AN20" i="45"/>
  <c r="AN18" i="45"/>
  <c r="AN16" i="45"/>
  <c r="AN25" i="45"/>
  <c r="AN23" i="45"/>
  <c r="AN21" i="45"/>
  <c r="AN19" i="45"/>
  <c r="AN17" i="45"/>
  <c r="AP15" i="45"/>
  <c r="A45" i="6"/>
  <c r="B45" i="6"/>
  <c r="C45" i="6"/>
  <c r="D45" i="6"/>
  <c r="E45" i="6"/>
  <c r="A46" i="6"/>
  <c r="B46" i="6"/>
  <c r="C46" i="6"/>
  <c r="D46" i="6"/>
  <c r="E46" i="6"/>
  <c r="A47" i="6"/>
  <c r="B47" i="6"/>
  <c r="C47" i="6"/>
  <c r="D47" i="6"/>
  <c r="E47" i="6"/>
  <c r="A48" i="6"/>
  <c r="B48" i="6"/>
  <c r="C48" i="6"/>
  <c r="D48" i="6"/>
  <c r="E48" i="6"/>
  <c r="A49" i="6"/>
  <c r="B49" i="6"/>
  <c r="C49" i="6"/>
  <c r="D49" i="6"/>
  <c r="E49" i="6"/>
  <c r="A50" i="6"/>
  <c r="B50" i="6"/>
  <c r="C50" i="6"/>
  <c r="D50" i="6"/>
  <c r="E50" i="6"/>
  <c r="A51" i="6"/>
  <c r="B51" i="6"/>
  <c r="C51" i="6"/>
  <c r="D51" i="6"/>
  <c r="E51" i="6"/>
  <c r="A52" i="6"/>
  <c r="B52" i="6"/>
  <c r="C52" i="6"/>
  <c r="D52" i="6"/>
  <c r="E52" i="6"/>
  <c r="A47" i="9"/>
  <c r="B47" i="9"/>
  <c r="C47" i="9"/>
  <c r="D47" i="9"/>
  <c r="E47" i="9"/>
  <c r="A48" i="9"/>
  <c r="B48" i="9"/>
  <c r="C48" i="9"/>
  <c r="D48" i="9"/>
  <c r="E48" i="9"/>
  <c r="A49" i="9"/>
  <c r="B49" i="9"/>
  <c r="C49" i="9"/>
  <c r="D49" i="9"/>
  <c r="E49" i="9"/>
  <c r="A50" i="9"/>
  <c r="B50" i="9"/>
  <c r="C50" i="9"/>
  <c r="D50" i="9"/>
  <c r="E50" i="9"/>
  <c r="A51" i="9"/>
  <c r="B51" i="9"/>
  <c r="C51" i="9"/>
  <c r="D51" i="9"/>
  <c r="E51" i="9"/>
  <c r="A52" i="9"/>
  <c r="B52" i="9"/>
  <c r="C52" i="9"/>
  <c r="D52" i="9"/>
  <c r="E52" i="9"/>
  <c r="A53" i="9"/>
  <c r="B53" i="9"/>
  <c r="C53" i="9"/>
  <c r="D53" i="9"/>
  <c r="E53" i="9"/>
  <c r="A54" i="9"/>
  <c r="B54" i="9"/>
  <c r="C54" i="9"/>
  <c r="D54" i="9"/>
  <c r="E54" i="9"/>
  <c r="AY52" i="35"/>
  <c r="AX52" i="35"/>
  <c r="AW52" i="35"/>
  <c r="AV52" i="35"/>
  <c r="AU52" i="35"/>
  <c r="AT52" i="35"/>
  <c r="AS52" i="35"/>
  <c r="AR52" i="35"/>
  <c r="AQ52" i="35"/>
  <c r="AP52" i="35"/>
  <c r="AO52" i="35"/>
  <c r="AN52" i="35"/>
  <c r="AM52" i="35"/>
  <c r="AL52" i="35"/>
  <c r="AK52" i="35"/>
  <c r="AJ52" i="35"/>
  <c r="AI52" i="35"/>
  <c r="AH52" i="35"/>
  <c r="AG52" i="35"/>
  <c r="AF52" i="35"/>
  <c r="AE52" i="35"/>
  <c r="AD52" i="35"/>
  <c r="AC52" i="35"/>
  <c r="AB52" i="35"/>
  <c r="AA52" i="35"/>
  <c r="Z52" i="35"/>
  <c r="Y52" i="35"/>
  <c r="X52" i="35"/>
  <c r="W52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AY46" i="35"/>
  <c r="AX46" i="35"/>
  <c r="AW46" i="35"/>
  <c r="AV46" i="35"/>
  <c r="AU46" i="35"/>
  <c r="AT46" i="35"/>
  <c r="AS46" i="35"/>
  <c r="AR46" i="35"/>
  <c r="AQ46" i="35"/>
  <c r="AP46" i="35"/>
  <c r="AO46" i="35"/>
  <c r="AN46" i="35"/>
  <c r="AM46" i="35"/>
  <c r="AL46" i="35"/>
  <c r="AK46" i="35"/>
  <c r="AJ46" i="35"/>
  <c r="AI46" i="35"/>
  <c r="AH46" i="35"/>
  <c r="AG46" i="35"/>
  <c r="AF46" i="35"/>
  <c r="AE46" i="35"/>
  <c r="AD46" i="35"/>
  <c r="AC46" i="35"/>
  <c r="AB46" i="35"/>
  <c r="AA46" i="35"/>
  <c r="Z46" i="35"/>
  <c r="Y46" i="35"/>
  <c r="X46" i="35"/>
  <c r="W46" i="35"/>
  <c r="V46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I46" i="35"/>
  <c r="H46" i="35"/>
  <c r="AY40" i="35"/>
  <c r="AX40" i="35"/>
  <c r="AW40" i="35"/>
  <c r="AV40" i="35"/>
  <c r="AU40" i="35"/>
  <c r="AT40" i="35"/>
  <c r="AS40" i="35"/>
  <c r="AR40" i="35"/>
  <c r="AQ40" i="35"/>
  <c r="AP40" i="35"/>
  <c r="AO40" i="35"/>
  <c r="AN40" i="35"/>
  <c r="AM40" i="35"/>
  <c r="AL40" i="35"/>
  <c r="AK40" i="35"/>
  <c r="AJ40" i="35"/>
  <c r="AI40" i="35"/>
  <c r="AH40" i="35"/>
  <c r="AG40" i="35"/>
  <c r="AF40" i="35"/>
  <c r="AE40" i="35"/>
  <c r="AD40" i="35"/>
  <c r="AC40" i="35"/>
  <c r="AB40" i="35"/>
  <c r="AA40" i="35"/>
  <c r="Z40" i="35"/>
  <c r="Y40" i="35"/>
  <c r="X40" i="35"/>
  <c r="W40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AY35" i="35"/>
  <c r="AX35" i="35"/>
  <c r="AW35" i="35"/>
  <c r="AV35" i="35"/>
  <c r="AU35" i="35"/>
  <c r="AT35" i="35"/>
  <c r="AS35" i="35"/>
  <c r="AR35" i="35"/>
  <c r="AQ35" i="35"/>
  <c r="AP35" i="35"/>
  <c r="AO35" i="35"/>
  <c r="AN35" i="35"/>
  <c r="AM35" i="35"/>
  <c r="AL35" i="35"/>
  <c r="AK35" i="35"/>
  <c r="AJ35" i="35"/>
  <c r="AI35" i="35"/>
  <c r="AH35" i="35"/>
  <c r="AG35" i="35"/>
  <c r="AF35" i="35"/>
  <c r="AE35" i="35"/>
  <c r="AD35" i="35"/>
  <c r="AC35" i="35"/>
  <c r="AB35" i="35"/>
  <c r="AA35" i="35"/>
  <c r="Z35" i="35"/>
  <c r="Y35" i="35"/>
  <c r="X35" i="35"/>
  <c r="W35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I35" i="35"/>
  <c r="H35" i="35"/>
  <c r="AY29" i="35"/>
  <c r="AX29" i="35"/>
  <c r="AW29" i="35"/>
  <c r="AV29" i="35"/>
  <c r="AU29" i="35"/>
  <c r="AT29" i="35"/>
  <c r="AS29" i="35"/>
  <c r="AR29" i="35"/>
  <c r="AQ29" i="35"/>
  <c r="AP29" i="35"/>
  <c r="AO29" i="35"/>
  <c r="AN29" i="35"/>
  <c r="AM29" i="35"/>
  <c r="AL29" i="35"/>
  <c r="AK29" i="35"/>
  <c r="AJ29" i="35"/>
  <c r="AI29" i="35"/>
  <c r="AH29" i="35"/>
  <c r="AG29" i="35"/>
  <c r="AF29" i="35"/>
  <c r="AE29" i="35"/>
  <c r="AD29" i="35"/>
  <c r="AC29" i="35"/>
  <c r="AB29" i="35"/>
  <c r="AA29" i="35"/>
  <c r="Z29" i="35"/>
  <c r="Y29" i="35"/>
  <c r="X29" i="35"/>
  <c r="W29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I29" i="35"/>
  <c r="H29" i="35"/>
  <c r="AY23" i="35"/>
  <c r="AX23" i="35"/>
  <c r="AW23" i="35"/>
  <c r="AV23" i="35"/>
  <c r="AU23" i="35"/>
  <c r="AT23" i="35"/>
  <c r="AS23" i="35"/>
  <c r="AR23" i="35"/>
  <c r="AQ23" i="35"/>
  <c r="AP23" i="35"/>
  <c r="AO23" i="35"/>
  <c r="AN23" i="35"/>
  <c r="AM23" i="35"/>
  <c r="AL23" i="35"/>
  <c r="AK23" i="35"/>
  <c r="AJ23" i="35"/>
  <c r="AI23" i="35"/>
  <c r="AH23" i="35"/>
  <c r="AG23" i="35"/>
  <c r="AF23" i="35"/>
  <c r="AE23" i="35"/>
  <c r="AD23" i="35"/>
  <c r="AC23" i="35"/>
  <c r="AB23" i="35"/>
  <c r="AA23" i="35"/>
  <c r="Z23" i="35"/>
  <c r="Y23" i="35"/>
  <c r="X23" i="35"/>
  <c r="W23" i="35"/>
  <c r="V23" i="35"/>
  <c r="U23" i="35"/>
  <c r="T23" i="35"/>
  <c r="S23" i="35"/>
  <c r="R23" i="35"/>
  <c r="Q23" i="35"/>
  <c r="P23" i="35"/>
  <c r="O23" i="35"/>
  <c r="N23" i="35"/>
  <c r="M23" i="35"/>
  <c r="L23" i="35"/>
  <c r="K23" i="35"/>
  <c r="J23" i="35"/>
  <c r="I23" i="35"/>
  <c r="H23" i="35"/>
  <c r="AY14" i="35"/>
  <c r="AX14" i="35"/>
  <c r="AW14" i="35"/>
  <c r="AV14" i="35"/>
  <c r="AU14" i="35"/>
  <c r="AT14" i="35"/>
  <c r="AS14" i="35"/>
  <c r="AR14" i="35"/>
  <c r="AQ14" i="35"/>
  <c r="AP14" i="35"/>
  <c r="AO14" i="35"/>
  <c r="AN14" i="35"/>
  <c r="AM14" i="35"/>
  <c r="AL14" i="35"/>
  <c r="AK14" i="35"/>
  <c r="AJ14" i="35"/>
  <c r="AI14" i="35"/>
  <c r="AH14" i="35"/>
  <c r="AG14" i="35"/>
  <c r="AF14" i="35"/>
  <c r="AE14" i="35"/>
  <c r="AD14" i="35"/>
  <c r="AC14" i="35"/>
  <c r="AB14" i="35"/>
  <c r="AA14" i="35"/>
  <c r="Z14" i="35"/>
  <c r="Y14" i="35"/>
  <c r="X14" i="35"/>
  <c r="W14" i="35"/>
  <c r="V14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AY8" i="35"/>
  <c r="AX8" i="35"/>
  <c r="AW8" i="35"/>
  <c r="AV8" i="35"/>
  <c r="AU8" i="35"/>
  <c r="AT8" i="35"/>
  <c r="AS8" i="35"/>
  <c r="AR8" i="35"/>
  <c r="AQ8" i="35"/>
  <c r="AP8" i="35"/>
  <c r="AO8" i="35"/>
  <c r="AN8" i="35"/>
  <c r="AM8" i="35"/>
  <c r="AL8" i="35"/>
  <c r="AK8" i="35"/>
  <c r="AJ8" i="35"/>
  <c r="AI8" i="35"/>
  <c r="AH8" i="35"/>
  <c r="AG8" i="35"/>
  <c r="AF8" i="35"/>
  <c r="AE8" i="35"/>
  <c r="AD8" i="35"/>
  <c r="AC8" i="35"/>
  <c r="AB8" i="35"/>
  <c r="AA8" i="35"/>
  <c r="Z8" i="35"/>
  <c r="Y8" i="35"/>
  <c r="X8" i="35"/>
  <c r="W8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52" i="35"/>
  <c r="F52" i="35"/>
  <c r="G46" i="35"/>
  <c r="F46" i="35"/>
  <c r="G40" i="35"/>
  <c r="F40" i="35"/>
  <c r="G35" i="35"/>
  <c r="F35" i="35"/>
  <c r="G29" i="35"/>
  <c r="F29" i="35"/>
  <c r="G23" i="35"/>
  <c r="F23" i="35"/>
  <c r="G14" i="35"/>
  <c r="F14" i="35"/>
  <c r="G8" i="35"/>
  <c r="F8" i="35"/>
  <c r="E52" i="35"/>
  <c r="D52" i="35"/>
  <c r="E46" i="35"/>
  <c r="D46" i="35"/>
  <c r="E40" i="35"/>
  <c r="D40" i="35"/>
  <c r="E35" i="35"/>
  <c r="D35" i="35"/>
  <c r="E29" i="35"/>
  <c r="D29" i="35"/>
  <c r="E23" i="35"/>
  <c r="D23" i="35"/>
  <c r="E14" i="35"/>
  <c r="D14" i="35"/>
  <c r="E8" i="35"/>
  <c r="D8" i="35"/>
  <c r="A45" i="24"/>
  <c r="B45" i="24"/>
  <c r="C45" i="24"/>
  <c r="D45" i="24"/>
  <c r="E45" i="24"/>
  <c r="A46" i="24"/>
  <c r="B46" i="24"/>
  <c r="C46" i="24"/>
  <c r="D46" i="24"/>
  <c r="E46" i="24"/>
  <c r="A47" i="24"/>
  <c r="B47" i="24"/>
  <c r="C47" i="24"/>
  <c r="D47" i="24"/>
  <c r="E47" i="24"/>
  <c r="A48" i="24"/>
  <c r="B48" i="24"/>
  <c r="C48" i="24"/>
  <c r="D48" i="24"/>
  <c r="E48" i="24"/>
  <c r="A49" i="24"/>
  <c r="B49" i="24"/>
  <c r="C49" i="24"/>
  <c r="D49" i="24"/>
  <c r="E49" i="24"/>
  <c r="A50" i="24"/>
  <c r="B50" i="24"/>
  <c r="C50" i="24"/>
  <c r="D50" i="24"/>
  <c r="E50" i="24"/>
  <c r="A51" i="24"/>
  <c r="B51" i="24"/>
  <c r="C51" i="24"/>
  <c r="D51" i="24"/>
  <c r="E51" i="24"/>
  <c r="A52" i="24"/>
  <c r="B52" i="24"/>
  <c r="C52" i="24"/>
  <c r="D52" i="24"/>
  <c r="E52" i="24"/>
  <c r="D67" i="30"/>
  <c r="E67" i="30"/>
  <c r="F67" i="30"/>
  <c r="G67" i="30"/>
  <c r="H67" i="30"/>
  <c r="I67" i="30"/>
  <c r="O67" i="30"/>
  <c r="P67" i="30"/>
  <c r="Q67" i="30"/>
  <c r="R67" i="30"/>
  <c r="S67" i="30"/>
  <c r="T67" i="30"/>
  <c r="U67" i="30"/>
  <c r="AA67" i="30"/>
  <c r="AB67" i="30"/>
  <c r="AC67" i="30"/>
  <c r="AD67" i="30"/>
  <c r="AE67" i="30"/>
  <c r="AF67" i="30"/>
  <c r="AG67" i="30"/>
  <c r="AM67" i="30"/>
  <c r="AN67" i="30"/>
  <c r="AO67" i="30"/>
  <c r="AP67" i="30"/>
  <c r="AQ67" i="30"/>
  <c r="AR67" i="30"/>
  <c r="AS67" i="30"/>
  <c r="AY67" i="30"/>
  <c r="AZ67" i="30"/>
  <c r="BA67" i="30"/>
  <c r="BB67" i="30"/>
  <c r="BC67" i="30"/>
  <c r="BD67" i="30"/>
  <c r="BE67" i="30"/>
  <c r="BK67" i="30"/>
  <c r="BL67" i="30"/>
  <c r="BM67" i="30"/>
  <c r="BN67" i="30"/>
  <c r="BO67" i="30"/>
  <c r="BP67" i="30"/>
  <c r="BQ67" i="30"/>
  <c r="BW67" i="30"/>
  <c r="BX67" i="30"/>
  <c r="BY67" i="30"/>
  <c r="BZ67" i="30"/>
  <c r="CA67" i="30"/>
  <c r="CB67" i="30"/>
  <c r="CC67" i="30"/>
  <c r="CI67" i="30"/>
  <c r="CJ67" i="30"/>
  <c r="CK67" i="30"/>
  <c r="CL67" i="30"/>
  <c r="CM67" i="30"/>
  <c r="CN67" i="30"/>
  <c r="CO67" i="30"/>
  <c r="CU67" i="30"/>
  <c r="CV67" i="30"/>
  <c r="CW67" i="30"/>
  <c r="CX67" i="30"/>
  <c r="CY67" i="30"/>
  <c r="CZ67" i="30"/>
  <c r="DA67" i="30"/>
  <c r="DG67" i="30"/>
  <c r="DH67" i="30"/>
  <c r="DI67" i="30"/>
  <c r="DJ67" i="30"/>
  <c r="DK67" i="30"/>
  <c r="DL67" i="30"/>
  <c r="DM67" i="30"/>
  <c r="C67" i="30"/>
  <c r="A64" i="30"/>
  <c r="B64" i="30"/>
  <c r="J64" i="30"/>
  <c r="V64" i="30"/>
  <c r="AH64" i="30"/>
  <c r="AT64" i="30"/>
  <c r="BF64" i="30"/>
  <c r="BR64" i="30"/>
  <c r="CD64" i="30"/>
  <c r="CP64" i="30"/>
  <c r="DB64" i="30"/>
  <c r="DN64" i="30"/>
  <c r="A65" i="30"/>
  <c r="B65" i="30"/>
  <c r="J65" i="30"/>
  <c r="V65" i="30"/>
  <c r="AH65" i="30"/>
  <c r="AT65" i="30"/>
  <c r="BF65" i="30"/>
  <c r="BR65" i="30"/>
  <c r="CD65" i="30"/>
  <c r="CP65" i="30"/>
  <c r="DB65" i="30"/>
  <c r="DN65" i="30"/>
  <c r="A66" i="30"/>
  <c r="B66" i="30"/>
  <c r="J66" i="30"/>
  <c r="V66" i="30"/>
  <c r="AH66" i="30"/>
  <c r="AT66" i="30"/>
  <c r="BF66" i="30"/>
  <c r="BR66" i="30"/>
  <c r="CD66" i="30"/>
  <c r="CP66" i="30"/>
  <c r="DB66" i="30"/>
  <c r="DN66" i="30"/>
  <c r="A45" i="8"/>
  <c r="B45" i="8"/>
  <c r="C45" i="8"/>
  <c r="D45" i="8"/>
  <c r="E45" i="8"/>
  <c r="A46" i="8"/>
  <c r="B46" i="8"/>
  <c r="C46" i="8"/>
  <c r="D46" i="8"/>
  <c r="E46" i="8"/>
  <c r="A47" i="8"/>
  <c r="B47" i="8"/>
  <c r="C47" i="8"/>
  <c r="D47" i="8"/>
  <c r="E47" i="8"/>
  <c r="A48" i="8"/>
  <c r="B48" i="8"/>
  <c r="C48" i="8"/>
  <c r="D48" i="8"/>
  <c r="E48" i="8"/>
  <c r="A49" i="8"/>
  <c r="B49" i="8"/>
  <c r="C49" i="8"/>
  <c r="D49" i="8"/>
  <c r="E49" i="8"/>
  <c r="A50" i="8"/>
  <c r="B50" i="8"/>
  <c r="C50" i="8"/>
  <c r="D50" i="8"/>
  <c r="E50" i="8"/>
  <c r="A51" i="8"/>
  <c r="B51" i="8"/>
  <c r="C51" i="8"/>
  <c r="D51" i="8"/>
  <c r="E51" i="8"/>
  <c r="A52" i="8"/>
  <c r="B52" i="8"/>
  <c r="C52" i="8"/>
  <c r="D52" i="8"/>
  <c r="E52" i="8"/>
  <c r="A62" i="29"/>
  <c r="B62" i="29"/>
  <c r="A63" i="29"/>
  <c r="B63" i="29"/>
  <c r="A64" i="29"/>
  <c r="B64" i="29"/>
  <c r="A65" i="29"/>
  <c r="B65" i="29"/>
  <c r="A66" i="29"/>
  <c r="B66" i="29"/>
  <c r="B59" i="30"/>
  <c r="B60" i="30"/>
  <c r="B61" i="30"/>
  <c r="B62" i="30"/>
  <c r="B63" i="30"/>
  <c r="A60" i="30"/>
  <c r="A61" i="30"/>
  <c r="A62" i="30"/>
  <c r="A63" i="30"/>
  <c r="A59" i="30"/>
  <c r="A54" i="31"/>
  <c r="B54" i="31"/>
  <c r="C54" i="31"/>
  <c r="T54" i="31" s="1"/>
  <c r="A55" i="31"/>
  <c r="B55" i="31"/>
  <c r="C55" i="31"/>
  <c r="T55" i="31" s="1"/>
  <c r="A56" i="31"/>
  <c r="B56" i="31"/>
  <c r="C56" i="31"/>
  <c r="T56" i="31" s="1"/>
  <c r="A57" i="31"/>
  <c r="B57" i="31"/>
  <c r="C57" i="31"/>
  <c r="T57" i="31" s="1"/>
  <c r="A58" i="31"/>
  <c r="B58" i="31"/>
  <c r="C58" i="31"/>
  <c r="T58" i="31" s="1"/>
  <c r="J59" i="30"/>
  <c r="V59" i="30"/>
  <c r="AH59" i="30"/>
  <c r="AT59" i="30"/>
  <c r="BF59" i="30"/>
  <c r="BR59" i="30"/>
  <c r="CD59" i="30"/>
  <c r="CP59" i="30"/>
  <c r="DB59" i="30"/>
  <c r="DN59" i="30"/>
  <c r="J60" i="30"/>
  <c r="V60" i="30"/>
  <c r="AH60" i="30"/>
  <c r="AT60" i="30"/>
  <c r="BF60" i="30"/>
  <c r="BR60" i="30"/>
  <c r="CD60" i="30"/>
  <c r="CP60" i="30"/>
  <c r="DB60" i="30"/>
  <c r="DN60" i="30"/>
  <c r="J61" i="30"/>
  <c r="V61" i="30"/>
  <c r="AH61" i="30"/>
  <c r="AT61" i="30"/>
  <c r="BF61" i="30"/>
  <c r="BR61" i="30"/>
  <c r="CD61" i="30"/>
  <c r="CP61" i="30"/>
  <c r="DB61" i="30"/>
  <c r="DN61" i="30"/>
  <c r="J62" i="30"/>
  <c r="V62" i="30"/>
  <c r="AH62" i="30"/>
  <c r="AT62" i="30"/>
  <c r="BF62" i="30"/>
  <c r="BR62" i="30"/>
  <c r="CD62" i="30"/>
  <c r="CP62" i="30"/>
  <c r="DB62" i="30"/>
  <c r="DN62" i="30"/>
  <c r="J63" i="30"/>
  <c r="V63" i="30"/>
  <c r="AH63" i="30"/>
  <c r="AT63" i="30"/>
  <c r="BF63" i="30"/>
  <c r="BR63" i="30"/>
  <c r="CD63" i="30"/>
  <c r="CP63" i="30"/>
  <c r="DB63" i="30"/>
  <c r="DN63" i="30"/>
  <c r="CR4" i="44" l="1"/>
  <c r="CS4" i="44" s="1"/>
  <c r="CP4" i="44"/>
  <c r="CQ4" i="44" s="1"/>
  <c r="CN4" i="44"/>
  <c r="CO4" i="44" s="1"/>
  <c r="CL4" i="44"/>
  <c r="CM4" i="44" s="1"/>
  <c r="CJ4" i="44"/>
  <c r="CK4" i="44" s="1"/>
  <c r="CH4" i="44"/>
  <c r="CI4" i="44" s="1"/>
  <c r="CF4" i="44"/>
  <c r="CG4" i="44" s="1"/>
  <c r="CD4" i="44"/>
  <c r="CE4" i="44" s="1"/>
  <c r="AR24" i="44"/>
  <c r="AR22" i="44"/>
  <c r="AR20" i="44"/>
  <c r="AR18" i="44"/>
  <c r="AR16" i="44"/>
  <c r="AT15" i="44"/>
  <c r="AR23" i="44"/>
  <c r="AR19" i="44"/>
  <c r="AR25" i="44"/>
  <c r="AR21" i="44"/>
  <c r="AR17" i="44"/>
  <c r="AP25" i="45"/>
  <c r="AP23" i="45"/>
  <c r="AP21" i="45"/>
  <c r="AP19" i="45"/>
  <c r="AP17" i="45"/>
  <c r="AP24" i="45"/>
  <c r="AP22" i="45"/>
  <c r="AP20" i="45"/>
  <c r="AP18" i="45"/>
  <c r="AP16" i="45"/>
  <c r="AR15" i="45"/>
  <c r="E54" i="34"/>
  <c r="CP5" i="44"/>
  <c r="CQ5" i="44" s="1"/>
  <c r="C54" i="34"/>
  <c r="CJ51" i="6"/>
  <c r="CU51" i="6" s="1"/>
  <c r="CI51" i="6"/>
  <c r="CT51" i="6" s="1"/>
  <c r="CP3" i="44"/>
  <c r="E52" i="34"/>
  <c r="CL5" i="44"/>
  <c r="CM5" i="44" s="1"/>
  <c r="C52" i="34"/>
  <c r="CJ49" i="6"/>
  <c r="CU49" i="6" s="1"/>
  <c r="CI49" i="6"/>
  <c r="CT49" i="6" s="1"/>
  <c r="CL3" i="44"/>
  <c r="E50" i="34"/>
  <c r="CH5" i="44"/>
  <c r="CI5" i="44" s="1"/>
  <c r="C50" i="34"/>
  <c r="CJ47" i="6"/>
  <c r="CU47" i="6" s="1"/>
  <c r="CI47" i="6"/>
  <c r="CT47" i="6" s="1"/>
  <c r="CH3" i="44"/>
  <c r="E48" i="34"/>
  <c r="CD5" i="44"/>
  <c r="CE5" i="44" s="1"/>
  <c r="C48" i="34"/>
  <c r="CJ45" i="6"/>
  <c r="CU45" i="6" s="1"/>
  <c r="CI45" i="6"/>
  <c r="CT45" i="6" s="1"/>
  <c r="CD3" i="44"/>
  <c r="E55" i="34"/>
  <c r="CR5" i="44"/>
  <c r="CS5" i="44" s="1"/>
  <c r="C55" i="34"/>
  <c r="CJ52" i="6"/>
  <c r="CU52" i="6" s="1"/>
  <c r="CR3" i="44"/>
  <c r="CI52" i="6"/>
  <c r="CT52" i="6" s="1"/>
  <c r="E53" i="34"/>
  <c r="CN5" i="44"/>
  <c r="CO5" i="44" s="1"/>
  <c r="C53" i="34"/>
  <c r="CJ50" i="6"/>
  <c r="CU50" i="6" s="1"/>
  <c r="CN3" i="44"/>
  <c r="CI50" i="6"/>
  <c r="CT50" i="6" s="1"/>
  <c r="E51" i="34"/>
  <c r="CJ5" i="44"/>
  <c r="CK5" i="44" s="1"/>
  <c r="C51" i="34"/>
  <c r="CJ48" i="6"/>
  <c r="CU48" i="6" s="1"/>
  <c r="CJ3" i="44"/>
  <c r="CI48" i="6"/>
  <c r="CT48" i="6" s="1"/>
  <c r="E49" i="34"/>
  <c r="CF5" i="44"/>
  <c r="CG5" i="44" s="1"/>
  <c r="C49" i="34"/>
  <c r="CJ46" i="6"/>
  <c r="CU46" i="6" s="1"/>
  <c r="CF3" i="44"/>
  <c r="CI46" i="6"/>
  <c r="CT46" i="6" s="1"/>
  <c r="CR12" i="44"/>
  <c r="CN12" i="44"/>
  <c r="CJ12" i="44"/>
  <c r="CF12" i="44"/>
  <c r="CP12" i="44"/>
  <c r="CL12" i="44"/>
  <c r="CH12" i="44"/>
  <c r="CD12" i="44"/>
  <c r="CP11" i="44"/>
  <c r="CL11" i="44"/>
  <c r="CH11" i="44"/>
  <c r="CD11" i="44"/>
  <c r="CR11" i="44"/>
  <c r="CN11" i="44"/>
  <c r="CJ11" i="44"/>
  <c r="CF11" i="44"/>
  <c r="CR10" i="44"/>
  <c r="CN10" i="44"/>
  <c r="CJ10" i="44"/>
  <c r="CF10" i="44"/>
  <c r="CP10" i="44"/>
  <c r="CL10" i="44"/>
  <c r="CH10" i="44"/>
  <c r="CD10" i="44"/>
  <c r="CP9" i="44"/>
  <c r="CL9" i="44"/>
  <c r="CH9" i="44"/>
  <c r="CD9" i="44"/>
  <c r="CR9" i="44"/>
  <c r="CN9" i="44"/>
  <c r="CJ9" i="44"/>
  <c r="CF9" i="44"/>
  <c r="CR8" i="44"/>
  <c r="CN8" i="44"/>
  <c r="CJ8" i="44"/>
  <c r="CF8" i="44"/>
  <c r="CP8" i="44"/>
  <c r="CL8" i="44"/>
  <c r="CH8" i="44"/>
  <c r="CD8" i="44"/>
  <c r="CR7" i="44"/>
  <c r="CN7" i="44"/>
  <c r="CJ7" i="44"/>
  <c r="CF7" i="44"/>
  <c r="CP7" i="44"/>
  <c r="CL7" i="44"/>
  <c r="CH7" i="44"/>
  <c r="CD7" i="44"/>
  <c r="F55" i="34"/>
  <c r="CR6" i="44"/>
  <c r="CS6" i="44" s="1"/>
  <c r="F53" i="34"/>
  <c r="CN6" i="44"/>
  <c r="CO6" i="44" s="1"/>
  <c r="F51" i="34"/>
  <c r="CJ6" i="44"/>
  <c r="CK6" i="44" s="1"/>
  <c r="F49" i="34"/>
  <c r="CF6" i="44"/>
  <c r="CG6" i="44" s="1"/>
  <c r="F54" i="34"/>
  <c r="CP6" i="44"/>
  <c r="CQ6" i="44" s="1"/>
  <c r="F52" i="34"/>
  <c r="CL6" i="44"/>
  <c r="CM6" i="44" s="1"/>
  <c r="F50" i="34"/>
  <c r="CH6" i="44"/>
  <c r="CI6" i="44" s="1"/>
  <c r="F48" i="34"/>
  <c r="CD6" i="44"/>
  <c r="CE6" i="44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 i="35"/>
  <c r="AW54" i="35"/>
  <c r="AY54" i="35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 i="35"/>
  <c r="AX1" i="37"/>
  <c r="AX1" i="36"/>
  <c r="H54" i="35"/>
  <c r="J54" i="35"/>
  <c r="L54" i="35"/>
  <c r="N54" i="35"/>
  <c r="P54" i="35"/>
  <c r="R54" i="35"/>
  <c r="T54" i="35"/>
  <c r="V54" i="35"/>
  <c r="X54" i="35"/>
  <c r="Z54" i="35"/>
  <c r="AB54" i="35"/>
  <c r="AD54" i="35"/>
  <c r="AF54" i="35"/>
  <c r="AH54" i="35"/>
  <c r="AJ54" i="35"/>
  <c r="AL54" i="35"/>
  <c r="AN54" i="35"/>
  <c r="AP54" i="35"/>
  <c r="AR54" i="35"/>
  <c r="AT54" i="35"/>
  <c r="AV54" i="35"/>
  <c r="AX54" i="35"/>
  <c r="F54" i="35"/>
  <c r="E54" i="35"/>
  <c r="G54" i="35"/>
  <c r="I54" i="35"/>
  <c r="K54" i="35"/>
  <c r="M54" i="35"/>
  <c r="O54" i="35"/>
  <c r="Q54" i="35"/>
  <c r="S54" i="35"/>
  <c r="U54" i="35"/>
  <c r="W54" i="35"/>
  <c r="Y54" i="35"/>
  <c r="AA54" i="35"/>
  <c r="AC54" i="35"/>
  <c r="AE54" i="35"/>
  <c r="AG54" i="35"/>
  <c r="AI54" i="35"/>
  <c r="AK54" i="35"/>
  <c r="AM54" i="35"/>
  <c r="AO54" i="35"/>
  <c r="AQ54" i="35"/>
  <c r="AY1" i="35"/>
  <c r="AY1" i="27"/>
  <c r="AV1" i="35"/>
  <c r="AT1" i="35"/>
  <c r="AR1" i="35"/>
  <c r="AS1" i="23"/>
  <c r="AU1" i="23"/>
  <c r="AW1" i="23"/>
  <c r="AY1" i="23"/>
  <c r="AW1" i="21"/>
  <c r="AU1" i="21"/>
  <c r="AS1" i="21"/>
  <c r="AY1" i="21"/>
  <c r="AX1" i="35"/>
  <c r="AX1" i="27"/>
  <c r="AU1" i="35"/>
  <c r="AS1" i="35"/>
  <c r="AR1" i="23"/>
  <c r="AT1" i="23"/>
  <c r="AV1" i="23"/>
  <c r="AX1" i="23"/>
  <c r="AX1" i="21"/>
  <c r="AV1" i="21"/>
  <c r="AT1" i="21"/>
  <c r="AR1" i="21"/>
  <c r="H51" i="34" l="1"/>
  <c r="I51" i="34" s="1"/>
  <c r="J51" i="34" s="1"/>
  <c r="K51" i="34" s="1"/>
  <c r="H55" i="34"/>
  <c r="I55" i="34" s="1"/>
  <c r="J55" i="34" s="1"/>
  <c r="K55" i="34" s="1"/>
  <c r="H50" i="34"/>
  <c r="I50" i="34" s="1"/>
  <c r="J50" i="34" s="1"/>
  <c r="K50" i="34" s="1"/>
  <c r="H54" i="34"/>
  <c r="I54" i="34" s="1"/>
  <c r="J54" i="34" s="1"/>
  <c r="K54" i="34" s="1"/>
  <c r="H49" i="34"/>
  <c r="I49" i="34" s="1"/>
  <c r="J49" i="34" s="1"/>
  <c r="K49" i="34" s="1"/>
  <c r="H53" i="34"/>
  <c r="I53" i="34" s="1"/>
  <c r="J53" i="34" s="1"/>
  <c r="K53" i="34" s="1"/>
  <c r="H48" i="34"/>
  <c r="I48" i="34" s="1"/>
  <c r="J48" i="34" s="1"/>
  <c r="K48" i="34" s="1"/>
  <c r="H52" i="34"/>
  <c r="I52" i="34" s="1"/>
  <c r="J52" i="34" s="1"/>
  <c r="K52" i="34" s="1"/>
  <c r="CM47" i="6"/>
  <c r="CP47" i="6" s="1"/>
  <c r="CM50" i="6"/>
  <c r="CP50" i="6" s="1"/>
  <c r="CM46" i="6"/>
  <c r="CP46" i="6" s="1"/>
  <c r="CM51" i="6"/>
  <c r="CP51" i="6" s="1"/>
  <c r="CM45" i="6"/>
  <c r="CP45" i="6" s="1"/>
  <c r="CM49" i="6"/>
  <c r="CP49" i="6" s="1"/>
  <c r="CM52" i="6"/>
  <c r="CP52" i="6" s="1"/>
  <c r="CM48" i="6"/>
  <c r="CP48" i="6" s="1"/>
  <c r="AT24" i="44"/>
  <c r="AT22" i="44"/>
  <c r="AT20" i="44"/>
  <c r="AT18" i="44"/>
  <c r="AT16" i="44"/>
  <c r="AT25" i="44"/>
  <c r="AT21" i="44"/>
  <c r="AT17" i="44"/>
  <c r="AT23" i="44"/>
  <c r="AT19" i="44"/>
  <c r="AV15" i="44"/>
  <c r="AR24" i="45"/>
  <c r="AR22" i="45"/>
  <c r="AR20" i="45"/>
  <c r="AR18" i="45"/>
  <c r="AR16" i="45"/>
  <c r="AR25" i="45"/>
  <c r="AR23" i="45"/>
  <c r="AR21" i="45"/>
  <c r="AR19" i="45"/>
  <c r="AR17" i="45"/>
  <c r="AT15" i="45"/>
  <c r="CG11" i="44"/>
  <c r="CG10" i="44"/>
  <c r="CG7" i="44"/>
  <c r="CG3" i="44"/>
  <c r="CW46" i="6" s="1"/>
  <c r="CG12" i="44"/>
  <c r="CG9" i="44"/>
  <c r="CG8" i="44"/>
  <c r="CK12" i="44"/>
  <c r="CK11" i="44"/>
  <c r="CK8" i="44"/>
  <c r="CK7" i="44"/>
  <c r="CK3" i="44"/>
  <c r="CW48" i="6" s="1"/>
  <c r="CK10" i="44"/>
  <c r="CK9" i="44"/>
  <c r="CO3" i="44"/>
  <c r="CW50" i="6" s="1"/>
  <c r="CO11" i="44"/>
  <c r="CO10" i="44"/>
  <c r="CO7" i="44"/>
  <c r="CO12" i="44"/>
  <c r="CO9" i="44"/>
  <c r="CO8" i="44"/>
  <c r="CS8" i="44"/>
  <c r="CS10" i="44"/>
  <c r="CS3" i="44"/>
  <c r="CW52" i="6" s="1"/>
  <c r="CS11" i="44"/>
  <c r="CS12" i="44"/>
  <c r="CS9" i="44"/>
  <c r="CS7" i="44"/>
  <c r="CE3" i="44"/>
  <c r="CW45" i="6" s="1"/>
  <c r="CE9" i="44"/>
  <c r="CE7" i="44"/>
  <c r="CE8" i="44"/>
  <c r="CE12" i="44"/>
  <c r="CE11" i="44"/>
  <c r="CE10" i="44"/>
  <c r="CI3" i="44"/>
  <c r="CW47" i="6" s="1"/>
  <c r="CI9" i="44"/>
  <c r="CI12" i="44"/>
  <c r="CI11" i="44"/>
  <c r="CI10" i="44"/>
  <c r="CI8" i="44"/>
  <c r="CI7" i="44"/>
  <c r="CM12" i="44"/>
  <c r="CM10" i="44"/>
  <c r="CM9" i="44"/>
  <c r="CM8" i="44"/>
  <c r="CM3" i="44"/>
  <c r="CM11" i="44"/>
  <c r="CM7" i="44"/>
  <c r="CQ12" i="44"/>
  <c r="CQ9" i="44"/>
  <c r="CQ8" i="44"/>
  <c r="CQ7" i="44"/>
  <c r="CQ11" i="44"/>
  <c r="CQ3" i="44"/>
  <c r="CW51" i="6" s="1"/>
  <c r="CQ10" i="44"/>
  <c r="CX48" i="6"/>
  <c r="L49" i="34" l="1"/>
  <c r="L51" i="34"/>
  <c r="CW49" i="6"/>
  <c r="L53" i="34"/>
  <c r="L55" i="34"/>
  <c r="L48" i="34"/>
  <c r="L50" i="34"/>
  <c r="L52" i="34"/>
  <c r="L54" i="34"/>
  <c r="CX49" i="6"/>
  <c r="CX46" i="6"/>
  <c r="CX45" i="6"/>
  <c r="CX50" i="6"/>
  <c r="CX52" i="6"/>
  <c r="CX51" i="6"/>
  <c r="CX47" i="6"/>
  <c r="CQ51" i="6"/>
  <c r="CQ48" i="6"/>
  <c r="CQ46" i="6"/>
  <c r="CQ49" i="6"/>
  <c r="CQ50" i="6"/>
  <c r="CQ52" i="6"/>
  <c r="D62" i="31"/>
  <c r="CQ45" i="6"/>
  <c r="CQ47" i="6"/>
  <c r="AV24" i="44"/>
  <c r="AV22" i="44"/>
  <c r="AV20" i="44"/>
  <c r="AV18" i="44"/>
  <c r="AV16" i="44"/>
  <c r="AX15" i="44"/>
  <c r="AV23" i="44"/>
  <c r="AV19" i="44"/>
  <c r="AV25" i="44"/>
  <c r="AV21" i="44"/>
  <c r="AV17" i="44"/>
  <c r="AT25" i="45"/>
  <c r="AT23" i="45"/>
  <c r="AT21" i="45"/>
  <c r="AT19" i="45"/>
  <c r="AT17" i="45"/>
  <c r="AT24" i="45"/>
  <c r="AT22" i="45"/>
  <c r="AT20" i="45"/>
  <c r="AT18" i="45"/>
  <c r="AT16" i="45"/>
  <c r="AV15" i="45"/>
  <c r="CR50" i="6" l="1"/>
  <c r="E59" i="31" s="1"/>
  <c r="CS50" i="6"/>
  <c r="CV50" i="6" s="1"/>
  <c r="F59" i="31" s="1"/>
  <c r="CR45" i="6"/>
  <c r="E54" i="31" s="1"/>
  <c r="CS45" i="6"/>
  <c r="CV45" i="6" s="1"/>
  <c r="F54" i="31" s="1"/>
  <c r="CR49" i="6"/>
  <c r="E58" i="31" s="1"/>
  <c r="CS49" i="6"/>
  <c r="CV49" i="6" s="1"/>
  <c r="F58" i="31" s="1"/>
  <c r="CS47" i="6"/>
  <c r="CV47" i="6" s="1"/>
  <c r="F56" i="31" s="1"/>
  <c r="CR47" i="6"/>
  <c r="E56" i="31" s="1"/>
  <c r="CR52" i="6"/>
  <c r="E61" i="31" s="1"/>
  <c r="CS52" i="6"/>
  <c r="CV52" i="6" s="1"/>
  <c r="F61" i="31" s="1"/>
  <c r="CR48" i="6"/>
  <c r="E57" i="31" s="1"/>
  <c r="CS48" i="6"/>
  <c r="CV48" i="6" s="1"/>
  <c r="F57" i="31" s="1"/>
  <c r="CS51" i="6"/>
  <c r="CV51" i="6" s="1"/>
  <c r="F60" i="31" s="1"/>
  <c r="CR51" i="6"/>
  <c r="E60" i="31" s="1"/>
  <c r="CR46" i="6"/>
  <c r="E55" i="31" s="1"/>
  <c r="CS46" i="6"/>
  <c r="CV46" i="6" s="1"/>
  <c r="F55" i="31" s="1"/>
  <c r="D60" i="31"/>
  <c r="D55" i="31"/>
  <c r="D57" i="31"/>
  <c r="D56" i="31"/>
  <c r="D59" i="31"/>
  <c r="D54" i="31"/>
  <c r="D58" i="31"/>
  <c r="D61" i="31"/>
  <c r="AX24" i="44"/>
  <c r="AX22" i="44"/>
  <c r="AX20" i="44"/>
  <c r="AX18" i="44"/>
  <c r="AX16" i="44"/>
  <c r="AX25" i="44"/>
  <c r="AX21" i="44"/>
  <c r="AX17" i="44"/>
  <c r="AZ15" i="44"/>
  <c r="AX23" i="44"/>
  <c r="AX19" i="44"/>
  <c r="AV24" i="45"/>
  <c r="AV22" i="45"/>
  <c r="AV20" i="45"/>
  <c r="AV18" i="45"/>
  <c r="AV16" i="45"/>
  <c r="AV25" i="45"/>
  <c r="AV23" i="45"/>
  <c r="AV21" i="45"/>
  <c r="AV19" i="45"/>
  <c r="AV17" i="45"/>
  <c r="AX15" i="45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Z24" i="44" l="1"/>
  <c r="AZ22" i="44"/>
  <c r="AZ20" i="44"/>
  <c r="AZ18" i="44"/>
  <c r="AZ16" i="44"/>
  <c r="BB15" i="44"/>
  <c r="AZ23" i="44"/>
  <c r="AZ19" i="44"/>
  <c r="AZ25" i="44"/>
  <c r="AZ21" i="44"/>
  <c r="AZ17" i="44"/>
  <c r="AX25" i="45"/>
  <c r="AX23" i="45"/>
  <c r="AX21" i="45"/>
  <c r="AX19" i="45"/>
  <c r="AX17" i="45"/>
  <c r="AX24" i="45"/>
  <c r="AX22" i="45"/>
  <c r="AX20" i="45"/>
  <c r="AX18" i="45"/>
  <c r="AX16" i="45"/>
  <c r="AZ15" i="45"/>
  <c r="I9" i="31"/>
  <c r="I44" i="17"/>
  <c r="J44" i="17" s="1"/>
  <c r="I43" i="17"/>
  <c r="J43" i="17" s="1"/>
  <c r="I42" i="17"/>
  <c r="J42" i="17" s="1"/>
  <c r="I41" i="17"/>
  <c r="J41" i="17" s="1"/>
  <c r="I40" i="17"/>
  <c r="J40" i="17" s="1"/>
  <c r="I39" i="17"/>
  <c r="J39" i="17" s="1"/>
  <c r="I38" i="17"/>
  <c r="J38" i="17" s="1"/>
  <c r="I37" i="17"/>
  <c r="J37" i="17" s="1"/>
  <c r="I36" i="17"/>
  <c r="J36" i="17" s="1"/>
  <c r="I35" i="17"/>
  <c r="J35" i="17" s="1"/>
  <c r="I34" i="17"/>
  <c r="J34" i="17" s="1"/>
  <c r="I33" i="17"/>
  <c r="J33" i="17" s="1"/>
  <c r="I32" i="17"/>
  <c r="J32" i="17" s="1"/>
  <c r="I31" i="17"/>
  <c r="J31" i="17" s="1"/>
  <c r="I30" i="17"/>
  <c r="J30" i="17" s="1"/>
  <c r="I29" i="17"/>
  <c r="J29" i="17" s="1"/>
  <c r="I28" i="17"/>
  <c r="J28" i="17" s="1"/>
  <c r="I27" i="17"/>
  <c r="J27" i="17" s="1"/>
  <c r="I26" i="17"/>
  <c r="J26" i="17" s="1"/>
  <c r="I25" i="17"/>
  <c r="J25" i="17" s="1"/>
  <c r="I24" i="17"/>
  <c r="J24" i="17" s="1"/>
  <c r="I23" i="17"/>
  <c r="J23" i="17" s="1"/>
  <c r="I22" i="17"/>
  <c r="J22" i="17" s="1"/>
  <c r="I21" i="17"/>
  <c r="J21" i="17" s="1"/>
  <c r="I20" i="17"/>
  <c r="J20" i="17" s="1"/>
  <c r="I19" i="17"/>
  <c r="J19" i="17" s="1"/>
  <c r="I18" i="17"/>
  <c r="J18" i="17" s="1"/>
  <c r="I17" i="17"/>
  <c r="J17" i="17" s="1"/>
  <c r="I16" i="17"/>
  <c r="J16" i="17" s="1"/>
  <c r="I15" i="17"/>
  <c r="J15" i="17" s="1"/>
  <c r="I14" i="17"/>
  <c r="J14" i="17" s="1"/>
  <c r="I13" i="17"/>
  <c r="J13" i="17" s="1"/>
  <c r="I12" i="17"/>
  <c r="J12" i="17" s="1"/>
  <c r="I11" i="17"/>
  <c r="J11" i="17" s="1"/>
  <c r="I10" i="17"/>
  <c r="J10" i="17" s="1"/>
  <c r="I9" i="17"/>
  <c r="J9" i="17" s="1"/>
  <c r="I8" i="17"/>
  <c r="J8" i="17" s="1"/>
  <c r="I7" i="17"/>
  <c r="J7" i="17" s="1"/>
  <c r="I6" i="17"/>
  <c r="J6" i="17" s="1"/>
  <c r="I5" i="17"/>
  <c r="J5" i="17" s="1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O5" i="17" s="1"/>
  <c r="S44" i="17"/>
  <c r="S43" i="17"/>
  <c r="S42" i="17"/>
  <c r="S41" i="17"/>
  <c r="S40" i="17"/>
  <c r="S39" i="17"/>
  <c r="S38" i="17"/>
  <c r="S37" i="17"/>
  <c r="S36" i="17"/>
  <c r="S35" i="17"/>
  <c r="S34" i="17"/>
  <c r="S33" i="17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T5" i="17" s="1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Y5" i="17" s="1"/>
  <c r="AC44" i="17"/>
  <c r="AC43" i="17"/>
  <c r="AC42" i="17"/>
  <c r="AC41" i="17"/>
  <c r="AC40" i="17"/>
  <c r="AC39" i="17"/>
  <c r="AC38" i="17"/>
  <c r="AC37" i="17"/>
  <c r="AC36" i="17"/>
  <c r="AC35" i="17"/>
  <c r="AC34" i="17"/>
  <c r="AC33" i="17"/>
  <c r="AC32" i="17"/>
  <c r="AC31" i="17"/>
  <c r="AC30" i="17"/>
  <c r="AC29" i="17"/>
  <c r="AC28" i="17"/>
  <c r="AC27" i="17"/>
  <c r="AC26" i="17"/>
  <c r="AC25" i="17"/>
  <c r="AC24" i="17"/>
  <c r="AC23" i="17"/>
  <c r="AC22" i="17"/>
  <c r="AC21" i="17"/>
  <c r="AC20" i="17"/>
  <c r="AC19" i="17"/>
  <c r="AC18" i="17"/>
  <c r="AC17" i="17"/>
  <c r="AC16" i="17"/>
  <c r="AC15" i="17"/>
  <c r="AC14" i="17"/>
  <c r="AC13" i="17"/>
  <c r="AC12" i="17"/>
  <c r="AC11" i="17"/>
  <c r="AC10" i="17"/>
  <c r="AC9" i="17"/>
  <c r="AC8" i="17"/>
  <c r="AC7" i="17"/>
  <c r="AC6" i="17"/>
  <c r="AC5" i="17"/>
  <c r="AD5" i="17" s="1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H26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I5" i="17" s="1"/>
  <c r="AM44" i="17"/>
  <c r="AN44" i="17" s="1"/>
  <c r="AM43" i="17"/>
  <c r="AN43" i="17" s="1"/>
  <c r="AM42" i="17"/>
  <c r="AN42" i="17" s="1"/>
  <c r="AM41" i="17"/>
  <c r="AN41" i="17" s="1"/>
  <c r="AM40" i="17"/>
  <c r="AN40" i="17" s="1"/>
  <c r="AM39" i="17"/>
  <c r="AN39" i="17" s="1"/>
  <c r="AM38" i="17"/>
  <c r="AN38" i="17" s="1"/>
  <c r="AM37" i="17"/>
  <c r="AN37" i="17" s="1"/>
  <c r="AM36" i="17"/>
  <c r="AN36" i="17" s="1"/>
  <c r="AM35" i="17"/>
  <c r="AN35" i="17" s="1"/>
  <c r="AM34" i="17"/>
  <c r="AN34" i="17" s="1"/>
  <c r="AM33" i="17"/>
  <c r="AN33" i="17" s="1"/>
  <c r="AM32" i="17"/>
  <c r="AN32" i="17" s="1"/>
  <c r="AM31" i="17"/>
  <c r="AN31" i="17" s="1"/>
  <c r="AM30" i="17"/>
  <c r="AN30" i="17" s="1"/>
  <c r="AM29" i="17"/>
  <c r="AN29" i="17" s="1"/>
  <c r="AM28" i="17"/>
  <c r="AN28" i="17" s="1"/>
  <c r="AM27" i="17"/>
  <c r="AN27" i="17" s="1"/>
  <c r="AM26" i="17"/>
  <c r="AN26" i="17" s="1"/>
  <c r="AM25" i="17"/>
  <c r="AN25" i="17" s="1"/>
  <c r="AM24" i="17"/>
  <c r="AN24" i="17" s="1"/>
  <c r="AM23" i="17"/>
  <c r="AN23" i="17" s="1"/>
  <c r="AM22" i="17"/>
  <c r="AN22" i="17" s="1"/>
  <c r="AM21" i="17"/>
  <c r="AN21" i="17" s="1"/>
  <c r="AM20" i="17"/>
  <c r="AN20" i="17" s="1"/>
  <c r="AM19" i="17"/>
  <c r="AN19" i="17" s="1"/>
  <c r="AM18" i="17"/>
  <c r="AN18" i="17" s="1"/>
  <c r="AM17" i="17"/>
  <c r="AN17" i="17" s="1"/>
  <c r="AM16" i="17"/>
  <c r="AN16" i="17" s="1"/>
  <c r="AM15" i="17"/>
  <c r="AN15" i="17" s="1"/>
  <c r="AM14" i="17"/>
  <c r="AN14" i="17" s="1"/>
  <c r="AM13" i="17"/>
  <c r="AN13" i="17" s="1"/>
  <c r="AM12" i="17"/>
  <c r="AN12" i="17" s="1"/>
  <c r="AM11" i="17"/>
  <c r="AN11" i="17" s="1"/>
  <c r="AM10" i="17"/>
  <c r="AN10" i="17" s="1"/>
  <c r="AM9" i="17"/>
  <c r="AN9" i="17" s="1"/>
  <c r="AM8" i="17"/>
  <c r="AN8" i="17" s="1"/>
  <c r="AM7" i="17"/>
  <c r="AN7" i="17" s="1"/>
  <c r="AM6" i="17"/>
  <c r="AN6" i="17" s="1"/>
  <c r="AM5" i="17"/>
  <c r="AN5" i="17" s="1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R26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S5" i="17" s="1"/>
  <c r="AW44" i="17"/>
  <c r="AW43" i="17"/>
  <c r="AW42" i="17"/>
  <c r="AW41" i="17"/>
  <c r="AW40" i="17"/>
  <c r="AW39" i="17"/>
  <c r="AW38" i="17"/>
  <c r="AW37" i="17"/>
  <c r="AW36" i="17"/>
  <c r="AW35" i="17"/>
  <c r="AW34" i="17"/>
  <c r="AW33" i="17"/>
  <c r="AW32" i="17"/>
  <c r="AW31" i="17"/>
  <c r="AW30" i="17"/>
  <c r="AW29" i="17"/>
  <c r="AW28" i="17"/>
  <c r="AW27" i="17"/>
  <c r="AW26" i="17"/>
  <c r="AW25" i="17"/>
  <c r="AW24" i="17"/>
  <c r="AW23" i="17"/>
  <c r="AW22" i="17"/>
  <c r="AW21" i="17"/>
  <c r="AW20" i="17"/>
  <c r="AW19" i="17"/>
  <c r="AW18" i="17"/>
  <c r="AW17" i="17"/>
  <c r="AW16" i="17"/>
  <c r="AW15" i="17"/>
  <c r="AW14" i="17"/>
  <c r="AW13" i="17"/>
  <c r="AW12" i="17"/>
  <c r="AW11" i="17"/>
  <c r="AW10" i="17"/>
  <c r="AW9" i="17"/>
  <c r="AW8" i="17"/>
  <c r="AW7" i="17"/>
  <c r="AW6" i="17"/>
  <c r="AW5" i="17"/>
  <c r="AX5" i="17" s="1"/>
  <c r="BB6" i="17"/>
  <c r="BB7" i="17"/>
  <c r="BB8" i="17"/>
  <c r="BB9" i="17"/>
  <c r="BB10" i="17"/>
  <c r="BB11" i="17"/>
  <c r="BB12" i="17"/>
  <c r="BB13" i="17"/>
  <c r="BB14" i="17"/>
  <c r="BB15" i="17"/>
  <c r="BB16" i="17"/>
  <c r="BB17" i="17"/>
  <c r="BB18" i="17"/>
  <c r="BB19" i="17"/>
  <c r="BB20" i="17"/>
  <c r="BB21" i="17"/>
  <c r="BB22" i="17"/>
  <c r="BB23" i="17"/>
  <c r="BB24" i="17"/>
  <c r="BB25" i="17"/>
  <c r="BB26" i="17"/>
  <c r="BB27" i="17"/>
  <c r="BB28" i="17"/>
  <c r="BB29" i="17"/>
  <c r="BB30" i="17"/>
  <c r="BB31" i="17"/>
  <c r="BB32" i="17"/>
  <c r="BB33" i="17"/>
  <c r="BB34" i="17"/>
  <c r="BB35" i="17"/>
  <c r="BB36" i="17"/>
  <c r="BB37" i="17"/>
  <c r="BB38" i="17"/>
  <c r="BB39" i="17"/>
  <c r="BB40" i="17"/>
  <c r="BB41" i="17"/>
  <c r="BB42" i="17"/>
  <c r="BB43" i="17"/>
  <c r="BB44" i="17"/>
  <c r="BB5" i="17"/>
  <c r="BC5" i="17" s="1"/>
  <c r="E44" i="33"/>
  <c r="D44" i="33"/>
  <c r="C44" i="33"/>
  <c r="B44" i="33"/>
  <c r="A44" i="33"/>
  <c r="E43" i="33"/>
  <c r="D43" i="33"/>
  <c r="C43" i="33"/>
  <c r="B43" i="33"/>
  <c r="A43" i="33"/>
  <c r="E42" i="33"/>
  <c r="D42" i="33"/>
  <c r="C42" i="33"/>
  <c r="B42" i="33"/>
  <c r="A42" i="33"/>
  <c r="E41" i="33"/>
  <c r="D41" i="33"/>
  <c r="C41" i="33"/>
  <c r="B41" i="33"/>
  <c r="A41" i="33"/>
  <c r="E40" i="33"/>
  <c r="D40" i="33"/>
  <c r="C40" i="33"/>
  <c r="B40" i="33"/>
  <c r="A40" i="33"/>
  <c r="E39" i="33"/>
  <c r="D39" i="33"/>
  <c r="C39" i="33"/>
  <c r="B39" i="33"/>
  <c r="A39" i="33"/>
  <c r="E38" i="33"/>
  <c r="D38" i="33"/>
  <c r="C38" i="33"/>
  <c r="B38" i="33"/>
  <c r="A38" i="33"/>
  <c r="E37" i="33"/>
  <c r="D37" i="33"/>
  <c r="C37" i="33"/>
  <c r="B37" i="33"/>
  <c r="A37" i="33"/>
  <c r="E36" i="33"/>
  <c r="D36" i="33"/>
  <c r="C36" i="33"/>
  <c r="B36" i="33"/>
  <c r="A36" i="33"/>
  <c r="E35" i="33"/>
  <c r="D35" i="33"/>
  <c r="C35" i="33"/>
  <c r="B35" i="33"/>
  <c r="A35" i="33"/>
  <c r="E34" i="33"/>
  <c r="D34" i="33"/>
  <c r="C34" i="33"/>
  <c r="B34" i="33"/>
  <c r="A34" i="33"/>
  <c r="E33" i="33"/>
  <c r="D33" i="33"/>
  <c r="C33" i="33"/>
  <c r="B33" i="33"/>
  <c r="A33" i="33"/>
  <c r="E32" i="33"/>
  <c r="D32" i="33"/>
  <c r="C32" i="33"/>
  <c r="B32" i="33"/>
  <c r="A32" i="33"/>
  <c r="E31" i="33"/>
  <c r="D31" i="33"/>
  <c r="C31" i="33"/>
  <c r="B31" i="33"/>
  <c r="A31" i="33"/>
  <c r="E30" i="33"/>
  <c r="D30" i="33"/>
  <c r="C30" i="33"/>
  <c r="B30" i="33"/>
  <c r="A30" i="33"/>
  <c r="E29" i="33"/>
  <c r="D29" i="33"/>
  <c r="C29" i="33"/>
  <c r="B29" i="33"/>
  <c r="A29" i="33"/>
  <c r="E28" i="33"/>
  <c r="D28" i="33"/>
  <c r="C28" i="33"/>
  <c r="B28" i="33"/>
  <c r="A28" i="33"/>
  <c r="E27" i="33"/>
  <c r="D27" i="33"/>
  <c r="C27" i="33"/>
  <c r="B27" i="33"/>
  <c r="A27" i="33"/>
  <c r="E26" i="33"/>
  <c r="D26" i="33"/>
  <c r="C26" i="33"/>
  <c r="B26" i="33"/>
  <c r="A26" i="33"/>
  <c r="E25" i="33"/>
  <c r="D25" i="33"/>
  <c r="C25" i="33"/>
  <c r="B25" i="33"/>
  <c r="A25" i="33"/>
  <c r="E24" i="33"/>
  <c r="D24" i="33"/>
  <c r="C24" i="33"/>
  <c r="B24" i="33"/>
  <c r="A24" i="33"/>
  <c r="E23" i="33"/>
  <c r="D23" i="33"/>
  <c r="C23" i="33"/>
  <c r="B23" i="33"/>
  <c r="A23" i="33"/>
  <c r="E22" i="33"/>
  <c r="D22" i="33"/>
  <c r="C22" i="33"/>
  <c r="B22" i="33"/>
  <c r="A22" i="33"/>
  <c r="E21" i="33"/>
  <c r="D21" i="33"/>
  <c r="C21" i="33"/>
  <c r="B21" i="33"/>
  <c r="A21" i="33"/>
  <c r="E20" i="33"/>
  <c r="D20" i="33"/>
  <c r="C20" i="33"/>
  <c r="B20" i="33"/>
  <c r="A20" i="33"/>
  <c r="E19" i="33"/>
  <c r="D19" i="33"/>
  <c r="C19" i="33"/>
  <c r="B19" i="33"/>
  <c r="A19" i="33"/>
  <c r="E18" i="33"/>
  <c r="D18" i="33"/>
  <c r="C18" i="33"/>
  <c r="B18" i="33"/>
  <c r="A18" i="33"/>
  <c r="E17" i="33"/>
  <c r="D17" i="33"/>
  <c r="C17" i="33"/>
  <c r="B17" i="33"/>
  <c r="A17" i="33"/>
  <c r="E16" i="33"/>
  <c r="D16" i="33"/>
  <c r="C16" i="33"/>
  <c r="B16" i="33"/>
  <c r="A16" i="33"/>
  <c r="E15" i="33"/>
  <c r="D15" i="33"/>
  <c r="C15" i="33"/>
  <c r="B15" i="33"/>
  <c r="A15" i="33"/>
  <c r="E14" i="33"/>
  <c r="D14" i="33"/>
  <c r="C14" i="33"/>
  <c r="B14" i="33"/>
  <c r="A14" i="33"/>
  <c r="E13" i="33"/>
  <c r="D13" i="33"/>
  <c r="C13" i="33"/>
  <c r="B13" i="33"/>
  <c r="A13" i="33"/>
  <c r="E12" i="33"/>
  <c r="D12" i="33"/>
  <c r="C12" i="33"/>
  <c r="B12" i="33"/>
  <c r="A12" i="33"/>
  <c r="E11" i="33"/>
  <c r="D11" i="33"/>
  <c r="C11" i="33"/>
  <c r="B11" i="33"/>
  <c r="A11" i="33"/>
  <c r="E10" i="33"/>
  <c r="D10" i="33"/>
  <c r="C10" i="33"/>
  <c r="B10" i="33"/>
  <c r="A10" i="33"/>
  <c r="E9" i="33"/>
  <c r="D9" i="33"/>
  <c r="C9" i="33"/>
  <c r="B9" i="33"/>
  <c r="A9" i="33"/>
  <c r="E8" i="33"/>
  <c r="D8" i="33"/>
  <c r="C8" i="33"/>
  <c r="B8" i="33"/>
  <c r="A8" i="33"/>
  <c r="E7" i="33"/>
  <c r="D7" i="33"/>
  <c r="C7" i="33"/>
  <c r="B7" i="33"/>
  <c r="A7" i="33"/>
  <c r="E6" i="33"/>
  <c r="D6" i="33"/>
  <c r="C6" i="33"/>
  <c r="B6" i="33"/>
  <c r="A6" i="33"/>
  <c r="E5" i="33"/>
  <c r="D5" i="33"/>
  <c r="C5" i="33"/>
  <c r="B5" i="33"/>
  <c r="A5" i="33"/>
  <c r="BG2" i="33"/>
  <c r="BB24" i="44" l="1"/>
  <c r="BB22" i="44"/>
  <c r="BB20" i="44"/>
  <c r="BB18" i="44"/>
  <c r="BB16" i="44"/>
  <c r="BB25" i="44"/>
  <c r="BB21" i="44"/>
  <c r="BB17" i="44"/>
  <c r="BB23" i="44"/>
  <c r="BB19" i="44"/>
  <c r="BD15" i="44"/>
  <c r="AZ24" i="45"/>
  <c r="AZ22" i="45"/>
  <c r="AZ20" i="45"/>
  <c r="AZ18" i="45"/>
  <c r="AZ16" i="45"/>
  <c r="AZ25" i="45"/>
  <c r="AZ23" i="45"/>
  <c r="AZ21" i="45"/>
  <c r="AZ19" i="45"/>
  <c r="AZ17" i="45"/>
  <c r="BB15" i="45"/>
  <c r="BC44" i="17"/>
  <c r="BC42" i="17"/>
  <c r="BC40" i="17"/>
  <c r="BC38" i="17"/>
  <c r="BC36" i="17"/>
  <c r="BC34" i="17"/>
  <c r="BC32" i="17"/>
  <c r="BC30" i="17"/>
  <c r="BC28" i="17"/>
  <c r="BC26" i="17"/>
  <c r="BC24" i="17"/>
  <c r="BC22" i="17"/>
  <c r="BC20" i="17"/>
  <c r="BC18" i="17"/>
  <c r="BC16" i="17"/>
  <c r="BC14" i="17"/>
  <c r="BC12" i="17"/>
  <c r="BC10" i="17"/>
  <c r="BC8" i="17"/>
  <c r="BC6" i="17"/>
  <c r="BC43" i="17"/>
  <c r="BC41" i="17"/>
  <c r="BC39" i="17"/>
  <c r="BC37" i="17"/>
  <c r="BC35" i="17"/>
  <c r="BC33" i="17"/>
  <c r="BC31" i="17"/>
  <c r="BC29" i="17"/>
  <c r="BC27" i="17"/>
  <c r="BC25" i="17"/>
  <c r="BC23" i="17"/>
  <c r="BC21" i="17"/>
  <c r="BC19" i="17"/>
  <c r="BC17" i="17"/>
  <c r="BC15" i="17"/>
  <c r="BC13" i="17"/>
  <c r="BC11" i="17"/>
  <c r="BC9" i="17"/>
  <c r="BC7" i="17"/>
  <c r="AX6" i="17"/>
  <c r="AX8" i="17"/>
  <c r="AX10" i="17"/>
  <c r="AX12" i="17"/>
  <c r="AX14" i="17"/>
  <c r="AX16" i="17"/>
  <c r="AX18" i="17"/>
  <c r="AX20" i="17"/>
  <c r="AX22" i="17"/>
  <c r="AX24" i="17"/>
  <c r="AX26" i="17"/>
  <c r="AX28" i="17"/>
  <c r="AX30" i="17"/>
  <c r="AX32" i="17"/>
  <c r="AX34" i="17"/>
  <c r="AX36" i="17"/>
  <c r="AX38" i="17"/>
  <c r="AX40" i="17"/>
  <c r="AX42" i="17"/>
  <c r="AX44" i="17"/>
  <c r="AS6" i="17"/>
  <c r="AS8" i="17"/>
  <c r="AS10" i="17"/>
  <c r="AS12" i="17"/>
  <c r="AS14" i="17"/>
  <c r="AS16" i="17"/>
  <c r="AS18" i="17"/>
  <c r="AS20" i="17"/>
  <c r="AS22" i="17"/>
  <c r="AS24" i="17"/>
  <c r="AS26" i="17"/>
  <c r="AS28" i="17"/>
  <c r="AS30" i="17"/>
  <c r="AS32" i="17"/>
  <c r="AS34" i="17"/>
  <c r="AS36" i="17"/>
  <c r="AS38" i="17"/>
  <c r="AS40" i="17"/>
  <c r="AS42" i="17"/>
  <c r="AS44" i="17"/>
  <c r="AI6" i="17"/>
  <c r="AI8" i="17"/>
  <c r="AI10" i="17"/>
  <c r="AI12" i="17"/>
  <c r="AI14" i="17"/>
  <c r="AI16" i="17"/>
  <c r="AI18" i="17"/>
  <c r="AI20" i="17"/>
  <c r="AI22" i="17"/>
  <c r="AI24" i="17"/>
  <c r="AI26" i="17"/>
  <c r="AI28" i="17"/>
  <c r="AI30" i="17"/>
  <c r="AI32" i="17"/>
  <c r="AI34" i="17"/>
  <c r="AI36" i="17"/>
  <c r="AI38" i="17"/>
  <c r="AI40" i="17"/>
  <c r="AI42" i="17"/>
  <c r="AI44" i="17"/>
  <c r="AD6" i="17"/>
  <c r="AD8" i="17"/>
  <c r="AD10" i="17"/>
  <c r="AD12" i="17"/>
  <c r="AD14" i="17"/>
  <c r="AD16" i="17"/>
  <c r="AD18" i="17"/>
  <c r="AD20" i="17"/>
  <c r="AD22" i="17"/>
  <c r="AD24" i="17"/>
  <c r="AD26" i="17"/>
  <c r="AD28" i="17"/>
  <c r="AD30" i="17"/>
  <c r="AD32" i="17"/>
  <c r="AD34" i="17"/>
  <c r="AD36" i="17"/>
  <c r="AD38" i="17"/>
  <c r="AD40" i="17"/>
  <c r="AD42" i="17"/>
  <c r="AD44" i="17"/>
  <c r="Y6" i="17"/>
  <c r="Y8" i="17"/>
  <c r="Y10" i="17"/>
  <c r="Y12" i="17"/>
  <c r="Y14" i="17"/>
  <c r="Y16" i="17"/>
  <c r="Y18" i="17"/>
  <c r="Y20" i="17"/>
  <c r="Y22" i="17"/>
  <c r="Y24" i="17"/>
  <c r="Y26" i="17"/>
  <c r="Y28" i="17"/>
  <c r="Y30" i="17"/>
  <c r="Y32" i="17"/>
  <c r="Y34" i="17"/>
  <c r="Y36" i="17"/>
  <c r="Y38" i="17"/>
  <c r="Y40" i="17"/>
  <c r="Y42" i="17"/>
  <c r="Y44" i="17"/>
  <c r="T6" i="17"/>
  <c r="T8" i="17"/>
  <c r="T10" i="17"/>
  <c r="T12" i="17"/>
  <c r="T14" i="17"/>
  <c r="T16" i="17"/>
  <c r="T18" i="17"/>
  <c r="T20" i="17"/>
  <c r="T22" i="17"/>
  <c r="T24" i="17"/>
  <c r="T26" i="17"/>
  <c r="T28" i="17"/>
  <c r="T30" i="17"/>
  <c r="T32" i="17"/>
  <c r="T34" i="17"/>
  <c r="T36" i="17"/>
  <c r="T38" i="17"/>
  <c r="T40" i="17"/>
  <c r="T42" i="17"/>
  <c r="T44" i="17"/>
  <c r="O6" i="17"/>
  <c r="O8" i="17"/>
  <c r="O10" i="17"/>
  <c r="O12" i="17"/>
  <c r="O14" i="17"/>
  <c r="O16" i="17"/>
  <c r="O18" i="17"/>
  <c r="O20" i="17"/>
  <c r="O22" i="17"/>
  <c r="O24" i="17"/>
  <c r="O26" i="17"/>
  <c r="O28" i="17"/>
  <c r="O30" i="17"/>
  <c r="O32" i="17"/>
  <c r="O34" i="17"/>
  <c r="O36" i="17"/>
  <c r="O38" i="17"/>
  <c r="O40" i="17"/>
  <c r="O42" i="17"/>
  <c r="O44" i="17"/>
  <c r="AX7" i="17"/>
  <c r="AX9" i="17"/>
  <c r="AX11" i="17"/>
  <c r="AX13" i="17"/>
  <c r="AX15" i="17"/>
  <c r="AX17" i="17"/>
  <c r="AX19" i="17"/>
  <c r="AX21" i="17"/>
  <c r="AX23" i="17"/>
  <c r="AX25" i="17"/>
  <c r="AX27" i="17"/>
  <c r="AX29" i="17"/>
  <c r="AX31" i="17"/>
  <c r="AX33" i="17"/>
  <c r="AX35" i="17"/>
  <c r="AX37" i="17"/>
  <c r="AX39" i="17"/>
  <c r="AX41" i="17"/>
  <c r="AX43" i="17"/>
  <c r="AS7" i="17"/>
  <c r="AS9" i="17"/>
  <c r="AS11" i="17"/>
  <c r="AS13" i="17"/>
  <c r="AS15" i="17"/>
  <c r="AS17" i="17"/>
  <c r="AS19" i="17"/>
  <c r="AS21" i="17"/>
  <c r="AS23" i="17"/>
  <c r="AS25" i="17"/>
  <c r="AS27" i="17"/>
  <c r="AS29" i="17"/>
  <c r="AS31" i="17"/>
  <c r="AS33" i="17"/>
  <c r="AS35" i="17"/>
  <c r="AS37" i="17"/>
  <c r="AS39" i="17"/>
  <c r="AS41" i="17"/>
  <c r="AS43" i="17"/>
  <c r="AI7" i="17"/>
  <c r="AI9" i="17"/>
  <c r="AI11" i="17"/>
  <c r="AI13" i="17"/>
  <c r="AI15" i="17"/>
  <c r="AI17" i="17"/>
  <c r="AI19" i="17"/>
  <c r="AI21" i="17"/>
  <c r="AI23" i="17"/>
  <c r="AI25" i="17"/>
  <c r="AI27" i="17"/>
  <c r="AI29" i="17"/>
  <c r="AI31" i="17"/>
  <c r="AI33" i="17"/>
  <c r="AI35" i="17"/>
  <c r="AI37" i="17"/>
  <c r="AI39" i="17"/>
  <c r="AI41" i="17"/>
  <c r="AI43" i="17"/>
  <c r="AD7" i="17"/>
  <c r="AD9" i="17"/>
  <c r="AD11" i="17"/>
  <c r="AD13" i="17"/>
  <c r="AD15" i="17"/>
  <c r="AD17" i="17"/>
  <c r="AD19" i="17"/>
  <c r="AD21" i="17"/>
  <c r="AD23" i="17"/>
  <c r="AD25" i="17"/>
  <c r="AD27" i="17"/>
  <c r="AD29" i="17"/>
  <c r="AD31" i="17"/>
  <c r="AD33" i="17"/>
  <c r="AD35" i="17"/>
  <c r="AD37" i="17"/>
  <c r="AD39" i="17"/>
  <c r="AD41" i="17"/>
  <c r="AD43" i="17"/>
  <c r="Y7" i="17"/>
  <c r="Y9" i="17"/>
  <c r="Y11" i="17"/>
  <c r="Y13" i="17"/>
  <c r="Y15" i="17"/>
  <c r="Y17" i="17"/>
  <c r="Y19" i="17"/>
  <c r="Y21" i="17"/>
  <c r="Y23" i="17"/>
  <c r="Y25" i="17"/>
  <c r="Y27" i="17"/>
  <c r="Y29" i="17"/>
  <c r="Y31" i="17"/>
  <c r="Y33" i="17"/>
  <c r="Y35" i="17"/>
  <c r="Y37" i="17"/>
  <c r="Y39" i="17"/>
  <c r="Y41" i="17"/>
  <c r="Y43" i="17"/>
  <c r="T7" i="17"/>
  <c r="T9" i="17"/>
  <c r="T11" i="17"/>
  <c r="T13" i="17"/>
  <c r="T15" i="17"/>
  <c r="T17" i="17"/>
  <c r="T19" i="17"/>
  <c r="T21" i="17"/>
  <c r="T23" i="17"/>
  <c r="T25" i="17"/>
  <c r="T27" i="17"/>
  <c r="T29" i="17"/>
  <c r="T31" i="17"/>
  <c r="T33" i="17"/>
  <c r="T35" i="17"/>
  <c r="T37" i="17"/>
  <c r="T39" i="17"/>
  <c r="T41" i="17"/>
  <c r="T43" i="17"/>
  <c r="O7" i="17"/>
  <c r="O9" i="17"/>
  <c r="O11" i="17"/>
  <c r="O13" i="17"/>
  <c r="O15" i="17"/>
  <c r="O17" i="17"/>
  <c r="O19" i="17"/>
  <c r="O21" i="17"/>
  <c r="O23" i="17"/>
  <c r="O25" i="17"/>
  <c r="O27" i="17"/>
  <c r="O29" i="17"/>
  <c r="O31" i="17"/>
  <c r="O33" i="17"/>
  <c r="O35" i="17"/>
  <c r="O37" i="17"/>
  <c r="O39" i="17"/>
  <c r="O41" i="17"/>
  <c r="O43" i="17"/>
  <c r="BA5" i="33"/>
  <c r="AV5" i="33"/>
  <c r="AQ5" i="33"/>
  <c r="AL5" i="33"/>
  <c r="AG5" i="33"/>
  <c r="AB5" i="33"/>
  <c r="W5" i="33"/>
  <c r="R5" i="33"/>
  <c r="M5" i="33"/>
  <c r="A37" i="9"/>
  <c r="B37" i="9"/>
  <c r="C37" i="9"/>
  <c r="D37" i="9"/>
  <c r="E37" i="9"/>
  <c r="A38" i="9"/>
  <c r="B38" i="9"/>
  <c r="C38" i="9"/>
  <c r="D38" i="9"/>
  <c r="E38" i="9"/>
  <c r="A39" i="9"/>
  <c r="B39" i="9"/>
  <c r="C39" i="9"/>
  <c r="D39" i="9"/>
  <c r="E39" i="9"/>
  <c r="A40" i="9"/>
  <c r="B40" i="9"/>
  <c r="C40" i="9"/>
  <c r="D40" i="9"/>
  <c r="E40" i="9"/>
  <c r="A41" i="9"/>
  <c r="B41" i="9"/>
  <c r="C41" i="9"/>
  <c r="D41" i="9"/>
  <c r="E41" i="9"/>
  <c r="A42" i="9"/>
  <c r="B42" i="9"/>
  <c r="C42" i="9"/>
  <c r="D42" i="9"/>
  <c r="E42" i="9"/>
  <c r="A43" i="9"/>
  <c r="B43" i="9"/>
  <c r="C43" i="9"/>
  <c r="D43" i="9"/>
  <c r="E43" i="9"/>
  <c r="A44" i="9"/>
  <c r="B44" i="9"/>
  <c r="C44" i="9"/>
  <c r="D44" i="9"/>
  <c r="E44" i="9"/>
  <c r="A45" i="9"/>
  <c r="B45" i="9"/>
  <c r="C45" i="9"/>
  <c r="D45" i="9"/>
  <c r="E45" i="9"/>
  <c r="A46" i="9"/>
  <c r="B46" i="9"/>
  <c r="C46" i="9"/>
  <c r="D46" i="9"/>
  <c r="E46" i="9"/>
  <c r="A8" i="9"/>
  <c r="B8" i="9"/>
  <c r="C8" i="9"/>
  <c r="D8" i="9"/>
  <c r="E8" i="9"/>
  <c r="A9" i="9"/>
  <c r="B9" i="9"/>
  <c r="C9" i="9"/>
  <c r="D9" i="9"/>
  <c r="E9" i="9"/>
  <c r="A10" i="9"/>
  <c r="B10" i="9"/>
  <c r="C10" i="9"/>
  <c r="D10" i="9"/>
  <c r="E10" i="9"/>
  <c r="A11" i="9"/>
  <c r="B11" i="9"/>
  <c r="C11" i="9"/>
  <c r="D11" i="9"/>
  <c r="E11" i="9"/>
  <c r="A12" i="9"/>
  <c r="B12" i="9"/>
  <c r="C12" i="9"/>
  <c r="D12" i="9"/>
  <c r="E12" i="9"/>
  <c r="A13" i="9"/>
  <c r="B13" i="9"/>
  <c r="C13" i="9"/>
  <c r="D13" i="9"/>
  <c r="E13" i="9"/>
  <c r="A14" i="9"/>
  <c r="B14" i="9"/>
  <c r="C14" i="9"/>
  <c r="D14" i="9"/>
  <c r="E14" i="9"/>
  <c r="A15" i="9"/>
  <c r="B15" i="9"/>
  <c r="C15" i="9"/>
  <c r="D15" i="9"/>
  <c r="E15" i="9"/>
  <c r="A16" i="9"/>
  <c r="B16" i="9"/>
  <c r="C16" i="9"/>
  <c r="D16" i="9"/>
  <c r="E16" i="9"/>
  <c r="A17" i="9"/>
  <c r="B17" i="9"/>
  <c r="C17" i="9"/>
  <c r="D17" i="9"/>
  <c r="E17" i="9"/>
  <c r="A18" i="9"/>
  <c r="B18" i="9"/>
  <c r="C18" i="9"/>
  <c r="D18" i="9"/>
  <c r="E18" i="9"/>
  <c r="A19" i="9"/>
  <c r="B19" i="9"/>
  <c r="C19" i="9"/>
  <c r="D19" i="9"/>
  <c r="E19" i="9"/>
  <c r="A20" i="9"/>
  <c r="B20" i="9"/>
  <c r="C20" i="9"/>
  <c r="D20" i="9"/>
  <c r="E20" i="9"/>
  <c r="A21" i="9"/>
  <c r="B21" i="9"/>
  <c r="C21" i="9"/>
  <c r="D21" i="9"/>
  <c r="E21" i="9"/>
  <c r="A22" i="9"/>
  <c r="B22" i="9"/>
  <c r="C22" i="9"/>
  <c r="D22" i="9"/>
  <c r="E22" i="9"/>
  <c r="A23" i="9"/>
  <c r="B23" i="9"/>
  <c r="C23" i="9"/>
  <c r="D23" i="9"/>
  <c r="E23" i="9"/>
  <c r="A24" i="9"/>
  <c r="B24" i="9"/>
  <c r="C24" i="9"/>
  <c r="D24" i="9"/>
  <c r="E24" i="9"/>
  <c r="A25" i="9"/>
  <c r="B25" i="9"/>
  <c r="C25" i="9"/>
  <c r="D25" i="9"/>
  <c r="E25" i="9"/>
  <c r="A26" i="9"/>
  <c r="B26" i="9"/>
  <c r="C26" i="9"/>
  <c r="D26" i="9"/>
  <c r="E26" i="9"/>
  <c r="A27" i="9"/>
  <c r="B27" i="9"/>
  <c r="C27" i="9"/>
  <c r="D27" i="9"/>
  <c r="E27" i="9"/>
  <c r="A28" i="9"/>
  <c r="B28" i="9"/>
  <c r="C28" i="9"/>
  <c r="D28" i="9"/>
  <c r="E28" i="9"/>
  <c r="A29" i="9"/>
  <c r="B29" i="9"/>
  <c r="C29" i="9"/>
  <c r="D29" i="9"/>
  <c r="E29" i="9"/>
  <c r="A30" i="9"/>
  <c r="B30" i="9"/>
  <c r="C30" i="9"/>
  <c r="D30" i="9"/>
  <c r="E30" i="9"/>
  <c r="A31" i="9"/>
  <c r="B31" i="9"/>
  <c r="C31" i="9"/>
  <c r="D31" i="9"/>
  <c r="E31" i="9"/>
  <c r="A32" i="9"/>
  <c r="B32" i="9"/>
  <c r="C32" i="9"/>
  <c r="D32" i="9"/>
  <c r="E32" i="9"/>
  <c r="A33" i="9"/>
  <c r="B33" i="9"/>
  <c r="C33" i="9"/>
  <c r="D33" i="9"/>
  <c r="E33" i="9"/>
  <c r="A34" i="9"/>
  <c r="B34" i="9"/>
  <c r="C34" i="9"/>
  <c r="D34" i="9"/>
  <c r="E34" i="9"/>
  <c r="A35" i="9"/>
  <c r="B35" i="9"/>
  <c r="C35" i="9"/>
  <c r="D35" i="9"/>
  <c r="E35" i="9"/>
  <c r="A36" i="9"/>
  <c r="B36" i="9"/>
  <c r="C36" i="9"/>
  <c r="D36" i="9"/>
  <c r="E36" i="9"/>
  <c r="B7" i="9"/>
  <c r="C7" i="9"/>
  <c r="D7" i="9"/>
  <c r="E7" i="9"/>
  <c r="A7" i="9"/>
  <c r="A6" i="8"/>
  <c r="B6" i="8"/>
  <c r="C6" i="8"/>
  <c r="D6" i="8"/>
  <c r="E6" i="8"/>
  <c r="A7" i="8"/>
  <c r="B7" i="8"/>
  <c r="C7" i="8"/>
  <c r="D7" i="8"/>
  <c r="E7" i="8"/>
  <c r="A8" i="8"/>
  <c r="B8" i="8"/>
  <c r="C8" i="8"/>
  <c r="D8" i="8"/>
  <c r="E8" i="8"/>
  <c r="A9" i="8"/>
  <c r="B9" i="8"/>
  <c r="C9" i="8"/>
  <c r="D9" i="8"/>
  <c r="E9" i="8"/>
  <c r="A10" i="8"/>
  <c r="B10" i="8"/>
  <c r="C10" i="8"/>
  <c r="D10" i="8"/>
  <c r="E10" i="8"/>
  <c r="A11" i="8"/>
  <c r="B11" i="8"/>
  <c r="C11" i="8"/>
  <c r="D11" i="8"/>
  <c r="E11" i="8"/>
  <c r="A12" i="8"/>
  <c r="B12" i="8"/>
  <c r="C12" i="8"/>
  <c r="D12" i="8"/>
  <c r="E12" i="8"/>
  <c r="A13" i="8"/>
  <c r="B13" i="8"/>
  <c r="C13" i="8"/>
  <c r="D13" i="8"/>
  <c r="E13" i="8"/>
  <c r="A14" i="8"/>
  <c r="B14" i="8"/>
  <c r="C14" i="8"/>
  <c r="D14" i="8"/>
  <c r="E14" i="8"/>
  <c r="A15" i="8"/>
  <c r="B15" i="8"/>
  <c r="C15" i="8"/>
  <c r="D15" i="8"/>
  <c r="E15" i="8"/>
  <c r="A16" i="8"/>
  <c r="B16" i="8"/>
  <c r="C16" i="8"/>
  <c r="D16" i="8"/>
  <c r="E16" i="8"/>
  <c r="A17" i="8"/>
  <c r="B17" i="8"/>
  <c r="C17" i="8"/>
  <c r="D17" i="8"/>
  <c r="E17" i="8"/>
  <c r="A18" i="8"/>
  <c r="B18" i="8"/>
  <c r="C18" i="8"/>
  <c r="D18" i="8"/>
  <c r="E18" i="8"/>
  <c r="A19" i="8"/>
  <c r="B19" i="8"/>
  <c r="C19" i="8"/>
  <c r="D19" i="8"/>
  <c r="E19" i="8"/>
  <c r="A20" i="8"/>
  <c r="B20" i="8"/>
  <c r="C20" i="8"/>
  <c r="D20" i="8"/>
  <c r="E20" i="8"/>
  <c r="A21" i="8"/>
  <c r="B21" i="8"/>
  <c r="C21" i="8"/>
  <c r="D21" i="8"/>
  <c r="E21" i="8"/>
  <c r="A22" i="8"/>
  <c r="B22" i="8"/>
  <c r="C22" i="8"/>
  <c r="D22" i="8"/>
  <c r="E22" i="8"/>
  <c r="A23" i="8"/>
  <c r="B23" i="8"/>
  <c r="C23" i="8"/>
  <c r="D23" i="8"/>
  <c r="E23" i="8"/>
  <c r="A24" i="8"/>
  <c r="B24" i="8"/>
  <c r="C24" i="8"/>
  <c r="D24" i="8"/>
  <c r="E24" i="8"/>
  <c r="A25" i="8"/>
  <c r="B25" i="8"/>
  <c r="C25" i="8"/>
  <c r="D25" i="8"/>
  <c r="E25" i="8"/>
  <c r="A26" i="8"/>
  <c r="B26" i="8"/>
  <c r="C26" i="8"/>
  <c r="D26" i="8"/>
  <c r="E26" i="8"/>
  <c r="A27" i="8"/>
  <c r="B27" i="8"/>
  <c r="C27" i="8"/>
  <c r="D27" i="8"/>
  <c r="E27" i="8"/>
  <c r="A28" i="8"/>
  <c r="B28" i="8"/>
  <c r="C28" i="8"/>
  <c r="D28" i="8"/>
  <c r="E28" i="8"/>
  <c r="A29" i="8"/>
  <c r="B29" i="8"/>
  <c r="C29" i="8"/>
  <c r="D29" i="8"/>
  <c r="E29" i="8"/>
  <c r="A30" i="8"/>
  <c r="B30" i="8"/>
  <c r="C30" i="8"/>
  <c r="D30" i="8"/>
  <c r="E30" i="8"/>
  <c r="A31" i="8"/>
  <c r="B31" i="8"/>
  <c r="C31" i="8"/>
  <c r="D31" i="8"/>
  <c r="E31" i="8"/>
  <c r="A32" i="8"/>
  <c r="B32" i="8"/>
  <c r="C32" i="8"/>
  <c r="D32" i="8"/>
  <c r="E32" i="8"/>
  <c r="A33" i="8"/>
  <c r="B33" i="8"/>
  <c r="C33" i="8"/>
  <c r="D33" i="8"/>
  <c r="E33" i="8"/>
  <c r="A34" i="8"/>
  <c r="B34" i="8"/>
  <c r="C34" i="8"/>
  <c r="D34" i="8"/>
  <c r="E34" i="8"/>
  <c r="A35" i="8"/>
  <c r="B35" i="8"/>
  <c r="C35" i="8"/>
  <c r="D35" i="8"/>
  <c r="E35" i="8"/>
  <c r="A36" i="8"/>
  <c r="B36" i="8"/>
  <c r="C36" i="8"/>
  <c r="D36" i="8"/>
  <c r="E36" i="8"/>
  <c r="A37" i="8"/>
  <c r="B37" i="8"/>
  <c r="C37" i="8"/>
  <c r="D37" i="8"/>
  <c r="E37" i="8"/>
  <c r="A38" i="8"/>
  <c r="B38" i="8"/>
  <c r="C38" i="8"/>
  <c r="D38" i="8"/>
  <c r="E38" i="8"/>
  <c r="A39" i="8"/>
  <c r="B39" i="8"/>
  <c r="C39" i="8"/>
  <c r="D39" i="8"/>
  <c r="E39" i="8"/>
  <c r="A40" i="8"/>
  <c r="B40" i="8"/>
  <c r="C40" i="8"/>
  <c r="D40" i="8"/>
  <c r="E40" i="8"/>
  <c r="A41" i="8"/>
  <c r="B41" i="8"/>
  <c r="C41" i="8"/>
  <c r="D41" i="8"/>
  <c r="E41" i="8"/>
  <c r="A42" i="8"/>
  <c r="B42" i="8"/>
  <c r="C42" i="8"/>
  <c r="D42" i="8"/>
  <c r="E42" i="8"/>
  <c r="A43" i="8"/>
  <c r="B43" i="8"/>
  <c r="C43" i="8"/>
  <c r="D43" i="8"/>
  <c r="E43" i="8"/>
  <c r="A44" i="8"/>
  <c r="B44" i="8"/>
  <c r="C44" i="8"/>
  <c r="D44" i="8"/>
  <c r="E44" i="8"/>
  <c r="B5" i="8"/>
  <c r="C5" i="8"/>
  <c r="D5" i="8"/>
  <c r="E5" i="8"/>
  <c r="A5" i="8"/>
  <c r="BD24" i="44" l="1"/>
  <c r="BD22" i="44"/>
  <c r="BD20" i="44"/>
  <c r="BD18" i="44"/>
  <c r="BD16" i="44"/>
  <c r="BF15" i="44"/>
  <c r="BD23" i="44"/>
  <c r="BD19" i="44"/>
  <c r="BD25" i="44"/>
  <c r="BD21" i="44"/>
  <c r="BD17" i="44"/>
  <c r="BB25" i="45"/>
  <c r="BB23" i="45"/>
  <c r="BB21" i="45"/>
  <c r="BB19" i="45"/>
  <c r="BB17" i="45"/>
  <c r="BB24" i="45"/>
  <c r="BB22" i="45"/>
  <c r="BB20" i="45"/>
  <c r="BB18" i="45"/>
  <c r="BB16" i="45"/>
  <c r="BD15" i="45"/>
  <c r="BF24" i="44" l="1"/>
  <c r="BF22" i="44"/>
  <c r="BF20" i="44"/>
  <c r="BF18" i="44"/>
  <c r="BF16" i="44"/>
  <c r="BF25" i="44"/>
  <c r="BF21" i="44"/>
  <c r="BF17" i="44"/>
  <c r="BH15" i="44"/>
  <c r="BF23" i="44"/>
  <c r="BF19" i="44"/>
  <c r="BD24" i="45"/>
  <c r="BD22" i="45"/>
  <c r="BD20" i="45"/>
  <c r="BD18" i="45"/>
  <c r="BD16" i="45"/>
  <c r="BD25" i="45"/>
  <c r="BD23" i="45"/>
  <c r="BD21" i="45"/>
  <c r="BD19" i="45"/>
  <c r="BD17" i="45"/>
  <c r="BF15" i="45"/>
  <c r="A15" i="31"/>
  <c r="B15" i="31"/>
  <c r="C15" i="31"/>
  <c r="T15" i="31" s="1"/>
  <c r="A16" i="31"/>
  <c r="B16" i="31"/>
  <c r="C16" i="31"/>
  <c r="T16" i="31" s="1"/>
  <c r="A17" i="31"/>
  <c r="B17" i="31"/>
  <c r="C17" i="31"/>
  <c r="T17" i="31" s="1"/>
  <c r="A18" i="31"/>
  <c r="B18" i="31"/>
  <c r="C18" i="31"/>
  <c r="T18" i="31" s="1"/>
  <c r="A19" i="31"/>
  <c r="B19" i="31"/>
  <c r="C19" i="31"/>
  <c r="T19" i="31" s="1"/>
  <c r="A20" i="31"/>
  <c r="B20" i="31"/>
  <c r="C20" i="31"/>
  <c r="T20" i="31" s="1"/>
  <c r="A21" i="31"/>
  <c r="B21" i="31"/>
  <c r="C21" i="31"/>
  <c r="T21" i="31" s="1"/>
  <c r="A22" i="31"/>
  <c r="B22" i="31"/>
  <c r="C22" i="31"/>
  <c r="T22" i="31" s="1"/>
  <c r="A23" i="31"/>
  <c r="B23" i="31"/>
  <c r="C23" i="31"/>
  <c r="T23" i="31" s="1"/>
  <c r="A24" i="31"/>
  <c r="B24" i="31"/>
  <c r="C24" i="31"/>
  <c r="T24" i="31" s="1"/>
  <c r="A25" i="31"/>
  <c r="B25" i="31"/>
  <c r="C25" i="31"/>
  <c r="T25" i="31" s="1"/>
  <c r="A26" i="31"/>
  <c r="B26" i="31"/>
  <c r="C26" i="31"/>
  <c r="T26" i="31" s="1"/>
  <c r="A27" i="31"/>
  <c r="B27" i="31"/>
  <c r="C27" i="31"/>
  <c r="T27" i="31" s="1"/>
  <c r="A28" i="31"/>
  <c r="B28" i="31"/>
  <c r="C28" i="31"/>
  <c r="T28" i="31" s="1"/>
  <c r="A29" i="31"/>
  <c r="B29" i="31"/>
  <c r="C29" i="31"/>
  <c r="T29" i="31" s="1"/>
  <c r="A30" i="31"/>
  <c r="B30" i="31"/>
  <c r="C30" i="31"/>
  <c r="T30" i="31" s="1"/>
  <c r="A31" i="31"/>
  <c r="B31" i="31"/>
  <c r="C31" i="31"/>
  <c r="T31" i="31" s="1"/>
  <c r="A32" i="31"/>
  <c r="B32" i="31"/>
  <c r="C32" i="31"/>
  <c r="T32" i="31" s="1"/>
  <c r="A33" i="31"/>
  <c r="B33" i="31"/>
  <c r="C33" i="31"/>
  <c r="T33" i="31" s="1"/>
  <c r="A34" i="31"/>
  <c r="B34" i="31"/>
  <c r="C34" i="31"/>
  <c r="T34" i="31" s="1"/>
  <c r="A35" i="31"/>
  <c r="B35" i="31"/>
  <c r="C35" i="31"/>
  <c r="T35" i="31" s="1"/>
  <c r="A36" i="31"/>
  <c r="B36" i="31"/>
  <c r="C36" i="31"/>
  <c r="T36" i="31" s="1"/>
  <c r="A37" i="31"/>
  <c r="B37" i="31"/>
  <c r="C37" i="31"/>
  <c r="T37" i="31" s="1"/>
  <c r="A38" i="31"/>
  <c r="B38" i="31"/>
  <c r="C38" i="31"/>
  <c r="T38" i="31" s="1"/>
  <c r="A39" i="31"/>
  <c r="B39" i="31"/>
  <c r="C39" i="31"/>
  <c r="T39" i="31" s="1"/>
  <c r="A40" i="31"/>
  <c r="B40" i="31"/>
  <c r="C40" i="31"/>
  <c r="T40" i="31" s="1"/>
  <c r="A41" i="31"/>
  <c r="B41" i="31"/>
  <c r="C41" i="31"/>
  <c r="T41" i="31" s="1"/>
  <c r="A42" i="31"/>
  <c r="B42" i="31"/>
  <c r="C42" i="31"/>
  <c r="T42" i="31" s="1"/>
  <c r="A43" i="31"/>
  <c r="B43" i="31"/>
  <c r="C43" i="31"/>
  <c r="T43" i="31" s="1"/>
  <c r="A44" i="31"/>
  <c r="B44" i="31"/>
  <c r="C44" i="31"/>
  <c r="T44" i="31" s="1"/>
  <c r="A45" i="31"/>
  <c r="B45" i="31"/>
  <c r="C45" i="31"/>
  <c r="T45" i="31" s="1"/>
  <c r="A46" i="31"/>
  <c r="B46" i="31"/>
  <c r="C46" i="31"/>
  <c r="T46" i="31" s="1"/>
  <c r="A47" i="31"/>
  <c r="B47" i="31"/>
  <c r="C47" i="31"/>
  <c r="T47" i="31" s="1"/>
  <c r="A48" i="31"/>
  <c r="B48" i="31"/>
  <c r="C48" i="31"/>
  <c r="T48" i="31" s="1"/>
  <c r="A49" i="31"/>
  <c r="B49" i="31"/>
  <c r="C49" i="31"/>
  <c r="T49" i="31" s="1"/>
  <c r="A50" i="31"/>
  <c r="B50" i="31"/>
  <c r="C50" i="31"/>
  <c r="T50" i="31" s="1"/>
  <c r="A51" i="31"/>
  <c r="B51" i="31"/>
  <c r="C51" i="31"/>
  <c r="T51" i="31" s="1"/>
  <c r="A52" i="31"/>
  <c r="B52" i="31"/>
  <c r="C52" i="31"/>
  <c r="T52" i="31" s="1"/>
  <c r="A53" i="31"/>
  <c r="B53" i="31"/>
  <c r="C53" i="31"/>
  <c r="T53" i="31" s="1"/>
  <c r="B14" i="31"/>
  <c r="C14" i="31"/>
  <c r="T14" i="31" s="1"/>
  <c r="A14" i="31"/>
  <c r="BH24" i="44" l="1"/>
  <c r="BH22" i="44"/>
  <c r="BH20" i="44"/>
  <c r="BH18" i="44"/>
  <c r="BH16" i="44"/>
  <c r="BJ15" i="44"/>
  <c r="BH23" i="44"/>
  <c r="BH19" i="44"/>
  <c r="BH25" i="44"/>
  <c r="BH21" i="44"/>
  <c r="BH17" i="44"/>
  <c r="B12" i="42"/>
  <c r="C12" i="42"/>
  <c r="L12" i="42"/>
  <c r="H12" i="42"/>
  <c r="F12" i="42"/>
  <c r="I12" i="42"/>
  <c r="G12" i="42"/>
  <c r="B11" i="42"/>
  <c r="BF25" i="45"/>
  <c r="BF23" i="45"/>
  <c r="BF21" i="45"/>
  <c r="BF19" i="45"/>
  <c r="BF17" i="45"/>
  <c r="BF24" i="45"/>
  <c r="BF22" i="45"/>
  <c r="BF20" i="45"/>
  <c r="BF18" i="45"/>
  <c r="BF16" i="45"/>
  <c r="BH15" i="45"/>
  <c r="B5" i="42"/>
  <c r="D3" i="31"/>
  <c r="D2" i="31"/>
  <c r="BJ24" i="44" l="1"/>
  <c r="BJ22" i="44"/>
  <c r="BJ20" i="44"/>
  <c r="BJ18" i="44"/>
  <c r="BJ16" i="44"/>
  <c r="BJ25" i="44"/>
  <c r="BJ21" i="44"/>
  <c r="BJ17" i="44"/>
  <c r="BJ23" i="44"/>
  <c r="BJ19" i="44"/>
  <c r="BL15" i="44"/>
  <c r="BH24" i="45"/>
  <c r="BH22" i="45"/>
  <c r="BH20" i="45"/>
  <c r="BH18" i="45"/>
  <c r="BH16" i="45"/>
  <c r="BH25" i="45"/>
  <c r="BH23" i="45"/>
  <c r="BH21" i="45"/>
  <c r="BH19" i="45"/>
  <c r="BH17" i="45"/>
  <c r="BJ15" i="45"/>
  <c r="M1" i="30"/>
  <c r="DB58" i="30"/>
  <c r="DB57" i="30"/>
  <c r="DB56" i="30"/>
  <c r="DB55" i="30"/>
  <c r="DB54" i="30"/>
  <c r="DB53" i="30"/>
  <c r="DB52" i="30"/>
  <c r="DB51" i="30"/>
  <c r="DB50" i="30"/>
  <c r="DB49" i="30"/>
  <c r="DB48" i="30"/>
  <c r="DB47" i="30"/>
  <c r="DB46" i="30"/>
  <c r="DB45" i="30"/>
  <c r="DB44" i="30"/>
  <c r="DB43" i="30"/>
  <c r="DB42" i="30"/>
  <c r="DB41" i="30"/>
  <c r="DB40" i="30"/>
  <c r="DB39" i="30"/>
  <c r="DB38" i="30"/>
  <c r="DB37" i="30"/>
  <c r="DB36" i="30"/>
  <c r="DB35" i="30"/>
  <c r="DB34" i="30"/>
  <c r="DB33" i="30"/>
  <c r="DB32" i="30"/>
  <c r="DB31" i="30"/>
  <c r="DB30" i="30"/>
  <c r="DB29" i="30"/>
  <c r="DB28" i="30"/>
  <c r="DB27" i="30"/>
  <c r="DB26" i="30"/>
  <c r="DB25" i="30"/>
  <c r="DB24" i="30"/>
  <c r="DB23" i="30"/>
  <c r="DB22" i="30"/>
  <c r="DB21" i="30"/>
  <c r="DB20" i="30"/>
  <c r="DB19" i="30"/>
  <c r="DB17" i="30"/>
  <c r="CP58" i="30"/>
  <c r="CP57" i="30"/>
  <c r="CP56" i="30"/>
  <c r="CP55" i="30"/>
  <c r="CP54" i="30"/>
  <c r="CP53" i="30"/>
  <c r="CP52" i="30"/>
  <c r="CP51" i="30"/>
  <c r="CP50" i="30"/>
  <c r="CP49" i="30"/>
  <c r="CP48" i="30"/>
  <c r="CP47" i="30"/>
  <c r="CP46" i="30"/>
  <c r="CP45" i="30"/>
  <c r="CP44" i="30"/>
  <c r="CP43" i="30"/>
  <c r="CP42" i="30"/>
  <c r="CP41" i="30"/>
  <c r="CP40" i="30"/>
  <c r="CP39" i="30"/>
  <c r="CP38" i="30"/>
  <c r="CP37" i="30"/>
  <c r="CP36" i="30"/>
  <c r="CP35" i="30"/>
  <c r="CP34" i="30"/>
  <c r="CP33" i="30"/>
  <c r="CP32" i="30"/>
  <c r="CP31" i="30"/>
  <c r="CP30" i="30"/>
  <c r="CP29" i="30"/>
  <c r="CP28" i="30"/>
  <c r="CP27" i="30"/>
  <c r="CP26" i="30"/>
  <c r="CP25" i="30"/>
  <c r="CP24" i="30"/>
  <c r="CP23" i="30"/>
  <c r="CP22" i="30"/>
  <c r="CP21" i="30"/>
  <c r="CP20" i="30"/>
  <c r="CP19" i="30"/>
  <c r="CP17" i="30"/>
  <c r="CD58" i="30"/>
  <c r="CD57" i="30"/>
  <c r="CD56" i="30"/>
  <c r="CD55" i="30"/>
  <c r="CD54" i="30"/>
  <c r="CD53" i="30"/>
  <c r="CD52" i="30"/>
  <c r="CD51" i="30"/>
  <c r="CD50" i="30"/>
  <c r="CD49" i="30"/>
  <c r="CD48" i="30"/>
  <c r="CD47" i="30"/>
  <c r="CD46" i="30"/>
  <c r="CD45" i="30"/>
  <c r="CD44" i="30"/>
  <c r="CD43" i="30"/>
  <c r="CD42" i="30"/>
  <c r="CD41" i="30"/>
  <c r="CD40" i="30"/>
  <c r="CD39" i="30"/>
  <c r="CD38" i="30"/>
  <c r="CD37" i="30"/>
  <c r="CD36" i="30"/>
  <c r="CD35" i="30"/>
  <c r="CD34" i="30"/>
  <c r="CD33" i="30"/>
  <c r="CD32" i="30"/>
  <c r="CD31" i="30"/>
  <c r="CD30" i="30"/>
  <c r="CD29" i="30"/>
  <c r="CD28" i="30"/>
  <c r="CD27" i="30"/>
  <c r="CD26" i="30"/>
  <c r="CD25" i="30"/>
  <c r="CD24" i="30"/>
  <c r="CD23" i="30"/>
  <c r="CD22" i="30"/>
  <c r="CD21" i="30"/>
  <c r="CD20" i="30"/>
  <c r="CD19" i="30"/>
  <c r="CD17" i="30"/>
  <c r="BR58" i="30"/>
  <c r="BR57" i="30"/>
  <c r="BR56" i="30"/>
  <c r="BR55" i="30"/>
  <c r="BR54" i="30"/>
  <c r="BR53" i="30"/>
  <c r="BR52" i="30"/>
  <c r="BR51" i="30"/>
  <c r="BR50" i="30"/>
  <c r="BR49" i="30"/>
  <c r="BR48" i="30"/>
  <c r="BR47" i="30"/>
  <c r="BR46" i="30"/>
  <c r="BR45" i="30"/>
  <c r="BR44" i="30"/>
  <c r="BR43" i="30"/>
  <c r="BR42" i="30"/>
  <c r="BR41" i="30"/>
  <c r="BR40" i="30"/>
  <c r="BR39" i="30"/>
  <c r="BR38" i="30"/>
  <c r="BR37" i="30"/>
  <c r="BR36" i="30"/>
  <c r="BR35" i="30"/>
  <c r="BR34" i="30"/>
  <c r="BR33" i="30"/>
  <c r="BR32" i="30"/>
  <c r="BR31" i="30"/>
  <c r="BR30" i="30"/>
  <c r="BR29" i="30"/>
  <c r="BR28" i="30"/>
  <c r="BR27" i="30"/>
  <c r="BR26" i="30"/>
  <c r="BR25" i="30"/>
  <c r="BR24" i="30"/>
  <c r="BR23" i="30"/>
  <c r="BR22" i="30"/>
  <c r="BR21" i="30"/>
  <c r="BR20" i="30"/>
  <c r="BR19" i="30"/>
  <c r="BR17" i="30"/>
  <c r="BF58" i="30"/>
  <c r="BF57" i="30"/>
  <c r="BF56" i="30"/>
  <c r="BF55" i="30"/>
  <c r="BF54" i="30"/>
  <c r="BF53" i="30"/>
  <c r="BF52" i="30"/>
  <c r="BF51" i="30"/>
  <c r="BF50" i="30"/>
  <c r="BF49" i="30"/>
  <c r="BF48" i="30"/>
  <c r="BF47" i="30"/>
  <c r="BF46" i="30"/>
  <c r="BF45" i="30"/>
  <c r="BF44" i="30"/>
  <c r="BF43" i="30"/>
  <c r="BF42" i="30"/>
  <c r="BF41" i="30"/>
  <c r="BF40" i="30"/>
  <c r="BF39" i="30"/>
  <c r="BF38" i="30"/>
  <c r="BF37" i="30"/>
  <c r="BF36" i="30"/>
  <c r="BF35" i="30"/>
  <c r="BF34" i="30"/>
  <c r="BF33" i="30"/>
  <c r="BF32" i="30"/>
  <c r="BF31" i="30"/>
  <c r="BF30" i="30"/>
  <c r="BF29" i="30"/>
  <c r="BF28" i="30"/>
  <c r="BF27" i="30"/>
  <c r="BF26" i="30"/>
  <c r="BF25" i="30"/>
  <c r="BF24" i="30"/>
  <c r="BF23" i="30"/>
  <c r="BF22" i="30"/>
  <c r="BF21" i="30"/>
  <c r="BF20" i="30"/>
  <c r="BF19" i="30"/>
  <c r="BF17" i="30"/>
  <c r="AT58" i="30"/>
  <c r="AT57" i="30"/>
  <c r="AT56" i="30"/>
  <c r="AT55" i="30"/>
  <c r="AT54" i="30"/>
  <c r="AT53" i="30"/>
  <c r="AT52" i="30"/>
  <c r="AT51" i="30"/>
  <c r="AT50" i="30"/>
  <c r="AT49" i="30"/>
  <c r="AT48" i="30"/>
  <c r="AT47" i="30"/>
  <c r="AT46" i="30"/>
  <c r="AT45" i="30"/>
  <c r="AT44" i="30"/>
  <c r="AT43" i="30"/>
  <c r="AT42" i="30"/>
  <c r="AT41" i="30"/>
  <c r="AT40" i="30"/>
  <c r="AT39" i="30"/>
  <c r="AT38" i="30"/>
  <c r="AT37" i="30"/>
  <c r="AT36" i="30"/>
  <c r="AT35" i="30"/>
  <c r="AT34" i="30"/>
  <c r="AT33" i="30"/>
  <c r="AT32" i="30"/>
  <c r="AT31" i="30"/>
  <c r="AT30" i="30"/>
  <c r="AT29" i="30"/>
  <c r="AT28" i="30"/>
  <c r="AT27" i="30"/>
  <c r="AT26" i="30"/>
  <c r="AT25" i="30"/>
  <c r="AT24" i="30"/>
  <c r="AT23" i="30"/>
  <c r="AT22" i="30"/>
  <c r="AT21" i="30"/>
  <c r="AT20" i="30"/>
  <c r="AT19" i="30"/>
  <c r="AT17" i="30"/>
  <c r="AH58" i="30"/>
  <c r="AH57" i="30"/>
  <c r="AH56" i="30"/>
  <c r="AH55" i="30"/>
  <c r="AH54" i="30"/>
  <c r="AH53" i="30"/>
  <c r="AH52" i="30"/>
  <c r="AH51" i="30"/>
  <c r="AH50" i="30"/>
  <c r="AH49" i="30"/>
  <c r="AH48" i="30"/>
  <c r="AH47" i="30"/>
  <c r="AH46" i="30"/>
  <c r="AH45" i="30"/>
  <c r="AH44" i="30"/>
  <c r="AH43" i="30"/>
  <c r="AH42" i="30"/>
  <c r="AH41" i="30"/>
  <c r="AH40" i="30"/>
  <c r="AH39" i="30"/>
  <c r="AH38" i="30"/>
  <c r="AH37" i="30"/>
  <c r="AH36" i="30"/>
  <c r="AH35" i="30"/>
  <c r="AH34" i="30"/>
  <c r="AH33" i="30"/>
  <c r="AH32" i="30"/>
  <c r="AH31" i="30"/>
  <c r="AH30" i="30"/>
  <c r="AH29" i="30"/>
  <c r="AH28" i="30"/>
  <c r="AH27" i="30"/>
  <c r="AH26" i="30"/>
  <c r="AH25" i="30"/>
  <c r="AH24" i="30"/>
  <c r="AH23" i="30"/>
  <c r="AH22" i="30"/>
  <c r="AH21" i="30"/>
  <c r="AH20" i="30"/>
  <c r="AH19" i="30"/>
  <c r="AH17" i="30"/>
  <c r="V58" i="30"/>
  <c r="V57" i="30"/>
  <c r="V56" i="30"/>
  <c r="V55" i="30"/>
  <c r="V54" i="30"/>
  <c r="V53" i="30"/>
  <c r="V52" i="30"/>
  <c r="V51" i="30"/>
  <c r="V50" i="30"/>
  <c r="V49" i="30"/>
  <c r="V48" i="30"/>
  <c r="V47" i="30"/>
  <c r="V46" i="30"/>
  <c r="V45" i="30"/>
  <c r="V44" i="30"/>
  <c r="V43" i="30"/>
  <c r="V42" i="30"/>
  <c r="V41" i="30"/>
  <c r="V40" i="30"/>
  <c r="V39" i="30"/>
  <c r="V38" i="30"/>
  <c r="V37" i="30"/>
  <c r="V36" i="30"/>
  <c r="V35" i="30"/>
  <c r="V34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7" i="30"/>
  <c r="DN58" i="30"/>
  <c r="DN57" i="30"/>
  <c r="DN56" i="30"/>
  <c r="DN55" i="30"/>
  <c r="DN54" i="30"/>
  <c r="DN53" i="30"/>
  <c r="DN52" i="30"/>
  <c r="DN51" i="30"/>
  <c r="DN50" i="30"/>
  <c r="DN49" i="30"/>
  <c r="DN48" i="30"/>
  <c r="DN47" i="30"/>
  <c r="DN46" i="30"/>
  <c r="DN45" i="30"/>
  <c r="DN44" i="30"/>
  <c r="DN43" i="30"/>
  <c r="DN42" i="30"/>
  <c r="DN41" i="30"/>
  <c r="DN40" i="30"/>
  <c r="DN39" i="30"/>
  <c r="DN38" i="30"/>
  <c r="DN37" i="30"/>
  <c r="DN36" i="30"/>
  <c r="DN35" i="30"/>
  <c r="DN34" i="30"/>
  <c r="DN33" i="30"/>
  <c r="DN32" i="30"/>
  <c r="DN31" i="30"/>
  <c r="DN30" i="30"/>
  <c r="DN29" i="30"/>
  <c r="DN28" i="30"/>
  <c r="DN27" i="30"/>
  <c r="DN26" i="30"/>
  <c r="DN25" i="30"/>
  <c r="DN24" i="30"/>
  <c r="DN23" i="30"/>
  <c r="DN22" i="30"/>
  <c r="DN21" i="30"/>
  <c r="DN20" i="30"/>
  <c r="DN19" i="30"/>
  <c r="DN17" i="30"/>
  <c r="C1" i="30"/>
  <c r="C2" i="30"/>
  <c r="L74" i="30"/>
  <c r="B74" i="30"/>
  <c r="L73" i="30"/>
  <c r="B73" i="30"/>
  <c r="B70" i="30"/>
  <c r="L69" i="30"/>
  <c r="J58" i="30"/>
  <c r="B58" i="30"/>
  <c r="A58" i="30"/>
  <c r="J57" i="30"/>
  <c r="B57" i="30"/>
  <c r="A57" i="30"/>
  <c r="J56" i="30"/>
  <c r="B56" i="30"/>
  <c r="A56" i="30"/>
  <c r="J55" i="30"/>
  <c r="B55" i="30"/>
  <c r="A55" i="30"/>
  <c r="J54" i="30"/>
  <c r="B54" i="30"/>
  <c r="A54" i="30"/>
  <c r="J53" i="30"/>
  <c r="B53" i="30"/>
  <c r="A53" i="30"/>
  <c r="J52" i="30"/>
  <c r="B52" i="30"/>
  <c r="A52" i="30"/>
  <c r="J51" i="30"/>
  <c r="B51" i="30"/>
  <c r="A51" i="30"/>
  <c r="J50" i="30"/>
  <c r="B50" i="30"/>
  <c r="A50" i="30"/>
  <c r="J49" i="30"/>
  <c r="B49" i="30"/>
  <c r="A49" i="30"/>
  <c r="J48" i="30"/>
  <c r="B48" i="30"/>
  <c r="A48" i="30"/>
  <c r="J47" i="30"/>
  <c r="B47" i="30"/>
  <c r="A47" i="30"/>
  <c r="J46" i="30"/>
  <c r="B46" i="30"/>
  <c r="A46" i="30"/>
  <c r="J45" i="30"/>
  <c r="B45" i="30"/>
  <c r="A45" i="30"/>
  <c r="J44" i="30"/>
  <c r="B44" i="30"/>
  <c r="A44" i="30"/>
  <c r="J43" i="30"/>
  <c r="B43" i="30"/>
  <c r="A43" i="30"/>
  <c r="J42" i="30"/>
  <c r="B42" i="30"/>
  <c r="A42" i="30"/>
  <c r="J41" i="30"/>
  <c r="B41" i="30"/>
  <c r="A41" i="30"/>
  <c r="J40" i="30"/>
  <c r="B40" i="30"/>
  <c r="A40" i="30"/>
  <c r="J39" i="30"/>
  <c r="B39" i="30"/>
  <c r="A39" i="30"/>
  <c r="J38" i="30"/>
  <c r="B38" i="30"/>
  <c r="A38" i="30"/>
  <c r="J37" i="30"/>
  <c r="B37" i="30"/>
  <c r="A37" i="30"/>
  <c r="J36" i="30"/>
  <c r="B36" i="30"/>
  <c r="A36" i="30"/>
  <c r="J35" i="30"/>
  <c r="B35" i="30"/>
  <c r="A35" i="30"/>
  <c r="J34" i="30"/>
  <c r="B34" i="30"/>
  <c r="A34" i="30"/>
  <c r="J33" i="30"/>
  <c r="B33" i="30"/>
  <c r="A33" i="30"/>
  <c r="J32" i="30"/>
  <c r="B32" i="30"/>
  <c r="A32" i="30"/>
  <c r="J31" i="30"/>
  <c r="B31" i="30"/>
  <c r="A31" i="30"/>
  <c r="J30" i="30"/>
  <c r="B30" i="30"/>
  <c r="A30" i="30"/>
  <c r="J29" i="30"/>
  <c r="B29" i="30"/>
  <c r="A29" i="30"/>
  <c r="J28" i="30"/>
  <c r="B28" i="30"/>
  <c r="A28" i="30"/>
  <c r="J27" i="30"/>
  <c r="B27" i="30"/>
  <c r="A27" i="30"/>
  <c r="J26" i="30"/>
  <c r="B26" i="30"/>
  <c r="A26" i="30"/>
  <c r="J25" i="30"/>
  <c r="B25" i="30"/>
  <c r="A25" i="30"/>
  <c r="J24" i="30"/>
  <c r="B24" i="30"/>
  <c r="A24" i="30"/>
  <c r="J23" i="30"/>
  <c r="B23" i="30"/>
  <c r="A23" i="30"/>
  <c r="J22" i="30"/>
  <c r="B22" i="30"/>
  <c r="A22" i="30"/>
  <c r="J21" i="30"/>
  <c r="B21" i="30"/>
  <c r="A21" i="30"/>
  <c r="J20" i="30"/>
  <c r="B20" i="30"/>
  <c r="A20" i="30"/>
  <c r="J19" i="30"/>
  <c r="B19" i="30"/>
  <c r="A19" i="30"/>
  <c r="J17" i="30"/>
  <c r="K21" i="30" l="1"/>
  <c r="K25" i="30"/>
  <c r="K29" i="30"/>
  <c r="K33" i="30"/>
  <c r="K37" i="30"/>
  <c r="K41" i="30"/>
  <c r="K45" i="30"/>
  <c r="K49" i="30"/>
  <c r="K53" i="30"/>
  <c r="K57" i="30"/>
  <c r="DO22" i="30"/>
  <c r="DO26" i="30"/>
  <c r="DO30" i="30"/>
  <c r="DO34" i="30"/>
  <c r="DO38" i="30"/>
  <c r="DO42" i="30"/>
  <c r="DO46" i="30"/>
  <c r="DO50" i="30"/>
  <c r="DO54" i="30"/>
  <c r="DO58" i="30"/>
  <c r="W21" i="30"/>
  <c r="W25" i="30"/>
  <c r="W29" i="30"/>
  <c r="W33" i="30"/>
  <c r="W37" i="30"/>
  <c r="W41" i="30"/>
  <c r="W45" i="30"/>
  <c r="W49" i="30"/>
  <c r="W53" i="30"/>
  <c r="W57" i="30"/>
  <c r="AI20" i="30"/>
  <c r="AI24" i="30"/>
  <c r="AI28" i="30"/>
  <c r="AI32" i="30"/>
  <c r="AI36" i="30"/>
  <c r="AI40" i="30"/>
  <c r="AI44" i="30"/>
  <c r="AI48" i="30"/>
  <c r="AI52" i="30"/>
  <c r="AI56" i="30"/>
  <c r="AU19" i="30"/>
  <c r="AU23" i="30"/>
  <c r="AU27" i="30"/>
  <c r="AU31" i="30"/>
  <c r="AU35" i="30"/>
  <c r="AU39" i="30"/>
  <c r="AU43" i="30"/>
  <c r="AU47" i="30"/>
  <c r="AU51" i="30"/>
  <c r="AU55" i="30"/>
  <c r="DC58" i="30"/>
  <c r="K19" i="30"/>
  <c r="K23" i="30"/>
  <c r="K27" i="30"/>
  <c r="K31" i="30"/>
  <c r="K35" i="30"/>
  <c r="K39" i="30"/>
  <c r="K43" i="30"/>
  <c r="K47" i="30"/>
  <c r="K51" i="30"/>
  <c r="K55" i="30"/>
  <c r="DO20" i="30"/>
  <c r="DO24" i="30"/>
  <c r="DO28" i="30"/>
  <c r="DO32" i="30"/>
  <c r="DO36" i="30"/>
  <c r="BL24" i="44"/>
  <c r="BL22" i="44"/>
  <c r="BL20" i="44"/>
  <c r="BL18" i="44"/>
  <c r="BL16" i="44"/>
  <c r="BN15" i="44"/>
  <c r="BL23" i="44"/>
  <c r="BL19" i="44"/>
  <c r="BL25" i="44"/>
  <c r="BL21" i="44"/>
  <c r="BL17" i="44"/>
  <c r="BJ25" i="45"/>
  <c r="BJ23" i="45"/>
  <c r="BJ21" i="45"/>
  <c r="BJ19" i="45"/>
  <c r="BJ17" i="45"/>
  <c r="BJ24" i="45"/>
  <c r="BJ22" i="45"/>
  <c r="BJ20" i="45"/>
  <c r="BJ18" i="45"/>
  <c r="BJ16" i="45"/>
  <c r="BL15" i="45"/>
  <c r="CQ63" i="30"/>
  <c r="K64" i="30"/>
  <c r="W62" i="30"/>
  <c r="BS60" i="30"/>
  <c r="DC66" i="30"/>
  <c r="BG64" i="30"/>
  <c r="BG62" i="30"/>
  <c r="CJ7" i="45" s="1"/>
  <c r="CK7" i="45" s="1"/>
  <c r="DC60" i="30"/>
  <c r="AI59" i="30"/>
  <c r="AU65" i="30"/>
  <c r="BS63" i="30"/>
  <c r="DO61" i="30"/>
  <c r="AU60" i="30"/>
  <c r="CE66" i="30"/>
  <c r="CE64" i="30"/>
  <c r="K63" i="30"/>
  <c r="BG61" i="30"/>
  <c r="DC59" i="30"/>
  <c r="BS66" i="30"/>
  <c r="W65" i="30"/>
  <c r="BG66" i="30"/>
  <c r="AU63" i="30"/>
  <c r="CQ61" i="30"/>
  <c r="W60" i="30"/>
  <c r="K66" i="30"/>
  <c r="CE63" i="30"/>
  <c r="K62" i="30"/>
  <c r="BG60" i="30"/>
  <c r="CQ66" i="30"/>
  <c r="CQ64" i="30"/>
  <c r="W63" i="30"/>
  <c r="BS61" i="30"/>
  <c r="DO59" i="30"/>
  <c r="AI66" i="30"/>
  <c r="AI64" i="30"/>
  <c r="CE62" i="30"/>
  <c r="K61" i="30"/>
  <c r="BG59" i="30"/>
  <c r="W66" i="30"/>
  <c r="DO64" i="30"/>
  <c r="DO62" i="30"/>
  <c r="AU61" i="30"/>
  <c r="CQ59" i="30"/>
  <c r="BG65" i="30"/>
  <c r="CE61" i="30"/>
  <c r="AU66" i="30"/>
  <c r="CQ62" i="30"/>
  <c r="CJ10" i="45" s="1"/>
  <c r="CK10" i="45" s="1"/>
  <c r="BS59" i="30"/>
  <c r="DC63" i="30"/>
  <c r="CE60" i="30"/>
  <c r="DO65" i="30"/>
  <c r="K65" i="30"/>
  <c r="BS62" i="30"/>
  <c r="DO60" i="30"/>
  <c r="AU59" i="30"/>
  <c r="DC64" i="30"/>
  <c r="DC62" i="30"/>
  <c r="AI61" i="30"/>
  <c r="CE59" i="30"/>
  <c r="CQ65" i="30"/>
  <c r="DO63" i="30"/>
  <c r="AU62" i="30"/>
  <c r="CQ60" i="30"/>
  <c r="W59" i="30"/>
  <c r="AI65" i="30"/>
  <c r="BG63" i="30"/>
  <c r="DC61" i="30"/>
  <c r="AI60" i="30"/>
  <c r="DO66" i="30"/>
  <c r="BS65" i="30"/>
  <c r="W64" i="30"/>
  <c r="DC65" i="30"/>
  <c r="AI63" i="30"/>
  <c r="K60" i="30"/>
  <c r="AU64" i="30"/>
  <c r="W61" i="30"/>
  <c r="CE65" i="30"/>
  <c r="AI62" i="30"/>
  <c r="K59" i="30"/>
  <c r="BS64" i="30"/>
  <c r="K22" i="30"/>
  <c r="K26" i="30"/>
  <c r="K30" i="30"/>
  <c r="K34" i="30"/>
  <c r="K38" i="30"/>
  <c r="K42" i="30"/>
  <c r="K46" i="30"/>
  <c r="K50" i="30"/>
  <c r="K54" i="30"/>
  <c r="K58" i="30"/>
  <c r="DO21" i="30"/>
  <c r="DO25" i="30"/>
  <c r="DO29" i="30"/>
  <c r="DO33" i="30"/>
  <c r="DO37" i="30"/>
  <c r="DO41" i="30"/>
  <c r="DO45" i="30"/>
  <c r="DO49" i="30"/>
  <c r="DO53" i="30"/>
  <c r="DO57" i="30"/>
  <c r="W20" i="30"/>
  <c r="W24" i="30"/>
  <c r="W28" i="30"/>
  <c r="W32" i="30"/>
  <c r="W36" i="30"/>
  <c r="W40" i="30"/>
  <c r="W44" i="30"/>
  <c r="W48" i="30"/>
  <c r="W52" i="30"/>
  <c r="W56" i="30"/>
  <c r="AI19" i="30"/>
  <c r="AI23" i="30"/>
  <c r="AI27" i="30"/>
  <c r="AI31" i="30"/>
  <c r="AI35" i="30"/>
  <c r="AI39" i="30"/>
  <c r="AI43" i="30"/>
  <c r="AI47" i="30"/>
  <c r="AI51" i="30"/>
  <c r="AI55" i="30"/>
  <c r="AU22" i="30"/>
  <c r="AU26" i="30"/>
  <c r="AU30" i="30"/>
  <c r="AU34" i="30"/>
  <c r="AU38" i="30"/>
  <c r="AU42" i="30"/>
  <c r="AU46" i="30"/>
  <c r="AU50" i="30"/>
  <c r="AU54" i="30"/>
  <c r="AU58" i="30"/>
  <c r="BG21" i="30"/>
  <c r="BG25" i="30"/>
  <c r="BG29" i="30"/>
  <c r="BG33" i="30"/>
  <c r="BH33" i="30" s="1"/>
  <c r="BJ33" i="30" s="1"/>
  <c r="BG37" i="30"/>
  <c r="BG41" i="30"/>
  <c r="BG45" i="30"/>
  <c r="BG49" i="30"/>
  <c r="BG53" i="30"/>
  <c r="BG57" i="30"/>
  <c r="BS20" i="30"/>
  <c r="BS24" i="30"/>
  <c r="BS28" i="30"/>
  <c r="BS32" i="30"/>
  <c r="BS36" i="30"/>
  <c r="BS40" i="30"/>
  <c r="BS44" i="30"/>
  <c r="BS48" i="30"/>
  <c r="BS52" i="30"/>
  <c r="BS56" i="30"/>
  <c r="CE19" i="30"/>
  <c r="CE23" i="30"/>
  <c r="CE27" i="30"/>
  <c r="CE31" i="30"/>
  <c r="CE35" i="30"/>
  <c r="CF35" i="30" s="1"/>
  <c r="CH35" i="30" s="1"/>
  <c r="CE39" i="30"/>
  <c r="CE43" i="30"/>
  <c r="CF43" i="30" s="1"/>
  <c r="CH43" i="30" s="1"/>
  <c r="CE47" i="30"/>
  <c r="CE51" i="30"/>
  <c r="CE55" i="30"/>
  <c r="CQ22" i="30"/>
  <c r="CQ26" i="30"/>
  <c r="CQ30" i="30"/>
  <c r="CQ34" i="30"/>
  <c r="CQ38" i="30"/>
  <c r="CQ42" i="30"/>
  <c r="CQ46" i="30"/>
  <c r="CQ50" i="30"/>
  <c r="CQ54" i="30"/>
  <c r="CQ58" i="30"/>
  <c r="DC21" i="30"/>
  <c r="DC25" i="30"/>
  <c r="DC29" i="30"/>
  <c r="DC33" i="30"/>
  <c r="DC37" i="30"/>
  <c r="DC41" i="30"/>
  <c r="DC45" i="30"/>
  <c r="DC49" i="30"/>
  <c r="DC53" i="30"/>
  <c r="DC57" i="30"/>
  <c r="BG22" i="30"/>
  <c r="BG26" i="30"/>
  <c r="BG30" i="30"/>
  <c r="BG34" i="30"/>
  <c r="BG38" i="30"/>
  <c r="BG42" i="30"/>
  <c r="BG46" i="30"/>
  <c r="BG50" i="30"/>
  <c r="BG54" i="30"/>
  <c r="BG58" i="30"/>
  <c r="BS21" i="30"/>
  <c r="BS25" i="30"/>
  <c r="BS29" i="30"/>
  <c r="BS33" i="30"/>
  <c r="BS37" i="30"/>
  <c r="BS41" i="30"/>
  <c r="BS45" i="30"/>
  <c r="BS49" i="30"/>
  <c r="BS53" i="30"/>
  <c r="BS57" i="30"/>
  <c r="CE20" i="30"/>
  <c r="CE24" i="30"/>
  <c r="CE28" i="30"/>
  <c r="CE32" i="30"/>
  <c r="CE36" i="30"/>
  <c r="CE40" i="30"/>
  <c r="CE44" i="30"/>
  <c r="CE48" i="30"/>
  <c r="CE52" i="30"/>
  <c r="CE56" i="30"/>
  <c r="CQ19" i="30"/>
  <c r="CR19" i="30" s="1"/>
  <c r="CT19" i="30" s="1"/>
  <c r="CQ23" i="30"/>
  <c r="CQ27" i="30"/>
  <c r="CQ31" i="30"/>
  <c r="CQ35" i="30"/>
  <c r="CQ39" i="30"/>
  <c r="CQ43" i="30"/>
  <c r="CQ47" i="30"/>
  <c r="CQ51" i="30"/>
  <c r="CQ55" i="30"/>
  <c r="DC22" i="30"/>
  <c r="DC26" i="30"/>
  <c r="DC30" i="30"/>
  <c r="DC34" i="30"/>
  <c r="DC38" i="30"/>
  <c r="DC42" i="30"/>
  <c r="DC46" i="30"/>
  <c r="DC50" i="30"/>
  <c r="DC54" i="30"/>
  <c r="K20" i="30"/>
  <c r="K24" i="30"/>
  <c r="K28" i="30"/>
  <c r="K32" i="30"/>
  <c r="K36" i="30"/>
  <c r="K40" i="30"/>
  <c r="K44" i="30"/>
  <c r="K48" i="30"/>
  <c r="K52" i="30"/>
  <c r="K56" i="30"/>
  <c r="DO19" i="30"/>
  <c r="DO23" i="30"/>
  <c r="DO27" i="30"/>
  <c r="DO31" i="30"/>
  <c r="DO35" i="30"/>
  <c r="DO40" i="30"/>
  <c r="DO44" i="30"/>
  <c r="DO48" i="30"/>
  <c r="DO52" i="30"/>
  <c r="DO56" i="30"/>
  <c r="W19" i="30"/>
  <c r="W23" i="30"/>
  <c r="W27" i="30"/>
  <c r="W31" i="30"/>
  <c r="W35" i="30"/>
  <c r="W39" i="30"/>
  <c r="W43" i="30"/>
  <c r="W47" i="30"/>
  <c r="W51" i="30"/>
  <c r="W55" i="30"/>
  <c r="AI22" i="30"/>
  <c r="AI26" i="30"/>
  <c r="AI30" i="30"/>
  <c r="AI34" i="30"/>
  <c r="AI38" i="30"/>
  <c r="AI42" i="30"/>
  <c r="AI46" i="30"/>
  <c r="AI50" i="30"/>
  <c r="AI54" i="30"/>
  <c r="AI58" i="30"/>
  <c r="AU21" i="30"/>
  <c r="AU25" i="30"/>
  <c r="AU29" i="30"/>
  <c r="AU33" i="30"/>
  <c r="AU37" i="30"/>
  <c r="AU41" i="30"/>
  <c r="AU45" i="30"/>
  <c r="AU49" i="30"/>
  <c r="AU53" i="30"/>
  <c r="AU57" i="30"/>
  <c r="BG20" i="30"/>
  <c r="BG24" i="30"/>
  <c r="BG28" i="30"/>
  <c r="BG32" i="30"/>
  <c r="BG36" i="30"/>
  <c r="BG40" i="30"/>
  <c r="BG44" i="30"/>
  <c r="BG48" i="30"/>
  <c r="BG52" i="30"/>
  <c r="BG56" i="30"/>
  <c r="BS19" i="30"/>
  <c r="BS23" i="30"/>
  <c r="BS27" i="30"/>
  <c r="BS31" i="30"/>
  <c r="BS35" i="30"/>
  <c r="BS39" i="30"/>
  <c r="BS43" i="30"/>
  <c r="BS47" i="30"/>
  <c r="BS51" i="30"/>
  <c r="BS55" i="30"/>
  <c r="CE22" i="30"/>
  <c r="CE26" i="30"/>
  <c r="CE30" i="30"/>
  <c r="CE34" i="30"/>
  <c r="CE38" i="30"/>
  <c r="CE42" i="30"/>
  <c r="CE46" i="30"/>
  <c r="CE50" i="30"/>
  <c r="CE54" i="30"/>
  <c r="CE58" i="30"/>
  <c r="CQ21" i="30"/>
  <c r="CQ25" i="30"/>
  <c r="CQ29" i="30"/>
  <c r="CQ33" i="30"/>
  <c r="CQ37" i="30"/>
  <c r="CQ41" i="30"/>
  <c r="CQ45" i="30"/>
  <c r="CQ49" i="30"/>
  <c r="CQ53" i="30"/>
  <c r="CQ57" i="30"/>
  <c r="DC20" i="30"/>
  <c r="DC24" i="30"/>
  <c r="DC28" i="30"/>
  <c r="DC32" i="30"/>
  <c r="DC36" i="30"/>
  <c r="DC40" i="30"/>
  <c r="DC44" i="30"/>
  <c r="DC48" i="30"/>
  <c r="DC52" i="30"/>
  <c r="DC56" i="30"/>
  <c r="DO39" i="30"/>
  <c r="DO43" i="30"/>
  <c r="DO47" i="30"/>
  <c r="DO51" i="30"/>
  <c r="DO55" i="30"/>
  <c r="W22" i="30"/>
  <c r="W26" i="30"/>
  <c r="W30" i="30"/>
  <c r="W34" i="30"/>
  <c r="W38" i="30"/>
  <c r="W42" i="30"/>
  <c r="W46" i="30"/>
  <c r="W50" i="30"/>
  <c r="W54" i="30"/>
  <c r="W58" i="30"/>
  <c r="AI21" i="30"/>
  <c r="AI25" i="30"/>
  <c r="AI29" i="30"/>
  <c r="AI33" i="30"/>
  <c r="AI37" i="30"/>
  <c r="AI41" i="30"/>
  <c r="AI45" i="30"/>
  <c r="AJ45" i="30" s="1"/>
  <c r="AI49" i="30"/>
  <c r="AI53" i="30"/>
  <c r="AI57" i="30"/>
  <c r="AU20" i="30"/>
  <c r="AU24" i="30"/>
  <c r="AU28" i="30"/>
  <c r="AU32" i="30"/>
  <c r="AU36" i="30"/>
  <c r="AU40" i="30"/>
  <c r="AU44" i="30"/>
  <c r="AU48" i="30"/>
  <c r="AU52" i="30"/>
  <c r="AU56" i="30"/>
  <c r="BG19" i="30"/>
  <c r="BG23" i="30"/>
  <c r="BG27" i="30"/>
  <c r="BG31" i="30"/>
  <c r="BG35" i="30"/>
  <c r="BG39" i="30"/>
  <c r="BG43" i="30"/>
  <c r="BG47" i="30"/>
  <c r="BG51" i="30"/>
  <c r="BG55" i="30"/>
  <c r="BS22" i="30"/>
  <c r="BS26" i="30"/>
  <c r="BS30" i="30"/>
  <c r="BS34" i="30"/>
  <c r="BS38" i="30"/>
  <c r="BS42" i="30"/>
  <c r="BS46" i="30"/>
  <c r="BS50" i="30"/>
  <c r="BS54" i="30"/>
  <c r="BS58" i="30"/>
  <c r="CE21" i="30"/>
  <c r="CE25" i="30"/>
  <c r="CE29" i="30"/>
  <c r="CE33" i="30"/>
  <c r="CE37" i="30"/>
  <c r="CE41" i="30"/>
  <c r="CE45" i="30"/>
  <c r="CE49" i="30"/>
  <c r="CE53" i="30"/>
  <c r="CE57" i="30"/>
  <c r="CQ20" i="30"/>
  <c r="CQ24" i="30"/>
  <c r="CQ28" i="30"/>
  <c r="CQ32" i="30"/>
  <c r="CQ36" i="30"/>
  <c r="CQ40" i="30"/>
  <c r="CQ44" i="30"/>
  <c r="CQ48" i="30"/>
  <c r="CQ52" i="30"/>
  <c r="CQ56" i="30"/>
  <c r="DC19" i="30"/>
  <c r="DC23" i="30"/>
  <c r="DC27" i="30"/>
  <c r="DC31" i="30"/>
  <c r="DC35" i="30"/>
  <c r="DC39" i="30"/>
  <c r="DC43" i="30"/>
  <c r="DC47" i="30"/>
  <c r="DC51" i="30"/>
  <c r="DC55" i="30"/>
  <c r="DN67" i="30"/>
  <c r="AH67" i="30"/>
  <c r="BF67" i="30"/>
  <c r="DB67" i="30"/>
  <c r="J67" i="30"/>
  <c r="CL12" i="45"/>
  <c r="CM12" i="45" s="1"/>
  <c r="CJ12" i="45"/>
  <c r="CK12" i="45" s="1"/>
  <c r="V67" i="30"/>
  <c r="CJ5" i="45"/>
  <c r="CK5" i="45" s="1"/>
  <c r="CL5" i="45"/>
  <c r="CM5" i="45" s="1"/>
  <c r="AT67" i="30"/>
  <c r="CL7" i="45"/>
  <c r="CM7" i="45" s="1"/>
  <c r="BR67" i="30"/>
  <c r="CJ9" i="45"/>
  <c r="CK9" i="45" s="1"/>
  <c r="CL9" i="45"/>
  <c r="CM9" i="45" s="1"/>
  <c r="CP67" i="30"/>
  <c r="CL11" i="45"/>
  <c r="CM11" i="45" s="1"/>
  <c r="CJ11" i="45"/>
  <c r="CK11" i="45" s="1"/>
  <c r="CJ4" i="45"/>
  <c r="CK4" i="45" s="1"/>
  <c r="CL4" i="45"/>
  <c r="CM4" i="45" s="1"/>
  <c r="CL6" i="45"/>
  <c r="CM6" i="45" s="1"/>
  <c r="CJ6" i="45"/>
  <c r="CK6" i="45" s="1"/>
  <c r="CL8" i="45"/>
  <c r="CM8" i="45" s="1"/>
  <c r="CJ8" i="45"/>
  <c r="CK8" i="45" s="1"/>
  <c r="CD67" i="30"/>
  <c r="CL10" i="45"/>
  <c r="CM10" i="45" s="1"/>
  <c r="BT31" i="30"/>
  <c r="BV31" i="30" s="1"/>
  <c r="BT35" i="30"/>
  <c r="BV35" i="30" s="1"/>
  <c r="BT47" i="30"/>
  <c r="BV47" i="30" s="1"/>
  <c r="BT51" i="30"/>
  <c r="BV51" i="30" s="1"/>
  <c r="CF27" i="30"/>
  <c r="CH27" i="30" s="1"/>
  <c r="BH49" i="30"/>
  <c r="BJ49" i="30" s="1"/>
  <c r="BU35" i="30"/>
  <c r="C5" i="29"/>
  <c r="A23" i="29"/>
  <c r="B23" i="29"/>
  <c r="A24" i="29"/>
  <c r="B24" i="29"/>
  <c r="A25" i="29"/>
  <c r="B25" i="29"/>
  <c r="A26" i="29"/>
  <c r="B26" i="29"/>
  <c r="A27" i="29"/>
  <c r="B27" i="29"/>
  <c r="A28" i="29"/>
  <c r="B28" i="29"/>
  <c r="A29" i="29"/>
  <c r="B29" i="29"/>
  <c r="A30" i="29"/>
  <c r="B30" i="29"/>
  <c r="A31" i="29"/>
  <c r="B31" i="29"/>
  <c r="A32" i="29"/>
  <c r="B32" i="29"/>
  <c r="A33" i="29"/>
  <c r="B33" i="29"/>
  <c r="A34" i="29"/>
  <c r="B34" i="29"/>
  <c r="A35" i="29"/>
  <c r="B35" i="29"/>
  <c r="A36" i="29"/>
  <c r="B36" i="29"/>
  <c r="A37" i="29"/>
  <c r="B37" i="29"/>
  <c r="A38" i="29"/>
  <c r="B38" i="29"/>
  <c r="A39" i="29"/>
  <c r="B39" i="29"/>
  <c r="A40" i="29"/>
  <c r="B40" i="29"/>
  <c r="A41" i="29"/>
  <c r="B41" i="29"/>
  <c r="A42" i="29"/>
  <c r="B42" i="29"/>
  <c r="A43" i="29"/>
  <c r="B43" i="29"/>
  <c r="A44" i="29"/>
  <c r="B44" i="29"/>
  <c r="A45" i="29"/>
  <c r="B45" i="29"/>
  <c r="A46" i="29"/>
  <c r="B46" i="29"/>
  <c r="A47" i="29"/>
  <c r="B47" i="29"/>
  <c r="A48" i="29"/>
  <c r="B48" i="29"/>
  <c r="A49" i="29"/>
  <c r="B49" i="29"/>
  <c r="A50" i="29"/>
  <c r="B50" i="29"/>
  <c r="A51" i="29"/>
  <c r="B51" i="29"/>
  <c r="A52" i="29"/>
  <c r="B52" i="29"/>
  <c r="A53" i="29"/>
  <c r="B53" i="29"/>
  <c r="A54" i="29"/>
  <c r="B54" i="29"/>
  <c r="A55" i="29"/>
  <c r="B55" i="29"/>
  <c r="A56" i="29"/>
  <c r="B56" i="29"/>
  <c r="A57" i="29"/>
  <c r="B57" i="29"/>
  <c r="A58" i="29"/>
  <c r="B58" i="29"/>
  <c r="A59" i="29"/>
  <c r="B59" i="29"/>
  <c r="A60" i="29"/>
  <c r="B60" i="29"/>
  <c r="A61" i="29"/>
  <c r="B61" i="29"/>
  <c r="B22" i="29"/>
  <c r="A22" i="29"/>
  <c r="I70" i="29"/>
  <c r="H70" i="29"/>
  <c r="G70" i="29"/>
  <c r="F70" i="29"/>
  <c r="E70" i="29"/>
  <c r="D70" i="29"/>
  <c r="C70" i="29"/>
  <c r="BU31" i="30" l="1"/>
  <c r="BU51" i="30"/>
  <c r="BU47" i="30"/>
  <c r="BN24" i="44"/>
  <c r="BN22" i="44"/>
  <c r="BN20" i="44"/>
  <c r="BN18" i="44"/>
  <c r="BN16" i="44"/>
  <c r="BN25" i="44"/>
  <c r="BN21" i="44"/>
  <c r="BN17" i="44"/>
  <c r="BP15" i="44"/>
  <c r="BN23" i="44"/>
  <c r="BN19" i="44"/>
  <c r="CL3" i="45"/>
  <c r="CM3" i="45" s="1"/>
  <c r="BD49" i="8"/>
  <c r="BJ49" i="8" s="1"/>
  <c r="CJ3" i="45"/>
  <c r="CK3" i="45" s="1"/>
  <c r="BD48" i="8"/>
  <c r="BJ48" i="8" s="1"/>
  <c r="BL24" i="45"/>
  <c r="BL22" i="45"/>
  <c r="BL20" i="45"/>
  <c r="BL18" i="45"/>
  <c r="BL16" i="45"/>
  <c r="BL25" i="45"/>
  <c r="BL23" i="45"/>
  <c r="BL21" i="45"/>
  <c r="BL19" i="45"/>
  <c r="BL17" i="45"/>
  <c r="BN15" i="45"/>
  <c r="BH57" i="30"/>
  <c r="BJ57" i="30" s="1"/>
  <c r="BH25" i="30"/>
  <c r="BJ25" i="30" s="1"/>
  <c r="BT43" i="30"/>
  <c r="BT27" i="30"/>
  <c r="BT55" i="30"/>
  <c r="BT39" i="30"/>
  <c r="BT23" i="30"/>
  <c r="BI33" i="30"/>
  <c r="CG35" i="30"/>
  <c r="BH41" i="30"/>
  <c r="BJ41" i="30" s="1"/>
  <c r="CG27" i="30"/>
  <c r="DP64" i="30"/>
  <c r="DR64" i="30" s="1"/>
  <c r="CN12" i="45"/>
  <c r="CO12" i="45" s="1"/>
  <c r="DP65" i="30"/>
  <c r="DR65" i="30" s="1"/>
  <c r="CP12" i="45"/>
  <c r="CQ12" i="45" s="1"/>
  <c r="DP66" i="30"/>
  <c r="DR66" i="30" s="1"/>
  <c r="CR12" i="45"/>
  <c r="CS12" i="45" s="1"/>
  <c r="DD65" i="30"/>
  <c r="DF65" i="30" s="1"/>
  <c r="CP11" i="45"/>
  <c r="CQ11" i="45" s="1"/>
  <c r="DD66" i="30"/>
  <c r="DF66" i="30" s="1"/>
  <c r="CR11" i="45"/>
  <c r="CS11" i="45" s="1"/>
  <c r="DD64" i="30"/>
  <c r="DF64" i="30" s="1"/>
  <c r="CN11" i="45"/>
  <c r="CO11" i="45" s="1"/>
  <c r="CF64" i="30"/>
  <c r="CH64" i="30" s="1"/>
  <c r="CN9" i="45"/>
  <c r="CO9" i="45" s="1"/>
  <c r="CF65" i="30"/>
  <c r="CH65" i="30" s="1"/>
  <c r="CP9" i="45"/>
  <c r="CQ9" i="45" s="1"/>
  <c r="CG43" i="30"/>
  <c r="CF66" i="30"/>
  <c r="CH66" i="30" s="1"/>
  <c r="CR9" i="45"/>
  <c r="CS9" i="45" s="1"/>
  <c r="CR65" i="30"/>
  <c r="CT65" i="30" s="1"/>
  <c r="CP10" i="45"/>
  <c r="CQ10" i="45" s="1"/>
  <c r="CR64" i="30"/>
  <c r="CT64" i="30" s="1"/>
  <c r="CN10" i="45"/>
  <c r="CO10" i="45" s="1"/>
  <c r="CR66" i="30"/>
  <c r="CT66" i="30" s="1"/>
  <c r="CR10" i="45"/>
  <c r="CS10" i="45" s="1"/>
  <c r="BT66" i="30"/>
  <c r="BV66" i="30" s="1"/>
  <c r="CR8" i="45"/>
  <c r="CS8" i="45" s="1"/>
  <c r="BT64" i="30"/>
  <c r="BV64" i="30" s="1"/>
  <c r="CN8" i="45"/>
  <c r="CO8" i="45" s="1"/>
  <c r="BT65" i="30"/>
  <c r="BV65" i="30" s="1"/>
  <c r="CP8" i="45"/>
  <c r="CQ8" i="45" s="1"/>
  <c r="BH66" i="30"/>
  <c r="BJ66" i="30" s="1"/>
  <c r="CR7" i="45"/>
  <c r="CS7" i="45" s="1"/>
  <c r="BH65" i="30"/>
  <c r="BJ65" i="30" s="1"/>
  <c r="CP7" i="45"/>
  <c r="CQ7" i="45" s="1"/>
  <c r="BI49" i="30"/>
  <c r="BI25" i="30"/>
  <c r="BH53" i="30"/>
  <c r="BH45" i="30"/>
  <c r="BJ45" i="30" s="1"/>
  <c r="BH37" i="30"/>
  <c r="BH29" i="30"/>
  <c r="BJ29" i="30" s="1"/>
  <c r="BH21" i="30"/>
  <c r="BH64" i="30"/>
  <c r="BJ64" i="30" s="1"/>
  <c r="CN7" i="45"/>
  <c r="CO7" i="45" s="1"/>
  <c r="AV66" i="30"/>
  <c r="AX66" i="30" s="1"/>
  <c r="CR6" i="45"/>
  <c r="CS6" i="45" s="1"/>
  <c r="AV64" i="30"/>
  <c r="AX64" i="30" s="1"/>
  <c r="CN6" i="45"/>
  <c r="CO6" i="45" s="1"/>
  <c r="AV65" i="30"/>
  <c r="AX65" i="30" s="1"/>
  <c r="CP6" i="45"/>
  <c r="CQ6" i="45" s="1"/>
  <c r="AJ64" i="30"/>
  <c r="AL64" i="30" s="1"/>
  <c r="CN5" i="45"/>
  <c r="CO5" i="45" s="1"/>
  <c r="AJ65" i="30"/>
  <c r="AL65" i="30" s="1"/>
  <c r="CP5" i="45"/>
  <c r="CQ5" i="45" s="1"/>
  <c r="AJ66" i="30"/>
  <c r="AL66" i="30" s="1"/>
  <c r="CR5" i="45"/>
  <c r="CS5" i="45" s="1"/>
  <c r="X64" i="30"/>
  <c r="Z64" i="30" s="1"/>
  <c r="CN4" i="45"/>
  <c r="CO4" i="45" s="1"/>
  <c r="X65" i="30"/>
  <c r="Z65" i="30" s="1"/>
  <c r="CP4" i="45"/>
  <c r="CQ4" i="45" s="1"/>
  <c r="X66" i="30"/>
  <c r="Z66" i="30" s="1"/>
  <c r="CR4" i="45"/>
  <c r="CS4" i="45" s="1"/>
  <c r="L66" i="30"/>
  <c r="N66" i="30" s="1"/>
  <c r="L65" i="30"/>
  <c r="N65" i="30" s="1"/>
  <c r="L64" i="30"/>
  <c r="N64" i="30" s="1"/>
  <c r="BI29" i="30"/>
  <c r="AK45" i="30"/>
  <c r="AL45" i="30"/>
  <c r="DD25" i="30"/>
  <c r="DF25" i="30" s="1"/>
  <c r="DP33" i="30"/>
  <c r="DR33" i="30" s="1"/>
  <c r="DD57" i="30"/>
  <c r="DF57" i="30" s="1"/>
  <c r="DD31" i="30"/>
  <c r="DF31" i="30" s="1"/>
  <c r="CR44" i="30"/>
  <c r="CT44" i="30" s="1"/>
  <c r="CR42" i="30"/>
  <c r="CT42" i="30" s="1"/>
  <c r="CF47" i="30"/>
  <c r="CH47" i="30" s="1"/>
  <c r="CF39" i="30"/>
  <c r="CH39" i="30" s="1"/>
  <c r="CF31" i="30"/>
  <c r="CH31" i="30" s="1"/>
  <c r="CF23" i="30"/>
  <c r="CH23" i="30" s="1"/>
  <c r="AJ35" i="30"/>
  <c r="AL35" i="30" s="1"/>
  <c r="L40" i="30"/>
  <c r="N40" i="30" s="1"/>
  <c r="L34" i="30"/>
  <c r="N34" i="30" s="1"/>
  <c r="L32" i="30"/>
  <c r="N32" i="30" s="1"/>
  <c r="L27" i="30"/>
  <c r="N27" i="30" s="1"/>
  <c r="L24" i="30"/>
  <c r="N24" i="30" s="1"/>
  <c r="L58" i="30"/>
  <c r="N58" i="30" s="1"/>
  <c r="L56" i="30"/>
  <c r="N56" i="30" s="1"/>
  <c r="L54" i="30"/>
  <c r="N54" i="30" s="1"/>
  <c r="L52" i="30"/>
  <c r="N52" i="30" s="1"/>
  <c r="L50" i="30"/>
  <c r="N50" i="30" s="1"/>
  <c r="L48" i="30"/>
  <c r="N48" i="30" s="1"/>
  <c r="L46" i="30"/>
  <c r="N46" i="30" s="1"/>
  <c r="L44" i="30"/>
  <c r="N44" i="30" s="1"/>
  <c r="L42" i="30"/>
  <c r="N42" i="30" s="1"/>
  <c r="L38" i="30"/>
  <c r="N38" i="30" s="1"/>
  <c r="L35" i="30"/>
  <c r="N35" i="30" s="1"/>
  <c r="L30" i="30"/>
  <c r="N30" i="30" s="1"/>
  <c r="L26" i="30"/>
  <c r="N26" i="30" s="1"/>
  <c r="L22" i="30"/>
  <c r="N22" i="30" s="1"/>
  <c r="K67" i="30"/>
  <c r="CF50" i="30"/>
  <c r="CF54" i="30"/>
  <c r="CF58" i="30"/>
  <c r="DD56" i="30"/>
  <c r="DF56" i="30" s="1"/>
  <c r="DD52" i="30"/>
  <c r="DF52" i="30" s="1"/>
  <c r="DD48" i="30"/>
  <c r="DF48" i="30" s="1"/>
  <c r="DD44" i="30"/>
  <c r="DF44" i="30" s="1"/>
  <c r="DD41" i="30"/>
  <c r="DF41" i="30" s="1"/>
  <c r="DD37" i="30"/>
  <c r="DF37" i="30" s="1"/>
  <c r="DD33" i="30"/>
  <c r="DF33" i="30" s="1"/>
  <c r="DD29" i="30"/>
  <c r="DF29" i="30" s="1"/>
  <c r="DD24" i="30"/>
  <c r="DF24" i="30" s="1"/>
  <c r="DD20" i="30"/>
  <c r="DF20" i="30" s="1"/>
  <c r="CR56" i="30"/>
  <c r="CT56" i="30" s="1"/>
  <c r="CR52" i="30"/>
  <c r="CT52" i="30" s="1"/>
  <c r="CR48" i="30"/>
  <c r="CT48" i="30" s="1"/>
  <c r="CR43" i="30"/>
  <c r="CT43" i="30" s="1"/>
  <c r="CR39" i="30"/>
  <c r="CT39" i="30" s="1"/>
  <c r="CR35" i="30"/>
  <c r="CT35" i="30" s="1"/>
  <c r="CR31" i="30"/>
  <c r="CT31" i="30" s="1"/>
  <c r="CR28" i="30"/>
  <c r="CT28" i="30" s="1"/>
  <c r="CR24" i="30"/>
  <c r="CT24" i="30" s="1"/>
  <c r="CR20" i="30"/>
  <c r="CT20" i="30" s="1"/>
  <c r="CF22" i="30"/>
  <c r="CH22" i="30" s="1"/>
  <c r="AV57" i="30"/>
  <c r="AX57" i="30" s="1"/>
  <c r="AV55" i="30"/>
  <c r="AX55" i="30" s="1"/>
  <c r="AV52" i="30"/>
  <c r="AV49" i="30"/>
  <c r="AX49" i="30" s="1"/>
  <c r="AV47" i="30"/>
  <c r="AX47" i="30" s="1"/>
  <c r="CF29" i="30"/>
  <c r="CF37" i="30"/>
  <c r="CF45" i="30"/>
  <c r="CF51" i="30"/>
  <c r="CF55" i="30"/>
  <c r="BT21" i="30"/>
  <c r="BT29" i="30"/>
  <c r="BT37" i="30"/>
  <c r="BT45" i="30"/>
  <c r="BT53" i="30"/>
  <c r="BH23" i="30"/>
  <c r="BJ23" i="30" s="1"/>
  <c r="BH31" i="30"/>
  <c r="BJ31" i="30" s="1"/>
  <c r="BH39" i="30"/>
  <c r="BJ39" i="30" s="1"/>
  <c r="BH47" i="30"/>
  <c r="BJ47" i="30" s="1"/>
  <c r="BH55" i="30"/>
  <c r="BJ55" i="30" s="1"/>
  <c r="DD58" i="30"/>
  <c r="DF58" i="30" s="1"/>
  <c r="DD54" i="30"/>
  <c r="DF54" i="30" s="1"/>
  <c r="DD50" i="30"/>
  <c r="DF50" i="30" s="1"/>
  <c r="DD47" i="30"/>
  <c r="DF47" i="30" s="1"/>
  <c r="DD43" i="30"/>
  <c r="DF43" i="30" s="1"/>
  <c r="DD39" i="30"/>
  <c r="DF39" i="30" s="1"/>
  <c r="DD35" i="30"/>
  <c r="DF35" i="30" s="1"/>
  <c r="DD30" i="30"/>
  <c r="DF30" i="30" s="1"/>
  <c r="DD26" i="30"/>
  <c r="DF26" i="30" s="1"/>
  <c r="DC67" i="30"/>
  <c r="CR55" i="30"/>
  <c r="CT55" i="30" s="1"/>
  <c r="CR50" i="30"/>
  <c r="CT50" i="30" s="1"/>
  <c r="CR46" i="30"/>
  <c r="CT46" i="30" s="1"/>
  <c r="CR41" i="30"/>
  <c r="CT41" i="30" s="1"/>
  <c r="CR37" i="30"/>
  <c r="CT37" i="30" s="1"/>
  <c r="CR30" i="30"/>
  <c r="CT30" i="30" s="1"/>
  <c r="CR22" i="30"/>
  <c r="CT22" i="30" s="1"/>
  <c r="CF21" i="30"/>
  <c r="CH21" i="30" s="1"/>
  <c r="AJ57" i="30"/>
  <c r="AL57" i="30" s="1"/>
  <c r="AJ53" i="30"/>
  <c r="AL53" i="30" s="1"/>
  <c r="AJ49" i="30"/>
  <c r="AL49" i="30" s="1"/>
  <c r="AJ44" i="30"/>
  <c r="AL44" i="30" s="1"/>
  <c r="AJ40" i="30"/>
  <c r="AL40" i="30" s="1"/>
  <c r="AJ36" i="30"/>
  <c r="AL36" i="30" s="1"/>
  <c r="AJ32" i="30"/>
  <c r="AL32" i="30" s="1"/>
  <c r="AJ29" i="30"/>
  <c r="AL29" i="30" s="1"/>
  <c r="AJ25" i="30"/>
  <c r="AL25" i="30" s="1"/>
  <c r="AJ21" i="30"/>
  <c r="AL21" i="30" s="1"/>
  <c r="DP55" i="30"/>
  <c r="DR55" i="30" s="1"/>
  <c r="DP47" i="30"/>
  <c r="DR47" i="30" s="1"/>
  <c r="DP39" i="30"/>
  <c r="DR39" i="30" s="1"/>
  <c r="DP31" i="30"/>
  <c r="DR31" i="30" s="1"/>
  <c r="DP23" i="30"/>
  <c r="DR23" i="30" s="1"/>
  <c r="AV54" i="30"/>
  <c r="AX54" i="30" s="1"/>
  <c r="AV45" i="30"/>
  <c r="AX45" i="30" s="1"/>
  <c r="AV43" i="30"/>
  <c r="AX43" i="30" s="1"/>
  <c r="AV40" i="30"/>
  <c r="AV37" i="30"/>
  <c r="AX37" i="30" s="1"/>
  <c r="AV35" i="30"/>
  <c r="AX35" i="30" s="1"/>
  <c r="AV32" i="30"/>
  <c r="AV29" i="30"/>
  <c r="AX29" i="30" s="1"/>
  <c r="AV27" i="30"/>
  <c r="AX27" i="30" s="1"/>
  <c r="AV24" i="30"/>
  <c r="AV21" i="30"/>
  <c r="AX21" i="30" s="1"/>
  <c r="AJ58" i="30"/>
  <c r="AJ54" i="30"/>
  <c r="AL54" i="30" s="1"/>
  <c r="AJ51" i="30"/>
  <c r="AL51" i="30" s="1"/>
  <c r="AJ47" i="30"/>
  <c r="AL47" i="30" s="1"/>
  <c r="AJ43" i="30"/>
  <c r="AL43" i="30" s="1"/>
  <c r="AJ39" i="30"/>
  <c r="AL39" i="30" s="1"/>
  <c r="AJ34" i="30"/>
  <c r="AL34" i="30" s="1"/>
  <c r="AJ30" i="30"/>
  <c r="AL30" i="30" s="1"/>
  <c r="AJ26" i="30"/>
  <c r="AL26" i="30" s="1"/>
  <c r="AJ22" i="30"/>
  <c r="AL22" i="30" s="1"/>
  <c r="X58" i="30"/>
  <c r="Z58" i="30" s="1"/>
  <c r="X54" i="30"/>
  <c r="Z54" i="30" s="1"/>
  <c r="X52" i="30"/>
  <c r="X46" i="30"/>
  <c r="Z46" i="30" s="1"/>
  <c r="X44" i="30"/>
  <c r="X38" i="30"/>
  <c r="Z38" i="30" s="1"/>
  <c r="X36" i="30"/>
  <c r="X30" i="30"/>
  <c r="Z30" i="30" s="1"/>
  <c r="X28" i="30"/>
  <c r="X22" i="30"/>
  <c r="Z22" i="30" s="1"/>
  <c r="X20" i="30"/>
  <c r="DP56" i="30"/>
  <c r="DR56" i="30" s="1"/>
  <c r="DP52" i="30"/>
  <c r="DR52" i="30" s="1"/>
  <c r="DP49" i="30"/>
  <c r="DR49" i="30" s="1"/>
  <c r="DP45" i="30"/>
  <c r="DR45" i="30" s="1"/>
  <c r="DP41" i="30"/>
  <c r="DR41" i="30" s="1"/>
  <c r="DP37" i="30"/>
  <c r="DR37" i="30" s="1"/>
  <c r="DP32" i="30"/>
  <c r="DR32" i="30" s="1"/>
  <c r="DP28" i="30"/>
  <c r="DR28" i="30" s="1"/>
  <c r="DP24" i="30"/>
  <c r="DR24" i="30" s="1"/>
  <c r="DP20" i="30"/>
  <c r="DR20" i="30" s="1"/>
  <c r="DD22" i="30"/>
  <c r="DF22" i="30" s="1"/>
  <c r="CF46" i="30"/>
  <c r="CH46" i="30" s="1"/>
  <c r="CF42" i="30"/>
  <c r="CH42" i="30" s="1"/>
  <c r="CF38" i="30"/>
  <c r="CH38" i="30" s="1"/>
  <c r="CF34" i="30"/>
  <c r="CH34" i="30" s="1"/>
  <c r="CF30" i="30"/>
  <c r="CH30" i="30" s="1"/>
  <c r="CF26" i="30"/>
  <c r="CH26" i="30" s="1"/>
  <c r="BT58" i="30"/>
  <c r="BV58" i="30" s="1"/>
  <c r="BT54" i="30"/>
  <c r="BV54" i="30" s="1"/>
  <c r="BT50" i="30"/>
  <c r="BV50" i="30" s="1"/>
  <c r="BT46" i="30"/>
  <c r="BV46" i="30" s="1"/>
  <c r="BT42" i="30"/>
  <c r="BV42" i="30" s="1"/>
  <c r="BT38" i="30"/>
  <c r="BV38" i="30" s="1"/>
  <c r="BT34" i="30"/>
  <c r="BV34" i="30" s="1"/>
  <c r="BT30" i="30"/>
  <c r="BV30" i="30" s="1"/>
  <c r="BT26" i="30"/>
  <c r="BV26" i="30" s="1"/>
  <c r="BT22" i="30"/>
  <c r="BV22" i="30" s="1"/>
  <c r="BH56" i="30"/>
  <c r="BJ56" i="30" s="1"/>
  <c r="BH52" i="30"/>
  <c r="BJ52" i="30" s="1"/>
  <c r="BH48" i="30"/>
  <c r="BJ48" i="30" s="1"/>
  <c r="BH44" i="30"/>
  <c r="BJ44" i="30" s="1"/>
  <c r="BH40" i="30"/>
  <c r="BJ40" i="30" s="1"/>
  <c r="BH36" i="30"/>
  <c r="BJ36" i="30" s="1"/>
  <c r="BH32" i="30"/>
  <c r="BJ32" i="30" s="1"/>
  <c r="BH28" i="30"/>
  <c r="BJ28" i="30" s="1"/>
  <c r="BH24" i="30"/>
  <c r="BJ24" i="30" s="1"/>
  <c r="BH20" i="30"/>
  <c r="BJ20" i="30" s="1"/>
  <c r="AV50" i="30"/>
  <c r="AV42" i="30"/>
  <c r="AX42" i="30" s="1"/>
  <c r="AV34" i="30"/>
  <c r="AX34" i="30" s="1"/>
  <c r="AV26" i="30"/>
  <c r="AX26" i="30" s="1"/>
  <c r="X56" i="30"/>
  <c r="Z56" i="30" s="1"/>
  <c r="X48" i="30"/>
  <c r="X40" i="30"/>
  <c r="X32" i="30"/>
  <c r="X24" i="30"/>
  <c r="DP54" i="30"/>
  <c r="DR54" i="30" s="1"/>
  <c r="DP46" i="30"/>
  <c r="DR46" i="30" s="1"/>
  <c r="DP38" i="30"/>
  <c r="DR38" i="30" s="1"/>
  <c r="DP30" i="30"/>
  <c r="DR30" i="30" s="1"/>
  <c r="DP22" i="30"/>
  <c r="DR22" i="30" s="1"/>
  <c r="CR29" i="30"/>
  <c r="CT29" i="30" s="1"/>
  <c r="BS67" i="30"/>
  <c r="X55" i="30"/>
  <c r="Z55" i="30" s="1"/>
  <c r="X47" i="30"/>
  <c r="Z47" i="30" s="1"/>
  <c r="X39" i="30"/>
  <c r="Z39" i="30" s="1"/>
  <c r="X31" i="30"/>
  <c r="Z31" i="30" s="1"/>
  <c r="X23" i="30"/>
  <c r="Z23" i="30" s="1"/>
  <c r="CR60" i="30"/>
  <c r="CT60" i="30" s="1"/>
  <c r="CR62" i="30"/>
  <c r="CT62" i="30" s="1"/>
  <c r="CR59" i="30"/>
  <c r="CT59" i="30" s="1"/>
  <c r="CE67" i="30"/>
  <c r="BT61" i="30"/>
  <c r="BV61" i="30" s="1"/>
  <c r="BT63" i="30"/>
  <c r="BV63" i="30" s="1"/>
  <c r="BT59" i="30"/>
  <c r="BV59" i="30" s="1"/>
  <c r="BT60" i="30"/>
  <c r="BV60" i="30" s="1"/>
  <c r="AW65" i="30"/>
  <c r="AV63" i="30"/>
  <c r="AX63" i="30" s="1"/>
  <c r="AV61" i="30"/>
  <c r="AX61" i="30" s="1"/>
  <c r="X59" i="30"/>
  <c r="Z59" i="30" s="1"/>
  <c r="Y66" i="30"/>
  <c r="X62" i="30"/>
  <c r="Z62" i="30" s="1"/>
  <c r="L59" i="30"/>
  <c r="N59" i="30" s="1"/>
  <c r="M65" i="30"/>
  <c r="M64" i="30"/>
  <c r="L60" i="30"/>
  <c r="N60" i="30" s="1"/>
  <c r="DD62" i="30"/>
  <c r="DF62" i="30" s="1"/>
  <c r="DD61" i="30"/>
  <c r="DF61" i="30" s="1"/>
  <c r="DD60" i="30"/>
  <c r="DF60" i="30" s="1"/>
  <c r="CF63" i="30"/>
  <c r="CH63" i="30" s="1"/>
  <c r="CF62" i="30"/>
  <c r="CH62" i="30" s="1"/>
  <c r="CF59" i="30"/>
  <c r="CH59" i="30" s="1"/>
  <c r="BH61" i="30"/>
  <c r="BJ61" i="30" s="1"/>
  <c r="BH62" i="30"/>
  <c r="BJ62" i="30" s="1"/>
  <c r="BH60" i="30"/>
  <c r="BJ60" i="30" s="1"/>
  <c r="AJ63" i="30"/>
  <c r="AL63" i="30" s="1"/>
  <c r="AJ62" i="30"/>
  <c r="AL62" i="30" s="1"/>
  <c r="AJ59" i="30"/>
  <c r="AL59" i="30" s="1"/>
  <c r="W67" i="30"/>
  <c r="DP59" i="30"/>
  <c r="DR59" i="30" s="1"/>
  <c r="DP60" i="30"/>
  <c r="DR60" i="30" s="1"/>
  <c r="DP61" i="30"/>
  <c r="DR61" i="30" s="1"/>
  <c r="DP63" i="30"/>
  <c r="DR63" i="30" s="1"/>
  <c r="L36" i="30"/>
  <c r="N36" i="30" s="1"/>
  <c r="L33" i="30"/>
  <c r="N33" i="30" s="1"/>
  <c r="L28" i="30"/>
  <c r="N28" i="30" s="1"/>
  <c r="L25" i="30"/>
  <c r="N25" i="30" s="1"/>
  <c r="L20" i="30"/>
  <c r="N20" i="30" s="1"/>
  <c r="L57" i="30"/>
  <c r="N57" i="30" s="1"/>
  <c r="L55" i="30"/>
  <c r="N55" i="30" s="1"/>
  <c r="L53" i="30"/>
  <c r="N53" i="30" s="1"/>
  <c r="L51" i="30"/>
  <c r="N51" i="30" s="1"/>
  <c r="L49" i="30"/>
  <c r="N49" i="30" s="1"/>
  <c r="L47" i="30"/>
  <c r="N47" i="30" s="1"/>
  <c r="L45" i="30"/>
  <c r="N45" i="30" s="1"/>
  <c r="L43" i="30"/>
  <c r="N43" i="30" s="1"/>
  <c r="L39" i="30"/>
  <c r="N39" i="30" s="1"/>
  <c r="L37" i="30"/>
  <c r="N37" i="30" s="1"/>
  <c r="L31" i="30"/>
  <c r="N31" i="30" s="1"/>
  <c r="L29" i="30"/>
  <c r="N29" i="30" s="1"/>
  <c r="L23" i="30"/>
  <c r="N23" i="30" s="1"/>
  <c r="L21" i="30"/>
  <c r="N21" i="30" s="1"/>
  <c r="CF52" i="30"/>
  <c r="CH52" i="30" s="1"/>
  <c r="CF56" i="30"/>
  <c r="CH56" i="30" s="1"/>
  <c r="BH58" i="30"/>
  <c r="BJ58" i="30" s="1"/>
  <c r="DD53" i="30"/>
  <c r="DF53" i="30" s="1"/>
  <c r="DD49" i="30"/>
  <c r="DF49" i="30" s="1"/>
  <c r="DD45" i="30"/>
  <c r="DF45" i="30" s="1"/>
  <c r="DD40" i="30"/>
  <c r="DF40" i="30" s="1"/>
  <c r="DD36" i="30"/>
  <c r="DF36" i="30" s="1"/>
  <c r="DD32" i="30"/>
  <c r="DF32" i="30" s="1"/>
  <c r="DD28" i="30"/>
  <c r="DF28" i="30" s="1"/>
  <c r="DD21" i="30"/>
  <c r="DF21" i="30" s="1"/>
  <c r="CR58" i="30"/>
  <c r="CT58" i="30" s="1"/>
  <c r="CR54" i="30"/>
  <c r="CT54" i="30" s="1"/>
  <c r="CR51" i="30"/>
  <c r="CT51" i="30" s="1"/>
  <c r="CR47" i="30"/>
  <c r="CT47" i="30" s="1"/>
  <c r="CR40" i="30"/>
  <c r="CT40" i="30" s="1"/>
  <c r="CR36" i="30"/>
  <c r="CT36" i="30" s="1"/>
  <c r="CR32" i="30"/>
  <c r="CT32" i="30" s="1"/>
  <c r="CR27" i="30"/>
  <c r="CT27" i="30" s="1"/>
  <c r="CR23" i="30"/>
  <c r="CT23" i="30" s="1"/>
  <c r="AV56" i="30"/>
  <c r="AV53" i="30"/>
  <c r="AX53" i="30" s="1"/>
  <c r="AV51" i="30"/>
  <c r="AX51" i="30" s="1"/>
  <c r="AV48" i="30"/>
  <c r="CF25" i="30"/>
  <c r="CH25" i="30" s="1"/>
  <c r="CF33" i="30"/>
  <c r="CH33" i="30" s="1"/>
  <c r="CF41" i="30"/>
  <c r="CH41" i="30" s="1"/>
  <c r="CF49" i="30"/>
  <c r="CH49" i="30" s="1"/>
  <c r="CF53" i="30"/>
  <c r="CH53" i="30" s="1"/>
  <c r="CF57" i="30"/>
  <c r="CH57" i="30" s="1"/>
  <c r="BT25" i="30"/>
  <c r="BT33" i="30"/>
  <c r="BT41" i="30"/>
  <c r="BT49" i="30"/>
  <c r="BT57" i="30"/>
  <c r="BH27" i="30"/>
  <c r="BJ27" i="30" s="1"/>
  <c r="BH35" i="30"/>
  <c r="BJ35" i="30" s="1"/>
  <c r="BH43" i="30"/>
  <c r="BJ43" i="30" s="1"/>
  <c r="BH51" i="30"/>
  <c r="BJ51" i="30" s="1"/>
  <c r="BG67" i="30"/>
  <c r="DD55" i="30"/>
  <c r="DF55" i="30" s="1"/>
  <c r="DD51" i="30"/>
  <c r="DF51" i="30" s="1"/>
  <c r="DD46" i="30"/>
  <c r="DF46" i="30" s="1"/>
  <c r="DD42" i="30"/>
  <c r="DF42" i="30" s="1"/>
  <c r="DD38" i="30"/>
  <c r="DF38" i="30" s="1"/>
  <c r="DD34" i="30"/>
  <c r="DF34" i="30" s="1"/>
  <c r="DD27" i="30"/>
  <c r="DF27" i="30" s="1"/>
  <c r="DD23" i="30"/>
  <c r="DF23" i="30" s="1"/>
  <c r="CR57" i="30"/>
  <c r="CT57" i="30" s="1"/>
  <c r="CR53" i="30"/>
  <c r="CT53" i="30" s="1"/>
  <c r="CR49" i="30"/>
  <c r="CT49" i="30" s="1"/>
  <c r="CR45" i="30"/>
  <c r="CT45" i="30" s="1"/>
  <c r="CR38" i="30"/>
  <c r="CT38" i="30" s="1"/>
  <c r="CR34" i="30"/>
  <c r="CT34" i="30" s="1"/>
  <c r="CR26" i="30"/>
  <c r="CT26" i="30" s="1"/>
  <c r="CQ67" i="30"/>
  <c r="CF20" i="30"/>
  <c r="CH20" i="30" s="1"/>
  <c r="AJ56" i="30"/>
  <c r="AL56" i="30" s="1"/>
  <c r="AJ52" i="30"/>
  <c r="AL52" i="30" s="1"/>
  <c r="AJ48" i="30"/>
  <c r="AL48" i="30" s="1"/>
  <c r="AJ41" i="30"/>
  <c r="AL41" i="30" s="1"/>
  <c r="AJ37" i="30"/>
  <c r="AL37" i="30" s="1"/>
  <c r="AJ33" i="30"/>
  <c r="AL33" i="30" s="1"/>
  <c r="AJ28" i="30"/>
  <c r="AL28" i="30" s="1"/>
  <c r="AJ24" i="30"/>
  <c r="AL24" i="30" s="1"/>
  <c r="AJ20" i="30"/>
  <c r="AL20" i="30" s="1"/>
  <c r="DP51" i="30"/>
  <c r="DR51" i="30" s="1"/>
  <c r="DP43" i="30"/>
  <c r="DR43" i="30" s="1"/>
  <c r="DP35" i="30"/>
  <c r="DR35" i="30" s="1"/>
  <c r="DP27" i="30"/>
  <c r="DR27" i="30" s="1"/>
  <c r="DO67" i="30"/>
  <c r="AV44" i="30"/>
  <c r="AV41" i="30"/>
  <c r="AX41" i="30" s="1"/>
  <c r="AV39" i="30"/>
  <c r="AX39" i="30" s="1"/>
  <c r="AV36" i="30"/>
  <c r="AV33" i="30"/>
  <c r="AX33" i="30" s="1"/>
  <c r="AV31" i="30"/>
  <c r="AX31" i="30" s="1"/>
  <c r="AV28" i="30"/>
  <c r="AV25" i="30"/>
  <c r="AX25" i="30" s="1"/>
  <c r="AV23" i="30"/>
  <c r="AX23" i="30" s="1"/>
  <c r="AV20" i="30"/>
  <c r="AJ55" i="30"/>
  <c r="AL55" i="30" s="1"/>
  <c r="AJ50" i="30"/>
  <c r="AL50" i="30" s="1"/>
  <c r="AJ46" i="30"/>
  <c r="AL46" i="30" s="1"/>
  <c r="AJ42" i="30"/>
  <c r="AL42" i="30" s="1"/>
  <c r="AJ38" i="30"/>
  <c r="AL38" i="30" s="1"/>
  <c r="AJ31" i="30"/>
  <c r="AL31" i="30" s="1"/>
  <c r="AJ27" i="30"/>
  <c r="AL27" i="30" s="1"/>
  <c r="AJ23" i="30"/>
  <c r="AL23" i="30" s="1"/>
  <c r="AI67" i="30"/>
  <c r="X57" i="30"/>
  <c r="Z57" i="30" s="1"/>
  <c r="X53" i="30"/>
  <c r="Z53" i="30" s="1"/>
  <c r="X51" i="30"/>
  <c r="Z51" i="30" s="1"/>
  <c r="X45" i="30"/>
  <c r="Z45" i="30" s="1"/>
  <c r="X43" i="30"/>
  <c r="Z43" i="30" s="1"/>
  <c r="X37" i="30"/>
  <c r="Z37" i="30" s="1"/>
  <c r="X35" i="30"/>
  <c r="Z35" i="30" s="1"/>
  <c r="X29" i="30"/>
  <c r="Z29" i="30" s="1"/>
  <c r="X27" i="30"/>
  <c r="Z27" i="30" s="1"/>
  <c r="X21" i="30"/>
  <c r="Z21" i="30" s="1"/>
  <c r="DP57" i="30"/>
  <c r="DR57" i="30" s="1"/>
  <c r="DP53" i="30"/>
  <c r="DR53" i="30" s="1"/>
  <c r="DP48" i="30"/>
  <c r="DR48" i="30" s="1"/>
  <c r="DP44" i="30"/>
  <c r="DR44" i="30" s="1"/>
  <c r="DP40" i="30"/>
  <c r="DR40" i="30" s="1"/>
  <c r="DP36" i="30"/>
  <c r="DR36" i="30" s="1"/>
  <c r="DP29" i="30"/>
  <c r="DR29" i="30" s="1"/>
  <c r="DP25" i="30"/>
  <c r="DR25" i="30" s="1"/>
  <c r="DP21" i="30"/>
  <c r="DR21" i="30" s="1"/>
  <c r="L41" i="30"/>
  <c r="N41" i="30" s="1"/>
  <c r="CF48" i="30"/>
  <c r="CH48" i="30" s="1"/>
  <c r="CF44" i="30"/>
  <c r="CH44" i="30" s="1"/>
  <c r="CF40" i="30"/>
  <c r="CH40" i="30" s="1"/>
  <c r="CF36" i="30"/>
  <c r="CH36" i="30" s="1"/>
  <c r="CF32" i="30"/>
  <c r="CH32" i="30" s="1"/>
  <c r="CF28" i="30"/>
  <c r="CH28" i="30" s="1"/>
  <c r="CF24" i="30"/>
  <c r="CH24" i="30" s="1"/>
  <c r="BT56" i="30"/>
  <c r="BV56" i="30" s="1"/>
  <c r="BT52" i="30"/>
  <c r="BV52" i="30" s="1"/>
  <c r="BT48" i="30"/>
  <c r="BV48" i="30" s="1"/>
  <c r="BT44" i="30"/>
  <c r="BV44" i="30" s="1"/>
  <c r="BT40" i="30"/>
  <c r="BV40" i="30" s="1"/>
  <c r="BT36" i="30"/>
  <c r="BV36" i="30" s="1"/>
  <c r="BT32" i="30"/>
  <c r="BV32" i="30" s="1"/>
  <c r="BT28" i="30"/>
  <c r="BV28" i="30" s="1"/>
  <c r="BT24" i="30"/>
  <c r="BV24" i="30" s="1"/>
  <c r="BT20" i="30"/>
  <c r="BV20" i="30" s="1"/>
  <c r="BH54" i="30"/>
  <c r="BJ54" i="30" s="1"/>
  <c r="BH50" i="30"/>
  <c r="BJ50" i="30" s="1"/>
  <c r="BH46" i="30"/>
  <c r="BJ46" i="30" s="1"/>
  <c r="BH42" i="30"/>
  <c r="BJ42" i="30" s="1"/>
  <c r="BH38" i="30"/>
  <c r="BJ38" i="30" s="1"/>
  <c r="BH34" i="30"/>
  <c r="BJ34" i="30" s="1"/>
  <c r="BH30" i="30"/>
  <c r="BJ30" i="30" s="1"/>
  <c r="BH26" i="30"/>
  <c r="BJ26" i="30" s="1"/>
  <c r="BH22" i="30"/>
  <c r="BJ22" i="30" s="1"/>
  <c r="AV58" i="30"/>
  <c r="AX58" i="30" s="1"/>
  <c r="AV46" i="30"/>
  <c r="AX46" i="30" s="1"/>
  <c r="AV38" i="30"/>
  <c r="AX38" i="30" s="1"/>
  <c r="AV30" i="30"/>
  <c r="AX30" i="30" s="1"/>
  <c r="AV22" i="30"/>
  <c r="AX22" i="30" s="1"/>
  <c r="X50" i="30"/>
  <c r="Z50" i="30" s="1"/>
  <c r="X42" i="30"/>
  <c r="Z42" i="30" s="1"/>
  <c r="X34" i="30"/>
  <c r="Z34" i="30" s="1"/>
  <c r="X26" i="30"/>
  <c r="Z26" i="30" s="1"/>
  <c r="DP58" i="30"/>
  <c r="DR58" i="30" s="1"/>
  <c r="DP50" i="30"/>
  <c r="DR50" i="30" s="1"/>
  <c r="DP42" i="30"/>
  <c r="DR42" i="30" s="1"/>
  <c r="DP34" i="30"/>
  <c r="DR34" i="30" s="1"/>
  <c r="DP26" i="30"/>
  <c r="DR26" i="30" s="1"/>
  <c r="CR33" i="30"/>
  <c r="CT33" i="30" s="1"/>
  <c r="CR25" i="30"/>
  <c r="CT25" i="30" s="1"/>
  <c r="AU67" i="30"/>
  <c r="X49" i="30"/>
  <c r="Z49" i="30" s="1"/>
  <c r="X41" i="30"/>
  <c r="Z41" i="30" s="1"/>
  <c r="X33" i="30"/>
  <c r="Z33" i="30" s="1"/>
  <c r="X25" i="30"/>
  <c r="Z25" i="30" s="1"/>
  <c r="CR63" i="30"/>
  <c r="CT63" i="30" s="1"/>
  <c r="CR61" i="30"/>
  <c r="CT61" i="30" s="1"/>
  <c r="BU66" i="30"/>
  <c r="BT62" i="30"/>
  <c r="BV62" i="30" s="1"/>
  <c r="BU64" i="30"/>
  <c r="BU65" i="30"/>
  <c r="AV62" i="30"/>
  <c r="AX62" i="30" s="1"/>
  <c r="AV59" i="30"/>
  <c r="AX59" i="30" s="1"/>
  <c r="AV60" i="30"/>
  <c r="AX60" i="30" s="1"/>
  <c r="Y64" i="30"/>
  <c r="X63" i="30"/>
  <c r="Z63" i="30" s="1"/>
  <c r="X60" i="30"/>
  <c r="Z60" i="30" s="1"/>
  <c r="X61" i="30"/>
  <c r="Z61" i="30" s="1"/>
  <c r="L62" i="30"/>
  <c r="N62" i="30" s="1"/>
  <c r="L61" i="30"/>
  <c r="N61" i="30" s="1"/>
  <c r="M66" i="30"/>
  <c r="L63" i="30"/>
  <c r="N63" i="30" s="1"/>
  <c r="DD59" i="30"/>
  <c r="DF59" i="30" s="1"/>
  <c r="DD63" i="30"/>
  <c r="DF63" i="30" s="1"/>
  <c r="CR21" i="30"/>
  <c r="CT21" i="30" s="1"/>
  <c r="CF60" i="30"/>
  <c r="CH60" i="30" s="1"/>
  <c r="CF61" i="30"/>
  <c r="CH61" i="30" s="1"/>
  <c r="BH59" i="30"/>
  <c r="BJ59" i="30" s="1"/>
  <c r="BH63" i="30"/>
  <c r="BJ63" i="30" s="1"/>
  <c r="AJ60" i="30"/>
  <c r="AL60" i="30" s="1"/>
  <c r="AJ61" i="30"/>
  <c r="AL61" i="30" s="1"/>
  <c r="DP62" i="30"/>
  <c r="DR62" i="30" s="1"/>
  <c r="CS58" i="30"/>
  <c r="DE23" i="30"/>
  <c r="CS22" i="30"/>
  <c r="AK37" i="30"/>
  <c r="DE58" i="30"/>
  <c r="DE39" i="30"/>
  <c r="Y49" i="30"/>
  <c r="AP5" i="33"/>
  <c r="AW45" i="30"/>
  <c r="AW29" i="30"/>
  <c r="AW21" i="30"/>
  <c r="Y53" i="30"/>
  <c r="Y37" i="30"/>
  <c r="Y29" i="30"/>
  <c r="Y21" i="30"/>
  <c r="DE53" i="30"/>
  <c r="CS40" i="30"/>
  <c r="BI23" i="30"/>
  <c r="BI31" i="30"/>
  <c r="BI39" i="30"/>
  <c r="AK25" i="30"/>
  <c r="DQ35" i="30"/>
  <c r="DE29" i="30"/>
  <c r="CS48" i="30"/>
  <c r="CG25" i="30"/>
  <c r="BI27" i="30"/>
  <c r="DE35" i="30"/>
  <c r="CS46" i="30"/>
  <c r="DQ23" i="30"/>
  <c r="Y38" i="30"/>
  <c r="DD19" i="30"/>
  <c r="CS19" i="30"/>
  <c r="CF19" i="30"/>
  <c r="CH19" i="30" s="1"/>
  <c r="BT19" i="30"/>
  <c r="BH19" i="30"/>
  <c r="AV19" i="30"/>
  <c r="AJ19" i="30"/>
  <c r="AL19" i="30" s="1"/>
  <c r="X19" i="30"/>
  <c r="DP19" i="30"/>
  <c r="M40" i="30"/>
  <c r="M34" i="30"/>
  <c r="M55" i="30"/>
  <c r="M53" i="30"/>
  <c r="M47" i="30"/>
  <c r="M45" i="30"/>
  <c r="M37" i="30"/>
  <c r="M21" i="30"/>
  <c r="M33" i="30"/>
  <c r="M28" i="30"/>
  <c r="M48" i="30"/>
  <c r="M44" i="30"/>
  <c r="M22" i="30"/>
  <c r="L19" i="30"/>
  <c r="Y46" i="30" l="1"/>
  <c r="AW37" i="30"/>
  <c r="AW55" i="30"/>
  <c r="DE66" i="30"/>
  <c r="BI57" i="30"/>
  <c r="AK39" i="30"/>
  <c r="DE51" i="30"/>
  <c r="DQ66" i="30"/>
  <c r="BI64" i="30"/>
  <c r="BI41" i="30"/>
  <c r="M36" i="30"/>
  <c r="DQ47" i="30"/>
  <c r="CG64" i="30"/>
  <c r="M52" i="30"/>
  <c r="M20" i="30"/>
  <c r="DQ55" i="30"/>
  <c r="AK41" i="30"/>
  <c r="CG52" i="30"/>
  <c r="DQ41" i="30"/>
  <c r="CS56" i="30"/>
  <c r="M30" i="30"/>
  <c r="M31" i="30"/>
  <c r="M51" i="30"/>
  <c r="M24" i="30"/>
  <c r="Y30" i="30"/>
  <c r="AK55" i="30"/>
  <c r="AK49" i="30"/>
  <c r="BI35" i="30"/>
  <c r="DE43" i="30"/>
  <c r="CS24" i="30"/>
  <c r="CS53" i="30"/>
  <c r="DE33" i="30"/>
  <c r="CS54" i="30"/>
  <c r="DQ64" i="30"/>
  <c r="CG41" i="30"/>
  <c r="BI55" i="30"/>
  <c r="AW51" i="30"/>
  <c r="AW25" i="30"/>
  <c r="CS65" i="30"/>
  <c r="M38" i="30"/>
  <c r="M56" i="30"/>
  <c r="M43" i="30"/>
  <c r="M32" i="30"/>
  <c r="Y22" i="30"/>
  <c r="Y54" i="30"/>
  <c r="BI43" i="30"/>
  <c r="DE45" i="30"/>
  <c r="Y23" i="30"/>
  <c r="Y45" i="30"/>
  <c r="AW35" i="30"/>
  <c r="AW53" i="30"/>
  <c r="AW39" i="30"/>
  <c r="CS26" i="30"/>
  <c r="BI66" i="30"/>
  <c r="Y65" i="30"/>
  <c r="BI45" i="30"/>
  <c r="AK66" i="30"/>
  <c r="M29" i="30"/>
  <c r="DQ37" i="30"/>
  <c r="DQ39" i="30"/>
  <c r="CS32" i="30"/>
  <c r="AK47" i="30"/>
  <c r="AK57" i="30"/>
  <c r="DE21" i="30"/>
  <c r="AW49" i="30"/>
  <c r="CS34" i="30"/>
  <c r="CS55" i="30"/>
  <c r="AK64" i="30"/>
  <c r="DE64" i="30"/>
  <c r="AW64" i="30"/>
  <c r="CS66" i="30"/>
  <c r="BP24" i="44"/>
  <c r="BP22" i="44"/>
  <c r="BP20" i="44"/>
  <c r="BP18" i="44"/>
  <c r="BP16" i="44"/>
  <c r="BR15" i="44"/>
  <c r="BP23" i="44"/>
  <c r="BP19" i="44"/>
  <c r="BP25" i="44"/>
  <c r="BP21" i="44"/>
  <c r="BP17" i="44"/>
  <c r="CH3" i="45"/>
  <c r="CI3" i="45" s="1"/>
  <c r="CN3" i="45"/>
  <c r="CO3" i="45" s="1"/>
  <c r="BD50" i="8"/>
  <c r="CP3" i="45"/>
  <c r="CQ3" i="45" s="1"/>
  <c r="BD51" i="8"/>
  <c r="CR3" i="45"/>
  <c r="CS3" i="45" s="1"/>
  <c r="BD52" i="8"/>
  <c r="CF3" i="45"/>
  <c r="CG3" i="45" s="1"/>
  <c r="CD3" i="45"/>
  <c r="CE3" i="45" s="1"/>
  <c r="BN25" i="45"/>
  <c r="BN23" i="45"/>
  <c r="BN21" i="45"/>
  <c r="BN19" i="45"/>
  <c r="BN17" i="45"/>
  <c r="BN24" i="45"/>
  <c r="BN22" i="45"/>
  <c r="BN20" i="45"/>
  <c r="BN18" i="45"/>
  <c r="BN16" i="45"/>
  <c r="BP15" i="45"/>
  <c r="DE37" i="30"/>
  <c r="BV23" i="30"/>
  <c r="BU23" i="30"/>
  <c r="BV43" i="30"/>
  <c r="BU43" i="30"/>
  <c r="M25" i="30"/>
  <c r="M27" i="30"/>
  <c r="AK23" i="30"/>
  <c r="DQ31" i="30"/>
  <c r="AK33" i="30"/>
  <c r="DQ45" i="30"/>
  <c r="DQ51" i="30"/>
  <c r="CG21" i="30"/>
  <c r="BI47" i="30"/>
  <c r="Y39" i="30"/>
  <c r="AW27" i="30"/>
  <c r="AW43" i="30"/>
  <c r="AW47" i="30"/>
  <c r="AK21" i="30"/>
  <c r="CS20" i="30"/>
  <c r="DQ25" i="30"/>
  <c r="CS30" i="30"/>
  <c r="DE55" i="30"/>
  <c r="DE49" i="30"/>
  <c r="DQ65" i="30"/>
  <c r="AK65" i="30"/>
  <c r="BI65" i="30"/>
  <c r="CG65" i="30"/>
  <c r="AW66" i="30"/>
  <c r="CS64" i="30"/>
  <c r="BV39" i="30"/>
  <c r="BU39" i="30"/>
  <c r="BV27" i="30"/>
  <c r="BU27" i="30"/>
  <c r="M26" i="30"/>
  <c r="M42" i="30"/>
  <c r="M50" i="30"/>
  <c r="M58" i="30"/>
  <c r="L67" i="30"/>
  <c r="M35" i="30"/>
  <c r="M46" i="30"/>
  <c r="M54" i="30"/>
  <c r="M23" i="30"/>
  <c r="M39" i="30"/>
  <c r="M49" i="30"/>
  <c r="M57" i="30"/>
  <c r="AW54" i="30"/>
  <c r="BI51" i="30"/>
  <c r="CG53" i="30"/>
  <c r="AK31" i="30"/>
  <c r="CS38" i="30"/>
  <c r="BI58" i="30"/>
  <c r="Y55" i="30"/>
  <c r="AK53" i="30"/>
  <c r="CS57" i="30"/>
  <c r="CS52" i="30"/>
  <c r="AK43" i="30"/>
  <c r="CS50" i="30"/>
  <c r="CS36" i="30"/>
  <c r="DE65" i="30"/>
  <c r="CG66" i="30"/>
  <c r="BV55" i="30"/>
  <c r="BU55" i="30"/>
  <c r="CH9" i="45"/>
  <c r="CI9" i="45" s="1"/>
  <c r="CF4" i="45"/>
  <c r="CG4" i="45" s="1"/>
  <c r="CH12" i="45"/>
  <c r="CI12" i="45" s="1"/>
  <c r="CD5" i="45"/>
  <c r="CE5" i="45" s="1"/>
  <c r="CD9" i="45"/>
  <c r="CE9" i="45" s="1"/>
  <c r="N48" i="34"/>
  <c r="CF8" i="45"/>
  <c r="CG8" i="45" s="1"/>
  <c r="CD8" i="45"/>
  <c r="CE8" i="45" s="1"/>
  <c r="CF5" i="45"/>
  <c r="CG5" i="45" s="1"/>
  <c r="CD7" i="45"/>
  <c r="CE7" i="45" s="1"/>
  <c r="CF9" i="45"/>
  <c r="CG9" i="45" s="1"/>
  <c r="CF12" i="45"/>
  <c r="CG12" i="45" s="1"/>
  <c r="CD12" i="45"/>
  <c r="CE12" i="45" s="1"/>
  <c r="CF7" i="45"/>
  <c r="CG7" i="45" s="1"/>
  <c r="CF10" i="45"/>
  <c r="CG10" i="45" s="1"/>
  <c r="DQ21" i="30"/>
  <c r="DQ53" i="30"/>
  <c r="DQ27" i="30"/>
  <c r="DQ43" i="30"/>
  <c r="DQ57" i="30"/>
  <c r="AW33" i="30"/>
  <c r="AW41" i="30"/>
  <c r="AK27" i="30"/>
  <c r="Y33" i="30"/>
  <c r="DQ29" i="30"/>
  <c r="DE27" i="30"/>
  <c r="CG57" i="30"/>
  <c r="CG49" i="30"/>
  <c r="CG33" i="30"/>
  <c r="CG56" i="30"/>
  <c r="R54" i="34"/>
  <c r="R55" i="34"/>
  <c r="BJ21" i="30"/>
  <c r="BI21" i="30"/>
  <c r="BJ37" i="30"/>
  <c r="BI37" i="30"/>
  <c r="BJ53" i="30"/>
  <c r="BI53" i="30"/>
  <c r="Q54" i="34"/>
  <c r="Q55" i="34"/>
  <c r="P54" i="34"/>
  <c r="P55" i="34"/>
  <c r="AW23" i="30"/>
  <c r="AW31" i="30"/>
  <c r="O55" i="34"/>
  <c r="O54" i="34"/>
  <c r="N55" i="34"/>
  <c r="N54" i="34"/>
  <c r="BE51" i="8"/>
  <c r="BF51" i="8" s="1"/>
  <c r="M54" i="34"/>
  <c r="T54" i="34" s="1"/>
  <c r="U54" i="34" s="1"/>
  <c r="V54" i="34" s="1"/>
  <c r="M55" i="34"/>
  <c r="BE52" i="8"/>
  <c r="BF52" i="8" s="1"/>
  <c r="M50" i="34"/>
  <c r="M51" i="34"/>
  <c r="BE48" i="8"/>
  <c r="BF48" i="8" s="1"/>
  <c r="M49" i="34"/>
  <c r="M48" i="34"/>
  <c r="M52" i="34"/>
  <c r="BE49" i="8"/>
  <c r="BF49" i="8" s="1"/>
  <c r="M53" i="34"/>
  <c r="BE50" i="8"/>
  <c r="BF50" i="8" s="1"/>
  <c r="AW20" i="30"/>
  <c r="AX20" i="30"/>
  <c r="AW28" i="30"/>
  <c r="AX28" i="30"/>
  <c r="AW36" i="30"/>
  <c r="AX36" i="30"/>
  <c r="AW44" i="30"/>
  <c r="AX44" i="30"/>
  <c r="BU57" i="30"/>
  <c r="BV57" i="30"/>
  <c r="BU49" i="30"/>
  <c r="BV49" i="30"/>
  <c r="BU41" i="30"/>
  <c r="BV41" i="30"/>
  <c r="BU33" i="30"/>
  <c r="BV33" i="30"/>
  <c r="BU25" i="30"/>
  <c r="BV25" i="30"/>
  <c r="AW48" i="30"/>
  <c r="AX48" i="30"/>
  <c r="AW56" i="30"/>
  <c r="AX56" i="30"/>
  <c r="Y24" i="30"/>
  <c r="Z24" i="30"/>
  <c r="Y32" i="30"/>
  <c r="Z32" i="30"/>
  <c r="Y40" i="30"/>
  <c r="Z40" i="30"/>
  <c r="Y48" i="30"/>
  <c r="Z48" i="30"/>
  <c r="AW50" i="30"/>
  <c r="AX50" i="30"/>
  <c r="AK58" i="30"/>
  <c r="AL58" i="30"/>
  <c r="AW24" i="30"/>
  <c r="AX24" i="30"/>
  <c r="AW32" i="30"/>
  <c r="AX32" i="30"/>
  <c r="AW40" i="30"/>
  <c r="AX40" i="30"/>
  <c r="BU53" i="30"/>
  <c r="BV53" i="30"/>
  <c r="BU45" i="30"/>
  <c r="BV45" i="30"/>
  <c r="BU37" i="30"/>
  <c r="BV37" i="30"/>
  <c r="BU29" i="30"/>
  <c r="BV29" i="30"/>
  <c r="BU21" i="30"/>
  <c r="BV21" i="30"/>
  <c r="CG55" i="30"/>
  <c r="CH55" i="30"/>
  <c r="CG51" i="30"/>
  <c r="CH51" i="30"/>
  <c r="CG45" i="30"/>
  <c r="CH45" i="30"/>
  <c r="CG37" i="30"/>
  <c r="CH37" i="30"/>
  <c r="CG29" i="30"/>
  <c r="CH29" i="30"/>
  <c r="AW52" i="30"/>
  <c r="AX52" i="30"/>
  <c r="CG58" i="30"/>
  <c r="CH58" i="30"/>
  <c r="CG54" i="30"/>
  <c r="CH54" i="30"/>
  <c r="CG50" i="30"/>
  <c r="CH50" i="30"/>
  <c r="BT67" i="30"/>
  <c r="BV19" i="30"/>
  <c r="Y20" i="30"/>
  <c r="Z20" i="30"/>
  <c r="Y28" i="30"/>
  <c r="Z28" i="30"/>
  <c r="Y36" i="30"/>
  <c r="Z36" i="30"/>
  <c r="Y44" i="30"/>
  <c r="Z44" i="30"/>
  <c r="Y52" i="30"/>
  <c r="Z52" i="30"/>
  <c r="P51" i="34"/>
  <c r="Q52" i="34"/>
  <c r="P53" i="34"/>
  <c r="O53" i="34"/>
  <c r="Q53" i="34"/>
  <c r="O48" i="34"/>
  <c r="O51" i="34"/>
  <c r="Q51" i="34"/>
  <c r="N51" i="34"/>
  <c r="P52" i="34"/>
  <c r="R52" i="34"/>
  <c r="R53" i="34"/>
  <c r="N52" i="34"/>
  <c r="R51" i="34"/>
  <c r="N53" i="34"/>
  <c r="O52" i="34"/>
  <c r="DP67" i="30"/>
  <c r="DR19" i="30"/>
  <c r="DD67" i="30"/>
  <c r="DF19" i="30"/>
  <c r="BH67" i="30"/>
  <c r="BJ19" i="30"/>
  <c r="AV67" i="30"/>
  <c r="AX19" i="30"/>
  <c r="X67" i="30"/>
  <c r="Z19" i="30"/>
  <c r="DE25" i="30"/>
  <c r="DQ33" i="30"/>
  <c r="DE31" i="30"/>
  <c r="DE57" i="30"/>
  <c r="CS42" i="30"/>
  <c r="CS44" i="30"/>
  <c r="CG23" i="30"/>
  <c r="CG39" i="30"/>
  <c r="CF67" i="30"/>
  <c r="CG31" i="30"/>
  <c r="CG47" i="30"/>
  <c r="AJ67" i="30"/>
  <c r="Y31" i="30"/>
  <c r="Y47" i="30"/>
  <c r="Y27" i="30"/>
  <c r="Y35" i="30"/>
  <c r="Y43" i="30"/>
  <c r="Y51" i="30"/>
  <c r="Y25" i="30"/>
  <c r="Y41" i="30"/>
  <c r="CR67" i="30"/>
  <c r="AK35" i="30"/>
  <c r="AK61" i="30"/>
  <c r="AK60" i="30"/>
  <c r="BI63" i="30"/>
  <c r="BI59" i="30"/>
  <c r="CG61" i="30"/>
  <c r="CG60" i="30"/>
  <c r="CS21" i="30"/>
  <c r="DE63" i="30"/>
  <c r="DE59" i="30"/>
  <c r="M63" i="30"/>
  <c r="M61" i="30"/>
  <c r="M62" i="30"/>
  <c r="Y61" i="30"/>
  <c r="Y60" i="30"/>
  <c r="AW60" i="30"/>
  <c r="AW59" i="30"/>
  <c r="CS61" i="30"/>
  <c r="CS63" i="30"/>
  <c r="CS25" i="30"/>
  <c r="CS33" i="30"/>
  <c r="DQ26" i="30"/>
  <c r="DQ34" i="30"/>
  <c r="DQ42" i="30"/>
  <c r="DQ50" i="30"/>
  <c r="DQ58" i="30"/>
  <c r="Y26" i="30"/>
  <c r="Y34" i="30"/>
  <c r="Y42" i="30"/>
  <c r="Y50" i="30"/>
  <c r="AW22" i="30"/>
  <c r="AW30" i="30"/>
  <c r="AW38" i="30"/>
  <c r="AW46" i="30"/>
  <c r="AW58" i="30"/>
  <c r="BI22" i="30"/>
  <c r="BI26" i="30"/>
  <c r="BI30" i="30"/>
  <c r="BI34" i="30"/>
  <c r="BI38" i="30"/>
  <c r="BI42" i="30"/>
  <c r="BI46" i="30"/>
  <c r="BI50" i="30"/>
  <c r="BI54" i="30"/>
  <c r="BU20" i="30"/>
  <c r="BU24" i="30"/>
  <c r="BU28" i="30"/>
  <c r="BU32" i="30"/>
  <c r="BU36" i="30"/>
  <c r="BU40" i="30"/>
  <c r="BU44" i="30"/>
  <c r="BU48" i="30"/>
  <c r="BU52" i="30"/>
  <c r="BU56" i="30"/>
  <c r="CG24" i="30"/>
  <c r="CG28" i="30"/>
  <c r="CG32" i="30"/>
  <c r="CG36" i="30"/>
  <c r="CG40" i="30"/>
  <c r="CG44" i="30"/>
  <c r="CG48" i="30"/>
  <c r="M41" i="30"/>
  <c r="DQ36" i="30"/>
  <c r="DQ40" i="30"/>
  <c r="DQ44" i="30"/>
  <c r="DQ48" i="30"/>
  <c r="Y57" i="30"/>
  <c r="AK38" i="30"/>
  <c r="AK42" i="30"/>
  <c r="AK46" i="30"/>
  <c r="AK50" i="30"/>
  <c r="AK20" i="30"/>
  <c r="AK24" i="30"/>
  <c r="AK28" i="30"/>
  <c r="AK48" i="30"/>
  <c r="AK52" i="30"/>
  <c r="AK56" i="30"/>
  <c r="CG20" i="30"/>
  <c r="CS45" i="30"/>
  <c r="CS49" i="30"/>
  <c r="DE34" i="30"/>
  <c r="DE38" i="30"/>
  <c r="DE42" i="30"/>
  <c r="DE46" i="30"/>
  <c r="CS23" i="30"/>
  <c r="CS27" i="30"/>
  <c r="CS47" i="30"/>
  <c r="CS51" i="30"/>
  <c r="DE28" i="30"/>
  <c r="DE32" i="30"/>
  <c r="DE36" i="30"/>
  <c r="DE40" i="30"/>
  <c r="DQ63" i="30"/>
  <c r="DQ60" i="30"/>
  <c r="DQ59" i="30"/>
  <c r="AK59" i="30"/>
  <c r="AK62" i="30"/>
  <c r="AK63" i="30"/>
  <c r="BI60" i="30"/>
  <c r="BI62" i="30"/>
  <c r="BI61" i="30"/>
  <c r="CG59" i="30"/>
  <c r="CG62" i="30"/>
  <c r="CG63" i="30"/>
  <c r="DE60" i="30"/>
  <c r="DE61" i="30"/>
  <c r="DE62" i="30"/>
  <c r="M60" i="30"/>
  <c r="M59" i="30"/>
  <c r="Y62" i="30"/>
  <c r="Y59" i="30"/>
  <c r="AW61" i="30"/>
  <c r="AW63" i="30"/>
  <c r="BU60" i="30"/>
  <c r="BU59" i="30"/>
  <c r="BU63" i="30"/>
  <c r="BU61" i="30"/>
  <c r="CS59" i="30"/>
  <c r="CS60" i="30"/>
  <c r="CS29" i="30"/>
  <c r="DQ22" i="30"/>
  <c r="DQ30" i="30"/>
  <c r="DQ38" i="30"/>
  <c r="DQ46" i="30"/>
  <c r="DQ54" i="30"/>
  <c r="Y56" i="30"/>
  <c r="AW26" i="30"/>
  <c r="AW34" i="30"/>
  <c r="AW42" i="30"/>
  <c r="BI20" i="30"/>
  <c r="BI24" i="30"/>
  <c r="BI28" i="30"/>
  <c r="BI32" i="30"/>
  <c r="BI36" i="30"/>
  <c r="BI40" i="30"/>
  <c r="BI44" i="30"/>
  <c r="BI48" i="30"/>
  <c r="BI52" i="30"/>
  <c r="BI56" i="30"/>
  <c r="BU22" i="30"/>
  <c r="BU26" i="30"/>
  <c r="BU30" i="30"/>
  <c r="BU34" i="30"/>
  <c r="BU38" i="30"/>
  <c r="BU42" i="30"/>
  <c r="BU46" i="30"/>
  <c r="BU50" i="30"/>
  <c r="BU54" i="30"/>
  <c r="BU58" i="30"/>
  <c r="CG26" i="30"/>
  <c r="CG30" i="30"/>
  <c r="CG34" i="30"/>
  <c r="CG38" i="30"/>
  <c r="CG42" i="30"/>
  <c r="CG46" i="30"/>
  <c r="DE22" i="30"/>
  <c r="DQ20" i="30"/>
  <c r="DQ24" i="30"/>
  <c r="DQ28" i="30"/>
  <c r="DQ32" i="30"/>
  <c r="AK51" i="30"/>
  <c r="AK54" i="30"/>
  <c r="DE47" i="30"/>
  <c r="DE50" i="30"/>
  <c r="DE54" i="30"/>
  <c r="AW57" i="30"/>
  <c r="CG22" i="30"/>
  <c r="DE41" i="30"/>
  <c r="DE44" i="30"/>
  <c r="DE48" i="30"/>
  <c r="DE52" i="30"/>
  <c r="DE56" i="30"/>
  <c r="DQ62" i="30"/>
  <c r="Y63" i="30"/>
  <c r="AW62" i="30"/>
  <c r="BU62" i="30"/>
  <c r="DQ61" i="30"/>
  <c r="CS62" i="30"/>
  <c r="DQ49" i="30"/>
  <c r="DQ52" i="30"/>
  <c r="DQ56" i="30"/>
  <c r="Y58" i="30"/>
  <c r="AK22" i="30"/>
  <c r="AK26" i="30"/>
  <c r="AK30" i="30"/>
  <c r="AK34" i="30"/>
  <c r="AK29" i="30"/>
  <c r="AK32" i="30"/>
  <c r="AK36" i="30"/>
  <c r="AK40" i="30"/>
  <c r="AK44" i="30"/>
  <c r="CS37" i="30"/>
  <c r="CS41" i="30"/>
  <c r="DE26" i="30"/>
  <c r="DE30" i="30"/>
  <c r="CS28" i="30"/>
  <c r="CS31" i="30"/>
  <c r="CS35" i="30"/>
  <c r="CS39" i="30"/>
  <c r="CS43" i="30"/>
  <c r="DE20" i="30"/>
  <c r="DE24" i="30"/>
  <c r="AZ5" i="33"/>
  <c r="L5" i="33"/>
  <c r="Q5" i="33"/>
  <c r="V5" i="33"/>
  <c r="AU5" i="33"/>
  <c r="AA5" i="33"/>
  <c r="AF5" i="33"/>
  <c r="AK5" i="33"/>
  <c r="DE19" i="30"/>
  <c r="CG19" i="30"/>
  <c r="BU19" i="30"/>
  <c r="BI19" i="30"/>
  <c r="AW19" i="30"/>
  <c r="AK19" i="30"/>
  <c r="Y19" i="30"/>
  <c r="DQ19" i="30"/>
  <c r="N19" i="30"/>
  <c r="M19" i="30"/>
  <c r="T53" i="34" l="1"/>
  <c r="U53" i="34"/>
  <c r="T55" i="34"/>
  <c r="U55" i="34"/>
  <c r="T52" i="34"/>
  <c r="U52" i="34" s="1"/>
  <c r="U51" i="34"/>
  <c r="T51" i="34"/>
  <c r="W54" i="34"/>
  <c r="BJ52" i="8"/>
  <c r="BJ50" i="8"/>
  <c r="BH48" i="8"/>
  <c r="BI48" i="8"/>
  <c r="BG48" i="8"/>
  <c r="BH49" i="8"/>
  <c r="BI49" i="8"/>
  <c r="BG49" i="8"/>
  <c r="H58" i="31" s="1"/>
  <c r="BH52" i="8"/>
  <c r="BI52" i="8"/>
  <c r="BG52" i="8"/>
  <c r="BJ51" i="8"/>
  <c r="BH50" i="8"/>
  <c r="BI50" i="8"/>
  <c r="BG50" i="8"/>
  <c r="BH51" i="8"/>
  <c r="BG51" i="8"/>
  <c r="BI51" i="8"/>
  <c r="Q49" i="34"/>
  <c r="G59" i="31"/>
  <c r="G58" i="31"/>
  <c r="G57" i="31"/>
  <c r="G60" i="31"/>
  <c r="G61" i="31"/>
  <c r="BR24" i="44"/>
  <c r="BR22" i="44"/>
  <c r="BR20" i="44"/>
  <c r="BR18" i="44"/>
  <c r="BR16" i="44"/>
  <c r="BR25" i="44"/>
  <c r="BR21" i="44"/>
  <c r="BR17" i="44"/>
  <c r="BR23" i="44"/>
  <c r="BR19" i="44"/>
  <c r="BT15" i="44"/>
  <c r="R50" i="34"/>
  <c r="CH8" i="45"/>
  <c r="CI8" i="45" s="1"/>
  <c r="BE45" i="8"/>
  <c r="BF45" i="8" s="1"/>
  <c r="CD4" i="45"/>
  <c r="CE4" i="45" s="1"/>
  <c r="CH10" i="45"/>
  <c r="CI10" i="45" s="1"/>
  <c r="P49" i="34"/>
  <c r="CF6" i="45"/>
  <c r="CG6" i="45" s="1"/>
  <c r="BE47" i="8"/>
  <c r="BF47" i="8" s="1"/>
  <c r="CH4" i="45"/>
  <c r="CI4" i="45" s="1"/>
  <c r="O50" i="34"/>
  <c r="CH5" i="45"/>
  <c r="CI5" i="45" s="1"/>
  <c r="CF11" i="45"/>
  <c r="CG11" i="45" s="1"/>
  <c r="CD11" i="45"/>
  <c r="CE11" i="45" s="1"/>
  <c r="CD10" i="45"/>
  <c r="CE10" i="45" s="1"/>
  <c r="P50" i="34"/>
  <c r="CH6" i="45"/>
  <c r="CI6" i="45" s="1"/>
  <c r="CH11" i="45"/>
  <c r="CI11" i="45" s="1"/>
  <c r="Q50" i="34"/>
  <c r="CH7" i="45"/>
  <c r="CI7" i="45" s="1"/>
  <c r="P48" i="34"/>
  <c r="T48" i="34" s="1"/>
  <c r="U48" i="34" s="1"/>
  <c r="CD6" i="45"/>
  <c r="CE6" i="45" s="1"/>
  <c r="BD45" i="8"/>
  <c r="BD46" i="8"/>
  <c r="BJ46" i="8" s="1"/>
  <c r="BD47" i="8"/>
  <c r="BK48" i="8"/>
  <c r="I57" i="31" s="1"/>
  <c r="H57" i="31"/>
  <c r="BK51" i="8"/>
  <c r="I60" i="31" s="1"/>
  <c r="H60" i="31"/>
  <c r="BK50" i="8"/>
  <c r="I59" i="31" s="1"/>
  <c r="H59" i="31"/>
  <c r="BK49" i="8"/>
  <c r="I58" i="31" s="1"/>
  <c r="BK52" i="8"/>
  <c r="I61" i="31" s="1"/>
  <c r="H61" i="31"/>
  <c r="BP24" i="45"/>
  <c r="BP22" i="45"/>
  <c r="BP20" i="45"/>
  <c r="BP18" i="45"/>
  <c r="BP16" i="45"/>
  <c r="BP25" i="45"/>
  <c r="BP23" i="45"/>
  <c r="BP21" i="45"/>
  <c r="BP19" i="45"/>
  <c r="BP17" i="45"/>
  <c r="BR15" i="45"/>
  <c r="N49" i="34"/>
  <c r="T49" i="34" s="1"/>
  <c r="U49" i="34" s="1"/>
  <c r="R49" i="34"/>
  <c r="N50" i="34"/>
  <c r="T50" i="34" s="1"/>
  <c r="U50" i="34" s="1"/>
  <c r="BE46" i="8"/>
  <c r="BF46" i="8" s="1"/>
  <c r="R48" i="34"/>
  <c r="BJ67" i="30"/>
  <c r="Q48" i="34"/>
  <c r="O49" i="34"/>
  <c r="CH67" i="30"/>
  <c r="AX67" i="30"/>
  <c r="M67" i="30"/>
  <c r="DR67" i="30"/>
  <c r="Z67" i="30"/>
  <c r="N67" i="30"/>
  <c r="DQ67" i="30"/>
  <c r="AK67" i="30"/>
  <c r="AW67" i="30"/>
  <c r="BI67" i="30"/>
  <c r="BU67" i="30"/>
  <c r="DE67" i="30"/>
  <c r="CG67" i="30"/>
  <c r="BV67" i="30"/>
  <c r="AL67" i="30"/>
  <c r="Y67" i="30"/>
  <c r="CS67" i="30"/>
  <c r="CT67" i="30"/>
  <c r="DF67" i="30"/>
  <c r="A6" i="24"/>
  <c r="B6" i="24"/>
  <c r="C6" i="24"/>
  <c r="D6" i="24"/>
  <c r="E6" i="24"/>
  <c r="A7" i="24"/>
  <c r="B7" i="24"/>
  <c r="C7" i="24"/>
  <c r="D7" i="24"/>
  <c r="E7" i="24"/>
  <c r="A8" i="24"/>
  <c r="B8" i="24"/>
  <c r="C8" i="24"/>
  <c r="D8" i="24"/>
  <c r="E8" i="24"/>
  <c r="A9" i="24"/>
  <c r="B9" i="24"/>
  <c r="C9" i="24"/>
  <c r="D9" i="24"/>
  <c r="E9" i="24"/>
  <c r="A10" i="24"/>
  <c r="B10" i="24"/>
  <c r="C10" i="24"/>
  <c r="D10" i="24"/>
  <c r="E10" i="24"/>
  <c r="A11" i="24"/>
  <c r="B11" i="24"/>
  <c r="C11" i="24"/>
  <c r="D11" i="24"/>
  <c r="E11" i="24"/>
  <c r="A12" i="24"/>
  <c r="B12" i="24"/>
  <c r="C12" i="24"/>
  <c r="D12" i="24"/>
  <c r="E12" i="24"/>
  <c r="A13" i="24"/>
  <c r="B13" i="24"/>
  <c r="C13" i="24"/>
  <c r="D13" i="24"/>
  <c r="E13" i="24"/>
  <c r="A14" i="24"/>
  <c r="B14" i="24"/>
  <c r="C14" i="24"/>
  <c r="D14" i="24"/>
  <c r="E14" i="24"/>
  <c r="A15" i="24"/>
  <c r="B15" i="24"/>
  <c r="C15" i="24"/>
  <c r="D15" i="24"/>
  <c r="E15" i="24"/>
  <c r="A16" i="24"/>
  <c r="B16" i="24"/>
  <c r="C16" i="24"/>
  <c r="D16" i="24"/>
  <c r="E16" i="24"/>
  <c r="A17" i="24"/>
  <c r="B17" i="24"/>
  <c r="C17" i="24"/>
  <c r="D17" i="24"/>
  <c r="E17" i="24"/>
  <c r="A18" i="24"/>
  <c r="B18" i="24"/>
  <c r="C18" i="24"/>
  <c r="D18" i="24"/>
  <c r="E18" i="24"/>
  <c r="A19" i="24"/>
  <c r="B19" i="24"/>
  <c r="C19" i="24"/>
  <c r="D19" i="24"/>
  <c r="E19" i="24"/>
  <c r="A20" i="24"/>
  <c r="B20" i="24"/>
  <c r="C20" i="24"/>
  <c r="D20" i="24"/>
  <c r="E20" i="24"/>
  <c r="A21" i="24"/>
  <c r="B21" i="24"/>
  <c r="C21" i="24"/>
  <c r="D21" i="24"/>
  <c r="E21" i="24"/>
  <c r="A22" i="24"/>
  <c r="B22" i="24"/>
  <c r="C22" i="24"/>
  <c r="D22" i="24"/>
  <c r="E22" i="24"/>
  <c r="A23" i="24"/>
  <c r="B23" i="24"/>
  <c r="C23" i="24"/>
  <c r="D23" i="24"/>
  <c r="E23" i="24"/>
  <c r="A24" i="24"/>
  <c r="B24" i="24"/>
  <c r="C24" i="24"/>
  <c r="D24" i="24"/>
  <c r="E24" i="24"/>
  <c r="A25" i="24"/>
  <c r="B25" i="24"/>
  <c r="C25" i="24"/>
  <c r="D25" i="24"/>
  <c r="E25" i="24"/>
  <c r="A26" i="24"/>
  <c r="B26" i="24"/>
  <c r="C26" i="24"/>
  <c r="D26" i="24"/>
  <c r="E26" i="24"/>
  <c r="A27" i="24"/>
  <c r="B27" i="24"/>
  <c r="C27" i="24"/>
  <c r="D27" i="24"/>
  <c r="E27" i="24"/>
  <c r="A28" i="24"/>
  <c r="B28" i="24"/>
  <c r="C28" i="24"/>
  <c r="D28" i="24"/>
  <c r="E28" i="24"/>
  <c r="A29" i="24"/>
  <c r="B29" i="24"/>
  <c r="C29" i="24"/>
  <c r="D29" i="24"/>
  <c r="E29" i="24"/>
  <c r="A30" i="24"/>
  <c r="B30" i="24"/>
  <c r="C30" i="24"/>
  <c r="D30" i="24"/>
  <c r="E30" i="24"/>
  <c r="A31" i="24"/>
  <c r="B31" i="24"/>
  <c r="C31" i="24"/>
  <c r="D31" i="24"/>
  <c r="E31" i="24"/>
  <c r="A32" i="24"/>
  <c r="B32" i="24"/>
  <c r="C32" i="24"/>
  <c r="D32" i="24"/>
  <c r="E32" i="24"/>
  <c r="A33" i="24"/>
  <c r="B33" i="24"/>
  <c r="C33" i="24"/>
  <c r="D33" i="24"/>
  <c r="E33" i="24"/>
  <c r="A34" i="24"/>
  <c r="B34" i="24"/>
  <c r="C34" i="24"/>
  <c r="D34" i="24"/>
  <c r="E34" i="24"/>
  <c r="A35" i="24"/>
  <c r="B35" i="24"/>
  <c r="C35" i="24"/>
  <c r="D35" i="24"/>
  <c r="E35" i="24"/>
  <c r="A36" i="24"/>
  <c r="B36" i="24"/>
  <c r="C36" i="24"/>
  <c r="D36" i="24"/>
  <c r="E36" i="24"/>
  <c r="A37" i="24"/>
  <c r="B37" i="24"/>
  <c r="C37" i="24"/>
  <c r="D37" i="24"/>
  <c r="E37" i="24"/>
  <c r="A38" i="24"/>
  <c r="B38" i="24"/>
  <c r="C38" i="24"/>
  <c r="D38" i="24"/>
  <c r="E38" i="24"/>
  <c r="A39" i="24"/>
  <c r="B39" i="24"/>
  <c r="C39" i="24"/>
  <c r="D39" i="24"/>
  <c r="E39" i="24"/>
  <c r="A40" i="24"/>
  <c r="B40" i="24"/>
  <c r="C40" i="24"/>
  <c r="D40" i="24"/>
  <c r="E40" i="24"/>
  <c r="A41" i="24"/>
  <c r="B41" i="24"/>
  <c r="C41" i="24"/>
  <c r="D41" i="24"/>
  <c r="E41" i="24"/>
  <c r="A42" i="24"/>
  <c r="B42" i="24"/>
  <c r="C42" i="24"/>
  <c r="D42" i="24"/>
  <c r="E42" i="24"/>
  <c r="A43" i="24"/>
  <c r="B43" i="24"/>
  <c r="C43" i="24"/>
  <c r="D43" i="24"/>
  <c r="E43" i="24"/>
  <c r="A44" i="24"/>
  <c r="B44" i="24"/>
  <c r="C44" i="24"/>
  <c r="D44" i="24"/>
  <c r="E44" i="24"/>
  <c r="B5" i="24"/>
  <c r="C5" i="24"/>
  <c r="D5" i="24"/>
  <c r="E5" i="24"/>
  <c r="A5" i="24"/>
  <c r="V48" i="34" l="1"/>
  <c r="W48" i="34"/>
  <c r="V50" i="34"/>
  <c r="W50" i="34"/>
  <c r="V49" i="34"/>
  <c r="W49" i="34"/>
  <c r="V55" i="34"/>
  <c r="W55" i="34"/>
  <c r="V53" i="34"/>
  <c r="W53" i="34"/>
  <c r="V51" i="34"/>
  <c r="W51" i="34"/>
  <c r="V52" i="34"/>
  <c r="W52" i="34"/>
  <c r="BJ45" i="8"/>
  <c r="BJ47" i="8"/>
  <c r="BH47" i="8"/>
  <c r="BG47" i="8"/>
  <c r="H56" i="31" s="1"/>
  <c r="BI47" i="8"/>
  <c r="BK47" i="8" s="1"/>
  <c r="I56" i="31" s="1"/>
  <c r="BH46" i="8"/>
  <c r="BI46" i="8"/>
  <c r="BK46" i="8" s="1"/>
  <c r="I55" i="31" s="1"/>
  <c r="BG46" i="8"/>
  <c r="H55" i="31" s="1"/>
  <c r="BH45" i="8"/>
  <c r="BI45" i="8"/>
  <c r="BG45" i="8"/>
  <c r="H54" i="31" s="1"/>
  <c r="G54" i="31"/>
  <c r="BT24" i="44"/>
  <c r="BT22" i="44"/>
  <c r="BT20" i="44"/>
  <c r="BT18" i="44"/>
  <c r="BT16" i="44"/>
  <c r="BV15" i="44"/>
  <c r="BT23" i="44"/>
  <c r="BT19" i="44"/>
  <c r="BT25" i="44"/>
  <c r="BT21" i="44"/>
  <c r="BT17" i="44"/>
  <c r="G55" i="31"/>
  <c r="G56" i="31"/>
  <c r="BK45" i="8"/>
  <c r="I54" i="31" s="1"/>
  <c r="BR25" i="45"/>
  <c r="BR23" i="45"/>
  <c r="BR21" i="45"/>
  <c r="BR19" i="45"/>
  <c r="BR17" i="45"/>
  <c r="BR24" i="45"/>
  <c r="BR22" i="45"/>
  <c r="BR20" i="45"/>
  <c r="BR18" i="45"/>
  <c r="BR16" i="45"/>
  <c r="BT15" i="45"/>
  <c r="C8" i="17"/>
  <c r="BZ4" i="44" l="1"/>
  <c r="CA4" i="44" s="1"/>
  <c r="BV4" i="44"/>
  <c r="BW4" i="44" s="1"/>
  <c r="BR4" i="44"/>
  <c r="BS4" i="44" s="1"/>
  <c r="BN4" i="44"/>
  <c r="BO4" i="44" s="1"/>
  <c r="BJ4" i="44"/>
  <c r="BK4" i="44" s="1"/>
  <c r="BF4" i="44"/>
  <c r="BG4" i="44" s="1"/>
  <c r="BB4" i="44"/>
  <c r="BC4" i="44" s="1"/>
  <c r="AX4" i="44"/>
  <c r="AY4" i="44" s="1"/>
  <c r="AT4" i="44"/>
  <c r="AU4" i="44" s="1"/>
  <c r="AP4" i="44"/>
  <c r="AQ4" i="44" s="1"/>
  <c r="AL4" i="44"/>
  <c r="AM4" i="44" s="1"/>
  <c r="AH4" i="44"/>
  <c r="AI4" i="44" s="1"/>
  <c r="AD4" i="44"/>
  <c r="AE4" i="44" s="1"/>
  <c r="Z4" i="44"/>
  <c r="AA4" i="44" s="1"/>
  <c r="V4" i="44"/>
  <c r="W4" i="44" s="1"/>
  <c r="R4" i="44"/>
  <c r="S4" i="44" s="1"/>
  <c r="N4" i="44"/>
  <c r="O4" i="44" s="1"/>
  <c r="J4" i="44"/>
  <c r="K4" i="44" s="1"/>
  <c r="F4" i="44"/>
  <c r="G4" i="44" s="1"/>
  <c r="CB4" i="44"/>
  <c r="CC4" i="44" s="1"/>
  <c r="BX4" i="44"/>
  <c r="BY4" i="44" s="1"/>
  <c r="BT4" i="44"/>
  <c r="BU4" i="44" s="1"/>
  <c r="BP4" i="44"/>
  <c r="BQ4" i="44" s="1"/>
  <c r="BL4" i="44"/>
  <c r="BM4" i="44" s="1"/>
  <c r="BH4" i="44"/>
  <c r="BI4" i="44" s="1"/>
  <c r="BD4" i="44"/>
  <c r="BE4" i="44" s="1"/>
  <c r="AZ4" i="44"/>
  <c r="BA4" i="44" s="1"/>
  <c r="AV4" i="44"/>
  <c r="AW4" i="44" s="1"/>
  <c r="AR4" i="44"/>
  <c r="AS4" i="44" s="1"/>
  <c r="AN4" i="44"/>
  <c r="AO4" i="44" s="1"/>
  <c r="AJ4" i="44"/>
  <c r="AK4" i="44" s="1"/>
  <c r="AF4" i="44"/>
  <c r="AG4" i="44" s="1"/>
  <c r="AB4" i="44"/>
  <c r="AC4" i="44" s="1"/>
  <c r="X4" i="44"/>
  <c r="Y4" i="44" s="1"/>
  <c r="T4" i="44"/>
  <c r="U4" i="44" s="1"/>
  <c r="P4" i="44"/>
  <c r="Q4" i="44" s="1"/>
  <c r="L4" i="44"/>
  <c r="M4" i="44" s="1"/>
  <c r="H4" i="44"/>
  <c r="I4" i="44" s="1"/>
  <c r="D4" i="44"/>
  <c r="E4" i="44" s="1"/>
  <c r="BV24" i="44"/>
  <c r="BV22" i="44"/>
  <c r="BV20" i="44"/>
  <c r="BV18" i="44"/>
  <c r="BV16" i="44"/>
  <c r="BV25" i="44"/>
  <c r="BV21" i="44"/>
  <c r="BV17" i="44"/>
  <c r="BX15" i="44"/>
  <c r="BV23" i="44"/>
  <c r="BV19" i="44"/>
  <c r="BT24" i="45"/>
  <c r="BT22" i="45"/>
  <c r="BT20" i="45"/>
  <c r="BT18" i="45"/>
  <c r="BT16" i="45"/>
  <c r="BT25" i="45"/>
  <c r="BT23" i="45"/>
  <c r="BT21" i="45"/>
  <c r="BT19" i="45"/>
  <c r="BT17" i="45"/>
  <c r="BV15" i="45"/>
  <c r="E47" i="34"/>
  <c r="CB5" i="44"/>
  <c r="CC5" i="44" s="1"/>
  <c r="C46" i="34"/>
  <c r="BZ3" i="44"/>
  <c r="CJ43" i="6"/>
  <c r="CU43" i="6" s="1"/>
  <c r="CI43" i="6"/>
  <c r="CT43" i="6" s="1"/>
  <c r="E44" i="34"/>
  <c r="BV5" i="44"/>
  <c r="BW5" i="44" s="1"/>
  <c r="C42" i="34"/>
  <c r="CJ39" i="6"/>
  <c r="CU39" i="6" s="1"/>
  <c r="BR3" i="44"/>
  <c r="CI39" i="6"/>
  <c r="CT39" i="6" s="1"/>
  <c r="E41" i="34"/>
  <c r="BP5" i="44"/>
  <c r="BQ5" i="44" s="1"/>
  <c r="C41" i="34"/>
  <c r="CJ38" i="6"/>
  <c r="CU38" i="6" s="1"/>
  <c r="CI38" i="6"/>
  <c r="CT38" i="6" s="1"/>
  <c r="BP3" i="44"/>
  <c r="E40" i="34"/>
  <c r="BN5" i="44"/>
  <c r="BO5" i="44" s="1"/>
  <c r="E39" i="34"/>
  <c r="BL5" i="44"/>
  <c r="BM5" i="44" s="1"/>
  <c r="C39" i="34"/>
  <c r="CJ36" i="6"/>
  <c r="CU36" i="6" s="1"/>
  <c r="CI36" i="6"/>
  <c r="CT36" i="6" s="1"/>
  <c r="BL3" i="44"/>
  <c r="E38" i="34"/>
  <c r="BJ5" i="44"/>
  <c r="BK5" i="44" s="1"/>
  <c r="BH11" i="44"/>
  <c r="BH7" i="44"/>
  <c r="E37" i="34"/>
  <c r="BH5" i="44"/>
  <c r="BI5" i="44" s="1"/>
  <c r="BF11" i="44"/>
  <c r="BF7" i="44"/>
  <c r="C36" i="34"/>
  <c r="CJ33" i="6"/>
  <c r="CU33" i="6" s="1"/>
  <c r="CI33" i="6"/>
  <c r="CT33" i="6" s="1"/>
  <c r="BF3" i="44"/>
  <c r="BD11" i="44"/>
  <c r="BD7" i="44"/>
  <c r="C35" i="34"/>
  <c r="CJ32" i="6"/>
  <c r="CU32" i="6" s="1"/>
  <c r="CI32" i="6"/>
  <c r="CT32" i="6" s="1"/>
  <c r="BD3" i="44"/>
  <c r="BB9" i="44"/>
  <c r="E34" i="34"/>
  <c r="BB5" i="44"/>
  <c r="BC5" i="44" s="1"/>
  <c r="AZ11" i="44"/>
  <c r="AZ7" i="44"/>
  <c r="C33" i="34"/>
  <c r="CJ30" i="6"/>
  <c r="CU30" i="6" s="1"/>
  <c r="CI30" i="6"/>
  <c r="CT30" i="6" s="1"/>
  <c r="AZ3" i="44"/>
  <c r="BH12" i="44"/>
  <c r="BH10" i="44"/>
  <c r="BH8" i="44"/>
  <c r="F37" i="34"/>
  <c r="BH6" i="44"/>
  <c r="BI6" i="44" s="1"/>
  <c r="BF12" i="44"/>
  <c r="BF10" i="44"/>
  <c r="BF8" i="44"/>
  <c r="F36" i="34"/>
  <c r="BF6" i="44"/>
  <c r="BG6" i="44" s="1"/>
  <c r="BD12" i="44"/>
  <c r="BD10" i="44"/>
  <c r="BD8" i="44"/>
  <c r="F35" i="34"/>
  <c r="BD6" i="44"/>
  <c r="BE6" i="44" s="1"/>
  <c r="BB12" i="44"/>
  <c r="BB10" i="44"/>
  <c r="BB8" i="44"/>
  <c r="F34" i="34"/>
  <c r="BB6" i="44"/>
  <c r="BC6" i="44" s="1"/>
  <c r="AZ12" i="44"/>
  <c r="AZ10" i="44"/>
  <c r="AZ8" i="44"/>
  <c r="F33" i="34"/>
  <c r="AZ6" i="44"/>
  <c r="BA6" i="44" s="1"/>
  <c r="AX12" i="44"/>
  <c r="AX10" i="44"/>
  <c r="AX8" i="44"/>
  <c r="F32" i="34"/>
  <c r="AX6" i="44"/>
  <c r="AY6" i="44" s="1"/>
  <c r="AV12" i="44"/>
  <c r="AV10" i="44"/>
  <c r="AV8" i="44"/>
  <c r="F31" i="34"/>
  <c r="AV6" i="44"/>
  <c r="AW6" i="44" s="1"/>
  <c r="AT12" i="44"/>
  <c r="AT10" i="44"/>
  <c r="AT8" i="44"/>
  <c r="F30" i="34"/>
  <c r="AT6" i="44"/>
  <c r="AU6" i="44" s="1"/>
  <c r="AR12" i="44"/>
  <c r="AR10" i="44"/>
  <c r="AR8" i="44"/>
  <c r="F29" i="34"/>
  <c r="AR6" i="44"/>
  <c r="AS6" i="44" s="1"/>
  <c r="AP12" i="44"/>
  <c r="AP10" i="44"/>
  <c r="AP8" i="44"/>
  <c r="F28" i="34"/>
  <c r="AP6" i="44"/>
  <c r="AQ6" i="44" s="1"/>
  <c r="AN12" i="44"/>
  <c r="AN10" i="44"/>
  <c r="AN8" i="44"/>
  <c r="F27" i="34"/>
  <c r="AN6" i="44"/>
  <c r="AO6" i="44" s="1"/>
  <c r="AL12" i="44"/>
  <c r="AL10" i="44"/>
  <c r="AL8" i="44"/>
  <c r="F26" i="34"/>
  <c r="AL6" i="44"/>
  <c r="AM6" i="44" s="1"/>
  <c r="AJ12" i="44"/>
  <c r="AJ10" i="44"/>
  <c r="AJ8" i="44"/>
  <c r="F25" i="34"/>
  <c r="AJ6" i="44"/>
  <c r="AK6" i="44" s="1"/>
  <c r="AH12" i="44"/>
  <c r="AH10" i="44"/>
  <c r="AH8" i="44"/>
  <c r="F24" i="34"/>
  <c r="AH6" i="44"/>
  <c r="AI6" i="44" s="1"/>
  <c r="AF12" i="44"/>
  <c r="AF10" i="44"/>
  <c r="AF8" i="44"/>
  <c r="F23" i="34"/>
  <c r="AF6" i="44"/>
  <c r="AG6" i="44" s="1"/>
  <c r="AD12" i="44"/>
  <c r="AD10" i="44"/>
  <c r="AD8" i="44"/>
  <c r="F22" i="34"/>
  <c r="AD6" i="44"/>
  <c r="AE6" i="44" s="1"/>
  <c r="AB12" i="44"/>
  <c r="AB10" i="44"/>
  <c r="AB8" i="44"/>
  <c r="F21" i="34"/>
  <c r="AB6" i="44"/>
  <c r="AC6" i="44" s="1"/>
  <c r="Z12" i="44"/>
  <c r="Z10" i="44"/>
  <c r="Z8" i="44"/>
  <c r="F20" i="34"/>
  <c r="Z6" i="44"/>
  <c r="AA6" i="44" s="1"/>
  <c r="X12" i="44"/>
  <c r="X10" i="44"/>
  <c r="X8" i="44"/>
  <c r="F19" i="34"/>
  <c r="X6" i="44"/>
  <c r="Y6" i="44" s="1"/>
  <c r="V12" i="44"/>
  <c r="V10" i="44"/>
  <c r="V8" i="44"/>
  <c r="F18" i="34"/>
  <c r="V6" i="44"/>
  <c r="W6" i="44" s="1"/>
  <c r="T12" i="44"/>
  <c r="T10" i="44"/>
  <c r="T8" i="44"/>
  <c r="F17" i="34"/>
  <c r="T6" i="44"/>
  <c r="U6" i="44" s="1"/>
  <c r="R12" i="44"/>
  <c r="R10" i="44"/>
  <c r="R8" i="44"/>
  <c r="F16" i="34"/>
  <c r="R6" i="44"/>
  <c r="S6" i="44" s="1"/>
  <c r="P12" i="44"/>
  <c r="P10" i="44"/>
  <c r="P8" i="44"/>
  <c r="F15" i="34"/>
  <c r="P6" i="44"/>
  <c r="Q6" i="44" s="1"/>
  <c r="N12" i="44"/>
  <c r="N10" i="44"/>
  <c r="N8" i="44"/>
  <c r="F14" i="34"/>
  <c r="N6" i="44"/>
  <c r="O6" i="44" s="1"/>
  <c r="L12" i="44"/>
  <c r="L10" i="44"/>
  <c r="L8" i="44"/>
  <c r="F13" i="34"/>
  <c r="L6" i="44"/>
  <c r="M6" i="44" s="1"/>
  <c r="J12" i="44"/>
  <c r="J10" i="44"/>
  <c r="J8" i="44"/>
  <c r="F12" i="34"/>
  <c r="J6" i="44"/>
  <c r="K6" i="44" s="1"/>
  <c r="C47" i="34"/>
  <c r="CJ44" i="6"/>
  <c r="CU44" i="6" s="1"/>
  <c r="CB3" i="44"/>
  <c r="CI44" i="6"/>
  <c r="CT44" i="6" s="1"/>
  <c r="E46" i="34"/>
  <c r="BZ5" i="44"/>
  <c r="CA5" i="44" s="1"/>
  <c r="E45" i="34"/>
  <c r="BX5" i="44"/>
  <c r="BY5" i="44" s="1"/>
  <c r="C45" i="34"/>
  <c r="CJ42" i="6"/>
  <c r="CU42" i="6" s="1"/>
  <c r="CI42" i="6"/>
  <c r="CT42" i="6" s="1"/>
  <c r="BX3" i="44"/>
  <c r="C44" i="34"/>
  <c r="CJ41" i="6"/>
  <c r="CU41" i="6" s="1"/>
  <c r="BV3" i="44"/>
  <c r="CI41" i="6"/>
  <c r="CT41" i="6" s="1"/>
  <c r="E43" i="34"/>
  <c r="BT5" i="44"/>
  <c r="BU5" i="44" s="1"/>
  <c r="C43" i="34"/>
  <c r="CJ40" i="6"/>
  <c r="CU40" i="6" s="1"/>
  <c r="CI40" i="6"/>
  <c r="CT40" i="6" s="1"/>
  <c r="BT3" i="44"/>
  <c r="E42" i="34"/>
  <c r="BR5" i="44"/>
  <c r="BS5" i="44" s="1"/>
  <c r="C40" i="34"/>
  <c r="CJ37" i="6"/>
  <c r="CU37" i="6" s="1"/>
  <c r="BN3" i="44"/>
  <c r="CI37" i="6"/>
  <c r="CT37" i="6" s="1"/>
  <c r="C38" i="34"/>
  <c r="CJ35" i="6"/>
  <c r="CU35" i="6" s="1"/>
  <c r="BJ3" i="44"/>
  <c r="CI35" i="6"/>
  <c r="CT35" i="6" s="1"/>
  <c r="BH9" i="44"/>
  <c r="C37" i="34"/>
  <c r="CJ34" i="6"/>
  <c r="CU34" i="6" s="1"/>
  <c r="CI34" i="6"/>
  <c r="CT34" i="6" s="1"/>
  <c r="BH3" i="44"/>
  <c r="BF9" i="44"/>
  <c r="E36" i="34"/>
  <c r="BF5" i="44"/>
  <c r="BG5" i="44" s="1"/>
  <c r="BD9" i="44"/>
  <c r="E35" i="34"/>
  <c r="BD5" i="44"/>
  <c r="BE5" i="44" s="1"/>
  <c r="BB11" i="44"/>
  <c r="BB7" i="44"/>
  <c r="C34" i="34"/>
  <c r="CJ31" i="6"/>
  <c r="CU31" i="6" s="1"/>
  <c r="CI31" i="6"/>
  <c r="CT31" i="6" s="1"/>
  <c r="BB3" i="44"/>
  <c r="AZ9" i="44"/>
  <c r="E33" i="34"/>
  <c r="AZ5" i="44"/>
  <c r="BA5" i="44" s="1"/>
  <c r="AX11" i="44"/>
  <c r="AX9" i="44"/>
  <c r="AX7" i="44"/>
  <c r="E32" i="34"/>
  <c r="AX5" i="44"/>
  <c r="AY5" i="44" s="1"/>
  <c r="C32" i="34"/>
  <c r="CJ29" i="6"/>
  <c r="CU29" i="6" s="1"/>
  <c r="CI29" i="6"/>
  <c r="CT29" i="6" s="1"/>
  <c r="AX3" i="44"/>
  <c r="AV11" i="44"/>
  <c r="AV9" i="44"/>
  <c r="AV7" i="44"/>
  <c r="E31" i="34"/>
  <c r="AV5" i="44"/>
  <c r="AW5" i="44" s="1"/>
  <c r="C31" i="34"/>
  <c r="CJ28" i="6"/>
  <c r="CU28" i="6" s="1"/>
  <c r="CI28" i="6"/>
  <c r="CT28" i="6" s="1"/>
  <c r="AV3" i="44"/>
  <c r="AT11" i="44"/>
  <c r="AT9" i="44"/>
  <c r="AT7" i="44"/>
  <c r="E30" i="34"/>
  <c r="AT5" i="44"/>
  <c r="AU5" i="44" s="1"/>
  <c r="C30" i="34"/>
  <c r="CJ27" i="6"/>
  <c r="CU27" i="6" s="1"/>
  <c r="CI27" i="6"/>
  <c r="CT27" i="6" s="1"/>
  <c r="AT3" i="44"/>
  <c r="AR11" i="44"/>
  <c r="AR9" i="44"/>
  <c r="AR7" i="44"/>
  <c r="E29" i="34"/>
  <c r="AR5" i="44"/>
  <c r="AS5" i="44" s="1"/>
  <c r="C29" i="34"/>
  <c r="CJ26" i="6"/>
  <c r="CU26" i="6" s="1"/>
  <c r="CI26" i="6"/>
  <c r="CT26" i="6" s="1"/>
  <c r="AR3" i="44"/>
  <c r="AP11" i="44"/>
  <c r="AP9" i="44"/>
  <c r="AP7" i="44"/>
  <c r="E28" i="34"/>
  <c r="AP5" i="44"/>
  <c r="AQ5" i="44" s="1"/>
  <c r="C28" i="34"/>
  <c r="CJ25" i="6"/>
  <c r="CU25" i="6" s="1"/>
  <c r="CI25" i="6"/>
  <c r="CT25" i="6" s="1"/>
  <c r="AP3" i="44"/>
  <c r="AN11" i="44"/>
  <c r="AN9" i="44"/>
  <c r="AN7" i="44"/>
  <c r="E27" i="34"/>
  <c r="AN5" i="44"/>
  <c r="AO5" i="44" s="1"/>
  <c r="C27" i="34"/>
  <c r="CJ24" i="6"/>
  <c r="CU24" i="6" s="1"/>
  <c r="CI24" i="6"/>
  <c r="CT24" i="6" s="1"/>
  <c r="AN3" i="44"/>
  <c r="AL11" i="44"/>
  <c r="AL9" i="44"/>
  <c r="AL7" i="44"/>
  <c r="E26" i="34"/>
  <c r="AL5" i="44"/>
  <c r="AM5" i="44" s="1"/>
  <c r="C26" i="34"/>
  <c r="CJ23" i="6"/>
  <c r="CU23" i="6" s="1"/>
  <c r="CI23" i="6"/>
  <c r="CT23" i="6" s="1"/>
  <c r="AL3" i="44"/>
  <c r="AJ11" i="44"/>
  <c r="AJ9" i="44"/>
  <c r="AJ7" i="44"/>
  <c r="E25" i="34"/>
  <c r="AJ5" i="44"/>
  <c r="AK5" i="44" s="1"/>
  <c r="C25" i="34"/>
  <c r="CJ22" i="6"/>
  <c r="CU22" i="6" s="1"/>
  <c r="CI22" i="6"/>
  <c r="CT22" i="6" s="1"/>
  <c r="AJ3" i="44"/>
  <c r="AH11" i="44"/>
  <c r="AH9" i="44"/>
  <c r="AH7" i="44"/>
  <c r="E24" i="34"/>
  <c r="AH5" i="44"/>
  <c r="AI5" i="44" s="1"/>
  <c r="C24" i="34"/>
  <c r="CJ21" i="6"/>
  <c r="CU21" i="6" s="1"/>
  <c r="CI21" i="6"/>
  <c r="CT21" i="6" s="1"/>
  <c r="AH3" i="44"/>
  <c r="AF11" i="44"/>
  <c r="AF9" i="44"/>
  <c r="AF7" i="44"/>
  <c r="E23" i="34"/>
  <c r="AF5" i="44"/>
  <c r="AG5" i="44" s="1"/>
  <c r="C23" i="34"/>
  <c r="CJ20" i="6"/>
  <c r="CU20" i="6" s="1"/>
  <c r="AF3" i="44"/>
  <c r="CI20" i="6"/>
  <c r="CT20" i="6" s="1"/>
  <c r="AD11" i="44"/>
  <c r="AD9" i="44"/>
  <c r="AD7" i="44"/>
  <c r="E22" i="34"/>
  <c r="AD5" i="44"/>
  <c r="AE5" i="44" s="1"/>
  <c r="C22" i="34"/>
  <c r="CJ19" i="6"/>
  <c r="CU19" i="6" s="1"/>
  <c r="CI19" i="6"/>
  <c r="CT19" i="6" s="1"/>
  <c r="AD3" i="44"/>
  <c r="AB11" i="44"/>
  <c r="AB9" i="44"/>
  <c r="AB7" i="44"/>
  <c r="E21" i="34"/>
  <c r="AB5" i="44"/>
  <c r="AC5" i="44" s="1"/>
  <c r="C21" i="34"/>
  <c r="CJ18" i="6"/>
  <c r="CU18" i="6" s="1"/>
  <c r="CI18" i="6"/>
  <c r="CT18" i="6" s="1"/>
  <c r="AB3" i="44"/>
  <c r="Z11" i="44"/>
  <c r="Z9" i="44"/>
  <c r="Z7" i="44"/>
  <c r="E20" i="34"/>
  <c r="Z5" i="44"/>
  <c r="AA5" i="44" s="1"/>
  <c r="C20" i="34"/>
  <c r="CJ17" i="6"/>
  <c r="CU17" i="6" s="1"/>
  <c r="CI17" i="6"/>
  <c r="CT17" i="6" s="1"/>
  <c r="Z3" i="44"/>
  <c r="X11" i="44"/>
  <c r="X9" i="44"/>
  <c r="X7" i="44"/>
  <c r="E19" i="34"/>
  <c r="X5" i="44"/>
  <c r="Y5" i="44" s="1"/>
  <c r="C19" i="34"/>
  <c r="CJ16" i="6"/>
  <c r="CU16" i="6" s="1"/>
  <c r="CI16" i="6"/>
  <c r="CT16" i="6" s="1"/>
  <c r="X3" i="44"/>
  <c r="V11" i="44"/>
  <c r="V9" i="44"/>
  <c r="V7" i="44"/>
  <c r="E18" i="34"/>
  <c r="V5" i="44"/>
  <c r="W5" i="44" s="1"/>
  <c r="C18" i="34"/>
  <c r="CJ15" i="6"/>
  <c r="CU15" i="6" s="1"/>
  <c r="CI15" i="6"/>
  <c r="CT15" i="6" s="1"/>
  <c r="V3" i="44"/>
  <c r="T11" i="44"/>
  <c r="T9" i="44"/>
  <c r="T7" i="44"/>
  <c r="E17" i="34"/>
  <c r="T5" i="44"/>
  <c r="U5" i="44" s="1"/>
  <c r="C17" i="34"/>
  <c r="CJ14" i="6"/>
  <c r="CU14" i="6" s="1"/>
  <c r="CI14" i="6"/>
  <c r="CT14" i="6" s="1"/>
  <c r="T3" i="44"/>
  <c r="R11" i="44"/>
  <c r="R9" i="44"/>
  <c r="R7" i="44"/>
  <c r="E16" i="34"/>
  <c r="R5" i="44"/>
  <c r="S5" i="44" s="1"/>
  <c r="C16" i="34"/>
  <c r="CJ13" i="6"/>
  <c r="CU13" i="6" s="1"/>
  <c r="CI13" i="6"/>
  <c r="CT13" i="6" s="1"/>
  <c r="R3" i="44"/>
  <c r="P11" i="44"/>
  <c r="P9" i="44"/>
  <c r="P7" i="44"/>
  <c r="E15" i="34"/>
  <c r="P5" i="44"/>
  <c r="Q5" i="44" s="1"/>
  <c r="C15" i="34"/>
  <c r="CJ12" i="6"/>
  <c r="CU12" i="6" s="1"/>
  <c r="CI12" i="6"/>
  <c r="CT12" i="6" s="1"/>
  <c r="P3" i="44"/>
  <c r="N11" i="44"/>
  <c r="N9" i="44"/>
  <c r="N7" i="44"/>
  <c r="E14" i="34"/>
  <c r="N5" i="44"/>
  <c r="O5" i="44" s="1"/>
  <c r="C14" i="34"/>
  <c r="CJ11" i="6"/>
  <c r="CU11" i="6" s="1"/>
  <c r="CI11" i="6"/>
  <c r="CT11" i="6" s="1"/>
  <c r="N3" i="44"/>
  <c r="L11" i="44"/>
  <c r="L9" i="44"/>
  <c r="L7" i="44"/>
  <c r="E13" i="34"/>
  <c r="L5" i="44"/>
  <c r="M5" i="44" s="1"/>
  <c r="C13" i="34"/>
  <c r="CJ10" i="6"/>
  <c r="CU10" i="6" s="1"/>
  <c r="CI10" i="6"/>
  <c r="CT10" i="6" s="1"/>
  <c r="L3" i="44"/>
  <c r="J11" i="44"/>
  <c r="J9" i="44"/>
  <c r="J7" i="44"/>
  <c r="E12" i="34"/>
  <c r="J5" i="44"/>
  <c r="K5" i="44" s="1"/>
  <c r="C12" i="34"/>
  <c r="CJ9" i="6"/>
  <c r="CU9" i="6" s="1"/>
  <c r="CI9" i="6"/>
  <c r="CT9" i="6" s="1"/>
  <c r="J3" i="44"/>
  <c r="E11" i="34"/>
  <c r="H5" i="44"/>
  <c r="I5" i="44" s="1"/>
  <c r="C11" i="34"/>
  <c r="CJ8" i="6"/>
  <c r="CU8" i="6" s="1"/>
  <c r="CI8" i="6"/>
  <c r="CT8" i="6" s="1"/>
  <c r="H3" i="44"/>
  <c r="CJ7" i="6"/>
  <c r="CU7" i="6" s="1"/>
  <c r="CI7" i="6"/>
  <c r="CT7" i="6" s="1"/>
  <c r="CJ6" i="6"/>
  <c r="CU6" i="6" s="1"/>
  <c r="CI6" i="6"/>
  <c r="CT6" i="6" s="1"/>
  <c r="CB12" i="44"/>
  <c r="BX12" i="44"/>
  <c r="BT12" i="44"/>
  <c r="BP12" i="44"/>
  <c r="BL12" i="44"/>
  <c r="H12" i="44"/>
  <c r="F12" i="44"/>
  <c r="D12" i="44"/>
  <c r="BZ12" i="44"/>
  <c r="BV12" i="44"/>
  <c r="BR12" i="44"/>
  <c r="BN12" i="44"/>
  <c r="BJ12" i="44"/>
  <c r="B12" i="44"/>
  <c r="BT11" i="44"/>
  <c r="BP11" i="44"/>
  <c r="BN11" i="44"/>
  <c r="B11" i="44"/>
  <c r="CB11" i="44"/>
  <c r="BZ11" i="44"/>
  <c r="BX11" i="44"/>
  <c r="BV11" i="44"/>
  <c r="BR11" i="44"/>
  <c r="BL11" i="44"/>
  <c r="BJ11" i="44"/>
  <c r="H11" i="44"/>
  <c r="F11" i="44"/>
  <c r="D11" i="44"/>
  <c r="BZ10" i="44"/>
  <c r="BX10" i="44"/>
  <c r="BR10" i="44"/>
  <c r="BL10" i="44"/>
  <c r="BJ10" i="44"/>
  <c r="H10" i="44"/>
  <c r="F10" i="44"/>
  <c r="D10" i="44"/>
  <c r="CB10" i="44"/>
  <c r="BV10" i="44"/>
  <c r="BT10" i="44"/>
  <c r="BP10" i="44"/>
  <c r="BN10" i="44"/>
  <c r="B10" i="44"/>
  <c r="CB9" i="44"/>
  <c r="BZ9" i="44"/>
  <c r="BX9" i="44"/>
  <c r="BV9" i="44"/>
  <c r="BT9" i="44"/>
  <c r="BR9" i="44"/>
  <c r="BP9" i="44"/>
  <c r="BN9" i="44"/>
  <c r="BL9" i="44"/>
  <c r="BJ9" i="44"/>
  <c r="B9" i="44"/>
  <c r="H9" i="44"/>
  <c r="F9" i="44"/>
  <c r="D9" i="44"/>
  <c r="CB8" i="44"/>
  <c r="BX8" i="44"/>
  <c r="BT8" i="44"/>
  <c r="BP8" i="44"/>
  <c r="BJ8" i="44"/>
  <c r="H8" i="44"/>
  <c r="F8" i="44"/>
  <c r="D8" i="44"/>
  <c r="BZ8" i="44"/>
  <c r="BV8" i="44"/>
  <c r="BR8" i="44"/>
  <c r="BN8" i="44"/>
  <c r="BL8" i="44"/>
  <c r="B8" i="44"/>
  <c r="CB7" i="44"/>
  <c r="BZ7" i="44"/>
  <c r="BX7" i="44"/>
  <c r="BV7" i="44"/>
  <c r="BT7" i="44"/>
  <c r="BR7" i="44"/>
  <c r="BP7" i="44"/>
  <c r="BN7" i="44"/>
  <c r="BL7" i="44"/>
  <c r="BJ7" i="44"/>
  <c r="B7" i="44"/>
  <c r="H7" i="44"/>
  <c r="F7" i="44"/>
  <c r="D7" i="44"/>
  <c r="F11" i="34"/>
  <c r="H6" i="44"/>
  <c r="I6" i="44" s="1"/>
  <c r="F10" i="34"/>
  <c r="F6" i="44"/>
  <c r="G6" i="44" s="1"/>
  <c r="F9" i="34"/>
  <c r="D6" i="44"/>
  <c r="E6" i="44" s="1"/>
  <c r="F47" i="34"/>
  <c r="CB6" i="44"/>
  <c r="CC6" i="44" s="1"/>
  <c r="F46" i="34"/>
  <c r="BZ6" i="44"/>
  <c r="CA6" i="44" s="1"/>
  <c r="F45" i="34"/>
  <c r="BX6" i="44"/>
  <c r="BY6" i="44" s="1"/>
  <c r="F44" i="34"/>
  <c r="BV6" i="44"/>
  <c r="BW6" i="44" s="1"/>
  <c r="F43" i="34"/>
  <c r="BT6" i="44"/>
  <c r="BU6" i="44" s="1"/>
  <c r="F42" i="34"/>
  <c r="BR6" i="44"/>
  <c r="BS6" i="44" s="1"/>
  <c r="F41" i="34"/>
  <c r="BP6" i="44"/>
  <c r="BQ6" i="44" s="1"/>
  <c r="F40" i="34"/>
  <c r="BN6" i="44"/>
  <c r="BO6" i="44" s="1"/>
  <c r="F39" i="34"/>
  <c r="BL6" i="44"/>
  <c r="BM6" i="44" s="1"/>
  <c r="F38" i="34"/>
  <c r="BJ6" i="44"/>
  <c r="BK6" i="44" s="1"/>
  <c r="F8" i="34"/>
  <c r="B6" i="44"/>
  <c r="C6" i="44" s="1"/>
  <c r="E10" i="34"/>
  <c r="F5" i="44"/>
  <c r="G5" i="44" s="1"/>
  <c r="E9" i="34"/>
  <c r="D5" i="44"/>
  <c r="E5" i="44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 i="21"/>
  <c r="AO1" i="21"/>
  <c r="AM1" i="21"/>
  <c r="AK1" i="21"/>
  <c r="AI1" i="21"/>
  <c r="AG1" i="21"/>
  <c r="AE1" i="21"/>
  <c r="AC1" i="21"/>
  <c r="AA1" i="21"/>
  <c r="Y1" i="21"/>
  <c r="W1" i="21"/>
  <c r="U1" i="21"/>
  <c r="S1" i="21"/>
  <c r="Q1" i="21"/>
  <c r="O1" i="21"/>
  <c r="M1" i="21"/>
  <c r="K1" i="21"/>
  <c r="I1" i="21"/>
  <c r="G1" i="21"/>
  <c r="E1" i="21"/>
  <c r="D1" i="21"/>
  <c r="AJ1" i="21"/>
  <c r="AH1" i="21"/>
  <c r="AF1" i="21"/>
  <c r="AD1" i="21"/>
  <c r="AB1" i="21"/>
  <c r="Z1" i="21"/>
  <c r="X1" i="21"/>
  <c r="V1" i="21"/>
  <c r="T1" i="21"/>
  <c r="R1" i="21"/>
  <c r="P1" i="21"/>
  <c r="N1" i="21"/>
  <c r="L1" i="21"/>
  <c r="J1" i="21"/>
  <c r="H1" i="21"/>
  <c r="F1" i="21"/>
  <c r="H38" i="34" l="1"/>
  <c r="I38" i="34" s="1"/>
  <c r="J38" i="34" s="1"/>
  <c r="K38" i="34" s="1"/>
  <c r="H40" i="34"/>
  <c r="I40" i="34" s="1"/>
  <c r="J40" i="34" s="1"/>
  <c r="K40" i="34" s="1"/>
  <c r="H44" i="34"/>
  <c r="I44" i="34" s="1"/>
  <c r="J44" i="34" s="1"/>
  <c r="K44" i="34" s="1"/>
  <c r="H45" i="34"/>
  <c r="I45" i="34" s="1"/>
  <c r="J45" i="34" s="1"/>
  <c r="K45" i="34" s="1"/>
  <c r="H47" i="34"/>
  <c r="I47" i="34" s="1"/>
  <c r="J47" i="34" s="1"/>
  <c r="K47" i="34" s="1"/>
  <c r="H32" i="34"/>
  <c r="I32" i="34" s="1"/>
  <c r="J32" i="34" s="1"/>
  <c r="K32" i="34" s="1"/>
  <c r="H34" i="34"/>
  <c r="I34" i="34" s="1"/>
  <c r="J34" i="34" s="1"/>
  <c r="K34" i="34" s="1"/>
  <c r="H37" i="34"/>
  <c r="I37" i="34" s="1"/>
  <c r="J37" i="34" s="1"/>
  <c r="K37" i="34" s="1"/>
  <c r="H35" i="34"/>
  <c r="I35" i="34" s="1"/>
  <c r="J35" i="34" s="1"/>
  <c r="K35" i="34" s="1"/>
  <c r="H42" i="34"/>
  <c r="I42" i="34" s="1"/>
  <c r="J42" i="34" s="1"/>
  <c r="K42" i="34" s="1"/>
  <c r="H31" i="34"/>
  <c r="I31" i="34" s="1"/>
  <c r="J31" i="34" s="1"/>
  <c r="K31" i="34" s="1"/>
  <c r="H43" i="34"/>
  <c r="I43" i="34" s="1"/>
  <c r="J43" i="34" s="1"/>
  <c r="K43" i="34" s="1"/>
  <c r="H33" i="34"/>
  <c r="I33" i="34" s="1"/>
  <c r="J33" i="34" s="1"/>
  <c r="K33" i="34" s="1"/>
  <c r="H30" i="34"/>
  <c r="I30" i="34" s="1"/>
  <c r="J30" i="34" s="1"/>
  <c r="K30" i="34" s="1"/>
  <c r="H36" i="34"/>
  <c r="I36" i="34" s="1"/>
  <c r="J36" i="34" s="1"/>
  <c r="K36" i="34" s="1"/>
  <c r="H39" i="34"/>
  <c r="I39" i="34" s="1"/>
  <c r="J39" i="34" s="1"/>
  <c r="K39" i="34" s="1"/>
  <c r="H41" i="34"/>
  <c r="I41" i="34" s="1"/>
  <c r="J41" i="34" s="1"/>
  <c r="K41" i="34" s="1"/>
  <c r="H46" i="34"/>
  <c r="I46" i="34" s="1"/>
  <c r="J46" i="34" s="1"/>
  <c r="K46" i="34" s="1"/>
  <c r="H13" i="34"/>
  <c r="I13" i="34" s="1"/>
  <c r="J13" i="34" s="1"/>
  <c r="K13" i="34" s="1"/>
  <c r="H15" i="34"/>
  <c r="I15" i="34" s="1"/>
  <c r="J15" i="34" s="1"/>
  <c r="K15" i="34" s="1"/>
  <c r="H17" i="34"/>
  <c r="I17" i="34" s="1"/>
  <c r="J17" i="34" s="1"/>
  <c r="K17" i="34" s="1"/>
  <c r="H19" i="34"/>
  <c r="I19" i="34" s="1"/>
  <c r="J19" i="34" s="1"/>
  <c r="K19" i="34" s="1"/>
  <c r="H21" i="34"/>
  <c r="I21" i="34" s="1"/>
  <c r="J21" i="34" s="1"/>
  <c r="K21" i="34" s="1"/>
  <c r="H23" i="34"/>
  <c r="I23" i="34" s="1"/>
  <c r="J23" i="34" s="1"/>
  <c r="K23" i="34" s="1"/>
  <c r="H25" i="34"/>
  <c r="I25" i="34" s="1"/>
  <c r="J25" i="34" s="1"/>
  <c r="K25" i="34" s="1"/>
  <c r="H27" i="34"/>
  <c r="I27" i="34" s="1"/>
  <c r="J27" i="34" s="1"/>
  <c r="K27" i="34" s="1"/>
  <c r="H29" i="34"/>
  <c r="I29" i="34" s="1"/>
  <c r="J29" i="34" s="1"/>
  <c r="K29" i="34" s="1"/>
  <c r="H9" i="34"/>
  <c r="I9" i="34" s="1"/>
  <c r="J9" i="34" s="1"/>
  <c r="K9" i="34" s="1"/>
  <c r="H10" i="34"/>
  <c r="I10" i="34" s="1"/>
  <c r="J10" i="34" s="1"/>
  <c r="K10" i="34" s="1"/>
  <c r="H11" i="34"/>
  <c r="I11" i="34" s="1"/>
  <c r="J11" i="34" s="1"/>
  <c r="K11" i="34" s="1"/>
  <c r="H12" i="34"/>
  <c r="I12" i="34" s="1"/>
  <c r="J12" i="34" s="1"/>
  <c r="K12" i="34" s="1"/>
  <c r="H14" i="34"/>
  <c r="I14" i="34" s="1"/>
  <c r="J14" i="34" s="1"/>
  <c r="K14" i="34" s="1"/>
  <c r="H16" i="34"/>
  <c r="I16" i="34" s="1"/>
  <c r="J16" i="34" s="1"/>
  <c r="K16" i="34" s="1"/>
  <c r="H18" i="34"/>
  <c r="I18" i="34" s="1"/>
  <c r="J18" i="34" s="1"/>
  <c r="K18" i="34" s="1"/>
  <c r="H20" i="34"/>
  <c r="I20" i="34" s="1"/>
  <c r="J20" i="34" s="1"/>
  <c r="K20" i="34" s="1"/>
  <c r="H22" i="34"/>
  <c r="I22" i="34" s="1"/>
  <c r="J22" i="34" s="1"/>
  <c r="K22" i="34" s="1"/>
  <c r="H24" i="34"/>
  <c r="I24" i="34" s="1"/>
  <c r="J24" i="34" s="1"/>
  <c r="K24" i="34" s="1"/>
  <c r="H26" i="34"/>
  <c r="I26" i="34" s="1"/>
  <c r="J26" i="34" s="1"/>
  <c r="K26" i="34" s="1"/>
  <c r="H28" i="34"/>
  <c r="I28" i="34" s="1"/>
  <c r="J28" i="34" s="1"/>
  <c r="K28" i="34" s="1"/>
  <c r="B4" i="44"/>
  <c r="C4" i="44" s="1"/>
  <c r="D8" i="34"/>
  <c r="B5" i="44"/>
  <c r="C5" i="44" s="1"/>
  <c r="E8" i="34"/>
  <c r="CM32" i="6"/>
  <c r="CP32" i="6" s="1"/>
  <c r="CM38" i="6"/>
  <c r="CP38" i="6" s="1"/>
  <c r="CM42" i="6"/>
  <c r="CP42" i="6" s="1"/>
  <c r="CM6" i="6"/>
  <c r="CP6" i="6" s="1"/>
  <c r="CM8" i="6"/>
  <c r="CP8" i="6" s="1"/>
  <c r="CM10" i="6"/>
  <c r="CP10" i="6" s="1"/>
  <c r="CM12" i="6"/>
  <c r="CP12" i="6" s="1"/>
  <c r="CM14" i="6"/>
  <c r="CP14" i="6" s="1"/>
  <c r="CM16" i="6"/>
  <c r="CP16" i="6" s="1"/>
  <c r="CM18" i="6"/>
  <c r="CP18" i="6" s="1"/>
  <c r="CM20" i="6"/>
  <c r="CP20" i="6" s="1"/>
  <c r="CM22" i="6"/>
  <c r="CP22" i="6" s="1"/>
  <c r="CM24" i="6"/>
  <c r="CP24" i="6" s="1"/>
  <c r="CM26" i="6"/>
  <c r="CP26" i="6" s="1"/>
  <c r="CM28" i="6"/>
  <c r="CP28" i="6" s="1"/>
  <c r="CM31" i="6"/>
  <c r="CP31" i="6" s="1"/>
  <c r="CM34" i="6"/>
  <c r="CP34" i="6" s="1"/>
  <c r="CM37" i="6"/>
  <c r="CP37" i="6" s="1"/>
  <c r="CM41" i="6"/>
  <c r="CP41" i="6" s="1"/>
  <c r="CM29" i="6"/>
  <c r="CP29" i="6" s="1"/>
  <c r="CM35" i="6"/>
  <c r="CP35" i="6" s="1"/>
  <c r="CM39" i="6"/>
  <c r="CP39" i="6"/>
  <c r="CM43" i="6"/>
  <c r="CP43" i="6" s="1"/>
  <c r="CM7" i="6"/>
  <c r="CP7" i="6" s="1"/>
  <c r="CM9" i="6"/>
  <c r="CP9" i="6" s="1"/>
  <c r="CM11" i="6"/>
  <c r="CP11" i="6" s="1"/>
  <c r="CM13" i="6"/>
  <c r="CP13" i="6" s="1"/>
  <c r="CM15" i="6"/>
  <c r="CP15" i="6" s="1"/>
  <c r="CM17" i="6"/>
  <c r="CP17" i="6" s="1"/>
  <c r="CM19" i="6"/>
  <c r="CP19" i="6" s="1"/>
  <c r="CM21" i="6"/>
  <c r="CP21" i="6" s="1"/>
  <c r="CM23" i="6"/>
  <c r="CP23" i="6" s="1"/>
  <c r="CM25" i="6"/>
  <c r="CP25" i="6" s="1"/>
  <c r="CM27" i="6"/>
  <c r="CP27" i="6" s="1"/>
  <c r="CM30" i="6"/>
  <c r="CP30" i="6" s="1"/>
  <c r="CM33" i="6"/>
  <c r="CP33" i="6" s="1"/>
  <c r="CM36" i="6"/>
  <c r="CP36" i="6" s="1"/>
  <c r="CM40" i="6"/>
  <c r="CP40" i="6" s="1"/>
  <c r="CM44" i="6"/>
  <c r="CP44" i="6" s="1"/>
  <c r="BX24" i="44"/>
  <c r="BX22" i="44"/>
  <c r="BX20" i="44"/>
  <c r="BX18" i="44"/>
  <c r="BX16" i="44"/>
  <c r="BZ15" i="44"/>
  <c r="BX23" i="44"/>
  <c r="BX19" i="44"/>
  <c r="BX25" i="44"/>
  <c r="BX21" i="44"/>
  <c r="BX17" i="44"/>
  <c r="BV25" i="45"/>
  <c r="BV23" i="45"/>
  <c r="BV21" i="45"/>
  <c r="BV19" i="45"/>
  <c r="BV17" i="45"/>
  <c r="BV24" i="45"/>
  <c r="BV22" i="45"/>
  <c r="BV20" i="45"/>
  <c r="BV18" i="45"/>
  <c r="BV16" i="45"/>
  <c r="BX15" i="45"/>
  <c r="I12" i="44"/>
  <c r="I11" i="44"/>
  <c r="I8" i="44"/>
  <c r="I3" i="44"/>
  <c r="CW8" i="6" s="1"/>
  <c r="I10" i="44"/>
  <c r="I9" i="44"/>
  <c r="I7" i="44"/>
  <c r="K9" i="44"/>
  <c r="K7" i="44"/>
  <c r="K3" i="44"/>
  <c r="CW9" i="6" s="1"/>
  <c r="K12" i="44"/>
  <c r="K11" i="44"/>
  <c r="K10" i="44"/>
  <c r="K8" i="44"/>
  <c r="M3" i="44"/>
  <c r="CW10" i="6" s="1"/>
  <c r="M11" i="44"/>
  <c r="M10" i="44"/>
  <c r="M9" i="44"/>
  <c r="M12" i="44"/>
  <c r="M8" i="44"/>
  <c r="M7" i="44"/>
  <c r="CX10" i="6"/>
  <c r="O12" i="44"/>
  <c r="O10" i="44"/>
  <c r="O8" i="44"/>
  <c r="O7" i="44"/>
  <c r="O3" i="44"/>
  <c r="CW11" i="6" s="1"/>
  <c r="O11" i="44"/>
  <c r="O9" i="44"/>
  <c r="Q3" i="44"/>
  <c r="CW12" i="6" s="1"/>
  <c r="Q11" i="44"/>
  <c r="Q9" i="44"/>
  <c r="Q8" i="44"/>
  <c r="Q12" i="44"/>
  <c r="Q10" i="44"/>
  <c r="Q7" i="44"/>
  <c r="S3" i="44"/>
  <c r="CW13" i="6" s="1"/>
  <c r="S11" i="44"/>
  <c r="S7" i="44"/>
  <c r="S12" i="44"/>
  <c r="S10" i="44"/>
  <c r="S9" i="44"/>
  <c r="S8" i="44"/>
  <c r="U12" i="44"/>
  <c r="U10" i="44"/>
  <c r="U3" i="44"/>
  <c r="CW14" i="6" s="1"/>
  <c r="U11" i="44"/>
  <c r="U9" i="44"/>
  <c r="U8" i="44"/>
  <c r="U7" i="44"/>
  <c r="W3" i="44"/>
  <c r="CW15" i="6" s="1"/>
  <c r="W12" i="44"/>
  <c r="W11" i="44"/>
  <c r="W10" i="44"/>
  <c r="W9" i="44"/>
  <c r="W8" i="44"/>
  <c r="W7" i="44"/>
  <c r="Y12" i="44"/>
  <c r="Y8" i="44"/>
  <c r="Y3" i="44"/>
  <c r="CW16" i="6" s="1"/>
  <c r="Y11" i="44"/>
  <c r="Y10" i="44"/>
  <c r="Y9" i="44"/>
  <c r="Y7" i="44"/>
  <c r="AA11" i="44"/>
  <c r="AA9" i="44"/>
  <c r="AA7" i="44"/>
  <c r="AA3" i="44"/>
  <c r="CW17" i="6" s="1"/>
  <c r="AA12" i="44"/>
  <c r="AA10" i="44"/>
  <c r="AA8" i="44"/>
  <c r="AC3" i="44"/>
  <c r="CW18" i="6" s="1"/>
  <c r="AC10" i="44"/>
  <c r="AC9" i="44"/>
  <c r="AC12" i="44"/>
  <c r="AC11" i="44"/>
  <c r="AC8" i="44"/>
  <c r="AC7" i="44"/>
  <c r="AE12" i="44"/>
  <c r="AE10" i="44"/>
  <c r="AE8" i="44"/>
  <c r="AE7" i="44"/>
  <c r="AE3" i="44"/>
  <c r="CW19" i="6" s="1"/>
  <c r="AE11" i="44"/>
  <c r="AE9" i="44"/>
  <c r="AI3" i="44"/>
  <c r="CW21" i="6" s="1"/>
  <c r="AI11" i="44"/>
  <c r="AI7" i="44"/>
  <c r="AI12" i="44"/>
  <c r="AI10" i="44"/>
  <c r="AI9" i="44"/>
  <c r="AI8" i="44"/>
  <c r="AK9" i="44"/>
  <c r="AK12" i="44"/>
  <c r="AK10" i="44"/>
  <c r="AK3" i="44"/>
  <c r="AK11" i="44"/>
  <c r="AK8" i="44"/>
  <c r="AK7" i="44"/>
  <c r="AM3" i="44"/>
  <c r="CW23" i="6" s="1"/>
  <c r="AM12" i="44"/>
  <c r="AM10" i="44"/>
  <c r="AM9" i="44"/>
  <c r="AM8" i="44"/>
  <c r="AM7" i="44"/>
  <c r="AM11" i="44"/>
  <c r="AO12" i="44"/>
  <c r="AO11" i="44"/>
  <c r="AO8" i="44"/>
  <c r="AO3" i="44"/>
  <c r="AO10" i="44"/>
  <c r="AO9" i="44"/>
  <c r="AO7" i="44"/>
  <c r="AQ9" i="44"/>
  <c r="AQ7" i="44"/>
  <c r="AQ3" i="44"/>
  <c r="CW25" i="6" s="1"/>
  <c r="AQ12" i="44"/>
  <c r="AQ11" i="44"/>
  <c r="AQ10" i="44"/>
  <c r="AQ8" i="44"/>
  <c r="AS3" i="44"/>
  <c r="AS11" i="44"/>
  <c r="AS10" i="44"/>
  <c r="AS12" i="44"/>
  <c r="AS9" i="44"/>
  <c r="AS8" i="44"/>
  <c r="AS7" i="44"/>
  <c r="AU12" i="44"/>
  <c r="AU10" i="44"/>
  <c r="AU9" i="44"/>
  <c r="AU8" i="44"/>
  <c r="AU7" i="44"/>
  <c r="AU3" i="44"/>
  <c r="CW27" i="6" s="1"/>
  <c r="AU11" i="44"/>
  <c r="AW3" i="44"/>
  <c r="CW28" i="6" s="1"/>
  <c r="AW11" i="44"/>
  <c r="AW8" i="44"/>
  <c r="AW12" i="44"/>
  <c r="AW10" i="44"/>
  <c r="AW9" i="44"/>
  <c r="AW7" i="44"/>
  <c r="AY3" i="44"/>
  <c r="AY9" i="44"/>
  <c r="AY7" i="44"/>
  <c r="AY12" i="44"/>
  <c r="AY11" i="44"/>
  <c r="AY10" i="44"/>
  <c r="AY8" i="44"/>
  <c r="BC3" i="44"/>
  <c r="CW31" i="6" s="1"/>
  <c r="BC12" i="44"/>
  <c r="BC10" i="44"/>
  <c r="BC9" i="44"/>
  <c r="BC8" i="44"/>
  <c r="BC7" i="44"/>
  <c r="BC11" i="44"/>
  <c r="BI3" i="44"/>
  <c r="BI11" i="44"/>
  <c r="BI10" i="44"/>
  <c r="BI12" i="44"/>
  <c r="BI9" i="44"/>
  <c r="BI8" i="44"/>
  <c r="BI7" i="44"/>
  <c r="BU12" i="44"/>
  <c r="BU11" i="44"/>
  <c r="CX40" i="6" s="1"/>
  <c r="BU8" i="44"/>
  <c r="BU3" i="44"/>
  <c r="CW40" i="6" s="1"/>
  <c r="BU10" i="44"/>
  <c r="BU9" i="44"/>
  <c r="BU7" i="44"/>
  <c r="BY3" i="44"/>
  <c r="BY11" i="44"/>
  <c r="BY10" i="44"/>
  <c r="BY12" i="44"/>
  <c r="BY9" i="44"/>
  <c r="BY8" i="44"/>
  <c r="BY7" i="44"/>
  <c r="BS3" i="44"/>
  <c r="CW39" i="6" s="1"/>
  <c r="BS12" i="44"/>
  <c r="BS10" i="44"/>
  <c r="BS9" i="44"/>
  <c r="BS8" i="44"/>
  <c r="BS7" i="44"/>
  <c r="BS11" i="44"/>
  <c r="AG3" i="44"/>
  <c r="CW20" i="6" s="1"/>
  <c r="AG11" i="44"/>
  <c r="AG9" i="44"/>
  <c r="AG8" i="44"/>
  <c r="AG12" i="44"/>
  <c r="AG10" i="44"/>
  <c r="AG7" i="44"/>
  <c r="BK12" i="44"/>
  <c r="BK10" i="44"/>
  <c r="BK9" i="44"/>
  <c r="BK8" i="44"/>
  <c r="BK7" i="44"/>
  <c r="BK3" i="44"/>
  <c r="CW35" i="6" s="1"/>
  <c r="BK11" i="44"/>
  <c r="BO3" i="44"/>
  <c r="CW37" i="6" s="1"/>
  <c r="BO9" i="44"/>
  <c r="BO7" i="44"/>
  <c r="BO12" i="44"/>
  <c r="BO11" i="44"/>
  <c r="BO10" i="44"/>
  <c r="BO8" i="44"/>
  <c r="BW9" i="44"/>
  <c r="BW7" i="44"/>
  <c r="BW3" i="44"/>
  <c r="CW41" i="6" s="1"/>
  <c r="BW12" i="44"/>
  <c r="BW11" i="44"/>
  <c r="BW10" i="44"/>
  <c r="BW8" i="44"/>
  <c r="CC3" i="44"/>
  <c r="CW44" i="6" s="1"/>
  <c r="CC11" i="44"/>
  <c r="CC8" i="44"/>
  <c r="CC12" i="44"/>
  <c r="CC10" i="44"/>
  <c r="CC9" i="44"/>
  <c r="CC7" i="44"/>
  <c r="BA12" i="44"/>
  <c r="BA11" i="44"/>
  <c r="BA10" i="44"/>
  <c r="BA3" i="44"/>
  <c r="CW30" i="6" s="1"/>
  <c r="BA9" i="44"/>
  <c r="BA8" i="44"/>
  <c r="BA7" i="44"/>
  <c r="BE12" i="44"/>
  <c r="BE11" i="44"/>
  <c r="BE8" i="44"/>
  <c r="BE3" i="44"/>
  <c r="CW32" i="6" s="1"/>
  <c r="BE10" i="44"/>
  <c r="BE9" i="44"/>
  <c r="BE7" i="44"/>
  <c r="BG9" i="44"/>
  <c r="BG7" i="44"/>
  <c r="BG3" i="44"/>
  <c r="BG12" i="44"/>
  <c r="BG11" i="44"/>
  <c r="BG10" i="44"/>
  <c r="BG8" i="44"/>
  <c r="BM3" i="44"/>
  <c r="CW36" i="6" s="1"/>
  <c r="BM11" i="44"/>
  <c r="BM8" i="44"/>
  <c r="BM12" i="44"/>
  <c r="BM10" i="44"/>
  <c r="BM9" i="44"/>
  <c r="BM7" i="44"/>
  <c r="BQ12" i="44"/>
  <c r="BQ11" i="44"/>
  <c r="BQ10" i="44"/>
  <c r="BQ3" i="44"/>
  <c r="BQ9" i="44"/>
  <c r="BQ8" i="44"/>
  <c r="BQ7" i="44"/>
  <c r="CA12" i="44"/>
  <c r="CA10" i="44"/>
  <c r="CA9" i="44"/>
  <c r="CA8" i="44"/>
  <c r="CA7" i="44"/>
  <c r="CA3" i="44"/>
  <c r="CW43" i="6" s="1"/>
  <c r="CA11" i="44"/>
  <c r="E12" i="44"/>
  <c r="E3" i="44"/>
  <c r="E8" i="44"/>
  <c r="E10" i="44"/>
  <c r="E7" i="44"/>
  <c r="E9" i="44"/>
  <c r="E11" i="44"/>
  <c r="G12" i="44"/>
  <c r="G10" i="44"/>
  <c r="G8" i="44"/>
  <c r="G11" i="44"/>
  <c r="G9" i="44"/>
  <c r="G7" i="44"/>
  <c r="G3" i="44"/>
  <c r="B5" i="6"/>
  <c r="C5" i="6"/>
  <c r="D5" i="6"/>
  <c r="E5" i="6"/>
  <c r="B6" i="6"/>
  <c r="C6" i="6"/>
  <c r="D6" i="6"/>
  <c r="E6" i="6"/>
  <c r="B7" i="6"/>
  <c r="C7" i="6"/>
  <c r="D7" i="6"/>
  <c r="E7" i="6"/>
  <c r="B8" i="6"/>
  <c r="C8" i="6"/>
  <c r="D8" i="6"/>
  <c r="E8" i="6"/>
  <c r="B9" i="6"/>
  <c r="C9" i="6"/>
  <c r="D9" i="6"/>
  <c r="E9" i="6"/>
  <c r="B10" i="6"/>
  <c r="C10" i="6"/>
  <c r="D10" i="6"/>
  <c r="E10" i="6"/>
  <c r="B11" i="6"/>
  <c r="C11" i="6"/>
  <c r="D11" i="6"/>
  <c r="E11" i="6"/>
  <c r="B12" i="6"/>
  <c r="C12" i="6"/>
  <c r="D12" i="6"/>
  <c r="E12" i="6"/>
  <c r="B13" i="6"/>
  <c r="C13" i="6"/>
  <c r="D13" i="6"/>
  <c r="E13" i="6"/>
  <c r="B14" i="6"/>
  <c r="C14" i="6"/>
  <c r="D14" i="6"/>
  <c r="E14" i="6"/>
  <c r="B15" i="6"/>
  <c r="C15" i="6"/>
  <c r="D15" i="6"/>
  <c r="E15" i="6"/>
  <c r="B16" i="6"/>
  <c r="C16" i="6"/>
  <c r="D16" i="6"/>
  <c r="E16" i="6"/>
  <c r="B17" i="6"/>
  <c r="C17" i="6"/>
  <c r="D17" i="6"/>
  <c r="E17" i="6"/>
  <c r="B18" i="6"/>
  <c r="C18" i="6"/>
  <c r="D18" i="6"/>
  <c r="E18" i="6"/>
  <c r="B19" i="6"/>
  <c r="C19" i="6"/>
  <c r="D19" i="6"/>
  <c r="E19" i="6"/>
  <c r="B20" i="6"/>
  <c r="C20" i="6"/>
  <c r="D20" i="6"/>
  <c r="E20" i="6"/>
  <c r="B21" i="6"/>
  <c r="C21" i="6"/>
  <c r="D21" i="6"/>
  <c r="E21" i="6"/>
  <c r="B22" i="6"/>
  <c r="C22" i="6"/>
  <c r="D22" i="6"/>
  <c r="E22" i="6"/>
  <c r="B23" i="6"/>
  <c r="C23" i="6"/>
  <c r="D23" i="6"/>
  <c r="E23" i="6"/>
  <c r="B24" i="6"/>
  <c r="C24" i="6"/>
  <c r="D24" i="6"/>
  <c r="E24" i="6"/>
  <c r="B25" i="6"/>
  <c r="C25" i="6"/>
  <c r="D25" i="6"/>
  <c r="E25" i="6"/>
  <c r="B26" i="6"/>
  <c r="C26" i="6"/>
  <c r="D26" i="6"/>
  <c r="E26" i="6"/>
  <c r="B27" i="6"/>
  <c r="C27" i="6"/>
  <c r="D27" i="6"/>
  <c r="E27" i="6"/>
  <c r="B28" i="6"/>
  <c r="C28" i="6"/>
  <c r="D28" i="6"/>
  <c r="E28" i="6"/>
  <c r="B29" i="6"/>
  <c r="C29" i="6"/>
  <c r="D29" i="6"/>
  <c r="E29" i="6"/>
  <c r="B30" i="6"/>
  <c r="C30" i="6"/>
  <c r="D30" i="6"/>
  <c r="E30" i="6"/>
  <c r="B31" i="6"/>
  <c r="C31" i="6"/>
  <c r="D31" i="6"/>
  <c r="E31" i="6"/>
  <c r="B32" i="6"/>
  <c r="C32" i="6"/>
  <c r="D32" i="6"/>
  <c r="E32" i="6"/>
  <c r="B33" i="6"/>
  <c r="C33" i="6"/>
  <c r="D33" i="6"/>
  <c r="E33" i="6"/>
  <c r="B34" i="6"/>
  <c r="C34" i="6"/>
  <c r="D34" i="6"/>
  <c r="E34" i="6"/>
  <c r="B35" i="6"/>
  <c r="C35" i="6"/>
  <c r="D35" i="6"/>
  <c r="E35" i="6"/>
  <c r="B36" i="6"/>
  <c r="C36" i="6"/>
  <c r="D36" i="6"/>
  <c r="E36" i="6"/>
  <c r="B37" i="6"/>
  <c r="C37" i="6"/>
  <c r="D37" i="6"/>
  <c r="E37" i="6"/>
  <c r="B38" i="6"/>
  <c r="C38" i="6"/>
  <c r="D38" i="6"/>
  <c r="E38" i="6"/>
  <c r="B39" i="6"/>
  <c r="C39" i="6"/>
  <c r="D39" i="6"/>
  <c r="E39" i="6"/>
  <c r="B40" i="6"/>
  <c r="C40" i="6"/>
  <c r="D40" i="6"/>
  <c r="E40" i="6"/>
  <c r="B41" i="6"/>
  <c r="C41" i="6"/>
  <c r="D41" i="6"/>
  <c r="E41" i="6"/>
  <c r="B42" i="6"/>
  <c r="C42" i="6"/>
  <c r="D42" i="6"/>
  <c r="E42" i="6"/>
  <c r="B43" i="6"/>
  <c r="C43" i="6"/>
  <c r="D43" i="6"/>
  <c r="E43" i="6"/>
  <c r="B44" i="6"/>
  <c r="C44" i="6"/>
  <c r="D44" i="6"/>
  <c r="E44" i="6"/>
  <c r="A43" i="6"/>
  <c r="A44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5" i="6"/>
  <c r="E44" i="16"/>
  <c r="D44" i="16"/>
  <c r="C44" i="16"/>
  <c r="B44" i="16"/>
  <c r="A44" i="16"/>
  <c r="E43" i="16"/>
  <c r="D43" i="16"/>
  <c r="C43" i="16"/>
  <c r="B43" i="16"/>
  <c r="A43" i="16"/>
  <c r="E42" i="16"/>
  <c r="D42" i="16"/>
  <c r="C42" i="16"/>
  <c r="B42" i="16"/>
  <c r="A42" i="16"/>
  <c r="E41" i="16"/>
  <c r="D41" i="16"/>
  <c r="C41" i="16"/>
  <c r="B41" i="16"/>
  <c r="A41" i="16"/>
  <c r="E40" i="16"/>
  <c r="D40" i="16"/>
  <c r="C40" i="16"/>
  <c r="B40" i="16"/>
  <c r="A40" i="16"/>
  <c r="E39" i="16"/>
  <c r="D39" i="16"/>
  <c r="C39" i="16"/>
  <c r="B39" i="16"/>
  <c r="A39" i="16"/>
  <c r="E38" i="16"/>
  <c r="D38" i="16"/>
  <c r="C38" i="16"/>
  <c r="B38" i="16"/>
  <c r="A38" i="16"/>
  <c r="E37" i="16"/>
  <c r="D37" i="16"/>
  <c r="C37" i="16"/>
  <c r="B37" i="16"/>
  <c r="A37" i="16"/>
  <c r="E36" i="16"/>
  <c r="D36" i="16"/>
  <c r="C36" i="16"/>
  <c r="B36" i="16"/>
  <c r="A36" i="16"/>
  <c r="E35" i="16"/>
  <c r="D35" i="16"/>
  <c r="C35" i="16"/>
  <c r="B35" i="16"/>
  <c r="A35" i="16"/>
  <c r="E34" i="16"/>
  <c r="D34" i="16"/>
  <c r="C34" i="16"/>
  <c r="B34" i="16"/>
  <c r="A34" i="16"/>
  <c r="E33" i="16"/>
  <c r="D33" i="16"/>
  <c r="C33" i="16"/>
  <c r="B33" i="16"/>
  <c r="A33" i="16"/>
  <c r="E32" i="16"/>
  <c r="D32" i="16"/>
  <c r="C32" i="16"/>
  <c r="B32" i="16"/>
  <c r="A32" i="16"/>
  <c r="E31" i="16"/>
  <c r="D31" i="16"/>
  <c r="C31" i="16"/>
  <c r="B31" i="16"/>
  <c r="A31" i="16"/>
  <c r="E30" i="16"/>
  <c r="D30" i="16"/>
  <c r="C30" i="16"/>
  <c r="B30" i="16"/>
  <c r="A30" i="16"/>
  <c r="E29" i="16"/>
  <c r="D29" i="16"/>
  <c r="C29" i="16"/>
  <c r="B29" i="16"/>
  <c r="A29" i="16"/>
  <c r="E28" i="16"/>
  <c r="D28" i="16"/>
  <c r="C28" i="16"/>
  <c r="B28" i="16"/>
  <c r="A28" i="16"/>
  <c r="E27" i="16"/>
  <c r="D27" i="16"/>
  <c r="C27" i="16"/>
  <c r="B27" i="16"/>
  <c r="A27" i="16"/>
  <c r="E26" i="16"/>
  <c r="D26" i="16"/>
  <c r="C26" i="16"/>
  <c r="B26" i="16"/>
  <c r="A26" i="16"/>
  <c r="E25" i="16"/>
  <c r="D25" i="16"/>
  <c r="C25" i="16"/>
  <c r="B25" i="16"/>
  <c r="A25" i="16"/>
  <c r="E24" i="16"/>
  <c r="D24" i="16"/>
  <c r="C24" i="16"/>
  <c r="B24" i="16"/>
  <c r="A24" i="16"/>
  <c r="E23" i="16"/>
  <c r="D23" i="16"/>
  <c r="C23" i="16"/>
  <c r="B23" i="16"/>
  <c r="A23" i="16"/>
  <c r="E22" i="16"/>
  <c r="D22" i="16"/>
  <c r="C22" i="16"/>
  <c r="B22" i="16"/>
  <c r="A22" i="16"/>
  <c r="E21" i="16"/>
  <c r="D21" i="16"/>
  <c r="C21" i="16"/>
  <c r="B21" i="16"/>
  <c r="A21" i="16"/>
  <c r="E20" i="16"/>
  <c r="D20" i="16"/>
  <c r="C20" i="16"/>
  <c r="B20" i="16"/>
  <c r="A20" i="16"/>
  <c r="E19" i="16"/>
  <c r="D19" i="16"/>
  <c r="C19" i="16"/>
  <c r="B19" i="16"/>
  <c r="A19" i="16"/>
  <c r="E18" i="16"/>
  <c r="D18" i="16"/>
  <c r="C18" i="16"/>
  <c r="B18" i="16"/>
  <c r="A18" i="16"/>
  <c r="E17" i="16"/>
  <c r="D17" i="16"/>
  <c r="C17" i="16"/>
  <c r="B17" i="16"/>
  <c r="A17" i="16"/>
  <c r="E16" i="16"/>
  <c r="D16" i="16"/>
  <c r="C16" i="16"/>
  <c r="B16" i="16"/>
  <c r="A16" i="16"/>
  <c r="E15" i="16"/>
  <c r="D15" i="16"/>
  <c r="C15" i="16"/>
  <c r="B15" i="16"/>
  <c r="A15" i="16"/>
  <c r="E14" i="16"/>
  <c r="D14" i="16"/>
  <c r="C14" i="16"/>
  <c r="B14" i="16"/>
  <c r="A14" i="16"/>
  <c r="E13" i="16"/>
  <c r="D13" i="16"/>
  <c r="C13" i="16"/>
  <c r="B13" i="16"/>
  <c r="A13" i="16"/>
  <c r="E12" i="16"/>
  <c r="D12" i="16"/>
  <c r="C12" i="16"/>
  <c r="B12" i="16"/>
  <c r="A12" i="16"/>
  <c r="E11" i="16"/>
  <c r="D11" i="16"/>
  <c r="C11" i="16"/>
  <c r="B11" i="16"/>
  <c r="A11" i="16"/>
  <c r="E10" i="16"/>
  <c r="D10" i="16"/>
  <c r="C10" i="16"/>
  <c r="B10" i="16"/>
  <c r="A10" i="16"/>
  <c r="E9" i="16"/>
  <c r="D9" i="16"/>
  <c r="C9" i="16"/>
  <c r="B9" i="16"/>
  <c r="A9" i="16"/>
  <c r="E8" i="16"/>
  <c r="D8" i="16"/>
  <c r="C8" i="16"/>
  <c r="B8" i="16"/>
  <c r="A8" i="16"/>
  <c r="E7" i="16"/>
  <c r="D7" i="16"/>
  <c r="C7" i="16"/>
  <c r="B7" i="16"/>
  <c r="A7" i="16"/>
  <c r="E6" i="16"/>
  <c r="D6" i="16"/>
  <c r="C6" i="16"/>
  <c r="B6" i="16"/>
  <c r="A6" i="16"/>
  <c r="E5" i="16"/>
  <c r="D5" i="16"/>
  <c r="C5" i="16"/>
  <c r="B5" i="16"/>
  <c r="A5" i="16"/>
  <c r="A6" i="17"/>
  <c r="B6" i="17"/>
  <c r="C6" i="17"/>
  <c r="D6" i="17"/>
  <c r="E6" i="17"/>
  <c r="A7" i="17"/>
  <c r="B7" i="17"/>
  <c r="C7" i="17"/>
  <c r="D7" i="17"/>
  <c r="E7" i="17"/>
  <c r="A8" i="17"/>
  <c r="B8" i="17"/>
  <c r="D8" i="17"/>
  <c r="E8" i="17"/>
  <c r="A9" i="17"/>
  <c r="B9" i="17"/>
  <c r="C9" i="17"/>
  <c r="D9" i="17"/>
  <c r="E9" i="17"/>
  <c r="A10" i="17"/>
  <c r="B10" i="17"/>
  <c r="C10" i="17"/>
  <c r="D10" i="17"/>
  <c r="E10" i="17"/>
  <c r="A11" i="17"/>
  <c r="B11" i="17"/>
  <c r="C11" i="17"/>
  <c r="D11" i="17"/>
  <c r="E11" i="17"/>
  <c r="A12" i="17"/>
  <c r="B12" i="17"/>
  <c r="C12" i="17"/>
  <c r="D12" i="17"/>
  <c r="E12" i="17"/>
  <c r="A13" i="17"/>
  <c r="B13" i="17"/>
  <c r="C13" i="17"/>
  <c r="D13" i="17"/>
  <c r="E13" i="17"/>
  <c r="A14" i="17"/>
  <c r="B14" i="17"/>
  <c r="C14" i="17"/>
  <c r="D14" i="17"/>
  <c r="E14" i="17"/>
  <c r="A15" i="17"/>
  <c r="B15" i="17"/>
  <c r="C15" i="17"/>
  <c r="D15" i="17"/>
  <c r="E15" i="17"/>
  <c r="A16" i="17"/>
  <c r="B16" i="17"/>
  <c r="C16" i="17"/>
  <c r="D16" i="17"/>
  <c r="E16" i="17"/>
  <c r="A17" i="17"/>
  <c r="B17" i="17"/>
  <c r="C17" i="17"/>
  <c r="D17" i="17"/>
  <c r="E17" i="17"/>
  <c r="A18" i="17"/>
  <c r="B18" i="17"/>
  <c r="C18" i="17"/>
  <c r="D18" i="17"/>
  <c r="E18" i="17"/>
  <c r="A19" i="17"/>
  <c r="B19" i="17"/>
  <c r="C19" i="17"/>
  <c r="D19" i="17"/>
  <c r="E19" i="17"/>
  <c r="A20" i="17"/>
  <c r="B20" i="17"/>
  <c r="C20" i="17"/>
  <c r="D20" i="17"/>
  <c r="E20" i="17"/>
  <c r="A21" i="17"/>
  <c r="B21" i="17"/>
  <c r="C21" i="17"/>
  <c r="D21" i="17"/>
  <c r="E21" i="17"/>
  <c r="A22" i="17"/>
  <c r="B22" i="17"/>
  <c r="C22" i="17"/>
  <c r="D22" i="17"/>
  <c r="E22" i="17"/>
  <c r="A23" i="17"/>
  <c r="B23" i="17"/>
  <c r="C23" i="17"/>
  <c r="D23" i="17"/>
  <c r="E23" i="17"/>
  <c r="A24" i="17"/>
  <c r="B24" i="17"/>
  <c r="C24" i="17"/>
  <c r="D24" i="17"/>
  <c r="E24" i="17"/>
  <c r="A25" i="17"/>
  <c r="B25" i="17"/>
  <c r="C25" i="17"/>
  <c r="D25" i="17"/>
  <c r="E25" i="17"/>
  <c r="A26" i="17"/>
  <c r="B26" i="17"/>
  <c r="C26" i="17"/>
  <c r="D26" i="17"/>
  <c r="E26" i="17"/>
  <c r="A27" i="17"/>
  <c r="B27" i="17"/>
  <c r="C27" i="17"/>
  <c r="D27" i="17"/>
  <c r="E27" i="17"/>
  <c r="A28" i="17"/>
  <c r="B28" i="17"/>
  <c r="C28" i="17"/>
  <c r="D28" i="17"/>
  <c r="E28" i="17"/>
  <c r="A29" i="17"/>
  <c r="B29" i="17"/>
  <c r="C29" i="17"/>
  <c r="D29" i="17"/>
  <c r="E29" i="17"/>
  <c r="A30" i="17"/>
  <c r="B30" i="17"/>
  <c r="C30" i="17"/>
  <c r="D30" i="17"/>
  <c r="E30" i="17"/>
  <c r="A31" i="17"/>
  <c r="B31" i="17"/>
  <c r="C31" i="17"/>
  <c r="D31" i="17"/>
  <c r="E31" i="17"/>
  <c r="A32" i="17"/>
  <c r="B32" i="17"/>
  <c r="C32" i="17"/>
  <c r="D32" i="17"/>
  <c r="E32" i="17"/>
  <c r="A33" i="17"/>
  <c r="B33" i="17"/>
  <c r="C33" i="17"/>
  <c r="D33" i="17"/>
  <c r="E33" i="17"/>
  <c r="A34" i="17"/>
  <c r="B34" i="17"/>
  <c r="C34" i="17"/>
  <c r="D34" i="17"/>
  <c r="E34" i="17"/>
  <c r="A35" i="17"/>
  <c r="B35" i="17"/>
  <c r="C35" i="17"/>
  <c r="D35" i="17"/>
  <c r="E35" i="17"/>
  <c r="A36" i="17"/>
  <c r="B36" i="17"/>
  <c r="C36" i="17"/>
  <c r="D36" i="17"/>
  <c r="E36" i="17"/>
  <c r="A37" i="17"/>
  <c r="B37" i="17"/>
  <c r="C37" i="17"/>
  <c r="D37" i="17"/>
  <c r="E37" i="17"/>
  <c r="A38" i="17"/>
  <c r="B38" i="17"/>
  <c r="C38" i="17"/>
  <c r="D38" i="17"/>
  <c r="E38" i="17"/>
  <c r="A39" i="17"/>
  <c r="B39" i="17"/>
  <c r="C39" i="17"/>
  <c r="D39" i="17"/>
  <c r="E39" i="17"/>
  <c r="A40" i="17"/>
  <c r="B40" i="17"/>
  <c r="C40" i="17"/>
  <c r="D40" i="17"/>
  <c r="E40" i="17"/>
  <c r="A41" i="17"/>
  <c r="B41" i="17"/>
  <c r="C41" i="17"/>
  <c r="D41" i="17"/>
  <c r="E41" i="17"/>
  <c r="A42" i="17"/>
  <c r="B42" i="17"/>
  <c r="C42" i="17"/>
  <c r="D42" i="17"/>
  <c r="E42" i="17"/>
  <c r="A43" i="17"/>
  <c r="B43" i="17"/>
  <c r="C43" i="17"/>
  <c r="D43" i="17"/>
  <c r="E43" i="17"/>
  <c r="A44" i="17"/>
  <c r="B44" i="17"/>
  <c r="C44" i="17"/>
  <c r="D44" i="17"/>
  <c r="E44" i="17"/>
  <c r="B5" i="17"/>
  <c r="C5" i="17"/>
  <c r="D5" i="17"/>
  <c r="E5" i="17"/>
  <c r="A5" i="17"/>
  <c r="J6" i="16"/>
  <c r="K6" i="16" s="1"/>
  <c r="P6" i="16"/>
  <c r="Q6" i="16" s="1"/>
  <c r="V6" i="16"/>
  <c r="W6" i="16" s="1"/>
  <c r="AB6" i="16"/>
  <c r="AC6" i="16" s="1"/>
  <c r="AH6" i="16"/>
  <c r="AI6" i="16" s="1"/>
  <c r="AN6" i="16"/>
  <c r="AO6" i="16" s="1"/>
  <c r="AT6" i="16"/>
  <c r="AU6" i="16" s="1"/>
  <c r="AZ6" i="16"/>
  <c r="BA6" i="16" s="1"/>
  <c r="BF6" i="16"/>
  <c r="BG6" i="16" s="1"/>
  <c r="BL6" i="16"/>
  <c r="BM6" i="16" s="1"/>
  <c r="J7" i="16"/>
  <c r="K7" i="16" s="1"/>
  <c r="P7" i="16"/>
  <c r="Q7" i="16" s="1"/>
  <c r="V7" i="16"/>
  <c r="W7" i="16" s="1"/>
  <c r="AB7" i="16"/>
  <c r="AC7" i="16" s="1"/>
  <c r="AH7" i="16"/>
  <c r="AI7" i="16" s="1"/>
  <c r="AN7" i="16"/>
  <c r="AO7" i="16" s="1"/>
  <c r="AT7" i="16"/>
  <c r="AU7" i="16" s="1"/>
  <c r="AZ7" i="16"/>
  <c r="BA7" i="16" s="1"/>
  <c r="BF7" i="16"/>
  <c r="BG7" i="16" s="1"/>
  <c r="BL7" i="16"/>
  <c r="BM7" i="16" s="1"/>
  <c r="J8" i="16"/>
  <c r="K8" i="16" s="1"/>
  <c r="P8" i="16"/>
  <c r="Q8" i="16" s="1"/>
  <c r="V8" i="16"/>
  <c r="W8" i="16" s="1"/>
  <c r="AB8" i="16"/>
  <c r="AC8" i="16" s="1"/>
  <c r="AH8" i="16"/>
  <c r="AI8" i="16" s="1"/>
  <c r="AN8" i="16"/>
  <c r="AO8" i="16" s="1"/>
  <c r="AT8" i="16"/>
  <c r="AU8" i="16" s="1"/>
  <c r="AZ8" i="16"/>
  <c r="BA8" i="16" s="1"/>
  <c r="BF8" i="16"/>
  <c r="BG8" i="16" s="1"/>
  <c r="BL8" i="16"/>
  <c r="BM8" i="16" s="1"/>
  <c r="J9" i="16"/>
  <c r="K9" i="16" s="1"/>
  <c r="P9" i="16"/>
  <c r="Q9" i="16" s="1"/>
  <c r="V9" i="16"/>
  <c r="W9" i="16" s="1"/>
  <c r="AB9" i="16"/>
  <c r="AC9" i="16" s="1"/>
  <c r="AH9" i="16"/>
  <c r="AI9" i="16" s="1"/>
  <c r="AN9" i="16"/>
  <c r="AO9" i="16" s="1"/>
  <c r="AT9" i="16"/>
  <c r="AU9" i="16" s="1"/>
  <c r="AZ9" i="16"/>
  <c r="BA9" i="16" s="1"/>
  <c r="BF9" i="16"/>
  <c r="BG9" i="16" s="1"/>
  <c r="BL9" i="16"/>
  <c r="BM9" i="16" s="1"/>
  <c r="J10" i="16"/>
  <c r="K10" i="16" s="1"/>
  <c r="P10" i="16"/>
  <c r="Q10" i="16" s="1"/>
  <c r="V10" i="16"/>
  <c r="W10" i="16" s="1"/>
  <c r="AB10" i="16"/>
  <c r="AC10" i="16" s="1"/>
  <c r="AH10" i="16"/>
  <c r="AI10" i="16" s="1"/>
  <c r="AN10" i="16"/>
  <c r="AO10" i="16" s="1"/>
  <c r="AT10" i="16"/>
  <c r="AU10" i="16" s="1"/>
  <c r="AZ10" i="16"/>
  <c r="BA10" i="16" s="1"/>
  <c r="BF10" i="16"/>
  <c r="BG10" i="16" s="1"/>
  <c r="BL10" i="16"/>
  <c r="BM10" i="16" s="1"/>
  <c r="J11" i="16"/>
  <c r="K11" i="16" s="1"/>
  <c r="P11" i="16"/>
  <c r="Q11" i="16" s="1"/>
  <c r="V11" i="16"/>
  <c r="W11" i="16" s="1"/>
  <c r="AB11" i="16"/>
  <c r="AC11" i="16" s="1"/>
  <c r="AH11" i="16"/>
  <c r="AI11" i="16" s="1"/>
  <c r="AN11" i="16"/>
  <c r="AO11" i="16" s="1"/>
  <c r="AT11" i="16"/>
  <c r="AU11" i="16" s="1"/>
  <c r="AZ11" i="16"/>
  <c r="BA11" i="16" s="1"/>
  <c r="BF11" i="16"/>
  <c r="BG11" i="16" s="1"/>
  <c r="BL11" i="16"/>
  <c r="BM11" i="16" s="1"/>
  <c r="J12" i="16"/>
  <c r="K12" i="16" s="1"/>
  <c r="P12" i="16"/>
  <c r="Q12" i="16" s="1"/>
  <c r="V12" i="16"/>
  <c r="W12" i="16" s="1"/>
  <c r="AB12" i="16"/>
  <c r="AC12" i="16" s="1"/>
  <c r="AH12" i="16"/>
  <c r="AI12" i="16" s="1"/>
  <c r="AN12" i="16"/>
  <c r="AO12" i="16" s="1"/>
  <c r="AT12" i="16"/>
  <c r="AU12" i="16" s="1"/>
  <c r="AZ12" i="16"/>
  <c r="BA12" i="16" s="1"/>
  <c r="BF12" i="16"/>
  <c r="BG12" i="16" s="1"/>
  <c r="BL12" i="16"/>
  <c r="BM12" i="16" s="1"/>
  <c r="J13" i="16"/>
  <c r="K13" i="16" s="1"/>
  <c r="P13" i="16"/>
  <c r="Q13" i="16" s="1"/>
  <c r="V13" i="16"/>
  <c r="W13" i="16" s="1"/>
  <c r="AB13" i="16"/>
  <c r="AC13" i="16" s="1"/>
  <c r="AH13" i="16"/>
  <c r="AI13" i="16" s="1"/>
  <c r="AN13" i="16"/>
  <c r="AO13" i="16" s="1"/>
  <c r="AT13" i="16"/>
  <c r="AU13" i="16" s="1"/>
  <c r="AZ13" i="16"/>
  <c r="BA13" i="16" s="1"/>
  <c r="BF13" i="16"/>
  <c r="BG13" i="16" s="1"/>
  <c r="BL13" i="16"/>
  <c r="BM13" i="16" s="1"/>
  <c r="J14" i="16"/>
  <c r="K14" i="16" s="1"/>
  <c r="P14" i="16"/>
  <c r="Q14" i="16" s="1"/>
  <c r="V14" i="16"/>
  <c r="W14" i="16" s="1"/>
  <c r="AB14" i="16"/>
  <c r="AC14" i="16" s="1"/>
  <c r="AH14" i="16"/>
  <c r="AI14" i="16" s="1"/>
  <c r="AN14" i="16"/>
  <c r="AO14" i="16" s="1"/>
  <c r="AT14" i="16"/>
  <c r="AU14" i="16" s="1"/>
  <c r="AZ14" i="16"/>
  <c r="BA14" i="16" s="1"/>
  <c r="BF14" i="16"/>
  <c r="BG14" i="16" s="1"/>
  <c r="BL14" i="16"/>
  <c r="BM14" i="16" s="1"/>
  <c r="J15" i="16"/>
  <c r="K15" i="16" s="1"/>
  <c r="P15" i="16"/>
  <c r="Q15" i="16" s="1"/>
  <c r="V15" i="16"/>
  <c r="W15" i="16" s="1"/>
  <c r="AB15" i="16"/>
  <c r="AC15" i="16" s="1"/>
  <c r="AH15" i="16"/>
  <c r="AI15" i="16" s="1"/>
  <c r="AN15" i="16"/>
  <c r="AO15" i="16" s="1"/>
  <c r="AT15" i="16"/>
  <c r="AU15" i="16" s="1"/>
  <c r="AZ15" i="16"/>
  <c r="BA15" i="16" s="1"/>
  <c r="BF15" i="16"/>
  <c r="BG15" i="16" s="1"/>
  <c r="BL15" i="16"/>
  <c r="BM15" i="16" s="1"/>
  <c r="J16" i="16"/>
  <c r="K16" i="16" s="1"/>
  <c r="P16" i="16"/>
  <c r="Q16" i="16" s="1"/>
  <c r="V16" i="16"/>
  <c r="W16" i="16" s="1"/>
  <c r="AB16" i="16"/>
  <c r="AC16" i="16" s="1"/>
  <c r="AH16" i="16"/>
  <c r="AI16" i="16" s="1"/>
  <c r="AN16" i="16"/>
  <c r="AO16" i="16" s="1"/>
  <c r="AT16" i="16"/>
  <c r="AU16" i="16" s="1"/>
  <c r="AZ16" i="16"/>
  <c r="BA16" i="16" s="1"/>
  <c r="BF16" i="16"/>
  <c r="BG16" i="16" s="1"/>
  <c r="BL16" i="16"/>
  <c r="BM16" i="16" s="1"/>
  <c r="J17" i="16"/>
  <c r="K17" i="16" s="1"/>
  <c r="P17" i="16"/>
  <c r="Q17" i="16" s="1"/>
  <c r="V17" i="16"/>
  <c r="W17" i="16" s="1"/>
  <c r="AB17" i="16"/>
  <c r="AC17" i="16" s="1"/>
  <c r="AH17" i="16"/>
  <c r="AI17" i="16" s="1"/>
  <c r="AN17" i="16"/>
  <c r="AO17" i="16" s="1"/>
  <c r="AT17" i="16"/>
  <c r="AU17" i="16" s="1"/>
  <c r="AZ17" i="16"/>
  <c r="BA17" i="16" s="1"/>
  <c r="BF17" i="16"/>
  <c r="BG17" i="16" s="1"/>
  <c r="BL17" i="16"/>
  <c r="BM17" i="16" s="1"/>
  <c r="J18" i="16"/>
  <c r="K18" i="16" s="1"/>
  <c r="P18" i="16"/>
  <c r="Q18" i="16" s="1"/>
  <c r="V18" i="16"/>
  <c r="W18" i="16" s="1"/>
  <c r="AB18" i="16"/>
  <c r="AC18" i="16" s="1"/>
  <c r="AH18" i="16"/>
  <c r="AI18" i="16" s="1"/>
  <c r="AN18" i="16"/>
  <c r="AO18" i="16" s="1"/>
  <c r="AT18" i="16"/>
  <c r="AU18" i="16" s="1"/>
  <c r="AZ18" i="16"/>
  <c r="BA18" i="16" s="1"/>
  <c r="BF18" i="16"/>
  <c r="BG18" i="16" s="1"/>
  <c r="BL18" i="16"/>
  <c r="BM18" i="16" s="1"/>
  <c r="J19" i="16"/>
  <c r="K19" i="16" s="1"/>
  <c r="P19" i="16"/>
  <c r="Q19" i="16" s="1"/>
  <c r="V19" i="16"/>
  <c r="W19" i="16" s="1"/>
  <c r="AB19" i="16"/>
  <c r="AC19" i="16" s="1"/>
  <c r="AH19" i="16"/>
  <c r="AI19" i="16" s="1"/>
  <c r="AN19" i="16"/>
  <c r="AO19" i="16" s="1"/>
  <c r="AT19" i="16"/>
  <c r="AU19" i="16" s="1"/>
  <c r="AZ19" i="16"/>
  <c r="BA19" i="16" s="1"/>
  <c r="BF19" i="16"/>
  <c r="BG19" i="16" s="1"/>
  <c r="BL19" i="16"/>
  <c r="BM19" i="16" s="1"/>
  <c r="J20" i="16"/>
  <c r="K20" i="16" s="1"/>
  <c r="P20" i="16"/>
  <c r="Q20" i="16" s="1"/>
  <c r="V20" i="16"/>
  <c r="W20" i="16" s="1"/>
  <c r="AB20" i="16"/>
  <c r="AC20" i="16" s="1"/>
  <c r="AH20" i="16"/>
  <c r="AI20" i="16" s="1"/>
  <c r="AN20" i="16"/>
  <c r="AO20" i="16" s="1"/>
  <c r="AT20" i="16"/>
  <c r="AU20" i="16" s="1"/>
  <c r="AZ20" i="16"/>
  <c r="BA20" i="16" s="1"/>
  <c r="BF20" i="16"/>
  <c r="BG20" i="16" s="1"/>
  <c r="BL20" i="16"/>
  <c r="BM20" i="16" s="1"/>
  <c r="J21" i="16"/>
  <c r="K21" i="16" s="1"/>
  <c r="P21" i="16"/>
  <c r="Q21" i="16" s="1"/>
  <c r="V21" i="16"/>
  <c r="W21" i="16" s="1"/>
  <c r="AB21" i="16"/>
  <c r="AC21" i="16" s="1"/>
  <c r="AH21" i="16"/>
  <c r="AI21" i="16" s="1"/>
  <c r="AN21" i="16"/>
  <c r="AO21" i="16" s="1"/>
  <c r="AT21" i="16"/>
  <c r="AU21" i="16" s="1"/>
  <c r="AZ21" i="16"/>
  <c r="BA21" i="16" s="1"/>
  <c r="BF21" i="16"/>
  <c r="BG21" i="16" s="1"/>
  <c r="BL21" i="16"/>
  <c r="BM21" i="16" s="1"/>
  <c r="J22" i="16"/>
  <c r="K22" i="16" s="1"/>
  <c r="P22" i="16"/>
  <c r="Q22" i="16" s="1"/>
  <c r="V22" i="16"/>
  <c r="W22" i="16" s="1"/>
  <c r="AB22" i="16"/>
  <c r="AC22" i="16" s="1"/>
  <c r="AH22" i="16"/>
  <c r="AI22" i="16" s="1"/>
  <c r="AN22" i="16"/>
  <c r="AO22" i="16" s="1"/>
  <c r="AT22" i="16"/>
  <c r="AU22" i="16" s="1"/>
  <c r="AZ22" i="16"/>
  <c r="BA22" i="16" s="1"/>
  <c r="BF22" i="16"/>
  <c r="BG22" i="16" s="1"/>
  <c r="BL22" i="16"/>
  <c r="BM22" i="16" s="1"/>
  <c r="J23" i="16"/>
  <c r="K23" i="16" s="1"/>
  <c r="P23" i="16"/>
  <c r="Q23" i="16" s="1"/>
  <c r="V23" i="16"/>
  <c r="W23" i="16" s="1"/>
  <c r="AB23" i="16"/>
  <c r="AC23" i="16" s="1"/>
  <c r="AH23" i="16"/>
  <c r="AI23" i="16" s="1"/>
  <c r="AN23" i="16"/>
  <c r="AO23" i="16" s="1"/>
  <c r="AT23" i="16"/>
  <c r="AU23" i="16" s="1"/>
  <c r="AZ23" i="16"/>
  <c r="BA23" i="16" s="1"/>
  <c r="BF23" i="16"/>
  <c r="BG23" i="16" s="1"/>
  <c r="BL23" i="16"/>
  <c r="BM23" i="16" s="1"/>
  <c r="J24" i="16"/>
  <c r="K24" i="16" s="1"/>
  <c r="P24" i="16"/>
  <c r="Q24" i="16" s="1"/>
  <c r="V24" i="16"/>
  <c r="W24" i="16" s="1"/>
  <c r="AB24" i="16"/>
  <c r="AC24" i="16" s="1"/>
  <c r="AH24" i="16"/>
  <c r="AI24" i="16" s="1"/>
  <c r="AN24" i="16"/>
  <c r="AO24" i="16" s="1"/>
  <c r="AT24" i="16"/>
  <c r="AU24" i="16" s="1"/>
  <c r="AZ24" i="16"/>
  <c r="BA24" i="16" s="1"/>
  <c r="BF24" i="16"/>
  <c r="BG24" i="16" s="1"/>
  <c r="BL24" i="16"/>
  <c r="BM24" i="16" s="1"/>
  <c r="J25" i="16"/>
  <c r="K25" i="16" s="1"/>
  <c r="P25" i="16"/>
  <c r="Q25" i="16" s="1"/>
  <c r="V25" i="16"/>
  <c r="W25" i="16" s="1"/>
  <c r="AB25" i="16"/>
  <c r="AC25" i="16" s="1"/>
  <c r="AH25" i="16"/>
  <c r="AI25" i="16" s="1"/>
  <c r="AN25" i="16"/>
  <c r="AO25" i="16" s="1"/>
  <c r="AT25" i="16"/>
  <c r="AU25" i="16" s="1"/>
  <c r="AZ25" i="16"/>
  <c r="BA25" i="16" s="1"/>
  <c r="BF25" i="16"/>
  <c r="BG25" i="16" s="1"/>
  <c r="BL25" i="16"/>
  <c r="BM25" i="16" s="1"/>
  <c r="J26" i="16"/>
  <c r="K26" i="16" s="1"/>
  <c r="P26" i="16"/>
  <c r="Q26" i="16" s="1"/>
  <c r="V26" i="16"/>
  <c r="W26" i="16" s="1"/>
  <c r="AB26" i="16"/>
  <c r="AC26" i="16" s="1"/>
  <c r="AH26" i="16"/>
  <c r="AI26" i="16" s="1"/>
  <c r="AN26" i="16"/>
  <c r="AO26" i="16" s="1"/>
  <c r="AT26" i="16"/>
  <c r="AU26" i="16" s="1"/>
  <c r="AZ26" i="16"/>
  <c r="BA26" i="16" s="1"/>
  <c r="BF26" i="16"/>
  <c r="BG26" i="16" s="1"/>
  <c r="BL26" i="16"/>
  <c r="BM26" i="16" s="1"/>
  <c r="J27" i="16"/>
  <c r="K27" i="16" s="1"/>
  <c r="P27" i="16"/>
  <c r="Q27" i="16" s="1"/>
  <c r="V27" i="16"/>
  <c r="W27" i="16" s="1"/>
  <c r="AB27" i="16"/>
  <c r="AC27" i="16" s="1"/>
  <c r="AH27" i="16"/>
  <c r="AI27" i="16" s="1"/>
  <c r="AN27" i="16"/>
  <c r="AO27" i="16" s="1"/>
  <c r="AT27" i="16"/>
  <c r="AU27" i="16" s="1"/>
  <c r="AZ27" i="16"/>
  <c r="BA27" i="16" s="1"/>
  <c r="BF27" i="16"/>
  <c r="BG27" i="16" s="1"/>
  <c r="BL27" i="16"/>
  <c r="BM27" i="16" s="1"/>
  <c r="J28" i="16"/>
  <c r="K28" i="16" s="1"/>
  <c r="P28" i="16"/>
  <c r="Q28" i="16" s="1"/>
  <c r="V28" i="16"/>
  <c r="W28" i="16" s="1"/>
  <c r="AB28" i="16"/>
  <c r="AC28" i="16" s="1"/>
  <c r="AH28" i="16"/>
  <c r="AI28" i="16" s="1"/>
  <c r="AN28" i="16"/>
  <c r="AO28" i="16" s="1"/>
  <c r="AT28" i="16"/>
  <c r="AU28" i="16" s="1"/>
  <c r="AZ28" i="16"/>
  <c r="BA28" i="16" s="1"/>
  <c r="BF28" i="16"/>
  <c r="BG28" i="16" s="1"/>
  <c r="BL28" i="16"/>
  <c r="BM28" i="16" s="1"/>
  <c r="J29" i="16"/>
  <c r="K29" i="16" s="1"/>
  <c r="P29" i="16"/>
  <c r="Q29" i="16" s="1"/>
  <c r="V29" i="16"/>
  <c r="W29" i="16" s="1"/>
  <c r="AB29" i="16"/>
  <c r="AC29" i="16" s="1"/>
  <c r="AH29" i="16"/>
  <c r="AI29" i="16" s="1"/>
  <c r="AN29" i="16"/>
  <c r="AO29" i="16" s="1"/>
  <c r="AT29" i="16"/>
  <c r="AU29" i="16" s="1"/>
  <c r="AZ29" i="16"/>
  <c r="BA29" i="16" s="1"/>
  <c r="BF29" i="16"/>
  <c r="BG29" i="16" s="1"/>
  <c r="BL29" i="16"/>
  <c r="BM29" i="16" s="1"/>
  <c r="J30" i="16"/>
  <c r="K30" i="16" s="1"/>
  <c r="P30" i="16"/>
  <c r="Q30" i="16" s="1"/>
  <c r="V30" i="16"/>
  <c r="W30" i="16" s="1"/>
  <c r="AB30" i="16"/>
  <c r="AC30" i="16" s="1"/>
  <c r="AH30" i="16"/>
  <c r="AI30" i="16" s="1"/>
  <c r="AN30" i="16"/>
  <c r="AO30" i="16" s="1"/>
  <c r="AT30" i="16"/>
  <c r="AU30" i="16" s="1"/>
  <c r="AZ30" i="16"/>
  <c r="BA30" i="16" s="1"/>
  <c r="BF30" i="16"/>
  <c r="BG30" i="16" s="1"/>
  <c r="BL30" i="16"/>
  <c r="BM30" i="16" s="1"/>
  <c r="J31" i="16"/>
  <c r="K31" i="16" s="1"/>
  <c r="P31" i="16"/>
  <c r="Q31" i="16" s="1"/>
  <c r="V31" i="16"/>
  <c r="W31" i="16" s="1"/>
  <c r="AB31" i="16"/>
  <c r="AC31" i="16" s="1"/>
  <c r="AH31" i="16"/>
  <c r="AI31" i="16" s="1"/>
  <c r="AN31" i="16"/>
  <c r="AO31" i="16" s="1"/>
  <c r="AT31" i="16"/>
  <c r="AU31" i="16" s="1"/>
  <c r="AZ31" i="16"/>
  <c r="BA31" i="16" s="1"/>
  <c r="BF31" i="16"/>
  <c r="BG31" i="16" s="1"/>
  <c r="BL31" i="16"/>
  <c r="BM31" i="16" s="1"/>
  <c r="J32" i="16"/>
  <c r="K32" i="16" s="1"/>
  <c r="P32" i="16"/>
  <c r="Q32" i="16" s="1"/>
  <c r="V32" i="16"/>
  <c r="W32" i="16" s="1"/>
  <c r="AB32" i="16"/>
  <c r="AC32" i="16" s="1"/>
  <c r="AH32" i="16"/>
  <c r="AI32" i="16" s="1"/>
  <c r="AN32" i="16"/>
  <c r="AO32" i="16" s="1"/>
  <c r="AT32" i="16"/>
  <c r="AU32" i="16" s="1"/>
  <c r="AZ32" i="16"/>
  <c r="BA32" i="16" s="1"/>
  <c r="BF32" i="16"/>
  <c r="BG32" i="16" s="1"/>
  <c r="BL32" i="16"/>
  <c r="BM32" i="16" s="1"/>
  <c r="J33" i="16"/>
  <c r="K33" i="16" s="1"/>
  <c r="P33" i="16"/>
  <c r="Q33" i="16" s="1"/>
  <c r="V33" i="16"/>
  <c r="W33" i="16" s="1"/>
  <c r="AB33" i="16"/>
  <c r="AC33" i="16" s="1"/>
  <c r="AH33" i="16"/>
  <c r="AI33" i="16" s="1"/>
  <c r="AN33" i="16"/>
  <c r="AO33" i="16" s="1"/>
  <c r="AT33" i="16"/>
  <c r="AU33" i="16" s="1"/>
  <c r="AZ33" i="16"/>
  <c r="BA33" i="16" s="1"/>
  <c r="BF33" i="16"/>
  <c r="BG33" i="16" s="1"/>
  <c r="BL33" i="16"/>
  <c r="BM33" i="16" s="1"/>
  <c r="J34" i="16"/>
  <c r="K34" i="16" s="1"/>
  <c r="P34" i="16"/>
  <c r="Q34" i="16" s="1"/>
  <c r="V34" i="16"/>
  <c r="W34" i="16" s="1"/>
  <c r="AB34" i="16"/>
  <c r="AC34" i="16" s="1"/>
  <c r="AH34" i="16"/>
  <c r="AI34" i="16" s="1"/>
  <c r="AN34" i="16"/>
  <c r="AO34" i="16" s="1"/>
  <c r="AT34" i="16"/>
  <c r="AU34" i="16" s="1"/>
  <c r="AZ34" i="16"/>
  <c r="BA34" i="16" s="1"/>
  <c r="BF34" i="16"/>
  <c r="BG34" i="16" s="1"/>
  <c r="BL34" i="16"/>
  <c r="BM34" i="16" s="1"/>
  <c r="J35" i="16"/>
  <c r="K35" i="16" s="1"/>
  <c r="P35" i="16"/>
  <c r="Q35" i="16" s="1"/>
  <c r="V35" i="16"/>
  <c r="W35" i="16" s="1"/>
  <c r="AB35" i="16"/>
  <c r="AC35" i="16" s="1"/>
  <c r="AH35" i="16"/>
  <c r="AI35" i="16" s="1"/>
  <c r="AN35" i="16"/>
  <c r="AO35" i="16" s="1"/>
  <c r="AT35" i="16"/>
  <c r="AU35" i="16" s="1"/>
  <c r="AZ35" i="16"/>
  <c r="BA35" i="16" s="1"/>
  <c r="BF35" i="16"/>
  <c r="BG35" i="16" s="1"/>
  <c r="BL35" i="16"/>
  <c r="BM35" i="16" s="1"/>
  <c r="J36" i="16"/>
  <c r="K36" i="16" s="1"/>
  <c r="P36" i="16"/>
  <c r="Q36" i="16" s="1"/>
  <c r="V36" i="16"/>
  <c r="W36" i="16" s="1"/>
  <c r="AB36" i="16"/>
  <c r="AC36" i="16" s="1"/>
  <c r="AH36" i="16"/>
  <c r="AI36" i="16" s="1"/>
  <c r="AN36" i="16"/>
  <c r="AO36" i="16" s="1"/>
  <c r="AT36" i="16"/>
  <c r="AU36" i="16" s="1"/>
  <c r="AZ36" i="16"/>
  <c r="BA36" i="16" s="1"/>
  <c r="BF36" i="16"/>
  <c r="BG36" i="16" s="1"/>
  <c r="BL36" i="16"/>
  <c r="BM36" i="16" s="1"/>
  <c r="J37" i="16"/>
  <c r="K37" i="16" s="1"/>
  <c r="P37" i="16"/>
  <c r="Q37" i="16" s="1"/>
  <c r="V37" i="16"/>
  <c r="W37" i="16" s="1"/>
  <c r="AB37" i="16"/>
  <c r="AC37" i="16" s="1"/>
  <c r="AH37" i="16"/>
  <c r="AI37" i="16" s="1"/>
  <c r="AN37" i="16"/>
  <c r="AO37" i="16" s="1"/>
  <c r="AT37" i="16"/>
  <c r="AU37" i="16" s="1"/>
  <c r="AZ37" i="16"/>
  <c r="BA37" i="16" s="1"/>
  <c r="BF37" i="16"/>
  <c r="BG37" i="16" s="1"/>
  <c r="BL37" i="16"/>
  <c r="BM37" i="16" s="1"/>
  <c r="J38" i="16"/>
  <c r="K38" i="16" s="1"/>
  <c r="P38" i="16"/>
  <c r="Q38" i="16" s="1"/>
  <c r="V38" i="16"/>
  <c r="W38" i="16" s="1"/>
  <c r="AB38" i="16"/>
  <c r="AC38" i="16" s="1"/>
  <c r="AH38" i="16"/>
  <c r="AI38" i="16" s="1"/>
  <c r="AN38" i="16"/>
  <c r="AO38" i="16" s="1"/>
  <c r="AT38" i="16"/>
  <c r="AU38" i="16" s="1"/>
  <c r="AZ38" i="16"/>
  <c r="BA38" i="16" s="1"/>
  <c r="BF38" i="16"/>
  <c r="BG38" i="16" s="1"/>
  <c r="BL38" i="16"/>
  <c r="BM38" i="16" s="1"/>
  <c r="J39" i="16"/>
  <c r="K39" i="16" s="1"/>
  <c r="P39" i="16"/>
  <c r="Q39" i="16" s="1"/>
  <c r="V39" i="16"/>
  <c r="W39" i="16" s="1"/>
  <c r="AB39" i="16"/>
  <c r="AC39" i="16" s="1"/>
  <c r="AH39" i="16"/>
  <c r="AI39" i="16" s="1"/>
  <c r="AN39" i="16"/>
  <c r="AO39" i="16" s="1"/>
  <c r="AT39" i="16"/>
  <c r="AU39" i="16" s="1"/>
  <c r="AZ39" i="16"/>
  <c r="BA39" i="16" s="1"/>
  <c r="BF39" i="16"/>
  <c r="BG39" i="16" s="1"/>
  <c r="BL39" i="16"/>
  <c r="BM39" i="16" s="1"/>
  <c r="J40" i="16"/>
  <c r="K40" i="16" s="1"/>
  <c r="P40" i="16"/>
  <c r="Q40" i="16" s="1"/>
  <c r="V40" i="16"/>
  <c r="W40" i="16" s="1"/>
  <c r="AB40" i="16"/>
  <c r="AC40" i="16" s="1"/>
  <c r="AH40" i="16"/>
  <c r="AI40" i="16" s="1"/>
  <c r="AN40" i="16"/>
  <c r="AO40" i="16" s="1"/>
  <c r="AT40" i="16"/>
  <c r="AU40" i="16" s="1"/>
  <c r="AZ40" i="16"/>
  <c r="BA40" i="16" s="1"/>
  <c r="BF40" i="16"/>
  <c r="BG40" i="16" s="1"/>
  <c r="BL40" i="16"/>
  <c r="BM40" i="16" s="1"/>
  <c r="J41" i="16"/>
  <c r="K41" i="16" s="1"/>
  <c r="P41" i="16"/>
  <c r="Q41" i="16" s="1"/>
  <c r="V41" i="16"/>
  <c r="W41" i="16" s="1"/>
  <c r="AB41" i="16"/>
  <c r="AC41" i="16" s="1"/>
  <c r="AH41" i="16"/>
  <c r="AI41" i="16" s="1"/>
  <c r="AN41" i="16"/>
  <c r="AO41" i="16" s="1"/>
  <c r="AT41" i="16"/>
  <c r="AU41" i="16" s="1"/>
  <c r="AZ41" i="16"/>
  <c r="BA41" i="16" s="1"/>
  <c r="BF41" i="16"/>
  <c r="BG41" i="16" s="1"/>
  <c r="BL41" i="16"/>
  <c r="BM41" i="16" s="1"/>
  <c r="J42" i="16"/>
  <c r="K42" i="16" s="1"/>
  <c r="P42" i="16"/>
  <c r="Q42" i="16" s="1"/>
  <c r="V42" i="16"/>
  <c r="W42" i="16" s="1"/>
  <c r="AB42" i="16"/>
  <c r="AC42" i="16" s="1"/>
  <c r="AH42" i="16"/>
  <c r="AI42" i="16" s="1"/>
  <c r="AN42" i="16"/>
  <c r="AO42" i="16" s="1"/>
  <c r="AT42" i="16"/>
  <c r="AU42" i="16" s="1"/>
  <c r="AZ42" i="16"/>
  <c r="BA42" i="16" s="1"/>
  <c r="BF42" i="16"/>
  <c r="BG42" i="16" s="1"/>
  <c r="BL42" i="16"/>
  <c r="BM42" i="16" s="1"/>
  <c r="J43" i="16"/>
  <c r="K43" i="16" s="1"/>
  <c r="P43" i="16"/>
  <c r="Q43" i="16" s="1"/>
  <c r="V43" i="16"/>
  <c r="W43" i="16" s="1"/>
  <c r="AB43" i="16"/>
  <c r="AC43" i="16" s="1"/>
  <c r="AH43" i="16"/>
  <c r="AI43" i="16" s="1"/>
  <c r="AN43" i="16"/>
  <c r="AO43" i="16" s="1"/>
  <c r="AT43" i="16"/>
  <c r="AU43" i="16" s="1"/>
  <c r="AZ43" i="16"/>
  <c r="BA43" i="16" s="1"/>
  <c r="BF43" i="16"/>
  <c r="BG43" i="16" s="1"/>
  <c r="BL43" i="16"/>
  <c r="BM43" i="16" s="1"/>
  <c r="J44" i="16"/>
  <c r="K44" i="16" s="1"/>
  <c r="P44" i="16"/>
  <c r="Q44" i="16" s="1"/>
  <c r="V44" i="16"/>
  <c r="W44" i="16" s="1"/>
  <c r="AB44" i="16"/>
  <c r="AC44" i="16" s="1"/>
  <c r="AH44" i="16"/>
  <c r="AI44" i="16" s="1"/>
  <c r="AN44" i="16"/>
  <c r="AO44" i="16" s="1"/>
  <c r="AT44" i="16"/>
  <c r="AU44" i="16" s="1"/>
  <c r="AZ44" i="16"/>
  <c r="BA44" i="16" s="1"/>
  <c r="BF44" i="16"/>
  <c r="BG44" i="16" s="1"/>
  <c r="BL44" i="16"/>
  <c r="BM44" i="16" s="1"/>
  <c r="P5" i="16"/>
  <c r="Q5" i="16" s="1"/>
  <c r="B4" i="45" s="1"/>
  <c r="C4" i="45" s="1"/>
  <c r="V5" i="16"/>
  <c r="W5" i="16" s="1"/>
  <c r="AB5" i="16"/>
  <c r="AC5" i="16" s="1"/>
  <c r="AH5" i="16"/>
  <c r="AI5" i="16" s="1"/>
  <c r="AN5" i="16"/>
  <c r="AO5" i="16" s="1"/>
  <c r="AT5" i="16"/>
  <c r="AU5" i="16" s="1"/>
  <c r="AZ5" i="16"/>
  <c r="BA5" i="16" s="1"/>
  <c r="BF5" i="16"/>
  <c r="BG5" i="16" s="1"/>
  <c r="BL5" i="16"/>
  <c r="BM5" i="16" s="1"/>
  <c r="J5" i="16"/>
  <c r="K5" i="16" s="1"/>
  <c r="CW29" i="6" l="1"/>
  <c r="CW22" i="6"/>
  <c r="CW34" i="6"/>
  <c r="CW42" i="6"/>
  <c r="CW33" i="6"/>
  <c r="L41" i="34"/>
  <c r="L33" i="34"/>
  <c r="L35" i="34"/>
  <c r="L47" i="34"/>
  <c r="L38" i="34"/>
  <c r="CW26" i="6"/>
  <c r="L46" i="34"/>
  <c r="L30" i="34"/>
  <c r="L42" i="34"/>
  <c r="L32" i="34"/>
  <c r="L40" i="34"/>
  <c r="CW24" i="6"/>
  <c r="L36" i="34"/>
  <c r="L31" i="34"/>
  <c r="L34" i="34"/>
  <c r="L44" i="34"/>
  <c r="CW7" i="6"/>
  <c r="CW6" i="6"/>
  <c r="CW38" i="6"/>
  <c r="L39" i="34"/>
  <c r="L43" i="34"/>
  <c r="L37" i="34"/>
  <c r="L45" i="34"/>
  <c r="CX12" i="6"/>
  <c r="L28" i="34"/>
  <c r="L24" i="34"/>
  <c r="L20" i="34"/>
  <c r="L16" i="34"/>
  <c r="L12" i="34"/>
  <c r="L10" i="34"/>
  <c r="L29" i="34"/>
  <c r="L25" i="34"/>
  <c r="L21" i="34"/>
  <c r="L17" i="34"/>
  <c r="L13" i="34"/>
  <c r="L26" i="34"/>
  <c r="L22" i="34"/>
  <c r="L18" i="34"/>
  <c r="L14" i="34"/>
  <c r="L11" i="34"/>
  <c r="L9" i="34"/>
  <c r="L27" i="34"/>
  <c r="L23" i="34"/>
  <c r="L19" i="34"/>
  <c r="L15" i="34"/>
  <c r="CQ6" i="6"/>
  <c r="CR6" i="6" s="1"/>
  <c r="E15" i="31" s="1"/>
  <c r="CX11" i="6"/>
  <c r="CX15" i="6"/>
  <c r="CX28" i="6"/>
  <c r="CX23" i="6"/>
  <c r="CX19" i="6"/>
  <c r="CX18" i="6"/>
  <c r="CX36" i="6"/>
  <c r="CX41" i="6"/>
  <c r="CX42" i="6"/>
  <c r="CX34" i="6"/>
  <c r="CX31" i="6"/>
  <c r="CX25" i="6"/>
  <c r="CQ36" i="6"/>
  <c r="CQ31" i="6"/>
  <c r="CX37" i="6"/>
  <c r="CX39" i="6"/>
  <c r="CX38" i="6"/>
  <c r="CX44" i="6"/>
  <c r="CX35" i="6"/>
  <c r="CX22" i="6"/>
  <c r="CX20" i="6"/>
  <c r="CX14" i="6"/>
  <c r="CX43" i="6"/>
  <c r="CX17" i="6"/>
  <c r="CQ23" i="6"/>
  <c r="CX26" i="6"/>
  <c r="CX21" i="6"/>
  <c r="CX6" i="6"/>
  <c r="CX33" i="6"/>
  <c r="CX29" i="6"/>
  <c r="CQ25" i="6"/>
  <c r="CQ29" i="6"/>
  <c r="CX32" i="6"/>
  <c r="CX24" i="6"/>
  <c r="CQ33" i="6"/>
  <c r="CQ15" i="6"/>
  <c r="CQ22" i="6"/>
  <c r="CQ12" i="6"/>
  <c r="CX27" i="6"/>
  <c r="CX13" i="6"/>
  <c r="CX30" i="6"/>
  <c r="CX9" i="6"/>
  <c r="CX16" i="6"/>
  <c r="CX8" i="6"/>
  <c r="D15" i="31"/>
  <c r="CQ17" i="6"/>
  <c r="CQ7" i="6"/>
  <c r="CQ14" i="6"/>
  <c r="CQ40" i="6"/>
  <c r="CQ27" i="6"/>
  <c r="CQ19" i="6"/>
  <c r="CQ11" i="6"/>
  <c r="CQ39" i="6"/>
  <c r="CQ37" i="6"/>
  <c r="CQ26" i="6"/>
  <c r="CQ18" i="6"/>
  <c r="CQ10" i="6"/>
  <c r="CQ38" i="6"/>
  <c r="CQ44" i="6"/>
  <c r="CQ30" i="6"/>
  <c r="CQ21" i="6"/>
  <c r="CQ13" i="6"/>
  <c r="CQ43" i="6"/>
  <c r="CQ41" i="6"/>
  <c r="CQ28" i="6"/>
  <c r="CQ20" i="6"/>
  <c r="CQ42" i="6"/>
  <c r="CQ9" i="6"/>
  <c r="CQ35" i="6"/>
  <c r="CQ34" i="6"/>
  <c r="CQ24" i="6"/>
  <c r="CQ16" i="6"/>
  <c r="CQ8" i="6"/>
  <c r="CQ32" i="6"/>
  <c r="BZ24" i="44"/>
  <c r="BZ22" i="44"/>
  <c r="BZ20" i="44"/>
  <c r="BZ18" i="44"/>
  <c r="BZ16" i="44"/>
  <c r="BZ25" i="44"/>
  <c r="BZ21" i="44"/>
  <c r="BZ17" i="44"/>
  <c r="BZ23" i="44"/>
  <c r="BZ19" i="44"/>
  <c r="CB15" i="44"/>
  <c r="BX24" i="45"/>
  <c r="BX22" i="45"/>
  <c r="BX20" i="45"/>
  <c r="BX18" i="45"/>
  <c r="BX16" i="45"/>
  <c r="BX25" i="45"/>
  <c r="BX23" i="45"/>
  <c r="BX21" i="45"/>
  <c r="BX19" i="45"/>
  <c r="BX17" i="45"/>
  <c r="BZ15" i="45"/>
  <c r="CX7" i="6"/>
  <c r="CB10" i="45"/>
  <c r="CC10" i="45" s="1"/>
  <c r="BZ10" i="45"/>
  <c r="CA10" i="45" s="1"/>
  <c r="BZ8" i="45"/>
  <c r="CA8" i="45" s="1"/>
  <c r="BZ4" i="45"/>
  <c r="CA4" i="45" s="1"/>
  <c r="BX10" i="45"/>
  <c r="BY10" i="45" s="1"/>
  <c r="BX4" i="45"/>
  <c r="BY4" i="45" s="1"/>
  <c r="BV12" i="45"/>
  <c r="BW12" i="45" s="1"/>
  <c r="BV8" i="45"/>
  <c r="BW8" i="45" s="1"/>
  <c r="BT8" i="45"/>
  <c r="BU8" i="45" s="1"/>
  <c r="BT4" i="45"/>
  <c r="BU4" i="45" s="1"/>
  <c r="BR10" i="45"/>
  <c r="BS10" i="45" s="1"/>
  <c r="BP10" i="45"/>
  <c r="BQ10" i="45" s="1"/>
  <c r="BP4" i="45"/>
  <c r="BQ4" i="45" s="1"/>
  <c r="BN12" i="45"/>
  <c r="BO12" i="45" s="1"/>
  <c r="BN8" i="45"/>
  <c r="BO8" i="45" s="1"/>
  <c r="BN4" i="45"/>
  <c r="BO4" i="45" s="1"/>
  <c r="BL8" i="45"/>
  <c r="BM8" i="45" s="1"/>
  <c r="BL6" i="45"/>
  <c r="BM6" i="45" s="1"/>
  <c r="BJ12" i="45"/>
  <c r="BK12" i="45" s="1"/>
  <c r="BJ8" i="45"/>
  <c r="BK8" i="45" s="1"/>
  <c r="BH12" i="45"/>
  <c r="BI12" i="45" s="1"/>
  <c r="BH10" i="45"/>
  <c r="BI10" i="45" s="1"/>
  <c r="BH6" i="45"/>
  <c r="BI6" i="45" s="1"/>
  <c r="BF6" i="45"/>
  <c r="BG6" i="45" s="1"/>
  <c r="BF4" i="45"/>
  <c r="BG4" i="45" s="1"/>
  <c r="BD10" i="45"/>
  <c r="BE10" i="45" s="1"/>
  <c r="BD6" i="45"/>
  <c r="BE6" i="45" s="1"/>
  <c r="BB10" i="45"/>
  <c r="BC10" i="45" s="1"/>
  <c r="BB8" i="45"/>
  <c r="BC8" i="45" s="1"/>
  <c r="AZ6" i="45"/>
  <c r="BA6" i="45" s="1"/>
  <c r="AZ4" i="45"/>
  <c r="BA4" i="45" s="1"/>
  <c r="AX12" i="45"/>
  <c r="AY12" i="45" s="1"/>
  <c r="AV12" i="45"/>
  <c r="AW12" i="45" s="1"/>
  <c r="AV10" i="45"/>
  <c r="AW10" i="45" s="1"/>
  <c r="AV6" i="45"/>
  <c r="AW6" i="45" s="1"/>
  <c r="AT12" i="45"/>
  <c r="AU12" i="45" s="1"/>
  <c r="AT4" i="45"/>
  <c r="AU4" i="45" s="1"/>
  <c r="AR10" i="45"/>
  <c r="AS10" i="45" s="1"/>
  <c r="AP10" i="45"/>
  <c r="AQ10" i="45" s="1"/>
  <c r="AP4" i="45"/>
  <c r="AQ4" i="45" s="1"/>
  <c r="AN10" i="45"/>
  <c r="AO10" i="45" s="1"/>
  <c r="AN4" i="45"/>
  <c r="AO4" i="45" s="1"/>
  <c r="AL12" i="45"/>
  <c r="AM12" i="45" s="1"/>
  <c r="AL8" i="45"/>
  <c r="AM8" i="45" s="1"/>
  <c r="AL4" i="45"/>
  <c r="AM4" i="45" s="1"/>
  <c r="AJ8" i="45"/>
  <c r="AK8" i="45" s="1"/>
  <c r="AJ6" i="45"/>
  <c r="AK6" i="45" s="1"/>
  <c r="AH12" i="45"/>
  <c r="AI12" i="45" s="1"/>
  <c r="AH8" i="45"/>
  <c r="AI8" i="45" s="1"/>
  <c r="AF12" i="45"/>
  <c r="AG12" i="45" s="1"/>
  <c r="AF8" i="45"/>
  <c r="AG8" i="45" s="1"/>
  <c r="AF4" i="45"/>
  <c r="AG4" i="45" s="1"/>
  <c r="AD8" i="45"/>
  <c r="AE8" i="45" s="1"/>
  <c r="AD6" i="45"/>
  <c r="AE6" i="45" s="1"/>
  <c r="AB12" i="45"/>
  <c r="AC12" i="45" s="1"/>
  <c r="AB4" i="45"/>
  <c r="AC4" i="45" s="1"/>
  <c r="Z12" i="45"/>
  <c r="AA12" i="45" s="1"/>
  <c r="Z10" i="45"/>
  <c r="AA10" i="45" s="1"/>
  <c r="Z6" i="45"/>
  <c r="AA6" i="45" s="1"/>
  <c r="X8" i="45"/>
  <c r="Y8" i="45" s="1"/>
  <c r="X6" i="45"/>
  <c r="Y6" i="45" s="1"/>
  <c r="V10" i="45"/>
  <c r="W10" i="45" s="1"/>
  <c r="V4" i="45"/>
  <c r="W4" i="45" s="1"/>
  <c r="T12" i="45"/>
  <c r="U12" i="45" s="1"/>
  <c r="T8" i="45"/>
  <c r="U8" i="45" s="1"/>
  <c r="T4" i="45"/>
  <c r="U4" i="45" s="1"/>
  <c r="R8" i="45"/>
  <c r="S8" i="45" s="1"/>
  <c r="P10" i="45"/>
  <c r="Q10" i="45" s="1"/>
  <c r="P6" i="45"/>
  <c r="Q6" i="45" s="1"/>
  <c r="N12" i="45"/>
  <c r="O12" i="45" s="1"/>
  <c r="L12" i="45"/>
  <c r="M12" i="45" s="1"/>
  <c r="CB11" i="45"/>
  <c r="CC11" i="45" s="1"/>
  <c r="CB9" i="45"/>
  <c r="CC9" i="45" s="1"/>
  <c r="CB7" i="45"/>
  <c r="CC7" i="45" s="1"/>
  <c r="BZ9" i="45"/>
  <c r="CA9" i="45" s="1"/>
  <c r="BZ7" i="45"/>
  <c r="CA7" i="45" s="1"/>
  <c r="BX11" i="45"/>
  <c r="BY11" i="45" s="1"/>
  <c r="BX9" i="45"/>
  <c r="BY9" i="45" s="1"/>
  <c r="BX7" i="45"/>
  <c r="BY7" i="45" s="1"/>
  <c r="BV9" i="45"/>
  <c r="BW9" i="45" s="1"/>
  <c r="BV7" i="45"/>
  <c r="BW7" i="45" s="1"/>
  <c r="BT11" i="45"/>
  <c r="BU11" i="45" s="1"/>
  <c r="BT9" i="45"/>
  <c r="BU9" i="45" s="1"/>
  <c r="BT7" i="45"/>
  <c r="BU7" i="45" s="1"/>
  <c r="BR9" i="45"/>
  <c r="BS9" i="45" s="1"/>
  <c r="BR7" i="45"/>
  <c r="BS7" i="45" s="1"/>
  <c r="BP11" i="45"/>
  <c r="BQ11" i="45" s="1"/>
  <c r="BP9" i="45"/>
  <c r="BQ9" i="45" s="1"/>
  <c r="BP7" i="45"/>
  <c r="BQ7" i="45" s="1"/>
  <c r="BN9" i="45"/>
  <c r="BO9" i="45" s="1"/>
  <c r="BN7" i="45"/>
  <c r="BO7" i="45" s="1"/>
  <c r="BL11" i="45"/>
  <c r="BM11" i="45" s="1"/>
  <c r="BL9" i="45"/>
  <c r="BM9" i="45" s="1"/>
  <c r="BL7" i="45"/>
  <c r="BM7" i="45" s="1"/>
  <c r="BJ9" i="45"/>
  <c r="BK9" i="45" s="1"/>
  <c r="BJ7" i="45"/>
  <c r="BK7" i="45" s="1"/>
  <c r="BH11" i="45"/>
  <c r="BI11" i="45" s="1"/>
  <c r="BH9" i="45"/>
  <c r="BI9" i="45" s="1"/>
  <c r="BH7" i="45"/>
  <c r="BI7" i="45" s="1"/>
  <c r="BF9" i="45"/>
  <c r="BG9" i="45" s="1"/>
  <c r="BF7" i="45"/>
  <c r="BG7" i="45" s="1"/>
  <c r="BD11" i="45"/>
  <c r="BE11" i="45" s="1"/>
  <c r="BD9" i="45"/>
  <c r="BE9" i="45" s="1"/>
  <c r="BD7" i="45"/>
  <c r="BE7" i="45" s="1"/>
  <c r="BB9" i="45"/>
  <c r="BC9" i="45" s="1"/>
  <c r="BB7" i="45"/>
  <c r="BC7" i="45" s="1"/>
  <c r="AZ11" i="45"/>
  <c r="BA11" i="45" s="1"/>
  <c r="AZ9" i="45"/>
  <c r="BA9" i="45" s="1"/>
  <c r="AZ7" i="45"/>
  <c r="BA7" i="45" s="1"/>
  <c r="AX9" i="45"/>
  <c r="AY9" i="45" s="1"/>
  <c r="AX7" i="45"/>
  <c r="AY7" i="45" s="1"/>
  <c r="AV11" i="45"/>
  <c r="AW11" i="45" s="1"/>
  <c r="AV9" i="45"/>
  <c r="AW9" i="45" s="1"/>
  <c r="AV7" i="45"/>
  <c r="AW7" i="45" s="1"/>
  <c r="AT9" i="45"/>
  <c r="AU9" i="45" s="1"/>
  <c r="AT7" i="45"/>
  <c r="AU7" i="45" s="1"/>
  <c r="AR9" i="45"/>
  <c r="AS9" i="45" s="1"/>
  <c r="AR7" i="45"/>
  <c r="AS7" i="45" s="1"/>
  <c r="AP9" i="45"/>
  <c r="AQ9" i="45" s="1"/>
  <c r="AP7" i="45"/>
  <c r="AQ7" i="45" s="1"/>
  <c r="AN11" i="45"/>
  <c r="AO11" i="45" s="1"/>
  <c r="AN7" i="45"/>
  <c r="AO7" i="45" s="1"/>
  <c r="AN5" i="45"/>
  <c r="AO5" i="45" s="1"/>
  <c r="AL9" i="45"/>
  <c r="AM9" i="45" s="1"/>
  <c r="AL7" i="45"/>
  <c r="AM7" i="45" s="1"/>
  <c r="AL5" i="45"/>
  <c r="AM5" i="45" s="1"/>
  <c r="AJ9" i="45"/>
  <c r="AK9" i="45" s="1"/>
  <c r="AJ7" i="45"/>
  <c r="AK7" i="45" s="1"/>
  <c r="AJ5" i="45"/>
  <c r="AK5" i="45" s="1"/>
  <c r="AH9" i="45"/>
  <c r="AI9" i="45" s="1"/>
  <c r="AH7" i="45"/>
  <c r="AI7" i="45" s="1"/>
  <c r="AH5" i="45"/>
  <c r="AI5" i="45" s="1"/>
  <c r="AF11" i="45"/>
  <c r="AG11" i="45" s="1"/>
  <c r="AF9" i="45"/>
  <c r="AG9" i="45" s="1"/>
  <c r="AF7" i="45"/>
  <c r="AG7" i="45" s="1"/>
  <c r="AF5" i="45"/>
  <c r="AG5" i="45" s="1"/>
  <c r="AD9" i="45"/>
  <c r="AE9" i="45" s="1"/>
  <c r="AD7" i="45"/>
  <c r="AE7" i="45" s="1"/>
  <c r="AD5" i="45"/>
  <c r="AE5" i="45" s="1"/>
  <c r="AB9" i="45"/>
  <c r="AC9" i="45" s="1"/>
  <c r="AB7" i="45"/>
  <c r="AC7" i="45" s="1"/>
  <c r="AB5" i="45"/>
  <c r="AC5" i="45" s="1"/>
  <c r="Z9" i="45"/>
  <c r="AA9" i="45" s="1"/>
  <c r="Z7" i="45"/>
  <c r="AA7" i="45" s="1"/>
  <c r="Z5" i="45"/>
  <c r="AA5" i="45" s="1"/>
  <c r="X11" i="45"/>
  <c r="Y11" i="45" s="1"/>
  <c r="X9" i="45"/>
  <c r="Y9" i="45" s="1"/>
  <c r="X7" i="45"/>
  <c r="Y7" i="45" s="1"/>
  <c r="X5" i="45"/>
  <c r="Y5" i="45" s="1"/>
  <c r="V7" i="45"/>
  <c r="W7" i="45" s="1"/>
  <c r="V5" i="45"/>
  <c r="W5" i="45" s="1"/>
  <c r="T9" i="45"/>
  <c r="U9" i="45" s="1"/>
  <c r="T7" i="45"/>
  <c r="U7" i="45" s="1"/>
  <c r="T5" i="45"/>
  <c r="U5" i="45" s="1"/>
  <c r="R11" i="45"/>
  <c r="S11" i="45" s="1"/>
  <c r="R9" i="45"/>
  <c r="S9" i="45" s="1"/>
  <c r="R7" i="45"/>
  <c r="S7" i="45" s="1"/>
  <c r="R5" i="45"/>
  <c r="S5" i="45" s="1"/>
  <c r="P11" i="45"/>
  <c r="Q11" i="45" s="1"/>
  <c r="P9" i="45"/>
  <c r="Q9" i="45" s="1"/>
  <c r="P7" i="45"/>
  <c r="Q7" i="45" s="1"/>
  <c r="P5" i="45"/>
  <c r="Q5" i="45" s="1"/>
  <c r="N11" i="45"/>
  <c r="O11" i="45" s="1"/>
  <c r="N9" i="45"/>
  <c r="O9" i="45" s="1"/>
  <c r="N7" i="45"/>
  <c r="O7" i="45" s="1"/>
  <c r="N5" i="45"/>
  <c r="O5" i="45" s="1"/>
  <c r="L9" i="45"/>
  <c r="M9" i="45" s="1"/>
  <c r="L7" i="45"/>
  <c r="M7" i="45" s="1"/>
  <c r="L5" i="45"/>
  <c r="M5" i="45" s="1"/>
  <c r="J9" i="45"/>
  <c r="K9" i="45" s="1"/>
  <c r="J7" i="45"/>
  <c r="K7" i="45" s="1"/>
  <c r="J5" i="45"/>
  <c r="K5" i="45" s="1"/>
  <c r="H11" i="45"/>
  <c r="I11" i="45" s="1"/>
  <c r="H9" i="45"/>
  <c r="I9" i="45" s="1"/>
  <c r="H7" i="45"/>
  <c r="I7" i="45" s="1"/>
  <c r="H5" i="45"/>
  <c r="I5" i="45" s="1"/>
  <c r="F11" i="45"/>
  <c r="G11" i="45" s="1"/>
  <c r="F9" i="45"/>
  <c r="G9" i="45" s="1"/>
  <c r="F7" i="45"/>
  <c r="G7" i="45" s="1"/>
  <c r="F5" i="45"/>
  <c r="G5" i="45" s="1"/>
  <c r="D9" i="45"/>
  <c r="E9" i="45" s="1"/>
  <c r="D7" i="45"/>
  <c r="E7" i="45" s="1"/>
  <c r="D5" i="45"/>
  <c r="E5" i="45" s="1"/>
  <c r="CB12" i="45"/>
  <c r="CC12" i="45" s="1"/>
  <c r="CB8" i="45"/>
  <c r="CC8" i="45" s="1"/>
  <c r="CB4" i="45"/>
  <c r="CC4" i="45" s="1"/>
  <c r="BZ12" i="45"/>
  <c r="CA12" i="45" s="1"/>
  <c r="BX8" i="45"/>
  <c r="BY8" i="45" s="1"/>
  <c r="BX6" i="45"/>
  <c r="BY6" i="45" s="1"/>
  <c r="BV10" i="45"/>
  <c r="BW10" i="45" s="1"/>
  <c r="BT12" i="45"/>
  <c r="BU12" i="45" s="1"/>
  <c r="BT10" i="45"/>
  <c r="BU10" i="45" s="1"/>
  <c r="BT6" i="45"/>
  <c r="BU6" i="45" s="1"/>
  <c r="BR12" i="45"/>
  <c r="BS12" i="45" s="1"/>
  <c r="BR8" i="45"/>
  <c r="BS8" i="45" s="1"/>
  <c r="BR6" i="45"/>
  <c r="BS6" i="45" s="1"/>
  <c r="BN10" i="45"/>
  <c r="BO10" i="45" s="1"/>
  <c r="BL12" i="45"/>
  <c r="BM12" i="45" s="1"/>
  <c r="BL10" i="45"/>
  <c r="BM10" i="45" s="1"/>
  <c r="BL4" i="45"/>
  <c r="BM4" i="45" s="1"/>
  <c r="BJ10" i="45"/>
  <c r="BK10" i="45" s="1"/>
  <c r="BJ6" i="45"/>
  <c r="BK6" i="45" s="1"/>
  <c r="BJ4" i="45"/>
  <c r="BK4" i="45" s="1"/>
  <c r="BH4" i="45"/>
  <c r="BI4" i="45" s="1"/>
  <c r="BF10" i="45"/>
  <c r="BG10" i="45" s="1"/>
  <c r="BF8" i="45"/>
  <c r="BG8" i="45" s="1"/>
  <c r="BD12" i="45"/>
  <c r="BE12" i="45" s="1"/>
  <c r="BD8" i="45"/>
  <c r="BE8" i="45" s="1"/>
  <c r="BB12" i="45"/>
  <c r="BC12" i="45" s="1"/>
  <c r="BB6" i="45"/>
  <c r="BC6" i="45" s="1"/>
  <c r="AZ12" i="45"/>
  <c r="BA12" i="45" s="1"/>
  <c r="AZ10" i="45"/>
  <c r="BA10" i="45" s="1"/>
  <c r="AZ8" i="45"/>
  <c r="BA8" i="45" s="1"/>
  <c r="AX10" i="45"/>
  <c r="AY10" i="45" s="1"/>
  <c r="AX6" i="45"/>
  <c r="AY6" i="45" s="1"/>
  <c r="AV8" i="45"/>
  <c r="AW8" i="45" s="1"/>
  <c r="AV4" i="45"/>
  <c r="AW4" i="45" s="1"/>
  <c r="AT10" i="45"/>
  <c r="AU10" i="45" s="1"/>
  <c r="AT8" i="45"/>
  <c r="AU8" i="45" s="1"/>
  <c r="AR12" i="45"/>
  <c r="AS12" i="45" s="1"/>
  <c r="AR8" i="45"/>
  <c r="AS8" i="45" s="1"/>
  <c r="AP12" i="45"/>
  <c r="AQ12" i="45" s="1"/>
  <c r="AP6" i="45"/>
  <c r="AQ6" i="45" s="1"/>
  <c r="AN12" i="45"/>
  <c r="AO12" i="45" s="1"/>
  <c r="AN8" i="45"/>
  <c r="AO8" i="45" s="1"/>
  <c r="AN6" i="45"/>
  <c r="AO6" i="45" s="1"/>
  <c r="AL10" i="45"/>
  <c r="AM10" i="45" s="1"/>
  <c r="AL6" i="45"/>
  <c r="AM6" i="45" s="1"/>
  <c r="AJ12" i="45"/>
  <c r="AK12" i="45" s="1"/>
  <c r="AJ10" i="45"/>
  <c r="AK10" i="45" s="1"/>
  <c r="AJ4" i="45"/>
  <c r="AK4" i="45" s="1"/>
  <c r="AH10" i="45"/>
  <c r="AI10" i="45" s="1"/>
  <c r="AH4" i="45"/>
  <c r="AI4" i="45" s="1"/>
  <c r="AF10" i="45"/>
  <c r="AG10" i="45" s="1"/>
  <c r="AF6" i="45"/>
  <c r="AG6" i="45" s="1"/>
  <c r="AD12" i="45"/>
  <c r="AE12" i="45" s="1"/>
  <c r="AD10" i="45"/>
  <c r="AE10" i="45" s="1"/>
  <c r="AB10" i="45"/>
  <c r="AC10" i="45" s="1"/>
  <c r="AB8" i="45"/>
  <c r="AC8" i="45" s="1"/>
  <c r="AB6" i="45"/>
  <c r="AC6" i="45" s="1"/>
  <c r="Z8" i="45"/>
  <c r="AA8" i="45" s="1"/>
  <c r="Z4" i="45"/>
  <c r="AA4" i="45" s="1"/>
  <c r="X12" i="45"/>
  <c r="Y12" i="45" s="1"/>
  <c r="X10" i="45"/>
  <c r="Y10" i="45" s="1"/>
  <c r="V12" i="45"/>
  <c r="W12" i="45" s="1"/>
  <c r="V6" i="45"/>
  <c r="W6" i="45" s="1"/>
  <c r="T10" i="45"/>
  <c r="U10" i="45" s="1"/>
  <c r="T6" i="45"/>
  <c r="U6" i="45" s="1"/>
  <c r="R12" i="45"/>
  <c r="S12" i="45" s="1"/>
  <c r="R10" i="45"/>
  <c r="S10" i="45" s="1"/>
  <c r="R6" i="45"/>
  <c r="S6" i="45" s="1"/>
  <c r="P12" i="45"/>
  <c r="Q12" i="45" s="1"/>
  <c r="P8" i="45"/>
  <c r="Q8" i="45" s="1"/>
  <c r="P4" i="45"/>
  <c r="Q4" i="45" s="1"/>
  <c r="N10" i="45"/>
  <c r="O10" i="45" s="1"/>
  <c r="N8" i="45"/>
  <c r="O8" i="45" s="1"/>
  <c r="N6" i="45"/>
  <c r="O6" i="45" s="1"/>
  <c r="N4" i="45"/>
  <c r="O4" i="45" s="1"/>
  <c r="L10" i="45"/>
  <c r="M10" i="45" s="1"/>
  <c r="L8" i="45"/>
  <c r="M8" i="45" s="1"/>
  <c r="L6" i="45"/>
  <c r="M6" i="45" s="1"/>
  <c r="J12" i="45"/>
  <c r="K12" i="45" s="1"/>
  <c r="J10" i="45"/>
  <c r="K10" i="45" s="1"/>
  <c r="J8" i="45"/>
  <c r="K8" i="45" s="1"/>
  <c r="J6" i="45"/>
  <c r="K6" i="45" s="1"/>
  <c r="J4" i="45"/>
  <c r="K4" i="45" s="1"/>
  <c r="H12" i="45"/>
  <c r="I12" i="45" s="1"/>
  <c r="H10" i="45"/>
  <c r="I10" i="45" s="1"/>
  <c r="H8" i="45"/>
  <c r="I8" i="45" s="1"/>
  <c r="H6" i="45"/>
  <c r="I6" i="45" s="1"/>
  <c r="F12" i="45"/>
  <c r="G12" i="45" s="1"/>
  <c r="F10" i="45"/>
  <c r="G10" i="45" s="1"/>
  <c r="F8" i="45"/>
  <c r="G8" i="45" s="1"/>
  <c r="F6" i="45"/>
  <c r="G6" i="45" s="1"/>
  <c r="F4" i="45"/>
  <c r="G4" i="45" s="1"/>
  <c r="D12" i="45"/>
  <c r="E12" i="45" s="1"/>
  <c r="D10" i="45"/>
  <c r="E10" i="45" s="1"/>
  <c r="D8" i="45"/>
  <c r="E8" i="45" s="1"/>
  <c r="D6" i="45"/>
  <c r="E6" i="45" s="1"/>
  <c r="D4" i="45"/>
  <c r="E4" i="45" s="1"/>
  <c r="R44" i="34"/>
  <c r="R38" i="34"/>
  <c r="N38" i="34"/>
  <c r="P35" i="34"/>
  <c r="R34" i="34"/>
  <c r="P33" i="34"/>
  <c r="P32" i="34"/>
  <c r="N27" i="34"/>
  <c r="R26" i="34"/>
  <c r="R25" i="34"/>
  <c r="R17" i="34"/>
  <c r="R45" i="34"/>
  <c r="Q45" i="34"/>
  <c r="Q41" i="34"/>
  <c r="Q37" i="34"/>
  <c r="F44" i="33"/>
  <c r="F43" i="33"/>
  <c r="F42" i="33"/>
  <c r="F41" i="33"/>
  <c r="AO5" i="33"/>
  <c r="AR5" i="33" s="1"/>
  <c r="AS5" i="33" s="1"/>
  <c r="U5" i="33"/>
  <c r="X5" i="33" s="1"/>
  <c r="Y5" i="33" s="1"/>
  <c r="AY5" i="33"/>
  <c r="BB5" i="33" s="1"/>
  <c r="BC5" i="33" s="1"/>
  <c r="AE5" i="33"/>
  <c r="AH5" i="33" s="1"/>
  <c r="AI5" i="33" s="1"/>
  <c r="K5" i="33"/>
  <c r="N5" i="33" s="1"/>
  <c r="O5" i="33" s="1"/>
  <c r="F5" i="33"/>
  <c r="AT5" i="33"/>
  <c r="AW5" i="33" s="1"/>
  <c r="AX5" i="33" s="1"/>
  <c r="AJ5" i="33"/>
  <c r="AM5" i="33" s="1"/>
  <c r="AN5" i="33" s="1"/>
  <c r="Z5" i="33"/>
  <c r="AC5" i="33" s="1"/>
  <c r="AD5" i="33" s="1"/>
  <c r="P5" i="33"/>
  <c r="S5" i="33" s="1"/>
  <c r="T5" i="33" s="1"/>
  <c r="F40" i="33"/>
  <c r="F39" i="33"/>
  <c r="F38" i="33"/>
  <c r="F37" i="33"/>
  <c r="F36" i="33"/>
  <c r="F35" i="33"/>
  <c r="F34" i="33"/>
  <c r="F33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CS6" i="6" l="1"/>
  <c r="CV6" i="6" s="1"/>
  <c r="F15" i="31" s="1"/>
  <c r="CR24" i="6"/>
  <c r="E33" i="31" s="1"/>
  <c r="CS24" i="6"/>
  <c r="CV24" i="6" s="1"/>
  <c r="F33" i="31" s="1"/>
  <c r="CR41" i="6"/>
  <c r="E50" i="31" s="1"/>
  <c r="CS41" i="6"/>
  <c r="CV41" i="6" s="1"/>
  <c r="F50" i="31" s="1"/>
  <c r="CR30" i="6"/>
  <c r="E39" i="31" s="1"/>
  <c r="CS30" i="6"/>
  <c r="CV30" i="6" s="1"/>
  <c r="CR38" i="6"/>
  <c r="E47" i="31" s="1"/>
  <c r="CS38" i="6"/>
  <c r="CV38" i="6" s="1"/>
  <c r="F47" i="31" s="1"/>
  <c r="CR37" i="6"/>
  <c r="E46" i="31" s="1"/>
  <c r="CS37" i="6"/>
  <c r="CV37" i="6" s="1"/>
  <c r="F46" i="31" s="1"/>
  <c r="CS27" i="6"/>
  <c r="CV27" i="6" s="1"/>
  <c r="CR27" i="6"/>
  <c r="CR17" i="6"/>
  <c r="E26" i="31" s="1"/>
  <c r="CS17" i="6"/>
  <c r="CV17" i="6" s="1"/>
  <c r="F26" i="31" s="1"/>
  <c r="CR12" i="6"/>
  <c r="E21" i="31" s="1"/>
  <c r="CS12" i="6"/>
  <c r="CV12" i="6" s="1"/>
  <c r="D45" i="31"/>
  <c r="CR36" i="6"/>
  <c r="E45" i="31" s="1"/>
  <c r="CS36" i="6"/>
  <c r="CV36" i="6" s="1"/>
  <c r="F45" i="31" s="1"/>
  <c r="CR16" i="6"/>
  <c r="CS16" i="6"/>
  <c r="CR9" i="6"/>
  <c r="E18" i="31" s="1"/>
  <c r="CS9" i="6"/>
  <c r="CV9" i="6" s="1"/>
  <c r="F18" i="31" s="1"/>
  <c r="CR28" i="6"/>
  <c r="E37" i="31" s="1"/>
  <c r="CS28" i="6"/>
  <c r="CV28" i="6" s="1"/>
  <c r="CR21" i="6"/>
  <c r="CS21" i="6"/>
  <c r="CV21" i="6" s="1"/>
  <c r="CR26" i="6"/>
  <c r="E35" i="31" s="1"/>
  <c r="CS26" i="6"/>
  <c r="CS19" i="6"/>
  <c r="CV19" i="6" s="1"/>
  <c r="F28" i="31" s="1"/>
  <c r="CR19" i="6"/>
  <c r="E28" i="31" s="1"/>
  <c r="CS7" i="6"/>
  <c r="CV7" i="6" s="1"/>
  <c r="F16" i="31" s="1"/>
  <c r="CR7" i="6"/>
  <c r="CR33" i="6"/>
  <c r="E42" i="31" s="1"/>
  <c r="CS33" i="6"/>
  <c r="CV33" i="6" s="1"/>
  <c r="F42" i="31" s="1"/>
  <c r="CR25" i="6"/>
  <c r="E34" i="31" s="1"/>
  <c r="CS25" i="6"/>
  <c r="CR8" i="6"/>
  <c r="E17" i="31" s="1"/>
  <c r="CS8" i="6"/>
  <c r="CV8" i="6" s="1"/>
  <c r="F17" i="31" s="1"/>
  <c r="CS35" i="6"/>
  <c r="CV35" i="6" s="1"/>
  <c r="CR35" i="6"/>
  <c r="E44" i="31" s="1"/>
  <c r="CR20" i="6"/>
  <c r="E29" i="31" s="1"/>
  <c r="CS20" i="6"/>
  <c r="CV20" i="6" s="1"/>
  <c r="F29" i="31" s="1"/>
  <c r="CR13" i="6"/>
  <c r="E22" i="31" s="1"/>
  <c r="CS13" i="6"/>
  <c r="CR18" i="6"/>
  <c r="E27" i="31" s="1"/>
  <c r="CS18" i="6"/>
  <c r="CV18" i="6" s="1"/>
  <c r="F27" i="31" s="1"/>
  <c r="CS11" i="6"/>
  <c r="CV11" i="6" s="1"/>
  <c r="F20" i="31" s="1"/>
  <c r="CR11" i="6"/>
  <c r="CR14" i="6"/>
  <c r="E23" i="31" s="1"/>
  <c r="CS14" i="6"/>
  <c r="CV14" i="6" s="1"/>
  <c r="F23" i="31" s="1"/>
  <c r="CS15" i="6"/>
  <c r="CR15" i="6"/>
  <c r="E24" i="31" s="1"/>
  <c r="D38" i="31"/>
  <c r="CR29" i="6"/>
  <c r="E38" i="31" s="1"/>
  <c r="CS29" i="6"/>
  <c r="CV29" i="6" s="1"/>
  <c r="F38" i="31" s="1"/>
  <c r="D32" i="31"/>
  <c r="CS23" i="6"/>
  <c r="CV23" i="6" s="1"/>
  <c r="F32" i="31" s="1"/>
  <c r="CR23" i="6"/>
  <c r="E32" i="31" s="1"/>
  <c r="CS31" i="6"/>
  <c r="CV31" i="6" s="1"/>
  <c r="CR31" i="6"/>
  <c r="E40" i="31" s="1"/>
  <c r="CR32" i="6"/>
  <c r="E41" i="31" s="1"/>
  <c r="CS32" i="6"/>
  <c r="CV32" i="6" s="1"/>
  <c r="F41" i="31" s="1"/>
  <c r="CR34" i="6"/>
  <c r="E43" i="31" s="1"/>
  <c r="CS34" i="6"/>
  <c r="CV34" i="6" s="1"/>
  <c r="CR42" i="6"/>
  <c r="E51" i="31" s="1"/>
  <c r="CS42" i="6"/>
  <c r="CV42" i="6" s="1"/>
  <c r="F51" i="31" s="1"/>
  <c r="CS43" i="6"/>
  <c r="CV43" i="6" s="1"/>
  <c r="F52" i="31" s="1"/>
  <c r="CR43" i="6"/>
  <c r="E52" i="31" s="1"/>
  <c r="CR44" i="6"/>
  <c r="E53" i="31" s="1"/>
  <c r="CS44" i="6"/>
  <c r="CV44" i="6" s="1"/>
  <c r="F53" i="31" s="1"/>
  <c r="CR10" i="6"/>
  <c r="E19" i="31" s="1"/>
  <c r="CS10" i="6"/>
  <c r="CS39" i="6"/>
  <c r="CV39" i="6" s="1"/>
  <c r="F48" i="31" s="1"/>
  <c r="CR39" i="6"/>
  <c r="E48" i="31" s="1"/>
  <c r="CR40" i="6"/>
  <c r="E49" i="31" s="1"/>
  <c r="CS40" i="6"/>
  <c r="CV40" i="6" s="1"/>
  <c r="F49" i="31" s="1"/>
  <c r="D31" i="31"/>
  <c r="CR22" i="6"/>
  <c r="E31" i="31" s="1"/>
  <c r="CS22" i="6"/>
  <c r="CV22" i="6" s="1"/>
  <c r="F31" i="31" s="1"/>
  <c r="B3" i="44"/>
  <c r="C7" i="44" s="1"/>
  <c r="CJ5" i="6"/>
  <c r="CU5" i="6" s="1"/>
  <c r="C8" i="34"/>
  <c r="H8" i="34" s="1"/>
  <c r="I8" i="34" s="1"/>
  <c r="J8" i="34" s="1"/>
  <c r="K8" i="34" s="1"/>
  <c r="CH5" i="6"/>
  <c r="CM5" i="6" s="1"/>
  <c r="CP5" i="6" s="1"/>
  <c r="CI5" i="6"/>
  <c r="CT5" i="6" s="1"/>
  <c r="N21" i="34"/>
  <c r="D40" i="31"/>
  <c r="F40" i="31"/>
  <c r="D34" i="31"/>
  <c r="D42" i="31"/>
  <c r="D16" i="31"/>
  <c r="E16" i="31"/>
  <c r="D24" i="31"/>
  <c r="D26" i="31"/>
  <c r="D23" i="31"/>
  <c r="D21" i="31"/>
  <c r="F21" i="31"/>
  <c r="D17" i="31"/>
  <c r="D44" i="31"/>
  <c r="F44" i="31"/>
  <c r="D29" i="31"/>
  <c r="D22" i="31"/>
  <c r="D27" i="31"/>
  <c r="D20" i="31"/>
  <c r="E20" i="31"/>
  <c r="D25" i="31"/>
  <c r="E25" i="31"/>
  <c r="D18" i="31"/>
  <c r="D37" i="31"/>
  <c r="F37" i="31"/>
  <c r="D30" i="31"/>
  <c r="E30" i="31"/>
  <c r="F30" i="31"/>
  <c r="D35" i="31"/>
  <c r="D28" i="31"/>
  <c r="D33" i="31"/>
  <c r="D50" i="31"/>
  <c r="F39" i="31"/>
  <c r="D39" i="31"/>
  <c r="D47" i="31"/>
  <c r="D46" i="31"/>
  <c r="F36" i="31"/>
  <c r="D36" i="31"/>
  <c r="E36" i="31"/>
  <c r="D41" i="31"/>
  <c r="D43" i="31"/>
  <c r="F43" i="31"/>
  <c r="D51" i="31"/>
  <c r="D52" i="31"/>
  <c r="D53" i="31"/>
  <c r="D19" i="31"/>
  <c r="D48" i="31"/>
  <c r="D49" i="31"/>
  <c r="Q38" i="34"/>
  <c r="Q31" i="34"/>
  <c r="Q39" i="34"/>
  <c r="Q43" i="34"/>
  <c r="Q47" i="34"/>
  <c r="R19" i="34"/>
  <c r="N28" i="34"/>
  <c r="N36" i="34"/>
  <c r="Q24" i="34"/>
  <c r="Q42" i="34"/>
  <c r="Q46" i="34"/>
  <c r="N18" i="34"/>
  <c r="N23" i="34"/>
  <c r="N46" i="34"/>
  <c r="Q20" i="34"/>
  <c r="Q35" i="34"/>
  <c r="Q40" i="34"/>
  <c r="Q44" i="34"/>
  <c r="R16" i="34"/>
  <c r="R36" i="34"/>
  <c r="N47" i="34"/>
  <c r="CB24" i="44"/>
  <c r="CB22" i="44"/>
  <c r="CB20" i="44"/>
  <c r="CB18" i="44"/>
  <c r="CB16" i="44"/>
  <c r="CD15" i="44"/>
  <c r="CB23" i="44"/>
  <c r="CB19" i="44"/>
  <c r="CB25" i="44"/>
  <c r="CB21" i="44"/>
  <c r="CB17" i="44"/>
  <c r="R40" i="34"/>
  <c r="Q14" i="34"/>
  <c r="Q18" i="34"/>
  <c r="Q29" i="34"/>
  <c r="Q33" i="34"/>
  <c r="P18" i="34"/>
  <c r="P22" i="34"/>
  <c r="P31" i="34"/>
  <c r="P39" i="34"/>
  <c r="O27" i="34"/>
  <c r="P14" i="34"/>
  <c r="R15" i="34"/>
  <c r="N26" i="34"/>
  <c r="R18" i="34"/>
  <c r="V8" i="45"/>
  <c r="W8" i="45" s="1"/>
  <c r="N32" i="34"/>
  <c r="AX4" i="45"/>
  <c r="AY4" i="45" s="1"/>
  <c r="N35" i="34"/>
  <c r="BD4" i="45"/>
  <c r="BE4" i="45" s="1"/>
  <c r="R37" i="34"/>
  <c r="BH8" i="45"/>
  <c r="BI8" i="45" s="1"/>
  <c r="BP8" i="45"/>
  <c r="BQ8" i="45" s="1"/>
  <c r="P44" i="34"/>
  <c r="BV6" i="45"/>
  <c r="BW6" i="45" s="1"/>
  <c r="BX12" i="45"/>
  <c r="BY12" i="45" s="1"/>
  <c r="V9" i="45"/>
  <c r="W9" i="45" s="1"/>
  <c r="AN9" i="45"/>
  <c r="AO9" i="45" s="1"/>
  <c r="O28" i="34"/>
  <c r="AP5" i="45"/>
  <c r="AQ5" i="45" s="1"/>
  <c r="O29" i="34"/>
  <c r="AR5" i="45"/>
  <c r="AS5" i="45" s="1"/>
  <c r="O30" i="34"/>
  <c r="AT5" i="45"/>
  <c r="AU5" i="45" s="1"/>
  <c r="O31" i="34"/>
  <c r="AV5" i="45"/>
  <c r="AW5" i="45" s="1"/>
  <c r="O32" i="34"/>
  <c r="AX5" i="45"/>
  <c r="AY5" i="45" s="1"/>
  <c r="O33" i="34"/>
  <c r="AZ5" i="45"/>
  <c r="BA5" i="45" s="1"/>
  <c r="O34" i="34"/>
  <c r="BB5" i="45"/>
  <c r="BC5" i="45" s="1"/>
  <c r="O35" i="34"/>
  <c r="BD5" i="45"/>
  <c r="BE5" i="45" s="1"/>
  <c r="O36" i="34"/>
  <c r="BF5" i="45"/>
  <c r="BG5" i="45" s="1"/>
  <c r="O37" i="34"/>
  <c r="BH5" i="45"/>
  <c r="BI5" i="45" s="1"/>
  <c r="O38" i="34"/>
  <c r="BJ5" i="45"/>
  <c r="BK5" i="45" s="1"/>
  <c r="O39" i="34"/>
  <c r="BL5" i="45"/>
  <c r="BM5" i="45" s="1"/>
  <c r="O40" i="34"/>
  <c r="BN5" i="45"/>
  <c r="BO5" i="45" s="1"/>
  <c r="O41" i="34"/>
  <c r="BP5" i="45"/>
  <c r="BQ5" i="45" s="1"/>
  <c r="O42" i="34"/>
  <c r="BR5" i="45"/>
  <c r="BS5" i="45" s="1"/>
  <c r="O43" i="34"/>
  <c r="BT5" i="45"/>
  <c r="BU5" i="45" s="1"/>
  <c r="O44" i="34"/>
  <c r="BV5" i="45"/>
  <c r="BW5" i="45" s="1"/>
  <c r="O45" i="34"/>
  <c r="BX5" i="45"/>
  <c r="BY5" i="45" s="1"/>
  <c r="O46" i="34"/>
  <c r="BZ5" i="45"/>
  <c r="CA5" i="45" s="1"/>
  <c r="O47" i="34"/>
  <c r="CB5" i="45"/>
  <c r="CC5" i="45" s="1"/>
  <c r="N16" i="34"/>
  <c r="R4" i="45"/>
  <c r="S4" i="45" s="1"/>
  <c r="AP8" i="45"/>
  <c r="AQ8" i="45" s="1"/>
  <c r="P29" i="34"/>
  <c r="AR6" i="45"/>
  <c r="AS6" i="45" s="1"/>
  <c r="R32" i="34"/>
  <c r="AX8" i="45"/>
  <c r="AY8" i="45" s="1"/>
  <c r="N34" i="34"/>
  <c r="BB4" i="45"/>
  <c r="BC4" i="45" s="1"/>
  <c r="N42" i="34"/>
  <c r="BR4" i="45"/>
  <c r="BS4" i="45" s="1"/>
  <c r="N44" i="34"/>
  <c r="BV4" i="45"/>
  <c r="BW4" i="45" s="1"/>
  <c r="P47" i="34"/>
  <c r="CB6" i="45"/>
  <c r="CC6" i="45" s="1"/>
  <c r="N11" i="34"/>
  <c r="H4" i="45"/>
  <c r="I4" i="45" s="1"/>
  <c r="N13" i="34"/>
  <c r="L4" i="45"/>
  <c r="M4" i="45" s="1"/>
  <c r="N22" i="34"/>
  <c r="AD4" i="45"/>
  <c r="AE4" i="45" s="1"/>
  <c r="P24" i="34"/>
  <c r="AH6" i="45"/>
  <c r="AI6" i="45" s="1"/>
  <c r="N29" i="34"/>
  <c r="AR4" i="45"/>
  <c r="AS4" i="45" s="1"/>
  <c r="P40" i="34"/>
  <c r="BN6" i="45"/>
  <c r="BO6" i="45" s="1"/>
  <c r="P41" i="34"/>
  <c r="BP6" i="45"/>
  <c r="BQ6" i="45" s="1"/>
  <c r="BP12" i="45"/>
  <c r="BQ12" i="45" s="1"/>
  <c r="P46" i="34"/>
  <c r="BZ6" i="45"/>
  <c r="CA6" i="45" s="1"/>
  <c r="D11" i="45"/>
  <c r="E11" i="45" s="1"/>
  <c r="J11" i="45"/>
  <c r="K11" i="45" s="1"/>
  <c r="L11" i="45"/>
  <c r="M11" i="45" s="1"/>
  <c r="T11" i="45"/>
  <c r="U11" i="45" s="1"/>
  <c r="V11" i="45"/>
  <c r="W11" i="45" s="1"/>
  <c r="Z11" i="45"/>
  <c r="AA11" i="45" s="1"/>
  <c r="AB11" i="45"/>
  <c r="AC11" i="45" s="1"/>
  <c r="AD11" i="45"/>
  <c r="AE11" i="45" s="1"/>
  <c r="AH11" i="45"/>
  <c r="AI11" i="45" s="1"/>
  <c r="AJ11" i="45"/>
  <c r="AK11" i="45" s="1"/>
  <c r="AL11" i="45"/>
  <c r="AM11" i="45" s="1"/>
  <c r="AP11" i="45"/>
  <c r="AQ11" i="45" s="1"/>
  <c r="AR11" i="45"/>
  <c r="AS11" i="45" s="1"/>
  <c r="AT11" i="45"/>
  <c r="AU11" i="45" s="1"/>
  <c r="AX11" i="45"/>
  <c r="AY11" i="45" s="1"/>
  <c r="BB11" i="45"/>
  <c r="BC11" i="45" s="1"/>
  <c r="BF11" i="45"/>
  <c r="BG11" i="45" s="1"/>
  <c r="BJ11" i="45"/>
  <c r="BK11" i="45" s="1"/>
  <c r="BN11" i="45"/>
  <c r="BO11" i="45" s="1"/>
  <c r="BR11" i="45"/>
  <c r="BS11" i="45" s="1"/>
  <c r="BV11" i="45"/>
  <c r="BW11" i="45" s="1"/>
  <c r="BZ11" i="45"/>
  <c r="CA11" i="45" s="1"/>
  <c r="X4" i="45"/>
  <c r="Y4" i="45" s="1"/>
  <c r="AT6" i="45"/>
  <c r="AU6" i="45" s="1"/>
  <c r="BF12" i="45"/>
  <c r="BG12" i="45" s="1"/>
  <c r="N3" i="45"/>
  <c r="O3" i="45" s="1"/>
  <c r="BD11" i="8"/>
  <c r="R3" i="45"/>
  <c r="S3" i="45" s="1"/>
  <c r="BD13" i="8"/>
  <c r="V3" i="45"/>
  <c r="W3" i="45" s="1"/>
  <c r="BD15" i="8"/>
  <c r="Z3" i="45"/>
  <c r="AA3" i="45" s="1"/>
  <c r="BD17" i="8"/>
  <c r="AD3" i="45"/>
  <c r="AE3" i="45" s="1"/>
  <c r="BD19" i="8"/>
  <c r="AH3" i="45"/>
  <c r="AI3" i="45" s="1"/>
  <c r="BD21" i="8"/>
  <c r="AL3" i="45"/>
  <c r="AM3" i="45" s="1"/>
  <c r="BD23" i="8"/>
  <c r="AP3" i="45"/>
  <c r="AQ3" i="45" s="1"/>
  <c r="BD25" i="8"/>
  <c r="AT3" i="45"/>
  <c r="AU3" i="45" s="1"/>
  <c r="BD27" i="8"/>
  <c r="AX3" i="45"/>
  <c r="AY3" i="45" s="1"/>
  <c r="BD29" i="8"/>
  <c r="BB3" i="45"/>
  <c r="BC3" i="45" s="1"/>
  <c r="BD31" i="8"/>
  <c r="BF3" i="45"/>
  <c r="BG3" i="45" s="1"/>
  <c r="BD33" i="8"/>
  <c r="BJ3" i="45"/>
  <c r="BK3" i="45" s="1"/>
  <c r="BD35" i="8"/>
  <c r="BN3" i="45"/>
  <c r="BO3" i="45" s="1"/>
  <c r="BD37" i="8"/>
  <c r="BP3" i="45"/>
  <c r="BQ3" i="45" s="1"/>
  <c r="BD38" i="8"/>
  <c r="BR3" i="45"/>
  <c r="BS3" i="45" s="1"/>
  <c r="BD39" i="8"/>
  <c r="BV3" i="45"/>
  <c r="BW3" i="45" s="1"/>
  <c r="BD41" i="8"/>
  <c r="BX3" i="45"/>
  <c r="BY3" i="45" s="1"/>
  <c r="BD42" i="8"/>
  <c r="BZ3" i="45"/>
  <c r="CA3" i="45" s="1"/>
  <c r="BD43" i="8"/>
  <c r="BD9" i="8"/>
  <c r="J3" i="45"/>
  <c r="K3" i="45" s="1"/>
  <c r="L3" i="45"/>
  <c r="M3" i="45" s="1"/>
  <c r="BD10" i="8"/>
  <c r="P3" i="45"/>
  <c r="Q3" i="45" s="1"/>
  <c r="BD12" i="8"/>
  <c r="T3" i="45"/>
  <c r="U3" i="45" s="1"/>
  <c r="BD14" i="8"/>
  <c r="X3" i="45"/>
  <c r="Y3" i="45" s="1"/>
  <c r="BD16" i="8"/>
  <c r="AB3" i="45"/>
  <c r="AC3" i="45" s="1"/>
  <c r="BD18" i="8"/>
  <c r="AF3" i="45"/>
  <c r="AG3" i="45" s="1"/>
  <c r="BD20" i="8"/>
  <c r="AJ3" i="45"/>
  <c r="AK3" i="45" s="1"/>
  <c r="BD22" i="8"/>
  <c r="AN3" i="45"/>
  <c r="AO3" i="45" s="1"/>
  <c r="BD24" i="8"/>
  <c r="AR3" i="45"/>
  <c r="AS3" i="45" s="1"/>
  <c r="BD26" i="8"/>
  <c r="AV3" i="45"/>
  <c r="AW3" i="45" s="1"/>
  <c r="BD28" i="8"/>
  <c r="AZ3" i="45"/>
  <c r="BA3" i="45" s="1"/>
  <c r="BD30" i="8"/>
  <c r="BD3" i="45"/>
  <c r="BE3" i="45" s="1"/>
  <c r="BD32" i="8"/>
  <c r="BH3" i="45"/>
  <c r="BI3" i="45" s="1"/>
  <c r="BD34" i="8"/>
  <c r="BL3" i="45"/>
  <c r="BM3" i="45" s="1"/>
  <c r="BD36" i="8"/>
  <c r="BT3" i="45"/>
  <c r="BU3" i="45" s="1"/>
  <c r="BD40" i="8"/>
  <c r="CB3" i="45"/>
  <c r="CC3" i="45" s="1"/>
  <c r="BD44" i="8"/>
  <c r="BD8" i="8"/>
  <c r="H3" i="45"/>
  <c r="I3" i="45" s="1"/>
  <c r="F3" i="45"/>
  <c r="G3" i="45" s="1"/>
  <c r="BD7" i="8"/>
  <c r="D3" i="45"/>
  <c r="E3" i="45" s="1"/>
  <c r="BD6" i="8"/>
  <c r="B3" i="45"/>
  <c r="C3" i="45" s="1"/>
  <c r="Q12" i="34"/>
  <c r="Q16" i="34"/>
  <c r="Q22" i="34"/>
  <c r="Q26" i="34"/>
  <c r="Q27" i="34"/>
  <c r="Q28" i="34"/>
  <c r="Q30" i="34"/>
  <c r="Q32" i="34"/>
  <c r="Q34" i="34"/>
  <c r="Q36" i="34"/>
  <c r="R20" i="34"/>
  <c r="P19" i="34"/>
  <c r="R22" i="34"/>
  <c r="R24" i="34"/>
  <c r="R28" i="34"/>
  <c r="P37" i="34"/>
  <c r="P10" i="34"/>
  <c r="R11" i="34"/>
  <c r="R13" i="34"/>
  <c r="P17" i="34"/>
  <c r="P27" i="34"/>
  <c r="R30" i="34"/>
  <c r="P38" i="34"/>
  <c r="N10" i="34"/>
  <c r="BZ25" i="45"/>
  <c r="BZ23" i="45"/>
  <c r="BZ21" i="45"/>
  <c r="BZ19" i="45"/>
  <c r="BZ17" i="45"/>
  <c r="BZ24" i="45"/>
  <c r="BZ22" i="45"/>
  <c r="BZ20" i="45"/>
  <c r="BZ18" i="45"/>
  <c r="BZ16" i="45"/>
  <c r="CB15" i="45"/>
  <c r="C11" i="44"/>
  <c r="C10" i="44"/>
  <c r="P34" i="34"/>
  <c r="R47" i="34"/>
  <c r="P15" i="34"/>
  <c r="P20" i="34"/>
  <c r="R23" i="34"/>
  <c r="P25" i="34"/>
  <c r="N30" i="34"/>
  <c r="N33" i="34"/>
  <c r="P36" i="34"/>
  <c r="R39" i="34"/>
  <c r="N41" i="34"/>
  <c r="N43" i="34"/>
  <c r="R46" i="34"/>
  <c r="N31" i="34"/>
  <c r="N9" i="34"/>
  <c r="R10" i="34"/>
  <c r="R43" i="34"/>
  <c r="N45" i="34"/>
  <c r="P9" i="34"/>
  <c r="P12" i="34"/>
  <c r="N19" i="34"/>
  <c r="P30" i="34"/>
  <c r="N40" i="34"/>
  <c r="P42" i="34"/>
  <c r="P13" i="34"/>
  <c r="N17" i="34"/>
  <c r="N20" i="34"/>
  <c r="P21" i="34"/>
  <c r="P23" i="34"/>
  <c r="N24" i="34"/>
  <c r="R27" i="34"/>
  <c r="R33" i="34"/>
  <c r="R41" i="34"/>
  <c r="P45" i="34"/>
  <c r="Q10" i="34"/>
  <c r="R9" i="34"/>
  <c r="P11" i="34"/>
  <c r="N12" i="34"/>
  <c r="R12" i="34"/>
  <c r="N14" i="34"/>
  <c r="R14" i="34"/>
  <c r="N15" i="34"/>
  <c r="P16" i="34"/>
  <c r="R21" i="34"/>
  <c r="N25" i="34"/>
  <c r="P26" i="34"/>
  <c r="P28" i="34"/>
  <c r="R29" i="34"/>
  <c r="R31" i="34"/>
  <c r="R35" i="34"/>
  <c r="N37" i="34"/>
  <c r="N39" i="34"/>
  <c r="R42" i="34"/>
  <c r="P43" i="34"/>
  <c r="Q9" i="34"/>
  <c r="Q11" i="34"/>
  <c r="Q13" i="34"/>
  <c r="Q15" i="34"/>
  <c r="Q17" i="34"/>
  <c r="Q19" i="34"/>
  <c r="Q21" i="34"/>
  <c r="Q23" i="34"/>
  <c r="Q25" i="34"/>
  <c r="O9" i="34"/>
  <c r="O10" i="34"/>
  <c r="O11" i="34"/>
  <c r="O12" i="34"/>
  <c r="O13" i="34"/>
  <c r="O14" i="34"/>
  <c r="O15" i="34"/>
  <c r="O16" i="34"/>
  <c r="O17" i="34"/>
  <c r="O18" i="34"/>
  <c r="O19" i="34"/>
  <c r="O20" i="34"/>
  <c r="O21" i="34"/>
  <c r="O22" i="34"/>
  <c r="O23" i="34"/>
  <c r="O24" i="34"/>
  <c r="O25" i="34"/>
  <c r="O26" i="34"/>
  <c r="B8" i="45"/>
  <c r="C8" i="45" s="1"/>
  <c r="B12" i="45"/>
  <c r="C12" i="45" s="1"/>
  <c r="O8" i="34"/>
  <c r="B7" i="45"/>
  <c r="C7" i="45" s="1"/>
  <c r="B9" i="45"/>
  <c r="C9" i="45" s="1"/>
  <c r="B11" i="45"/>
  <c r="C11" i="45" s="1"/>
  <c r="B6" i="45"/>
  <c r="C6" i="45" s="1"/>
  <c r="B10" i="45"/>
  <c r="C10" i="45" s="1"/>
  <c r="M12" i="34"/>
  <c r="T12" i="34" s="1"/>
  <c r="U12" i="34" s="1"/>
  <c r="V12" i="34" s="1"/>
  <c r="BE9" i="8"/>
  <c r="BF9" i="8" s="1"/>
  <c r="M41" i="34"/>
  <c r="BE38" i="8"/>
  <c r="BF38" i="8" s="1"/>
  <c r="M9" i="34"/>
  <c r="BE6" i="8"/>
  <c r="BF6" i="8" s="1"/>
  <c r="M10" i="34"/>
  <c r="T10" i="34" s="1"/>
  <c r="U10" i="34" s="1"/>
  <c r="V10" i="34" s="1"/>
  <c r="BE7" i="8"/>
  <c r="BF7" i="8" s="1"/>
  <c r="M13" i="34"/>
  <c r="BE10" i="8"/>
  <c r="BF10" i="8" s="1"/>
  <c r="M14" i="34"/>
  <c r="T14" i="34" s="1"/>
  <c r="U14" i="34" s="1"/>
  <c r="V14" i="34" s="1"/>
  <c r="BE11" i="8"/>
  <c r="BF11" i="8" s="1"/>
  <c r="M15" i="34"/>
  <c r="BE12" i="8"/>
  <c r="BF12" i="8" s="1"/>
  <c r="M16" i="34"/>
  <c r="T16" i="34" s="1"/>
  <c r="U16" i="34" s="1"/>
  <c r="V16" i="34" s="1"/>
  <c r="BE13" i="8"/>
  <c r="BF13" i="8" s="1"/>
  <c r="M17" i="34"/>
  <c r="BE14" i="8"/>
  <c r="BF14" i="8" s="1"/>
  <c r="M18" i="34"/>
  <c r="T18" i="34" s="1"/>
  <c r="U18" i="34" s="1"/>
  <c r="V18" i="34" s="1"/>
  <c r="BE15" i="8"/>
  <c r="BF15" i="8" s="1"/>
  <c r="M19" i="34"/>
  <c r="BE16" i="8"/>
  <c r="BF16" i="8" s="1"/>
  <c r="M20" i="34"/>
  <c r="T20" i="34" s="1"/>
  <c r="U20" i="34" s="1"/>
  <c r="V20" i="34" s="1"/>
  <c r="BE17" i="8"/>
  <c r="BF17" i="8" s="1"/>
  <c r="M21" i="34"/>
  <c r="BE18" i="8"/>
  <c r="BF18" i="8" s="1"/>
  <c r="M22" i="34"/>
  <c r="T22" i="34" s="1"/>
  <c r="U22" i="34" s="1"/>
  <c r="BE19" i="8"/>
  <c r="BF19" i="8" s="1"/>
  <c r="M23" i="34"/>
  <c r="BE20" i="8"/>
  <c r="BF20" i="8" s="1"/>
  <c r="M24" i="34"/>
  <c r="T24" i="34" s="1"/>
  <c r="U24" i="34" s="1"/>
  <c r="V24" i="34" s="1"/>
  <c r="BE21" i="8"/>
  <c r="BF21" i="8" s="1"/>
  <c r="M25" i="34"/>
  <c r="BE22" i="8"/>
  <c r="BF22" i="8" s="1"/>
  <c r="M26" i="34"/>
  <c r="T26" i="34" s="1"/>
  <c r="U26" i="34" s="1"/>
  <c r="V26" i="34" s="1"/>
  <c r="BE23" i="8"/>
  <c r="BF23" i="8" s="1"/>
  <c r="M27" i="34"/>
  <c r="BE24" i="8"/>
  <c r="BF24" i="8" s="1"/>
  <c r="M28" i="34"/>
  <c r="T28" i="34" s="1"/>
  <c r="U28" i="34" s="1"/>
  <c r="V28" i="34" s="1"/>
  <c r="BE25" i="8"/>
  <c r="BF25" i="8" s="1"/>
  <c r="M29" i="34"/>
  <c r="BE26" i="8"/>
  <c r="BF26" i="8" s="1"/>
  <c r="M30" i="34"/>
  <c r="T30" i="34" s="1"/>
  <c r="U30" i="34" s="1"/>
  <c r="V30" i="34" s="1"/>
  <c r="BE27" i="8"/>
  <c r="BF27" i="8" s="1"/>
  <c r="M31" i="34"/>
  <c r="BE28" i="8"/>
  <c r="BF28" i="8" s="1"/>
  <c r="M32" i="34"/>
  <c r="T32" i="34" s="1"/>
  <c r="U32" i="34" s="1"/>
  <c r="V32" i="34" s="1"/>
  <c r="BE29" i="8"/>
  <c r="BF29" i="8" s="1"/>
  <c r="M33" i="34"/>
  <c r="BE30" i="8"/>
  <c r="BF30" i="8" s="1"/>
  <c r="M34" i="34"/>
  <c r="T34" i="34" s="1"/>
  <c r="U34" i="34" s="1"/>
  <c r="V34" i="34" s="1"/>
  <c r="BE31" i="8"/>
  <c r="BF31" i="8" s="1"/>
  <c r="M35" i="34"/>
  <c r="BE32" i="8"/>
  <c r="BF32" i="8" s="1"/>
  <c r="M36" i="34"/>
  <c r="T36" i="34" s="1"/>
  <c r="U36" i="34" s="1"/>
  <c r="V36" i="34" s="1"/>
  <c r="BE33" i="8"/>
  <c r="BF33" i="8" s="1"/>
  <c r="M37" i="34"/>
  <c r="BE34" i="8"/>
  <c r="BF34" i="8" s="1"/>
  <c r="M38" i="34"/>
  <c r="T38" i="34" s="1"/>
  <c r="U38" i="34" s="1"/>
  <c r="V38" i="34" s="1"/>
  <c r="BE35" i="8"/>
  <c r="BF35" i="8" s="1"/>
  <c r="M39" i="34"/>
  <c r="BE36" i="8"/>
  <c r="BF36" i="8" s="1"/>
  <c r="M40" i="34"/>
  <c r="T40" i="34" s="1"/>
  <c r="U40" i="34" s="1"/>
  <c r="V40" i="34" s="1"/>
  <c r="BE37" i="8"/>
  <c r="BF37" i="8" s="1"/>
  <c r="M42" i="34"/>
  <c r="T42" i="34" s="1"/>
  <c r="U42" i="34" s="1"/>
  <c r="V42" i="34" s="1"/>
  <c r="BE39" i="8"/>
  <c r="BF39" i="8" s="1"/>
  <c r="M43" i="34"/>
  <c r="BE40" i="8"/>
  <c r="BF40" i="8" s="1"/>
  <c r="M8" i="34"/>
  <c r="M44" i="34"/>
  <c r="T44" i="34" s="1"/>
  <c r="U44" i="34" s="1"/>
  <c r="V44" i="34" s="1"/>
  <c r="BE41" i="8"/>
  <c r="BF41" i="8" s="1"/>
  <c r="M46" i="34"/>
  <c r="T46" i="34" s="1"/>
  <c r="U46" i="34" s="1"/>
  <c r="V46" i="34" s="1"/>
  <c r="BE43" i="8"/>
  <c r="BF43" i="8" s="1"/>
  <c r="M47" i="34"/>
  <c r="BE44" i="8"/>
  <c r="BF44" i="8" s="1"/>
  <c r="M11" i="34"/>
  <c r="BE8" i="8"/>
  <c r="BF8" i="8" s="1"/>
  <c r="M45" i="34"/>
  <c r="BE42" i="8"/>
  <c r="BF42" i="8" s="1"/>
  <c r="N8" i="34"/>
  <c r="J12" i="42"/>
  <c r="V22" i="34" l="1"/>
  <c r="W22" i="34"/>
  <c r="T41" i="34"/>
  <c r="U41" i="34" s="1"/>
  <c r="W24" i="34"/>
  <c r="W44" i="34"/>
  <c r="W40" i="34"/>
  <c r="W36" i="34"/>
  <c r="W32" i="34"/>
  <c r="W28" i="34"/>
  <c r="W18" i="34"/>
  <c r="W14" i="34"/>
  <c r="U43" i="34"/>
  <c r="T43" i="34"/>
  <c r="W16" i="34"/>
  <c r="W12" i="34"/>
  <c r="T45" i="34"/>
  <c r="U45" i="34" s="1"/>
  <c r="T47" i="34"/>
  <c r="U47" i="34" s="1"/>
  <c r="T39" i="34"/>
  <c r="U39" i="34" s="1"/>
  <c r="T37" i="34"/>
  <c r="U37" i="34" s="1"/>
  <c r="U35" i="34"/>
  <c r="T35" i="34"/>
  <c r="T33" i="34"/>
  <c r="U33" i="34" s="1"/>
  <c r="T31" i="34"/>
  <c r="U31" i="34" s="1"/>
  <c r="T29" i="34"/>
  <c r="U29" i="34" s="1"/>
  <c r="U27" i="34"/>
  <c r="T27" i="34"/>
  <c r="T25" i="34"/>
  <c r="U25" i="34" s="1"/>
  <c r="T23" i="34"/>
  <c r="U23" i="34" s="1"/>
  <c r="T21" i="34"/>
  <c r="U21" i="34" s="1"/>
  <c r="U19" i="34"/>
  <c r="T19" i="34"/>
  <c r="T17" i="34"/>
  <c r="U17" i="34" s="1"/>
  <c r="T15" i="34"/>
  <c r="U15" i="34" s="1"/>
  <c r="T13" i="34"/>
  <c r="U13" i="34" s="1"/>
  <c r="T9" i="34"/>
  <c r="U9" i="34" s="1"/>
  <c r="W46" i="34"/>
  <c r="W42" i="34"/>
  <c r="W38" i="34"/>
  <c r="W34" i="34"/>
  <c r="W30" i="34"/>
  <c r="W26" i="34"/>
  <c r="U11" i="34"/>
  <c r="T11" i="34"/>
  <c r="W10" i="34"/>
  <c r="W20" i="34"/>
  <c r="BJ44" i="8"/>
  <c r="BJ36" i="8"/>
  <c r="BJ43" i="8"/>
  <c r="BJ41" i="8"/>
  <c r="BJ38" i="8"/>
  <c r="BJ42" i="8"/>
  <c r="BJ37" i="8"/>
  <c r="BJ40" i="8"/>
  <c r="BJ39" i="8"/>
  <c r="BH39" i="8"/>
  <c r="BI39" i="8"/>
  <c r="BG39" i="8"/>
  <c r="BH37" i="8"/>
  <c r="BI37" i="8"/>
  <c r="BG37" i="8"/>
  <c r="BH34" i="8"/>
  <c r="BI34" i="8"/>
  <c r="BG34" i="8"/>
  <c r="BH32" i="8"/>
  <c r="BI32" i="8"/>
  <c r="BG32" i="8"/>
  <c r="H41" i="31" s="1"/>
  <c r="BH30" i="8"/>
  <c r="BI30" i="8"/>
  <c r="BG30" i="8"/>
  <c r="BH28" i="8"/>
  <c r="BI28" i="8"/>
  <c r="BG28" i="8"/>
  <c r="BH27" i="8"/>
  <c r="BI27" i="8"/>
  <c r="BG27" i="8"/>
  <c r="H36" i="31" s="1"/>
  <c r="BH26" i="8"/>
  <c r="BI26" i="8"/>
  <c r="BG26" i="8"/>
  <c r="H35" i="31" s="1"/>
  <c r="BH25" i="8"/>
  <c r="BG25" i="8"/>
  <c r="BI25" i="8"/>
  <c r="BH24" i="8"/>
  <c r="BG24" i="8"/>
  <c r="H33" i="31" s="1"/>
  <c r="BI24" i="8"/>
  <c r="BH23" i="8"/>
  <c r="BI23" i="8"/>
  <c r="BG23" i="8"/>
  <c r="BH22" i="8"/>
  <c r="BI22" i="8"/>
  <c r="BG22" i="8"/>
  <c r="BH21" i="8"/>
  <c r="BG21" i="8"/>
  <c r="BI21" i="8"/>
  <c r="BH20" i="8"/>
  <c r="BI20" i="8"/>
  <c r="BG20" i="8"/>
  <c r="BH19" i="8"/>
  <c r="BI19" i="8"/>
  <c r="BG19" i="8"/>
  <c r="BH18" i="8"/>
  <c r="BI18" i="8"/>
  <c r="BG18" i="8"/>
  <c r="H27" i="31" s="1"/>
  <c r="BH17" i="8"/>
  <c r="BG17" i="8"/>
  <c r="BI17" i="8"/>
  <c r="BH16" i="8"/>
  <c r="BG16" i="8"/>
  <c r="H25" i="31" s="1"/>
  <c r="BI16" i="8"/>
  <c r="BH15" i="8"/>
  <c r="BI15" i="8"/>
  <c r="BG15" i="8"/>
  <c r="BH14" i="8"/>
  <c r="BI14" i="8"/>
  <c r="BG14" i="8"/>
  <c r="H23" i="31" s="1"/>
  <c r="BH13" i="8"/>
  <c r="BG13" i="8"/>
  <c r="BI13" i="8"/>
  <c r="BH12" i="8"/>
  <c r="BI12" i="8"/>
  <c r="BG12" i="8"/>
  <c r="BH11" i="8"/>
  <c r="BI11" i="8"/>
  <c r="BG11" i="8"/>
  <c r="H20" i="31" s="1"/>
  <c r="BH10" i="8"/>
  <c r="BI10" i="8"/>
  <c r="BG10" i="8"/>
  <c r="H19" i="31" s="1"/>
  <c r="BH7" i="8"/>
  <c r="BI7" i="8"/>
  <c r="BG7" i="8"/>
  <c r="BH6" i="8"/>
  <c r="BI6" i="8"/>
  <c r="BG6" i="8"/>
  <c r="BH38" i="8"/>
  <c r="BI38" i="8"/>
  <c r="BK38" i="8" s="1"/>
  <c r="I47" i="31" s="1"/>
  <c r="BG38" i="8"/>
  <c r="H47" i="31" s="1"/>
  <c r="BH9" i="8"/>
  <c r="BG9" i="8"/>
  <c r="BI9" i="8"/>
  <c r="BH40" i="8"/>
  <c r="BI40" i="8"/>
  <c r="BG40" i="8"/>
  <c r="BH36" i="8"/>
  <c r="BI36" i="8"/>
  <c r="BK36" i="8" s="1"/>
  <c r="I45" i="31" s="1"/>
  <c r="BG36" i="8"/>
  <c r="BH35" i="8"/>
  <c r="BI35" i="8"/>
  <c r="BG35" i="8"/>
  <c r="BH33" i="8"/>
  <c r="BI33" i="8"/>
  <c r="BG33" i="8"/>
  <c r="H42" i="31" s="1"/>
  <c r="BH31" i="8"/>
  <c r="BI31" i="8"/>
  <c r="BG31" i="8"/>
  <c r="BH29" i="8"/>
  <c r="BI29" i="8"/>
  <c r="BG29" i="8"/>
  <c r="BH42" i="8"/>
  <c r="BI42" i="8"/>
  <c r="BK42" i="8" s="1"/>
  <c r="I51" i="31" s="1"/>
  <c r="BG42" i="8"/>
  <c r="H51" i="31" s="1"/>
  <c r="BH8" i="8"/>
  <c r="BG8" i="8"/>
  <c r="BI8" i="8"/>
  <c r="BH44" i="8"/>
  <c r="BI44" i="8"/>
  <c r="BK44" i="8" s="1"/>
  <c r="I53" i="31" s="1"/>
  <c r="BG44" i="8"/>
  <c r="BH43" i="8"/>
  <c r="BI43" i="8"/>
  <c r="BG43" i="8"/>
  <c r="BH41" i="8"/>
  <c r="BI41" i="8"/>
  <c r="BK41" i="8" s="1"/>
  <c r="I50" i="31" s="1"/>
  <c r="BG41" i="8"/>
  <c r="L8" i="34"/>
  <c r="CQ5" i="6"/>
  <c r="CR5" i="6" s="1"/>
  <c r="CV15" i="6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 i="44"/>
  <c r="C3" i="44"/>
  <c r="CX5" i="6" s="1"/>
  <c r="C9" i="44"/>
  <c r="BJ35" i="8"/>
  <c r="BJ31" i="8"/>
  <c r="BJ34" i="8"/>
  <c r="BJ30" i="8"/>
  <c r="BK30" i="8" s="1"/>
  <c r="I39" i="31" s="1"/>
  <c r="BJ32" i="8"/>
  <c r="BK32" i="8" s="1"/>
  <c r="I41" i="31" s="1"/>
  <c r="BJ33" i="8"/>
  <c r="BJ29" i="8"/>
  <c r="G51" i="31"/>
  <c r="G17" i="31"/>
  <c r="G53" i="31"/>
  <c r="G52" i="31"/>
  <c r="G50" i="31"/>
  <c r="CD24" i="44"/>
  <c r="CD22" i="44"/>
  <c r="CD20" i="44"/>
  <c r="CD18" i="44"/>
  <c r="CD16" i="44"/>
  <c r="CD25" i="44"/>
  <c r="CD21" i="44"/>
  <c r="CD17" i="44"/>
  <c r="CF15" i="44"/>
  <c r="CD23" i="44"/>
  <c r="CD19" i="44"/>
  <c r="G49" i="31"/>
  <c r="G48" i="31"/>
  <c r="G46" i="31"/>
  <c r="G45" i="31"/>
  <c r="G44" i="31"/>
  <c r="G43" i="31"/>
  <c r="G42" i="31"/>
  <c r="G41" i="31"/>
  <c r="G40" i="31"/>
  <c r="G39" i="31"/>
  <c r="G38" i="31"/>
  <c r="G37" i="31"/>
  <c r="G36" i="31"/>
  <c r="G35" i="31"/>
  <c r="G34" i="31"/>
  <c r="G33" i="31"/>
  <c r="G32" i="31"/>
  <c r="G31" i="31"/>
  <c r="G30" i="31"/>
  <c r="G29" i="31"/>
  <c r="G28" i="31"/>
  <c r="G27" i="31"/>
  <c r="G26" i="31"/>
  <c r="G25" i="31"/>
  <c r="G24" i="31"/>
  <c r="G23" i="31"/>
  <c r="G22" i="31"/>
  <c r="G21" i="31"/>
  <c r="G20" i="31"/>
  <c r="G19" i="31"/>
  <c r="G16" i="31"/>
  <c r="G15" i="31"/>
  <c r="G47" i="31"/>
  <c r="G18" i="31"/>
  <c r="R8" i="34"/>
  <c r="P8" i="34"/>
  <c r="T8" i="34" s="1"/>
  <c r="U8" i="34" s="1"/>
  <c r="B5" i="45"/>
  <c r="C5" i="45" s="1"/>
  <c r="Q8" i="34"/>
  <c r="BD5" i="8"/>
  <c r="BJ5" i="8" s="1"/>
  <c r="BE5" i="8"/>
  <c r="BF5" i="8" s="1"/>
  <c r="BJ6" i="8"/>
  <c r="BJ28" i="8"/>
  <c r="BJ26" i="8"/>
  <c r="BJ24" i="8"/>
  <c r="BJ22" i="8"/>
  <c r="BJ20" i="8"/>
  <c r="BJ18" i="8"/>
  <c r="BJ16" i="8"/>
  <c r="BJ14" i="8"/>
  <c r="BK14" i="8" s="1"/>
  <c r="I23" i="31" s="1"/>
  <c r="BJ12" i="8"/>
  <c r="BJ10" i="8"/>
  <c r="BK10" i="8" s="1"/>
  <c r="I19" i="31" s="1"/>
  <c r="BJ27" i="8"/>
  <c r="BJ25" i="8"/>
  <c r="BJ23" i="8"/>
  <c r="BJ21" i="8"/>
  <c r="BJ19" i="8"/>
  <c r="BJ17" i="8"/>
  <c r="BK17" i="8" s="1"/>
  <c r="I26" i="31" s="1"/>
  <c r="BJ15" i="8"/>
  <c r="BJ13" i="8"/>
  <c r="BJ11" i="8"/>
  <c r="BK40" i="8"/>
  <c r="I49" i="31" s="1"/>
  <c r="H49" i="31"/>
  <c r="H45" i="31"/>
  <c r="H44" i="31"/>
  <c r="H31" i="31"/>
  <c r="H53" i="31"/>
  <c r="BK43" i="8"/>
  <c r="I52" i="31" s="1"/>
  <c r="H52" i="31"/>
  <c r="H50" i="31"/>
  <c r="H43" i="31"/>
  <c r="BK33" i="8"/>
  <c r="I42" i="31" s="1"/>
  <c r="BK31" i="8"/>
  <c r="I40" i="31" s="1"/>
  <c r="H40" i="31"/>
  <c r="H39" i="31"/>
  <c r="H38" i="31"/>
  <c r="H37" i="31"/>
  <c r="H26" i="31"/>
  <c r="BJ9" i="8"/>
  <c r="BK39" i="8"/>
  <c r="I48" i="31" s="1"/>
  <c r="H48" i="31"/>
  <c r="H46" i="31"/>
  <c r="H34" i="31"/>
  <c r="H32" i="31"/>
  <c r="H30" i="31"/>
  <c r="H29" i="31"/>
  <c r="H28" i="31"/>
  <c r="H24" i="31"/>
  <c r="H22" i="31"/>
  <c r="H21" i="31"/>
  <c r="H18" i="31"/>
  <c r="BJ8" i="8"/>
  <c r="H17" i="31"/>
  <c r="H16" i="31"/>
  <c r="BJ7" i="8"/>
  <c r="H15" i="31"/>
  <c r="CB24" i="45"/>
  <c r="CB22" i="45"/>
  <c r="CB20" i="45"/>
  <c r="CB18" i="45"/>
  <c r="CB16" i="45"/>
  <c r="CB25" i="45"/>
  <c r="CB23" i="45"/>
  <c r="CB21" i="45"/>
  <c r="CB19" i="45"/>
  <c r="CB17" i="45"/>
  <c r="CD15" i="45"/>
  <c r="K12" i="42"/>
  <c r="M12" i="42"/>
  <c r="V17" i="34" l="1"/>
  <c r="W17" i="34"/>
  <c r="V23" i="34"/>
  <c r="W23" i="34"/>
  <c r="V29" i="34"/>
  <c r="W29" i="34"/>
  <c r="V45" i="34"/>
  <c r="W45" i="34"/>
  <c r="V9" i="34"/>
  <c r="W9" i="34"/>
  <c r="V25" i="34"/>
  <c r="W25" i="34"/>
  <c r="V31" i="34"/>
  <c r="W31" i="34"/>
  <c r="V37" i="34"/>
  <c r="W37" i="34"/>
  <c r="V41" i="34"/>
  <c r="W41" i="34"/>
  <c r="V13" i="34"/>
  <c r="W13" i="34"/>
  <c r="V33" i="34"/>
  <c r="W33" i="34"/>
  <c r="V39" i="34"/>
  <c r="W39" i="34"/>
  <c r="V15" i="34"/>
  <c r="W15" i="34"/>
  <c r="V21" i="34"/>
  <c r="W21" i="34"/>
  <c r="V47" i="34"/>
  <c r="W47" i="34"/>
  <c r="CW5" i="6"/>
  <c r="V11" i="34"/>
  <c r="W11" i="34"/>
  <c r="V19" i="34"/>
  <c r="W19" i="34"/>
  <c r="V27" i="34"/>
  <c r="W27" i="34"/>
  <c r="V35" i="34"/>
  <c r="W35" i="34"/>
  <c r="V43" i="34"/>
  <c r="W43" i="34"/>
  <c r="CS5" i="6"/>
  <c r="BK37" i="8"/>
  <c r="I46" i="31" s="1"/>
  <c r="BK35" i="8"/>
  <c r="I44" i="31" s="1"/>
  <c r="BK34" i="8"/>
  <c r="I43" i="31" s="1"/>
  <c r="BK29" i="8"/>
  <c r="I38" i="31" s="1"/>
  <c r="V8" i="34"/>
  <c r="W8" i="34"/>
  <c r="CV5" i="6"/>
  <c r="BH5" i="8"/>
  <c r="BI5" i="8"/>
  <c r="BK5" i="8" s="1"/>
  <c r="BG5" i="8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 i="31"/>
  <c r="C13" i="42" s="1"/>
  <c r="D14" i="31"/>
  <c r="B13" i="42" s="1"/>
  <c r="CF24" i="44"/>
  <c r="CF22" i="44"/>
  <c r="CF20" i="44"/>
  <c r="CF18" i="44"/>
  <c r="CF16" i="44"/>
  <c r="CH15" i="44"/>
  <c r="CF23" i="44"/>
  <c r="CF25" i="44"/>
  <c r="CF19" i="44"/>
  <c r="CF21" i="44"/>
  <c r="CF17" i="44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 i="45"/>
  <c r="CD21" i="45"/>
  <c r="CD19" i="45"/>
  <c r="CD17" i="45"/>
  <c r="CD24" i="45"/>
  <c r="CD22" i="45"/>
  <c r="CD20" i="45"/>
  <c r="CD18" i="45"/>
  <c r="CD16" i="45"/>
  <c r="CF15" i="45"/>
  <c r="G14" i="31"/>
  <c r="B14" i="42" s="1"/>
  <c r="P62" i="31"/>
  <c r="F14" i="31" l="1"/>
  <c r="D13" i="42" s="1"/>
  <c r="CH24" i="44"/>
  <c r="CH22" i="44"/>
  <c r="CH20" i="44"/>
  <c r="CH18" i="44"/>
  <c r="CH16" i="44"/>
  <c r="CH25" i="44"/>
  <c r="CH21" i="44"/>
  <c r="CH17" i="44"/>
  <c r="CH23" i="44"/>
  <c r="CH19" i="44"/>
  <c r="CJ15" i="44"/>
  <c r="CF24" i="45"/>
  <c r="CF22" i="45"/>
  <c r="CF20" i="45"/>
  <c r="CF18" i="45"/>
  <c r="CF16" i="45"/>
  <c r="CF25" i="45"/>
  <c r="CF23" i="45"/>
  <c r="CF21" i="45"/>
  <c r="CF19" i="45"/>
  <c r="CF17" i="45"/>
  <c r="CH15" i="45"/>
  <c r="G62" i="31"/>
  <c r="CJ24" i="44" l="1"/>
  <c r="CJ22" i="44"/>
  <c r="CJ20" i="44"/>
  <c r="CJ18" i="44"/>
  <c r="CJ16" i="44"/>
  <c r="CL15" i="44"/>
  <c r="CJ21" i="44"/>
  <c r="CJ25" i="44"/>
  <c r="CJ23" i="44"/>
  <c r="CJ19" i="44"/>
  <c r="CJ17" i="44"/>
  <c r="CH25" i="45"/>
  <c r="CH23" i="45"/>
  <c r="CH21" i="45"/>
  <c r="CH19" i="45"/>
  <c r="CH17" i="45"/>
  <c r="CH24" i="45"/>
  <c r="CH22" i="45"/>
  <c r="CH20" i="45"/>
  <c r="CH18" i="45"/>
  <c r="CH16" i="45"/>
  <c r="CJ15" i="45"/>
  <c r="I14" i="31"/>
  <c r="D14" i="42" s="1"/>
  <c r="CL24" i="44" l="1"/>
  <c r="CL22" i="44"/>
  <c r="CL20" i="44"/>
  <c r="CL18" i="44"/>
  <c r="CL16" i="44"/>
  <c r="CL25" i="44"/>
  <c r="CL23" i="44"/>
  <c r="CL21" i="44"/>
  <c r="CL19" i="44"/>
  <c r="CL17" i="44"/>
  <c r="CN15" i="44"/>
  <c r="CJ24" i="45"/>
  <c r="CJ22" i="45"/>
  <c r="CJ20" i="45"/>
  <c r="CJ18" i="45"/>
  <c r="CJ16" i="45"/>
  <c r="CJ25" i="45"/>
  <c r="CJ23" i="45"/>
  <c r="CJ21" i="45"/>
  <c r="CJ19" i="45"/>
  <c r="CJ17" i="45"/>
  <c r="CL15" i="45"/>
  <c r="CN24" i="44" l="1"/>
  <c r="CN22" i="44"/>
  <c r="CN20" i="44"/>
  <c r="CN18" i="44"/>
  <c r="CN16" i="44"/>
  <c r="CP15" i="44"/>
  <c r="CN23" i="44"/>
  <c r="CN19" i="44"/>
  <c r="CN25" i="44"/>
  <c r="CN21" i="44"/>
  <c r="CN17" i="44"/>
  <c r="CL25" i="45"/>
  <c r="CL23" i="45"/>
  <c r="CL21" i="45"/>
  <c r="CL19" i="45"/>
  <c r="CL17" i="45"/>
  <c r="CL24" i="45"/>
  <c r="CL22" i="45"/>
  <c r="CL20" i="45"/>
  <c r="CL18" i="45"/>
  <c r="CL16" i="45"/>
  <c r="CN15" i="45"/>
  <c r="CP24" i="44" l="1"/>
  <c r="CP22" i="44"/>
  <c r="CP20" i="44"/>
  <c r="CP18" i="44"/>
  <c r="CP16" i="44"/>
  <c r="CP25" i="44"/>
  <c r="CP21" i="44"/>
  <c r="CP17" i="44"/>
  <c r="CP23" i="44"/>
  <c r="CP19" i="44"/>
  <c r="CR15" i="44"/>
  <c r="CN24" i="45"/>
  <c r="CN22" i="45"/>
  <c r="CN20" i="45"/>
  <c r="CN18" i="45"/>
  <c r="CN16" i="45"/>
  <c r="CN25" i="45"/>
  <c r="CN23" i="45"/>
  <c r="CN21" i="45"/>
  <c r="CN19" i="45"/>
  <c r="CN17" i="45"/>
  <c r="CP15" i="45"/>
  <c r="CR24" i="44" l="1"/>
  <c r="CR22" i="44"/>
  <c r="CR20" i="44"/>
  <c r="CR18" i="44"/>
  <c r="CR16" i="44"/>
  <c r="CR19" i="44"/>
  <c r="CR25" i="44"/>
  <c r="CR23" i="44"/>
  <c r="CR21" i="44"/>
  <c r="CR17" i="44"/>
  <c r="CP25" i="45"/>
  <c r="CP23" i="45"/>
  <c r="CP21" i="45"/>
  <c r="CP19" i="45"/>
  <c r="CP17" i="45"/>
  <c r="CP24" i="45"/>
  <c r="CP22" i="45"/>
  <c r="CP20" i="45"/>
  <c r="CP18" i="45"/>
  <c r="CP16" i="45"/>
  <c r="CR15" i="45"/>
  <c r="CR24" i="45" l="1"/>
  <c r="CR22" i="45"/>
  <c r="CR20" i="45"/>
  <c r="CR18" i="45"/>
  <c r="CR16" i="45"/>
  <c r="CR25" i="45"/>
  <c r="CR23" i="45"/>
  <c r="CR21" i="45"/>
  <c r="CR19" i="45"/>
  <c r="CR17" i="45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<sst xmlns="http://schemas.openxmlformats.org/spreadsheetml/2006/main" count="2365" uniqueCount="576">
  <si>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</si>
  <si>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</si>
  <si>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</si>
  <si>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</si>
  <si>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</si>
  <si>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</si>
  <si>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</si>
  <si>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</si>
  <si>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</si>
  <si>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</si>
  <si>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</si>
  <si>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</si>
  <si>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</si>
  <si>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</si>
  <si>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</si>
  <si>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</si>
  <si>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</si>
  <si>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</si>
  <si>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</si>
  <si>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</si>
  <si>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</si>
  <si>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</si>
  <si>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</si>
  <si>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</si>
  <si>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</si>
  <si>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</si>
  <si>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</si>
  <si>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</si>
  <si>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</si>
  <si>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</si>
  <si>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</si>
  <si>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</si>
  <si>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</si>
  <si>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</si>
  <si>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</si>
  <si>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</si>
  <si>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</si>
  <si>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</si>
  <si>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</si>
  <si>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</si>
  <si>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</si>
  <si>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</si>
  <si>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</si>
  <si>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</si>
  <si>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</si>
  <si>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</si>
  <si>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</si>
  <si>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</si>
  <si>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</si>
  <si>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</si>
  <si>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</si>
  <si>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</si>
  <si>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</si>
  <si>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</si>
  <si>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</si>
  <si>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</si>
  <si>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</si>
  <si>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</si>
  <si>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</si>
  <si>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</si>
  <si>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</si>
  <si>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</si>
  <si>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</si>
  <si>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</si>
  <si>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</si>
  <si>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</si>
  <si>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</si>
  <si>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</si>
  <si>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</si>
  <si>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</si>
  <si>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</si>
  <si>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</si>
  <si>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</si>
  <si>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</si>
  <si>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</si>
  <si>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</si>
  <si>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</si>
  <si>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</si>
  <si>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</si>
  <si>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</si>
  <si>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</si>
  <si>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</si>
  <si>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</si>
  <si>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</si>
  <si>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</si>
  <si>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</si>
  <si>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</si>
  <si>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</si>
  <si>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</si>
  <si>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</si>
  <si>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</si>
  <si>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</si>
  <si>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</si>
  <si>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</si>
  <si>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</si>
  <si>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</si>
  <si>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</si>
  <si>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</si>
  <si>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</si>
  <si>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</si>
  <si>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</si>
  <si>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</si>
  <si>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</si>
  <si>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</si>
  <si>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</si>
  <si>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</si>
  <si>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</si>
  <si>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</si>
  <si>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</si>
  <si>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</si>
  <si>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</si>
  <si>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</si>
  <si>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</si>
  <si>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</si>
  <si>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</si>
  <si>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</si>
  <si>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</si>
  <si>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</si>
  <si>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</si>
  <si>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</si>
  <si>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</si>
  <si>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</si>
  <si>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</si>
  <si>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</si>
  <si>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</si>
  <si>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</si>
  <si>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</si>
  <si>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</si>
  <si>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</si>
  <si>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</si>
  <si>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</si>
  <si>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</si>
  <si>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</si>
  <si>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</si>
  <si>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</si>
  <si>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</si>
  <si>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</si>
  <si>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</si>
  <si>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</si>
  <si>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</si>
  <si>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</si>
  <si>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</si>
  <si>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</si>
  <si>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</si>
  <si>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</si>
  <si>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</si>
  <si>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</si>
  <si>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</si>
  <si>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</si>
  <si>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</si>
  <si>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</si>
  <si>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</si>
  <si>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</si>
  <si>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</si>
  <si>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</si>
  <si>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</si>
  <si>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</si>
  <si>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</si>
  <si>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</si>
  <si>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</si>
  <si>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</si>
  <si>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</si>
  <si>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</si>
  <si>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</si>
  <si>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</si>
  <si>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</si>
  <si>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</si>
  <si>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</si>
  <si>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</si>
  <si>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</si>
  <si>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</si>
  <si>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</si>
  <si>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</si>
  <si>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</si>
  <si>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</si>
  <si>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</si>
  <si>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</si>
  <si>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</si>
  <si>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</si>
  <si>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</si>
  <si>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</si>
  <si>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</si>
  <si>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</si>
  <si>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</si>
  <si>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</si>
  <si>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</si>
  <si>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</si>
  <si>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</si>
  <si>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</si>
  <si>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</si>
  <si>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</si>
  <si>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</si>
  <si>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</si>
  <si>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</si>
  <si>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</si>
  <si>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</si>
  <si>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</si>
  <si>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</si>
  <si>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</si>
  <si>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</si>
  <si>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</si>
  <si>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</si>
  <si>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</si>
  <si>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</si>
  <si>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</si>
  <si>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</si>
  <si>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</si>
  <si>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</si>
  <si>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</si>
  <si>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</si>
  <si>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</si>
  <si>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</si>
  <si>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</si>
  <si>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</si>
  <si>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</si>
  <si>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</si>
  <si>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</si>
  <si>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</si>
  <si>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</si>
  <si>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</si>
  <si>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</si>
  <si>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</si>
  <si>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</si>
  <si>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</si>
  <si>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</si>
  <si>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</si>
  <si>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</si>
  <si>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</si>
  <si>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</si>
  <si>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</si>
  <si>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</si>
  <si>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</si>
  <si>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</si>
  <si>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</si>
  <si>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</si>
  <si>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</si>
  <si>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</si>
  <si>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</si>
  <si>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</si>
  <si>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</si>
  <si>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</si>
  <si>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</si>
  <si>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</si>
  <si>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</si>
  <si>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</si>
  <si>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</si>
  <si>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</si>
  <si>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</si>
  <si>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</si>
  <si>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</si>
  <si>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</si>
  <si>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</si>
  <si>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</si>
  <si>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</si>
  <si>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</si>
  <si>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</si>
  <si>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</si>
  <si>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</si>
  <si>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</si>
  <si>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</si>
  <si>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</si>
  <si>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</si>
  <si>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</si>
  <si>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</si>
  <si>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</si>
  <si>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</si>
  <si>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</si>
  <si>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</si>
  <si>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</si>
  <si>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</si>
  <si>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</si>
  <si>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</si>
  <si>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</si>
  <si>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</si>
  <si>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</si>
  <si>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</si>
  <si>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</si>
  <si>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</si>
  <si>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</si>
  <si>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</si>
  <si>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</si>
  <si>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</si>
  <si>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</si>
  <si>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</si>
  <si>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</si>
  <si>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</si>
  <si>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</si>
  <si>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</si>
  <si>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</si>
  <si>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</si>
  <si>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</si>
  <si>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</si>
  <si>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</si>
  <si>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</si>
  <si>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</si>
  <si>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</si>
  <si>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</si>
  <si>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</si>
  <si>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</si>
  <si>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</si>
  <si>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</si>
  <si>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</si>
  <si>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</si>
  <si>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</si>
  <si>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</si>
  <si>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</si>
  <si>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</si>
  <si>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</si>
  <si>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</si>
  <si>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</si>
  <si>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</si>
  <si>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</si>
  <si>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</si>
  <si>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</si>
  <si>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</si>
  <si>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</si>
  <si>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</si>
  <si>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</si>
  <si>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</si>
  <si>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</si>
  <si>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</si>
  <si>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</si>
  <si>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</si>
  <si>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</si>
  <si>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</si>
  <si>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</si>
  <si>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</si>
  <si>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</si>
  <si>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</si>
  <si>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</si>
  <si>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</si>
  <si>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</si>
  <si>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</si>
  <si>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</si>
  <si>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</si>
  <si>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</si>
  <si>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</si>
  <si>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</si>
  <si>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</si>
  <si>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</si>
  <si>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</si>
  <si>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</si>
  <si>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</si>
  <si>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</si>
  <si>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</si>
  <si>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</si>
  <si>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</si>
  <si>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</si>
  <si>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</si>
  <si>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</si>
  <si>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</si>
  <si>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</si>
  <si>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</si>
  <si>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</si>
  <si>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</si>
  <si>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</si>
  <si>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</si>
  <si>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</si>
  <si>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</si>
  <si>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</si>
  <si>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</si>
  <si>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</si>
  <si>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</si>
  <si>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</si>
  <si>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</si>
  <si>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</si>
  <si>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</si>
  <si>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</si>
  <si>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</si>
  <si>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</si>
  <si>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</si>
  <si>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</si>
  <si>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</si>
  <si>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</si>
  <si>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</si>
  <si>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</si>
  <si>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</si>
  <si>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</si>
  <si>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</si>
  <si>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</si>
  <si>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</si>
  <si>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</si>
  <si>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</si>
  <si>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</si>
  <si>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</si>
  <si>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</si>
  <si>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</si>
  <si>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</si>
  <si>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</si>
  <si>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</si>
  <si>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</si>
  <si>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</si>
  <si>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</si>
  <si>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</si>
  <si>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</si>
  <si>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</si>
  <si>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</si>
  <si>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</si>
  <si>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</si>
  <si>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</si>
  <si>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</si>
  <si>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</si>
  <si>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</si>
  <si>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</si>
  <si>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</si>
  <si>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</si>
  <si>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</si>
  <si>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</si>
  <si>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</si>
  <si>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</si>
  <si>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</si>
  <si>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</si>
  <si>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</si>
  <si>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</si>
  <si>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</si>
  <si>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</si>
  <si>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</si>
  <si>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</si>
  <si>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</si>
  <si>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</si>
  <si>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</si>
  <si>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</si>
  <si>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</si>
  <si>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</si>
  <si>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</si>
  <si>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</si>
  <si>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</si>
  <si>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</si>
  <si>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</si>
  <si>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</si>
  <si>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</si>
  <si>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</si>
  <si>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</si>
  <si>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</si>
  <si>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</si>
  <si>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</si>
  <si>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</si>
  <si>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</si>
  <si>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</si>
  <si>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</si>
  <si>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</si>
  <si>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</si>
  <si>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</si>
  <si>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</si>
  <si>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</si>
  <si>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</si>
  <si>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</si>
  <si>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</si>
  <si>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</si>
  <si>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</si>
  <si>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</si>
  <si>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</si>
  <si>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</si>
  <si>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</si>
  <si>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</si>
  <si>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</si>
  <si>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</si>
  <si>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</si>
  <si>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</si>
  <si>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</si>
  <si>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</si>
  <si>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</si>
  <si>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</si>
  <si>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</si>
  <si>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</si>
  <si>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</si>
  <si>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</si>
  <si>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</si>
  <si>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</si>
  <si>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</si>
  <si>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</si>
  <si>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</si>
  <si>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</si>
  <si>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</si>
  <si>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</si>
  <si>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</si>
  <si>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</si>
  <si>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</si>
  <si>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</si>
  <si>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</si>
  <si>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</si>
  <si>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</si>
  <si>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</si>
  <si>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</si>
  <si>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</si>
  <si>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</si>
  <si>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</si>
  <si>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</si>
  <si>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</si>
  <si>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</si>
  <si>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</si>
  <si>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</si>
  <si>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</si>
  <si>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</si>
  <si>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</si>
  <si>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</si>
  <si>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</si>
  <si>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</si>
  <si>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</si>
  <si>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</si>
  <si>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</si>
  <si>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</si>
  <si>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</si>
  <si>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</si>
  <si>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</si>
  <si>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</si>
  <si>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</si>
  <si>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</si>
  <si>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</si>
  <si>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</si>
  <si>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</si>
  <si>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</si>
  <si>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</si>
  <si>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</si>
  <si>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</si>
  <si>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</si>
  <si>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</si>
  <si>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</si>
  <si>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</si>
  <si>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</si>
  <si>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</si>
  <si>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</si>
  <si>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</si>
  <si>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</si>
  <si>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</si>
  <si>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</si>
  <si>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</si>
  <si>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</si>
  <si>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</si>
  <si>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</si>
  <si>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</si>
  <si>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</si>
  <si>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</si>
  <si>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</si>
  <si>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</si>
  <si>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</si>
  <si>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</si>
  <si>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</si>
  <si>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</si>
  <si>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</si>
  <si>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</si>
  <si>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</si>
  <si>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</si>
  <si>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</si>
  <si>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</si>
  <si>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</si>
  <si>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</si>
  <si>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</si>
  <si>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</si>
  <si>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</si>
  <si>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</si>
  <si>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</si>
  <si>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alquran hadits</t>
  </si>
  <si>
    <t>Ganjil</t>
  </si>
  <si>
    <t>pengetahuan akidah akhlak 1</t>
  </si>
  <si>
    <t>pengetahuan akidah akhlak 2</t>
  </si>
  <si>
    <t>pengetahuan akidah akhlak 3</t>
  </si>
  <si>
    <t>pengetahuan akidah akhlak 4</t>
  </si>
  <si>
    <t>pengetahuan akidah akhlak 5</t>
  </si>
  <si>
    <t>pengetahuan akidah akhlak 6</t>
  </si>
  <si>
    <t>pengetahuan akidah akhlak 7</t>
  </si>
  <si>
    <t>pengetahuan akidah akhlak 8</t>
  </si>
  <si>
    <t>pengetahuan akidah akhlak 9</t>
  </si>
  <si>
    <t>pengetahuan akidah akhlak 10</t>
  </si>
  <si>
    <t>ketrampilan akidah akhlak 1</t>
  </si>
  <si>
    <t>ketrampilan akidah akhlak 2</t>
  </si>
  <si>
    <t>ketrampilan akidah akhlak 3</t>
  </si>
  <si>
    <t>ketrampilan akidah akhlak 4</t>
  </si>
  <si>
    <t>ketrampilan akidah akhlak 5</t>
  </si>
  <si>
    <t>ketrampilan akidah akhlak 6</t>
  </si>
  <si>
    <t>ketrampilan akidah akhlak 7</t>
  </si>
  <si>
    <t>ketrampilan akidah akhlak 8</t>
  </si>
  <si>
    <t>ketrampilan akidah akhlak 9</t>
  </si>
  <si>
    <t>ketrampilan akidah akhlak 10</t>
  </si>
  <si>
    <t>rajin beribadah dan berpuasa</t>
  </si>
  <si>
    <t>patuh terhadap tata tertib madrasah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</si>
</sst>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1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 val="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Sikap!D5"/><Relationship Id="rId7" Type="http://schemas.openxmlformats.org/officeDocument/2006/relationships/hyperlink" Target="#'Input Nilai Sikap'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image" Target="../media/image5.png"/><Relationship Id="rId5" Type="http://schemas.openxmlformats.org/officeDocument/2006/relationships/hyperlink" Target="#'form penilaian teman'!A1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Sikap!D5"/><Relationship Id="rId7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rekap observasi'!A1"/><Relationship Id="rId5" Type="http://schemas.openxmlformats.org/officeDocument/2006/relationships/hyperlink" Target="#observasi1!A1"/><Relationship Id="rId10" Type="http://schemas.openxmlformats.org/officeDocument/2006/relationships/image" Target="../media/image6.png"/><Relationship Id="rId4" Type="http://schemas.openxmlformats.org/officeDocument/2006/relationships/image" Target="../media/image4.png"/><Relationship Id="rId9" Type="http://schemas.openxmlformats.org/officeDocument/2006/relationships/hyperlink" Target="#menu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Sikap!D5"/><Relationship Id="rId7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rekap observasi'!A1"/><Relationship Id="rId5" Type="http://schemas.openxmlformats.org/officeDocument/2006/relationships/hyperlink" Target="#observasi2!A1"/><Relationship Id="rId10" Type="http://schemas.openxmlformats.org/officeDocument/2006/relationships/image" Target="../media/image6.png"/><Relationship Id="rId4" Type="http://schemas.openxmlformats.org/officeDocument/2006/relationships/image" Target="../media/image4.png"/><Relationship Id="rId9" Type="http://schemas.openxmlformats.org/officeDocument/2006/relationships/hyperlink" Target="#menu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form penilaian diri'!A1"/><Relationship Id="rId3" Type="http://schemas.openxmlformats.org/officeDocument/2006/relationships/hyperlink" Target="#Sikap!D5"/><Relationship Id="rId7" Type="http://schemas.openxmlformats.org/officeDocument/2006/relationships/hyperlink" Target="#'Input Nilai Sikap'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image" Target="../media/image6.png"/><Relationship Id="rId5" Type="http://schemas.openxmlformats.org/officeDocument/2006/relationships/hyperlink" Target="#observasi1!A1"/><Relationship Id="rId10" Type="http://schemas.openxmlformats.org/officeDocument/2006/relationships/hyperlink" Target="#menu!A1"/><Relationship Id="rId4" Type="http://schemas.openxmlformats.org/officeDocument/2006/relationships/image" Target="../media/image4.png"/><Relationship Id="rId9" Type="http://schemas.openxmlformats.org/officeDocument/2006/relationships/image" Target="../media/image5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#Sikap!D5"/><Relationship Id="rId7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image" Target="../media/image5.png"/><Relationship Id="rId5" Type="http://schemas.openxmlformats.org/officeDocument/2006/relationships/hyperlink" Target="#'form penilaian diri'!A1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#Sikap!D5"/><Relationship Id="rId7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image" Target="../media/image5.png"/><Relationship Id="rId5" Type="http://schemas.openxmlformats.org/officeDocument/2006/relationships/hyperlink" Target="#'form penilaian diri'!A1"/><Relationship Id="rId4" Type="http://schemas.openxmlformats.org/officeDocument/2006/relationships/image" Target="../media/image4.png"/><Relationship Id="rId9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0</xdr:row>
          <xdr:rowOff>123825</xdr:rowOff>
        </xdr:from>
        <xdr:to>
          <xdr:col>15</xdr:col>
          <xdr:colOff>219075</xdr:colOff>
          <xdr:row>7</xdr:row>
          <xdr:rowOff>28575</xdr:rowOff>
        </xdr:to>
        <xdr:sp macro="" textlink="">
          <xdr:nvSpPr>
            <xdr:cNvPr id="35841" name="Spinner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8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5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9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5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9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5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6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7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0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9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7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1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3"/>
  <sheetViews>
    <sheetView showGridLines="0" showRowColHeaders="0" tabSelected="1" topLeftCell="G1" zoomScale="90" zoomScaleNormal="90" workbookViewId="0">
      <selection activeCell="S6" sqref="S6"/>
    </sheetView>
  </sheetViews>
  <sheetFormatPr defaultColWidth="0" defaultRowHeight="15.75" zeroHeight="1" thickBottom="1" x14ac:dyDescent="0.3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2" customWidth="1"/>
    <col min="18" max="18" width="16.28515625" style="472" customWidth="1"/>
    <col min="19" max="19" width="39.42578125" style="472" customWidth="1"/>
    <col min="20" max="16384" width="9.140625" style="124" hidden="1"/>
  </cols>
  <sheetData>
    <row r="1" spans="1:19" ht="43.5" customHeight="1" thickBot="1" x14ac:dyDescent="0.85">
      <c r="B1" s="399"/>
      <c r="C1" s="400"/>
      <c r="D1" s="401"/>
      <c r="E1" s="459" t="s">
        <v>428</v>
      </c>
      <c r="F1" s="459"/>
      <c r="G1" s="459"/>
      <c r="H1" s="459"/>
      <c r="I1" s="459"/>
      <c r="J1" s="459"/>
      <c r="K1" s="459"/>
      <c r="L1" s="459"/>
      <c r="M1" s="459"/>
      <c r="N1" s="460"/>
      <c r="O1" s="433" t="s">
        <v>303</v>
      </c>
      <c r="P1" s="434"/>
      <c r="Q1" s="434"/>
      <c r="R1" s="439">
        <v>70</v>
      </c>
      <c r="S1" s="439"/>
    </row>
    <row r="2" spans="1:19" ht="32.25" customHeight="1" thickBot="1" x14ac:dyDescent="0.3">
      <c r="B2" s="402"/>
      <c r="C2" s="403"/>
      <c r="D2" s="404"/>
      <c r="E2" s="468" t="s">
        <v>488</v>
      </c>
      <c r="F2" s="469"/>
      <c r="G2" s="469"/>
      <c r="H2" s="469"/>
      <c r="I2" s="469"/>
      <c r="J2" s="469"/>
      <c r="K2" s="469"/>
      <c r="L2" s="469"/>
      <c r="M2" s="469"/>
      <c r="N2" s="470"/>
      <c r="O2" s="433"/>
      <c r="P2" s="434"/>
      <c r="Q2" s="434"/>
      <c r="R2" s="439"/>
      <c r="S2" s="439"/>
    </row>
    <row r="3" spans="1:19" ht="7.5" customHeight="1" thickBot="1" x14ac:dyDescent="0.3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3"/>
      <c r="P3" s="434"/>
      <c r="Q3" s="434"/>
      <c r="R3" s="440"/>
      <c r="S3" s="440"/>
    </row>
    <row r="4" spans="1:19" ht="20.25" customHeight="1" x14ac:dyDescent="0.25">
      <c r="B4" s="461" t="s">
        <v>470</v>
      </c>
      <c r="C4" s="462"/>
      <c r="D4" s="462"/>
      <c r="E4" s="463"/>
      <c r="F4" s="337"/>
      <c r="G4" s="383"/>
      <c r="H4" s="384"/>
      <c r="I4" s="384"/>
      <c r="J4" s="384"/>
      <c r="K4" s="384"/>
      <c r="L4" s="384"/>
      <c r="M4" s="384"/>
      <c r="N4" s="384"/>
      <c r="O4" s="436" t="s">
        <v>486</v>
      </c>
      <c r="P4" s="437"/>
      <c r="Q4" s="437"/>
      <c r="R4" s="437"/>
      <c r="S4" s="438"/>
    </row>
    <row r="5" spans="1:19" ht="20.25" customHeight="1" x14ac:dyDescent="0.3">
      <c r="A5" s="318"/>
      <c r="B5" s="464"/>
      <c r="C5" s="465"/>
      <c r="D5" s="465"/>
      <c r="E5" s="466"/>
      <c r="F5" s="338"/>
      <c r="G5" s="385"/>
      <c r="H5" s="467"/>
      <c r="I5" s="467"/>
      <c r="J5" s="467"/>
      <c r="K5" s="467"/>
      <c r="L5" s="467"/>
      <c r="M5" s="467"/>
      <c r="N5" s="386"/>
      <c r="O5" s="435" t="s">
        <v>476</v>
      </c>
      <c r="P5" s="435"/>
      <c r="Q5" s="435"/>
      <c r="R5" s="356" t="s">
        <v>477</v>
      </c>
      <c r="S5" s="356" t="s">
        <v>453</v>
      </c>
    </row>
    <row r="6" spans="1:19" ht="20.25" customHeight="1" x14ac:dyDescent="0.3">
      <c r="A6" s="318"/>
      <c r="B6" s="464"/>
      <c r="C6" s="465"/>
      <c r="D6" s="465"/>
      <c r="E6" s="466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92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 x14ac:dyDescent="0.25">
      <c r="B7" s="464"/>
      <c r="C7" s="465"/>
      <c r="D7" s="465"/>
      <c r="E7" s="466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81</v>
      </c>
      <c r="P7" s="359" t="s">
        <v>483</v>
      </c>
      <c r="Q7" s="357">
        <f>O7+ROUND((100-$R$1)/3,0)</f>
        <v>91</v>
      </c>
      <c r="R7" s="357" t="s">
        <v>479</v>
      </c>
      <c r="S7" s="356" t="s">
        <v>473</v>
      </c>
    </row>
    <row r="8" spans="1:19" ht="20.25" customHeight="1" x14ac:dyDescent="0.25">
      <c r="B8" s="464"/>
      <c r="C8" s="465"/>
      <c r="D8" s="465"/>
      <c r="E8" s="466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70</v>
      </c>
      <c r="P8" s="359" t="s">
        <v>483</v>
      </c>
      <c r="Q8" s="357">
        <f>O8+ROUND((100-$R$1)/3,0)</f>
        <v>80</v>
      </c>
      <c r="R8" s="357" t="s">
        <v>480</v>
      </c>
      <c r="S8" s="356" t="s">
        <v>474</v>
      </c>
    </row>
    <row r="9" spans="1:19" ht="20.25" customHeight="1" thickBot="1" x14ac:dyDescent="0.3">
      <c r="B9" s="444" t="s">
        <v>471</v>
      </c>
      <c r="C9" s="445"/>
      <c r="D9" s="445"/>
      <c r="E9" s="446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70</v>
      </c>
      <c r="R9" s="357" t="s">
        <v>481</v>
      </c>
      <c r="S9" s="356" t="s">
        <v>475</v>
      </c>
    </row>
    <row r="10" spans="1:19" ht="20.25" customHeight="1" thickBot="1" x14ac:dyDescent="0.3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 x14ac:dyDescent="0.25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 x14ac:dyDescent="0.25">
      <c r="B12" s="366" t="s">
        <v>241</v>
      </c>
      <c r="C12" s="367" t="s">
        <v>240</v>
      </c>
      <c r="D12" s="432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 x14ac:dyDescent="0.25">
      <c r="B13" s="366" t="s">
        <v>242</v>
      </c>
      <c r="C13" s="367" t="s">
        <v>240</v>
      </c>
      <c r="D13" s="451" t="s">
        <v>552</v>
      </c>
      <c r="E13" s="452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 x14ac:dyDescent="0.25">
      <c r="B14" s="366" t="s">
        <v>243</v>
      </c>
      <c r="C14" s="367" t="s">
        <v>240</v>
      </c>
      <c r="D14" s="447" t="s">
        <v>501</v>
      </c>
      <c r="E14" s="448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 x14ac:dyDescent="0.25">
      <c r="B15" s="369" t="s">
        <v>289</v>
      </c>
      <c r="C15" s="367" t="s">
        <v>240</v>
      </c>
      <c r="D15" s="449" t="s">
        <v>553</v>
      </c>
      <c r="E15" s="450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 x14ac:dyDescent="0.3">
      <c r="B16" s="366" t="s">
        <v>305</v>
      </c>
      <c r="C16" s="367" t="s">
        <v>240</v>
      </c>
      <c r="D16" s="427" t="s">
        <v>503</v>
      </c>
      <c r="E16" s="428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 x14ac:dyDescent="0.35">
      <c r="B17" s="370" t="s">
        <v>496</v>
      </c>
      <c r="C17" s="371" t="s">
        <v>240</v>
      </c>
      <c r="D17" s="372">
        <v>4</v>
      </c>
      <c r="E17" s="431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 x14ac:dyDescent="0.25">
      <c r="B18" s="453" t="s">
        <v>487</v>
      </c>
      <c r="C18" s="454"/>
      <c r="D18" s="454"/>
      <c r="E18" s="455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 x14ac:dyDescent="0.25">
      <c r="B19" s="453"/>
      <c r="C19" s="454"/>
      <c r="D19" s="454"/>
      <c r="E19" s="455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 x14ac:dyDescent="0.25">
      <c r="B20" s="453"/>
      <c r="C20" s="454"/>
      <c r="D20" s="454"/>
      <c r="E20" s="455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 x14ac:dyDescent="0.3">
      <c r="B21" s="456"/>
      <c r="C21" s="457"/>
      <c r="D21" s="457"/>
      <c r="E21" s="458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 x14ac:dyDescent="0.3">
      <c r="B22" s="441"/>
      <c r="C22" s="442"/>
      <c r="D22" s="442"/>
      <c r="E22" s="443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1" t="s">
        <v>489</v>
      </c>
      <c r="R22" s="471"/>
      <c r="S22" s="471"/>
    </row>
    <row r="23" spans="2:19" ht="15" hidden="1" customHeight="1" x14ac:dyDescent="0.25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1"/>
      <c r="R23" s="471"/>
      <c r="S23" s="471"/>
    </row>
    <row r="24" spans="2:19" ht="15" hidden="1" customHeight="1" x14ac:dyDescent="0.25">
      <c r="Q24" s="471"/>
      <c r="R24" s="471"/>
      <c r="S24" s="471"/>
    </row>
    <row r="25" spans="2:19" ht="15" hidden="1" customHeight="1" x14ac:dyDescent="0.25">
      <c r="Q25" s="471"/>
      <c r="R25" s="471"/>
      <c r="S25" s="471"/>
    </row>
    <row r="26" spans="2:19" ht="15" hidden="1" customHeight="1" x14ac:dyDescent="0.25">
      <c r="Q26" s="471"/>
      <c r="R26" s="471"/>
      <c r="S26" s="471"/>
    </row>
    <row r="27" spans="2:19" ht="15" hidden="1" customHeight="1" x14ac:dyDescent="0.25">
      <c r="Q27" s="471"/>
      <c r="R27" s="471"/>
      <c r="S27" s="471"/>
    </row>
    <row r="28" spans="2:19" ht="15" hidden="1" customHeight="1" x14ac:dyDescent="0.25">
      <c r="Q28" s="471"/>
      <c r="R28" s="471"/>
      <c r="S28" s="471"/>
    </row>
    <row r="29" spans="2:19" ht="15" hidden="1" customHeight="1" x14ac:dyDescent="0.25">
      <c r="Q29" s="471"/>
      <c r="R29" s="471"/>
      <c r="S29" s="471"/>
    </row>
    <row r="30" spans="2:19" ht="15" hidden="1" customHeight="1" x14ac:dyDescent="0.25">
      <c r="Q30" s="471"/>
      <c r="R30" s="471"/>
      <c r="S30" s="471"/>
    </row>
    <row r="31" spans="2:19" ht="15" hidden="1" customHeight="1" x14ac:dyDescent="0.25">
      <c r="Q31" s="471"/>
      <c r="R31" s="471"/>
      <c r="S31" s="471"/>
    </row>
    <row r="32" spans="2:19" ht="15" hidden="1" customHeight="1" x14ac:dyDescent="0.25">
      <c r="Q32" s="471"/>
      <c r="R32" s="471"/>
      <c r="S32" s="471"/>
    </row>
    <row r="33" spans="17:19" ht="15" hidden="1" customHeight="1" x14ac:dyDescent="0.25">
      <c r="Q33" s="471"/>
      <c r="R33" s="471"/>
      <c r="S33" s="471"/>
    </row>
    <row r="34" spans="17:19" ht="15" hidden="1" customHeight="1" x14ac:dyDescent="0.25">
      <c r="Q34" s="471"/>
      <c r="R34" s="471"/>
      <c r="S34" s="471"/>
    </row>
    <row r="35" spans="17:19" ht="15" hidden="1" customHeight="1" x14ac:dyDescent="0.25">
      <c r="Q35" s="471"/>
      <c r="R35" s="471"/>
      <c r="S35" s="471"/>
    </row>
    <row r="36" spans="17:19" ht="15" hidden="1" customHeight="1" x14ac:dyDescent="0.25">
      <c r="Q36" s="471"/>
      <c r="R36" s="471"/>
      <c r="S36" s="471"/>
    </row>
    <row r="37" spans="17:19" ht="15" hidden="1" customHeight="1" x14ac:dyDescent="0.25">
      <c r="Q37" s="471"/>
      <c r="R37" s="471"/>
      <c r="S37" s="471"/>
    </row>
    <row r="38" spans="17:19" ht="15" hidden="1" customHeight="1" x14ac:dyDescent="0.25">
      <c r="Q38" s="471"/>
      <c r="R38" s="471"/>
      <c r="S38" s="471"/>
    </row>
    <row r="39" spans="17:19" ht="15" hidden="1" customHeight="1" x14ac:dyDescent="0.25">
      <c r="Q39" s="471"/>
      <c r="R39" s="471"/>
      <c r="S39" s="471"/>
    </row>
    <row r="40" spans="17:19" ht="15" hidden="1" customHeight="1" x14ac:dyDescent="0.25">
      <c r="Q40" s="471"/>
      <c r="R40" s="471"/>
      <c r="S40" s="471"/>
    </row>
    <row r="41" spans="17:19" ht="15" hidden="1" customHeight="1" x14ac:dyDescent="0.25">
      <c r="Q41" s="471"/>
      <c r="R41" s="471"/>
      <c r="S41" s="471"/>
    </row>
    <row r="42" spans="17:19" ht="15" hidden="1" customHeight="1" x14ac:dyDescent="0.25">
      <c r="Q42" s="471"/>
      <c r="R42" s="471"/>
      <c r="S42" s="471"/>
    </row>
    <row r="43" spans="17:19" ht="15" hidden="1" customHeight="1" x14ac:dyDescent="0.25">
      <c r="Q43" s="471"/>
      <c r="R43" s="471"/>
      <c r="S43" s="471"/>
    </row>
    <row r="44" spans="17:19" ht="15" hidden="1" customHeight="1" x14ac:dyDescent="0.25">
      <c r="Q44" s="471"/>
      <c r="R44" s="471"/>
      <c r="S44" s="471"/>
    </row>
    <row r="45" spans="17:19" ht="15" hidden="1" customHeight="1" x14ac:dyDescent="0.25">
      <c r="Q45" s="471"/>
      <c r="R45" s="471"/>
      <c r="S45" s="471"/>
    </row>
    <row r="46" spans="17:19" ht="15" hidden="1" customHeight="1" x14ac:dyDescent="0.25">
      <c r="Q46" s="471"/>
      <c r="R46" s="471"/>
      <c r="S46" s="471"/>
    </row>
    <row r="47" spans="17:19" ht="15" hidden="1" customHeight="1" x14ac:dyDescent="0.25">
      <c r="Q47" s="471"/>
      <c r="R47" s="471"/>
      <c r="S47" s="471"/>
    </row>
    <row r="48" spans="17:19" ht="15" hidden="1" customHeight="1" x14ac:dyDescent="0.25">
      <c r="Q48" s="471"/>
      <c r="R48" s="471"/>
      <c r="S48" s="471"/>
    </row>
    <row r="49" spans="17:19" ht="15" hidden="1" customHeight="1" x14ac:dyDescent="0.25">
      <c r="Q49" s="471"/>
      <c r="R49" s="471"/>
      <c r="S49" s="471"/>
    </row>
    <row r="50" spans="17:19" ht="15" hidden="1" customHeight="1" x14ac:dyDescent="0.25">
      <c r="Q50" s="471"/>
      <c r="R50" s="471"/>
      <c r="S50" s="471"/>
    </row>
    <row r="51" spans="17:19" ht="15" hidden="1" customHeight="1" x14ac:dyDescent="0.25">
      <c r="Q51" s="471"/>
      <c r="R51" s="471"/>
      <c r="S51" s="471"/>
    </row>
    <row r="52" spans="17:19" ht="15" hidden="1" customHeight="1" x14ac:dyDescent="0.25">
      <c r="Q52" s="471"/>
      <c r="R52" s="471"/>
      <c r="S52" s="471"/>
    </row>
    <row r="53" spans="17:19" ht="15" hidden="1" customHeight="1" x14ac:dyDescent="0.25">
      <c r="Q53" s="471"/>
      <c r="R53" s="471"/>
      <c r="S53" s="471"/>
    </row>
    <row r="54" spans="17:19" ht="15" hidden="1" customHeight="1" x14ac:dyDescent="0.25">
      <c r="Q54" s="471"/>
      <c r="R54" s="471"/>
      <c r="S54" s="471"/>
    </row>
    <row r="55" spans="17:19" ht="15" hidden="1" customHeight="1" x14ac:dyDescent="0.25">
      <c r="Q55" s="471"/>
      <c r="R55" s="471"/>
      <c r="S55" s="471"/>
    </row>
    <row r="56" spans="17:19" ht="15" hidden="1" customHeight="1" x14ac:dyDescent="0.25">
      <c r="Q56" s="471"/>
      <c r="R56" s="471"/>
      <c r="S56" s="471"/>
    </row>
    <row r="57" spans="17:19" ht="15" hidden="1" customHeight="1" x14ac:dyDescent="0.25">
      <c r="Q57" s="471"/>
      <c r="R57" s="471"/>
      <c r="S57" s="471"/>
    </row>
    <row r="58" spans="17:19" ht="15" hidden="1" customHeight="1" x14ac:dyDescent="0.25">
      <c r="Q58" s="471"/>
      <c r="R58" s="471"/>
      <c r="S58" s="471"/>
    </row>
    <row r="59" spans="17:19" ht="15" hidden="1" customHeight="1" x14ac:dyDescent="0.25">
      <c r="Q59" s="471"/>
      <c r="R59" s="471"/>
      <c r="S59" s="471"/>
    </row>
    <row r="60" spans="17:19" ht="15" hidden="1" customHeight="1" x14ac:dyDescent="0.25">
      <c r="Q60" s="471"/>
      <c r="R60" s="471"/>
      <c r="S60" s="471"/>
    </row>
    <row r="61" spans="17:19" ht="15" hidden="1" customHeight="1" x14ac:dyDescent="0.25">
      <c r="Q61" s="471"/>
      <c r="R61" s="471"/>
      <c r="S61" s="471"/>
    </row>
    <row r="62" spans="17:19" ht="15" hidden="1" customHeight="1" x14ac:dyDescent="0.25">
      <c r="Q62" s="471"/>
      <c r="R62" s="471"/>
      <c r="S62" s="471"/>
    </row>
    <row r="63" spans="17:19" ht="15" hidden="1" customHeight="1" x14ac:dyDescent="0.25">
      <c r="Q63" s="471"/>
      <c r="R63" s="471"/>
      <c r="S63" s="471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17"/>
  <sheetViews>
    <sheetView zoomScale="120" zoomScaleNormal="120" workbookViewId="0"/>
  </sheetViews>
  <sheetFormatPr defaultColWidth="0" defaultRowHeight="15" customHeight="1" zeroHeight="1" x14ac:dyDescent="0.25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 x14ac:dyDescent="0.25">
      <c r="A1" s="328"/>
      <c r="B1" s="329"/>
      <c r="C1" s="475" t="s">
        <v>456</v>
      </c>
      <c r="D1" s="475"/>
      <c r="E1" s="329"/>
    </row>
    <row r="2" spans="1:5" x14ac:dyDescent="0.25">
      <c r="A2" s="328"/>
      <c r="B2" s="328"/>
      <c r="C2" s="475"/>
      <c r="D2" s="475"/>
      <c r="E2" s="328"/>
    </row>
    <row r="3" spans="1:5" x14ac:dyDescent="0.25">
      <c r="A3" s="328"/>
      <c r="B3" s="328"/>
      <c r="C3" s="475"/>
      <c r="D3" s="475"/>
      <c r="E3" s="328"/>
    </row>
    <row r="4" spans="1:5" ht="15.75" thickBot="1" x14ac:dyDescent="0.3">
      <c r="A4" s="328"/>
      <c r="B4" s="328"/>
      <c r="C4" s="328"/>
      <c r="D4" s="328"/>
      <c r="E4" s="328"/>
    </row>
    <row r="5" spans="1:5" x14ac:dyDescent="0.25">
      <c r="A5" s="328"/>
      <c r="B5" s="328"/>
      <c r="C5" s="331"/>
      <c r="D5" s="332"/>
      <c r="E5" s="328"/>
    </row>
    <row r="6" spans="1:5" x14ac:dyDescent="0.25">
      <c r="A6" s="328"/>
      <c r="B6" s="328"/>
      <c r="C6" s="333" t="s">
        <v>316</v>
      </c>
      <c r="D6" s="334" t="s">
        <v>457</v>
      </c>
      <c r="E6" s="328"/>
    </row>
    <row r="7" spans="1:5" x14ac:dyDescent="0.25">
      <c r="A7" s="328"/>
      <c r="B7" s="328"/>
      <c r="C7" s="333" t="s">
        <v>458</v>
      </c>
      <c r="D7" s="334" t="s">
        <v>459</v>
      </c>
      <c r="E7" s="328"/>
    </row>
    <row r="8" spans="1:5" x14ac:dyDescent="0.25">
      <c r="A8" s="328"/>
      <c r="B8" s="328"/>
      <c r="C8" s="333" t="s">
        <v>460</v>
      </c>
      <c r="D8" s="334" t="s">
        <v>461</v>
      </c>
      <c r="E8" s="328"/>
    </row>
    <row r="9" spans="1:5" x14ac:dyDescent="0.25">
      <c r="A9" s="328"/>
      <c r="B9" s="328"/>
      <c r="C9" s="333" t="s">
        <v>462</v>
      </c>
      <c r="D9" s="334" t="s">
        <v>463</v>
      </c>
      <c r="E9" s="328"/>
    </row>
    <row r="10" spans="1:5" ht="18.75" x14ac:dyDescent="0.3">
      <c r="A10" s="328"/>
      <c r="B10" s="328"/>
      <c r="C10" s="476" t="s">
        <v>464</v>
      </c>
      <c r="D10" s="477"/>
      <c r="E10" s="328"/>
    </row>
    <row r="11" spans="1:5" x14ac:dyDescent="0.25">
      <c r="A11" s="328"/>
      <c r="B11" s="328"/>
      <c r="C11" s="473" t="s">
        <v>465</v>
      </c>
      <c r="D11" s="474"/>
      <c r="E11" s="328"/>
    </row>
    <row r="12" spans="1:5" x14ac:dyDescent="0.25">
      <c r="A12" s="328"/>
      <c r="B12" s="328"/>
      <c r="C12" s="473" t="s">
        <v>466</v>
      </c>
      <c r="D12" s="474"/>
      <c r="E12" s="328"/>
    </row>
    <row r="13" spans="1:5" x14ac:dyDescent="0.25">
      <c r="A13" s="328"/>
      <c r="B13" s="328"/>
      <c r="C13" s="473" t="s">
        <v>467</v>
      </c>
      <c r="D13" s="474"/>
      <c r="E13" s="328"/>
    </row>
    <row r="14" spans="1:5" x14ac:dyDescent="0.25">
      <c r="A14" s="328"/>
      <c r="B14" s="328"/>
      <c r="C14" s="473" t="s">
        <v>468</v>
      </c>
      <c r="D14" s="474"/>
      <c r="E14" s="328"/>
    </row>
    <row r="15" spans="1:5" x14ac:dyDescent="0.25">
      <c r="A15" s="328"/>
      <c r="B15" s="328"/>
      <c r="C15" s="473" t="s">
        <v>469</v>
      </c>
      <c r="D15" s="474"/>
      <c r="E15" s="328"/>
    </row>
    <row r="16" spans="1:5" ht="15.75" thickBot="1" x14ac:dyDescent="0.3">
      <c r="A16" s="328"/>
      <c r="B16" s="328"/>
      <c r="C16" s="335"/>
      <c r="D16" s="336"/>
      <c r="E16" s="328"/>
    </row>
    <row r="17" spans="1:5" ht="36" customHeight="1" x14ac:dyDescent="0.25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 x14ac:dyDescent="0.2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 x14ac:dyDescent="0.25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</row>
    <row r="2" spans="1:5" ht="15" customHeight="1" x14ac:dyDescent="0.25">
      <c r="A2" s="479"/>
      <c r="B2" s="479"/>
      <c r="C2" s="481"/>
      <c r="D2" s="482"/>
      <c r="E2" s="484"/>
    </row>
    <row r="3" spans="1:5" s="97" customFormat="1" ht="80.25" customHeight="1" x14ac:dyDescent="0.25">
      <c r="A3" s="480"/>
      <c r="B3" s="480"/>
      <c r="C3" s="481"/>
      <c r="D3" s="482"/>
      <c r="E3" s="485"/>
    </row>
    <row r="4" spans="1:5" x14ac:dyDescent="0.2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 x14ac:dyDescent="0.25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 x14ac:dyDescent="0.25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 x14ac:dyDescent="0.2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 x14ac:dyDescent="0.2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 x14ac:dyDescent="0.2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 x14ac:dyDescent="0.2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 x14ac:dyDescent="0.2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 x14ac:dyDescent="0.2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 x14ac:dyDescent="0.2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 x14ac:dyDescent="0.2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 x14ac:dyDescent="0.2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 x14ac:dyDescent="0.2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 x14ac:dyDescent="0.2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 x14ac:dyDescent="0.2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 x14ac:dyDescent="0.2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 x14ac:dyDescent="0.2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 x14ac:dyDescent="0.2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 x14ac:dyDescent="0.2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 x14ac:dyDescent="0.2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 x14ac:dyDescent="0.2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 x14ac:dyDescent="0.2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 x14ac:dyDescent="0.2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 x14ac:dyDescent="0.2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 x14ac:dyDescent="0.2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 x14ac:dyDescent="0.2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 x14ac:dyDescent="0.2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 x14ac:dyDescent="0.2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 x14ac:dyDescent="0.2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 x14ac:dyDescent="0.2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 x14ac:dyDescent="0.2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 x14ac:dyDescent="0.2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 x14ac:dyDescent="0.2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 x14ac:dyDescent="0.2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 x14ac:dyDescent="0.2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 x14ac:dyDescent="0.2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 x14ac:dyDescent="0.2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 x14ac:dyDescent="0.2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 x14ac:dyDescent="0.2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 x14ac:dyDescent="0.2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 x14ac:dyDescent="0.2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 x14ac:dyDescent="0.2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 x14ac:dyDescent="0.2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 x14ac:dyDescent="0.2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 x14ac:dyDescent="0.2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 x14ac:dyDescent="0.2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 x14ac:dyDescent="0.2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 x14ac:dyDescent="0.2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 x14ac:dyDescent="0.2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3"/>
  <sheetViews>
    <sheetView workbookViewId="0">
      <selection activeCell="A9" sqref="A9:B9"/>
    </sheetView>
  </sheetViews>
  <sheetFormatPr defaultRowHeight="15" x14ac:dyDescent="0.25"/>
  <cols>
    <col min="1" max="1" width="9.140625" style="85"/>
    <col min="2" max="2" width="117.28515625" style="85" customWidth="1"/>
    <col min="3" max="16384" width="9.140625" style="85"/>
  </cols>
  <sheetData>
    <row r="1" spans="1:2" x14ac:dyDescent="0.25">
      <c r="A1" s="486" t="s">
        <v>420</v>
      </c>
      <c r="B1" s="486"/>
    </row>
    <row r="2" spans="1:2" ht="28.5" x14ac:dyDescent="0.25">
      <c r="A2" s="280" t="s">
        <v>101</v>
      </c>
      <c r="B2" s="281" t="s">
        <v>221</v>
      </c>
    </row>
    <row r="3" spans="1:2" ht="66.75" customHeight="1" x14ac:dyDescent="0.25">
      <c r="A3" s="273"/>
      <c r="B3" s="274" t="s">
        <v>574</v>
      </c>
    </row>
    <row r="5" spans="1:2" x14ac:dyDescent="0.25">
      <c r="A5" s="487" t="s">
        <v>419</v>
      </c>
      <c r="B5" s="487"/>
    </row>
    <row r="6" spans="1:2" ht="31.5" x14ac:dyDescent="0.25">
      <c r="A6" s="282" t="s">
        <v>101</v>
      </c>
      <c r="B6" s="283" t="s">
        <v>221</v>
      </c>
    </row>
    <row r="7" spans="1:2" ht="53.25" customHeight="1" x14ac:dyDescent="0.25">
      <c r="A7" s="275"/>
      <c r="B7" s="276" t="s">
        <v>575</v>
      </c>
    </row>
    <row r="9" spans="1:2" x14ac:dyDescent="0.25">
      <c r="A9" s="488" t="s">
        <v>319</v>
      </c>
      <c r="B9" s="488"/>
    </row>
    <row r="10" spans="1:2" ht="31.5" x14ac:dyDescent="0.25">
      <c r="A10" s="284" t="s">
        <v>101</v>
      </c>
      <c r="B10" s="285" t="s">
        <v>221</v>
      </c>
    </row>
    <row r="11" spans="1:2" ht="15.75" x14ac:dyDescent="0.25">
      <c r="A11" s="415">
        <v>31</v>
      </c>
      <c r="B11" s="412" t="s">
        <v>554</v>
      </c>
    </row>
    <row r="12" spans="1:2" ht="15.75" x14ac:dyDescent="0.25">
      <c r="A12" s="416">
        <v>32</v>
      </c>
      <c r="B12" s="412" t="s">
        <v>555</v>
      </c>
    </row>
    <row r="13" spans="1:2" ht="15.75" x14ac:dyDescent="0.25">
      <c r="A13" s="416">
        <v>33</v>
      </c>
      <c r="B13" s="412" t="s">
        <v>556</v>
      </c>
    </row>
    <row r="14" spans="1:2" ht="15.75" x14ac:dyDescent="0.25">
      <c r="A14" s="417">
        <v>34</v>
      </c>
      <c r="B14" s="412" t="s">
        <v>557</v>
      </c>
    </row>
    <row r="15" spans="1:2" ht="15.75" x14ac:dyDescent="0.25">
      <c r="A15" s="415">
        <v>35</v>
      </c>
      <c r="B15" s="412" t="s">
        <v>558</v>
      </c>
    </row>
    <row r="16" spans="1:2" ht="15.75" x14ac:dyDescent="0.25">
      <c r="A16" s="416">
        <v>36</v>
      </c>
      <c r="B16" s="413" t="s">
        <v>559</v>
      </c>
    </row>
    <row r="17" spans="1:2" ht="15.75" x14ac:dyDescent="0.25">
      <c r="A17" s="416">
        <v>37</v>
      </c>
      <c r="B17" s="414" t="s">
        <v>560</v>
      </c>
    </row>
    <row r="18" spans="1:2" x14ac:dyDescent="0.25">
      <c r="A18" s="417">
        <v>38</v>
      </c>
      <c r="B18" s="277" t="s">
        <v>561</v>
      </c>
    </row>
    <row r="19" spans="1:2" x14ac:dyDescent="0.25">
      <c r="A19" s="415">
        <v>39</v>
      </c>
      <c r="B19" s="277" t="s">
        <v>562</v>
      </c>
    </row>
    <row r="20" spans="1:2" x14ac:dyDescent="0.25">
      <c r="A20" s="416">
        <v>310</v>
      </c>
      <c r="B20" s="277" t="s">
        <v>563</v>
      </c>
    </row>
    <row r="21" spans="1:2" x14ac:dyDescent="0.25">
      <c r="A21" s="284"/>
      <c r="B21" s="316"/>
    </row>
    <row r="22" spans="1:2" x14ac:dyDescent="0.25">
      <c r="A22" s="284"/>
      <c r="B22" s="316"/>
    </row>
    <row r="23" spans="1:2" x14ac:dyDescent="0.25">
      <c r="A23" s="284"/>
      <c r="B23" s="316"/>
    </row>
    <row r="24" spans="1:2" x14ac:dyDescent="0.25">
      <c r="A24" s="284"/>
      <c r="B24" s="316"/>
    </row>
    <row r="25" spans="1:2" x14ac:dyDescent="0.25">
      <c r="A25" s="284"/>
      <c r="B25" s="316"/>
    </row>
    <row r="27" spans="1:2" x14ac:dyDescent="0.25">
      <c r="A27" s="489" t="s">
        <v>320</v>
      </c>
      <c r="B27" s="489"/>
    </row>
    <row r="28" spans="1:2" x14ac:dyDescent="0.25">
      <c r="A28" s="286" t="s">
        <v>101</v>
      </c>
      <c r="B28" s="287" t="s">
        <v>221</v>
      </c>
    </row>
    <row r="29" spans="1:2" ht="15.75" x14ac:dyDescent="0.25">
      <c r="A29" s="278">
        <v>41</v>
      </c>
      <c r="B29" s="410" t="s">
        <v>564</v>
      </c>
    </row>
    <row r="30" spans="1:2" ht="15.75" x14ac:dyDescent="0.25">
      <c r="A30" s="278">
        <v>42</v>
      </c>
      <c r="B30" s="410" t="s">
        <v>565</v>
      </c>
    </row>
    <row r="31" spans="1:2" ht="15.75" x14ac:dyDescent="0.25">
      <c r="A31" s="278">
        <v>43</v>
      </c>
      <c r="B31" s="410" t="s">
        <v>566</v>
      </c>
    </row>
    <row r="32" spans="1:2" ht="15.75" x14ac:dyDescent="0.25">
      <c r="A32" s="278">
        <v>44</v>
      </c>
      <c r="B32" s="410" t="s">
        <v>567</v>
      </c>
    </row>
    <row r="33" spans="1:2" ht="15.75" x14ac:dyDescent="0.25">
      <c r="A33" s="278">
        <v>45</v>
      </c>
      <c r="B33" s="410" t="s">
        <v>568</v>
      </c>
    </row>
    <row r="34" spans="1:2" ht="15.75" x14ac:dyDescent="0.25">
      <c r="A34" s="278">
        <v>46</v>
      </c>
      <c r="B34" s="410" t="s">
        <v>569</v>
      </c>
    </row>
    <row r="35" spans="1:2" ht="15.75" x14ac:dyDescent="0.25">
      <c r="A35" s="278">
        <v>47</v>
      </c>
      <c r="B35" s="411" t="s">
        <v>570</v>
      </c>
    </row>
    <row r="36" spans="1:2" x14ac:dyDescent="0.25">
      <c r="A36" s="278">
        <v>48</v>
      </c>
      <c r="B36" s="279" t="s">
        <v>571</v>
      </c>
    </row>
    <row r="37" spans="1:2" x14ac:dyDescent="0.25">
      <c r="A37" s="278">
        <v>49</v>
      </c>
      <c r="B37" s="279" t="s">
        <v>572</v>
      </c>
    </row>
    <row r="38" spans="1:2" x14ac:dyDescent="0.25">
      <c r="A38" s="278">
        <v>410</v>
      </c>
      <c r="B38" s="279" t="s">
        <v>573</v>
      </c>
    </row>
    <row r="39" spans="1:2" x14ac:dyDescent="0.25">
      <c r="A39" s="286"/>
      <c r="B39" s="317"/>
    </row>
    <row r="40" spans="1:2" x14ac:dyDescent="0.25">
      <c r="A40" s="286"/>
      <c r="B40" s="317"/>
    </row>
    <row r="41" spans="1:2" x14ac:dyDescent="0.25">
      <c r="A41" s="286"/>
      <c r="B41" s="317"/>
    </row>
    <row r="42" spans="1:2" x14ac:dyDescent="0.25">
      <c r="A42" s="286"/>
      <c r="B42" s="317"/>
    </row>
    <row r="43" spans="1:2" x14ac:dyDescent="0.25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4"/>
  <sheetViews>
    <sheetView workbookViewId="0">
      <selection sqref="A1:A3"/>
    </sheetView>
  </sheetViews>
  <sheetFormatPr defaultRowHeight="15" x14ac:dyDescent="0.2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 x14ac:dyDescent="0.25">
      <c r="A1" s="510" t="s">
        <v>317</v>
      </c>
      <c r="B1" s="495">
        <v>6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</row>
    <row r="2" spans="1:14" ht="15" customHeight="1" x14ac:dyDescent="0.25">
      <c r="A2" s="510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</row>
    <row r="3" spans="1:14" ht="15" customHeight="1" x14ac:dyDescent="0.25">
      <c r="A3" s="510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</row>
    <row r="5" spans="1:14" ht="45" customHeight="1" x14ac:dyDescent="0.25">
      <c r="A5" s="263" t="s">
        <v>316</v>
      </c>
      <c r="B5" s="496" t="str">
        <f>VLOOKUP(B1,nilai_jadi,3,FALSE)</f>
        <v>Siswa 6</v>
      </c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496"/>
    </row>
    <row r="7" spans="1:14" ht="4.5" customHeight="1" x14ac:dyDescent="0.25"/>
    <row r="8" spans="1:14" ht="2.25" customHeight="1" x14ac:dyDescent="0.25"/>
    <row r="9" spans="1:14" ht="15" customHeight="1" x14ac:dyDescent="0.25">
      <c r="B9" s="499" t="s">
        <v>424</v>
      </c>
      <c r="C9" s="500"/>
      <c r="D9" s="500"/>
      <c r="E9" s="500"/>
      <c r="F9" s="514" t="s">
        <v>425</v>
      </c>
      <c r="G9" s="514"/>
      <c r="H9" s="514"/>
      <c r="I9" s="514"/>
      <c r="J9" s="514"/>
      <c r="K9" s="514"/>
      <c r="L9" s="514"/>
      <c r="M9" s="514"/>
      <c r="N9" s="515"/>
    </row>
    <row r="10" spans="1:14" ht="6" customHeight="1" x14ac:dyDescent="0.25">
      <c r="B10" s="501"/>
      <c r="C10" s="502"/>
      <c r="D10" s="502"/>
      <c r="E10" s="502"/>
      <c r="F10" s="516"/>
      <c r="G10" s="516"/>
      <c r="H10" s="516"/>
      <c r="I10" s="516"/>
      <c r="J10" s="516"/>
      <c r="K10" s="516"/>
      <c r="L10" s="516"/>
      <c r="M10" s="516"/>
      <c r="N10" s="517"/>
    </row>
    <row r="11" spans="1:14" ht="40.5" customHeight="1" x14ac:dyDescent="0.25">
      <c r="A11" s="493" t="s">
        <v>308</v>
      </c>
      <c r="B11" s="262">
        <f>VLOOKUP(B1,nilai_jadi,12,FALSE)</f>
        <v>3</v>
      </c>
      <c r="C11" s="497" t="s">
        <v>423</v>
      </c>
      <c r="D11" s="498"/>
      <c r="E11" s="498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6" t="s">
        <v>221</v>
      </c>
      <c r="N11" s="507"/>
    </row>
    <row r="12" spans="1:14" ht="86.25" customHeight="1" x14ac:dyDescent="0.25">
      <c r="A12" s="494"/>
      <c r="B12" s="262">
        <f>VLOOKUP(B1,nilai_jadi,10,FALSE)</f>
        <v>3</v>
      </c>
      <c r="C12" s="503" t="str">
        <f>VLOOKUP(B1,nilai_jadi,11,FALSE)</f>
        <v>rajin beribadah dan berpuasa</v>
      </c>
      <c r="D12" s="504"/>
      <c r="E12" s="505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8" t="str">
        <f>VLOOKUP(B1,nilai_jadi,19,FALSE)</f>
        <v>patuh terhadap tata tertib madrasah</v>
      </c>
      <c r="N12" s="509"/>
    </row>
    <row r="13" spans="1:14" ht="54.95" customHeight="1" x14ac:dyDescent="0.25">
      <c r="A13" s="272" t="s">
        <v>315</v>
      </c>
      <c r="B13" s="258">
        <f>VLOOKUP(B1,nilai_jadi,4,FALSE)</f>
        <v>84</v>
      </c>
      <c r="C13" s="259" t="str">
        <f>VLOOKUP(B1,nilai_jadi,5,FALSE)</f>
        <v>B</v>
      </c>
      <c r="D13" s="511" t="str">
        <f>VLOOKUP(B1,nilai_jadi,6,FALSE)</f>
        <v>Memiliki penguasaan semua materi baik,  sudah menguasai pengetahuan akidah akhlak 2, dan perlu ditingkatkan dalam pengetahuan akidah akhlak 10</v>
      </c>
      <c r="E13" s="512"/>
      <c r="F13" s="512"/>
      <c r="G13" s="512"/>
      <c r="H13" s="512"/>
      <c r="I13" s="512"/>
      <c r="J13" s="512"/>
      <c r="K13" s="512"/>
      <c r="L13" s="512"/>
      <c r="M13" s="512"/>
      <c r="N13" s="513"/>
    </row>
    <row r="14" spans="1:14" ht="54.95" customHeight="1" x14ac:dyDescent="0.25">
      <c r="A14" s="205" t="s">
        <v>314</v>
      </c>
      <c r="B14" s="260">
        <f>VLOOKUP(B1,nilai_jadi,7,FALSE)</f>
        <v>87</v>
      </c>
      <c r="C14" s="261" t="str">
        <f>VLOOKUP(B1,nilai_jadi,8,FALSE)</f>
        <v>B</v>
      </c>
      <c r="D14" s="490" t="str">
        <f>VLOOKUP(B1,nilai_jadi,9,FALSE)</f>
        <v>terampil ketrampilan akidah akhlak 2</v>
      </c>
      <c r="E14" s="491"/>
      <c r="F14" s="491"/>
      <c r="G14" s="491"/>
      <c r="H14" s="491"/>
      <c r="I14" s="491"/>
      <c r="J14" s="491"/>
      <c r="K14" s="491"/>
      <c r="L14" s="491"/>
      <c r="M14" s="491"/>
      <c r="N14" s="492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Spinner 1">
              <controlPr defaultSize="0" autoPict="0">
                <anchor moveWithCells="1" sizeWithCells="1">
                  <from>
                    <xdr:col>14</xdr:col>
                    <xdr:colOff>142875</xdr:colOff>
                    <xdr:row>0</xdr:row>
                    <xdr:rowOff>123825</xdr:rowOff>
                  </from>
                  <to>
                    <xdr:col>15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H55"/>
  <sheetViews>
    <sheetView zoomScaleNormal="100" workbookViewId="0">
      <pane xSplit="2" ySplit="7" topLeftCell="L8" activePane="bottomRight" state="frozen"/>
      <selection pane="topRight" activeCell="C1" sqref="C1"/>
      <selection pane="bottomLeft" activeCell="A8" sqref="A8"/>
      <selection pane="bottomRight" activeCell="S13" sqref="S13"/>
    </sheetView>
  </sheetViews>
  <sheetFormatPr defaultRowHeight="15" x14ac:dyDescent="0.2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 x14ac:dyDescent="0.25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 x14ac:dyDescent="0.2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 x14ac:dyDescent="0.25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alquran hadits</v>
      </c>
      <c r="Q3" s="91"/>
      <c r="R3" s="91"/>
      <c r="S3" s="91"/>
      <c r="T3" s="91"/>
      <c r="U3" s="91"/>
      <c r="V3" s="179"/>
      <c r="W3" s="179"/>
    </row>
    <row r="4" spans="1:34" x14ac:dyDescent="0.25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 x14ac:dyDescent="0.25">
      <c r="A5" s="527" t="s">
        <v>290</v>
      </c>
      <c r="B5" s="528" t="s">
        <v>291</v>
      </c>
      <c r="C5" s="529" t="s">
        <v>300</v>
      </c>
      <c r="D5" s="529"/>
      <c r="E5" s="529"/>
      <c r="F5" s="529"/>
      <c r="G5" s="529"/>
      <c r="H5" s="529"/>
      <c r="I5" s="529"/>
      <c r="J5" s="529"/>
      <c r="K5" s="529"/>
      <c r="L5" s="529"/>
      <c r="M5" s="524" t="s">
        <v>301</v>
      </c>
      <c r="N5" s="525"/>
      <c r="O5" s="525"/>
      <c r="P5" s="525"/>
      <c r="Q5" s="525"/>
      <c r="R5" s="525"/>
      <c r="S5" s="525"/>
      <c r="T5" s="525"/>
      <c r="U5" s="525"/>
      <c r="V5" s="526"/>
      <c r="W5" s="534" t="s">
        <v>498</v>
      </c>
      <c r="X5" s="530" t="s">
        <v>490</v>
      </c>
      <c r="Y5" s="530"/>
      <c r="Z5" s="530"/>
      <c r="AA5" s="530"/>
      <c r="AB5" s="530"/>
      <c r="AC5" s="530"/>
      <c r="AD5" s="530"/>
      <c r="AE5" s="530"/>
      <c r="AF5" s="530"/>
      <c r="AG5" s="530"/>
      <c r="AH5" s="530"/>
    </row>
    <row r="6" spans="1:34" x14ac:dyDescent="0.25">
      <c r="A6" s="527"/>
      <c r="B6" s="528"/>
      <c r="C6" s="522" t="s">
        <v>293</v>
      </c>
      <c r="D6" s="523"/>
      <c r="E6" s="523"/>
      <c r="F6" s="523"/>
      <c r="G6" s="523"/>
      <c r="H6" s="523"/>
      <c r="I6" s="523"/>
      <c r="J6" s="523"/>
      <c r="K6" s="523"/>
      <c r="L6" s="523"/>
      <c r="M6" s="524" t="s">
        <v>293</v>
      </c>
      <c r="N6" s="525"/>
      <c r="O6" s="525"/>
      <c r="P6" s="525"/>
      <c r="Q6" s="525"/>
      <c r="R6" s="525"/>
      <c r="S6" s="525"/>
      <c r="T6" s="525"/>
      <c r="U6" s="525"/>
      <c r="V6" s="526"/>
      <c r="W6" s="535"/>
      <c r="X6" s="518" t="s">
        <v>422</v>
      </c>
      <c r="Y6" s="519"/>
      <c r="Z6" s="531" t="s">
        <v>421</v>
      </c>
      <c r="AA6" s="532"/>
      <c r="AB6" s="532"/>
      <c r="AC6" s="532"/>
      <c r="AD6" s="532"/>
      <c r="AE6" s="532"/>
      <c r="AF6" s="532"/>
      <c r="AG6" s="533"/>
      <c r="AH6" s="520" t="s">
        <v>303</v>
      </c>
    </row>
    <row r="7" spans="1:34" x14ac:dyDescent="0.25">
      <c r="A7" s="527"/>
      <c r="B7" s="528"/>
      <c r="C7" s="109" t="s">
        <v>279</v>
      </c>
      <c r="D7" s="109" t="s">
        <v>280</v>
      </c>
      <c r="E7" s="109" t="s">
        <v>281</v>
      </c>
      <c r="F7" s="109" t="s">
        <v>282</v>
      </c>
      <c r="G7" s="419" t="s">
        <v>2</v>
      </c>
      <c r="H7" s="420" t="s">
        <v>491</v>
      </c>
      <c r="I7" s="420" t="s">
        <v>292</v>
      </c>
      <c r="J7" s="420" t="s">
        <v>495</v>
      </c>
      <c r="K7" s="420" t="s">
        <v>492</v>
      </c>
      <c r="L7" s="420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9" t="s">
        <v>497</v>
      </c>
      <c r="T7" s="422" t="s">
        <v>494</v>
      </c>
      <c r="U7" s="422" t="s">
        <v>492</v>
      </c>
      <c r="V7" s="422" t="s">
        <v>493</v>
      </c>
      <c r="W7" s="536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1"/>
    </row>
    <row r="8" spans="1:34" ht="39.75" x14ac:dyDescent="0.2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95</v>
      </c>
      <c r="D8" s="218">
        <f>IF('Input Nilai Pengetahuan'!U5="","",'Input Nilai Pengetahuan'!U5)</f>
        <v>70</v>
      </c>
      <c r="E8" s="218">
        <f>IF('Input Nilai Pengetahuan'!AC5="","",'Input Nilai Pengetahuan'!AC5)</f>
        <v>40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3">
        <f>IF(G8="","",AVERAGE(C8:F8))</f>
        <v>74</v>
      </c>
      <c r="I8" s="423">
        <f>IF(G8="","",((2*H8)+G8)/3)</f>
        <v>78.5</v>
      </c>
      <c r="J8" s="423">
        <f>IF(G8="","",ROUND(I8,0))</f>
        <v>79</v>
      </c>
      <c r="K8" s="421">
        <f>IF(J8="","",J8)</f>
        <v>79</v>
      </c>
      <c r="L8" s="421" t="str">
        <f>IF(G8="","",IF(K8&gt;=menu!$O$6,"A",IF(K8&gt;=menu!$O$7,"B",IF(K8&gt;=menu!$O$8,"C","D"))))</f>
        <v>C</v>
      </c>
      <c r="M8" s="219">
        <f>IF('Input Nilai Ketrampilan'!J5="","",('Input Nilai Ketrampilan'!J5))</f>
        <v>99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30">
        <f>IF(B8="","",menu!$D$17)</f>
        <v>4</v>
      </c>
      <c r="T8" s="424">
        <f>IF(M8="","",AVERAGE(M8:P8))</f>
        <v>85</v>
      </c>
      <c r="U8" s="425">
        <f>IF(M8="","",ROUND(T8,0))</f>
        <v>85</v>
      </c>
      <c r="V8" s="425" t="str">
        <f>IF(M8="","",IF(U8&gt;=menu!$O$6,"A",IF(U8&gt;=menu!$O$7,"B",IF(U8&gt;=menu!$O$8,"C","D"))))</f>
        <v>B</v>
      </c>
      <c r="W8" s="426">
        <f>IF(K8="","",AVERAGE(K8,U8))</f>
        <v>82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8">
        <f>IF(G8="","",menu!$R$1)</f>
        <v>70</v>
      </c>
    </row>
    <row r="9" spans="1:34" ht="39.75" x14ac:dyDescent="0.2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3">
        <f t="shared" ref="H9:H55" si="0">IF(G9="","",AVERAGE(C9:F9))</f>
        <v>76.6875</v>
      </c>
      <c r="I9" s="423">
        <f t="shared" ref="I9:I55" si="1">IF(G9="","",((2*H9)+G9)/3)</f>
        <v>81.125</v>
      </c>
      <c r="J9" s="423">
        <f t="shared" ref="J9:J55" si="2">IF(G9="","",ROUND(I9,0))</f>
        <v>81</v>
      </c>
      <c r="K9" s="421">
        <f t="shared" ref="K9:K55" si="3">IF(J9="","",J9)</f>
        <v>81</v>
      </c>
      <c r="L9" s="421" t="str">
        <f>IF(G9="","",IF(K9&gt;=menu!$O$6,"A",IF(K9&gt;=menu!$O$7,"B",IF(K9&gt;=menu!$O$8,"C","D"))))</f>
        <v>B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30">
        <f>IF(B9="","",menu!$D$17)</f>
        <v>4</v>
      </c>
      <c r="T9" s="424">
        <f t="shared" ref="T9:T55" si="4">IF(M9="","",AVERAGE(M9:P9))</f>
        <v>76.6875</v>
      </c>
      <c r="U9" s="425">
        <f t="shared" ref="U9:U55" si="5">IF(M9="","",ROUND(T9,0))</f>
        <v>77</v>
      </c>
      <c r="V9" s="425" t="str">
        <f>IF(M9="","",IF(U9&gt;=menu!$O$6,"A",IF(U9&gt;=menu!$O$7,"B",IF(U9&gt;=menu!$O$8,"C","D"))))</f>
        <v>C</v>
      </c>
      <c r="W9" s="426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8">
        <f>IF(G9="","",menu!$R$1)</f>
        <v>70</v>
      </c>
    </row>
    <row r="10" spans="1:34" ht="39.75" x14ac:dyDescent="0.2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3">
        <f t="shared" si="0"/>
        <v>95</v>
      </c>
      <c r="I10" s="423">
        <f t="shared" si="1"/>
        <v>92.5</v>
      </c>
      <c r="J10" s="423">
        <f t="shared" si="2"/>
        <v>93</v>
      </c>
      <c r="K10" s="421">
        <f t="shared" si="3"/>
        <v>93</v>
      </c>
      <c r="L10" s="421" t="str">
        <f>IF(G10="","",IF(K10&gt;=menu!$O$6,"A",IF(K10&gt;=menu!$O$7,"B",IF(K10&gt;=menu!$O$8,"C","D"))))</f>
        <v>A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30">
        <f>IF(B10="","",menu!$D$17)</f>
        <v>4</v>
      </c>
      <c r="T10" s="424">
        <f t="shared" si="4"/>
        <v>95</v>
      </c>
      <c r="U10" s="425">
        <f t="shared" si="5"/>
        <v>95</v>
      </c>
      <c r="V10" s="425" t="str">
        <f>IF(M10="","",IF(U10&gt;=menu!$O$6,"A",IF(U10&gt;=menu!$O$7,"B",IF(U10&gt;=menu!$O$8,"C","D"))))</f>
        <v>A</v>
      </c>
      <c r="W10" s="426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8">
        <f>IF(G10="","",menu!$R$1)</f>
        <v>70</v>
      </c>
    </row>
    <row r="11" spans="1:34" ht="39.75" x14ac:dyDescent="0.2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3">
        <f t="shared" si="0"/>
        <v>93.125</v>
      </c>
      <c r="I11" s="423">
        <f t="shared" si="1"/>
        <v>91.25</v>
      </c>
      <c r="J11" s="423">
        <f t="shared" si="2"/>
        <v>91</v>
      </c>
      <c r="K11" s="421">
        <f t="shared" si="3"/>
        <v>91</v>
      </c>
      <c r="L11" s="421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30">
        <f>IF(B11="","",menu!$D$17)</f>
        <v>4</v>
      </c>
      <c r="T11" s="424">
        <f t="shared" si="4"/>
        <v>93.125</v>
      </c>
      <c r="U11" s="425">
        <f t="shared" si="5"/>
        <v>93</v>
      </c>
      <c r="V11" s="425" t="str">
        <f>IF(M11="","",IF(U11&gt;=menu!$O$6,"A",IF(U11&gt;=menu!$O$7,"B",IF(U11&gt;=menu!$O$8,"C","D"))))</f>
        <v>A</v>
      </c>
      <c r="W11" s="426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8">
        <f>IF(G11="","",menu!$R$1)</f>
        <v>70</v>
      </c>
    </row>
    <row r="12" spans="1:34" ht="39.75" x14ac:dyDescent="0.2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3">
        <f t="shared" si="0"/>
        <v>82.6875</v>
      </c>
      <c r="I12" s="423">
        <f t="shared" si="1"/>
        <v>85.125</v>
      </c>
      <c r="J12" s="423">
        <f t="shared" si="2"/>
        <v>85</v>
      </c>
      <c r="K12" s="421">
        <f t="shared" si="3"/>
        <v>85</v>
      </c>
      <c r="L12" s="421" t="str">
        <f>IF(G12="","",IF(K12&gt;=menu!$O$6,"A",IF(K12&gt;=menu!$O$7,"B",IF(K12&gt;=menu!$O$8,"C","D"))))</f>
        <v>B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30">
        <f>IF(B12="","",menu!$D$17)</f>
        <v>4</v>
      </c>
      <c r="T12" s="424">
        <f t="shared" si="4"/>
        <v>82.6875</v>
      </c>
      <c r="U12" s="425">
        <f t="shared" si="5"/>
        <v>83</v>
      </c>
      <c r="V12" s="425" t="str">
        <f>IF(M12="","",IF(U12&gt;=menu!$O$6,"A",IF(U12&gt;=menu!$O$7,"B",IF(U12&gt;=menu!$O$8,"C","D"))))</f>
        <v>B</v>
      </c>
      <c r="W12" s="426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8">
        <f>IF(G12="","",menu!$R$1)</f>
        <v>70</v>
      </c>
    </row>
    <row r="13" spans="1:34" ht="39.75" x14ac:dyDescent="0.2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3">
        <f t="shared" si="0"/>
        <v>91.875</v>
      </c>
      <c r="I13" s="423">
        <f t="shared" si="1"/>
        <v>90.416666666666671</v>
      </c>
      <c r="J13" s="423">
        <f t="shared" si="2"/>
        <v>90</v>
      </c>
      <c r="K13" s="421">
        <f t="shared" si="3"/>
        <v>90</v>
      </c>
      <c r="L13" s="421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30">
        <f>IF(B13="","",menu!$D$17)</f>
        <v>4</v>
      </c>
      <c r="T13" s="424">
        <f t="shared" si="4"/>
        <v>91.875</v>
      </c>
      <c r="U13" s="425">
        <f t="shared" si="5"/>
        <v>92</v>
      </c>
      <c r="V13" s="425" t="str">
        <f>IF(M13="","",IF(U13&gt;=menu!$O$6,"A",IF(U13&gt;=menu!$O$7,"B",IF(U13&gt;=menu!$O$8,"C","D"))))</f>
        <v>A</v>
      </c>
      <c r="W13" s="426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8">
        <f>IF(G13="","",menu!$R$1)</f>
        <v>70</v>
      </c>
    </row>
    <row r="14" spans="1:34" ht="39.75" x14ac:dyDescent="0.2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3">
        <f t="shared" si="0"/>
        <v>82.1875</v>
      </c>
      <c r="I14" s="423">
        <f t="shared" si="1"/>
        <v>82.291666666666671</v>
      </c>
      <c r="J14" s="423">
        <f t="shared" si="2"/>
        <v>82</v>
      </c>
      <c r="K14" s="421">
        <f t="shared" si="3"/>
        <v>82</v>
      </c>
      <c r="L14" s="421" t="str">
        <f>IF(G14="","",IF(K14&gt;=menu!$O$6,"A",IF(K14&gt;=menu!$O$7,"B",IF(K14&gt;=menu!$O$8,"C","D"))))</f>
        <v>B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30">
        <f>IF(B14="","",menu!$D$17)</f>
        <v>4</v>
      </c>
      <c r="T14" s="424">
        <f t="shared" si="4"/>
        <v>82.1875</v>
      </c>
      <c r="U14" s="425">
        <f t="shared" si="5"/>
        <v>82</v>
      </c>
      <c r="V14" s="425" t="str">
        <f>IF(M14="","",IF(U14&gt;=menu!$O$6,"A",IF(U14&gt;=menu!$O$7,"B",IF(U14&gt;=menu!$O$8,"C","D"))))</f>
        <v>B</v>
      </c>
      <c r="W14" s="426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8">
        <f>IF(G14="","",menu!$R$1)</f>
        <v>70</v>
      </c>
    </row>
    <row r="15" spans="1:34" ht="39.75" x14ac:dyDescent="0.2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3">
        <f t="shared" si="0"/>
        <v>88.75</v>
      </c>
      <c r="I15" s="423">
        <f t="shared" si="1"/>
        <v>88.333333333333329</v>
      </c>
      <c r="J15" s="423">
        <f t="shared" si="2"/>
        <v>88</v>
      </c>
      <c r="K15" s="421">
        <f t="shared" si="3"/>
        <v>88</v>
      </c>
      <c r="L15" s="421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30">
        <f>IF(B15="","",menu!$D$17)</f>
        <v>4</v>
      </c>
      <c r="T15" s="424">
        <f t="shared" si="4"/>
        <v>88.75</v>
      </c>
      <c r="U15" s="425">
        <f t="shared" si="5"/>
        <v>89</v>
      </c>
      <c r="V15" s="425" t="str">
        <f>IF(M15="","",IF(U15&gt;=menu!$O$6,"A",IF(U15&gt;=menu!$O$7,"B",IF(U15&gt;=menu!$O$8,"C","D"))))</f>
        <v>B</v>
      </c>
      <c r="W15" s="426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8">
        <f>IF(G15="","",menu!$R$1)</f>
        <v>70</v>
      </c>
    </row>
    <row r="16" spans="1:34" ht="39.75" x14ac:dyDescent="0.2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3">
        <f t="shared" si="0"/>
        <v>92.5</v>
      </c>
      <c r="I16" s="423">
        <f t="shared" si="1"/>
        <v>90.833333333333329</v>
      </c>
      <c r="J16" s="423">
        <f t="shared" si="2"/>
        <v>91</v>
      </c>
      <c r="K16" s="421">
        <f t="shared" si="3"/>
        <v>91</v>
      </c>
      <c r="L16" s="421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30">
        <f>IF(B16="","",menu!$D$17)</f>
        <v>4</v>
      </c>
      <c r="T16" s="424">
        <f t="shared" si="4"/>
        <v>92.5</v>
      </c>
      <c r="U16" s="425">
        <f t="shared" si="5"/>
        <v>93</v>
      </c>
      <c r="V16" s="425" t="str">
        <f>IF(M16="","",IF(U16&gt;=menu!$O$6,"A",IF(U16&gt;=menu!$O$7,"B",IF(U16&gt;=menu!$O$8,"C","D"))))</f>
        <v>A</v>
      </c>
      <c r="W16" s="426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8">
        <f>IF(G16="","",menu!$R$1)</f>
        <v>70</v>
      </c>
    </row>
    <row r="17" spans="1:34" ht="37.5" x14ac:dyDescent="0.2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3">
        <f t="shared" si="0"/>
        <v>82.6875</v>
      </c>
      <c r="I17" s="423">
        <f t="shared" si="1"/>
        <v>85.125</v>
      </c>
      <c r="J17" s="423">
        <f t="shared" si="2"/>
        <v>85</v>
      </c>
      <c r="K17" s="421">
        <f t="shared" si="3"/>
        <v>85</v>
      </c>
      <c r="L17" s="421" t="str">
        <f>IF(G17="","",IF(K17&gt;=menu!$O$6,"A",IF(K17&gt;=menu!$O$7,"B",IF(K17&gt;=menu!$O$8,"C","D"))))</f>
        <v>B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30">
        <f>IF(B17="","",menu!$D$17)</f>
        <v>4</v>
      </c>
      <c r="T17" s="424">
        <f t="shared" si="4"/>
        <v>82.6875</v>
      </c>
      <c r="U17" s="425">
        <f t="shared" si="5"/>
        <v>83</v>
      </c>
      <c r="V17" s="425" t="str">
        <f>IF(M17="","",IF(U17&gt;=menu!$O$6,"A",IF(U17&gt;=menu!$O$7,"B",IF(U17&gt;=menu!$O$8,"C","D"))))</f>
        <v>B</v>
      </c>
      <c r="W17" s="426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8">
        <f>IF(G17="","",menu!$R$1)</f>
        <v>70</v>
      </c>
    </row>
    <row r="18" spans="1:34" ht="37.5" x14ac:dyDescent="0.2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3">
        <f t="shared" si="0"/>
        <v>74.875</v>
      </c>
      <c r="I18" s="423">
        <f t="shared" si="1"/>
        <v>78.25</v>
      </c>
      <c r="J18" s="423">
        <f t="shared" si="2"/>
        <v>78</v>
      </c>
      <c r="K18" s="421">
        <f t="shared" si="3"/>
        <v>78</v>
      </c>
      <c r="L18" s="421" t="str">
        <f>IF(G18="","",IF(K18&gt;=menu!$O$6,"A",IF(K18&gt;=menu!$O$7,"B",IF(K18&gt;=menu!$O$8,"C","D"))))</f>
        <v>C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30">
        <f>IF(B18="","",menu!$D$17)</f>
        <v>4</v>
      </c>
      <c r="T18" s="424">
        <f t="shared" si="4"/>
        <v>74.875</v>
      </c>
      <c r="U18" s="425">
        <f t="shared" si="5"/>
        <v>75</v>
      </c>
      <c r="V18" s="425" t="str">
        <f>IF(M18="","",IF(U18&gt;=menu!$O$6,"A",IF(U18&gt;=menu!$O$7,"B",IF(U18&gt;=menu!$O$8,"C","D"))))</f>
        <v>C</v>
      </c>
      <c r="W18" s="426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8">
        <f>IF(G18="","",menu!$R$1)</f>
        <v>70</v>
      </c>
    </row>
    <row r="19" spans="1:34" ht="37.5" x14ac:dyDescent="0.2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3">
        <f t="shared" si="0"/>
        <v>90</v>
      </c>
      <c r="I19" s="423">
        <f t="shared" si="1"/>
        <v>89.166666666666671</v>
      </c>
      <c r="J19" s="423">
        <f t="shared" si="2"/>
        <v>89</v>
      </c>
      <c r="K19" s="421">
        <f t="shared" si="3"/>
        <v>89</v>
      </c>
      <c r="L19" s="421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30">
        <f>IF(B19="","",menu!$D$17)</f>
        <v>4</v>
      </c>
      <c r="T19" s="424">
        <f t="shared" si="4"/>
        <v>90</v>
      </c>
      <c r="U19" s="425">
        <f t="shared" si="5"/>
        <v>90</v>
      </c>
      <c r="V19" s="425" t="str">
        <f>IF(M19="","",IF(U19&gt;=menu!$O$6,"A",IF(U19&gt;=menu!$O$7,"B",IF(U19&gt;=menu!$O$8,"C","D"))))</f>
        <v>B</v>
      </c>
      <c r="W19" s="426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8">
        <f>IF(G19="","",menu!$R$1)</f>
        <v>70</v>
      </c>
    </row>
    <row r="20" spans="1:34" ht="37.5" x14ac:dyDescent="0.2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3">
        <f t="shared" si="0"/>
        <v>92.1875</v>
      </c>
      <c r="I20" s="423">
        <f t="shared" si="1"/>
        <v>90.625</v>
      </c>
      <c r="J20" s="423">
        <f t="shared" si="2"/>
        <v>91</v>
      </c>
      <c r="K20" s="421">
        <f t="shared" si="3"/>
        <v>91</v>
      </c>
      <c r="L20" s="421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30">
        <f>IF(B20="","",menu!$D$17)</f>
        <v>4</v>
      </c>
      <c r="T20" s="424">
        <f t="shared" si="4"/>
        <v>92.1875</v>
      </c>
      <c r="U20" s="425">
        <f t="shared" si="5"/>
        <v>92</v>
      </c>
      <c r="V20" s="425" t="str">
        <f>IF(M20="","",IF(U20&gt;=menu!$O$6,"A",IF(U20&gt;=menu!$O$7,"B",IF(U20&gt;=menu!$O$8,"C","D"))))</f>
        <v>A</v>
      </c>
      <c r="W20" s="426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8">
        <f>IF(G20="","",menu!$R$1)</f>
        <v>70</v>
      </c>
    </row>
    <row r="21" spans="1:34" ht="37.5" x14ac:dyDescent="0.2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3">
        <f t="shared" si="0"/>
        <v>92.3125</v>
      </c>
      <c r="I21" s="423">
        <f t="shared" si="1"/>
        <v>91.541666666666671</v>
      </c>
      <c r="J21" s="423">
        <f t="shared" si="2"/>
        <v>92</v>
      </c>
      <c r="K21" s="421">
        <f t="shared" si="3"/>
        <v>92</v>
      </c>
      <c r="L21" s="421" t="str">
        <f>IF(G21="","",IF(K21&gt;=menu!$O$6,"A",IF(K21&gt;=menu!$O$7,"B",IF(K21&gt;=menu!$O$8,"C","D"))))</f>
        <v>A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30">
        <f>IF(B21="","",menu!$D$17)</f>
        <v>4</v>
      </c>
      <c r="T21" s="424">
        <f t="shared" si="4"/>
        <v>92.3125</v>
      </c>
      <c r="U21" s="425">
        <f t="shared" si="5"/>
        <v>92</v>
      </c>
      <c r="V21" s="425" t="str">
        <f>IF(M21="","",IF(U21&gt;=menu!$O$6,"A",IF(U21&gt;=menu!$O$7,"B",IF(U21&gt;=menu!$O$8,"C","D"))))</f>
        <v>A</v>
      </c>
      <c r="W21" s="426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8">
        <f>IF(G21="","",menu!$R$1)</f>
        <v>70</v>
      </c>
    </row>
    <row r="22" spans="1:34" ht="37.5" x14ac:dyDescent="0.2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3">
        <f t="shared" si="0"/>
        <v>88.9375</v>
      </c>
      <c r="I22" s="423">
        <f t="shared" si="1"/>
        <v>89.291666666666671</v>
      </c>
      <c r="J22" s="423">
        <f t="shared" si="2"/>
        <v>89</v>
      </c>
      <c r="K22" s="421">
        <f t="shared" si="3"/>
        <v>89</v>
      </c>
      <c r="L22" s="421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30">
        <f>IF(B22="","",menu!$D$17)</f>
        <v>4</v>
      </c>
      <c r="T22" s="424">
        <f t="shared" si="4"/>
        <v>88.9375</v>
      </c>
      <c r="U22" s="425">
        <f t="shared" si="5"/>
        <v>89</v>
      </c>
      <c r="V22" s="425" t="str">
        <f>IF(M22="","",IF(U22&gt;=menu!$O$6,"A",IF(U22&gt;=menu!$O$7,"B",IF(U22&gt;=menu!$O$8,"C","D"))))</f>
        <v>B</v>
      </c>
      <c r="W22" s="426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8">
        <f>IF(G22="","",menu!$R$1)</f>
        <v>70</v>
      </c>
    </row>
    <row r="23" spans="1:34" ht="37.5" x14ac:dyDescent="0.2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3">
        <f t="shared" si="0"/>
        <v>93.4375</v>
      </c>
      <c r="I23" s="423">
        <f t="shared" si="1"/>
        <v>91.458333333333329</v>
      </c>
      <c r="J23" s="423">
        <f t="shared" si="2"/>
        <v>91</v>
      </c>
      <c r="K23" s="421">
        <f t="shared" si="3"/>
        <v>91</v>
      </c>
      <c r="L23" s="421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30">
        <f>IF(B23="","",menu!$D$17)</f>
        <v>4</v>
      </c>
      <c r="T23" s="424">
        <f t="shared" si="4"/>
        <v>93.4375</v>
      </c>
      <c r="U23" s="425">
        <f t="shared" si="5"/>
        <v>93</v>
      </c>
      <c r="V23" s="425" t="str">
        <f>IF(M23="","",IF(U23&gt;=menu!$O$6,"A",IF(U23&gt;=menu!$O$7,"B",IF(U23&gt;=menu!$O$8,"C","D"))))</f>
        <v>A</v>
      </c>
      <c r="W23" s="426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8">
        <f>IF(G23="","",menu!$R$1)</f>
        <v>70</v>
      </c>
    </row>
    <row r="24" spans="1:34" ht="37.5" x14ac:dyDescent="0.2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3">
        <f t="shared" si="0"/>
        <v>89.375</v>
      </c>
      <c r="I24" s="423">
        <f t="shared" si="1"/>
        <v>89.583333333333329</v>
      </c>
      <c r="J24" s="423">
        <f t="shared" si="2"/>
        <v>90</v>
      </c>
      <c r="K24" s="421">
        <f t="shared" si="3"/>
        <v>90</v>
      </c>
      <c r="L24" s="421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30">
        <f>IF(B24="","",menu!$D$17)</f>
        <v>4</v>
      </c>
      <c r="T24" s="424">
        <f t="shared" si="4"/>
        <v>89.375</v>
      </c>
      <c r="U24" s="425">
        <f t="shared" si="5"/>
        <v>89</v>
      </c>
      <c r="V24" s="425" t="str">
        <f>IF(M24="","",IF(U24&gt;=menu!$O$6,"A",IF(U24&gt;=menu!$O$7,"B",IF(U24&gt;=menu!$O$8,"C","D"))))</f>
        <v>B</v>
      </c>
      <c r="W24" s="426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8">
        <f>IF(G24="","",menu!$R$1)</f>
        <v>70</v>
      </c>
    </row>
    <row r="25" spans="1:34" ht="37.5" x14ac:dyDescent="0.2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3">
        <f t="shared" si="0"/>
        <v>90.375</v>
      </c>
      <c r="I25" s="423">
        <f t="shared" si="1"/>
        <v>89.416666666666671</v>
      </c>
      <c r="J25" s="423">
        <f t="shared" si="2"/>
        <v>89</v>
      </c>
      <c r="K25" s="421">
        <f t="shared" si="3"/>
        <v>89</v>
      </c>
      <c r="L25" s="421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30">
        <f>IF(B25="","",menu!$D$17)</f>
        <v>4</v>
      </c>
      <c r="T25" s="424">
        <f t="shared" si="4"/>
        <v>90.375</v>
      </c>
      <c r="U25" s="425">
        <f t="shared" si="5"/>
        <v>90</v>
      </c>
      <c r="V25" s="425" t="str">
        <f>IF(M25="","",IF(U25&gt;=menu!$O$6,"A",IF(U25&gt;=menu!$O$7,"B",IF(U25&gt;=menu!$O$8,"C","D"))))</f>
        <v>B</v>
      </c>
      <c r="W25" s="426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8">
        <f>IF(G25="","",menu!$R$1)</f>
        <v>70</v>
      </c>
    </row>
    <row r="26" spans="1:34" ht="37.5" x14ac:dyDescent="0.2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3">
        <f t="shared" si="0"/>
        <v>85.9375</v>
      </c>
      <c r="I26" s="423">
        <f t="shared" si="1"/>
        <v>87.291666666666671</v>
      </c>
      <c r="J26" s="423">
        <f t="shared" si="2"/>
        <v>87</v>
      </c>
      <c r="K26" s="421">
        <f t="shared" si="3"/>
        <v>87</v>
      </c>
      <c r="L26" s="421" t="str">
        <f>IF(G26="","",IF(K26&gt;=menu!$O$6,"A",IF(K26&gt;=menu!$O$7,"B",IF(K26&gt;=menu!$O$8,"C","D"))))</f>
        <v>B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30">
        <f>IF(B26="","",menu!$D$17)</f>
        <v>4</v>
      </c>
      <c r="T26" s="424">
        <f t="shared" si="4"/>
        <v>85.9375</v>
      </c>
      <c r="U26" s="425">
        <f t="shared" si="5"/>
        <v>86</v>
      </c>
      <c r="V26" s="425" t="str">
        <f>IF(M26="","",IF(U26&gt;=menu!$O$6,"A",IF(U26&gt;=menu!$O$7,"B",IF(U26&gt;=menu!$O$8,"C","D"))))</f>
        <v>B</v>
      </c>
      <c r="W26" s="426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8">
        <f>IF(G26="","",menu!$R$1)</f>
        <v>70</v>
      </c>
    </row>
    <row r="27" spans="1:34" ht="37.5" x14ac:dyDescent="0.2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3">
        <f t="shared" si="0"/>
        <v>83.125</v>
      </c>
      <c r="I27" s="423">
        <f t="shared" si="1"/>
        <v>84.583333333333329</v>
      </c>
      <c r="J27" s="423">
        <f t="shared" si="2"/>
        <v>85</v>
      </c>
      <c r="K27" s="421">
        <f t="shared" si="3"/>
        <v>85</v>
      </c>
      <c r="L27" s="421" t="str">
        <f>IF(G27="","",IF(K27&gt;=menu!$O$6,"A",IF(K27&gt;=menu!$O$7,"B",IF(K27&gt;=menu!$O$8,"C","D"))))</f>
        <v>B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30">
        <f>IF(B27="","",menu!$D$17)</f>
        <v>4</v>
      </c>
      <c r="T27" s="424">
        <f t="shared" si="4"/>
        <v>83.125</v>
      </c>
      <c r="U27" s="425">
        <f t="shared" si="5"/>
        <v>83</v>
      </c>
      <c r="V27" s="425" t="str">
        <f>IF(M27="","",IF(U27&gt;=menu!$O$6,"A",IF(U27&gt;=menu!$O$7,"B",IF(U27&gt;=menu!$O$8,"C","D"))))</f>
        <v>B</v>
      </c>
      <c r="W27" s="426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8">
        <f>IF(G27="","",menu!$R$1)</f>
        <v>70</v>
      </c>
    </row>
    <row r="28" spans="1:34" ht="37.5" x14ac:dyDescent="0.2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3">
        <f t="shared" si="0"/>
        <v>85.9375</v>
      </c>
      <c r="I28" s="423">
        <f t="shared" si="1"/>
        <v>87.291666666666671</v>
      </c>
      <c r="J28" s="423">
        <f t="shared" si="2"/>
        <v>87</v>
      </c>
      <c r="K28" s="421">
        <f t="shared" si="3"/>
        <v>87</v>
      </c>
      <c r="L28" s="421" t="str">
        <f>IF(G28="","",IF(K28&gt;=menu!$O$6,"A",IF(K28&gt;=menu!$O$7,"B",IF(K28&gt;=menu!$O$8,"C","D"))))</f>
        <v>B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30">
        <f>IF(B28="","",menu!$D$17)</f>
        <v>4</v>
      </c>
      <c r="T28" s="424">
        <f t="shared" si="4"/>
        <v>85.9375</v>
      </c>
      <c r="U28" s="425">
        <f t="shared" si="5"/>
        <v>86</v>
      </c>
      <c r="V28" s="425" t="str">
        <f>IF(M28="","",IF(U28&gt;=menu!$O$6,"A",IF(U28&gt;=menu!$O$7,"B",IF(U28&gt;=menu!$O$8,"C","D"))))</f>
        <v>B</v>
      </c>
      <c r="W28" s="426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8">
        <f>IF(G28="","",menu!$R$1)</f>
        <v>70</v>
      </c>
    </row>
    <row r="29" spans="1:34" ht="37.5" x14ac:dyDescent="0.2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3">
        <f t="shared" si="0"/>
        <v>81.125</v>
      </c>
      <c r="I29" s="423">
        <f t="shared" si="1"/>
        <v>83.25</v>
      </c>
      <c r="J29" s="423">
        <f t="shared" si="2"/>
        <v>83</v>
      </c>
      <c r="K29" s="421">
        <f t="shared" si="3"/>
        <v>83</v>
      </c>
      <c r="L29" s="421" t="str">
        <f>IF(G29="","",IF(K29&gt;=menu!$O$6,"A",IF(K29&gt;=menu!$O$7,"B",IF(K29&gt;=menu!$O$8,"C","D"))))</f>
        <v>B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30">
        <f>IF(B29="","",menu!$D$17)</f>
        <v>4</v>
      </c>
      <c r="T29" s="424">
        <f t="shared" si="4"/>
        <v>81.125</v>
      </c>
      <c r="U29" s="425">
        <f t="shared" si="5"/>
        <v>81</v>
      </c>
      <c r="V29" s="425" t="str">
        <f>IF(M29="","",IF(U29&gt;=menu!$O$6,"A",IF(U29&gt;=menu!$O$7,"B",IF(U29&gt;=menu!$O$8,"C","D"))))</f>
        <v>B</v>
      </c>
      <c r="W29" s="426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8">
        <f>IF(G29="","",menu!$R$1)</f>
        <v>70</v>
      </c>
    </row>
    <row r="30" spans="1:34" ht="37.5" x14ac:dyDescent="0.2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3">
        <f t="shared" si="0"/>
        <v>92.5</v>
      </c>
      <c r="I30" s="423">
        <f t="shared" si="1"/>
        <v>91.666666666666671</v>
      </c>
      <c r="J30" s="423">
        <f t="shared" si="2"/>
        <v>92</v>
      </c>
      <c r="K30" s="421">
        <f t="shared" si="3"/>
        <v>92</v>
      </c>
      <c r="L30" s="421" t="str">
        <f>IF(G30="","",IF(K30&gt;=menu!$O$6,"A",IF(K30&gt;=menu!$O$7,"B",IF(K30&gt;=menu!$O$8,"C","D"))))</f>
        <v>A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30">
        <f>IF(B30="","",menu!$D$17)</f>
        <v>4</v>
      </c>
      <c r="T30" s="424">
        <f t="shared" si="4"/>
        <v>92.5</v>
      </c>
      <c r="U30" s="425">
        <f t="shared" si="5"/>
        <v>93</v>
      </c>
      <c r="V30" s="425" t="str">
        <f>IF(M30="","",IF(U30&gt;=menu!$O$6,"A",IF(U30&gt;=menu!$O$7,"B",IF(U30&gt;=menu!$O$8,"C","D"))))</f>
        <v>A</v>
      </c>
      <c r="W30" s="426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8">
        <f>IF(G30="","",menu!$R$1)</f>
        <v>70</v>
      </c>
    </row>
    <row r="31" spans="1:34" ht="37.5" x14ac:dyDescent="0.2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3">
        <f t="shared" si="0"/>
        <v>87.375</v>
      </c>
      <c r="I31" s="423">
        <f t="shared" si="1"/>
        <v>88.25</v>
      </c>
      <c r="J31" s="423">
        <f t="shared" si="2"/>
        <v>88</v>
      </c>
      <c r="K31" s="421">
        <f t="shared" si="3"/>
        <v>88</v>
      </c>
      <c r="L31" s="421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30">
        <f>IF(B31="","",menu!$D$17)</f>
        <v>4</v>
      </c>
      <c r="T31" s="424">
        <f t="shared" si="4"/>
        <v>87.375</v>
      </c>
      <c r="U31" s="425">
        <f t="shared" si="5"/>
        <v>87</v>
      </c>
      <c r="V31" s="425" t="str">
        <f>IF(M31="","",IF(U31&gt;=menu!$O$6,"A",IF(U31&gt;=menu!$O$7,"B",IF(U31&gt;=menu!$O$8,"C","D"))))</f>
        <v>B</v>
      </c>
      <c r="W31" s="426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8">
        <f>IF(G31="","",menu!$R$1)</f>
        <v>70</v>
      </c>
    </row>
    <row r="32" spans="1:34" ht="37.5" x14ac:dyDescent="0.2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3">
        <f t="shared" si="0"/>
        <v>81.125</v>
      </c>
      <c r="I32" s="423">
        <f t="shared" si="1"/>
        <v>84.083333333333329</v>
      </c>
      <c r="J32" s="423">
        <f t="shared" si="2"/>
        <v>84</v>
      </c>
      <c r="K32" s="421">
        <f t="shared" si="3"/>
        <v>84</v>
      </c>
      <c r="L32" s="421" t="str">
        <f>IF(G32="","",IF(K32&gt;=menu!$O$6,"A",IF(K32&gt;=menu!$O$7,"B",IF(K32&gt;=menu!$O$8,"C","D"))))</f>
        <v>B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30">
        <f>IF(B32="","",menu!$D$17)</f>
        <v>4</v>
      </c>
      <c r="T32" s="424">
        <f t="shared" si="4"/>
        <v>81.125</v>
      </c>
      <c r="U32" s="425">
        <f t="shared" si="5"/>
        <v>81</v>
      </c>
      <c r="V32" s="425" t="str">
        <f>IF(M32="","",IF(U32&gt;=menu!$O$6,"A",IF(U32&gt;=menu!$O$7,"B",IF(U32&gt;=menu!$O$8,"C","D"))))</f>
        <v>B</v>
      </c>
      <c r="W32" s="426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8">
        <f>IF(G32="","",menu!$R$1)</f>
        <v>70</v>
      </c>
    </row>
    <row r="33" spans="1:34" ht="37.5" x14ac:dyDescent="0.2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3">
        <f t="shared" si="0"/>
        <v>93.4375</v>
      </c>
      <c r="I33" s="423">
        <f t="shared" si="1"/>
        <v>91.458333333333329</v>
      </c>
      <c r="J33" s="423">
        <f t="shared" si="2"/>
        <v>91</v>
      </c>
      <c r="K33" s="421">
        <f t="shared" si="3"/>
        <v>91</v>
      </c>
      <c r="L33" s="421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30">
        <f>IF(B33="","",menu!$D$17)</f>
        <v>4</v>
      </c>
      <c r="T33" s="424">
        <f t="shared" si="4"/>
        <v>93.4375</v>
      </c>
      <c r="U33" s="425">
        <f t="shared" si="5"/>
        <v>93</v>
      </c>
      <c r="V33" s="425" t="str">
        <f>IF(M33="","",IF(U33&gt;=menu!$O$6,"A",IF(U33&gt;=menu!$O$7,"B",IF(U33&gt;=menu!$O$8,"C","D"))))</f>
        <v>A</v>
      </c>
      <c r="W33" s="426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8">
        <f>IF(G33="","",menu!$R$1)</f>
        <v>70</v>
      </c>
    </row>
    <row r="34" spans="1:34" ht="37.5" x14ac:dyDescent="0.2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3">
        <f t="shared" si="0"/>
        <v>94.375</v>
      </c>
      <c r="I34" s="423">
        <f t="shared" si="1"/>
        <v>92.916666666666671</v>
      </c>
      <c r="J34" s="423">
        <f t="shared" si="2"/>
        <v>93</v>
      </c>
      <c r="K34" s="421">
        <f t="shared" si="3"/>
        <v>93</v>
      </c>
      <c r="L34" s="421" t="str">
        <f>IF(G34="","",IF(K34&gt;=menu!$O$6,"A",IF(K34&gt;=menu!$O$7,"B",IF(K34&gt;=menu!$O$8,"C","D"))))</f>
        <v>A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30">
        <f>IF(B34="","",menu!$D$17)</f>
        <v>4</v>
      </c>
      <c r="T34" s="424">
        <f t="shared" si="4"/>
        <v>94.375</v>
      </c>
      <c r="U34" s="425">
        <f t="shared" si="5"/>
        <v>94</v>
      </c>
      <c r="V34" s="425" t="str">
        <f>IF(M34="","",IF(U34&gt;=menu!$O$6,"A",IF(U34&gt;=menu!$O$7,"B",IF(U34&gt;=menu!$O$8,"C","D"))))</f>
        <v>A</v>
      </c>
      <c r="W34" s="426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8">
        <f>IF(G34="","",menu!$R$1)</f>
        <v>70</v>
      </c>
    </row>
    <row r="35" spans="1:34" ht="37.5" x14ac:dyDescent="0.2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3">
        <f t="shared" si="0"/>
        <v>87.375</v>
      </c>
      <c r="I35" s="423">
        <f t="shared" si="1"/>
        <v>88.25</v>
      </c>
      <c r="J35" s="423">
        <f t="shared" si="2"/>
        <v>88</v>
      </c>
      <c r="K35" s="421">
        <f t="shared" si="3"/>
        <v>88</v>
      </c>
      <c r="L35" s="421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30">
        <f>IF(B35="","",menu!$D$17)</f>
        <v>4</v>
      </c>
      <c r="T35" s="424">
        <f t="shared" si="4"/>
        <v>87.375</v>
      </c>
      <c r="U35" s="425">
        <f t="shared" si="5"/>
        <v>87</v>
      </c>
      <c r="V35" s="425" t="str">
        <f>IF(M35="","",IF(U35&gt;=menu!$O$6,"A",IF(U35&gt;=menu!$O$7,"B",IF(U35&gt;=menu!$O$8,"C","D"))))</f>
        <v>B</v>
      </c>
      <c r="W35" s="426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8">
        <f>IF(G35="","",menu!$R$1)</f>
        <v>70</v>
      </c>
    </row>
    <row r="36" spans="1:34" ht="37.5" x14ac:dyDescent="0.2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3">
        <f t="shared" si="0"/>
        <v>79.4375</v>
      </c>
      <c r="I36" s="423">
        <f t="shared" si="1"/>
        <v>84.625</v>
      </c>
      <c r="J36" s="423">
        <f t="shared" si="2"/>
        <v>85</v>
      </c>
      <c r="K36" s="421">
        <f t="shared" si="3"/>
        <v>85</v>
      </c>
      <c r="L36" s="421" t="str">
        <f>IF(G36="","",IF(K36&gt;=menu!$O$6,"A",IF(K36&gt;=menu!$O$7,"B",IF(K36&gt;=menu!$O$8,"C","D"))))</f>
        <v>B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30">
        <f>IF(B36="","",menu!$D$17)</f>
        <v>4</v>
      </c>
      <c r="T36" s="424">
        <f t="shared" si="4"/>
        <v>79.4375</v>
      </c>
      <c r="U36" s="425">
        <f t="shared" si="5"/>
        <v>79</v>
      </c>
      <c r="V36" s="425" t="str">
        <f>IF(M36="","",IF(U36&gt;=menu!$O$6,"A",IF(U36&gt;=menu!$O$7,"B",IF(U36&gt;=menu!$O$8,"C","D"))))</f>
        <v>C</v>
      </c>
      <c r="W36" s="426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8">
        <f>IF(G36="","",menu!$R$1)</f>
        <v>70</v>
      </c>
    </row>
    <row r="37" spans="1:34" ht="37.5" x14ac:dyDescent="0.2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3">
        <f t="shared" si="0"/>
        <v>93.5</v>
      </c>
      <c r="I37" s="423">
        <f t="shared" si="1"/>
        <v>92.333333333333329</v>
      </c>
      <c r="J37" s="423">
        <f t="shared" si="2"/>
        <v>92</v>
      </c>
      <c r="K37" s="421">
        <f t="shared" si="3"/>
        <v>92</v>
      </c>
      <c r="L37" s="421" t="str">
        <f>IF(G37="","",IF(K37&gt;=menu!$O$6,"A",IF(K37&gt;=menu!$O$7,"B",IF(K37&gt;=menu!$O$8,"C","D"))))</f>
        <v>A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30">
        <f>IF(B37="","",menu!$D$17)</f>
        <v>4</v>
      </c>
      <c r="T37" s="424">
        <f t="shared" si="4"/>
        <v>93.5</v>
      </c>
      <c r="U37" s="425">
        <f t="shared" si="5"/>
        <v>94</v>
      </c>
      <c r="V37" s="425" t="str">
        <f>IF(M37="","",IF(U37&gt;=menu!$O$6,"A",IF(U37&gt;=menu!$O$7,"B",IF(U37&gt;=menu!$O$8,"C","D"))))</f>
        <v>A</v>
      </c>
      <c r="W37" s="426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8">
        <f>IF(G37="","",menu!$R$1)</f>
        <v>70</v>
      </c>
    </row>
    <row r="38" spans="1:34" ht="37.5" x14ac:dyDescent="0.2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3">
        <f t="shared" si="0"/>
        <v>94.375</v>
      </c>
      <c r="I38" s="423">
        <f t="shared" si="1"/>
        <v>91.25</v>
      </c>
      <c r="J38" s="423">
        <f t="shared" si="2"/>
        <v>91</v>
      </c>
      <c r="K38" s="421">
        <f t="shared" si="3"/>
        <v>91</v>
      </c>
      <c r="L38" s="421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30">
        <f>IF(B38="","",menu!$D$17)</f>
        <v>4</v>
      </c>
      <c r="T38" s="424">
        <f t="shared" si="4"/>
        <v>94.375</v>
      </c>
      <c r="U38" s="425">
        <f t="shared" si="5"/>
        <v>94</v>
      </c>
      <c r="V38" s="425" t="str">
        <f>IF(M38="","",IF(U38&gt;=menu!$O$6,"A",IF(U38&gt;=menu!$O$7,"B",IF(U38&gt;=menu!$O$8,"C","D"))))</f>
        <v>A</v>
      </c>
      <c r="W38" s="426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8">
        <f>IF(G38="","",menu!$R$1)</f>
        <v>70</v>
      </c>
    </row>
    <row r="39" spans="1:34" ht="37.5" x14ac:dyDescent="0.2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3">
        <f t="shared" si="0"/>
        <v>97.1875</v>
      </c>
      <c r="I39" s="423">
        <f t="shared" si="1"/>
        <v>93.125</v>
      </c>
      <c r="J39" s="423">
        <f t="shared" si="2"/>
        <v>93</v>
      </c>
      <c r="K39" s="421">
        <f t="shared" si="3"/>
        <v>93</v>
      </c>
      <c r="L39" s="421" t="str">
        <f>IF(G39="","",IF(K39&gt;=menu!$O$6,"A",IF(K39&gt;=menu!$O$7,"B",IF(K39&gt;=menu!$O$8,"C","D"))))</f>
        <v>A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30">
        <f>IF(B39="","",menu!$D$17)</f>
        <v>4</v>
      </c>
      <c r="T39" s="424">
        <f t="shared" si="4"/>
        <v>97.1875</v>
      </c>
      <c r="U39" s="425">
        <f t="shared" si="5"/>
        <v>97</v>
      </c>
      <c r="V39" s="425" t="str">
        <f>IF(M39="","",IF(U39&gt;=menu!$O$6,"A",IF(U39&gt;=menu!$O$7,"B",IF(U39&gt;=menu!$O$8,"C","D"))))</f>
        <v>A</v>
      </c>
      <c r="W39" s="426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8">
        <f>IF(G39="","",menu!$R$1)</f>
        <v>70</v>
      </c>
    </row>
    <row r="40" spans="1:34" ht="37.5" x14ac:dyDescent="0.2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3">
        <f t="shared" si="0"/>
        <v>96.25</v>
      </c>
      <c r="I40" s="423">
        <f t="shared" si="1"/>
        <v>93.333333333333329</v>
      </c>
      <c r="J40" s="423">
        <f t="shared" si="2"/>
        <v>93</v>
      </c>
      <c r="K40" s="421">
        <f t="shared" si="3"/>
        <v>93</v>
      </c>
      <c r="L40" s="421" t="str">
        <f>IF(G40="","",IF(K40&gt;=menu!$O$6,"A",IF(K40&gt;=menu!$O$7,"B",IF(K40&gt;=menu!$O$8,"C","D"))))</f>
        <v>A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30">
        <f>IF(B40="","",menu!$D$17)</f>
        <v>4</v>
      </c>
      <c r="T40" s="424">
        <f t="shared" si="4"/>
        <v>96.25</v>
      </c>
      <c r="U40" s="425">
        <f t="shared" si="5"/>
        <v>96</v>
      </c>
      <c r="V40" s="425" t="str">
        <f>IF(M40="","",IF(U40&gt;=menu!$O$6,"A",IF(U40&gt;=menu!$O$7,"B",IF(U40&gt;=menu!$O$8,"C","D"))))</f>
        <v>A</v>
      </c>
      <c r="W40" s="426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8">
        <f>IF(G40="","",menu!$R$1)</f>
        <v>70</v>
      </c>
    </row>
    <row r="41" spans="1:34" ht="37.5" x14ac:dyDescent="0.2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3">
        <f t="shared" si="0"/>
        <v>74.0625</v>
      </c>
      <c r="I41" s="423">
        <f t="shared" si="1"/>
        <v>78.541666666666671</v>
      </c>
      <c r="J41" s="423">
        <f t="shared" si="2"/>
        <v>79</v>
      </c>
      <c r="K41" s="421">
        <f t="shared" si="3"/>
        <v>79</v>
      </c>
      <c r="L41" s="421" t="str">
        <f>IF(G41="","",IF(K41&gt;=menu!$O$6,"A",IF(K41&gt;=menu!$O$7,"B",IF(K41&gt;=menu!$O$8,"C","D"))))</f>
        <v>C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30">
        <f>IF(B41="","",menu!$D$17)</f>
        <v>4</v>
      </c>
      <c r="T41" s="424">
        <f t="shared" si="4"/>
        <v>74.0625</v>
      </c>
      <c r="U41" s="425">
        <f t="shared" si="5"/>
        <v>74</v>
      </c>
      <c r="V41" s="425" t="str">
        <f>IF(M41="","",IF(U41&gt;=menu!$O$6,"A",IF(U41&gt;=menu!$O$7,"B",IF(U41&gt;=menu!$O$8,"C","D"))))</f>
        <v>C</v>
      </c>
      <c r="W41" s="426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8">
        <f>IF(G41="","",menu!$R$1)</f>
        <v>70</v>
      </c>
    </row>
    <row r="42" spans="1:34" ht="37.5" x14ac:dyDescent="0.2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3">
        <f t="shared" si="0"/>
        <v>88.125</v>
      </c>
      <c r="I42" s="423">
        <f t="shared" si="1"/>
        <v>88.75</v>
      </c>
      <c r="J42" s="423">
        <f t="shared" si="2"/>
        <v>89</v>
      </c>
      <c r="K42" s="421">
        <f t="shared" si="3"/>
        <v>89</v>
      </c>
      <c r="L42" s="421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30">
        <f>IF(B42="","",menu!$D$17)</f>
        <v>4</v>
      </c>
      <c r="T42" s="424">
        <f t="shared" si="4"/>
        <v>88.125</v>
      </c>
      <c r="U42" s="425">
        <f t="shared" si="5"/>
        <v>88</v>
      </c>
      <c r="V42" s="425" t="str">
        <f>IF(M42="","",IF(U42&gt;=menu!$O$6,"A",IF(U42&gt;=menu!$O$7,"B",IF(U42&gt;=menu!$O$8,"C","D"))))</f>
        <v>B</v>
      </c>
      <c r="W42" s="426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8">
        <f>IF(G42="","",menu!$R$1)</f>
        <v>70</v>
      </c>
    </row>
    <row r="43" spans="1:34" ht="37.5" x14ac:dyDescent="0.2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3">
        <f t="shared" si="0"/>
        <v>84.375</v>
      </c>
      <c r="I43" s="423">
        <f t="shared" si="1"/>
        <v>85.416666666666671</v>
      </c>
      <c r="J43" s="423">
        <f t="shared" si="2"/>
        <v>85</v>
      </c>
      <c r="K43" s="421">
        <f t="shared" si="3"/>
        <v>85</v>
      </c>
      <c r="L43" s="421" t="str">
        <f>IF(G43="","",IF(K43&gt;=menu!$O$6,"A",IF(K43&gt;=menu!$O$7,"B",IF(K43&gt;=menu!$O$8,"C","D"))))</f>
        <v>B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30">
        <f>IF(B43="","",menu!$D$17)</f>
        <v>4</v>
      </c>
      <c r="T43" s="424">
        <f t="shared" si="4"/>
        <v>84.375</v>
      </c>
      <c r="U43" s="425">
        <f t="shared" si="5"/>
        <v>84</v>
      </c>
      <c r="V43" s="425" t="str">
        <f>IF(M43="","",IF(U43&gt;=menu!$O$6,"A",IF(U43&gt;=menu!$O$7,"B",IF(U43&gt;=menu!$O$8,"C","D"))))</f>
        <v>B</v>
      </c>
      <c r="W43" s="426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8">
        <f>IF(G43="","",menu!$R$1)</f>
        <v>70</v>
      </c>
    </row>
    <row r="44" spans="1:34" ht="37.5" x14ac:dyDescent="0.2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3">
        <f t="shared" si="0"/>
        <v>87.8125</v>
      </c>
      <c r="I44" s="423">
        <f t="shared" si="1"/>
        <v>88.541666666666671</v>
      </c>
      <c r="J44" s="423">
        <f t="shared" si="2"/>
        <v>89</v>
      </c>
      <c r="K44" s="421">
        <f t="shared" si="3"/>
        <v>89</v>
      </c>
      <c r="L44" s="421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30">
        <f>IF(B44="","",menu!$D$17)</f>
        <v>4</v>
      </c>
      <c r="T44" s="424">
        <f t="shared" si="4"/>
        <v>87.8125</v>
      </c>
      <c r="U44" s="425">
        <f t="shared" si="5"/>
        <v>88</v>
      </c>
      <c r="V44" s="425" t="str">
        <f>IF(M44="","",IF(U44&gt;=menu!$O$6,"A",IF(U44&gt;=menu!$O$7,"B",IF(U44&gt;=menu!$O$8,"C","D"))))</f>
        <v>B</v>
      </c>
      <c r="W44" s="426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8">
        <f>IF(G44="","",menu!$R$1)</f>
        <v>70</v>
      </c>
    </row>
    <row r="45" spans="1:34" ht="37.5" x14ac:dyDescent="0.2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3">
        <f t="shared" si="0"/>
        <v>84.9375</v>
      </c>
      <c r="I45" s="423">
        <f t="shared" si="1"/>
        <v>85.791666666666671</v>
      </c>
      <c r="J45" s="423">
        <f t="shared" si="2"/>
        <v>86</v>
      </c>
      <c r="K45" s="421">
        <f t="shared" si="3"/>
        <v>86</v>
      </c>
      <c r="L45" s="421" t="str">
        <f>IF(G45="","",IF(K45&gt;=menu!$O$6,"A",IF(K45&gt;=menu!$O$7,"B",IF(K45&gt;=menu!$O$8,"C","D"))))</f>
        <v>B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30">
        <f>IF(B45="","",menu!$D$17)</f>
        <v>4</v>
      </c>
      <c r="T45" s="424">
        <f t="shared" si="4"/>
        <v>84.9375</v>
      </c>
      <c r="U45" s="425">
        <f t="shared" si="5"/>
        <v>85</v>
      </c>
      <c r="V45" s="425" t="str">
        <f>IF(M45="","",IF(U45&gt;=menu!$O$6,"A",IF(U45&gt;=menu!$O$7,"B",IF(U45&gt;=menu!$O$8,"C","D"))))</f>
        <v>B</v>
      </c>
      <c r="W45" s="426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8">
        <f>IF(G45="","",menu!$R$1)</f>
        <v>70</v>
      </c>
    </row>
    <row r="46" spans="1:34" ht="37.5" x14ac:dyDescent="0.2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3">
        <f t="shared" si="0"/>
        <v>87.6875</v>
      </c>
      <c r="I46" s="423">
        <f t="shared" si="1"/>
        <v>88.458333333333329</v>
      </c>
      <c r="J46" s="423">
        <f t="shared" si="2"/>
        <v>88</v>
      </c>
      <c r="K46" s="421">
        <f t="shared" si="3"/>
        <v>88</v>
      </c>
      <c r="L46" s="421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30">
        <f>IF(B46="","",menu!$D$17)</f>
        <v>4</v>
      </c>
      <c r="T46" s="424">
        <f t="shared" si="4"/>
        <v>87.6875</v>
      </c>
      <c r="U46" s="425">
        <f t="shared" si="5"/>
        <v>88</v>
      </c>
      <c r="V46" s="425" t="str">
        <f>IF(M46="","",IF(U46&gt;=menu!$O$6,"A",IF(U46&gt;=menu!$O$7,"B",IF(U46&gt;=menu!$O$8,"C","D"))))</f>
        <v>B</v>
      </c>
      <c r="W46" s="426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8">
        <f>IF(G46="","",menu!$R$1)</f>
        <v>70</v>
      </c>
    </row>
    <row r="47" spans="1:34" ht="37.5" x14ac:dyDescent="0.2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3">
        <f t="shared" si="0"/>
        <v>90.3125</v>
      </c>
      <c r="I47" s="423">
        <f t="shared" si="1"/>
        <v>89.375</v>
      </c>
      <c r="J47" s="423">
        <f t="shared" si="2"/>
        <v>89</v>
      </c>
      <c r="K47" s="421">
        <f t="shared" si="3"/>
        <v>89</v>
      </c>
      <c r="L47" s="421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30">
        <f>IF(B47="","",menu!$D$17)</f>
        <v>4</v>
      </c>
      <c r="T47" s="424">
        <f t="shared" si="4"/>
        <v>90.3125</v>
      </c>
      <c r="U47" s="425">
        <f t="shared" si="5"/>
        <v>90</v>
      </c>
      <c r="V47" s="425" t="str">
        <f>IF(M47="","",IF(U47&gt;=menu!$O$6,"A",IF(U47&gt;=menu!$O$7,"B",IF(U47&gt;=menu!$O$8,"C","D"))))</f>
        <v>B</v>
      </c>
      <c r="W47" s="426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8">
        <f>IF(G47="","",menu!$R$1)</f>
        <v>70</v>
      </c>
    </row>
    <row r="48" spans="1:34" ht="37.5" x14ac:dyDescent="0.2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3">
        <f t="shared" si="0"/>
        <v>85.125</v>
      </c>
      <c r="I48" s="423">
        <f t="shared" si="1"/>
        <v>86.75</v>
      </c>
      <c r="J48" s="423">
        <f t="shared" si="2"/>
        <v>87</v>
      </c>
      <c r="K48" s="421">
        <f t="shared" si="3"/>
        <v>87</v>
      </c>
      <c r="L48" s="421" t="str">
        <f>IF(G48="","",IF(K48&gt;=menu!$O$6,"A",IF(K48&gt;=menu!$O$7,"B",IF(K48&gt;=menu!$O$8,"C","D"))))</f>
        <v>B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30">
        <f>IF(B48="","",menu!$D$17)</f>
        <v>4</v>
      </c>
      <c r="T48" s="424">
        <f t="shared" si="4"/>
        <v>85.125</v>
      </c>
      <c r="U48" s="425">
        <f t="shared" si="5"/>
        <v>85</v>
      </c>
      <c r="V48" s="425" t="str">
        <f>IF(M48="","",IF(U48&gt;=menu!$O$6,"A",IF(U48&gt;=menu!$O$7,"B",IF(U48&gt;=menu!$O$8,"C","D"))))</f>
        <v>B</v>
      </c>
      <c r="W48" s="426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8">
        <f>IF(G48="","",menu!$R$1)</f>
        <v>70</v>
      </c>
    </row>
    <row r="49" spans="1:34" ht="37.5" x14ac:dyDescent="0.2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3">
        <f t="shared" si="0"/>
        <v>88.375</v>
      </c>
      <c r="I49" s="423">
        <f t="shared" si="1"/>
        <v>88.083333333333329</v>
      </c>
      <c r="J49" s="423">
        <f t="shared" si="2"/>
        <v>88</v>
      </c>
      <c r="K49" s="421">
        <f t="shared" si="3"/>
        <v>88</v>
      </c>
      <c r="L49" s="421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30">
        <f>IF(B49="","",menu!$D$17)</f>
        <v>4</v>
      </c>
      <c r="T49" s="424">
        <f t="shared" si="4"/>
        <v>88.375</v>
      </c>
      <c r="U49" s="425">
        <f t="shared" si="5"/>
        <v>88</v>
      </c>
      <c r="V49" s="425" t="str">
        <f>IF(M49="","",IF(U49&gt;=menu!$O$6,"A",IF(U49&gt;=menu!$O$7,"B",IF(U49&gt;=menu!$O$8,"C","D"))))</f>
        <v>B</v>
      </c>
      <c r="W49" s="426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8">
        <f>IF(G49="","",menu!$R$1)</f>
        <v>70</v>
      </c>
    </row>
    <row r="50" spans="1:34" ht="37.5" x14ac:dyDescent="0.2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3">
        <f t="shared" si="0"/>
        <v>90.9375</v>
      </c>
      <c r="I50" s="423">
        <f t="shared" si="1"/>
        <v>90.625</v>
      </c>
      <c r="J50" s="423">
        <f t="shared" si="2"/>
        <v>91</v>
      </c>
      <c r="K50" s="421">
        <f t="shared" si="3"/>
        <v>91</v>
      </c>
      <c r="L50" s="421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30">
        <f>IF(B50="","",menu!$D$17)</f>
        <v>4</v>
      </c>
      <c r="T50" s="424">
        <f t="shared" si="4"/>
        <v>90.9375</v>
      </c>
      <c r="U50" s="425">
        <f t="shared" si="5"/>
        <v>91</v>
      </c>
      <c r="V50" s="425" t="str">
        <f>IF(M50="","",IF(U50&gt;=menu!$O$6,"A",IF(U50&gt;=menu!$O$7,"B",IF(U50&gt;=menu!$O$8,"C","D"))))</f>
        <v>B</v>
      </c>
      <c r="W50" s="426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8">
        <f>IF(G50="","",menu!$R$1)</f>
        <v>70</v>
      </c>
    </row>
    <row r="51" spans="1:34" ht="37.5" x14ac:dyDescent="0.2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3">
        <f t="shared" si="0"/>
        <v>89.375</v>
      </c>
      <c r="I51" s="423">
        <f t="shared" si="1"/>
        <v>89.583333333333329</v>
      </c>
      <c r="J51" s="423">
        <f t="shared" si="2"/>
        <v>90</v>
      </c>
      <c r="K51" s="421">
        <f t="shared" si="3"/>
        <v>90</v>
      </c>
      <c r="L51" s="421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30">
        <f>IF(B51="","",menu!$D$17)</f>
        <v>4</v>
      </c>
      <c r="T51" s="424">
        <f t="shared" si="4"/>
        <v>89.375</v>
      </c>
      <c r="U51" s="425">
        <f t="shared" si="5"/>
        <v>89</v>
      </c>
      <c r="V51" s="425" t="str">
        <f>IF(M51="","",IF(U51&gt;=menu!$O$6,"A",IF(U51&gt;=menu!$O$7,"B",IF(U51&gt;=menu!$O$8,"C","D"))))</f>
        <v>B</v>
      </c>
      <c r="W51" s="426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8">
        <f>IF(G51="","",menu!$R$1)</f>
        <v>70</v>
      </c>
    </row>
    <row r="52" spans="1:34" ht="37.5" x14ac:dyDescent="0.2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3">
        <f t="shared" si="0"/>
        <v>86.0625</v>
      </c>
      <c r="I52" s="423">
        <f t="shared" si="1"/>
        <v>87.375</v>
      </c>
      <c r="J52" s="423">
        <f t="shared" si="2"/>
        <v>87</v>
      </c>
      <c r="K52" s="421">
        <f t="shared" si="3"/>
        <v>87</v>
      </c>
      <c r="L52" s="421" t="str">
        <f>IF(G52="","",IF(K52&gt;=menu!$O$6,"A",IF(K52&gt;=menu!$O$7,"B",IF(K52&gt;=menu!$O$8,"C","D"))))</f>
        <v>B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30">
        <f>IF(B52="","",menu!$D$17)</f>
        <v>4</v>
      </c>
      <c r="T52" s="424">
        <f t="shared" si="4"/>
        <v>86.0625</v>
      </c>
      <c r="U52" s="425">
        <f t="shared" si="5"/>
        <v>86</v>
      </c>
      <c r="V52" s="425" t="str">
        <f>IF(M52="","",IF(U52&gt;=menu!$O$6,"A",IF(U52&gt;=menu!$O$7,"B",IF(U52&gt;=menu!$O$8,"C","D"))))</f>
        <v>B</v>
      </c>
      <c r="W52" s="426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8">
        <f>IF(G52="","",menu!$R$1)</f>
        <v>70</v>
      </c>
    </row>
    <row r="53" spans="1:34" ht="37.5" x14ac:dyDescent="0.2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3">
        <f t="shared" si="0"/>
        <v>82.5</v>
      </c>
      <c r="I53" s="423">
        <f t="shared" si="1"/>
        <v>84.166666666666671</v>
      </c>
      <c r="J53" s="423">
        <f t="shared" si="2"/>
        <v>84</v>
      </c>
      <c r="K53" s="421">
        <f t="shared" si="3"/>
        <v>84</v>
      </c>
      <c r="L53" s="421" t="str">
        <f>IF(G53="","",IF(K53&gt;=menu!$O$6,"A",IF(K53&gt;=menu!$O$7,"B",IF(K53&gt;=menu!$O$8,"C","D"))))</f>
        <v>B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30">
        <f>IF(B53="","",menu!$D$17)</f>
        <v>4</v>
      </c>
      <c r="T53" s="424">
        <f t="shared" si="4"/>
        <v>82.5</v>
      </c>
      <c r="U53" s="425">
        <f t="shared" si="5"/>
        <v>83</v>
      </c>
      <c r="V53" s="425" t="str">
        <f>IF(M53="","",IF(U53&gt;=menu!$O$6,"A",IF(U53&gt;=menu!$O$7,"B",IF(U53&gt;=menu!$O$8,"C","D"))))</f>
        <v>B</v>
      </c>
      <c r="W53" s="426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8">
        <f>IF(G53="","",menu!$R$1)</f>
        <v>70</v>
      </c>
    </row>
    <row r="54" spans="1:34" ht="37.5" x14ac:dyDescent="0.2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3">
        <f t="shared" si="0"/>
        <v>94</v>
      </c>
      <c r="I54" s="423">
        <f t="shared" si="1"/>
        <v>92.666666666666671</v>
      </c>
      <c r="J54" s="423">
        <f t="shared" si="2"/>
        <v>93</v>
      </c>
      <c r="K54" s="421">
        <f t="shared" si="3"/>
        <v>93</v>
      </c>
      <c r="L54" s="421" t="str">
        <f>IF(G54="","",IF(K54&gt;=menu!$O$6,"A",IF(K54&gt;=menu!$O$7,"B",IF(K54&gt;=menu!$O$8,"C","D"))))</f>
        <v>A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30">
        <f>IF(B54="","",menu!$D$17)</f>
        <v>4</v>
      </c>
      <c r="T54" s="424">
        <f t="shared" si="4"/>
        <v>94</v>
      </c>
      <c r="U54" s="425">
        <f t="shared" si="5"/>
        <v>94</v>
      </c>
      <c r="V54" s="425" t="str">
        <f>IF(M54="","",IF(U54&gt;=menu!$O$6,"A",IF(U54&gt;=menu!$O$7,"B",IF(U54&gt;=menu!$O$8,"C","D"))))</f>
        <v>A</v>
      </c>
      <c r="W54" s="426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8">
        <f>IF(G54="","",menu!$R$1)</f>
        <v>70</v>
      </c>
    </row>
    <row r="55" spans="1:34" ht="37.5" x14ac:dyDescent="0.2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3">
        <f t="shared" si="0"/>
        <v>92.875</v>
      </c>
      <c r="I55" s="423">
        <f t="shared" si="1"/>
        <v>91.916666666666671</v>
      </c>
      <c r="J55" s="423">
        <f t="shared" si="2"/>
        <v>92</v>
      </c>
      <c r="K55" s="421">
        <f t="shared" si="3"/>
        <v>92</v>
      </c>
      <c r="L55" s="421" t="str">
        <f>IF(G55="","",IF(K55&gt;=menu!$O$6,"A",IF(K55&gt;=menu!$O$7,"B",IF(K55&gt;=menu!$O$8,"C","D"))))</f>
        <v>A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30">
        <f>IF(B55="","",menu!$D$17)</f>
        <v>4</v>
      </c>
      <c r="T55" s="424">
        <f t="shared" si="4"/>
        <v>92.875</v>
      </c>
      <c r="U55" s="425">
        <f t="shared" si="5"/>
        <v>93</v>
      </c>
      <c r="V55" s="425" t="str">
        <f>IF(M55="","",IF(U55&gt;=menu!$O$6,"A",IF(U55&gt;=menu!$O$7,"B",IF(U55&gt;=menu!$O$8,"C","D"))))</f>
        <v>A</v>
      </c>
      <c r="W55" s="426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8">
        <f>IF(G55="","",menu!$R$1)</f>
        <v>70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 x14ac:dyDescent="0.25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 x14ac:dyDescent="0.25">
      <c r="D1" s="547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9"/>
    </row>
    <row r="2" spans="1:20" ht="15.75" x14ac:dyDescent="0.25">
      <c r="D2" s="550" t="str">
        <f>UPPER('[1]Data Raport'!C3:F3)</f>
        <v/>
      </c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2"/>
    </row>
    <row r="3" spans="1:20" ht="9" customHeight="1" x14ac:dyDescent="0.4">
      <c r="D3" s="553" t="str">
        <f>UPPER('[1]Data Raport'!C5:F5)</f>
        <v/>
      </c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5"/>
    </row>
    <row r="4" spans="1:20" ht="8.25" customHeight="1" x14ac:dyDescent="0.25">
      <c r="D4" s="556" t="s">
        <v>284</v>
      </c>
      <c r="E4" s="557"/>
      <c r="F4" s="557"/>
      <c r="G4" s="557"/>
      <c r="H4" s="557"/>
      <c r="I4" s="557"/>
      <c r="J4" s="557"/>
      <c r="K4" s="557"/>
      <c r="L4" s="557"/>
      <c r="M4" s="557"/>
      <c r="N4" s="557"/>
      <c r="O4" s="557"/>
      <c r="P4" s="557"/>
      <c r="Q4" s="557"/>
      <c r="R4" s="557"/>
      <c r="S4" s="558"/>
    </row>
    <row r="5" spans="1:20" ht="8.25" customHeight="1" x14ac:dyDescent="0.25">
      <c r="D5" s="559"/>
      <c r="E5" s="560"/>
      <c r="F5" s="560"/>
      <c r="G5" s="560"/>
      <c r="H5" s="560"/>
      <c r="I5" s="560"/>
      <c r="J5" s="560"/>
      <c r="K5" s="560"/>
      <c r="L5" s="560"/>
      <c r="M5" s="560"/>
      <c r="N5" s="560"/>
      <c r="O5" s="560"/>
      <c r="P5" s="560"/>
      <c r="Q5" s="560"/>
      <c r="R5" s="560"/>
      <c r="S5" s="561"/>
    </row>
    <row r="6" spans="1:20" ht="8.25" customHeight="1" x14ac:dyDescent="0.25">
      <c r="D6" s="562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563"/>
      <c r="P6" s="563"/>
      <c r="Q6" s="563"/>
      <c r="R6" s="563"/>
      <c r="S6" s="564"/>
    </row>
    <row r="7" spans="1:20" ht="15.75" x14ac:dyDescent="0.2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 x14ac:dyDescent="0.25">
      <c r="C8" s="132" t="s">
        <v>245</v>
      </c>
      <c r="D8" s="255" t="str">
        <f>menu!D13</f>
        <v>alquran hadits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 x14ac:dyDescent="0.25">
      <c r="C9" s="132" t="s">
        <v>248</v>
      </c>
      <c r="D9" s="565" t="str">
        <f>menu!D14&amp;menu!E14</f>
        <v>7a</v>
      </c>
      <c r="E9" s="565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6"/>
      <c r="Q9" s="566"/>
      <c r="R9" s="240"/>
      <c r="S9" s="191"/>
    </row>
    <row r="10" spans="1:20" x14ac:dyDescent="0.25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7"/>
      <c r="Q10" s="537"/>
      <c r="R10" s="241"/>
      <c r="S10" s="153"/>
    </row>
    <row r="11" spans="1:20" x14ac:dyDescent="0.25">
      <c r="D11" s="152"/>
      <c r="E11" s="152"/>
      <c r="F11" s="152"/>
    </row>
    <row r="12" spans="1:20" s="246" customFormat="1" x14ac:dyDescent="0.25">
      <c r="A12" s="538" t="s">
        <v>262</v>
      </c>
      <c r="B12" s="545" t="s">
        <v>288</v>
      </c>
      <c r="C12" s="538" t="s">
        <v>239</v>
      </c>
      <c r="D12" s="539" t="s">
        <v>35</v>
      </c>
      <c r="E12" s="540"/>
      <c r="F12" s="541"/>
      <c r="G12" s="542" t="s">
        <v>244</v>
      </c>
      <c r="H12" s="543"/>
      <c r="I12" s="544"/>
      <c r="J12" s="518" t="s">
        <v>422</v>
      </c>
      <c r="K12" s="519"/>
      <c r="L12" s="242"/>
      <c r="M12" s="242"/>
      <c r="N12" s="242"/>
      <c r="O12" s="242"/>
      <c r="P12" s="243" t="s">
        <v>421</v>
      </c>
      <c r="Q12" s="244"/>
      <c r="R12" s="244"/>
      <c r="S12" s="245"/>
      <c r="T12" s="520" t="s">
        <v>303</v>
      </c>
    </row>
    <row r="13" spans="1:20" x14ac:dyDescent="0.25">
      <c r="A13" s="538"/>
      <c r="B13" s="546"/>
      <c r="C13" s="538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1"/>
    </row>
    <row r="14" spans="1:20" s="140" customFormat="1" ht="23.25" customHeight="1" x14ac:dyDescent="0.2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83</v>
      </c>
      <c r="E14" s="227" t="str">
        <f>IF('Input Nilai Pengetahuan'!CR5="","",'Input Nilai Pengetahuan'!CR5)</f>
        <v>B</v>
      </c>
      <c r="F14" s="228" t="str">
        <f>IF('Input Nilai Pengetahuan'!CV5="","",'Input Nilai Pengetahuan'!CV5)</f>
        <v>Memiliki penguasaan semua materi baik,  sudah menguasai pengetahuan akidah akhlak 1, dan perlu ditingkatkan dalam pengetahuan akidah akhlak 3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B</v>
      </c>
      <c r="I14" s="228" t="str">
        <f>IF('Input Nilai Ketrampilan'!BK5="","",'Input Nilai Ketrampilan'!BK5)</f>
        <v>terampil ketrampilan akidah akhlak 1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09">
        <f>IF(C14="","",menu!$R$1)</f>
        <v>70</v>
      </c>
    </row>
    <row r="15" spans="1:20" s="140" customFormat="1" ht="23.25" customHeight="1" x14ac:dyDescent="0.2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B</v>
      </c>
      <c r="F15" s="228" t="str">
        <f>IF('Input Nilai Pengetahuan'!CV6="","",'Input Nilai Pengetahuan'!CV6)</f>
        <v>Memiliki penguasaan semua materi baik,  sudah menguasai pengetahuan akidah akhlak 7, dan perlu ditingkatkan dalam pengetahuan akidah akhlak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B</v>
      </c>
      <c r="I15" s="228" t="str">
        <f>IF('Input Nilai Ketrampilan'!BK6="","",'Input Nilai Ketrampilan'!BK6)</f>
        <v>terampil ketrampilan akidah akhlak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09">
        <f>IF(C15="","",menu!$R$1)</f>
        <v>70</v>
      </c>
    </row>
    <row r="16" spans="1:20" s="140" customFormat="1" ht="23.25" customHeight="1" x14ac:dyDescent="0.2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B</v>
      </c>
      <c r="F16" s="228" t="str">
        <f>IF('Input Nilai Pengetahuan'!CV7="","",'Input Nilai Pengetahuan'!CV7)</f>
        <v>Memiliki penguasaan semua materi baik,  sudah menguasai pengetahuan akidah akhlak 8, dan perlu ditingkatkan dalam pengetahuan akidah akhlak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akidah akhlak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09">
        <f>IF(C16="","",menu!$R$1)</f>
        <v>70</v>
      </c>
    </row>
    <row r="17" spans="1:20" s="140" customFormat="1" ht="23.25" customHeight="1" x14ac:dyDescent="0.2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B</v>
      </c>
      <c r="F17" s="228" t="str">
        <f>IF('Input Nilai Pengetahuan'!CV8="","",'Input Nilai Pengetahuan'!CV8)</f>
        <v>Memiliki penguasaan semua materi baik,  sudah menguasai pengetahuan akidah akhlak 1, dan perlu ditingkatkan dalam pengetahuan akidah akhlak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B</v>
      </c>
      <c r="I17" s="228" t="str">
        <f>IF('Input Nilai Ketrampilan'!BK8="","",'Input Nilai Ketrampilan'!BK8)</f>
        <v>terampil ketrampilan akidah akhlak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09">
        <f>IF(C17="","",menu!$R$1)</f>
        <v>70</v>
      </c>
    </row>
    <row r="18" spans="1:20" s="140" customFormat="1" ht="23.25" customHeight="1" x14ac:dyDescent="0.2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C</v>
      </c>
      <c r="F18" s="228" t="str">
        <f>IF('Input Nilai Pengetahuan'!CV9="","",'Input Nilai Pengetahuan'!CV9)</f>
        <v>Memiliki penguasaan semua materi cukup,  sudah menguasai pengetahuan akidah akhlak 7, dan perlu ditingkatkan dalam pengetahuan akidah akhlak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C</v>
      </c>
      <c r="I18" s="228" t="str">
        <f>IF('Input Nilai Ketrampilan'!BK9="","",'Input Nilai Ketrampilan'!BK9)</f>
        <v>cukup terampil ketrampilan akidah akhlak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09">
        <f>IF(C18="","",menu!$R$1)</f>
        <v>70</v>
      </c>
    </row>
    <row r="19" spans="1:20" s="140" customFormat="1" ht="23.25" customHeight="1" x14ac:dyDescent="0.2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B</v>
      </c>
      <c r="F19" s="228" t="str">
        <f>IF('Input Nilai Pengetahuan'!CV10="","",'Input Nilai Pengetahuan'!CV10)</f>
        <v>Memiliki penguasaan semua materi baik,  sudah menguasai pengetahuan akidah akhlak 2, dan perlu ditingkatkan dalam pengetahuan akidah akhlak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B</v>
      </c>
      <c r="I19" s="228" t="str">
        <f>IF('Input Nilai Ketrampilan'!BK10="","",'Input Nilai Ketrampilan'!BK10)</f>
        <v>terampil ketrampilan akidah akhlak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09">
        <f>IF(C19="","",menu!$R$1)</f>
        <v>70</v>
      </c>
    </row>
    <row r="20" spans="1:20" s="140" customFormat="1" ht="23.25" customHeight="1" x14ac:dyDescent="0.2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B</v>
      </c>
      <c r="F20" s="228" t="str">
        <f>IF('Input Nilai Pengetahuan'!CV11="","",'Input Nilai Pengetahuan'!CV11)</f>
        <v>Memiliki penguasaan semua materi baik,  sudah menguasai pengetahuan akidah akhlak 4, dan perlu ditingkatkan dalam pengetahuan akidah akhlak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B</v>
      </c>
      <c r="I20" s="228" t="str">
        <f>IF('Input Nilai Ketrampilan'!BK11="","",'Input Nilai Ketrampilan'!BK11)</f>
        <v>terampil ketrampilan akidah akhlak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09">
        <f>IF(C20="","",menu!$R$1)</f>
        <v>70</v>
      </c>
    </row>
    <row r="21" spans="1:20" s="140" customFormat="1" ht="23.25" customHeight="1" x14ac:dyDescent="0.2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B</v>
      </c>
      <c r="F21" s="228" t="str">
        <f>IF('Input Nilai Pengetahuan'!CV12="","",'Input Nilai Pengetahuan'!CV12)</f>
        <v>Memiliki penguasaan semua materi baik,  sudah menguasai pengetahuan akidah akhlak 4, dan perlu ditingkatkan dalam pengetahuan akidah akhlak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B</v>
      </c>
      <c r="I21" s="228" t="str">
        <f>IF('Input Nilai Ketrampilan'!BK12="","",'Input Nilai Ketrampilan'!BK12)</f>
        <v>terampil ketrampilan akidah akhlak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09">
        <f>IF(C21="","",menu!$R$1)</f>
        <v>70</v>
      </c>
    </row>
    <row r="22" spans="1:20" s="140" customFormat="1" ht="23.25" customHeight="1" x14ac:dyDescent="0.2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B</v>
      </c>
      <c r="F22" s="228" t="str">
        <f>IF('Input Nilai Pengetahuan'!CV13="","",'Input Nilai Pengetahuan'!CV13)</f>
        <v>Memiliki penguasaan semua materi baik,  sudah menguasai pengetahuan akidah akhlak 4, dan perlu ditingkatkan dalam pengetahuan akidah akhlak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B</v>
      </c>
      <c r="I22" s="228" t="str">
        <f>IF('Input Nilai Ketrampilan'!BK13="","",'Input Nilai Ketrampilan'!BK13)</f>
        <v>terampil ketrampilan akidah akhlak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09">
        <f>IF(C22="","",menu!$R$1)</f>
        <v>70</v>
      </c>
    </row>
    <row r="23" spans="1:20" s="140" customFormat="1" ht="23.25" customHeight="1" x14ac:dyDescent="0.2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B</v>
      </c>
      <c r="F23" s="228" t="str">
        <f>IF('Input Nilai Pengetahuan'!CV14="","",'Input Nilai Pengetahuan'!CV14)</f>
        <v>Memiliki penguasaan semua materi baik,  sudah menguasai pengetahuan akidah akhlak 7, dan perlu ditingkatkan dalam pengetahuan akidah akhlak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B</v>
      </c>
      <c r="I23" s="228" t="str">
        <f>IF('Input Nilai Ketrampilan'!BK14="","",'Input Nilai Ketrampilan'!BK14)</f>
        <v>terampil ketrampilan akidah akhlak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09">
        <f>IF(C23="","",menu!$R$1)</f>
        <v>70</v>
      </c>
    </row>
    <row r="24" spans="1:20" s="140" customFormat="1" ht="23.25" customHeight="1" x14ac:dyDescent="0.2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C</v>
      </c>
      <c r="F24" s="228" t="str">
        <f>IF('Input Nilai Pengetahuan'!CV15="","",'Input Nilai Pengetahuan'!CV15)</f>
        <v>Memiliki penguasaan semua materi cukup,  sudah menguasai pengetahuan akidah akhlak 1, dan perlu ditingkatkan dalam pengetahuan akidah akhlak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C</v>
      </c>
      <c r="I24" s="228" t="str">
        <f>IF('Input Nilai Ketrampilan'!BK15="","",'Input Nilai Ketrampilan'!BK15)</f>
        <v>cukup terampil ketrampilan akidah akhlak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09">
        <f>IF(C24="","",menu!$R$1)</f>
        <v>70</v>
      </c>
    </row>
    <row r="25" spans="1:20" s="140" customFormat="1" ht="23.25" customHeight="1" x14ac:dyDescent="0.2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B</v>
      </c>
      <c r="F25" s="228" t="str">
        <f>IF('Input Nilai Pengetahuan'!CV16="","",'Input Nilai Pengetahuan'!CV16)</f>
        <v>Memiliki penguasaan semua materi baik,  sudah menguasai pengetahuan akidah akhlak 1, dan perlu ditingkatkan dalam pengetahuan akidah akhlak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B</v>
      </c>
      <c r="I25" s="228" t="str">
        <f>IF('Input Nilai Ketrampilan'!BK16="","",'Input Nilai Ketrampilan'!BK16)</f>
        <v>terampil ketrampilan akidah akhlak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09">
        <f>IF(C25="","",menu!$R$1)</f>
        <v>70</v>
      </c>
    </row>
    <row r="26" spans="1:20" s="140" customFormat="1" ht="23.25" customHeight="1" x14ac:dyDescent="0.2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B</v>
      </c>
      <c r="F26" s="228" t="str">
        <f>IF('Input Nilai Pengetahuan'!CV17="","",'Input Nilai Pengetahuan'!CV17)</f>
        <v>Memiliki penguasaan semua materi baik,  sudah menguasai pengetahuan akidah akhlak 2, dan perlu ditingkatkan dalam pengetahuan akidah akhlak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B</v>
      </c>
      <c r="I26" s="228" t="str">
        <f>IF('Input Nilai Ketrampilan'!BK17="","",'Input Nilai Ketrampilan'!BK17)</f>
        <v>terampil ketrampilan akidah akhlak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09">
        <f>IF(C26="","",menu!$R$1)</f>
        <v>70</v>
      </c>
    </row>
    <row r="27" spans="1:20" s="140" customFormat="1" ht="23.25" customHeight="1" x14ac:dyDescent="0.2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B</v>
      </c>
      <c r="F27" s="228" t="str">
        <f>IF('Input Nilai Pengetahuan'!CV18="","",'Input Nilai Pengetahuan'!CV18)</f>
        <v>Memiliki penguasaan semua materi baik,  sudah menguasai pengetahuan akidah akhlak 8, dan perlu ditingkatkan dalam pengetahuan akidah akhlak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B</v>
      </c>
      <c r="I27" s="228" t="str">
        <f>IF('Input Nilai Ketrampilan'!BK18="","",'Input Nilai Ketrampilan'!BK18)</f>
        <v>terampil ketrampilan akidah akhlak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09">
        <f>IF(C27="","",menu!$R$1)</f>
        <v>70</v>
      </c>
    </row>
    <row r="28" spans="1:20" s="140" customFormat="1" ht="23.25" customHeight="1" x14ac:dyDescent="0.2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B</v>
      </c>
      <c r="F28" s="228" t="str">
        <f>IF('Input Nilai Pengetahuan'!CV19="","",'Input Nilai Pengetahuan'!CV19)</f>
        <v>Memiliki penguasaan semua materi baik,  sudah menguasai pengetahuan akidah akhlak 1, dan perlu ditingkatkan dalam pengetahuan akidah akhlak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B</v>
      </c>
      <c r="I28" s="228" t="str">
        <f>IF('Input Nilai Ketrampilan'!BK19="","",'Input Nilai Ketrampilan'!BK19)</f>
        <v>terampil ketrampilan akidah akhlak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09">
        <f>IF(C28="","",menu!$R$1)</f>
        <v>70</v>
      </c>
    </row>
    <row r="29" spans="1:20" s="140" customFormat="1" ht="23.25" customHeight="1" x14ac:dyDescent="0.2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B</v>
      </c>
      <c r="F29" s="228" t="str">
        <f>IF('Input Nilai Pengetahuan'!CV20="","",'Input Nilai Pengetahuan'!CV20)</f>
        <v>Memiliki penguasaan semua materi baik,  sudah menguasai pengetahuan akidah akhlak 4, dan perlu ditingkatkan dalam pengetahuan akidah akhlak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B</v>
      </c>
      <c r="I29" s="228" t="str">
        <f>IF('Input Nilai Ketrampilan'!BK20="","",'Input Nilai Ketrampilan'!BK20)</f>
        <v>terampil ketrampilan akidah akhlak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09">
        <f>IF(C29="","",menu!$R$1)</f>
        <v>70</v>
      </c>
    </row>
    <row r="30" spans="1:20" s="140" customFormat="1" ht="23.25" customHeight="1" x14ac:dyDescent="0.2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B</v>
      </c>
      <c r="F30" s="228" t="str">
        <f>IF('Input Nilai Pengetahuan'!CV21="","",'Input Nilai Pengetahuan'!CV21)</f>
        <v>Memiliki penguasaan semua materi baik,  sudah menguasai pengetahuan akidah akhlak 1, dan perlu ditingkatkan dalam pengetahuan akidah akhlak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B</v>
      </c>
      <c r="I30" s="228" t="str">
        <f>IF('Input Nilai Ketrampilan'!BK21="","",'Input Nilai Ketrampilan'!BK21)</f>
        <v>terampil ketrampilan akidah akhlak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09">
        <f>IF(C30="","",menu!$R$1)</f>
        <v>70</v>
      </c>
    </row>
    <row r="31" spans="1:20" s="140" customFormat="1" ht="23.25" customHeight="1" x14ac:dyDescent="0.2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B</v>
      </c>
      <c r="F31" s="228" t="str">
        <f>IF('Input Nilai Pengetahuan'!CV22="","",'Input Nilai Pengetahuan'!CV22)</f>
        <v>Memiliki penguasaan semua materi baik,  sudah menguasai pengetahuan akidah akhlak 8, dan perlu ditingkatkan dalam pengetahuan akidah akhlak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B</v>
      </c>
      <c r="I31" s="228" t="str">
        <f>IF('Input Nilai Ketrampilan'!BK22="","",'Input Nilai Ketrampilan'!BK22)</f>
        <v>terampil ketrampilan akidah akhlak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09">
        <f>IF(C31="","",menu!$R$1)</f>
        <v>70</v>
      </c>
    </row>
    <row r="32" spans="1:20" s="140" customFormat="1" ht="23.25" customHeight="1" x14ac:dyDescent="0.2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B</v>
      </c>
      <c r="F32" s="228" t="str">
        <f>IF('Input Nilai Pengetahuan'!CV23="","",'Input Nilai Pengetahuan'!CV23)</f>
        <v>Memiliki penguasaan semua materi baik,  sudah menguasai pengetahuan akidah akhlak 4, dan perlu ditingkatkan dalam pengetahuan akidah akhlak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C</v>
      </c>
      <c r="I32" s="228" t="str">
        <f>IF('Input Nilai Ketrampilan'!BK23="","",'Input Nilai Ketrampilan'!BK23)</f>
        <v>cukup terampil ketrampilan akidah akhlak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09">
        <f>IF(C32="","",menu!$R$1)</f>
        <v>70</v>
      </c>
    </row>
    <row r="33" spans="1:20" s="140" customFormat="1" ht="23.25" customHeight="1" x14ac:dyDescent="0.2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B</v>
      </c>
      <c r="F33" s="228" t="str">
        <f>IF('Input Nilai Pengetahuan'!CV24="","",'Input Nilai Pengetahuan'!CV24)</f>
        <v>Memiliki penguasaan semua materi baik,  sudah menguasai pengetahuan akidah akhlak 7, dan perlu ditingkatkan dalam pengetahuan akidah akhlak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B</v>
      </c>
      <c r="I33" s="228" t="str">
        <f>IF('Input Nilai Ketrampilan'!BK24="","",'Input Nilai Ketrampilan'!BK24)</f>
        <v>terampil ketrampilan akidah akhlak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09">
        <f>IF(C33="","",menu!$R$1)</f>
        <v>70</v>
      </c>
    </row>
    <row r="34" spans="1:20" s="140" customFormat="1" ht="23.25" customHeight="1" x14ac:dyDescent="0.2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B</v>
      </c>
      <c r="F34" s="228" t="str">
        <f>IF('Input Nilai Pengetahuan'!CV25="","",'Input Nilai Pengetahuan'!CV25)</f>
        <v>Memiliki penguasaan semua materi baik,  sudah menguasai pengetahuan akidah akhlak 1, dan perlu ditingkatkan dalam pengetahuan akidah akhlak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B</v>
      </c>
      <c r="I34" s="228" t="str">
        <f>IF('Input Nilai Ketrampilan'!BK25="","",'Input Nilai Ketrampilan'!BK25)</f>
        <v>terampil ketrampilan akidah akhlak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09">
        <f>IF(C34="","",menu!$R$1)</f>
        <v>70</v>
      </c>
    </row>
    <row r="35" spans="1:20" s="140" customFormat="1" ht="23.25" customHeight="1" x14ac:dyDescent="0.2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B</v>
      </c>
      <c r="F35" s="228" t="str">
        <f>IF('Input Nilai Pengetahuan'!CV26="","",'Input Nilai Pengetahuan'!CV26)</f>
        <v>Memiliki penguasaan semua materi baik,  sudah menguasai pengetahuan akidah akhlak 7, dan perlu ditingkatkan dalam pengetahuan akidah akhlak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akidah akhlak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09">
        <f>IF(C35="","",menu!$R$1)</f>
        <v>70</v>
      </c>
    </row>
    <row r="36" spans="1:20" s="140" customFormat="1" ht="23.25" customHeight="1" x14ac:dyDescent="0.2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B</v>
      </c>
      <c r="F36" s="228" t="str">
        <f>IF('Input Nilai Pengetahuan'!CV27="","",'Input Nilai Pengetahuan'!CV27)</f>
        <v>Memiliki penguasaan semua materi baik,  sudah menguasai pengetahuan akidah akhlak 4, dan perlu ditingkatkan dalam pengetahuan akidah akhlak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B</v>
      </c>
      <c r="I36" s="228" t="str">
        <f>IF('Input Nilai Ketrampilan'!BK27="","",'Input Nilai Ketrampilan'!BK27)</f>
        <v>terampil ketrampilan akidah akhlak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09">
        <f>IF(C36="","",menu!$R$1)</f>
        <v>70</v>
      </c>
    </row>
    <row r="37" spans="1:20" s="140" customFormat="1" ht="23.25" customHeight="1" x14ac:dyDescent="0.2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B</v>
      </c>
      <c r="F37" s="228" t="str">
        <f>IF('Input Nilai Pengetahuan'!CV28="","",'Input Nilai Pengetahuan'!CV28)</f>
        <v>Memiliki penguasaan semua materi baik,  sudah menguasai pengetahuan akidah akhlak 1, dan perlu ditingkatkan dalam pengetahuan akidah akhlak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B</v>
      </c>
      <c r="I37" s="228" t="str">
        <f>IF('Input Nilai Ketrampilan'!BK28="","",'Input Nilai Ketrampilan'!BK28)</f>
        <v>terampil ketrampilan akidah akhlak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09">
        <f>IF(C37="","",menu!$R$1)</f>
        <v>70</v>
      </c>
    </row>
    <row r="38" spans="1:20" s="140" customFormat="1" ht="23.25" customHeight="1" x14ac:dyDescent="0.2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B</v>
      </c>
      <c r="F38" s="228" t="str">
        <f>IF('Input Nilai Pengetahuan'!CV29="","",'Input Nilai Pengetahuan'!CV29)</f>
        <v xml:space="preserve"> Memiliki penguasaan materi sudah baik dalam pengetahuan akidah akhlak 8, dan lebih ditingkatkan dalam pengetahuan akidah akhlak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B</v>
      </c>
      <c r="I38" s="228" t="str">
        <f>IF('Input Nilai Ketrampilan'!BK29="","",'Input Nilai Ketrampilan'!BK29)</f>
        <v>terampil ketrampilan akidah akhlak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09">
        <f>IF(C38="","",menu!$R$1)</f>
        <v>70</v>
      </c>
    </row>
    <row r="39" spans="1:20" s="140" customFormat="1" ht="23.25" customHeight="1" x14ac:dyDescent="0.2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B</v>
      </c>
      <c r="F39" s="228" t="str">
        <f>IF('Input Nilai Pengetahuan'!CV30="","",'Input Nilai Pengetahuan'!CV30)</f>
        <v>Memiliki penguasaan semua materi baik,  sudah menguasai pengetahuan akidah akhlak 4, dan perlu ditingkatkan dalam pengetahuan akidah akhlak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B</v>
      </c>
      <c r="I39" s="228" t="str">
        <f>IF('Input Nilai Ketrampilan'!BK30="","",'Input Nilai Ketrampilan'!BK30)</f>
        <v>terampil ketrampilan akidah akhlak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09">
        <f>IF(C39="","",menu!$R$1)</f>
        <v>70</v>
      </c>
    </row>
    <row r="40" spans="1:20" s="140" customFormat="1" ht="23.25" customHeight="1" x14ac:dyDescent="0.2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akidah akhlak 4, dan perlu ditingkatkan dalam pengetahuan akidah akhlak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akidah akhlak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09">
        <f>IF(C40="","",menu!$R$1)</f>
        <v>70</v>
      </c>
    </row>
    <row r="41" spans="1:20" s="140" customFormat="1" ht="23.25" customHeight="1" x14ac:dyDescent="0.2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B</v>
      </c>
      <c r="F41" s="228" t="str">
        <f>IF('Input Nilai Pengetahuan'!CV32="","",'Input Nilai Pengetahuan'!CV32)</f>
        <v>Memiliki penguasaan semua materi baik,  sudah menguasai pengetahuan akidah akhlak 1, dan perlu ditingkatkan dalam pengetahuan akidah akhlak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B</v>
      </c>
      <c r="I41" s="228" t="str">
        <f>IF('Input Nilai Ketrampilan'!BK32="","",'Input Nilai Ketrampilan'!BK32)</f>
        <v>terampil ketrampilan akidah akhlak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09">
        <f>IF(C41="","",menu!$R$1)</f>
        <v>70</v>
      </c>
    </row>
    <row r="42" spans="1:20" s="140" customFormat="1" ht="23.25" customHeight="1" x14ac:dyDescent="0.2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B</v>
      </c>
      <c r="F42" s="228" t="str">
        <f>IF('Input Nilai Pengetahuan'!CV33="","",'Input Nilai Pengetahuan'!CV33)</f>
        <v>Memiliki penguasaan semua materi baik,  sudah menguasai pengetahuan akidah akhlak 8, dan perlu ditingkatkan dalam pengetahuan akidah akhlak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akidah akhlak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09">
        <f>IF(C42="","",menu!$R$1)</f>
        <v>70</v>
      </c>
    </row>
    <row r="43" spans="1:20" s="140" customFormat="1" ht="23.25" customHeight="1" x14ac:dyDescent="0.2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B</v>
      </c>
      <c r="F43" s="228" t="str">
        <f>IF('Input Nilai Pengetahuan'!CV34="","",'Input Nilai Pengetahuan'!CV34)</f>
        <v>Memiliki penguasaan semua materi baik,  sudah menguasai pengetahuan akidah akhlak 8, dan perlu ditingkatkan dalam pengetahuan akidah akhlak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B</v>
      </c>
      <c r="I43" s="228" t="str">
        <f>IF('Input Nilai Ketrampilan'!BK34="","",'Input Nilai Ketrampilan'!BK34)</f>
        <v>terampil ketrampilan akidah akhlak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09">
        <f>IF(C43="","",menu!$R$1)</f>
        <v>70</v>
      </c>
    </row>
    <row r="44" spans="1:20" s="140" customFormat="1" ht="23.25" customHeight="1" x14ac:dyDescent="0.2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akidah akhlak 2, dan perlu ditingkatkan dalam pengetahuan akidah akhlak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akidah akhlak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09">
        <f>IF(C44="","",menu!$R$1)</f>
        <v>70</v>
      </c>
    </row>
    <row r="45" spans="1:20" s="140" customFormat="1" ht="23.25" customHeight="1" x14ac:dyDescent="0.2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B</v>
      </c>
      <c r="F45" s="228" t="str">
        <f>IF('Input Nilai Pengetahuan'!CV36="","",'Input Nilai Pengetahuan'!CV36)</f>
        <v>Memiliki penguasaan semua materi baik,  sudah menguasai pengetahuan akidah akhlak 4, dan perlu ditingkatkan dalam pengetahuan akidah akhlak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B</v>
      </c>
      <c r="I45" s="228" t="str">
        <f>IF('Input Nilai Ketrampilan'!BK36="","",'Input Nilai Ketrampilan'!BK36)</f>
        <v>terampil ketrampilan akidah akhlak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09">
        <f>IF(C45="","",menu!$R$1)</f>
        <v>70</v>
      </c>
    </row>
    <row r="46" spans="1:20" s="140" customFormat="1" ht="23.25" customHeight="1" x14ac:dyDescent="0.2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B</v>
      </c>
      <c r="F46" s="228" t="str">
        <f>IF('Input Nilai Pengetahuan'!CV37="","",'Input Nilai Pengetahuan'!CV37)</f>
        <v>Memiliki penguasaan semua materi baik,  sudah menguasai pengetahuan akidah akhlak 1, dan perlu ditingkatkan dalam pengetahuan akidah akhlak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akidah akhlak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09">
        <f>IF(C46="","",menu!$R$1)</f>
        <v>70</v>
      </c>
    </row>
    <row r="47" spans="1:20" s="140" customFormat="1" ht="23.25" customHeight="1" x14ac:dyDescent="0.2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akidah akhlak 8, dan perlu ditingkatkan dalam pengetahuan akidah akhlak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C</v>
      </c>
      <c r="I47" s="228" t="str">
        <f>IF('Input Nilai Ketrampilan'!BK38="","",'Input Nilai Ketrampilan'!BK38)</f>
        <v>cukup terampil ketrampilan akidah akhlak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09">
        <f>IF(C47="","",menu!$R$1)</f>
        <v>70</v>
      </c>
    </row>
    <row r="48" spans="1:20" s="140" customFormat="1" ht="23.25" customHeight="1" x14ac:dyDescent="0.2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B</v>
      </c>
      <c r="F48" s="228" t="str">
        <f>IF('Input Nilai Pengetahuan'!CV39="","",'Input Nilai Pengetahuan'!CV39)</f>
        <v>Memiliki penguasaan semua materi baik,  sudah menguasai pengetahuan akidah akhlak 4, dan perlu ditingkatkan dalam pengetahuan akidah akhlak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B</v>
      </c>
      <c r="I48" s="228" t="str">
        <f>IF('Input Nilai Ketrampilan'!BK39="","",'Input Nilai Ketrampilan'!BK39)</f>
        <v>terampil ketrampilan akidah akhlak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09">
        <f>IF(C48="","",menu!$R$1)</f>
        <v>70</v>
      </c>
    </row>
    <row r="49" spans="1:20" s="140" customFormat="1" ht="23.25" customHeight="1" x14ac:dyDescent="0.2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B</v>
      </c>
      <c r="F49" s="228" t="str">
        <f>IF('Input Nilai Pengetahuan'!CV40="","",'Input Nilai Pengetahuan'!CV40)</f>
        <v>Memiliki penguasaan semua materi baik,  sudah menguasai pengetahuan akidah akhlak 1, dan perlu ditingkatkan dalam pengetahuan akidah akhlak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C</v>
      </c>
      <c r="I49" s="228" t="str">
        <f>IF('Input Nilai Ketrampilan'!BK40="","",'Input Nilai Ketrampilan'!BK40)</f>
        <v>cukup terampil ketrampilan akidah akhlak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09">
        <f>IF(C49="","",menu!$R$1)</f>
        <v>70</v>
      </c>
    </row>
    <row r="50" spans="1:20" s="140" customFormat="1" ht="23.25" customHeight="1" x14ac:dyDescent="0.2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akidah akhlak 3, dan perlu ditingkatkan dalam pengetahuan akidah akhlak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akidah akhlak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09">
        <f>IF(C50="","",menu!$R$1)</f>
        <v>70</v>
      </c>
    </row>
    <row r="51" spans="1:20" s="140" customFormat="1" ht="23.25" customHeight="1" x14ac:dyDescent="0.2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B</v>
      </c>
      <c r="F51" s="228" t="str">
        <f>IF('Input Nilai Pengetahuan'!CV42="","",'Input Nilai Pengetahuan'!CV42)</f>
        <v>Memiliki penguasaan semua materi baik,  sudah menguasai pengetahuan akidah akhlak 8, dan perlu ditingkatkan dalam pengetahuan akidah akhlak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B</v>
      </c>
      <c r="I51" s="228" t="str">
        <f>IF('Input Nilai Ketrampilan'!BK42="","",'Input Nilai Ketrampilan'!BK42)</f>
        <v>cukup terampil ketrampilan akidah akhlak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09">
        <f>IF(C51="","",menu!$R$1)</f>
        <v>70</v>
      </c>
    </row>
    <row r="52" spans="1:20" s="140" customFormat="1" ht="23.25" customHeight="1" x14ac:dyDescent="0.2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B</v>
      </c>
      <c r="F52" s="228" t="str">
        <f>IF('Input Nilai Pengetahuan'!CV43="","",'Input Nilai Pengetahuan'!CV43)</f>
        <v>Memiliki penguasaan semua materi baik,  sudah menguasai pengetahuan akidah akhlak 4, dan perlu ditingkatkan dalam pengetahuan akidah akhlak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terampil ketrampilan akidah akhlak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09">
        <f>IF(C52="","",menu!$R$1)</f>
        <v>70</v>
      </c>
    </row>
    <row r="53" spans="1:20" s="140" customFormat="1" ht="23.25" customHeight="1" x14ac:dyDescent="0.2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B</v>
      </c>
      <c r="F53" s="228" t="str">
        <f>IF('Input Nilai Pengetahuan'!CV44="","",'Input Nilai Pengetahuan'!CV44)</f>
        <v>Memiliki penguasaan semua materi baik,  sudah menguasai pengetahuan akidah akhlak 2, dan perlu ditingkatkan dalam pengetahuan akidah akhlak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B</v>
      </c>
      <c r="I53" s="228" t="str">
        <f>IF('Input Nilai Ketrampilan'!BK44="","",'Input Nilai Ketrampilan'!BK44)</f>
        <v>terampil ketrampilan akidah akhlak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09">
        <f>IF(C53="","",menu!$R$1)</f>
        <v>70</v>
      </c>
    </row>
    <row r="54" spans="1:20" s="140" customFormat="1" ht="23.25" customHeight="1" x14ac:dyDescent="0.2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B</v>
      </c>
      <c r="F54" s="228" t="str">
        <f>IF('Input Nilai Pengetahuan'!CV45="","",'Input Nilai Pengetahuan'!CV45)</f>
        <v>Memiliki penguasaan semua materi baik,  sudah menguasai pengetahuan akidah akhlak 1, dan perlu ditingkatkan dalam pengetahuan akidah akhlak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B</v>
      </c>
      <c r="I54" s="228" t="str">
        <f>IF('Input Nilai Ketrampilan'!BK45="","",'Input Nilai Ketrampilan'!BK45)</f>
        <v>terampil ketrampilan akidah akhlak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09">
        <f>IF(C54="","",menu!$R$1)</f>
        <v>70</v>
      </c>
    </row>
    <row r="55" spans="1:20" s="140" customFormat="1" ht="23.25" customHeight="1" x14ac:dyDescent="0.2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B</v>
      </c>
      <c r="F55" s="228" t="str">
        <f>IF('Input Nilai Pengetahuan'!CV46="","",'Input Nilai Pengetahuan'!CV46)</f>
        <v>Memiliki penguasaan semua materi baik,  sudah menguasai pengetahuan akidah akhlak 4, dan perlu ditingkatkan dalam pengetahuan akidah akhlak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B</v>
      </c>
      <c r="I55" s="228" t="str">
        <f>IF('Input Nilai Ketrampilan'!BK46="","",'Input Nilai Ketrampilan'!BK46)</f>
        <v>terampil ketrampilan akidah akhlak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09">
        <f>IF(C55="","",menu!$R$1)</f>
        <v>70</v>
      </c>
    </row>
    <row r="56" spans="1:20" s="140" customFormat="1" ht="23.25" customHeight="1" x14ac:dyDescent="0.2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B</v>
      </c>
      <c r="F56" s="228" t="str">
        <f>IF('Input Nilai Pengetahuan'!CV47="","",'Input Nilai Pengetahuan'!CV47)</f>
        <v>Memiliki penguasaan semua materi baik,  sudah menguasai pengetahuan akidah akhlak 4, dan perlu ditingkatkan dalam pengetahuan akidah akhlak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B</v>
      </c>
      <c r="I56" s="228" t="str">
        <f>IF('Input Nilai Ketrampilan'!BK47="","",'Input Nilai Ketrampilan'!BK47)</f>
        <v>terampil ketrampilan akidah akhlak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09">
        <f>IF(C56="","",menu!$R$1)</f>
        <v>70</v>
      </c>
    </row>
    <row r="57" spans="1:20" s="140" customFormat="1" ht="23.25" customHeight="1" x14ac:dyDescent="0.2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B</v>
      </c>
      <c r="F57" s="228" t="str">
        <f>IF('Input Nilai Pengetahuan'!CV48="","",'Input Nilai Pengetahuan'!CV48)</f>
        <v>Memiliki penguasaan semua materi baik,  sudah menguasai pengetahuan akidah akhlak 2, dan perlu ditingkatkan dalam pengetahuan akidah akhlak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B</v>
      </c>
      <c r="I57" s="228" t="str">
        <f>IF('Input Nilai Ketrampilan'!BK48="","",'Input Nilai Ketrampilan'!BK48)</f>
        <v>terampil ketrampilan akidah akhlak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09">
        <f>IF(C57="","",menu!$R$1)</f>
        <v>70</v>
      </c>
    </row>
    <row r="58" spans="1:20" s="140" customFormat="1" ht="23.25" customHeight="1" x14ac:dyDescent="0.2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B</v>
      </c>
      <c r="F58" s="228" t="str">
        <f>IF('Input Nilai Pengetahuan'!CV49="","",'Input Nilai Pengetahuan'!CV49)</f>
        <v>Memiliki penguasaan semua materi baik,  sudah menguasai pengetahuan akidah akhlak 8, dan perlu ditingkatkan dalam pengetahuan akidah akhlak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B</v>
      </c>
      <c r="I58" s="228" t="str">
        <f>IF('Input Nilai Ketrampilan'!BK49="","",'Input Nilai Ketrampilan'!BK49)</f>
        <v>terampil ketrampilan akidah akhlak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09">
        <f>IF(C58="","",menu!$R$1)</f>
        <v>70</v>
      </c>
    </row>
    <row r="59" spans="1:20" s="140" customFormat="1" ht="23.25" customHeight="1" x14ac:dyDescent="0.2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B</v>
      </c>
      <c r="F59" s="228" t="str">
        <f>IF('Input Nilai Pengetahuan'!CV50="","",'Input Nilai Pengetahuan'!CV50)</f>
        <v>Memiliki penguasaan semua materi baik,  sudah menguasai pengetahuan akidah akhlak 4, dan perlu ditingkatkan dalam pengetahuan akidah akhlak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B</v>
      </c>
      <c r="I59" s="228" t="str">
        <f>IF('Input Nilai Ketrampilan'!BK50="","",'Input Nilai Ketrampilan'!BK50)</f>
        <v>terampil ketrampilan akidah akhlak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09">
        <f>IF(C59="","",menu!$R$1)</f>
        <v>70</v>
      </c>
    </row>
    <row r="60" spans="1:20" s="140" customFormat="1" ht="23.25" customHeight="1" x14ac:dyDescent="0.2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B</v>
      </c>
      <c r="F60" s="228" t="str">
        <f>IF('Input Nilai Pengetahuan'!CV51="","",'Input Nilai Pengetahuan'!CV51)</f>
        <v>Memiliki penguasaan semua materi baik,  sudah menguasai pengetahuan akidah akhlak 4, dan perlu ditingkatkan dalam pengetahuan akidah akhlak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B</v>
      </c>
      <c r="I60" s="228" t="str">
        <f>IF('Input Nilai Ketrampilan'!BK51="","",'Input Nilai Ketrampilan'!BK51)</f>
        <v>terampil ketrampilan akidah akhlak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09">
        <f>IF(C60="","",menu!$R$1)</f>
        <v>70</v>
      </c>
    </row>
    <row r="61" spans="1:20" s="140" customFormat="1" ht="23.25" customHeight="1" x14ac:dyDescent="0.2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B</v>
      </c>
      <c r="F61" s="228" t="str">
        <f>IF('Input Nilai Pengetahuan'!CV52="","",'Input Nilai Pengetahuan'!CV52)</f>
        <v>Memiliki penguasaan semua materi baik,  sudah menguasai pengetahuan akidah akhlak 2, dan perlu ditingkatkan dalam pengetahuan akidah akhlak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B</v>
      </c>
      <c r="I61" s="228" t="str">
        <f>IF('Input Nilai Ketrampilan'!BK52="","",'Input Nilai Ketrampilan'!BK52)</f>
        <v>terampil ketrampilan akidah akhlak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09">
        <f>IF(C61="","",menu!$R$1)</f>
        <v>70</v>
      </c>
    </row>
    <row r="62" spans="1:20" x14ac:dyDescent="0.25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 x14ac:dyDescent="0.25">
      <c r="A63" s="85"/>
      <c r="B63" s="85"/>
    </row>
    <row r="64" spans="1:20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</sheetData>
  <sheetProtection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55"/>
  <sheetViews>
    <sheetView zoomScale="120" zoomScaleNormal="120" workbookViewId="0">
      <pane xSplit="5" ySplit="7" topLeftCell="F8" activePane="bottomRight" state="frozen"/>
      <selection pane="topRight" activeCell="F1" sqref="F1"/>
      <selection pane="bottomLeft" activeCell="A6" sqref="A6"/>
      <selection pane="bottomRight"/>
    </sheetView>
  </sheetViews>
  <sheetFormatPr defaultRowHeight="15" x14ac:dyDescent="0.2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 x14ac:dyDescent="0.25">
      <c r="A1" s="192" t="str">
        <f>"DAFTAR NILAI"&amp;" "&amp;menu!D14</f>
        <v>DAFTAR NILAI 7a</v>
      </c>
    </row>
    <row r="2" spans="1:21" ht="21" customHeight="1" x14ac:dyDescent="0.25">
      <c r="A2" s="226" t="str">
        <f>menu!D13</f>
        <v>alquran hadits</v>
      </c>
    </row>
    <row r="4" spans="1:21" ht="21" customHeight="1" x14ac:dyDescent="0.25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567"/>
      <c r="G4" s="567"/>
      <c r="H4" s="567"/>
      <c r="I4" s="567"/>
      <c r="J4" s="567"/>
      <c r="K4" s="567"/>
      <c r="L4" s="567"/>
      <c r="M4" s="482" t="s">
        <v>436</v>
      </c>
      <c r="N4" s="568"/>
      <c r="O4" s="568"/>
      <c r="P4" s="568"/>
      <c r="Q4" s="568"/>
      <c r="R4" s="568"/>
      <c r="S4" s="568"/>
      <c r="T4" s="568"/>
      <c r="U4" s="482" t="s">
        <v>437</v>
      </c>
    </row>
    <row r="5" spans="1:21" ht="18.75" customHeight="1" x14ac:dyDescent="0.25">
      <c r="A5" s="479"/>
      <c r="B5" s="479"/>
      <c r="C5" s="481"/>
      <c r="D5" s="482"/>
      <c r="E5" s="484"/>
      <c r="F5" s="568"/>
      <c r="G5" s="568"/>
      <c r="H5" s="568"/>
      <c r="I5" s="568"/>
      <c r="J5" s="568"/>
      <c r="K5" s="568"/>
      <c r="L5" s="568"/>
      <c r="M5" s="482"/>
      <c r="N5" s="568"/>
      <c r="O5" s="568"/>
      <c r="P5" s="568"/>
      <c r="Q5" s="568"/>
      <c r="R5" s="568"/>
      <c r="S5" s="568"/>
      <c r="T5" s="568"/>
      <c r="U5" s="482"/>
    </row>
    <row r="6" spans="1:21" s="97" customFormat="1" ht="81" customHeight="1" x14ac:dyDescent="0.25">
      <c r="A6" s="480"/>
      <c r="B6" s="480"/>
      <c r="C6" s="481"/>
      <c r="D6" s="482"/>
      <c r="E6" s="485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2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2"/>
    </row>
    <row r="7" spans="1:21" ht="18.75" customHeight="1" x14ac:dyDescent="0.25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 x14ac:dyDescent="0.25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>
        <v>60</v>
      </c>
      <c r="G8" s="100">
        <v>60</v>
      </c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 x14ac:dyDescent="0.25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 x14ac:dyDescent="0.25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 x14ac:dyDescent="0.25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 x14ac:dyDescent="0.25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 x14ac:dyDescent="0.25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 x14ac:dyDescent="0.25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 x14ac:dyDescent="0.25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 x14ac:dyDescent="0.25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 x14ac:dyDescent="0.25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 x14ac:dyDescent="0.25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 x14ac:dyDescent="0.25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 x14ac:dyDescent="0.25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 x14ac:dyDescent="0.25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 x14ac:dyDescent="0.25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 x14ac:dyDescent="0.25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 x14ac:dyDescent="0.25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 x14ac:dyDescent="0.25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 x14ac:dyDescent="0.25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 x14ac:dyDescent="0.25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 x14ac:dyDescent="0.25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 x14ac:dyDescent="0.25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 x14ac:dyDescent="0.25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 x14ac:dyDescent="0.25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 x14ac:dyDescent="0.25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 x14ac:dyDescent="0.25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 x14ac:dyDescent="0.25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 x14ac:dyDescent="0.25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 x14ac:dyDescent="0.25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 x14ac:dyDescent="0.25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 x14ac:dyDescent="0.25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 x14ac:dyDescent="0.25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 x14ac:dyDescent="0.25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 x14ac:dyDescent="0.25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 x14ac:dyDescent="0.25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 x14ac:dyDescent="0.25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 x14ac:dyDescent="0.25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 x14ac:dyDescent="0.25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 x14ac:dyDescent="0.25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 x14ac:dyDescent="0.25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 x14ac:dyDescent="0.25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 x14ac:dyDescent="0.25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 x14ac:dyDescent="0.25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 x14ac:dyDescent="0.25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 x14ac:dyDescent="0.25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 x14ac:dyDescent="0.25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 x14ac:dyDescent="0.25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 x14ac:dyDescent="0.25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X53"/>
  <sheetViews>
    <sheetView zoomScale="110" zoomScaleNormal="110" workbookViewId="0">
      <pane xSplit="5" ySplit="4" topLeftCell="F5" activePane="bottomRight" state="frozen"/>
      <selection pane="topRight" activeCell="F1" sqref="F1"/>
      <selection pane="bottomLeft" activeCell="A6" sqref="A6"/>
      <selection pane="bottomRight" sqref="A1:A3"/>
    </sheetView>
  </sheetViews>
  <sheetFormatPr defaultRowHeight="15" x14ac:dyDescent="0.2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 x14ac:dyDescent="0.25">
      <c r="A1" s="591" t="s">
        <v>15</v>
      </c>
      <c r="B1" s="591" t="s">
        <v>16</v>
      </c>
      <c r="C1" s="598" t="s">
        <v>0</v>
      </c>
      <c r="D1" s="599" t="s">
        <v>1</v>
      </c>
      <c r="E1" s="594" t="s">
        <v>17</v>
      </c>
      <c r="F1" s="600" t="str">
        <f>IF(KDOKE!B11="","",KDOKE!B11)</f>
        <v>pengetahuan akidah akhlak 1</v>
      </c>
      <c r="G1" s="600"/>
      <c r="H1" s="600"/>
      <c r="I1" s="600"/>
      <c r="J1" s="600"/>
      <c r="K1" s="600"/>
      <c r="L1" s="600"/>
      <c r="M1" s="569" t="s">
        <v>436</v>
      </c>
      <c r="N1" s="601" t="str">
        <f>IF(KDOKE!B12="","",KDOKE!B12)</f>
        <v>pengetahuan akidah akhlak 2</v>
      </c>
      <c r="O1" s="601"/>
      <c r="P1" s="601"/>
      <c r="Q1" s="601"/>
      <c r="R1" s="601"/>
      <c r="S1" s="601"/>
      <c r="T1" s="601"/>
      <c r="U1" s="569" t="s">
        <v>437</v>
      </c>
      <c r="V1" s="572" t="str">
        <f>IF(KDOKE!B13="","",KDOKE!B13)</f>
        <v>pengetahuan akidah akhlak 3</v>
      </c>
      <c r="W1" s="572"/>
      <c r="X1" s="572"/>
      <c r="Y1" s="572"/>
      <c r="Z1" s="572"/>
      <c r="AA1" s="572"/>
      <c r="AB1" s="572"/>
      <c r="AC1" s="569" t="s">
        <v>438</v>
      </c>
      <c r="AD1" s="571" t="str">
        <f>IF(KDOKE!B14="","",KDOKE!B14)</f>
        <v>pengetahuan akidah akhlak 4</v>
      </c>
      <c r="AE1" s="571"/>
      <c r="AF1" s="571"/>
      <c r="AG1" s="571"/>
      <c r="AH1" s="571"/>
      <c r="AI1" s="571"/>
      <c r="AJ1" s="571"/>
      <c r="AK1" s="569" t="s">
        <v>439</v>
      </c>
      <c r="AL1" s="573" t="str">
        <f>IF(KDOKE!B15="","",KDOKE!B15)</f>
        <v>pengetahuan akidah akhlak 5</v>
      </c>
      <c r="AM1" s="573"/>
      <c r="AN1" s="573"/>
      <c r="AO1" s="573"/>
      <c r="AP1" s="573"/>
      <c r="AQ1" s="573"/>
      <c r="AR1" s="573"/>
      <c r="AS1" s="569" t="s">
        <v>440</v>
      </c>
      <c r="AT1" s="570" t="str">
        <f>IF(KDOKE!B16="","",KDOKE!B16)</f>
        <v>pengetahuan akidah akhlak 6</v>
      </c>
      <c r="AU1" s="570"/>
      <c r="AV1" s="570"/>
      <c r="AW1" s="570"/>
      <c r="AX1" s="570"/>
      <c r="AY1" s="570"/>
      <c r="AZ1" s="570"/>
      <c r="BA1" s="569" t="s">
        <v>441</v>
      </c>
      <c r="BB1" s="597" t="str">
        <f>IF(KDOKE!B17="","",KDOKE!B17)</f>
        <v>pengetahuan akidah akhlak 7</v>
      </c>
      <c r="BC1" s="597"/>
      <c r="BD1" s="597"/>
      <c r="BE1" s="597"/>
      <c r="BF1" s="597"/>
      <c r="BG1" s="597"/>
      <c r="BH1" s="597"/>
      <c r="BI1" s="569" t="s">
        <v>442</v>
      </c>
      <c r="BJ1" s="578" t="str">
        <f>IF(KDOKE!B18="","",KDOKE!B18)</f>
        <v>pengetahuan akidah akhlak 8</v>
      </c>
      <c r="BK1" s="578"/>
      <c r="BL1" s="578"/>
      <c r="BM1" s="578"/>
      <c r="BN1" s="578"/>
      <c r="BO1" s="578"/>
      <c r="BP1" s="578"/>
      <c r="BQ1" s="569" t="s">
        <v>443</v>
      </c>
      <c r="BR1" s="581" t="str">
        <f>IF(KDOKE!B19="","",KDOKE!B19)</f>
        <v>pengetahuan akidah akhlak 9</v>
      </c>
      <c r="BS1" s="581"/>
      <c r="BT1" s="581"/>
      <c r="BU1" s="581"/>
      <c r="BV1" s="581"/>
      <c r="BW1" s="581"/>
      <c r="BX1" s="581"/>
      <c r="BY1" s="569" t="s">
        <v>444</v>
      </c>
      <c r="BZ1" s="570" t="str">
        <f>IF(KDOKE!B20="","",KDOKE!B20)</f>
        <v>pengetahuan akidah akhlak 10</v>
      </c>
      <c r="CA1" s="570"/>
      <c r="CB1" s="570"/>
      <c r="CC1" s="570"/>
      <c r="CD1" s="570"/>
      <c r="CE1" s="570"/>
      <c r="CF1" s="570"/>
      <c r="CG1" s="569" t="s">
        <v>445</v>
      </c>
      <c r="CH1" s="577" t="s">
        <v>27</v>
      </c>
      <c r="CI1" s="602" t="s">
        <v>323</v>
      </c>
      <c r="CJ1" s="582" t="s">
        <v>322</v>
      </c>
      <c r="CK1" s="92" t="s">
        <v>448</v>
      </c>
      <c r="CL1" s="574" t="s">
        <v>450</v>
      </c>
      <c r="CM1" s="614" t="s">
        <v>429</v>
      </c>
      <c r="CN1" s="615"/>
      <c r="CO1" s="616"/>
      <c r="CP1" s="605" t="s">
        <v>435</v>
      </c>
      <c r="CQ1" s="605" t="s">
        <v>433</v>
      </c>
      <c r="CR1" s="605" t="s">
        <v>434</v>
      </c>
      <c r="CS1" s="605" t="s">
        <v>394</v>
      </c>
      <c r="CT1" s="612" t="s">
        <v>303</v>
      </c>
      <c r="CU1" s="613"/>
      <c r="CV1" s="608" t="s">
        <v>324</v>
      </c>
      <c r="CW1" s="588" t="s">
        <v>325</v>
      </c>
      <c r="CX1" s="585" t="s">
        <v>326</v>
      </c>
    </row>
    <row r="2" spans="1:102" ht="18.75" customHeight="1" x14ac:dyDescent="0.25">
      <c r="A2" s="592"/>
      <c r="B2" s="592"/>
      <c r="C2" s="598"/>
      <c r="D2" s="599"/>
      <c r="E2" s="595"/>
      <c r="F2" s="573">
        <f>IF(KDOKE!A11="","",KDOKE!A11)</f>
        <v>31</v>
      </c>
      <c r="G2" s="573"/>
      <c r="H2" s="573"/>
      <c r="I2" s="573"/>
      <c r="J2" s="573"/>
      <c r="K2" s="573"/>
      <c r="L2" s="573"/>
      <c r="M2" s="569"/>
      <c r="N2" s="601">
        <f>IF(KDOKE!A12="","",KDOKE!A12)</f>
        <v>32</v>
      </c>
      <c r="O2" s="601"/>
      <c r="P2" s="601"/>
      <c r="Q2" s="601"/>
      <c r="R2" s="601"/>
      <c r="S2" s="601"/>
      <c r="T2" s="601"/>
      <c r="U2" s="569"/>
      <c r="V2" s="572">
        <f>IF(KDOKE!A13="","",KDOKE!A13)</f>
        <v>33</v>
      </c>
      <c r="W2" s="572"/>
      <c r="X2" s="572"/>
      <c r="Y2" s="572"/>
      <c r="Z2" s="572"/>
      <c r="AA2" s="572"/>
      <c r="AB2" s="572"/>
      <c r="AC2" s="569"/>
      <c r="AD2" s="571">
        <f>IF(KDOKE!A14="","",KDOKE!A14)</f>
        <v>34</v>
      </c>
      <c r="AE2" s="571"/>
      <c r="AF2" s="571"/>
      <c r="AG2" s="571"/>
      <c r="AH2" s="571"/>
      <c r="AI2" s="571"/>
      <c r="AJ2" s="571"/>
      <c r="AK2" s="569"/>
      <c r="AL2" s="573">
        <f>IF(KDOKE!A15="","",KDOKE!A15)</f>
        <v>35</v>
      </c>
      <c r="AM2" s="573"/>
      <c r="AN2" s="573"/>
      <c r="AO2" s="573"/>
      <c r="AP2" s="573"/>
      <c r="AQ2" s="573"/>
      <c r="AR2" s="573"/>
      <c r="AS2" s="569"/>
      <c r="AT2" s="570">
        <f>IF(KDOKE!A16="","",KDOKE!A16)</f>
        <v>36</v>
      </c>
      <c r="AU2" s="570"/>
      <c r="AV2" s="570"/>
      <c r="AW2" s="570"/>
      <c r="AX2" s="570"/>
      <c r="AY2" s="570"/>
      <c r="AZ2" s="570"/>
      <c r="BA2" s="569"/>
      <c r="BB2" s="597">
        <f>IF(KDOKE!A17="","",KDOKE!A17)</f>
        <v>37</v>
      </c>
      <c r="BC2" s="597"/>
      <c r="BD2" s="597"/>
      <c r="BE2" s="597"/>
      <c r="BF2" s="597"/>
      <c r="BG2" s="597"/>
      <c r="BH2" s="597"/>
      <c r="BI2" s="569"/>
      <c r="BJ2" s="578">
        <f>IF(KDOKE!A18="","",KDOKE!A18)</f>
        <v>38</v>
      </c>
      <c r="BK2" s="578"/>
      <c r="BL2" s="578"/>
      <c r="BM2" s="578"/>
      <c r="BN2" s="578"/>
      <c r="BO2" s="578"/>
      <c r="BP2" s="578"/>
      <c r="BQ2" s="569"/>
      <c r="BR2" s="581">
        <f>IF(KDOKE!A19="","",KDOKE!A19)</f>
        <v>39</v>
      </c>
      <c r="BS2" s="581"/>
      <c r="BT2" s="581"/>
      <c r="BU2" s="581"/>
      <c r="BV2" s="581"/>
      <c r="BW2" s="581"/>
      <c r="BX2" s="581"/>
      <c r="BY2" s="569"/>
      <c r="BZ2" s="570">
        <f>IF(KDOKE!A20="","",KDOKE!A20)</f>
        <v>310</v>
      </c>
      <c r="CA2" s="570"/>
      <c r="CB2" s="570"/>
      <c r="CC2" s="570"/>
      <c r="CD2" s="570"/>
      <c r="CE2" s="570"/>
      <c r="CF2" s="570"/>
      <c r="CG2" s="569"/>
      <c r="CH2" s="577"/>
      <c r="CI2" s="603"/>
      <c r="CJ2" s="583"/>
      <c r="CK2" s="579" t="s">
        <v>449</v>
      </c>
      <c r="CL2" s="575"/>
      <c r="CM2" s="307" t="s">
        <v>430</v>
      </c>
      <c r="CN2" s="307" t="s">
        <v>431</v>
      </c>
      <c r="CO2" s="307" t="s">
        <v>432</v>
      </c>
      <c r="CP2" s="606"/>
      <c r="CQ2" s="606"/>
      <c r="CR2" s="606"/>
      <c r="CS2" s="606"/>
      <c r="CT2" s="611">
        <f>menu!R1</f>
        <v>70</v>
      </c>
      <c r="CU2" s="611"/>
      <c r="CV2" s="609"/>
      <c r="CW2" s="589"/>
      <c r="CX2" s="586"/>
    </row>
    <row r="3" spans="1:102" s="97" customFormat="1" ht="81" customHeight="1" x14ac:dyDescent="0.25">
      <c r="A3" s="593"/>
      <c r="B3" s="593"/>
      <c r="C3" s="598"/>
      <c r="D3" s="599"/>
      <c r="E3" s="596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9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9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9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9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9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9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9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9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9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9"/>
      <c r="CH3" s="577"/>
      <c r="CI3" s="604"/>
      <c r="CJ3" s="584"/>
      <c r="CK3" s="580"/>
      <c r="CL3" s="576"/>
      <c r="CM3" s="306">
        <v>2</v>
      </c>
      <c r="CN3" s="306">
        <v>1</v>
      </c>
      <c r="CO3" s="306">
        <v>1</v>
      </c>
      <c r="CP3" s="607"/>
      <c r="CQ3" s="607"/>
      <c r="CR3" s="607"/>
      <c r="CS3" s="607"/>
      <c r="CT3" s="396" t="s">
        <v>484</v>
      </c>
      <c r="CU3" s="224" t="s">
        <v>485</v>
      </c>
      <c r="CV3" s="610"/>
      <c r="CW3" s="590"/>
      <c r="CX3" s="587"/>
    </row>
    <row r="4" spans="1:102" ht="18.75" customHeight="1" x14ac:dyDescent="0.2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 x14ac:dyDescent="0.25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95</v>
      </c>
      <c r="G5" s="100"/>
      <c r="H5" s="100"/>
      <c r="I5" s="353"/>
      <c r="J5" s="310">
        <f>IF(AND(F5="",G5="",H5="",I5=""),"",AVERAGE(F5:I5))</f>
        <v>95</v>
      </c>
      <c r="K5" s="353"/>
      <c r="L5" s="100"/>
      <c r="M5" s="319">
        <f>IF(AND(F5="",G5="",H5="",I5=""),"",IF(AND(K5="",L5=""),J5,MAX(J5:L5)))</f>
        <v>95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40</v>
      </c>
      <c r="Z5" s="310">
        <f>IF(AND(V5="",W5="",X5="",Y5=""),"",AVERAGE(V5:Y5))</f>
        <v>40</v>
      </c>
      <c r="AA5" s="100"/>
      <c r="AB5" s="100"/>
      <c r="AC5" s="319">
        <f>IF(AND(V5="",W5="",X5="",Y5=""),"",IF(AND(AA5="",AB5=""),Z5,MAX(Z5:AB5)))</f>
        <v>40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81.8</v>
      </c>
      <c r="CI5" s="104">
        <f t="shared" ref="CI5:CI52" si="1">MAX(M5,U5,AC5,AK5,AS5,BA5,BI5,BQ5,BY5,CG5)</f>
        <v>95</v>
      </c>
      <c r="CJ5" s="104">
        <f t="shared" ref="CJ5:CJ52" si="2">MIN(M5,U5,AC5,AK5,AS5,BA5,BI5,BQ5,BY5,CG5)</f>
        <v>40</v>
      </c>
      <c r="CK5" s="90">
        <v>87.5</v>
      </c>
      <c r="CL5" s="100">
        <v>80</v>
      </c>
      <c r="CM5" s="322">
        <f>IF(CH5="","",CH5*$CM$3)</f>
        <v>163.6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82.775000000000006</v>
      </c>
      <c r="CQ5" s="323">
        <f>IF(CP5="","",ROUNDUP(CP5,0))</f>
        <v>83</v>
      </c>
      <c r="CR5" s="105" t="str">
        <f>IF(CQ5="","",IF(CQ5&gt;=menu!$O$6,"A",IF(CQ5&gt;=menu!$O$7,"B",IF(CQ5&gt;=menu!$O$8,"C","D"))))</f>
        <v>B</v>
      </c>
      <c r="CS5" s="105" t="str">
        <f>IF(CQ5="","",IF(CQ5&gt;=menu!$O$6,"sangat baik",IF(CQ5&gt;=menu!$O$7,"baik",IF(CQ5&gt;=menu!$O$8,"cukup","kurang"))))</f>
        <v>baik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baik,  sudah menguasai pengetahuan akidah akhlak 1, dan perlu ditingkatkan dalam pengetahuan akidah akhlak 3</v>
      </c>
      <c r="CW5" s="107" t="str">
        <f>IF(CI5="","",VLOOKUP(CI5,DATAPENG!$B$3:$C$12,2,FALSE))</f>
        <v>pengetahuan akidah akhlak 1</v>
      </c>
      <c r="CX5" s="107" t="str">
        <f>IF(CJ5="","",VLOOKUP(CJ5,DATAPENG!$B$3:$C$12,2,FALSE))</f>
        <v>pengetahuan akidah akhlak 3</v>
      </c>
    </row>
    <row r="6" spans="1:102" x14ac:dyDescent="0.25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B</v>
      </c>
      <c r="CS6" s="105" t="str">
        <f>IF(CQ6="","",IF(CQ6&gt;=menu!$O$6,"sangat baik",IF(CQ6&gt;=menu!$O$7,"baik",IF(CQ6&gt;=menu!$O$8,"cukup","kurang"))))</f>
        <v>baik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baik,  sudah menguasai pengetahuan akidah akhlak 7, dan perlu ditingkatkan dalam pengetahuan akidah akhlak 10</v>
      </c>
      <c r="CW6" s="108" t="str">
        <f>IF(CI6="","",VLOOKUP(CI6,DATAPENG!$D$3:$E$12,2,FALSE))</f>
        <v>pengetahuan akidah akhlak 7</v>
      </c>
      <c r="CX6" s="108" t="str">
        <f>IF(CJ6="","",VLOOKUP(CJ6,DATAPENG!$D$3:$E$12,2,FALSE))</f>
        <v>pengetahuan akidah akhlak 10</v>
      </c>
    </row>
    <row r="7" spans="1:102" x14ac:dyDescent="0.25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B</v>
      </c>
      <c r="CS7" s="105" t="str">
        <f>IF(CQ7="","",IF(CQ7&gt;=menu!$O$6,"sangat baik",IF(CQ7&gt;=menu!$O$7,"baik",IF(CQ7&gt;=menu!$O$8,"cukup","kurang"))))</f>
        <v>baik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baik,  sudah menguasai pengetahuan akidah akhlak 8, dan perlu ditingkatkan dalam pengetahuan akidah akhlak 9</v>
      </c>
      <c r="CW7" s="108" t="str">
        <f>IF(CI7="","",VLOOKUP(CI7,DATAPENG!$F$3:$G$12,2,FALSE))</f>
        <v>pengetahuan akidah akhlak 8</v>
      </c>
      <c r="CX7" s="108" t="str">
        <f>IF(CJ7="","",VLOOKUP(CJ7,DATAPENG!$F$3:$G$12,2,FALSE))</f>
        <v>pengetahuan akidah akhlak 9</v>
      </c>
    </row>
    <row r="8" spans="1:102" x14ac:dyDescent="0.25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B</v>
      </c>
      <c r="CS8" s="105" t="str">
        <f>IF(CQ8="","",IF(CQ8&gt;=menu!$O$6,"sangat baik",IF(CQ8&gt;=menu!$O$7,"baik",IF(CQ8&gt;=menu!$O$8,"cukup","kurang"))))</f>
        <v>baik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baik,  sudah menguasai pengetahuan akidah akhlak 1, dan perlu ditingkatkan dalam pengetahuan akidah akhlak 10</v>
      </c>
      <c r="CW8" s="108" t="str">
        <f>IF(CI8="","",VLOOKUP(CI8,DATAPENG!$H$3:$I$12,2,FALSE))</f>
        <v>pengetahuan akidah akhlak 1</v>
      </c>
      <c r="CX8" s="108" t="str">
        <f>IF(CJ8="","",VLOOKUP(CJ8,DATAPENG!$H$3:$I$12,2,FALSE))</f>
        <v>pengetahuan akidah akhlak 10</v>
      </c>
    </row>
    <row r="9" spans="1:102" x14ac:dyDescent="0.25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C</v>
      </c>
      <c r="CS9" s="105" t="str">
        <f>IF(CQ9="","",IF(CQ9&gt;=menu!$O$6,"sangat baik",IF(CQ9&gt;=menu!$O$7,"baik",IF(CQ9&gt;=menu!$O$8,"cukup","kurang"))))</f>
        <v>cukup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cukup,  sudah menguasai pengetahuan akidah akhlak 7, dan perlu ditingkatkan dalam pengetahuan akidah akhlak 6</v>
      </c>
      <c r="CW9" s="108" t="str">
        <f>IF(CI9="","",VLOOKUP(CI9,DATAPENG!$J$3:$K$12,2,FALSE))</f>
        <v>pengetahuan akidah akhlak 7</v>
      </c>
      <c r="CX9" s="108" t="str">
        <f>IF(CJ9="","",VLOOKUP(CJ9,DATAPENG!$J$3:$K$12,2,FALSE))</f>
        <v>pengetahuan akidah akhlak 6</v>
      </c>
    </row>
    <row r="10" spans="1:102" x14ac:dyDescent="0.25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B</v>
      </c>
      <c r="CS10" s="105" t="str">
        <f>IF(CQ10="","",IF(CQ10&gt;=menu!$O$6,"sangat baik",IF(CQ10&gt;=menu!$O$7,"baik",IF(CQ10&gt;=menu!$O$8,"cukup","kurang"))))</f>
        <v>baik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baik,  sudah menguasai pengetahuan akidah akhlak 2, dan perlu ditingkatkan dalam pengetahuan akidah akhlak 10</v>
      </c>
      <c r="CW10" s="108" t="str">
        <f>IF(CI10="","",VLOOKUP(CI10,DATAPENG!$L$3:$M$12,2,FALSE))</f>
        <v>pengetahuan akidah akhlak 2</v>
      </c>
      <c r="CX10" s="108" t="str">
        <f>IF(CJ10="","",VLOOKUP(CJ10,DATAPENG!$L$3:$M$12,2,FALSE))</f>
        <v>pengetahuan akidah akhlak 10</v>
      </c>
    </row>
    <row r="11" spans="1:102" x14ac:dyDescent="0.25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B</v>
      </c>
      <c r="CS11" s="105" t="str">
        <f>IF(CQ11="","",IF(CQ11&gt;=menu!$O$6,"sangat baik",IF(CQ11&gt;=menu!$O$7,"baik",IF(CQ11&gt;=menu!$O$8,"cukup","kurang"))))</f>
        <v>baik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baik,  sudah menguasai pengetahuan akidah akhlak 4, dan perlu ditingkatkan dalam pengetahuan akidah akhlak 2</v>
      </c>
      <c r="CW11" s="108" t="str">
        <f>IF(CI11="","",VLOOKUP(CI11,DATAPENG!$N$3:$O$12,2,FALSE))</f>
        <v>pengetahuan akidah akhlak 4</v>
      </c>
      <c r="CX11" s="108" t="str">
        <f>IF(CJ11="","",VLOOKUP(CJ11,DATAPENG!$N$3:$O$12,2,FALSE))</f>
        <v>pengetahuan akidah akhlak 2</v>
      </c>
    </row>
    <row r="12" spans="1:102" x14ac:dyDescent="0.25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B</v>
      </c>
      <c r="CS12" s="105" t="str">
        <f>IF(CQ12="","",IF(CQ12&gt;=menu!$O$6,"sangat baik",IF(CQ12&gt;=menu!$O$7,"baik",IF(CQ12&gt;=menu!$O$8,"cukup","kurang"))))</f>
        <v>baik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baik,  sudah menguasai pengetahuan akidah akhlak 4, dan perlu ditingkatkan dalam pengetahuan akidah akhlak 10</v>
      </c>
      <c r="CW12" s="108" t="str">
        <f>IF(CI12="","",VLOOKUP(CI12,DATAPENG!$P$3:$Q$12,2,FALSE))</f>
        <v>pengetahuan akidah akhlak 4</v>
      </c>
      <c r="CX12" s="108" t="str">
        <f>IF(CJ12="","",VLOOKUP(CJ12,DATAPENG!$P$3:$Q$12,2,FALSE))</f>
        <v>pengetahuan akidah akhlak 10</v>
      </c>
    </row>
    <row r="13" spans="1:102" x14ac:dyDescent="0.25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B</v>
      </c>
      <c r="CS13" s="105" t="str">
        <f>IF(CQ13="","",IF(CQ13&gt;=menu!$O$6,"sangat baik",IF(CQ13&gt;=menu!$O$7,"baik",IF(CQ13&gt;=menu!$O$8,"cukup","kurang"))))</f>
        <v>baik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baik,  sudah menguasai pengetahuan akidah akhlak 4, dan perlu ditingkatkan dalam pengetahuan akidah akhlak 10</v>
      </c>
      <c r="CW13" s="108" t="str">
        <f>IF(CI13="","",VLOOKUP(CI13,DATAPENG!$R$3:$S$12,2,FALSE))</f>
        <v>pengetahuan akidah akhlak 4</v>
      </c>
      <c r="CX13" s="108" t="str">
        <f>IF(CJ13="","",VLOOKUP(CJ13,DATAPENG!$R$3:$S$12,2,FALSE))</f>
        <v>pengetahuan akidah akhlak 10</v>
      </c>
    </row>
    <row r="14" spans="1:102" x14ac:dyDescent="0.25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B</v>
      </c>
      <c r="CS14" s="105" t="str">
        <f>IF(CQ14="","",IF(CQ14&gt;=menu!$O$6,"sangat baik",IF(CQ14&gt;=menu!$O$7,"baik",IF(CQ14&gt;=menu!$O$8,"cukup","kurang"))))</f>
        <v>baik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baik,  sudah menguasai pengetahuan akidah akhlak 7, dan perlu ditingkatkan dalam pengetahuan akidah akhlak 6</v>
      </c>
      <c r="CW14" s="108" t="str">
        <f>IF(CI14="","",VLOOKUP(CI14,DATAPENG!$T$3:$U$12,2,FALSE))</f>
        <v>pengetahuan akidah akhlak 7</v>
      </c>
      <c r="CX14" s="108" t="str">
        <f>IF(CJ14="","",VLOOKUP(CJ14,DATAPENG!$T$3:$U$12,2,FALSE))</f>
        <v>pengetahuan akidah akhlak 6</v>
      </c>
    </row>
    <row r="15" spans="1:102" x14ac:dyDescent="0.25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C</v>
      </c>
      <c r="CS15" s="105" t="str">
        <f>IF(CQ15="","",IF(CQ15&gt;=menu!$O$6,"sangat baik",IF(CQ15&gt;=menu!$O$7,"baik",IF(CQ15&gt;=menu!$O$8,"cukup","kurang"))))</f>
        <v>cukup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cukup,  sudah menguasai pengetahuan akidah akhlak 1, dan perlu ditingkatkan dalam pengetahuan akidah akhlak 6</v>
      </c>
      <c r="CW15" s="108" t="str">
        <f>IF(CI15="","",VLOOKUP(CI15,DATAPENG!$V$3:$W$12,2,FALSE))</f>
        <v>pengetahuan akidah akhlak 1</v>
      </c>
      <c r="CX15" s="108" t="str">
        <f>IF(CJ15="","",VLOOKUP(CJ15,DATAPENG!$V$3:$W$12,2,FALSE))</f>
        <v>pengetahuan akidah akhlak 6</v>
      </c>
    </row>
    <row r="16" spans="1:102" x14ac:dyDescent="0.25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B</v>
      </c>
      <c r="CS16" s="105" t="str">
        <f>IF(CQ16="","",IF(CQ16&gt;=menu!$O$6,"sangat baik",IF(CQ16&gt;=menu!$O$7,"baik",IF(CQ16&gt;=menu!$O$8,"cukup","kurang"))))</f>
        <v>baik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baik,  sudah menguasai pengetahuan akidah akhlak 1, dan perlu ditingkatkan dalam pengetahuan akidah akhlak 10</v>
      </c>
      <c r="CW16" s="108" t="str">
        <f>IF(CI16="","",VLOOKUP(CI16,DATAPENG!$X$3:$Y$12,2,FALSE))</f>
        <v>pengetahuan akidah akhlak 1</v>
      </c>
      <c r="CX16" s="108" t="str">
        <f>IF(CJ16="","",VLOOKUP(CJ16,DATAPENG!$X$3:$Y$12,2,FALSE))</f>
        <v>pengetahuan akidah akhlak 10</v>
      </c>
    </row>
    <row r="17" spans="1:102" x14ac:dyDescent="0.25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B</v>
      </c>
      <c r="CS17" s="105" t="str">
        <f>IF(CQ17="","",IF(CQ17&gt;=menu!$O$6,"sangat baik",IF(CQ17&gt;=menu!$O$7,"baik",IF(CQ17&gt;=menu!$O$8,"cukup","kurang"))))</f>
        <v>baik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baik,  sudah menguasai pengetahuan akidah akhlak 2, dan perlu ditingkatkan dalam pengetahuan akidah akhlak 9</v>
      </c>
      <c r="CW17" s="108" t="str">
        <f>IF(CI17="","",VLOOKUP(CI17,DATAPENG!$Z$3:$AA$12,2,FALSE))</f>
        <v>pengetahuan akidah akhlak 2</v>
      </c>
      <c r="CX17" s="108" t="str">
        <f>IF(CJ17="","",VLOOKUP(CJ17,DATAPENG!$Z$3:$AA$12,2,FALSE))</f>
        <v>pengetahuan akidah akhlak 9</v>
      </c>
    </row>
    <row r="18" spans="1:102" x14ac:dyDescent="0.25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B</v>
      </c>
      <c r="CS18" s="105" t="str">
        <f>IF(CQ18="","",IF(CQ18&gt;=menu!$O$6,"sangat baik",IF(CQ18&gt;=menu!$O$7,"baik",IF(CQ18&gt;=menu!$O$8,"cukup","kurang"))))</f>
        <v>baik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baik,  sudah menguasai pengetahuan akidah akhlak 8, dan perlu ditingkatkan dalam pengetahuan akidah akhlak 10</v>
      </c>
      <c r="CW18" s="108" t="str">
        <f>IF(CI18="","",VLOOKUP(CI18,DATAPENG!$AB$3:$AC$12,2,FALSE))</f>
        <v>pengetahuan akidah akhlak 8</v>
      </c>
      <c r="CX18" s="108" t="str">
        <f>IF(CJ18="","",VLOOKUP(CJ18,DATAPENG!$AB$3:$AC$12,2,FALSE))</f>
        <v>pengetahuan akidah akhlak 10</v>
      </c>
    </row>
    <row r="19" spans="1:102" x14ac:dyDescent="0.25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B</v>
      </c>
      <c r="CS19" s="105" t="str">
        <f>IF(CQ19="","",IF(CQ19&gt;=menu!$O$6,"sangat baik",IF(CQ19&gt;=menu!$O$7,"baik",IF(CQ19&gt;=menu!$O$8,"cukup","kurang"))))</f>
        <v>baik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baik,  sudah menguasai pengetahuan akidah akhlak 1, dan perlu ditingkatkan dalam pengetahuan akidah akhlak 6</v>
      </c>
      <c r="CW19" s="108" t="str">
        <f>IF(CI19="","",VLOOKUP(CI19,DATAPENG!$AD$3:$AE$12,2,FALSE))</f>
        <v>pengetahuan akidah akhlak 1</v>
      </c>
      <c r="CX19" s="108" t="str">
        <f>IF(CJ19="","",VLOOKUP(CJ19,DATAPENG!$AD$3:$AE$12,2,FALSE))</f>
        <v>pengetahuan akidah akhlak 6</v>
      </c>
    </row>
    <row r="20" spans="1:102" x14ac:dyDescent="0.25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B</v>
      </c>
      <c r="CS20" s="105" t="str">
        <f>IF(CQ20="","",IF(CQ20&gt;=menu!$O$6,"sangat baik",IF(CQ20&gt;=menu!$O$7,"baik",IF(CQ20&gt;=menu!$O$8,"cukup","kurang"))))</f>
        <v>baik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baik,  sudah menguasai pengetahuan akidah akhlak 4, dan perlu ditingkatkan dalam pengetahuan akidah akhlak 9</v>
      </c>
      <c r="CW20" s="108" t="str">
        <f>IF(CI20="","",VLOOKUP(CI20,DATAPENG!$AF$3:$AG$12,2,FALSE))</f>
        <v>pengetahuan akidah akhlak 4</v>
      </c>
      <c r="CX20" s="108" t="str">
        <f>IF(CJ20="","",VLOOKUP(CJ20,DATAPENG!$AF$3:$AG$12,2,FALSE))</f>
        <v>pengetahuan akidah akhlak 9</v>
      </c>
    </row>
    <row r="21" spans="1:102" x14ac:dyDescent="0.25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B</v>
      </c>
      <c r="CS21" s="105" t="str">
        <f>IF(CQ21="","",IF(CQ21&gt;=menu!$O$6,"sangat baik",IF(CQ21&gt;=menu!$O$7,"baik",IF(CQ21&gt;=menu!$O$8,"cukup","kurang"))))</f>
        <v>baik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baik,  sudah menguasai pengetahuan akidah akhlak 1, dan perlu ditingkatkan dalam pengetahuan akidah akhlak 10</v>
      </c>
      <c r="CW21" s="108" t="str">
        <f>IF(CI21="","",VLOOKUP(CI21,DATAPENG!$AH$3:$AI$12,2,FALSE))</f>
        <v>pengetahuan akidah akhlak 1</v>
      </c>
      <c r="CX21" s="108" t="str">
        <f>IF(CJ21="","",VLOOKUP(CJ21,DATAPENG!$AH$3:$AI$12,2,FALSE))</f>
        <v>pengetahuan akidah akhlak 10</v>
      </c>
    </row>
    <row r="22" spans="1:102" x14ac:dyDescent="0.25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B</v>
      </c>
      <c r="CS22" s="105" t="str">
        <f>IF(CQ22="","",IF(CQ22&gt;=menu!$O$6,"sangat baik",IF(CQ22&gt;=menu!$O$7,"baik",IF(CQ22&gt;=menu!$O$8,"cukup","kurang"))))</f>
        <v>baik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baik,  sudah menguasai pengetahuan akidah akhlak 8, dan perlu ditingkatkan dalam pengetahuan akidah akhlak 10</v>
      </c>
      <c r="CW22" s="108" t="str">
        <f>IF(CI22="","",VLOOKUP(CI22,DATAPENG!$AJ$3:$AK$12,2,FALSE))</f>
        <v>pengetahuan akidah akhlak 8</v>
      </c>
      <c r="CX22" s="108" t="str">
        <f>IF(CJ22="","",VLOOKUP(CJ22,DATAPENG!$AJ$3:$AK$12,2,FALSE))</f>
        <v>pengetahuan akidah akhlak 10</v>
      </c>
    </row>
    <row r="23" spans="1:102" x14ac:dyDescent="0.25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B</v>
      </c>
      <c r="CS23" s="105" t="str">
        <f>IF(CQ23="","",IF(CQ23&gt;=menu!$O$6,"sangat baik",IF(CQ23&gt;=menu!$O$7,"baik",IF(CQ23&gt;=menu!$O$8,"cukup","kurang"))))</f>
        <v>baik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baik,  sudah menguasai pengetahuan akidah akhlak 4, dan perlu ditingkatkan dalam pengetahuan akidah akhlak 9</v>
      </c>
      <c r="CW23" s="108" t="str">
        <f>IF(CI23="","",VLOOKUP(CI23,DATAPENG!$AL$3:$AM$12,2,FALSE))</f>
        <v>pengetahuan akidah akhlak 4</v>
      </c>
      <c r="CX23" s="108" t="str">
        <f>IF(CJ23="","",VLOOKUP(CJ23,DATAPENG!$AL$3:$AM$12,2,FALSE))</f>
        <v>pengetahuan akidah akhlak 9</v>
      </c>
    </row>
    <row r="24" spans="1:102" x14ac:dyDescent="0.25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B</v>
      </c>
      <c r="CS24" s="105" t="str">
        <f>IF(CQ24="","",IF(CQ24&gt;=menu!$O$6,"sangat baik",IF(CQ24&gt;=menu!$O$7,"baik",IF(CQ24&gt;=menu!$O$8,"cukup","kurang"))))</f>
        <v>baik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baik,  sudah menguasai pengetahuan akidah akhlak 7, dan perlu ditingkatkan dalam pengetahuan akidah akhlak 10</v>
      </c>
      <c r="CW24" s="108" t="str">
        <f>IF(CI24="","",VLOOKUP(CI24,DATAPENG!$AN$3:$AO$12,2,FALSE))</f>
        <v>pengetahuan akidah akhlak 7</v>
      </c>
      <c r="CX24" s="108" t="str">
        <f>IF(CJ24="","",VLOOKUP(CJ24,DATAPENG!$AN$3:$AO$12,2,FALSE))</f>
        <v>pengetahuan akidah akhlak 10</v>
      </c>
    </row>
    <row r="25" spans="1:102" x14ac:dyDescent="0.25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B</v>
      </c>
      <c r="CS25" s="105" t="str">
        <f>IF(CQ25="","",IF(CQ25&gt;=menu!$O$6,"sangat baik",IF(CQ25&gt;=menu!$O$7,"baik",IF(CQ25&gt;=menu!$O$8,"cukup","kurang"))))</f>
        <v>baik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baik,  sudah menguasai pengetahuan akidah akhlak 1, dan perlu ditingkatkan dalam pengetahuan akidah akhlak 10</v>
      </c>
      <c r="CW25" s="108" t="str">
        <f>IF(CI25="","",VLOOKUP(CI25,DATAPENG!$AP$3:$AQ$12,2,FALSE))</f>
        <v>pengetahuan akidah akhlak 1</v>
      </c>
      <c r="CX25" s="108" t="str">
        <f>IF(CJ25="","",VLOOKUP(CJ25,DATAPENG!$AP$3:$AQ$12,2,FALSE))</f>
        <v>pengetahuan akidah akhlak 10</v>
      </c>
    </row>
    <row r="26" spans="1:102" x14ac:dyDescent="0.25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B</v>
      </c>
      <c r="CS26" s="105" t="str">
        <f>IF(CQ26="","",IF(CQ26&gt;=menu!$O$6,"sangat baik",IF(CQ26&gt;=menu!$O$7,"baik",IF(CQ26&gt;=menu!$O$8,"cukup","kurang"))))</f>
        <v>baik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baik,  sudah menguasai pengetahuan akidah akhlak 7, dan perlu ditingkatkan dalam pengetahuan akidah akhlak 10</v>
      </c>
      <c r="CW26" s="108" t="str">
        <f>IF(CI26="","",VLOOKUP(CI26,DATAPENG!$AR$3:$AS$12,2,FALSE))</f>
        <v>pengetahuan akidah akhlak 7</v>
      </c>
      <c r="CX26" s="108" t="str">
        <f>IF(CJ26="","",VLOOKUP(CJ26,DATAPENG!$AR$3:$AS$12,2,FALSE))</f>
        <v>pengetahuan akidah akhlak 10</v>
      </c>
    </row>
    <row r="27" spans="1:102" x14ac:dyDescent="0.25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B</v>
      </c>
      <c r="CS27" s="105" t="str">
        <f>IF(CQ27="","",IF(CQ27&gt;=menu!$O$6,"sangat baik",IF(CQ27&gt;=menu!$O$7,"baik",IF(CQ27&gt;=menu!$O$8,"cukup","kurang"))))</f>
        <v>baik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baik,  sudah menguasai pengetahuan akidah akhlak 4, dan perlu ditingkatkan dalam pengetahuan akidah akhlak 10</v>
      </c>
      <c r="CW27" s="108" t="str">
        <f>IF(CI27="","",VLOOKUP(CI27,DATAPENG!$AT$3:$AU$12,2,FALSE))</f>
        <v>pengetahuan akidah akhlak 4</v>
      </c>
      <c r="CX27" s="108" t="str">
        <f>IF(CJ27="","",VLOOKUP(CJ27,DATAPENG!$AT$3:$AU$12,2,FALSE))</f>
        <v>pengetahuan akidah akhlak 10</v>
      </c>
    </row>
    <row r="28" spans="1:102" x14ac:dyDescent="0.25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B</v>
      </c>
      <c r="CS28" s="105" t="str">
        <f>IF(CQ28="","",IF(CQ28&gt;=menu!$O$6,"sangat baik",IF(CQ28&gt;=menu!$O$7,"baik",IF(CQ28&gt;=menu!$O$8,"cukup","kurang"))))</f>
        <v>baik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baik,  sudah menguasai pengetahuan akidah akhlak 1, dan perlu ditingkatkan dalam pengetahuan akidah akhlak 10</v>
      </c>
      <c r="CW28" s="108" t="str">
        <f>IF(CI28="","",VLOOKUP(CI28,DATAPENG!$AV$3:$AW$12,2,FALSE))</f>
        <v>pengetahuan akidah akhlak 1</v>
      </c>
      <c r="CX28" s="108" t="str">
        <f>IF(CJ28="","",VLOOKUP(CJ28,DATAPENG!$AV$3:$AW$12,2,FALSE))</f>
        <v>pengetahuan akidah akhlak 10</v>
      </c>
    </row>
    <row r="29" spans="1:102" x14ac:dyDescent="0.25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B</v>
      </c>
      <c r="CS29" s="105" t="str">
        <f>IF(CQ29="","",IF(CQ29&gt;=menu!$O$6,"sangat baik",IF(CQ29&gt;=menu!$O$7,"baik",IF(CQ29&gt;=menu!$O$8,"cukup","kurang"))))</f>
        <v>baik</v>
      </c>
      <c r="CT29" s="398" t="str">
        <f t="shared" si="28"/>
        <v>TUNTAS</v>
      </c>
      <c r="CU29" s="397" t="str">
        <f t="shared" si="29"/>
        <v>TUNTAS</v>
      </c>
      <c r="CV29" s="115" t="str">
        <f t="shared" si="30"/>
        <v xml:space="preserve"> Memiliki penguasaan materi sudah baik dalam pengetahuan akidah akhlak 8, dan lebih ditingkatkan dalam pengetahuan akidah akhlak 10</v>
      </c>
      <c r="CW29" s="108" t="str">
        <f>IF(CI29="","",VLOOKUP(CI29,DATAPENG!$AX$3:$AY$12,2,FALSE))</f>
        <v>pengetahuan akidah akhlak 8</v>
      </c>
      <c r="CX29" s="108" t="str">
        <f>IF(CJ29="","",VLOOKUP(CJ29,DATAPENG!$AX$3:$AY$12,2,FALSE))</f>
        <v>pengetahuan akidah akhlak 10</v>
      </c>
    </row>
    <row r="30" spans="1:102" x14ac:dyDescent="0.25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B</v>
      </c>
      <c r="CS30" s="105" t="str">
        <f>IF(CQ30="","",IF(CQ30&gt;=menu!$O$6,"sangat baik",IF(CQ30&gt;=menu!$O$7,"baik",IF(CQ30&gt;=menu!$O$8,"cukup","kurang"))))</f>
        <v>baik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baik,  sudah menguasai pengetahuan akidah akhlak 4, dan perlu ditingkatkan dalam pengetahuan akidah akhlak 9</v>
      </c>
      <c r="CW30" s="108" t="str">
        <f>IF(CI30="","",VLOOKUP(CI30,DATAPENG!$AZ$3:$BA$12,2,FALSE))</f>
        <v>pengetahuan akidah akhlak 4</v>
      </c>
      <c r="CX30" s="108" t="str">
        <f>IF(CJ30="","",VLOOKUP(CJ30,DATAPENG!$AZ$3:$BA$12,2,FALSE))</f>
        <v>pengetahuan akidah akhlak 9</v>
      </c>
    </row>
    <row r="31" spans="1:102" x14ac:dyDescent="0.25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akidah akhlak 4, dan perlu ditingkatkan dalam pengetahuan akidah akhlak 6</v>
      </c>
      <c r="CW31" s="108" t="str">
        <f>IF(CI31="","",VLOOKUP(CI31,DATAPENG!$BB$3:$BC$12,2,FALSE))</f>
        <v>pengetahuan akidah akhlak 4</v>
      </c>
      <c r="CX31" s="108" t="str">
        <f>IF(CJ31="","",VLOOKUP(CJ31,DATAPENG!$BB$3:$BC$12,2,FALSE))</f>
        <v>pengetahuan akidah akhlak 6</v>
      </c>
    </row>
    <row r="32" spans="1:102" x14ac:dyDescent="0.25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B</v>
      </c>
      <c r="CS32" s="105" t="str">
        <f>IF(CQ32="","",IF(CQ32&gt;=menu!$O$6,"sangat baik",IF(CQ32&gt;=menu!$O$7,"baik",IF(CQ32&gt;=menu!$O$8,"cukup","kurang"))))</f>
        <v>baik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baik,  sudah menguasai pengetahuan akidah akhlak 1, dan perlu ditingkatkan dalam pengetahuan akidah akhlak 6</v>
      </c>
      <c r="CW32" s="108" t="str">
        <f>IF(CI32="","",VLOOKUP(CI32,DATAPENG!$BD$3:$BE$12,2,FALSE))</f>
        <v>pengetahuan akidah akhlak 1</v>
      </c>
      <c r="CX32" s="108" t="str">
        <f>IF(CJ32="","",VLOOKUP(CJ32,DATAPENG!$BD$3:$BE$12,2,FALSE))</f>
        <v>pengetahuan akidah akhlak 6</v>
      </c>
    </row>
    <row r="33" spans="1:102" x14ac:dyDescent="0.25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B</v>
      </c>
      <c r="CS33" s="105" t="str">
        <f>IF(CQ33="","",IF(CQ33&gt;=menu!$O$6,"sangat baik",IF(CQ33&gt;=menu!$O$7,"baik",IF(CQ33&gt;=menu!$O$8,"cukup","kurang"))))</f>
        <v>baik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baik,  sudah menguasai pengetahuan akidah akhlak 8, dan perlu ditingkatkan dalam pengetahuan akidah akhlak 9</v>
      </c>
      <c r="CW33" s="108" t="str">
        <f>IF(CI33="","",VLOOKUP(CI33,DATAPENG!$BF$3:$BG$12,2,FALSE))</f>
        <v>pengetahuan akidah akhlak 8</v>
      </c>
      <c r="CX33" s="108" t="str">
        <f>IF(CJ33="","",VLOOKUP(CJ33,DATAPENG!$BF$3:$BG$12,2,FALSE))</f>
        <v>pengetahuan akidah akhlak 9</v>
      </c>
    </row>
    <row r="34" spans="1:102" x14ac:dyDescent="0.25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B</v>
      </c>
      <c r="CS34" s="105" t="str">
        <f>IF(CQ34="","",IF(CQ34&gt;=menu!$O$6,"sangat baik",IF(CQ34&gt;=menu!$O$7,"baik",IF(CQ34&gt;=menu!$O$8,"cukup","kurang"))))</f>
        <v>baik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baik,  sudah menguasai pengetahuan akidah akhlak 8, dan perlu ditingkatkan dalam pengetahuan akidah akhlak 9</v>
      </c>
      <c r="CW34" s="108" t="str">
        <f>IF(CI34="","",VLOOKUP(CI34,DATAPENG!$BH$3:$BI$12,2,FALSE))</f>
        <v>pengetahuan akidah akhlak 8</v>
      </c>
      <c r="CX34" s="108" t="str">
        <f>IF(CJ34="","",VLOOKUP(CJ34,DATAPENG!$BH$3:$BI$12,2,FALSE))</f>
        <v>pengetahuan akidah akhlak 9</v>
      </c>
    </row>
    <row r="35" spans="1:102" x14ac:dyDescent="0.25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akidah akhlak 2, dan perlu ditingkatkan dalam pengetahuan akidah akhlak 10</v>
      </c>
      <c r="CW35" s="108" t="str">
        <f>IF(CI35="","",VLOOKUP(CI35,DATAPENG!$BJ$3:$BK$12,2,FALSE))</f>
        <v>pengetahuan akidah akhlak 2</v>
      </c>
      <c r="CX35" s="108" t="str">
        <f>IF(CJ35="","",VLOOKUP(CJ35,DATAPENG!$BJ$3:$BK$12,2,FALSE))</f>
        <v>pengetahuan akidah akhlak 10</v>
      </c>
    </row>
    <row r="36" spans="1:102" x14ac:dyDescent="0.25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B</v>
      </c>
      <c r="CS36" s="105" t="str">
        <f>IF(CQ36="","",IF(CQ36&gt;=menu!$O$6,"sangat baik",IF(CQ36&gt;=menu!$O$7,"baik",IF(CQ36&gt;=menu!$O$8,"cukup","kurang"))))</f>
        <v>baik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baik,  sudah menguasai pengetahuan akidah akhlak 4, dan perlu ditingkatkan dalam pengetahuan akidah akhlak 6</v>
      </c>
      <c r="CW36" s="108" t="str">
        <f>IF(CI36="","",VLOOKUP(CI36,DATAPENG!$BL$3:$BM$12,2,FALSE))</f>
        <v>pengetahuan akidah akhlak 4</v>
      </c>
      <c r="CX36" s="108" t="str">
        <f>IF(CJ36="","",VLOOKUP(CJ36,DATAPENG!$BL$3:$BM$12,2,FALSE))</f>
        <v>pengetahuan akidah akhlak 6</v>
      </c>
    </row>
    <row r="37" spans="1:102" x14ac:dyDescent="0.25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B</v>
      </c>
      <c r="CS37" s="105" t="str">
        <f>IF(CQ37="","",IF(CQ37&gt;=menu!$O$6,"sangat baik",IF(CQ37&gt;=menu!$O$7,"baik",IF(CQ37&gt;=menu!$O$8,"cukup","kurang"))))</f>
        <v>baik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baik,  sudah menguasai pengetahuan akidah akhlak 1, dan perlu ditingkatkan dalam pengetahuan akidah akhlak 10</v>
      </c>
      <c r="CW37" s="108" t="str">
        <f>IF(CI37="","",VLOOKUP(CI37,DATAPENG!$BN$3:$BO$12,2,FALSE))</f>
        <v>pengetahuan akidah akhlak 1</v>
      </c>
      <c r="CX37" s="108" t="str">
        <f>IF(CJ37="","",VLOOKUP(CJ37,DATAPENG!$BN$3:$BO$12,2,FALSE))</f>
        <v>pengetahuan akidah akhlak 10</v>
      </c>
    </row>
    <row r="38" spans="1:102" x14ac:dyDescent="0.25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akidah akhlak 8, dan perlu ditingkatkan dalam pengetahuan akidah akhlak 2</v>
      </c>
      <c r="CW38" s="108" t="str">
        <f>IF(CI38="","",VLOOKUP(CI38,DATAPENG!$BP$3:$BQ$12,2,FALSE))</f>
        <v>pengetahuan akidah akhlak 8</v>
      </c>
      <c r="CX38" s="108" t="str">
        <f>IF(CJ38="","",VLOOKUP(CJ38,DATAPENG!$BP$3:$BQ$12,2,FALSE))</f>
        <v>pengetahuan akidah akhlak 2</v>
      </c>
    </row>
    <row r="39" spans="1:102" x14ac:dyDescent="0.25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B</v>
      </c>
      <c r="CS39" s="105" t="str">
        <f>IF(CQ39="","",IF(CQ39&gt;=menu!$O$6,"sangat baik",IF(CQ39&gt;=menu!$O$7,"baik",IF(CQ39&gt;=menu!$O$8,"cukup","kurang"))))</f>
        <v>baik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baik,  sudah menguasai pengetahuan akidah akhlak 4, dan perlu ditingkatkan dalam pengetahuan akidah akhlak 10</v>
      </c>
      <c r="CW39" s="108" t="str">
        <f>IF(CI39="","",VLOOKUP(CI39,DATAPENG!$BR$3:$BS$12,2,FALSE))</f>
        <v>pengetahuan akidah akhlak 4</v>
      </c>
      <c r="CX39" s="108" t="str">
        <f>IF(CJ39="","",VLOOKUP(CJ39,DATAPENG!$BR$3:$BS$12,2,FALSE))</f>
        <v>pengetahuan akidah akhlak 10</v>
      </c>
    </row>
    <row r="40" spans="1:102" x14ac:dyDescent="0.25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B</v>
      </c>
      <c r="CS40" s="105" t="str">
        <f>IF(CQ40="","",IF(CQ40&gt;=menu!$O$6,"sangat baik",IF(CQ40&gt;=menu!$O$7,"baik",IF(CQ40&gt;=menu!$O$8,"cukup","kurang"))))</f>
        <v>baik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baik,  sudah menguasai pengetahuan akidah akhlak 1, dan perlu ditingkatkan dalam pengetahuan akidah akhlak 9</v>
      </c>
      <c r="CW40" s="108" t="str">
        <f>IF(CI40="","",VLOOKUP(CI40,DATAPENG!$BT$3:$BU$12,2,FALSE))</f>
        <v>pengetahuan akidah akhlak 1</v>
      </c>
      <c r="CX40" s="108" t="str">
        <f>IF(CJ40="","",VLOOKUP(CJ40,DATAPENG!$BT$3:$BU$12,2,FALSE))</f>
        <v>pengetahuan akidah akhlak 9</v>
      </c>
    </row>
    <row r="41" spans="1:102" x14ac:dyDescent="0.25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akidah akhlak 3, dan perlu ditingkatkan dalam pengetahuan akidah akhlak 10</v>
      </c>
      <c r="CW41" s="108" t="str">
        <f>IF(CI41="","",VLOOKUP(CI41,DATAPENG!$BV$3:$BW$12,2,FALSE))</f>
        <v>pengetahuan akidah akhlak 3</v>
      </c>
      <c r="CX41" s="108" t="str">
        <f>IF(CJ41="","",VLOOKUP(CJ41,DATAPENG!$BV$3:$BW$12,2,FALSE))</f>
        <v>pengetahuan akidah akhlak 10</v>
      </c>
    </row>
    <row r="42" spans="1:102" x14ac:dyDescent="0.25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B</v>
      </c>
      <c r="CS42" s="105" t="str">
        <f>IF(CQ42="","",IF(CQ42&gt;=menu!$O$6,"sangat baik",IF(CQ42&gt;=menu!$O$7,"baik",IF(CQ42&gt;=menu!$O$8,"cukup","kurang"))))</f>
        <v>baik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baik,  sudah menguasai pengetahuan akidah akhlak 8, dan perlu ditingkatkan dalam pengetahuan akidah akhlak 10</v>
      </c>
      <c r="CW42" s="108" t="str">
        <f>IF(CI42="","",VLOOKUP(CI42,DATAPENG!$BX$3:$BY$12,2,FALSE))</f>
        <v>pengetahuan akidah akhlak 8</v>
      </c>
      <c r="CX42" s="108" t="str">
        <f>IF(CJ42="","",VLOOKUP(CJ42,DATAPENG!$BX$3:$BY$12,2,FALSE))</f>
        <v>pengetahuan akidah akhlak 10</v>
      </c>
    </row>
    <row r="43" spans="1:102" x14ac:dyDescent="0.25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B</v>
      </c>
      <c r="CS43" s="105" t="str">
        <f>IF(CQ43="","",IF(CQ43&gt;=menu!$O$6,"sangat baik",IF(CQ43&gt;=menu!$O$7,"baik",IF(CQ43&gt;=menu!$O$8,"cukup","kurang"))))</f>
        <v>baik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baik,  sudah menguasai pengetahuan akidah akhlak 4, dan perlu ditingkatkan dalam pengetahuan akidah akhlak 10</v>
      </c>
      <c r="CW43" s="108" t="str">
        <f>IF(CI43="","",VLOOKUP(CI43,DATAPENG!$BZ$3:$CA$12,2,FALSE))</f>
        <v>pengetahuan akidah akhlak 4</v>
      </c>
      <c r="CX43" s="108" t="str">
        <f>IF(CJ43="","",VLOOKUP(CJ43,DATAPENG!$BZ$3:$CA$12,2,FALSE))</f>
        <v>pengetahuan akidah akhlak 10</v>
      </c>
    </row>
    <row r="44" spans="1:102" x14ac:dyDescent="0.25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B</v>
      </c>
      <c r="CS44" s="105" t="str">
        <f>IF(CQ44="","",IF(CQ44&gt;=menu!$O$6,"sangat baik",IF(CQ44&gt;=menu!$O$7,"baik",IF(CQ44&gt;=menu!$O$8,"cukup","kurang"))))</f>
        <v>baik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baik,  sudah menguasai pengetahuan akidah akhlak 2, dan perlu ditingkatkan dalam pengetahuan akidah akhlak 9</v>
      </c>
      <c r="CW44" s="108" t="str">
        <f>IF(CI44="","",VLOOKUP(CI44,DATAPENG!$CB$3:$CC$12,2,FALSE))</f>
        <v>pengetahuan akidah akhlak 2</v>
      </c>
      <c r="CX44" s="108" t="str">
        <f>IF(CJ44="","",VLOOKUP(CJ44,DATAPENG!$CB$3:$CC$12,2,FALSE))</f>
        <v>pengetahuan akidah akhlak 9</v>
      </c>
    </row>
    <row r="45" spans="1:102" x14ac:dyDescent="0.25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B</v>
      </c>
      <c r="CS45" s="105" t="str">
        <f>IF(CQ45="","",IF(CQ45&gt;=menu!$O$6,"sangat baik",IF(CQ45&gt;=menu!$O$7,"baik",IF(CQ45&gt;=menu!$O$8,"cukup","kurang"))))</f>
        <v>baik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baik,  sudah menguasai pengetahuan akidah akhlak 1, dan perlu ditingkatkan dalam pengetahuan akidah akhlak 10</v>
      </c>
      <c r="CW45" s="108" t="str">
        <f>IF(CI45="","",VLOOKUP(CI45,DATAPENG!$CD$3:$CE$12,2,FALSE))</f>
        <v>pengetahuan akidah akhlak 1</v>
      </c>
      <c r="CX45" s="108" t="str">
        <f>IF(CJ45="","",VLOOKUP(CJ45,DATAPENG!$CD$3:$CE$12,2,FALSE))</f>
        <v>pengetahuan akidah akhlak 10</v>
      </c>
    </row>
    <row r="46" spans="1:102" x14ac:dyDescent="0.25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B</v>
      </c>
      <c r="CS46" s="105" t="str">
        <f>IF(CQ46="","",IF(CQ46&gt;=menu!$O$6,"sangat baik",IF(CQ46&gt;=menu!$O$7,"baik",IF(CQ46&gt;=menu!$O$8,"cukup","kurang"))))</f>
        <v>baik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baik,  sudah menguasai pengetahuan akidah akhlak 4, dan perlu ditingkatkan dalam pengetahuan akidah akhlak 6</v>
      </c>
      <c r="CW46" s="108" t="str">
        <f>IF(CI46="","",VLOOKUP(CI46,DATAPENG!$CF$3:$CG$12,2,FALSE))</f>
        <v>pengetahuan akidah akhlak 4</v>
      </c>
      <c r="CX46" s="108" t="str">
        <f>IF(CJ46="","",VLOOKUP(CJ46,DATAPENG!$CF$3:$CG$12,2,FALSE))</f>
        <v>pengetahuan akidah akhlak 6</v>
      </c>
    </row>
    <row r="47" spans="1:102" x14ac:dyDescent="0.25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B</v>
      </c>
      <c r="CS47" s="105" t="str">
        <f>IF(CQ47="","",IF(CQ47&gt;=menu!$O$6,"sangat baik",IF(CQ47&gt;=menu!$O$7,"baik",IF(CQ47&gt;=menu!$O$8,"cukup","kurang"))))</f>
        <v>baik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baik,  sudah menguasai pengetahuan akidah akhlak 4, dan perlu ditingkatkan dalam pengetahuan akidah akhlak 6</v>
      </c>
      <c r="CW47" s="108" t="str">
        <f>IF(CI47="","",VLOOKUP(CI47,DATAPENG!$CH$3:$CI$12,2,FALSE))</f>
        <v>pengetahuan akidah akhlak 4</v>
      </c>
      <c r="CX47" s="108" t="str">
        <f>IF(CJ47="","",VLOOKUP(CJ47,DATAPENG!$CH$3:$CI$12,2,FALSE))</f>
        <v>pengetahuan akidah akhlak 6</v>
      </c>
    </row>
    <row r="48" spans="1:102" x14ac:dyDescent="0.25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B</v>
      </c>
      <c r="CS48" s="105" t="str">
        <f>IF(CQ48="","",IF(CQ48&gt;=menu!$O$6,"sangat baik",IF(CQ48&gt;=menu!$O$7,"baik",IF(CQ48&gt;=menu!$O$8,"cukup","kurang"))))</f>
        <v>baik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baik,  sudah menguasai pengetahuan akidah akhlak 2, dan perlu ditingkatkan dalam pengetahuan akidah akhlak 10</v>
      </c>
      <c r="CW48" s="108" t="str">
        <f>IF(CI48="","",VLOOKUP(CI48,DATAPENG!$CJ$3:$CK$12,2,FALSE))</f>
        <v>pengetahuan akidah akhlak 2</v>
      </c>
      <c r="CX48" s="108" t="str">
        <f>IF(CJ48="","",VLOOKUP(CJ48,DATAPENG!$CJ$3:$CK$12,2,FALSE))</f>
        <v>pengetahuan akidah akhlak 10</v>
      </c>
    </row>
    <row r="49" spans="1:102" x14ac:dyDescent="0.25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B</v>
      </c>
      <c r="CS49" s="105" t="str">
        <f>IF(CQ49="","",IF(CQ49&gt;=menu!$O$6,"sangat baik",IF(CQ49&gt;=menu!$O$7,"baik",IF(CQ49&gt;=menu!$O$8,"cukup","kurang"))))</f>
        <v>baik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baik,  sudah menguasai pengetahuan akidah akhlak 8, dan perlu ditingkatkan dalam pengetahuan akidah akhlak 6</v>
      </c>
      <c r="CW49" s="108" t="str">
        <f>IF(CI49="","",VLOOKUP(CI49,DATAPENG!$CL$3:$CM$12,2,FALSE))</f>
        <v>pengetahuan akidah akhlak 8</v>
      </c>
      <c r="CX49" s="108" t="str">
        <f>IF(CJ49="","",VLOOKUP(CJ49,DATAPENG!$CL$3:$CM$12,2,FALSE))</f>
        <v>pengetahuan akidah akhlak 6</v>
      </c>
    </row>
    <row r="50" spans="1:102" x14ac:dyDescent="0.25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B</v>
      </c>
      <c r="CS50" s="105" t="str">
        <f>IF(CQ50="","",IF(CQ50&gt;=menu!$O$6,"sangat baik",IF(CQ50&gt;=menu!$O$7,"baik",IF(CQ50&gt;=menu!$O$8,"cukup","kurang"))))</f>
        <v>baik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baik,  sudah menguasai pengetahuan akidah akhlak 4, dan perlu ditingkatkan dalam pengetahuan akidah akhlak 9</v>
      </c>
      <c r="CW50" s="108" t="str">
        <f>IF(CI50="","",VLOOKUP(CI50,DATAPENG!$CN$3:$CO$12,2,FALSE))</f>
        <v>pengetahuan akidah akhlak 4</v>
      </c>
      <c r="CX50" s="108" t="str">
        <f>IF(CJ50="","",VLOOKUP(CJ50,DATAPENG!$CN$3:$CO$12,2,FALSE))</f>
        <v>pengetahuan akidah akhlak 9</v>
      </c>
    </row>
    <row r="51" spans="1:102" x14ac:dyDescent="0.25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B</v>
      </c>
      <c r="CS51" s="105" t="str">
        <f>IF(CQ51="","",IF(CQ51&gt;=menu!$O$6,"sangat baik",IF(CQ51&gt;=menu!$O$7,"baik",IF(CQ51&gt;=menu!$O$8,"cukup","kurang"))))</f>
        <v>baik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baik,  sudah menguasai pengetahuan akidah akhlak 4, dan perlu ditingkatkan dalam pengetahuan akidah akhlak 6</v>
      </c>
      <c r="CW51" s="108" t="str">
        <f>IF(CI51="","",VLOOKUP(CI51,DATAPENG!$CP$3:$CQ$12,2,FALSE))</f>
        <v>pengetahuan akidah akhlak 4</v>
      </c>
      <c r="CX51" s="108" t="str">
        <f>IF(CJ51="","",VLOOKUP(CJ51,DATAPENG!$CP$3:$CQ$12,2,FALSE))</f>
        <v>pengetahuan akidah akhlak 6</v>
      </c>
    </row>
    <row r="52" spans="1:102" x14ac:dyDescent="0.25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B</v>
      </c>
      <c r="CS52" s="105" t="str">
        <f>IF(CQ52="","",IF(CQ52&gt;=menu!$O$6,"sangat baik",IF(CQ52&gt;=menu!$O$7,"baik",IF(CQ52&gt;=menu!$O$8,"cukup","kurang"))))</f>
        <v>baik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baik,  sudah menguasai pengetahuan akidah akhlak 2, dan perlu ditingkatkan dalam pengetahuan akidah akhlak 10</v>
      </c>
      <c r="CW52" s="108" t="str">
        <f>IF(CI52="","",VLOOKUP(CI52,DATAPENG!$CR$3:$CS$12,2,FALSE))</f>
        <v>pengetahuan akidah akhlak 2</v>
      </c>
      <c r="CX52" s="108" t="str">
        <f>IF(CJ52="","",VLOOKUP(CJ52,DATAPENG!$CR$3:$CS$12,2,FALSE))</f>
        <v>pengetahuan akidah akhlak 10</v>
      </c>
    </row>
    <row r="53" spans="1:102" x14ac:dyDescent="0.25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 x14ac:dyDescent="0.25"/>
  <cols>
    <col min="1" max="2" width="9.140625" style="42"/>
    <col min="3" max="3" width="13.85546875" style="42" customWidth="1"/>
    <col min="4" max="16384" width="9.140625" style="42"/>
  </cols>
  <sheetData>
    <row r="1" spans="1:97" x14ac:dyDescent="0.25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8" t="s">
        <v>369</v>
      </c>
      <c r="AY1" s="618"/>
      <c r="AZ1" s="618" t="s">
        <v>370</v>
      </c>
      <c r="BA1" s="618"/>
      <c r="BB1" s="618" t="s">
        <v>371</v>
      </c>
      <c r="BC1" s="618"/>
      <c r="BD1" s="618" t="s">
        <v>372</v>
      </c>
      <c r="BE1" s="618"/>
      <c r="BF1" s="618" t="s">
        <v>373</v>
      </c>
      <c r="BG1" s="618"/>
      <c r="BH1" s="618" t="s">
        <v>374</v>
      </c>
      <c r="BI1" s="618"/>
      <c r="BJ1" s="618" t="s">
        <v>375</v>
      </c>
      <c r="BK1" s="618"/>
      <c r="BL1" s="618" t="s">
        <v>376</v>
      </c>
      <c r="BM1" s="618"/>
      <c r="BN1" s="618" t="s">
        <v>377</v>
      </c>
      <c r="BO1" s="618"/>
      <c r="BP1" s="618" t="s">
        <v>378</v>
      </c>
      <c r="BQ1" s="618"/>
      <c r="BR1" s="618" t="s">
        <v>379</v>
      </c>
      <c r="BS1" s="618"/>
      <c r="BT1" s="618" t="s">
        <v>380</v>
      </c>
      <c r="BU1" s="618"/>
      <c r="BV1" s="618" t="s">
        <v>381</v>
      </c>
      <c r="BW1" s="618"/>
      <c r="BX1" s="618" t="s">
        <v>382</v>
      </c>
      <c r="BY1" s="618"/>
      <c r="BZ1" s="618" t="s">
        <v>383</v>
      </c>
      <c r="CA1" s="618"/>
      <c r="CB1" s="618" t="s">
        <v>384</v>
      </c>
      <c r="CC1" s="618"/>
      <c r="CD1" s="618" t="s">
        <v>385</v>
      </c>
      <c r="CE1" s="618"/>
      <c r="CF1" s="618" t="s">
        <v>386</v>
      </c>
      <c r="CG1" s="618"/>
      <c r="CH1" s="618" t="s">
        <v>387</v>
      </c>
      <c r="CI1" s="618"/>
      <c r="CJ1" s="618" t="s">
        <v>388</v>
      </c>
      <c r="CK1" s="618"/>
      <c r="CL1" s="618" t="s">
        <v>389</v>
      </c>
      <c r="CM1" s="618"/>
      <c r="CN1" s="618" t="s">
        <v>390</v>
      </c>
      <c r="CO1" s="618"/>
      <c r="CP1" s="618" t="s">
        <v>391</v>
      </c>
      <c r="CQ1" s="618"/>
      <c r="CR1" s="618" t="s">
        <v>392</v>
      </c>
      <c r="CS1" s="618"/>
    </row>
    <row r="2" spans="1:97" x14ac:dyDescent="0.25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 x14ac:dyDescent="0.25">
      <c r="A3" s="72">
        <v>1</v>
      </c>
      <c r="B3" s="89">
        <f>IF('Input Nilai Pengetahuan'!M5="","",'Input Nilai Pengetahuan'!M5)</f>
        <v>95</v>
      </c>
      <c r="C3" s="89" t="str">
        <f>IF(B3="","",IF('Input Nilai Pengetahuan'!$F$1="","",'Input Nilai Pengetahuan'!$F$1))</f>
        <v>pengetahuan akidah akhlak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akidah akhlak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akidah akhlak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akidah akhlak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akidah akhlak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akidah akhlak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akidah akhlak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akidah akhlak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akidah akhlak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akidah akhlak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akidah akhlak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akidah akhlak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akidah akhlak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akidah akhlak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akidah akhlak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akidah akhlak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akidah akhlak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akidah akhlak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akidah akhlak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akidah akhlak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akidah akhlak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akidah akhlak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akidah akhlak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akidah akhlak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akidah akhlak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akidah akhlak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akidah akhlak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akidah akhlak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akidah akhlak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akidah akhlak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akidah akhlak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akidah akhlak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akidah akhlak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akidah akhlak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akidah akhlak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akidah akhlak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akidah akhlak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akidah akhlak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akidah akhlak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akidah akhlak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akidah akhlak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akidah akhlak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akidah akhlak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akidah akhlak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akidah akhlak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akidah akhlak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akidah akhlak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akidah akhlak 1</v>
      </c>
    </row>
    <row r="4" spans="1:97" x14ac:dyDescent="0.25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akidah akhlak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akidah akhlak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akidah akhlak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akidah akhlak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akidah akhlak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akidah akhlak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akidah akhlak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akidah akhlak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akidah akhlak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akidah akhlak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akidah akhlak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akidah akhlak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akidah akhlak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akidah akhlak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akidah akhlak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akidah akhlak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akidah akhlak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akidah akhlak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akidah akhlak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akidah akhlak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akidah akhlak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akidah akhlak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akidah akhlak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akidah akhlak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akidah akhlak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akidah akhlak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akidah akhlak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akidah akhlak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akidah akhlak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akidah akhlak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akidah akhlak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akidah akhlak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akidah akhlak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akidah akhlak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akidah akhlak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akidah akhlak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akidah akhlak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akidah akhlak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akidah akhlak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akidah akhlak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akidah akhlak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akidah akhlak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akidah akhlak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akidah akhlak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akidah akhlak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akidah akhlak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akidah akhlak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akidah akhlak 2</v>
      </c>
    </row>
    <row r="5" spans="1:97" x14ac:dyDescent="0.25">
      <c r="A5" s="72">
        <v>3</v>
      </c>
      <c r="B5" s="89">
        <f>IF('Input Nilai Pengetahuan'!AC5="","",'Input Nilai Pengetahuan'!AC5)</f>
        <v>40</v>
      </c>
      <c r="C5" s="89" t="str">
        <f>IF(B5="","",IF('Input Nilai Pengetahuan'!$V$1="","",'Input Nilai Pengetahuan'!$V$1))</f>
        <v>pengetahuan akidah akhlak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akidah akhlak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akidah akhlak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akidah akhlak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akidah akhlak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akidah akhlak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akidah akhlak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akidah akhlak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akidah akhlak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akidah akhlak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akidah akhlak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akidah akhlak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akidah akhlak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akidah akhlak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akidah akhlak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akidah akhlak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akidah akhlak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akidah akhlak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akidah akhlak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akidah akhlak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akidah akhlak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akidah akhlak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akidah akhlak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akidah akhlak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akidah akhlak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akidah akhlak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akidah akhlak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akidah akhlak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akidah akhlak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akidah akhlak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akidah akhlak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akidah akhlak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akidah akhlak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akidah akhlak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akidah akhlak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akidah akhlak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akidah akhlak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akidah akhlak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akidah akhlak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akidah akhlak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akidah akhlak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akidah akhlak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akidah akhlak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akidah akhlak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akidah akhlak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akidah akhlak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akidah akhlak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akidah akhlak 3</v>
      </c>
    </row>
    <row r="6" spans="1:97" x14ac:dyDescent="0.25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akidah akhlak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akidah akhlak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akidah akhlak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akidah akhlak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akidah akhlak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akidah akhlak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akidah akhlak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akidah akhlak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akidah akhlak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akidah akhlak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akidah akhlak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akidah akhlak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akidah akhlak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akidah akhlak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akidah akhlak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akidah akhlak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akidah akhlak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akidah akhlak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akidah akhlak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akidah akhlak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akidah akhlak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akidah akhlak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akidah akhlak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akidah akhlak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akidah akhlak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akidah akhlak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akidah akhlak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akidah akhlak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akidah akhlak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akidah akhlak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akidah akhlak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akidah akhlak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akidah akhlak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akidah akhlak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akidah akhlak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akidah akhlak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akidah akhlak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akidah akhlak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akidah akhlak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akidah akhlak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akidah akhlak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akidah akhlak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akidah akhlak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akidah akhlak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akidah akhlak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akidah akhlak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akidah akhlak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akidah akhlak 4</v>
      </c>
    </row>
    <row r="7" spans="1:97" x14ac:dyDescent="0.25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akidah akhlak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akidah akhlak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akidah akhlak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akidah akhlak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akidah akhlak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akidah akhlak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akidah akhlak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akidah akhlak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akidah akhlak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akidah akhlak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akidah akhlak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akidah akhlak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akidah akhlak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akidah akhlak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akidah akhlak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akidah akhlak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akidah akhlak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akidah akhlak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akidah akhlak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akidah akhlak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akidah akhlak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akidah akhlak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akidah akhlak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akidah akhlak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akidah akhlak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akidah akhlak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akidah akhlak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akidah akhlak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akidah akhlak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akidah akhlak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akidah akhlak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akidah akhlak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akidah akhlak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akidah akhlak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akidah akhlak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akidah akhlak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akidah akhlak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akidah akhlak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akidah akhlak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akidah akhlak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akidah akhlak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akidah akhlak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akidah akhlak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akidah akhlak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akidah akhlak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akidah akhlak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akidah akhlak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akidah akhlak 5</v>
      </c>
    </row>
    <row r="8" spans="1:97" x14ac:dyDescent="0.25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akidah akhlak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akidah akhlak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akidah akhlak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akidah akhlak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akidah akhlak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akidah akhlak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akidah akhlak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akidah akhlak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akidah akhlak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akidah akhlak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akidah akhlak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akidah akhlak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akidah akhlak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akidah akhlak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akidah akhlak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akidah akhlak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akidah akhlak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akidah akhlak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akidah akhlak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akidah akhlak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akidah akhlak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akidah akhlak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akidah akhlak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akidah akhlak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akidah akhlak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akidah akhlak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akidah akhlak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akidah akhlak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akidah akhlak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akidah akhlak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akidah akhlak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akidah akhlak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akidah akhlak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akidah akhlak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akidah akhlak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akidah akhlak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akidah akhlak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akidah akhlak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akidah akhlak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akidah akhlak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akidah akhlak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akidah akhlak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akidah akhlak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akidah akhlak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akidah akhlak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akidah akhlak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akidah akhlak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akidah akhlak 6</v>
      </c>
    </row>
    <row r="9" spans="1:97" x14ac:dyDescent="0.25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akidah akhlak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akidah akhlak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akidah akhlak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akidah akhlak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akidah akhlak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akidah akhlak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akidah akhlak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akidah akhlak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akidah akhlak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akidah akhlak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akidah akhlak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akidah akhlak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akidah akhlak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akidah akhlak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akidah akhlak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akidah akhlak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akidah akhlak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akidah akhlak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akidah akhlak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akidah akhlak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akidah akhlak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akidah akhlak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akidah akhlak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akidah akhlak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akidah akhlak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akidah akhlak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akidah akhlak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akidah akhlak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akidah akhlak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akidah akhlak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akidah akhlak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akidah akhlak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akidah akhlak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akidah akhlak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akidah akhlak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akidah akhlak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akidah akhlak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akidah akhlak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akidah akhlak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akidah akhlak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akidah akhlak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akidah akhlak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akidah akhlak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akidah akhlak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akidah akhlak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akidah akhlak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akidah akhlak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akidah akhlak 7</v>
      </c>
    </row>
    <row r="10" spans="1:97" x14ac:dyDescent="0.25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akidah akhlak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akidah akhlak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akidah akhlak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akidah akhlak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akidah akhlak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akidah akhlak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akidah akhlak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akidah akhlak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akidah akhlak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akidah akhlak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akidah akhlak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akidah akhlak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akidah akhlak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akidah akhlak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akidah akhlak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akidah akhlak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akidah akhlak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akidah akhlak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akidah akhlak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akidah akhlak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akidah akhlak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akidah akhlak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akidah akhlak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akidah akhlak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akidah akhlak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akidah akhlak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akidah akhlak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akidah akhlak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akidah akhlak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akidah akhlak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akidah akhlak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akidah akhlak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akidah akhlak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akidah akhlak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akidah akhlak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akidah akhlak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akidah akhlak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akidah akhlak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akidah akhlak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akidah akhlak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akidah akhlak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akidah akhlak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akidah akhlak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akidah akhlak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akidah akhlak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akidah akhlak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akidah akhlak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akidah akhlak 8</v>
      </c>
    </row>
    <row r="11" spans="1:97" x14ac:dyDescent="0.25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akidah akhlak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akidah akhlak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akidah akhlak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akidah akhlak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akidah akhlak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akidah akhlak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akidah akhlak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akidah akhlak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akidah akhlak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akidah akhlak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akidah akhlak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akidah akhlak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akidah akhlak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akidah akhlak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akidah akhlak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akidah akhlak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akidah akhlak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akidah akhlak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akidah akhlak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akidah akhlak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akidah akhlak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akidah akhlak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akidah akhlak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akidah akhlak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akidah akhlak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akidah akhlak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akidah akhlak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akidah akhlak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akidah akhlak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akidah akhlak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akidah akhlak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akidah akhlak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akidah akhlak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akidah akhlak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akidah akhlak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akidah akhlak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akidah akhlak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akidah akhlak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akidah akhlak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akidah akhlak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akidah akhlak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akidah akhlak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akidah akhlak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akidah akhlak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akidah akhlak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akidah akhlak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akidah akhlak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akidah akhlak 9</v>
      </c>
    </row>
    <row r="12" spans="1:97" x14ac:dyDescent="0.25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akidah akhlak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akidah akhlak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akidah akhlak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akidah akhlak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akidah akhlak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akidah akhlak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akidah akhlak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akidah akhlak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akidah akhlak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akidah akhlak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akidah akhlak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akidah akhlak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akidah akhlak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akidah akhlak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akidah akhlak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akidah akhlak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akidah akhlak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akidah akhlak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akidah akhlak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akidah akhlak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akidah akhlak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akidah akhlak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akidah akhlak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akidah akhlak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akidah akhlak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akidah akhlak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akidah akhlak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akidah akhlak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akidah akhlak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akidah akhlak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akidah akhlak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akidah akhlak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akidah akhlak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akidah akhlak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akidah akhlak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akidah akhlak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akidah akhlak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akidah akhlak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akidah akhlak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akidah akhlak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akidah akhlak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akidah akhlak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akidah akhlak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akidah akhlak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akidah akhlak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akidah akhlak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akidah akhlak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akidah akhlak 10</v>
      </c>
    </row>
    <row r="15" spans="1:97" x14ac:dyDescent="0.25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 x14ac:dyDescent="0.25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 x14ac:dyDescent="0.25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 x14ac:dyDescent="0.25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 x14ac:dyDescent="0.25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 x14ac:dyDescent="0.25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 x14ac:dyDescent="0.25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 x14ac:dyDescent="0.25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 x14ac:dyDescent="0.25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 x14ac:dyDescent="0.25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 x14ac:dyDescent="0.25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 x14ac:dyDescent="0.2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 x14ac:dyDescent="0.25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19</v>
      </c>
      <c r="G1" s="482"/>
      <c r="H1" s="482"/>
      <c r="I1" s="619" t="s">
        <v>7</v>
      </c>
      <c r="J1" s="620" t="s">
        <v>302</v>
      </c>
      <c r="K1" s="482" t="s">
        <v>19</v>
      </c>
      <c r="L1" s="482"/>
      <c r="M1" s="482"/>
      <c r="N1" s="619" t="s">
        <v>7</v>
      </c>
      <c r="O1" s="620" t="s">
        <v>302</v>
      </c>
      <c r="P1" s="482" t="s">
        <v>19</v>
      </c>
      <c r="Q1" s="482"/>
      <c r="R1" s="482"/>
      <c r="S1" s="619" t="s">
        <v>7</v>
      </c>
      <c r="T1" s="620" t="s">
        <v>302</v>
      </c>
      <c r="U1" s="482" t="s">
        <v>19</v>
      </c>
      <c r="V1" s="482"/>
      <c r="W1" s="482"/>
      <c r="X1" s="619" t="s">
        <v>7</v>
      </c>
      <c r="Y1" s="620" t="s">
        <v>302</v>
      </c>
      <c r="Z1" s="482" t="s">
        <v>19</v>
      </c>
      <c r="AA1" s="482"/>
      <c r="AB1" s="482"/>
      <c r="AC1" s="619" t="s">
        <v>7</v>
      </c>
      <c r="AD1" s="620" t="s">
        <v>302</v>
      </c>
      <c r="AE1" s="482" t="s">
        <v>19</v>
      </c>
      <c r="AF1" s="482"/>
      <c r="AG1" s="482"/>
      <c r="AH1" s="619" t="s">
        <v>7</v>
      </c>
      <c r="AI1" s="620" t="s">
        <v>302</v>
      </c>
      <c r="AJ1" s="482" t="s">
        <v>19</v>
      </c>
      <c r="AK1" s="482"/>
      <c r="AL1" s="482"/>
      <c r="AM1" s="619" t="s">
        <v>7</v>
      </c>
      <c r="AN1" s="620" t="s">
        <v>302</v>
      </c>
      <c r="AO1" s="482" t="s">
        <v>19</v>
      </c>
      <c r="AP1" s="482"/>
      <c r="AQ1" s="482"/>
      <c r="AR1" s="623" t="s">
        <v>7</v>
      </c>
      <c r="AS1" s="620" t="s">
        <v>302</v>
      </c>
      <c r="AT1" s="482" t="s">
        <v>19</v>
      </c>
      <c r="AU1" s="482"/>
      <c r="AV1" s="482"/>
      <c r="AW1" s="623" t="s">
        <v>7</v>
      </c>
      <c r="AX1" s="620" t="s">
        <v>302</v>
      </c>
      <c r="AY1" s="482" t="s">
        <v>19</v>
      </c>
      <c r="AZ1" s="482"/>
      <c r="BA1" s="482"/>
      <c r="BB1" s="623" t="s">
        <v>7</v>
      </c>
      <c r="BC1" s="620" t="s">
        <v>302</v>
      </c>
      <c r="BD1" s="619" t="s">
        <v>27</v>
      </c>
      <c r="BE1" s="605" t="s">
        <v>28</v>
      </c>
      <c r="BF1" s="605" t="s">
        <v>29</v>
      </c>
      <c r="BG1" s="93" t="s">
        <v>303</v>
      </c>
      <c r="BH1" s="608" t="s">
        <v>30</v>
      </c>
      <c r="BI1" s="588" t="s">
        <v>283</v>
      </c>
      <c r="BJ1" s="585" t="s">
        <v>36</v>
      </c>
    </row>
    <row r="2" spans="1:62" x14ac:dyDescent="0.25">
      <c r="A2" s="479"/>
      <c r="B2" s="479"/>
      <c r="C2" s="481"/>
      <c r="D2" s="482"/>
      <c r="E2" s="484"/>
      <c r="F2" s="482" t="s">
        <v>18</v>
      </c>
      <c r="G2" s="482"/>
      <c r="H2" s="482"/>
      <c r="I2" s="619"/>
      <c r="J2" s="621"/>
      <c r="K2" s="482" t="s">
        <v>20</v>
      </c>
      <c r="L2" s="482"/>
      <c r="M2" s="482"/>
      <c r="N2" s="619"/>
      <c r="O2" s="621"/>
      <c r="P2" s="482" t="s">
        <v>21</v>
      </c>
      <c r="Q2" s="482"/>
      <c r="R2" s="482"/>
      <c r="S2" s="619"/>
      <c r="T2" s="621"/>
      <c r="U2" s="482" t="s">
        <v>22</v>
      </c>
      <c r="V2" s="482"/>
      <c r="W2" s="482"/>
      <c r="X2" s="619"/>
      <c r="Y2" s="621"/>
      <c r="Z2" s="482" t="s">
        <v>23</v>
      </c>
      <c r="AA2" s="482"/>
      <c r="AB2" s="482"/>
      <c r="AC2" s="619"/>
      <c r="AD2" s="621"/>
      <c r="AE2" s="482" t="s">
        <v>24</v>
      </c>
      <c r="AF2" s="482"/>
      <c r="AG2" s="482"/>
      <c r="AH2" s="619"/>
      <c r="AI2" s="621"/>
      <c r="AJ2" s="482" t="s">
        <v>25</v>
      </c>
      <c r="AK2" s="482"/>
      <c r="AL2" s="482"/>
      <c r="AM2" s="619"/>
      <c r="AN2" s="621"/>
      <c r="AO2" s="482" t="s">
        <v>26</v>
      </c>
      <c r="AP2" s="482"/>
      <c r="AQ2" s="482"/>
      <c r="AR2" s="624"/>
      <c r="AS2" s="621"/>
      <c r="AT2" s="482" t="s">
        <v>44</v>
      </c>
      <c r="AU2" s="482"/>
      <c r="AV2" s="482"/>
      <c r="AW2" s="624"/>
      <c r="AX2" s="621"/>
      <c r="AY2" s="482" t="s">
        <v>45</v>
      </c>
      <c r="AZ2" s="482"/>
      <c r="BA2" s="482"/>
      <c r="BB2" s="624"/>
      <c r="BC2" s="621"/>
      <c r="BD2" s="619"/>
      <c r="BE2" s="606"/>
      <c r="BF2" s="606"/>
      <c r="BG2" s="103">
        <f>menu!$D$19</f>
        <v>0</v>
      </c>
      <c r="BH2" s="609"/>
      <c r="BI2" s="589"/>
      <c r="BJ2" s="586"/>
    </row>
    <row r="3" spans="1:62" ht="69" x14ac:dyDescent="0.25">
      <c r="A3" s="480"/>
      <c r="B3" s="480"/>
      <c r="C3" s="481"/>
      <c r="D3" s="482"/>
      <c r="E3" s="485"/>
      <c r="F3" s="111" t="s">
        <v>31</v>
      </c>
      <c r="G3" s="112" t="s">
        <v>32</v>
      </c>
      <c r="H3" s="111" t="s">
        <v>33</v>
      </c>
      <c r="I3" s="619"/>
      <c r="J3" s="622"/>
      <c r="K3" s="111" t="s">
        <v>31</v>
      </c>
      <c r="L3" s="112" t="s">
        <v>32</v>
      </c>
      <c r="M3" s="111" t="s">
        <v>33</v>
      </c>
      <c r="N3" s="619"/>
      <c r="O3" s="622"/>
      <c r="P3" s="111" t="s">
        <v>31</v>
      </c>
      <c r="Q3" s="112" t="s">
        <v>32</v>
      </c>
      <c r="R3" s="111" t="s">
        <v>33</v>
      </c>
      <c r="S3" s="619"/>
      <c r="T3" s="622"/>
      <c r="U3" s="111" t="s">
        <v>31</v>
      </c>
      <c r="V3" s="112" t="s">
        <v>32</v>
      </c>
      <c r="W3" s="111" t="s">
        <v>33</v>
      </c>
      <c r="X3" s="619"/>
      <c r="Y3" s="622"/>
      <c r="Z3" s="111" t="s">
        <v>31</v>
      </c>
      <c r="AA3" s="112" t="s">
        <v>32</v>
      </c>
      <c r="AB3" s="111" t="s">
        <v>33</v>
      </c>
      <c r="AC3" s="619"/>
      <c r="AD3" s="622"/>
      <c r="AE3" s="111" t="s">
        <v>31</v>
      </c>
      <c r="AF3" s="112" t="s">
        <v>32</v>
      </c>
      <c r="AG3" s="111" t="s">
        <v>33</v>
      </c>
      <c r="AH3" s="619"/>
      <c r="AI3" s="622"/>
      <c r="AJ3" s="111" t="s">
        <v>31</v>
      </c>
      <c r="AK3" s="112" t="s">
        <v>32</v>
      </c>
      <c r="AL3" s="111" t="s">
        <v>33</v>
      </c>
      <c r="AM3" s="619"/>
      <c r="AN3" s="622"/>
      <c r="AO3" s="111" t="s">
        <v>31</v>
      </c>
      <c r="AP3" s="112" t="s">
        <v>32</v>
      </c>
      <c r="AQ3" s="111" t="s">
        <v>33</v>
      </c>
      <c r="AR3" s="625"/>
      <c r="AS3" s="622"/>
      <c r="AT3" s="111" t="s">
        <v>31</v>
      </c>
      <c r="AU3" s="112" t="s">
        <v>32</v>
      </c>
      <c r="AV3" s="111" t="s">
        <v>33</v>
      </c>
      <c r="AW3" s="625"/>
      <c r="AX3" s="622"/>
      <c r="AY3" s="111" t="s">
        <v>31</v>
      </c>
      <c r="AZ3" s="112" t="s">
        <v>32</v>
      </c>
      <c r="BA3" s="111" t="s">
        <v>33</v>
      </c>
      <c r="BB3" s="625"/>
      <c r="BC3" s="622"/>
      <c r="BD3" s="619"/>
      <c r="BE3" s="607"/>
      <c r="BF3" s="607"/>
      <c r="BG3" s="114" t="s">
        <v>304</v>
      </c>
      <c r="BH3" s="610"/>
      <c r="BI3" s="590"/>
      <c r="BJ3" s="587"/>
    </row>
    <row r="4" spans="1:62" x14ac:dyDescent="0.2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 x14ac:dyDescent="0.25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 x14ac:dyDescent="0.25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 x14ac:dyDescent="0.25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 x14ac:dyDescent="0.25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 x14ac:dyDescent="0.25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 x14ac:dyDescent="0.25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 x14ac:dyDescent="0.25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 x14ac:dyDescent="0.25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 x14ac:dyDescent="0.25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 x14ac:dyDescent="0.25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 x14ac:dyDescent="0.25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 x14ac:dyDescent="0.25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 x14ac:dyDescent="0.25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 x14ac:dyDescent="0.25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 x14ac:dyDescent="0.25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 x14ac:dyDescent="0.25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 x14ac:dyDescent="0.25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 x14ac:dyDescent="0.25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 x14ac:dyDescent="0.25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 x14ac:dyDescent="0.25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 x14ac:dyDescent="0.25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 x14ac:dyDescent="0.25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 x14ac:dyDescent="0.25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 x14ac:dyDescent="0.25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 x14ac:dyDescent="0.25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 x14ac:dyDescent="0.25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 x14ac:dyDescent="0.25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 x14ac:dyDescent="0.25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 x14ac:dyDescent="0.25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 x14ac:dyDescent="0.25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 x14ac:dyDescent="0.25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 x14ac:dyDescent="0.25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 x14ac:dyDescent="0.25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 x14ac:dyDescent="0.25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 x14ac:dyDescent="0.25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 x14ac:dyDescent="0.25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 x14ac:dyDescent="0.25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 x14ac:dyDescent="0.25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 x14ac:dyDescent="0.25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 x14ac:dyDescent="0.25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 x14ac:dyDescent="0.25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 x14ac:dyDescent="0.2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 x14ac:dyDescent="0.3">
      <c r="A1" s="192" t="str">
        <f>"DAFTAR NILAI"&amp;" "&amp;menu!D14</f>
        <v>DAFTAR NILAI 7a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 x14ac:dyDescent="0.25">
      <c r="A2" s="192" t="str">
        <f>menu!D13</f>
        <v>alquran hadits</v>
      </c>
      <c r="O2" s="184" t="s">
        <v>313</v>
      </c>
      <c r="R2" s="193" t="str">
        <f>menu!D11</f>
        <v>Master</v>
      </c>
    </row>
    <row r="4" spans="1:21" ht="15" customHeight="1" x14ac:dyDescent="0.25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482"/>
      <c r="G4" s="482"/>
      <c r="H4" s="482"/>
      <c r="I4" s="629" t="s">
        <v>7</v>
      </c>
      <c r="J4" s="482"/>
      <c r="K4" s="482"/>
      <c r="L4" s="482"/>
      <c r="M4" s="629" t="s">
        <v>7</v>
      </c>
      <c r="N4" s="482"/>
      <c r="O4" s="482"/>
      <c r="P4" s="482"/>
      <c r="Q4" s="629" t="s">
        <v>7</v>
      </c>
      <c r="R4" s="482"/>
      <c r="S4" s="482"/>
      <c r="T4" s="482"/>
      <c r="U4" s="629" t="s">
        <v>7</v>
      </c>
    </row>
    <row r="5" spans="1:21" ht="15" customHeight="1" x14ac:dyDescent="0.25">
      <c r="A5" s="479"/>
      <c r="B5" s="479"/>
      <c r="C5" s="481"/>
      <c r="D5" s="482"/>
      <c r="E5" s="484"/>
      <c r="F5" s="482"/>
      <c r="G5" s="482"/>
      <c r="H5" s="482"/>
      <c r="I5" s="629"/>
      <c r="J5" s="482"/>
      <c r="K5" s="482"/>
      <c r="L5" s="482"/>
      <c r="M5" s="629"/>
      <c r="N5" s="482"/>
      <c r="O5" s="482"/>
      <c r="P5" s="482"/>
      <c r="Q5" s="629"/>
      <c r="R5" s="482"/>
      <c r="S5" s="482"/>
      <c r="T5" s="482"/>
      <c r="U5" s="629"/>
    </row>
    <row r="6" spans="1:21" s="97" customFormat="1" ht="80.25" customHeight="1" x14ac:dyDescent="0.25">
      <c r="A6" s="480"/>
      <c r="B6" s="480"/>
      <c r="C6" s="481"/>
      <c r="D6" s="482"/>
      <c r="E6" s="485"/>
      <c r="F6" s="111" t="s">
        <v>31</v>
      </c>
      <c r="G6" s="112" t="s">
        <v>32</v>
      </c>
      <c r="H6" s="111" t="s">
        <v>33</v>
      </c>
      <c r="I6" s="629"/>
      <c r="J6" s="111" t="s">
        <v>31</v>
      </c>
      <c r="K6" s="112" t="s">
        <v>32</v>
      </c>
      <c r="L6" s="111" t="s">
        <v>33</v>
      </c>
      <c r="M6" s="629"/>
      <c r="N6" s="111" t="s">
        <v>31</v>
      </c>
      <c r="O6" s="112" t="s">
        <v>32</v>
      </c>
      <c r="P6" s="111" t="s">
        <v>33</v>
      </c>
      <c r="Q6" s="629"/>
      <c r="R6" s="111" t="s">
        <v>31</v>
      </c>
      <c r="S6" s="112" t="s">
        <v>32</v>
      </c>
      <c r="T6" s="111" t="s">
        <v>33</v>
      </c>
      <c r="U6" s="629"/>
    </row>
    <row r="7" spans="1:21" x14ac:dyDescent="0.25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 x14ac:dyDescent="0.25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 x14ac:dyDescent="0.25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 x14ac:dyDescent="0.25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 x14ac:dyDescent="0.25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 x14ac:dyDescent="0.25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 x14ac:dyDescent="0.25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 x14ac:dyDescent="0.25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 x14ac:dyDescent="0.25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 x14ac:dyDescent="0.25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 x14ac:dyDescent="0.25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 x14ac:dyDescent="0.25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 x14ac:dyDescent="0.25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 x14ac:dyDescent="0.25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 x14ac:dyDescent="0.25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 x14ac:dyDescent="0.25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 x14ac:dyDescent="0.25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 x14ac:dyDescent="0.25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 x14ac:dyDescent="0.25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 x14ac:dyDescent="0.25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 x14ac:dyDescent="0.25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 x14ac:dyDescent="0.25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 x14ac:dyDescent="0.25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 x14ac:dyDescent="0.25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 x14ac:dyDescent="0.25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 x14ac:dyDescent="0.25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 x14ac:dyDescent="0.25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 x14ac:dyDescent="0.25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 x14ac:dyDescent="0.25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 x14ac:dyDescent="0.25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 x14ac:dyDescent="0.25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 x14ac:dyDescent="0.25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 x14ac:dyDescent="0.25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 x14ac:dyDescent="0.25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 x14ac:dyDescent="0.25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 x14ac:dyDescent="0.25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 x14ac:dyDescent="0.25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 x14ac:dyDescent="0.25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 x14ac:dyDescent="0.25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 x14ac:dyDescent="0.25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 x14ac:dyDescent="0.25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 x14ac:dyDescent="0.25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 x14ac:dyDescent="0.25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 x14ac:dyDescent="0.25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 x14ac:dyDescent="0.25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 x14ac:dyDescent="0.25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 x14ac:dyDescent="0.25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 x14ac:dyDescent="0.25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 x14ac:dyDescent="0.25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K52"/>
  <sheetViews>
    <sheetView view="pageBreakPreview" zoomScale="110" zoomScaleSheetLayoutView="110"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 x14ac:dyDescent="0.2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 x14ac:dyDescent="0.25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630" t="str">
        <f>IF(KDOKE!B29="","",KDOKE!B29)</f>
        <v>ketrampilan akidah akhlak 1</v>
      </c>
      <c r="G1" s="630"/>
      <c r="H1" s="630"/>
      <c r="I1" s="630"/>
      <c r="J1" s="619" t="s">
        <v>7</v>
      </c>
      <c r="K1" s="630" t="str">
        <f>IF(KDOKE!B30="","",KDOKE!B30)</f>
        <v>ketrampilan akidah akhlak 2</v>
      </c>
      <c r="L1" s="630"/>
      <c r="M1" s="630"/>
      <c r="N1" s="630"/>
      <c r="O1" s="619" t="s">
        <v>7</v>
      </c>
      <c r="P1" s="630" t="str">
        <f>IF(KDOKE!B31="","",KDOKE!B31)</f>
        <v>ketrampilan akidah akhlak 3</v>
      </c>
      <c r="Q1" s="630"/>
      <c r="R1" s="630"/>
      <c r="S1" s="630"/>
      <c r="T1" s="619" t="s">
        <v>7</v>
      </c>
      <c r="U1" s="630" t="str">
        <f>IF(KDOKE!B32="","",KDOKE!B32)</f>
        <v>ketrampilan akidah akhlak 4</v>
      </c>
      <c r="V1" s="630"/>
      <c r="W1" s="630"/>
      <c r="X1" s="630"/>
      <c r="Y1" s="619" t="s">
        <v>7</v>
      </c>
      <c r="Z1" s="630" t="str">
        <f>IF(KDOKE!B33="","",KDOKE!B33)</f>
        <v>ketrampilan akidah akhlak 5</v>
      </c>
      <c r="AA1" s="630"/>
      <c r="AB1" s="630"/>
      <c r="AC1" s="630"/>
      <c r="AD1" s="619" t="s">
        <v>7</v>
      </c>
      <c r="AE1" s="630" t="str">
        <f>IF(KDOKE!B34="","",KDOKE!B34)</f>
        <v>ketrampilan akidah akhlak 6</v>
      </c>
      <c r="AF1" s="630"/>
      <c r="AG1" s="630"/>
      <c r="AH1" s="630"/>
      <c r="AI1" s="619" t="s">
        <v>7</v>
      </c>
      <c r="AJ1" s="630" t="str">
        <f>IF(KDOKE!B35="","",KDOKE!B35)</f>
        <v>ketrampilan akidah akhlak 7</v>
      </c>
      <c r="AK1" s="630"/>
      <c r="AL1" s="630"/>
      <c r="AM1" s="630"/>
      <c r="AN1" s="619" t="s">
        <v>7</v>
      </c>
      <c r="AO1" s="630" t="str">
        <f>IF(KDOKE!B36="","",KDOKE!B36)</f>
        <v>ketrampilan akidah akhlak 8</v>
      </c>
      <c r="AP1" s="630"/>
      <c r="AQ1" s="630"/>
      <c r="AR1" s="630"/>
      <c r="AS1" s="623" t="s">
        <v>7</v>
      </c>
      <c r="AT1" s="630" t="str">
        <f>IF(KDOKE!B37="","",KDOKE!B37)</f>
        <v>ketrampilan akidah akhlak 9</v>
      </c>
      <c r="AU1" s="630"/>
      <c r="AV1" s="630"/>
      <c r="AW1" s="630"/>
      <c r="AX1" s="623" t="s">
        <v>7</v>
      </c>
      <c r="AY1" s="630" t="str">
        <f>IF(KDOKE!B38="","",KDOKE!B38)</f>
        <v>ketrampilan akidah akhlak 10</v>
      </c>
      <c r="AZ1" s="630"/>
      <c r="BA1" s="630"/>
      <c r="BB1" s="630"/>
      <c r="BC1" s="623" t="s">
        <v>7</v>
      </c>
      <c r="BD1" s="579" t="s">
        <v>395</v>
      </c>
      <c r="BE1" s="569" t="s">
        <v>27</v>
      </c>
      <c r="BF1" s="631" t="s">
        <v>28</v>
      </c>
      <c r="BG1" s="634" t="s">
        <v>30</v>
      </c>
      <c r="BH1" s="93" t="s">
        <v>303</v>
      </c>
      <c r="BI1" s="608" t="s">
        <v>396</v>
      </c>
      <c r="BJ1" s="588" t="s">
        <v>283</v>
      </c>
      <c r="BK1" s="585" t="s">
        <v>36</v>
      </c>
    </row>
    <row r="2" spans="1:63" ht="15" customHeight="1" x14ac:dyDescent="0.25">
      <c r="A2" s="479"/>
      <c r="B2" s="479"/>
      <c r="C2" s="481"/>
      <c r="D2" s="482"/>
      <c r="E2" s="484"/>
      <c r="F2" s="568">
        <f>IF(KDOKE!A29="","",KDOKE!A29)</f>
        <v>41</v>
      </c>
      <c r="G2" s="568"/>
      <c r="H2" s="568"/>
      <c r="I2" s="568"/>
      <c r="J2" s="619"/>
      <c r="K2" s="568">
        <f>IF(KDOKE!A30="","",KDOKE!A30)</f>
        <v>42</v>
      </c>
      <c r="L2" s="568"/>
      <c r="M2" s="568"/>
      <c r="N2" s="568"/>
      <c r="O2" s="619"/>
      <c r="P2" s="568">
        <f>IF(KDOKE!A31="","",KDOKE!A31)</f>
        <v>43</v>
      </c>
      <c r="Q2" s="568"/>
      <c r="R2" s="568"/>
      <c r="S2" s="568"/>
      <c r="T2" s="619"/>
      <c r="U2" s="568">
        <f>IF(KDOKE!A32="","",KDOKE!A32)</f>
        <v>44</v>
      </c>
      <c r="V2" s="568"/>
      <c r="W2" s="568"/>
      <c r="X2" s="568"/>
      <c r="Y2" s="619"/>
      <c r="Z2" s="568">
        <f>IF(KDOKE!A33="","",KDOKE!A33)</f>
        <v>45</v>
      </c>
      <c r="AA2" s="568"/>
      <c r="AB2" s="568"/>
      <c r="AC2" s="568"/>
      <c r="AD2" s="619"/>
      <c r="AE2" s="568">
        <f>IF(KDOKE!A34="","",KDOKE!A34)</f>
        <v>46</v>
      </c>
      <c r="AF2" s="568"/>
      <c r="AG2" s="568"/>
      <c r="AH2" s="568"/>
      <c r="AI2" s="619"/>
      <c r="AJ2" s="568">
        <f>IF(KDOKE!A35="","",KDOKE!A35)</f>
        <v>47</v>
      </c>
      <c r="AK2" s="568"/>
      <c r="AL2" s="568"/>
      <c r="AM2" s="568"/>
      <c r="AN2" s="619"/>
      <c r="AO2" s="568">
        <f>IF(KDOKE!A36="","",KDOKE!A36)</f>
        <v>48</v>
      </c>
      <c r="AP2" s="568"/>
      <c r="AQ2" s="568"/>
      <c r="AR2" s="568"/>
      <c r="AS2" s="624"/>
      <c r="AT2" s="568">
        <f>IF(KDOKE!A37="","",KDOKE!A37)</f>
        <v>49</v>
      </c>
      <c r="AU2" s="568"/>
      <c r="AV2" s="568"/>
      <c r="AW2" s="568"/>
      <c r="AX2" s="624"/>
      <c r="AY2" s="568">
        <f>IF(KDOKE!A38="","",KDOKE!A38)</f>
        <v>410</v>
      </c>
      <c r="AZ2" s="568"/>
      <c r="BA2" s="568"/>
      <c r="BB2" s="568"/>
      <c r="BC2" s="624"/>
      <c r="BD2" s="637"/>
      <c r="BE2" s="569"/>
      <c r="BF2" s="632"/>
      <c r="BG2" s="635"/>
      <c r="BH2" s="288">
        <f>menu!R1</f>
        <v>70</v>
      </c>
      <c r="BI2" s="609"/>
      <c r="BJ2" s="589"/>
      <c r="BK2" s="586"/>
    </row>
    <row r="3" spans="1:63" s="97" customFormat="1" ht="80.25" customHeight="1" x14ac:dyDescent="0.25">
      <c r="A3" s="480"/>
      <c r="B3" s="480"/>
      <c r="C3" s="481"/>
      <c r="D3" s="482"/>
      <c r="E3" s="485"/>
      <c r="F3" s="111" t="s">
        <v>447</v>
      </c>
      <c r="G3" s="111" t="s">
        <v>31</v>
      </c>
      <c r="H3" s="112" t="s">
        <v>32</v>
      </c>
      <c r="I3" s="111" t="s">
        <v>33</v>
      </c>
      <c r="J3" s="619"/>
      <c r="K3" s="111" t="s">
        <v>447</v>
      </c>
      <c r="L3" s="111" t="s">
        <v>31</v>
      </c>
      <c r="M3" s="112" t="s">
        <v>32</v>
      </c>
      <c r="N3" s="111" t="s">
        <v>33</v>
      </c>
      <c r="O3" s="619"/>
      <c r="P3" s="111" t="s">
        <v>447</v>
      </c>
      <c r="Q3" s="111" t="s">
        <v>31</v>
      </c>
      <c r="R3" s="112" t="s">
        <v>32</v>
      </c>
      <c r="S3" s="111" t="s">
        <v>33</v>
      </c>
      <c r="T3" s="619"/>
      <c r="U3" s="111" t="s">
        <v>447</v>
      </c>
      <c r="V3" s="111" t="s">
        <v>31</v>
      </c>
      <c r="W3" s="112" t="s">
        <v>32</v>
      </c>
      <c r="X3" s="111" t="s">
        <v>33</v>
      </c>
      <c r="Y3" s="619"/>
      <c r="Z3" s="111" t="s">
        <v>447</v>
      </c>
      <c r="AA3" s="111" t="s">
        <v>31</v>
      </c>
      <c r="AB3" s="112" t="s">
        <v>32</v>
      </c>
      <c r="AC3" s="111" t="s">
        <v>33</v>
      </c>
      <c r="AD3" s="619"/>
      <c r="AE3" s="111" t="s">
        <v>447</v>
      </c>
      <c r="AF3" s="111" t="s">
        <v>31</v>
      </c>
      <c r="AG3" s="112" t="s">
        <v>32</v>
      </c>
      <c r="AH3" s="111" t="s">
        <v>33</v>
      </c>
      <c r="AI3" s="619"/>
      <c r="AJ3" s="111" t="s">
        <v>447</v>
      </c>
      <c r="AK3" s="111" t="s">
        <v>31</v>
      </c>
      <c r="AL3" s="112" t="s">
        <v>32</v>
      </c>
      <c r="AM3" s="111" t="s">
        <v>33</v>
      </c>
      <c r="AN3" s="619"/>
      <c r="AO3" s="111" t="s">
        <v>447</v>
      </c>
      <c r="AP3" s="111" t="s">
        <v>31</v>
      </c>
      <c r="AQ3" s="112" t="s">
        <v>32</v>
      </c>
      <c r="AR3" s="111" t="s">
        <v>33</v>
      </c>
      <c r="AS3" s="625"/>
      <c r="AT3" s="111" t="s">
        <v>447</v>
      </c>
      <c r="AU3" s="111" t="s">
        <v>31</v>
      </c>
      <c r="AV3" s="112" t="s">
        <v>32</v>
      </c>
      <c r="AW3" s="111" t="s">
        <v>33</v>
      </c>
      <c r="AX3" s="625"/>
      <c r="AY3" s="111" t="s">
        <v>447</v>
      </c>
      <c r="AZ3" s="111" t="s">
        <v>31</v>
      </c>
      <c r="BA3" s="112" t="s">
        <v>32</v>
      </c>
      <c r="BB3" s="111" t="s">
        <v>33</v>
      </c>
      <c r="BC3" s="625"/>
      <c r="BD3" s="580"/>
      <c r="BE3" s="569"/>
      <c r="BF3" s="633"/>
      <c r="BG3" s="636"/>
      <c r="BH3" s="114" t="s">
        <v>304</v>
      </c>
      <c r="BI3" s="610"/>
      <c r="BJ3" s="590"/>
      <c r="BK3" s="587"/>
    </row>
    <row r="4" spans="1:63" x14ac:dyDescent="0.2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 x14ac:dyDescent="0.25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99</v>
      </c>
      <c r="G5" s="90"/>
      <c r="H5" s="90"/>
      <c r="I5" s="90"/>
      <c r="J5" s="311">
        <f>IF(AND(F5="",G5="",H5="",I5=""),"",AVERAGE(F5:I5))</f>
        <v>99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99</v>
      </c>
      <c r="BE5" s="313">
        <f t="shared" ref="BE5:BE52" si="0">IF(AND(J5="",O5=""),"",AVERAGE(BC5,AX5,AS5,AN5,AI5,AD5,Y5,T5,O5,J5))</f>
        <v>86.45</v>
      </c>
      <c r="BF5" s="314">
        <f>IF(BE5="","",ROUND(BE5,0))</f>
        <v>86</v>
      </c>
      <c r="BG5" s="315" t="str">
        <f>IF(BF5="","",IF(BF5&gt;=menu!$O$6,"A",IF(BF5&gt;=menu!$O$7,"B",IF(BF5&gt;=menu!$O$8,"C","D"))))</f>
        <v>B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terampil</v>
      </c>
      <c r="BJ5" s="115" t="str">
        <f>IF(BD5="","",VLOOKUP(BD5,DATAKET!$B$3:$C$12,2,FALSE))</f>
        <v>ketrampilan akidah akhlak 1</v>
      </c>
      <c r="BK5" s="104" t="str">
        <f>IF(BF5="","",BI5&amp;" "&amp;BJ5)</f>
        <v>terampil ketrampilan akidah akhlak 1</v>
      </c>
    </row>
    <row r="6" spans="1:63" ht="18" customHeight="1" x14ac:dyDescent="0.25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B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terampil</v>
      </c>
      <c r="BJ6" s="115" t="str">
        <f>IF(BD6="","",VLOOKUP(BD6,DATAKET!$D$3:$E$12,2,FALSE))</f>
        <v>ketrampilan akidah akhlak 7</v>
      </c>
      <c r="BK6" s="104" t="str">
        <f t="shared" ref="BK6:BK52" si="14">IF(BF6="","",BI6&amp;" "&amp;BJ6)</f>
        <v>terampil ketrampilan akidah akhlak 7</v>
      </c>
    </row>
    <row r="7" spans="1:63" x14ac:dyDescent="0.25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akidah akhlak 1</v>
      </c>
      <c r="BK7" s="104" t="str">
        <f t="shared" si="14"/>
        <v>terampil ketrampilan akidah akhlak 1</v>
      </c>
    </row>
    <row r="8" spans="1:63" x14ac:dyDescent="0.25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B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terampil</v>
      </c>
      <c r="BJ8" s="115" t="str">
        <f>IF(BD8="","",VLOOKUP(BD8,DATAKET!$H$3:$I$12,2,FALSE))</f>
        <v>ketrampilan akidah akhlak 1</v>
      </c>
      <c r="BK8" s="104" t="str">
        <f t="shared" si="14"/>
        <v>terampil ketrampilan akidah akhlak 1</v>
      </c>
    </row>
    <row r="9" spans="1:63" x14ac:dyDescent="0.25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C</v>
      </c>
      <c r="BH9" s="105" t="str">
        <f t="shared" si="13"/>
        <v>TUNTAS</v>
      </c>
      <c r="BI9" s="106" t="str">
        <f>IF(BF9="","",IF(BF9&gt;=menu!$O$6,"sangat terampil",IF(BE9&gt;=menu!$O$7,"terampil",IF(BF9&gt;=menu!$O$8,"cukup terampil","kurang terampil"))))</f>
        <v>cukup terampil</v>
      </c>
      <c r="BJ9" s="115" t="str">
        <f>IF(BD9="","",VLOOKUP(BD9,DATAKET!$J$3:$K$12,2,FALSE))</f>
        <v>ketrampilan akidah akhlak 7</v>
      </c>
      <c r="BK9" s="104" t="str">
        <f t="shared" si="14"/>
        <v>cukup terampil ketrampilan akidah akhlak 7</v>
      </c>
    </row>
    <row r="10" spans="1:63" x14ac:dyDescent="0.25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B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terampil</v>
      </c>
      <c r="BJ10" s="115" t="str">
        <f>IF(BD10="","",VLOOKUP(BD10,DATAKET!$L$3:$M$12,2,FALSE))</f>
        <v>ketrampilan akidah akhlak 2</v>
      </c>
      <c r="BK10" s="104" t="str">
        <f t="shared" si="14"/>
        <v>terampil ketrampilan akidah akhlak 2</v>
      </c>
    </row>
    <row r="11" spans="1:63" x14ac:dyDescent="0.25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B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terampil</v>
      </c>
      <c r="BJ11" s="115" t="str">
        <f>IF(BD11="","",VLOOKUP(BD11,DATAKET!$N$3:$O$12,2,FALSE))</f>
        <v>ketrampilan akidah akhlak 4</v>
      </c>
      <c r="BK11" s="104" t="str">
        <f t="shared" si="14"/>
        <v>terampil ketrampilan akidah akhlak 4</v>
      </c>
    </row>
    <row r="12" spans="1:63" x14ac:dyDescent="0.25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B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terampil</v>
      </c>
      <c r="BJ12" s="115" t="str">
        <f>IF(BD12="","",VLOOKUP(BD12,DATAKET!$P$3:$Q$12,2,FALSE))</f>
        <v>ketrampilan akidah akhlak 4</v>
      </c>
      <c r="BK12" s="104" t="str">
        <f t="shared" si="14"/>
        <v>terampil ketrampilan akidah akhlak 4</v>
      </c>
    </row>
    <row r="13" spans="1:63" x14ac:dyDescent="0.25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B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terampil</v>
      </c>
      <c r="BJ13" s="115" t="str">
        <f>IF(BD13="","",VLOOKUP(BD13,DATAKET!$R$3:$S$12,2,FALSE))</f>
        <v>ketrampilan akidah akhlak 4</v>
      </c>
      <c r="BK13" s="104" t="str">
        <f t="shared" si="14"/>
        <v>terampil ketrampilan akidah akhlak 4</v>
      </c>
    </row>
    <row r="14" spans="1:63" x14ac:dyDescent="0.25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B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terampil</v>
      </c>
      <c r="BJ14" s="115" t="str">
        <f>IF(BD14="","",VLOOKUP(BD14,DATAKET!$T$3:$U$12,2,FALSE))</f>
        <v>ketrampilan akidah akhlak 7</v>
      </c>
      <c r="BK14" s="104" t="str">
        <f t="shared" si="14"/>
        <v>terampil ketrampilan akidah akhlak 7</v>
      </c>
    </row>
    <row r="15" spans="1:63" x14ac:dyDescent="0.25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C</v>
      </c>
      <c r="BH15" s="105" t="str">
        <f t="shared" si="13"/>
        <v>TUNTAS</v>
      </c>
      <c r="BI15" s="106" t="str">
        <f>IF(BF15="","",IF(BF15&gt;=menu!$O$6,"sangat terampil",IF(BE15&gt;=menu!$O$7,"terampil",IF(BF15&gt;=menu!$O$8,"cukup terampil","kurang terampil"))))</f>
        <v>cukup terampil</v>
      </c>
      <c r="BJ15" s="115" t="str">
        <f>IF(BD15="","",VLOOKUP(BD15,DATAKET!$V$3:$W$12,2,FALSE))</f>
        <v>ketrampilan akidah akhlak 10</v>
      </c>
      <c r="BK15" s="104" t="str">
        <f t="shared" si="14"/>
        <v>cukup terampil ketrampilan akidah akhlak 10</v>
      </c>
    </row>
    <row r="16" spans="1:63" x14ac:dyDescent="0.25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B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terampil</v>
      </c>
      <c r="BJ16" s="115" t="str">
        <f>IF(BD16="","",VLOOKUP(BD16,DATAKET!$X$3:$Y$12,2,FALSE))</f>
        <v>ketrampilan akidah akhlak 1</v>
      </c>
      <c r="BK16" s="104" t="str">
        <f t="shared" si="14"/>
        <v>terampil ketrampilan akidah akhlak 1</v>
      </c>
    </row>
    <row r="17" spans="1:63" x14ac:dyDescent="0.25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B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terampil</v>
      </c>
      <c r="BJ17" s="115" t="str">
        <f>IF(BD17="","",VLOOKUP(BD17,DATAKET!$Z$3:$AA$12,2,FALSE))</f>
        <v>ketrampilan akidah akhlak 2</v>
      </c>
      <c r="BK17" s="104" t="str">
        <f t="shared" si="14"/>
        <v>terampil ketrampilan akidah akhlak 2</v>
      </c>
    </row>
    <row r="18" spans="1:63" x14ac:dyDescent="0.25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B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terampil</v>
      </c>
      <c r="BJ18" s="115" t="str">
        <f>IF(BD18="","",VLOOKUP(BD18,DATAKET!$AB$3:$AC$12,2,FALSE))</f>
        <v>ketrampilan akidah akhlak 1</v>
      </c>
      <c r="BK18" s="104" t="str">
        <f t="shared" si="14"/>
        <v>terampil ketrampilan akidah akhlak 1</v>
      </c>
    </row>
    <row r="19" spans="1:63" x14ac:dyDescent="0.25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B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terampil</v>
      </c>
      <c r="BJ19" s="115" t="str">
        <f>IF(BD19="","",VLOOKUP(BD19,DATAKET!$AD$3:$AE$12,2,FALSE))</f>
        <v>ketrampilan akidah akhlak 1</v>
      </c>
      <c r="BK19" s="104" t="str">
        <f t="shared" si="14"/>
        <v>terampil ketrampilan akidah akhlak 1</v>
      </c>
    </row>
    <row r="20" spans="1:63" x14ac:dyDescent="0.25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B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terampil</v>
      </c>
      <c r="BJ20" s="115" t="str">
        <f>IF(BD20="","",VLOOKUP(BD20,DATAKET!$AF$3:$AG$12,2,FALSE))</f>
        <v>ketrampilan akidah akhlak 4</v>
      </c>
      <c r="BK20" s="104" t="str">
        <f t="shared" si="14"/>
        <v>terampil ketrampilan akidah akhlak 4</v>
      </c>
    </row>
    <row r="21" spans="1:63" x14ac:dyDescent="0.25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B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terampil</v>
      </c>
      <c r="BJ21" s="115" t="str">
        <f>IF(BD21="","",VLOOKUP(BD21,DATAKET!$AH$3:$AI$12,2,FALSE))</f>
        <v>ketrampilan akidah akhlak 1</v>
      </c>
      <c r="BK21" s="104" t="str">
        <f t="shared" si="14"/>
        <v>terampil ketrampilan akidah akhlak 1</v>
      </c>
    </row>
    <row r="22" spans="1:63" x14ac:dyDescent="0.25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B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terampil</v>
      </c>
      <c r="BJ22" s="115" t="str">
        <f>IF(BD22="","",VLOOKUP(BD22,DATAKET!$AJ$3:$AK$12,2,FALSE))</f>
        <v>ketrampilan akidah akhlak 7</v>
      </c>
      <c r="BK22" s="104" t="str">
        <f t="shared" si="14"/>
        <v>terampil ketrampilan akidah akhlak 7</v>
      </c>
    </row>
    <row r="23" spans="1:63" x14ac:dyDescent="0.25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C</v>
      </c>
      <c r="BH23" s="105" t="str">
        <f t="shared" si="13"/>
        <v>TUNTAS</v>
      </c>
      <c r="BI23" s="106" t="str">
        <f>IF(BF23="","",IF(BF23&gt;=menu!$O$6,"sangat terampil",IF(BE23&gt;=menu!$O$7,"terampil",IF(BF23&gt;=menu!$O$8,"cukup terampil","kurang terampil"))))</f>
        <v>cukup terampil</v>
      </c>
      <c r="BJ23" s="115" t="str">
        <f>IF(BD23="","",VLOOKUP(BD23,DATAKET!$AL$3:$AM$12,2,FALSE))</f>
        <v>ketrampilan akidah akhlak 4</v>
      </c>
      <c r="BK23" s="104" t="str">
        <f t="shared" si="14"/>
        <v>cukup terampil ketrampilan akidah akhlak 4</v>
      </c>
    </row>
    <row r="24" spans="1:63" x14ac:dyDescent="0.25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B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terampil</v>
      </c>
      <c r="BJ24" s="115" t="str">
        <f>IF(BD24="","",VLOOKUP(BD24,DATAKET!$AN$3:$AO$12,2,FALSE))</f>
        <v>ketrampilan akidah akhlak 7</v>
      </c>
      <c r="BK24" s="104" t="str">
        <f t="shared" si="14"/>
        <v>terampil ketrampilan akidah akhlak 7</v>
      </c>
    </row>
    <row r="25" spans="1:63" x14ac:dyDescent="0.25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B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terampil</v>
      </c>
      <c r="BJ25" s="115" t="str">
        <f>IF(BD25="","",VLOOKUP(BD25,DATAKET!$AP$3:$AQ$12,2,FALSE))</f>
        <v>ketrampilan akidah akhlak 1</v>
      </c>
      <c r="BK25" s="104" t="str">
        <f t="shared" si="14"/>
        <v>terampil ketrampilan akidah akhlak 1</v>
      </c>
    </row>
    <row r="26" spans="1:63" x14ac:dyDescent="0.25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akidah akhlak 10</v>
      </c>
      <c r="BK26" s="104" t="str">
        <f t="shared" si="14"/>
        <v>cukup terampil ketrampilan akidah akhlak 10</v>
      </c>
    </row>
    <row r="27" spans="1:63" x14ac:dyDescent="0.25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B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terampil</v>
      </c>
      <c r="BJ27" s="115" t="str">
        <f>IF(BD27="","",VLOOKUP(BD27,DATAKET!$AT$3:$AU$12,2,FALSE))</f>
        <v>ketrampilan akidah akhlak 4</v>
      </c>
      <c r="BK27" s="104" t="str">
        <f t="shared" si="14"/>
        <v>terampil ketrampilan akidah akhlak 4</v>
      </c>
    </row>
    <row r="28" spans="1:63" x14ac:dyDescent="0.25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B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terampil</v>
      </c>
      <c r="BJ28" s="115" t="str">
        <f>IF(BD28="","",VLOOKUP(BD28,DATAKET!$AV$3:$AW$12,2,FALSE))</f>
        <v>ketrampilan akidah akhlak 1</v>
      </c>
      <c r="BK28" s="104" t="str">
        <f t="shared" si="14"/>
        <v>terampil ketrampilan akidah akhlak 1</v>
      </c>
    </row>
    <row r="29" spans="1:63" x14ac:dyDescent="0.25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B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terampil</v>
      </c>
      <c r="BJ29" s="115" t="str">
        <f>IF(BD29="","",VLOOKUP(BD29,DATAKET!$AX$3:$AY$12,2,FALSE))</f>
        <v>ketrampilan akidah akhlak 7</v>
      </c>
      <c r="BK29" s="104" t="str">
        <f t="shared" si="14"/>
        <v>terampil ketrampilan akidah akhlak 7</v>
      </c>
    </row>
    <row r="30" spans="1:63" x14ac:dyDescent="0.25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B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terampil</v>
      </c>
      <c r="BJ30" s="115" t="str">
        <f>IF(BD30="","",VLOOKUP(BD30,DATAKET!$AZ$3:$BA$12,2,FALSE))</f>
        <v>ketrampilan akidah akhlak 4</v>
      </c>
      <c r="BK30" s="104" t="str">
        <f t="shared" si="14"/>
        <v>terampil ketrampilan akidah akhlak 4</v>
      </c>
    </row>
    <row r="31" spans="1:63" x14ac:dyDescent="0.25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akidah akhlak 4</v>
      </c>
      <c r="BK31" s="104" t="str">
        <f t="shared" si="14"/>
        <v>terampil ketrampilan akidah akhlak 4</v>
      </c>
    </row>
    <row r="32" spans="1:63" x14ac:dyDescent="0.25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B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terampil</v>
      </c>
      <c r="BJ32" s="115" t="str">
        <f>IF(BD32="","",VLOOKUP(BD32,DATAKET!$BD$3:$BE$12,2,FALSE))</f>
        <v>ketrampilan akidah akhlak 10</v>
      </c>
      <c r="BK32" s="104" t="str">
        <f t="shared" si="14"/>
        <v>terampil ketrampilan akidah akhlak 10</v>
      </c>
    </row>
    <row r="33" spans="1:63" x14ac:dyDescent="0.25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akidah akhlak 9</v>
      </c>
      <c r="BK33" s="104" t="str">
        <f t="shared" si="14"/>
        <v>cukup terampil ketrampilan akidah akhlak 9</v>
      </c>
    </row>
    <row r="34" spans="1:63" x14ac:dyDescent="0.25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B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terampil</v>
      </c>
      <c r="BJ34" s="115" t="str">
        <f>IF(BD34="","",VLOOKUP(BD34,DATAKET!$BH$3:$BI$12,2,FALSE))</f>
        <v>ketrampilan akidah akhlak 1</v>
      </c>
      <c r="BK34" s="104" t="str">
        <f t="shared" si="14"/>
        <v>terampil ketrampilan akidah akhlak 1</v>
      </c>
    </row>
    <row r="35" spans="1:63" x14ac:dyDescent="0.25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akidah akhlak 2</v>
      </c>
      <c r="BK35" s="104" t="str">
        <f t="shared" si="14"/>
        <v>terampil ketrampilan akidah akhlak 2</v>
      </c>
    </row>
    <row r="36" spans="1:63" x14ac:dyDescent="0.25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B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terampil</v>
      </c>
      <c r="BJ36" s="115" t="str">
        <f>IF(BD36="","",VLOOKUP(BD36,DATAKET!$BL$3:$BM$12,2,FALSE))</f>
        <v>ketrampilan akidah akhlak 4</v>
      </c>
      <c r="BK36" s="104" t="str">
        <f t="shared" si="14"/>
        <v>terampil ketrampilan akidah akhlak 4</v>
      </c>
    </row>
    <row r="37" spans="1:63" x14ac:dyDescent="0.25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akidah akhlak 1</v>
      </c>
      <c r="BK37" s="104" t="str">
        <f t="shared" si="14"/>
        <v>terampil ketrampilan akidah akhlak 1</v>
      </c>
    </row>
    <row r="38" spans="1:63" x14ac:dyDescent="0.25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C</v>
      </c>
      <c r="BH38" s="105" t="str">
        <f t="shared" si="13"/>
        <v>TUNTAS</v>
      </c>
      <c r="BI38" s="106" t="str">
        <f>IF(BF38="","",IF(BF38&gt;=menu!$O$6,"sangat terampil",IF(BE38&gt;=menu!$O$7,"terampil",IF(BF38&gt;=menu!$O$8,"cukup terampil","kurang terampil"))))</f>
        <v>cukup terampil</v>
      </c>
      <c r="BJ38" s="115" t="str">
        <f>IF(BD38="","",VLOOKUP(BD38,DATAKET!$BP$3:$BQ$12,2,FALSE))</f>
        <v>ketrampilan akidah akhlak 7</v>
      </c>
      <c r="BK38" s="104" t="str">
        <f t="shared" si="14"/>
        <v>cukup terampil ketrampilan akidah akhlak 7</v>
      </c>
    </row>
    <row r="39" spans="1:63" x14ac:dyDescent="0.25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B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terampil</v>
      </c>
      <c r="BJ39" s="115" t="str">
        <f>IF(BD39="","",VLOOKUP(BD39,DATAKET!$BR$3:$BS$12,2,FALSE))</f>
        <v>ketrampilan akidah akhlak 4</v>
      </c>
      <c r="BK39" s="104" t="str">
        <f t="shared" si="14"/>
        <v>terampil ketrampilan akidah akhlak 4</v>
      </c>
    </row>
    <row r="40" spans="1:63" x14ac:dyDescent="0.25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C</v>
      </c>
      <c r="BH40" s="105" t="str">
        <f t="shared" si="13"/>
        <v>TUNTAS</v>
      </c>
      <c r="BI40" s="106" t="str">
        <f>IF(BF40="","",IF(BF40&gt;=menu!$O$6,"sangat terampil",IF(BE40&gt;=menu!$O$7,"terampil",IF(BF40&gt;=menu!$O$8,"cukup terampil","kurang terampil"))))</f>
        <v>cukup terampil</v>
      </c>
      <c r="BJ40" s="115" t="str">
        <f>IF(BD40="","",VLOOKUP(BD40,DATAKET!$BT$3:$BU$12,2,FALSE))</f>
        <v>ketrampilan akidah akhlak 1</v>
      </c>
      <c r="BK40" s="104" t="str">
        <f t="shared" si="14"/>
        <v>cukup terampil ketrampilan akidah akhlak 1</v>
      </c>
    </row>
    <row r="41" spans="1:63" x14ac:dyDescent="0.25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akidah akhlak 3</v>
      </c>
      <c r="BK41" s="104" t="str">
        <f t="shared" si="14"/>
        <v>cukup terampil ketrampilan akidah akhlak 3</v>
      </c>
    </row>
    <row r="42" spans="1:63" x14ac:dyDescent="0.25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B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akidah akhlak 1</v>
      </c>
      <c r="BK42" s="104" t="str">
        <f t="shared" si="14"/>
        <v>cukup terampil ketrampilan akidah akhlak 1</v>
      </c>
    </row>
    <row r="43" spans="1:63" x14ac:dyDescent="0.25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terampil</v>
      </c>
      <c r="BJ43" s="115" t="str">
        <f>IF(BD43="","",VLOOKUP(BD43,DATAKET!$BZ$3:$CA$12,2,FALSE))</f>
        <v>ketrampilan akidah akhlak 4</v>
      </c>
      <c r="BK43" s="104" t="str">
        <f t="shared" si="14"/>
        <v>terampil ketrampilan akidah akhlak 4</v>
      </c>
    </row>
    <row r="44" spans="1:63" x14ac:dyDescent="0.25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B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terampil</v>
      </c>
      <c r="BJ44" s="115" t="str">
        <f>IF(BD44="","",VLOOKUP(BD44,DATAKET!$CB$3:$CC$12,2,FALSE))</f>
        <v>ketrampilan akidah akhlak 2</v>
      </c>
      <c r="BK44" s="104" t="str">
        <f t="shared" si="14"/>
        <v>terampil ketrampilan akidah akhlak 2</v>
      </c>
    </row>
    <row r="45" spans="1:63" x14ac:dyDescent="0.25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B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terampil</v>
      </c>
      <c r="BJ45" s="115" t="str">
        <f>IF(BD45="","",VLOOKUP(BD45,DATAKET!$CD$3:$CE$12,2,FALSE))</f>
        <v>ketrampilan akidah akhlak 10</v>
      </c>
      <c r="BK45" s="104" t="str">
        <f t="shared" si="14"/>
        <v>terampil ketrampilan akidah akhlak 10</v>
      </c>
    </row>
    <row r="46" spans="1:63" x14ac:dyDescent="0.25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B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terampil</v>
      </c>
      <c r="BJ46" s="115" t="str">
        <f>IF(BD46="","",VLOOKUP(BD46,DATAKET!$CF$3:$CG$12,2,FALSE))</f>
        <v>ketrampilan akidah akhlak 4</v>
      </c>
      <c r="BK46" s="104" t="str">
        <f t="shared" si="14"/>
        <v>terampil ketrampilan akidah akhlak 4</v>
      </c>
    </row>
    <row r="47" spans="1:63" x14ac:dyDescent="0.25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B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terampil</v>
      </c>
      <c r="BJ47" s="115" t="str">
        <f>IF(BD47="","",VLOOKUP(BD47,DATAKET!$CH$3:$CI$12,2,FALSE))</f>
        <v>ketrampilan akidah akhlak 4</v>
      </c>
      <c r="BK47" s="104" t="str">
        <f t="shared" si="14"/>
        <v>terampil ketrampilan akidah akhlak 4</v>
      </c>
    </row>
    <row r="48" spans="1:63" x14ac:dyDescent="0.25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B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terampil</v>
      </c>
      <c r="BJ48" s="115" t="str">
        <f>IF(BD48="","",VLOOKUP(BD48,DATAKET!$CJ$3:$CK$12,2,FALSE))</f>
        <v>ketrampilan akidah akhlak 2</v>
      </c>
      <c r="BK48" s="104" t="str">
        <f t="shared" si="14"/>
        <v>terampil ketrampilan akidah akhlak 2</v>
      </c>
    </row>
    <row r="49" spans="1:63" x14ac:dyDescent="0.25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B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terampil</v>
      </c>
      <c r="BJ49" s="115" t="str">
        <f>IF(BD49="","",VLOOKUP(BD49,DATAKET!$CL$3:$CM$12,2,FALSE))</f>
        <v>ketrampilan akidah akhlak 5</v>
      </c>
      <c r="BK49" s="104" t="str">
        <f t="shared" si="14"/>
        <v>terampil ketrampilan akidah akhlak 5</v>
      </c>
    </row>
    <row r="50" spans="1:63" x14ac:dyDescent="0.25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B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terampil</v>
      </c>
      <c r="BJ50" s="115" t="str">
        <f>IF(BD50="","",VLOOKUP(BD50,DATAKET!$CN$3:$CO$12,2,FALSE))</f>
        <v>ketrampilan akidah akhlak 10</v>
      </c>
      <c r="BK50" s="104" t="str">
        <f t="shared" si="14"/>
        <v>terampil ketrampilan akidah akhlak 10</v>
      </c>
    </row>
    <row r="51" spans="1:63" x14ac:dyDescent="0.25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B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terampil</v>
      </c>
      <c r="BJ51" s="115" t="str">
        <f>IF(BD51="","",VLOOKUP(BD51,DATAKET!$CP$3:$CQ$12,2,FALSE))</f>
        <v>ketrampilan akidah akhlak 4</v>
      </c>
      <c r="BK51" s="104" t="str">
        <f t="shared" si="14"/>
        <v>terampil ketrampilan akidah akhlak 4</v>
      </c>
    </row>
    <row r="52" spans="1:63" x14ac:dyDescent="0.25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B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terampil</v>
      </c>
      <c r="BJ52" s="115" t="str">
        <f>IF(BD52="","",VLOOKUP(BD52,DATAKET!$CR$3:$CS$12,2,FALSE))</f>
        <v>ketrampilan akidah akhlak 2</v>
      </c>
      <c r="BK52" s="104" t="str">
        <f t="shared" si="14"/>
        <v>terampil ketrampilan akidah akhlak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S27"/>
  <sheetViews>
    <sheetView workbookViewId="0">
      <selection activeCell="B21" sqref="B21"/>
    </sheetView>
  </sheetViews>
  <sheetFormatPr defaultRowHeight="15" x14ac:dyDescent="0.25"/>
  <cols>
    <col min="1" max="2" width="9.140625" style="42"/>
    <col min="3" max="3" width="13.85546875" style="42" customWidth="1"/>
    <col min="4" max="16384" width="9.140625" style="42"/>
  </cols>
  <sheetData>
    <row r="1" spans="1:97" x14ac:dyDescent="0.25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8" t="s">
        <v>369</v>
      </c>
      <c r="AY1" s="618"/>
      <c r="AZ1" s="618" t="s">
        <v>370</v>
      </c>
      <c r="BA1" s="618"/>
      <c r="BB1" s="618" t="s">
        <v>371</v>
      </c>
      <c r="BC1" s="618"/>
      <c r="BD1" s="618" t="s">
        <v>372</v>
      </c>
      <c r="BE1" s="618"/>
      <c r="BF1" s="618" t="s">
        <v>373</v>
      </c>
      <c r="BG1" s="618"/>
      <c r="BH1" s="618" t="s">
        <v>374</v>
      </c>
      <c r="BI1" s="618"/>
      <c r="BJ1" s="618" t="s">
        <v>375</v>
      </c>
      <c r="BK1" s="618"/>
      <c r="BL1" s="618" t="s">
        <v>376</v>
      </c>
      <c r="BM1" s="618"/>
      <c r="BN1" s="618" t="s">
        <v>377</v>
      </c>
      <c r="BO1" s="618"/>
      <c r="BP1" s="618" t="s">
        <v>378</v>
      </c>
      <c r="BQ1" s="618"/>
      <c r="BR1" s="618" t="s">
        <v>379</v>
      </c>
      <c r="BS1" s="618"/>
      <c r="BT1" s="618" t="s">
        <v>380</v>
      </c>
      <c r="BU1" s="618"/>
      <c r="BV1" s="618" t="s">
        <v>381</v>
      </c>
      <c r="BW1" s="618"/>
      <c r="BX1" s="618" t="s">
        <v>382</v>
      </c>
      <c r="BY1" s="618"/>
      <c r="BZ1" s="618" t="s">
        <v>383</v>
      </c>
      <c r="CA1" s="618"/>
      <c r="CB1" s="618" t="s">
        <v>384</v>
      </c>
      <c r="CC1" s="618"/>
      <c r="CD1" s="618" t="s">
        <v>385</v>
      </c>
      <c r="CE1" s="618"/>
      <c r="CF1" s="618" t="s">
        <v>386</v>
      </c>
      <c r="CG1" s="618"/>
      <c r="CH1" s="618" t="s">
        <v>387</v>
      </c>
      <c r="CI1" s="618"/>
      <c r="CJ1" s="618" t="s">
        <v>388</v>
      </c>
      <c r="CK1" s="618"/>
      <c r="CL1" s="618" t="s">
        <v>389</v>
      </c>
      <c r="CM1" s="618"/>
      <c r="CN1" s="618" t="s">
        <v>390</v>
      </c>
      <c r="CO1" s="618"/>
      <c r="CP1" s="618" t="s">
        <v>391</v>
      </c>
      <c r="CQ1" s="618"/>
      <c r="CR1" s="618" t="s">
        <v>392</v>
      </c>
      <c r="CS1" s="618"/>
    </row>
    <row r="2" spans="1:97" x14ac:dyDescent="0.25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 x14ac:dyDescent="0.25">
      <c r="A3" s="72">
        <v>1</v>
      </c>
      <c r="B3" s="89">
        <f>IF('Input Nilai Ketrampilan'!J5="","",'Input Nilai Ketrampilan'!J5)</f>
        <v>99</v>
      </c>
      <c r="C3" s="89" t="str">
        <f>IF(B3="","",IF('Input Nilai Ketrampilan'!$F$1="","",'Input Nilai Ketrampilan'!$F$1))</f>
        <v>ketrampilan akidah akhlak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akidah akhlak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akidah akhlak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akidah akhlak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akidah akhlak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akidah akhlak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akidah akhlak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akidah akhlak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akidah akhlak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akidah akhlak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akidah akhlak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akidah akhlak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akidah akhlak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akidah akhlak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akidah akhlak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akidah akhlak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akidah akhlak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akidah akhlak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akidah akhlak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akidah akhlak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akidah akhlak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akidah akhlak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akidah akhlak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akidah akhlak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akidah akhlak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akidah akhlak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akidah akhlak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akidah akhlak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akidah akhlak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akidah akhlak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akidah akhlak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akidah akhlak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akidah akhlak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akidah akhlak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akidah akhlak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akidah akhlak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akidah akhlak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akidah akhlak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akidah akhlak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akidah akhlak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akidah akhlak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akidah akhlak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akidah akhlak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akidah akhlak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akidah akhlak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akidah akhlak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akidah akhlak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akidah akhlak 1</v>
      </c>
    </row>
    <row r="4" spans="1:97" x14ac:dyDescent="0.25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akidah akhlak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akidah akhlak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akidah akhlak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akidah akhlak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akidah akhlak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akidah akhlak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akidah akhlak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akidah akhlak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akidah akhlak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akidah akhlak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akidah akhlak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akidah akhlak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akidah akhlak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akidah akhlak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akidah akhlak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akidah akhlak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akidah akhlak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akidah akhlak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akidah akhlak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akidah akhlak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akidah akhlak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akidah akhlak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akidah akhlak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akidah akhlak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akidah akhlak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akidah akhlak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akidah akhlak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akidah akhlak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akidah akhlak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akidah akhlak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akidah akhlak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akidah akhlak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akidah akhlak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akidah akhlak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akidah akhlak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akidah akhlak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akidah akhlak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akidah akhlak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akidah akhlak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akidah akhlak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akidah akhlak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akidah akhlak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akidah akhlak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akidah akhlak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akidah akhlak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akidah akhlak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akidah akhlak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akidah akhlak 2</v>
      </c>
    </row>
    <row r="5" spans="1:97" x14ac:dyDescent="0.25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akidah akhlak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akidah akhlak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akidah akhlak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akidah akhlak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akidah akhlak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akidah akhlak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akidah akhlak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akidah akhlak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akidah akhlak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akidah akhlak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akidah akhlak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akidah akhlak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akidah akhlak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akidah akhlak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akidah akhlak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akidah akhlak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akidah akhlak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akidah akhlak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akidah akhlak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akidah akhlak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akidah akhlak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akidah akhlak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akidah akhlak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akidah akhlak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akidah akhlak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akidah akhlak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akidah akhlak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akidah akhlak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akidah akhlak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akidah akhlak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akidah akhlak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akidah akhlak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akidah akhlak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akidah akhlak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akidah akhlak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akidah akhlak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akidah akhlak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akidah akhlak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akidah akhlak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akidah akhlak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akidah akhlak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akidah akhlak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akidah akhlak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akidah akhlak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akidah akhlak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akidah akhlak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akidah akhlak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akidah akhlak 3</v>
      </c>
    </row>
    <row r="6" spans="1:97" x14ac:dyDescent="0.25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akidah akhlak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akidah akhlak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akidah akhlak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akidah akhlak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akidah akhlak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akidah akhlak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akidah akhlak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akidah akhlak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akidah akhlak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akidah akhlak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akidah akhlak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akidah akhlak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akidah akhlak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akidah akhlak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akidah akhlak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akidah akhlak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akidah akhlak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akidah akhlak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akidah akhlak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akidah akhlak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akidah akhlak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akidah akhlak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akidah akhlak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akidah akhlak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akidah akhlak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akidah akhlak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akidah akhlak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akidah akhlak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akidah akhlak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akidah akhlak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akidah akhlak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akidah akhlak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akidah akhlak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akidah akhlak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akidah akhlak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akidah akhlak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akidah akhlak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akidah akhlak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akidah akhlak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akidah akhlak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akidah akhlak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akidah akhlak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akidah akhlak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akidah akhlak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akidah akhlak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akidah akhlak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akidah akhlak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akidah akhlak 4</v>
      </c>
    </row>
    <row r="7" spans="1:97" x14ac:dyDescent="0.25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akidah akhlak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akidah akhlak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akidah akhlak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akidah akhlak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akidah akhlak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akidah akhlak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akidah akhlak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akidah akhlak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akidah akhlak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akidah akhlak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akidah akhlak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akidah akhlak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akidah akhlak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akidah akhlak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akidah akhlak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akidah akhlak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akidah akhlak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akidah akhlak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akidah akhlak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akidah akhlak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akidah akhlak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akidah akhlak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akidah akhlak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akidah akhlak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akidah akhlak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akidah akhlak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akidah akhlak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akidah akhlak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akidah akhlak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akidah akhlak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akidah akhlak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akidah akhlak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akidah akhlak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akidah akhlak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akidah akhlak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akidah akhlak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akidah akhlak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akidah akhlak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akidah akhlak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akidah akhlak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akidah akhlak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akidah akhlak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akidah akhlak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akidah akhlak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akidah akhlak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akidah akhlak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akidah akhlak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akidah akhlak 5</v>
      </c>
    </row>
    <row r="8" spans="1:97" x14ac:dyDescent="0.25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akidah akhlak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akidah akhlak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akidah akhlak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akidah akhlak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akidah akhlak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akidah akhlak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akidah akhlak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akidah akhlak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akidah akhlak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akidah akhlak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akidah akhlak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akidah akhlak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akidah akhlak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akidah akhlak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akidah akhlak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akidah akhlak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akidah akhlak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akidah akhlak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akidah akhlak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akidah akhlak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akidah akhlak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akidah akhlak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akidah akhlak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akidah akhlak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akidah akhlak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akidah akhlak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akidah akhlak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akidah akhlak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akidah akhlak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akidah akhlak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akidah akhlak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akidah akhlak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akidah akhlak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akidah akhlak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akidah akhlak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akidah akhlak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akidah akhlak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akidah akhlak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akidah akhlak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akidah akhlak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akidah akhlak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akidah akhlak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akidah akhlak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akidah akhlak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akidah akhlak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akidah akhlak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akidah akhlak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akidah akhlak 6</v>
      </c>
    </row>
    <row r="9" spans="1:97" x14ac:dyDescent="0.25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akidah akhlak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akidah akhlak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akidah akhlak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akidah akhlak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akidah akhlak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akidah akhlak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akidah akhlak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akidah akhlak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akidah akhlak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akidah akhlak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akidah akhlak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akidah akhlak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akidah akhlak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akidah akhlak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akidah akhlak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akidah akhlak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akidah akhlak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akidah akhlak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akidah akhlak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akidah akhlak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akidah akhlak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akidah akhlak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akidah akhlak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akidah akhlak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akidah akhlak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akidah akhlak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akidah akhlak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akidah akhlak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akidah akhlak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akidah akhlak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akidah akhlak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akidah akhlak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akidah akhlak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akidah akhlak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akidah akhlak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akidah akhlak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akidah akhlak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akidah akhlak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akidah akhlak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akidah akhlak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akidah akhlak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akidah akhlak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akidah akhlak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akidah akhlak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akidah akhlak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akidah akhlak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akidah akhlak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akidah akhlak 7</v>
      </c>
    </row>
    <row r="10" spans="1:97" x14ac:dyDescent="0.25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akidah akhlak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akidah akhlak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akidah akhlak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akidah akhlak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akidah akhlak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akidah akhlak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akidah akhlak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akidah akhlak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akidah akhlak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akidah akhlak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akidah akhlak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akidah akhlak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akidah akhlak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akidah akhlak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akidah akhlak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akidah akhlak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akidah akhlak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akidah akhlak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akidah akhlak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akidah akhlak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akidah akhlak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akidah akhlak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akidah akhlak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akidah akhlak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akidah akhlak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akidah akhlak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akidah akhlak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akidah akhlak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akidah akhlak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akidah akhlak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akidah akhlak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akidah akhlak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akidah akhlak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akidah akhlak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akidah akhlak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akidah akhlak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akidah akhlak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akidah akhlak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akidah akhlak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akidah akhlak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akidah akhlak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akidah akhlak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akidah akhlak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akidah akhlak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akidah akhlak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akidah akhlak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akidah akhlak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akidah akhlak 8</v>
      </c>
    </row>
    <row r="11" spans="1:97" x14ac:dyDescent="0.25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akidah akhlak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akidah akhlak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akidah akhlak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akidah akhlak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akidah akhlak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akidah akhlak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akidah akhlak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akidah akhlak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akidah akhlak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akidah akhlak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akidah akhlak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akidah akhlak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akidah akhlak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akidah akhlak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akidah akhlak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akidah akhlak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akidah akhlak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akidah akhlak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akidah akhlak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akidah akhlak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akidah akhlak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akidah akhlak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akidah akhlak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akidah akhlak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akidah akhlak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akidah akhlak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akidah akhlak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akidah akhlak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akidah akhlak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akidah akhlak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akidah akhlak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akidah akhlak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akidah akhlak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akidah akhlak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akidah akhlak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akidah akhlak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akidah akhlak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akidah akhlak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akidah akhlak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akidah akhlak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akidah akhlak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akidah akhlak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akidah akhlak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akidah akhlak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akidah akhlak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akidah akhlak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akidah akhlak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akidah akhlak 9</v>
      </c>
    </row>
    <row r="12" spans="1:97" x14ac:dyDescent="0.25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akidah akhlak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akidah akhlak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akidah akhlak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akidah akhlak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akidah akhlak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akidah akhlak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akidah akhlak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akidah akhlak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akidah akhlak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akidah akhlak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akidah akhlak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akidah akhlak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akidah akhlak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akidah akhlak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akidah akhlak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akidah akhlak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akidah akhlak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akidah akhlak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akidah akhlak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akidah akhlak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akidah akhlak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akidah akhlak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akidah akhlak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akidah akhlak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akidah akhlak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akidah akhlak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akidah akhlak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akidah akhlak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akidah akhlak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akidah akhlak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akidah akhlak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akidah akhlak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akidah akhlak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akidah akhlak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akidah akhlak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akidah akhlak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akidah akhlak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akidah akhlak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akidah akhlak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akidah akhlak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akidah akhlak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akidah akhlak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akidah akhlak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akidah akhlak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akidah akhlak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akidah akhlak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akidah akhlak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akidah akhlak 10</v>
      </c>
    </row>
    <row r="15" spans="1:97" x14ac:dyDescent="0.25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 x14ac:dyDescent="0.25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 x14ac:dyDescent="0.25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 x14ac:dyDescent="0.25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 x14ac:dyDescent="0.25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 x14ac:dyDescent="0.25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 x14ac:dyDescent="0.25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 x14ac:dyDescent="0.25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 x14ac:dyDescent="0.25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 x14ac:dyDescent="0.25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 x14ac:dyDescent="0.25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 x14ac:dyDescent="0.25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 x14ac:dyDescent="0.2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 x14ac:dyDescent="0.25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49</v>
      </c>
      <c r="G1" s="482"/>
      <c r="H1" s="482"/>
      <c r="I1" s="482"/>
      <c r="J1" s="638" t="s">
        <v>43</v>
      </c>
      <c r="K1" s="482" t="s">
        <v>37</v>
      </c>
      <c r="L1" s="482"/>
      <c r="M1" s="482"/>
      <c r="N1" s="482"/>
      <c r="O1" s="638" t="s">
        <v>43</v>
      </c>
      <c r="P1" s="482" t="s">
        <v>37</v>
      </c>
      <c r="Q1" s="482"/>
      <c r="R1" s="482"/>
      <c r="S1" s="482"/>
      <c r="T1" s="638" t="s">
        <v>43</v>
      </c>
      <c r="U1" s="482" t="s">
        <v>37</v>
      </c>
      <c r="V1" s="482"/>
      <c r="W1" s="482"/>
      <c r="X1" s="482"/>
      <c r="Y1" s="638" t="s">
        <v>43</v>
      </c>
      <c r="Z1" s="482" t="s">
        <v>37</v>
      </c>
      <c r="AA1" s="482"/>
      <c r="AB1" s="482"/>
      <c r="AC1" s="482"/>
      <c r="AD1" s="638" t="s">
        <v>43</v>
      </c>
      <c r="AE1" s="482" t="s">
        <v>37</v>
      </c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638" t="s">
        <v>43</v>
      </c>
      <c r="AO1" s="482" t="s">
        <v>37</v>
      </c>
      <c r="AP1" s="482"/>
      <c r="AQ1" s="482"/>
      <c r="AR1" s="482"/>
      <c r="AS1" s="638" t="s">
        <v>43</v>
      </c>
      <c r="AT1" s="482" t="s">
        <v>37</v>
      </c>
      <c r="AU1" s="482"/>
      <c r="AV1" s="482"/>
      <c r="AW1" s="482"/>
      <c r="AX1" s="638" t="s">
        <v>43</v>
      </c>
      <c r="AY1" s="482" t="s">
        <v>37</v>
      </c>
      <c r="AZ1" s="482"/>
      <c r="BA1" s="482"/>
      <c r="BB1" s="482"/>
      <c r="BC1" s="638" t="s">
        <v>43</v>
      </c>
    </row>
    <row r="2" spans="1:55" ht="15" customHeight="1" x14ac:dyDescent="0.25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639"/>
      <c r="K2" s="482">
        <f>'Input Nilai Ketrampilan'!K2</f>
        <v>42</v>
      </c>
      <c r="L2" s="482"/>
      <c r="M2" s="482"/>
      <c r="N2" s="482"/>
      <c r="O2" s="639"/>
      <c r="P2" s="482">
        <f>'Input Nilai Ketrampilan'!P2</f>
        <v>43</v>
      </c>
      <c r="Q2" s="482"/>
      <c r="R2" s="482"/>
      <c r="S2" s="482"/>
      <c r="T2" s="639"/>
      <c r="U2" s="482">
        <f>'Input Nilai Ketrampilan'!U2</f>
        <v>44</v>
      </c>
      <c r="V2" s="482"/>
      <c r="W2" s="482"/>
      <c r="X2" s="482"/>
      <c r="Y2" s="639"/>
      <c r="Z2" s="482">
        <f>'Input Nilai Ketrampilan'!Z2</f>
        <v>45</v>
      </c>
      <c r="AA2" s="482"/>
      <c r="AB2" s="482"/>
      <c r="AC2" s="482"/>
      <c r="AD2" s="639"/>
      <c r="AE2" s="482">
        <f>'Input Nilai Ketrampilan'!AE2</f>
        <v>46</v>
      </c>
      <c r="AF2" s="482"/>
      <c r="AG2" s="482"/>
      <c r="AH2" s="482"/>
      <c r="AI2" s="639"/>
      <c r="AJ2" s="482">
        <f>'Input Nilai Ketrampilan'!AJ2</f>
        <v>47</v>
      </c>
      <c r="AK2" s="482"/>
      <c r="AL2" s="482"/>
      <c r="AM2" s="482"/>
      <c r="AN2" s="639"/>
      <c r="AO2" s="482">
        <f>'Input Nilai Ketrampilan'!AO2</f>
        <v>48</v>
      </c>
      <c r="AP2" s="482"/>
      <c r="AQ2" s="482"/>
      <c r="AR2" s="482"/>
      <c r="AS2" s="639"/>
      <c r="AT2" s="482">
        <f>'Input Nilai Ketrampilan'!AT2</f>
        <v>49</v>
      </c>
      <c r="AU2" s="482"/>
      <c r="AV2" s="482"/>
      <c r="AW2" s="482"/>
      <c r="AX2" s="639"/>
      <c r="AY2" s="482">
        <f>'Input Nilai Ketrampilan'!AY2</f>
        <v>410</v>
      </c>
      <c r="AZ2" s="482"/>
      <c r="BA2" s="482"/>
      <c r="BB2" s="482"/>
      <c r="BC2" s="639"/>
    </row>
    <row r="3" spans="1:55" ht="109.5" x14ac:dyDescent="0.25">
      <c r="A3" s="480"/>
      <c r="B3" s="480"/>
      <c r="C3" s="481"/>
      <c r="D3" s="482"/>
      <c r="E3" s="485"/>
      <c r="F3" s="111" t="s">
        <v>46</v>
      </c>
      <c r="G3" s="112" t="s">
        <v>47</v>
      </c>
      <c r="H3" s="112" t="s">
        <v>48</v>
      </c>
      <c r="I3" s="111" t="s">
        <v>42</v>
      </c>
      <c r="J3" s="640"/>
      <c r="K3" s="111" t="s">
        <v>46</v>
      </c>
      <c r="L3" s="112" t="s">
        <v>47</v>
      </c>
      <c r="M3" s="112" t="s">
        <v>48</v>
      </c>
      <c r="N3" s="111" t="s">
        <v>42</v>
      </c>
      <c r="O3" s="640"/>
      <c r="P3" s="111" t="s">
        <v>46</v>
      </c>
      <c r="Q3" s="112" t="s">
        <v>47</v>
      </c>
      <c r="R3" s="112" t="s">
        <v>48</v>
      </c>
      <c r="S3" s="111" t="s">
        <v>42</v>
      </c>
      <c r="T3" s="640"/>
      <c r="U3" s="111" t="s">
        <v>46</v>
      </c>
      <c r="V3" s="112" t="s">
        <v>47</v>
      </c>
      <c r="W3" s="112" t="s">
        <v>48</v>
      </c>
      <c r="X3" s="111" t="s">
        <v>42</v>
      </c>
      <c r="Y3" s="640"/>
      <c r="Z3" s="111" t="s">
        <v>46</v>
      </c>
      <c r="AA3" s="112" t="s">
        <v>47</v>
      </c>
      <c r="AB3" s="112" t="s">
        <v>48</v>
      </c>
      <c r="AC3" s="111" t="s">
        <v>42</v>
      </c>
      <c r="AD3" s="640"/>
      <c r="AE3" s="111" t="s">
        <v>46</v>
      </c>
      <c r="AF3" s="112" t="s">
        <v>47</v>
      </c>
      <c r="AG3" s="112" t="s">
        <v>48</v>
      </c>
      <c r="AH3" s="111" t="s">
        <v>42</v>
      </c>
      <c r="AI3" s="640"/>
      <c r="AJ3" s="111" t="s">
        <v>46</v>
      </c>
      <c r="AK3" s="112" t="s">
        <v>47</v>
      </c>
      <c r="AL3" s="112" t="s">
        <v>48</v>
      </c>
      <c r="AM3" s="111" t="s">
        <v>42</v>
      </c>
      <c r="AN3" s="640"/>
      <c r="AO3" s="111" t="s">
        <v>46</v>
      </c>
      <c r="AP3" s="112" t="s">
        <v>47</v>
      </c>
      <c r="AQ3" s="112" t="s">
        <v>48</v>
      </c>
      <c r="AR3" s="111" t="s">
        <v>42</v>
      </c>
      <c r="AS3" s="640"/>
      <c r="AT3" s="111" t="s">
        <v>46</v>
      </c>
      <c r="AU3" s="112" t="s">
        <v>47</v>
      </c>
      <c r="AV3" s="112" t="s">
        <v>48</v>
      </c>
      <c r="AW3" s="111" t="s">
        <v>42</v>
      </c>
      <c r="AX3" s="640"/>
      <c r="AY3" s="111" t="s">
        <v>46</v>
      </c>
      <c r="AZ3" s="112" t="s">
        <v>47</v>
      </c>
      <c r="BA3" s="112" t="s">
        <v>48</v>
      </c>
      <c r="BB3" s="111" t="s">
        <v>42</v>
      </c>
      <c r="BC3" s="640"/>
    </row>
    <row r="4" spans="1:55" x14ac:dyDescent="0.2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 x14ac:dyDescent="0.2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 x14ac:dyDescent="0.2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 x14ac:dyDescent="0.2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 x14ac:dyDescent="0.2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 x14ac:dyDescent="0.2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 x14ac:dyDescent="0.2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 x14ac:dyDescent="0.2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 x14ac:dyDescent="0.2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 x14ac:dyDescent="0.2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 x14ac:dyDescent="0.2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 x14ac:dyDescent="0.2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 x14ac:dyDescent="0.2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 x14ac:dyDescent="0.2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 x14ac:dyDescent="0.2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 x14ac:dyDescent="0.2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 x14ac:dyDescent="0.2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 x14ac:dyDescent="0.2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 x14ac:dyDescent="0.2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 x14ac:dyDescent="0.2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 x14ac:dyDescent="0.2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 x14ac:dyDescent="0.2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 x14ac:dyDescent="0.2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 x14ac:dyDescent="0.2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 x14ac:dyDescent="0.2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 x14ac:dyDescent="0.2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 x14ac:dyDescent="0.2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 x14ac:dyDescent="0.2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 x14ac:dyDescent="0.2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 x14ac:dyDescent="0.2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 x14ac:dyDescent="0.2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 x14ac:dyDescent="0.2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 x14ac:dyDescent="0.2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 x14ac:dyDescent="0.2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 x14ac:dyDescent="0.2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 x14ac:dyDescent="0.2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 x14ac:dyDescent="0.2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 x14ac:dyDescent="0.2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 x14ac:dyDescent="0.2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 x14ac:dyDescent="0.2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 x14ac:dyDescent="0.2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 x14ac:dyDescent="0.2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 x14ac:dyDescent="0.2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 x14ac:dyDescent="0.2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 x14ac:dyDescent="0.2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 x14ac:dyDescent="0.2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 x14ac:dyDescent="0.2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 x14ac:dyDescent="0.2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 x14ac:dyDescent="0.2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 x14ac:dyDescent="0.2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 x14ac:dyDescent="0.25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37</v>
      </c>
      <c r="G1" s="482"/>
      <c r="H1" s="482"/>
      <c r="I1" s="482"/>
      <c r="J1" s="482"/>
      <c r="K1" s="638" t="s">
        <v>43</v>
      </c>
      <c r="L1" s="482" t="s">
        <v>37</v>
      </c>
      <c r="M1" s="482"/>
      <c r="N1" s="482"/>
      <c r="O1" s="482"/>
      <c r="P1" s="482"/>
      <c r="Q1" s="638" t="s">
        <v>43</v>
      </c>
      <c r="R1" s="482" t="s">
        <v>37</v>
      </c>
      <c r="S1" s="482"/>
      <c r="T1" s="482"/>
      <c r="U1" s="482"/>
      <c r="V1" s="482"/>
      <c r="W1" s="638" t="s">
        <v>43</v>
      </c>
      <c r="X1" s="482" t="s">
        <v>37</v>
      </c>
      <c r="Y1" s="482"/>
      <c r="Z1" s="482"/>
      <c r="AA1" s="482"/>
      <c r="AB1" s="482"/>
      <c r="AC1" s="638" t="s">
        <v>43</v>
      </c>
      <c r="AD1" s="482" t="s">
        <v>37</v>
      </c>
      <c r="AE1" s="482"/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482"/>
      <c r="AO1" s="638" t="s">
        <v>43</v>
      </c>
      <c r="AP1" s="482" t="s">
        <v>37</v>
      </c>
      <c r="AQ1" s="482"/>
      <c r="AR1" s="482"/>
      <c r="AS1" s="482"/>
      <c r="AT1" s="482"/>
      <c r="AU1" s="638" t="s">
        <v>43</v>
      </c>
      <c r="AV1" s="482" t="s">
        <v>37</v>
      </c>
      <c r="AW1" s="482"/>
      <c r="AX1" s="482"/>
      <c r="AY1" s="482"/>
      <c r="AZ1" s="482"/>
      <c r="BA1" s="638" t="s">
        <v>43</v>
      </c>
      <c r="BB1" s="482" t="s">
        <v>37</v>
      </c>
      <c r="BC1" s="482"/>
      <c r="BD1" s="482"/>
      <c r="BE1" s="482"/>
      <c r="BF1" s="482"/>
      <c r="BG1" s="638" t="s">
        <v>43</v>
      </c>
      <c r="BH1" s="482" t="s">
        <v>37</v>
      </c>
      <c r="BI1" s="482"/>
      <c r="BJ1" s="482"/>
      <c r="BK1" s="482"/>
      <c r="BL1" s="482"/>
      <c r="BM1" s="638" t="s">
        <v>43</v>
      </c>
    </row>
    <row r="2" spans="1:65" ht="15" customHeight="1" x14ac:dyDescent="0.25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482"/>
      <c r="K2" s="639"/>
      <c r="L2" s="482">
        <f>'Input Nilai Ketrampilan'!K2</f>
        <v>42</v>
      </c>
      <c r="M2" s="482"/>
      <c r="N2" s="482"/>
      <c r="O2" s="482"/>
      <c r="P2" s="482"/>
      <c r="Q2" s="639"/>
      <c r="R2" s="482">
        <f>'Input Nilai Ketrampilan'!P2</f>
        <v>43</v>
      </c>
      <c r="S2" s="482"/>
      <c r="T2" s="482"/>
      <c r="U2" s="482"/>
      <c r="V2" s="482"/>
      <c r="W2" s="639"/>
      <c r="X2" s="482">
        <f>'Input Nilai Ketrampilan'!U2</f>
        <v>44</v>
      </c>
      <c r="Y2" s="482"/>
      <c r="Z2" s="482"/>
      <c r="AA2" s="482"/>
      <c r="AB2" s="482"/>
      <c r="AC2" s="639"/>
      <c r="AD2" s="482">
        <f>'Input Nilai Ketrampilan'!Z2</f>
        <v>45</v>
      </c>
      <c r="AE2" s="482"/>
      <c r="AF2" s="482"/>
      <c r="AG2" s="482"/>
      <c r="AH2" s="482"/>
      <c r="AI2" s="639"/>
      <c r="AJ2" s="482">
        <f>'Input Nilai Ketrampilan'!AE2</f>
        <v>46</v>
      </c>
      <c r="AK2" s="482"/>
      <c r="AL2" s="482"/>
      <c r="AM2" s="482"/>
      <c r="AN2" s="482"/>
      <c r="AO2" s="639"/>
      <c r="AP2" s="482">
        <f>'Input Nilai Ketrampilan'!AJ2</f>
        <v>47</v>
      </c>
      <c r="AQ2" s="482"/>
      <c r="AR2" s="482"/>
      <c r="AS2" s="482"/>
      <c r="AT2" s="482"/>
      <c r="AU2" s="639"/>
      <c r="AV2" s="482">
        <f>'Input Nilai Ketrampilan'!AO2</f>
        <v>48</v>
      </c>
      <c r="AW2" s="482"/>
      <c r="AX2" s="482"/>
      <c r="AY2" s="482"/>
      <c r="AZ2" s="482"/>
      <c r="BA2" s="639"/>
      <c r="BB2" s="482">
        <f>'Input Nilai Ketrampilan'!AT2</f>
        <v>49</v>
      </c>
      <c r="BC2" s="482"/>
      <c r="BD2" s="482"/>
      <c r="BE2" s="482"/>
      <c r="BF2" s="482"/>
      <c r="BG2" s="639"/>
      <c r="BH2" s="482">
        <f>'Input Nilai Ketrampilan'!AY2</f>
        <v>410</v>
      </c>
      <c r="BI2" s="482"/>
      <c r="BJ2" s="482"/>
      <c r="BK2" s="482"/>
      <c r="BL2" s="482"/>
      <c r="BM2" s="639"/>
    </row>
    <row r="3" spans="1:65" ht="102" x14ac:dyDescent="0.25">
      <c r="A3" s="480"/>
      <c r="B3" s="480"/>
      <c r="C3" s="481"/>
      <c r="D3" s="482"/>
      <c r="E3" s="485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40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40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40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40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40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40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40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40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40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40"/>
    </row>
    <row r="4" spans="1:65" x14ac:dyDescent="0.2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 x14ac:dyDescent="0.2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 x14ac:dyDescent="0.2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 x14ac:dyDescent="0.2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 x14ac:dyDescent="0.2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 x14ac:dyDescent="0.2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 x14ac:dyDescent="0.2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 x14ac:dyDescent="0.2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 x14ac:dyDescent="0.2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 x14ac:dyDescent="0.2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 x14ac:dyDescent="0.2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 x14ac:dyDescent="0.2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 x14ac:dyDescent="0.2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 x14ac:dyDescent="0.2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 x14ac:dyDescent="0.2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 x14ac:dyDescent="0.2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 x14ac:dyDescent="0.2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 x14ac:dyDescent="0.2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 x14ac:dyDescent="0.2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 x14ac:dyDescent="0.2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 x14ac:dyDescent="0.2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 x14ac:dyDescent="0.2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 x14ac:dyDescent="0.2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 x14ac:dyDescent="0.2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 x14ac:dyDescent="0.2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 x14ac:dyDescent="0.2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 x14ac:dyDescent="0.2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 x14ac:dyDescent="0.2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 x14ac:dyDescent="0.2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 x14ac:dyDescent="0.2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 x14ac:dyDescent="0.2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 x14ac:dyDescent="0.2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 x14ac:dyDescent="0.2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 x14ac:dyDescent="0.2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 x14ac:dyDescent="0.2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 x14ac:dyDescent="0.2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 x14ac:dyDescent="0.2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 x14ac:dyDescent="0.2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 x14ac:dyDescent="0.2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 x14ac:dyDescent="0.2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 x14ac:dyDescent="0.2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 x14ac:dyDescent="0.2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 x14ac:dyDescent="0.2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 x14ac:dyDescent="0.2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 x14ac:dyDescent="0.2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 x14ac:dyDescent="0.2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 x14ac:dyDescent="0.2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 x14ac:dyDescent="0.2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 x14ac:dyDescent="0.2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 x14ac:dyDescent="0.2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/>
  </sheetViews>
  <sheetFormatPr defaultRowHeight="15" x14ac:dyDescent="0.25"/>
  <cols>
    <col min="1" max="1" width="5.28515625" customWidth="1"/>
    <col min="2" max="2" width="69.28515625" customWidth="1"/>
    <col min="3" max="6" width="5.28515625" customWidth="1"/>
  </cols>
  <sheetData>
    <row r="1" spans="1:6" ht="22.5" x14ac:dyDescent="0.25">
      <c r="A1" s="2" t="s">
        <v>52</v>
      </c>
      <c r="B1" s="3"/>
      <c r="C1" s="3"/>
      <c r="D1" s="3"/>
      <c r="E1" s="3"/>
      <c r="F1" s="3"/>
    </row>
    <row r="2" spans="1:6" ht="15.75" x14ac:dyDescent="0.25">
      <c r="A2" s="4"/>
      <c r="B2" s="5"/>
      <c r="C2" s="5"/>
      <c r="D2" s="5"/>
      <c r="E2" s="5"/>
      <c r="F2" s="5"/>
    </row>
    <row r="3" spans="1:6" ht="15.75" x14ac:dyDescent="0.25">
      <c r="A3" s="5"/>
      <c r="B3" s="5"/>
      <c r="C3" s="6"/>
      <c r="D3" s="5" t="s">
        <v>53</v>
      </c>
      <c r="E3" s="5"/>
      <c r="F3" s="5"/>
    </row>
    <row r="4" spans="1:6" ht="15.75" x14ac:dyDescent="0.25">
      <c r="A4" s="5"/>
      <c r="B4" s="5"/>
      <c r="C4" s="6"/>
      <c r="D4" s="5" t="s">
        <v>54</v>
      </c>
      <c r="E4" s="5"/>
      <c r="F4" s="5"/>
    </row>
    <row r="5" spans="1:6" ht="15.75" x14ac:dyDescent="0.25">
      <c r="A5" s="5"/>
      <c r="B5" s="5"/>
      <c r="C5" s="6"/>
      <c r="D5" s="5" t="s">
        <v>55</v>
      </c>
      <c r="E5" s="5"/>
      <c r="F5" s="5"/>
    </row>
    <row r="6" spans="1:6" ht="15.75" x14ac:dyDescent="0.25">
      <c r="A6" s="5"/>
      <c r="B6" s="5"/>
      <c r="C6" s="6"/>
      <c r="D6" s="5" t="s">
        <v>56</v>
      </c>
      <c r="E6" s="5"/>
      <c r="F6" s="5"/>
    </row>
    <row r="7" spans="1:6" ht="15.75" x14ac:dyDescent="0.25">
      <c r="A7" s="5"/>
      <c r="B7" s="5"/>
      <c r="C7" s="6"/>
      <c r="D7" s="5"/>
      <c r="E7" s="5"/>
      <c r="F7" s="5"/>
    </row>
    <row r="8" spans="1:6" ht="15.75" x14ac:dyDescent="0.25">
      <c r="A8" s="7" t="s">
        <v>57</v>
      </c>
      <c r="B8" s="7"/>
      <c r="C8" s="7"/>
      <c r="D8" s="7"/>
      <c r="E8" s="7"/>
      <c r="F8" s="7"/>
    </row>
    <row r="9" spans="1:6" ht="15.75" x14ac:dyDescent="0.25">
      <c r="A9" s="641" t="s">
        <v>58</v>
      </c>
      <c r="B9" s="641" t="s">
        <v>59</v>
      </c>
      <c r="C9" s="641" t="s">
        <v>60</v>
      </c>
      <c r="D9" s="641"/>
      <c r="E9" s="641"/>
      <c r="F9" s="641"/>
    </row>
    <row r="10" spans="1:6" ht="15.75" x14ac:dyDescent="0.25">
      <c r="A10" s="641"/>
      <c r="B10" s="641"/>
      <c r="C10" s="8">
        <v>1</v>
      </c>
      <c r="D10" s="8">
        <v>2</v>
      </c>
      <c r="E10" s="8">
        <v>3</v>
      </c>
      <c r="F10" s="8">
        <v>4</v>
      </c>
    </row>
    <row r="11" spans="1:6" ht="15.75" x14ac:dyDescent="0.25">
      <c r="A11" s="9"/>
      <c r="B11" s="10"/>
      <c r="C11" s="9"/>
      <c r="D11" s="9"/>
      <c r="E11" s="9"/>
      <c r="F11" s="9"/>
    </row>
    <row r="12" spans="1:6" ht="15.75" x14ac:dyDescent="0.25">
      <c r="A12" s="11">
        <v>1</v>
      </c>
      <c r="B12" s="12" t="s">
        <v>61</v>
      </c>
      <c r="C12" s="11"/>
      <c r="D12" s="11"/>
      <c r="E12" s="11"/>
      <c r="F12" s="11"/>
    </row>
    <row r="13" spans="1:6" ht="31.5" x14ac:dyDescent="0.25">
      <c r="A13" s="11">
        <v>2</v>
      </c>
      <c r="B13" s="13" t="s">
        <v>62</v>
      </c>
      <c r="C13" s="11"/>
      <c r="D13" s="11"/>
      <c r="E13" s="11"/>
      <c r="F13" s="11"/>
    </row>
    <row r="14" spans="1:6" ht="15.75" x14ac:dyDescent="0.25">
      <c r="A14" s="11">
        <v>3</v>
      </c>
      <c r="B14" s="12" t="s">
        <v>63</v>
      </c>
      <c r="C14" s="11"/>
      <c r="D14" s="11"/>
      <c r="E14" s="11"/>
      <c r="F14" s="11"/>
    </row>
    <row r="15" spans="1:6" ht="15.75" x14ac:dyDescent="0.25">
      <c r="A15" s="11">
        <v>4</v>
      </c>
      <c r="B15" s="12" t="s">
        <v>64</v>
      </c>
      <c r="C15" s="11"/>
      <c r="D15" s="11"/>
      <c r="E15" s="11"/>
      <c r="F15" s="11"/>
    </row>
    <row r="16" spans="1:6" ht="15.75" x14ac:dyDescent="0.25">
      <c r="A16" s="11">
        <v>5</v>
      </c>
      <c r="B16" s="12" t="s">
        <v>65</v>
      </c>
      <c r="C16" s="11"/>
      <c r="D16" s="11"/>
      <c r="E16" s="11"/>
      <c r="F16" s="11"/>
    </row>
    <row r="17" spans="1:6" ht="15.75" x14ac:dyDescent="0.25">
      <c r="A17" s="9"/>
      <c r="B17" s="14"/>
      <c r="C17" s="9"/>
      <c r="D17" s="9"/>
      <c r="E17" s="9"/>
      <c r="F17" s="9"/>
    </row>
    <row r="18" spans="1:6" ht="15.75" x14ac:dyDescent="0.25">
      <c r="A18" s="15">
        <v>1</v>
      </c>
      <c r="B18" s="16" t="s">
        <v>66</v>
      </c>
      <c r="C18" s="15"/>
      <c r="D18" s="15"/>
      <c r="E18" s="15"/>
      <c r="F18" s="15"/>
    </row>
    <row r="19" spans="1:6" ht="15.75" x14ac:dyDescent="0.25">
      <c r="A19" s="15">
        <v>2</v>
      </c>
      <c r="B19" s="16" t="s">
        <v>67</v>
      </c>
      <c r="C19" s="15"/>
      <c r="D19" s="15"/>
      <c r="E19" s="15"/>
      <c r="F19" s="15"/>
    </row>
    <row r="20" spans="1:6" ht="15.75" x14ac:dyDescent="0.25">
      <c r="A20" s="15">
        <v>3</v>
      </c>
      <c r="B20" s="16" t="s">
        <v>68</v>
      </c>
      <c r="C20" s="15"/>
      <c r="D20" s="15"/>
      <c r="E20" s="15"/>
      <c r="F20" s="15"/>
    </row>
    <row r="21" spans="1:6" ht="15.75" x14ac:dyDescent="0.25">
      <c r="A21" s="15">
        <v>4</v>
      </c>
      <c r="B21" s="16" t="s">
        <v>69</v>
      </c>
      <c r="C21" s="15"/>
      <c r="D21" s="15"/>
      <c r="E21" s="15"/>
      <c r="F21" s="15"/>
    </row>
    <row r="22" spans="1:6" ht="15.75" x14ac:dyDescent="0.25">
      <c r="A22" s="15">
        <v>5</v>
      </c>
      <c r="B22" s="16" t="s">
        <v>70</v>
      </c>
      <c r="C22" s="15"/>
      <c r="D22" s="15"/>
      <c r="E22" s="15"/>
      <c r="F22" s="15"/>
    </row>
    <row r="23" spans="1:6" ht="15.75" x14ac:dyDescent="0.25">
      <c r="A23" s="15">
        <v>6</v>
      </c>
      <c r="B23" s="16" t="s">
        <v>71</v>
      </c>
      <c r="C23" s="15"/>
      <c r="D23" s="15"/>
      <c r="E23" s="15"/>
      <c r="F23" s="15"/>
    </row>
    <row r="24" spans="1:6" ht="15.75" x14ac:dyDescent="0.25">
      <c r="A24" s="15">
        <v>7</v>
      </c>
      <c r="B24" s="16" t="s">
        <v>72</v>
      </c>
      <c r="C24" s="15"/>
      <c r="D24" s="15"/>
      <c r="E24" s="15"/>
      <c r="F24" s="15"/>
    </row>
    <row r="25" spans="1:6" ht="15.75" x14ac:dyDescent="0.25">
      <c r="A25" s="15">
        <v>8</v>
      </c>
      <c r="B25" s="16" t="s">
        <v>73</v>
      </c>
      <c r="C25" s="15"/>
      <c r="D25" s="15"/>
      <c r="E25" s="15"/>
      <c r="F25" s="15"/>
    </row>
    <row r="26" spans="1:6" ht="15.75" x14ac:dyDescent="0.25">
      <c r="A26" s="9"/>
      <c r="B26" s="14"/>
      <c r="C26" s="9"/>
      <c r="D26" s="9"/>
      <c r="E26" s="9"/>
      <c r="F26" s="9"/>
    </row>
    <row r="27" spans="1:6" ht="15.75" x14ac:dyDescent="0.25">
      <c r="A27" s="11">
        <v>1</v>
      </c>
      <c r="B27" s="12" t="s">
        <v>74</v>
      </c>
      <c r="C27" s="11"/>
      <c r="D27" s="11"/>
      <c r="E27" s="11"/>
      <c r="F27" s="11"/>
    </row>
    <row r="28" spans="1:6" ht="15.75" x14ac:dyDescent="0.25">
      <c r="A28" s="11">
        <v>2</v>
      </c>
      <c r="B28" s="12" t="s">
        <v>75</v>
      </c>
      <c r="C28" s="11"/>
      <c r="D28" s="11"/>
      <c r="E28" s="11"/>
      <c r="F28" s="11"/>
    </row>
    <row r="29" spans="1:6" ht="15.75" x14ac:dyDescent="0.25">
      <c r="A29" s="11">
        <v>3</v>
      </c>
      <c r="B29" s="12" t="s">
        <v>76</v>
      </c>
      <c r="C29" s="11"/>
      <c r="D29" s="11"/>
      <c r="E29" s="11"/>
      <c r="F29" s="11"/>
    </row>
    <row r="30" spans="1:6" ht="15.75" x14ac:dyDescent="0.25">
      <c r="A30" s="11">
        <v>4</v>
      </c>
      <c r="B30" s="12" t="s">
        <v>77</v>
      </c>
      <c r="C30" s="11"/>
      <c r="D30" s="11"/>
      <c r="E30" s="11"/>
      <c r="F30" s="11"/>
    </row>
    <row r="31" spans="1:6" ht="15.75" x14ac:dyDescent="0.25">
      <c r="A31" s="11">
        <v>5</v>
      </c>
      <c r="B31" s="12" t="s">
        <v>78</v>
      </c>
      <c r="C31" s="11"/>
      <c r="D31" s="11"/>
      <c r="E31" s="11"/>
      <c r="F31" s="11"/>
    </row>
    <row r="32" spans="1:6" ht="15.75" x14ac:dyDescent="0.25">
      <c r="A32" s="9"/>
      <c r="B32" s="14"/>
      <c r="C32" s="9"/>
      <c r="D32" s="9"/>
      <c r="E32" s="9"/>
      <c r="F32" s="9"/>
    </row>
    <row r="33" spans="1:6" ht="15.75" x14ac:dyDescent="0.25">
      <c r="A33" s="15">
        <v>1</v>
      </c>
      <c r="B33" s="16" t="s">
        <v>79</v>
      </c>
      <c r="C33" s="15"/>
      <c r="D33" s="15"/>
      <c r="E33" s="15"/>
      <c r="F33" s="15"/>
    </row>
    <row r="34" spans="1:6" ht="15.75" x14ac:dyDescent="0.25">
      <c r="A34" s="15">
        <v>2</v>
      </c>
      <c r="B34" s="16" t="s">
        <v>80</v>
      </c>
      <c r="C34" s="15"/>
      <c r="D34" s="15"/>
      <c r="E34" s="15"/>
      <c r="F34" s="15"/>
    </row>
    <row r="35" spans="1:6" ht="15.75" x14ac:dyDescent="0.25">
      <c r="A35" s="15">
        <v>3</v>
      </c>
      <c r="B35" s="16" t="s">
        <v>81</v>
      </c>
      <c r="C35" s="15"/>
      <c r="D35" s="15"/>
      <c r="E35" s="15"/>
      <c r="F35" s="15"/>
    </row>
    <row r="36" spans="1:6" ht="15.75" x14ac:dyDescent="0.25">
      <c r="A36" s="15">
        <v>4</v>
      </c>
      <c r="B36" s="16" t="s">
        <v>82</v>
      </c>
      <c r="C36" s="15"/>
      <c r="D36" s="15"/>
      <c r="E36" s="15"/>
      <c r="F36" s="15"/>
    </row>
    <row r="37" spans="1:6" ht="15.75" x14ac:dyDescent="0.25">
      <c r="A37" s="15">
        <v>5</v>
      </c>
      <c r="B37" s="16" t="s">
        <v>83</v>
      </c>
      <c r="C37" s="15"/>
      <c r="D37" s="15"/>
      <c r="E37" s="15"/>
      <c r="F37" s="15"/>
    </row>
    <row r="38" spans="1:6" ht="15.75" x14ac:dyDescent="0.25">
      <c r="A38" s="9"/>
      <c r="B38" s="14"/>
      <c r="C38" s="9"/>
      <c r="D38" s="9"/>
      <c r="E38" s="9"/>
      <c r="F38" s="9"/>
    </row>
    <row r="39" spans="1:6" ht="15.75" x14ac:dyDescent="0.25">
      <c r="A39" s="11">
        <v>1</v>
      </c>
      <c r="B39" s="12" t="s">
        <v>84</v>
      </c>
      <c r="C39" s="11"/>
      <c r="D39" s="11"/>
      <c r="E39" s="11"/>
      <c r="F39" s="11"/>
    </row>
    <row r="40" spans="1:6" ht="15.75" x14ac:dyDescent="0.25">
      <c r="A40" s="11">
        <v>2</v>
      </c>
      <c r="B40" s="12" t="s">
        <v>85</v>
      </c>
      <c r="C40" s="11"/>
      <c r="D40" s="11"/>
      <c r="E40" s="11"/>
      <c r="F40" s="11"/>
    </row>
    <row r="41" spans="1:6" ht="15.75" x14ac:dyDescent="0.25">
      <c r="A41" s="11">
        <v>3</v>
      </c>
      <c r="B41" s="12" t="s">
        <v>86</v>
      </c>
      <c r="C41" s="11"/>
      <c r="D41" s="11"/>
      <c r="E41" s="11"/>
      <c r="F41" s="11"/>
    </row>
    <row r="42" spans="1:6" ht="15.75" x14ac:dyDescent="0.25">
      <c r="A42" s="11">
        <v>4</v>
      </c>
      <c r="B42" s="12" t="s">
        <v>87</v>
      </c>
      <c r="C42" s="11"/>
      <c r="D42" s="11"/>
      <c r="E42" s="11"/>
      <c r="F42" s="11"/>
    </row>
    <row r="43" spans="1:6" ht="15.75" x14ac:dyDescent="0.25">
      <c r="A43" s="9"/>
      <c r="B43" s="14"/>
      <c r="C43" s="9"/>
      <c r="D43" s="9"/>
      <c r="E43" s="9"/>
      <c r="F43" s="9"/>
    </row>
    <row r="44" spans="1:6" ht="15.75" x14ac:dyDescent="0.25">
      <c r="A44" s="15">
        <v>1</v>
      </c>
      <c r="B44" s="16" t="s">
        <v>88</v>
      </c>
      <c r="C44" s="15"/>
      <c r="D44" s="15"/>
      <c r="E44" s="15"/>
      <c r="F44" s="15"/>
    </row>
    <row r="45" spans="1:6" ht="15.75" x14ac:dyDescent="0.25">
      <c r="A45" s="15">
        <v>2</v>
      </c>
      <c r="B45" s="16" t="s">
        <v>89</v>
      </c>
      <c r="C45" s="15"/>
      <c r="D45" s="15"/>
      <c r="E45" s="15"/>
      <c r="F45" s="15"/>
    </row>
    <row r="46" spans="1:6" ht="15.75" x14ac:dyDescent="0.25">
      <c r="A46" s="15">
        <v>3</v>
      </c>
      <c r="B46" s="16" t="s">
        <v>90</v>
      </c>
      <c r="C46" s="15"/>
      <c r="D46" s="15"/>
      <c r="E46" s="15"/>
      <c r="F46" s="15"/>
    </row>
    <row r="47" spans="1:6" ht="15.75" x14ac:dyDescent="0.25">
      <c r="A47" s="15">
        <v>4</v>
      </c>
      <c r="B47" s="16" t="s">
        <v>91</v>
      </c>
      <c r="C47" s="15"/>
      <c r="D47" s="15"/>
      <c r="E47" s="15"/>
      <c r="F47" s="15"/>
    </row>
    <row r="48" spans="1:6" ht="15.75" x14ac:dyDescent="0.25">
      <c r="A48" s="15">
        <v>5</v>
      </c>
      <c r="B48" s="16" t="s">
        <v>92</v>
      </c>
      <c r="C48" s="15"/>
      <c r="D48" s="15"/>
      <c r="E48" s="15"/>
      <c r="F48" s="15"/>
    </row>
    <row r="49" spans="1:6" ht="15.75" x14ac:dyDescent="0.25">
      <c r="A49" s="9"/>
      <c r="B49" s="14"/>
      <c r="C49" s="9"/>
      <c r="D49" s="9"/>
      <c r="E49" s="9"/>
      <c r="F49" s="9"/>
    </row>
    <row r="50" spans="1:6" ht="15.75" x14ac:dyDescent="0.25">
      <c r="A50" s="11">
        <v>1</v>
      </c>
      <c r="B50" s="12" t="s">
        <v>93</v>
      </c>
      <c r="C50" s="11"/>
      <c r="D50" s="11"/>
      <c r="E50" s="11"/>
      <c r="F50" s="11"/>
    </row>
    <row r="51" spans="1:6" ht="15.75" x14ac:dyDescent="0.25">
      <c r="A51" s="11">
        <v>2</v>
      </c>
      <c r="B51" s="12" t="s">
        <v>94</v>
      </c>
      <c r="C51" s="11"/>
      <c r="D51" s="11"/>
      <c r="E51" s="11"/>
      <c r="F51" s="11"/>
    </row>
    <row r="52" spans="1:6" ht="15.75" x14ac:dyDescent="0.25">
      <c r="A52" s="11">
        <v>3</v>
      </c>
      <c r="B52" s="12" t="s">
        <v>95</v>
      </c>
      <c r="C52" s="11"/>
      <c r="D52" s="11"/>
      <c r="E52" s="11"/>
      <c r="F52" s="11"/>
    </row>
    <row r="53" spans="1:6" ht="15.75" x14ac:dyDescent="0.25">
      <c r="A53" s="11">
        <v>4</v>
      </c>
      <c r="B53" s="12" t="s">
        <v>96</v>
      </c>
      <c r="C53" s="11"/>
      <c r="D53" s="11"/>
      <c r="E53" s="11"/>
      <c r="F53" s="11"/>
    </row>
    <row r="54" spans="1:6" ht="15.75" x14ac:dyDescent="0.25">
      <c r="A54" s="11">
        <v>5</v>
      </c>
      <c r="B54" s="12" t="s">
        <v>97</v>
      </c>
      <c r="C54" s="11"/>
      <c r="D54" s="11"/>
      <c r="E54" s="11"/>
      <c r="F54" s="11"/>
    </row>
    <row r="55" spans="1:6" ht="15.75" x14ac:dyDescent="0.2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70"/>
  <sheetViews>
    <sheetView zoomScale="120" zoomScaleNormal="120" workbookViewId="0"/>
  </sheetViews>
  <sheetFormatPr defaultRowHeight="15" x14ac:dyDescent="0.2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 x14ac:dyDescent="0.3">
      <c r="A1" s="18"/>
      <c r="B1" s="19" t="s">
        <v>99</v>
      </c>
      <c r="C1" s="20"/>
      <c r="D1" s="20"/>
      <c r="E1" s="20"/>
      <c r="F1" s="20"/>
      <c r="G1" s="20"/>
    </row>
    <row r="2" spans="1:9" ht="23.25" x14ac:dyDescent="0.3">
      <c r="A2" s="18"/>
      <c r="B2" s="19"/>
      <c r="C2" s="20"/>
      <c r="D2" s="20"/>
      <c r="E2" s="20"/>
      <c r="F2" s="20"/>
      <c r="G2" s="20"/>
    </row>
    <row r="3" spans="1:9" x14ac:dyDescent="0.25">
      <c r="A3" s="18"/>
      <c r="B3" s="18"/>
      <c r="C3" s="18"/>
      <c r="D3" s="18"/>
      <c r="E3" s="18"/>
      <c r="F3" s="18"/>
      <c r="G3" s="18"/>
    </row>
    <row r="4" spans="1:9" x14ac:dyDescent="0.25">
      <c r="A4" s="18"/>
      <c r="B4" s="18"/>
      <c r="C4" s="18"/>
      <c r="D4" s="18"/>
      <c r="E4" s="18"/>
      <c r="F4" s="18"/>
      <c r="G4" s="18"/>
    </row>
    <row r="5" spans="1:9" x14ac:dyDescent="0.25">
      <c r="A5" s="18"/>
      <c r="B5" s="18"/>
      <c r="C5" s="18"/>
      <c r="D5" s="18"/>
      <c r="E5" s="18"/>
      <c r="F5" s="18"/>
      <c r="G5" s="18"/>
    </row>
    <row r="6" spans="1:9" x14ac:dyDescent="0.25">
      <c r="A6" s="18"/>
      <c r="B6" s="18"/>
      <c r="C6" s="18"/>
      <c r="D6" s="18"/>
      <c r="E6" s="18"/>
      <c r="F6" s="18"/>
      <c r="G6" s="18"/>
    </row>
    <row r="7" spans="1:9" x14ac:dyDescent="0.25">
      <c r="A7" s="18"/>
      <c r="B7" s="18"/>
      <c r="C7" s="18"/>
      <c r="D7" s="18"/>
      <c r="E7" s="18"/>
      <c r="F7" s="18"/>
      <c r="G7" s="18"/>
    </row>
    <row r="8" spans="1:9" ht="15.75" thickBot="1" x14ac:dyDescent="0.3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 x14ac:dyDescent="0.25">
      <c r="A9" s="644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 x14ac:dyDescent="0.25">
      <c r="A10" s="642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 x14ac:dyDescent="0.25">
      <c r="A11" s="642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 x14ac:dyDescent="0.25">
      <c r="A12" s="642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 x14ac:dyDescent="0.25">
      <c r="A13" s="642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 x14ac:dyDescent="0.25">
      <c r="A14" s="642"/>
      <c r="B14" s="212"/>
      <c r="C14" s="213"/>
      <c r="D14" s="214"/>
      <c r="E14" s="214"/>
      <c r="F14" s="214"/>
      <c r="G14" s="214"/>
      <c r="I14" s="200"/>
    </row>
    <row r="15" spans="1:9" x14ac:dyDescent="0.25">
      <c r="A15" s="643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 x14ac:dyDescent="0.25">
      <c r="A16" s="643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 x14ac:dyDescent="0.25">
      <c r="A17" s="643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 x14ac:dyDescent="0.25">
      <c r="A18" s="643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 x14ac:dyDescent="0.25">
      <c r="A19" s="643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 x14ac:dyDescent="0.25">
      <c r="A20" s="643"/>
      <c r="B20" s="212"/>
      <c r="C20" s="215"/>
      <c r="D20" s="216"/>
      <c r="E20" s="216"/>
      <c r="F20" s="216"/>
      <c r="G20" s="216"/>
    </row>
    <row r="21" spans="1:9" x14ac:dyDescent="0.25">
      <c r="A21" s="642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 x14ac:dyDescent="0.25">
      <c r="A22" s="642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 x14ac:dyDescent="0.25">
      <c r="A23" s="642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 x14ac:dyDescent="0.25">
      <c r="A24" s="642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 x14ac:dyDescent="0.25">
      <c r="A25" s="642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 x14ac:dyDescent="0.25">
      <c r="A26" s="642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 x14ac:dyDescent="0.25">
      <c r="A27" s="642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 x14ac:dyDescent="0.25">
      <c r="A28" s="642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 x14ac:dyDescent="0.25">
      <c r="A29" s="642"/>
      <c r="B29" s="212"/>
      <c r="C29" s="215"/>
      <c r="D29" s="217"/>
      <c r="E29" s="217"/>
      <c r="F29" s="217"/>
      <c r="G29" s="217"/>
    </row>
    <row r="30" spans="1:9" x14ac:dyDescent="0.25">
      <c r="A30" s="643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 x14ac:dyDescent="0.25">
      <c r="A31" s="643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 x14ac:dyDescent="0.25">
      <c r="A32" s="643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 x14ac:dyDescent="0.25">
      <c r="A33" s="643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 x14ac:dyDescent="0.25">
      <c r="A34" s="643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 x14ac:dyDescent="0.25">
      <c r="A35" s="643"/>
      <c r="B35" s="212"/>
      <c r="C35" s="215"/>
      <c r="D35" s="216"/>
      <c r="E35" s="216"/>
      <c r="F35" s="216"/>
      <c r="G35" s="216"/>
    </row>
    <row r="36" spans="1:7" x14ac:dyDescent="0.25">
      <c r="A36" s="642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 x14ac:dyDescent="0.25">
      <c r="A37" s="642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 x14ac:dyDescent="0.25">
      <c r="A38" s="642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 x14ac:dyDescent="0.25">
      <c r="A39" s="642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 x14ac:dyDescent="0.25">
      <c r="A40" s="642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 x14ac:dyDescent="0.25">
      <c r="A41" s="642"/>
      <c r="B41" s="212"/>
      <c r="C41" s="215"/>
      <c r="D41" s="216"/>
      <c r="E41" s="216"/>
      <c r="F41" s="216"/>
      <c r="G41" s="216"/>
    </row>
    <row r="42" spans="1:7" x14ac:dyDescent="0.25">
      <c r="A42" s="643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 x14ac:dyDescent="0.25">
      <c r="A43" s="643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 x14ac:dyDescent="0.25">
      <c r="A44" s="643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 x14ac:dyDescent="0.25">
      <c r="A45" s="643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 x14ac:dyDescent="0.25">
      <c r="A46" s="643"/>
      <c r="B46" s="212"/>
      <c r="C46" s="215"/>
      <c r="D46" s="216"/>
      <c r="E46" s="216"/>
      <c r="F46" s="216"/>
      <c r="G46" s="216"/>
    </row>
    <row r="47" spans="1:7" x14ac:dyDescent="0.25">
      <c r="A47" s="642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 x14ac:dyDescent="0.25">
      <c r="A48" s="642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 x14ac:dyDescent="0.25">
      <c r="A49" s="642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 x14ac:dyDescent="0.25">
      <c r="A50" s="642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 x14ac:dyDescent="0.25">
      <c r="A51" s="642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 x14ac:dyDescent="0.25">
      <c r="A52" s="642"/>
      <c r="B52" s="212"/>
      <c r="C52" s="215"/>
      <c r="D52" s="216"/>
      <c r="E52" s="216"/>
      <c r="F52" s="216"/>
      <c r="G52" s="216"/>
    </row>
    <row r="53" spans="1:7" x14ac:dyDescent="0.25">
      <c r="A53" s="643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 x14ac:dyDescent="0.25">
      <c r="A54" s="643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 x14ac:dyDescent="0.25">
      <c r="A55" s="643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 x14ac:dyDescent="0.25">
      <c r="A56" s="643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 x14ac:dyDescent="0.25">
      <c r="A57" s="643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 x14ac:dyDescent="0.25">
      <c r="A58" s="643"/>
      <c r="B58" s="212"/>
      <c r="C58" s="215"/>
      <c r="D58" s="216"/>
      <c r="E58" s="216"/>
      <c r="F58" s="216"/>
      <c r="G58" s="216"/>
    </row>
    <row r="59" spans="1:7" x14ac:dyDescent="0.25">
      <c r="A59" s="18"/>
      <c r="B59" s="22"/>
      <c r="C59" s="23"/>
      <c r="D59" s="22"/>
      <c r="E59" s="22"/>
      <c r="F59" s="22"/>
      <c r="G59" s="22"/>
    </row>
    <row r="60" spans="1:7" x14ac:dyDescent="0.25">
      <c r="A60" s="18"/>
      <c r="B60" s="24" t="s">
        <v>105</v>
      </c>
      <c r="C60" s="18"/>
      <c r="D60" s="18"/>
      <c r="E60" s="18"/>
      <c r="F60" s="18"/>
      <c r="G60" s="18"/>
    </row>
    <row r="61" spans="1:7" x14ac:dyDescent="0.25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 x14ac:dyDescent="0.25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 x14ac:dyDescent="0.25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 x14ac:dyDescent="0.25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 x14ac:dyDescent="0.25">
      <c r="A65" s="18"/>
      <c r="B65" s="18"/>
      <c r="C65" s="18"/>
      <c r="D65" s="18"/>
      <c r="E65" s="18"/>
      <c r="F65" s="18"/>
      <c r="G65" s="18"/>
    </row>
    <row r="66" spans="1:7" x14ac:dyDescent="0.25">
      <c r="A66" s="18"/>
      <c r="B66" s="21"/>
      <c r="C66" s="27"/>
      <c r="D66" s="18"/>
      <c r="E66" s="18"/>
      <c r="F66" s="18"/>
      <c r="G66" s="18"/>
    </row>
    <row r="67" spans="1:7" x14ac:dyDescent="0.25">
      <c r="A67" s="18"/>
      <c r="B67" s="21"/>
      <c r="C67" s="27"/>
      <c r="D67" s="18"/>
      <c r="E67" s="18"/>
      <c r="F67" s="18"/>
      <c r="G67" s="18"/>
    </row>
    <row r="68" spans="1:7" x14ac:dyDescent="0.25">
      <c r="A68" s="18"/>
      <c r="B68" s="21"/>
      <c r="C68" s="27"/>
      <c r="D68" s="18"/>
      <c r="E68" s="18"/>
      <c r="F68" s="18"/>
      <c r="G68" s="18"/>
    </row>
    <row r="69" spans="1:7" x14ac:dyDescent="0.25">
      <c r="A69" s="18"/>
      <c r="B69" s="21"/>
      <c r="C69" s="27"/>
      <c r="D69" s="18"/>
      <c r="E69" s="18"/>
      <c r="F69" s="18"/>
      <c r="G69" s="18"/>
    </row>
    <row r="70" spans="1:7" x14ac:dyDescent="0.25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 x14ac:dyDescent="0.25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 x14ac:dyDescent="0.25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 x14ac:dyDescent="0.3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 x14ac:dyDescent="0.25">
      <c r="A3" s="643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 x14ac:dyDescent="0.25">
      <c r="A4" s="643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 x14ac:dyDescent="0.25">
      <c r="A5" s="643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 x14ac:dyDescent="0.25">
      <c r="A6" s="643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 x14ac:dyDescent="0.25">
      <c r="A7" s="643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 x14ac:dyDescent="0.25">
      <c r="A8" s="643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 x14ac:dyDescent="0.25">
      <c r="A9" s="642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 x14ac:dyDescent="0.25">
      <c r="A10" s="642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 x14ac:dyDescent="0.25">
      <c r="A11" s="642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 x14ac:dyDescent="0.25">
      <c r="A12" s="642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 x14ac:dyDescent="0.25">
      <c r="A13" s="642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 x14ac:dyDescent="0.25">
      <c r="A14" s="642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 x14ac:dyDescent="0.25">
      <c r="A15" s="642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 x14ac:dyDescent="0.25">
      <c r="A16" s="642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 x14ac:dyDescent="0.25">
      <c r="A17" s="642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 x14ac:dyDescent="0.25">
      <c r="A18" s="643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 x14ac:dyDescent="0.25">
      <c r="A19" s="643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 x14ac:dyDescent="0.25">
      <c r="A20" s="643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 x14ac:dyDescent="0.25">
      <c r="A21" s="643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 x14ac:dyDescent="0.25">
      <c r="A22" s="643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 x14ac:dyDescent="0.25">
      <c r="A23" s="643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 x14ac:dyDescent="0.25">
      <c r="A24" s="642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 x14ac:dyDescent="0.25">
      <c r="A25" s="642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 x14ac:dyDescent="0.25">
      <c r="A26" s="642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 x14ac:dyDescent="0.25">
      <c r="A27" s="642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 x14ac:dyDescent="0.25">
      <c r="A28" s="642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 x14ac:dyDescent="0.25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 x14ac:dyDescent="0.25">
      <c r="A30" s="643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 x14ac:dyDescent="0.25">
      <c r="A31" s="643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 x14ac:dyDescent="0.25">
      <c r="A32" s="643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 x14ac:dyDescent="0.25">
      <c r="A33" s="643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 x14ac:dyDescent="0.25">
      <c r="A34" s="643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 x14ac:dyDescent="0.25">
      <c r="A35" s="642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 x14ac:dyDescent="0.25">
      <c r="A36" s="642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 x14ac:dyDescent="0.25">
      <c r="A37" s="642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 x14ac:dyDescent="0.25">
      <c r="A38" s="642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 x14ac:dyDescent="0.25">
      <c r="A39" s="642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 x14ac:dyDescent="0.25">
      <c r="A40" s="642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 x14ac:dyDescent="0.25">
      <c r="A41" s="643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 x14ac:dyDescent="0.25">
      <c r="A42" s="643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 x14ac:dyDescent="0.25">
      <c r="A43" s="643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 x14ac:dyDescent="0.25">
      <c r="A44" s="643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 x14ac:dyDescent="0.25">
      <c r="A45" s="643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 x14ac:dyDescent="0.25">
      <c r="A46" s="643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 x14ac:dyDescent="0.2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 x14ac:dyDescent="0.2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 x14ac:dyDescent="0.25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 x14ac:dyDescent="0.25">
      <c r="A1" s="192" t="str">
        <f>"DAFTAR NILAI"&amp;" "&amp;menu!D14</f>
        <v>DAFTAR NILAI 7a</v>
      </c>
      <c r="F1" s="646" t="s">
        <v>308</v>
      </c>
      <c r="G1" s="647"/>
      <c r="H1" s="647"/>
      <c r="I1" s="647"/>
      <c r="J1" s="647"/>
      <c r="K1" s="647"/>
      <c r="L1" s="647"/>
      <c r="M1" s="647"/>
      <c r="Q1" s="194"/>
      <c r="R1" s="194"/>
      <c r="S1" s="194"/>
      <c r="T1" s="194"/>
      <c r="U1" s="194"/>
      <c r="V1" s="194"/>
    </row>
    <row r="2" spans="1:44" ht="21" customHeight="1" x14ac:dyDescent="0.25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 x14ac:dyDescent="0.25">
      <c r="A5" s="478" t="s">
        <v>15</v>
      </c>
      <c r="B5" s="478" t="s">
        <v>16</v>
      </c>
      <c r="C5" s="481" t="s">
        <v>0</v>
      </c>
      <c r="D5" s="482" t="s">
        <v>1</v>
      </c>
      <c r="E5" s="483" t="s">
        <v>17</v>
      </c>
      <c r="F5" s="645" t="s">
        <v>207</v>
      </c>
      <c r="G5" s="645"/>
      <c r="H5" s="645"/>
      <c r="I5" s="619" t="s">
        <v>7</v>
      </c>
      <c r="J5" s="645" t="s">
        <v>8</v>
      </c>
      <c r="K5" s="645"/>
      <c r="L5" s="645"/>
      <c r="M5" s="645"/>
      <c r="N5" s="619" t="s">
        <v>7</v>
      </c>
      <c r="O5" s="645" t="s">
        <v>9</v>
      </c>
      <c r="P5" s="645"/>
      <c r="Q5" s="645"/>
      <c r="R5" s="645"/>
      <c r="S5" s="619" t="s">
        <v>7</v>
      </c>
      <c r="T5" s="645" t="s">
        <v>6</v>
      </c>
      <c r="U5" s="645"/>
      <c r="V5" s="645"/>
      <c r="W5" s="645"/>
      <c r="X5" s="619" t="s">
        <v>7</v>
      </c>
      <c r="Y5" s="648" t="s">
        <v>10</v>
      </c>
      <c r="Z5" s="649"/>
      <c r="AA5" s="649"/>
      <c r="AB5" s="650"/>
      <c r="AC5" s="619" t="s">
        <v>7</v>
      </c>
      <c r="AD5" s="645" t="s">
        <v>11</v>
      </c>
      <c r="AE5" s="645"/>
      <c r="AF5" s="645"/>
      <c r="AG5" s="645"/>
      <c r="AH5" s="619" t="s">
        <v>7</v>
      </c>
      <c r="AI5" s="645" t="s">
        <v>12</v>
      </c>
      <c r="AJ5" s="645"/>
      <c r="AK5" s="645"/>
      <c r="AL5" s="645"/>
      <c r="AM5" s="619" t="s">
        <v>7</v>
      </c>
      <c r="AN5" s="645" t="s">
        <v>236</v>
      </c>
      <c r="AO5" s="645"/>
      <c r="AP5" s="645"/>
      <c r="AQ5" s="645"/>
      <c r="AR5" s="619" t="s">
        <v>7</v>
      </c>
    </row>
    <row r="6" spans="1:44" ht="15" customHeight="1" x14ac:dyDescent="0.25">
      <c r="A6" s="479"/>
      <c r="B6" s="479"/>
      <c r="C6" s="481"/>
      <c r="D6" s="482"/>
      <c r="E6" s="484"/>
      <c r="F6" s="645"/>
      <c r="G6" s="645"/>
      <c r="H6" s="645"/>
      <c r="I6" s="619"/>
      <c r="J6" s="645"/>
      <c r="K6" s="645"/>
      <c r="L6" s="645"/>
      <c r="M6" s="645"/>
      <c r="N6" s="619"/>
      <c r="O6" s="645"/>
      <c r="P6" s="645"/>
      <c r="Q6" s="645"/>
      <c r="R6" s="645"/>
      <c r="S6" s="619"/>
      <c r="T6" s="645"/>
      <c r="U6" s="645"/>
      <c r="V6" s="645"/>
      <c r="W6" s="645"/>
      <c r="X6" s="619"/>
      <c r="Y6" s="651"/>
      <c r="Z6" s="652"/>
      <c r="AA6" s="652"/>
      <c r="AB6" s="653"/>
      <c r="AC6" s="619"/>
      <c r="AD6" s="645"/>
      <c r="AE6" s="645"/>
      <c r="AF6" s="645"/>
      <c r="AG6" s="645"/>
      <c r="AH6" s="619"/>
      <c r="AI6" s="645"/>
      <c r="AJ6" s="645"/>
      <c r="AK6" s="645"/>
      <c r="AL6" s="645"/>
      <c r="AM6" s="619"/>
      <c r="AN6" s="645"/>
      <c r="AO6" s="645"/>
      <c r="AP6" s="645"/>
      <c r="AQ6" s="645"/>
      <c r="AR6" s="619"/>
    </row>
    <row r="7" spans="1:44" s="97" customFormat="1" ht="102.75" customHeight="1" x14ac:dyDescent="0.25">
      <c r="A7" s="480"/>
      <c r="B7" s="480"/>
      <c r="C7" s="481"/>
      <c r="D7" s="482"/>
      <c r="E7" s="485"/>
      <c r="F7" s="185" t="s">
        <v>219</v>
      </c>
      <c r="G7" s="185" t="s">
        <v>238</v>
      </c>
      <c r="H7" s="116" t="s">
        <v>218</v>
      </c>
      <c r="I7" s="619"/>
      <c r="J7" s="185" t="s">
        <v>219</v>
      </c>
      <c r="K7" s="185" t="s">
        <v>220</v>
      </c>
      <c r="L7" s="185" t="s">
        <v>238</v>
      </c>
      <c r="M7" s="116" t="s">
        <v>218</v>
      </c>
      <c r="N7" s="619"/>
      <c r="O7" s="185" t="s">
        <v>219</v>
      </c>
      <c r="P7" s="185" t="s">
        <v>220</v>
      </c>
      <c r="Q7" s="185" t="s">
        <v>238</v>
      </c>
      <c r="R7" s="116" t="s">
        <v>218</v>
      </c>
      <c r="S7" s="619"/>
      <c r="T7" s="185" t="s">
        <v>219</v>
      </c>
      <c r="U7" s="185" t="s">
        <v>220</v>
      </c>
      <c r="V7" s="185" t="s">
        <v>238</v>
      </c>
      <c r="W7" s="116" t="s">
        <v>218</v>
      </c>
      <c r="X7" s="619"/>
      <c r="Y7" s="185" t="s">
        <v>219</v>
      </c>
      <c r="Z7" s="185" t="s">
        <v>220</v>
      </c>
      <c r="AA7" s="185" t="s">
        <v>238</v>
      </c>
      <c r="AB7" s="116" t="s">
        <v>218</v>
      </c>
      <c r="AC7" s="619"/>
      <c r="AD7" s="185" t="s">
        <v>219</v>
      </c>
      <c r="AE7" s="185" t="s">
        <v>220</v>
      </c>
      <c r="AF7" s="185" t="s">
        <v>238</v>
      </c>
      <c r="AG7" s="116" t="s">
        <v>218</v>
      </c>
      <c r="AH7" s="619"/>
      <c r="AI7" s="185" t="s">
        <v>219</v>
      </c>
      <c r="AJ7" s="185" t="s">
        <v>220</v>
      </c>
      <c r="AK7" s="185" t="s">
        <v>238</v>
      </c>
      <c r="AL7" s="116" t="s">
        <v>218</v>
      </c>
      <c r="AM7" s="619"/>
      <c r="AN7" s="185" t="s">
        <v>219</v>
      </c>
      <c r="AO7" s="185" t="s">
        <v>220</v>
      </c>
      <c r="AP7" s="185" t="s">
        <v>238</v>
      </c>
      <c r="AQ7" s="116" t="s">
        <v>218</v>
      </c>
      <c r="AR7" s="619"/>
    </row>
    <row r="8" spans="1:44" ht="15" customHeight="1" x14ac:dyDescent="0.25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 x14ac:dyDescent="0.25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 x14ac:dyDescent="0.25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 x14ac:dyDescent="0.25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 x14ac:dyDescent="0.25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 x14ac:dyDescent="0.25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 x14ac:dyDescent="0.25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 x14ac:dyDescent="0.25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 x14ac:dyDescent="0.25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 x14ac:dyDescent="0.25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 x14ac:dyDescent="0.25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 x14ac:dyDescent="0.25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 x14ac:dyDescent="0.25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 x14ac:dyDescent="0.25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 x14ac:dyDescent="0.25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 x14ac:dyDescent="0.25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 x14ac:dyDescent="0.25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 x14ac:dyDescent="0.25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 x14ac:dyDescent="0.25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 x14ac:dyDescent="0.25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 x14ac:dyDescent="0.25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 x14ac:dyDescent="0.25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 x14ac:dyDescent="0.25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 x14ac:dyDescent="0.25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 x14ac:dyDescent="0.25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 x14ac:dyDescent="0.25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 x14ac:dyDescent="0.25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 x14ac:dyDescent="0.25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 x14ac:dyDescent="0.25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 x14ac:dyDescent="0.25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 x14ac:dyDescent="0.25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 x14ac:dyDescent="0.25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 x14ac:dyDescent="0.25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 x14ac:dyDescent="0.25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 x14ac:dyDescent="0.25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 x14ac:dyDescent="0.25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 x14ac:dyDescent="0.25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 x14ac:dyDescent="0.25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 x14ac:dyDescent="0.25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 x14ac:dyDescent="0.25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 x14ac:dyDescent="0.25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 x14ac:dyDescent="0.25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 x14ac:dyDescent="0.25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 x14ac:dyDescent="0.25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 x14ac:dyDescent="0.25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 x14ac:dyDescent="0.25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 x14ac:dyDescent="0.25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 x14ac:dyDescent="0.25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 x14ac:dyDescent="0.25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 x14ac:dyDescent="0.25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 x14ac:dyDescent="0.25">
      <c r="F1" s="655" t="str">
        <f>IF(KDOKE!B3="","",KDOKE!B3)</f>
        <v>rajin beribadah dan berpuasa</v>
      </c>
      <c r="G1" s="655"/>
      <c r="H1" s="655"/>
      <c r="I1" s="656"/>
      <c r="J1" s="657" t="str">
        <f>IF(KDOKE!B7="","",KDOKE!B7)</f>
        <v>patuh terhadap tata tertib madrasah</v>
      </c>
      <c r="K1" s="658"/>
      <c r="L1" s="658"/>
      <c r="M1" s="658"/>
      <c r="N1" s="658"/>
      <c r="O1" s="658"/>
      <c r="P1" s="658"/>
      <c r="Q1" s="658"/>
      <c r="R1" s="658"/>
      <c r="S1" s="658"/>
      <c r="T1" s="658"/>
      <c r="U1" s="658"/>
      <c r="V1" s="658"/>
      <c r="W1" s="658"/>
      <c r="X1" s="658"/>
      <c r="Y1" s="658"/>
      <c r="Z1" s="658"/>
      <c r="AA1" s="658"/>
      <c r="AB1" s="658"/>
      <c r="AC1" s="658"/>
      <c r="AD1" s="658"/>
      <c r="AE1" s="658"/>
      <c r="AF1" s="658"/>
      <c r="AG1" s="658"/>
      <c r="AH1" s="658"/>
      <c r="AI1" s="658"/>
      <c r="AJ1" s="659"/>
    </row>
    <row r="2" spans="1:38" ht="13.5" customHeight="1" x14ac:dyDescent="0.25">
      <c r="F2" s="655"/>
      <c r="G2" s="655"/>
      <c r="H2" s="655"/>
      <c r="I2" s="656"/>
      <c r="J2" s="660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Z2" s="661"/>
      <c r="AA2" s="661"/>
      <c r="AB2" s="661"/>
      <c r="AC2" s="661"/>
      <c r="AD2" s="661"/>
      <c r="AE2" s="661"/>
      <c r="AF2" s="661"/>
      <c r="AG2" s="661"/>
      <c r="AH2" s="661"/>
      <c r="AI2" s="661"/>
      <c r="AJ2" s="662"/>
    </row>
    <row r="3" spans="1:38" ht="15" customHeight="1" x14ac:dyDescent="0.25">
      <c r="A3" s="478" t="s">
        <v>15</v>
      </c>
      <c r="B3" s="478" t="s">
        <v>16</v>
      </c>
      <c r="C3" s="481" t="s">
        <v>0</v>
      </c>
      <c r="D3" s="482" t="s">
        <v>1</v>
      </c>
      <c r="E3" s="483" t="s">
        <v>17</v>
      </c>
      <c r="F3" s="654" t="s">
        <v>207</v>
      </c>
      <c r="G3" s="654"/>
      <c r="H3" s="619" t="s">
        <v>7</v>
      </c>
      <c r="I3" s="663" t="s">
        <v>221</v>
      </c>
      <c r="J3" s="654" t="s">
        <v>8</v>
      </c>
      <c r="K3" s="654"/>
      <c r="L3" s="654"/>
      <c r="M3" s="625" t="s">
        <v>7</v>
      </c>
      <c r="N3" s="654" t="s">
        <v>9</v>
      </c>
      <c r="O3" s="654"/>
      <c r="P3" s="654"/>
      <c r="Q3" s="625" t="s">
        <v>7</v>
      </c>
      <c r="R3" s="654" t="s">
        <v>6</v>
      </c>
      <c r="S3" s="654"/>
      <c r="T3" s="654"/>
      <c r="U3" s="625" t="s">
        <v>7</v>
      </c>
      <c r="V3" s="651" t="s">
        <v>10</v>
      </c>
      <c r="W3" s="652"/>
      <c r="X3" s="652"/>
      <c r="Y3" s="625" t="s">
        <v>7</v>
      </c>
      <c r="Z3" s="654" t="s">
        <v>11</v>
      </c>
      <c r="AA3" s="654"/>
      <c r="AB3" s="654"/>
      <c r="AC3" s="625" t="s">
        <v>7</v>
      </c>
      <c r="AD3" s="654" t="s">
        <v>12</v>
      </c>
      <c r="AE3" s="654"/>
      <c r="AF3" s="654"/>
      <c r="AG3" s="625" t="s">
        <v>7</v>
      </c>
      <c r="AH3" s="654" t="s">
        <v>236</v>
      </c>
      <c r="AI3" s="654"/>
      <c r="AJ3" s="654"/>
      <c r="AK3" s="619" t="s">
        <v>7</v>
      </c>
      <c r="AL3" s="663" t="s">
        <v>221</v>
      </c>
    </row>
    <row r="4" spans="1:38" ht="15" customHeight="1" x14ac:dyDescent="0.25">
      <c r="A4" s="479"/>
      <c r="B4" s="479"/>
      <c r="C4" s="481"/>
      <c r="D4" s="482"/>
      <c r="E4" s="484"/>
      <c r="F4" s="645"/>
      <c r="G4" s="645"/>
      <c r="H4" s="619"/>
      <c r="I4" s="663"/>
      <c r="J4" s="645"/>
      <c r="K4" s="645"/>
      <c r="L4" s="645"/>
      <c r="M4" s="619"/>
      <c r="N4" s="645"/>
      <c r="O4" s="645"/>
      <c r="P4" s="645"/>
      <c r="Q4" s="619"/>
      <c r="R4" s="645"/>
      <c r="S4" s="645"/>
      <c r="T4" s="645"/>
      <c r="U4" s="619"/>
      <c r="V4" s="651"/>
      <c r="W4" s="652"/>
      <c r="X4" s="652"/>
      <c r="Y4" s="619"/>
      <c r="Z4" s="645"/>
      <c r="AA4" s="645"/>
      <c r="AB4" s="645"/>
      <c r="AC4" s="619"/>
      <c r="AD4" s="645"/>
      <c r="AE4" s="645"/>
      <c r="AF4" s="645"/>
      <c r="AG4" s="619"/>
      <c r="AH4" s="645"/>
      <c r="AI4" s="645"/>
      <c r="AJ4" s="645"/>
      <c r="AK4" s="619"/>
      <c r="AL4" s="663"/>
    </row>
    <row r="5" spans="1:38" s="97" customFormat="1" ht="102.75" customHeight="1" x14ac:dyDescent="0.25">
      <c r="A5" s="480"/>
      <c r="B5" s="480"/>
      <c r="C5" s="481"/>
      <c r="D5" s="482"/>
      <c r="E5" s="485"/>
      <c r="F5" s="308" t="s">
        <v>219</v>
      </c>
      <c r="G5" s="308" t="s">
        <v>238</v>
      </c>
      <c r="H5" s="619"/>
      <c r="I5" s="664"/>
      <c r="J5" s="308" t="s">
        <v>219</v>
      </c>
      <c r="K5" s="308" t="s">
        <v>220</v>
      </c>
      <c r="L5" s="308" t="s">
        <v>238</v>
      </c>
      <c r="M5" s="619"/>
      <c r="N5" s="308" t="s">
        <v>219</v>
      </c>
      <c r="O5" s="308" t="s">
        <v>220</v>
      </c>
      <c r="P5" s="308" t="s">
        <v>238</v>
      </c>
      <c r="Q5" s="619"/>
      <c r="R5" s="308" t="s">
        <v>219</v>
      </c>
      <c r="S5" s="308" t="s">
        <v>220</v>
      </c>
      <c r="T5" s="308" t="s">
        <v>238</v>
      </c>
      <c r="U5" s="619"/>
      <c r="V5" s="308" t="s">
        <v>219</v>
      </c>
      <c r="W5" s="308" t="s">
        <v>220</v>
      </c>
      <c r="X5" s="308" t="s">
        <v>238</v>
      </c>
      <c r="Y5" s="619"/>
      <c r="Z5" s="308" t="s">
        <v>219</v>
      </c>
      <c r="AA5" s="308" t="s">
        <v>220</v>
      </c>
      <c r="AB5" s="308" t="s">
        <v>238</v>
      </c>
      <c r="AC5" s="619"/>
      <c r="AD5" s="308" t="s">
        <v>219</v>
      </c>
      <c r="AE5" s="308" t="s">
        <v>220</v>
      </c>
      <c r="AF5" s="308" t="s">
        <v>238</v>
      </c>
      <c r="AG5" s="619"/>
      <c r="AH5" s="308" t="s">
        <v>219</v>
      </c>
      <c r="AI5" s="308" t="s">
        <v>220</v>
      </c>
      <c r="AJ5" s="116" t="s">
        <v>218</v>
      </c>
      <c r="AK5" s="619"/>
      <c r="AL5" s="664"/>
    </row>
    <row r="6" spans="1:38" ht="15" customHeight="1" x14ac:dyDescent="0.25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 x14ac:dyDescent="0.25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 x14ac:dyDescent="0.25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 x14ac:dyDescent="0.25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 x14ac:dyDescent="0.25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 x14ac:dyDescent="0.25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 x14ac:dyDescent="0.25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 x14ac:dyDescent="0.25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 x14ac:dyDescent="0.25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 x14ac:dyDescent="0.25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 x14ac:dyDescent="0.25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 x14ac:dyDescent="0.25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 x14ac:dyDescent="0.25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 x14ac:dyDescent="0.25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 x14ac:dyDescent="0.25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 x14ac:dyDescent="0.25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 x14ac:dyDescent="0.25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 x14ac:dyDescent="0.25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 x14ac:dyDescent="0.25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 x14ac:dyDescent="0.25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 x14ac:dyDescent="0.25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 x14ac:dyDescent="0.25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 x14ac:dyDescent="0.25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 x14ac:dyDescent="0.25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 x14ac:dyDescent="0.25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 x14ac:dyDescent="0.25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 x14ac:dyDescent="0.25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 x14ac:dyDescent="0.25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 x14ac:dyDescent="0.25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 x14ac:dyDescent="0.25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 x14ac:dyDescent="0.25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 x14ac:dyDescent="0.25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 x14ac:dyDescent="0.25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 x14ac:dyDescent="0.25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 x14ac:dyDescent="0.25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 x14ac:dyDescent="0.25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 x14ac:dyDescent="0.25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 x14ac:dyDescent="0.25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 x14ac:dyDescent="0.25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 x14ac:dyDescent="0.25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 x14ac:dyDescent="0.25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 x14ac:dyDescent="0.25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 x14ac:dyDescent="0.25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 x14ac:dyDescent="0.25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 x14ac:dyDescent="0.25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 x14ac:dyDescent="0.25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 x14ac:dyDescent="0.25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 x14ac:dyDescent="0.25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 x14ac:dyDescent="0.25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Y54"/>
  <sheetViews>
    <sheetView workbookViewId="0"/>
  </sheetViews>
  <sheetFormatPr defaultRowHeight="15" customHeight="1" zeroHeight="1" x14ac:dyDescent="0.25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 x14ac:dyDescent="0.2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 x14ac:dyDescent="0.3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 x14ac:dyDescent="0.25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 x14ac:dyDescent="0.25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 x14ac:dyDescent="0.25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 x14ac:dyDescent="0.25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 x14ac:dyDescent="0.25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 x14ac:dyDescent="0.25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 x14ac:dyDescent="0.25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 x14ac:dyDescent="0.25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 x14ac:dyDescent="0.25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 x14ac:dyDescent="0.25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 x14ac:dyDescent="0.25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 x14ac:dyDescent="0.25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 x14ac:dyDescent="0.25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 x14ac:dyDescent="0.25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 x14ac:dyDescent="0.25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 x14ac:dyDescent="0.25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 x14ac:dyDescent="0.25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 x14ac:dyDescent="0.25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 x14ac:dyDescent="0.25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 x14ac:dyDescent="0.25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 x14ac:dyDescent="0.25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 x14ac:dyDescent="0.25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 x14ac:dyDescent="0.25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 x14ac:dyDescent="0.25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 x14ac:dyDescent="0.25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 x14ac:dyDescent="0.25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 x14ac:dyDescent="0.25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 x14ac:dyDescent="0.25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 x14ac:dyDescent="0.25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 x14ac:dyDescent="0.25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 x14ac:dyDescent="0.25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 x14ac:dyDescent="0.25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 x14ac:dyDescent="0.25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 x14ac:dyDescent="0.25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 x14ac:dyDescent="0.25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 x14ac:dyDescent="0.25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 x14ac:dyDescent="0.25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 x14ac:dyDescent="0.25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 x14ac:dyDescent="0.25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 x14ac:dyDescent="0.25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 x14ac:dyDescent="0.25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 x14ac:dyDescent="0.25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 x14ac:dyDescent="0.25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 x14ac:dyDescent="0.2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 x14ac:dyDescent="0.25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 x14ac:dyDescent="0.25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 x14ac:dyDescent="0.25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 x14ac:dyDescent="0.25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 x14ac:dyDescent="0.25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 x14ac:dyDescent="0.25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 x14ac:dyDescent="0.25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 x14ac:dyDescent="0.25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Y54"/>
  <sheetViews>
    <sheetView workbookViewId="0">
      <selection activeCell="C13" sqref="C13"/>
    </sheetView>
  </sheetViews>
  <sheetFormatPr defaultRowHeight="15" customHeight="1" zeroHeight="1" x14ac:dyDescent="0.25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 x14ac:dyDescent="0.2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 x14ac:dyDescent="0.3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 x14ac:dyDescent="0.25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 x14ac:dyDescent="0.25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 x14ac:dyDescent="0.25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 x14ac:dyDescent="0.25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 x14ac:dyDescent="0.25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 x14ac:dyDescent="0.25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 x14ac:dyDescent="0.25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 x14ac:dyDescent="0.25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 x14ac:dyDescent="0.25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 x14ac:dyDescent="0.25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 x14ac:dyDescent="0.25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 x14ac:dyDescent="0.25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 x14ac:dyDescent="0.25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 x14ac:dyDescent="0.25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 x14ac:dyDescent="0.25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 x14ac:dyDescent="0.25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 x14ac:dyDescent="0.25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 x14ac:dyDescent="0.25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 x14ac:dyDescent="0.25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 x14ac:dyDescent="0.25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 x14ac:dyDescent="0.25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 x14ac:dyDescent="0.25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 x14ac:dyDescent="0.25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 x14ac:dyDescent="0.25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 x14ac:dyDescent="0.25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 x14ac:dyDescent="0.25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 x14ac:dyDescent="0.25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 x14ac:dyDescent="0.25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 x14ac:dyDescent="0.25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 x14ac:dyDescent="0.25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 x14ac:dyDescent="0.25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 x14ac:dyDescent="0.25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 x14ac:dyDescent="0.25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 x14ac:dyDescent="0.25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 x14ac:dyDescent="0.25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 x14ac:dyDescent="0.25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 x14ac:dyDescent="0.25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 x14ac:dyDescent="0.25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 x14ac:dyDescent="0.25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 x14ac:dyDescent="0.25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 x14ac:dyDescent="0.25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 x14ac:dyDescent="0.25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 x14ac:dyDescent="0.25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 x14ac:dyDescent="0.2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 x14ac:dyDescent="0.25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 x14ac:dyDescent="0.25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 x14ac:dyDescent="0.25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 x14ac:dyDescent="0.25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 x14ac:dyDescent="0.25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 x14ac:dyDescent="0.25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 x14ac:dyDescent="0.25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 x14ac:dyDescent="0.25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54"/>
  <sheetViews>
    <sheetView workbookViewId="0"/>
  </sheetViews>
  <sheetFormatPr defaultRowHeight="15" zeroHeight="1" x14ac:dyDescent="0.25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 x14ac:dyDescent="0.2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 x14ac:dyDescent="0.3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 x14ac:dyDescent="0.25">
      <c r="A3" s="644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 x14ac:dyDescent="0.25">
      <c r="A4" s="642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 x14ac:dyDescent="0.25">
      <c r="A5" s="642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 x14ac:dyDescent="0.25">
      <c r="A6" s="642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 x14ac:dyDescent="0.25">
      <c r="A7" s="642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 x14ac:dyDescent="0.25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 x14ac:dyDescent="0.25">
      <c r="A9" s="643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 x14ac:dyDescent="0.25">
      <c r="A10" s="643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 x14ac:dyDescent="0.25">
      <c r="A11" s="643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 x14ac:dyDescent="0.25">
      <c r="A12" s="643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 x14ac:dyDescent="0.25">
      <c r="A13" s="643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 x14ac:dyDescent="0.25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 x14ac:dyDescent="0.25">
      <c r="A15" s="642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 x14ac:dyDescent="0.25">
      <c r="A16" s="642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 x14ac:dyDescent="0.25">
      <c r="A17" s="642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 x14ac:dyDescent="0.25">
      <c r="A18" s="642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 x14ac:dyDescent="0.25">
      <c r="A19" s="642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 x14ac:dyDescent="0.25">
      <c r="A20" s="642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 x14ac:dyDescent="0.25">
      <c r="A21" s="642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 x14ac:dyDescent="0.25">
      <c r="A22" s="642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 x14ac:dyDescent="0.25">
      <c r="A23" s="642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 x14ac:dyDescent="0.25">
      <c r="A24" s="643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 x14ac:dyDescent="0.25">
      <c r="A25" s="643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 x14ac:dyDescent="0.25">
      <c r="A26" s="643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 x14ac:dyDescent="0.25">
      <c r="A27" s="643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 x14ac:dyDescent="0.25">
      <c r="A28" s="643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 x14ac:dyDescent="0.25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 x14ac:dyDescent="0.25">
      <c r="A30" s="642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 x14ac:dyDescent="0.25">
      <c r="A31" s="642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 x14ac:dyDescent="0.25">
      <c r="A32" s="642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 x14ac:dyDescent="0.25">
      <c r="A33" s="642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 x14ac:dyDescent="0.25">
      <c r="A34" s="642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 x14ac:dyDescent="0.25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 x14ac:dyDescent="0.25">
      <c r="A36" s="643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 x14ac:dyDescent="0.25">
      <c r="A37" s="643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 x14ac:dyDescent="0.25">
      <c r="A38" s="643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 x14ac:dyDescent="0.25">
      <c r="A39" s="643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 x14ac:dyDescent="0.25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 x14ac:dyDescent="0.25">
      <c r="A41" s="642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 x14ac:dyDescent="0.25">
      <c r="A42" s="642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 x14ac:dyDescent="0.25">
      <c r="A43" s="642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 x14ac:dyDescent="0.25">
      <c r="A44" s="642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 x14ac:dyDescent="0.25">
      <c r="A45" s="642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 x14ac:dyDescent="0.2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 x14ac:dyDescent="0.25">
      <c r="A47" s="643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 x14ac:dyDescent="0.25">
      <c r="A48" s="643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 x14ac:dyDescent="0.25">
      <c r="A49" s="643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 x14ac:dyDescent="0.25">
      <c r="A50" s="643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 x14ac:dyDescent="0.25">
      <c r="A51" s="643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 x14ac:dyDescent="0.25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 x14ac:dyDescent="0.25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 x14ac:dyDescent="0.25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Y54"/>
  <sheetViews>
    <sheetView topLeftCell="H11" workbookViewId="0">
      <selection activeCell="AZ62" sqref="AZ62"/>
    </sheetView>
  </sheetViews>
  <sheetFormatPr defaultRowHeight="15" x14ac:dyDescent="0.2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 x14ac:dyDescent="0.2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 x14ac:dyDescent="0.3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 x14ac:dyDescent="0.25">
      <c r="A3" s="667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 x14ac:dyDescent="0.25">
      <c r="A4" s="665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 x14ac:dyDescent="0.25">
      <c r="A5" s="665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 x14ac:dyDescent="0.25">
      <c r="A6" s="665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 x14ac:dyDescent="0.25">
      <c r="A7" s="665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 x14ac:dyDescent="0.25">
      <c r="A8" s="665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 x14ac:dyDescent="0.25">
      <c r="A9" s="666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 x14ac:dyDescent="0.25">
      <c r="A10" s="666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 x14ac:dyDescent="0.25">
      <c r="A11" s="666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 x14ac:dyDescent="0.25">
      <c r="A12" s="666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 x14ac:dyDescent="0.25">
      <c r="A13" s="666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 x14ac:dyDescent="0.25">
      <c r="A14" s="666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 x14ac:dyDescent="0.25">
      <c r="A15" s="665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 x14ac:dyDescent="0.25">
      <c r="A16" s="665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 x14ac:dyDescent="0.25">
      <c r="A17" s="665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 x14ac:dyDescent="0.25">
      <c r="A18" s="665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 x14ac:dyDescent="0.25">
      <c r="A19" s="665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 x14ac:dyDescent="0.25">
      <c r="A20" s="665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 x14ac:dyDescent="0.25">
      <c r="A21" s="665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 x14ac:dyDescent="0.25">
      <c r="A22" s="665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 x14ac:dyDescent="0.25">
      <c r="A23" s="665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 x14ac:dyDescent="0.25">
      <c r="A24" s="666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 x14ac:dyDescent="0.25">
      <c r="A25" s="666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 x14ac:dyDescent="0.25">
      <c r="A26" s="666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 x14ac:dyDescent="0.25">
      <c r="A27" s="666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 x14ac:dyDescent="0.25">
      <c r="A28" s="666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 x14ac:dyDescent="0.25">
      <c r="A29" s="666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 x14ac:dyDescent="0.25">
      <c r="A30" s="665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 x14ac:dyDescent="0.25">
      <c r="A31" s="665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 x14ac:dyDescent="0.25">
      <c r="A32" s="665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 x14ac:dyDescent="0.25">
      <c r="A33" s="665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 x14ac:dyDescent="0.25">
      <c r="A34" s="665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 x14ac:dyDescent="0.25">
      <c r="A35" s="665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 x14ac:dyDescent="0.25">
      <c r="A36" s="666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 x14ac:dyDescent="0.25">
      <c r="A37" s="666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 x14ac:dyDescent="0.25">
      <c r="A38" s="666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 x14ac:dyDescent="0.25">
      <c r="A39" s="666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 x14ac:dyDescent="0.25">
      <c r="A40" s="666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 x14ac:dyDescent="0.25">
      <c r="A41" s="665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 x14ac:dyDescent="0.25">
      <c r="A42" s="665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 x14ac:dyDescent="0.25">
      <c r="A43" s="665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 x14ac:dyDescent="0.25">
      <c r="A44" s="665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 x14ac:dyDescent="0.25">
      <c r="A45" s="665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 x14ac:dyDescent="0.25">
      <c r="A46" s="665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 x14ac:dyDescent="0.25">
      <c r="A47" s="666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 x14ac:dyDescent="0.25">
      <c r="A48" s="666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 x14ac:dyDescent="0.25">
      <c r="A49" s="666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 x14ac:dyDescent="0.25">
      <c r="A50" s="666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 x14ac:dyDescent="0.25">
      <c r="A51" s="666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 x14ac:dyDescent="0.25">
      <c r="A52" s="666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 x14ac:dyDescent="0.25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 x14ac:dyDescent="0.25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 x14ac:dyDescent="0.25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 x14ac:dyDescent="0.2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 x14ac:dyDescent="0.3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 x14ac:dyDescent="0.25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 x14ac:dyDescent="0.25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 x14ac:dyDescent="0.25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 x14ac:dyDescent="0.25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 x14ac:dyDescent="0.25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 x14ac:dyDescent="0.25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 x14ac:dyDescent="0.25">
      <c r="A9" s="643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 x14ac:dyDescent="0.25">
      <c r="A10" s="643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 x14ac:dyDescent="0.25">
      <c r="A11" s="643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 x14ac:dyDescent="0.25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 x14ac:dyDescent="0.25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 x14ac:dyDescent="0.25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 x14ac:dyDescent="0.25">
      <c r="A15" s="642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 x14ac:dyDescent="0.25">
      <c r="A16" s="642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 x14ac:dyDescent="0.25">
      <c r="A17" s="642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 x14ac:dyDescent="0.25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 x14ac:dyDescent="0.25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 x14ac:dyDescent="0.25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 x14ac:dyDescent="0.25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 x14ac:dyDescent="0.25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 x14ac:dyDescent="0.25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 x14ac:dyDescent="0.25">
      <c r="A24" s="643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 x14ac:dyDescent="0.25">
      <c r="A25" s="643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 x14ac:dyDescent="0.25">
      <c r="A26" s="643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 x14ac:dyDescent="0.25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 x14ac:dyDescent="0.25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 x14ac:dyDescent="0.25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 x14ac:dyDescent="0.25">
      <c r="A30" s="642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 x14ac:dyDescent="0.25">
      <c r="A31" s="642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 x14ac:dyDescent="0.25">
      <c r="A32" s="642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 x14ac:dyDescent="0.25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 x14ac:dyDescent="0.25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 x14ac:dyDescent="0.25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 x14ac:dyDescent="0.25">
      <c r="A36" s="643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 x14ac:dyDescent="0.25">
      <c r="A37" s="643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 x14ac:dyDescent="0.25">
      <c r="A38" s="643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 x14ac:dyDescent="0.25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 x14ac:dyDescent="0.25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 x14ac:dyDescent="0.25">
      <c r="A41" s="642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 x14ac:dyDescent="0.25">
      <c r="A42" s="642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 x14ac:dyDescent="0.25">
      <c r="A43" s="642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 x14ac:dyDescent="0.25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 x14ac:dyDescent="0.25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 x14ac:dyDescent="0.2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 x14ac:dyDescent="0.25">
      <c r="A47" s="643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 x14ac:dyDescent="0.25">
      <c r="A48" s="643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 x14ac:dyDescent="0.25">
      <c r="A49" s="643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 x14ac:dyDescent="0.25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 x14ac:dyDescent="0.25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 x14ac:dyDescent="0.25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 x14ac:dyDescent="0.25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 x14ac:dyDescent="0.25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M11" sqref="M11"/>
    </sheetView>
  </sheetViews>
  <sheetFormatPr defaultRowHeight="15" x14ac:dyDescent="0.2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 x14ac:dyDescent="0.25">
      <c r="A1" s="478" t="s">
        <v>15</v>
      </c>
      <c r="B1" s="478" t="s">
        <v>16</v>
      </c>
      <c r="C1" s="481" t="s">
        <v>0</v>
      </c>
      <c r="D1" s="482" t="s">
        <v>1</v>
      </c>
      <c r="E1" s="669" t="s">
        <v>17</v>
      </c>
      <c r="F1" s="668" t="s">
        <v>454</v>
      </c>
      <c r="G1" s="668"/>
      <c r="H1" s="668"/>
      <c r="I1" s="668"/>
    </row>
    <row r="2" spans="1:9" ht="15" customHeight="1" x14ac:dyDescent="0.25">
      <c r="A2" s="479"/>
      <c r="B2" s="479"/>
      <c r="C2" s="481"/>
      <c r="D2" s="482"/>
      <c r="E2" s="670"/>
      <c r="F2" s="668"/>
      <c r="G2" s="668"/>
      <c r="H2" s="668"/>
      <c r="I2" s="668"/>
    </row>
    <row r="3" spans="1:9" s="97" customFormat="1" ht="63.75" customHeight="1" x14ac:dyDescent="0.25">
      <c r="A3" s="480"/>
      <c r="B3" s="480"/>
      <c r="C3" s="481"/>
      <c r="D3" s="482"/>
      <c r="E3" s="671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 x14ac:dyDescent="0.25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 x14ac:dyDescent="0.25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 x14ac:dyDescent="0.25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 x14ac:dyDescent="0.25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 x14ac:dyDescent="0.25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 x14ac:dyDescent="0.25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 x14ac:dyDescent="0.25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 x14ac:dyDescent="0.25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 x14ac:dyDescent="0.25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 x14ac:dyDescent="0.25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 x14ac:dyDescent="0.25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 x14ac:dyDescent="0.25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 x14ac:dyDescent="0.25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 x14ac:dyDescent="0.25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 x14ac:dyDescent="0.25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 x14ac:dyDescent="0.25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 x14ac:dyDescent="0.25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 x14ac:dyDescent="0.25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 x14ac:dyDescent="0.25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 x14ac:dyDescent="0.25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 x14ac:dyDescent="0.25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 x14ac:dyDescent="0.25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 x14ac:dyDescent="0.25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 x14ac:dyDescent="0.25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 x14ac:dyDescent="0.25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 x14ac:dyDescent="0.25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 x14ac:dyDescent="0.25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 x14ac:dyDescent="0.25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 x14ac:dyDescent="0.25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 x14ac:dyDescent="0.25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 x14ac:dyDescent="0.25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 x14ac:dyDescent="0.25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 x14ac:dyDescent="0.25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 x14ac:dyDescent="0.25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 x14ac:dyDescent="0.25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 x14ac:dyDescent="0.25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 x14ac:dyDescent="0.25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 x14ac:dyDescent="0.25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 x14ac:dyDescent="0.25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 x14ac:dyDescent="0.25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 x14ac:dyDescent="0.25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 x14ac:dyDescent="0.25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 x14ac:dyDescent="0.25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 x14ac:dyDescent="0.25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 x14ac:dyDescent="0.25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 x14ac:dyDescent="0.25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 x14ac:dyDescent="0.25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 x14ac:dyDescent="0.25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 x14ac:dyDescent="0.25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 x14ac:dyDescent="0.2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 x14ac:dyDescent="0.3">
      <c r="A1" s="131"/>
      <c r="B1" s="132" t="s">
        <v>245</v>
      </c>
      <c r="C1" s="672">
        <f>menu!E13</f>
        <v>0</v>
      </c>
      <c r="D1" s="672"/>
      <c r="E1" s="672"/>
      <c r="F1" s="672"/>
      <c r="G1" s="673" t="s">
        <v>246</v>
      </c>
      <c r="H1" s="673"/>
      <c r="I1" s="674" t="str">
        <f>menu!D15</f>
        <v>Ganjil</v>
      </c>
      <c r="J1" s="674"/>
      <c r="K1" s="675" t="s">
        <v>247</v>
      </c>
      <c r="L1" s="676"/>
      <c r="M1" s="46">
        <f>menu!D19</f>
        <v>0</v>
      </c>
      <c r="N1" s="133"/>
    </row>
    <row r="2" spans="1:122" ht="16.5" x14ac:dyDescent="0.3">
      <c r="A2" s="131"/>
      <c r="B2" s="132" t="s">
        <v>248</v>
      </c>
      <c r="C2" s="677" t="str">
        <f>menu!D14</f>
        <v>7a</v>
      </c>
      <c r="D2" s="677"/>
      <c r="E2" s="134"/>
      <c r="F2" s="673" t="s">
        <v>249</v>
      </c>
      <c r="G2" s="673"/>
      <c r="H2" s="673"/>
      <c r="I2" s="678" t="str">
        <f>menu!D16</f>
        <v>2017/2018</v>
      </c>
      <c r="J2" s="678"/>
      <c r="K2" s="675" t="s">
        <v>250</v>
      </c>
      <c r="L2" s="675"/>
      <c r="M2" s="679"/>
      <c r="N2" s="679"/>
    </row>
    <row r="3" spans="1:122" x14ac:dyDescent="0.25">
      <c r="A3" s="131"/>
      <c r="B3" s="190" t="s">
        <v>251</v>
      </c>
      <c r="C3" s="682" t="s">
        <v>252</v>
      </c>
      <c r="D3" s="682"/>
      <c r="E3" s="682"/>
      <c r="F3" s="682"/>
      <c r="G3" s="682"/>
      <c r="H3" s="682"/>
      <c r="I3" s="682"/>
      <c r="J3" s="131"/>
      <c r="K3" s="131"/>
      <c r="L3" s="131"/>
      <c r="M3" s="131"/>
      <c r="N3" s="131"/>
    </row>
    <row r="4" spans="1:122" x14ac:dyDescent="0.25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 x14ac:dyDescent="0.25">
      <c r="A5" s="131"/>
      <c r="B5" s="137"/>
      <c r="C5" s="683" t="s">
        <v>253</v>
      </c>
      <c r="D5" s="684"/>
      <c r="E5" s="684"/>
      <c r="F5" s="684"/>
      <c r="G5" s="684"/>
      <c r="H5" s="684"/>
      <c r="I5" s="684"/>
      <c r="J5" s="685"/>
      <c r="K5" s="138" t="s">
        <v>254</v>
      </c>
      <c r="L5" s="138"/>
      <c r="M5" s="138"/>
      <c r="N5" s="139"/>
      <c r="O5" s="683" t="s">
        <v>253</v>
      </c>
      <c r="P5" s="684"/>
      <c r="Q5" s="684"/>
      <c r="R5" s="684"/>
      <c r="S5" s="684"/>
      <c r="T5" s="684"/>
      <c r="U5" s="684"/>
      <c r="V5" s="685"/>
      <c r="W5" s="138" t="s">
        <v>254</v>
      </c>
      <c r="X5" s="138"/>
      <c r="Y5" s="138"/>
      <c r="Z5" s="139"/>
      <c r="AA5" s="683" t="s">
        <v>253</v>
      </c>
      <c r="AB5" s="684"/>
      <c r="AC5" s="684"/>
      <c r="AD5" s="684"/>
      <c r="AE5" s="684"/>
      <c r="AF5" s="684"/>
      <c r="AG5" s="684"/>
      <c r="AH5" s="685"/>
      <c r="AI5" s="138" t="s">
        <v>254</v>
      </c>
      <c r="AJ5" s="138"/>
      <c r="AK5" s="138"/>
      <c r="AL5" s="139"/>
      <c r="AM5" s="683" t="s">
        <v>253</v>
      </c>
      <c r="AN5" s="684"/>
      <c r="AO5" s="684"/>
      <c r="AP5" s="684"/>
      <c r="AQ5" s="684"/>
      <c r="AR5" s="684"/>
      <c r="AS5" s="684"/>
      <c r="AT5" s="685"/>
      <c r="AU5" s="138" t="s">
        <v>254</v>
      </c>
      <c r="AV5" s="138"/>
      <c r="AW5" s="138"/>
      <c r="AX5" s="139"/>
      <c r="AY5" s="683" t="s">
        <v>253</v>
      </c>
      <c r="AZ5" s="684"/>
      <c r="BA5" s="684"/>
      <c r="BB5" s="684"/>
      <c r="BC5" s="684"/>
      <c r="BD5" s="684"/>
      <c r="BE5" s="684"/>
      <c r="BF5" s="685"/>
      <c r="BG5" s="138" t="s">
        <v>254</v>
      </c>
      <c r="BH5" s="138"/>
      <c r="BI5" s="138"/>
      <c r="BJ5" s="139"/>
      <c r="BK5" s="683" t="s">
        <v>253</v>
      </c>
      <c r="BL5" s="684"/>
      <c r="BM5" s="684"/>
      <c r="BN5" s="684"/>
      <c r="BO5" s="684"/>
      <c r="BP5" s="684"/>
      <c r="BQ5" s="684"/>
      <c r="BR5" s="685"/>
      <c r="BS5" s="138" t="s">
        <v>254</v>
      </c>
      <c r="BT5" s="138"/>
      <c r="BU5" s="138"/>
      <c r="BV5" s="139"/>
      <c r="BW5" s="683" t="s">
        <v>253</v>
      </c>
      <c r="BX5" s="684"/>
      <c r="BY5" s="684"/>
      <c r="BZ5" s="684"/>
      <c r="CA5" s="684"/>
      <c r="CB5" s="684"/>
      <c r="CC5" s="684"/>
      <c r="CD5" s="685"/>
      <c r="CE5" s="138" t="s">
        <v>254</v>
      </c>
      <c r="CF5" s="138"/>
      <c r="CG5" s="138"/>
      <c r="CH5" s="139"/>
      <c r="CI5" s="683" t="s">
        <v>253</v>
      </c>
      <c r="CJ5" s="684"/>
      <c r="CK5" s="684"/>
      <c r="CL5" s="684"/>
      <c r="CM5" s="684"/>
      <c r="CN5" s="684"/>
      <c r="CO5" s="684"/>
      <c r="CP5" s="685"/>
      <c r="CQ5" s="138" t="s">
        <v>254</v>
      </c>
      <c r="CR5" s="138"/>
      <c r="CS5" s="138"/>
      <c r="CT5" s="139"/>
      <c r="CU5" s="683" t="s">
        <v>253</v>
      </c>
      <c r="CV5" s="684"/>
      <c r="CW5" s="684"/>
      <c r="CX5" s="684"/>
      <c r="CY5" s="684"/>
      <c r="CZ5" s="684"/>
      <c r="DA5" s="684"/>
      <c r="DB5" s="685"/>
      <c r="DC5" s="138" t="s">
        <v>254</v>
      </c>
      <c r="DD5" s="138"/>
      <c r="DE5" s="138"/>
      <c r="DF5" s="139"/>
      <c r="DG5" s="683" t="s">
        <v>253</v>
      </c>
      <c r="DH5" s="684"/>
      <c r="DI5" s="684"/>
      <c r="DJ5" s="684"/>
      <c r="DK5" s="684"/>
      <c r="DL5" s="684"/>
      <c r="DM5" s="684"/>
      <c r="DN5" s="685"/>
      <c r="DO5" s="138" t="s">
        <v>254</v>
      </c>
      <c r="DP5" s="138"/>
      <c r="DQ5" s="138"/>
      <c r="DR5" s="139"/>
    </row>
    <row r="6" spans="1:122" x14ac:dyDescent="0.25">
      <c r="A6" s="131"/>
      <c r="B6" s="140" t="s">
        <v>255</v>
      </c>
      <c r="C6" s="686"/>
      <c r="D6" s="687"/>
      <c r="E6" s="687"/>
      <c r="F6" s="687"/>
      <c r="G6" s="687"/>
      <c r="H6" s="687"/>
      <c r="I6" s="687"/>
      <c r="J6" s="688"/>
      <c r="K6" s="141" t="s">
        <v>255</v>
      </c>
      <c r="L6" s="78"/>
      <c r="M6" s="78"/>
      <c r="N6" s="79"/>
      <c r="O6" s="686"/>
      <c r="P6" s="687"/>
      <c r="Q6" s="687"/>
      <c r="R6" s="687"/>
      <c r="S6" s="687"/>
      <c r="T6" s="687"/>
      <c r="U6" s="687"/>
      <c r="V6" s="688"/>
      <c r="W6" s="141" t="s">
        <v>255</v>
      </c>
      <c r="X6" s="78"/>
      <c r="Y6" s="78"/>
      <c r="Z6" s="79"/>
      <c r="AA6" s="686"/>
      <c r="AB6" s="687"/>
      <c r="AC6" s="687"/>
      <c r="AD6" s="687"/>
      <c r="AE6" s="687"/>
      <c r="AF6" s="687"/>
      <c r="AG6" s="687"/>
      <c r="AH6" s="688"/>
      <c r="AI6" s="141" t="s">
        <v>255</v>
      </c>
      <c r="AJ6" s="78"/>
      <c r="AK6" s="78"/>
      <c r="AL6" s="79"/>
      <c r="AM6" s="686"/>
      <c r="AN6" s="687"/>
      <c r="AO6" s="687"/>
      <c r="AP6" s="687"/>
      <c r="AQ6" s="687"/>
      <c r="AR6" s="687"/>
      <c r="AS6" s="687"/>
      <c r="AT6" s="688"/>
      <c r="AU6" s="141" t="s">
        <v>255</v>
      </c>
      <c r="AV6" s="78"/>
      <c r="AW6" s="78"/>
      <c r="AX6" s="79"/>
      <c r="AY6" s="686"/>
      <c r="AZ6" s="687"/>
      <c r="BA6" s="687"/>
      <c r="BB6" s="687"/>
      <c r="BC6" s="687"/>
      <c r="BD6" s="687"/>
      <c r="BE6" s="687"/>
      <c r="BF6" s="688"/>
      <c r="BG6" s="141" t="s">
        <v>255</v>
      </c>
      <c r="BH6" s="78"/>
      <c r="BI6" s="78"/>
      <c r="BJ6" s="79"/>
      <c r="BK6" s="686"/>
      <c r="BL6" s="687"/>
      <c r="BM6" s="687"/>
      <c r="BN6" s="687"/>
      <c r="BO6" s="687"/>
      <c r="BP6" s="687"/>
      <c r="BQ6" s="687"/>
      <c r="BR6" s="688"/>
      <c r="BS6" s="141" t="s">
        <v>255</v>
      </c>
      <c r="BT6" s="78"/>
      <c r="BU6" s="78"/>
      <c r="BV6" s="79"/>
      <c r="BW6" s="686"/>
      <c r="BX6" s="687"/>
      <c r="BY6" s="687"/>
      <c r="BZ6" s="687"/>
      <c r="CA6" s="687"/>
      <c r="CB6" s="687"/>
      <c r="CC6" s="687"/>
      <c r="CD6" s="688"/>
      <c r="CE6" s="141" t="s">
        <v>255</v>
      </c>
      <c r="CF6" s="78"/>
      <c r="CG6" s="78"/>
      <c r="CH6" s="79"/>
      <c r="CI6" s="686"/>
      <c r="CJ6" s="687"/>
      <c r="CK6" s="687"/>
      <c r="CL6" s="687"/>
      <c r="CM6" s="687"/>
      <c r="CN6" s="687"/>
      <c r="CO6" s="687"/>
      <c r="CP6" s="688"/>
      <c r="CQ6" s="141" t="s">
        <v>255</v>
      </c>
      <c r="CR6" s="78"/>
      <c r="CS6" s="78"/>
      <c r="CT6" s="79"/>
      <c r="CU6" s="686"/>
      <c r="CV6" s="687"/>
      <c r="CW6" s="687"/>
      <c r="CX6" s="687"/>
      <c r="CY6" s="687"/>
      <c r="CZ6" s="687"/>
      <c r="DA6" s="687"/>
      <c r="DB6" s="688"/>
      <c r="DC6" s="141" t="s">
        <v>255</v>
      </c>
      <c r="DD6" s="78"/>
      <c r="DE6" s="78"/>
      <c r="DF6" s="79"/>
      <c r="DG6" s="686"/>
      <c r="DH6" s="687"/>
      <c r="DI6" s="687"/>
      <c r="DJ6" s="687"/>
      <c r="DK6" s="687"/>
      <c r="DL6" s="687"/>
      <c r="DM6" s="687"/>
      <c r="DN6" s="688"/>
      <c r="DO6" s="141" t="s">
        <v>255</v>
      </c>
      <c r="DP6" s="78"/>
      <c r="DQ6" s="78"/>
      <c r="DR6" s="79"/>
    </row>
    <row r="7" spans="1:122" x14ac:dyDescent="0.25">
      <c r="A7" s="131"/>
      <c r="B7" s="140" t="s">
        <v>256</v>
      </c>
      <c r="C7" s="689"/>
      <c r="D7" s="690"/>
      <c r="E7" s="690"/>
      <c r="F7" s="690"/>
      <c r="G7" s="690"/>
      <c r="H7" s="690"/>
      <c r="I7" s="690"/>
      <c r="J7" s="691"/>
      <c r="K7" s="141" t="s">
        <v>256</v>
      </c>
      <c r="L7" s="80"/>
      <c r="M7" s="80"/>
      <c r="N7" s="81"/>
      <c r="O7" s="689"/>
      <c r="P7" s="690"/>
      <c r="Q7" s="690"/>
      <c r="R7" s="690"/>
      <c r="S7" s="690"/>
      <c r="T7" s="690"/>
      <c r="U7" s="690"/>
      <c r="V7" s="691"/>
      <c r="W7" s="141" t="s">
        <v>256</v>
      </c>
      <c r="X7" s="80"/>
      <c r="Y7" s="80"/>
      <c r="Z7" s="81"/>
      <c r="AA7" s="689"/>
      <c r="AB7" s="690"/>
      <c r="AC7" s="690"/>
      <c r="AD7" s="690"/>
      <c r="AE7" s="690"/>
      <c r="AF7" s="690"/>
      <c r="AG7" s="690"/>
      <c r="AH7" s="691"/>
      <c r="AI7" s="141" t="s">
        <v>256</v>
      </c>
      <c r="AJ7" s="80"/>
      <c r="AK7" s="80"/>
      <c r="AL7" s="81"/>
      <c r="AM7" s="689"/>
      <c r="AN7" s="690"/>
      <c r="AO7" s="690"/>
      <c r="AP7" s="690"/>
      <c r="AQ7" s="690"/>
      <c r="AR7" s="690"/>
      <c r="AS7" s="690"/>
      <c r="AT7" s="691"/>
      <c r="AU7" s="141" t="s">
        <v>256</v>
      </c>
      <c r="AV7" s="80"/>
      <c r="AW7" s="80"/>
      <c r="AX7" s="81"/>
      <c r="AY7" s="689"/>
      <c r="AZ7" s="690"/>
      <c r="BA7" s="690"/>
      <c r="BB7" s="690"/>
      <c r="BC7" s="690"/>
      <c r="BD7" s="690"/>
      <c r="BE7" s="690"/>
      <c r="BF7" s="691"/>
      <c r="BG7" s="141" t="s">
        <v>256</v>
      </c>
      <c r="BH7" s="80"/>
      <c r="BI7" s="80"/>
      <c r="BJ7" s="81"/>
      <c r="BK7" s="689"/>
      <c r="BL7" s="690"/>
      <c r="BM7" s="690"/>
      <c r="BN7" s="690"/>
      <c r="BO7" s="690"/>
      <c r="BP7" s="690"/>
      <c r="BQ7" s="690"/>
      <c r="BR7" s="691"/>
      <c r="BS7" s="141" t="s">
        <v>256</v>
      </c>
      <c r="BT7" s="80"/>
      <c r="BU7" s="80"/>
      <c r="BV7" s="81"/>
      <c r="BW7" s="689"/>
      <c r="BX7" s="690"/>
      <c r="BY7" s="690"/>
      <c r="BZ7" s="690"/>
      <c r="CA7" s="690"/>
      <c r="CB7" s="690"/>
      <c r="CC7" s="690"/>
      <c r="CD7" s="691"/>
      <c r="CE7" s="141" t="s">
        <v>256</v>
      </c>
      <c r="CF7" s="80"/>
      <c r="CG7" s="80"/>
      <c r="CH7" s="81"/>
      <c r="CI7" s="689"/>
      <c r="CJ7" s="690"/>
      <c r="CK7" s="690"/>
      <c r="CL7" s="690"/>
      <c r="CM7" s="690"/>
      <c r="CN7" s="690"/>
      <c r="CO7" s="690"/>
      <c r="CP7" s="691"/>
      <c r="CQ7" s="141" t="s">
        <v>256</v>
      </c>
      <c r="CR7" s="80"/>
      <c r="CS7" s="80"/>
      <c r="CT7" s="81"/>
      <c r="CU7" s="689"/>
      <c r="CV7" s="690"/>
      <c r="CW7" s="690"/>
      <c r="CX7" s="690"/>
      <c r="CY7" s="690"/>
      <c r="CZ7" s="690"/>
      <c r="DA7" s="690"/>
      <c r="DB7" s="691"/>
      <c r="DC7" s="141" t="s">
        <v>256</v>
      </c>
      <c r="DD7" s="80"/>
      <c r="DE7" s="80"/>
      <c r="DF7" s="81"/>
      <c r="DG7" s="689"/>
      <c r="DH7" s="690"/>
      <c r="DI7" s="690"/>
      <c r="DJ7" s="690"/>
      <c r="DK7" s="690"/>
      <c r="DL7" s="690"/>
      <c r="DM7" s="690"/>
      <c r="DN7" s="691"/>
      <c r="DO7" s="141" t="s">
        <v>256</v>
      </c>
      <c r="DP7" s="80"/>
      <c r="DQ7" s="80"/>
      <c r="DR7" s="81"/>
    </row>
    <row r="8" spans="1:122" x14ac:dyDescent="0.25">
      <c r="A8" s="131"/>
      <c r="B8" s="140" t="s">
        <v>257</v>
      </c>
      <c r="C8" s="686"/>
      <c r="D8" s="687"/>
      <c r="E8" s="687"/>
      <c r="F8" s="687"/>
      <c r="G8" s="687"/>
      <c r="H8" s="687"/>
      <c r="I8" s="687"/>
      <c r="J8" s="688"/>
      <c r="K8" s="141" t="s">
        <v>257</v>
      </c>
      <c r="L8" s="78"/>
      <c r="M8" s="78"/>
      <c r="N8" s="79"/>
      <c r="O8" s="686"/>
      <c r="P8" s="687"/>
      <c r="Q8" s="687"/>
      <c r="R8" s="687"/>
      <c r="S8" s="687"/>
      <c r="T8" s="687"/>
      <c r="U8" s="687"/>
      <c r="V8" s="688"/>
      <c r="W8" s="141" t="s">
        <v>257</v>
      </c>
      <c r="X8" s="78"/>
      <c r="Y8" s="78"/>
      <c r="Z8" s="79"/>
      <c r="AA8" s="686"/>
      <c r="AB8" s="687"/>
      <c r="AC8" s="687"/>
      <c r="AD8" s="687"/>
      <c r="AE8" s="687"/>
      <c r="AF8" s="687"/>
      <c r="AG8" s="687"/>
      <c r="AH8" s="688"/>
      <c r="AI8" s="141" t="s">
        <v>257</v>
      </c>
      <c r="AJ8" s="78"/>
      <c r="AK8" s="78"/>
      <c r="AL8" s="79"/>
      <c r="AM8" s="686"/>
      <c r="AN8" s="687"/>
      <c r="AO8" s="687"/>
      <c r="AP8" s="687"/>
      <c r="AQ8" s="687"/>
      <c r="AR8" s="687"/>
      <c r="AS8" s="687"/>
      <c r="AT8" s="688"/>
      <c r="AU8" s="141" t="s">
        <v>257</v>
      </c>
      <c r="AV8" s="78"/>
      <c r="AW8" s="78"/>
      <c r="AX8" s="79"/>
      <c r="AY8" s="686"/>
      <c r="AZ8" s="687"/>
      <c r="BA8" s="687"/>
      <c r="BB8" s="687"/>
      <c r="BC8" s="687"/>
      <c r="BD8" s="687"/>
      <c r="BE8" s="687"/>
      <c r="BF8" s="688"/>
      <c r="BG8" s="141" t="s">
        <v>257</v>
      </c>
      <c r="BH8" s="78"/>
      <c r="BI8" s="78"/>
      <c r="BJ8" s="79"/>
      <c r="BK8" s="686"/>
      <c r="BL8" s="687"/>
      <c r="BM8" s="687"/>
      <c r="BN8" s="687"/>
      <c r="BO8" s="687"/>
      <c r="BP8" s="687"/>
      <c r="BQ8" s="687"/>
      <c r="BR8" s="688"/>
      <c r="BS8" s="141" t="s">
        <v>257</v>
      </c>
      <c r="BT8" s="78"/>
      <c r="BU8" s="78"/>
      <c r="BV8" s="79"/>
      <c r="BW8" s="686"/>
      <c r="BX8" s="687"/>
      <c r="BY8" s="687"/>
      <c r="BZ8" s="687"/>
      <c r="CA8" s="687"/>
      <c r="CB8" s="687"/>
      <c r="CC8" s="687"/>
      <c r="CD8" s="688"/>
      <c r="CE8" s="141" t="s">
        <v>257</v>
      </c>
      <c r="CF8" s="78"/>
      <c r="CG8" s="78"/>
      <c r="CH8" s="79"/>
      <c r="CI8" s="686"/>
      <c r="CJ8" s="687"/>
      <c r="CK8" s="687"/>
      <c r="CL8" s="687"/>
      <c r="CM8" s="687"/>
      <c r="CN8" s="687"/>
      <c r="CO8" s="687"/>
      <c r="CP8" s="688"/>
      <c r="CQ8" s="141" t="s">
        <v>257</v>
      </c>
      <c r="CR8" s="78"/>
      <c r="CS8" s="78"/>
      <c r="CT8" s="79"/>
      <c r="CU8" s="686"/>
      <c r="CV8" s="687"/>
      <c r="CW8" s="687"/>
      <c r="CX8" s="687"/>
      <c r="CY8" s="687"/>
      <c r="CZ8" s="687"/>
      <c r="DA8" s="687"/>
      <c r="DB8" s="688"/>
      <c r="DC8" s="141" t="s">
        <v>257</v>
      </c>
      <c r="DD8" s="78"/>
      <c r="DE8" s="78"/>
      <c r="DF8" s="79"/>
      <c r="DG8" s="686"/>
      <c r="DH8" s="687"/>
      <c r="DI8" s="687"/>
      <c r="DJ8" s="687"/>
      <c r="DK8" s="687"/>
      <c r="DL8" s="687"/>
      <c r="DM8" s="687"/>
      <c r="DN8" s="688"/>
      <c r="DO8" s="141" t="s">
        <v>257</v>
      </c>
      <c r="DP8" s="78"/>
      <c r="DQ8" s="78"/>
      <c r="DR8" s="79"/>
    </row>
    <row r="9" spans="1:122" x14ac:dyDescent="0.25">
      <c r="A9" s="131"/>
      <c r="B9" s="140" t="s">
        <v>258</v>
      </c>
      <c r="C9" s="689"/>
      <c r="D9" s="690"/>
      <c r="E9" s="690"/>
      <c r="F9" s="690"/>
      <c r="G9" s="690"/>
      <c r="H9" s="690"/>
      <c r="I9" s="690"/>
      <c r="J9" s="691"/>
      <c r="K9" s="142" t="s">
        <v>258</v>
      </c>
      <c r="L9" s="82"/>
      <c r="M9" s="82"/>
      <c r="N9" s="83"/>
      <c r="O9" s="689"/>
      <c r="P9" s="690"/>
      <c r="Q9" s="690"/>
      <c r="R9" s="690"/>
      <c r="S9" s="690"/>
      <c r="T9" s="690"/>
      <c r="U9" s="690"/>
      <c r="V9" s="691"/>
      <c r="W9" s="142" t="s">
        <v>258</v>
      </c>
      <c r="X9" s="82"/>
      <c r="Y9" s="82"/>
      <c r="Z9" s="83"/>
      <c r="AA9" s="689"/>
      <c r="AB9" s="690"/>
      <c r="AC9" s="690"/>
      <c r="AD9" s="690"/>
      <c r="AE9" s="690"/>
      <c r="AF9" s="690"/>
      <c r="AG9" s="690"/>
      <c r="AH9" s="691"/>
      <c r="AI9" s="142" t="s">
        <v>258</v>
      </c>
      <c r="AJ9" s="82"/>
      <c r="AK9" s="82"/>
      <c r="AL9" s="83"/>
      <c r="AM9" s="689"/>
      <c r="AN9" s="690"/>
      <c r="AO9" s="690"/>
      <c r="AP9" s="690"/>
      <c r="AQ9" s="690"/>
      <c r="AR9" s="690"/>
      <c r="AS9" s="690"/>
      <c r="AT9" s="691"/>
      <c r="AU9" s="142" t="s">
        <v>258</v>
      </c>
      <c r="AV9" s="82"/>
      <c r="AW9" s="82"/>
      <c r="AX9" s="83"/>
      <c r="AY9" s="689"/>
      <c r="AZ9" s="690"/>
      <c r="BA9" s="690"/>
      <c r="BB9" s="690"/>
      <c r="BC9" s="690"/>
      <c r="BD9" s="690"/>
      <c r="BE9" s="690"/>
      <c r="BF9" s="691"/>
      <c r="BG9" s="142" t="s">
        <v>258</v>
      </c>
      <c r="BH9" s="82"/>
      <c r="BI9" s="82"/>
      <c r="BJ9" s="83"/>
      <c r="BK9" s="689"/>
      <c r="BL9" s="690"/>
      <c r="BM9" s="690"/>
      <c r="BN9" s="690"/>
      <c r="BO9" s="690"/>
      <c r="BP9" s="690"/>
      <c r="BQ9" s="690"/>
      <c r="BR9" s="691"/>
      <c r="BS9" s="142" t="s">
        <v>258</v>
      </c>
      <c r="BT9" s="82"/>
      <c r="BU9" s="82"/>
      <c r="BV9" s="83"/>
      <c r="BW9" s="689"/>
      <c r="BX9" s="690"/>
      <c r="BY9" s="690"/>
      <c r="BZ9" s="690"/>
      <c r="CA9" s="690"/>
      <c r="CB9" s="690"/>
      <c r="CC9" s="690"/>
      <c r="CD9" s="691"/>
      <c r="CE9" s="142" t="s">
        <v>258</v>
      </c>
      <c r="CF9" s="82"/>
      <c r="CG9" s="82"/>
      <c r="CH9" s="83"/>
      <c r="CI9" s="689"/>
      <c r="CJ9" s="690"/>
      <c r="CK9" s="690"/>
      <c r="CL9" s="690"/>
      <c r="CM9" s="690"/>
      <c r="CN9" s="690"/>
      <c r="CO9" s="690"/>
      <c r="CP9" s="691"/>
      <c r="CQ9" s="142" t="s">
        <v>258</v>
      </c>
      <c r="CR9" s="82"/>
      <c r="CS9" s="82"/>
      <c r="CT9" s="83"/>
      <c r="CU9" s="689"/>
      <c r="CV9" s="690"/>
      <c r="CW9" s="690"/>
      <c r="CX9" s="690"/>
      <c r="CY9" s="690"/>
      <c r="CZ9" s="690"/>
      <c r="DA9" s="690"/>
      <c r="DB9" s="691"/>
      <c r="DC9" s="142" t="s">
        <v>258</v>
      </c>
      <c r="DD9" s="82"/>
      <c r="DE9" s="82"/>
      <c r="DF9" s="83"/>
      <c r="DG9" s="689"/>
      <c r="DH9" s="690"/>
      <c r="DI9" s="690"/>
      <c r="DJ9" s="690"/>
      <c r="DK9" s="690"/>
      <c r="DL9" s="690"/>
      <c r="DM9" s="690"/>
      <c r="DN9" s="691"/>
      <c r="DO9" s="142" t="s">
        <v>258</v>
      </c>
      <c r="DP9" s="82"/>
      <c r="DQ9" s="82"/>
      <c r="DR9" s="83"/>
    </row>
    <row r="10" spans="1:122" x14ac:dyDescent="0.25">
      <c r="A10" s="131"/>
      <c r="B10" s="140" t="s">
        <v>259</v>
      </c>
      <c r="C10" s="686"/>
      <c r="D10" s="687"/>
      <c r="E10" s="687"/>
      <c r="F10" s="687"/>
      <c r="G10" s="687"/>
      <c r="H10" s="687"/>
      <c r="I10" s="687"/>
      <c r="J10" s="688"/>
      <c r="K10" s="131"/>
      <c r="L10" s="186"/>
      <c r="M10" s="143"/>
      <c r="N10" s="143"/>
      <c r="O10" s="686"/>
      <c r="P10" s="687"/>
      <c r="Q10" s="687"/>
      <c r="R10" s="687"/>
      <c r="S10" s="687"/>
      <c r="T10" s="687"/>
      <c r="U10" s="687"/>
      <c r="V10" s="688"/>
      <c r="W10" s="131"/>
      <c r="X10" s="186"/>
      <c r="Y10" s="143"/>
      <c r="Z10" s="143"/>
      <c r="AA10" s="686"/>
      <c r="AB10" s="687"/>
      <c r="AC10" s="687"/>
      <c r="AD10" s="687"/>
      <c r="AE10" s="687"/>
      <c r="AF10" s="687"/>
      <c r="AG10" s="687"/>
      <c r="AH10" s="688"/>
      <c r="AI10" s="131"/>
      <c r="AJ10" s="186"/>
      <c r="AK10" s="143"/>
      <c r="AL10" s="143"/>
      <c r="AM10" s="686"/>
      <c r="AN10" s="687"/>
      <c r="AO10" s="687"/>
      <c r="AP10" s="687"/>
      <c r="AQ10" s="687"/>
      <c r="AR10" s="687"/>
      <c r="AS10" s="687"/>
      <c r="AT10" s="688"/>
      <c r="AU10" s="131"/>
      <c r="AV10" s="186"/>
      <c r="AW10" s="143"/>
      <c r="AX10" s="143"/>
      <c r="AY10" s="686"/>
      <c r="AZ10" s="687"/>
      <c r="BA10" s="687"/>
      <c r="BB10" s="687"/>
      <c r="BC10" s="687"/>
      <c r="BD10" s="687"/>
      <c r="BE10" s="687"/>
      <c r="BF10" s="688"/>
      <c r="BG10" s="131"/>
      <c r="BH10" s="186"/>
      <c r="BI10" s="143"/>
      <c r="BJ10" s="143"/>
      <c r="BK10" s="686"/>
      <c r="BL10" s="687"/>
      <c r="BM10" s="687"/>
      <c r="BN10" s="687"/>
      <c r="BO10" s="687"/>
      <c r="BP10" s="687"/>
      <c r="BQ10" s="687"/>
      <c r="BR10" s="688"/>
      <c r="BS10" s="131"/>
      <c r="BT10" s="186"/>
      <c r="BU10" s="143"/>
      <c r="BV10" s="143"/>
      <c r="BW10" s="686"/>
      <c r="BX10" s="687"/>
      <c r="BY10" s="687"/>
      <c r="BZ10" s="687"/>
      <c r="CA10" s="687"/>
      <c r="CB10" s="687"/>
      <c r="CC10" s="687"/>
      <c r="CD10" s="688"/>
      <c r="CE10" s="131"/>
      <c r="CF10" s="186"/>
      <c r="CG10" s="143"/>
      <c r="CH10" s="143"/>
      <c r="CI10" s="686"/>
      <c r="CJ10" s="687"/>
      <c r="CK10" s="687"/>
      <c r="CL10" s="687"/>
      <c r="CM10" s="687"/>
      <c r="CN10" s="687"/>
      <c r="CO10" s="687"/>
      <c r="CP10" s="688"/>
      <c r="CQ10" s="131"/>
      <c r="CR10" s="186"/>
      <c r="CS10" s="143"/>
      <c r="CT10" s="143"/>
      <c r="CU10" s="686"/>
      <c r="CV10" s="687"/>
      <c r="CW10" s="687"/>
      <c r="CX10" s="687"/>
      <c r="CY10" s="687"/>
      <c r="CZ10" s="687"/>
      <c r="DA10" s="687"/>
      <c r="DB10" s="688"/>
      <c r="DC10" s="131"/>
      <c r="DD10" s="186"/>
      <c r="DE10" s="143"/>
      <c r="DF10" s="143"/>
      <c r="DG10" s="686"/>
      <c r="DH10" s="687"/>
      <c r="DI10" s="687"/>
      <c r="DJ10" s="687"/>
      <c r="DK10" s="687"/>
      <c r="DL10" s="687"/>
      <c r="DM10" s="687"/>
      <c r="DN10" s="688"/>
      <c r="DO10" s="131"/>
      <c r="DP10" s="186"/>
      <c r="DQ10" s="143"/>
      <c r="DR10" s="143"/>
    </row>
    <row r="11" spans="1:122" x14ac:dyDescent="0.25">
      <c r="A11" s="131"/>
      <c r="B11" s="140" t="s">
        <v>260</v>
      </c>
      <c r="C11" s="689"/>
      <c r="D11" s="690"/>
      <c r="E11" s="690"/>
      <c r="F11" s="690"/>
      <c r="G11" s="690"/>
      <c r="H11" s="690"/>
      <c r="I11" s="690"/>
      <c r="J11" s="691"/>
      <c r="K11" s="131"/>
      <c r="L11" s="186"/>
      <c r="M11" s="143"/>
      <c r="N11" s="143"/>
      <c r="O11" s="689"/>
      <c r="P11" s="690"/>
      <c r="Q11" s="690"/>
      <c r="R11" s="690"/>
      <c r="S11" s="690"/>
      <c r="T11" s="690"/>
      <c r="U11" s="690"/>
      <c r="V11" s="691"/>
      <c r="W11" s="131"/>
      <c r="X11" s="186"/>
      <c r="Y11" s="143"/>
      <c r="Z11" s="143"/>
      <c r="AA11" s="689"/>
      <c r="AB11" s="690"/>
      <c r="AC11" s="690"/>
      <c r="AD11" s="690"/>
      <c r="AE11" s="690"/>
      <c r="AF11" s="690"/>
      <c r="AG11" s="690"/>
      <c r="AH11" s="691"/>
      <c r="AI11" s="131"/>
      <c r="AJ11" s="186"/>
      <c r="AK11" s="143"/>
      <c r="AL11" s="143"/>
      <c r="AM11" s="689"/>
      <c r="AN11" s="690"/>
      <c r="AO11" s="690"/>
      <c r="AP11" s="690"/>
      <c r="AQ11" s="690"/>
      <c r="AR11" s="690"/>
      <c r="AS11" s="690"/>
      <c r="AT11" s="691"/>
      <c r="AU11" s="131"/>
      <c r="AV11" s="186"/>
      <c r="AW11" s="143"/>
      <c r="AX11" s="143"/>
      <c r="AY11" s="689"/>
      <c r="AZ11" s="690"/>
      <c r="BA11" s="690"/>
      <c r="BB11" s="690"/>
      <c r="BC11" s="690"/>
      <c r="BD11" s="690"/>
      <c r="BE11" s="690"/>
      <c r="BF11" s="691"/>
      <c r="BG11" s="131"/>
      <c r="BH11" s="186"/>
      <c r="BI11" s="143"/>
      <c r="BJ11" s="143"/>
      <c r="BK11" s="689"/>
      <c r="BL11" s="690"/>
      <c r="BM11" s="690"/>
      <c r="BN11" s="690"/>
      <c r="BO11" s="690"/>
      <c r="BP11" s="690"/>
      <c r="BQ11" s="690"/>
      <c r="BR11" s="691"/>
      <c r="BS11" s="131"/>
      <c r="BT11" s="186"/>
      <c r="BU11" s="143"/>
      <c r="BV11" s="143"/>
      <c r="BW11" s="689"/>
      <c r="BX11" s="690"/>
      <c r="BY11" s="690"/>
      <c r="BZ11" s="690"/>
      <c r="CA11" s="690"/>
      <c r="CB11" s="690"/>
      <c r="CC11" s="690"/>
      <c r="CD11" s="691"/>
      <c r="CE11" s="131"/>
      <c r="CF11" s="186"/>
      <c r="CG11" s="143"/>
      <c r="CH11" s="143"/>
      <c r="CI11" s="689"/>
      <c r="CJ11" s="690"/>
      <c r="CK11" s="690"/>
      <c r="CL11" s="690"/>
      <c r="CM11" s="690"/>
      <c r="CN11" s="690"/>
      <c r="CO11" s="690"/>
      <c r="CP11" s="691"/>
      <c r="CQ11" s="131"/>
      <c r="CR11" s="186"/>
      <c r="CS11" s="143"/>
      <c r="CT11" s="143"/>
      <c r="CU11" s="689"/>
      <c r="CV11" s="690"/>
      <c r="CW11" s="690"/>
      <c r="CX11" s="690"/>
      <c r="CY11" s="690"/>
      <c r="CZ11" s="690"/>
      <c r="DA11" s="690"/>
      <c r="DB11" s="691"/>
      <c r="DC11" s="131"/>
      <c r="DD11" s="186"/>
      <c r="DE11" s="143"/>
      <c r="DF11" s="143"/>
      <c r="DG11" s="689"/>
      <c r="DH11" s="690"/>
      <c r="DI11" s="690"/>
      <c r="DJ11" s="690"/>
      <c r="DK11" s="690"/>
      <c r="DL11" s="690"/>
      <c r="DM11" s="690"/>
      <c r="DN11" s="691"/>
      <c r="DO11" s="131"/>
      <c r="DP11" s="186"/>
      <c r="DQ11" s="143"/>
      <c r="DR11" s="143"/>
    </row>
    <row r="12" spans="1:122" x14ac:dyDescent="0.25">
      <c r="A12" s="131"/>
      <c r="B12" s="140" t="s">
        <v>261</v>
      </c>
      <c r="C12" s="686"/>
      <c r="D12" s="687"/>
      <c r="E12" s="687"/>
      <c r="F12" s="687"/>
      <c r="G12" s="687"/>
      <c r="H12" s="687"/>
      <c r="I12" s="687"/>
      <c r="J12" s="688"/>
      <c r="K12" s="131"/>
      <c r="L12" s="680"/>
      <c r="M12" s="680"/>
      <c r="N12" s="143"/>
      <c r="O12" s="686"/>
      <c r="P12" s="687"/>
      <c r="Q12" s="687"/>
      <c r="R12" s="687"/>
      <c r="S12" s="687"/>
      <c r="T12" s="687"/>
      <c r="U12" s="687"/>
      <c r="V12" s="688"/>
      <c r="W12" s="131"/>
      <c r="X12" s="680"/>
      <c r="Y12" s="680"/>
      <c r="Z12" s="143"/>
      <c r="AA12" s="686"/>
      <c r="AB12" s="687"/>
      <c r="AC12" s="687"/>
      <c r="AD12" s="687"/>
      <c r="AE12" s="687"/>
      <c r="AF12" s="687"/>
      <c r="AG12" s="687"/>
      <c r="AH12" s="688"/>
      <c r="AI12" s="131"/>
      <c r="AJ12" s="680"/>
      <c r="AK12" s="680"/>
      <c r="AL12" s="143"/>
      <c r="AM12" s="686"/>
      <c r="AN12" s="687"/>
      <c r="AO12" s="687"/>
      <c r="AP12" s="687"/>
      <c r="AQ12" s="687"/>
      <c r="AR12" s="687"/>
      <c r="AS12" s="687"/>
      <c r="AT12" s="688"/>
      <c r="AU12" s="131"/>
      <c r="AV12" s="680"/>
      <c r="AW12" s="680"/>
      <c r="AX12" s="143"/>
      <c r="AY12" s="686"/>
      <c r="AZ12" s="687"/>
      <c r="BA12" s="687"/>
      <c r="BB12" s="687"/>
      <c r="BC12" s="687"/>
      <c r="BD12" s="687"/>
      <c r="BE12" s="687"/>
      <c r="BF12" s="688"/>
      <c r="BG12" s="131"/>
      <c r="BH12" s="680"/>
      <c r="BI12" s="680"/>
      <c r="BJ12" s="143"/>
      <c r="BK12" s="686"/>
      <c r="BL12" s="687"/>
      <c r="BM12" s="687"/>
      <c r="BN12" s="687"/>
      <c r="BO12" s="687"/>
      <c r="BP12" s="687"/>
      <c r="BQ12" s="687"/>
      <c r="BR12" s="688"/>
      <c r="BS12" s="131"/>
      <c r="BT12" s="680"/>
      <c r="BU12" s="680"/>
      <c r="BV12" s="143"/>
      <c r="BW12" s="686"/>
      <c r="BX12" s="687"/>
      <c r="BY12" s="687"/>
      <c r="BZ12" s="687"/>
      <c r="CA12" s="687"/>
      <c r="CB12" s="687"/>
      <c r="CC12" s="687"/>
      <c r="CD12" s="688"/>
      <c r="CE12" s="131"/>
      <c r="CF12" s="680"/>
      <c r="CG12" s="680"/>
      <c r="CH12" s="143"/>
      <c r="CI12" s="686"/>
      <c r="CJ12" s="687"/>
      <c r="CK12" s="687"/>
      <c r="CL12" s="687"/>
      <c r="CM12" s="687"/>
      <c r="CN12" s="687"/>
      <c r="CO12" s="687"/>
      <c r="CP12" s="688"/>
      <c r="CQ12" s="131"/>
      <c r="CR12" s="680"/>
      <c r="CS12" s="680"/>
      <c r="CT12" s="143"/>
      <c r="CU12" s="686"/>
      <c r="CV12" s="687"/>
      <c r="CW12" s="687"/>
      <c r="CX12" s="687"/>
      <c r="CY12" s="687"/>
      <c r="CZ12" s="687"/>
      <c r="DA12" s="687"/>
      <c r="DB12" s="688"/>
      <c r="DC12" s="131"/>
      <c r="DD12" s="680"/>
      <c r="DE12" s="680"/>
      <c r="DF12" s="143"/>
      <c r="DG12" s="686"/>
      <c r="DH12" s="687"/>
      <c r="DI12" s="687"/>
      <c r="DJ12" s="687"/>
      <c r="DK12" s="687"/>
      <c r="DL12" s="687"/>
      <c r="DM12" s="687"/>
      <c r="DN12" s="688"/>
      <c r="DO12" s="131"/>
      <c r="DP12" s="680"/>
      <c r="DQ12" s="680"/>
      <c r="DR12" s="143"/>
    </row>
    <row r="13" spans="1:122" ht="15.75" thickBot="1" x14ac:dyDescent="0.3">
      <c r="A13" s="131"/>
      <c r="B13" s="190"/>
      <c r="C13" s="681"/>
      <c r="D13" s="681"/>
      <c r="E13" s="681"/>
      <c r="F13" s="681"/>
      <c r="G13" s="681"/>
      <c r="H13" s="681"/>
      <c r="I13" s="681"/>
      <c r="J13" s="681"/>
      <c r="K13" s="131"/>
      <c r="L13" s="680"/>
      <c r="M13" s="680"/>
      <c r="N13" s="144"/>
      <c r="O13" s="681"/>
      <c r="P13" s="681"/>
      <c r="Q13" s="681"/>
      <c r="R13" s="681"/>
      <c r="S13" s="681"/>
      <c r="T13" s="681"/>
      <c r="U13" s="681"/>
      <c r="V13" s="681"/>
      <c r="W13" s="131"/>
      <c r="X13" s="680"/>
      <c r="Y13" s="680"/>
      <c r="Z13" s="144"/>
      <c r="AA13" s="681"/>
      <c r="AB13" s="681"/>
      <c r="AC13" s="681"/>
      <c r="AD13" s="681"/>
      <c r="AE13" s="681"/>
      <c r="AF13" s="681"/>
      <c r="AG13" s="681"/>
      <c r="AH13" s="681"/>
      <c r="AI13" s="131"/>
      <c r="AJ13" s="680"/>
      <c r="AK13" s="680"/>
      <c r="AL13" s="144"/>
      <c r="AM13" s="681"/>
      <c r="AN13" s="681"/>
      <c r="AO13" s="681"/>
      <c r="AP13" s="681"/>
      <c r="AQ13" s="681"/>
      <c r="AR13" s="681"/>
      <c r="AS13" s="681"/>
      <c r="AT13" s="681"/>
      <c r="AU13" s="131"/>
      <c r="AV13" s="680"/>
      <c r="AW13" s="680"/>
      <c r="AX13" s="144"/>
      <c r="AY13" s="681"/>
      <c r="AZ13" s="681"/>
      <c r="BA13" s="681"/>
      <c r="BB13" s="681"/>
      <c r="BC13" s="681"/>
      <c r="BD13" s="681"/>
      <c r="BE13" s="681"/>
      <c r="BF13" s="681"/>
      <c r="BG13" s="131"/>
      <c r="BH13" s="680"/>
      <c r="BI13" s="680"/>
      <c r="BJ13" s="144"/>
      <c r="BK13" s="681"/>
      <c r="BL13" s="681"/>
      <c r="BM13" s="681"/>
      <c r="BN13" s="681"/>
      <c r="BO13" s="681"/>
      <c r="BP13" s="681"/>
      <c r="BQ13" s="681"/>
      <c r="BR13" s="681"/>
      <c r="BS13" s="131"/>
      <c r="BT13" s="680"/>
      <c r="BU13" s="680"/>
      <c r="BV13" s="144"/>
      <c r="BW13" s="681"/>
      <c r="BX13" s="681"/>
      <c r="BY13" s="681"/>
      <c r="BZ13" s="681"/>
      <c r="CA13" s="681"/>
      <c r="CB13" s="681"/>
      <c r="CC13" s="681"/>
      <c r="CD13" s="681"/>
      <c r="CE13" s="131"/>
      <c r="CF13" s="680"/>
      <c r="CG13" s="680"/>
      <c r="CH13" s="144"/>
      <c r="CI13" s="681"/>
      <c r="CJ13" s="681"/>
      <c r="CK13" s="681"/>
      <c r="CL13" s="681"/>
      <c r="CM13" s="681"/>
      <c r="CN13" s="681"/>
      <c r="CO13" s="681"/>
      <c r="CP13" s="681"/>
      <c r="CQ13" s="131"/>
      <c r="CR13" s="680"/>
      <c r="CS13" s="680"/>
      <c r="CT13" s="144"/>
      <c r="CU13" s="681"/>
      <c r="CV13" s="681"/>
      <c r="CW13" s="681"/>
      <c r="CX13" s="681"/>
      <c r="CY13" s="681"/>
      <c r="CZ13" s="681"/>
      <c r="DA13" s="681"/>
      <c r="DB13" s="681"/>
      <c r="DC13" s="131"/>
      <c r="DD13" s="680"/>
      <c r="DE13" s="680"/>
      <c r="DF13" s="144"/>
      <c r="DG13" s="681"/>
      <c r="DH13" s="681"/>
      <c r="DI13" s="681"/>
      <c r="DJ13" s="681"/>
      <c r="DK13" s="681"/>
      <c r="DL13" s="681"/>
      <c r="DM13" s="681"/>
      <c r="DN13" s="681"/>
      <c r="DO13" s="131"/>
      <c r="DP13" s="680"/>
      <c r="DQ13" s="680"/>
      <c r="DR13" s="144"/>
    </row>
    <row r="14" spans="1:122" ht="15.75" thickBot="1" x14ac:dyDescent="0.3">
      <c r="A14" s="131"/>
      <c r="B14" s="131"/>
      <c r="C14" s="699">
        <f>IF('Input Nilai Ketrampilan'!F2="","",'Input Nilai Ketrampilan'!F2)</f>
        <v>41</v>
      </c>
      <c r="D14" s="700"/>
      <c r="E14" s="700"/>
      <c r="F14" s="700"/>
      <c r="G14" s="700"/>
      <c r="H14" s="700"/>
      <c r="I14" s="700"/>
      <c r="J14" s="700"/>
      <c r="K14" s="700"/>
      <c r="L14" s="700"/>
      <c r="M14" s="700"/>
      <c r="N14" s="701"/>
      <c r="O14" s="699">
        <f>IF('Input Nilai Ketrampilan'!K2="","",'Input Nilai Ketrampilan'!K2)</f>
        <v>42</v>
      </c>
      <c r="P14" s="700"/>
      <c r="Q14" s="700"/>
      <c r="R14" s="700"/>
      <c r="S14" s="700"/>
      <c r="T14" s="700"/>
      <c r="U14" s="700"/>
      <c r="V14" s="700"/>
      <c r="W14" s="700"/>
      <c r="X14" s="700"/>
      <c r="Y14" s="700"/>
      <c r="Z14" s="701"/>
      <c r="AA14" s="699">
        <f>IF('Input Nilai Ketrampilan'!P2="","",'Input Nilai Ketrampilan'!P2)</f>
        <v>43</v>
      </c>
      <c r="AB14" s="700"/>
      <c r="AC14" s="700"/>
      <c r="AD14" s="700"/>
      <c r="AE14" s="700"/>
      <c r="AF14" s="700"/>
      <c r="AG14" s="700"/>
      <c r="AH14" s="700"/>
      <c r="AI14" s="700"/>
      <c r="AJ14" s="700"/>
      <c r="AK14" s="700"/>
      <c r="AL14" s="701"/>
      <c r="AM14" s="699">
        <f>IF('Input Nilai Ketrampilan'!U2="","",'Input Nilai Ketrampilan'!U2)</f>
        <v>44</v>
      </c>
      <c r="AN14" s="700"/>
      <c r="AO14" s="700"/>
      <c r="AP14" s="700"/>
      <c r="AQ14" s="700"/>
      <c r="AR14" s="700"/>
      <c r="AS14" s="700"/>
      <c r="AT14" s="700"/>
      <c r="AU14" s="700"/>
      <c r="AV14" s="700"/>
      <c r="AW14" s="700"/>
      <c r="AX14" s="701"/>
      <c r="AY14" s="699">
        <f>IF('Input Nilai Ketrampilan'!Z2="","",'Input Nilai Ketrampilan'!Z2)</f>
        <v>45</v>
      </c>
      <c r="AZ14" s="700"/>
      <c r="BA14" s="700"/>
      <c r="BB14" s="700"/>
      <c r="BC14" s="700"/>
      <c r="BD14" s="700"/>
      <c r="BE14" s="700"/>
      <c r="BF14" s="700"/>
      <c r="BG14" s="700"/>
      <c r="BH14" s="700"/>
      <c r="BI14" s="700"/>
      <c r="BJ14" s="701"/>
      <c r="BK14" s="699">
        <f>IF('Input Nilai Ketrampilan'!AE2="","",'Input Nilai Ketrampilan'!AE2)</f>
        <v>46</v>
      </c>
      <c r="BL14" s="700"/>
      <c r="BM14" s="700"/>
      <c r="BN14" s="700"/>
      <c r="BO14" s="700"/>
      <c r="BP14" s="700"/>
      <c r="BQ14" s="700"/>
      <c r="BR14" s="700"/>
      <c r="BS14" s="700"/>
      <c r="BT14" s="700"/>
      <c r="BU14" s="700"/>
      <c r="BV14" s="701"/>
      <c r="BW14" s="699">
        <f>IF('Input Nilai Ketrampilan'!AJ2="","",'Input Nilai Ketrampilan'!AJ2)</f>
        <v>47</v>
      </c>
      <c r="BX14" s="700"/>
      <c r="BY14" s="700"/>
      <c r="BZ14" s="700"/>
      <c r="CA14" s="700"/>
      <c r="CB14" s="700"/>
      <c r="CC14" s="700"/>
      <c r="CD14" s="700"/>
      <c r="CE14" s="700"/>
      <c r="CF14" s="700"/>
      <c r="CG14" s="700"/>
      <c r="CH14" s="701"/>
      <c r="CI14" s="699">
        <f>IF('Input Nilai Ketrampilan'!AO2="","",'Input Nilai Ketrampilan'!AO2)</f>
        <v>48</v>
      </c>
      <c r="CJ14" s="700"/>
      <c r="CK14" s="700"/>
      <c r="CL14" s="700"/>
      <c r="CM14" s="700"/>
      <c r="CN14" s="700"/>
      <c r="CO14" s="700"/>
      <c r="CP14" s="700"/>
      <c r="CQ14" s="700"/>
      <c r="CR14" s="700"/>
      <c r="CS14" s="700"/>
      <c r="CT14" s="701"/>
      <c r="CU14" s="699">
        <f>IF('Input Nilai Ketrampilan'!AT2="","",'Input Nilai Ketrampilan'!AT2)</f>
        <v>49</v>
      </c>
      <c r="CV14" s="700"/>
      <c r="CW14" s="700"/>
      <c r="CX14" s="700"/>
      <c r="CY14" s="700"/>
      <c r="CZ14" s="700"/>
      <c r="DA14" s="700"/>
      <c r="DB14" s="700"/>
      <c r="DC14" s="700"/>
      <c r="DD14" s="700"/>
      <c r="DE14" s="700"/>
      <c r="DF14" s="701"/>
      <c r="DG14" s="699" t="e">
        <f>IF('Input Nilai Ketrampilan'!#REF!="","",'Input Nilai Ketrampilan'!#REF!)</f>
        <v>#REF!</v>
      </c>
      <c r="DH14" s="700"/>
      <c r="DI14" s="700"/>
      <c r="DJ14" s="700"/>
      <c r="DK14" s="700"/>
      <c r="DL14" s="700"/>
      <c r="DM14" s="700"/>
      <c r="DN14" s="700"/>
      <c r="DO14" s="700"/>
      <c r="DP14" s="700"/>
      <c r="DQ14" s="700"/>
      <c r="DR14" s="701"/>
    </row>
    <row r="15" spans="1:122" x14ac:dyDescent="0.25">
      <c r="A15" s="520" t="s">
        <v>262</v>
      </c>
      <c r="B15" s="145" t="s">
        <v>263</v>
      </c>
      <c r="C15" s="693" t="s">
        <v>264</v>
      </c>
      <c r="D15" s="695" t="s">
        <v>265</v>
      </c>
      <c r="E15" s="693" t="s">
        <v>266</v>
      </c>
      <c r="F15" s="693" t="s">
        <v>267</v>
      </c>
      <c r="G15" s="693" t="s">
        <v>268</v>
      </c>
      <c r="H15" s="693" t="s">
        <v>269</v>
      </c>
      <c r="I15" s="695" t="s">
        <v>270</v>
      </c>
      <c r="J15" s="702" t="s">
        <v>271</v>
      </c>
      <c r="K15" s="704" t="s">
        <v>272</v>
      </c>
      <c r="L15" s="704" t="s">
        <v>273</v>
      </c>
      <c r="M15" s="697" t="s">
        <v>274</v>
      </c>
      <c r="N15" s="697" t="s">
        <v>104</v>
      </c>
      <c r="O15" s="693" t="s">
        <v>264</v>
      </c>
      <c r="P15" s="695" t="s">
        <v>265</v>
      </c>
      <c r="Q15" s="693" t="s">
        <v>266</v>
      </c>
      <c r="R15" s="693" t="s">
        <v>267</v>
      </c>
      <c r="S15" s="693" t="s">
        <v>268</v>
      </c>
      <c r="T15" s="693" t="s">
        <v>269</v>
      </c>
      <c r="U15" s="695" t="s">
        <v>270</v>
      </c>
      <c r="V15" s="702" t="s">
        <v>271</v>
      </c>
      <c r="W15" s="704" t="s">
        <v>272</v>
      </c>
      <c r="X15" s="704" t="s">
        <v>273</v>
      </c>
      <c r="Y15" s="697" t="s">
        <v>274</v>
      </c>
      <c r="Z15" s="697" t="s">
        <v>104</v>
      </c>
      <c r="AA15" s="693" t="s">
        <v>264</v>
      </c>
      <c r="AB15" s="695" t="s">
        <v>265</v>
      </c>
      <c r="AC15" s="693" t="s">
        <v>266</v>
      </c>
      <c r="AD15" s="693" t="s">
        <v>267</v>
      </c>
      <c r="AE15" s="693" t="s">
        <v>268</v>
      </c>
      <c r="AF15" s="693" t="s">
        <v>269</v>
      </c>
      <c r="AG15" s="695" t="s">
        <v>270</v>
      </c>
      <c r="AH15" s="702" t="s">
        <v>271</v>
      </c>
      <c r="AI15" s="704" t="s">
        <v>272</v>
      </c>
      <c r="AJ15" s="704" t="s">
        <v>273</v>
      </c>
      <c r="AK15" s="697" t="s">
        <v>274</v>
      </c>
      <c r="AL15" s="697" t="s">
        <v>104</v>
      </c>
      <c r="AM15" s="693" t="s">
        <v>264</v>
      </c>
      <c r="AN15" s="695" t="s">
        <v>265</v>
      </c>
      <c r="AO15" s="693" t="s">
        <v>266</v>
      </c>
      <c r="AP15" s="693" t="s">
        <v>267</v>
      </c>
      <c r="AQ15" s="693" t="s">
        <v>268</v>
      </c>
      <c r="AR15" s="693" t="s">
        <v>269</v>
      </c>
      <c r="AS15" s="695" t="s">
        <v>270</v>
      </c>
      <c r="AT15" s="702" t="s">
        <v>271</v>
      </c>
      <c r="AU15" s="704" t="s">
        <v>272</v>
      </c>
      <c r="AV15" s="704" t="s">
        <v>273</v>
      </c>
      <c r="AW15" s="697" t="s">
        <v>274</v>
      </c>
      <c r="AX15" s="697" t="s">
        <v>104</v>
      </c>
      <c r="AY15" s="693" t="s">
        <v>264</v>
      </c>
      <c r="AZ15" s="695" t="s">
        <v>265</v>
      </c>
      <c r="BA15" s="693" t="s">
        <v>266</v>
      </c>
      <c r="BB15" s="693" t="s">
        <v>267</v>
      </c>
      <c r="BC15" s="693" t="s">
        <v>268</v>
      </c>
      <c r="BD15" s="693" t="s">
        <v>269</v>
      </c>
      <c r="BE15" s="695" t="s">
        <v>270</v>
      </c>
      <c r="BF15" s="702" t="s">
        <v>271</v>
      </c>
      <c r="BG15" s="704" t="s">
        <v>272</v>
      </c>
      <c r="BH15" s="704" t="s">
        <v>273</v>
      </c>
      <c r="BI15" s="697" t="s">
        <v>274</v>
      </c>
      <c r="BJ15" s="697" t="s">
        <v>104</v>
      </c>
      <c r="BK15" s="693" t="s">
        <v>264</v>
      </c>
      <c r="BL15" s="695" t="s">
        <v>265</v>
      </c>
      <c r="BM15" s="693" t="s">
        <v>266</v>
      </c>
      <c r="BN15" s="693" t="s">
        <v>267</v>
      </c>
      <c r="BO15" s="693" t="s">
        <v>268</v>
      </c>
      <c r="BP15" s="693" t="s">
        <v>269</v>
      </c>
      <c r="BQ15" s="695" t="s">
        <v>270</v>
      </c>
      <c r="BR15" s="702" t="s">
        <v>271</v>
      </c>
      <c r="BS15" s="704" t="s">
        <v>272</v>
      </c>
      <c r="BT15" s="704" t="s">
        <v>273</v>
      </c>
      <c r="BU15" s="697" t="s">
        <v>274</v>
      </c>
      <c r="BV15" s="697" t="s">
        <v>104</v>
      </c>
      <c r="BW15" s="693" t="s">
        <v>264</v>
      </c>
      <c r="BX15" s="695" t="s">
        <v>265</v>
      </c>
      <c r="BY15" s="693" t="s">
        <v>266</v>
      </c>
      <c r="BZ15" s="693" t="s">
        <v>267</v>
      </c>
      <c r="CA15" s="693" t="s">
        <v>268</v>
      </c>
      <c r="CB15" s="693" t="s">
        <v>269</v>
      </c>
      <c r="CC15" s="695" t="s">
        <v>270</v>
      </c>
      <c r="CD15" s="702" t="s">
        <v>271</v>
      </c>
      <c r="CE15" s="704" t="s">
        <v>272</v>
      </c>
      <c r="CF15" s="704" t="s">
        <v>273</v>
      </c>
      <c r="CG15" s="697" t="s">
        <v>274</v>
      </c>
      <c r="CH15" s="697" t="s">
        <v>104</v>
      </c>
      <c r="CI15" s="693" t="s">
        <v>264</v>
      </c>
      <c r="CJ15" s="695" t="s">
        <v>265</v>
      </c>
      <c r="CK15" s="693" t="s">
        <v>266</v>
      </c>
      <c r="CL15" s="693" t="s">
        <v>267</v>
      </c>
      <c r="CM15" s="693" t="s">
        <v>268</v>
      </c>
      <c r="CN15" s="693" t="s">
        <v>269</v>
      </c>
      <c r="CO15" s="695" t="s">
        <v>270</v>
      </c>
      <c r="CP15" s="702" t="s">
        <v>271</v>
      </c>
      <c r="CQ15" s="704" t="s">
        <v>272</v>
      </c>
      <c r="CR15" s="704" t="s">
        <v>273</v>
      </c>
      <c r="CS15" s="697" t="s">
        <v>274</v>
      </c>
      <c r="CT15" s="697" t="s">
        <v>104</v>
      </c>
      <c r="CU15" s="693" t="s">
        <v>264</v>
      </c>
      <c r="CV15" s="695" t="s">
        <v>265</v>
      </c>
      <c r="CW15" s="693" t="s">
        <v>266</v>
      </c>
      <c r="CX15" s="693" t="s">
        <v>267</v>
      </c>
      <c r="CY15" s="693" t="s">
        <v>268</v>
      </c>
      <c r="CZ15" s="693" t="s">
        <v>269</v>
      </c>
      <c r="DA15" s="695" t="s">
        <v>270</v>
      </c>
      <c r="DB15" s="702" t="s">
        <v>271</v>
      </c>
      <c r="DC15" s="704" t="s">
        <v>272</v>
      </c>
      <c r="DD15" s="704" t="s">
        <v>273</v>
      </c>
      <c r="DE15" s="697" t="s">
        <v>274</v>
      </c>
      <c r="DF15" s="697" t="s">
        <v>104</v>
      </c>
      <c r="DG15" s="693" t="s">
        <v>264</v>
      </c>
      <c r="DH15" s="695" t="s">
        <v>265</v>
      </c>
      <c r="DI15" s="693" t="s">
        <v>266</v>
      </c>
      <c r="DJ15" s="693" t="s">
        <v>267</v>
      </c>
      <c r="DK15" s="693" t="s">
        <v>268</v>
      </c>
      <c r="DL15" s="693" t="s">
        <v>269</v>
      </c>
      <c r="DM15" s="695" t="s">
        <v>270</v>
      </c>
      <c r="DN15" s="702" t="s">
        <v>271</v>
      </c>
      <c r="DO15" s="704" t="s">
        <v>272</v>
      </c>
      <c r="DP15" s="704" t="s">
        <v>273</v>
      </c>
      <c r="DQ15" s="697" t="s">
        <v>274</v>
      </c>
      <c r="DR15" s="697" t="s">
        <v>104</v>
      </c>
    </row>
    <row r="16" spans="1:122" ht="24.75" customHeight="1" x14ac:dyDescent="0.25">
      <c r="A16" s="692"/>
      <c r="C16" s="694"/>
      <c r="D16" s="693"/>
      <c r="E16" s="696"/>
      <c r="F16" s="694"/>
      <c r="G16" s="694"/>
      <c r="H16" s="694"/>
      <c r="I16" s="693"/>
      <c r="J16" s="703"/>
      <c r="K16" s="705"/>
      <c r="L16" s="706"/>
      <c r="M16" s="698"/>
      <c r="N16" s="698"/>
      <c r="O16" s="694"/>
      <c r="P16" s="693"/>
      <c r="Q16" s="696"/>
      <c r="R16" s="694"/>
      <c r="S16" s="694"/>
      <c r="T16" s="694"/>
      <c r="U16" s="693"/>
      <c r="V16" s="703"/>
      <c r="W16" s="705"/>
      <c r="X16" s="706"/>
      <c r="Y16" s="698"/>
      <c r="Z16" s="698"/>
      <c r="AA16" s="694"/>
      <c r="AB16" s="693"/>
      <c r="AC16" s="696"/>
      <c r="AD16" s="694"/>
      <c r="AE16" s="694"/>
      <c r="AF16" s="694"/>
      <c r="AG16" s="693"/>
      <c r="AH16" s="703"/>
      <c r="AI16" s="705"/>
      <c r="AJ16" s="706"/>
      <c r="AK16" s="698"/>
      <c r="AL16" s="698"/>
      <c r="AM16" s="694"/>
      <c r="AN16" s="693"/>
      <c r="AO16" s="696"/>
      <c r="AP16" s="694"/>
      <c r="AQ16" s="694"/>
      <c r="AR16" s="694"/>
      <c r="AS16" s="693"/>
      <c r="AT16" s="703"/>
      <c r="AU16" s="705"/>
      <c r="AV16" s="706"/>
      <c r="AW16" s="698"/>
      <c r="AX16" s="698"/>
      <c r="AY16" s="694"/>
      <c r="AZ16" s="693"/>
      <c r="BA16" s="696"/>
      <c r="BB16" s="694"/>
      <c r="BC16" s="694"/>
      <c r="BD16" s="694"/>
      <c r="BE16" s="693"/>
      <c r="BF16" s="703"/>
      <c r="BG16" s="705"/>
      <c r="BH16" s="706"/>
      <c r="BI16" s="698"/>
      <c r="BJ16" s="698"/>
      <c r="BK16" s="694"/>
      <c r="BL16" s="693"/>
      <c r="BM16" s="696"/>
      <c r="BN16" s="694"/>
      <c r="BO16" s="694"/>
      <c r="BP16" s="694"/>
      <c r="BQ16" s="693"/>
      <c r="BR16" s="703"/>
      <c r="BS16" s="705"/>
      <c r="BT16" s="706"/>
      <c r="BU16" s="698"/>
      <c r="BV16" s="698"/>
      <c r="BW16" s="694"/>
      <c r="BX16" s="693"/>
      <c r="BY16" s="696"/>
      <c r="BZ16" s="694"/>
      <c r="CA16" s="694"/>
      <c r="CB16" s="694"/>
      <c r="CC16" s="693"/>
      <c r="CD16" s="703"/>
      <c r="CE16" s="705"/>
      <c r="CF16" s="706"/>
      <c r="CG16" s="698"/>
      <c r="CH16" s="698"/>
      <c r="CI16" s="694"/>
      <c r="CJ16" s="693"/>
      <c r="CK16" s="696"/>
      <c r="CL16" s="694"/>
      <c r="CM16" s="694"/>
      <c r="CN16" s="694"/>
      <c r="CO16" s="693"/>
      <c r="CP16" s="703"/>
      <c r="CQ16" s="705"/>
      <c r="CR16" s="706"/>
      <c r="CS16" s="698"/>
      <c r="CT16" s="698"/>
      <c r="CU16" s="694"/>
      <c r="CV16" s="693"/>
      <c r="CW16" s="696"/>
      <c r="CX16" s="694"/>
      <c r="CY16" s="694"/>
      <c r="CZ16" s="694"/>
      <c r="DA16" s="693"/>
      <c r="DB16" s="703"/>
      <c r="DC16" s="705"/>
      <c r="DD16" s="706"/>
      <c r="DE16" s="698"/>
      <c r="DF16" s="698"/>
      <c r="DG16" s="694"/>
      <c r="DH16" s="693"/>
      <c r="DI16" s="696"/>
      <c r="DJ16" s="694"/>
      <c r="DK16" s="694"/>
      <c r="DL16" s="694"/>
      <c r="DM16" s="693"/>
      <c r="DN16" s="703"/>
      <c r="DO16" s="705"/>
      <c r="DP16" s="706"/>
      <c r="DQ16" s="698"/>
      <c r="DR16" s="698"/>
    </row>
    <row r="17" spans="1:122" ht="15.75" x14ac:dyDescent="0.25">
      <c r="A17" s="521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 x14ac:dyDescent="0.2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 x14ac:dyDescent="0.25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 x14ac:dyDescent="0.25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 x14ac:dyDescent="0.25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 x14ac:dyDescent="0.25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 x14ac:dyDescent="0.25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 x14ac:dyDescent="0.25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 x14ac:dyDescent="0.25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 x14ac:dyDescent="0.25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 x14ac:dyDescent="0.25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 x14ac:dyDescent="0.25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 x14ac:dyDescent="0.25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 x14ac:dyDescent="0.25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 x14ac:dyDescent="0.25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 x14ac:dyDescent="0.25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 x14ac:dyDescent="0.25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 x14ac:dyDescent="0.25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 x14ac:dyDescent="0.25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 x14ac:dyDescent="0.25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 x14ac:dyDescent="0.25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 x14ac:dyDescent="0.25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 x14ac:dyDescent="0.25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 x14ac:dyDescent="0.25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 x14ac:dyDescent="0.25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 x14ac:dyDescent="0.25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 x14ac:dyDescent="0.25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 x14ac:dyDescent="0.25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 x14ac:dyDescent="0.25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 x14ac:dyDescent="0.25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 x14ac:dyDescent="0.25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 x14ac:dyDescent="0.25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 x14ac:dyDescent="0.25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 x14ac:dyDescent="0.25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 x14ac:dyDescent="0.25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 x14ac:dyDescent="0.25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 x14ac:dyDescent="0.25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 x14ac:dyDescent="0.25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 x14ac:dyDescent="0.25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 x14ac:dyDescent="0.25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 x14ac:dyDescent="0.25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 x14ac:dyDescent="0.25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 x14ac:dyDescent="0.25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 x14ac:dyDescent="0.25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 x14ac:dyDescent="0.25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 x14ac:dyDescent="0.25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 x14ac:dyDescent="0.25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 x14ac:dyDescent="0.25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 x14ac:dyDescent="0.25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 x14ac:dyDescent="0.25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 x14ac:dyDescent="0.25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 x14ac:dyDescent="0.25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 x14ac:dyDescent="0.25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 x14ac:dyDescent="0.25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 x14ac:dyDescent="0.2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 x14ac:dyDescent="0.2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 x14ac:dyDescent="0.25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 x14ac:dyDescent="0.25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M77"/>
  <sheetViews>
    <sheetView workbookViewId="0"/>
  </sheetViews>
  <sheetFormatPr defaultRowHeight="15" x14ac:dyDescent="0.2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 x14ac:dyDescent="0.25">
      <c r="A1" s="41"/>
      <c r="B1" s="725" t="s">
        <v>426</v>
      </c>
      <c r="C1" s="726"/>
      <c r="D1" s="726"/>
      <c r="E1" s="726"/>
      <c r="F1" s="726"/>
      <c r="G1" s="726"/>
      <c r="H1" s="726"/>
      <c r="I1" s="726"/>
      <c r="J1" s="726"/>
      <c r="K1" s="726"/>
      <c r="L1" s="727"/>
      <c r="M1" s="42"/>
    </row>
    <row r="2" spans="1:13" ht="15.75" thickBot="1" x14ac:dyDescent="0.3">
      <c r="A2" s="41"/>
      <c r="B2" s="728"/>
      <c r="C2" s="729"/>
      <c r="D2" s="729"/>
      <c r="E2" s="729"/>
      <c r="F2" s="729"/>
      <c r="G2" s="729"/>
      <c r="H2" s="729"/>
      <c r="I2" s="729"/>
      <c r="J2" s="729"/>
      <c r="K2" s="729"/>
      <c r="L2" s="730"/>
      <c r="M2" s="42"/>
    </row>
    <row r="3" spans="1:13" ht="15.75" x14ac:dyDescent="0.2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 x14ac:dyDescent="0.3">
      <c r="A4" s="41"/>
      <c r="B4" s="45" t="s">
        <v>245</v>
      </c>
      <c r="C4" s="672" t="str">
        <f>menu!D13</f>
        <v>alquran hadits</v>
      </c>
      <c r="D4" s="672"/>
      <c r="E4" s="672"/>
      <c r="F4" s="672"/>
      <c r="G4" s="724" t="s">
        <v>246</v>
      </c>
      <c r="H4" s="724"/>
      <c r="I4" s="674"/>
      <c r="J4" s="674"/>
      <c r="L4" s="267" t="s">
        <v>247</v>
      </c>
      <c r="M4" s="266"/>
    </row>
    <row r="5" spans="1:13" ht="16.5" x14ac:dyDescent="0.3">
      <c r="A5" s="41"/>
      <c r="B5" s="45" t="s">
        <v>248</v>
      </c>
      <c r="C5" s="677" t="str">
        <f>menu!D14</f>
        <v>7a</v>
      </c>
      <c r="D5" s="672"/>
      <c r="E5" s="47"/>
      <c r="F5" s="724" t="s">
        <v>249</v>
      </c>
      <c r="G5" s="724"/>
      <c r="H5" s="724"/>
      <c r="I5" s="678"/>
      <c r="J5" s="678"/>
      <c r="K5" s="230"/>
      <c r="L5" s="46">
        <f>menu!D19</f>
        <v>0</v>
      </c>
      <c r="M5" s="42"/>
    </row>
    <row r="6" spans="1:13" x14ac:dyDescent="0.25">
      <c r="A6" s="41"/>
      <c r="B6" s="48" t="s">
        <v>251</v>
      </c>
      <c r="C6" s="682" t="s">
        <v>427</v>
      </c>
      <c r="D6" s="682"/>
      <c r="E6" s="682"/>
      <c r="F6" s="682"/>
      <c r="G6" s="682"/>
      <c r="H6" s="682"/>
      <c r="I6" s="682"/>
      <c r="J6" s="41"/>
      <c r="K6" s="41"/>
      <c r="L6" s="41"/>
      <c r="M6" s="42"/>
    </row>
    <row r="7" spans="1:13" x14ac:dyDescent="0.25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 x14ac:dyDescent="0.25">
      <c r="A8" s="41"/>
      <c r="B8" s="51"/>
      <c r="C8" s="723" t="s">
        <v>253</v>
      </c>
      <c r="D8" s="723"/>
      <c r="E8" s="723"/>
      <c r="F8" s="723"/>
      <c r="G8" s="723"/>
      <c r="H8" s="723"/>
      <c r="I8" s="723"/>
      <c r="J8" s="723"/>
      <c r="K8" s="289" t="s">
        <v>254</v>
      </c>
      <c r="L8" s="77"/>
    </row>
    <row r="9" spans="1:13" x14ac:dyDescent="0.25">
      <c r="A9" s="41"/>
      <c r="B9" s="52" t="s">
        <v>255</v>
      </c>
      <c r="C9" s="716"/>
      <c r="D9" s="716"/>
      <c r="E9" s="716"/>
      <c r="F9" s="716"/>
      <c r="G9" s="716"/>
      <c r="H9" s="716"/>
      <c r="I9" s="716"/>
      <c r="J9" s="716"/>
      <c r="K9" s="290" t="s">
        <v>255</v>
      </c>
      <c r="L9" s="79"/>
    </row>
    <row r="10" spans="1:13" x14ac:dyDescent="0.25">
      <c r="A10" s="41"/>
      <c r="B10" s="52" t="s">
        <v>256</v>
      </c>
      <c r="C10" s="722"/>
      <c r="D10" s="722"/>
      <c r="E10" s="722"/>
      <c r="F10" s="722"/>
      <c r="G10" s="722"/>
      <c r="H10" s="722"/>
      <c r="I10" s="722"/>
      <c r="J10" s="722"/>
      <c r="K10" s="290" t="s">
        <v>256</v>
      </c>
      <c r="L10" s="81"/>
    </row>
    <row r="11" spans="1:13" x14ac:dyDescent="0.25">
      <c r="A11" s="41"/>
      <c r="B11" s="52" t="s">
        <v>257</v>
      </c>
      <c r="C11" s="716"/>
      <c r="D11" s="716"/>
      <c r="E11" s="716"/>
      <c r="F11" s="716"/>
      <c r="G11" s="716"/>
      <c r="H11" s="716"/>
      <c r="I11" s="716"/>
      <c r="J11" s="716"/>
      <c r="K11" s="290" t="s">
        <v>257</v>
      </c>
      <c r="L11" s="79"/>
    </row>
    <row r="12" spans="1:13" x14ac:dyDescent="0.25">
      <c r="A12" s="41"/>
      <c r="B12" s="52" t="s">
        <v>258</v>
      </c>
      <c r="C12" s="722"/>
      <c r="D12" s="722"/>
      <c r="E12" s="722"/>
      <c r="F12" s="722"/>
      <c r="G12" s="722"/>
      <c r="H12" s="722"/>
      <c r="I12" s="722"/>
      <c r="J12" s="722"/>
      <c r="K12" s="291" t="s">
        <v>258</v>
      </c>
      <c r="L12" s="83"/>
    </row>
    <row r="13" spans="1:13" x14ac:dyDescent="0.25">
      <c r="A13" s="41"/>
      <c r="B13" s="52" t="s">
        <v>259</v>
      </c>
      <c r="C13" s="716"/>
      <c r="D13" s="716"/>
      <c r="E13" s="716"/>
      <c r="F13" s="716"/>
      <c r="G13" s="716"/>
      <c r="H13" s="716"/>
      <c r="I13" s="716"/>
      <c r="J13" s="716"/>
      <c r="K13" s="290" t="s">
        <v>259</v>
      </c>
      <c r="L13" s="79"/>
      <c r="M13" s="53"/>
    </row>
    <row r="14" spans="1:13" x14ac:dyDescent="0.25">
      <c r="A14" s="41"/>
      <c r="B14" s="52" t="s">
        <v>260</v>
      </c>
      <c r="C14" s="722"/>
      <c r="D14" s="722"/>
      <c r="E14" s="722"/>
      <c r="F14" s="722"/>
      <c r="G14" s="722"/>
      <c r="H14" s="722"/>
      <c r="I14" s="722"/>
      <c r="J14" s="722"/>
      <c r="K14" s="290" t="s">
        <v>260</v>
      </c>
      <c r="L14" s="81"/>
      <c r="M14" s="53"/>
    </row>
    <row r="15" spans="1:13" x14ac:dyDescent="0.25">
      <c r="A15" s="41"/>
      <c r="B15" s="52" t="s">
        <v>261</v>
      </c>
      <c r="C15" s="716"/>
      <c r="D15" s="716"/>
      <c r="E15" s="716"/>
      <c r="F15" s="716"/>
      <c r="G15" s="716"/>
      <c r="H15" s="716"/>
      <c r="I15" s="716"/>
      <c r="J15" s="716"/>
      <c r="K15" s="291" t="s">
        <v>261</v>
      </c>
      <c r="L15" s="292"/>
      <c r="M15" s="53"/>
    </row>
    <row r="16" spans="1:13" x14ac:dyDescent="0.25">
      <c r="A16" s="41"/>
      <c r="B16" s="48"/>
      <c r="C16" s="717"/>
      <c r="D16" s="717"/>
      <c r="E16" s="717"/>
      <c r="F16" s="717"/>
      <c r="G16" s="717"/>
      <c r="H16" s="717"/>
      <c r="I16" s="717"/>
      <c r="J16" s="717"/>
      <c r="K16" s="41"/>
      <c r="L16" s="54"/>
      <c r="M16" s="53"/>
    </row>
    <row r="17" spans="1:13" x14ac:dyDescent="0.25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 x14ac:dyDescent="0.25">
      <c r="A18" s="718" t="s">
        <v>262</v>
      </c>
      <c r="B18" s="56" t="s">
        <v>263</v>
      </c>
      <c r="C18" s="709" t="s">
        <v>264</v>
      </c>
      <c r="D18" s="710" t="s">
        <v>265</v>
      </c>
      <c r="E18" s="709" t="s">
        <v>266</v>
      </c>
      <c r="F18" s="709" t="s">
        <v>267</v>
      </c>
      <c r="G18" s="709" t="s">
        <v>268</v>
      </c>
      <c r="H18" s="709" t="s">
        <v>269</v>
      </c>
      <c r="I18" s="710" t="s">
        <v>270</v>
      </c>
      <c r="J18" s="712" t="s">
        <v>271</v>
      </c>
      <c r="K18" s="714" t="s">
        <v>272</v>
      </c>
      <c r="L18" s="707" t="s">
        <v>104</v>
      </c>
      <c r="M18" s="57"/>
    </row>
    <row r="19" spans="1:13" ht="24.75" customHeight="1" x14ac:dyDescent="0.25">
      <c r="A19" s="719"/>
      <c r="B19" s="42"/>
      <c r="C19" s="709"/>
      <c r="D19" s="711"/>
      <c r="E19" s="721"/>
      <c r="F19" s="709"/>
      <c r="G19" s="709"/>
      <c r="H19" s="709"/>
      <c r="I19" s="711"/>
      <c r="J19" s="713"/>
      <c r="K19" s="715"/>
      <c r="L19" s="708"/>
      <c r="M19" s="42"/>
    </row>
    <row r="20" spans="1:13" ht="15.75" x14ac:dyDescent="0.25">
      <c r="A20" s="720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 x14ac:dyDescent="0.2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 x14ac:dyDescent="0.25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 x14ac:dyDescent="0.25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 x14ac:dyDescent="0.25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 x14ac:dyDescent="0.25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 x14ac:dyDescent="0.25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 x14ac:dyDescent="0.25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 x14ac:dyDescent="0.25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 x14ac:dyDescent="0.25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 x14ac:dyDescent="0.25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 x14ac:dyDescent="0.25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 x14ac:dyDescent="0.25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 x14ac:dyDescent="0.25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 x14ac:dyDescent="0.25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 x14ac:dyDescent="0.25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 x14ac:dyDescent="0.25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 x14ac:dyDescent="0.25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 x14ac:dyDescent="0.25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 x14ac:dyDescent="0.25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 x14ac:dyDescent="0.25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 x14ac:dyDescent="0.25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 x14ac:dyDescent="0.25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 x14ac:dyDescent="0.25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 x14ac:dyDescent="0.25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 x14ac:dyDescent="0.25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 x14ac:dyDescent="0.25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 x14ac:dyDescent="0.25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 x14ac:dyDescent="0.25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 x14ac:dyDescent="0.25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 x14ac:dyDescent="0.25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 x14ac:dyDescent="0.25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 x14ac:dyDescent="0.25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 x14ac:dyDescent="0.25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 x14ac:dyDescent="0.25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 x14ac:dyDescent="0.25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 x14ac:dyDescent="0.25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 x14ac:dyDescent="0.25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 x14ac:dyDescent="0.25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 x14ac:dyDescent="0.25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 x14ac:dyDescent="0.25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 x14ac:dyDescent="0.25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 x14ac:dyDescent="0.25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 x14ac:dyDescent="0.25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 x14ac:dyDescent="0.25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 x14ac:dyDescent="0.25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 x14ac:dyDescent="0.25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 x14ac:dyDescent="0.25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 x14ac:dyDescent="0.25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 x14ac:dyDescent="0.25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 x14ac:dyDescent="0.25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 x14ac:dyDescent="0.25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 x14ac:dyDescent="0.25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 x14ac:dyDescent="0.25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 x14ac:dyDescent="0.25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 x14ac:dyDescent="0.25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 x14ac:dyDescent="0.25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 x14ac:dyDescent="0.25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pc</cp:lastModifiedBy>
  <cp:lastPrinted>2016-08-29T00:08:46Z</cp:lastPrinted>
  <dcterms:created xsi:type="dcterms:W3CDTF">2013-09-02T02:02:22Z</dcterms:created>
  <dcterms:modified xsi:type="dcterms:W3CDTF">2017-10-30T22:53:18Z</dcterms:modified>
</cp:coreProperties>
</file>