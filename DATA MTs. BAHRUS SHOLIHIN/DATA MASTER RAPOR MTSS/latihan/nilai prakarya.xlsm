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showSheetTabs="0" xWindow="-15" yWindow="-15" windowWidth="10980" windowHeight="7545" activeTab="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5725"/>
  <fileRecoveryPr autoRecover="0"/>
</workbook>
</file>

<file path=xl/calcChain.xml><?xml version="1.0" encoding="utf-8"?>
<calcChain xmlns="http://schemas.openxmlformats.org/spreadsheetml/2006/main">
  <c r="T9" i="34"/>
  <c r="U9" s="1"/>
  <c r="V9" s="1"/>
  <c r="T10"/>
  <c r="U10"/>
  <c r="V10" s="1"/>
  <c r="T11"/>
  <c r="U11"/>
  <c r="V11"/>
  <c r="T12"/>
  <c r="U12" s="1"/>
  <c r="V12" s="1"/>
  <c r="T13"/>
  <c r="U13" s="1"/>
  <c r="V13" s="1"/>
  <c r="T14"/>
  <c r="U14"/>
  <c r="V14" s="1"/>
  <c r="T15"/>
  <c r="U15"/>
  <c r="V15"/>
  <c r="T16"/>
  <c r="U16" s="1"/>
  <c r="V16" s="1"/>
  <c r="T17"/>
  <c r="U17" s="1"/>
  <c r="V17" s="1"/>
  <c r="T18"/>
  <c r="U18"/>
  <c r="V18" s="1"/>
  <c r="T19"/>
  <c r="U19"/>
  <c r="V19"/>
  <c r="T20"/>
  <c r="U20" s="1"/>
  <c r="V20" s="1"/>
  <c r="T21"/>
  <c r="U21" s="1"/>
  <c r="V21" s="1"/>
  <c r="T22"/>
  <c r="U22"/>
  <c r="V22" s="1"/>
  <c r="T23"/>
  <c r="U23"/>
  <c r="V23"/>
  <c r="T24"/>
  <c r="U24" s="1"/>
  <c r="V24" s="1"/>
  <c r="T25"/>
  <c r="U25" s="1"/>
  <c r="V25" s="1"/>
  <c r="T26"/>
  <c r="U26"/>
  <c r="V26" s="1"/>
  <c r="T27"/>
  <c r="U27"/>
  <c r="V27"/>
  <c r="T28"/>
  <c r="U28" s="1"/>
  <c r="V28" s="1"/>
  <c r="T29"/>
  <c r="U29" s="1"/>
  <c r="V29" s="1"/>
  <c r="T30"/>
  <c r="U30"/>
  <c r="V30" s="1"/>
  <c r="T31"/>
  <c r="U31"/>
  <c r="V31"/>
  <c r="T32"/>
  <c r="U32" s="1"/>
  <c r="V32" s="1"/>
  <c r="T33"/>
  <c r="U33" s="1"/>
  <c r="V33" s="1"/>
  <c r="T34"/>
  <c r="U34"/>
  <c r="V34" s="1"/>
  <c r="T35"/>
  <c r="U35"/>
  <c r="V35"/>
  <c r="T36"/>
  <c r="U36" s="1"/>
  <c r="V36" s="1"/>
  <c r="T37"/>
  <c r="U37" s="1"/>
  <c r="V37" s="1"/>
  <c r="T38"/>
  <c r="U38"/>
  <c r="V38" s="1"/>
  <c r="T39"/>
  <c r="U39"/>
  <c r="V39"/>
  <c r="T40"/>
  <c r="U40" s="1"/>
  <c r="V40" s="1"/>
  <c r="T41"/>
  <c r="U41" s="1"/>
  <c r="V41" s="1"/>
  <c r="T42"/>
  <c r="U42"/>
  <c r="V42" s="1"/>
  <c r="T43"/>
  <c r="U43"/>
  <c r="V43"/>
  <c r="T44"/>
  <c r="U44" s="1"/>
  <c r="V44" s="1"/>
  <c r="T45"/>
  <c r="U45" s="1"/>
  <c r="V45" s="1"/>
  <c r="T46"/>
  <c r="U46"/>
  <c r="V46" s="1"/>
  <c r="T47"/>
  <c r="U47"/>
  <c r="V47"/>
  <c r="T48"/>
  <c r="U48" s="1"/>
  <c r="V48" s="1"/>
  <c r="T49"/>
  <c r="U49" s="1"/>
  <c r="V49" s="1"/>
  <c r="T50"/>
  <c r="U50"/>
  <c r="V50" s="1"/>
  <c r="T51"/>
  <c r="U51"/>
  <c r="V51"/>
  <c r="T52"/>
  <c r="U52" s="1"/>
  <c r="V52" s="1"/>
  <c r="T53"/>
  <c r="U53" s="1"/>
  <c r="V53" s="1"/>
  <c r="T54"/>
  <c r="U54"/>
  <c r="V54" s="1"/>
  <c r="T55"/>
  <c r="U55"/>
  <c r="V55"/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CG5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Y5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Q5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30"/>
  <c r="S16"/>
  <c r="S61"/>
  <c r="S57"/>
  <c r="S49"/>
  <c r="S45"/>
  <c r="S41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24" i="31" l="1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T59" s="1"/>
  <c r="B60"/>
  <c r="C60"/>
  <c r="T60" s="1"/>
  <c r="B61"/>
  <c r="C61"/>
  <c r="T61" s="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T54" s="1"/>
  <c r="A55"/>
  <c r="B55"/>
  <c r="C55"/>
  <c r="T55" s="1"/>
  <c r="A56"/>
  <c r="B56"/>
  <c r="C56"/>
  <c r="T56" s="1"/>
  <c r="A57"/>
  <c r="B57"/>
  <c r="C57"/>
  <c r="T57" s="1"/>
  <c r="A58"/>
  <c r="B58"/>
  <c r="C58"/>
  <c r="T58" s="1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/>
  <c r="CM50"/>
  <c r="CP50" s="1"/>
  <c r="CM46"/>
  <c r="CP46" s="1"/>
  <c r="CM51"/>
  <c r="CP51" s="1"/>
  <c r="CM45"/>
  <c r="CP45" s="1"/>
  <c r="CM49"/>
  <c r="CP49" s="1"/>
  <c r="CM52"/>
  <c r="CP52" s="1"/>
  <c r="CM48"/>
  <c r="CP48" s="1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T15" s="1"/>
  <c r="A16"/>
  <c r="B16"/>
  <c r="C16"/>
  <c r="T16" s="1"/>
  <c r="A17"/>
  <c r="B17"/>
  <c r="C17"/>
  <c r="T17" s="1"/>
  <c r="A18"/>
  <c r="B18"/>
  <c r="C18"/>
  <c r="T18" s="1"/>
  <c r="A19"/>
  <c r="B19"/>
  <c r="C19"/>
  <c r="T19" s="1"/>
  <c r="A20"/>
  <c r="B20"/>
  <c r="C20"/>
  <c r="T20" s="1"/>
  <c r="A21"/>
  <c r="B21"/>
  <c r="C21"/>
  <c r="T21" s="1"/>
  <c r="A22"/>
  <c r="B22"/>
  <c r="C22"/>
  <c r="T22" s="1"/>
  <c r="A23"/>
  <c r="B23"/>
  <c r="C23"/>
  <c r="T23" s="1"/>
  <c r="A24"/>
  <c r="B24"/>
  <c r="C24"/>
  <c r="T24" s="1"/>
  <c r="A25"/>
  <c r="B25"/>
  <c r="C25"/>
  <c r="T25" s="1"/>
  <c r="A26"/>
  <c r="B26"/>
  <c r="C26"/>
  <c r="T26" s="1"/>
  <c r="A27"/>
  <c r="B27"/>
  <c r="C27"/>
  <c r="T27" s="1"/>
  <c r="A28"/>
  <c r="B28"/>
  <c r="C28"/>
  <c r="T28" s="1"/>
  <c r="A29"/>
  <c r="B29"/>
  <c r="C29"/>
  <c r="T29" s="1"/>
  <c r="A30"/>
  <c r="B30"/>
  <c r="C30"/>
  <c r="T30" s="1"/>
  <c r="A31"/>
  <c r="B31"/>
  <c r="C31"/>
  <c r="T31" s="1"/>
  <c r="A32"/>
  <c r="B32"/>
  <c r="C32"/>
  <c r="T32" s="1"/>
  <c r="A33"/>
  <c r="B33"/>
  <c r="C33"/>
  <c r="T33" s="1"/>
  <c r="A34"/>
  <c r="B34"/>
  <c r="C34"/>
  <c r="T34" s="1"/>
  <c r="A35"/>
  <c r="B35"/>
  <c r="C35"/>
  <c r="T35" s="1"/>
  <c r="A36"/>
  <c r="B36"/>
  <c r="C36"/>
  <c r="T36" s="1"/>
  <c r="A37"/>
  <c r="B37"/>
  <c r="C37"/>
  <c r="T37" s="1"/>
  <c r="A38"/>
  <c r="B38"/>
  <c r="C38"/>
  <c r="T38" s="1"/>
  <c r="A39"/>
  <c r="B39"/>
  <c r="C39"/>
  <c r="T39" s="1"/>
  <c r="A40"/>
  <c r="B40"/>
  <c r="C40"/>
  <c r="T40" s="1"/>
  <c r="A41"/>
  <c r="B41"/>
  <c r="C41"/>
  <c r="T41" s="1"/>
  <c r="A42"/>
  <c r="B42"/>
  <c r="C42"/>
  <c r="T42" s="1"/>
  <c r="A43"/>
  <c r="B43"/>
  <c r="C43"/>
  <c r="T43" s="1"/>
  <c r="A44"/>
  <c r="B44"/>
  <c r="C44"/>
  <c r="T44" s="1"/>
  <c r="A45"/>
  <c r="B45"/>
  <c r="C45"/>
  <c r="T45" s="1"/>
  <c r="A46"/>
  <c r="B46"/>
  <c r="C46"/>
  <c r="T46" s="1"/>
  <c r="A47"/>
  <c r="B47"/>
  <c r="C47"/>
  <c r="T47" s="1"/>
  <c r="A48"/>
  <c r="B48"/>
  <c r="C48"/>
  <c r="T48" s="1"/>
  <c r="A49"/>
  <c r="B49"/>
  <c r="C49"/>
  <c r="T49" s="1"/>
  <c r="A50"/>
  <c r="B50"/>
  <c r="C50"/>
  <c r="T50" s="1"/>
  <c r="A51"/>
  <c r="B51"/>
  <c r="C51"/>
  <c r="T51" s="1"/>
  <c r="A52"/>
  <c r="B52"/>
  <c r="C52"/>
  <c r="T52" s="1"/>
  <c r="A53"/>
  <c r="B53"/>
  <c r="C53"/>
  <c r="T53" s="1"/>
  <c r="B14"/>
  <c r="C14"/>
  <c r="T14" s="1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C58" s="1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U55" s="1"/>
  <c r="AT54"/>
  <c r="AT53"/>
  <c r="AT52"/>
  <c r="AT51"/>
  <c r="AU51" s="1"/>
  <c r="AT50"/>
  <c r="AT49"/>
  <c r="AT48"/>
  <c r="AT47"/>
  <c r="AU47" s="1"/>
  <c r="AT46"/>
  <c r="AT45"/>
  <c r="AT44"/>
  <c r="AT43"/>
  <c r="AU43" s="1"/>
  <c r="AT42"/>
  <c r="AT41"/>
  <c r="AT40"/>
  <c r="AT39"/>
  <c r="AU39" s="1"/>
  <c r="AT38"/>
  <c r="AT37"/>
  <c r="AT36"/>
  <c r="AT35"/>
  <c r="AU35" s="1"/>
  <c r="AT34"/>
  <c r="AT33"/>
  <c r="AT32"/>
  <c r="AT31"/>
  <c r="AU31" s="1"/>
  <c r="AT30"/>
  <c r="AT29"/>
  <c r="AT28"/>
  <c r="AT27"/>
  <c r="AU27" s="1"/>
  <c r="AT26"/>
  <c r="AT25"/>
  <c r="AT24"/>
  <c r="AT23"/>
  <c r="AU23" s="1"/>
  <c r="AT22"/>
  <c r="AT21"/>
  <c r="AT20"/>
  <c r="AT19"/>
  <c r="AU19" s="1"/>
  <c r="AT17"/>
  <c r="AH58"/>
  <c r="AH57"/>
  <c r="AH56"/>
  <c r="AI56" s="1"/>
  <c r="AH55"/>
  <c r="AH54"/>
  <c r="AH53"/>
  <c r="AH52"/>
  <c r="AI52" s="1"/>
  <c r="AH51"/>
  <c r="AH50"/>
  <c r="AH49"/>
  <c r="AH48"/>
  <c r="AI48" s="1"/>
  <c r="AH47"/>
  <c r="AH46"/>
  <c r="AH45"/>
  <c r="AH44"/>
  <c r="AI44" s="1"/>
  <c r="AH43"/>
  <c r="AH42"/>
  <c r="AH41"/>
  <c r="AH40"/>
  <c r="AI40" s="1"/>
  <c r="AH39"/>
  <c r="AH38"/>
  <c r="AH37"/>
  <c r="AH36"/>
  <c r="AI36" s="1"/>
  <c r="AH35"/>
  <c r="AH34"/>
  <c r="AH33"/>
  <c r="AH32"/>
  <c r="AI32" s="1"/>
  <c r="AH31"/>
  <c r="AH30"/>
  <c r="AH29"/>
  <c r="AH28"/>
  <c r="AI28" s="1"/>
  <c r="AH27"/>
  <c r="AH26"/>
  <c r="AH25"/>
  <c r="AH24"/>
  <c r="AI24" s="1"/>
  <c r="AH23"/>
  <c r="AH22"/>
  <c r="AH21"/>
  <c r="AH20"/>
  <c r="AI20" s="1"/>
  <c r="AH19"/>
  <c r="AH17"/>
  <c r="V58"/>
  <c r="V57"/>
  <c r="W57" s="1"/>
  <c r="V56"/>
  <c r="V55"/>
  <c r="V54"/>
  <c r="V53"/>
  <c r="W53" s="1"/>
  <c r="V52"/>
  <c r="V51"/>
  <c r="V50"/>
  <c r="V49"/>
  <c r="W49" s="1"/>
  <c r="V48"/>
  <c r="V47"/>
  <c r="V46"/>
  <c r="V45"/>
  <c r="W45" s="1"/>
  <c r="V44"/>
  <c r="V43"/>
  <c r="V42"/>
  <c r="V41"/>
  <c r="W41" s="1"/>
  <c r="V40"/>
  <c r="V39"/>
  <c r="V38"/>
  <c r="V37"/>
  <c r="W37" s="1"/>
  <c r="V36"/>
  <c r="V35"/>
  <c r="V34"/>
  <c r="V33"/>
  <c r="W33" s="1"/>
  <c r="V32"/>
  <c r="V31"/>
  <c r="V30"/>
  <c r="V29"/>
  <c r="W29" s="1"/>
  <c r="V28"/>
  <c r="V27"/>
  <c r="V26"/>
  <c r="V25"/>
  <c r="W25" s="1"/>
  <c r="V24"/>
  <c r="V23"/>
  <c r="V22"/>
  <c r="V21"/>
  <c r="W21" s="1"/>
  <c r="V20"/>
  <c r="V19"/>
  <c r="V17"/>
  <c r="DN58"/>
  <c r="DO58" s="1"/>
  <c r="DN57"/>
  <c r="DN56"/>
  <c r="DN55"/>
  <c r="DN54"/>
  <c r="DO54" s="1"/>
  <c r="DN53"/>
  <c r="DN52"/>
  <c r="DN51"/>
  <c r="DN50"/>
  <c r="DO50" s="1"/>
  <c r="DN49"/>
  <c r="DN48"/>
  <c r="DN47"/>
  <c r="DN46"/>
  <c r="DO46" s="1"/>
  <c r="DN45"/>
  <c r="DN44"/>
  <c r="DN43"/>
  <c r="DN42"/>
  <c r="DO42" s="1"/>
  <c r="DN41"/>
  <c r="DN40"/>
  <c r="DN39"/>
  <c r="DN38"/>
  <c r="DO38" s="1"/>
  <c r="DN37"/>
  <c r="DN36"/>
  <c r="DN35"/>
  <c r="DN34"/>
  <c r="DO34" s="1"/>
  <c r="DN33"/>
  <c r="DN32"/>
  <c r="DN31"/>
  <c r="DN30"/>
  <c r="DO30" s="1"/>
  <c r="DN29"/>
  <c r="DN28"/>
  <c r="DN27"/>
  <c r="DN26"/>
  <c r="DO26" s="1"/>
  <c r="DN25"/>
  <c r="DN24"/>
  <c r="DN23"/>
  <c r="DN22"/>
  <c r="DO22" s="1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K23" l="1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Y21"/>
  <c r="DE53"/>
  <c r="CS40"/>
  <c r="BI23"/>
  <c r="BI31"/>
  <c r="BI39"/>
  <c r="AK25"/>
  <c r="DQ3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53"/>
  <c r="M47"/>
  <c r="M45"/>
  <c r="M37"/>
  <c r="M21"/>
  <c r="M33"/>
  <c r="M28"/>
  <c r="M48"/>
  <c r="M44"/>
  <c r="M22"/>
  <c r="L19"/>
  <c r="Y46" l="1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BJ52" i="8" l="1"/>
  <c r="BJ50"/>
  <c r="BH48"/>
  <c r="BI48"/>
  <c r="BG48"/>
  <c r="BH49"/>
  <c r="BI49"/>
  <c r="BG49"/>
  <c r="BH52"/>
  <c r="BI52"/>
  <c r="BG52"/>
  <c r="BJ51"/>
  <c r="BH50"/>
  <c r="BI50"/>
  <c r="BG50"/>
  <c r="BH51"/>
  <c r="BG51"/>
  <c r="BI51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H57"/>
  <c r="BK51" i="8"/>
  <c r="I60" i="31" s="1"/>
  <c r="H60"/>
  <c r="BK50" i="8"/>
  <c r="I59" i="31" s="1"/>
  <c r="H59"/>
  <c r="BK49" i="8"/>
  <c r="I58" i="31" s="1"/>
  <c r="H58"/>
  <c r="H6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K52" i="8" l="1"/>
  <c r="I61" i="31" s="1"/>
  <c r="BJ45" i="8"/>
  <c r="BK45" s="1"/>
  <c r="I54" i="31" s="1"/>
  <c r="BJ47" i="8"/>
  <c r="BH47"/>
  <c r="BG47"/>
  <c r="H56" i="31" s="1"/>
  <c r="BI47" i="8"/>
  <c r="BH46"/>
  <c r="BI46"/>
  <c r="BG46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6" i="8"/>
  <c r="I55" i="31" s="1"/>
  <c r="BR25" i="45"/>
  <c r="BR23"/>
  <c r="BR21"/>
  <c r="BR19"/>
  <c r="BR17"/>
  <c r="BR24"/>
  <c r="BR22"/>
  <c r="BR20"/>
  <c r="BR18"/>
  <c r="BR16"/>
  <c r="BT15"/>
  <c r="C8" i="17"/>
  <c r="BK47" i="8" l="1"/>
  <c r="I56" i="31" s="1"/>
  <c r="BZ4" i="44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/>
  <c r="CM42"/>
  <c r="CP42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/>
  <c r="CM41"/>
  <c r="CP41"/>
  <c r="CM29"/>
  <c r="CP29" s="1"/>
  <c r="CM35"/>
  <c r="CP35" s="1"/>
  <c r="CM39"/>
  <c r="CP39"/>
  <c r="CM43"/>
  <c r="CP43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/>
  <c r="CM30"/>
  <c r="CP30"/>
  <c r="CM33"/>
  <c r="CP33"/>
  <c r="CM36"/>
  <c r="CP36"/>
  <c r="CM40"/>
  <c r="CP40"/>
  <c r="CM44"/>
  <c r="CP44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K12"/>
  <c r="K11"/>
  <c r="K10"/>
  <c r="K8"/>
  <c r="M3"/>
  <c r="CW10" i="6" s="1"/>
  <c r="M11" i="44"/>
  <c r="M10"/>
  <c r="M9"/>
  <c r="M12"/>
  <c r="M8"/>
  <c r="M7"/>
  <c r="CX10" i="6"/>
  <c r="O12" i="44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CW22" i="6" s="1"/>
  <c r="AK11" i="44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CW29" i="6" s="1"/>
  <c r="AY9" i="44"/>
  <c r="AY7"/>
  <c r="AY12"/>
  <c r="AY11"/>
  <c r="AY10"/>
  <c r="AY8"/>
  <c r="BC3"/>
  <c r="CW31" i="6" s="1"/>
  <c r="BC12" i="44"/>
  <c r="BC10"/>
  <c r="BC9"/>
  <c r="BC8"/>
  <c r="BC7"/>
  <c r="BC11"/>
  <c r="BI3"/>
  <c r="CW34" i="6" s="1"/>
  <c r="BI11" i="44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9" i="6" l="1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D15" i="31"/>
  <c r="CQ17" i="6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CS6" i="6" l="1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CR38"/>
  <c r="CS38"/>
  <c r="CV38" s="1"/>
  <c r="F47" i="31" s="1"/>
  <c r="CR37" i="6"/>
  <c r="E46" i="31" s="1"/>
  <c r="CS37" i="6"/>
  <c r="CV37" s="1"/>
  <c r="F46" i="31" s="1"/>
  <c r="CS27" i="6"/>
  <c r="CV27" s="1"/>
  <c r="CR27"/>
  <c r="CR17"/>
  <c r="E26" i="31" s="1"/>
  <c r="CS17" i="6"/>
  <c r="CV17" s="1"/>
  <c r="F26" i="31" s="1"/>
  <c r="CR12" i="6"/>
  <c r="CS12"/>
  <c r="CV12" s="1"/>
  <c r="D45" i="31"/>
  <c r="CR36" i="6"/>
  <c r="E45" i="31" s="1"/>
  <c r="CS36" i="6"/>
  <c r="CV36" s="1"/>
  <c r="F45" i="31" s="1"/>
  <c r="CR16" i="6"/>
  <c r="CS16"/>
  <c r="CR9"/>
  <c r="E18" i="31" s="1"/>
  <c r="CS9" i="6"/>
  <c r="CV9" s="1"/>
  <c r="CR28"/>
  <c r="E37" i="31" s="1"/>
  <c r="CS28" i="6"/>
  <c r="CV28" s="1"/>
  <c r="CR21"/>
  <c r="CS21"/>
  <c r="CV21" s="1"/>
  <c r="CR2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CR25"/>
  <c r="E34" i="31" s="1"/>
  <c r="CS25" i="6"/>
  <c r="CR8"/>
  <c r="E17" i="31" s="1"/>
  <c r="CS8" i="6"/>
  <c r="CV8" s="1"/>
  <c r="CS35"/>
  <c r="CV35" s="1"/>
  <c r="CR35"/>
  <c r="E44" i="31" s="1"/>
  <c r="CR20" i="6"/>
  <c r="E29" i="31" s="1"/>
  <c r="CS20" i="6"/>
  <c r="CV20" s="1"/>
  <c r="CR13"/>
  <c r="E22" i="31" s="1"/>
  <c r="CS13" i="6"/>
  <c r="CR18"/>
  <c r="E27" i="31" s="1"/>
  <c r="CS18" i="6"/>
  <c r="CV18" s="1"/>
  <c r="CS11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CR42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F42"/>
  <c r="D42"/>
  <c r="D16"/>
  <c r="E16"/>
  <c r="D24"/>
  <c r="D26"/>
  <c r="D23"/>
  <c r="D21"/>
  <c r="E21"/>
  <c r="F21"/>
  <c r="F17"/>
  <c r="D17"/>
  <c r="D44"/>
  <c r="F44"/>
  <c r="F29"/>
  <c r="D29"/>
  <c r="D22"/>
  <c r="D27"/>
  <c r="F27"/>
  <c r="D20"/>
  <c r="E20"/>
  <c r="D25"/>
  <c r="E25"/>
  <c r="F18"/>
  <c r="D18"/>
  <c r="D37"/>
  <c r="F37"/>
  <c r="D30"/>
  <c r="E30"/>
  <c r="F30"/>
  <c r="D35"/>
  <c r="D28"/>
  <c r="E28"/>
  <c r="D33"/>
  <c r="D50"/>
  <c r="E50"/>
  <c r="F39"/>
  <c r="D39"/>
  <c r="D47"/>
  <c r="E47"/>
  <c r="D46"/>
  <c r="F36"/>
  <c r="D36"/>
  <c r="E36"/>
  <c r="D41"/>
  <c r="D43"/>
  <c r="F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J38" s="1"/>
  <c r="BR3" i="45"/>
  <c r="BS3" s="1"/>
  <c r="BD39" i="8"/>
  <c r="BV3" i="45"/>
  <c r="BW3" s="1"/>
  <c r="BD41" i="8"/>
  <c r="BJ41" s="1"/>
  <c r="BX3" i="45"/>
  <c r="BY3" s="1"/>
  <c r="BD42" i="8"/>
  <c r="BZ3" i="45"/>
  <c r="CA3" s="1"/>
  <c r="BD43" i="8"/>
  <c r="BJ43" s="1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C11" i="44"/>
  <c r="C10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BJ44" i="8" l="1"/>
  <c r="BJ36"/>
  <c r="BJ42"/>
  <c r="BJ37"/>
  <c r="BJ40"/>
  <c r="BJ39"/>
  <c r="BH39"/>
  <c r="BI39"/>
  <c r="BG39"/>
  <c r="BH37"/>
  <c r="BI37"/>
  <c r="BG37"/>
  <c r="BH34"/>
  <c r="BI34"/>
  <c r="BG34"/>
  <c r="BH32"/>
  <c r="BI32"/>
  <c r="BG32"/>
  <c r="H41" i="31" s="1"/>
  <c r="BH30" i="8"/>
  <c r="BI30"/>
  <c r="BG30"/>
  <c r="BH2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BH21"/>
  <c r="BG21"/>
  <c r="BI21"/>
  <c r="BH20"/>
  <c r="BI20"/>
  <c r="BG20"/>
  <c r="BH19"/>
  <c r="BI19"/>
  <c r="BG19"/>
  <c r="BH1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BI9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BI8"/>
  <c r="BH44"/>
  <c r="BI44"/>
  <c r="BK44" s="1"/>
  <c r="I53" i="31" s="1"/>
  <c r="BG44" i="8"/>
  <c r="BH43"/>
  <c r="BI43"/>
  <c r="BG43"/>
  <c r="BH41"/>
  <c r="BI41"/>
  <c r="BK41" s="1"/>
  <c r="I50" i="31" s="1"/>
  <c r="BG41" i="8"/>
  <c r="L8" i="34"/>
  <c r="CQ5" i="6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R5" i="6"/>
  <c r="CS5"/>
  <c r="CW5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H31"/>
  <c r="H53"/>
  <c r="BK43" i="8"/>
  <c r="I52" i="31" s="1"/>
  <c r="H52"/>
  <c r="H50"/>
  <c r="H43"/>
  <c r="BK33" i="8"/>
  <c r="I42" i="31" s="1"/>
  <c r="BK31" i="8"/>
  <c r="I40" i="31" s="1"/>
  <c r="H40"/>
  <c r="H39"/>
  <c r="H38"/>
  <c r="H37"/>
  <c r="H26"/>
  <c r="BJ9" i="8"/>
  <c r="BK39"/>
  <c r="I48" i="31" s="1"/>
  <c r="H48"/>
  <c r="H46"/>
  <c r="H34"/>
  <c r="H32"/>
  <c r="H30"/>
  <c r="H29"/>
  <c r="H28"/>
  <c r="H24"/>
  <c r="H22"/>
  <c r="H21"/>
  <c r="H18"/>
  <c r="BJ8" i="8"/>
  <c r="H17" i="31"/>
  <c r="H16"/>
  <c r="BJ7" i="8"/>
  <c r="H15" i="31"/>
  <c r="CB24" i="45"/>
  <c r="CB22"/>
  <c r="CB20"/>
  <c r="CB18"/>
  <c r="CB16"/>
  <c r="CB25"/>
  <c r="CB23"/>
  <c r="CB21"/>
  <c r="CB19"/>
  <c r="CB17"/>
  <c r="CD15"/>
  <c r="K12" i="42"/>
  <c r="M12"/>
  <c r="BJ5" i="8" l="1"/>
  <c r="BK37"/>
  <c r="I46" i="31" s="1"/>
  <c r="BK35" i="8"/>
  <c r="I44" i="31" s="1"/>
  <c r="BK34" i="8"/>
  <c r="I43" i="31" s="1"/>
  <c r="BK29" i="8"/>
  <c r="I38" i="31" s="1"/>
  <c r="V8" i="34"/>
  <c r="W8"/>
  <c r="CV5" i="6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<sst xmlns="http://schemas.openxmlformats.org/spreadsheetml/2006/main" count="2365" uniqueCount="576">
  <si>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</si>
  <si>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</si>
  <si>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</si>
  <si>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</si>
  <si>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</si>
  <si>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</si>
  <si>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</si>
  <si>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</si>
  <si>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</si>
  <si>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</si>
  <si>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</si>
  <si>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</si>
  <si>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</si>
  <si>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</si>
  <si>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</si>
  <si>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</si>
  <si>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</si>
  <si>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</si>
  <si>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</si>
  <si>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</si>
  <si>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</si>
  <si>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</si>
  <si>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</si>
  <si>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</si>
  <si>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</si>
  <si>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</si>
  <si>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</si>
  <si>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</si>
  <si>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</si>
  <si>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</si>
  <si>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</si>
  <si>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</si>
  <si>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</si>
  <si>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</si>
  <si>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</si>
  <si>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</si>
  <si>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</si>
  <si>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</si>
  <si>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</si>
  <si>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</si>
  <si>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</si>
  <si>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</si>
  <si>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</si>
  <si>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</si>
  <si>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</si>
  <si>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</si>
  <si>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</si>
  <si>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</si>
  <si>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</si>
  <si>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</si>
  <si>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</si>
  <si>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</si>
  <si>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</si>
  <si>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</si>
  <si>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</si>
  <si>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</si>
  <si>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</si>
  <si>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</si>
  <si>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</si>
  <si>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</si>
  <si>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</si>
  <si>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</si>
  <si>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</si>
  <si>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</si>
  <si>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</si>
  <si>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</si>
  <si>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</si>
  <si>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</si>
  <si>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</si>
  <si>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</si>
  <si>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</si>
  <si>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</si>
  <si>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</si>
  <si>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</si>
  <si>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</si>
  <si>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</si>
  <si>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</si>
  <si>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</si>
  <si>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</si>
  <si>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</si>
  <si>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</si>
  <si>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</si>
  <si>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</si>
  <si>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</si>
  <si>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</si>
  <si>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</si>
  <si>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</si>
  <si>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</si>
  <si>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</si>
  <si>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</si>
  <si>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</si>
  <si>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</si>
  <si>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</si>
  <si>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</si>
  <si>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</si>
  <si>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</si>
  <si>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</si>
  <si>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</si>
  <si>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</si>
  <si>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</si>
  <si>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</si>
  <si>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</si>
  <si>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</si>
  <si>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</si>
  <si>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</si>
  <si>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</si>
  <si>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</si>
  <si>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</si>
  <si>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</si>
  <si>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</si>
  <si>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</si>
  <si>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</si>
  <si>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</si>
  <si>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</si>
  <si>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</si>
  <si>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</si>
  <si>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</si>
  <si>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</si>
  <si>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</si>
  <si>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</si>
  <si>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</si>
  <si>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</si>
  <si>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</si>
  <si>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</si>
  <si>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</si>
  <si>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</si>
  <si>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</si>
  <si>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</si>
  <si>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</si>
  <si>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</si>
  <si>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</si>
  <si>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</si>
  <si>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</si>
  <si>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</si>
  <si>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</si>
  <si>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</si>
  <si>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</si>
  <si>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</si>
  <si>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</si>
  <si>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</si>
  <si>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</si>
  <si>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</si>
  <si>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</si>
  <si>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</si>
  <si>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</si>
  <si>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</si>
  <si>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</si>
  <si>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</si>
  <si>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</si>
  <si>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</si>
  <si>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</si>
  <si>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</si>
  <si>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</si>
  <si>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</si>
  <si>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</si>
  <si>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</si>
  <si>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</si>
  <si>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</si>
  <si>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</si>
  <si>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</si>
  <si>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</si>
  <si>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</si>
  <si>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</si>
  <si>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</si>
  <si>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</si>
  <si>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</si>
  <si>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</si>
  <si>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</si>
  <si>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</si>
  <si>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</si>
  <si>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</si>
  <si>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</si>
  <si>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</si>
  <si>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</si>
  <si>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</si>
  <si>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</si>
  <si>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</si>
  <si>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</si>
  <si>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</si>
  <si>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</si>
  <si>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</si>
  <si>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</si>
  <si>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</si>
  <si>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</si>
  <si>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</si>
  <si>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</si>
  <si>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</si>
  <si>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</si>
  <si>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</si>
  <si>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</si>
  <si>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</si>
  <si>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</si>
  <si>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</si>
  <si>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</si>
  <si>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</si>
  <si>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</si>
  <si>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</si>
  <si>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</si>
  <si>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</si>
  <si>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</si>
  <si>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</si>
  <si>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</si>
  <si>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</si>
  <si>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</si>
  <si>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</si>
  <si>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</si>
  <si>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</si>
  <si>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</si>
  <si>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</si>
  <si>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</si>
  <si>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</si>
  <si>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</si>
  <si>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</si>
  <si>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</si>
  <si>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</si>
  <si>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</si>
  <si>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</si>
  <si>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</si>
  <si>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</si>
  <si>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</si>
  <si>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</si>
  <si>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</si>
  <si>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</si>
  <si>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</si>
  <si>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</si>
  <si>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</si>
  <si>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</si>
  <si>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</si>
  <si>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</si>
  <si>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</si>
  <si>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</si>
  <si>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</si>
  <si>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</si>
  <si>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</si>
  <si>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</si>
  <si>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</si>
  <si>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</si>
  <si>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</si>
  <si>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</si>
  <si>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</si>
  <si>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</si>
  <si>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</si>
  <si>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</si>
  <si>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</si>
  <si>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</si>
  <si>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</si>
  <si>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</si>
  <si>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</si>
  <si>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</si>
  <si>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</si>
  <si>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</si>
  <si>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</si>
  <si>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</si>
  <si>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</si>
  <si>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</si>
  <si>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</si>
  <si>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</si>
  <si>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</si>
  <si>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</si>
  <si>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</si>
  <si>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</si>
  <si>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</si>
  <si>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</si>
  <si>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</si>
  <si>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</si>
  <si>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</si>
  <si>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</si>
  <si>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</si>
  <si>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</si>
  <si>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</si>
  <si>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</si>
  <si>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</si>
  <si>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</si>
  <si>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</si>
  <si>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</si>
  <si>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</si>
  <si>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</si>
  <si>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</si>
  <si>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</si>
  <si>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</si>
  <si>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</si>
  <si>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</si>
  <si>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</si>
  <si>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</si>
  <si>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</si>
  <si>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</si>
  <si>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</si>
  <si>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</si>
  <si>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</si>
  <si>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</si>
  <si>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</si>
  <si>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</si>
  <si>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</si>
  <si>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</si>
  <si>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</si>
  <si>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</si>
  <si>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</si>
  <si>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</si>
  <si>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</si>
  <si>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</si>
  <si>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</si>
  <si>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</si>
  <si>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</si>
  <si>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</si>
  <si>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</si>
  <si>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</si>
  <si>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</si>
  <si>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</si>
  <si>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</si>
  <si>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</si>
  <si>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</si>
  <si>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</si>
  <si>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</si>
  <si>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</si>
  <si>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</si>
  <si>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</si>
  <si>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</si>
  <si>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</si>
  <si>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</si>
  <si>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</si>
  <si>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</si>
  <si>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</si>
  <si>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</si>
  <si>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</si>
  <si>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</si>
  <si>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</si>
  <si>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</si>
  <si>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</si>
  <si>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</si>
  <si>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</si>
  <si>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</si>
  <si>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</si>
  <si>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</si>
  <si>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</si>
  <si>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</si>
  <si>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</si>
  <si>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</si>
  <si>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</si>
  <si>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</si>
  <si>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</si>
  <si>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</si>
  <si>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</si>
  <si>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</si>
  <si>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</si>
  <si>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</si>
  <si>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</si>
  <si>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</si>
  <si>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</si>
  <si>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</si>
  <si>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</si>
  <si>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</si>
  <si>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</si>
  <si>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</si>
  <si>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</si>
  <si>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</si>
  <si>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</si>
  <si>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</si>
  <si>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</si>
  <si>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</si>
  <si>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</si>
  <si>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</si>
  <si>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</si>
  <si>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</si>
  <si>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</si>
  <si>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</si>
  <si>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</si>
  <si>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</si>
  <si>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</si>
  <si>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</si>
  <si>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</si>
  <si>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</si>
  <si>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</si>
  <si>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</si>
  <si>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</si>
  <si>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</si>
  <si>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</si>
  <si>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</si>
  <si>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</si>
  <si>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</si>
  <si>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</si>
  <si>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</si>
  <si>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</si>
  <si>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</si>
  <si>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</si>
  <si>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</si>
  <si>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</si>
  <si>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</si>
  <si>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</si>
  <si>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</si>
  <si>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</si>
  <si>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</si>
  <si>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</si>
  <si>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</si>
  <si>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</si>
  <si>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</si>
  <si>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</si>
  <si>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</si>
  <si>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</si>
  <si>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</si>
  <si>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</si>
  <si>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</si>
  <si>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</si>
  <si>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</si>
  <si>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</si>
  <si>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</si>
  <si>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</si>
  <si>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</si>
  <si>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</si>
  <si>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</si>
  <si>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</si>
  <si>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</si>
  <si>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</si>
  <si>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</si>
  <si>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</si>
  <si>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</si>
  <si>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</si>
  <si>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</si>
  <si>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</si>
  <si>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</si>
  <si>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</si>
  <si>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</si>
  <si>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</si>
  <si>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</si>
  <si>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</si>
  <si>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</si>
  <si>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</si>
  <si>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</si>
  <si>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</si>
  <si>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</si>
  <si>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</si>
  <si>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</si>
  <si>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</si>
  <si>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</si>
  <si>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</si>
  <si>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</si>
  <si>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</si>
  <si>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</si>
  <si>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</si>
  <si>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</si>
  <si>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</si>
  <si>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</si>
  <si>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</si>
  <si>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</si>
  <si>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</si>
  <si>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</si>
  <si>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</si>
  <si>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</si>
  <si>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</si>
  <si>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</si>
  <si>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</si>
  <si>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</si>
  <si>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</si>
  <si>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</si>
  <si>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</si>
  <si>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</si>
  <si>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</si>
  <si>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</si>
  <si>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</si>
  <si>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</si>
  <si>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</si>
  <si>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</si>
  <si>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</si>
  <si>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</si>
  <si>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</si>
  <si>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</si>
  <si>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</si>
  <si>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</si>
  <si>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</si>
  <si>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</si>
  <si>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</si>
  <si>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</si>
  <si>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</si>
  <si>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</si>
  <si>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</si>
  <si>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</si>
  <si>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</si>
  <si>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</si>
  <si>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</si>
  <si>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</si>
  <si>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</si>
  <si>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</si>
  <si>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</si>
  <si>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</si>
  <si>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</si>
  <si>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</si>
  <si>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</si>
  <si>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</si>
  <si>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</si>
  <si>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</si>
  <si>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</si>
  <si>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</si>
  <si>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</si>
  <si>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</si>
  <si>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</si>
  <si>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</si>
  <si>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</si>
  <si>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</si>
  <si>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</si>
  <si>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</si>
  <si>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</si>
  <si>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</si>
  <si>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</si>
  <si>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</si>
  <si>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</si>
  <si>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</si>
  <si>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</si>
  <si>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</si>
  <si>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</si>
  <si>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</si>
  <si>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</si>
  <si>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</si>
  <si>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</si>
  <si>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</si>
  <si>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</si>
  <si>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</si>
  <si>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</si>
  <si>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</si>
  <si>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</si>
  <si>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</si>
  <si>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</si>
  <si>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</si>
  <si>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</si>
  <si>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</si>
  <si>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</si>
  <si>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</si>
  <si>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</si>
  <si>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</si>
  <si>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</si>
  <si>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</si>
  <si>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</si>
  <si>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</si>
  <si>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</si>
  <si>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</si>
  <si>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</si>
  <si>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</si>
  <si>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</si>
  <si>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</si>
  <si>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</si>
  <si>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</si>
  <si>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</si>
  <si>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</si>
  <si>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</si>
  <si>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</si>
  <si>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</si>
  <si>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</si>
  <si>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</si>
  <si>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</si>
  <si>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</si>
  <si>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</si>
  <si>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</si>
  <si>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</si>
  <si>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</si>
  <si>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Ganjil</t>
  </si>
  <si>
    <t>rajin beribadah dan berpuasa</t>
  </si>
  <si>
    <t>patuh terhadap tata tertib madrasah</t>
  </si>
  <si>
    <t>pengetahuan prakarya 1</t>
  </si>
  <si>
    <t>pengetahuan prakarya 2</t>
  </si>
  <si>
    <t>pengetahuan prakarya 3</t>
  </si>
  <si>
    <t>pengetahuan prakarya 4</t>
  </si>
  <si>
    <t>pengetahuan prakarya 5</t>
  </si>
  <si>
    <t>pengetahuan prakarya 6</t>
  </si>
  <si>
    <t>pengetahuan prakarya 7</t>
  </si>
  <si>
    <t>pengetahuan prakarya 8</t>
  </si>
  <si>
    <t>pengetahuan prakarya 9</t>
  </si>
  <si>
    <t>pengetahuan prakarya 10</t>
  </si>
  <si>
    <t>ketrampilan prakarya 1</t>
  </si>
  <si>
    <t>ketrampilan prakarya 2</t>
  </si>
  <si>
    <t>ketrampilan prakarya 3</t>
  </si>
  <si>
    <t>ketrampilan prakarya 4</t>
  </si>
  <si>
    <t>ketrampilan prakarya 5</t>
  </si>
  <si>
    <t>ketrampilan prakarya 6</t>
  </si>
  <si>
    <t>ketrampilan prakarya 7</t>
  </si>
  <si>
    <t>ketrampilan prakarya 8</t>
  </si>
  <si>
    <t>ketrampilan prakarya 9</t>
  </si>
  <si>
    <t>ketrampilan prakarya 10</t>
  </si>
  <si>
    <t>Prakarya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</si>
</sst>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0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4" fillId="35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34" borderId="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16" borderId="1" xfId="0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opLeftCell="A7" zoomScale="90" zoomScaleNormal="9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1" customWidth="1"/>
    <col min="18" max="18" width="16.28515625" style="471" customWidth="1"/>
    <col min="19" max="19" width="39.42578125" style="471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8" t="s">
        <v>428</v>
      </c>
      <c r="F1" s="458"/>
      <c r="G1" s="458"/>
      <c r="H1" s="458"/>
      <c r="I1" s="458"/>
      <c r="J1" s="458"/>
      <c r="K1" s="458"/>
      <c r="L1" s="458"/>
      <c r="M1" s="458"/>
      <c r="N1" s="459"/>
      <c r="O1" s="432" t="s">
        <v>303</v>
      </c>
      <c r="P1" s="433"/>
      <c r="Q1" s="433"/>
      <c r="R1" s="438">
        <v>80</v>
      </c>
      <c r="S1" s="438"/>
    </row>
    <row r="2" spans="1:19" ht="32.25" customHeight="1" thickBot="1">
      <c r="B2" s="402"/>
      <c r="C2" s="403"/>
      <c r="D2" s="404"/>
      <c r="E2" s="467" t="s">
        <v>488</v>
      </c>
      <c r="F2" s="468"/>
      <c r="G2" s="468"/>
      <c r="H2" s="468"/>
      <c r="I2" s="468"/>
      <c r="J2" s="468"/>
      <c r="K2" s="468"/>
      <c r="L2" s="468"/>
      <c r="M2" s="468"/>
      <c r="N2" s="469"/>
      <c r="O2" s="432"/>
      <c r="P2" s="433"/>
      <c r="Q2" s="433"/>
      <c r="R2" s="438"/>
      <c r="S2" s="438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2"/>
      <c r="P3" s="433"/>
      <c r="Q3" s="433"/>
      <c r="R3" s="439"/>
      <c r="S3" s="439"/>
    </row>
    <row r="4" spans="1:19" ht="20.25" customHeight="1">
      <c r="B4" s="460" t="s">
        <v>470</v>
      </c>
      <c r="C4" s="461"/>
      <c r="D4" s="461"/>
      <c r="E4" s="462"/>
      <c r="F4" s="337"/>
      <c r="G4" s="383"/>
      <c r="H4" s="384"/>
      <c r="I4" s="384"/>
      <c r="J4" s="384"/>
      <c r="K4" s="384"/>
      <c r="L4" s="384"/>
      <c r="M4" s="384"/>
      <c r="N4" s="384"/>
      <c r="O4" s="435" t="s">
        <v>486</v>
      </c>
      <c r="P4" s="436"/>
      <c r="Q4" s="436"/>
      <c r="R4" s="436"/>
      <c r="S4" s="437"/>
    </row>
    <row r="5" spans="1:19" ht="20.25" customHeight="1">
      <c r="A5" s="318"/>
      <c r="B5" s="463"/>
      <c r="C5" s="464"/>
      <c r="D5" s="464"/>
      <c r="E5" s="465"/>
      <c r="F5" s="338"/>
      <c r="G5" s="385"/>
      <c r="H5" s="466"/>
      <c r="I5" s="466"/>
      <c r="J5" s="466"/>
      <c r="K5" s="466"/>
      <c r="L5" s="466"/>
      <c r="M5" s="466"/>
      <c r="N5" s="386"/>
      <c r="O5" s="434" t="s">
        <v>476</v>
      </c>
      <c r="P5" s="434"/>
      <c r="Q5" s="434"/>
      <c r="R5" s="356" t="s">
        <v>477</v>
      </c>
      <c r="S5" s="356" t="s">
        <v>453</v>
      </c>
    </row>
    <row r="6" spans="1:19" ht="20.25" customHeight="1">
      <c r="A6" s="318"/>
      <c r="B6" s="463"/>
      <c r="C6" s="464"/>
      <c r="D6" s="464"/>
      <c r="E6" s="465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96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3"/>
      <c r="C7" s="464"/>
      <c r="D7" s="464"/>
      <c r="E7" s="465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88</v>
      </c>
      <c r="P7" s="359" t="s">
        <v>483</v>
      </c>
      <c r="Q7" s="357">
        <f>O7+ROUND((100-$R$1)/3,0)</f>
        <v>95</v>
      </c>
      <c r="R7" s="357" t="s">
        <v>479</v>
      </c>
      <c r="S7" s="356" t="s">
        <v>473</v>
      </c>
    </row>
    <row r="8" spans="1:19" ht="20.25" customHeight="1">
      <c r="B8" s="463"/>
      <c r="C8" s="464"/>
      <c r="D8" s="464"/>
      <c r="E8" s="465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80</v>
      </c>
      <c r="P8" s="359" t="s">
        <v>483</v>
      </c>
      <c r="Q8" s="357">
        <f>O8+ROUND((100-$R$1)/3,0)</f>
        <v>87</v>
      </c>
      <c r="R8" s="357" t="s">
        <v>480</v>
      </c>
      <c r="S8" s="356" t="s">
        <v>474</v>
      </c>
    </row>
    <row r="9" spans="1:19" ht="20.25" customHeight="1" thickBot="1">
      <c r="B9" s="443" t="s">
        <v>471</v>
      </c>
      <c r="C9" s="444"/>
      <c r="D9" s="444"/>
      <c r="E9" s="445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80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1" t="s">
        <v>502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0" t="s">
        <v>575</v>
      </c>
      <c r="E13" s="451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6" t="s">
        <v>501</v>
      </c>
      <c r="E14" s="447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8" t="s">
        <v>552</v>
      </c>
      <c r="E15" s="449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6" t="s">
        <v>503</v>
      </c>
      <c r="E16" s="427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4</v>
      </c>
      <c r="E17" s="430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2" t="s">
        <v>487</v>
      </c>
      <c r="C18" s="453"/>
      <c r="D18" s="453"/>
      <c r="E18" s="454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2"/>
      <c r="C19" s="453"/>
      <c r="D19" s="453"/>
      <c r="E19" s="454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2"/>
      <c r="C20" s="453"/>
      <c r="D20" s="453"/>
      <c r="E20" s="454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5"/>
      <c r="C21" s="456"/>
      <c r="D21" s="456"/>
      <c r="E21" s="457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0"/>
      <c r="C22" s="441"/>
      <c r="D22" s="441"/>
      <c r="E22" s="442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0" t="s">
        <v>489</v>
      </c>
      <c r="R22" s="470"/>
      <c r="S22" s="470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0"/>
      <c r="R23" s="470"/>
      <c r="S23" s="470"/>
    </row>
    <row r="24" spans="2:19" ht="15" hidden="1" customHeight="1">
      <c r="Q24" s="470"/>
      <c r="R24" s="470"/>
      <c r="S24" s="470"/>
    </row>
    <row r="25" spans="2:19" ht="15" hidden="1" customHeight="1">
      <c r="Q25" s="470"/>
      <c r="R25" s="470"/>
      <c r="S25" s="470"/>
    </row>
    <row r="26" spans="2:19" ht="15" hidden="1" customHeight="1">
      <c r="Q26" s="470"/>
      <c r="R26" s="470"/>
      <c r="S26" s="470"/>
    </row>
    <row r="27" spans="2:19" ht="15" hidden="1" customHeight="1">
      <c r="Q27" s="470"/>
      <c r="R27" s="470"/>
      <c r="S27" s="470"/>
    </row>
    <row r="28" spans="2:19" ht="15" hidden="1" customHeight="1">
      <c r="Q28" s="470"/>
      <c r="R28" s="470"/>
      <c r="S28" s="470"/>
    </row>
    <row r="29" spans="2:19" ht="15" hidden="1" customHeight="1">
      <c r="Q29" s="470"/>
      <c r="R29" s="470"/>
      <c r="S29" s="470"/>
    </row>
    <row r="30" spans="2:19" ht="15" hidden="1" customHeight="1">
      <c r="Q30" s="470"/>
      <c r="R30" s="470"/>
      <c r="S30" s="470"/>
    </row>
    <row r="31" spans="2:19" ht="15" hidden="1" customHeight="1">
      <c r="Q31" s="470"/>
      <c r="R31" s="470"/>
      <c r="S31" s="470"/>
    </row>
    <row r="32" spans="2:19" ht="15" hidden="1" customHeight="1">
      <c r="Q32" s="470"/>
      <c r="R32" s="470"/>
      <c r="S32" s="470"/>
    </row>
    <row r="33" spans="17:19" ht="15" hidden="1" customHeight="1">
      <c r="Q33" s="470"/>
      <c r="R33" s="470"/>
      <c r="S33" s="470"/>
    </row>
    <row r="34" spans="17:19" ht="15" hidden="1" customHeight="1">
      <c r="Q34" s="470"/>
      <c r="R34" s="470"/>
      <c r="S34" s="470"/>
    </row>
    <row r="35" spans="17:19" ht="15" hidden="1" customHeight="1">
      <c r="Q35" s="470"/>
      <c r="R35" s="470"/>
      <c r="S35" s="470"/>
    </row>
    <row r="36" spans="17:19" ht="15" hidden="1" customHeight="1">
      <c r="Q36" s="470"/>
      <c r="R36" s="470"/>
      <c r="S36" s="470"/>
    </row>
    <row r="37" spans="17:19" ht="15" hidden="1" customHeight="1">
      <c r="Q37" s="470"/>
      <c r="R37" s="470"/>
      <c r="S37" s="470"/>
    </row>
    <row r="38" spans="17:19" ht="15" hidden="1" customHeight="1">
      <c r="Q38" s="470"/>
      <c r="R38" s="470"/>
      <c r="S38" s="470"/>
    </row>
    <row r="39" spans="17:19" ht="15" hidden="1" customHeight="1">
      <c r="Q39" s="470"/>
      <c r="R39" s="470"/>
      <c r="S39" s="470"/>
    </row>
    <row r="40" spans="17:19" ht="15" hidden="1" customHeight="1">
      <c r="Q40" s="470"/>
      <c r="R40" s="470"/>
      <c r="S40" s="470"/>
    </row>
    <row r="41" spans="17:19" ht="15" hidden="1" customHeight="1">
      <c r="Q41" s="470"/>
      <c r="R41" s="470"/>
      <c r="S41" s="470"/>
    </row>
    <row r="42" spans="17:19" ht="15" hidden="1" customHeight="1">
      <c r="Q42" s="470"/>
      <c r="R42" s="470"/>
      <c r="S42" s="470"/>
    </row>
    <row r="43" spans="17:19" ht="15" hidden="1" customHeight="1">
      <c r="Q43" s="470"/>
      <c r="R43" s="470"/>
      <c r="S43" s="470"/>
    </row>
    <row r="44" spans="17:19" ht="15" hidden="1" customHeight="1">
      <c r="Q44" s="470"/>
      <c r="R44" s="470"/>
      <c r="S44" s="470"/>
    </row>
    <row r="45" spans="17:19" ht="15" hidden="1" customHeight="1">
      <c r="Q45" s="470"/>
      <c r="R45" s="470"/>
      <c r="S45" s="470"/>
    </row>
    <row r="46" spans="17:19" ht="15" hidden="1" customHeight="1">
      <c r="Q46" s="470"/>
      <c r="R46" s="470"/>
      <c r="S46" s="470"/>
    </row>
    <row r="47" spans="17:19" ht="15" hidden="1" customHeight="1">
      <c r="Q47" s="470"/>
      <c r="R47" s="470"/>
      <c r="S47" s="470"/>
    </row>
    <row r="48" spans="17:19" ht="15" hidden="1" customHeight="1">
      <c r="Q48" s="470"/>
      <c r="R48" s="470"/>
      <c r="S48" s="470"/>
    </row>
    <row r="49" spans="17:19" ht="15" hidden="1" customHeight="1">
      <c r="Q49" s="470"/>
      <c r="R49" s="470"/>
      <c r="S49" s="470"/>
    </row>
    <row r="50" spans="17:19" ht="15" hidden="1" customHeight="1">
      <c r="Q50" s="470"/>
      <c r="R50" s="470"/>
      <c r="S50" s="470"/>
    </row>
    <row r="51" spans="17:19" ht="15" hidden="1" customHeight="1">
      <c r="Q51" s="470"/>
      <c r="R51" s="470"/>
      <c r="S51" s="470"/>
    </row>
    <row r="52" spans="17:19" ht="15" hidden="1" customHeight="1">
      <c r="Q52" s="470"/>
      <c r="R52" s="470"/>
      <c r="S52" s="470"/>
    </row>
    <row r="53" spans="17:19" ht="15" hidden="1" customHeight="1">
      <c r="Q53" s="470"/>
      <c r="R53" s="470"/>
      <c r="S53" s="470"/>
    </row>
    <row r="54" spans="17:19" ht="15" hidden="1" customHeight="1">
      <c r="Q54" s="470"/>
      <c r="R54" s="470"/>
      <c r="S54" s="470"/>
    </row>
    <row r="55" spans="17:19" ht="15" hidden="1" customHeight="1">
      <c r="Q55" s="470"/>
      <c r="R55" s="470"/>
      <c r="S55" s="470"/>
    </row>
    <row r="56" spans="17:19" ht="15" hidden="1" customHeight="1">
      <c r="Q56" s="470"/>
      <c r="R56" s="470"/>
      <c r="S56" s="470"/>
    </row>
    <row r="57" spans="17:19" ht="15" hidden="1" customHeight="1">
      <c r="Q57" s="470"/>
      <c r="R57" s="470"/>
      <c r="S57" s="470"/>
    </row>
    <row r="58" spans="17:19" ht="15" hidden="1" customHeight="1">
      <c r="Q58" s="470"/>
      <c r="R58" s="470"/>
      <c r="S58" s="470"/>
    </row>
    <row r="59" spans="17:19" ht="15" hidden="1" customHeight="1">
      <c r="Q59" s="470"/>
      <c r="R59" s="470"/>
      <c r="S59" s="470"/>
    </row>
    <row r="60" spans="17:19" ht="15" hidden="1" customHeight="1">
      <c r="Q60" s="470"/>
      <c r="R60" s="470"/>
      <c r="S60" s="470"/>
    </row>
    <row r="61" spans="17:19" ht="15" hidden="1" customHeight="1">
      <c r="Q61" s="470"/>
      <c r="R61" s="470"/>
      <c r="S61" s="470"/>
    </row>
    <row r="62" spans="17:19" ht="15" hidden="1" customHeight="1">
      <c r="Q62" s="470"/>
      <c r="R62" s="470"/>
      <c r="S62" s="470"/>
    </row>
    <row r="63" spans="17:19" ht="15" hidden="1" customHeight="1">
      <c r="Q63" s="470"/>
      <c r="R63" s="470"/>
      <c r="S63" s="470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4" t="s">
        <v>456</v>
      </c>
      <c r="D1" s="474"/>
      <c r="E1" s="329"/>
    </row>
    <row r="2" spans="1:5">
      <c r="A2" s="328"/>
      <c r="B2" s="328"/>
      <c r="C2" s="474"/>
      <c r="D2" s="474"/>
      <c r="E2" s="328"/>
    </row>
    <row r="3" spans="1:5">
      <c r="A3" s="328"/>
      <c r="B3" s="328"/>
      <c r="C3" s="474"/>
      <c r="D3" s="474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5" t="s">
        <v>464</v>
      </c>
      <c r="D10" s="476"/>
      <c r="E10" s="328"/>
    </row>
    <row r="11" spans="1:5">
      <c r="A11" s="328"/>
      <c r="B11" s="328"/>
      <c r="C11" s="472" t="s">
        <v>465</v>
      </c>
      <c r="D11" s="473"/>
      <c r="E11" s="328"/>
    </row>
    <row r="12" spans="1:5">
      <c r="A12" s="328"/>
      <c r="B12" s="328"/>
      <c r="C12" s="472" t="s">
        <v>466</v>
      </c>
      <c r="D12" s="473"/>
      <c r="E12" s="328"/>
    </row>
    <row r="13" spans="1:5">
      <c r="A13" s="328"/>
      <c r="B13" s="328"/>
      <c r="C13" s="472" t="s">
        <v>467</v>
      </c>
      <c r="D13" s="473"/>
      <c r="E13" s="328"/>
    </row>
    <row r="14" spans="1:5">
      <c r="A14" s="328"/>
      <c r="B14" s="328"/>
      <c r="C14" s="472" t="s">
        <v>468</v>
      </c>
      <c r="D14" s="473"/>
      <c r="E14" s="328"/>
    </row>
    <row r="15" spans="1:5">
      <c r="A15" s="328"/>
      <c r="B15" s="328"/>
      <c r="C15" s="472" t="s">
        <v>469</v>
      </c>
      <c r="D15" s="473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35" activePane="bottomRight" state="frozen"/>
      <selection pane="topRight"/>
      <selection pane="bottomLeft"/>
      <selection pane="bottomRight" activeCell="C5" sqref="C5:C52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</row>
    <row r="2" spans="1:5" ht="15" customHeight="1">
      <c r="A2" s="478"/>
      <c r="B2" s="478"/>
      <c r="C2" s="480"/>
      <c r="D2" s="481"/>
      <c r="E2" s="483"/>
    </row>
    <row r="3" spans="1:5" s="97" customFormat="1" ht="80.25" customHeight="1">
      <c r="A3" s="479"/>
      <c r="B3" s="479"/>
      <c r="C3" s="480"/>
      <c r="D3" s="481"/>
      <c r="E3" s="484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 t="s">
        <v>504</v>
      </c>
      <c r="D5" s="294"/>
      <c r="E5" s="222" t="str">
        <f>menu!$D$14&amp;menu!$E$14</f>
        <v>7a</v>
      </c>
    </row>
    <row r="6" spans="1:5" ht="18" customHeight="1">
      <c r="A6" s="128">
        <v>2</v>
      </c>
      <c r="B6" s="128"/>
      <c r="C6" s="351" t="s">
        <v>505</v>
      </c>
      <c r="D6" s="294"/>
      <c r="E6" s="222" t="str">
        <f>menu!$D$14&amp;menu!$E$14</f>
        <v>7a</v>
      </c>
    </row>
    <row r="7" spans="1:5">
      <c r="A7" s="128">
        <v>3</v>
      </c>
      <c r="B7" s="296"/>
      <c r="C7" s="351" t="s">
        <v>506</v>
      </c>
      <c r="D7" s="297"/>
      <c r="E7" s="222" t="str">
        <f>menu!$D$14&amp;menu!$E$14</f>
        <v>7a</v>
      </c>
    </row>
    <row r="8" spans="1:5">
      <c r="A8" s="128">
        <v>4</v>
      </c>
      <c r="B8" s="296"/>
      <c r="C8" s="351" t="s">
        <v>507</v>
      </c>
      <c r="D8" s="297"/>
      <c r="E8" s="222" t="str">
        <f>menu!$D$14&amp;menu!$E$14</f>
        <v>7a</v>
      </c>
    </row>
    <row r="9" spans="1:5">
      <c r="A9" s="128">
        <v>5</v>
      </c>
      <c r="B9" s="128"/>
      <c r="C9" s="351" t="s">
        <v>508</v>
      </c>
      <c r="D9" s="297"/>
      <c r="E9" s="222" t="str">
        <f>menu!$D$14&amp;menu!$E$14</f>
        <v>7a</v>
      </c>
    </row>
    <row r="10" spans="1:5">
      <c r="A10" s="128">
        <v>6</v>
      </c>
      <c r="B10" s="128"/>
      <c r="C10" s="351" t="s">
        <v>509</v>
      </c>
      <c r="D10" s="297"/>
      <c r="E10" s="222" t="str">
        <f>menu!$D$14&amp;menu!$E$14</f>
        <v>7a</v>
      </c>
    </row>
    <row r="11" spans="1:5">
      <c r="A11" s="128">
        <v>7</v>
      </c>
      <c r="B11" s="128"/>
      <c r="C11" s="351" t="s">
        <v>510</v>
      </c>
      <c r="D11" s="294"/>
      <c r="E11" s="222" t="str">
        <f>menu!$D$14&amp;menu!$E$14</f>
        <v>7a</v>
      </c>
    </row>
    <row r="12" spans="1:5">
      <c r="A12" s="128">
        <v>8</v>
      </c>
      <c r="B12" s="128"/>
      <c r="C12" s="351" t="s">
        <v>511</v>
      </c>
      <c r="D12" s="297"/>
      <c r="E12" s="222" t="str">
        <f>menu!$D$14&amp;menu!$E$14</f>
        <v>7a</v>
      </c>
    </row>
    <row r="13" spans="1:5">
      <c r="A13" s="128">
        <v>9</v>
      </c>
      <c r="B13" s="128"/>
      <c r="C13" s="351" t="s">
        <v>512</v>
      </c>
      <c r="D13" s="294"/>
      <c r="E13" s="222" t="str">
        <f>menu!$D$14&amp;menu!$E$14</f>
        <v>7a</v>
      </c>
    </row>
    <row r="14" spans="1:5">
      <c r="A14" s="128">
        <v>10</v>
      </c>
      <c r="B14" s="128"/>
      <c r="C14" s="351" t="s">
        <v>513</v>
      </c>
      <c r="D14" s="297"/>
      <c r="E14" s="222" t="str">
        <f>menu!$D$14&amp;menu!$E$14</f>
        <v>7a</v>
      </c>
    </row>
    <row r="15" spans="1:5">
      <c r="A15" s="128">
        <v>11</v>
      </c>
      <c r="B15" s="128"/>
      <c r="C15" s="351" t="s">
        <v>514</v>
      </c>
      <c r="D15" s="297"/>
      <c r="E15" s="222" t="str">
        <f>menu!$D$14&amp;menu!$E$14</f>
        <v>7a</v>
      </c>
    </row>
    <row r="16" spans="1:5">
      <c r="A16" s="128">
        <v>12</v>
      </c>
      <c r="B16" s="128"/>
      <c r="C16" s="351" t="s">
        <v>515</v>
      </c>
      <c r="D16" s="299"/>
      <c r="E16" s="222" t="str">
        <f>menu!$D$14&amp;menu!$E$14</f>
        <v>7a</v>
      </c>
    </row>
    <row r="17" spans="1:5">
      <c r="A17" s="128">
        <v>13</v>
      </c>
      <c r="B17" s="128"/>
      <c r="C17" s="351" t="s">
        <v>516</v>
      </c>
      <c r="D17" s="294"/>
      <c r="E17" s="222" t="str">
        <f>menu!$D$14&amp;menu!$E$14</f>
        <v>7a</v>
      </c>
    </row>
    <row r="18" spans="1:5">
      <c r="A18" s="128">
        <v>14</v>
      </c>
      <c r="B18" s="128"/>
      <c r="C18" s="351" t="s">
        <v>517</v>
      </c>
      <c r="D18" s="294"/>
      <c r="E18" s="222" t="str">
        <f>menu!$D$14&amp;menu!$E$14</f>
        <v>7a</v>
      </c>
    </row>
    <row r="19" spans="1:5">
      <c r="A19" s="128">
        <v>15</v>
      </c>
      <c r="B19" s="128"/>
      <c r="C19" s="351" t="s">
        <v>518</v>
      </c>
      <c r="D19" s="297"/>
      <c r="E19" s="222" t="str">
        <f>menu!$D$14&amp;menu!$E$14</f>
        <v>7a</v>
      </c>
    </row>
    <row r="20" spans="1:5">
      <c r="A20" s="128">
        <v>16</v>
      </c>
      <c r="B20" s="128"/>
      <c r="C20" s="351" t="s">
        <v>519</v>
      </c>
      <c r="D20" s="297"/>
      <c r="E20" s="222" t="str">
        <f>menu!$D$14&amp;menu!$E$14</f>
        <v>7a</v>
      </c>
    </row>
    <row r="21" spans="1:5">
      <c r="A21" s="128">
        <v>17</v>
      </c>
      <c r="B21" s="128"/>
      <c r="C21" s="351" t="s">
        <v>520</v>
      </c>
      <c r="D21" s="297"/>
      <c r="E21" s="222" t="str">
        <f>menu!$D$14&amp;menu!$E$14</f>
        <v>7a</v>
      </c>
    </row>
    <row r="22" spans="1:5">
      <c r="A22" s="128">
        <v>18</v>
      </c>
      <c r="B22" s="128"/>
      <c r="C22" s="351" t="s">
        <v>521</v>
      </c>
      <c r="D22" s="294"/>
      <c r="E22" s="222" t="str">
        <f>menu!$D$14&amp;menu!$E$14</f>
        <v>7a</v>
      </c>
    </row>
    <row r="23" spans="1:5">
      <c r="A23" s="128">
        <v>19</v>
      </c>
      <c r="B23" s="128"/>
      <c r="C23" s="352" t="s">
        <v>522</v>
      </c>
      <c r="D23" s="294"/>
      <c r="E23" s="222" t="str">
        <f>menu!$D$14&amp;menu!$E$14</f>
        <v>7a</v>
      </c>
    </row>
    <row r="24" spans="1:5">
      <c r="A24" s="128">
        <v>20</v>
      </c>
      <c r="B24" s="128"/>
      <c r="C24" s="351" t="s">
        <v>523</v>
      </c>
      <c r="D24" s="294"/>
      <c r="E24" s="222" t="str">
        <f>menu!$D$14&amp;menu!$E$14</f>
        <v>7a</v>
      </c>
    </row>
    <row r="25" spans="1:5">
      <c r="A25" s="128">
        <v>21</v>
      </c>
      <c r="B25" s="128"/>
      <c r="C25" s="351" t="s">
        <v>524</v>
      </c>
      <c r="D25" s="294"/>
      <c r="E25" s="222" t="str">
        <f>menu!$D$14&amp;menu!$E$14</f>
        <v>7a</v>
      </c>
    </row>
    <row r="26" spans="1:5">
      <c r="A26" s="128">
        <v>22</v>
      </c>
      <c r="B26" s="128"/>
      <c r="C26" s="351" t="s">
        <v>525</v>
      </c>
      <c r="D26" s="297"/>
      <c r="E26" s="222" t="str">
        <f>menu!$D$14&amp;menu!$E$14</f>
        <v>7a</v>
      </c>
    </row>
    <row r="27" spans="1:5">
      <c r="A27" s="128">
        <v>23</v>
      </c>
      <c r="B27" s="128"/>
      <c r="C27" s="293" t="s">
        <v>526</v>
      </c>
      <c r="D27" s="297"/>
      <c r="E27" s="222" t="str">
        <f>menu!$D$14&amp;menu!$E$14</f>
        <v>7a</v>
      </c>
    </row>
    <row r="28" spans="1:5">
      <c r="A28" s="128">
        <v>24</v>
      </c>
      <c r="B28" s="128"/>
      <c r="C28" s="293" t="s">
        <v>527</v>
      </c>
      <c r="D28" s="297"/>
      <c r="E28" s="222" t="str">
        <f>menu!$D$14&amp;menu!$E$14</f>
        <v>7a</v>
      </c>
    </row>
    <row r="29" spans="1:5">
      <c r="A29" s="128">
        <v>25</v>
      </c>
      <c r="B29" s="128"/>
      <c r="C29" s="300" t="s">
        <v>528</v>
      </c>
      <c r="D29" s="294"/>
      <c r="E29" s="222" t="str">
        <f>menu!$D$14&amp;menu!$E$14</f>
        <v>7a</v>
      </c>
    </row>
    <row r="30" spans="1:5">
      <c r="A30" s="128">
        <v>26</v>
      </c>
      <c r="B30" s="128"/>
      <c r="C30" s="301" t="s">
        <v>529</v>
      </c>
      <c r="D30" s="294"/>
      <c r="E30" s="222" t="str">
        <f>menu!$D$14&amp;menu!$E$14</f>
        <v>7a</v>
      </c>
    </row>
    <row r="31" spans="1:5">
      <c r="A31" s="128">
        <v>27</v>
      </c>
      <c r="B31" s="128"/>
      <c r="C31" s="295" t="s">
        <v>530</v>
      </c>
      <c r="D31" s="294"/>
      <c r="E31" s="222" t="str">
        <f>menu!$D$14&amp;menu!$E$14</f>
        <v>7a</v>
      </c>
    </row>
    <row r="32" spans="1:5">
      <c r="A32" s="128">
        <v>28</v>
      </c>
      <c r="B32" s="128"/>
      <c r="C32" s="293" t="s">
        <v>531</v>
      </c>
      <c r="D32" s="297"/>
      <c r="E32" s="222" t="str">
        <f>menu!$D$14&amp;menu!$E$14</f>
        <v>7a</v>
      </c>
    </row>
    <row r="33" spans="1:5">
      <c r="A33" s="128">
        <v>29</v>
      </c>
      <c r="B33" s="128"/>
      <c r="C33" s="300" t="s">
        <v>532</v>
      </c>
      <c r="D33" s="294"/>
      <c r="E33" s="222" t="str">
        <f>menu!$D$14&amp;menu!$E$14</f>
        <v>7a</v>
      </c>
    </row>
    <row r="34" spans="1:5">
      <c r="A34" s="128">
        <v>30</v>
      </c>
      <c r="B34" s="128"/>
      <c r="C34" s="293" t="s">
        <v>533</v>
      </c>
      <c r="D34" s="297"/>
      <c r="E34" s="222" t="str">
        <f>menu!$D$14&amp;menu!$E$14</f>
        <v>7a</v>
      </c>
    </row>
    <row r="35" spans="1:5">
      <c r="A35" s="128">
        <v>31</v>
      </c>
      <c r="B35" s="128"/>
      <c r="C35" s="293" t="s">
        <v>534</v>
      </c>
      <c r="D35" s="294"/>
      <c r="E35" s="222" t="str">
        <f>menu!$D$14&amp;menu!$E$14</f>
        <v>7a</v>
      </c>
    </row>
    <row r="36" spans="1:5">
      <c r="A36" s="128">
        <v>32</v>
      </c>
      <c r="B36" s="128"/>
      <c r="C36" s="293" t="s">
        <v>535</v>
      </c>
      <c r="D36" s="297"/>
      <c r="E36" s="222" t="str">
        <f>menu!$D$14&amp;menu!$E$14</f>
        <v>7a</v>
      </c>
    </row>
    <row r="37" spans="1:5">
      <c r="A37" s="128">
        <v>33</v>
      </c>
      <c r="B37" s="128"/>
      <c r="C37" s="293" t="s">
        <v>536</v>
      </c>
      <c r="D37" s="294"/>
      <c r="E37" s="222" t="str">
        <f>menu!$D$14&amp;menu!$E$14</f>
        <v>7a</v>
      </c>
    </row>
    <row r="38" spans="1:5">
      <c r="A38" s="128">
        <v>34</v>
      </c>
      <c r="B38" s="128"/>
      <c r="C38" s="293" t="s">
        <v>537</v>
      </c>
      <c r="D38" s="297"/>
      <c r="E38" s="222" t="str">
        <f>menu!$D$14&amp;menu!$E$14</f>
        <v>7a</v>
      </c>
    </row>
    <row r="39" spans="1:5">
      <c r="A39" s="128">
        <v>35</v>
      </c>
      <c r="B39" s="128"/>
      <c r="C39" s="293" t="s">
        <v>538</v>
      </c>
      <c r="D39" s="294"/>
      <c r="E39" s="222" t="str">
        <f>menu!$D$14&amp;menu!$E$14</f>
        <v>7a</v>
      </c>
    </row>
    <row r="40" spans="1:5">
      <c r="A40" s="128">
        <v>36</v>
      </c>
      <c r="B40" s="128"/>
      <c r="C40" s="293" t="s">
        <v>539</v>
      </c>
      <c r="D40" s="297"/>
      <c r="E40" s="222" t="str">
        <f>menu!$D$14&amp;menu!$E$14</f>
        <v>7a</v>
      </c>
    </row>
    <row r="41" spans="1:5">
      <c r="A41" s="128">
        <v>37</v>
      </c>
      <c r="B41" s="128"/>
      <c r="C41" s="298" t="s">
        <v>540</v>
      </c>
      <c r="D41" s="294"/>
      <c r="E41" s="222" t="str">
        <f>menu!$D$14&amp;menu!$E$14</f>
        <v>7a</v>
      </c>
    </row>
    <row r="42" spans="1:5">
      <c r="A42" s="128">
        <v>38</v>
      </c>
      <c r="B42" s="128"/>
      <c r="C42" s="293" t="s">
        <v>541</v>
      </c>
      <c r="D42" s="297"/>
      <c r="E42" s="222" t="str">
        <f>menu!$D$14&amp;menu!$E$14</f>
        <v>7a</v>
      </c>
    </row>
    <row r="43" spans="1:5">
      <c r="A43" s="128">
        <v>39</v>
      </c>
      <c r="B43" s="128"/>
      <c r="C43" s="293" t="s">
        <v>542</v>
      </c>
      <c r="D43" s="297"/>
      <c r="E43" s="222" t="str">
        <f>menu!$D$14&amp;menu!$E$14</f>
        <v>7a</v>
      </c>
    </row>
    <row r="44" spans="1:5">
      <c r="A44" s="128">
        <v>40</v>
      </c>
      <c r="B44" s="128"/>
      <c r="C44" s="301" t="s">
        <v>543</v>
      </c>
      <c r="D44" s="294"/>
      <c r="E44" s="222" t="str">
        <f>menu!$D$14&amp;menu!$E$14</f>
        <v>7a</v>
      </c>
    </row>
    <row r="45" spans="1:5">
      <c r="A45" s="128">
        <v>41</v>
      </c>
      <c r="B45" s="128"/>
      <c r="C45" s="301" t="s">
        <v>544</v>
      </c>
      <c r="D45" s="294"/>
      <c r="E45" s="222" t="str">
        <f>menu!$D$14&amp;menu!$E$14</f>
        <v>7a</v>
      </c>
    </row>
    <row r="46" spans="1:5">
      <c r="A46" s="221">
        <v>42</v>
      </c>
      <c r="B46" s="221"/>
      <c r="C46" s="302" t="s">
        <v>545</v>
      </c>
      <c r="D46" s="303"/>
      <c r="E46" s="222" t="str">
        <f>menu!$D$14&amp;menu!$E$14</f>
        <v>7a</v>
      </c>
    </row>
    <row r="47" spans="1:5">
      <c r="A47" s="221">
        <v>43</v>
      </c>
      <c r="B47" s="221"/>
      <c r="C47" s="304" t="s">
        <v>546</v>
      </c>
      <c r="D47" s="305"/>
      <c r="E47" s="222" t="str">
        <f>menu!$D$14&amp;menu!$E$14</f>
        <v>7a</v>
      </c>
    </row>
    <row r="48" spans="1:5">
      <c r="A48" s="221">
        <v>44</v>
      </c>
      <c r="B48" s="221"/>
      <c r="C48" s="302" t="s">
        <v>547</v>
      </c>
      <c r="D48" s="303"/>
      <c r="E48" s="222" t="str">
        <f>menu!$D$14&amp;menu!$E$14</f>
        <v>7a</v>
      </c>
    </row>
    <row r="49" spans="1:5">
      <c r="A49" s="221">
        <v>45</v>
      </c>
      <c r="B49" s="221"/>
      <c r="C49" s="304" t="s">
        <v>548</v>
      </c>
      <c r="D49" s="305"/>
      <c r="E49" s="222" t="str">
        <f>menu!$D$14&amp;menu!$E$14</f>
        <v>7a</v>
      </c>
    </row>
    <row r="50" spans="1:5">
      <c r="A50" s="221">
        <v>46</v>
      </c>
      <c r="B50" s="221"/>
      <c r="C50" s="304" t="s">
        <v>549</v>
      </c>
      <c r="D50" s="305"/>
      <c r="E50" s="222" t="str">
        <f>menu!$D$14&amp;menu!$E$14</f>
        <v>7a</v>
      </c>
    </row>
    <row r="51" spans="1:5">
      <c r="A51" s="221">
        <v>47</v>
      </c>
      <c r="B51" s="221"/>
      <c r="C51" s="302" t="s">
        <v>550</v>
      </c>
      <c r="D51" s="303"/>
      <c r="E51" s="222" t="str">
        <f>menu!$D$14&amp;menu!$E$14</f>
        <v>7a</v>
      </c>
    </row>
    <row r="52" spans="1:5">
      <c r="A52" s="221">
        <v>48</v>
      </c>
      <c r="B52" s="221"/>
      <c r="C52" s="304" t="s">
        <v>551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topLeftCell="A25" workbookViewId="0">
      <selection activeCell="B37" sqref="B37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5" t="s">
        <v>420</v>
      </c>
      <c r="B1" s="485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553</v>
      </c>
    </row>
    <row r="5" spans="1:2">
      <c r="A5" s="486" t="s">
        <v>419</v>
      </c>
      <c r="B5" s="486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554</v>
      </c>
    </row>
    <row r="9" spans="1:2">
      <c r="A9" s="487" t="s">
        <v>319</v>
      </c>
      <c r="B9" s="487"/>
    </row>
    <row r="10" spans="1:2" ht="31.5">
      <c r="A10" s="284" t="s">
        <v>101</v>
      </c>
      <c r="B10" s="285" t="s">
        <v>221</v>
      </c>
    </row>
    <row r="11" spans="1:2" ht="15.75">
      <c r="A11" s="414">
        <v>31</v>
      </c>
      <c r="B11" s="411" t="s">
        <v>555</v>
      </c>
    </row>
    <row r="12" spans="1:2" ht="15.75">
      <c r="A12" s="415">
        <v>32</v>
      </c>
      <c r="B12" s="411" t="s">
        <v>556</v>
      </c>
    </row>
    <row r="13" spans="1:2" ht="15.75">
      <c r="A13" s="415">
        <v>33</v>
      </c>
      <c r="B13" s="411" t="s">
        <v>557</v>
      </c>
    </row>
    <row r="14" spans="1:2" ht="15.75">
      <c r="A14" s="416">
        <v>34</v>
      </c>
      <c r="B14" s="411" t="s">
        <v>558</v>
      </c>
    </row>
    <row r="15" spans="1:2" ht="15.75">
      <c r="A15" s="414">
        <v>35</v>
      </c>
      <c r="B15" s="411" t="s">
        <v>559</v>
      </c>
    </row>
    <row r="16" spans="1:2" ht="15.75">
      <c r="A16" s="415">
        <v>36</v>
      </c>
      <c r="B16" s="412" t="s">
        <v>560</v>
      </c>
    </row>
    <row r="17" spans="1:2" ht="15.75">
      <c r="A17" s="415">
        <v>37</v>
      </c>
      <c r="B17" s="413" t="s">
        <v>561</v>
      </c>
    </row>
    <row r="18" spans="1:2">
      <c r="A18" s="416">
        <v>38</v>
      </c>
      <c r="B18" s="277" t="s">
        <v>562</v>
      </c>
    </row>
    <row r="19" spans="1:2">
      <c r="A19" s="414">
        <v>39</v>
      </c>
      <c r="B19" s="277" t="s">
        <v>563</v>
      </c>
    </row>
    <row r="20" spans="1:2">
      <c r="A20" s="415">
        <v>310</v>
      </c>
      <c r="B20" s="277" t="s">
        <v>564</v>
      </c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8" t="s">
        <v>320</v>
      </c>
      <c r="B27" s="488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09" t="s">
        <v>565</v>
      </c>
    </row>
    <row r="30" spans="1:2" ht="15.75">
      <c r="A30" s="278">
        <v>42</v>
      </c>
      <c r="B30" s="409" t="s">
        <v>566</v>
      </c>
    </row>
    <row r="31" spans="1:2" ht="15.75">
      <c r="A31" s="278">
        <v>43</v>
      </c>
      <c r="B31" s="409" t="s">
        <v>567</v>
      </c>
    </row>
    <row r="32" spans="1:2" ht="15.75">
      <c r="A32" s="278">
        <v>44</v>
      </c>
      <c r="B32" s="409" t="s">
        <v>568</v>
      </c>
    </row>
    <row r="33" spans="1:2" ht="15.75">
      <c r="A33" s="278">
        <v>45</v>
      </c>
      <c r="B33" s="409" t="s">
        <v>569</v>
      </c>
    </row>
    <row r="34" spans="1:2" ht="15.75">
      <c r="A34" s="278">
        <v>46</v>
      </c>
      <c r="B34" s="409" t="s">
        <v>570</v>
      </c>
    </row>
    <row r="35" spans="1:2" ht="15.75">
      <c r="A35" s="278">
        <v>47</v>
      </c>
      <c r="B35" s="410" t="s">
        <v>571</v>
      </c>
    </row>
    <row r="36" spans="1:2">
      <c r="A36" s="278">
        <v>48</v>
      </c>
      <c r="B36" s="279" t="s">
        <v>572</v>
      </c>
    </row>
    <row r="37" spans="1:2">
      <c r="A37" s="278">
        <v>49</v>
      </c>
      <c r="B37" s="279" t="s">
        <v>573</v>
      </c>
    </row>
    <row r="38" spans="1:2">
      <c r="A38" s="278">
        <v>410</v>
      </c>
      <c r="B38" s="279" t="s">
        <v>574</v>
      </c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topLeftCell="A4"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09" t="s">
        <v>317</v>
      </c>
      <c r="B1" s="494">
        <v>2</v>
      </c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</row>
    <row r="2" spans="1:14" ht="15" customHeight="1">
      <c r="A2" s="509"/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</row>
    <row r="3" spans="1:14" ht="15" customHeight="1">
      <c r="A3" s="509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</row>
    <row r="5" spans="1:14" ht="45" customHeight="1">
      <c r="A5" s="263" t="s">
        <v>316</v>
      </c>
      <c r="B5" s="495" t="str">
        <f>VLOOKUP(B1,nilai_jadi,3,FALSE)</f>
        <v>Siswa 2</v>
      </c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</row>
    <row r="7" spans="1:14" ht="4.5" customHeight="1"/>
    <row r="8" spans="1:14" ht="2.25" customHeight="1"/>
    <row r="9" spans="1:14" ht="15" customHeight="1">
      <c r="B9" s="498" t="s">
        <v>424</v>
      </c>
      <c r="C9" s="499"/>
      <c r="D9" s="499"/>
      <c r="E9" s="499"/>
      <c r="F9" s="513" t="s">
        <v>425</v>
      </c>
      <c r="G9" s="513"/>
      <c r="H9" s="513"/>
      <c r="I9" s="513"/>
      <c r="J9" s="513"/>
      <c r="K9" s="513"/>
      <c r="L9" s="513"/>
      <c r="M9" s="513"/>
      <c r="N9" s="514"/>
    </row>
    <row r="10" spans="1:14" ht="6" customHeight="1">
      <c r="B10" s="500"/>
      <c r="C10" s="501"/>
      <c r="D10" s="501"/>
      <c r="E10" s="501"/>
      <c r="F10" s="515"/>
      <c r="G10" s="515"/>
      <c r="H10" s="515"/>
      <c r="I10" s="515"/>
      <c r="J10" s="515"/>
      <c r="K10" s="515"/>
      <c r="L10" s="515"/>
      <c r="M10" s="515"/>
      <c r="N10" s="516"/>
    </row>
    <row r="11" spans="1:14" ht="40.5" customHeight="1">
      <c r="A11" s="492" t="s">
        <v>308</v>
      </c>
      <c r="B11" s="262">
        <f>VLOOKUP(B1,nilai_jadi,12,FALSE)</f>
        <v>3</v>
      </c>
      <c r="C11" s="496" t="s">
        <v>423</v>
      </c>
      <c r="D11" s="497"/>
      <c r="E11" s="497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5" t="s">
        <v>221</v>
      </c>
      <c r="N11" s="506"/>
    </row>
    <row r="12" spans="1:14" ht="86.25" customHeight="1">
      <c r="A12" s="493"/>
      <c r="B12" s="262">
        <f>VLOOKUP(B1,nilai_jadi,10,FALSE)</f>
        <v>3</v>
      </c>
      <c r="C12" s="502" t="str">
        <f>VLOOKUP(B1,nilai_jadi,11,FALSE)</f>
        <v>rajin beribadah dan berpuasa</v>
      </c>
      <c r="D12" s="503"/>
      <c r="E12" s="504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7" t="str">
        <f>VLOOKUP(B1,nilai_jadi,19,FALSE)</f>
        <v>patuh terhadap tata tertib madrasah</v>
      </c>
      <c r="N12" s="508"/>
    </row>
    <row r="13" spans="1:14" ht="54.95" customHeight="1">
      <c r="A13" s="272" t="s">
        <v>315</v>
      </c>
      <c r="B13" s="258">
        <f>VLOOKUP(B1,nilai_jadi,4,FALSE)</f>
        <v>84</v>
      </c>
      <c r="C13" s="259" t="str">
        <f>VLOOKUP(B1,nilai_jadi,5,FALSE)</f>
        <v>C</v>
      </c>
      <c r="D13" s="510" t="str">
        <f>VLOOKUP(B1,nilai_jadi,6,FALSE)</f>
        <v>Memiliki penguasaan semua materi cukup,  sudah menguasai pengetahuan prakarya 7, dan perlu ditingkatkan dalam pengetahuan prakarya 10</v>
      </c>
      <c r="E13" s="511"/>
      <c r="F13" s="511"/>
      <c r="G13" s="511"/>
      <c r="H13" s="511"/>
      <c r="I13" s="511"/>
      <c r="J13" s="511"/>
      <c r="K13" s="511"/>
      <c r="L13" s="511"/>
      <c r="M13" s="511"/>
      <c r="N13" s="512"/>
    </row>
    <row r="14" spans="1:14" ht="54.95" customHeight="1">
      <c r="A14" s="205" t="s">
        <v>314</v>
      </c>
      <c r="B14" s="260">
        <f>VLOOKUP(B1,nilai_jadi,7,FALSE)</f>
        <v>83</v>
      </c>
      <c r="C14" s="261" t="str">
        <f>VLOOKUP(B1,nilai_jadi,8,FALSE)</f>
        <v>C</v>
      </c>
      <c r="D14" s="489" t="str">
        <f>VLOOKUP(B1,nilai_jadi,9,FALSE)</f>
        <v>cukup terampil ketrampilan prakarya 7</v>
      </c>
      <c r="E14" s="490"/>
      <c r="F14" s="490"/>
      <c r="G14" s="490"/>
      <c r="H14" s="490"/>
      <c r="I14" s="490"/>
      <c r="J14" s="490"/>
      <c r="K14" s="490"/>
      <c r="L14" s="490"/>
      <c r="M14" s="490"/>
      <c r="N14" s="491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tabSelected="1"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:AH55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Prakarya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6" t="s">
        <v>290</v>
      </c>
      <c r="B5" s="527" t="s">
        <v>291</v>
      </c>
      <c r="C5" s="528" t="s">
        <v>300</v>
      </c>
      <c r="D5" s="528"/>
      <c r="E5" s="528"/>
      <c r="F5" s="528"/>
      <c r="G5" s="528"/>
      <c r="H5" s="528"/>
      <c r="I5" s="528"/>
      <c r="J5" s="528"/>
      <c r="K5" s="528"/>
      <c r="L5" s="528"/>
      <c r="M5" s="523" t="s">
        <v>301</v>
      </c>
      <c r="N5" s="524"/>
      <c r="O5" s="524"/>
      <c r="P5" s="524"/>
      <c r="Q5" s="524"/>
      <c r="R5" s="524"/>
      <c r="S5" s="524"/>
      <c r="T5" s="524"/>
      <c r="U5" s="524"/>
      <c r="V5" s="525"/>
      <c r="W5" s="533" t="s">
        <v>498</v>
      </c>
      <c r="X5" s="529" t="s">
        <v>490</v>
      </c>
      <c r="Y5" s="529"/>
      <c r="Z5" s="529"/>
      <c r="AA5" s="529"/>
      <c r="AB5" s="529"/>
      <c r="AC5" s="529"/>
      <c r="AD5" s="529"/>
      <c r="AE5" s="529"/>
      <c r="AF5" s="529"/>
      <c r="AG5" s="529"/>
      <c r="AH5" s="529"/>
    </row>
    <row r="6" spans="1:34">
      <c r="A6" s="526"/>
      <c r="B6" s="527"/>
      <c r="C6" s="521" t="s">
        <v>293</v>
      </c>
      <c r="D6" s="522"/>
      <c r="E6" s="522"/>
      <c r="F6" s="522"/>
      <c r="G6" s="522"/>
      <c r="H6" s="522"/>
      <c r="I6" s="522"/>
      <c r="J6" s="522"/>
      <c r="K6" s="522"/>
      <c r="L6" s="522"/>
      <c r="M6" s="523" t="s">
        <v>293</v>
      </c>
      <c r="N6" s="524"/>
      <c r="O6" s="524"/>
      <c r="P6" s="524"/>
      <c r="Q6" s="524"/>
      <c r="R6" s="524"/>
      <c r="S6" s="524"/>
      <c r="T6" s="524"/>
      <c r="U6" s="524"/>
      <c r="V6" s="525"/>
      <c r="W6" s="534"/>
      <c r="X6" s="517" t="s">
        <v>422</v>
      </c>
      <c r="Y6" s="518"/>
      <c r="Z6" s="530" t="s">
        <v>421</v>
      </c>
      <c r="AA6" s="531"/>
      <c r="AB6" s="531"/>
      <c r="AC6" s="531"/>
      <c r="AD6" s="531"/>
      <c r="AE6" s="531"/>
      <c r="AF6" s="531"/>
      <c r="AG6" s="532"/>
      <c r="AH6" s="519" t="s">
        <v>303</v>
      </c>
    </row>
    <row r="7" spans="1:34">
      <c r="A7" s="526"/>
      <c r="B7" s="527"/>
      <c r="C7" s="109" t="s">
        <v>279</v>
      </c>
      <c r="D7" s="109" t="s">
        <v>280</v>
      </c>
      <c r="E7" s="109" t="s">
        <v>281</v>
      </c>
      <c r="F7" s="109" t="s">
        <v>282</v>
      </c>
      <c r="G7" s="418" t="s">
        <v>2</v>
      </c>
      <c r="H7" s="419" t="s">
        <v>491</v>
      </c>
      <c r="I7" s="419" t="s">
        <v>292</v>
      </c>
      <c r="J7" s="419" t="s">
        <v>495</v>
      </c>
      <c r="K7" s="419" t="s">
        <v>492</v>
      </c>
      <c r="L7" s="419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8" t="s">
        <v>497</v>
      </c>
      <c r="T7" s="421" t="s">
        <v>494</v>
      </c>
      <c r="U7" s="421" t="s">
        <v>492</v>
      </c>
      <c r="V7" s="421" t="s">
        <v>493</v>
      </c>
      <c r="W7" s="535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0"/>
    </row>
    <row r="8" spans="1:34" ht="37.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90</v>
      </c>
      <c r="D8" s="218">
        <f>IF('Input Nilai Pengetahuan'!U5="","",'Input Nilai Pengetahuan'!U5)</f>
        <v>70</v>
      </c>
      <c r="E8" s="218">
        <f>IF('Input Nilai Pengetahuan'!AC5="","",'Input Nilai Pengetahuan'!AC5)</f>
        <v>80</v>
      </c>
      <c r="F8" s="218">
        <f>IF('Input Nilai Pengetahuan'!AK5="","",'Input Nilai Pengetahuan'!AK5)</f>
        <v>91</v>
      </c>
      <c r="G8" s="220">
        <f>IF('Input Nilai Pengetahuan'!CK5="","",'Input Nilai Pengetahuan'!CK5)</f>
        <v>87.5</v>
      </c>
      <c r="H8" s="422">
        <f>IF(G8="","",AVERAGE(C8:F8))</f>
        <v>82.75</v>
      </c>
      <c r="I8" s="422">
        <f>IF(G8="","",((2*H8)+G8)/3)</f>
        <v>84.333333333333329</v>
      </c>
      <c r="J8" s="422">
        <f>IF(G8="","",ROUND(I8,0))</f>
        <v>84</v>
      </c>
      <c r="K8" s="420">
        <f>IF(J8="","",J8)</f>
        <v>84</v>
      </c>
      <c r="L8" s="420" t="str">
        <f>IF(G8="","",IF(K8&gt;=menu!$O$6,"A",IF(K8&gt;=menu!$O$7,"B",IF(K8&gt;=menu!$O$8,"C","D"))))</f>
        <v>C</v>
      </c>
      <c r="M8" s="219">
        <f>IF('Input Nilai Ketrampilan'!J5="","",('Input Nilai Ketrampilan'!J5))</f>
        <v>90</v>
      </c>
      <c r="N8" s="219">
        <f>IF('Input Nilai Ketrampilan'!O5="","",'Input Nilai Ketrampilan'!O5)</f>
        <v>70</v>
      </c>
      <c r="O8" s="219">
        <f>IF('Input Nilai Ketrampilan'!T5="","",'Input Nilai Ketrampilan'!T5)</f>
        <v>80</v>
      </c>
      <c r="P8" s="219">
        <f>IF('Input Nilai Ketrampilan'!Y5="","",'Input Nilai Ketrampilan'!Y5)</f>
        <v>91</v>
      </c>
      <c r="Q8" s="219">
        <f>IF('Input Nilai Ketrampilan'!AD5="","",'Input Nilai Ketrampilan'!AD5)</f>
        <v>90</v>
      </c>
      <c r="R8" s="219">
        <f>IF('Input Nilai Ketrampilan'!AI5="","",'Input Nilai Ketrampilan'!AI5)</f>
        <v>87</v>
      </c>
      <c r="S8" s="429">
        <f>IF(B8="","",menu!$D$17)</f>
        <v>4</v>
      </c>
      <c r="T8" s="423">
        <f>IF(M8="","",AVERAGE(M8:P8))</f>
        <v>82.75</v>
      </c>
      <c r="U8" s="424">
        <f>IF(M8="","",ROUND(T8,0))</f>
        <v>83</v>
      </c>
      <c r="V8" s="424" t="str">
        <f>IF(M8="","",IF(U8&gt;=menu!$O$6,"A",IF(U8&gt;=menu!$O$7,"B",IF(U8&gt;=menu!$O$8,"C","D"))))</f>
        <v>C</v>
      </c>
      <c r="W8" s="425">
        <f>IF(K8="","",AVERAGE(K8,U8))</f>
        <v>83.5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7">
        <f>IF(G8="","",menu!$R$1)</f>
        <v>80</v>
      </c>
    </row>
    <row r="9" spans="1:34" ht="37.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87.5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2">
        <f t="shared" ref="H9:H55" si="0">IF(G9="","",AVERAGE(C9:F9))</f>
        <v>76.6875</v>
      </c>
      <c r="I9" s="422">
        <f t="shared" ref="I9:I55" si="1">IF(G9="","",((2*H9)+G9)/3)</f>
        <v>81.125</v>
      </c>
      <c r="J9" s="422">
        <f t="shared" ref="J9:J55" si="2">IF(G9="","",ROUND(I9,0))</f>
        <v>81</v>
      </c>
      <c r="K9" s="420">
        <f t="shared" ref="K9:K55" si="3">IF(J9="","",J9)</f>
        <v>81</v>
      </c>
      <c r="L9" s="420" t="str">
        <f>IF(G9="","",IF(K9&gt;=menu!$O$6,"A",IF(K9&gt;=menu!$O$7,"B",IF(K9&gt;=menu!$O$8,"C","D"))))</f>
        <v>C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29">
        <f>IF(B9="","",menu!$D$17)</f>
        <v>4</v>
      </c>
      <c r="T9" s="423">
        <f t="shared" ref="T9:T55" si="4">IF(M9="","",AVERAGE(M9:P9))</f>
        <v>76.6875</v>
      </c>
      <c r="U9" s="424">
        <f t="shared" ref="U9:U55" si="5">IF(M9="","",ROUND(T9,0))</f>
        <v>77</v>
      </c>
      <c r="V9" s="424" t="str">
        <f>IF(M9="","",IF(U9&gt;=menu!$O$6,"A",IF(U9&gt;=menu!$O$7,"B",IF(U9&gt;=menu!$O$8,"C","D"))))</f>
        <v>D</v>
      </c>
      <c r="W9" s="425">
        <f t="shared" ref="W9:W55" si="6">IF(K9="","",AVERAGE(K9,U9))</f>
        <v>79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7">
        <f>IF(G9="","",menu!$R$1)</f>
        <v>80</v>
      </c>
    </row>
    <row r="10" spans="1:34" ht="37.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2">
        <f t="shared" si="0"/>
        <v>95</v>
      </c>
      <c r="I10" s="422">
        <f t="shared" si="1"/>
        <v>92.5</v>
      </c>
      <c r="J10" s="422">
        <f t="shared" si="2"/>
        <v>93</v>
      </c>
      <c r="K10" s="420">
        <f t="shared" si="3"/>
        <v>93</v>
      </c>
      <c r="L10" s="420" t="str">
        <f>IF(G10="","",IF(K10&gt;=menu!$O$6,"A",IF(K10&gt;=menu!$O$7,"B",IF(K10&gt;=menu!$O$8,"C","D"))))</f>
        <v>B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29">
        <f>IF(B10="","",menu!$D$17)</f>
        <v>4</v>
      </c>
      <c r="T10" s="423">
        <f t="shared" si="4"/>
        <v>95</v>
      </c>
      <c r="U10" s="424">
        <f t="shared" si="5"/>
        <v>95</v>
      </c>
      <c r="V10" s="424" t="str">
        <f>IF(M10="","",IF(U10&gt;=menu!$O$6,"A",IF(U10&gt;=menu!$O$7,"B",IF(U10&gt;=menu!$O$8,"C","D"))))</f>
        <v>B</v>
      </c>
      <c r="W10" s="425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7">
        <f>IF(G10="","",menu!$R$1)</f>
        <v>80</v>
      </c>
    </row>
    <row r="11" spans="1:34" ht="37.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2">
        <f t="shared" si="0"/>
        <v>93.125</v>
      </c>
      <c r="I11" s="422">
        <f t="shared" si="1"/>
        <v>91.25</v>
      </c>
      <c r="J11" s="422">
        <f t="shared" si="2"/>
        <v>91</v>
      </c>
      <c r="K11" s="420">
        <f t="shared" si="3"/>
        <v>91</v>
      </c>
      <c r="L11" s="420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29">
        <f>IF(B11="","",menu!$D$17)</f>
        <v>4</v>
      </c>
      <c r="T11" s="423">
        <f t="shared" si="4"/>
        <v>93.125</v>
      </c>
      <c r="U11" s="424">
        <f t="shared" si="5"/>
        <v>93</v>
      </c>
      <c r="V11" s="424" t="str">
        <f>IF(M11="","",IF(U11&gt;=menu!$O$6,"A",IF(U11&gt;=menu!$O$7,"B",IF(U11&gt;=menu!$O$8,"C","D"))))</f>
        <v>B</v>
      </c>
      <c r="W11" s="425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7">
        <f>IF(G11="","",menu!$R$1)</f>
        <v>80</v>
      </c>
    </row>
    <row r="12" spans="1:34" ht="37.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2">
        <f t="shared" si="0"/>
        <v>82.6875</v>
      </c>
      <c r="I12" s="422">
        <f t="shared" si="1"/>
        <v>85.125</v>
      </c>
      <c r="J12" s="422">
        <f t="shared" si="2"/>
        <v>85</v>
      </c>
      <c r="K12" s="420">
        <f t="shared" si="3"/>
        <v>85</v>
      </c>
      <c r="L12" s="420" t="str">
        <f>IF(G12="","",IF(K12&gt;=menu!$O$6,"A",IF(K12&gt;=menu!$O$7,"B",IF(K12&gt;=menu!$O$8,"C","D"))))</f>
        <v>C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29">
        <f>IF(B12="","",menu!$D$17)</f>
        <v>4</v>
      </c>
      <c r="T12" s="423">
        <f t="shared" si="4"/>
        <v>82.6875</v>
      </c>
      <c r="U12" s="424">
        <f t="shared" si="5"/>
        <v>83</v>
      </c>
      <c r="V12" s="424" t="str">
        <f>IF(M12="","",IF(U12&gt;=menu!$O$6,"A",IF(U12&gt;=menu!$O$7,"B",IF(U12&gt;=menu!$O$8,"C","D"))))</f>
        <v>C</v>
      </c>
      <c r="W12" s="425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7">
        <f>IF(G12="","",menu!$R$1)</f>
        <v>80</v>
      </c>
    </row>
    <row r="13" spans="1:34" ht="37.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2">
        <f t="shared" si="0"/>
        <v>91.875</v>
      </c>
      <c r="I13" s="422">
        <f t="shared" si="1"/>
        <v>90.416666666666671</v>
      </c>
      <c r="J13" s="422">
        <f t="shared" si="2"/>
        <v>90</v>
      </c>
      <c r="K13" s="420">
        <f t="shared" si="3"/>
        <v>90</v>
      </c>
      <c r="L13" s="420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29">
        <f>IF(B13="","",menu!$D$17)</f>
        <v>4</v>
      </c>
      <c r="T13" s="423">
        <f t="shared" si="4"/>
        <v>91.875</v>
      </c>
      <c r="U13" s="424">
        <f t="shared" si="5"/>
        <v>92</v>
      </c>
      <c r="V13" s="424" t="str">
        <f>IF(M13="","",IF(U13&gt;=menu!$O$6,"A",IF(U13&gt;=menu!$O$7,"B",IF(U13&gt;=menu!$O$8,"C","D"))))</f>
        <v>B</v>
      </c>
      <c r="W13" s="425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7">
        <f>IF(G13="","",menu!$R$1)</f>
        <v>80</v>
      </c>
    </row>
    <row r="14" spans="1:34" ht="37.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2">
        <f t="shared" si="0"/>
        <v>82.1875</v>
      </c>
      <c r="I14" s="422">
        <f t="shared" si="1"/>
        <v>82.291666666666671</v>
      </c>
      <c r="J14" s="422">
        <f t="shared" si="2"/>
        <v>82</v>
      </c>
      <c r="K14" s="420">
        <f t="shared" si="3"/>
        <v>82</v>
      </c>
      <c r="L14" s="420" t="str">
        <f>IF(G14="","",IF(K14&gt;=menu!$O$6,"A",IF(K14&gt;=menu!$O$7,"B",IF(K14&gt;=menu!$O$8,"C","D"))))</f>
        <v>C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29">
        <f>IF(B14="","",menu!$D$17)</f>
        <v>4</v>
      </c>
      <c r="T14" s="423">
        <f t="shared" si="4"/>
        <v>82.1875</v>
      </c>
      <c r="U14" s="424">
        <f t="shared" si="5"/>
        <v>82</v>
      </c>
      <c r="V14" s="424" t="str">
        <f>IF(M14="","",IF(U14&gt;=menu!$O$6,"A",IF(U14&gt;=menu!$O$7,"B",IF(U14&gt;=menu!$O$8,"C","D"))))</f>
        <v>C</v>
      </c>
      <c r="W14" s="425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7">
        <f>IF(G14="","",menu!$R$1)</f>
        <v>80</v>
      </c>
    </row>
    <row r="15" spans="1:34" ht="37.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2">
        <f t="shared" si="0"/>
        <v>88.75</v>
      </c>
      <c r="I15" s="422">
        <f t="shared" si="1"/>
        <v>88.333333333333329</v>
      </c>
      <c r="J15" s="422">
        <f t="shared" si="2"/>
        <v>88</v>
      </c>
      <c r="K15" s="420">
        <f t="shared" si="3"/>
        <v>88</v>
      </c>
      <c r="L15" s="420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29">
        <f>IF(B15="","",menu!$D$17)</f>
        <v>4</v>
      </c>
      <c r="T15" s="423">
        <f t="shared" si="4"/>
        <v>88.75</v>
      </c>
      <c r="U15" s="424">
        <f t="shared" si="5"/>
        <v>89</v>
      </c>
      <c r="V15" s="424" t="str">
        <f>IF(M15="","",IF(U15&gt;=menu!$O$6,"A",IF(U15&gt;=menu!$O$7,"B",IF(U15&gt;=menu!$O$8,"C","D"))))</f>
        <v>B</v>
      </c>
      <c r="W15" s="425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7">
        <f>IF(G15="","",menu!$R$1)</f>
        <v>80</v>
      </c>
    </row>
    <row r="16" spans="1:34" ht="37.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2">
        <f t="shared" si="0"/>
        <v>92.5</v>
      </c>
      <c r="I16" s="422">
        <f t="shared" si="1"/>
        <v>90.833333333333329</v>
      </c>
      <c r="J16" s="422">
        <f t="shared" si="2"/>
        <v>91</v>
      </c>
      <c r="K16" s="420">
        <f t="shared" si="3"/>
        <v>91</v>
      </c>
      <c r="L16" s="420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29">
        <f>IF(B16="","",menu!$D$17)</f>
        <v>4</v>
      </c>
      <c r="T16" s="423">
        <f t="shared" si="4"/>
        <v>92.5</v>
      </c>
      <c r="U16" s="424">
        <f t="shared" si="5"/>
        <v>93</v>
      </c>
      <c r="V16" s="424" t="str">
        <f>IF(M16="","",IF(U16&gt;=menu!$O$6,"A",IF(U16&gt;=menu!$O$7,"B",IF(U16&gt;=menu!$O$8,"C","D"))))</f>
        <v>B</v>
      </c>
      <c r="W16" s="425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7">
        <f>IF(G16="","",menu!$R$1)</f>
        <v>80</v>
      </c>
    </row>
    <row r="17" spans="1:34" ht="37.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2">
        <f t="shared" si="0"/>
        <v>82.6875</v>
      </c>
      <c r="I17" s="422">
        <f t="shared" si="1"/>
        <v>85.125</v>
      </c>
      <c r="J17" s="422">
        <f t="shared" si="2"/>
        <v>85</v>
      </c>
      <c r="K17" s="420">
        <f t="shared" si="3"/>
        <v>85</v>
      </c>
      <c r="L17" s="420" t="str">
        <f>IF(G17="","",IF(K17&gt;=menu!$O$6,"A",IF(K17&gt;=menu!$O$7,"B",IF(K17&gt;=menu!$O$8,"C","D"))))</f>
        <v>C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29">
        <f>IF(B17="","",menu!$D$17)</f>
        <v>4</v>
      </c>
      <c r="T17" s="423">
        <f t="shared" si="4"/>
        <v>82.6875</v>
      </c>
      <c r="U17" s="424">
        <f t="shared" si="5"/>
        <v>83</v>
      </c>
      <c r="V17" s="424" t="str">
        <f>IF(M17="","",IF(U17&gt;=menu!$O$6,"A",IF(U17&gt;=menu!$O$7,"B",IF(U17&gt;=menu!$O$8,"C","D"))))</f>
        <v>C</v>
      </c>
      <c r="W17" s="425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7">
        <f>IF(G17="","",menu!$R$1)</f>
        <v>80</v>
      </c>
    </row>
    <row r="18" spans="1:34" ht="37.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2">
        <f t="shared" si="0"/>
        <v>74.875</v>
      </c>
      <c r="I18" s="422">
        <f t="shared" si="1"/>
        <v>78.25</v>
      </c>
      <c r="J18" s="422">
        <f t="shared" si="2"/>
        <v>78</v>
      </c>
      <c r="K18" s="420">
        <f t="shared" si="3"/>
        <v>78</v>
      </c>
      <c r="L18" s="420" t="str">
        <f>IF(G18="","",IF(K18&gt;=menu!$O$6,"A",IF(K18&gt;=menu!$O$7,"B",IF(K18&gt;=menu!$O$8,"C","D"))))</f>
        <v>D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29">
        <f>IF(B18="","",menu!$D$17)</f>
        <v>4</v>
      </c>
      <c r="T18" s="423">
        <f t="shared" si="4"/>
        <v>74.875</v>
      </c>
      <c r="U18" s="424">
        <f t="shared" si="5"/>
        <v>75</v>
      </c>
      <c r="V18" s="424" t="str">
        <f>IF(M18="","",IF(U18&gt;=menu!$O$6,"A",IF(U18&gt;=menu!$O$7,"B",IF(U18&gt;=menu!$O$8,"C","D"))))</f>
        <v>D</v>
      </c>
      <c r="W18" s="425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7">
        <f>IF(G18="","",menu!$R$1)</f>
        <v>80</v>
      </c>
    </row>
    <row r="19" spans="1:34" ht="37.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2">
        <f t="shared" si="0"/>
        <v>90</v>
      </c>
      <c r="I19" s="422">
        <f t="shared" si="1"/>
        <v>89.166666666666671</v>
      </c>
      <c r="J19" s="422">
        <f t="shared" si="2"/>
        <v>89</v>
      </c>
      <c r="K19" s="420">
        <f t="shared" si="3"/>
        <v>89</v>
      </c>
      <c r="L19" s="420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29">
        <f>IF(B19="","",menu!$D$17)</f>
        <v>4</v>
      </c>
      <c r="T19" s="423">
        <f t="shared" si="4"/>
        <v>90</v>
      </c>
      <c r="U19" s="424">
        <f t="shared" si="5"/>
        <v>90</v>
      </c>
      <c r="V19" s="424" t="str">
        <f>IF(M19="","",IF(U19&gt;=menu!$O$6,"A",IF(U19&gt;=menu!$O$7,"B",IF(U19&gt;=menu!$O$8,"C","D"))))</f>
        <v>B</v>
      </c>
      <c r="W19" s="425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7">
        <f>IF(G19="","",menu!$R$1)</f>
        <v>80</v>
      </c>
    </row>
    <row r="20" spans="1:34" ht="37.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2">
        <f t="shared" si="0"/>
        <v>92.1875</v>
      </c>
      <c r="I20" s="422">
        <f t="shared" si="1"/>
        <v>90.625</v>
      </c>
      <c r="J20" s="422">
        <f t="shared" si="2"/>
        <v>91</v>
      </c>
      <c r="K20" s="420">
        <f t="shared" si="3"/>
        <v>91</v>
      </c>
      <c r="L20" s="420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29">
        <f>IF(B20="","",menu!$D$17)</f>
        <v>4</v>
      </c>
      <c r="T20" s="423">
        <f t="shared" si="4"/>
        <v>92.1875</v>
      </c>
      <c r="U20" s="424">
        <f t="shared" si="5"/>
        <v>92</v>
      </c>
      <c r="V20" s="424" t="str">
        <f>IF(M20="","",IF(U20&gt;=menu!$O$6,"A",IF(U20&gt;=menu!$O$7,"B",IF(U20&gt;=menu!$O$8,"C","D"))))</f>
        <v>B</v>
      </c>
      <c r="W20" s="425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7">
        <f>IF(G20="","",menu!$R$1)</f>
        <v>80</v>
      </c>
    </row>
    <row r="21" spans="1:34" ht="37.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2">
        <f t="shared" si="0"/>
        <v>92.3125</v>
      </c>
      <c r="I21" s="422">
        <f t="shared" si="1"/>
        <v>91.541666666666671</v>
      </c>
      <c r="J21" s="422">
        <f t="shared" si="2"/>
        <v>92</v>
      </c>
      <c r="K21" s="420">
        <f t="shared" si="3"/>
        <v>92</v>
      </c>
      <c r="L21" s="420" t="str">
        <f>IF(G21="","",IF(K21&gt;=menu!$O$6,"A",IF(K21&gt;=menu!$O$7,"B",IF(K21&gt;=menu!$O$8,"C","D"))))</f>
        <v>B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29">
        <f>IF(B21="","",menu!$D$17)</f>
        <v>4</v>
      </c>
      <c r="T21" s="423">
        <f t="shared" si="4"/>
        <v>92.3125</v>
      </c>
      <c r="U21" s="424">
        <f t="shared" si="5"/>
        <v>92</v>
      </c>
      <c r="V21" s="424" t="str">
        <f>IF(M21="","",IF(U21&gt;=menu!$O$6,"A",IF(U21&gt;=menu!$O$7,"B",IF(U21&gt;=menu!$O$8,"C","D"))))</f>
        <v>B</v>
      </c>
      <c r="W21" s="425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7">
        <f>IF(G21="","",menu!$R$1)</f>
        <v>80</v>
      </c>
    </row>
    <row r="22" spans="1:34" ht="37.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2">
        <f t="shared" si="0"/>
        <v>88.9375</v>
      </c>
      <c r="I22" s="422">
        <f t="shared" si="1"/>
        <v>89.291666666666671</v>
      </c>
      <c r="J22" s="422">
        <f t="shared" si="2"/>
        <v>89</v>
      </c>
      <c r="K22" s="420">
        <f t="shared" si="3"/>
        <v>89</v>
      </c>
      <c r="L22" s="420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29">
        <f>IF(B22="","",menu!$D$17)</f>
        <v>4</v>
      </c>
      <c r="T22" s="423">
        <f t="shared" si="4"/>
        <v>88.9375</v>
      </c>
      <c r="U22" s="424">
        <f t="shared" si="5"/>
        <v>89</v>
      </c>
      <c r="V22" s="424" t="str">
        <f>IF(M22="","",IF(U22&gt;=menu!$O$6,"A",IF(U22&gt;=menu!$O$7,"B",IF(U22&gt;=menu!$O$8,"C","D"))))</f>
        <v>B</v>
      </c>
      <c r="W22" s="425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7">
        <f>IF(G22="","",menu!$R$1)</f>
        <v>80</v>
      </c>
    </row>
    <row r="23" spans="1:34" ht="37.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2">
        <f t="shared" si="0"/>
        <v>93.4375</v>
      </c>
      <c r="I23" s="422">
        <f t="shared" si="1"/>
        <v>91.458333333333329</v>
      </c>
      <c r="J23" s="422">
        <f t="shared" si="2"/>
        <v>91</v>
      </c>
      <c r="K23" s="420">
        <f t="shared" si="3"/>
        <v>91</v>
      </c>
      <c r="L23" s="420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29">
        <f>IF(B23="","",menu!$D$17)</f>
        <v>4</v>
      </c>
      <c r="T23" s="423">
        <f t="shared" si="4"/>
        <v>93.4375</v>
      </c>
      <c r="U23" s="424">
        <f t="shared" si="5"/>
        <v>93</v>
      </c>
      <c r="V23" s="424" t="str">
        <f>IF(M23="","",IF(U23&gt;=menu!$O$6,"A",IF(U23&gt;=menu!$O$7,"B",IF(U23&gt;=menu!$O$8,"C","D"))))</f>
        <v>B</v>
      </c>
      <c r="W23" s="425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7">
        <f>IF(G23="","",menu!$R$1)</f>
        <v>80</v>
      </c>
    </row>
    <row r="24" spans="1:34" ht="37.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2">
        <f t="shared" si="0"/>
        <v>89.375</v>
      </c>
      <c r="I24" s="422">
        <f t="shared" si="1"/>
        <v>89.583333333333329</v>
      </c>
      <c r="J24" s="422">
        <f t="shared" si="2"/>
        <v>90</v>
      </c>
      <c r="K24" s="420">
        <f t="shared" si="3"/>
        <v>90</v>
      </c>
      <c r="L24" s="420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29">
        <f>IF(B24="","",menu!$D$17)</f>
        <v>4</v>
      </c>
      <c r="T24" s="423">
        <f t="shared" si="4"/>
        <v>89.375</v>
      </c>
      <c r="U24" s="424">
        <f t="shared" si="5"/>
        <v>89</v>
      </c>
      <c r="V24" s="424" t="str">
        <f>IF(M24="","",IF(U24&gt;=menu!$O$6,"A",IF(U24&gt;=menu!$O$7,"B",IF(U24&gt;=menu!$O$8,"C","D"))))</f>
        <v>B</v>
      </c>
      <c r="W24" s="425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7">
        <f>IF(G24="","",menu!$R$1)</f>
        <v>80</v>
      </c>
    </row>
    <row r="25" spans="1:34" ht="37.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2">
        <f t="shared" si="0"/>
        <v>90.375</v>
      </c>
      <c r="I25" s="422">
        <f t="shared" si="1"/>
        <v>89.416666666666671</v>
      </c>
      <c r="J25" s="422">
        <f t="shared" si="2"/>
        <v>89</v>
      </c>
      <c r="K25" s="420">
        <f t="shared" si="3"/>
        <v>89</v>
      </c>
      <c r="L25" s="420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29">
        <f>IF(B25="","",menu!$D$17)</f>
        <v>4</v>
      </c>
      <c r="T25" s="423">
        <f t="shared" si="4"/>
        <v>90.375</v>
      </c>
      <c r="U25" s="424">
        <f t="shared" si="5"/>
        <v>90</v>
      </c>
      <c r="V25" s="424" t="str">
        <f>IF(M25="","",IF(U25&gt;=menu!$O$6,"A",IF(U25&gt;=menu!$O$7,"B",IF(U25&gt;=menu!$O$8,"C","D"))))</f>
        <v>B</v>
      </c>
      <c r="W25" s="425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7">
        <f>IF(G25="","",menu!$R$1)</f>
        <v>80</v>
      </c>
    </row>
    <row r="26" spans="1:34" ht="37.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2">
        <f t="shared" si="0"/>
        <v>85.9375</v>
      </c>
      <c r="I26" s="422">
        <f t="shared" si="1"/>
        <v>87.291666666666671</v>
      </c>
      <c r="J26" s="422">
        <f t="shared" si="2"/>
        <v>87</v>
      </c>
      <c r="K26" s="420">
        <f t="shared" si="3"/>
        <v>87</v>
      </c>
      <c r="L26" s="420" t="str">
        <f>IF(G26="","",IF(K26&gt;=menu!$O$6,"A",IF(K26&gt;=menu!$O$7,"B",IF(K26&gt;=menu!$O$8,"C","D"))))</f>
        <v>C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29">
        <f>IF(B26="","",menu!$D$17)</f>
        <v>4</v>
      </c>
      <c r="T26" s="423">
        <f t="shared" si="4"/>
        <v>85.9375</v>
      </c>
      <c r="U26" s="424">
        <f t="shared" si="5"/>
        <v>86</v>
      </c>
      <c r="V26" s="424" t="str">
        <f>IF(M26="","",IF(U26&gt;=menu!$O$6,"A",IF(U26&gt;=menu!$O$7,"B",IF(U26&gt;=menu!$O$8,"C","D"))))</f>
        <v>C</v>
      </c>
      <c r="W26" s="425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7">
        <f>IF(G26="","",menu!$R$1)</f>
        <v>80</v>
      </c>
    </row>
    <row r="27" spans="1:34" ht="37.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2">
        <f t="shared" si="0"/>
        <v>83.125</v>
      </c>
      <c r="I27" s="422">
        <f t="shared" si="1"/>
        <v>84.583333333333329</v>
      </c>
      <c r="J27" s="422">
        <f t="shared" si="2"/>
        <v>85</v>
      </c>
      <c r="K27" s="420">
        <f t="shared" si="3"/>
        <v>85</v>
      </c>
      <c r="L27" s="420" t="str">
        <f>IF(G27="","",IF(K27&gt;=menu!$O$6,"A",IF(K27&gt;=menu!$O$7,"B",IF(K27&gt;=menu!$O$8,"C","D"))))</f>
        <v>C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29">
        <f>IF(B27="","",menu!$D$17)</f>
        <v>4</v>
      </c>
      <c r="T27" s="423">
        <f t="shared" si="4"/>
        <v>83.125</v>
      </c>
      <c r="U27" s="424">
        <f t="shared" si="5"/>
        <v>83</v>
      </c>
      <c r="V27" s="424" t="str">
        <f>IF(M27="","",IF(U27&gt;=menu!$O$6,"A",IF(U27&gt;=menu!$O$7,"B",IF(U27&gt;=menu!$O$8,"C","D"))))</f>
        <v>C</v>
      </c>
      <c r="W27" s="425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7">
        <f>IF(G27="","",menu!$R$1)</f>
        <v>80</v>
      </c>
    </row>
    <row r="28" spans="1:34" ht="37.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2">
        <f t="shared" si="0"/>
        <v>85.9375</v>
      </c>
      <c r="I28" s="422">
        <f t="shared" si="1"/>
        <v>87.291666666666671</v>
      </c>
      <c r="J28" s="422">
        <f t="shared" si="2"/>
        <v>87</v>
      </c>
      <c r="K28" s="420">
        <f t="shared" si="3"/>
        <v>87</v>
      </c>
      <c r="L28" s="420" t="str">
        <f>IF(G28="","",IF(K28&gt;=menu!$O$6,"A",IF(K28&gt;=menu!$O$7,"B",IF(K28&gt;=menu!$O$8,"C","D"))))</f>
        <v>C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29">
        <f>IF(B28="","",menu!$D$17)</f>
        <v>4</v>
      </c>
      <c r="T28" s="423">
        <f t="shared" si="4"/>
        <v>85.9375</v>
      </c>
      <c r="U28" s="424">
        <f t="shared" si="5"/>
        <v>86</v>
      </c>
      <c r="V28" s="424" t="str">
        <f>IF(M28="","",IF(U28&gt;=menu!$O$6,"A",IF(U28&gt;=menu!$O$7,"B",IF(U28&gt;=menu!$O$8,"C","D"))))</f>
        <v>C</v>
      </c>
      <c r="W28" s="425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7">
        <f>IF(G28="","",menu!$R$1)</f>
        <v>80</v>
      </c>
    </row>
    <row r="29" spans="1:34" ht="37.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2">
        <f t="shared" si="0"/>
        <v>81.125</v>
      </c>
      <c r="I29" s="422">
        <f t="shared" si="1"/>
        <v>83.25</v>
      </c>
      <c r="J29" s="422">
        <f t="shared" si="2"/>
        <v>83</v>
      </c>
      <c r="K29" s="420">
        <f t="shared" si="3"/>
        <v>83</v>
      </c>
      <c r="L29" s="420" t="str">
        <f>IF(G29="","",IF(K29&gt;=menu!$O$6,"A",IF(K29&gt;=menu!$O$7,"B",IF(K29&gt;=menu!$O$8,"C","D"))))</f>
        <v>C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29">
        <f>IF(B29="","",menu!$D$17)</f>
        <v>4</v>
      </c>
      <c r="T29" s="423">
        <f t="shared" si="4"/>
        <v>81.125</v>
      </c>
      <c r="U29" s="424">
        <f t="shared" si="5"/>
        <v>81</v>
      </c>
      <c r="V29" s="424" t="str">
        <f>IF(M29="","",IF(U29&gt;=menu!$O$6,"A",IF(U29&gt;=menu!$O$7,"B",IF(U29&gt;=menu!$O$8,"C","D"))))</f>
        <v>C</v>
      </c>
      <c r="W29" s="425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7">
        <f>IF(G29="","",menu!$R$1)</f>
        <v>80</v>
      </c>
    </row>
    <row r="30" spans="1:34" ht="37.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2">
        <f t="shared" si="0"/>
        <v>92.5</v>
      </c>
      <c r="I30" s="422">
        <f t="shared" si="1"/>
        <v>91.666666666666671</v>
      </c>
      <c r="J30" s="422">
        <f t="shared" si="2"/>
        <v>92</v>
      </c>
      <c r="K30" s="420">
        <f t="shared" si="3"/>
        <v>92</v>
      </c>
      <c r="L30" s="420" t="str">
        <f>IF(G30="","",IF(K30&gt;=menu!$O$6,"A",IF(K30&gt;=menu!$O$7,"B",IF(K30&gt;=menu!$O$8,"C","D"))))</f>
        <v>B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29">
        <f>IF(B30="","",menu!$D$17)</f>
        <v>4</v>
      </c>
      <c r="T30" s="423">
        <f t="shared" si="4"/>
        <v>92.5</v>
      </c>
      <c r="U30" s="424">
        <f t="shared" si="5"/>
        <v>93</v>
      </c>
      <c r="V30" s="424" t="str">
        <f>IF(M30="","",IF(U30&gt;=menu!$O$6,"A",IF(U30&gt;=menu!$O$7,"B",IF(U30&gt;=menu!$O$8,"C","D"))))</f>
        <v>B</v>
      </c>
      <c r="W30" s="425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7">
        <f>IF(G30="","",menu!$R$1)</f>
        <v>80</v>
      </c>
    </row>
    <row r="31" spans="1:34" ht="37.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2">
        <f t="shared" si="0"/>
        <v>87.375</v>
      </c>
      <c r="I31" s="422">
        <f t="shared" si="1"/>
        <v>88.25</v>
      </c>
      <c r="J31" s="422">
        <f t="shared" si="2"/>
        <v>88</v>
      </c>
      <c r="K31" s="420">
        <f t="shared" si="3"/>
        <v>88</v>
      </c>
      <c r="L31" s="420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29">
        <f>IF(B31="","",menu!$D$17)</f>
        <v>4</v>
      </c>
      <c r="T31" s="423">
        <f t="shared" si="4"/>
        <v>87.375</v>
      </c>
      <c r="U31" s="424">
        <f t="shared" si="5"/>
        <v>87</v>
      </c>
      <c r="V31" s="424" t="str">
        <f>IF(M31="","",IF(U31&gt;=menu!$O$6,"A",IF(U31&gt;=menu!$O$7,"B",IF(U31&gt;=menu!$O$8,"C","D"))))</f>
        <v>C</v>
      </c>
      <c r="W31" s="425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7">
        <f>IF(G31="","",menu!$R$1)</f>
        <v>80</v>
      </c>
    </row>
    <row r="32" spans="1:34" ht="37.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2">
        <f t="shared" si="0"/>
        <v>81.125</v>
      </c>
      <c r="I32" s="422">
        <f t="shared" si="1"/>
        <v>84.083333333333329</v>
      </c>
      <c r="J32" s="422">
        <f t="shared" si="2"/>
        <v>84</v>
      </c>
      <c r="K32" s="420">
        <f t="shared" si="3"/>
        <v>84</v>
      </c>
      <c r="L32" s="420" t="str">
        <f>IF(G32="","",IF(K32&gt;=menu!$O$6,"A",IF(K32&gt;=menu!$O$7,"B",IF(K32&gt;=menu!$O$8,"C","D"))))</f>
        <v>C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29">
        <f>IF(B32="","",menu!$D$17)</f>
        <v>4</v>
      </c>
      <c r="T32" s="423">
        <f t="shared" si="4"/>
        <v>81.125</v>
      </c>
      <c r="U32" s="424">
        <f t="shared" si="5"/>
        <v>81</v>
      </c>
      <c r="V32" s="424" t="str">
        <f>IF(M32="","",IF(U32&gt;=menu!$O$6,"A",IF(U32&gt;=menu!$O$7,"B",IF(U32&gt;=menu!$O$8,"C","D"))))</f>
        <v>C</v>
      </c>
      <c r="W32" s="425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7">
        <f>IF(G32="","",menu!$R$1)</f>
        <v>80</v>
      </c>
    </row>
    <row r="33" spans="1:34" ht="37.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2">
        <f t="shared" si="0"/>
        <v>93.4375</v>
      </c>
      <c r="I33" s="422">
        <f t="shared" si="1"/>
        <v>91.458333333333329</v>
      </c>
      <c r="J33" s="422">
        <f t="shared" si="2"/>
        <v>91</v>
      </c>
      <c r="K33" s="420">
        <f t="shared" si="3"/>
        <v>91</v>
      </c>
      <c r="L33" s="420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29">
        <f>IF(B33="","",menu!$D$17)</f>
        <v>4</v>
      </c>
      <c r="T33" s="423">
        <f t="shared" si="4"/>
        <v>93.4375</v>
      </c>
      <c r="U33" s="424">
        <f t="shared" si="5"/>
        <v>93</v>
      </c>
      <c r="V33" s="424" t="str">
        <f>IF(M33="","",IF(U33&gt;=menu!$O$6,"A",IF(U33&gt;=menu!$O$7,"B",IF(U33&gt;=menu!$O$8,"C","D"))))</f>
        <v>B</v>
      </c>
      <c r="W33" s="425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7">
        <f>IF(G33="","",menu!$R$1)</f>
        <v>80</v>
      </c>
    </row>
    <row r="34" spans="1:34" ht="37.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2">
        <f t="shared" si="0"/>
        <v>94.375</v>
      </c>
      <c r="I34" s="422">
        <f t="shared" si="1"/>
        <v>92.916666666666671</v>
      </c>
      <c r="J34" s="422">
        <f t="shared" si="2"/>
        <v>93</v>
      </c>
      <c r="K34" s="420">
        <f t="shared" si="3"/>
        <v>93</v>
      </c>
      <c r="L34" s="420" t="str">
        <f>IF(G34="","",IF(K34&gt;=menu!$O$6,"A",IF(K34&gt;=menu!$O$7,"B",IF(K34&gt;=menu!$O$8,"C","D"))))</f>
        <v>B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29">
        <f>IF(B34="","",menu!$D$17)</f>
        <v>4</v>
      </c>
      <c r="T34" s="423">
        <f t="shared" si="4"/>
        <v>94.375</v>
      </c>
      <c r="U34" s="424">
        <f t="shared" si="5"/>
        <v>94</v>
      </c>
      <c r="V34" s="424" t="str">
        <f>IF(M34="","",IF(U34&gt;=menu!$O$6,"A",IF(U34&gt;=menu!$O$7,"B",IF(U34&gt;=menu!$O$8,"C","D"))))</f>
        <v>B</v>
      </c>
      <c r="W34" s="425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7">
        <f>IF(G34="","",menu!$R$1)</f>
        <v>80</v>
      </c>
    </row>
    <row r="35" spans="1:34" ht="37.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2">
        <f t="shared" si="0"/>
        <v>87.375</v>
      </c>
      <c r="I35" s="422">
        <f t="shared" si="1"/>
        <v>88.25</v>
      </c>
      <c r="J35" s="422">
        <f t="shared" si="2"/>
        <v>88</v>
      </c>
      <c r="K35" s="420">
        <f t="shared" si="3"/>
        <v>88</v>
      </c>
      <c r="L35" s="420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29">
        <f>IF(B35="","",menu!$D$17)</f>
        <v>4</v>
      </c>
      <c r="T35" s="423">
        <f t="shared" si="4"/>
        <v>87.375</v>
      </c>
      <c r="U35" s="424">
        <f t="shared" si="5"/>
        <v>87</v>
      </c>
      <c r="V35" s="424" t="str">
        <f>IF(M35="","",IF(U35&gt;=menu!$O$6,"A",IF(U35&gt;=menu!$O$7,"B",IF(U35&gt;=menu!$O$8,"C","D"))))</f>
        <v>C</v>
      </c>
      <c r="W35" s="425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7">
        <f>IF(G35="","",menu!$R$1)</f>
        <v>80</v>
      </c>
    </row>
    <row r="36" spans="1:34" ht="37.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2">
        <f t="shared" si="0"/>
        <v>79.4375</v>
      </c>
      <c r="I36" s="422">
        <f t="shared" si="1"/>
        <v>84.625</v>
      </c>
      <c r="J36" s="422">
        <f t="shared" si="2"/>
        <v>85</v>
      </c>
      <c r="K36" s="420">
        <f t="shared" si="3"/>
        <v>85</v>
      </c>
      <c r="L36" s="420" t="str">
        <f>IF(G36="","",IF(K36&gt;=menu!$O$6,"A",IF(K36&gt;=menu!$O$7,"B",IF(K36&gt;=menu!$O$8,"C","D"))))</f>
        <v>C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29">
        <f>IF(B36="","",menu!$D$17)</f>
        <v>4</v>
      </c>
      <c r="T36" s="423">
        <f t="shared" si="4"/>
        <v>79.4375</v>
      </c>
      <c r="U36" s="424">
        <f t="shared" si="5"/>
        <v>79</v>
      </c>
      <c r="V36" s="424" t="str">
        <f>IF(M36="","",IF(U36&gt;=menu!$O$6,"A",IF(U36&gt;=menu!$O$7,"B",IF(U36&gt;=menu!$O$8,"C","D"))))</f>
        <v>D</v>
      </c>
      <c r="W36" s="425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7">
        <f>IF(G36="","",menu!$R$1)</f>
        <v>80</v>
      </c>
    </row>
    <row r="37" spans="1:34" ht="37.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2">
        <f t="shared" si="0"/>
        <v>93.5</v>
      </c>
      <c r="I37" s="422">
        <f t="shared" si="1"/>
        <v>92.333333333333329</v>
      </c>
      <c r="J37" s="422">
        <f t="shared" si="2"/>
        <v>92</v>
      </c>
      <c r="K37" s="420">
        <f t="shared" si="3"/>
        <v>92</v>
      </c>
      <c r="L37" s="420" t="str">
        <f>IF(G37="","",IF(K37&gt;=menu!$O$6,"A",IF(K37&gt;=menu!$O$7,"B",IF(K37&gt;=menu!$O$8,"C","D"))))</f>
        <v>B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29">
        <f>IF(B37="","",menu!$D$17)</f>
        <v>4</v>
      </c>
      <c r="T37" s="423">
        <f t="shared" si="4"/>
        <v>93.5</v>
      </c>
      <c r="U37" s="424">
        <f t="shared" si="5"/>
        <v>94</v>
      </c>
      <c r="V37" s="424" t="str">
        <f>IF(M37="","",IF(U37&gt;=menu!$O$6,"A",IF(U37&gt;=menu!$O$7,"B",IF(U37&gt;=menu!$O$8,"C","D"))))</f>
        <v>B</v>
      </c>
      <c r="W37" s="425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7">
        <f>IF(G37="","",menu!$R$1)</f>
        <v>80</v>
      </c>
    </row>
    <row r="38" spans="1:34" ht="37.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2">
        <f t="shared" si="0"/>
        <v>94.375</v>
      </c>
      <c r="I38" s="422">
        <f t="shared" si="1"/>
        <v>91.25</v>
      </c>
      <c r="J38" s="422">
        <f t="shared" si="2"/>
        <v>91</v>
      </c>
      <c r="K38" s="420">
        <f t="shared" si="3"/>
        <v>91</v>
      </c>
      <c r="L38" s="420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29">
        <f>IF(B38="","",menu!$D$17)</f>
        <v>4</v>
      </c>
      <c r="T38" s="423">
        <f t="shared" si="4"/>
        <v>94.375</v>
      </c>
      <c r="U38" s="424">
        <f t="shared" si="5"/>
        <v>94</v>
      </c>
      <c r="V38" s="424" t="str">
        <f>IF(M38="","",IF(U38&gt;=menu!$O$6,"A",IF(U38&gt;=menu!$O$7,"B",IF(U38&gt;=menu!$O$8,"C","D"))))</f>
        <v>B</v>
      </c>
      <c r="W38" s="425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7">
        <f>IF(G38="","",menu!$R$1)</f>
        <v>80</v>
      </c>
    </row>
    <row r="39" spans="1:34" ht="37.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2">
        <f t="shared" si="0"/>
        <v>97.1875</v>
      </c>
      <c r="I39" s="422">
        <f t="shared" si="1"/>
        <v>93.125</v>
      </c>
      <c r="J39" s="422">
        <f t="shared" si="2"/>
        <v>93</v>
      </c>
      <c r="K39" s="420">
        <f t="shared" si="3"/>
        <v>93</v>
      </c>
      <c r="L39" s="420" t="str">
        <f>IF(G39="","",IF(K39&gt;=menu!$O$6,"A",IF(K39&gt;=menu!$O$7,"B",IF(K39&gt;=menu!$O$8,"C","D"))))</f>
        <v>B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29">
        <f>IF(B39="","",menu!$D$17)</f>
        <v>4</v>
      </c>
      <c r="T39" s="423">
        <f t="shared" si="4"/>
        <v>97.1875</v>
      </c>
      <c r="U39" s="424">
        <f t="shared" si="5"/>
        <v>97</v>
      </c>
      <c r="V39" s="424" t="str">
        <f>IF(M39="","",IF(U39&gt;=menu!$O$6,"A",IF(U39&gt;=menu!$O$7,"B",IF(U39&gt;=menu!$O$8,"C","D"))))</f>
        <v>A</v>
      </c>
      <c r="W39" s="425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7">
        <f>IF(G39="","",menu!$R$1)</f>
        <v>80</v>
      </c>
    </row>
    <row r="40" spans="1:34" ht="37.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2">
        <f t="shared" si="0"/>
        <v>96.25</v>
      </c>
      <c r="I40" s="422">
        <f t="shared" si="1"/>
        <v>93.333333333333329</v>
      </c>
      <c r="J40" s="422">
        <f t="shared" si="2"/>
        <v>93</v>
      </c>
      <c r="K40" s="420">
        <f t="shared" si="3"/>
        <v>93</v>
      </c>
      <c r="L40" s="420" t="str">
        <f>IF(G40="","",IF(K40&gt;=menu!$O$6,"A",IF(K40&gt;=menu!$O$7,"B",IF(K40&gt;=menu!$O$8,"C","D"))))</f>
        <v>B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29">
        <f>IF(B40="","",menu!$D$17)</f>
        <v>4</v>
      </c>
      <c r="T40" s="423">
        <f t="shared" si="4"/>
        <v>96.25</v>
      </c>
      <c r="U40" s="424">
        <f t="shared" si="5"/>
        <v>96</v>
      </c>
      <c r="V40" s="424" t="str">
        <f>IF(M40="","",IF(U40&gt;=menu!$O$6,"A",IF(U40&gt;=menu!$O$7,"B",IF(U40&gt;=menu!$O$8,"C","D"))))</f>
        <v>A</v>
      </c>
      <c r="W40" s="425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7">
        <f>IF(G40="","",menu!$R$1)</f>
        <v>80</v>
      </c>
    </row>
    <row r="41" spans="1:34" ht="37.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2">
        <f t="shared" si="0"/>
        <v>74.0625</v>
      </c>
      <c r="I41" s="422">
        <f t="shared" si="1"/>
        <v>78.541666666666671</v>
      </c>
      <c r="J41" s="422">
        <f t="shared" si="2"/>
        <v>79</v>
      </c>
      <c r="K41" s="420">
        <f t="shared" si="3"/>
        <v>79</v>
      </c>
      <c r="L41" s="420" t="str">
        <f>IF(G41="","",IF(K41&gt;=menu!$O$6,"A",IF(K41&gt;=menu!$O$7,"B",IF(K41&gt;=menu!$O$8,"C","D"))))</f>
        <v>D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29">
        <f>IF(B41="","",menu!$D$17)</f>
        <v>4</v>
      </c>
      <c r="T41" s="423">
        <f t="shared" si="4"/>
        <v>74.0625</v>
      </c>
      <c r="U41" s="424">
        <f t="shared" si="5"/>
        <v>74</v>
      </c>
      <c r="V41" s="424" t="str">
        <f>IF(M41="","",IF(U41&gt;=menu!$O$6,"A",IF(U41&gt;=menu!$O$7,"B",IF(U41&gt;=menu!$O$8,"C","D"))))</f>
        <v>D</v>
      </c>
      <c r="W41" s="425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7">
        <f>IF(G41="","",menu!$R$1)</f>
        <v>80</v>
      </c>
    </row>
    <row r="42" spans="1:34" ht="37.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2">
        <f t="shared" si="0"/>
        <v>88.125</v>
      </c>
      <c r="I42" s="422">
        <f t="shared" si="1"/>
        <v>88.75</v>
      </c>
      <c r="J42" s="422">
        <f t="shared" si="2"/>
        <v>89</v>
      </c>
      <c r="K42" s="420">
        <f t="shared" si="3"/>
        <v>89</v>
      </c>
      <c r="L42" s="420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29">
        <f>IF(B42="","",menu!$D$17)</f>
        <v>4</v>
      </c>
      <c r="T42" s="423">
        <f t="shared" si="4"/>
        <v>88.125</v>
      </c>
      <c r="U42" s="424">
        <f t="shared" si="5"/>
        <v>88</v>
      </c>
      <c r="V42" s="424" t="str">
        <f>IF(M42="","",IF(U42&gt;=menu!$O$6,"A",IF(U42&gt;=menu!$O$7,"B",IF(U42&gt;=menu!$O$8,"C","D"))))</f>
        <v>B</v>
      </c>
      <c r="W42" s="425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7">
        <f>IF(G42="","",menu!$R$1)</f>
        <v>80</v>
      </c>
    </row>
    <row r="43" spans="1:34" ht="37.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2">
        <f t="shared" si="0"/>
        <v>84.375</v>
      </c>
      <c r="I43" s="422">
        <f t="shared" si="1"/>
        <v>85.416666666666671</v>
      </c>
      <c r="J43" s="422">
        <f t="shared" si="2"/>
        <v>85</v>
      </c>
      <c r="K43" s="420">
        <f t="shared" si="3"/>
        <v>85</v>
      </c>
      <c r="L43" s="420" t="str">
        <f>IF(G43="","",IF(K43&gt;=menu!$O$6,"A",IF(K43&gt;=menu!$O$7,"B",IF(K43&gt;=menu!$O$8,"C","D"))))</f>
        <v>C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29">
        <f>IF(B43="","",menu!$D$17)</f>
        <v>4</v>
      </c>
      <c r="T43" s="423">
        <f t="shared" si="4"/>
        <v>84.375</v>
      </c>
      <c r="U43" s="424">
        <f t="shared" si="5"/>
        <v>84</v>
      </c>
      <c r="V43" s="424" t="str">
        <f>IF(M43="","",IF(U43&gt;=menu!$O$6,"A",IF(U43&gt;=menu!$O$7,"B",IF(U43&gt;=menu!$O$8,"C","D"))))</f>
        <v>C</v>
      </c>
      <c r="W43" s="425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7">
        <f>IF(G43="","",menu!$R$1)</f>
        <v>80</v>
      </c>
    </row>
    <row r="44" spans="1:34" ht="37.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2">
        <f t="shared" si="0"/>
        <v>87.8125</v>
      </c>
      <c r="I44" s="422">
        <f t="shared" si="1"/>
        <v>88.541666666666671</v>
      </c>
      <c r="J44" s="422">
        <f t="shared" si="2"/>
        <v>89</v>
      </c>
      <c r="K44" s="420">
        <f t="shared" si="3"/>
        <v>89</v>
      </c>
      <c r="L44" s="420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29">
        <f>IF(B44="","",menu!$D$17)</f>
        <v>4</v>
      </c>
      <c r="T44" s="423">
        <f t="shared" si="4"/>
        <v>87.8125</v>
      </c>
      <c r="U44" s="424">
        <f t="shared" si="5"/>
        <v>88</v>
      </c>
      <c r="V44" s="424" t="str">
        <f>IF(M44="","",IF(U44&gt;=menu!$O$6,"A",IF(U44&gt;=menu!$O$7,"B",IF(U44&gt;=menu!$O$8,"C","D"))))</f>
        <v>B</v>
      </c>
      <c r="W44" s="425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7">
        <f>IF(G44="","",menu!$R$1)</f>
        <v>80</v>
      </c>
    </row>
    <row r="45" spans="1:34" ht="37.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2">
        <f t="shared" si="0"/>
        <v>84.9375</v>
      </c>
      <c r="I45" s="422">
        <f t="shared" si="1"/>
        <v>85.791666666666671</v>
      </c>
      <c r="J45" s="422">
        <f t="shared" si="2"/>
        <v>86</v>
      </c>
      <c r="K45" s="420">
        <f t="shared" si="3"/>
        <v>86</v>
      </c>
      <c r="L45" s="420" t="str">
        <f>IF(G45="","",IF(K45&gt;=menu!$O$6,"A",IF(K45&gt;=menu!$O$7,"B",IF(K45&gt;=menu!$O$8,"C","D"))))</f>
        <v>C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29">
        <f>IF(B45="","",menu!$D$17)</f>
        <v>4</v>
      </c>
      <c r="T45" s="423">
        <f t="shared" si="4"/>
        <v>84.9375</v>
      </c>
      <c r="U45" s="424">
        <f t="shared" si="5"/>
        <v>85</v>
      </c>
      <c r="V45" s="424" t="str">
        <f>IF(M45="","",IF(U45&gt;=menu!$O$6,"A",IF(U45&gt;=menu!$O$7,"B",IF(U45&gt;=menu!$O$8,"C","D"))))</f>
        <v>C</v>
      </c>
      <c r="W45" s="425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7">
        <f>IF(G45="","",menu!$R$1)</f>
        <v>80</v>
      </c>
    </row>
    <row r="46" spans="1:34" ht="37.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2">
        <f t="shared" si="0"/>
        <v>87.6875</v>
      </c>
      <c r="I46" s="422">
        <f t="shared" si="1"/>
        <v>88.458333333333329</v>
      </c>
      <c r="J46" s="422">
        <f t="shared" si="2"/>
        <v>88</v>
      </c>
      <c r="K46" s="420">
        <f t="shared" si="3"/>
        <v>88</v>
      </c>
      <c r="L46" s="420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29">
        <f>IF(B46="","",menu!$D$17)</f>
        <v>4</v>
      </c>
      <c r="T46" s="423">
        <f t="shared" si="4"/>
        <v>87.6875</v>
      </c>
      <c r="U46" s="424">
        <f t="shared" si="5"/>
        <v>88</v>
      </c>
      <c r="V46" s="424" t="str">
        <f>IF(M46="","",IF(U46&gt;=menu!$O$6,"A",IF(U46&gt;=menu!$O$7,"B",IF(U46&gt;=menu!$O$8,"C","D"))))</f>
        <v>B</v>
      </c>
      <c r="W46" s="425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7">
        <f>IF(G46="","",menu!$R$1)</f>
        <v>80</v>
      </c>
    </row>
    <row r="47" spans="1:34" ht="37.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2">
        <f t="shared" si="0"/>
        <v>90.3125</v>
      </c>
      <c r="I47" s="422">
        <f t="shared" si="1"/>
        <v>89.375</v>
      </c>
      <c r="J47" s="422">
        <f t="shared" si="2"/>
        <v>89</v>
      </c>
      <c r="K47" s="420">
        <f t="shared" si="3"/>
        <v>89</v>
      </c>
      <c r="L47" s="420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29">
        <f>IF(B47="","",menu!$D$17)</f>
        <v>4</v>
      </c>
      <c r="T47" s="423">
        <f t="shared" si="4"/>
        <v>90.3125</v>
      </c>
      <c r="U47" s="424">
        <f t="shared" si="5"/>
        <v>90</v>
      </c>
      <c r="V47" s="424" t="str">
        <f>IF(M47="","",IF(U47&gt;=menu!$O$6,"A",IF(U47&gt;=menu!$O$7,"B",IF(U47&gt;=menu!$O$8,"C","D"))))</f>
        <v>B</v>
      </c>
      <c r="W47" s="425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7">
        <f>IF(G47="","",menu!$R$1)</f>
        <v>80</v>
      </c>
    </row>
    <row r="48" spans="1:34" ht="37.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2">
        <f t="shared" si="0"/>
        <v>85.125</v>
      </c>
      <c r="I48" s="422">
        <f t="shared" si="1"/>
        <v>86.75</v>
      </c>
      <c r="J48" s="422">
        <f t="shared" si="2"/>
        <v>87</v>
      </c>
      <c r="K48" s="420">
        <f t="shared" si="3"/>
        <v>87</v>
      </c>
      <c r="L48" s="420" t="str">
        <f>IF(G48="","",IF(K48&gt;=menu!$O$6,"A",IF(K48&gt;=menu!$O$7,"B",IF(K48&gt;=menu!$O$8,"C","D"))))</f>
        <v>C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29">
        <f>IF(B48="","",menu!$D$17)</f>
        <v>4</v>
      </c>
      <c r="T48" s="423">
        <f t="shared" si="4"/>
        <v>85.125</v>
      </c>
      <c r="U48" s="424">
        <f t="shared" si="5"/>
        <v>85</v>
      </c>
      <c r="V48" s="424" t="str">
        <f>IF(M48="","",IF(U48&gt;=menu!$O$6,"A",IF(U48&gt;=menu!$O$7,"B",IF(U48&gt;=menu!$O$8,"C","D"))))</f>
        <v>C</v>
      </c>
      <c r="W48" s="425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7">
        <f>IF(G48="","",menu!$R$1)</f>
        <v>80</v>
      </c>
    </row>
    <row r="49" spans="1:34" ht="37.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2">
        <f t="shared" si="0"/>
        <v>88.375</v>
      </c>
      <c r="I49" s="422">
        <f t="shared" si="1"/>
        <v>88.083333333333329</v>
      </c>
      <c r="J49" s="422">
        <f t="shared" si="2"/>
        <v>88</v>
      </c>
      <c r="K49" s="420">
        <f t="shared" si="3"/>
        <v>88</v>
      </c>
      <c r="L49" s="420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29">
        <f>IF(B49="","",menu!$D$17)</f>
        <v>4</v>
      </c>
      <c r="T49" s="423">
        <f t="shared" si="4"/>
        <v>88.375</v>
      </c>
      <c r="U49" s="424">
        <f t="shared" si="5"/>
        <v>88</v>
      </c>
      <c r="V49" s="424" t="str">
        <f>IF(M49="","",IF(U49&gt;=menu!$O$6,"A",IF(U49&gt;=menu!$O$7,"B",IF(U49&gt;=menu!$O$8,"C","D"))))</f>
        <v>B</v>
      </c>
      <c r="W49" s="425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7">
        <f>IF(G49="","",menu!$R$1)</f>
        <v>80</v>
      </c>
    </row>
    <row r="50" spans="1:34" ht="37.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2">
        <f t="shared" si="0"/>
        <v>90.9375</v>
      </c>
      <c r="I50" s="422">
        <f t="shared" si="1"/>
        <v>90.625</v>
      </c>
      <c r="J50" s="422">
        <f t="shared" si="2"/>
        <v>91</v>
      </c>
      <c r="K50" s="420">
        <f t="shared" si="3"/>
        <v>91</v>
      </c>
      <c r="L50" s="420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29">
        <f>IF(B50="","",menu!$D$17)</f>
        <v>4</v>
      </c>
      <c r="T50" s="423">
        <f t="shared" si="4"/>
        <v>90.9375</v>
      </c>
      <c r="U50" s="424">
        <f t="shared" si="5"/>
        <v>91</v>
      </c>
      <c r="V50" s="424" t="str">
        <f>IF(M50="","",IF(U50&gt;=menu!$O$6,"A",IF(U50&gt;=menu!$O$7,"B",IF(U50&gt;=menu!$O$8,"C","D"))))</f>
        <v>B</v>
      </c>
      <c r="W50" s="425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7">
        <f>IF(G50="","",menu!$R$1)</f>
        <v>80</v>
      </c>
    </row>
    <row r="51" spans="1:34" ht="37.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2">
        <f t="shared" si="0"/>
        <v>89.375</v>
      </c>
      <c r="I51" s="422">
        <f t="shared" si="1"/>
        <v>89.583333333333329</v>
      </c>
      <c r="J51" s="422">
        <f t="shared" si="2"/>
        <v>90</v>
      </c>
      <c r="K51" s="420">
        <f t="shared" si="3"/>
        <v>90</v>
      </c>
      <c r="L51" s="420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29">
        <f>IF(B51="","",menu!$D$17)</f>
        <v>4</v>
      </c>
      <c r="T51" s="423">
        <f t="shared" si="4"/>
        <v>89.375</v>
      </c>
      <c r="U51" s="424">
        <f t="shared" si="5"/>
        <v>89</v>
      </c>
      <c r="V51" s="424" t="str">
        <f>IF(M51="","",IF(U51&gt;=menu!$O$6,"A",IF(U51&gt;=menu!$O$7,"B",IF(U51&gt;=menu!$O$8,"C","D"))))</f>
        <v>B</v>
      </c>
      <c r="W51" s="425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7">
        <f>IF(G51="","",menu!$R$1)</f>
        <v>80</v>
      </c>
    </row>
    <row r="52" spans="1:34" ht="37.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2">
        <f t="shared" si="0"/>
        <v>86.0625</v>
      </c>
      <c r="I52" s="422">
        <f t="shared" si="1"/>
        <v>87.375</v>
      </c>
      <c r="J52" s="422">
        <f t="shared" si="2"/>
        <v>87</v>
      </c>
      <c r="K52" s="420">
        <f t="shared" si="3"/>
        <v>87</v>
      </c>
      <c r="L52" s="420" t="str">
        <f>IF(G52="","",IF(K52&gt;=menu!$O$6,"A",IF(K52&gt;=menu!$O$7,"B",IF(K52&gt;=menu!$O$8,"C","D"))))</f>
        <v>C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29">
        <f>IF(B52="","",menu!$D$17)</f>
        <v>4</v>
      </c>
      <c r="T52" s="423">
        <f t="shared" si="4"/>
        <v>86.0625</v>
      </c>
      <c r="U52" s="424">
        <f t="shared" si="5"/>
        <v>86</v>
      </c>
      <c r="V52" s="424" t="str">
        <f>IF(M52="","",IF(U52&gt;=menu!$O$6,"A",IF(U52&gt;=menu!$O$7,"B",IF(U52&gt;=menu!$O$8,"C","D"))))</f>
        <v>C</v>
      </c>
      <c r="W52" s="425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7">
        <f>IF(G52="","",menu!$R$1)</f>
        <v>80</v>
      </c>
    </row>
    <row r="53" spans="1:34" ht="37.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2">
        <f t="shared" si="0"/>
        <v>82.5</v>
      </c>
      <c r="I53" s="422">
        <f t="shared" si="1"/>
        <v>84.166666666666671</v>
      </c>
      <c r="J53" s="422">
        <f t="shared" si="2"/>
        <v>84</v>
      </c>
      <c r="K53" s="420">
        <f t="shared" si="3"/>
        <v>84</v>
      </c>
      <c r="L53" s="420" t="str">
        <f>IF(G53="","",IF(K53&gt;=menu!$O$6,"A",IF(K53&gt;=menu!$O$7,"B",IF(K53&gt;=menu!$O$8,"C","D"))))</f>
        <v>C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29">
        <f>IF(B53="","",menu!$D$17)</f>
        <v>4</v>
      </c>
      <c r="T53" s="423">
        <f t="shared" si="4"/>
        <v>82.5</v>
      </c>
      <c r="U53" s="424">
        <f t="shared" si="5"/>
        <v>83</v>
      </c>
      <c r="V53" s="424" t="str">
        <f>IF(M53="","",IF(U53&gt;=menu!$O$6,"A",IF(U53&gt;=menu!$O$7,"B",IF(U53&gt;=menu!$O$8,"C","D"))))</f>
        <v>C</v>
      </c>
      <c r="W53" s="425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7">
        <f>IF(G53="","",menu!$R$1)</f>
        <v>80</v>
      </c>
    </row>
    <row r="54" spans="1:34" ht="37.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2">
        <f t="shared" si="0"/>
        <v>94</v>
      </c>
      <c r="I54" s="422">
        <f t="shared" si="1"/>
        <v>92.666666666666671</v>
      </c>
      <c r="J54" s="422">
        <f t="shared" si="2"/>
        <v>93</v>
      </c>
      <c r="K54" s="420">
        <f t="shared" si="3"/>
        <v>93</v>
      </c>
      <c r="L54" s="420" t="str">
        <f>IF(G54="","",IF(K54&gt;=menu!$O$6,"A",IF(K54&gt;=menu!$O$7,"B",IF(K54&gt;=menu!$O$8,"C","D"))))</f>
        <v>B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29">
        <f>IF(B54="","",menu!$D$17)</f>
        <v>4</v>
      </c>
      <c r="T54" s="423">
        <f t="shared" si="4"/>
        <v>94</v>
      </c>
      <c r="U54" s="424">
        <f t="shared" si="5"/>
        <v>94</v>
      </c>
      <c r="V54" s="424" t="str">
        <f>IF(M54="","",IF(U54&gt;=menu!$O$6,"A",IF(U54&gt;=menu!$O$7,"B",IF(U54&gt;=menu!$O$8,"C","D"))))</f>
        <v>B</v>
      </c>
      <c r="W54" s="425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7">
        <f>IF(G54="","",menu!$R$1)</f>
        <v>80</v>
      </c>
    </row>
    <row r="55" spans="1:34" ht="37.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2">
        <f t="shared" si="0"/>
        <v>92.875</v>
      </c>
      <c r="I55" s="422">
        <f t="shared" si="1"/>
        <v>91.916666666666671</v>
      </c>
      <c r="J55" s="422">
        <f t="shared" si="2"/>
        <v>92</v>
      </c>
      <c r="K55" s="420">
        <f t="shared" si="3"/>
        <v>92</v>
      </c>
      <c r="L55" s="420" t="str">
        <f>IF(G55="","",IF(K55&gt;=menu!$O$6,"A",IF(K55&gt;=menu!$O$7,"B",IF(K55&gt;=menu!$O$8,"C","D"))))</f>
        <v>B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29">
        <f>IF(B55="","",menu!$D$17)</f>
        <v>4</v>
      </c>
      <c r="T55" s="423">
        <f t="shared" si="4"/>
        <v>92.875</v>
      </c>
      <c r="U55" s="424">
        <f t="shared" si="5"/>
        <v>93</v>
      </c>
      <c r="V55" s="424" t="str">
        <f>IF(M55="","",IF(U55&gt;=menu!$O$6,"A",IF(U55&gt;=menu!$O$7,"B",IF(U55&gt;=menu!$O$8,"C","D"))))</f>
        <v>B</v>
      </c>
      <c r="W55" s="425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7">
        <f>IF(G55="","",menu!$R$1)</f>
        <v>80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D14" sqref="D14:T61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36"/>
      <c r="E1" s="537"/>
      <c r="F1" s="537"/>
      <c r="G1" s="537"/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8"/>
    </row>
    <row r="2" spans="1:20" ht="15.75">
      <c r="D2" s="539" t="str">
        <f>UPPER('[1]Data Raport'!C3:F3)</f>
        <v/>
      </c>
      <c r="E2" s="540"/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1"/>
    </row>
    <row r="3" spans="1:20" ht="9" customHeight="1">
      <c r="D3" s="542" t="str">
        <f>UPPER('[1]Data Raport'!C5:F5)</f>
        <v/>
      </c>
      <c r="E3" s="543"/>
      <c r="F3" s="543"/>
      <c r="G3" s="543"/>
      <c r="H3" s="543"/>
      <c r="I3" s="543"/>
      <c r="J3" s="543"/>
      <c r="K3" s="543"/>
      <c r="L3" s="543"/>
      <c r="M3" s="543"/>
      <c r="N3" s="543"/>
      <c r="O3" s="543"/>
      <c r="P3" s="543"/>
      <c r="Q3" s="543"/>
      <c r="R3" s="543"/>
      <c r="S3" s="544"/>
    </row>
    <row r="4" spans="1:20" ht="8.25" customHeight="1">
      <c r="D4" s="545" t="s">
        <v>284</v>
      </c>
      <c r="E4" s="546"/>
      <c r="F4" s="546"/>
      <c r="G4" s="546"/>
      <c r="H4" s="546"/>
      <c r="I4" s="546"/>
      <c r="J4" s="546"/>
      <c r="K4" s="546"/>
      <c r="L4" s="546"/>
      <c r="M4" s="546"/>
      <c r="N4" s="546"/>
      <c r="O4" s="546"/>
      <c r="P4" s="546"/>
      <c r="Q4" s="546"/>
      <c r="R4" s="546"/>
      <c r="S4" s="547"/>
    </row>
    <row r="5" spans="1:20" ht="8.25" customHeight="1">
      <c r="D5" s="548"/>
      <c r="E5" s="549"/>
      <c r="F5" s="549"/>
      <c r="G5" s="549"/>
      <c r="H5" s="549"/>
      <c r="I5" s="549"/>
      <c r="J5" s="549"/>
      <c r="K5" s="549"/>
      <c r="L5" s="549"/>
      <c r="M5" s="549"/>
      <c r="N5" s="549"/>
      <c r="O5" s="549"/>
      <c r="P5" s="549"/>
      <c r="Q5" s="549"/>
      <c r="R5" s="549"/>
      <c r="S5" s="550"/>
    </row>
    <row r="6" spans="1:20" ht="8.25" customHeight="1">
      <c r="D6" s="551"/>
      <c r="E6" s="552"/>
      <c r="F6" s="552"/>
      <c r="G6" s="552"/>
      <c r="H6" s="552"/>
      <c r="I6" s="552"/>
      <c r="J6" s="552"/>
      <c r="K6" s="552"/>
      <c r="L6" s="552"/>
      <c r="M6" s="552"/>
      <c r="N6" s="552"/>
      <c r="O6" s="552"/>
      <c r="P6" s="552"/>
      <c r="Q6" s="552"/>
      <c r="R6" s="552"/>
      <c r="S6" s="553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Prakarya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54" t="str">
        <f>menu!D14&amp;menu!E14</f>
        <v>7a</v>
      </c>
      <c r="E9" s="554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55"/>
      <c r="Q9" s="555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56"/>
      <c r="Q10" s="556"/>
      <c r="R10" s="241"/>
      <c r="S10" s="153"/>
    </row>
    <row r="11" spans="1:20">
      <c r="D11" s="152"/>
      <c r="E11" s="152"/>
      <c r="F11" s="152"/>
    </row>
    <row r="12" spans="1:20" s="246" customFormat="1">
      <c r="A12" s="557" t="s">
        <v>262</v>
      </c>
      <c r="B12" s="564" t="s">
        <v>288</v>
      </c>
      <c r="C12" s="557" t="s">
        <v>239</v>
      </c>
      <c r="D12" s="558" t="s">
        <v>35</v>
      </c>
      <c r="E12" s="559"/>
      <c r="F12" s="560"/>
      <c r="G12" s="561" t="s">
        <v>244</v>
      </c>
      <c r="H12" s="562"/>
      <c r="I12" s="563"/>
      <c r="J12" s="517" t="s">
        <v>422</v>
      </c>
      <c r="K12" s="518"/>
      <c r="L12" s="242"/>
      <c r="M12" s="242"/>
      <c r="N12" s="242"/>
      <c r="O12" s="242"/>
      <c r="P12" s="243" t="s">
        <v>421</v>
      </c>
      <c r="Q12" s="244"/>
      <c r="R12" s="244"/>
      <c r="S12" s="245"/>
      <c r="T12" s="519" t="s">
        <v>303</v>
      </c>
    </row>
    <row r="13" spans="1:20">
      <c r="A13" s="557"/>
      <c r="B13" s="565"/>
      <c r="C13" s="557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0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85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>Memiliki penguasaan semua materi cukup,  sudah menguasai pengetahuan prakarya 4, dan perlu ditingkatkan dalam pengetahuan prakarya 2</v>
      </c>
      <c r="G14" s="227">
        <f>IF('Input Nilai Ketrampilan'!BF5="","",'Input Nilai Ketrampilan'!BF5)</f>
        <v>86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ketrampilan prakarya 4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17">
        <f>IF(C14="","",menu!$R$1)</f>
        <v>80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84</v>
      </c>
      <c r="E15" s="227" t="str">
        <f>IF('Input Nilai Pengetahuan'!CR6="","",'Input Nilai Pengetahuan'!CR6)</f>
        <v>C</v>
      </c>
      <c r="F15" s="228" t="str">
        <f>IF('Input Nilai Pengetahuan'!CV6="","",'Input Nilai Pengetahuan'!CV6)</f>
        <v>Memiliki penguasaan semua materi cukup,  sudah menguasai pengetahuan prakarya 7, dan perlu ditingkatkan dalam pengetahuan prakarya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C</v>
      </c>
      <c r="I15" s="228" t="str">
        <f>IF('Input Nilai Ketrampilan'!BK6="","",'Input Nilai Ketrampilan'!BK6)</f>
        <v>cukup terampil ketrampilan prakarya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17">
        <f>IF(C15="","",menu!$R$1)</f>
        <v>80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C</v>
      </c>
      <c r="F16" s="228" t="str">
        <f>IF('Input Nilai Pengetahuan'!CV7="","",'Input Nilai Pengetahuan'!CV7)</f>
        <v>Memiliki penguasaan semua materi cukup,  sudah menguasai pengetahuan prakarya 8, dan perlu ditingkatkan dalam pengetahuan prakarya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prakarya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17">
        <f>IF(C16="","",menu!$R$1)</f>
        <v>80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C</v>
      </c>
      <c r="F17" s="228" t="str">
        <f>IF('Input Nilai Pengetahuan'!CV8="","",'Input Nilai Pengetahuan'!CV8)</f>
        <v>Memiliki penguasaan semua materi cukup,  sudah menguasai pengetahuan prakarya 1, dan perlu ditingkatkan dalam pengetahuan prakarya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C</v>
      </c>
      <c r="I17" s="228" t="str">
        <f>IF('Input Nilai Ketrampilan'!BK8="","",'Input Nilai Ketrampilan'!BK8)</f>
        <v>cukup terampil ketrampilan prakarya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17">
        <f>IF(C17="","",menu!$R$1)</f>
        <v>80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D</v>
      </c>
      <c r="F18" s="228" t="str">
        <f>IF('Input Nilai Pengetahuan'!CV9="","",'Input Nilai Pengetahuan'!CV9)</f>
        <v>Memiliki penguasaan semua materi kurang,  sudah menguasai pengetahuan prakarya 7, dan perlu ditingkatkan dalam pengetahuan prakarya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D</v>
      </c>
      <c r="I18" s="228" t="str">
        <f>IF('Input Nilai Ketrampilan'!BK9="","",'Input Nilai Ketrampilan'!BK9)</f>
        <v>kurang terampil ketrampilan prakarya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17">
        <f>IF(C18="","",menu!$R$1)</f>
        <v>80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C</v>
      </c>
      <c r="F19" s="228" t="str">
        <f>IF('Input Nilai Pengetahuan'!CV10="","",'Input Nilai Pengetahuan'!CV10)</f>
        <v>Memiliki penguasaan semua materi cukup,  sudah menguasai pengetahuan prakarya 2, dan perlu ditingkatkan dalam pengetahuan prakarya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C</v>
      </c>
      <c r="I19" s="228" t="str">
        <f>IF('Input Nilai Ketrampilan'!BK10="","",'Input Nilai Ketrampilan'!BK10)</f>
        <v>cukup terampil ketrampilan prakarya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17">
        <f>IF(C19="","",menu!$R$1)</f>
        <v>80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C</v>
      </c>
      <c r="F20" s="228" t="str">
        <f>IF('Input Nilai Pengetahuan'!CV11="","",'Input Nilai Pengetahuan'!CV11)</f>
        <v>Memiliki penguasaan semua materi cukup,  sudah menguasai pengetahuan prakarya 4, dan perlu ditingkatkan dalam pengetahuan prakarya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C</v>
      </c>
      <c r="I20" s="228" t="str">
        <f>IF('Input Nilai Ketrampilan'!BK11="","",'Input Nilai Ketrampilan'!BK11)</f>
        <v>cukup terampil ketrampilan prakarya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17">
        <f>IF(C20="","",menu!$R$1)</f>
        <v>80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C</v>
      </c>
      <c r="F21" s="228" t="str">
        <f>IF('Input Nilai Pengetahuan'!CV12="","",'Input Nilai Pengetahuan'!CV12)</f>
        <v>Memiliki penguasaan semua materi cukup,  sudah menguasai pengetahuan prakarya 4, dan perlu ditingkatkan dalam pengetahuan prakarya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C</v>
      </c>
      <c r="I21" s="228" t="str">
        <f>IF('Input Nilai Ketrampilan'!BK12="","",'Input Nilai Ketrampilan'!BK12)</f>
        <v>cukup terampil ketrampilan prakarya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17">
        <f>IF(C21="","",menu!$R$1)</f>
        <v>80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C</v>
      </c>
      <c r="F22" s="228" t="str">
        <f>IF('Input Nilai Pengetahuan'!CV13="","",'Input Nilai Pengetahuan'!CV13)</f>
        <v>Memiliki penguasaan semua materi cukup,  sudah menguasai pengetahuan prakarya 4, dan perlu ditingkatkan dalam pengetahuan prakarya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C</v>
      </c>
      <c r="I22" s="228" t="str">
        <f>IF('Input Nilai Ketrampilan'!BK13="","",'Input Nilai Ketrampilan'!BK13)</f>
        <v>cukup terampil ketrampilan prakarya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17">
        <f>IF(C22="","",menu!$R$1)</f>
        <v>80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C</v>
      </c>
      <c r="F23" s="228" t="str">
        <f>IF('Input Nilai Pengetahuan'!CV14="","",'Input Nilai Pengetahuan'!CV14)</f>
        <v>Memiliki penguasaan semua materi cukup,  sudah menguasai pengetahuan prakarya 7, dan perlu ditingkatkan dalam pengetahuan prakarya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C</v>
      </c>
      <c r="I23" s="228" t="str">
        <f>IF('Input Nilai Ketrampilan'!BK14="","",'Input Nilai Ketrampilan'!BK14)</f>
        <v>cukup terampil ketrampilan prakarya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17">
        <f>IF(C23="","",menu!$R$1)</f>
        <v>80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D</v>
      </c>
      <c r="F24" s="228" t="str">
        <f>IF('Input Nilai Pengetahuan'!CV15="","",'Input Nilai Pengetahuan'!CV15)</f>
        <v>Memiliki penguasaan semua materi kurang,  sudah menguasai pengetahuan prakarya 1, dan perlu ditingkatkan dalam pengetahuan prakarya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D</v>
      </c>
      <c r="I24" s="228" t="str">
        <f>IF('Input Nilai Ketrampilan'!BK15="","",'Input Nilai Ketrampilan'!BK15)</f>
        <v>kurang terampil ketrampilan prakarya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17">
        <f>IF(C24="","",menu!$R$1)</f>
        <v>80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C</v>
      </c>
      <c r="F25" s="228" t="str">
        <f>IF('Input Nilai Pengetahuan'!CV16="","",'Input Nilai Pengetahuan'!CV16)</f>
        <v>Memiliki penguasaan semua materi cukup,  sudah menguasai pengetahuan prakarya 1, dan perlu ditingkatkan dalam pengetahuan prakarya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C</v>
      </c>
      <c r="I25" s="228" t="str">
        <f>IF('Input Nilai Ketrampilan'!BK16="","",'Input Nilai Ketrampilan'!BK16)</f>
        <v>cukup terampil ketrampilan prakarya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17">
        <f>IF(C25="","",menu!$R$1)</f>
        <v>80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C</v>
      </c>
      <c r="F26" s="228" t="str">
        <f>IF('Input Nilai Pengetahuan'!CV17="","",'Input Nilai Pengetahuan'!CV17)</f>
        <v>Memiliki penguasaan semua materi cukup,  sudah menguasai pengetahuan prakarya 2, dan perlu ditingkatkan dalam pengetahuan prakarya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C</v>
      </c>
      <c r="I26" s="228" t="str">
        <f>IF('Input Nilai Ketrampilan'!BK17="","",'Input Nilai Ketrampilan'!BK17)</f>
        <v>cukup terampil ketrampilan prakarya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17">
        <f>IF(C26="","",menu!$R$1)</f>
        <v>80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C</v>
      </c>
      <c r="F27" s="228" t="str">
        <f>IF('Input Nilai Pengetahuan'!CV18="","",'Input Nilai Pengetahuan'!CV18)</f>
        <v>Memiliki penguasaan semua materi cukup,  sudah menguasai pengetahuan prakarya 8, dan perlu ditingkatkan dalam pengetahuan prakarya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C</v>
      </c>
      <c r="I27" s="228" t="str">
        <f>IF('Input Nilai Ketrampilan'!BK18="","",'Input Nilai Ketrampilan'!BK18)</f>
        <v>cukup terampil ketrampilan prakarya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17">
        <f>IF(C27="","",menu!$R$1)</f>
        <v>80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C</v>
      </c>
      <c r="F28" s="228" t="str">
        <f>IF('Input Nilai Pengetahuan'!CV19="","",'Input Nilai Pengetahuan'!CV19)</f>
        <v>Memiliki penguasaan semua materi cukup,  sudah menguasai pengetahuan prakarya 1, dan perlu ditingkatkan dalam pengetahuan prakarya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C</v>
      </c>
      <c r="I28" s="228" t="str">
        <f>IF('Input Nilai Ketrampilan'!BK19="","",'Input Nilai Ketrampilan'!BK19)</f>
        <v>cukup terampil ketrampilan prakarya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17">
        <f>IF(C28="","",menu!$R$1)</f>
        <v>80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C</v>
      </c>
      <c r="F29" s="228" t="str">
        <f>IF('Input Nilai Pengetahuan'!CV20="","",'Input Nilai Pengetahuan'!CV20)</f>
        <v>Memiliki penguasaan semua materi cukup,  sudah menguasai pengetahuan prakarya 4, dan perlu ditingkatkan dalam pengetahuan prakarya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C</v>
      </c>
      <c r="I29" s="228" t="str">
        <f>IF('Input Nilai Ketrampilan'!BK20="","",'Input Nilai Ketrampilan'!BK20)</f>
        <v>cukup terampil ketrampilan prakarya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17">
        <f>IF(C29="","",menu!$R$1)</f>
        <v>80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C</v>
      </c>
      <c r="F30" s="228" t="str">
        <f>IF('Input Nilai Pengetahuan'!CV21="","",'Input Nilai Pengetahuan'!CV21)</f>
        <v>Memiliki penguasaan semua materi cukup,  sudah menguasai pengetahuan prakarya 1, dan perlu ditingkatkan dalam pengetahuan prakarya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C</v>
      </c>
      <c r="I30" s="228" t="str">
        <f>IF('Input Nilai Ketrampilan'!BK21="","",'Input Nilai Ketrampilan'!BK21)</f>
        <v>cukup terampil ketrampilan prakarya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17">
        <f>IF(C30="","",menu!$R$1)</f>
        <v>80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C</v>
      </c>
      <c r="F31" s="228" t="str">
        <f>IF('Input Nilai Pengetahuan'!CV22="","",'Input Nilai Pengetahuan'!CV22)</f>
        <v>Memiliki penguasaan semua materi cukup,  sudah menguasai pengetahuan prakarya 8, dan perlu ditingkatkan dalam pengetahuan prakarya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C</v>
      </c>
      <c r="I31" s="228" t="str">
        <f>IF('Input Nilai Ketrampilan'!BK22="","",'Input Nilai Ketrampilan'!BK22)</f>
        <v>cukup terampil ketrampilan prakarya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17">
        <f>IF(C31="","",menu!$R$1)</f>
        <v>80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C</v>
      </c>
      <c r="F32" s="228" t="str">
        <f>IF('Input Nilai Pengetahuan'!CV23="","",'Input Nilai Pengetahuan'!CV23)</f>
        <v>Memiliki penguasaan semua materi cukup,  sudah menguasai pengetahuan prakarya 4, dan perlu ditingkatkan dalam pengetahuan prakarya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D</v>
      </c>
      <c r="I32" s="228" t="str">
        <f>IF('Input Nilai Ketrampilan'!BK23="","",'Input Nilai Ketrampilan'!BK23)</f>
        <v>kurang terampil ketrampilan prakarya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17">
        <f>IF(C32="","",menu!$R$1)</f>
        <v>80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C</v>
      </c>
      <c r="F33" s="228" t="str">
        <f>IF('Input Nilai Pengetahuan'!CV24="","",'Input Nilai Pengetahuan'!CV24)</f>
        <v>Memiliki penguasaan semua materi cukup,  sudah menguasai pengetahuan prakarya 7, dan perlu ditingkatkan dalam pengetahuan prakarya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C</v>
      </c>
      <c r="I33" s="228" t="str">
        <f>IF('Input Nilai Ketrampilan'!BK24="","",'Input Nilai Ketrampilan'!BK24)</f>
        <v>cukup terampil ketrampilan prakarya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17">
        <f>IF(C33="","",menu!$R$1)</f>
        <v>80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C</v>
      </c>
      <c r="F34" s="228" t="str">
        <f>IF('Input Nilai Pengetahuan'!CV25="","",'Input Nilai Pengetahuan'!CV25)</f>
        <v>Memiliki penguasaan semua materi cukup,  sudah menguasai pengetahuan prakarya 1, dan perlu ditingkatkan dalam pengetahuan prakarya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C</v>
      </c>
      <c r="I34" s="228" t="str">
        <f>IF('Input Nilai Ketrampilan'!BK25="","",'Input Nilai Ketrampilan'!BK25)</f>
        <v>cukup terampil ketrampilan prakarya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17">
        <f>IF(C34="","",menu!$R$1)</f>
        <v>80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C</v>
      </c>
      <c r="F35" s="228" t="str">
        <f>IF('Input Nilai Pengetahuan'!CV26="","",'Input Nilai Pengetahuan'!CV26)</f>
        <v>Memiliki penguasaan semua materi cukup,  sudah menguasai pengetahuan prakarya 7, dan perlu ditingkatkan dalam pengetahuan prakarya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prakarya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17">
        <f>IF(C35="","",menu!$R$1)</f>
        <v>80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C</v>
      </c>
      <c r="F36" s="228" t="str">
        <f>IF('Input Nilai Pengetahuan'!CV27="","",'Input Nilai Pengetahuan'!CV27)</f>
        <v>Memiliki penguasaan semua materi cukup,  sudah menguasai pengetahuan prakarya 4, dan perlu ditingkatkan dalam pengetahuan prakarya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C</v>
      </c>
      <c r="I36" s="228" t="str">
        <f>IF('Input Nilai Ketrampilan'!BK27="","",'Input Nilai Ketrampilan'!BK27)</f>
        <v>cukup terampil ketrampilan prakarya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17">
        <f>IF(C36="","",menu!$R$1)</f>
        <v>80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C</v>
      </c>
      <c r="F37" s="228" t="str">
        <f>IF('Input Nilai Pengetahuan'!CV28="","",'Input Nilai Pengetahuan'!CV28)</f>
        <v>Memiliki penguasaan semua materi cukup,  sudah menguasai pengetahuan prakarya 1, dan perlu ditingkatkan dalam pengetahuan prakarya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C</v>
      </c>
      <c r="I37" s="228" t="str">
        <f>IF('Input Nilai Ketrampilan'!BK28="","",'Input Nilai Ketrampilan'!BK28)</f>
        <v>cukup terampil ketrampilan prakarya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17">
        <f>IF(C37="","",menu!$R$1)</f>
        <v>80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C</v>
      </c>
      <c r="F38" s="228" t="str">
        <f>IF('Input Nilai Pengetahuan'!CV29="","",'Input Nilai Pengetahuan'!CV29)</f>
        <v>Memiliki penguasaan semua materi cukup,  sudah menguasai pengetahuan prakarya 8, dan perlu ditingkatkan dalam pengetahuan prakarya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C</v>
      </c>
      <c r="I38" s="228" t="str">
        <f>IF('Input Nilai Ketrampilan'!BK29="","",'Input Nilai Ketrampilan'!BK29)</f>
        <v>cukup terampil ketrampilan prakarya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17">
        <f>IF(C38="","",menu!$R$1)</f>
        <v>80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C</v>
      </c>
      <c r="F39" s="228" t="str">
        <f>IF('Input Nilai Pengetahuan'!CV30="","",'Input Nilai Pengetahuan'!CV30)</f>
        <v>Memiliki penguasaan semua materi cukup,  sudah menguasai pengetahuan prakarya 4, dan perlu ditingkatkan dalam pengetahuan prakarya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C</v>
      </c>
      <c r="I39" s="228" t="str">
        <f>IF('Input Nilai Ketrampilan'!BK30="","",'Input Nilai Ketrampilan'!BK30)</f>
        <v>cukup terampil ketrampilan prakarya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17">
        <f>IF(C39="","",menu!$R$1)</f>
        <v>80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prakarya 4, dan perlu ditingkatkan dalam pengetahuan prakarya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prakarya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17">
        <f>IF(C40="","",menu!$R$1)</f>
        <v>80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C</v>
      </c>
      <c r="F41" s="228" t="str">
        <f>IF('Input Nilai Pengetahuan'!CV32="","",'Input Nilai Pengetahuan'!CV32)</f>
        <v>Memiliki penguasaan semua materi cukup,  sudah menguasai pengetahuan prakarya 1, dan perlu ditingkatkan dalam pengetahuan prakarya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C</v>
      </c>
      <c r="I41" s="228" t="str">
        <f>IF('Input Nilai Ketrampilan'!BK32="","",'Input Nilai Ketrampilan'!BK32)</f>
        <v>cukup terampil ketrampilan prakarya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17">
        <f>IF(C41="","",menu!$R$1)</f>
        <v>80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C</v>
      </c>
      <c r="F42" s="228" t="str">
        <f>IF('Input Nilai Pengetahuan'!CV33="","",'Input Nilai Pengetahuan'!CV33)</f>
        <v>Memiliki penguasaan semua materi cukup,  sudah menguasai pengetahuan prakarya 8, dan perlu ditingkatkan dalam pengetahuan prakarya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prakarya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17">
        <f>IF(C42="","",menu!$R$1)</f>
        <v>80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C</v>
      </c>
      <c r="F43" s="228" t="str">
        <f>IF('Input Nilai Pengetahuan'!CV34="","",'Input Nilai Pengetahuan'!CV34)</f>
        <v>Memiliki penguasaan semua materi cukup,  sudah menguasai pengetahuan prakarya 8, dan perlu ditingkatkan dalam pengetahuan prakarya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C</v>
      </c>
      <c r="I43" s="228" t="str">
        <f>IF('Input Nilai Ketrampilan'!BK34="","",'Input Nilai Ketrampilan'!BK34)</f>
        <v>cukup terampil ketrampilan prakarya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17">
        <f>IF(C43="","",menu!$R$1)</f>
        <v>80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prakarya 2, dan perlu ditingkatkan dalam pengetahuan prakarya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prakarya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17">
        <f>IF(C44="","",menu!$R$1)</f>
        <v>80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C</v>
      </c>
      <c r="F45" s="228" t="str">
        <f>IF('Input Nilai Pengetahuan'!CV36="","",'Input Nilai Pengetahuan'!CV36)</f>
        <v>Memiliki penguasaan semua materi cukup,  sudah menguasai pengetahuan prakarya 4, dan perlu ditingkatkan dalam pengetahuan prakarya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C</v>
      </c>
      <c r="I45" s="228" t="str">
        <f>IF('Input Nilai Ketrampilan'!BK36="","",'Input Nilai Ketrampilan'!BK36)</f>
        <v>cukup terampil ketrampilan prakarya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17">
        <f>IF(C45="","",menu!$R$1)</f>
        <v>80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C</v>
      </c>
      <c r="F46" s="228" t="str">
        <f>IF('Input Nilai Pengetahuan'!CV37="","",'Input Nilai Pengetahuan'!CV37)</f>
        <v>Memiliki penguasaan semua materi cukup,  sudah menguasai pengetahuan prakarya 1, dan perlu ditingkatkan dalam pengetahuan prakarya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prakarya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17">
        <f>IF(C46="","",menu!$R$1)</f>
        <v>80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prakarya 8, dan perlu ditingkatkan dalam pengetahuan prakarya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D</v>
      </c>
      <c r="I47" s="228" t="str">
        <f>IF('Input Nilai Ketrampilan'!BK38="","",'Input Nilai Ketrampilan'!BK38)</f>
        <v>kurang terampil ketrampilan prakarya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17">
        <f>IF(C47="","",menu!$R$1)</f>
        <v>80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C</v>
      </c>
      <c r="F48" s="228" t="str">
        <f>IF('Input Nilai Pengetahuan'!CV39="","",'Input Nilai Pengetahuan'!CV39)</f>
        <v>Memiliki penguasaan semua materi cukup,  sudah menguasai pengetahuan prakarya 4, dan perlu ditingkatkan dalam pengetahuan prakarya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C</v>
      </c>
      <c r="I48" s="228" t="str">
        <f>IF('Input Nilai Ketrampilan'!BK39="","",'Input Nilai Ketrampilan'!BK39)</f>
        <v>cukup terampil ketrampilan prakarya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17">
        <f>IF(C48="","",menu!$R$1)</f>
        <v>80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C</v>
      </c>
      <c r="F49" s="228" t="str">
        <f>IF('Input Nilai Pengetahuan'!CV40="","",'Input Nilai Pengetahuan'!CV40)</f>
        <v>Memiliki penguasaan semua materi cukup,  sudah menguasai pengetahuan prakarya 1, dan perlu ditingkatkan dalam pengetahuan prakarya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D</v>
      </c>
      <c r="I49" s="228" t="str">
        <f>IF('Input Nilai Ketrampilan'!BK40="","",'Input Nilai Ketrampilan'!BK40)</f>
        <v>kurang terampil ketrampilan prakarya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17">
        <f>IF(C49="","",menu!$R$1)</f>
        <v>80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prakarya 3, dan perlu ditingkatkan dalam pengetahuan prakarya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prakarya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17">
        <f>IF(C50="","",menu!$R$1)</f>
        <v>80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C</v>
      </c>
      <c r="F51" s="228" t="str">
        <f>IF('Input Nilai Pengetahuan'!CV42="","",'Input Nilai Pengetahuan'!CV42)</f>
        <v>Memiliki penguasaan semua materi cukup,  sudah menguasai pengetahuan prakarya 8, dan perlu ditingkatkan dalam pengetahuan prakarya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C</v>
      </c>
      <c r="I51" s="228" t="str">
        <f>IF('Input Nilai Ketrampilan'!BK42="","",'Input Nilai Ketrampilan'!BK42)</f>
        <v>cukup terampil ketrampilan prakarya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17">
        <f>IF(C51="","",menu!$R$1)</f>
        <v>80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C</v>
      </c>
      <c r="F52" s="228" t="str">
        <f>IF('Input Nilai Pengetahuan'!CV43="","",'Input Nilai Pengetahuan'!CV43)</f>
        <v>Memiliki penguasaan semua materi cukup,  sudah menguasai pengetahuan prakarya 4, dan perlu ditingkatkan dalam pengetahuan prakarya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cukup terampil ketrampilan prakarya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17">
        <f>IF(C52="","",menu!$R$1)</f>
        <v>80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C</v>
      </c>
      <c r="F53" s="228" t="str">
        <f>IF('Input Nilai Pengetahuan'!CV44="","",'Input Nilai Pengetahuan'!CV44)</f>
        <v>Memiliki penguasaan semua materi cukup,  sudah menguasai pengetahuan prakarya 2, dan perlu ditingkatkan dalam pengetahuan prakarya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C</v>
      </c>
      <c r="I53" s="228" t="str">
        <f>IF('Input Nilai Ketrampilan'!BK44="","",'Input Nilai Ketrampilan'!BK44)</f>
        <v>cukup terampil ketrampilan prakarya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17">
        <f>IF(C53="","",menu!$R$1)</f>
        <v>80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C</v>
      </c>
      <c r="F54" s="228" t="str">
        <f>IF('Input Nilai Pengetahuan'!CV45="","",'Input Nilai Pengetahuan'!CV45)</f>
        <v>Memiliki penguasaan semua materi cukup,  sudah menguasai pengetahuan prakarya 1, dan perlu ditingkatkan dalam pengetahuan prakarya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C</v>
      </c>
      <c r="I54" s="228" t="str">
        <f>IF('Input Nilai Ketrampilan'!BK45="","",'Input Nilai Ketrampilan'!BK45)</f>
        <v>cukup terampil ketrampilan prakarya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17">
        <f>IF(C54="","",menu!$R$1)</f>
        <v>80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C</v>
      </c>
      <c r="F55" s="228" t="str">
        <f>IF('Input Nilai Pengetahuan'!CV46="","",'Input Nilai Pengetahuan'!CV46)</f>
        <v>Memiliki penguasaan semua materi cukup,  sudah menguasai pengetahuan prakarya 4, dan perlu ditingkatkan dalam pengetahuan prakarya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C</v>
      </c>
      <c r="I55" s="228" t="str">
        <f>IF('Input Nilai Ketrampilan'!BK46="","",'Input Nilai Ketrampilan'!BK46)</f>
        <v>cukup terampil ketrampilan prakarya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17">
        <f>IF(C55="","",menu!$R$1)</f>
        <v>80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C</v>
      </c>
      <c r="F56" s="228" t="str">
        <f>IF('Input Nilai Pengetahuan'!CV47="","",'Input Nilai Pengetahuan'!CV47)</f>
        <v>Memiliki penguasaan semua materi cukup,  sudah menguasai pengetahuan prakarya 4, dan perlu ditingkatkan dalam pengetahuan prakarya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C</v>
      </c>
      <c r="I56" s="228" t="str">
        <f>IF('Input Nilai Ketrampilan'!BK47="","",'Input Nilai Ketrampilan'!BK47)</f>
        <v>cukup terampil ketrampilan prakarya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17">
        <f>IF(C56="","",menu!$R$1)</f>
        <v>80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C</v>
      </c>
      <c r="F57" s="228" t="str">
        <f>IF('Input Nilai Pengetahuan'!CV48="","",'Input Nilai Pengetahuan'!CV48)</f>
        <v>Memiliki penguasaan semua materi cukup,  sudah menguasai pengetahuan prakarya 2, dan perlu ditingkatkan dalam pengetahuan prakarya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C</v>
      </c>
      <c r="I57" s="228" t="str">
        <f>IF('Input Nilai Ketrampilan'!BK48="","",'Input Nilai Ketrampilan'!BK48)</f>
        <v>cukup terampil ketrampilan prakarya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17">
        <f>IF(C57="","",menu!$R$1)</f>
        <v>80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C</v>
      </c>
      <c r="F58" s="228" t="str">
        <f>IF('Input Nilai Pengetahuan'!CV49="","",'Input Nilai Pengetahuan'!CV49)</f>
        <v>Memiliki penguasaan semua materi cukup,  sudah menguasai pengetahuan prakarya 8, dan perlu ditingkatkan dalam pengetahuan prakarya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C</v>
      </c>
      <c r="I58" s="228" t="str">
        <f>IF('Input Nilai Ketrampilan'!BK49="","",'Input Nilai Ketrampilan'!BK49)</f>
        <v>cukup terampil ketrampilan prakarya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17">
        <f>IF(C58="","",menu!$R$1)</f>
        <v>80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C</v>
      </c>
      <c r="F59" s="228" t="str">
        <f>IF('Input Nilai Pengetahuan'!CV50="","",'Input Nilai Pengetahuan'!CV50)</f>
        <v>Memiliki penguasaan semua materi cukup,  sudah menguasai pengetahuan prakarya 4, dan perlu ditingkatkan dalam pengetahuan prakarya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C</v>
      </c>
      <c r="I59" s="228" t="str">
        <f>IF('Input Nilai Ketrampilan'!BK50="","",'Input Nilai Ketrampilan'!BK50)</f>
        <v>cukup terampil ketrampilan prakarya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17">
        <f>IF(C59="","",menu!$R$1)</f>
        <v>80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C</v>
      </c>
      <c r="F60" s="228" t="str">
        <f>IF('Input Nilai Pengetahuan'!CV51="","",'Input Nilai Pengetahuan'!CV51)</f>
        <v>Memiliki penguasaan semua materi cukup,  sudah menguasai pengetahuan prakarya 4, dan perlu ditingkatkan dalam pengetahuan prakarya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C</v>
      </c>
      <c r="I60" s="228" t="str">
        <f>IF('Input Nilai Ketrampilan'!BK51="","",'Input Nilai Ketrampilan'!BK51)</f>
        <v>cukup terampil ketrampilan prakarya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17">
        <f>IF(C60="","",menu!$R$1)</f>
        <v>80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C</v>
      </c>
      <c r="F61" s="228" t="str">
        <f>IF('Input Nilai Pengetahuan'!CV52="","",'Input Nilai Pengetahuan'!CV52)</f>
        <v>Memiliki penguasaan semua materi cukup,  sudah menguasai pengetahuan prakarya 2, dan perlu ditingkatkan dalam pengetahuan prakarya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C</v>
      </c>
      <c r="I61" s="228" t="str">
        <f>IF('Input Nilai Ketrampilan'!BK52="","",'Input Nilai Ketrampilan'!BK52)</f>
        <v>cukup terampil ketrampilan prakarya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17">
        <f>IF(C61="","",menu!$R$1)</f>
        <v>80</v>
      </c>
    </row>
    <row r="62" spans="1:20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83.4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password="D4C3" sheet="1" objects="1" scenarios="1" formatCells="0" formatColumns="0" formatRows="0" insertColumns="0" insertRows="0" insertHyperlinks="0" deleteColumns="0" deleteRows="0"/>
  <mergeCells count="14">
    <mergeCell ref="T12:T13"/>
    <mergeCell ref="P10:Q10"/>
    <mergeCell ref="A12:A13"/>
    <mergeCell ref="C12:C13"/>
    <mergeCell ref="D12:F12"/>
    <mergeCell ref="G12:I12"/>
    <mergeCell ref="B12:B13"/>
    <mergeCell ref="J12:K12"/>
    <mergeCell ref="D1:S1"/>
    <mergeCell ref="D2:S2"/>
    <mergeCell ref="D3:S3"/>
    <mergeCell ref="D4:S6"/>
    <mergeCell ref="D9:E9"/>
    <mergeCell ref="P9:Q9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4" activePane="bottomRight" state="frozen"/>
      <selection pane="topRight" activeCell="F1" sqref="F1"/>
      <selection pane="bottomLeft" activeCell="A6" sqref="A6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7a</v>
      </c>
    </row>
    <row r="2" spans="1:21" ht="21" customHeight="1">
      <c r="A2" s="226" t="str">
        <f>menu!D13</f>
        <v>Prakarya</v>
      </c>
    </row>
    <row r="4" spans="1:21" ht="21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566"/>
      <c r="G4" s="566"/>
      <c r="H4" s="566"/>
      <c r="I4" s="566"/>
      <c r="J4" s="566"/>
      <c r="K4" s="566"/>
      <c r="L4" s="566"/>
      <c r="M4" s="481" t="s">
        <v>436</v>
      </c>
      <c r="N4" s="567"/>
      <c r="O4" s="567"/>
      <c r="P4" s="567"/>
      <c r="Q4" s="567"/>
      <c r="R4" s="567"/>
      <c r="S4" s="567"/>
      <c r="T4" s="567"/>
      <c r="U4" s="481" t="s">
        <v>437</v>
      </c>
    </row>
    <row r="5" spans="1:21" ht="18.75" customHeight="1">
      <c r="A5" s="478"/>
      <c r="B5" s="478"/>
      <c r="C5" s="480"/>
      <c r="D5" s="481"/>
      <c r="E5" s="483"/>
      <c r="F5" s="567"/>
      <c r="G5" s="567"/>
      <c r="H5" s="567"/>
      <c r="I5" s="567"/>
      <c r="J5" s="567"/>
      <c r="K5" s="567"/>
      <c r="L5" s="567"/>
      <c r="M5" s="481"/>
      <c r="N5" s="567"/>
      <c r="O5" s="567"/>
      <c r="P5" s="567"/>
      <c r="Q5" s="567"/>
      <c r="R5" s="567"/>
      <c r="S5" s="567"/>
      <c r="T5" s="567"/>
      <c r="U5" s="481"/>
    </row>
    <row r="6" spans="1:21" s="97" customFormat="1" ht="81" customHeight="1">
      <c r="A6" s="479"/>
      <c r="B6" s="479"/>
      <c r="C6" s="480"/>
      <c r="D6" s="481"/>
      <c r="E6" s="484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1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1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F4:L4"/>
    <mergeCell ref="M4:M6"/>
    <mergeCell ref="N4:T4"/>
    <mergeCell ref="U4:U6"/>
    <mergeCell ref="F5:L5"/>
    <mergeCell ref="N5:T5"/>
    <mergeCell ref="A4:A6"/>
    <mergeCell ref="B4:B6"/>
    <mergeCell ref="C4:C6"/>
    <mergeCell ref="D4:D6"/>
    <mergeCell ref="E4:E6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F5" activePane="bottomRight" state="frozen"/>
      <selection pane="topRight" activeCell="F1" sqref="F1"/>
      <selection pane="bottomLeft" activeCell="A6" sqref="A6"/>
      <selection pane="bottomRight" activeCell="C7" sqref="C7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89" t="s">
        <v>15</v>
      </c>
      <c r="B1" s="589" t="s">
        <v>16</v>
      </c>
      <c r="C1" s="597" t="s">
        <v>0</v>
      </c>
      <c r="D1" s="598" t="s">
        <v>1</v>
      </c>
      <c r="E1" s="592" t="s">
        <v>17</v>
      </c>
      <c r="F1" s="599" t="str">
        <f>IF(KDOKE!B11="","",KDOKE!B11)</f>
        <v>pengetahuan prakarya 1</v>
      </c>
      <c r="G1" s="599"/>
      <c r="H1" s="599"/>
      <c r="I1" s="599"/>
      <c r="J1" s="599"/>
      <c r="K1" s="599"/>
      <c r="L1" s="599"/>
      <c r="M1" s="596" t="s">
        <v>436</v>
      </c>
      <c r="N1" s="600" t="str">
        <f>IF(KDOKE!B12="","",KDOKE!B12)</f>
        <v>pengetahuan prakarya 2</v>
      </c>
      <c r="O1" s="600"/>
      <c r="P1" s="600"/>
      <c r="Q1" s="600"/>
      <c r="R1" s="600"/>
      <c r="S1" s="600"/>
      <c r="T1" s="600"/>
      <c r="U1" s="596" t="s">
        <v>437</v>
      </c>
      <c r="V1" s="601" t="str">
        <f>IF(KDOKE!B13="","",KDOKE!B13)</f>
        <v>pengetahuan prakarya 3</v>
      </c>
      <c r="W1" s="601"/>
      <c r="X1" s="601"/>
      <c r="Y1" s="601"/>
      <c r="Z1" s="601"/>
      <c r="AA1" s="601"/>
      <c r="AB1" s="601"/>
      <c r="AC1" s="596" t="s">
        <v>438</v>
      </c>
      <c r="AD1" s="615" t="str">
        <f>IF(KDOKE!B14="","",KDOKE!B14)</f>
        <v>pengetahuan prakarya 4</v>
      </c>
      <c r="AE1" s="615"/>
      <c r="AF1" s="615"/>
      <c r="AG1" s="615"/>
      <c r="AH1" s="615"/>
      <c r="AI1" s="615"/>
      <c r="AJ1" s="615"/>
      <c r="AK1" s="596" t="s">
        <v>439</v>
      </c>
      <c r="AL1" s="602" t="str">
        <f>IF(KDOKE!B15="","",KDOKE!B15)</f>
        <v>pengetahuan prakarya 5</v>
      </c>
      <c r="AM1" s="602"/>
      <c r="AN1" s="602"/>
      <c r="AO1" s="602"/>
      <c r="AP1" s="602"/>
      <c r="AQ1" s="602"/>
      <c r="AR1" s="602"/>
      <c r="AS1" s="596" t="s">
        <v>440</v>
      </c>
      <c r="AT1" s="611" t="str">
        <f>IF(KDOKE!B16="","",KDOKE!B16)</f>
        <v>pengetahuan prakarya 6</v>
      </c>
      <c r="AU1" s="611"/>
      <c r="AV1" s="611"/>
      <c r="AW1" s="611"/>
      <c r="AX1" s="611"/>
      <c r="AY1" s="611"/>
      <c r="AZ1" s="611"/>
      <c r="BA1" s="596" t="s">
        <v>441</v>
      </c>
      <c r="BB1" s="595" t="str">
        <f>IF(KDOKE!B17="","",KDOKE!B17)</f>
        <v>pengetahuan prakarya 7</v>
      </c>
      <c r="BC1" s="595"/>
      <c r="BD1" s="595"/>
      <c r="BE1" s="595"/>
      <c r="BF1" s="595"/>
      <c r="BG1" s="595"/>
      <c r="BH1" s="595"/>
      <c r="BI1" s="596" t="s">
        <v>442</v>
      </c>
      <c r="BJ1" s="607" t="str">
        <f>IF(KDOKE!B18="","",KDOKE!B18)</f>
        <v>pengetahuan prakarya 8</v>
      </c>
      <c r="BK1" s="607"/>
      <c r="BL1" s="607"/>
      <c r="BM1" s="607"/>
      <c r="BN1" s="607"/>
      <c r="BO1" s="607"/>
      <c r="BP1" s="607"/>
      <c r="BQ1" s="596" t="s">
        <v>443</v>
      </c>
      <c r="BR1" s="610" t="str">
        <f>IF(KDOKE!B19="","",KDOKE!B19)</f>
        <v>pengetahuan prakarya 9</v>
      </c>
      <c r="BS1" s="610"/>
      <c r="BT1" s="610"/>
      <c r="BU1" s="610"/>
      <c r="BV1" s="610"/>
      <c r="BW1" s="610"/>
      <c r="BX1" s="610"/>
      <c r="BY1" s="596" t="s">
        <v>444</v>
      </c>
      <c r="BZ1" s="611" t="str">
        <f>IF(KDOKE!B20="","",KDOKE!B20)</f>
        <v>pengetahuan prakarya 10</v>
      </c>
      <c r="CA1" s="611"/>
      <c r="CB1" s="611"/>
      <c r="CC1" s="611"/>
      <c r="CD1" s="611"/>
      <c r="CE1" s="611"/>
      <c r="CF1" s="611"/>
      <c r="CG1" s="596" t="s">
        <v>445</v>
      </c>
      <c r="CH1" s="606" t="s">
        <v>27</v>
      </c>
      <c r="CI1" s="568" t="s">
        <v>323</v>
      </c>
      <c r="CJ1" s="612" t="s">
        <v>322</v>
      </c>
      <c r="CK1" s="92" t="s">
        <v>448</v>
      </c>
      <c r="CL1" s="603" t="s">
        <v>450</v>
      </c>
      <c r="CM1" s="580" t="s">
        <v>429</v>
      </c>
      <c r="CN1" s="581"/>
      <c r="CO1" s="582"/>
      <c r="CP1" s="571" t="s">
        <v>435</v>
      </c>
      <c r="CQ1" s="571" t="s">
        <v>433</v>
      </c>
      <c r="CR1" s="571" t="s">
        <v>434</v>
      </c>
      <c r="CS1" s="571" t="s">
        <v>394</v>
      </c>
      <c r="CT1" s="578" t="s">
        <v>303</v>
      </c>
      <c r="CU1" s="579"/>
      <c r="CV1" s="574" t="s">
        <v>324</v>
      </c>
      <c r="CW1" s="586" t="s">
        <v>325</v>
      </c>
      <c r="CX1" s="583" t="s">
        <v>326</v>
      </c>
    </row>
    <row r="2" spans="1:102" ht="18.75" customHeight="1">
      <c r="A2" s="590"/>
      <c r="B2" s="590"/>
      <c r="C2" s="597"/>
      <c r="D2" s="598"/>
      <c r="E2" s="593"/>
      <c r="F2" s="602">
        <f>IF(KDOKE!A11="","",KDOKE!A11)</f>
        <v>31</v>
      </c>
      <c r="G2" s="602"/>
      <c r="H2" s="602"/>
      <c r="I2" s="602"/>
      <c r="J2" s="602"/>
      <c r="K2" s="602"/>
      <c r="L2" s="602"/>
      <c r="M2" s="596"/>
      <c r="N2" s="600">
        <f>IF(KDOKE!A12="","",KDOKE!A12)</f>
        <v>32</v>
      </c>
      <c r="O2" s="600"/>
      <c r="P2" s="600"/>
      <c r="Q2" s="600"/>
      <c r="R2" s="600"/>
      <c r="S2" s="600"/>
      <c r="T2" s="600"/>
      <c r="U2" s="596"/>
      <c r="V2" s="601">
        <f>IF(KDOKE!A13="","",KDOKE!A13)</f>
        <v>33</v>
      </c>
      <c r="W2" s="601"/>
      <c r="X2" s="601"/>
      <c r="Y2" s="601"/>
      <c r="Z2" s="601"/>
      <c r="AA2" s="601"/>
      <c r="AB2" s="601"/>
      <c r="AC2" s="596"/>
      <c r="AD2" s="615">
        <f>IF(KDOKE!A14="","",KDOKE!A14)</f>
        <v>34</v>
      </c>
      <c r="AE2" s="615"/>
      <c r="AF2" s="615"/>
      <c r="AG2" s="615"/>
      <c r="AH2" s="615"/>
      <c r="AI2" s="615"/>
      <c r="AJ2" s="615"/>
      <c r="AK2" s="596"/>
      <c r="AL2" s="602">
        <f>IF(KDOKE!A15="","",KDOKE!A15)</f>
        <v>35</v>
      </c>
      <c r="AM2" s="602"/>
      <c r="AN2" s="602"/>
      <c r="AO2" s="602"/>
      <c r="AP2" s="602"/>
      <c r="AQ2" s="602"/>
      <c r="AR2" s="602"/>
      <c r="AS2" s="596"/>
      <c r="AT2" s="611">
        <f>IF(KDOKE!A16="","",KDOKE!A16)</f>
        <v>36</v>
      </c>
      <c r="AU2" s="611"/>
      <c r="AV2" s="611"/>
      <c r="AW2" s="611"/>
      <c r="AX2" s="611"/>
      <c r="AY2" s="611"/>
      <c r="AZ2" s="611"/>
      <c r="BA2" s="596"/>
      <c r="BB2" s="595">
        <f>IF(KDOKE!A17="","",KDOKE!A17)</f>
        <v>37</v>
      </c>
      <c r="BC2" s="595"/>
      <c r="BD2" s="595"/>
      <c r="BE2" s="595"/>
      <c r="BF2" s="595"/>
      <c r="BG2" s="595"/>
      <c r="BH2" s="595"/>
      <c r="BI2" s="596"/>
      <c r="BJ2" s="607">
        <f>IF(KDOKE!A18="","",KDOKE!A18)</f>
        <v>38</v>
      </c>
      <c r="BK2" s="607"/>
      <c r="BL2" s="607"/>
      <c r="BM2" s="607"/>
      <c r="BN2" s="607"/>
      <c r="BO2" s="607"/>
      <c r="BP2" s="607"/>
      <c r="BQ2" s="596"/>
      <c r="BR2" s="610">
        <f>IF(KDOKE!A19="","",KDOKE!A19)</f>
        <v>39</v>
      </c>
      <c r="BS2" s="610"/>
      <c r="BT2" s="610"/>
      <c r="BU2" s="610"/>
      <c r="BV2" s="610"/>
      <c r="BW2" s="610"/>
      <c r="BX2" s="610"/>
      <c r="BY2" s="596"/>
      <c r="BZ2" s="611">
        <f>IF(KDOKE!A20="","",KDOKE!A20)</f>
        <v>310</v>
      </c>
      <c r="CA2" s="611"/>
      <c r="CB2" s="611"/>
      <c r="CC2" s="611"/>
      <c r="CD2" s="611"/>
      <c r="CE2" s="611"/>
      <c r="CF2" s="611"/>
      <c r="CG2" s="596"/>
      <c r="CH2" s="606"/>
      <c r="CI2" s="569"/>
      <c r="CJ2" s="613"/>
      <c r="CK2" s="608" t="s">
        <v>449</v>
      </c>
      <c r="CL2" s="604"/>
      <c r="CM2" s="307" t="s">
        <v>430</v>
      </c>
      <c r="CN2" s="307" t="s">
        <v>431</v>
      </c>
      <c r="CO2" s="307" t="s">
        <v>432</v>
      </c>
      <c r="CP2" s="572"/>
      <c r="CQ2" s="572"/>
      <c r="CR2" s="572"/>
      <c r="CS2" s="572"/>
      <c r="CT2" s="577">
        <f>menu!R1</f>
        <v>80</v>
      </c>
      <c r="CU2" s="577"/>
      <c r="CV2" s="575"/>
      <c r="CW2" s="587"/>
      <c r="CX2" s="584"/>
    </row>
    <row r="3" spans="1:102" s="97" customFormat="1" ht="81" customHeight="1">
      <c r="A3" s="591"/>
      <c r="B3" s="591"/>
      <c r="C3" s="597"/>
      <c r="D3" s="598"/>
      <c r="E3" s="594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96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96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96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96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96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96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96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96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96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96"/>
      <c r="CH3" s="606"/>
      <c r="CI3" s="570"/>
      <c r="CJ3" s="614"/>
      <c r="CK3" s="609"/>
      <c r="CL3" s="605"/>
      <c r="CM3" s="306">
        <v>2</v>
      </c>
      <c r="CN3" s="306">
        <v>1</v>
      </c>
      <c r="CO3" s="306">
        <v>1</v>
      </c>
      <c r="CP3" s="573"/>
      <c r="CQ3" s="573"/>
      <c r="CR3" s="573"/>
      <c r="CS3" s="573"/>
      <c r="CT3" s="396" t="s">
        <v>484</v>
      </c>
      <c r="CU3" s="224" t="s">
        <v>485</v>
      </c>
      <c r="CV3" s="576"/>
      <c r="CW3" s="588"/>
      <c r="CX3" s="585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90</v>
      </c>
      <c r="G5" s="100"/>
      <c r="H5" s="100"/>
      <c r="I5" s="353"/>
      <c r="J5" s="310">
        <f>IF(AND(F5="",G5="",H5="",I5=""),"",AVERAGE(F5:I5))</f>
        <v>90</v>
      </c>
      <c r="K5" s="353"/>
      <c r="L5" s="100"/>
      <c r="M5" s="319">
        <f>IF(AND(F5="",G5="",H5="",I5=""),"",IF(AND(K5="",L5=""),J5,MAX(J5:L5)))</f>
        <v>90</v>
      </c>
      <c r="N5" s="353"/>
      <c r="O5" s="100">
        <v>70</v>
      </c>
      <c r="P5" s="100"/>
      <c r="Q5" s="353"/>
      <c r="R5" s="310">
        <f>IF(AND(N5="",O5="",P5="",Q5=""),"",AVERAGE(N5:Q5))</f>
        <v>70</v>
      </c>
      <c r="S5" s="353"/>
      <c r="T5" s="100"/>
      <c r="U5" s="319">
        <f>IF(AND(N5="",O5="",P5="",Q5=""),"",IF(AND(S5="",T5=""),R5,MAX(R5:T5)))</f>
        <v>70</v>
      </c>
      <c r="V5" s="353"/>
      <c r="W5" s="100"/>
      <c r="X5" s="100"/>
      <c r="Y5" s="353">
        <v>80</v>
      </c>
      <c r="Z5" s="310">
        <f>IF(AND(V5="",W5="",X5="",Y5=""),"",AVERAGE(V5:Y5))</f>
        <v>80</v>
      </c>
      <c r="AA5" s="100"/>
      <c r="AB5" s="100"/>
      <c r="AC5" s="319">
        <f>IF(AND(V5="",W5="",X5="",Y5=""),"",IF(AND(AA5="",AB5=""),Z5,MAX(Z5:AB5)))</f>
        <v>80</v>
      </c>
      <c r="AD5" s="353"/>
      <c r="AE5" s="100">
        <v>91</v>
      </c>
      <c r="AF5" s="100"/>
      <c r="AG5" s="353"/>
      <c r="AH5" s="310">
        <f>IF(AND(AD5="",AE5="",AF5="",AG5=""),"",AVERAGE(AD5:AG5))</f>
        <v>91</v>
      </c>
      <c r="AI5" s="100"/>
      <c r="AJ5" s="100"/>
      <c r="AK5" s="319">
        <f>IF(AND(AD5="",AE5="",AF5="",AG5=""),"",IF(AND(AI5="",AJ5=""),AH5,MAX(AH5:AJ5)))</f>
        <v>91</v>
      </c>
      <c r="AL5" s="100">
        <v>90</v>
      </c>
      <c r="AM5" s="100"/>
      <c r="AN5" s="100">
        <v>90</v>
      </c>
      <c r="AO5" s="90"/>
      <c r="AP5" s="310">
        <f>IF(AND(AL5="",AM5="",AN5="",AO5=""),"",AVERAGE(AL5:AO5))</f>
        <v>90</v>
      </c>
      <c r="AQ5" s="100"/>
      <c r="AR5" s="100"/>
      <c r="AS5" s="319">
        <f>IF(AND(AL5="",AM5="",AN5="",AO5=""),"",IF(AND(AQ5="",AR5=""),AP5,MAX(AP5:AR5)))</f>
        <v>90</v>
      </c>
      <c r="AT5" s="100">
        <v>87</v>
      </c>
      <c r="AU5" s="100"/>
      <c r="AV5" s="100"/>
      <c r="AW5" s="90"/>
      <c r="AX5" s="310">
        <f>IF(AND(AT5="",AU5="",AV5="",AW5=""),"",AVERAGE(AT5:AW5))</f>
        <v>87</v>
      </c>
      <c r="AY5" s="100"/>
      <c r="AZ5" s="100"/>
      <c r="BA5" s="319">
        <f>IF(AND(AT5="",AU5="",AV5="",AW5=""),"",IF(AND(AY5="",AZ5=""),AX5,MAX(AX5:AZ5)))</f>
        <v>87</v>
      </c>
      <c r="BB5" s="100">
        <v>90</v>
      </c>
      <c r="BC5" s="100"/>
      <c r="BD5" s="100"/>
      <c r="BE5" s="90"/>
      <c r="BF5" s="310">
        <f>IF(AND(BB5="",BC5="",BD5="",BE5=""),"",AVERAGE(BB5:BE5))</f>
        <v>90</v>
      </c>
      <c r="BG5" s="100"/>
      <c r="BH5" s="100"/>
      <c r="BI5" s="319">
        <f>IF(AND(BB5="",BC5="",BD5="",BE5=""),"",IF(AND(BG5="",BH5=""),BF5,MAX(BF5:BH5)))</f>
        <v>90</v>
      </c>
      <c r="BJ5" s="100"/>
      <c r="BK5" s="100"/>
      <c r="BL5" s="100">
        <v>80</v>
      </c>
      <c r="BM5" s="90"/>
      <c r="BN5" s="310">
        <f>IF(AND(BJ5="",BK5="",BL5="",BM5=""),"",AVERAGE(BJ5:BM5))</f>
        <v>80</v>
      </c>
      <c r="BO5" s="100"/>
      <c r="BP5" s="100"/>
      <c r="BQ5" s="319">
        <f>IF(AND(BJ5="",BK5="",BL5="",BM5=""),"",IF(AND(BO5="",BP5=""),BN5,MAX(BN5:BP5)))</f>
        <v>80</v>
      </c>
      <c r="BR5" s="100">
        <v>90</v>
      </c>
      <c r="BS5" s="100"/>
      <c r="BT5" s="100"/>
      <c r="BU5" s="90"/>
      <c r="BV5" s="310">
        <f>IF(AND(BR5="",BS5="",BT5="",BU5=""),"",AVERAGE(BR5:BU5))</f>
        <v>90</v>
      </c>
      <c r="BW5" s="100"/>
      <c r="BX5" s="100"/>
      <c r="BY5" s="319">
        <f>IF(AND(BR5="",BS5="",BT5="",BU5=""),"",IF(AND(BW5="",BX5=""),BV5,MAX(BV5:BX5)))</f>
        <v>90</v>
      </c>
      <c r="BZ5" s="100">
        <v>85</v>
      </c>
      <c r="CA5" s="100"/>
      <c r="CB5" s="100"/>
      <c r="CC5" s="90"/>
      <c r="CD5" s="310">
        <f>IF(AND(BZ5="",CA5="",CB5="",CC5=""),"",AVERAGE(BZ5:CC5))</f>
        <v>85</v>
      </c>
      <c r="CE5" s="100"/>
      <c r="CF5" s="100"/>
      <c r="CG5" s="319">
        <f>IF(AND(BZ5="",CA5="",CB5="",CC5=""),"",IF(AND(CE5="",CF5=""),CD5,MAX(CD5:CF5)))</f>
        <v>85</v>
      </c>
      <c r="CH5" s="321">
        <f t="shared" ref="CH5:CH52" si="0">IF(AND(M5="",U5=""),"",AVERAGE(M5,U5,AC5,AK5,AS5,BA5,BI5,BQ5,BY5,CG5))</f>
        <v>85.3</v>
      </c>
      <c r="CI5" s="104">
        <f t="shared" ref="CI5:CI52" si="1">MAX(M5,U5,AC5,AK5,AS5,BA5,BI5,BQ5,BY5,CG5)</f>
        <v>91</v>
      </c>
      <c r="CJ5" s="104">
        <f t="shared" ref="CJ5:CJ52" si="2">MIN(M5,U5,AC5,AK5,AS5,BA5,BI5,BQ5,BY5,CG5)</f>
        <v>70</v>
      </c>
      <c r="CK5" s="90">
        <v>87.5</v>
      </c>
      <c r="CL5" s="100">
        <v>80</v>
      </c>
      <c r="CM5" s="322">
        <f>IF(CH5="","",CH5*$CM$3)</f>
        <v>170.6</v>
      </c>
      <c r="CN5" s="322">
        <f>IF(CK5="","",CK5*$CN$3)</f>
        <v>87.5</v>
      </c>
      <c r="CO5" s="322">
        <f>IF(CL5="","",CL5*$CO$3)</f>
        <v>80</v>
      </c>
      <c r="CP5" s="225">
        <f>IF(OR(CH5="",CK5="",CL5=""),"",(SUM(CM5:CO5)/SUM($CM$3:$CO$3)))</f>
        <v>84.525000000000006</v>
      </c>
      <c r="CQ5" s="323">
        <f>IF(CP5="","",ROUNDUP(CP5,0))</f>
        <v>85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cukup,  sudah menguasai pengetahuan prakarya 4, dan perlu ditingkatkan dalam pengetahuan prakarya 2</v>
      </c>
      <c r="CW5" s="107" t="str">
        <f>IF(CI5="","",VLOOKUP(CI5,DATAPENG!$B$3:$C$12,2,FALSE))</f>
        <v>pengetahuan prakarya 4</v>
      </c>
      <c r="CX5" s="107" t="str">
        <f>IF(CJ5="","",VLOOKUP(CJ5,DATAPENG!$B$3:$C$12,2,FALSE))</f>
        <v>pengetahuan prakarya 2</v>
      </c>
    </row>
    <row r="6" spans="1:102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87.5</v>
      </c>
      <c r="G6" s="100"/>
      <c r="H6" s="100"/>
      <c r="I6" s="353"/>
      <c r="J6" s="310">
        <f t="shared" ref="J6:J8" si="3">IF(AND(F6="",G6="",H6="",I6=""),"",AVERAGE(F6:I6))</f>
        <v>87.5</v>
      </c>
      <c r="K6" s="353"/>
      <c r="L6" s="100"/>
      <c r="M6" s="319">
        <f t="shared" ref="M6:M52" si="4">IF(AND(F6="",G6="",H6="",I6=""),"",IF(AND(K6="",L6=""),J6,MAX(J6:L6)))</f>
        <v>87.5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 t="shared" ref="AH6:AH8" si="9">IF(AND(AD6="",AE6="",AF6="",AG6=""),"",AVERAGE(AD6:AG6))</f>
        <v>93</v>
      </c>
      <c r="AI6" s="100"/>
      <c r="AJ6" s="100"/>
      <c r="AK6" s="319">
        <f t="shared" ref="AK6:AK52" si="10"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11">IF(AND(AL6="",AM6="",AN6="",AO6=""),"",AVERAGE(AL6:AO6))</f>
        <v>94</v>
      </c>
      <c r="AQ6" s="100"/>
      <c r="AR6" s="100"/>
      <c r="AS6" s="319">
        <f t="shared" ref="AS6:AS52" si="12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3">IF(AND(AT6="",AU6="",AV6="",AW6=""),"",AVERAGE(AT6:AW6))</f>
        <v>86</v>
      </c>
      <c r="AY6" s="100"/>
      <c r="AZ6" s="100"/>
      <c r="BA6" s="319">
        <f t="shared" ref="BA6:BA52" si="14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5">IF(AND(BB6="",BC6="",BD6="",BE6=""),"",AVERAGE(BB6:BE6))</f>
        <v>95</v>
      </c>
      <c r="BG6" s="100"/>
      <c r="BH6" s="100"/>
      <c r="BI6" s="319">
        <f t="shared" ref="BI6:BI52" si="16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7">IF(AND(BJ6="",BK6="",BL6="",BM6=""),"",AVERAGE(BJ6:BM6))</f>
        <v>95</v>
      </c>
      <c r="BO6" s="100"/>
      <c r="BP6" s="100"/>
      <c r="BQ6" s="319">
        <f t="shared" ref="BQ6:BQ52" si="18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9">IF(AND(BR6="",BS6="",BT6="",BU6=""),"",AVERAGE(BR6:BU6))</f>
        <v>74</v>
      </c>
      <c r="BW6" s="100"/>
      <c r="BX6" s="100"/>
      <c r="BY6" s="319">
        <f t="shared" ref="BY6:BY52" si="20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21">IF(AND(BZ6="",CA6="",CB6="",CC6=""),"",AVERAGE(BZ6:CC6))</f>
        <v>45</v>
      </c>
      <c r="CE6" s="100"/>
      <c r="CF6" s="100"/>
      <c r="CG6" s="319">
        <f t="shared" ref="CG6:CG52" si="22">IF(AND(BZ6="",CA6="",CB6="",CC6=""),"",IF(AND(CE6="",CF6=""),CD6,MAX(CD6:CF6)))</f>
        <v>45</v>
      </c>
      <c r="CH6" s="321">
        <f t="shared" si="0"/>
        <v>79.575000000000003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3">IF(CH6="","",CH6*$CM$3)</f>
        <v>159.15</v>
      </c>
      <c r="CN6" s="322">
        <f t="shared" ref="CN6:CN52" si="24">IF(CK6="","",CK6*$CN$3)</f>
        <v>90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83.537499999999994</v>
      </c>
      <c r="CQ6" s="323">
        <f t="shared" ref="CQ6:CQ52" si="27">IF(CP6="","",ROUNDUP(CP6,0))</f>
        <v>84</v>
      </c>
      <c r="CR6" s="105" t="str">
        <f>IF(CQ6="","",IF(CQ6&gt;=menu!$O$6,"A",IF(CQ6&gt;=menu!$O$7,"B",IF(CQ6&gt;=menu!$O$8,"C","D"))))</f>
        <v>C</v>
      </c>
      <c r="CS6" s="105" t="str">
        <f>IF(CQ6="","",IF(CQ6&gt;=menu!$O$6,"sangat baik",IF(CQ6&gt;=menu!$O$7,"baik",IF(CQ6&gt;=menu!$O$8,"cukup","kurang"))))</f>
        <v>cukup</v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cukup,  sudah menguasai pengetahuan prakarya 7, dan perlu ditingkatkan dalam pengetahuan prakarya 10</v>
      </c>
      <c r="CW6" s="108" t="str">
        <f>IF(CI6="","",VLOOKUP(CI6,DATAPENG!$D$3:$E$12,2,FALSE))</f>
        <v>pengetahuan prakarya 7</v>
      </c>
      <c r="CX6" s="108" t="str">
        <f>IF(CJ6="","",VLOOKUP(CJ6,DATAPENG!$D$3:$E$12,2,FALSE))</f>
        <v>pengetahuan prakarya 10</v>
      </c>
    </row>
    <row r="7" spans="1:102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si="9"/>
        <v>95</v>
      </c>
      <c r="AI7" s="100"/>
      <c r="AJ7" s="100"/>
      <c r="AK7" s="319">
        <f t="shared" si="10"/>
        <v>95</v>
      </c>
      <c r="AL7" s="100">
        <v>95</v>
      </c>
      <c r="AM7" s="100"/>
      <c r="AN7" s="100">
        <v>95</v>
      </c>
      <c r="AO7" s="90"/>
      <c r="AP7" s="310">
        <f t="shared" si="11"/>
        <v>95</v>
      </c>
      <c r="AQ7" s="100"/>
      <c r="AR7" s="100"/>
      <c r="AS7" s="319">
        <f t="shared" si="12"/>
        <v>95</v>
      </c>
      <c r="AT7" s="100">
        <v>86</v>
      </c>
      <c r="AU7" s="100"/>
      <c r="AV7" s="100"/>
      <c r="AW7" s="90"/>
      <c r="AX7" s="310">
        <f t="shared" si="13"/>
        <v>86</v>
      </c>
      <c r="AY7" s="100"/>
      <c r="AZ7" s="100"/>
      <c r="BA7" s="319">
        <f t="shared" si="14"/>
        <v>86</v>
      </c>
      <c r="BB7" s="100">
        <v>86</v>
      </c>
      <c r="BC7" s="100"/>
      <c r="BD7" s="100"/>
      <c r="BE7" s="90"/>
      <c r="BF7" s="310">
        <f t="shared" si="15"/>
        <v>86</v>
      </c>
      <c r="BG7" s="100"/>
      <c r="BH7" s="100"/>
      <c r="BI7" s="319">
        <f t="shared" si="16"/>
        <v>86</v>
      </c>
      <c r="BJ7" s="100"/>
      <c r="BK7" s="100"/>
      <c r="BL7" s="100">
        <v>100</v>
      </c>
      <c r="BM7" s="90"/>
      <c r="BN7" s="310">
        <f t="shared" si="17"/>
        <v>100</v>
      </c>
      <c r="BO7" s="100"/>
      <c r="BP7" s="100"/>
      <c r="BQ7" s="319">
        <f t="shared" si="18"/>
        <v>100</v>
      </c>
      <c r="BR7" s="100">
        <v>67</v>
      </c>
      <c r="BS7" s="100"/>
      <c r="BT7" s="100"/>
      <c r="BU7" s="90"/>
      <c r="BV7" s="310">
        <f t="shared" si="19"/>
        <v>67</v>
      </c>
      <c r="BW7" s="100"/>
      <c r="BX7" s="100"/>
      <c r="BY7" s="319">
        <f t="shared" si="20"/>
        <v>67</v>
      </c>
      <c r="BZ7" s="100">
        <v>70</v>
      </c>
      <c r="CA7" s="100"/>
      <c r="CB7" s="100"/>
      <c r="CC7" s="90"/>
      <c r="CD7" s="310">
        <f t="shared" si="21"/>
        <v>70</v>
      </c>
      <c r="CE7" s="100"/>
      <c r="CF7" s="100"/>
      <c r="CG7" s="319">
        <f t="shared" si="22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3"/>
        <v>176.8</v>
      </c>
      <c r="CN7" s="322">
        <f t="shared" si="24"/>
        <v>87.5</v>
      </c>
      <c r="CO7" s="322">
        <f t="shared" si="25"/>
        <v>80</v>
      </c>
      <c r="CP7" s="225">
        <f t="shared" si="26"/>
        <v>86.075000000000003</v>
      </c>
      <c r="CQ7" s="323">
        <f t="shared" si="27"/>
        <v>87</v>
      </c>
      <c r="CR7" s="105" t="str">
        <f>IF(CQ7="","",IF(CQ7&gt;=menu!$O$6,"A",IF(CQ7&gt;=menu!$O$7,"B",IF(CQ7&gt;=menu!$O$8,"C","D"))))</f>
        <v>C</v>
      </c>
      <c r="CS7" s="105" t="str">
        <f>IF(CQ7="","",IF(CQ7&gt;=menu!$O$6,"sangat baik",IF(CQ7&gt;=menu!$O$7,"baik",IF(CQ7&gt;=menu!$O$8,"cukup","kurang"))))</f>
        <v>cukup</v>
      </c>
      <c r="CT7" s="398" t="str">
        <f t="shared" si="28"/>
        <v>TUNTAS</v>
      </c>
      <c r="CU7" s="397" t="str">
        <f t="shared" si="29"/>
        <v>TIDAK</v>
      </c>
      <c r="CV7" s="115" t="str">
        <f t="shared" si="30"/>
        <v>Memiliki penguasaan semua materi cukup,  sudah menguasai pengetahuan prakarya 8, dan perlu ditingkatkan dalam pengetahuan prakarya 9</v>
      </c>
      <c r="CW7" s="108" t="str">
        <f>IF(CI7="","",VLOOKUP(CI7,DATAPENG!$F$3:$G$12,2,FALSE))</f>
        <v>pengetahuan prakarya 8</v>
      </c>
      <c r="CX7" s="108" t="str">
        <f>IF(CJ7="","",VLOOKUP(CJ7,DATAPENG!$F$3:$G$12,2,FALSE))</f>
        <v>pengetahuan prakarya 9</v>
      </c>
    </row>
    <row r="8" spans="1:102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9"/>
        <v>95</v>
      </c>
      <c r="AI8" s="100"/>
      <c r="AJ8" s="100"/>
      <c r="AK8" s="319">
        <f t="shared" si="10"/>
        <v>95</v>
      </c>
      <c r="AL8" s="100">
        <v>87.5</v>
      </c>
      <c r="AM8" s="100"/>
      <c r="AN8" s="100">
        <v>87.5</v>
      </c>
      <c r="AO8" s="90"/>
      <c r="AP8" s="310">
        <f t="shared" si="11"/>
        <v>87.5</v>
      </c>
      <c r="AQ8" s="100"/>
      <c r="AR8" s="100"/>
      <c r="AS8" s="319">
        <f t="shared" si="12"/>
        <v>87.5</v>
      </c>
      <c r="AT8" s="100">
        <v>80</v>
      </c>
      <c r="AU8" s="100"/>
      <c r="AV8" s="100"/>
      <c r="AW8" s="90"/>
      <c r="AX8" s="310">
        <f t="shared" si="13"/>
        <v>80</v>
      </c>
      <c r="AY8" s="100"/>
      <c r="AZ8" s="100"/>
      <c r="BA8" s="319">
        <f t="shared" si="14"/>
        <v>80</v>
      </c>
      <c r="BB8" s="100">
        <v>80</v>
      </c>
      <c r="BC8" s="100"/>
      <c r="BD8" s="100"/>
      <c r="BE8" s="90"/>
      <c r="BF8" s="310">
        <f t="shared" si="15"/>
        <v>80</v>
      </c>
      <c r="BG8" s="100"/>
      <c r="BH8" s="100"/>
      <c r="BI8" s="319">
        <f t="shared" si="16"/>
        <v>80</v>
      </c>
      <c r="BJ8" s="100"/>
      <c r="BK8" s="100"/>
      <c r="BL8" s="100">
        <v>90</v>
      </c>
      <c r="BM8" s="90"/>
      <c r="BN8" s="310">
        <f t="shared" si="17"/>
        <v>90</v>
      </c>
      <c r="BO8" s="100"/>
      <c r="BP8" s="100"/>
      <c r="BQ8" s="319">
        <f t="shared" si="18"/>
        <v>90</v>
      </c>
      <c r="BR8" s="100">
        <v>67</v>
      </c>
      <c r="BS8" s="100"/>
      <c r="BT8" s="100"/>
      <c r="BU8" s="90"/>
      <c r="BV8" s="310">
        <f t="shared" si="19"/>
        <v>67</v>
      </c>
      <c r="BW8" s="100"/>
      <c r="BX8" s="100"/>
      <c r="BY8" s="319">
        <f t="shared" si="20"/>
        <v>67</v>
      </c>
      <c r="BZ8" s="100">
        <v>35</v>
      </c>
      <c r="CA8" s="100"/>
      <c r="CB8" s="100"/>
      <c r="CC8" s="90"/>
      <c r="CD8" s="310">
        <f t="shared" si="21"/>
        <v>35</v>
      </c>
      <c r="CE8" s="100"/>
      <c r="CF8" s="100"/>
      <c r="CG8" s="319">
        <f t="shared" si="22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3"/>
        <v>162.4</v>
      </c>
      <c r="CN8" s="322">
        <f t="shared" si="24"/>
        <v>87.5</v>
      </c>
      <c r="CO8" s="322">
        <f t="shared" si="25"/>
        <v>87.5</v>
      </c>
      <c r="CP8" s="225">
        <f t="shared" si="26"/>
        <v>84.35</v>
      </c>
      <c r="CQ8" s="323">
        <f t="shared" si="27"/>
        <v>85</v>
      </c>
      <c r="CR8" s="105" t="str">
        <f>IF(CQ8="","",IF(CQ8&gt;=menu!$O$6,"A",IF(CQ8&gt;=menu!$O$7,"B",IF(CQ8&gt;=menu!$O$8,"C","D"))))</f>
        <v>C</v>
      </c>
      <c r="CS8" s="105" t="str">
        <f>IF(CQ8="","",IF(CQ8&gt;=menu!$O$6,"sangat baik",IF(CQ8&gt;=menu!$O$7,"baik",IF(CQ8&gt;=menu!$O$8,"cukup","kurang"))))</f>
        <v>cukup</v>
      </c>
      <c r="CT8" s="398" t="str">
        <f t="shared" si="28"/>
        <v>TUNTAS</v>
      </c>
      <c r="CU8" s="397" t="str">
        <f t="shared" si="29"/>
        <v>TIDAK</v>
      </c>
      <c r="CV8" s="115" t="str">
        <f t="shared" si="30"/>
        <v>Memiliki penguasaan semua materi cukup,  sudah menguasai pengetahuan prakarya 1, dan perlu ditingkatkan dalam pengetahuan prakarya 10</v>
      </c>
      <c r="CW8" s="108" t="str">
        <f>IF(CI8="","",VLOOKUP(CI8,DATAPENG!$H$3:$I$12,2,FALSE))</f>
        <v>pengetahuan prakarya 1</v>
      </c>
      <c r="CX8" s="108" t="str">
        <f>IF(CJ8="","",VLOOKUP(CJ8,DATAPENG!$H$3:$I$12,2,FALSE))</f>
        <v>pengetahuan prakarya 10</v>
      </c>
    </row>
    <row r="9" spans="1:102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1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2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4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6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8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20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2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3"/>
        <v>150</v>
      </c>
      <c r="CN9" s="322">
        <f t="shared" si="24"/>
        <v>90</v>
      </c>
      <c r="CO9" s="322">
        <f t="shared" si="25"/>
        <v>75</v>
      </c>
      <c r="CP9" s="225">
        <f t="shared" si="26"/>
        <v>78.75</v>
      </c>
      <c r="CQ9" s="323">
        <f t="shared" si="27"/>
        <v>79</v>
      </c>
      <c r="CR9" s="105" t="str">
        <f>IF(CQ9="","",IF(CQ9&gt;=menu!$O$6,"A",IF(CQ9&gt;=menu!$O$7,"B",IF(CQ9&gt;=menu!$O$8,"C","D"))))</f>
        <v>D</v>
      </c>
      <c r="CS9" s="105" t="str">
        <f>IF(CQ9="","",IF(CQ9&gt;=menu!$O$6,"sangat baik",IF(CQ9&gt;=menu!$O$7,"baik",IF(CQ9&gt;=menu!$O$8,"cukup","kurang"))))</f>
        <v>kurang</v>
      </c>
      <c r="CT9" s="398" t="str">
        <f t="shared" si="28"/>
        <v>TUNTAS</v>
      </c>
      <c r="CU9" s="397" t="str">
        <f t="shared" si="29"/>
        <v>TIDAK</v>
      </c>
      <c r="CV9" s="115" t="str">
        <f t="shared" si="30"/>
        <v>Memiliki penguasaan semua materi kurang,  sudah menguasai pengetahuan prakarya 7, dan perlu ditingkatkan dalam pengetahuan prakarya 6</v>
      </c>
      <c r="CW9" s="108" t="str">
        <f>IF(CI9="","",VLOOKUP(CI9,DATAPENG!$J$3:$K$12,2,FALSE))</f>
        <v>pengetahuan prakarya 7</v>
      </c>
      <c r="CX9" s="108" t="str">
        <f>IF(CJ9="","",VLOOKUP(CJ9,DATAPENG!$J$3:$K$12,2,FALSE))</f>
        <v>pengetahuan prakarya 6</v>
      </c>
    </row>
    <row r="10" spans="1:102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1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2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4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6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8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20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2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3"/>
        <v>164.8</v>
      </c>
      <c r="CN10" s="322">
        <f t="shared" si="24"/>
        <v>87.5</v>
      </c>
      <c r="CO10" s="322">
        <f t="shared" si="25"/>
        <v>80</v>
      </c>
      <c r="CP10" s="225">
        <f t="shared" si="26"/>
        <v>83.075000000000003</v>
      </c>
      <c r="CQ10" s="323">
        <f t="shared" si="27"/>
        <v>84</v>
      </c>
      <c r="CR10" s="105" t="str">
        <f>IF(CQ10="","",IF(CQ10&gt;=menu!$O$6,"A",IF(CQ10&gt;=menu!$O$7,"B",IF(CQ10&gt;=menu!$O$8,"C","D"))))</f>
        <v>C</v>
      </c>
      <c r="CS10" s="105" t="str">
        <f>IF(CQ10="","",IF(CQ10&gt;=menu!$O$6,"sangat baik",IF(CQ10&gt;=menu!$O$7,"baik",IF(CQ10&gt;=menu!$O$8,"cukup","kurang"))))</f>
        <v>cukup</v>
      </c>
      <c r="CT10" s="398" t="str">
        <f t="shared" si="28"/>
        <v>TUNTAS</v>
      </c>
      <c r="CU10" s="397" t="str">
        <f t="shared" si="29"/>
        <v>TIDAK</v>
      </c>
      <c r="CV10" s="115" t="str">
        <f t="shared" si="30"/>
        <v>Memiliki penguasaan semua materi cukup,  sudah menguasai pengetahuan prakarya 2, dan perlu ditingkatkan dalam pengetahuan prakarya 10</v>
      </c>
      <c r="CW10" s="108" t="str">
        <f>IF(CI10="","",VLOOKUP(CI10,DATAPENG!$L$3:$M$12,2,FALSE))</f>
        <v>pengetahuan prakarya 2</v>
      </c>
      <c r="CX10" s="108" t="str">
        <f>IF(CJ10="","",VLOOKUP(CJ10,DATAPENG!$L$3:$M$12,2,FALSE))</f>
        <v>pengetahuan prakarya 10</v>
      </c>
    </row>
    <row r="11" spans="1:102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1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2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4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6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8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20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2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3"/>
        <v>154.85</v>
      </c>
      <c r="CN11" s="322">
        <f t="shared" si="24"/>
        <v>82.5</v>
      </c>
      <c r="CO11" s="322">
        <f t="shared" si="25"/>
        <v>90</v>
      </c>
      <c r="CP11" s="225">
        <f t="shared" si="26"/>
        <v>81.837500000000006</v>
      </c>
      <c r="CQ11" s="323">
        <f t="shared" si="27"/>
        <v>82</v>
      </c>
      <c r="CR11" s="105" t="str">
        <f>IF(CQ11="","",IF(CQ11&gt;=menu!$O$6,"A",IF(CQ11&gt;=menu!$O$7,"B",IF(CQ11&gt;=menu!$O$8,"C","D"))))</f>
        <v>C</v>
      </c>
      <c r="CS11" s="105" t="str">
        <f>IF(CQ11="","",IF(CQ11&gt;=menu!$O$6,"sangat baik",IF(CQ11&gt;=menu!$O$7,"baik",IF(CQ11&gt;=menu!$O$8,"cukup","kurang"))))</f>
        <v>cukup</v>
      </c>
      <c r="CT11" s="398" t="str">
        <f t="shared" si="28"/>
        <v>TUNTAS</v>
      </c>
      <c r="CU11" s="397" t="str">
        <f t="shared" si="29"/>
        <v>TIDAK</v>
      </c>
      <c r="CV11" s="115" t="str">
        <f t="shared" si="30"/>
        <v>Memiliki penguasaan semua materi cukup,  sudah menguasai pengetahuan prakarya 4, dan perlu ditingkatkan dalam pengetahuan prakarya 2</v>
      </c>
      <c r="CW11" s="108" t="str">
        <f>IF(CI11="","",VLOOKUP(CI11,DATAPENG!$N$3:$O$12,2,FALSE))</f>
        <v>pengetahuan prakarya 4</v>
      </c>
      <c r="CX11" s="108" t="str">
        <f>IF(CJ11="","",VLOOKUP(CJ11,DATAPENG!$N$3:$O$12,2,FALSE))</f>
        <v>pengetahuan prakarya 2</v>
      </c>
    </row>
    <row r="12" spans="1:102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1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2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4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6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8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20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2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3"/>
        <v>165.4</v>
      </c>
      <c r="CN12" s="322">
        <f t="shared" si="24"/>
        <v>87.5</v>
      </c>
      <c r="CO12" s="322">
        <f t="shared" si="25"/>
        <v>90</v>
      </c>
      <c r="CP12" s="225">
        <f t="shared" si="26"/>
        <v>85.724999999999994</v>
      </c>
      <c r="CQ12" s="323">
        <f t="shared" si="27"/>
        <v>86</v>
      </c>
      <c r="CR12" s="105" t="str">
        <f>IF(CQ12="","",IF(CQ12&gt;=menu!$O$6,"A",IF(CQ12&gt;=menu!$O$7,"B",IF(CQ12&gt;=menu!$O$8,"C","D"))))</f>
        <v>C</v>
      </c>
      <c r="CS12" s="105" t="str">
        <f>IF(CQ12="","",IF(CQ12&gt;=menu!$O$6,"sangat baik",IF(CQ12&gt;=menu!$O$7,"baik",IF(CQ12&gt;=menu!$O$8,"cukup","kurang"))))</f>
        <v>cukup</v>
      </c>
      <c r="CT12" s="398" t="str">
        <f t="shared" si="28"/>
        <v>TUNTAS</v>
      </c>
      <c r="CU12" s="397" t="str">
        <f t="shared" si="29"/>
        <v>TIDAK</v>
      </c>
      <c r="CV12" s="115" t="str">
        <f t="shared" si="30"/>
        <v>Memiliki penguasaan semua materi cukup,  sudah menguasai pengetahuan prakarya 4, dan perlu ditingkatkan dalam pengetahuan prakarya 10</v>
      </c>
      <c r="CW12" s="108" t="str">
        <f>IF(CI12="","",VLOOKUP(CI12,DATAPENG!$P$3:$Q$12,2,FALSE))</f>
        <v>pengetahuan prakarya 4</v>
      </c>
      <c r="CX12" s="108" t="str">
        <f>IF(CJ12="","",VLOOKUP(CJ12,DATAPENG!$P$3:$Q$12,2,FALSE))</f>
        <v>pengetahuan prakarya 10</v>
      </c>
    </row>
    <row r="13" spans="1:102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1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2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4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6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8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20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2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3"/>
        <v>159.4</v>
      </c>
      <c r="CN13" s="322">
        <f t="shared" si="24"/>
        <v>87.5</v>
      </c>
      <c r="CO13" s="322">
        <f t="shared" si="25"/>
        <v>90</v>
      </c>
      <c r="CP13" s="225">
        <f t="shared" si="26"/>
        <v>84.224999999999994</v>
      </c>
      <c r="CQ13" s="323">
        <f t="shared" si="27"/>
        <v>85</v>
      </c>
      <c r="CR13" s="105" t="str">
        <f>IF(CQ13="","",IF(CQ13&gt;=menu!$O$6,"A",IF(CQ13&gt;=menu!$O$7,"B",IF(CQ13&gt;=menu!$O$8,"C","D"))))</f>
        <v>C</v>
      </c>
      <c r="CS13" s="105" t="str">
        <f>IF(CQ13="","",IF(CQ13&gt;=menu!$O$6,"sangat baik",IF(CQ13&gt;=menu!$O$7,"baik",IF(CQ13&gt;=menu!$O$8,"cukup","kurang"))))</f>
        <v>cukup</v>
      </c>
      <c r="CT13" s="398" t="str">
        <f t="shared" si="28"/>
        <v>TUNTAS</v>
      </c>
      <c r="CU13" s="397" t="str">
        <f t="shared" si="29"/>
        <v>TIDAK</v>
      </c>
      <c r="CV13" s="115" t="str">
        <f t="shared" si="30"/>
        <v>Memiliki penguasaan semua materi cukup,  sudah menguasai pengetahuan prakarya 4, dan perlu ditingkatkan dalam pengetahuan prakarya 10</v>
      </c>
      <c r="CW13" s="108" t="str">
        <f>IF(CI13="","",VLOOKUP(CI13,DATAPENG!$R$3:$S$12,2,FALSE))</f>
        <v>pengetahuan prakarya 4</v>
      </c>
      <c r="CX13" s="108" t="str">
        <f>IF(CJ13="","",VLOOKUP(CJ13,DATAPENG!$R$3:$S$12,2,FALSE))</f>
        <v>pengetahuan prakarya 10</v>
      </c>
    </row>
    <row r="14" spans="1:102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1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2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4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6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8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20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2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3"/>
        <v>158.9</v>
      </c>
      <c r="CN14" s="322">
        <f t="shared" si="24"/>
        <v>90</v>
      </c>
      <c r="CO14" s="322">
        <f t="shared" si="25"/>
        <v>90</v>
      </c>
      <c r="CP14" s="225">
        <f t="shared" si="26"/>
        <v>84.724999999999994</v>
      </c>
      <c r="CQ14" s="323">
        <f t="shared" si="27"/>
        <v>85</v>
      </c>
      <c r="CR14" s="105" t="str">
        <f>IF(CQ14="","",IF(CQ14&gt;=menu!$O$6,"A",IF(CQ14&gt;=menu!$O$7,"B",IF(CQ14&gt;=menu!$O$8,"C","D"))))</f>
        <v>C</v>
      </c>
      <c r="CS14" s="105" t="str">
        <f>IF(CQ14="","",IF(CQ14&gt;=menu!$O$6,"sangat baik",IF(CQ14&gt;=menu!$O$7,"baik",IF(CQ14&gt;=menu!$O$8,"cukup","kurang"))))</f>
        <v>cukup</v>
      </c>
      <c r="CT14" s="398" t="str">
        <f t="shared" si="28"/>
        <v>TUNTAS</v>
      </c>
      <c r="CU14" s="397" t="str">
        <f t="shared" si="29"/>
        <v>TIDAK</v>
      </c>
      <c r="CV14" s="115" t="str">
        <f t="shared" si="30"/>
        <v>Memiliki penguasaan semua materi cukup,  sudah menguasai pengetahuan prakarya 7, dan perlu ditingkatkan dalam pengetahuan prakarya 6</v>
      </c>
      <c r="CW14" s="108" t="str">
        <f>IF(CI14="","",VLOOKUP(CI14,DATAPENG!$T$3:$U$12,2,FALSE))</f>
        <v>pengetahuan prakarya 7</v>
      </c>
      <c r="CX14" s="108" t="str">
        <f>IF(CJ14="","",VLOOKUP(CJ14,DATAPENG!$T$3:$U$12,2,FALSE))</f>
        <v>pengetahuan prakarya 6</v>
      </c>
    </row>
    <row r="15" spans="1:102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1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2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4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6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8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20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2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3"/>
        <v>136.80000000000001</v>
      </c>
      <c r="CN15" s="322">
        <f t="shared" si="24"/>
        <v>85</v>
      </c>
      <c r="CO15" s="322">
        <f t="shared" si="25"/>
        <v>87.5</v>
      </c>
      <c r="CP15" s="225">
        <f t="shared" si="26"/>
        <v>77.325000000000003</v>
      </c>
      <c r="CQ15" s="323">
        <f t="shared" si="27"/>
        <v>78</v>
      </c>
      <c r="CR15" s="105" t="str">
        <f>IF(CQ15="","",IF(CQ15&gt;=menu!$O$6,"A",IF(CQ15&gt;=menu!$O$7,"B",IF(CQ15&gt;=menu!$O$8,"C","D"))))</f>
        <v>D</v>
      </c>
      <c r="CS15" s="105" t="str">
        <f>IF(CQ15="","",IF(CQ15&gt;=menu!$O$6,"sangat baik",IF(CQ15&gt;=menu!$O$7,"baik",IF(CQ15&gt;=menu!$O$8,"cukup","kurang"))))</f>
        <v>kurang</v>
      </c>
      <c r="CT15" s="398" t="str">
        <f t="shared" si="28"/>
        <v>TUNTAS</v>
      </c>
      <c r="CU15" s="397" t="str">
        <f t="shared" si="29"/>
        <v>TIDAK</v>
      </c>
      <c r="CV15" s="115" t="str">
        <f t="shared" si="30"/>
        <v>Memiliki penguasaan semua materi kurang,  sudah menguasai pengetahuan prakarya 1, dan perlu ditingkatkan dalam pengetahuan prakarya 6</v>
      </c>
      <c r="CW15" s="108" t="str">
        <f>IF(CI15="","",VLOOKUP(CI15,DATAPENG!$V$3:$W$12,2,FALSE))</f>
        <v>pengetahuan prakarya 1</v>
      </c>
      <c r="CX15" s="108" t="str">
        <f>IF(CJ15="","",VLOOKUP(CJ15,DATAPENG!$V$3:$W$12,2,FALSE))</f>
        <v>pengetahuan prakarya 6</v>
      </c>
    </row>
    <row r="16" spans="1:102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1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2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4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6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8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20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2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3"/>
        <v>163.9</v>
      </c>
      <c r="CN16" s="322">
        <f t="shared" si="24"/>
        <v>87.5</v>
      </c>
      <c r="CO16" s="322">
        <f t="shared" si="25"/>
        <v>87.5</v>
      </c>
      <c r="CP16" s="225">
        <f t="shared" si="26"/>
        <v>84.724999999999994</v>
      </c>
      <c r="CQ16" s="323">
        <f t="shared" si="27"/>
        <v>85</v>
      </c>
      <c r="CR16" s="105" t="str">
        <f>IF(CQ16="","",IF(CQ16&gt;=menu!$O$6,"A",IF(CQ16&gt;=menu!$O$7,"B",IF(CQ16&gt;=menu!$O$8,"C","D"))))</f>
        <v>C</v>
      </c>
      <c r="CS16" s="105" t="str">
        <f>IF(CQ16="","",IF(CQ16&gt;=menu!$O$6,"sangat baik",IF(CQ16&gt;=menu!$O$7,"baik",IF(CQ16&gt;=menu!$O$8,"cukup","kurang"))))</f>
        <v>cukup</v>
      </c>
      <c r="CT16" s="398" t="str">
        <f t="shared" si="28"/>
        <v>TUNTAS</v>
      </c>
      <c r="CU16" s="397" t="str">
        <f t="shared" si="29"/>
        <v>TIDAK</v>
      </c>
      <c r="CV16" s="115" t="str">
        <f t="shared" si="30"/>
        <v>Memiliki penguasaan semua materi cukup,  sudah menguasai pengetahuan prakarya 1, dan perlu ditingkatkan dalam pengetahuan prakarya 10</v>
      </c>
      <c r="CW16" s="108" t="str">
        <f>IF(CI16="","",VLOOKUP(CI16,DATAPENG!$X$3:$Y$12,2,FALSE))</f>
        <v>pengetahuan prakarya 1</v>
      </c>
      <c r="CX16" s="108" t="str">
        <f>IF(CJ16="","",VLOOKUP(CJ16,DATAPENG!$X$3:$Y$12,2,FALSE))</f>
        <v>pengetahuan prakarya 10</v>
      </c>
    </row>
    <row r="17" spans="1:102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1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2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4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6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8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20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2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3"/>
        <v>157.9</v>
      </c>
      <c r="CN17" s="322">
        <f t="shared" si="24"/>
        <v>87.5</v>
      </c>
      <c r="CO17" s="322">
        <f t="shared" si="25"/>
        <v>92.5</v>
      </c>
      <c r="CP17" s="225">
        <f t="shared" si="26"/>
        <v>84.474999999999994</v>
      </c>
      <c r="CQ17" s="323">
        <f t="shared" si="27"/>
        <v>85</v>
      </c>
      <c r="CR17" s="105" t="str">
        <f>IF(CQ17="","",IF(CQ17&gt;=menu!$O$6,"A",IF(CQ17&gt;=menu!$O$7,"B",IF(CQ17&gt;=menu!$O$8,"C","D"))))</f>
        <v>C</v>
      </c>
      <c r="CS17" s="105" t="str">
        <f>IF(CQ17="","",IF(CQ17&gt;=menu!$O$6,"sangat baik",IF(CQ17&gt;=menu!$O$7,"baik",IF(CQ17&gt;=menu!$O$8,"cukup","kurang"))))</f>
        <v>cukup</v>
      </c>
      <c r="CT17" s="398" t="str">
        <f t="shared" si="28"/>
        <v>TUNTAS</v>
      </c>
      <c r="CU17" s="397" t="str">
        <f t="shared" si="29"/>
        <v>TIDAK</v>
      </c>
      <c r="CV17" s="115" t="str">
        <f t="shared" si="30"/>
        <v>Memiliki penguasaan semua materi cukup,  sudah menguasai pengetahuan prakarya 2, dan perlu ditingkatkan dalam pengetahuan prakarya 9</v>
      </c>
      <c r="CW17" s="108" t="str">
        <f>IF(CI17="","",VLOOKUP(CI17,DATAPENG!$Z$3:$AA$12,2,FALSE))</f>
        <v>pengetahuan prakarya 2</v>
      </c>
      <c r="CX17" s="108" t="str">
        <f>IF(CJ17="","",VLOOKUP(CJ17,DATAPENG!$Z$3:$AA$12,2,FALSE))</f>
        <v>pengetahuan prakarya 9</v>
      </c>
    </row>
    <row r="18" spans="1:102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1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2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4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6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8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20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2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3"/>
        <v>170.1</v>
      </c>
      <c r="CN18" s="322">
        <f t="shared" si="24"/>
        <v>90</v>
      </c>
      <c r="CO18" s="322">
        <f t="shared" si="25"/>
        <v>80</v>
      </c>
      <c r="CP18" s="225">
        <f t="shared" si="26"/>
        <v>85.025000000000006</v>
      </c>
      <c r="CQ18" s="323">
        <f t="shared" si="27"/>
        <v>86</v>
      </c>
      <c r="CR18" s="105" t="str">
        <f>IF(CQ18="","",IF(CQ18&gt;=menu!$O$6,"A",IF(CQ18&gt;=menu!$O$7,"B",IF(CQ18&gt;=menu!$O$8,"C","D"))))</f>
        <v>C</v>
      </c>
      <c r="CS18" s="105" t="str">
        <f>IF(CQ18="","",IF(CQ18&gt;=menu!$O$6,"sangat baik",IF(CQ18&gt;=menu!$O$7,"baik",IF(CQ18&gt;=menu!$O$8,"cukup","kurang"))))</f>
        <v>cukup</v>
      </c>
      <c r="CT18" s="398" t="str">
        <f t="shared" si="28"/>
        <v>TUNTAS</v>
      </c>
      <c r="CU18" s="397" t="str">
        <f t="shared" si="29"/>
        <v>TIDAK</v>
      </c>
      <c r="CV18" s="115" t="str">
        <f t="shared" si="30"/>
        <v>Memiliki penguasaan semua materi cukup,  sudah menguasai pengetahuan prakarya 8, dan perlu ditingkatkan dalam pengetahuan prakarya 10</v>
      </c>
      <c r="CW18" s="108" t="str">
        <f>IF(CI18="","",VLOOKUP(CI18,DATAPENG!$AB$3:$AC$12,2,FALSE))</f>
        <v>pengetahuan prakarya 8</v>
      </c>
      <c r="CX18" s="108" t="str">
        <f>IF(CJ18="","",VLOOKUP(CJ18,DATAPENG!$AB$3:$AC$12,2,FALSE))</f>
        <v>pengetahuan prakarya 10</v>
      </c>
    </row>
    <row r="19" spans="1:102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1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2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4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6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8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20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2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3"/>
        <v>163.5</v>
      </c>
      <c r="CN19" s="322">
        <f t="shared" si="24"/>
        <v>90</v>
      </c>
      <c r="CO19" s="322">
        <f t="shared" si="25"/>
        <v>77.5</v>
      </c>
      <c r="CP19" s="225">
        <f t="shared" si="26"/>
        <v>82.75</v>
      </c>
      <c r="CQ19" s="323">
        <f t="shared" si="27"/>
        <v>83</v>
      </c>
      <c r="CR19" s="105" t="str">
        <f>IF(CQ19="","",IF(CQ19&gt;=menu!$O$6,"A",IF(CQ19&gt;=menu!$O$7,"B",IF(CQ19&gt;=menu!$O$8,"C","D"))))</f>
        <v>C</v>
      </c>
      <c r="CS19" s="105" t="str">
        <f>IF(CQ19="","",IF(CQ19&gt;=menu!$O$6,"sangat baik",IF(CQ19&gt;=menu!$O$7,"baik",IF(CQ19&gt;=menu!$O$8,"cukup","kurang"))))</f>
        <v>cukup</v>
      </c>
      <c r="CT19" s="398" t="str">
        <f t="shared" si="28"/>
        <v>TUNTAS</v>
      </c>
      <c r="CU19" s="397" t="str">
        <f t="shared" si="29"/>
        <v>TIDAK</v>
      </c>
      <c r="CV19" s="115" t="str">
        <f t="shared" si="30"/>
        <v>Memiliki penguasaan semua materi cukup,  sudah menguasai pengetahuan prakarya 1, dan perlu ditingkatkan dalam pengetahuan prakarya 6</v>
      </c>
      <c r="CW19" s="108" t="str">
        <f>IF(CI19="","",VLOOKUP(CI19,DATAPENG!$AD$3:$AE$12,2,FALSE))</f>
        <v>pengetahuan prakarya 1</v>
      </c>
      <c r="CX19" s="108" t="str">
        <f>IF(CJ19="","",VLOOKUP(CJ19,DATAPENG!$AD$3:$AE$12,2,FALSE))</f>
        <v>pengetahuan prakarya 6</v>
      </c>
    </row>
    <row r="20" spans="1:102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1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2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4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6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8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20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2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3"/>
        <v>163.25</v>
      </c>
      <c r="CN20" s="322">
        <f t="shared" si="24"/>
        <v>87.5</v>
      </c>
      <c r="CO20" s="322">
        <f t="shared" si="25"/>
        <v>92.5</v>
      </c>
      <c r="CP20" s="225">
        <f t="shared" si="26"/>
        <v>85.8125</v>
      </c>
      <c r="CQ20" s="323">
        <f t="shared" si="27"/>
        <v>86</v>
      </c>
      <c r="CR20" s="105" t="str">
        <f>IF(CQ20="","",IF(CQ20&gt;=menu!$O$6,"A",IF(CQ20&gt;=menu!$O$7,"B",IF(CQ20&gt;=menu!$O$8,"C","D"))))</f>
        <v>C</v>
      </c>
      <c r="CS20" s="105" t="str">
        <f>IF(CQ20="","",IF(CQ20&gt;=menu!$O$6,"sangat baik",IF(CQ20&gt;=menu!$O$7,"baik",IF(CQ20&gt;=menu!$O$8,"cukup","kurang"))))</f>
        <v>cukup</v>
      </c>
      <c r="CT20" s="398" t="str">
        <f t="shared" si="28"/>
        <v>TUNTAS</v>
      </c>
      <c r="CU20" s="397" t="str">
        <f t="shared" si="29"/>
        <v>TIDAK</v>
      </c>
      <c r="CV20" s="115" t="str">
        <f t="shared" si="30"/>
        <v>Memiliki penguasaan semua materi cukup,  sudah menguasai pengetahuan prakarya 4, dan perlu ditingkatkan dalam pengetahuan prakarya 9</v>
      </c>
      <c r="CW20" s="108" t="str">
        <f>IF(CI20="","",VLOOKUP(CI20,DATAPENG!$AF$3:$AG$12,2,FALSE))</f>
        <v>pengetahuan prakarya 4</v>
      </c>
      <c r="CX20" s="108" t="str">
        <f>IF(CJ20="","",VLOOKUP(CJ20,DATAPENG!$AF$3:$AG$12,2,FALSE))</f>
        <v>pengetahuan prakarya 9</v>
      </c>
    </row>
    <row r="21" spans="1:102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1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2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4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6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8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20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2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3"/>
        <v>164.5</v>
      </c>
      <c r="CN21" s="322">
        <f t="shared" si="24"/>
        <v>90</v>
      </c>
      <c r="CO21" s="322">
        <f t="shared" si="25"/>
        <v>87.5</v>
      </c>
      <c r="CP21" s="225">
        <f t="shared" si="26"/>
        <v>85.5</v>
      </c>
      <c r="CQ21" s="323">
        <f t="shared" si="27"/>
        <v>86</v>
      </c>
      <c r="CR21" s="105" t="str">
        <f>IF(CQ21="","",IF(CQ21&gt;=menu!$O$6,"A",IF(CQ21&gt;=menu!$O$7,"B",IF(CQ21&gt;=menu!$O$8,"C","D"))))</f>
        <v>C</v>
      </c>
      <c r="CS21" s="105" t="str">
        <f>IF(CQ21="","",IF(CQ21&gt;=menu!$O$6,"sangat baik",IF(CQ21&gt;=menu!$O$7,"baik",IF(CQ21&gt;=menu!$O$8,"cukup","kurang"))))</f>
        <v>cukup</v>
      </c>
      <c r="CT21" s="398" t="str">
        <f t="shared" si="28"/>
        <v>TUNTAS</v>
      </c>
      <c r="CU21" s="397" t="str">
        <f t="shared" si="29"/>
        <v>TIDAK</v>
      </c>
      <c r="CV21" s="115" t="str">
        <f t="shared" si="30"/>
        <v>Memiliki penguasaan semua materi cukup,  sudah menguasai pengetahuan prakarya 1, dan perlu ditingkatkan dalam pengetahuan prakarya 10</v>
      </c>
      <c r="CW21" s="108" t="str">
        <f>IF(CI21="","",VLOOKUP(CI21,DATAPENG!$AH$3:$AI$12,2,FALSE))</f>
        <v>pengetahuan prakarya 1</v>
      </c>
      <c r="CX21" s="108" t="str">
        <f>IF(CJ21="","",VLOOKUP(CJ21,DATAPENG!$AH$3:$AI$12,2,FALSE))</f>
        <v>pengetahuan prakarya 10</v>
      </c>
    </row>
    <row r="22" spans="1:102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1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2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4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6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8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20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2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3"/>
        <v>160.19999999999999</v>
      </c>
      <c r="CN22" s="322">
        <f t="shared" si="24"/>
        <v>87.5</v>
      </c>
      <c r="CO22" s="322">
        <f t="shared" si="25"/>
        <v>77.5</v>
      </c>
      <c r="CP22" s="225">
        <f t="shared" si="26"/>
        <v>81.3</v>
      </c>
      <c r="CQ22" s="323">
        <f t="shared" si="27"/>
        <v>82</v>
      </c>
      <c r="CR22" s="105" t="str">
        <f>IF(CQ22="","",IF(CQ22&gt;=menu!$O$6,"A",IF(CQ22&gt;=menu!$O$7,"B",IF(CQ22&gt;=menu!$O$8,"C","D"))))</f>
        <v>C</v>
      </c>
      <c r="CS22" s="105" t="str">
        <f>IF(CQ22="","",IF(CQ22&gt;=menu!$O$6,"sangat baik",IF(CQ22&gt;=menu!$O$7,"baik",IF(CQ22&gt;=menu!$O$8,"cukup","kurang"))))</f>
        <v>cukup</v>
      </c>
      <c r="CT22" s="398" t="str">
        <f t="shared" si="28"/>
        <v>TUNTAS</v>
      </c>
      <c r="CU22" s="397" t="str">
        <f t="shared" si="29"/>
        <v>TIDAK</v>
      </c>
      <c r="CV22" s="115" t="str">
        <f t="shared" si="30"/>
        <v>Memiliki penguasaan semua materi cukup,  sudah menguasai pengetahuan prakarya 8, dan perlu ditingkatkan dalam pengetahuan prakarya 10</v>
      </c>
      <c r="CW22" s="108" t="str">
        <f>IF(CI22="","",VLOOKUP(CI22,DATAPENG!$AJ$3:$AK$12,2,FALSE))</f>
        <v>pengetahuan prakarya 8</v>
      </c>
      <c r="CX22" s="108" t="str">
        <f>IF(CJ22="","",VLOOKUP(CJ22,DATAPENG!$AJ$3:$AK$12,2,FALSE))</f>
        <v>pengetahuan prakarya 10</v>
      </c>
    </row>
    <row r="23" spans="1:102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1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2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4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6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8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20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2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3"/>
        <v>152.75</v>
      </c>
      <c r="CN23" s="322">
        <f t="shared" si="24"/>
        <v>90</v>
      </c>
      <c r="CO23" s="322">
        <f t="shared" si="25"/>
        <v>80</v>
      </c>
      <c r="CP23" s="225">
        <f t="shared" si="26"/>
        <v>80.6875</v>
      </c>
      <c r="CQ23" s="323">
        <f t="shared" si="27"/>
        <v>81</v>
      </c>
      <c r="CR23" s="105" t="str">
        <f>IF(CQ23="","",IF(CQ23&gt;=menu!$O$6,"A",IF(CQ23&gt;=menu!$O$7,"B",IF(CQ23&gt;=menu!$O$8,"C","D"))))</f>
        <v>C</v>
      </c>
      <c r="CS23" s="105" t="str">
        <f>IF(CQ23="","",IF(CQ23&gt;=menu!$O$6,"sangat baik",IF(CQ23&gt;=menu!$O$7,"baik",IF(CQ23&gt;=menu!$O$8,"cukup","kurang"))))</f>
        <v>cukup</v>
      </c>
      <c r="CT23" s="398" t="str">
        <f t="shared" si="28"/>
        <v>TUNTAS</v>
      </c>
      <c r="CU23" s="397" t="str">
        <f t="shared" si="29"/>
        <v>TIDAK</v>
      </c>
      <c r="CV23" s="115" t="str">
        <f t="shared" si="30"/>
        <v>Memiliki penguasaan semua materi cukup,  sudah menguasai pengetahuan prakarya 4, dan perlu ditingkatkan dalam pengetahuan prakarya 9</v>
      </c>
      <c r="CW23" s="108" t="str">
        <f>IF(CI23="","",VLOOKUP(CI23,DATAPENG!$AL$3:$AM$12,2,FALSE))</f>
        <v>pengetahuan prakarya 4</v>
      </c>
      <c r="CX23" s="108" t="str">
        <f>IF(CJ23="","",VLOOKUP(CJ23,DATAPENG!$AL$3:$AM$12,2,FALSE))</f>
        <v>pengetahuan prakarya 9</v>
      </c>
    </row>
    <row r="24" spans="1:102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1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2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4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6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8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20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2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3"/>
        <v>150.6</v>
      </c>
      <c r="CN24" s="322">
        <f t="shared" si="24"/>
        <v>87.5</v>
      </c>
      <c r="CO24" s="322">
        <f t="shared" si="25"/>
        <v>87.5</v>
      </c>
      <c r="CP24" s="225">
        <f t="shared" si="26"/>
        <v>81.400000000000006</v>
      </c>
      <c r="CQ24" s="323">
        <f t="shared" si="27"/>
        <v>82</v>
      </c>
      <c r="CR24" s="105" t="str">
        <f>IF(CQ24="","",IF(CQ24&gt;=menu!$O$6,"A",IF(CQ24&gt;=menu!$O$7,"B",IF(CQ24&gt;=menu!$O$8,"C","D"))))</f>
        <v>C</v>
      </c>
      <c r="CS24" s="105" t="str">
        <f>IF(CQ24="","",IF(CQ24&gt;=menu!$O$6,"sangat baik",IF(CQ24&gt;=menu!$O$7,"baik",IF(CQ24&gt;=menu!$O$8,"cukup","kurang"))))</f>
        <v>cukup</v>
      </c>
      <c r="CT24" s="398" t="str">
        <f t="shared" si="28"/>
        <v>TUNTAS</v>
      </c>
      <c r="CU24" s="397" t="str">
        <f t="shared" si="29"/>
        <v>TIDAK</v>
      </c>
      <c r="CV24" s="115" t="str">
        <f t="shared" si="30"/>
        <v>Memiliki penguasaan semua materi cukup,  sudah menguasai pengetahuan prakarya 7, dan perlu ditingkatkan dalam pengetahuan prakarya 10</v>
      </c>
      <c r="CW24" s="108" t="str">
        <f>IF(CI24="","",VLOOKUP(CI24,DATAPENG!$AN$3:$AO$12,2,FALSE))</f>
        <v>pengetahuan prakarya 7</v>
      </c>
      <c r="CX24" s="108" t="str">
        <f>IF(CJ24="","",VLOOKUP(CJ24,DATAPENG!$AN$3:$AO$12,2,FALSE))</f>
        <v>pengetahuan prakarya 10</v>
      </c>
    </row>
    <row r="25" spans="1:102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1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2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4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6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8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20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2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3"/>
        <v>158.19999999999999</v>
      </c>
      <c r="CN25" s="322">
        <f t="shared" si="24"/>
        <v>90</v>
      </c>
      <c r="CO25" s="322">
        <f t="shared" si="25"/>
        <v>79</v>
      </c>
      <c r="CP25" s="225">
        <f t="shared" si="26"/>
        <v>81.8</v>
      </c>
      <c r="CQ25" s="323">
        <f t="shared" si="27"/>
        <v>82</v>
      </c>
      <c r="CR25" s="105" t="str">
        <f>IF(CQ25="","",IF(CQ25&gt;=menu!$O$6,"A",IF(CQ25&gt;=menu!$O$7,"B",IF(CQ25&gt;=menu!$O$8,"C","D"))))</f>
        <v>C</v>
      </c>
      <c r="CS25" s="105" t="str">
        <f>IF(CQ25="","",IF(CQ25&gt;=menu!$O$6,"sangat baik",IF(CQ25&gt;=menu!$O$7,"baik",IF(CQ25&gt;=menu!$O$8,"cukup","kurang"))))</f>
        <v>cukup</v>
      </c>
      <c r="CT25" s="398" t="str">
        <f t="shared" si="28"/>
        <v>TUNTAS</v>
      </c>
      <c r="CU25" s="397" t="str">
        <f t="shared" si="29"/>
        <v>TIDAK</v>
      </c>
      <c r="CV25" s="115" t="str">
        <f t="shared" si="30"/>
        <v>Memiliki penguasaan semua materi cukup,  sudah menguasai pengetahuan prakarya 1, dan perlu ditingkatkan dalam pengetahuan prakarya 10</v>
      </c>
      <c r="CW25" s="108" t="str">
        <f>IF(CI25="","",VLOOKUP(CI25,DATAPENG!$AP$3:$AQ$12,2,FALSE))</f>
        <v>pengetahuan prakarya 1</v>
      </c>
      <c r="CX25" s="108" t="str">
        <f>IF(CJ25="","",VLOOKUP(CJ25,DATAPENG!$AP$3:$AQ$12,2,FALSE))</f>
        <v>pengetahuan prakarya 10</v>
      </c>
    </row>
    <row r="26" spans="1:102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1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2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4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6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8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20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2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3"/>
        <v>147.4</v>
      </c>
      <c r="CN26" s="322">
        <f t="shared" si="24"/>
        <v>87.5</v>
      </c>
      <c r="CO26" s="322">
        <f t="shared" si="25"/>
        <v>97.5</v>
      </c>
      <c r="CP26" s="225">
        <f t="shared" si="26"/>
        <v>83.1</v>
      </c>
      <c r="CQ26" s="323">
        <f t="shared" si="27"/>
        <v>84</v>
      </c>
      <c r="CR26" s="105" t="str">
        <f>IF(CQ26="","",IF(CQ26&gt;=menu!$O$6,"A",IF(CQ26&gt;=menu!$O$7,"B",IF(CQ26&gt;=menu!$O$8,"C","D"))))</f>
        <v>C</v>
      </c>
      <c r="CS26" s="105" t="str">
        <f>IF(CQ26="","",IF(CQ26&gt;=menu!$O$6,"sangat baik",IF(CQ26&gt;=menu!$O$7,"baik",IF(CQ26&gt;=menu!$O$8,"cukup","kurang"))))</f>
        <v>cukup</v>
      </c>
      <c r="CT26" s="398" t="str">
        <f t="shared" si="28"/>
        <v>TUNTAS</v>
      </c>
      <c r="CU26" s="397" t="str">
        <f t="shared" si="29"/>
        <v>TIDAK</v>
      </c>
      <c r="CV26" s="115" t="str">
        <f t="shared" si="30"/>
        <v>Memiliki penguasaan semua materi cukup,  sudah menguasai pengetahuan prakarya 7, dan perlu ditingkatkan dalam pengetahuan prakarya 10</v>
      </c>
      <c r="CW26" s="108" t="str">
        <f>IF(CI26="","",VLOOKUP(CI26,DATAPENG!$AR$3:$AS$12,2,FALSE))</f>
        <v>pengetahuan prakarya 7</v>
      </c>
      <c r="CX26" s="108" t="str">
        <f>IF(CJ26="","",VLOOKUP(CJ26,DATAPENG!$AR$3:$AS$12,2,FALSE))</f>
        <v>pengetahuan prakarya 10</v>
      </c>
    </row>
    <row r="27" spans="1:102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1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2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4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6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8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20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2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3"/>
        <v>162.80000000000001</v>
      </c>
      <c r="CN27" s="322">
        <f t="shared" si="24"/>
        <v>90</v>
      </c>
      <c r="CO27" s="322">
        <f t="shared" si="25"/>
        <v>90</v>
      </c>
      <c r="CP27" s="225">
        <f t="shared" si="26"/>
        <v>85.7</v>
      </c>
      <c r="CQ27" s="323">
        <f t="shared" si="27"/>
        <v>86</v>
      </c>
      <c r="CR27" s="105" t="str">
        <f>IF(CQ27="","",IF(CQ27&gt;=menu!$O$6,"A",IF(CQ27&gt;=menu!$O$7,"B",IF(CQ27&gt;=menu!$O$8,"C","D"))))</f>
        <v>C</v>
      </c>
      <c r="CS27" s="105" t="str">
        <f>IF(CQ27="","",IF(CQ27&gt;=menu!$O$6,"sangat baik",IF(CQ27&gt;=menu!$O$7,"baik",IF(CQ27&gt;=menu!$O$8,"cukup","kurang"))))</f>
        <v>cukup</v>
      </c>
      <c r="CT27" s="398" t="str">
        <f t="shared" si="28"/>
        <v>TUNTAS</v>
      </c>
      <c r="CU27" s="397" t="str">
        <f t="shared" si="29"/>
        <v>TIDAK</v>
      </c>
      <c r="CV27" s="115" t="str">
        <f t="shared" si="30"/>
        <v>Memiliki penguasaan semua materi cukup,  sudah menguasai pengetahuan prakarya 4, dan perlu ditingkatkan dalam pengetahuan prakarya 10</v>
      </c>
      <c r="CW27" s="108" t="str">
        <f>IF(CI27="","",VLOOKUP(CI27,DATAPENG!$AT$3:$AU$12,2,FALSE))</f>
        <v>pengetahuan prakarya 4</v>
      </c>
      <c r="CX27" s="108" t="str">
        <f>IF(CJ27="","",VLOOKUP(CJ27,DATAPENG!$AT$3:$AU$12,2,FALSE))</f>
        <v>pengetahuan prakarya 10</v>
      </c>
    </row>
    <row r="28" spans="1:102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1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2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4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6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8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20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2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3"/>
        <v>161</v>
      </c>
      <c r="CN28" s="322">
        <f t="shared" si="24"/>
        <v>90</v>
      </c>
      <c r="CO28" s="322">
        <f t="shared" si="25"/>
        <v>80</v>
      </c>
      <c r="CP28" s="225">
        <f t="shared" si="26"/>
        <v>82.75</v>
      </c>
      <c r="CQ28" s="323">
        <f t="shared" si="27"/>
        <v>83</v>
      </c>
      <c r="CR28" s="105" t="str">
        <f>IF(CQ28="","",IF(CQ28&gt;=menu!$O$6,"A",IF(CQ28&gt;=menu!$O$7,"B",IF(CQ28&gt;=menu!$O$8,"C","D"))))</f>
        <v>C</v>
      </c>
      <c r="CS28" s="105" t="str">
        <f>IF(CQ28="","",IF(CQ28&gt;=menu!$O$6,"sangat baik",IF(CQ28&gt;=menu!$O$7,"baik",IF(CQ28&gt;=menu!$O$8,"cukup","kurang"))))</f>
        <v>cukup</v>
      </c>
      <c r="CT28" s="398" t="str">
        <f t="shared" si="28"/>
        <v>TUNTAS</v>
      </c>
      <c r="CU28" s="397" t="str">
        <f t="shared" si="29"/>
        <v>TIDAK</v>
      </c>
      <c r="CV28" s="115" t="str">
        <f t="shared" si="30"/>
        <v>Memiliki penguasaan semua materi cukup,  sudah menguasai pengetahuan prakarya 1, dan perlu ditingkatkan dalam pengetahuan prakarya 10</v>
      </c>
      <c r="CW28" s="108" t="str">
        <f>IF(CI28="","",VLOOKUP(CI28,DATAPENG!$AV$3:$AW$12,2,FALSE))</f>
        <v>pengetahuan prakarya 1</v>
      </c>
      <c r="CX28" s="108" t="str">
        <f>IF(CJ28="","",VLOOKUP(CJ28,DATAPENG!$AV$3:$AW$12,2,FALSE))</f>
        <v>pengetahuan prakarya 10</v>
      </c>
    </row>
    <row r="29" spans="1:102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1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2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4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6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8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20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2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3"/>
        <v>165.7</v>
      </c>
      <c r="CN29" s="322">
        <f t="shared" si="24"/>
        <v>90</v>
      </c>
      <c r="CO29" s="322">
        <f t="shared" si="25"/>
        <v>82.5</v>
      </c>
      <c r="CP29" s="225">
        <f t="shared" si="26"/>
        <v>84.55</v>
      </c>
      <c r="CQ29" s="323">
        <f t="shared" si="27"/>
        <v>85</v>
      </c>
      <c r="CR29" s="105" t="str">
        <f>IF(CQ29="","",IF(CQ29&gt;=menu!$O$6,"A",IF(CQ29&gt;=menu!$O$7,"B",IF(CQ29&gt;=menu!$O$8,"C","D"))))</f>
        <v>C</v>
      </c>
      <c r="CS29" s="105" t="str">
        <f>IF(CQ29="","",IF(CQ29&gt;=menu!$O$6,"sangat baik",IF(CQ29&gt;=menu!$O$7,"baik",IF(CQ29&gt;=menu!$O$8,"cukup","kurang"))))</f>
        <v>cukup</v>
      </c>
      <c r="CT29" s="398" t="str">
        <f t="shared" si="28"/>
        <v>TUNTAS</v>
      </c>
      <c r="CU29" s="397" t="str">
        <f t="shared" si="29"/>
        <v>TIDAK</v>
      </c>
      <c r="CV29" s="115" t="str">
        <f t="shared" si="30"/>
        <v>Memiliki penguasaan semua materi cukup,  sudah menguasai pengetahuan prakarya 8, dan perlu ditingkatkan dalam pengetahuan prakarya 10</v>
      </c>
      <c r="CW29" s="108" t="str">
        <f>IF(CI29="","",VLOOKUP(CI29,DATAPENG!$AX$3:$AY$12,2,FALSE))</f>
        <v>pengetahuan prakarya 8</v>
      </c>
      <c r="CX29" s="108" t="str">
        <f>IF(CJ29="","",VLOOKUP(CJ29,DATAPENG!$AX$3:$AY$12,2,FALSE))</f>
        <v>pengetahuan prakarya 10</v>
      </c>
    </row>
    <row r="30" spans="1:102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1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2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4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6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8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20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2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3"/>
        <v>162.55000000000001</v>
      </c>
      <c r="CN30" s="322">
        <f t="shared" si="24"/>
        <v>87.5</v>
      </c>
      <c r="CO30" s="322">
        <f t="shared" si="25"/>
        <v>85</v>
      </c>
      <c r="CP30" s="225">
        <f t="shared" si="26"/>
        <v>83.762500000000003</v>
      </c>
      <c r="CQ30" s="323">
        <f t="shared" si="27"/>
        <v>84</v>
      </c>
      <c r="CR30" s="105" t="str">
        <f>IF(CQ30="","",IF(CQ30&gt;=menu!$O$6,"A",IF(CQ30&gt;=menu!$O$7,"B",IF(CQ30&gt;=menu!$O$8,"C","D"))))</f>
        <v>C</v>
      </c>
      <c r="CS30" s="105" t="str">
        <f>IF(CQ30="","",IF(CQ30&gt;=menu!$O$6,"sangat baik",IF(CQ30&gt;=menu!$O$7,"baik",IF(CQ30&gt;=menu!$O$8,"cukup","kurang"))))</f>
        <v>cukup</v>
      </c>
      <c r="CT30" s="398" t="str">
        <f t="shared" si="28"/>
        <v>TUNTAS</v>
      </c>
      <c r="CU30" s="397" t="str">
        <f t="shared" si="29"/>
        <v>TIDAK</v>
      </c>
      <c r="CV30" s="115" t="str">
        <f t="shared" si="30"/>
        <v>Memiliki penguasaan semua materi cukup,  sudah menguasai pengetahuan prakarya 4, dan perlu ditingkatkan dalam pengetahuan prakarya 9</v>
      </c>
      <c r="CW30" s="108" t="str">
        <f>IF(CI30="","",VLOOKUP(CI30,DATAPENG!$AZ$3:$BA$12,2,FALSE))</f>
        <v>pengetahuan prakarya 4</v>
      </c>
      <c r="CX30" s="108" t="str">
        <f>IF(CJ30="","",VLOOKUP(CJ30,DATAPENG!$AZ$3:$BA$12,2,FALSE))</f>
        <v>pengetahuan prakarya 9</v>
      </c>
    </row>
    <row r="31" spans="1:102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1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2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4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6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8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20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2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3"/>
        <v>170.4</v>
      </c>
      <c r="CN31" s="322">
        <f t="shared" si="24"/>
        <v>90</v>
      </c>
      <c r="CO31" s="322">
        <f t="shared" si="25"/>
        <v>97.5</v>
      </c>
      <c r="CP31" s="225">
        <f t="shared" si="26"/>
        <v>89.474999999999994</v>
      </c>
      <c r="CQ31" s="323">
        <f t="shared" si="27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8"/>
        <v>TUNTAS</v>
      </c>
      <c r="CU31" s="397" t="str">
        <f t="shared" si="29"/>
        <v>TIDAK</v>
      </c>
      <c r="CV31" s="115" t="str">
        <f t="shared" si="30"/>
        <v>Memiliki penguasaan semua materi baik,  sudah menguasai pengetahuan prakarya 4, dan perlu ditingkatkan dalam pengetahuan prakarya 6</v>
      </c>
      <c r="CW31" s="108" t="str">
        <f>IF(CI31="","",VLOOKUP(CI31,DATAPENG!$BB$3:$BC$12,2,FALSE))</f>
        <v>pengetahuan prakarya 4</v>
      </c>
      <c r="CX31" s="108" t="str">
        <f>IF(CJ31="","",VLOOKUP(CJ31,DATAPENG!$BB$3:$BC$12,2,FALSE))</f>
        <v>pengetahuan prakarya 6</v>
      </c>
    </row>
    <row r="32" spans="1:102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1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2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4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6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8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20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2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3"/>
        <v>156.30000000000001</v>
      </c>
      <c r="CN32" s="322">
        <f t="shared" si="24"/>
        <v>90</v>
      </c>
      <c r="CO32" s="322">
        <f t="shared" si="25"/>
        <v>92.5</v>
      </c>
      <c r="CP32" s="225">
        <f t="shared" si="26"/>
        <v>84.7</v>
      </c>
      <c r="CQ32" s="323">
        <f t="shared" si="27"/>
        <v>85</v>
      </c>
      <c r="CR32" s="105" t="str">
        <f>IF(CQ32="","",IF(CQ32&gt;=menu!$O$6,"A",IF(CQ32&gt;=menu!$O$7,"B",IF(CQ32&gt;=menu!$O$8,"C","D"))))</f>
        <v>C</v>
      </c>
      <c r="CS32" s="105" t="str">
        <f>IF(CQ32="","",IF(CQ32&gt;=menu!$O$6,"sangat baik",IF(CQ32&gt;=menu!$O$7,"baik",IF(CQ32&gt;=menu!$O$8,"cukup","kurang"))))</f>
        <v>cukup</v>
      </c>
      <c r="CT32" s="398" t="str">
        <f t="shared" si="28"/>
        <v>TUNTAS</v>
      </c>
      <c r="CU32" s="397" t="str">
        <f t="shared" si="29"/>
        <v>TIDAK</v>
      </c>
      <c r="CV32" s="115" t="str">
        <f t="shared" si="30"/>
        <v>Memiliki penguasaan semua materi cukup,  sudah menguasai pengetahuan prakarya 1, dan perlu ditingkatkan dalam pengetahuan prakarya 6</v>
      </c>
      <c r="CW32" s="108" t="str">
        <f>IF(CI32="","",VLOOKUP(CI32,DATAPENG!$BD$3:$BE$12,2,FALSE))</f>
        <v>pengetahuan prakarya 1</v>
      </c>
      <c r="CX32" s="108" t="str">
        <f>IF(CJ32="","",VLOOKUP(CJ32,DATAPENG!$BD$3:$BE$12,2,FALSE))</f>
        <v>pengetahuan prakarya 6</v>
      </c>
    </row>
    <row r="33" spans="1:102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1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2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4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6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8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20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2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3"/>
        <v>157.9</v>
      </c>
      <c r="CN33" s="322">
        <f t="shared" si="24"/>
        <v>95</v>
      </c>
      <c r="CO33" s="322">
        <f t="shared" si="25"/>
        <v>80</v>
      </c>
      <c r="CP33" s="225">
        <f t="shared" si="26"/>
        <v>83.224999999999994</v>
      </c>
      <c r="CQ33" s="323">
        <f t="shared" si="27"/>
        <v>84</v>
      </c>
      <c r="CR33" s="105" t="str">
        <f>IF(CQ33="","",IF(CQ33&gt;=menu!$O$6,"A",IF(CQ33&gt;=menu!$O$7,"B",IF(CQ33&gt;=menu!$O$8,"C","D"))))</f>
        <v>C</v>
      </c>
      <c r="CS33" s="105" t="str">
        <f>IF(CQ33="","",IF(CQ33&gt;=menu!$O$6,"sangat baik",IF(CQ33&gt;=menu!$O$7,"baik",IF(CQ33&gt;=menu!$O$8,"cukup","kurang"))))</f>
        <v>cukup</v>
      </c>
      <c r="CT33" s="398" t="str">
        <f t="shared" si="28"/>
        <v>TUNTAS</v>
      </c>
      <c r="CU33" s="397" t="str">
        <f t="shared" si="29"/>
        <v>TIDAK</v>
      </c>
      <c r="CV33" s="115" t="str">
        <f t="shared" si="30"/>
        <v>Memiliki penguasaan semua materi cukup,  sudah menguasai pengetahuan prakarya 8, dan perlu ditingkatkan dalam pengetahuan prakarya 9</v>
      </c>
      <c r="CW33" s="108" t="str">
        <f>IF(CI33="","",VLOOKUP(CI33,DATAPENG!$BF$3:$BG$12,2,FALSE))</f>
        <v>pengetahuan prakarya 8</v>
      </c>
      <c r="CX33" s="108" t="str">
        <f>IF(CJ33="","",VLOOKUP(CJ33,DATAPENG!$BF$3:$BG$12,2,FALSE))</f>
        <v>pengetahuan prakarya 9</v>
      </c>
    </row>
    <row r="34" spans="1:102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1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2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4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6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8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20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2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3"/>
        <v>168.1</v>
      </c>
      <c r="CN34" s="322">
        <f t="shared" si="24"/>
        <v>90</v>
      </c>
      <c r="CO34" s="322">
        <f t="shared" si="25"/>
        <v>85</v>
      </c>
      <c r="CP34" s="225">
        <f t="shared" si="26"/>
        <v>85.775000000000006</v>
      </c>
      <c r="CQ34" s="323">
        <f t="shared" si="27"/>
        <v>86</v>
      </c>
      <c r="CR34" s="105" t="str">
        <f>IF(CQ34="","",IF(CQ34&gt;=menu!$O$6,"A",IF(CQ34&gt;=menu!$O$7,"B",IF(CQ34&gt;=menu!$O$8,"C","D"))))</f>
        <v>C</v>
      </c>
      <c r="CS34" s="105" t="str">
        <f>IF(CQ34="","",IF(CQ34&gt;=menu!$O$6,"sangat baik",IF(CQ34&gt;=menu!$O$7,"baik",IF(CQ34&gt;=menu!$O$8,"cukup","kurang"))))</f>
        <v>cukup</v>
      </c>
      <c r="CT34" s="398" t="str">
        <f t="shared" si="28"/>
        <v>TUNTAS</v>
      </c>
      <c r="CU34" s="397" t="str">
        <f t="shared" si="29"/>
        <v>TIDAK</v>
      </c>
      <c r="CV34" s="115" t="str">
        <f t="shared" si="30"/>
        <v>Memiliki penguasaan semua materi cukup,  sudah menguasai pengetahuan prakarya 8, dan perlu ditingkatkan dalam pengetahuan prakarya 9</v>
      </c>
      <c r="CW34" s="108" t="str">
        <f>IF(CI34="","",VLOOKUP(CI34,DATAPENG!$BH$3:$BI$12,2,FALSE))</f>
        <v>pengetahuan prakarya 8</v>
      </c>
      <c r="CX34" s="108" t="str">
        <f>IF(CJ34="","",VLOOKUP(CJ34,DATAPENG!$BH$3:$BI$12,2,FALSE))</f>
        <v>pengetahuan prakarya 9</v>
      </c>
    </row>
    <row r="35" spans="1:102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1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2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4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6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8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20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2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3"/>
        <v>168.9</v>
      </c>
      <c r="CN35" s="322">
        <f t="shared" si="24"/>
        <v>85</v>
      </c>
      <c r="CO35" s="322">
        <f t="shared" si="25"/>
        <v>95</v>
      </c>
      <c r="CP35" s="225">
        <f t="shared" si="26"/>
        <v>87.224999999999994</v>
      </c>
      <c r="CQ35" s="323">
        <f t="shared" si="27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8"/>
        <v>TUNTAS</v>
      </c>
      <c r="CU35" s="397" t="str">
        <f t="shared" si="29"/>
        <v>TIDAK</v>
      </c>
      <c r="CV35" s="115" t="str">
        <f t="shared" si="30"/>
        <v>Memiliki penguasaan semua materi baik,  sudah menguasai pengetahuan prakarya 2, dan perlu ditingkatkan dalam pengetahuan prakarya 10</v>
      </c>
      <c r="CW35" s="108" t="str">
        <f>IF(CI35="","",VLOOKUP(CI35,DATAPENG!$BJ$3:$BK$12,2,FALSE))</f>
        <v>pengetahuan prakarya 2</v>
      </c>
      <c r="CX35" s="108" t="str">
        <f>IF(CJ35="","",VLOOKUP(CJ35,DATAPENG!$BJ$3:$BK$12,2,FALSE))</f>
        <v>pengetahuan prakarya 10</v>
      </c>
    </row>
    <row r="36" spans="1:102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1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2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4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6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8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20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2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3"/>
        <v>163.15</v>
      </c>
      <c r="CN36" s="322">
        <f t="shared" si="24"/>
        <v>85</v>
      </c>
      <c r="CO36" s="322">
        <f t="shared" si="25"/>
        <v>80</v>
      </c>
      <c r="CP36" s="225">
        <f t="shared" si="26"/>
        <v>82.037499999999994</v>
      </c>
      <c r="CQ36" s="323">
        <f t="shared" si="27"/>
        <v>83</v>
      </c>
      <c r="CR36" s="105" t="str">
        <f>IF(CQ36="","",IF(CQ36&gt;=menu!$O$6,"A",IF(CQ36&gt;=menu!$O$7,"B",IF(CQ36&gt;=menu!$O$8,"C","D"))))</f>
        <v>C</v>
      </c>
      <c r="CS36" s="105" t="str">
        <f>IF(CQ36="","",IF(CQ36&gt;=menu!$O$6,"sangat baik",IF(CQ36&gt;=menu!$O$7,"baik",IF(CQ36&gt;=menu!$O$8,"cukup","kurang"))))</f>
        <v>cukup</v>
      </c>
      <c r="CT36" s="398" t="str">
        <f t="shared" si="28"/>
        <v>TUNTAS</v>
      </c>
      <c r="CU36" s="397" t="str">
        <f t="shared" si="29"/>
        <v>TIDAK</v>
      </c>
      <c r="CV36" s="115" t="str">
        <f t="shared" si="30"/>
        <v>Memiliki penguasaan semua materi cukup,  sudah menguasai pengetahuan prakarya 4, dan perlu ditingkatkan dalam pengetahuan prakarya 6</v>
      </c>
      <c r="CW36" s="108" t="str">
        <f>IF(CI36="","",VLOOKUP(CI36,DATAPENG!$BL$3:$BM$12,2,FALSE))</f>
        <v>pengetahuan prakarya 4</v>
      </c>
      <c r="CX36" s="108" t="str">
        <f>IF(CJ36="","",VLOOKUP(CJ36,DATAPENG!$BL$3:$BM$12,2,FALSE))</f>
        <v>pengetahuan prakarya 6</v>
      </c>
    </row>
    <row r="37" spans="1:102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1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2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4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6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8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20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2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3"/>
        <v>171.3</v>
      </c>
      <c r="CN37" s="322">
        <f t="shared" si="24"/>
        <v>87.5</v>
      </c>
      <c r="CO37" s="322">
        <f t="shared" si="25"/>
        <v>80</v>
      </c>
      <c r="CP37" s="225">
        <f t="shared" si="26"/>
        <v>84.7</v>
      </c>
      <c r="CQ37" s="323">
        <f t="shared" si="27"/>
        <v>85</v>
      </c>
      <c r="CR37" s="105" t="str">
        <f>IF(CQ37="","",IF(CQ37&gt;=menu!$O$6,"A",IF(CQ37&gt;=menu!$O$7,"B",IF(CQ37&gt;=menu!$O$8,"C","D"))))</f>
        <v>C</v>
      </c>
      <c r="CS37" s="105" t="str">
        <f>IF(CQ37="","",IF(CQ37&gt;=menu!$O$6,"sangat baik",IF(CQ37&gt;=menu!$O$7,"baik",IF(CQ37&gt;=menu!$O$8,"cukup","kurang"))))</f>
        <v>cukup</v>
      </c>
      <c r="CT37" s="398" t="str">
        <f t="shared" si="28"/>
        <v>TUNTAS</v>
      </c>
      <c r="CU37" s="397" t="str">
        <f t="shared" si="29"/>
        <v>TIDAK</v>
      </c>
      <c r="CV37" s="115" t="str">
        <f t="shared" si="30"/>
        <v>Memiliki penguasaan semua materi cukup,  sudah menguasai pengetahuan prakarya 1, dan perlu ditingkatkan dalam pengetahuan prakarya 10</v>
      </c>
      <c r="CW37" s="108" t="str">
        <f>IF(CI37="","",VLOOKUP(CI37,DATAPENG!$BN$3:$BO$12,2,FALSE))</f>
        <v>pengetahuan prakarya 1</v>
      </c>
      <c r="CX37" s="108" t="str">
        <f>IF(CJ37="","",VLOOKUP(CJ37,DATAPENG!$BN$3:$BO$12,2,FALSE))</f>
        <v>pengetahuan prakarya 10</v>
      </c>
    </row>
    <row r="38" spans="1:102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1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2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4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6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8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20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2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3"/>
        <v>156.30000000000001</v>
      </c>
      <c r="CN38" s="322">
        <f t="shared" si="24"/>
        <v>87.5</v>
      </c>
      <c r="CO38" s="322">
        <f t="shared" si="25"/>
        <v>75</v>
      </c>
      <c r="CP38" s="225">
        <f t="shared" si="26"/>
        <v>79.7</v>
      </c>
      <c r="CQ38" s="323">
        <f t="shared" si="27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8"/>
        <v>TUNTAS</v>
      </c>
      <c r="CU38" s="397" t="str">
        <f t="shared" si="29"/>
        <v>TIDAK</v>
      </c>
      <c r="CV38" s="115" t="str">
        <f t="shared" si="30"/>
        <v>Memiliki penguasaan semua materi cukup,  sudah menguasai pengetahuan prakarya 8, dan perlu ditingkatkan dalam pengetahuan prakarya 2</v>
      </c>
      <c r="CW38" s="108" t="str">
        <f>IF(CI38="","",VLOOKUP(CI38,DATAPENG!$BP$3:$BQ$12,2,FALSE))</f>
        <v>pengetahuan prakarya 8</v>
      </c>
      <c r="CX38" s="108" t="str">
        <f>IF(CJ38="","",VLOOKUP(CJ38,DATAPENG!$BP$3:$BQ$12,2,FALSE))</f>
        <v>pengetahuan prakarya 2</v>
      </c>
    </row>
    <row r="39" spans="1:102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1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2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4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6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8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20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2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3"/>
        <v>156.1</v>
      </c>
      <c r="CN39" s="322">
        <f t="shared" si="24"/>
        <v>90</v>
      </c>
      <c r="CO39" s="322">
        <f t="shared" si="25"/>
        <v>92.5</v>
      </c>
      <c r="CP39" s="225">
        <f t="shared" si="26"/>
        <v>84.65</v>
      </c>
      <c r="CQ39" s="323">
        <f t="shared" si="27"/>
        <v>85</v>
      </c>
      <c r="CR39" s="105" t="str">
        <f>IF(CQ39="","",IF(CQ39&gt;=menu!$O$6,"A",IF(CQ39&gt;=menu!$O$7,"B",IF(CQ39&gt;=menu!$O$8,"C","D"))))</f>
        <v>C</v>
      </c>
      <c r="CS39" s="105" t="str">
        <f>IF(CQ39="","",IF(CQ39&gt;=menu!$O$6,"sangat baik",IF(CQ39&gt;=menu!$O$7,"baik",IF(CQ39&gt;=menu!$O$8,"cukup","kurang"))))</f>
        <v>cukup</v>
      </c>
      <c r="CT39" s="398" t="str">
        <f t="shared" si="28"/>
        <v>TUNTAS</v>
      </c>
      <c r="CU39" s="397" t="str">
        <f t="shared" si="29"/>
        <v>TIDAK</v>
      </c>
      <c r="CV39" s="115" t="str">
        <f t="shared" si="30"/>
        <v>Memiliki penguasaan semua materi cukup,  sudah menguasai pengetahuan prakarya 4, dan perlu ditingkatkan dalam pengetahuan prakarya 10</v>
      </c>
      <c r="CW39" s="108" t="str">
        <f>IF(CI39="","",VLOOKUP(CI39,DATAPENG!$BR$3:$BS$12,2,FALSE))</f>
        <v>pengetahuan prakarya 4</v>
      </c>
      <c r="CX39" s="108" t="str">
        <f>IF(CJ39="","",VLOOKUP(CJ39,DATAPENG!$BR$3:$BS$12,2,FALSE))</f>
        <v>pengetahuan prakarya 10</v>
      </c>
    </row>
    <row r="40" spans="1:102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1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2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4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6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8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20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2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3"/>
        <v>151.65</v>
      </c>
      <c r="CN40" s="322">
        <f t="shared" si="24"/>
        <v>87.5</v>
      </c>
      <c r="CO40" s="322">
        <f t="shared" si="25"/>
        <v>87.5</v>
      </c>
      <c r="CP40" s="225">
        <f t="shared" si="26"/>
        <v>81.662499999999994</v>
      </c>
      <c r="CQ40" s="323">
        <f t="shared" si="27"/>
        <v>82</v>
      </c>
      <c r="CR40" s="105" t="str">
        <f>IF(CQ40="","",IF(CQ40&gt;=menu!$O$6,"A",IF(CQ40&gt;=menu!$O$7,"B",IF(CQ40&gt;=menu!$O$8,"C","D"))))</f>
        <v>C</v>
      </c>
      <c r="CS40" s="105" t="str">
        <f>IF(CQ40="","",IF(CQ40&gt;=menu!$O$6,"sangat baik",IF(CQ40&gt;=menu!$O$7,"baik",IF(CQ40&gt;=menu!$O$8,"cukup","kurang"))))</f>
        <v>cukup</v>
      </c>
      <c r="CT40" s="398" t="str">
        <f t="shared" si="28"/>
        <v>TUNTAS</v>
      </c>
      <c r="CU40" s="397" t="str">
        <f t="shared" si="29"/>
        <v>TIDAK</v>
      </c>
      <c r="CV40" s="115" t="str">
        <f t="shared" si="30"/>
        <v>Memiliki penguasaan semua materi cukup,  sudah menguasai pengetahuan prakarya 1, dan perlu ditingkatkan dalam pengetahuan prakarya 9</v>
      </c>
      <c r="CW40" s="108" t="str">
        <f>IF(CI40="","",VLOOKUP(CI40,DATAPENG!$BT$3:$BU$12,2,FALSE))</f>
        <v>pengetahuan prakarya 1</v>
      </c>
      <c r="CX40" s="108" t="str">
        <f>IF(CJ40="","",VLOOKUP(CJ40,DATAPENG!$BT$3:$BU$12,2,FALSE))</f>
        <v>pengetahuan prakarya 9</v>
      </c>
    </row>
    <row r="41" spans="1:102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1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2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4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6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8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20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2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3"/>
        <v>151.55000000000001</v>
      </c>
      <c r="CN41" s="322">
        <f t="shared" si="24"/>
        <v>90</v>
      </c>
      <c r="CO41" s="322">
        <f t="shared" si="25"/>
        <v>77.5</v>
      </c>
      <c r="CP41" s="225">
        <f t="shared" si="26"/>
        <v>79.762500000000003</v>
      </c>
      <c r="CQ41" s="323">
        <f t="shared" si="27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8"/>
        <v>TUNTAS</v>
      </c>
      <c r="CU41" s="397" t="str">
        <f t="shared" si="29"/>
        <v>TIDAK</v>
      </c>
      <c r="CV41" s="115" t="str">
        <f t="shared" si="30"/>
        <v>Memiliki penguasaan semua materi cukup,  sudah menguasai pengetahuan prakarya 3, dan perlu ditingkatkan dalam pengetahuan prakarya 10</v>
      </c>
      <c r="CW41" s="108" t="str">
        <f>IF(CI41="","",VLOOKUP(CI41,DATAPENG!$BV$3:$BW$12,2,FALSE))</f>
        <v>pengetahuan prakarya 3</v>
      </c>
      <c r="CX41" s="108" t="str">
        <f>IF(CJ41="","",VLOOKUP(CJ41,DATAPENG!$BV$3:$BW$12,2,FALSE))</f>
        <v>pengetahuan prakarya 10</v>
      </c>
    </row>
    <row r="42" spans="1:102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1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2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4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6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8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20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2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3"/>
        <v>160.25</v>
      </c>
      <c r="CN42" s="322">
        <f t="shared" si="24"/>
        <v>87.5</v>
      </c>
      <c r="CO42" s="322">
        <f t="shared" si="25"/>
        <v>80</v>
      </c>
      <c r="CP42" s="225">
        <f t="shared" si="26"/>
        <v>81.9375</v>
      </c>
      <c r="CQ42" s="323">
        <f t="shared" si="27"/>
        <v>82</v>
      </c>
      <c r="CR42" s="105" t="str">
        <f>IF(CQ42="","",IF(CQ42&gt;=menu!$O$6,"A",IF(CQ42&gt;=menu!$O$7,"B",IF(CQ42&gt;=menu!$O$8,"C","D"))))</f>
        <v>C</v>
      </c>
      <c r="CS42" s="105" t="str">
        <f>IF(CQ42="","",IF(CQ42&gt;=menu!$O$6,"sangat baik",IF(CQ42&gt;=menu!$O$7,"baik",IF(CQ42&gt;=menu!$O$8,"cukup","kurang"))))</f>
        <v>cukup</v>
      </c>
      <c r="CT42" s="398" t="str">
        <f t="shared" si="28"/>
        <v>TUNTAS</v>
      </c>
      <c r="CU42" s="397" t="str">
        <f t="shared" si="29"/>
        <v>TIDAK</v>
      </c>
      <c r="CV42" s="115" t="str">
        <f t="shared" si="30"/>
        <v>Memiliki penguasaan semua materi cukup,  sudah menguasai pengetahuan prakarya 8, dan perlu ditingkatkan dalam pengetahuan prakarya 10</v>
      </c>
      <c r="CW42" s="108" t="str">
        <f>IF(CI42="","",VLOOKUP(CI42,DATAPENG!$BX$3:$BY$12,2,FALSE))</f>
        <v>pengetahuan prakarya 8</v>
      </c>
      <c r="CX42" s="108" t="str">
        <f>IF(CJ42="","",VLOOKUP(CJ42,DATAPENG!$BX$3:$BY$12,2,FALSE))</f>
        <v>pengetahuan prakarya 10</v>
      </c>
    </row>
    <row r="43" spans="1:102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1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2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4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6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8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20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2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3"/>
        <v>165.9</v>
      </c>
      <c r="CN43" s="322">
        <f t="shared" si="24"/>
        <v>90</v>
      </c>
      <c r="CO43" s="322">
        <f t="shared" si="25"/>
        <v>87.5</v>
      </c>
      <c r="CP43" s="225">
        <f t="shared" si="26"/>
        <v>85.85</v>
      </c>
      <c r="CQ43" s="323">
        <f t="shared" si="27"/>
        <v>86</v>
      </c>
      <c r="CR43" s="105" t="str">
        <f>IF(CQ43="","",IF(CQ43&gt;=menu!$O$6,"A",IF(CQ43&gt;=menu!$O$7,"B",IF(CQ43&gt;=menu!$O$8,"C","D"))))</f>
        <v>C</v>
      </c>
      <c r="CS43" s="105" t="str">
        <f>IF(CQ43="","",IF(CQ43&gt;=menu!$O$6,"sangat baik",IF(CQ43&gt;=menu!$O$7,"baik",IF(CQ43&gt;=menu!$O$8,"cukup","kurang"))))</f>
        <v>cukup</v>
      </c>
      <c r="CT43" s="398" t="str">
        <f t="shared" si="28"/>
        <v>TUNTAS</v>
      </c>
      <c r="CU43" s="397" t="str">
        <f t="shared" si="29"/>
        <v>TIDAK</v>
      </c>
      <c r="CV43" s="115" t="str">
        <f t="shared" si="30"/>
        <v>Memiliki penguasaan semua materi cukup,  sudah menguasai pengetahuan prakarya 4, dan perlu ditingkatkan dalam pengetahuan prakarya 10</v>
      </c>
      <c r="CW43" s="108" t="str">
        <f>IF(CI43="","",VLOOKUP(CI43,DATAPENG!$BZ$3:$CA$12,2,FALSE))</f>
        <v>pengetahuan prakarya 4</v>
      </c>
      <c r="CX43" s="108" t="str">
        <f>IF(CJ43="","",VLOOKUP(CJ43,DATAPENG!$BZ$3:$CA$12,2,FALSE))</f>
        <v>pengetahuan prakarya 10</v>
      </c>
    </row>
    <row r="44" spans="1:102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1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2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4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6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8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20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2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3"/>
        <v>160.69999999999999</v>
      </c>
      <c r="CN44" s="322">
        <f t="shared" si="24"/>
        <v>87.5</v>
      </c>
      <c r="CO44" s="322">
        <f t="shared" si="25"/>
        <v>79</v>
      </c>
      <c r="CP44" s="225">
        <f t="shared" si="26"/>
        <v>81.8</v>
      </c>
      <c r="CQ44" s="323">
        <f t="shared" si="27"/>
        <v>82</v>
      </c>
      <c r="CR44" s="105" t="str">
        <f>IF(CQ44="","",IF(CQ44&gt;=menu!$O$6,"A",IF(CQ44&gt;=menu!$O$7,"B",IF(CQ44&gt;=menu!$O$8,"C","D"))))</f>
        <v>C</v>
      </c>
      <c r="CS44" s="105" t="str">
        <f>IF(CQ44="","",IF(CQ44&gt;=menu!$O$6,"sangat baik",IF(CQ44&gt;=menu!$O$7,"baik",IF(CQ44&gt;=menu!$O$8,"cukup","kurang"))))</f>
        <v>cukup</v>
      </c>
      <c r="CT44" s="398" t="str">
        <f t="shared" si="28"/>
        <v>TUNTAS</v>
      </c>
      <c r="CU44" s="397" t="str">
        <f t="shared" si="29"/>
        <v>TIDAK</v>
      </c>
      <c r="CV44" s="115" t="str">
        <f t="shared" si="30"/>
        <v>Memiliki penguasaan semua materi cukup,  sudah menguasai pengetahuan prakarya 2, dan perlu ditingkatkan dalam pengetahuan prakarya 9</v>
      </c>
      <c r="CW44" s="108" t="str">
        <f>IF(CI44="","",VLOOKUP(CI44,DATAPENG!$CB$3:$CC$12,2,FALSE))</f>
        <v>pengetahuan prakarya 2</v>
      </c>
      <c r="CX44" s="108" t="str">
        <f>IF(CJ44="","",VLOOKUP(CJ44,DATAPENG!$CB$3:$CC$12,2,FALSE))</f>
        <v>pengetahuan prakarya 9</v>
      </c>
    </row>
    <row r="45" spans="1:102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1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2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4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6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8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20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2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3"/>
        <v>160.25</v>
      </c>
      <c r="CN45" s="322">
        <f t="shared" si="24"/>
        <v>90</v>
      </c>
      <c r="CO45" s="322">
        <f t="shared" si="25"/>
        <v>97.5</v>
      </c>
      <c r="CP45" s="225">
        <f t="shared" si="26"/>
        <v>86.9375</v>
      </c>
      <c r="CQ45" s="323">
        <f t="shared" si="27"/>
        <v>87</v>
      </c>
      <c r="CR45" s="105" t="str">
        <f>IF(CQ45="","",IF(CQ45&gt;=menu!$O$6,"A",IF(CQ45&gt;=menu!$O$7,"B",IF(CQ45&gt;=menu!$O$8,"C","D"))))</f>
        <v>C</v>
      </c>
      <c r="CS45" s="105" t="str">
        <f>IF(CQ45="","",IF(CQ45&gt;=menu!$O$6,"sangat baik",IF(CQ45&gt;=menu!$O$7,"baik",IF(CQ45&gt;=menu!$O$8,"cukup","kurang"))))</f>
        <v>cukup</v>
      </c>
      <c r="CT45" s="398" t="str">
        <f t="shared" si="28"/>
        <v>TUNTAS</v>
      </c>
      <c r="CU45" s="397" t="str">
        <f t="shared" si="29"/>
        <v>TIDAK</v>
      </c>
      <c r="CV45" s="115" t="str">
        <f t="shared" si="30"/>
        <v>Memiliki penguasaan semua materi cukup,  sudah menguasai pengetahuan prakarya 1, dan perlu ditingkatkan dalam pengetahuan prakarya 10</v>
      </c>
      <c r="CW45" s="108" t="str">
        <f>IF(CI45="","",VLOOKUP(CI45,DATAPENG!$CD$3:$CE$12,2,FALSE))</f>
        <v>pengetahuan prakarya 1</v>
      </c>
      <c r="CX45" s="108" t="str">
        <f>IF(CJ45="","",VLOOKUP(CJ45,DATAPENG!$CD$3:$CE$12,2,FALSE))</f>
        <v>pengetahuan prakarya 10</v>
      </c>
    </row>
    <row r="46" spans="1:102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1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2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4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6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8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20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2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3"/>
        <v>165</v>
      </c>
      <c r="CN46" s="322">
        <f t="shared" si="24"/>
        <v>87.5</v>
      </c>
      <c r="CO46" s="322">
        <f t="shared" si="25"/>
        <v>90</v>
      </c>
      <c r="CP46" s="225">
        <f t="shared" si="26"/>
        <v>85.625</v>
      </c>
      <c r="CQ46" s="323">
        <f t="shared" si="27"/>
        <v>86</v>
      </c>
      <c r="CR46" s="105" t="str">
        <f>IF(CQ46="","",IF(CQ46&gt;=menu!$O$6,"A",IF(CQ46&gt;=menu!$O$7,"B",IF(CQ46&gt;=menu!$O$8,"C","D"))))</f>
        <v>C</v>
      </c>
      <c r="CS46" s="105" t="str">
        <f>IF(CQ46="","",IF(CQ46&gt;=menu!$O$6,"sangat baik",IF(CQ46&gt;=menu!$O$7,"baik",IF(CQ46&gt;=menu!$O$8,"cukup","kurang"))))</f>
        <v>cukup</v>
      </c>
      <c r="CT46" s="398" t="str">
        <f t="shared" si="28"/>
        <v>TUNTAS</v>
      </c>
      <c r="CU46" s="397" t="str">
        <f t="shared" si="29"/>
        <v>TIDAK</v>
      </c>
      <c r="CV46" s="115" t="str">
        <f t="shared" si="30"/>
        <v>Memiliki penguasaan semua materi cukup,  sudah menguasai pengetahuan prakarya 4, dan perlu ditingkatkan dalam pengetahuan prakarya 6</v>
      </c>
      <c r="CW46" s="108" t="str">
        <f>IF(CI46="","",VLOOKUP(CI46,DATAPENG!$CF$3:$CG$12,2,FALSE))</f>
        <v>pengetahuan prakarya 4</v>
      </c>
      <c r="CX46" s="108" t="str">
        <f>IF(CJ46="","",VLOOKUP(CJ46,DATAPENG!$CF$3:$CG$12,2,FALSE))</f>
        <v>pengetahuan prakarya 6</v>
      </c>
    </row>
    <row r="47" spans="1:102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1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2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4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6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8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20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2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3"/>
        <v>160.35</v>
      </c>
      <c r="CN47" s="322">
        <f t="shared" si="24"/>
        <v>90</v>
      </c>
      <c r="CO47" s="322">
        <f t="shared" si="25"/>
        <v>80</v>
      </c>
      <c r="CP47" s="225">
        <f t="shared" si="26"/>
        <v>82.587500000000006</v>
      </c>
      <c r="CQ47" s="323">
        <f t="shared" si="27"/>
        <v>83</v>
      </c>
      <c r="CR47" s="105" t="str">
        <f>IF(CQ47="","",IF(CQ47&gt;=menu!$O$6,"A",IF(CQ47&gt;=menu!$O$7,"B",IF(CQ47&gt;=menu!$O$8,"C","D"))))</f>
        <v>C</v>
      </c>
      <c r="CS47" s="105" t="str">
        <f>IF(CQ47="","",IF(CQ47&gt;=menu!$O$6,"sangat baik",IF(CQ47&gt;=menu!$O$7,"baik",IF(CQ47&gt;=menu!$O$8,"cukup","kurang"))))</f>
        <v>cukup</v>
      </c>
      <c r="CT47" s="398" t="str">
        <f t="shared" si="28"/>
        <v>TUNTAS</v>
      </c>
      <c r="CU47" s="397" t="str">
        <f t="shared" si="29"/>
        <v>TIDAK</v>
      </c>
      <c r="CV47" s="115" t="str">
        <f t="shared" si="30"/>
        <v>Memiliki penguasaan semua materi cukup,  sudah menguasai pengetahuan prakarya 4, dan perlu ditingkatkan dalam pengetahuan prakarya 6</v>
      </c>
      <c r="CW47" s="108" t="str">
        <f>IF(CI47="","",VLOOKUP(CI47,DATAPENG!$CH$3:$CI$12,2,FALSE))</f>
        <v>pengetahuan prakarya 4</v>
      </c>
      <c r="CX47" s="108" t="str">
        <f>IF(CJ47="","",VLOOKUP(CJ47,DATAPENG!$CH$3:$CI$12,2,FALSE))</f>
        <v>pengetahuan prakarya 6</v>
      </c>
    </row>
    <row r="48" spans="1:102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1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2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4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6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8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20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2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3"/>
        <v>163.80000000000001</v>
      </c>
      <c r="CN48" s="322">
        <f t="shared" si="24"/>
        <v>90</v>
      </c>
      <c r="CO48" s="322">
        <f t="shared" si="25"/>
        <v>82.5</v>
      </c>
      <c r="CP48" s="225">
        <f t="shared" si="26"/>
        <v>84.075000000000003</v>
      </c>
      <c r="CQ48" s="323">
        <f t="shared" si="27"/>
        <v>85</v>
      </c>
      <c r="CR48" s="105" t="str">
        <f>IF(CQ48="","",IF(CQ48&gt;=menu!$O$6,"A",IF(CQ48&gt;=menu!$O$7,"B",IF(CQ48&gt;=menu!$O$8,"C","D"))))</f>
        <v>C</v>
      </c>
      <c r="CS48" s="105" t="str">
        <f>IF(CQ48="","",IF(CQ48&gt;=menu!$O$6,"sangat baik",IF(CQ48&gt;=menu!$O$7,"baik",IF(CQ48&gt;=menu!$O$8,"cukup","kurang"))))</f>
        <v>cukup</v>
      </c>
      <c r="CT48" s="398" t="str">
        <f t="shared" si="28"/>
        <v>TUNTAS</v>
      </c>
      <c r="CU48" s="397" t="str">
        <f t="shared" si="29"/>
        <v>TIDAK</v>
      </c>
      <c r="CV48" s="115" t="str">
        <f t="shared" si="30"/>
        <v>Memiliki penguasaan semua materi cukup,  sudah menguasai pengetahuan prakarya 2, dan perlu ditingkatkan dalam pengetahuan prakarya 10</v>
      </c>
      <c r="CW48" s="108" t="str">
        <f>IF(CI48="","",VLOOKUP(CI48,DATAPENG!$CJ$3:$CK$12,2,FALSE))</f>
        <v>pengetahuan prakarya 2</v>
      </c>
      <c r="CX48" s="108" t="str">
        <f>IF(CJ48="","",VLOOKUP(CJ48,DATAPENG!$CJ$3:$CK$12,2,FALSE))</f>
        <v>pengetahuan prakarya 10</v>
      </c>
    </row>
    <row r="49" spans="1:102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1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2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4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6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8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20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2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3"/>
        <v>171.25</v>
      </c>
      <c r="CN49" s="322">
        <f t="shared" si="24"/>
        <v>90</v>
      </c>
      <c r="CO49" s="322">
        <f t="shared" si="25"/>
        <v>85</v>
      </c>
      <c r="CP49" s="225">
        <f t="shared" si="26"/>
        <v>86.5625</v>
      </c>
      <c r="CQ49" s="323">
        <f t="shared" si="27"/>
        <v>87</v>
      </c>
      <c r="CR49" s="105" t="str">
        <f>IF(CQ49="","",IF(CQ49&gt;=menu!$O$6,"A",IF(CQ49&gt;=menu!$O$7,"B",IF(CQ49&gt;=menu!$O$8,"C","D"))))</f>
        <v>C</v>
      </c>
      <c r="CS49" s="105" t="str">
        <f>IF(CQ49="","",IF(CQ49&gt;=menu!$O$6,"sangat baik",IF(CQ49&gt;=menu!$O$7,"baik",IF(CQ49&gt;=menu!$O$8,"cukup","kurang"))))</f>
        <v>cukup</v>
      </c>
      <c r="CT49" s="398" t="str">
        <f t="shared" si="28"/>
        <v>TUNTAS</v>
      </c>
      <c r="CU49" s="397" t="str">
        <f t="shared" si="29"/>
        <v>TIDAK</v>
      </c>
      <c r="CV49" s="115" t="str">
        <f t="shared" si="30"/>
        <v>Memiliki penguasaan semua materi cukup,  sudah menguasai pengetahuan prakarya 8, dan perlu ditingkatkan dalam pengetahuan prakarya 6</v>
      </c>
      <c r="CW49" s="108" t="str">
        <f>IF(CI49="","",VLOOKUP(CI49,DATAPENG!$CL$3:$CM$12,2,FALSE))</f>
        <v>pengetahuan prakarya 8</v>
      </c>
      <c r="CX49" s="108" t="str">
        <f>IF(CJ49="","",VLOOKUP(CJ49,DATAPENG!$CL$3:$CM$12,2,FALSE))</f>
        <v>pengetahuan prakarya 6</v>
      </c>
    </row>
    <row r="50" spans="1:102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1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2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4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6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8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20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2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3"/>
        <v>156.9</v>
      </c>
      <c r="CN50" s="322">
        <f t="shared" si="24"/>
        <v>87.5</v>
      </c>
      <c r="CO50" s="322">
        <f t="shared" si="25"/>
        <v>97.5</v>
      </c>
      <c r="CP50" s="225">
        <f t="shared" si="26"/>
        <v>85.474999999999994</v>
      </c>
      <c r="CQ50" s="323">
        <f t="shared" si="27"/>
        <v>86</v>
      </c>
      <c r="CR50" s="105" t="str">
        <f>IF(CQ50="","",IF(CQ50&gt;=menu!$O$6,"A",IF(CQ50&gt;=menu!$O$7,"B",IF(CQ50&gt;=menu!$O$8,"C","D"))))</f>
        <v>C</v>
      </c>
      <c r="CS50" s="105" t="str">
        <f>IF(CQ50="","",IF(CQ50&gt;=menu!$O$6,"sangat baik",IF(CQ50&gt;=menu!$O$7,"baik",IF(CQ50&gt;=menu!$O$8,"cukup","kurang"))))</f>
        <v>cukup</v>
      </c>
      <c r="CT50" s="398" t="str">
        <f t="shared" si="28"/>
        <v>TUNTAS</v>
      </c>
      <c r="CU50" s="397" t="str">
        <f t="shared" si="29"/>
        <v>TIDAK</v>
      </c>
      <c r="CV50" s="115" t="str">
        <f t="shared" si="30"/>
        <v>Memiliki penguasaan semua materi cukup,  sudah menguasai pengetahuan prakarya 4, dan perlu ditingkatkan dalam pengetahuan prakarya 9</v>
      </c>
      <c r="CW50" s="108" t="str">
        <f>IF(CI50="","",VLOOKUP(CI50,DATAPENG!$CN$3:$CO$12,2,FALSE))</f>
        <v>pengetahuan prakarya 4</v>
      </c>
      <c r="CX50" s="108" t="str">
        <f>IF(CJ50="","",VLOOKUP(CJ50,DATAPENG!$CN$3:$CO$12,2,FALSE))</f>
        <v>pengetahuan prakarya 9</v>
      </c>
    </row>
    <row r="51" spans="1:102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1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2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4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6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8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20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2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3"/>
        <v>160.85</v>
      </c>
      <c r="CN51" s="322">
        <f t="shared" si="24"/>
        <v>90</v>
      </c>
      <c r="CO51" s="322">
        <f t="shared" si="25"/>
        <v>92.5</v>
      </c>
      <c r="CP51" s="225">
        <f t="shared" si="26"/>
        <v>85.837500000000006</v>
      </c>
      <c r="CQ51" s="323">
        <f t="shared" si="27"/>
        <v>86</v>
      </c>
      <c r="CR51" s="105" t="str">
        <f>IF(CQ51="","",IF(CQ51&gt;=menu!$O$6,"A",IF(CQ51&gt;=menu!$O$7,"B",IF(CQ51&gt;=menu!$O$8,"C","D"))))</f>
        <v>C</v>
      </c>
      <c r="CS51" s="105" t="str">
        <f>IF(CQ51="","",IF(CQ51&gt;=menu!$O$6,"sangat baik",IF(CQ51&gt;=menu!$O$7,"baik",IF(CQ51&gt;=menu!$O$8,"cukup","kurang"))))</f>
        <v>cukup</v>
      </c>
      <c r="CT51" s="398" t="str">
        <f t="shared" si="28"/>
        <v>TUNTAS</v>
      </c>
      <c r="CU51" s="397" t="str">
        <f t="shared" si="29"/>
        <v>TIDAK</v>
      </c>
      <c r="CV51" s="115" t="str">
        <f t="shared" si="30"/>
        <v>Memiliki penguasaan semua materi cukup,  sudah menguasai pengetahuan prakarya 4, dan perlu ditingkatkan dalam pengetahuan prakarya 6</v>
      </c>
      <c r="CW51" s="108" t="str">
        <f>IF(CI51="","",VLOOKUP(CI51,DATAPENG!$CP$3:$CQ$12,2,FALSE))</f>
        <v>pengetahuan prakarya 4</v>
      </c>
      <c r="CX51" s="108" t="str">
        <f>IF(CJ51="","",VLOOKUP(CJ51,DATAPENG!$CP$3:$CQ$12,2,FALSE))</f>
        <v>pengetahuan prakarya 6</v>
      </c>
    </row>
    <row r="52" spans="1:102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1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2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4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6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8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20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2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3"/>
        <v>168.2</v>
      </c>
      <c r="CN52" s="322">
        <f t="shared" si="24"/>
        <v>90</v>
      </c>
      <c r="CO52" s="322">
        <f t="shared" si="25"/>
        <v>80</v>
      </c>
      <c r="CP52" s="225">
        <f t="shared" si="26"/>
        <v>84.55</v>
      </c>
      <c r="CQ52" s="323">
        <f t="shared" si="27"/>
        <v>85</v>
      </c>
      <c r="CR52" s="105" t="str">
        <f>IF(CQ52="","",IF(CQ52&gt;=menu!$O$6,"A",IF(CQ52&gt;=menu!$O$7,"B",IF(CQ52&gt;=menu!$O$8,"C","D"))))</f>
        <v>C</v>
      </c>
      <c r="CS52" s="105" t="str">
        <f>IF(CQ52="","",IF(CQ52&gt;=menu!$O$6,"sangat baik",IF(CQ52&gt;=menu!$O$7,"baik",IF(CQ52&gt;=menu!$O$8,"cukup","kurang"))))</f>
        <v>cukup</v>
      </c>
      <c r="CT52" s="398" t="str">
        <f t="shared" si="28"/>
        <v>TUNTAS</v>
      </c>
      <c r="CU52" s="397" t="str">
        <f t="shared" si="29"/>
        <v>TIDAK</v>
      </c>
      <c r="CV52" s="115" t="str">
        <f t="shared" si="30"/>
        <v>Memiliki penguasaan semua materi cukup,  sudah menguasai pengetahuan prakarya 2, dan perlu ditingkatkan dalam pengetahuan prakarya 10</v>
      </c>
      <c r="CW52" s="108" t="str">
        <f>IF(CI52="","",VLOOKUP(CI52,DATAPENG!$CR$3:$CS$12,2,FALSE))</f>
        <v>pengetahuan prakarya 2</v>
      </c>
      <c r="CX52" s="108" t="str">
        <f>IF(CJ52="","",VLOOKUP(CJ52,DATAPENG!$CR$3:$CS$12,2,FALSE))</f>
        <v>pengetahuan prakarya 10</v>
      </c>
    </row>
    <row r="53" spans="1:102">
      <c r="CW53" s="223"/>
    </row>
  </sheetData>
  <sheetProtection password="D4C3" sheet="1" objects="1" scenarios="1"/>
  <mergeCells count="50"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6" t="s">
        <v>369</v>
      </c>
      <c r="AY1" s="616"/>
      <c r="AZ1" s="616" t="s">
        <v>370</v>
      </c>
      <c r="BA1" s="616"/>
      <c r="BB1" s="616" t="s">
        <v>371</v>
      </c>
      <c r="BC1" s="616"/>
      <c r="BD1" s="616" t="s">
        <v>372</v>
      </c>
      <c r="BE1" s="616"/>
      <c r="BF1" s="616" t="s">
        <v>373</v>
      </c>
      <c r="BG1" s="616"/>
      <c r="BH1" s="616" t="s">
        <v>374</v>
      </c>
      <c r="BI1" s="616"/>
      <c r="BJ1" s="616" t="s">
        <v>375</v>
      </c>
      <c r="BK1" s="616"/>
      <c r="BL1" s="616" t="s">
        <v>376</v>
      </c>
      <c r="BM1" s="616"/>
      <c r="BN1" s="616" t="s">
        <v>377</v>
      </c>
      <c r="BO1" s="616"/>
      <c r="BP1" s="616" t="s">
        <v>378</v>
      </c>
      <c r="BQ1" s="616"/>
      <c r="BR1" s="616" t="s">
        <v>379</v>
      </c>
      <c r="BS1" s="616"/>
      <c r="BT1" s="616" t="s">
        <v>380</v>
      </c>
      <c r="BU1" s="616"/>
      <c r="BV1" s="616" t="s">
        <v>381</v>
      </c>
      <c r="BW1" s="616"/>
      <c r="BX1" s="616" t="s">
        <v>382</v>
      </c>
      <c r="BY1" s="616"/>
      <c r="BZ1" s="616" t="s">
        <v>383</v>
      </c>
      <c r="CA1" s="616"/>
      <c r="CB1" s="616" t="s">
        <v>384</v>
      </c>
      <c r="CC1" s="616"/>
      <c r="CD1" s="616" t="s">
        <v>385</v>
      </c>
      <c r="CE1" s="616"/>
      <c r="CF1" s="616" t="s">
        <v>386</v>
      </c>
      <c r="CG1" s="616"/>
      <c r="CH1" s="616" t="s">
        <v>387</v>
      </c>
      <c r="CI1" s="616"/>
      <c r="CJ1" s="616" t="s">
        <v>388</v>
      </c>
      <c r="CK1" s="616"/>
      <c r="CL1" s="616" t="s">
        <v>389</v>
      </c>
      <c r="CM1" s="616"/>
      <c r="CN1" s="616" t="s">
        <v>390</v>
      </c>
      <c r="CO1" s="616"/>
      <c r="CP1" s="616" t="s">
        <v>391</v>
      </c>
      <c r="CQ1" s="616"/>
      <c r="CR1" s="616" t="s">
        <v>392</v>
      </c>
      <c r="CS1" s="616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90</v>
      </c>
      <c r="C3" s="89" t="str">
        <f>IF(B3="","",IF('Input Nilai Pengetahuan'!$F$1="","",'Input Nilai Pengetahuan'!$F$1))</f>
        <v>pengetahuan prakarya 1</v>
      </c>
      <c r="D3" s="89">
        <f>IF('Input Nilai Pengetahuan'!M6="","",'Input Nilai Pengetahuan'!M6)</f>
        <v>87.5</v>
      </c>
      <c r="E3" s="89" t="str">
        <f>IF(D3="","",IF('Input Nilai Pengetahuan'!$F$1="","",'Input Nilai Pengetahuan'!$F$1))</f>
        <v>pengetahuan prakarya 1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pengetahuan prakarya 1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pengetahuan prakarya 1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pengetahuan prakarya 1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pengetahuan prakarya 1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pengetahuan prakarya 1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pengetahuan prakarya 1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pengetahuan prakarya 1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pengetahuan prakarya 1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pengetahuan prakarya 1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pengetahuan prakarya 1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pengetahuan prakarya 1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pengetahuan prakarya 1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pengetahuan prakarya 1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pengetahuan prakarya 1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pengetahuan prakarya 1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pengetahuan prakarya 1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pengetahuan prakarya 1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pengetahuan prakarya 1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pengetahuan prakarya 1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pengetahuan prakarya 1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pengetahuan prakarya 1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pengetahuan prakarya 1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pengetahuan prakarya 1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pengetahuan prakarya 1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pengetahuan prakarya 1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pengetahuan prakarya 1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pengetahuan prakarya 1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pengetahuan prakarya 1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pengetahuan prakarya 1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pengetahuan prakarya 1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pengetahuan prakarya 1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pengetahuan prakarya 1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pengetahuan prakarya 1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pengetahuan prakarya 1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pengetahuan prakarya 1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pengetahuan prakarya 1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pengetahuan prakarya 1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pengetahuan prakarya 1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pengetahuan prakarya 1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pengetahuan prakarya 1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pengetahuan prakarya 1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pengetahuan prakarya 1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pengetahuan prakarya 1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pengetahuan prakarya 1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pengetahuan prakarya 1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pengetahuan prakarya 1</v>
      </c>
    </row>
    <row r="4" spans="1:97">
      <c r="A4" s="72">
        <v>2</v>
      </c>
      <c r="B4" s="89">
        <f>IF('Input Nilai Pengetahuan'!U5="","",'Input Nilai Pengetahuan'!U5)</f>
        <v>70</v>
      </c>
      <c r="C4" s="89" t="str">
        <f>IF(B4="","",IF('Input Nilai Pengetahuan'!$N$1="","",'Input Nilai Pengetahuan'!$N$1))</f>
        <v>pengetahuan prakarya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prakarya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prakarya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prakarya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prakarya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prakarya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prakarya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prakarya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prakarya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prakarya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prakarya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prakarya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prakarya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prakarya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prakarya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prakarya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prakarya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prakarya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prakarya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prakarya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prakarya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prakarya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prakarya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prakarya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prakarya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prakarya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prakarya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prakarya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prakarya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prakarya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prakarya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prakarya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prakarya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prakarya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prakarya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prakarya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prakarya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prakarya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prakarya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prakarya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prakarya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prakarya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prakarya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prakarya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prakarya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prakarya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prakarya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prakarya 2</v>
      </c>
    </row>
    <row r="5" spans="1:97">
      <c r="A5" s="72">
        <v>3</v>
      </c>
      <c r="B5" s="89">
        <f>IF('Input Nilai Pengetahuan'!AC5="","",'Input Nilai Pengetahuan'!AC5)</f>
        <v>80</v>
      </c>
      <c r="C5" s="89" t="str">
        <f>IF(B5="","",IF('Input Nilai Pengetahuan'!$V$1="","",'Input Nilai Pengetahuan'!$V$1))</f>
        <v>pengetahuan prakarya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prakarya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prakarya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prakarya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prakarya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prakarya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prakarya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prakarya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prakarya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prakarya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prakarya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prakarya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prakarya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prakarya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prakarya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prakarya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prakarya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prakarya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prakarya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prakarya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prakarya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prakarya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prakarya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prakarya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prakarya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prakarya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prakarya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prakarya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prakarya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prakarya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prakarya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prakarya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prakarya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prakarya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prakarya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prakarya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prakarya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prakarya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prakarya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prakarya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prakarya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prakarya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prakarya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prakarya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prakarya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prakarya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prakarya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prakarya 3</v>
      </c>
    </row>
    <row r="6" spans="1:97">
      <c r="A6" s="72">
        <v>4</v>
      </c>
      <c r="B6" s="89">
        <f>IF('Input Nilai Pengetahuan'!AK5="","",'Input Nilai Pengetahuan'!AK5)</f>
        <v>91</v>
      </c>
      <c r="C6" s="89" t="str">
        <f>IF(B6="","",IF('Input Nilai Pengetahuan'!$AD$1="","",'Input Nilai Pengetahuan'!$AD$1))</f>
        <v>pengetahuan prakarya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prakarya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prakarya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prakarya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prakarya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prakarya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prakarya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prakarya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prakarya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prakarya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prakarya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prakarya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prakarya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prakarya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prakarya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prakarya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prakarya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prakarya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prakarya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prakarya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prakarya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prakarya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prakarya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prakarya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prakarya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prakarya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prakarya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prakarya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prakarya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prakarya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prakarya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prakarya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prakarya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prakarya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prakarya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prakarya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prakarya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prakarya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prakarya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prakarya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prakarya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prakarya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prakarya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prakarya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prakarya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prakarya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prakarya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prakarya 4</v>
      </c>
    </row>
    <row r="7" spans="1:97">
      <c r="A7" s="72">
        <v>5</v>
      </c>
      <c r="B7" s="89">
        <f>IF('Input Nilai Pengetahuan'!AS5="","",'Input Nilai Pengetahuan'!AS5)</f>
        <v>90</v>
      </c>
      <c r="C7" s="89" t="str">
        <f>IF(B3="","",IF('Input Nilai Pengetahuan'!$AL$1="","",'Input Nilai Pengetahuan'!$AL$1))</f>
        <v>pengetahuan prakarya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prakarya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prakarya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prakarya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prakarya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prakarya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prakarya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prakarya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prakarya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prakarya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prakarya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prakarya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prakarya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prakarya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prakarya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prakarya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prakarya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prakarya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prakarya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prakarya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prakarya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prakarya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prakarya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prakarya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prakarya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prakarya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prakarya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prakarya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prakarya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prakarya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prakarya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prakarya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prakarya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prakarya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prakarya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prakarya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prakarya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prakarya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prakarya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prakarya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prakarya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prakarya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prakarya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prakarya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prakarya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prakarya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prakarya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prakarya 5</v>
      </c>
    </row>
    <row r="8" spans="1:97">
      <c r="A8" s="72">
        <v>6</v>
      </c>
      <c r="B8" s="89">
        <f>IF('Input Nilai Pengetahuan'!BA5="","",'Input Nilai Pengetahuan'!BA5)</f>
        <v>87</v>
      </c>
      <c r="C8" s="89" t="str">
        <f>IF(B3="","",IF('Input Nilai Pengetahuan'!$AT$1="","",'Input Nilai Pengetahuan'!$AT$1))</f>
        <v>pengetahuan prakarya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prakarya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prakarya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prakarya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prakarya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prakarya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prakarya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prakarya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prakarya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prakarya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prakarya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prakarya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prakarya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prakarya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prakarya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prakarya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prakarya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prakarya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prakarya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prakarya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prakarya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prakarya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prakarya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prakarya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prakarya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prakarya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prakarya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prakarya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prakarya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prakarya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prakarya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prakarya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prakarya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prakarya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prakarya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prakarya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prakarya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prakarya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prakarya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prakarya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prakarya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prakarya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prakarya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prakarya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prakarya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prakarya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prakarya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prakarya 6</v>
      </c>
    </row>
    <row r="9" spans="1:97">
      <c r="A9" s="72">
        <v>7</v>
      </c>
      <c r="B9" s="89">
        <f>IF('Input Nilai Pengetahuan'!BI5="","",'Input Nilai Pengetahuan'!BI5)</f>
        <v>90</v>
      </c>
      <c r="C9" s="89" t="str">
        <f>IF(B3="","",IF('Input Nilai Pengetahuan'!$BB$1="","",'Input Nilai Pengetahuan'!$BB$1))</f>
        <v>pengetahuan prakarya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prakarya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prakarya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prakarya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prakarya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prakarya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prakarya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prakarya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prakarya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prakarya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prakarya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prakarya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prakarya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prakarya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prakarya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prakarya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prakarya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prakarya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prakarya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prakarya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prakarya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prakarya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prakarya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prakarya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prakarya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prakarya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prakarya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prakarya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prakarya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prakarya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prakarya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prakarya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prakarya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prakarya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prakarya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prakarya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prakarya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prakarya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prakarya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prakarya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prakarya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prakarya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prakarya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prakarya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prakarya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prakarya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prakarya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prakarya 7</v>
      </c>
    </row>
    <row r="10" spans="1:97">
      <c r="A10" s="72">
        <v>8</v>
      </c>
      <c r="B10" s="89">
        <f>IF('Input Nilai Pengetahuan'!BQ5="","",'Input Nilai Pengetahuan'!BQ5)</f>
        <v>80</v>
      </c>
      <c r="C10" s="89" t="str">
        <f>IF(B3="","",IF('Input Nilai Pengetahuan'!$BJ$1="","",'Input Nilai Pengetahuan'!$BJ$1))</f>
        <v>pengetahuan prakarya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prakarya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prakarya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prakarya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prakarya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prakarya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prakarya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prakarya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prakarya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prakarya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prakarya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prakarya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prakarya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prakarya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prakarya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prakarya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prakarya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prakarya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prakarya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prakarya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prakarya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prakarya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prakarya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prakarya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prakarya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prakarya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prakarya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prakarya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prakarya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prakarya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prakarya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prakarya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prakarya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prakarya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prakarya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prakarya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prakarya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prakarya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prakarya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prakarya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prakarya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prakarya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prakarya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prakarya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prakarya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prakarya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prakarya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prakarya 8</v>
      </c>
    </row>
    <row r="11" spans="1:97">
      <c r="A11" s="72">
        <v>9</v>
      </c>
      <c r="B11" s="89">
        <f>IF('Input Nilai Pengetahuan'!BY5="","",'Input Nilai Pengetahuan'!BY5)</f>
        <v>90</v>
      </c>
      <c r="C11" s="89" t="str">
        <f>IF(B3="","",IF('Input Nilai Pengetahuan'!$BR$1="","",'Input Nilai Pengetahuan'!$BR$1))</f>
        <v>pengetahuan prakarya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prakarya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prakarya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prakarya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prakarya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prakarya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prakarya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prakarya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prakarya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prakarya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prakarya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prakarya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prakarya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prakarya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prakarya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prakarya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prakarya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prakarya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prakarya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prakarya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prakarya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prakarya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prakarya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prakarya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prakarya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prakarya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prakarya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prakarya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prakarya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prakarya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prakarya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prakarya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prakarya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prakarya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prakarya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prakarya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prakarya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prakarya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prakarya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prakarya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prakarya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prakarya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prakarya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prakarya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prakarya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prakarya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prakarya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prakarya 9</v>
      </c>
    </row>
    <row r="12" spans="1:97">
      <c r="A12" s="72">
        <v>10</v>
      </c>
      <c r="B12" s="89">
        <f>IF('Input Nilai Pengetahuan'!CG5="","",'Input Nilai Pengetahuan'!CG5)</f>
        <v>85</v>
      </c>
      <c r="C12" s="89" t="str">
        <f>IF(B3="","",IF('Input Nilai Pengetahuan'!$BZ$1="","",'Input Nilai Pengetahuan'!$BZ$1))</f>
        <v>pengetahuan prakarya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prakarya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prakarya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prakarya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prakarya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prakarya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prakarya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prakarya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prakarya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prakarya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prakarya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prakarya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prakarya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prakarya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prakarya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prakarya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prakarya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prakarya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prakarya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prakarya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prakarya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prakarya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prakarya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prakarya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prakarya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prakarya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prakarya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prakarya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prakarya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prakarya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prakarya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prakarya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prakarya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prakarya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prakarya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prakarya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prakarya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prakarya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prakarya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prakarya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prakarya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prakarya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prakarya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prakarya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prakarya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prakarya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prakarya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prakarya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19</v>
      </c>
      <c r="G1" s="481"/>
      <c r="H1" s="481"/>
      <c r="I1" s="618" t="s">
        <v>7</v>
      </c>
      <c r="J1" s="619" t="s">
        <v>302</v>
      </c>
      <c r="K1" s="481" t="s">
        <v>19</v>
      </c>
      <c r="L1" s="481"/>
      <c r="M1" s="481"/>
      <c r="N1" s="618" t="s">
        <v>7</v>
      </c>
      <c r="O1" s="619" t="s">
        <v>302</v>
      </c>
      <c r="P1" s="481" t="s">
        <v>19</v>
      </c>
      <c r="Q1" s="481"/>
      <c r="R1" s="481"/>
      <c r="S1" s="618" t="s">
        <v>7</v>
      </c>
      <c r="T1" s="619" t="s">
        <v>302</v>
      </c>
      <c r="U1" s="481" t="s">
        <v>19</v>
      </c>
      <c r="V1" s="481"/>
      <c r="W1" s="481"/>
      <c r="X1" s="618" t="s">
        <v>7</v>
      </c>
      <c r="Y1" s="619" t="s">
        <v>302</v>
      </c>
      <c r="Z1" s="481" t="s">
        <v>19</v>
      </c>
      <c r="AA1" s="481"/>
      <c r="AB1" s="481"/>
      <c r="AC1" s="618" t="s">
        <v>7</v>
      </c>
      <c r="AD1" s="619" t="s">
        <v>302</v>
      </c>
      <c r="AE1" s="481" t="s">
        <v>19</v>
      </c>
      <c r="AF1" s="481"/>
      <c r="AG1" s="481"/>
      <c r="AH1" s="618" t="s">
        <v>7</v>
      </c>
      <c r="AI1" s="619" t="s">
        <v>302</v>
      </c>
      <c r="AJ1" s="481" t="s">
        <v>19</v>
      </c>
      <c r="AK1" s="481"/>
      <c r="AL1" s="481"/>
      <c r="AM1" s="618" t="s">
        <v>7</v>
      </c>
      <c r="AN1" s="619" t="s">
        <v>302</v>
      </c>
      <c r="AO1" s="481" t="s">
        <v>19</v>
      </c>
      <c r="AP1" s="481"/>
      <c r="AQ1" s="481"/>
      <c r="AR1" s="622" t="s">
        <v>7</v>
      </c>
      <c r="AS1" s="619" t="s">
        <v>302</v>
      </c>
      <c r="AT1" s="481" t="s">
        <v>19</v>
      </c>
      <c r="AU1" s="481"/>
      <c r="AV1" s="481"/>
      <c r="AW1" s="622" t="s">
        <v>7</v>
      </c>
      <c r="AX1" s="619" t="s">
        <v>302</v>
      </c>
      <c r="AY1" s="481" t="s">
        <v>19</v>
      </c>
      <c r="AZ1" s="481"/>
      <c r="BA1" s="481"/>
      <c r="BB1" s="622" t="s">
        <v>7</v>
      </c>
      <c r="BC1" s="619" t="s">
        <v>302</v>
      </c>
      <c r="BD1" s="618" t="s">
        <v>27</v>
      </c>
      <c r="BE1" s="571" t="s">
        <v>28</v>
      </c>
      <c r="BF1" s="571" t="s">
        <v>29</v>
      </c>
      <c r="BG1" s="93" t="s">
        <v>303</v>
      </c>
      <c r="BH1" s="574" t="s">
        <v>30</v>
      </c>
      <c r="BI1" s="586" t="s">
        <v>283</v>
      </c>
      <c r="BJ1" s="583" t="s">
        <v>36</v>
      </c>
    </row>
    <row r="2" spans="1:62">
      <c r="A2" s="478"/>
      <c r="B2" s="478"/>
      <c r="C2" s="480"/>
      <c r="D2" s="481"/>
      <c r="E2" s="483"/>
      <c r="F2" s="481" t="s">
        <v>18</v>
      </c>
      <c r="G2" s="481"/>
      <c r="H2" s="481"/>
      <c r="I2" s="618"/>
      <c r="J2" s="620"/>
      <c r="K2" s="481" t="s">
        <v>20</v>
      </c>
      <c r="L2" s="481"/>
      <c r="M2" s="481"/>
      <c r="N2" s="618"/>
      <c r="O2" s="620"/>
      <c r="P2" s="481" t="s">
        <v>21</v>
      </c>
      <c r="Q2" s="481"/>
      <c r="R2" s="481"/>
      <c r="S2" s="618"/>
      <c r="T2" s="620"/>
      <c r="U2" s="481" t="s">
        <v>22</v>
      </c>
      <c r="V2" s="481"/>
      <c r="W2" s="481"/>
      <c r="X2" s="618"/>
      <c r="Y2" s="620"/>
      <c r="Z2" s="481" t="s">
        <v>23</v>
      </c>
      <c r="AA2" s="481"/>
      <c r="AB2" s="481"/>
      <c r="AC2" s="618"/>
      <c r="AD2" s="620"/>
      <c r="AE2" s="481" t="s">
        <v>24</v>
      </c>
      <c r="AF2" s="481"/>
      <c r="AG2" s="481"/>
      <c r="AH2" s="618"/>
      <c r="AI2" s="620"/>
      <c r="AJ2" s="481" t="s">
        <v>25</v>
      </c>
      <c r="AK2" s="481"/>
      <c r="AL2" s="481"/>
      <c r="AM2" s="618"/>
      <c r="AN2" s="620"/>
      <c r="AO2" s="481" t="s">
        <v>26</v>
      </c>
      <c r="AP2" s="481"/>
      <c r="AQ2" s="481"/>
      <c r="AR2" s="623"/>
      <c r="AS2" s="620"/>
      <c r="AT2" s="481" t="s">
        <v>44</v>
      </c>
      <c r="AU2" s="481"/>
      <c r="AV2" s="481"/>
      <c r="AW2" s="623"/>
      <c r="AX2" s="620"/>
      <c r="AY2" s="481" t="s">
        <v>45</v>
      </c>
      <c r="AZ2" s="481"/>
      <c r="BA2" s="481"/>
      <c r="BB2" s="623"/>
      <c r="BC2" s="620"/>
      <c r="BD2" s="618"/>
      <c r="BE2" s="572"/>
      <c r="BF2" s="572"/>
      <c r="BG2" s="103">
        <f>menu!$D$19</f>
        <v>0</v>
      </c>
      <c r="BH2" s="575"/>
      <c r="BI2" s="587"/>
      <c r="BJ2" s="584"/>
    </row>
    <row r="3" spans="1:62" ht="69.75">
      <c r="A3" s="479"/>
      <c r="B3" s="479"/>
      <c r="C3" s="480"/>
      <c r="D3" s="481"/>
      <c r="E3" s="484"/>
      <c r="F3" s="111" t="s">
        <v>31</v>
      </c>
      <c r="G3" s="112" t="s">
        <v>32</v>
      </c>
      <c r="H3" s="111" t="s">
        <v>33</v>
      </c>
      <c r="I3" s="618"/>
      <c r="J3" s="621"/>
      <c r="K3" s="111" t="s">
        <v>31</v>
      </c>
      <c r="L3" s="112" t="s">
        <v>32</v>
      </c>
      <c r="M3" s="111" t="s">
        <v>33</v>
      </c>
      <c r="N3" s="618"/>
      <c r="O3" s="621"/>
      <c r="P3" s="111" t="s">
        <v>31</v>
      </c>
      <c r="Q3" s="112" t="s">
        <v>32</v>
      </c>
      <c r="R3" s="111" t="s">
        <v>33</v>
      </c>
      <c r="S3" s="618"/>
      <c r="T3" s="621"/>
      <c r="U3" s="111" t="s">
        <v>31</v>
      </c>
      <c r="V3" s="112" t="s">
        <v>32</v>
      </c>
      <c r="W3" s="111" t="s">
        <v>33</v>
      </c>
      <c r="X3" s="618"/>
      <c r="Y3" s="621"/>
      <c r="Z3" s="111" t="s">
        <v>31</v>
      </c>
      <c r="AA3" s="112" t="s">
        <v>32</v>
      </c>
      <c r="AB3" s="111" t="s">
        <v>33</v>
      </c>
      <c r="AC3" s="618"/>
      <c r="AD3" s="621"/>
      <c r="AE3" s="111" t="s">
        <v>31</v>
      </c>
      <c r="AF3" s="112" t="s">
        <v>32</v>
      </c>
      <c r="AG3" s="111" t="s">
        <v>33</v>
      </c>
      <c r="AH3" s="618"/>
      <c r="AI3" s="621"/>
      <c r="AJ3" s="111" t="s">
        <v>31</v>
      </c>
      <c r="AK3" s="112" t="s">
        <v>32</v>
      </c>
      <c r="AL3" s="111" t="s">
        <v>33</v>
      </c>
      <c r="AM3" s="618"/>
      <c r="AN3" s="621"/>
      <c r="AO3" s="111" t="s">
        <v>31</v>
      </c>
      <c r="AP3" s="112" t="s">
        <v>32</v>
      </c>
      <c r="AQ3" s="111" t="s">
        <v>33</v>
      </c>
      <c r="AR3" s="624"/>
      <c r="AS3" s="621"/>
      <c r="AT3" s="111" t="s">
        <v>31</v>
      </c>
      <c r="AU3" s="112" t="s">
        <v>32</v>
      </c>
      <c r="AV3" s="111" t="s">
        <v>33</v>
      </c>
      <c r="AW3" s="624"/>
      <c r="AX3" s="621"/>
      <c r="AY3" s="111" t="s">
        <v>31</v>
      </c>
      <c r="AZ3" s="112" t="s">
        <v>32</v>
      </c>
      <c r="BA3" s="111" t="s">
        <v>33</v>
      </c>
      <c r="BB3" s="624"/>
      <c r="BC3" s="621"/>
      <c r="BD3" s="618"/>
      <c r="BE3" s="573"/>
      <c r="BF3" s="573"/>
      <c r="BG3" s="114" t="s">
        <v>304</v>
      </c>
      <c r="BH3" s="576"/>
      <c r="BI3" s="588"/>
      <c r="BJ3" s="585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A1:A3"/>
    <mergeCell ref="B1:B3"/>
    <mergeCell ref="C1:C3"/>
    <mergeCell ref="D1:D3"/>
    <mergeCell ref="E1:E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E1:BE3"/>
    <mergeCell ref="BF1:BF3"/>
    <mergeCell ref="BH1:BH3"/>
    <mergeCell ref="BI1:BI3"/>
    <mergeCell ref="BJ1:BJ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7a</v>
      </c>
      <c r="F1" s="626" t="s">
        <v>314</v>
      </c>
      <c r="G1" s="627"/>
      <c r="H1" s="627"/>
      <c r="I1" s="627"/>
      <c r="J1" s="627"/>
      <c r="K1" s="627"/>
      <c r="L1" s="628"/>
    </row>
    <row r="2" spans="1:21" ht="21" customHeight="1">
      <c r="A2" s="192" t="str">
        <f>menu!D13</f>
        <v>Prakarya</v>
      </c>
      <c r="O2" s="184" t="s">
        <v>313</v>
      </c>
      <c r="R2" s="193" t="str">
        <f>menu!D11</f>
        <v>Master</v>
      </c>
    </row>
    <row r="4" spans="1:21" ht="15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481"/>
      <c r="G4" s="481"/>
      <c r="H4" s="481"/>
      <c r="I4" s="625" t="s">
        <v>7</v>
      </c>
      <c r="J4" s="481"/>
      <c r="K4" s="481"/>
      <c r="L4" s="481"/>
      <c r="M4" s="625" t="s">
        <v>7</v>
      </c>
      <c r="N4" s="481"/>
      <c r="O4" s="481"/>
      <c r="P4" s="481"/>
      <c r="Q4" s="625" t="s">
        <v>7</v>
      </c>
      <c r="R4" s="481"/>
      <c r="S4" s="481"/>
      <c r="T4" s="481"/>
      <c r="U4" s="625" t="s">
        <v>7</v>
      </c>
    </row>
    <row r="5" spans="1:21" ht="15" customHeight="1">
      <c r="A5" s="478"/>
      <c r="B5" s="478"/>
      <c r="C5" s="480"/>
      <c r="D5" s="481"/>
      <c r="E5" s="483"/>
      <c r="F5" s="481"/>
      <c r="G5" s="481"/>
      <c r="H5" s="481"/>
      <c r="I5" s="625"/>
      <c r="J5" s="481"/>
      <c r="K5" s="481"/>
      <c r="L5" s="481"/>
      <c r="M5" s="625"/>
      <c r="N5" s="481"/>
      <c r="O5" s="481"/>
      <c r="P5" s="481"/>
      <c r="Q5" s="625"/>
      <c r="R5" s="481"/>
      <c r="S5" s="481"/>
      <c r="T5" s="481"/>
      <c r="U5" s="625"/>
    </row>
    <row r="6" spans="1:21" s="97" customFormat="1" ht="80.25" customHeight="1">
      <c r="A6" s="479"/>
      <c r="B6" s="479"/>
      <c r="C6" s="480"/>
      <c r="D6" s="481"/>
      <c r="E6" s="484"/>
      <c r="F6" s="111" t="s">
        <v>31</v>
      </c>
      <c r="G6" s="112" t="s">
        <v>32</v>
      </c>
      <c r="H6" s="111" t="s">
        <v>33</v>
      </c>
      <c r="I6" s="625"/>
      <c r="J6" s="111" t="s">
        <v>31</v>
      </c>
      <c r="K6" s="112" t="s">
        <v>32</v>
      </c>
      <c r="L6" s="111" t="s">
        <v>33</v>
      </c>
      <c r="M6" s="625"/>
      <c r="N6" s="111" t="s">
        <v>31</v>
      </c>
      <c r="O6" s="112" t="s">
        <v>32</v>
      </c>
      <c r="P6" s="111" t="s">
        <v>33</v>
      </c>
      <c r="Q6" s="625"/>
      <c r="R6" s="111" t="s">
        <v>31</v>
      </c>
      <c r="S6" s="112" t="s">
        <v>32</v>
      </c>
      <c r="T6" s="111" t="s">
        <v>33</v>
      </c>
      <c r="U6" s="625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F1:L1"/>
    <mergeCell ref="A4:A6"/>
    <mergeCell ref="B4:B6"/>
    <mergeCell ref="C4:C6"/>
    <mergeCell ref="D4:D6"/>
    <mergeCell ref="E4:E6"/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AY5" activePane="bottomRight" state="frozen"/>
      <selection pane="topRight" activeCell="F1" sqref="F1"/>
      <selection pane="bottomLeft" activeCell="A5" sqref="A5"/>
      <selection pane="bottomRight" activeCell="BI5" sqref="BI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630" t="str">
        <f>IF(KDOKE!B29="","",KDOKE!B29)</f>
        <v>ketrampilan prakarya 1</v>
      </c>
      <c r="G1" s="630"/>
      <c r="H1" s="630"/>
      <c r="I1" s="630"/>
      <c r="J1" s="618" t="s">
        <v>7</v>
      </c>
      <c r="K1" s="630" t="str">
        <f>IF(KDOKE!B30="","",KDOKE!B30)</f>
        <v>ketrampilan prakarya 2</v>
      </c>
      <c r="L1" s="630"/>
      <c r="M1" s="630"/>
      <c r="N1" s="630"/>
      <c r="O1" s="618" t="s">
        <v>7</v>
      </c>
      <c r="P1" s="630" t="str">
        <f>IF(KDOKE!B31="","",KDOKE!B31)</f>
        <v>ketrampilan prakarya 3</v>
      </c>
      <c r="Q1" s="630"/>
      <c r="R1" s="630"/>
      <c r="S1" s="630"/>
      <c r="T1" s="618" t="s">
        <v>7</v>
      </c>
      <c r="U1" s="630" t="str">
        <f>IF(KDOKE!B32="","",KDOKE!B32)</f>
        <v>ketrampilan prakarya 4</v>
      </c>
      <c r="V1" s="630"/>
      <c r="W1" s="630"/>
      <c r="X1" s="630"/>
      <c r="Y1" s="618" t="s">
        <v>7</v>
      </c>
      <c r="Z1" s="630" t="str">
        <f>IF(KDOKE!B33="","",KDOKE!B33)</f>
        <v>ketrampilan prakarya 5</v>
      </c>
      <c r="AA1" s="630"/>
      <c r="AB1" s="630"/>
      <c r="AC1" s="630"/>
      <c r="AD1" s="618" t="s">
        <v>7</v>
      </c>
      <c r="AE1" s="630" t="str">
        <f>IF(KDOKE!B34="","",KDOKE!B34)</f>
        <v>ketrampilan prakarya 6</v>
      </c>
      <c r="AF1" s="630"/>
      <c r="AG1" s="630"/>
      <c r="AH1" s="630"/>
      <c r="AI1" s="618" t="s">
        <v>7</v>
      </c>
      <c r="AJ1" s="630" t="str">
        <f>IF(KDOKE!B35="","",KDOKE!B35)</f>
        <v>ketrampilan prakarya 7</v>
      </c>
      <c r="AK1" s="630"/>
      <c r="AL1" s="630"/>
      <c r="AM1" s="630"/>
      <c r="AN1" s="618" t="s">
        <v>7</v>
      </c>
      <c r="AO1" s="630" t="str">
        <f>IF(KDOKE!B36="","",KDOKE!B36)</f>
        <v>ketrampilan prakarya 8</v>
      </c>
      <c r="AP1" s="630"/>
      <c r="AQ1" s="630"/>
      <c r="AR1" s="630"/>
      <c r="AS1" s="622" t="s">
        <v>7</v>
      </c>
      <c r="AT1" s="630" t="str">
        <f>IF(KDOKE!B37="","",KDOKE!B37)</f>
        <v>ketrampilan prakarya 9</v>
      </c>
      <c r="AU1" s="630"/>
      <c r="AV1" s="630"/>
      <c r="AW1" s="630"/>
      <c r="AX1" s="622" t="s">
        <v>7</v>
      </c>
      <c r="AY1" s="630" t="str">
        <f>IF(KDOKE!B38="","",KDOKE!B38)</f>
        <v>ketrampilan prakarya 10</v>
      </c>
      <c r="AZ1" s="630"/>
      <c r="BA1" s="630"/>
      <c r="BB1" s="630"/>
      <c r="BC1" s="622" t="s">
        <v>7</v>
      </c>
      <c r="BD1" s="608" t="s">
        <v>395</v>
      </c>
      <c r="BE1" s="596" t="s">
        <v>27</v>
      </c>
      <c r="BF1" s="631" t="s">
        <v>28</v>
      </c>
      <c r="BG1" s="634" t="s">
        <v>30</v>
      </c>
      <c r="BH1" s="93" t="s">
        <v>303</v>
      </c>
      <c r="BI1" s="574" t="s">
        <v>396</v>
      </c>
      <c r="BJ1" s="586" t="s">
        <v>283</v>
      </c>
      <c r="BK1" s="583" t="s">
        <v>36</v>
      </c>
    </row>
    <row r="2" spans="1:63" ht="15" customHeight="1">
      <c r="A2" s="478"/>
      <c r="B2" s="478"/>
      <c r="C2" s="480"/>
      <c r="D2" s="481"/>
      <c r="E2" s="483"/>
      <c r="F2" s="567">
        <f>IF(KDOKE!A29="","",KDOKE!A29)</f>
        <v>41</v>
      </c>
      <c r="G2" s="567"/>
      <c r="H2" s="567"/>
      <c r="I2" s="567"/>
      <c r="J2" s="618"/>
      <c r="K2" s="567">
        <f>IF(KDOKE!A30="","",KDOKE!A30)</f>
        <v>42</v>
      </c>
      <c r="L2" s="567"/>
      <c r="M2" s="567"/>
      <c r="N2" s="567"/>
      <c r="O2" s="618"/>
      <c r="P2" s="567">
        <f>IF(KDOKE!A31="","",KDOKE!A31)</f>
        <v>43</v>
      </c>
      <c r="Q2" s="567"/>
      <c r="R2" s="567"/>
      <c r="S2" s="567"/>
      <c r="T2" s="618"/>
      <c r="U2" s="567">
        <f>IF(KDOKE!A32="","",KDOKE!A32)</f>
        <v>44</v>
      </c>
      <c r="V2" s="567"/>
      <c r="W2" s="567"/>
      <c r="X2" s="567"/>
      <c r="Y2" s="618"/>
      <c r="Z2" s="567">
        <f>IF(KDOKE!A33="","",KDOKE!A33)</f>
        <v>45</v>
      </c>
      <c r="AA2" s="567"/>
      <c r="AB2" s="567"/>
      <c r="AC2" s="567"/>
      <c r="AD2" s="618"/>
      <c r="AE2" s="567">
        <f>IF(KDOKE!A34="","",KDOKE!A34)</f>
        <v>46</v>
      </c>
      <c r="AF2" s="567"/>
      <c r="AG2" s="567"/>
      <c r="AH2" s="567"/>
      <c r="AI2" s="618"/>
      <c r="AJ2" s="567">
        <f>IF(KDOKE!A35="","",KDOKE!A35)</f>
        <v>47</v>
      </c>
      <c r="AK2" s="567"/>
      <c r="AL2" s="567"/>
      <c r="AM2" s="567"/>
      <c r="AN2" s="618"/>
      <c r="AO2" s="567">
        <f>IF(KDOKE!A36="","",KDOKE!A36)</f>
        <v>48</v>
      </c>
      <c r="AP2" s="567"/>
      <c r="AQ2" s="567"/>
      <c r="AR2" s="567"/>
      <c r="AS2" s="623"/>
      <c r="AT2" s="567">
        <f>IF(KDOKE!A37="","",KDOKE!A37)</f>
        <v>49</v>
      </c>
      <c r="AU2" s="567"/>
      <c r="AV2" s="567"/>
      <c r="AW2" s="567"/>
      <c r="AX2" s="623"/>
      <c r="AY2" s="567">
        <f>IF(KDOKE!A38="","",KDOKE!A38)</f>
        <v>410</v>
      </c>
      <c r="AZ2" s="567"/>
      <c r="BA2" s="567"/>
      <c r="BB2" s="567"/>
      <c r="BC2" s="623"/>
      <c r="BD2" s="629"/>
      <c r="BE2" s="596"/>
      <c r="BF2" s="632"/>
      <c r="BG2" s="635"/>
      <c r="BH2" s="288">
        <f>menu!R1</f>
        <v>80</v>
      </c>
      <c r="BI2" s="575"/>
      <c r="BJ2" s="587"/>
      <c r="BK2" s="584"/>
    </row>
    <row r="3" spans="1:63" s="97" customFormat="1" ht="80.25" customHeight="1">
      <c r="A3" s="479"/>
      <c r="B3" s="479"/>
      <c r="C3" s="480"/>
      <c r="D3" s="481"/>
      <c r="E3" s="484"/>
      <c r="F3" s="111" t="s">
        <v>447</v>
      </c>
      <c r="G3" s="111" t="s">
        <v>31</v>
      </c>
      <c r="H3" s="112" t="s">
        <v>32</v>
      </c>
      <c r="I3" s="111" t="s">
        <v>33</v>
      </c>
      <c r="J3" s="618"/>
      <c r="K3" s="111" t="s">
        <v>447</v>
      </c>
      <c r="L3" s="111" t="s">
        <v>31</v>
      </c>
      <c r="M3" s="112" t="s">
        <v>32</v>
      </c>
      <c r="N3" s="111" t="s">
        <v>33</v>
      </c>
      <c r="O3" s="618"/>
      <c r="P3" s="111" t="s">
        <v>447</v>
      </c>
      <c r="Q3" s="111" t="s">
        <v>31</v>
      </c>
      <c r="R3" s="112" t="s">
        <v>32</v>
      </c>
      <c r="S3" s="111" t="s">
        <v>33</v>
      </c>
      <c r="T3" s="618"/>
      <c r="U3" s="111" t="s">
        <v>447</v>
      </c>
      <c r="V3" s="111" t="s">
        <v>31</v>
      </c>
      <c r="W3" s="112" t="s">
        <v>32</v>
      </c>
      <c r="X3" s="111" t="s">
        <v>33</v>
      </c>
      <c r="Y3" s="618"/>
      <c r="Z3" s="111" t="s">
        <v>447</v>
      </c>
      <c r="AA3" s="111" t="s">
        <v>31</v>
      </c>
      <c r="AB3" s="112" t="s">
        <v>32</v>
      </c>
      <c r="AC3" s="111" t="s">
        <v>33</v>
      </c>
      <c r="AD3" s="618"/>
      <c r="AE3" s="111" t="s">
        <v>447</v>
      </c>
      <c r="AF3" s="111" t="s">
        <v>31</v>
      </c>
      <c r="AG3" s="112" t="s">
        <v>32</v>
      </c>
      <c r="AH3" s="111" t="s">
        <v>33</v>
      </c>
      <c r="AI3" s="618"/>
      <c r="AJ3" s="111" t="s">
        <v>447</v>
      </c>
      <c r="AK3" s="111" t="s">
        <v>31</v>
      </c>
      <c r="AL3" s="112" t="s">
        <v>32</v>
      </c>
      <c r="AM3" s="111" t="s">
        <v>33</v>
      </c>
      <c r="AN3" s="618"/>
      <c r="AO3" s="111" t="s">
        <v>447</v>
      </c>
      <c r="AP3" s="111" t="s">
        <v>31</v>
      </c>
      <c r="AQ3" s="112" t="s">
        <v>32</v>
      </c>
      <c r="AR3" s="111" t="s">
        <v>33</v>
      </c>
      <c r="AS3" s="624"/>
      <c r="AT3" s="111" t="s">
        <v>447</v>
      </c>
      <c r="AU3" s="111" t="s">
        <v>31</v>
      </c>
      <c r="AV3" s="112" t="s">
        <v>32</v>
      </c>
      <c r="AW3" s="111" t="s">
        <v>33</v>
      </c>
      <c r="AX3" s="624"/>
      <c r="AY3" s="111" t="s">
        <v>447</v>
      </c>
      <c r="AZ3" s="111" t="s">
        <v>31</v>
      </c>
      <c r="BA3" s="112" t="s">
        <v>32</v>
      </c>
      <c r="BB3" s="111" t="s">
        <v>33</v>
      </c>
      <c r="BC3" s="624"/>
      <c r="BD3" s="609"/>
      <c r="BE3" s="596"/>
      <c r="BF3" s="633"/>
      <c r="BG3" s="636"/>
      <c r="BH3" s="114" t="s">
        <v>304</v>
      </c>
      <c r="BI3" s="576"/>
      <c r="BJ3" s="588"/>
      <c r="BK3" s="585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90</v>
      </c>
      <c r="G5" s="90"/>
      <c r="H5" s="90"/>
      <c r="I5" s="90"/>
      <c r="J5" s="311">
        <f>IF(AND(F5="",G5="",H5="",I5=""),"",AVERAGE(F5:I5))</f>
        <v>90</v>
      </c>
      <c r="K5" s="90">
        <v>70</v>
      </c>
      <c r="L5" s="90"/>
      <c r="M5" s="90"/>
      <c r="N5" s="90"/>
      <c r="O5" s="311">
        <f>IF(AND(K5="",L5="",M5="",N5=""),"",AVERAGE(K5:N5))</f>
        <v>70</v>
      </c>
      <c r="P5" s="90">
        <v>80</v>
      </c>
      <c r="Q5" s="90"/>
      <c r="R5" s="90"/>
      <c r="S5" s="90"/>
      <c r="T5" s="311">
        <f>IF(AND(P5="",Q5="",R5="",S5=""),"",AVERAGE(P5:S5))</f>
        <v>80</v>
      </c>
      <c r="U5" s="90">
        <v>91</v>
      </c>
      <c r="V5" s="90"/>
      <c r="W5" s="90"/>
      <c r="X5" s="90"/>
      <c r="Y5" s="311">
        <f>IF(AND(U5="",V5="",W5="",X5=""),"",AVERAGE(U5:X5))</f>
        <v>91</v>
      </c>
      <c r="Z5" s="90"/>
      <c r="AA5" s="90">
        <v>90</v>
      </c>
      <c r="AB5" s="90"/>
      <c r="AC5" s="90"/>
      <c r="AD5" s="311">
        <f>IF(AND(Z5="",AA5="",AB5="",AC5=""),"",AVERAGE(Z5:AC5))</f>
        <v>90</v>
      </c>
      <c r="AE5" s="90">
        <v>87</v>
      </c>
      <c r="AF5" s="90"/>
      <c r="AG5" s="90"/>
      <c r="AH5" s="90"/>
      <c r="AI5" s="311">
        <f>IF(AND(AE5="",AF5="",AG5="",AH5=""),"",AVERAGE(AE5:AH5))</f>
        <v>87</v>
      </c>
      <c r="AJ5" s="90"/>
      <c r="AK5" s="90"/>
      <c r="AL5" s="90"/>
      <c r="AM5" s="90">
        <v>90</v>
      </c>
      <c r="AN5" s="311">
        <f>IF(AND(AJ5="",AK5="",AL5="",AM5=""),"",AVERAGE(AJ5:AM5))</f>
        <v>90</v>
      </c>
      <c r="AO5" s="90"/>
      <c r="AP5" s="90"/>
      <c r="AQ5" s="90">
        <v>90</v>
      </c>
      <c r="AR5" s="90"/>
      <c r="AS5" s="311">
        <f>IF(AND(AO5="",AP5="",AQ5="",AR5=""),"",AVERAGE(AO5:AR5))</f>
        <v>90</v>
      </c>
      <c r="AT5" s="90"/>
      <c r="AU5" s="90">
        <v>87.5</v>
      </c>
      <c r="AV5" s="90"/>
      <c r="AW5" s="90"/>
      <c r="AX5" s="311">
        <f>IF(AND(AT5="",AU5="",AV5="",AW5=""),"",AVERAGE(AT5:AW5))</f>
        <v>87.5</v>
      </c>
      <c r="AY5" s="90">
        <v>80</v>
      </c>
      <c r="AZ5" s="90"/>
      <c r="BA5" s="90"/>
      <c r="BB5" s="90"/>
      <c r="BC5" s="311">
        <f>IF(AND(AY5="",AZ5="",BA5="",BB5=""),"",AVERAGE(AY5:BB5))</f>
        <v>80</v>
      </c>
      <c r="BD5" s="312">
        <f>IF(AND(J5="",O5=""),"",MAX(BC5,AX5,AS5,AN5,AI5,AD5,Y5,T5,O5,J5))</f>
        <v>91</v>
      </c>
      <c r="BE5" s="313">
        <f t="shared" ref="BE5:BE52" si="0">IF(AND(J5="",O5=""),"",AVERAGE(BC5,AX5,AS5,AN5,AI5,AD5,Y5,T5,O5,J5))</f>
        <v>85.55</v>
      </c>
      <c r="BF5" s="314">
        <f>IF(BE5="","",ROUND(BE5,0))</f>
        <v>86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ketrampilan prakarya 4</v>
      </c>
      <c r="BK5" s="104" t="str">
        <f>IF(BF5="","",BI5&amp;" "&amp;BJ5)</f>
        <v>cukup terampil ketrampilan prakarya 4</v>
      </c>
    </row>
    <row r="6" spans="1:63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C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cukup terampil</v>
      </c>
      <c r="BJ6" s="115" t="str">
        <f>IF(BD6="","",VLOOKUP(BD6,DATAKET!$D$3:$E$12,2,FALSE))</f>
        <v>ketrampilan prakarya 7</v>
      </c>
      <c r="BK6" s="104" t="str">
        <f t="shared" ref="BK6:BK52" si="14">IF(BF6="","",BI6&amp;" "&amp;BJ6)</f>
        <v>cukup terampil ketrampilan prakarya 7</v>
      </c>
    </row>
    <row r="7" spans="1:63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prakarya 1</v>
      </c>
      <c r="BK7" s="104" t="str">
        <f t="shared" si="14"/>
        <v>terampil ketrampilan prakarya 1</v>
      </c>
    </row>
    <row r="8" spans="1:63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C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cukup terampil</v>
      </c>
      <c r="BJ8" s="115" t="str">
        <f>IF(BD8="","",VLOOKUP(BD8,DATAKET!$H$3:$I$12,2,FALSE))</f>
        <v>ketrampilan prakarya 1</v>
      </c>
      <c r="BK8" s="104" t="str">
        <f t="shared" si="14"/>
        <v>cukup terampil ketrampilan prakarya 1</v>
      </c>
    </row>
    <row r="9" spans="1:63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D</v>
      </c>
      <c r="BH9" s="105" t="str">
        <f t="shared" si="13"/>
        <v>TIDAK</v>
      </c>
      <c r="BI9" s="106" t="str">
        <f>IF(BF9="","",IF(BF9&gt;=menu!$O$6,"sangat terampil",IF(BE9&gt;=menu!$O$7,"terampil",IF(BF9&gt;=menu!$O$8,"cukup terampil","kurang terampil"))))</f>
        <v>kurang terampil</v>
      </c>
      <c r="BJ9" s="115" t="str">
        <f>IF(BD9="","",VLOOKUP(BD9,DATAKET!$J$3:$K$12,2,FALSE))</f>
        <v>ketrampilan prakarya 7</v>
      </c>
      <c r="BK9" s="104" t="str">
        <f t="shared" si="14"/>
        <v>kurang terampil ketrampilan prakarya 7</v>
      </c>
    </row>
    <row r="10" spans="1:63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C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cukup terampil</v>
      </c>
      <c r="BJ10" s="115" t="str">
        <f>IF(BD10="","",VLOOKUP(BD10,DATAKET!$L$3:$M$12,2,FALSE))</f>
        <v>ketrampilan prakarya 2</v>
      </c>
      <c r="BK10" s="104" t="str">
        <f t="shared" si="14"/>
        <v>cukup terampil ketrampilan prakarya 2</v>
      </c>
    </row>
    <row r="11" spans="1:63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C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cukup terampil</v>
      </c>
      <c r="BJ11" s="115" t="str">
        <f>IF(BD11="","",VLOOKUP(BD11,DATAKET!$N$3:$O$12,2,FALSE))</f>
        <v>ketrampilan prakarya 4</v>
      </c>
      <c r="BK11" s="104" t="str">
        <f t="shared" si="14"/>
        <v>cukup terampil ketrampilan prakarya 4</v>
      </c>
    </row>
    <row r="12" spans="1:63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C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cukup terampil</v>
      </c>
      <c r="BJ12" s="115" t="str">
        <f>IF(BD12="","",VLOOKUP(BD12,DATAKET!$P$3:$Q$12,2,FALSE))</f>
        <v>ketrampilan prakarya 4</v>
      </c>
      <c r="BK12" s="104" t="str">
        <f t="shared" si="14"/>
        <v>cukup terampil ketrampilan prakarya 4</v>
      </c>
    </row>
    <row r="13" spans="1:63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C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cukup terampil</v>
      </c>
      <c r="BJ13" s="115" t="str">
        <f>IF(BD13="","",VLOOKUP(BD13,DATAKET!$R$3:$S$12,2,FALSE))</f>
        <v>ketrampilan prakarya 4</v>
      </c>
      <c r="BK13" s="104" t="str">
        <f t="shared" si="14"/>
        <v>cukup terampil ketrampilan prakarya 4</v>
      </c>
    </row>
    <row r="14" spans="1:63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C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cukup terampil</v>
      </c>
      <c r="BJ14" s="115" t="str">
        <f>IF(BD14="","",VLOOKUP(BD14,DATAKET!$T$3:$U$12,2,FALSE))</f>
        <v>ketrampilan prakarya 7</v>
      </c>
      <c r="BK14" s="104" t="str">
        <f t="shared" si="14"/>
        <v>cukup terampil ketrampilan prakarya 7</v>
      </c>
    </row>
    <row r="15" spans="1:63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D</v>
      </c>
      <c r="BH15" s="105" t="str">
        <f t="shared" si="13"/>
        <v>TIDAK</v>
      </c>
      <c r="BI15" s="106" t="str">
        <f>IF(BF15="","",IF(BF15&gt;=menu!$O$6,"sangat terampil",IF(BE15&gt;=menu!$O$7,"terampil",IF(BF15&gt;=menu!$O$8,"cukup terampil","kurang terampil"))))</f>
        <v>kurang terampil</v>
      </c>
      <c r="BJ15" s="115" t="str">
        <f>IF(BD15="","",VLOOKUP(BD15,DATAKET!$V$3:$W$12,2,FALSE))</f>
        <v>ketrampilan prakarya 10</v>
      </c>
      <c r="BK15" s="104" t="str">
        <f t="shared" si="14"/>
        <v>kurang terampil ketrampilan prakarya 10</v>
      </c>
    </row>
    <row r="16" spans="1:63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C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cukup terampil</v>
      </c>
      <c r="BJ16" s="115" t="str">
        <f>IF(BD16="","",VLOOKUP(BD16,DATAKET!$X$3:$Y$12,2,FALSE))</f>
        <v>ketrampilan prakarya 1</v>
      </c>
      <c r="BK16" s="104" t="str">
        <f t="shared" si="14"/>
        <v>cukup terampil ketrampilan prakarya 1</v>
      </c>
    </row>
    <row r="17" spans="1:63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C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cukup terampil</v>
      </c>
      <c r="BJ17" s="115" t="str">
        <f>IF(BD17="","",VLOOKUP(BD17,DATAKET!$Z$3:$AA$12,2,FALSE))</f>
        <v>ketrampilan prakarya 2</v>
      </c>
      <c r="BK17" s="104" t="str">
        <f t="shared" si="14"/>
        <v>cukup terampil ketrampilan prakarya 2</v>
      </c>
    </row>
    <row r="18" spans="1:63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C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cukup terampil</v>
      </c>
      <c r="BJ18" s="115" t="str">
        <f>IF(BD18="","",VLOOKUP(BD18,DATAKET!$AB$3:$AC$12,2,FALSE))</f>
        <v>ketrampilan prakarya 1</v>
      </c>
      <c r="BK18" s="104" t="str">
        <f t="shared" si="14"/>
        <v>cukup terampil ketrampilan prakarya 1</v>
      </c>
    </row>
    <row r="19" spans="1:63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C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cukup terampil</v>
      </c>
      <c r="BJ19" s="115" t="str">
        <f>IF(BD19="","",VLOOKUP(BD19,DATAKET!$AD$3:$AE$12,2,FALSE))</f>
        <v>ketrampilan prakarya 1</v>
      </c>
      <c r="BK19" s="104" t="str">
        <f t="shared" si="14"/>
        <v>cukup terampil ketrampilan prakarya 1</v>
      </c>
    </row>
    <row r="20" spans="1:63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C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cukup terampil</v>
      </c>
      <c r="BJ20" s="115" t="str">
        <f>IF(BD20="","",VLOOKUP(BD20,DATAKET!$AF$3:$AG$12,2,FALSE))</f>
        <v>ketrampilan prakarya 4</v>
      </c>
      <c r="BK20" s="104" t="str">
        <f t="shared" si="14"/>
        <v>cukup terampil ketrampilan prakarya 4</v>
      </c>
    </row>
    <row r="21" spans="1:63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C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cukup terampil</v>
      </c>
      <c r="BJ21" s="115" t="str">
        <f>IF(BD21="","",VLOOKUP(BD21,DATAKET!$AH$3:$AI$12,2,FALSE))</f>
        <v>ketrampilan prakarya 1</v>
      </c>
      <c r="BK21" s="104" t="str">
        <f t="shared" si="14"/>
        <v>cukup terampil ketrampilan prakarya 1</v>
      </c>
    </row>
    <row r="22" spans="1:63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C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cukup terampil</v>
      </c>
      <c r="BJ22" s="115" t="str">
        <f>IF(BD22="","",VLOOKUP(BD22,DATAKET!$AJ$3:$AK$12,2,FALSE))</f>
        <v>ketrampilan prakarya 7</v>
      </c>
      <c r="BK22" s="104" t="str">
        <f t="shared" si="14"/>
        <v>cukup terampil ketrampilan prakarya 7</v>
      </c>
    </row>
    <row r="23" spans="1:63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D</v>
      </c>
      <c r="BH23" s="105" t="str">
        <f t="shared" si="13"/>
        <v>TIDAK</v>
      </c>
      <c r="BI23" s="106" t="str">
        <f>IF(BF23="","",IF(BF23&gt;=menu!$O$6,"sangat terampil",IF(BE23&gt;=menu!$O$7,"terampil",IF(BF23&gt;=menu!$O$8,"cukup terampil","kurang terampil"))))</f>
        <v>kurang terampil</v>
      </c>
      <c r="BJ23" s="115" t="str">
        <f>IF(BD23="","",VLOOKUP(BD23,DATAKET!$AL$3:$AM$12,2,FALSE))</f>
        <v>ketrampilan prakarya 4</v>
      </c>
      <c r="BK23" s="104" t="str">
        <f t="shared" si="14"/>
        <v>kurang terampil ketrampilan prakarya 4</v>
      </c>
    </row>
    <row r="24" spans="1:63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C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cukup terampil</v>
      </c>
      <c r="BJ24" s="115" t="str">
        <f>IF(BD24="","",VLOOKUP(BD24,DATAKET!$AN$3:$AO$12,2,FALSE))</f>
        <v>ketrampilan prakarya 7</v>
      </c>
      <c r="BK24" s="104" t="str">
        <f t="shared" si="14"/>
        <v>cukup terampil ketrampilan prakarya 7</v>
      </c>
    </row>
    <row r="25" spans="1:63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C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cukup terampil</v>
      </c>
      <c r="BJ25" s="115" t="str">
        <f>IF(BD25="","",VLOOKUP(BD25,DATAKET!$AP$3:$AQ$12,2,FALSE))</f>
        <v>ketrampilan prakarya 1</v>
      </c>
      <c r="BK25" s="104" t="str">
        <f t="shared" si="14"/>
        <v>cukup terampil ketrampilan prakarya 1</v>
      </c>
    </row>
    <row r="26" spans="1:63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prakarya 10</v>
      </c>
      <c r="BK26" s="104" t="str">
        <f t="shared" si="14"/>
        <v>cukup terampil ketrampilan prakarya 10</v>
      </c>
    </row>
    <row r="27" spans="1:63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C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cukup terampil</v>
      </c>
      <c r="BJ27" s="115" t="str">
        <f>IF(BD27="","",VLOOKUP(BD27,DATAKET!$AT$3:$AU$12,2,FALSE))</f>
        <v>ketrampilan prakarya 4</v>
      </c>
      <c r="BK27" s="104" t="str">
        <f t="shared" si="14"/>
        <v>cukup terampil ketrampilan prakarya 4</v>
      </c>
    </row>
    <row r="28" spans="1:63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C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cukup terampil</v>
      </c>
      <c r="BJ28" s="115" t="str">
        <f>IF(BD28="","",VLOOKUP(BD28,DATAKET!$AV$3:$AW$12,2,FALSE))</f>
        <v>ketrampilan prakarya 1</v>
      </c>
      <c r="BK28" s="104" t="str">
        <f t="shared" si="14"/>
        <v>cukup terampil ketrampilan prakarya 1</v>
      </c>
    </row>
    <row r="29" spans="1:63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C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cukup terampil</v>
      </c>
      <c r="BJ29" s="115" t="str">
        <f>IF(BD29="","",VLOOKUP(BD29,DATAKET!$AX$3:$AY$12,2,FALSE))</f>
        <v>ketrampilan prakarya 7</v>
      </c>
      <c r="BK29" s="104" t="str">
        <f t="shared" si="14"/>
        <v>cukup terampil ketrampilan prakarya 7</v>
      </c>
    </row>
    <row r="30" spans="1:63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C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cukup terampil</v>
      </c>
      <c r="BJ30" s="115" t="str">
        <f>IF(BD30="","",VLOOKUP(BD30,DATAKET!$AZ$3:$BA$12,2,FALSE))</f>
        <v>ketrampilan prakarya 4</v>
      </c>
      <c r="BK30" s="104" t="str">
        <f t="shared" si="14"/>
        <v>cukup terampil ketrampilan prakarya 4</v>
      </c>
    </row>
    <row r="31" spans="1:63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prakarya 4</v>
      </c>
      <c r="BK31" s="104" t="str">
        <f t="shared" si="14"/>
        <v>terampil ketrampilan prakarya 4</v>
      </c>
    </row>
    <row r="32" spans="1:63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C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cukup terampil</v>
      </c>
      <c r="BJ32" s="115" t="str">
        <f>IF(BD32="","",VLOOKUP(BD32,DATAKET!$BD$3:$BE$12,2,FALSE))</f>
        <v>ketrampilan prakarya 10</v>
      </c>
      <c r="BK32" s="104" t="str">
        <f t="shared" si="14"/>
        <v>cukup terampil ketrampilan prakarya 10</v>
      </c>
    </row>
    <row r="33" spans="1:63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prakarya 9</v>
      </c>
      <c r="BK33" s="104" t="str">
        <f t="shared" si="14"/>
        <v>cukup terampil ketrampilan prakarya 9</v>
      </c>
    </row>
    <row r="34" spans="1:63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C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cukup terampil</v>
      </c>
      <c r="BJ34" s="115" t="str">
        <f>IF(BD34="","",VLOOKUP(BD34,DATAKET!$BH$3:$BI$12,2,FALSE))</f>
        <v>ketrampilan prakarya 1</v>
      </c>
      <c r="BK34" s="104" t="str">
        <f t="shared" si="14"/>
        <v>cukup terampil ketrampilan prakarya 1</v>
      </c>
    </row>
    <row r="35" spans="1:63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prakarya 2</v>
      </c>
      <c r="BK35" s="104" t="str">
        <f t="shared" si="14"/>
        <v>terampil ketrampilan prakarya 2</v>
      </c>
    </row>
    <row r="36" spans="1:63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C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cukup terampil</v>
      </c>
      <c r="BJ36" s="115" t="str">
        <f>IF(BD36="","",VLOOKUP(BD36,DATAKET!$BL$3:$BM$12,2,FALSE))</f>
        <v>ketrampilan prakarya 4</v>
      </c>
      <c r="BK36" s="104" t="str">
        <f t="shared" si="14"/>
        <v>cukup terampil ketrampilan prakarya 4</v>
      </c>
    </row>
    <row r="37" spans="1:63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prakarya 1</v>
      </c>
      <c r="BK37" s="104" t="str">
        <f t="shared" si="14"/>
        <v>terampil ketrampilan prakarya 1</v>
      </c>
    </row>
    <row r="38" spans="1:63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D</v>
      </c>
      <c r="BH38" s="105" t="str">
        <f t="shared" si="13"/>
        <v>TIDAK</v>
      </c>
      <c r="BI38" s="106" t="str">
        <f>IF(BF38="","",IF(BF38&gt;=menu!$O$6,"sangat terampil",IF(BE38&gt;=menu!$O$7,"terampil",IF(BF38&gt;=menu!$O$8,"cukup terampil","kurang terampil"))))</f>
        <v>kurang terampil</v>
      </c>
      <c r="BJ38" s="115" t="str">
        <f>IF(BD38="","",VLOOKUP(BD38,DATAKET!$BP$3:$BQ$12,2,FALSE))</f>
        <v>ketrampilan prakarya 7</v>
      </c>
      <c r="BK38" s="104" t="str">
        <f t="shared" si="14"/>
        <v>kurang terampil ketrampilan prakarya 7</v>
      </c>
    </row>
    <row r="39" spans="1:63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C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cukup terampil</v>
      </c>
      <c r="BJ39" s="115" t="str">
        <f>IF(BD39="","",VLOOKUP(BD39,DATAKET!$BR$3:$BS$12,2,FALSE))</f>
        <v>ketrampilan prakarya 4</v>
      </c>
      <c r="BK39" s="104" t="str">
        <f t="shared" si="14"/>
        <v>cukup terampil ketrampilan prakarya 4</v>
      </c>
    </row>
    <row r="40" spans="1:63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D</v>
      </c>
      <c r="BH40" s="105" t="str">
        <f t="shared" si="13"/>
        <v>TIDAK</v>
      </c>
      <c r="BI40" s="106" t="str">
        <f>IF(BF40="","",IF(BF40&gt;=menu!$O$6,"sangat terampil",IF(BE40&gt;=menu!$O$7,"terampil",IF(BF40&gt;=menu!$O$8,"cukup terampil","kurang terampil"))))</f>
        <v>kurang terampil</v>
      </c>
      <c r="BJ40" s="115" t="str">
        <f>IF(BD40="","",VLOOKUP(BD40,DATAKET!$BT$3:$BU$12,2,FALSE))</f>
        <v>ketrampilan prakarya 1</v>
      </c>
      <c r="BK40" s="104" t="str">
        <f t="shared" si="14"/>
        <v>kurang terampil ketrampilan prakarya 1</v>
      </c>
    </row>
    <row r="41" spans="1:63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prakarya 3</v>
      </c>
      <c r="BK41" s="104" t="str">
        <f t="shared" si="14"/>
        <v>cukup terampil ketrampilan prakarya 3</v>
      </c>
    </row>
    <row r="42" spans="1:63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C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prakarya 1</v>
      </c>
      <c r="BK42" s="104" t="str">
        <f t="shared" si="14"/>
        <v>cukup terampil ketrampilan prakarya 1</v>
      </c>
    </row>
    <row r="43" spans="1:63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cukup terampil</v>
      </c>
      <c r="BJ43" s="115" t="str">
        <f>IF(BD43="","",VLOOKUP(BD43,DATAKET!$BZ$3:$CA$12,2,FALSE))</f>
        <v>ketrampilan prakarya 4</v>
      </c>
      <c r="BK43" s="104" t="str">
        <f t="shared" si="14"/>
        <v>cukup terampil ketrampilan prakarya 4</v>
      </c>
    </row>
    <row r="44" spans="1:63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C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cukup terampil</v>
      </c>
      <c r="BJ44" s="115" t="str">
        <f>IF(BD44="","",VLOOKUP(BD44,DATAKET!$CB$3:$CC$12,2,FALSE))</f>
        <v>ketrampilan prakarya 2</v>
      </c>
      <c r="BK44" s="104" t="str">
        <f t="shared" si="14"/>
        <v>cukup terampil ketrampilan prakarya 2</v>
      </c>
    </row>
    <row r="45" spans="1:63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C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cukup terampil</v>
      </c>
      <c r="BJ45" s="115" t="str">
        <f>IF(BD45="","",VLOOKUP(BD45,DATAKET!$CD$3:$CE$12,2,FALSE))</f>
        <v>ketrampilan prakarya 10</v>
      </c>
      <c r="BK45" s="104" t="str">
        <f t="shared" si="14"/>
        <v>cukup terampil ketrampilan prakarya 10</v>
      </c>
    </row>
    <row r="46" spans="1:63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C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cukup terampil</v>
      </c>
      <c r="BJ46" s="115" t="str">
        <f>IF(BD46="","",VLOOKUP(BD46,DATAKET!$CF$3:$CG$12,2,FALSE))</f>
        <v>ketrampilan prakarya 4</v>
      </c>
      <c r="BK46" s="104" t="str">
        <f t="shared" si="14"/>
        <v>cukup terampil ketrampilan prakarya 4</v>
      </c>
    </row>
    <row r="47" spans="1:63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C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cukup terampil</v>
      </c>
      <c r="BJ47" s="115" t="str">
        <f>IF(BD47="","",VLOOKUP(BD47,DATAKET!$CH$3:$CI$12,2,FALSE))</f>
        <v>ketrampilan prakarya 4</v>
      </c>
      <c r="BK47" s="104" t="str">
        <f t="shared" si="14"/>
        <v>cukup terampil ketrampilan prakarya 4</v>
      </c>
    </row>
    <row r="48" spans="1:63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C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cukup terampil</v>
      </c>
      <c r="BJ48" s="115" t="str">
        <f>IF(BD48="","",VLOOKUP(BD48,DATAKET!$CJ$3:$CK$12,2,FALSE))</f>
        <v>ketrampilan prakarya 2</v>
      </c>
      <c r="BK48" s="104" t="str">
        <f t="shared" si="14"/>
        <v>cukup terampil ketrampilan prakarya 2</v>
      </c>
    </row>
    <row r="49" spans="1:63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C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cukup terampil</v>
      </c>
      <c r="BJ49" s="115" t="str">
        <f>IF(BD49="","",VLOOKUP(BD49,DATAKET!$CL$3:$CM$12,2,FALSE))</f>
        <v>ketrampilan prakarya 5</v>
      </c>
      <c r="BK49" s="104" t="str">
        <f t="shared" si="14"/>
        <v>cukup terampil ketrampilan prakarya 5</v>
      </c>
    </row>
    <row r="50" spans="1:63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C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cukup terampil</v>
      </c>
      <c r="BJ50" s="115" t="str">
        <f>IF(BD50="","",VLOOKUP(BD50,DATAKET!$CN$3:$CO$12,2,FALSE))</f>
        <v>ketrampilan prakarya 10</v>
      </c>
      <c r="BK50" s="104" t="str">
        <f t="shared" si="14"/>
        <v>cukup terampil ketrampilan prakarya 10</v>
      </c>
    </row>
    <row r="51" spans="1:63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C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cukup terampil</v>
      </c>
      <c r="BJ51" s="115" t="str">
        <f>IF(BD51="","",VLOOKUP(BD51,DATAKET!$CP$3:$CQ$12,2,FALSE))</f>
        <v>ketrampilan prakarya 4</v>
      </c>
      <c r="BK51" s="104" t="str">
        <f t="shared" si="14"/>
        <v>cukup terampil ketrampilan prakarya 4</v>
      </c>
    </row>
    <row r="52" spans="1:63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C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cukup terampil</v>
      </c>
      <c r="BJ52" s="115" t="str">
        <f>IF(BD52="","",VLOOKUP(BD52,DATAKET!$CR$3:$CS$12,2,FALSE))</f>
        <v>ketrampilan prakarya 2</v>
      </c>
      <c r="BK52" s="104" t="str">
        <f t="shared" si="14"/>
        <v>cukup terampil ketrampilan prakarya 2</v>
      </c>
    </row>
  </sheetData>
  <sheetProtection password="D4C3" sheet="1" objects="1" scenarios="1"/>
  <dataConsolidate/>
  <mergeCells count="42">
    <mergeCell ref="AT1:AW1"/>
    <mergeCell ref="AX1:AX3"/>
    <mergeCell ref="AT2:AW2"/>
    <mergeCell ref="AJ1:AM1"/>
    <mergeCell ref="AN1:AN3"/>
    <mergeCell ref="AO1:AR1"/>
    <mergeCell ref="AS1:AS3"/>
    <mergeCell ref="AI1:AI3"/>
    <mergeCell ref="AE2:AH2"/>
    <mergeCell ref="AE1:AH1"/>
    <mergeCell ref="AJ2:AM2"/>
    <mergeCell ref="AO2:AR2"/>
    <mergeCell ref="A1:A3"/>
    <mergeCell ref="B1:B3"/>
    <mergeCell ref="C1:C3"/>
    <mergeCell ref="D1:D3"/>
    <mergeCell ref="E1:E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BJ1:BJ3"/>
    <mergeCell ref="BK1:BK3"/>
    <mergeCell ref="BF1:BF3"/>
    <mergeCell ref="BG1:BG3"/>
    <mergeCell ref="BI1:BI3"/>
    <mergeCell ref="BE1:BE3"/>
    <mergeCell ref="BD1:BD3"/>
    <mergeCell ref="AY1:BB1"/>
    <mergeCell ref="BC1:BC3"/>
    <mergeCell ref="AY2:BB2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6" t="s">
        <v>369</v>
      </c>
      <c r="AY1" s="616"/>
      <c r="AZ1" s="616" t="s">
        <v>370</v>
      </c>
      <c r="BA1" s="616"/>
      <c r="BB1" s="616" t="s">
        <v>371</v>
      </c>
      <c r="BC1" s="616"/>
      <c r="BD1" s="616" t="s">
        <v>372</v>
      </c>
      <c r="BE1" s="616"/>
      <c r="BF1" s="616" t="s">
        <v>373</v>
      </c>
      <c r="BG1" s="616"/>
      <c r="BH1" s="616" t="s">
        <v>374</v>
      </c>
      <c r="BI1" s="616"/>
      <c r="BJ1" s="616" t="s">
        <v>375</v>
      </c>
      <c r="BK1" s="616"/>
      <c r="BL1" s="616" t="s">
        <v>376</v>
      </c>
      <c r="BM1" s="616"/>
      <c r="BN1" s="616" t="s">
        <v>377</v>
      </c>
      <c r="BO1" s="616"/>
      <c r="BP1" s="616" t="s">
        <v>378</v>
      </c>
      <c r="BQ1" s="616"/>
      <c r="BR1" s="616" t="s">
        <v>379</v>
      </c>
      <c r="BS1" s="616"/>
      <c r="BT1" s="616" t="s">
        <v>380</v>
      </c>
      <c r="BU1" s="616"/>
      <c r="BV1" s="616" t="s">
        <v>381</v>
      </c>
      <c r="BW1" s="616"/>
      <c r="BX1" s="616" t="s">
        <v>382</v>
      </c>
      <c r="BY1" s="616"/>
      <c r="BZ1" s="616" t="s">
        <v>383</v>
      </c>
      <c r="CA1" s="616"/>
      <c r="CB1" s="616" t="s">
        <v>384</v>
      </c>
      <c r="CC1" s="616"/>
      <c r="CD1" s="616" t="s">
        <v>385</v>
      </c>
      <c r="CE1" s="616"/>
      <c r="CF1" s="616" t="s">
        <v>386</v>
      </c>
      <c r="CG1" s="616"/>
      <c r="CH1" s="616" t="s">
        <v>387</v>
      </c>
      <c r="CI1" s="616"/>
      <c r="CJ1" s="616" t="s">
        <v>388</v>
      </c>
      <c r="CK1" s="616"/>
      <c r="CL1" s="616" t="s">
        <v>389</v>
      </c>
      <c r="CM1" s="616"/>
      <c r="CN1" s="616" t="s">
        <v>390</v>
      </c>
      <c r="CO1" s="616"/>
      <c r="CP1" s="616" t="s">
        <v>391</v>
      </c>
      <c r="CQ1" s="616"/>
      <c r="CR1" s="616" t="s">
        <v>392</v>
      </c>
      <c r="CS1" s="616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90</v>
      </c>
      <c r="C3" s="89" t="str">
        <f>IF(B3="","",IF('Input Nilai Ketrampilan'!$F$1="","",'Input Nilai Ketrampilan'!$F$1))</f>
        <v>ketrampilan prakarya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prakarya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prakarya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prakarya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prakarya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prakarya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prakarya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prakarya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prakarya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prakarya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prakarya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prakarya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prakarya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prakarya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prakarya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prakarya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prakarya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prakarya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prakarya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prakarya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prakarya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prakarya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prakarya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prakarya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prakarya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prakarya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prakarya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prakarya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prakarya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prakarya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prakarya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prakarya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prakarya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prakarya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prakarya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prakarya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prakarya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prakarya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prakarya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prakarya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prakarya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prakarya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prakarya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prakarya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prakarya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prakarya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prakarya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prakarya 1</v>
      </c>
    </row>
    <row r="4" spans="1:97">
      <c r="A4" s="72">
        <v>2</v>
      </c>
      <c r="B4" s="89">
        <f>IF('Input Nilai Ketrampilan'!O5="","",'Input Nilai Ketrampilan'!O5)</f>
        <v>70</v>
      </c>
      <c r="C4" s="89" t="str">
        <f>IF(B4="","",IF('Input Nilai Ketrampilan'!$K$1="","",'Input Nilai Ketrampilan'!$K$1))</f>
        <v>ketrampilan prakarya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prakarya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prakarya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prakarya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prakarya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prakarya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prakarya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prakarya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prakarya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prakarya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prakarya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prakarya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prakarya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prakarya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prakarya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prakarya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prakarya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prakarya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prakarya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prakarya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prakarya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prakarya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prakarya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prakarya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prakarya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prakarya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prakarya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prakarya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prakarya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prakarya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prakarya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prakarya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prakarya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prakarya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prakarya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prakarya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prakarya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prakarya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prakarya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prakarya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prakarya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prakarya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prakarya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prakarya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prakarya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prakarya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prakarya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prakarya 2</v>
      </c>
    </row>
    <row r="5" spans="1:97">
      <c r="A5" s="72">
        <v>3</v>
      </c>
      <c r="B5" s="89">
        <f>IF('Input Nilai Ketrampilan'!T5="","",'Input Nilai Ketrampilan'!T5)</f>
        <v>80</v>
      </c>
      <c r="C5" s="89" t="str">
        <f>IF(B5="","",IF('Input Nilai Ketrampilan'!$P$1="","",'Input Nilai Ketrampilan'!$P$1))</f>
        <v>ketrampilan prakarya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prakarya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prakarya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prakarya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prakarya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prakarya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prakarya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prakarya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prakarya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prakarya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prakarya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prakarya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prakarya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prakarya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prakarya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prakarya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prakarya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prakarya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prakarya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prakarya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prakarya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prakarya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prakarya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prakarya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prakarya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prakarya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prakarya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prakarya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prakarya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prakarya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prakarya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prakarya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prakarya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prakarya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prakarya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prakarya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prakarya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prakarya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prakarya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prakarya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prakarya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prakarya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prakarya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prakarya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prakarya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prakarya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prakarya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prakarya 3</v>
      </c>
    </row>
    <row r="6" spans="1:97">
      <c r="A6" s="72">
        <v>4</v>
      </c>
      <c r="B6" s="89">
        <f>IF('Input Nilai Ketrampilan'!Y5="","",'Input Nilai Ketrampilan'!Y5)</f>
        <v>91</v>
      </c>
      <c r="C6" s="89" t="str">
        <f>IF(B6="","",IF('Input Nilai Ketrampilan'!$U$1="","",'Input Nilai Ketrampilan'!$U$1))</f>
        <v>ketrampilan prakarya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prakarya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prakarya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prakarya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prakarya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prakarya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prakarya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prakarya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prakarya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prakarya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prakarya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prakarya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prakarya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prakarya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prakarya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prakarya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prakarya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prakarya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prakarya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prakarya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prakarya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prakarya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prakarya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prakarya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prakarya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prakarya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prakarya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prakarya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prakarya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prakarya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prakarya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prakarya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prakarya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prakarya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prakarya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prakarya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prakarya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prakarya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prakarya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prakarya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prakarya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prakarya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prakarya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prakarya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prakarya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prakarya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prakarya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prakarya 4</v>
      </c>
    </row>
    <row r="7" spans="1:97">
      <c r="A7" s="72">
        <v>5</v>
      </c>
      <c r="B7" s="89">
        <f>IF('Input Nilai Ketrampilan'!AD5="","",'Input Nilai Ketrampilan'!AD5)</f>
        <v>90</v>
      </c>
      <c r="C7" s="89" t="str">
        <f>IF(B7="","",IF('Input Nilai Ketrampilan'!$Z$1="","",'Input Nilai Ketrampilan'!$Z$1))</f>
        <v>ketrampilan prakarya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prakarya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prakarya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prakarya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prakarya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prakarya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prakarya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prakarya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prakarya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prakarya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prakarya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prakarya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prakarya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prakarya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prakarya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prakarya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prakarya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prakarya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prakarya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prakarya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prakarya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prakarya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prakarya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prakarya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prakarya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prakarya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prakarya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prakarya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prakarya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prakarya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prakarya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prakarya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prakarya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prakarya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prakarya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prakarya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prakarya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prakarya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prakarya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prakarya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prakarya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prakarya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prakarya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prakarya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prakarya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prakarya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prakarya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prakarya 5</v>
      </c>
    </row>
    <row r="8" spans="1:97">
      <c r="A8" s="72">
        <v>6</v>
      </c>
      <c r="B8" s="89">
        <f>IF('Input Nilai Ketrampilan'!AI5="","",'Input Nilai Ketrampilan'!AI5)</f>
        <v>87</v>
      </c>
      <c r="C8" s="89" t="str">
        <f>IF(B8="","",IF('Input Nilai Ketrampilan'!$AE$1="","",'Input Nilai Ketrampilan'!$AE$1))</f>
        <v>ketrampilan prakarya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prakarya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prakarya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prakarya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prakarya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prakarya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prakarya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prakarya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prakarya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prakarya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prakarya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prakarya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prakarya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prakarya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prakarya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prakarya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prakarya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prakarya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prakarya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prakarya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prakarya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prakarya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prakarya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prakarya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prakarya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prakarya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prakarya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prakarya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prakarya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prakarya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prakarya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prakarya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prakarya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prakarya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prakarya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prakarya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prakarya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prakarya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prakarya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prakarya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prakarya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prakarya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prakarya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prakarya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prakarya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prakarya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prakarya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prakarya 6</v>
      </c>
    </row>
    <row r="9" spans="1:97">
      <c r="A9" s="72">
        <v>7</v>
      </c>
      <c r="B9" s="89">
        <f>IF('Input Nilai Ketrampilan'!AN5="","",'Input Nilai Ketrampilan'!AN5)</f>
        <v>90</v>
      </c>
      <c r="C9" s="89" t="str">
        <f>IF(B9="","",IF('Input Nilai Ketrampilan'!$AJ$1="","",'Input Nilai Ketrampilan'!$AJ$1))</f>
        <v>ketrampilan prakarya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prakarya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prakarya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prakarya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prakarya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prakarya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prakarya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prakarya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prakarya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prakarya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prakarya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prakarya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prakarya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prakarya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prakarya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prakarya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prakarya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prakarya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prakarya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prakarya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prakarya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prakarya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prakarya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prakarya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prakarya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prakarya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prakarya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prakarya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prakarya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prakarya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prakarya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prakarya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prakarya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prakarya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prakarya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prakarya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prakarya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prakarya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prakarya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prakarya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prakarya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prakarya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prakarya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prakarya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prakarya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prakarya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prakarya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prakarya 7</v>
      </c>
    </row>
    <row r="10" spans="1:97">
      <c r="A10" s="72">
        <v>8</v>
      </c>
      <c r="B10" s="89">
        <f>IF('Input Nilai Ketrampilan'!AS5="","",'Input Nilai Ketrampilan'!AS5)</f>
        <v>90</v>
      </c>
      <c r="C10" s="89" t="str">
        <f>IF(B10="","",IF('Input Nilai Ketrampilan'!$AO$1="","",'Input Nilai Ketrampilan'!$AO$1))</f>
        <v>ketrampilan prakarya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prakarya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prakarya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prakarya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prakarya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prakarya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prakarya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prakarya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prakarya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prakarya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prakarya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prakarya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prakarya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prakarya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prakarya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prakarya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prakarya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prakarya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prakarya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prakarya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prakarya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prakarya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prakarya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prakarya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prakarya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prakarya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prakarya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prakarya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prakarya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prakarya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prakarya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prakarya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prakarya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prakarya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prakarya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prakarya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prakarya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prakarya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prakarya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prakarya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prakarya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prakarya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prakarya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prakarya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prakarya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prakarya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prakarya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prakarya 8</v>
      </c>
    </row>
    <row r="11" spans="1:97">
      <c r="A11" s="72">
        <v>9</v>
      </c>
      <c r="B11" s="89">
        <f>IF('Input Nilai Ketrampilan'!AX5="","",'Input Nilai Ketrampilan'!AX5)</f>
        <v>87.5</v>
      </c>
      <c r="C11" s="89" t="str">
        <f>IF(B11="","",IF('Input Nilai Ketrampilan'!$AT$1="","",'Input Nilai Ketrampilan'!$AT$1))</f>
        <v>ketrampilan prakarya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prakarya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prakarya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prakarya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prakarya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prakarya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prakarya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prakarya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prakarya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prakarya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prakarya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prakarya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prakarya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prakarya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prakarya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prakarya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prakarya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prakarya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prakarya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prakarya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prakarya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prakarya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prakarya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prakarya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prakarya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prakarya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prakarya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prakarya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prakarya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prakarya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prakarya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prakarya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prakarya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prakarya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prakarya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prakarya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prakarya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prakarya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prakarya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prakarya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prakarya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prakarya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prakarya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prakarya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prakarya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prakarya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prakarya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prakarya 9</v>
      </c>
    </row>
    <row r="12" spans="1:97">
      <c r="A12" s="72">
        <v>10</v>
      </c>
      <c r="B12" s="89">
        <f>IF('Input Nilai Ketrampilan'!BC5="","",'Input Nilai Ketrampilan'!BC5)</f>
        <v>80</v>
      </c>
      <c r="C12" s="89" t="str">
        <f>IF(B12="","",IF('Input Nilai Ketrampilan'!$AY$1="","",'Input Nilai Ketrampilan'!$AY$1))</f>
        <v>ketrampilan prakarya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prakarya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prakarya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prakarya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prakarya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prakarya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prakarya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prakarya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prakarya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prakarya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prakarya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prakarya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prakarya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prakarya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prakarya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prakarya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prakarya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prakarya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prakarya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prakarya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prakarya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prakarya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prakarya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prakarya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prakarya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prakarya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prakarya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prakarya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prakarya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prakarya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prakarya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prakarya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prakarya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prakarya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prakarya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prakarya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prakarya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prakarya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prakarya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prakarya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prakarya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prakarya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prakarya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prakarya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prakarya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prakarya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prakarya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prakarya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49</v>
      </c>
      <c r="G1" s="481"/>
      <c r="H1" s="481"/>
      <c r="I1" s="481"/>
      <c r="J1" s="637" t="s">
        <v>43</v>
      </c>
      <c r="K1" s="481" t="s">
        <v>37</v>
      </c>
      <c r="L1" s="481"/>
      <c r="M1" s="481"/>
      <c r="N1" s="481"/>
      <c r="O1" s="637" t="s">
        <v>43</v>
      </c>
      <c r="P1" s="481" t="s">
        <v>37</v>
      </c>
      <c r="Q1" s="481"/>
      <c r="R1" s="481"/>
      <c r="S1" s="481"/>
      <c r="T1" s="637" t="s">
        <v>43</v>
      </c>
      <c r="U1" s="481" t="s">
        <v>37</v>
      </c>
      <c r="V1" s="481"/>
      <c r="W1" s="481"/>
      <c r="X1" s="481"/>
      <c r="Y1" s="637" t="s">
        <v>43</v>
      </c>
      <c r="Z1" s="481" t="s">
        <v>37</v>
      </c>
      <c r="AA1" s="481"/>
      <c r="AB1" s="481"/>
      <c r="AC1" s="481"/>
      <c r="AD1" s="637" t="s">
        <v>43</v>
      </c>
      <c r="AE1" s="481" t="s">
        <v>37</v>
      </c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637" t="s">
        <v>43</v>
      </c>
      <c r="AO1" s="481" t="s">
        <v>37</v>
      </c>
      <c r="AP1" s="481"/>
      <c r="AQ1" s="481"/>
      <c r="AR1" s="481"/>
      <c r="AS1" s="637" t="s">
        <v>43</v>
      </c>
      <c r="AT1" s="481" t="s">
        <v>37</v>
      </c>
      <c r="AU1" s="481"/>
      <c r="AV1" s="481"/>
      <c r="AW1" s="481"/>
      <c r="AX1" s="637" t="s">
        <v>43</v>
      </c>
      <c r="AY1" s="481" t="s">
        <v>37</v>
      </c>
      <c r="AZ1" s="481"/>
      <c r="BA1" s="481"/>
      <c r="BB1" s="481"/>
      <c r="BC1" s="637" t="s">
        <v>43</v>
      </c>
    </row>
    <row r="2" spans="1:5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638"/>
      <c r="K2" s="481">
        <f>'Input Nilai Ketrampilan'!K2</f>
        <v>42</v>
      </c>
      <c r="L2" s="481"/>
      <c r="M2" s="481"/>
      <c r="N2" s="481"/>
      <c r="O2" s="638"/>
      <c r="P2" s="481">
        <f>'Input Nilai Ketrampilan'!P2</f>
        <v>43</v>
      </c>
      <c r="Q2" s="481"/>
      <c r="R2" s="481"/>
      <c r="S2" s="481"/>
      <c r="T2" s="638"/>
      <c r="U2" s="481">
        <f>'Input Nilai Ketrampilan'!U2</f>
        <v>44</v>
      </c>
      <c r="V2" s="481"/>
      <c r="W2" s="481"/>
      <c r="X2" s="481"/>
      <c r="Y2" s="638"/>
      <c r="Z2" s="481">
        <f>'Input Nilai Ketrampilan'!Z2</f>
        <v>45</v>
      </c>
      <c r="AA2" s="481"/>
      <c r="AB2" s="481"/>
      <c r="AC2" s="481"/>
      <c r="AD2" s="638"/>
      <c r="AE2" s="481">
        <f>'Input Nilai Ketrampilan'!AE2</f>
        <v>46</v>
      </c>
      <c r="AF2" s="481"/>
      <c r="AG2" s="481"/>
      <c r="AH2" s="481"/>
      <c r="AI2" s="638"/>
      <c r="AJ2" s="481">
        <f>'Input Nilai Ketrampilan'!AJ2</f>
        <v>47</v>
      </c>
      <c r="AK2" s="481"/>
      <c r="AL2" s="481"/>
      <c r="AM2" s="481"/>
      <c r="AN2" s="638"/>
      <c r="AO2" s="481">
        <f>'Input Nilai Ketrampilan'!AO2</f>
        <v>48</v>
      </c>
      <c r="AP2" s="481"/>
      <c r="AQ2" s="481"/>
      <c r="AR2" s="481"/>
      <c r="AS2" s="638"/>
      <c r="AT2" s="481">
        <f>'Input Nilai Ketrampilan'!AT2</f>
        <v>49</v>
      </c>
      <c r="AU2" s="481"/>
      <c r="AV2" s="481"/>
      <c r="AW2" s="481"/>
      <c r="AX2" s="638"/>
      <c r="AY2" s="481">
        <f>'Input Nilai Ketrampilan'!AY2</f>
        <v>410</v>
      </c>
      <c r="AZ2" s="481"/>
      <c r="BA2" s="481"/>
      <c r="BB2" s="481"/>
      <c r="BC2" s="638"/>
    </row>
    <row r="3" spans="1:55" ht="110.25">
      <c r="A3" s="479"/>
      <c r="B3" s="479"/>
      <c r="C3" s="480"/>
      <c r="D3" s="481"/>
      <c r="E3" s="484"/>
      <c r="F3" s="111" t="s">
        <v>46</v>
      </c>
      <c r="G3" s="112" t="s">
        <v>47</v>
      </c>
      <c r="H3" s="112" t="s">
        <v>48</v>
      </c>
      <c r="I3" s="111" t="s">
        <v>42</v>
      </c>
      <c r="J3" s="639"/>
      <c r="K3" s="111" t="s">
        <v>46</v>
      </c>
      <c r="L3" s="112" t="s">
        <v>47</v>
      </c>
      <c r="M3" s="112" t="s">
        <v>48</v>
      </c>
      <c r="N3" s="111" t="s">
        <v>42</v>
      </c>
      <c r="O3" s="639"/>
      <c r="P3" s="111" t="s">
        <v>46</v>
      </c>
      <c r="Q3" s="112" t="s">
        <v>47</v>
      </c>
      <c r="R3" s="112" t="s">
        <v>48</v>
      </c>
      <c r="S3" s="111" t="s">
        <v>42</v>
      </c>
      <c r="T3" s="639"/>
      <c r="U3" s="111" t="s">
        <v>46</v>
      </c>
      <c r="V3" s="112" t="s">
        <v>47</v>
      </c>
      <c r="W3" s="112" t="s">
        <v>48</v>
      </c>
      <c r="X3" s="111" t="s">
        <v>42</v>
      </c>
      <c r="Y3" s="639"/>
      <c r="Z3" s="111" t="s">
        <v>46</v>
      </c>
      <c r="AA3" s="112" t="s">
        <v>47</v>
      </c>
      <c r="AB3" s="112" t="s">
        <v>48</v>
      </c>
      <c r="AC3" s="111" t="s">
        <v>42</v>
      </c>
      <c r="AD3" s="639"/>
      <c r="AE3" s="111" t="s">
        <v>46</v>
      </c>
      <c r="AF3" s="112" t="s">
        <v>47</v>
      </c>
      <c r="AG3" s="112" t="s">
        <v>48</v>
      </c>
      <c r="AH3" s="111" t="s">
        <v>42</v>
      </c>
      <c r="AI3" s="639"/>
      <c r="AJ3" s="111" t="s">
        <v>46</v>
      </c>
      <c r="AK3" s="112" t="s">
        <v>47</v>
      </c>
      <c r="AL3" s="112" t="s">
        <v>48</v>
      </c>
      <c r="AM3" s="111" t="s">
        <v>42</v>
      </c>
      <c r="AN3" s="639"/>
      <c r="AO3" s="111" t="s">
        <v>46</v>
      </c>
      <c r="AP3" s="112" t="s">
        <v>47</v>
      </c>
      <c r="AQ3" s="112" t="s">
        <v>48</v>
      </c>
      <c r="AR3" s="111" t="s">
        <v>42</v>
      </c>
      <c r="AS3" s="639"/>
      <c r="AT3" s="111" t="s">
        <v>46</v>
      </c>
      <c r="AU3" s="112" t="s">
        <v>47</v>
      </c>
      <c r="AV3" s="112" t="s">
        <v>48</v>
      </c>
      <c r="AW3" s="111" t="s">
        <v>42</v>
      </c>
      <c r="AX3" s="639"/>
      <c r="AY3" s="111" t="s">
        <v>46</v>
      </c>
      <c r="AZ3" s="112" t="s">
        <v>47</v>
      </c>
      <c r="BA3" s="112" t="s">
        <v>48</v>
      </c>
      <c r="BB3" s="111" t="s">
        <v>42</v>
      </c>
      <c r="BC3" s="639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  <mergeCell ref="AY2:BB2"/>
    <mergeCell ref="Y1:Y3"/>
    <mergeCell ref="Z1:AC1"/>
    <mergeCell ref="AD1:AD3"/>
    <mergeCell ref="AE1:AH1"/>
    <mergeCell ref="AI1:AI3"/>
    <mergeCell ref="AJ1:AM1"/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37</v>
      </c>
      <c r="G1" s="481"/>
      <c r="H1" s="481"/>
      <c r="I1" s="481"/>
      <c r="J1" s="481"/>
      <c r="K1" s="637" t="s">
        <v>43</v>
      </c>
      <c r="L1" s="481" t="s">
        <v>37</v>
      </c>
      <c r="M1" s="481"/>
      <c r="N1" s="481"/>
      <c r="O1" s="481"/>
      <c r="P1" s="481"/>
      <c r="Q1" s="637" t="s">
        <v>43</v>
      </c>
      <c r="R1" s="481" t="s">
        <v>37</v>
      </c>
      <c r="S1" s="481"/>
      <c r="T1" s="481"/>
      <c r="U1" s="481"/>
      <c r="V1" s="481"/>
      <c r="W1" s="637" t="s">
        <v>43</v>
      </c>
      <c r="X1" s="481" t="s">
        <v>37</v>
      </c>
      <c r="Y1" s="481"/>
      <c r="Z1" s="481"/>
      <c r="AA1" s="481"/>
      <c r="AB1" s="481"/>
      <c r="AC1" s="637" t="s">
        <v>43</v>
      </c>
      <c r="AD1" s="481" t="s">
        <v>37</v>
      </c>
      <c r="AE1" s="481"/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481"/>
      <c r="AO1" s="637" t="s">
        <v>43</v>
      </c>
      <c r="AP1" s="481" t="s">
        <v>37</v>
      </c>
      <c r="AQ1" s="481"/>
      <c r="AR1" s="481"/>
      <c r="AS1" s="481"/>
      <c r="AT1" s="481"/>
      <c r="AU1" s="637" t="s">
        <v>43</v>
      </c>
      <c r="AV1" s="481" t="s">
        <v>37</v>
      </c>
      <c r="AW1" s="481"/>
      <c r="AX1" s="481"/>
      <c r="AY1" s="481"/>
      <c r="AZ1" s="481"/>
      <c r="BA1" s="637" t="s">
        <v>43</v>
      </c>
      <c r="BB1" s="481" t="s">
        <v>37</v>
      </c>
      <c r="BC1" s="481"/>
      <c r="BD1" s="481"/>
      <c r="BE1" s="481"/>
      <c r="BF1" s="481"/>
      <c r="BG1" s="637" t="s">
        <v>43</v>
      </c>
      <c r="BH1" s="481" t="s">
        <v>37</v>
      </c>
      <c r="BI1" s="481"/>
      <c r="BJ1" s="481"/>
      <c r="BK1" s="481"/>
      <c r="BL1" s="481"/>
      <c r="BM1" s="637" t="s">
        <v>43</v>
      </c>
    </row>
    <row r="2" spans="1:6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481"/>
      <c r="K2" s="638"/>
      <c r="L2" s="481">
        <f>'Input Nilai Ketrampilan'!K2</f>
        <v>42</v>
      </c>
      <c r="M2" s="481"/>
      <c r="N2" s="481"/>
      <c r="O2" s="481"/>
      <c r="P2" s="481"/>
      <c r="Q2" s="638"/>
      <c r="R2" s="481">
        <f>'Input Nilai Ketrampilan'!P2</f>
        <v>43</v>
      </c>
      <c r="S2" s="481"/>
      <c r="T2" s="481"/>
      <c r="U2" s="481"/>
      <c r="V2" s="481"/>
      <c r="W2" s="638"/>
      <c r="X2" s="481">
        <f>'Input Nilai Ketrampilan'!U2</f>
        <v>44</v>
      </c>
      <c r="Y2" s="481"/>
      <c r="Z2" s="481"/>
      <c r="AA2" s="481"/>
      <c r="AB2" s="481"/>
      <c r="AC2" s="638"/>
      <c r="AD2" s="481">
        <f>'Input Nilai Ketrampilan'!Z2</f>
        <v>45</v>
      </c>
      <c r="AE2" s="481"/>
      <c r="AF2" s="481"/>
      <c r="AG2" s="481"/>
      <c r="AH2" s="481"/>
      <c r="AI2" s="638"/>
      <c r="AJ2" s="481">
        <f>'Input Nilai Ketrampilan'!AE2</f>
        <v>46</v>
      </c>
      <c r="AK2" s="481"/>
      <c r="AL2" s="481"/>
      <c r="AM2" s="481"/>
      <c r="AN2" s="481"/>
      <c r="AO2" s="638"/>
      <c r="AP2" s="481">
        <f>'Input Nilai Ketrampilan'!AJ2</f>
        <v>47</v>
      </c>
      <c r="AQ2" s="481"/>
      <c r="AR2" s="481"/>
      <c r="AS2" s="481"/>
      <c r="AT2" s="481"/>
      <c r="AU2" s="638"/>
      <c r="AV2" s="481">
        <f>'Input Nilai Ketrampilan'!AO2</f>
        <v>48</v>
      </c>
      <c r="AW2" s="481"/>
      <c r="AX2" s="481"/>
      <c r="AY2" s="481"/>
      <c r="AZ2" s="481"/>
      <c r="BA2" s="638"/>
      <c r="BB2" s="481">
        <f>'Input Nilai Ketrampilan'!AT2</f>
        <v>49</v>
      </c>
      <c r="BC2" s="481"/>
      <c r="BD2" s="481"/>
      <c r="BE2" s="481"/>
      <c r="BF2" s="481"/>
      <c r="BG2" s="638"/>
      <c r="BH2" s="481">
        <f>'Input Nilai Ketrampilan'!AY2</f>
        <v>410</v>
      </c>
      <c r="BI2" s="481"/>
      <c r="BJ2" s="481"/>
      <c r="BK2" s="481"/>
      <c r="BL2" s="481"/>
      <c r="BM2" s="638"/>
    </row>
    <row r="3" spans="1:65" ht="103.5">
      <c r="A3" s="479"/>
      <c r="B3" s="479"/>
      <c r="C3" s="480"/>
      <c r="D3" s="481"/>
      <c r="E3" s="484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39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39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39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39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39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39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39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39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39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39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BB1:BF1"/>
    <mergeCell ref="BG1:BG3"/>
    <mergeCell ref="BB2:BF2"/>
    <mergeCell ref="BH1:BL1"/>
    <mergeCell ref="BM1:BM3"/>
    <mergeCell ref="BH2:BL2"/>
    <mergeCell ref="AP1:AT1"/>
    <mergeCell ref="AU1:AU3"/>
    <mergeCell ref="AP2:AT2"/>
    <mergeCell ref="AV1:AZ1"/>
    <mergeCell ref="BA1:BA3"/>
    <mergeCell ref="AV2:AZ2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0" t="s">
        <v>58</v>
      </c>
      <c r="B9" s="640" t="s">
        <v>59</v>
      </c>
      <c r="C9" s="640" t="s">
        <v>60</v>
      </c>
      <c r="D9" s="640"/>
      <c r="E9" s="640"/>
      <c r="F9" s="640"/>
    </row>
    <row r="10" spans="1:6" ht="15.75">
      <c r="A10" s="640"/>
      <c r="B10" s="640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3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1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1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1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1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1"/>
      <c r="B14" s="212"/>
      <c r="C14" s="213"/>
      <c r="D14" s="214"/>
      <c r="E14" s="214"/>
      <c r="F14" s="214"/>
      <c r="G14" s="214"/>
      <c r="I14" s="200"/>
    </row>
    <row r="15" spans="1:9">
      <c r="A15" s="642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2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2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2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2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2"/>
      <c r="B20" s="212"/>
      <c r="C20" s="215"/>
      <c r="D20" s="216"/>
      <c r="E20" s="216"/>
      <c r="F20" s="216"/>
      <c r="G20" s="216"/>
    </row>
    <row r="21" spans="1:9">
      <c r="A21" s="641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1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1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1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1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1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1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1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1"/>
      <c r="B29" s="212"/>
      <c r="C29" s="215"/>
      <c r="D29" s="217"/>
      <c r="E29" s="217"/>
      <c r="F29" s="217"/>
      <c r="G29" s="217"/>
    </row>
    <row r="30" spans="1:9">
      <c r="A30" s="642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2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2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2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2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2"/>
      <c r="B35" s="212"/>
      <c r="C35" s="215"/>
      <c r="D35" s="216"/>
      <c r="E35" s="216"/>
      <c r="F35" s="216"/>
      <c r="G35" s="216"/>
    </row>
    <row r="36" spans="1:7">
      <c r="A36" s="641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1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1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1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1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1"/>
      <c r="B41" s="212"/>
      <c r="C41" s="215"/>
      <c r="D41" s="216"/>
      <c r="E41" s="216"/>
      <c r="F41" s="216"/>
      <c r="G41" s="216"/>
    </row>
    <row r="42" spans="1:7">
      <c r="A42" s="642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2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2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2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2"/>
      <c r="B46" s="212"/>
      <c r="C46" s="215"/>
      <c r="D46" s="216"/>
      <c r="E46" s="216"/>
      <c r="F46" s="216"/>
      <c r="G46" s="216"/>
    </row>
    <row r="47" spans="1:7">
      <c r="A47" s="641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1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1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1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1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1"/>
      <c r="B52" s="212"/>
      <c r="C52" s="215"/>
      <c r="D52" s="216"/>
      <c r="E52" s="216"/>
      <c r="F52" s="216"/>
      <c r="G52" s="216"/>
    </row>
    <row r="53" spans="1:7">
      <c r="A53" s="642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2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2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2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2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2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2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2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2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2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2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1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1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1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1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1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1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1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1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1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2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2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2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2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2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2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1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1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1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1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1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1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2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2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2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2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2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1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1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1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1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1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1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2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2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2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2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2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7a</v>
      </c>
      <c r="F1" s="651" t="s">
        <v>308</v>
      </c>
      <c r="G1" s="652"/>
      <c r="H1" s="652"/>
      <c r="I1" s="652"/>
      <c r="J1" s="652"/>
      <c r="K1" s="652"/>
      <c r="L1" s="652"/>
      <c r="M1" s="652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>
      <c r="A5" s="477" t="s">
        <v>15</v>
      </c>
      <c r="B5" s="477" t="s">
        <v>16</v>
      </c>
      <c r="C5" s="480" t="s">
        <v>0</v>
      </c>
      <c r="D5" s="481" t="s">
        <v>1</v>
      </c>
      <c r="E5" s="482" t="s">
        <v>17</v>
      </c>
      <c r="F5" s="644" t="s">
        <v>207</v>
      </c>
      <c r="G5" s="644"/>
      <c r="H5" s="644"/>
      <c r="I5" s="618" t="s">
        <v>7</v>
      </c>
      <c r="J5" s="644" t="s">
        <v>8</v>
      </c>
      <c r="K5" s="644"/>
      <c r="L5" s="644"/>
      <c r="M5" s="644"/>
      <c r="N5" s="618" t="s">
        <v>7</v>
      </c>
      <c r="O5" s="644" t="s">
        <v>9</v>
      </c>
      <c r="P5" s="644"/>
      <c r="Q5" s="644"/>
      <c r="R5" s="644"/>
      <c r="S5" s="618" t="s">
        <v>7</v>
      </c>
      <c r="T5" s="644" t="s">
        <v>6</v>
      </c>
      <c r="U5" s="644"/>
      <c r="V5" s="644"/>
      <c r="W5" s="644"/>
      <c r="X5" s="618" t="s">
        <v>7</v>
      </c>
      <c r="Y5" s="645" t="s">
        <v>10</v>
      </c>
      <c r="Z5" s="646"/>
      <c r="AA5" s="646"/>
      <c r="AB5" s="647"/>
      <c r="AC5" s="618" t="s">
        <v>7</v>
      </c>
      <c r="AD5" s="644" t="s">
        <v>11</v>
      </c>
      <c r="AE5" s="644"/>
      <c r="AF5" s="644"/>
      <c r="AG5" s="644"/>
      <c r="AH5" s="618" t="s">
        <v>7</v>
      </c>
      <c r="AI5" s="644" t="s">
        <v>12</v>
      </c>
      <c r="AJ5" s="644"/>
      <c r="AK5" s="644"/>
      <c r="AL5" s="644"/>
      <c r="AM5" s="618" t="s">
        <v>7</v>
      </c>
      <c r="AN5" s="644" t="s">
        <v>236</v>
      </c>
      <c r="AO5" s="644"/>
      <c r="AP5" s="644"/>
      <c r="AQ5" s="644"/>
      <c r="AR5" s="618" t="s">
        <v>7</v>
      </c>
    </row>
    <row r="6" spans="1:44" ht="15" customHeight="1">
      <c r="A6" s="478"/>
      <c r="B6" s="478"/>
      <c r="C6" s="480"/>
      <c r="D6" s="481"/>
      <c r="E6" s="483"/>
      <c r="F6" s="644"/>
      <c r="G6" s="644"/>
      <c r="H6" s="644"/>
      <c r="I6" s="618"/>
      <c r="J6" s="644"/>
      <c r="K6" s="644"/>
      <c r="L6" s="644"/>
      <c r="M6" s="644"/>
      <c r="N6" s="618"/>
      <c r="O6" s="644"/>
      <c r="P6" s="644"/>
      <c r="Q6" s="644"/>
      <c r="R6" s="644"/>
      <c r="S6" s="618"/>
      <c r="T6" s="644"/>
      <c r="U6" s="644"/>
      <c r="V6" s="644"/>
      <c r="W6" s="644"/>
      <c r="X6" s="618"/>
      <c r="Y6" s="648"/>
      <c r="Z6" s="649"/>
      <c r="AA6" s="649"/>
      <c r="AB6" s="650"/>
      <c r="AC6" s="618"/>
      <c r="AD6" s="644"/>
      <c r="AE6" s="644"/>
      <c r="AF6" s="644"/>
      <c r="AG6" s="644"/>
      <c r="AH6" s="618"/>
      <c r="AI6" s="644"/>
      <c r="AJ6" s="644"/>
      <c r="AK6" s="644"/>
      <c r="AL6" s="644"/>
      <c r="AM6" s="618"/>
      <c r="AN6" s="644"/>
      <c r="AO6" s="644"/>
      <c r="AP6" s="644"/>
      <c r="AQ6" s="644"/>
      <c r="AR6" s="618"/>
    </row>
    <row r="7" spans="1:44" s="97" customFormat="1" ht="102.75" customHeight="1">
      <c r="A7" s="479"/>
      <c r="B7" s="479"/>
      <c r="C7" s="480"/>
      <c r="D7" s="481"/>
      <c r="E7" s="484"/>
      <c r="F7" s="185" t="s">
        <v>219</v>
      </c>
      <c r="G7" s="185" t="s">
        <v>238</v>
      </c>
      <c r="H7" s="116" t="s">
        <v>218</v>
      </c>
      <c r="I7" s="618"/>
      <c r="J7" s="185" t="s">
        <v>219</v>
      </c>
      <c r="K7" s="185" t="s">
        <v>220</v>
      </c>
      <c r="L7" s="185" t="s">
        <v>238</v>
      </c>
      <c r="M7" s="116" t="s">
        <v>218</v>
      </c>
      <c r="N7" s="618"/>
      <c r="O7" s="185" t="s">
        <v>219</v>
      </c>
      <c r="P7" s="185" t="s">
        <v>220</v>
      </c>
      <c r="Q7" s="185" t="s">
        <v>238</v>
      </c>
      <c r="R7" s="116" t="s">
        <v>218</v>
      </c>
      <c r="S7" s="618"/>
      <c r="T7" s="185" t="s">
        <v>219</v>
      </c>
      <c r="U7" s="185" t="s">
        <v>220</v>
      </c>
      <c r="V7" s="185" t="s">
        <v>238</v>
      </c>
      <c r="W7" s="116" t="s">
        <v>218</v>
      </c>
      <c r="X7" s="618"/>
      <c r="Y7" s="185" t="s">
        <v>219</v>
      </c>
      <c r="Z7" s="185" t="s">
        <v>220</v>
      </c>
      <c r="AA7" s="185" t="s">
        <v>238</v>
      </c>
      <c r="AB7" s="116" t="s">
        <v>218</v>
      </c>
      <c r="AC7" s="618"/>
      <c r="AD7" s="185" t="s">
        <v>219</v>
      </c>
      <c r="AE7" s="185" t="s">
        <v>220</v>
      </c>
      <c r="AF7" s="185" t="s">
        <v>238</v>
      </c>
      <c r="AG7" s="116" t="s">
        <v>218</v>
      </c>
      <c r="AH7" s="618"/>
      <c r="AI7" s="185" t="s">
        <v>219</v>
      </c>
      <c r="AJ7" s="185" t="s">
        <v>220</v>
      </c>
      <c r="AK7" s="185" t="s">
        <v>238</v>
      </c>
      <c r="AL7" s="116" t="s">
        <v>218</v>
      </c>
      <c r="AM7" s="618"/>
      <c r="AN7" s="185" t="s">
        <v>219</v>
      </c>
      <c r="AO7" s="185" t="s">
        <v>220</v>
      </c>
      <c r="AP7" s="185" t="s">
        <v>238</v>
      </c>
      <c r="AQ7" s="116" t="s">
        <v>218</v>
      </c>
      <c r="AR7" s="618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F5:H6"/>
    <mergeCell ref="F1:M1"/>
    <mergeCell ref="A5:A7"/>
    <mergeCell ref="B5:B7"/>
    <mergeCell ref="C5:C7"/>
    <mergeCell ref="D5:D7"/>
    <mergeCell ref="E5:E7"/>
    <mergeCell ref="S5:S7"/>
    <mergeCell ref="T5:W6"/>
    <mergeCell ref="X5:X7"/>
    <mergeCell ref="Y5:AB6"/>
    <mergeCell ref="I5:I7"/>
    <mergeCell ref="J5:M6"/>
    <mergeCell ref="N5:N7"/>
    <mergeCell ref="O5:R6"/>
    <mergeCell ref="AM5:AM7"/>
    <mergeCell ref="AN5:AQ6"/>
    <mergeCell ref="AR5:AR7"/>
    <mergeCell ref="AC5:AC7"/>
    <mergeCell ref="AD5:AG6"/>
    <mergeCell ref="AH5:AH7"/>
    <mergeCell ref="AI5:AL6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F46" activePane="bottomRight" state="frozen"/>
      <selection pane="topRight" activeCell="F1" sqref="F1"/>
      <selection pane="bottomLeft" activeCell="A5" sqref="A5"/>
      <selection pane="bottomRight" activeCell="F30" sqref="F7:F30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3" t="str">
        <f>IF(KDOKE!B3="","",KDOKE!B3)</f>
        <v>rajin beribadah dan berpuasa</v>
      </c>
      <c r="G1" s="653"/>
      <c r="H1" s="653"/>
      <c r="I1" s="654"/>
      <c r="J1" s="655" t="str">
        <f>IF(KDOKE!B7="","",KDOKE!B7)</f>
        <v>patuh terhadap tata tertib madrasah</v>
      </c>
      <c r="K1" s="656"/>
      <c r="L1" s="656"/>
      <c r="M1" s="656"/>
      <c r="N1" s="656"/>
      <c r="O1" s="656"/>
      <c r="P1" s="656"/>
      <c r="Q1" s="656"/>
      <c r="R1" s="656"/>
      <c r="S1" s="656"/>
      <c r="T1" s="656"/>
      <c r="U1" s="656"/>
      <c r="V1" s="656"/>
      <c r="W1" s="656"/>
      <c r="X1" s="656"/>
      <c r="Y1" s="656"/>
      <c r="Z1" s="656"/>
      <c r="AA1" s="656"/>
      <c r="AB1" s="656"/>
      <c r="AC1" s="656"/>
      <c r="AD1" s="656"/>
      <c r="AE1" s="656"/>
      <c r="AF1" s="656"/>
      <c r="AG1" s="656"/>
      <c r="AH1" s="656"/>
      <c r="AI1" s="656"/>
      <c r="AJ1" s="657"/>
    </row>
    <row r="2" spans="1:38" ht="13.5" customHeight="1">
      <c r="F2" s="653"/>
      <c r="G2" s="653"/>
      <c r="H2" s="653"/>
      <c r="I2" s="654"/>
      <c r="J2" s="658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659"/>
      <c r="Z2" s="659"/>
      <c r="AA2" s="659"/>
      <c r="AB2" s="659"/>
      <c r="AC2" s="659"/>
      <c r="AD2" s="659"/>
      <c r="AE2" s="659"/>
      <c r="AF2" s="659"/>
      <c r="AG2" s="659"/>
      <c r="AH2" s="659"/>
      <c r="AI2" s="659"/>
      <c r="AJ2" s="660"/>
    </row>
    <row r="3" spans="1:38" ht="15" customHeight="1">
      <c r="A3" s="477" t="s">
        <v>15</v>
      </c>
      <c r="B3" s="477" t="s">
        <v>16</v>
      </c>
      <c r="C3" s="480" t="s">
        <v>0</v>
      </c>
      <c r="D3" s="481" t="s">
        <v>1</v>
      </c>
      <c r="E3" s="482" t="s">
        <v>17</v>
      </c>
      <c r="F3" s="661" t="s">
        <v>207</v>
      </c>
      <c r="G3" s="661"/>
      <c r="H3" s="618" t="s">
        <v>7</v>
      </c>
      <c r="I3" s="662" t="s">
        <v>221</v>
      </c>
      <c r="J3" s="661" t="s">
        <v>8</v>
      </c>
      <c r="K3" s="661"/>
      <c r="L3" s="661"/>
      <c r="M3" s="624" t="s">
        <v>7</v>
      </c>
      <c r="N3" s="661" t="s">
        <v>9</v>
      </c>
      <c r="O3" s="661"/>
      <c r="P3" s="661"/>
      <c r="Q3" s="624" t="s">
        <v>7</v>
      </c>
      <c r="R3" s="661" t="s">
        <v>6</v>
      </c>
      <c r="S3" s="661"/>
      <c r="T3" s="661"/>
      <c r="U3" s="624" t="s">
        <v>7</v>
      </c>
      <c r="V3" s="648" t="s">
        <v>10</v>
      </c>
      <c r="W3" s="649"/>
      <c r="X3" s="649"/>
      <c r="Y3" s="624" t="s">
        <v>7</v>
      </c>
      <c r="Z3" s="661" t="s">
        <v>11</v>
      </c>
      <c r="AA3" s="661"/>
      <c r="AB3" s="661"/>
      <c r="AC3" s="624" t="s">
        <v>7</v>
      </c>
      <c r="AD3" s="661" t="s">
        <v>12</v>
      </c>
      <c r="AE3" s="661"/>
      <c r="AF3" s="661"/>
      <c r="AG3" s="624" t="s">
        <v>7</v>
      </c>
      <c r="AH3" s="661" t="s">
        <v>236</v>
      </c>
      <c r="AI3" s="661"/>
      <c r="AJ3" s="661"/>
      <c r="AK3" s="618" t="s">
        <v>7</v>
      </c>
      <c r="AL3" s="662" t="s">
        <v>221</v>
      </c>
    </row>
    <row r="4" spans="1:38" ht="15" customHeight="1">
      <c r="A4" s="478"/>
      <c r="B4" s="478"/>
      <c r="C4" s="480"/>
      <c r="D4" s="481"/>
      <c r="E4" s="483"/>
      <c r="F4" s="644"/>
      <c r="G4" s="644"/>
      <c r="H4" s="618"/>
      <c r="I4" s="662"/>
      <c r="J4" s="644"/>
      <c r="K4" s="644"/>
      <c r="L4" s="644"/>
      <c r="M4" s="618"/>
      <c r="N4" s="644"/>
      <c r="O4" s="644"/>
      <c r="P4" s="644"/>
      <c r="Q4" s="618"/>
      <c r="R4" s="644"/>
      <c r="S4" s="644"/>
      <c r="T4" s="644"/>
      <c r="U4" s="618"/>
      <c r="V4" s="648"/>
      <c r="W4" s="649"/>
      <c r="X4" s="649"/>
      <c r="Y4" s="618"/>
      <c r="Z4" s="644"/>
      <c r="AA4" s="644"/>
      <c r="AB4" s="644"/>
      <c r="AC4" s="618"/>
      <c r="AD4" s="644"/>
      <c r="AE4" s="644"/>
      <c r="AF4" s="644"/>
      <c r="AG4" s="618"/>
      <c r="AH4" s="644"/>
      <c r="AI4" s="644"/>
      <c r="AJ4" s="644"/>
      <c r="AK4" s="618"/>
      <c r="AL4" s="662"/>
    </row>
    <row r="5" spans="1:38" s="97" customFormat="1" ht="102.75" customHeight="1">
      <c r="A5" s="479"/>
      <c r="B5" s="479"/>
      <c r="C5" s="480"/>
      <c r="D5" s="481"/>
      <c r="E5" s="484"/>
      <c r="F5" s="308" t="s">
        <v>219</v>
      </c>
      <c r="G5" s="308" t="s">
        <v>238</v>
      </c>
      <c r="H5" s="618"/>
      <c r="I5" s="663"/>
      <c r="J5" s="308" t="s">
        <v>219</v>
      </c>
      <c r="K5" s="308" t="s">
        <v>220</v>
      </c>
      <c r="L5" s="308" t="s">
        <v>238</v>
      </c>
      <c r="M5" s="618"/>
      <c r="N5" s="308" t="s">
        <v>219</v>
      </c>
      <c r="O5" s="308" t="s">
        <v>220</v>
      </c>
      <c r="P5" s="308" t="s">
        <v>238</v>
      </c>
      <c r="Q5" s="618"/>
      <c r="R5" s="308" t="s">
        <v>219</v>
      </c>
      <c r="S5" s="308" t="s">
        <v>220</v>
      </c>
      <c r="T5" s="308" t="s">
        <v>238</v>
      </c>
      <c r="U5" s="618"/>
      <c r="V5" s="308" t="s">
        <v>219</v>
      </c>
      <c r="W5" s="308" t="s">
        <v>220</v>
      </c>
      <c r="X5" s="308" t="s">
        <v>238</v>
      </c>
      <c r="Y5" s="618"/>
      <c r="Z5" s="308" t="s">
        <v>219</v>
      </c>
      <c r="AA5" s="308" t="s">
        <v>220</v>
      </c>
      <c r="AB5" s="308" t="s">
        <v>238</v>
      </c>
      <c r="AC5" s="618"/>
      <c r="AD5" s="308" t="s">
        <v>219</v>
      </c>
      <c r="AE5" s="308" t="s">
        <v>220</v>
      </c>
      <c r="AF5" s="308" t="s">
        <v>238</v>
      </c>
      <c r="AG5" s="618"/>
      <c r="AH5" s="308" t="s">
        <v>219</v>
      </c>
      <c r="AI5" s="308" t="s">
        <v>220</v>
      </c>
      <c r="AJ5" s="116" t="s">
        <v>218</v>
      </c>
      <c r="AK5" s="618"/>
      <c r="AL5" s="663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V3:X4"/>
    <mergeCell ref="Y3:Y5"/>
    <mergeCell ref="J3:L4"/>
    <mergeCell ref="M3:M5"/>
    <mergeCell ref="A3:A5"/>
    <mergeCell ref="B3:B5"/>
    <mergeCell ref="C3:C5"/>
    <mergeCell ref="D3:D5"/>
    <mergeCell ref="E3:E5"/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1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1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1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1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2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2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2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2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1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1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1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1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1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1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1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1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2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2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2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2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1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1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1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1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2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2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2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1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1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1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1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2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2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2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2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6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4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4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4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4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4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5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5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5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5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5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5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4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4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4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4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4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4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4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4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4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5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5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5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5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5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5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4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4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4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4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4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4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5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5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5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5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5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4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4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4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4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4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4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5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5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5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5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5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5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2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2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1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1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2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2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1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1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2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2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1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1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2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2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668" t="s">
        <v>17</v>
      </c>
      <c r="F1" s="667" t="s">
        <v>454</v>
      </c>
      <c r="G1" s="667"/>
      <c r="H1" s="667"/>
      <c r="I1" s="667"/>
    </row>
    <row r="2" spans="1:9" ht="15" customHeight="1">
      <c r="A2" s="478"/>
      <c r="B2" s="478"/>
      <c r="C2" s="480"/>
      <c r="D2" s="481"/>
      <c r="E2" s="669"/>
      <c r="F2" s="667"/>
      <c r="G2" s="667"/>
      <c r="H2" s="667"/>
      <c r="I2" s="667"/>
    </row>
    <row r="3" spans="1:9" s="97" customFormat="1" ht="63.75" customHeight="1">
      <c r="A3" s="479"/>
      <c r="B3" s="479"/>
      <c r="C3" s="480"/>
      <c r="D3" s="481"/>
      <c r="E3" s="670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98">
        <f>menu!E13</f>
        <v>0</v>
      </c>
      <c r="D1" s="698"/>
      <c r="E1" s="698"/>
      <c r="F1" s="698"/>
      <c r="G1" s="699" t="s">
        <v>246</v>
      </c>
      <c r="H1" s="699"/>
      <c r="I1" s="700" t="str">
        <f>menu!D15</f>
        <v>Ganjil</v>
      </c>
      <c r="J1" s="700"/>
      <c r="K1" s="701" t="s">
        <v>247</v>
      </c>
      <c r="L1" s="702"/>
      <c r="M1" s="46">
        <f>menu!D19</f>
        <v>0</v>
      </c>
      <c r="N1" s="133"/>
    </row>
    <row r="2" spans="1:122" ht="16.5">
      <c r="A2" s="131"/>
      <c r="B2" s="132" t="s">
        <v>248</v>
      </c>
      <c r="C2" s="703" t="str">
        <f>menu!D14</f>
        <v>7a</v>
      </c>
      <c r="D2" s="703"/>
      <c r="E2" s="134"/>
      <c r="F2" s="699" t="s">
        <v>249</v>
      </c>
      <c r="G2" s="699"/>
      <c r="H2" s="699"/>
      <c r="I2" s="704" t="str">
        <f>menu!D16</f>
        <v>2017/2018</v>
      </c>
      <c r="J2" s="704"/>
      <c r="K2" s="701" t="s">
        <v>250</v>
      </c>
      <c r="L2" s="701"/>
      <c r="M2" s="705"/>
      <c r="N2" s="705"/>
    </row>
    <row r="3" spans="1:122">
      <c r="A3" s="131"/>
      <c r="B3" s="190" t="s">
        <v>251</v>
      </c>
      <c r="C3" s="697" t="s">
        <v>252</v>
      </c>
      <c r="D3" s="697"/>
      <c r="E3" s="697"/>
      <c r="F3" s="697"/>
      <c r="G3" s="697"/>
      <c r="H3" s="697"/>
      <c r="I3" s="697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73" t="s">
        <v>253</v>
      </c>
      <c r="D5" s="674"/>
      <c r="E5" s="674"/>
      <c r="F5" s="674"/>
      <c r="G5" s="674"/>
      <c r="H5" s="674"/>
      <c r="I5" s="674"/>
      <c r="J5" s="675"/>
      <c r="K5" s="138" t="s">
        <v>254</v>
      </c>
      <c r="L5" s="138"/>
      <c r="M5" s="138"/>
      <c r="N5" s="139"/>
      <c r="O5" s="673" t="s">
        <v>253</v>
      </c>
      <c r="P5" s="674"/>
      <c r="Q5" s="674"/>
      <c r="R5" s="674"/>
      <c r="S5" s="674"/>
      <c r="T5" s="674"/>
      <c r="U5" s="674"/>
      <c r="V5" s="675"/>
      <c r="W5" s="138" t="s">
        <v>254</v>
      </c>
      <c r="X5" s="138"/>
      <c r="Y5" s="138"/>
      <c r="Z5" s="139"/>
      <c r="AA5" s="673" t="s">
        <v>253</v>
      </c>
      <c r="AB5" s="674"/>
      <c r="AC5" s="674"/>
      <c r="AD5" s="674"/>
      <c r="AE5" s="674"/>
      <c r="AF5" s="674"/>
      <c r="AG5" s="674"/>
      <c r="AH5" s="675"/>
      <c r="AI5" s="138" t="s">
        <v>254</v>
      </c>
      <c r="AJ5" s="138"/>
      <c r="AK5" s="138"/>
      <c r="AL5" s="139"/>
      <c r="AM5" s="673" t="s">
        <v>253</v>
      </c>
      <c r="AN5" s="674"/>
      <c r="AO5" s="674"/>
      <c r="AP5" s="674"/>
      <c r="AQ5" s="674"/>
      <c r="AR5" s="674"/>
      <c r="AS5" s="674"/>
      <c r="AT5" s="675"/>
      <c r="AU5" s="138" t="s">
        <v>254</v>
      </c>
      <c r="AV5" s="138"/>
      <c r="AW5" s="138"/>
      <c r="AX5" s="139"/>
      <c r="AY5" s="673" t="s">
        <v>253</v>
      </c>
      <c r="AZ5" s="674"/>
      <c r="BA5" s="674"/>
      <c r="BB5" s="674"/>
      <c r="BC5" s="674"/>
      <c r="BD5" s="674"/>
      <c r="BE5" s="674"/>
      <c r="BF5" s="675"/>
      <c r="BG5" s="138" t="s">
        <v>254</v>
      </c>
      <c r="BH5" s="138"/>
      <c r="BI5" s="138"/>
      <c r="BJ5" s="139"/>
      <c r="BK5" s="673" t="s">
        <v>253</v>
      </c>
      <c r="BL5" s="674"/>
      <c r="BM5" s="674"/>
      <c r="BN5" s="674"/>
      <c r="BO5" s="674"/>
      <c r="BP5" s="674"/>
      <c r="BQ5" s="674"/>
      <c r="BR5" s="675"/>
      <c r="BS5" s="138" t="s">
        <v>254</v>
      </c>
      <c r="BT5" s="138"/>
      <c r="BU5" s="138"/>
      <c r="BV5" s="139"/>
      <c r="BW5" s="673" t="s">
        <v>253</v>
      </c>
      <c r="BX5" s="674"/>
      <c r="BY5" s="674"/>
      <c r="BZ5" s="674"/>
      <c r="CA5" s="674"/>
      <c r="CB5" s="674"/>
      <c r="CC5" s="674"/>
      <c r="CD5" s="675"/>
      <c r="CE5" s="138" t="s">
        <v>254</v>
      </c>
      <c r="CF5" s="138"/>
      <c r="CG5" s="138"/>
      <c r="CH5" s="139"/>
      <c r="CI5" s="673" t="s">
        <v>253</v>
      </c>
      <c r="CJ5" s="674"/>
      <c r="CK5" s="674"/>
      <c r="CL5" s="674"/>
      <c r="CM5" s="674"/>
      <c r="CN5" s="674"/>
      <c r="CO5" s="674"/>
      <c r="CP5" s="675"/>
      <c r="CQ5" s="138" t="s">
        <v>254</v>
      </c>
      <c r="CR5" s="138"/>
      <c r="CS5" s="138"/>
      <c r="CT5" s="139"/>
      <c r="CU5" s="673" t="s">
        <v>253</v>
      </c>
      <c r="CV5" s="674"/>
      <c r="CW5" s="674"/>
      <c r="CX5" s="674"/>
      <c r="CY5" s="674"/>
      <c r="CZ5" s="674"/>
      <c r="DA5" s="674"/>
      <c r="DB5" s="675"/>
      <c r="DC5" s="138" t="s">
        <v>254</v>
      </c>
      <c r="DD5" s="138"/>
      <c r="DE5" s="138"/>
      <c r="DF5" s="139"/>
      <c r="DG5" s="673" t="s">
        <v>253</v>
      </c>
      <c r="DH5" s="674"/>
      <c r="DI5" s="674"/>
      <c r="DJ5" s="674"/>
      <c r="DK5" s="674"/>
      <c r="DL5" s="674"/>
      <c r="DM5" s="674"/>
      <c r="DN5" s="675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76"/>
      <c r="D6" s="677"/>
      <c r="E6" s="677"/>
      <c r="F6" s="677"/>
      <c r="G6" s="677"/>
      <c r="H6" s="677"/>
      <c r="I6" s="677"/>
      <c r="J6" s="678"/>
      <c r="K6" s="141" t="s">
        <v>255</v>
      </c>
      <c r="L6" s="78"/>
      <c r="M6" s="78"/>
      <c r="N6" s="79"/>
      <c r="O6" s="676"/>
      <c r="P6" s="677"/>
      <c r="Q6" s="677"/>
      <c r="R6" s="677"/>
      <c r="S6" s="677"/>
      <c r="T6" s="677"/>
      <c r="U6" s="677"/>
      <c r="V6" s="678"/>
      <c r="W6" s="141" t="s">
        <v>255</v>
      </c>
      <c r="X6" s="78"/>
      <c r="Y6" s="78"/>
      <c r="Z6" s="79"/>
      <c r="AA6" s="676"/>
      <c r="AB6" s="677"/>
      <c r="AC6" s="677"/>
      <c r="AD6" s="677"/>
      <c r="AE6" s="677"/>
      <c r="AF6" s="677"/>
      <c r="AG6" s="677"/>
      <c r="AH6" s="678"/>
      <c r="AI6" s="141" t="s">
        <v>255</v>
      </c>
      <c r="AJ6" s="78"/>
      <c r="AK6" s="78"/>
      <c r="AL6" s="79"/>
      <c r="AM6" s="676"/>
      <c r="AN6" s="677"/>
      <c r="AO6" s="677"/>
      <c r="AP6" s="677"/>
      <c r="AQ6" s="677"/>
      <c r="AR6" s="677"/>
      <c r="AS6" s="677"/>
      <c r="AT6" s="678"/>
      <c r="AU6" s="141" t="s">
        <v>255</v>
      </c>
      <c r="AV6" s="78"/>
      <c r="AW6" s="78"/>
      <c r="AX6" s="79"/>
      <c r="AY6" s="676"/>
      <c r="AZ6" s="677"/>
      <c r="BA6" s="677"/>
      <c r="BB6" s="677"/>
      <c r="BC6" s="677"/>
      <c r="BD6" s="677"/>
      <c r="BE6" s="677"/>
      <c r="BF6" s="678"/>
      <c r="BG6" s="141" t="s">
        <v>255</v>
      </c>
      <c r="BH6" s="78"/>
      <c r="BI6" s="78"/>
      <c r="BJ6" s="79"/>
      <c r="BK6" s="676"/>
      <c r="BL6" s="677"/>
      <c r="BM6" s="677"/>
      <c r="BN6" s="677"/>
      <c r="BO6" s="677"/>
      <c r="BP6" s="677"/>
      <c r="BQ6" s="677"/>
      <c r="BR6" s="678"/>
      <c r="BS6" s="141" t="s">
        <v>255</v>
      </c>
      <c r="BT6" s="78"/>
      <c r="BU6" s="78"/>
      <c r="BV6" s="79"/>
      <c r="BW6" s="676"/>
      <c r="BX6" s="677"/>
      <c r="BY6" s="677"/>
      <c r="BZ6" s="677"/>
      <c r="CA6" s="677"/>
      <c r="CB6" s="677"/>
      <c r="CC6" s="677"/>
      <c r="CD6" s="678"/>
      <c r="CE6" s="141" t="s">
        <v>255</v>
      </c>
      <c r="CF6" s="78"/>
      <c r="CG6" s="78"/>
      <c r="CH6" s="79"/>
      <c r="CI6" s="676"/>
      <c r="CJ6" s="677"/>
      <c r="CK6" s="677"/>
      <c r="CL6" s="677"/>
      <c r="CM6" s="677"/>
      <c r="CN6" s="677"/>
      <c r="CO6" s="677"/>
      <c r="CP6" s="678"/>
      <c r="CQ6" s="141" t="s">
        <v>255</v>
      </c>
      <c r="CR6" s="78"/>
      <c r="CS6" s="78"/>
      <c r="CT6" s="79"/>
      <c r="CU6" s="676"/>
      <c r="CV6" s="677"/>
      <c r="CW6" s="677"/>
      <c r="CX6" s="677"/>
      <c r="CY6" s="677"/>
      <c r="CZ6" s="677"/>
      <c r="DA6" s="677"/>
      <c r="DB6" s="678"/>
      <c r="DC6" s="141" t="s">
        <v>255</v>
      </c>
      <c r="DD6" s="78"/>
      <c r="DE6" s="78"/>
      <c r="DF6" s="79"/>
      <c r="DG6" s="676"/>
      <c r="DH6" s="677"/>
      <c r="DI6" s="677"/>
      <c r="DJ6" s="677"/>
      <c r="DK6" s="677"/>
      <c r="DL6" s="677"/>
      <c r="DM6" s="677"/>
      <c r="DN6" s="678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79"/>
      <c r="D7" s="680"/>
      <c r="E7" s="680"/>
      <c r="F7" s="680"/>
      <c r="G7" s="680"/>
      <c r="H7" s="680"/>
      <c r="I7" s="680"/>
      <c r="J7" s="681"/>
      <c r="K7" s="141" t="s">
        <v>256</v>
      </c>
      <c r="L7" s="80"/>
      <c r="M7" s="80"/>
      <c r="N7" s="81"/>
      <c r="O7" s="679"/>
      <c r="P7" s="680"/>
      <c r="Q7" s="680"/>
      <c r="R7" s="680"/>
      <c r="S7" s="680"/>
      <c r="T7" s="680"/>
      <c r="U7" s="680"/>
      <c r="V7" s="681"/>
      <c r="W7" s="141" t="s">
        <v>256</v>
      </c>
      <c r="X7" s="80"/>
      <c r="Y7" s="80"/>
      <c r="Z7" s="81"/>
      <c r="AA7" s="679"/>
      <c r="AB7" s="680"/>
      <c r="AC7" s="680"/>
      <c r="AD7" s="680"/>
      <c r="AE7" s="680"/>
      <c r="AF7" s="680"/>
      <c r="AG7" s="680"/>
      <c r="AH7" s="681"/>
      <c r="AI7" s="141" t="s">
        <v>256</v>
      </c>
      <c r="AJ7" s="80"/>
      <c r="AK7" s="80"/>
      <c r="AL7" s="81"/>
      <c r="AM7" s="679"/>
      <c r="AN7" s="680"/>
      <c r="AO7" s="680"/>
      <c r="AP7" s="680"/>
      <c r="AQ7" s="680"/>
      <c r="AR7" s="680"/>
      <c r="AS7" s="680"/>
      <c r="AT7" s="681"/>
      <c r="AU7" s="141" t="s">
        <v>256</v>
      </c>
      <c r="AV7" s="80"/>
      <c r="AW7" s="80"/>
      <c r="AX7" s="81"/>
      <c r="AY7" s="679"/>
      <c r="AZ7" s="680"/>
      <c r="BA7" s="680"/>
      <c r="BB7" s="680"/>
      <c r="BC7" s="680"/>
      <c r="BD7" s="680"/>
      <c r="BE7" s="680"/>
      <c r="BF7" s="681"/>
      <c r="BG7" s="141" t="s">
        <v>256</v>
      </c>
      <c r="BH7" s="80"/>
      <c r="BI7" s="80"/>
      <c r="BJ7" s="81"/>
      <c r="BK7" s="679"/>
      <c r="BL7" s="680"/>
      <c r="BM7" s="680"/>
      <c r="BN7" s="680"/>
      <c r="BO7" s="680"/>
      <c r="BP7" s="680"/>
      <c r="BQ7" s="680"/>
      <c r="BR7" s="681"/>
      <c r="BS7" s="141" t="s">
        <v>256</v>
      </c>
      <c r="BT7" s="80"/>
      <c r="BU7" s="80"/>
      <c r="BV7" s="81"/>
      <c r="BW7" s="679"/>
      <c r="BX7" s="680"/>
      <c r="BY7" s="680"/>
      <c r="BZ7" s="680"/>
      <c r="CA7" s="680"/>
      <c r="CB7" s="680"/>
      <c r="CC7" s="680"/>
      <c r="CD7" s="681"/>
      <c r="CE7" s="141" t="s">
        <v>256</v>
      </c>
      <c r="CF7" s="80"/>
      <c r="CG7" s="80"/>
      <c r="CH7" s="81"/>
      <c r="CI7" s="679"/>
      <c r="CJ7" s="680"/>
      <c r="CK7" s="680"/>
      <c r="CL7" s="680"/>
      <c r="CM7" s="680"/>
      <c r="CN7" s="680"/>
      <c r="CO7" s="680"/>
      <c r="CP7" s="681"/>
      <c r="CQ7" s="141" t="s">
        <v>256</v>
      </c>
      <c r="CR7" s="80"/>
      <c r="CS7" s="80"/>
      <c r="CT7" s="81"/>
      <c r="CU7" s="679"/>
      <c r="CV7" s="680"/>
      <c r="CW7" s="680"/>
      <c r="CX7" s="680"/>
      <c r="CY7" s="680"/>
      <c r="CZ7" s="680"/>
      <c r="DA7" s="680"/>
      <c r="DB7" s="681"/>
      <c r="DC7" s="141" t="s">
        <v>256</v>
      </c>
      <c r="DD7" s="80"/>
      <c r="DE7" s="80"/>
      <c r="DF7" s="81"/>
      <c r="DG7" s="679"/>
      <c r="DH7" s="680"/>
      <c r="DI7" s="680"/>
      <c r="DJ7" s="680"/>
      <c r="DK7" s="680"/>
      <c r="DL7" s="680"/>
      <c r="DM7" s="680"/>
      <c r="DN7" s="681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76"/>
      <c r="D8" s="677"/>
      <c r="E8" s="677"/>
      <c r="F8" s="677"/>
      <c r="G8" s="677"/>
      <c r="H8" s="677"/>
      <c r="I8" s="677"/>
      <c r="J8" s="678"/>
      <c r="K8" s="141" t="s">
        <v>257</v>
      </c>
      <c r="L8" s="78"/>
      <c r="M8" s="78"/>
      <c r="N8" s="79"/>
      <c r="O8" s="676"/>
      <c r="P8" s="677"/>
      <c r="Q8" s="677"/>
      <c r="R8" s="677"/>
      <c r="S8" s="677"/>
      <c r="T8" s="677"/>
      <c r="U8" s="677"/>
      <c r="V8" s="678"/>
      <c r="W8" s="141" t="s">
        <v>257</v>
      </c>
      <c r="X8" s="78"/>
      <c r="Y8" s="78"/>
      <c r="Z8" s="79"/>
      <c r="AA8" s="676"/>
      <c r="AB8" s="677"/>
      <c r="AC8" s="677"/>
      <c r="AD8" s="677"/>
      <c r="AE8" s="677"/>
      <c r="AF8" s="677"/>
      <c r="AG8" s="677"/>
      <c r="AH8" s="678"/>
      <c r="AI8" s="141" t="s">
        <v>257</v>
      </c>
      <c r="AJ8" s="78"/>
      <c r="AK8" s="78"/>
      <c r="AL8" s="79"/>
      <c r="AM8" s="676"/>
      <c r="AN8" s="677"/>
      <c r="AO8" s="677"/>
      <c r="AP8" s="677"/>
      <c r="AQ8" s="677"/>
      <c r="AR8" s="677"/>
      <c r="AS8" s="677"/>
      <c r="AT8" s="678"/>
      <c r="AU8" s="141" t="s">
        <v>257</v>
      </c>
      <c r="AV8" s="78"/>
      <c r="AW8" s="78"/>
      <c r="AX8" s="79"/>
      <c r="AY8" s="676"/>
      <c r="AZ8" s="677"/>
      <c r="BA8" s="677"/>
      <c r="BB8" s="677"/>
      <c r="BC8" s="677"/>
      <c r="BD8" s="677"/>
      <c r="BE8" s="677"/>
      <c r="BF8" s="678"/>
      <c r="BG8" s="141" t="s">
        <v>257</v>
      </c>
      <c r="BH8" s="78"/>
      <c r="BI8" s="78"/>
      <c r="BJ8" s="79"/>
      <c r="BK8" s="676"/>
      <c r="BL8" s="677"/>
      <c r="BM8" s="677"/>
      <c r="BN8" s="677"/>
      <c r="BO8" s="677"/>
      <c r="BP8" s="677"/>
      <c r="BQ8" s="677"/>
      <c r="BR8" s="678"/>
      <c r="BS8" s="141" t="s">
        <v>257</v>
      </c>
      <c r="BT8" s="78"/>
      <c r="BU8" s="78"/>
      <c r="BV8" s="79"/>
      <c r="BW8" s="676"/>
      <c r="BX8" s="677"/>
      <c r="BY8" s="677"/>
      <c r="BZ8" s="677"/>
      <c r="CA8" s="677"/>
      <c r="CB8" s="677"/>
      <c r="CC8" s="677"/>
      <c r="CD8" s="678"/>
      <c r="CE8" s="141" t="s">
        <v>257</v>
      </c>
      <c r="CF8" s="78"/>
      <c r="CG8" s="78"/>
      <c r="CH8" s="79"/>
      <c r="CI8" s="676"/>
      <c r="CJ8" s="677"/>
      <c r="CK8" s="677"/>
      <c r="CL8" s="677"/>
      <c r="CM8" s="677"/>
      <c r="CN8" s="677"/>
      <c r="CO8" s="677"/>
      <c r="CP8" s="678"/>
      <c r="CQ8" s="141" t="s">
        <v>257</v>
      </c>
      <c r="CR8" s="78"/>
      <c r="CS8" s="78"/>
      <c r="CT8" s="79"/>
      <c r="CU8" s="676"/>
      <c r="CV8" s="677"/>
      <c r="CW8" s="677"/>
      <c r="CX8" s="677"/>
      <c r="CY8" s="677"/>
      <c r="CZ8" s="677"/>
      <c r="DA8" s="677"/>
      <c r="DB8" s="678"/>
      <c r="DC8" s="141" t="s">
        <v>257</v>
      </c>
      <c r="DD8" s="78"/>
      <c r="DE8" s="78"/>
      <c r="DF8" s="79"/>
      <c r="DG8" s="676"/>
      <c r="DH8" s="677"/>
      <c r="DI8" s="677"/>
      <c r="DJ8" s="677"/>
      <c r="DK8" s="677"/>
      <c r="DL8" s="677"/>
      <c r="DM8" s="677"/>
      <c r="DN8" s="678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79"/>
      <c r="D9" s="680"/>
      <c r="E9" s="680"/>
      <c r="F9" s="680"/>
      <c r="G9" s="680"/>
      <c r="H9" s="680"/>
      <c r="I9" s="680"/>
      <c r="J9" s="681"/>
      <c r="K9" s="142" t="s">
        <v>258</v>
      </c>
      <c r="L9" s="82"/>
      <c r="M9" s="82"/>
      <c r="N9" s="83"/>
      <c r="O9" s="679"/>
      <c r="P9" s="680"/>
      <c r="Q9" s="680"/>
      <c r="R9" s="680"/>
      <c r="S9" s="680"/>
      <c r="T9" s="680"/>
      <c r="U9" s="680"/>
      <c r="V9" s="681"/>
      <c r="W9" s="142" t="s">
        <v>258</v>
      </c>
      <c r="X9" s="82"/>
      <c r="Y9" s="82"/>
      <c r="Z9" s="83"/>
      <c r="AA9" s="679"/>
      <c r="AB9" s="680"/>
      <c r="AC9" s="680"/>
      <c r="AD9" s="680"/>
      <c r="AE9" s="680"/>
      <c r="AF9" s="680"/>
      <c r="AG9" s="680"/>
      <c r="AH9" s="681"/>
      <c r="AI9" s="142" t="s">
        <v>258</v>
      </c>
      <c r="AJ9" s="82"/>
      <c r="AK9" s="82"/>
      <c r="AL9" s="83"/>
      <c r="AM9" s="679"/>
      <c r="AN9" s="680"/>
      <c r="AO9" s="680"/>
      <c r="AP9" s="680"/>
      <c r="AQ9" s="680"/>
      <c r="AR9" s="680"/>
      <c r="AS9" s="680"/>
      <c r="AT9" s="681"/>
      <c r="AU9" s="142" t="s">
        <v>258</v>
      </c>
      <c r="AV9" s="82"/>
      <c r="AW9" s="82"/>
      <c r="AX9" s="83"/>
      <c r="AY9" s="679"/>
      <c r="AZ9" s="680"/>
      <c r="BA9" s="680"/>
      <c r="BB9" s="680"/>
      <c r="BC9" s="680"/>
      <c r="BD9" s="680"/>
      <c r="BE9" s="680"/>
      <c r="BF9" s="681"/>
      <c r="BG9" s="142" t="s">
        <v>258</v>
      </c>
      <c r="BH9" s="82"/>
      <c r="BI9" s="82"/>
      <c r="BJ9" s="83"/>
      <c r="BK9" s="679"/>
      <c r="BL9" s="680"/>
      <c r="BM9" s="680"/>
      <c r="BN9" s="680"/>
      <c r="BO9" s="680"/>
      <c r="BP9" s="680"/>
      <c r="BQ9" s="680"/>
      <c r="BR9" s="681"/>
      <c r="BS9" s="142" t="s">
        <v>258</v>
      </c>
      <c r="BT9" s="82"/>
      <c r="BU9" s="82"/>
      <c r="BV9" s="83"/>
      <c r="BW9" s="679"/>
      <c r="BX9" s="680"/>
      <c r="BY9" s="680"/>
      <c r="BZ9" s="680"/>
      <c r="CA9" s="680"/>
      <c r="CB9" s="680"/>
      <c r="CC9" s="680"/>
      <c r="CD9" s="681"/>
      <c r="CE9" s="142" t="s">
        <v>258</v>
      </c>
      <c r="CF9" s="82"/>
      <c r="CG9" s="82"/>
      <c r="CH9" s="83"/>
      <c r="CI9" s="679"/>
      <c r="CJ9" s="680"/>
      <c r="CK9" s="680"/>
      <c r="CL9" s="680"/>
      <c r="CM9" s="680"/>
      <c r="CN9" s="680"/>
      <c r="CO9" s="680"/>
      <c r="CP9" s="681"/>
      <c r="CQ9" s="142" t="s">
        <v>258</v>
      </c>
      <c r="CR9" s="82"/>
      <c r="CS9" s="82"/>
      <c r="CT9" s="83"/>
      <c r="CU9" s="679"/>
      <c r="CV9" s="680"/>
      <c r="CW9" s="680"/>
      <c r="CX9" s="680"/>
      <c r="CY9" s="680"/>
      <c r="CZ9" s="680"/>
      <c r="DA9" s="680"/>
      <c r="DB9" s="681"/>
      <c r="DC9" s="142" t="s">
        <v>258</v>
      </c>
      <c r="DD9" s="82"/>
      <c r="DE9" s="82"/>
      <c r="DF9" s="83"/>
      <c r="DG9" s="679"/>
      <c r="DH9" s="680"/>
      <c r="DI9" s="680"/>
      <c r="DJ9" s="680"/>
      <c r="DK9" s="680"/>
      <c r="DL9" s="680"/>
      <c r="DM9" s="680"/>
      <c r="DN9" s="681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76"/>
      <c r="D10" s="677"/>
      <c r="E10" s="677"/>
      <c r="F10" s="677"/>
      <c r="G10" s="677"/>
      <c r="H10" s="677"/>
      <c r="I10" s="677"/>
      <c r="J10" s="678"/>
      <c r="K10" s="131"/>
      <c r="L10" s="186"/>
      <c r="M10" s="143"/>
      <c r="N10" s="143"/>
      <c r="O10" s="676"/>
      <c r="P10" s="677"/>
      <c r="Q10" s="677"/>
      <c r="R10" s="677"/>
      <c r="S10" s="677"/>
      <c r="T10" s="677"/>
      <c r="U10" s="677"/>
      <c r="V10" s="678"/>
      <c r="W10" s="131"/>
      <c r="X10" s="186"/>
      <c r="Y10" s="143"/>
      <c r="Z10" s="143"/>
      <c r="AA10" s="676"/>
      <c r="AB10" s="677"/>
      <c r="AC10" s="677"/>
      <c r="AD10" s="677"/>
      <c r="AE10" s="677"/>
      <c r="AF10" s="677"/>
      <c r="AG10" s="677"/>
      <c r="AH10" s="678"/>
      <c r="AI10" s="131"/>
      <c r="AJ10" s="186"/>
      <c r="AK10" s="143"/>
      <c r="AL10" s="143"/>
      <c r="AM10" s="676"/>
      <c r="AN10" s="677"/>
      <c r="AO10" s="677"/>
      <c r="AP10" s="677"/>
      <c r="AQ10" s="677"/>
      <c r="AR10" s="677"/>
      <c r="AS10" s="677"/>
      <c r="AT10" s="678"/>
      <c r="AU10" s="131"/>
      <c r="AV10" s="186"/>
      <c r="AW10" s="143"/>
      <c r="AX10" s="143"/>
      <c r="AY10" s="676"/>
      <c r="AZ10" s="677"/>
      <c r="BA10" s="677"/>
      <c r="BB10" s="677"/>
      <c r="BC10" s="677"/>
      <c r="BD10" s="677"/>
      <c r="BE10" s="677"/>
      <c r="BF10" s="678"/>
      <c r="BG10" s="131"/>
      <c r="BH10" s="186"/>
      <c r="BI10" s="143"/>
      <c r="BJ10" s="143"/>
      <c r="BK10" s="676"/>
      <c r="BL10" s="677"/>
      <c r="BM10" s="677"/>
      <c r="BN10" s="677"/>
      <c r="BO10" s="677"/>
      <c r="BP10" s="677"/>
      <c r="BQ10" s="677"/>
      <c r="BR10" s="678"/>
      <c r="BS10" s="131"/>
      <c r="BT10" s="186"/>
      <c r="BU10" s="143"/>
      <c r="BV10" s="143"/>
      <c r="BW10" s="676"/>
      <c r="BX10" s="677"/>
      <c r="BY10" s="677"/>
      <c r="BZ10" s="677"/>
      <c r="CA10" s="677"/>
      <c r="CB10" s="677"/>
      <c r="CC10" s="677"/>
      <c r="CD10" s="678"/>
      <c r="CE10" s="131"/>
      <c r="CF10" s="186"/>
      <c r="CG10" s="143"/>
      <c r="CH10" s="143"/>
      <c r="CI10" s="676"/>
      <c r="CJ10" s="677"/>
      <c r="CK10" s="677"/>
      <c r="CL10" s="677"/>
      <c r="CM10" s="677"/>
      <c r="CN10" s="677"/>
      <c r="CO10" s="677"/>
      <c r="CP10" s="678"/>
      <c r="CQ10" s="131"/>
      <c r="CR10" s="186"/>
      <c r="CS10" s="143"/>
      <c r="CT10" s="143"/>
      <c r="CU10" s="676"/>
      <c r="CV10" s="677"/>
      <c r="CW10" s="677"/>
      <c r="CX10" s="677"/>
      <c r="CY10" s="677"/>
      <c r="CZ10" s="677"/>
      <c r="DA10" s="677"/>
      <c r="DB10" s="678"/>
      <c r="DC10" s="131"/>
      <c r="DD10" s="186"/>
      <c r="DE10" s="143"/>
      <c r="DF10" s="143"/>
      <c r="DG10" s="676"/>
      <c r="DH10" s="677"/>
      <c r="DI10" s="677"/>
      <c r="DJ10" s="677"/>
      <c r="DK10" s="677"/>
      <c r="DL10" s="677"/>
      <c r="DM10" s="677"/>
      <c r="DN10" s="678"/>
      <c r="DO10" s="131"/>
      <c r="DP10" s="186"/>
      <c r="DQ10" s="143"/>
      <c r="DR10" s="143"/>
    </row>
    <row r="11" spans="1:122">
      <c r="A11" s="131"/>
      <c r="B11" s="140" t="s">
        <v>260</v>
      </c>
      <c r="C11" s="679"/>
      <c r="D11" s="680"/>
      <c r="E11" s="680"/>
      <c r="F11" s="680"/>
      <c r="G11" s="680"/>
      <c r="H11" s="680"/>
      <c r="I11" s="680"/>
      <c r="J11" s="681"/>
      <c r="K11" s="131"/>
      <c r="L11" s="186"/>
      <c r="M11" s="143"/>
      <c r="N11" s="143"/>
      <c r="O11" s="679"/>
      <c r="P11" s="680"/>
      <c r="Q11" s="680"/>
      <c r="R11" s="680"/>
      <c r="S11" s="680"/>
      <c r="T11" s="680"/>
      <c r="U11" s="680"/>
      <c r="V11" s="681"/>
      <c r="W11" s="131"/>
      <c r="X11" s="186"/>
      <c r="Y11" s="143"/>
      <c r="Z11" s="143"/>
      <c r="AA11" s="679"/>
      <c r="AB11" s="680"/>
      <c r="AC11" s="680"/>
      <c r="AD11" s="680"/>
      <c r="AE11" s="680"/>
      <c r="AF11" s="680"/>
      <c r="AG11" s="680"/>
      <c r="AH11" s="681"/>
      <c r="AI11" s="131"/>
      <c r="AJ11" s="186"/>
      <c r="AK11" s="143"/>
      <c r="AL11" s="143"/>
      <c r="AM11" s="679"/>
      <c r="AN11" s="680"/>
      <c r="AO11" s="680"/>
      <c r="AP11" s="680"/>
      <c r="AQ11" s="680"/>
      <c r="AR11" s="680"/>
      <c r="AS11" s="680"/>
      <c r="AT11" s="681"/>
      <c r="AU11" s="131"/>
      <c r="AV11" s="186"/>
      <c r="AW11" s="143"/>
      <c r="AX11" s="143"/>
      <c r="AY11" s="679"/>
      <c r="AZ11" s="680"/>
      <c r="BA11" s="680"/>
      <c r="BB11" s="680"/>
      <c r="BC11" s="680"/>
      <c r="BD11" s="680"/>
      <c r="BE11" s="680"/>
      <c r="BF11" s="681"/>
      <c r="BG11" s="131"/>
      <c r="BH11" s="186"/>
      <c r="BI11" s="143"/>
      <c r="BJ11" s="143"/>
      <c r="BK11" s="679"/>
      <c r="BL11" s="680"/>
      <c r="BM11" s="680"/>
      <c r="BN11" s="680"/>
      <c r="BO11" s="680"/>
      <c r="BP11" s="680"/>
      <c r="BQ11" s="680"/>
      <c r="BR11" s="681"/>
      <c r="BS11" s="131"/>
      <c r="BT11" s="186"/>
      <c r="BU11" s="143"/>
      <c r="BV11" s="143"/>
      <c r="BW11" s="679"/>
      <c r="BX11" s="680"/>
      <c r="BY11" s="680"/>
      <c r="BZ11" s="680"/>
      <c r="CA11" s="680"/>
      <c r="CB11" s="680"/>
      <c r="CC11" s="680"/>
      <c r="CD11" s="681"/>
      <c r="CE11" s="131"/>
      <c r="CF11" s="186"/>
      <c r="CG11" s="143"/>
      <c r="CH11" s="143"/>
      <c r="CI11" s="679"/>
      <c r="CJ11" s="680"/>
      <c r="CK11" s="680"/>
      <c r="CL11" s="680"/>
      <c r="CM11" s="680"/>
      <c r="CN11" s="680"/>
      <c r="CO11" s="680"/>
      <c r="CP11" s="681"/>
      <c r="CQ11" s="131"/>
      <c r="CR11" s="186"/>
      <c r="CS11" s="143"/>
      <c r="CT11" s="143"/>
      <c r="CU11" s="679"/>
      <c r="CV11" s="680"/>
      <c r="CW11" s="680"/>
      <c r="CX11" s="680"/>
      <c r="CY11" s="680"/>
      <c r="CZ11" s="680"/>
      <c r="DA11" s="680"/>
      <c r="DB11" s="681"/>
      <c r="DC11" s="131"/>
      <c r="DD11" s="186"/>
      <c r="DE11" s="143"/>
      <c r="DF11" s="143"/>
      <c r="DG11" s="679"/>
      <c r="DH11" s="680"/>
      <c r="DI11" s="680"/>
      <c r="DJ11" s="680"/>
      <c r="DK11" s="680"/>
      <c r="DL11" s="680"/>
      <c r="DM11" s="680"/>
      <c r="DN11" s="681"/>
      <c r="DO11" s="131"/>
      <c r="DP11" s="186"/>
      <c r="DQ11" s="143"/>
      <c r="DR11" s="143"/>
    </row>
    <row r="12" spans="1:122">
      <c r="A12" s="131"/>
      <c r="B12" s="140" t="s">
        <v>261</v>
      </c>
      <c r="C12" s="676"/>
      <c r="D12" s="677"/>
      <c r="E12" s="677"/>
      <c r="F12" s="677"/>
      <c r="G12" s="677"/>
      <c r="H12" s="677"/>
      <c r="I12" s="677"/>
      <c r="J12" s="678"/>
      <c r="K12" s="131"/>
      <c r="L12" s="671"/>
      <c r="M12" s="671"/>
      <c r="N12" s="143"/>
      <c r="O12" s="676"/>
      <c r="P12" s="677"/>
      <c r="Q12" s="677"/>
      <c r="R12" s="677"/>
      <c r="S12" s="677"/>
      <c r="T12" s="677"/>
      <c r="U12" s="677"/>
      <c r="V12" s="678"/>
      <c r="W12" s="131"/>
      <c r="X12" s="671"/>
      <c r="Y12" s="671"/>
      <c r="Z12" s="143"/>
      <c r="AA12" s="676"/>
      <c r="AB12" s="677"/>
      <c r="AC12" s="677"/>
      <c r="AD12" s="677"/>
      <c r="AE12" s="677"/>
      <c r="AF12" s="677"/>
      <c r="AG12" s="677"/>
      <c r="AH12" s="678"/>
      <c r="AI12" s="131"/>
      <c r="AJ12" s="671"/>
      <c r="AK12" s="671"/>
      <c r="AL12" s="143"/>
      <c r="AM12" s="676"/>
      <c r="AN12" s="677"/>
      <c r="AO12" s="677"/>
      <c r="AP12" s="677"/>
      <c r="AQ12" s="677"/>
      <c r="AR12" s="677"/>
      <c r="AS12" s="677"/>
      <c r="AT12" s="678"/>
      <c r="AU12" s="131"/>
      <c r="AV12" s="671"/>
      <c r="AW12" s="671"/>
      <c r="AX12" s="143"/>
      <c r="AY12" s="676"/>
      <c r="AZ12" s="677"/>
      <c r="BA12" s="677"/>
      <c r="BB12" s="677"/>
      <c r="BC12" s="677"/>
      <c r="BD12" s="677"/>
      <c r="BE12" s="677"/>
      <c r="BF12" s="678"/>
      <c r="BG12" s="131"/>
      <c r="BH12" s="671"/>
      <c r="BI12" s="671"/>
      <c r="BJ12" s="143"/>
      <c r="BK12" s="676"/>
      <c r="BL12" s="677"/>
      <c r="BM12" s="677"/>
      <c r="BN12" s="677"/>
      <c r="BO12" s="677"/>
      <c r="BP12" s="677"/>
      <c r="BQ12" s="677"/>
      <c r="BR12" s="678"/>
      <c r="BS12" s="131"/>
      <c r="BT12" s="671"/>
      <c r="BU12" s="671"/>
      <c r="BV12" s="143"/>
      <c r="BW12" s="676"/>
      <c r="BX12" s="677"/>
      <c r="BY12" s="677"/>
      <c r="BZ12" s="677"/>
      <c r="CA12" s="677"/>
      <c r="CB12" s="677"/>
      <c r="CC12" s="677"/>
      <c r="CD12" s="678"/>
      <c r="CE12" s="131"/>
      <c r="CF12" s="671"/>
      <c r="CG12" s="671"/>
      <c r="CH12" s="143"/>
      <c r="CI12" s="676"/>
      <c r="CJ12" s="677"/>
      <c r="CK12" s="677"/>
      <c r="CL12" s="677"/>
      <c r="CM12" s="677"/>
      <c r="CN12" s="677"/>
      <c r="CO12" s="677"/>
      <c r="CP12" s="678"/>
      <c r="CQ12" s="131"/>
      <c r="CR12" s="671"/>
      <c r="CS12" s="671"/>
      <c r="CT12" s="143"/>
      <c r="CU12" s="676"/>
      <c r="CV12" s="677"/>
      <c r="CW12" s="677"/>
      <c r="CX12" s="677"/>
      <c r="CY12" s="677"/>
      <c r="CZ12" s="677"/>
      <c r="DA12" s="677"/>
      <c r="DB12" s="678"/>
      <c r="DC12" s="131"/>
      <c r="DD12" s="671"/>
      <c r="DE12" s="671"/>
      <c r="DF12" s="143"/>
      <c r="DG12" s="676"/>
      <c r="DH12" s="677"/>
      <c r="DI12" s="677"/>
      <c r="DJ12" s="677"/>
      <c r="DK12" s="677"/>
      <c r="DL12" s="677"/>
      <c r="DM12" s="677"/>
      <c r="DN12" s="678"/>
      <c r="DO12" s="131"/>
      <c r="DP12" s="671"/>
      <c r="DQ12" s="671"/>
      <c r="DR12" s="143"/>
    </row>
    <row r="13" spans="1:122" ht="15.75" thickBot="1">
      <c r="A13" s="131"/>
      <c r="B13" s="190"/>
      <c r="C13" s="672"/>
      <c r="D13" s="672"/>
      <c r="E13" s="672"/>
      <c r="F13" s="672"/>
      <c r="G13" s="672"/>
      <c r="H13" s="672"/>
      <c r="I13" s="672"/>
      <c r="J13" s="672"/>
      <c r="K13" s="131"/>
      <c r="L13" s="671"/>
      <c r="M13" s="671"/>
      <c r="N13" s="144"/>
      <c r="O13" s="672"/>
      <c r="P13" s="672"/>
      <c r="Q13" s="672"/>
      <c r="R13" s="672"/>
      <c r="S13" s="672"/>
      <c r="T13" s="672"/>
      <c r="U13" s="672"/>
      <c r="V13" s="672"/>
      <c r="W13" s="131"/>
      <c r="X13" s="671"/>
      <c r="Y13" s="671"/>
      <c r="Z13" s="144"/>
      <c r="AA13" s="672"/>
      <c r="AB13" s="672"/>
      <c r="AC13" s="672"/>
      <c r="AD13" s="672"/>
      <c r="AE13" s="672"/>
      <c r="AF13" s="672"/>
      <c r="AG13" s="672"/>
      <c r="AH13" s="672"/>
      <c r="AI13" s="131"/>
      <c r="AJ13" s="671"/>
      <c r="AK13" s="671"/>
      <c r="AL13" s="144"/>
      <c r="AM13" s="672"/>
      <c r="AN13" s="672"/>
      <c r="AO13" s="672"/>
      <c r="AP13" s="672"/>
      <c r="AQ13" s="672"/>
      <c r="AR13" s="672"/>
      <c r="AS13" s="672"/>
      <c r="AT13" s="672"/>
      <c r="AU13" s="131"/>
      <c r="AV13" s="671"/>
      <c r="AW13" s="671"/>
      <c r="AX13" s="144"/>
      <c r="AY13" s="672"/>
      <c r="AZ13" s="672"/>
      <c r="BA13" s="672"/>
      <c r="BB13" s="672"/>
      <c r="BC13" s="672"/>
      <c r="BD13" s="672"/>
      <c r="BE13" s="672"/>
      <c r="BF13" s="672"/>
      <c r="BG13" s="131"/>
      <c r="BH13" s="671"/>
      <c r="BI13" s="671"/>
      <c r="BJ13" s="144"/>
      <c r="BK13" s="672"/>
      <c r="BL13" s="672"/>
      <c r="BM13" s="672"/>
      <c r="BN13" s="672"/>
      <c r="BO13" s="672"/>
      <c r="BP13" s="672"/>
      <c r="BQ13" s="672"/>
      <c r="BR13" s="672"/>
      <c r="BS13" s="131"/>
      <c r="BT13" s="671"/>
      <c r="BU13" s="671"/>
      <c r="BV13" s="144"/>
      <c r="BW13" s="672"/>
      <c r="BX13" s="672"/>
      <c r="BY13" s="672"/>
      <c r="BZ13" s="672"/>
      <c r="CA13" s="672"/>
      <c r="CB13" s="672"/>
      <c r="CC13" s="672"/>
      <c r="CD13" s="672"/>
      <c r="CE13" s="131"/>
      <c r="CF13" s="671"/>
      <c r="CG13" s="671"/>
      <c r="CH13" s="144"/>
      <c r="CI13" s="672"/>
      <c r="CJ13" s="672"/>
      <c r="CK13" s="672"/>
      <c r="CL13" s="672"/>
      <c r="CM13" s="672"/>
      <c r="CN13" s="672"/>
      <c r="CO13" s="672"/>
      <c r="CP13" s="672"/>
      <c r="CQ13" s="131"/>
      <c r="CR13" s="671"/>
      <c r="CS13" s="671"/>
      <c r="CT13" s="144"/>
      <c r="CU13" s="672"/>
      <c r="CV13" s="672"/>
      <c r="CW13" s="672"/>
      <c r="CX13" s="672"/>
      <c r="CY13" s="672"/>
      <c r="CZ13" s="672"/>
      <c r="DA13" s="672"/>
      <c r="DB13" s="672"/>
      <c r="DC13" s="131"/>
      <c r="DD13" s="671"/>
      <c r="DE13" s="671"/>
      <c r="DF13" s="144"/>
      <c r="DG13" s="672"/>
      <c r="DH13" s="672"/>
      <c r="DI13" s="672"/>
      <c r="DJ13" s="672"/>
      <c r="DK13" s="672"/>
      <c r="DL13" s="672"/>
      <c r="DM13" s="672"/>
      <c r="DN13" s="672"/>
      <c r="DO13" s="131"/>
      <c r="DP13" s="671"/>
      <c r="DQ13" s="671"/>
      <c r="DR13" s="144"/>
    </row>
    <row r="14" spans="1:122" ht="15.75" thickBot="1">
      <c r="A14" s="131"/>
      <c r="B14" s="131"/>
      <c r="C14" s="682">
        <f>IF('Input Nilai Ketrampilan'!F2="","",'Input Nilai Ketrampilan'!F2)</f>
        <v>41</v>
      </c>
      <c r="D14" s="683"/>
      <c r="E14" s="683"/>
      <c r="F14" s="683"/>
      <c r="G14" s="683"/>
      <c r="H14" s="683"/>
      <c r="I14" s="683"/>
      <c r="J14" s="683"/>
      <c r="K14" s="683"/>
      <c r="L14" s="683"/>
      <c r="M14" s="683"/>
      <c r="N14" s="684"/>
      <c r="O14" s="682">
        <f>IF('Input Nilai Ketrampilan'!K2="","",'Input Nilai Ketrampilan'!K2)</f>
        <v>42</v>
      </c>
      <c r="P14" s="683"/>
      <c r="Q14" s="683"/>
      <c r="R14" s="683"/>
      <c r="S14" s="683"/>
      <c r="T14" s="683"/>
      <c r="U14" s="683"/>
      <c r="V14" s="683"/>
      <c r="W14" s="683"/>
      <c r="X14" s="683"/>
      <c r="Y14" s="683"/>
      <c r="Z14" s="684"/>
      <c r="AA14" s="682">
        <f>IF('Input Nilai Ketrampilan'!P2="","",'Input Nilai Ketrampilan'!P2)</f>
        <v>43</v>
      </c>
      <c r="AB14" s="683"/>
      <c r="AC14" s="683"/>
      <c r="AD14" s="683"/>
      <c r="AE14" s="683"/>
      <c r="AF14" s="683"/>
      <c r="AG14" s="683"/>
      <c r="AH14" s="683"/>
      <c r="AI14" s="683"/>
      <c r="AJ14" s="683"/>
      <c r="AK14" s="683"/>
      <c r="AL14" s="684"/>
      <c r="AM14" s="682">
        <f>IF('Input Nilai Ketrampilan'!U2="","",'Input Nilai Ketrampilan'!U2)</f>
        <v>44</v>
      </c>
      <c r="AN14" s="683"/>
      <c r="AO14" s="683"/>
      <c r="AP14" s="683"/>
      <c r="AQ14" s="683"/>
      <c r="AR14" s="683"/>
      <c r="AS14" s="683"/>
      <c r="AT14" s="683"/>
      <c r="AU14" s="683"/>
      <c r="AV14" s="683"/>
      <c r="AW14" s="683"/>
      <c r="AX14" s="684"/>
      <c r="AY14" s="682">
        <f>IF('Input Nilai Ketrampilan'!Z2="","",'Input Nilai Ketrampilan'!Z2)</f>
        <v>45</v>
      </c>
      <c r="AZ14" s="683"/>
      <c r="BA14" s="683"/>
      <c r="BB14" s="683"/>
      <c r="BC14" s="683"/>
      <c r="BD14" s="683"/>
      <c r="BE14" s="683"/>
      <c r="BF14" s="683"/>
      <c r="BG14" s="683"/>
      <c r="BH14" s="683"/>
      <c r="BI14" s="683"/>
      <c r="BJ14" s="684"/>
      <c r="BK14" s="682">
        <f>IF('Input Nilai Ketrampilan'!AE2="","",'Input Nilai Ketrampilan'!AE2)</f>
        <v>46</v>
      </c>
      <c r="BL14" s="683"/>
      <c r="BM14" s="683"/>
      <c r="BN14" s="683"/>
      <c r="BO14" s="683"/>
      <c r="BP14" s="683"/>
      <c r="BQ14" s="683"/>
      <c r="BR14" s="683"/>
      <c r="BS14" s="683"/>
      <c r="BT14" s="683"/>
      <c r="BU14" s="683"/>
      <c r="BV14" s="684"/>
      <c r="BW14" s="682">
        <f>IF('Input Nilai Ketrampilan'!AJ2="","",'Input Nilai Ketrampilan'!AJ2)</f>
        <v>47</v>
      </c>
      <c r="BX14" s="683"/>
      <c r="BY14" s="683"/>
      <c r="BZ14" s="683"/>
      <c r="CA14" s="683"/>
      <c r="CB14" s="683"/>
      <c r="CC14" s="683"/>
      <c r="CD14" s="683"/>
      <c r="CE14" s="683"/>
      <c r="CF14" s="683"/>
      <c r="CG14" s="683"/>
      <c r="CH14" s="684"/>
      <c r="CI14" s="682">
        <f>IF('Input Nilai Ketrampilan'!AO2="","",'Input Nilai Ketrampilan'!AO2)</f>
        <v>48</v>
      </c>
      <c r="CJ14" s="683"/>
      <c r="CK14" s="683"/>
      <c r="CL14" s="683"/>
      <c r="CM14" s="683"/>
      <c r="CN14" s="683"/>
      <c r="CO14" s="683"/>
      <c r="CP14" s="683"/>
      <c r="CQ14" s="683"/>
      <c r="CR14" s="683"/>
      <c r="CS14" s="683"/>
      <c r="CT14" s="684"/>
      <c r="CU14" s="682">
        <f>IF('Input Nilai Ketrampilan'!AT2="","",'Input Nilai Ketrampilan'!AT2)</f>
        <v>49</v>
      </c>
      <c r="CV14" s="683"/>
      <c r="CW14" s="683"/>
      <c r="CX14" s="683"/>
      <c r="CY14" s="683"/>
      <c r="CZ14" s="683"/>
      <c r="DA14" s="683"/>
      <c r="DB14" s="683"/>
      <c r="DC14" s="683"/>
      <c r="DD14" s="683"/>
      <c r="DE14" s="683"/>
      <c r="DF14" s="684"/>
      <c r="DG14" s="682" t="e">
        <f>IF('Input Nilai Ketrampilan'!#REF!="","",'Input Nilai Ketrampilan'!#REF!)</f>
        <v>#REF!</v>
      </c>
      <c r="DH14" s="683"/>
      <c r="DI14" s="683"/>
      <c r="DJ14" s="683"/>
      <c r="DK14" s="683"/>
      <c r="DL14" s="683"/>
      <c r="DM14" s="683"/>
      <c r="DN14" s="683"/>
      <c r="DO14" s="683"/>
      <c r="DP14" s="683"/>
      <c r="DQ14" s="683"/>
      <c r="DR14" s="684"/>
    </row>
    <row r="15" spans="1:122">
      <c r="A15" s="519" t="s">
        <v>262</v>
      </c>
      <c r="B15" s="145" t="s">
        <v>263</v>
      </c>
      <c r="C15" s="685" t="s">
        <v>264</v>
      </c>
      <c r="D15" s="687" t="s">
        <v>265</v>
      </c>
      <c r="E15" s="685" t="s">
        <v>266</v>
      </c>
      <c r="F15" s="685" t="s">
        <v>267</v>
      </c>
      <c r="G15" s="685" t="s">
        <v>268</v>
      </c>
      <c r="H15" s="685" t="s">
        <v>269</v>
      </c>
      <c r="I15" s="687" t="s">
        <v>270</v>
      </c>
      <c r="J15" s="689" t="s">
        <v>271</v>
      </c>
      <c r="K15" s="691" t="s">
        <v>272</v>
      </c>
      <c r="L15" s="691" t="s">
        <v>273</v>
      </c>
      <c r="M15" s="694" t="s">
        <v>274</v>
      </c>
      <c r="N15" s="694" t="s">
        <v>104</v>
      </c>
      <c r="O15" s="685" t="s">
        <v>264</v>
      </c>
      <c r="P15" s="687" t="s">
        <v>265</v>
      </c>
      <c r="Q15" s="685" t="s">
        <v>266</v>
      </c>
      <c r="R15" s="685" t="s">
        <v>267</v>
      </c>
      <c r="S15" s="685" t="s">
        <v>268</v>
      </c>
      <c r="T15" s="685" t="s">
        <v>269</v>
      </c>
      <c r="U15" s="687" t="s">
        <v>270</v>
      </c>
      <c r="V15" s="689" t="s">
        <v>271</v>
      </c>
      <c r="W15" s="691" t="s">
        <v>272</v>
      </c>
      <c r="X15" s="691" t="s">
        <v>273</v>
      </c>
      <c r="Y15" s="694" t="s">
        <v>274</v>
      </c>
      <c r="Z15" s="694" t="s">
        <v>104</v>
      </c>
      <c r="AA15" s="685" t="s">
        <v>264</v>
      </c>
      <c r="AB15" s="687" t="s">
        <v>265</v>
      </c>
      <c r="AC15" s="685" t="s">
        <v>266</v>
      </c>
      <c r="AD15" s="685" t="s">
        <v>267</v>
      </c>
      <c r="AE15" s="685" t="s">
        <v>268</v>
      </c>
      <c r="AF15" s="685" t="s">
        <v>269</v>
      </c>
      <c r="AG15" s="687" t="s">
        <v>270</v>
      </c>
      <c r="AH15" s="689" t="s">
        <v>271</v>
      </c>
      <c r="AI15" s="691" t="s">
        <v>272</v>
      </c>
      <c r="AJ15" s="691" t="s">
        <v>273</v>
      </c>
      <c r="AK15" s="694" t="s">
        <v>274</v>
      </c>
      <c r="AL15" s="694" t="s">
        <v>104</v>
      </c>
      <c r="AM15" s="685" t="s">
        <v>264</v>
      </c>
      <c r="AN15" s="687" t="s">
        <v>265</v>
      </c>
      <c r="AO15" s="685" t="s">
        <v>266</v>
      </c>
      <c r="AP15" s="685" t="s">
        <v>267</v>
      </c>
      <c r="AQ15" s="685" t="s">
        <v>268</v>
      </c>
      <c r="AR15" s="685" t="s">
        <v>269</v>
      </c>
      <c r="AS15" s="687" t="s">
        <v>270</v>
      </c>
      <c r="AT15" s="689" t="s">
        <v>271</v>
      </c>
      <c r="AU15" s="691" t="s">
        <v>272</v>
      </c>
      <c r="AV15" s="691" t="s">
        <v>273</v>
      </c>
      <c r="AW15" s="694" t="s">
        <v>274</v>
      </c>
      <c r="AX15" s="694" t="s">
        <v>104</v>
      </c>
      <c r="AY15" s="685" t="s">
        <v>264</v>
      </c>
      <c r="AZ15" s="687" t="s">
        <v>265</v>
      </c>
      <c r="BA15" s="685" t="s">
        <v>266</v>
      </c>
      <c r="BB15" s="685" t="s">
        <v>267</v>
      </c>
      <c r="BC15" s="685" t="s">
        <v>268</v>
      </c>
      <c r="BD15" s="685" t="s">
        <v>269</v>
      </c>
      <c r="BE15" s="687" t="s">
        <v>270</v>
      </c>
      <c r="BF15" s="689" t="s">
        <v>271</v>
      </c>
      <c r="BG15" s="691" t="s">
        <v>272</v>
      </c>
      <c r="BH15" s="691" t="s">
        <v>273</v>
      </c>
      <c r="BI15" s="694" t="s">
        <v>274</v>
      </c>
      <c r="BJ15" s="694" t="s">
        <v>104</v>
      </c>
      <c r="BK15" s="685" t="s">
        <v>264</v>
      </c>
      <c r="BL15" s="687" t="s">
        <v>265</v>
      </c>
      <c r="BM15" s="685" t="s">
        <v>266</v>
      </c>
      <c r="BN15" s="685" t="s">
        <v>267</v>
      </c>
      <c r="BO15" s="685" t="s">
        <v>268</v>
      </c>
      <c r="BP15" s="685" t="s">
        <v>269</v>
      </c>
      <c r="BQ15" s="687" t="s">
        <v>270</v>
      </c>
      <c r="BR15" s="689" t="s">
        <v>271</v>
      </c>
      <c r="BS15" s="691" t="s">
        <v>272</v>
      </c>
      <c r="BT15" s="691" t="s">
        <v>273</v>
      </c>
      <c r="BU15" s="694" t="s">
        <v>274</v>
      </c>
      <c r="BV15" s="694" t="s">
        <v>104</v>
      </c>
      <c r="BW15" s="685" t="s">
        <v>264</v>
      </c>
      <c r="BX15" s="687" t="s">
        <v>265</v>
      </c>
      <c r="BY15" s="685" t="s">
        <v>266</v>
      </c>
      <c r="BZ15" s="685" t="s">
        <v>267</v>
      </c>
      <c r="CA15" s="685" t="s">
        <v>268</v>
      </c>
      <c r="CB15" s="685" t="s">
        <v>269</v>
      </c>
      <c r="CC15" s="687" t="s">
        <v>270</v>
      </c>
      <c r="CD15" s="689" t="s">
        <v>271</v>
      </c>
      <c r="CE15" s="691" t="s">
        <v>272</v>
      </c>
      <c r="CF15" s="691" t="s">
        <v>273</v>
      </c>
      <c r="CG15" s="694" t="s">
        <v>274</v>
      </c>
      <c r="CH15" s="694" t="s">
        <v>104</v>
      </c>
      <c r="CI15" s="685" t="s">
        <v>264</v>
      </c>
      <c r="CJ15" s="687" t="s">
        <v>265</v>
      </c>
      <c r="CK15" s="685" t="s">
        <v>266</v>
      </c>
      <c r="CL15" s="685" t="s">
        <v>267</v>
      </c>
      <c r="CM15" s="685" t="s">
        <v>268</v>
      </c>
      <c r="CN15" s="685" t="s">
        <v>269</v>
      </c>
      <c r="CO15" s="687" t="s">
        <v>270</v>
      </c>
      <c r="CP15" s="689" t="s">
        <v>271</v>
      </c>
      <c r="CQ15" s="691" t="s">
        <v>272</v>
      </c>
      <c r="CR15" s="691" t="s">
        <v>273</v>
      </c>
      <c r="CS15" s="694" t="s">
        <v>274</v>
      </c>
      <c r="CT15" s="694" t="s">
        <v>104</v>
      </c>
      <c r="CU15" s="685" t="s">
        <v>264</v>
      </c>
      <c r="CV15" s="687" t="s">
        <v>265</v>
      </c>
      <c r="CW15" s="685" t="s">
        <v>266</v>
      </c>
      <c r="CX15" s="685" t="s">
        <v>267</v>
      </c>
      <c r="CY15" s="685" t="s">
        <v>268</v>
      </c>
      <c r="CZ15" s="685" t="s">
        <v>269</v>
      </c>
      <c r="DA15" s="687" t="s">
        <v>270</v>
      </c>
      <c r="DB15" s="689" t="s">
        <v>271</v>
      </c>
      <c r="DC15" s="691" t="s">
        <v>272</v>
      </c>
      <c r="DD15" s="691" t="s">
        <v>273</v>
      </c>
      <c r="DE15" s="694" t="s">
        <v>274</v>
      </c>
      <c r="DF15" s="694" t="s">
        <v>104</v>
      </c>
      <c r="DG15" s="685" t="s">
        <v>264</v>
      </c>
      <c r="DH15" s="687" t="s">
        <v>265</v>
      </c>
      <c r="DI15" s="685" t="s">
        <v>266</v>
      </c>
      <c r="DJ15" s="685" t="s">
        <v>267</v>
      </c>
      <c r="DK15" s="685" t="s">
        <v>268</v>
      </c>
      <c r="DL15" s="685" t="s">
        <v>269</v>
      </c>
      <c r="DM15" s="687" t="s">
        <v>270</v>
      </c>
      <c r="DN15" s="689" t="s">
        <v>271</v>
      </c>
      <c r="DO15" s="691" t="s">
        <v>272</v>
      </c>
      <c r="DP15" s="691" t="s">
        <v>273</v>
      </c>
      <c r="DQ15" s="694" t="s">
        <v>274</v>
      </c>
      <c r="DR15" s="694" t="s">
        <v>104</v>
      </c>
    </row>
    <row r="16" spans="1:122" ht="24.75" customHeight="1">
      <c r="A16" s="696"/>
      <c r="C16" s="686"/>
      <c r="D16" s="685"/>
      <c r="E16" s="688"/>
      <c r="F16" s="686"/>
      <c r="G16" s="686"/>
      <c r="H16" s="686"/>
      <c r="I16" s="685"/>
      <c r="J16" s="690"/>
      <c r="K16" s="692"/>
      <c r="L16" s="693"/>
      <c r="M16" s="695"/>
      <c r="N16" s="695"/>
      <c r="O16" s="686"/>
      <c r="P16" s="685"/>
      <c r="Q16" s="688"/>
      <c r="R16" s="686"/>
      <c r="S16" s="686"/>
      <c r="T16" s="686"/>
      <c r="U16" s="685"/>
      <c r="V16" s="690"/>
      <c r="W16" s="692"/>
      <c r="X16" s="693"/>
      <c r="Y16" s="695"/>
      <c r="Z16" s="695"/>
      <c r="AA16" s="686"/>
      <c r="AB16" s="685"/>
      <c r="AC16" s="688"/>
      <c r="AD16" s="686"/>
      <c r="AE16" s="686"/>
      <c r="AF16" s="686"/>
      <c r="AG16" s="685"/>
      <c r="AH16" s="690"/>
      <c r="AI16" s="692"/>
      <c r="AJ16" s="693"/>
      <c r="AK16" s="695"/>
      <c r="AL16" s="695"/>
      <c r="AM16" s="686"/>
      <c r="AN16" s="685"/>
      <c r="AO16" s="688"/>
      <c r="AP16" s="686"/>
      <c r="AQ16" s="686"/>
      <c r="AR16" s="686"/>
      <c r="AS16" s="685"/>
      <c r="AT16" s="690"/>
      <c r="AU16" s="692"/>
      <c r="AV16" s="693"/>
      <c r="AW16" s="695"/>
      <c r="AX16" s="695"/>
      <c r="AY16" s="686"/>
      <c r="AZ16" s="685"/>
      <c r="BA16" s="688"/>
      <c r="BB16" s="686"/>
      <c r="BC16" s="686"/>
      <c r="BD16" s="686"/>
      <c r="BE16" s="685"/>
      <c r="BF16" s="690"/>
      <c r="BG16" s="692"/>
      <c r="BH16" s="693"/>
      <c r="BI16" s="695"/>
      <c r="BJ16" s="695"/>
      <c r="BK16" s="686"/>
      <c r="BL16" s="685"/>
      <c r="BM16" s="688"/>
      <c r="BN16" s="686"/>
      <c r="BO16" s="686"/>
      <c r="BP16" s="686"/>
      <c r="BQ16" s="685"/>
      <c r="BR16" s="690"/>
      <c r="BS16" s="692"/>
      <c r="BT16" s="693"/>
      <c r="BU16" s="695"/>
      <c r="BV16" s="695"/>
      <c r="BW16" s="686"/>
      <c r="BX16" s="685"/>
      <c r="BY16" s="688"/>
      <c r="BZ16" s="686"/>
      <c r="CA16" s="686"/>
      <c r="CB16" s="686"/>
      <c r="CC16" s="685"/>
      <c r="CD16" s="690"/>
      <c r="CE16" s="692"/>
      <c r="CF16" s="693"/>
      <c r="CG16" s="695"/>
      <c r="CH16" s="695"/>
      <c r="CI16" s="686"/>
      <c r="CJ16" s="685"/>
      <c r="CK16" s="688"/>
      <c r="CL16" s="686"/>
      <c r="CM16" s="686"/>
      <c r="CN16" s="686"/>
      <c r="CO16" s="685"/>
      <c r="CP16" s="690"/>
      <c r="CQ16" s="692"/>
      <c r="CR16" s="693"/>
      <c r="CS16" s="695"/>
      <c r="CT16" s="695"/>
      <c r="CU16" s="686"/>
      <c r="CV16" s="685"/>
      <c r="CW16" s="688"/>
      <c r="CX16" s="686"/>
      <c r="CY16" s="686"/>
      <c r="CZ16" s="686"/>
      <c r="DA16" s="685"/>
      <c r="DB16" s="690"/>
      <c r="DC16" s="692"/>
      <c r="DD16" s="693"/>
      <c r="DE16" s="695"/>
      <c r="DF16" s="695"/>
      <c r="DG16" s="686"/>
      <c r="DH16" s="685"/>
      <c r="DI16" s="688"/>
      <c r="DJ16" s="686"/>
      <c r="DK16" s="686"/>
      <c r="DL16" s="686"/>
      <c r="DM16" s="685"/>
      <c r="DN16" s="690"/>
      <c r="DO16" s="692"/>
      <c r="DP16" s="693"/>
      <c r="DQ16" s="695"/>
      <c r="DR16" s="695"/>
    </row>
    <row r="17" spans="1:122" ht="15.75">
      <c r="A17" s="520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C1:F1"/>
    <mergeCell ref="G1:H1"/>
    <mergeCell ref="I1:J1"/>
    <mergeCell ref="K1:L1"/>
    <mergeCell ref="C2:D2"/>
    <mergeCell ref="F2:H2"/>
    <mergeCell ref="I2:J2"/>
    <mergeCell ref="K2:L2"/>
    <mergeCell ref="M2:N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07" t="s">
        <v>426</v>
      </c>
      <c r="C1" s="708"/>
      <c r="D1" s="708"/>
      <c r="E1" s="708"/>
      <c r="F1" s="708"/>
      <c r="G1" s="708"/>
      <c r="H1" s="708"/>
      <c r="I1" s="708"/>
      <c r="J1" s="708"/>
      <c r="K1" s="708"/>
      <c r="L1" s="709"/>
      <c r="M1" s="42"/>
    </row>
    <row r="2" spans="1:13" ht="15.75" thickBot="1">
      <c r="A2" s="41"/>
      <c r="B2" s="710"/>
      <c r="C2" s="711"/>
      <c r="D2" s="711"/>
      <c r="E2" s="711"/>
      <c r="F2" s="711"/>
      <c r="G2" s="711"/>
      <c r="H2" s="711"/>
      <c r="I2" s="711"/>
      <c r="J2" s="711"/>
      <c r="K2" s="711"/>
      <c r="L2" s="712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98" t="str">
        <f>menu!D13</f>
        <v>Prakarya</v>
      </c>
      <c r="D4" s="698"/>
      <c r="E4" s="698"/>
      <c r="F4" s="698"/>
      <c r="G4" s="706" t="s">
        <v>246</v>
      </c>
      <c r="H4" s="706"/>
      <c r="I4" s="700"/>
      <c r="J4" s="700"/>
      <c r="L4" s="267" t="s">
        <v>247</v>
      </c>
      <c r="M4" s="266"/>
    </row>
    <row r="5" spans="1:13" ht="16.5">
      <c r="A5" s="41"/>
      <c r="B5" s="45" t="s">
        <v>248</v>
      </c>
      <c r="C5" s="703" t="str">
        <f>menu!D14</f>
        <v>7a</v>
      </c>
      <c r="D5" s="698"/>
      <c r="E5" s="47"/>
      <c r="F5" s="706" t="s">
        <v>249</v>
      </c>
      <c r="G5" s="706"/>
      <c r="H5" s="706"/>
      <c r="I5" s="704"/>
      <c r="J5" s="704"/>
      <c r="K5" s="230"/>
      <c r="L5" s="46">
        <f>menu!D19</f>
        <v>0</v>
      </c>
      <c r="M5" s="42"/>
    </row>
    <row r="6" spans="1:13">
      <c r="A6" s="41"/>
      <c r="B6" s="48" t="s">
        <v>251</v>
      </c>
      <c r="C6" s="697" t="s">
        <v>427</v>
      </c>
      <c r="D6" s="697"/>
      <c r="E6" s="697"/>
      <c r="F6" s="697"/>
      <c r="G6" s="697"/>
      <c r="H6" s="697"/>
      <c r="I6" s="697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15" t="s">
        <v>253</v>
      </c>
      <c r="D8" s="715"/>
      <c r="E8" s="715"/>
      <c r="F8" s="715"/>
      <c r="G8" s="715"/>
      <c r="H8" s="715"/>
      <c r="I8" s="715"/>
      <c r="J8" s="715"/>
      <c r="K8" s="289" t="s">
        <v>254</v>
      </c>
      <c r="L8" s="77"/>
    </row>
    <row r="9" spans="1:13">
      <c r="A9" s="41"/>
      <c r="B9" s="52" t="s">
        <v>255</v>
      </c>
      <c r="C9" s="713"/>
      <c r="D9" s="713"/>
      <c r="E9" s="713"/>
      <c r="F9" s="713"/>
      <c r="G9" s="713"/>
      <c r="H9" s="713"/>
      <c r="I9" s="713"/>
      <c r="J9" s="713"/>
      <c r="K9" s="290" t="s">
        <v>255</v>
      </c>
      <c r="L9" s="79"/>
    </row>
    <row r="10" spans="1:13">
      <c r="A10" s="41"/>
      <c r="B10" s="52" t="s">
        <v>256</v>
      </c>
      <c r="C10" s="714"/>
      <c r="D10" s="714"/>
      <c r="E10" s="714"/>
      <c r="F10" s="714"/>
      <c r="G10" s="714"/>
      <c r="H10" s="714"/>
      <c r="I10" s="714"/>
      <c r="J10" s="714"/>
      <c r="K10" s="290" t="s">
        <v>256</v>
      </c>
      <c r="L10" s="81"/>
    </row>
    <row r="11" spans="1:13">
      <c r="A11" s="41"/>
      <c r="B11" s="52" t="s">
        <v>257</v>
      </c>
      <c r="C11" s="713"/>
      <c r="D11" s="713"/>
      <c r="E11" s="713"/>
      <c r="F11" s="713"/>
      <c r="G11" s="713"/>
      <c r="H11" s="713"/>
      <c r="I11" s="713"/>
      <c r="J11" s="713"/>
      <c r="K11" s="290" t="s">
        <v>257</v>
      </c>
      <c r="L11" s="79"/>
    </row>
    <row r="12" spans="1:13">
      <c r="A12" s="41"/>
      <c r="B12" s="52" t="s">
        <v>258</v>
      </c>
      <c r="C12" s="714"/>
      <c r="D12" s="714"/>
      <c r="E12" s="714"/>
      <c r="F12" s="714"/>
      <c r="G12" s="714"/>
      <c r="H12" s="714"/>
      <c r="I12" s="714"/>
      <c r="J12" s="714"/>
      <c r="K12" s="291" t="s">
        <v>258</v>
      </c>
      <c r="L12" s="83"/>
    </row>
    <row r="13" spans="1:13">
      <c r="A13" s="41"/>
      <c r="B13" s="52" t="s">
        <v>259</v>
      </c>
      <c r="C13" s="713"/>
      <c r="D13" s="713"/>
      <c r="E13" s="713"/>
      <c r="F13" s="713"/>
      <c r="G13" s="713"/>
      <c r="H13" s="713"/>
      <c r="I13" s="713"/>
      <c r="J13" s="713"/>
      <c r="K13" s="290" t="s">
        <v>259</v>
      </c>
      <c r="L13" s="79"/>
      <c r="M13" s="53"/>
    </row>
    <row r="14" spans="1:13">
      <c r="A14" s="41"/>
      <c r="B14" s="52" t="s">
        <v>260</v>
      </c>
      <c r="C14" s="714"/>
      <c r="D14" s="714"/>
      <c r="E14" s="714"/>
      <c r="F14" s="714"/>
      <c r="G14" s="714"/>
      <c r="H14" s="714"/>
      <c r="I14" s="714"/>
      <c r="J14" s="714"/>
      <c r="K14" s="290" t="s">
        <v>260</v>
      </c>
      <c r="L14" s="81"/>
      <c r="M14" s="53"/>
    </row>
    <row r="15" spans="1:13">
      <c r="A15" s="41"/>
      <c r="B15" s="52" t="s">
        <v>261</v>
      </c>
      <c r="C15" s="713"/>
      <c r="D15" s="713"/>
      <c r="E15" s="713"/>
      <c r="F15" s="713"/>
      <c r="G15" s="713"/>
      <c r="H15" s="713"/>
      <c r="I15" s="713"/>
      <c r="J15" s="713"/>
      <c r="K15" s="291" t="s">
        <v>261</v>
      </c>
      <c r="L15" s="292"/>
      <c r="M15" s="53"/>
    </row>
    <row r="16" spans="1:13">
      <c r="A16" s="41"/>
      <c r="B16" s="48"/>
      <c r="C16" s="716"/>
      <c r="D16" s="716"/>
      <c r="E16" s="716"/>
      <c r="F16" s="716"/>
      <c r="G16" s="716"/>
      <c r="H16" s="716"/>
      <c r="I16" s="716"/>
      <c r="J16" s="716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7" t="s">
        <v>262</v>
      </c>
      <c r="B18" s="56" t="s">
        <v>263</v>
      </c>
      <c r="C18" s="720" t="s">
        <v>264</v>
      </c>
      <c r="D18" s="721" t="s">
        <v>265</v>
      </c>
      <c r="E18" s="720" t="s">
        <v>266</v>
      </c>
      <c r="F18" s="720" t="s">
        <v>267</v>
      </c>
      <c r="G18" s="720" t="s">
        <v>268</v>
      </c>
      <c r="H18" s="720" t="s">
        <v>269</v>
      </c>
      <c r="I18" s="721" t="s">
        <v>270</v>
      </c>
      <c r="J18" s="726" t="s">
        <v>271</v>
      </c>
      <c r="K18" s="728" t="s">
        <v>272</v>
      </c>
      <c r="L18" s="724" t="s">
        <v>104</v>
      </c>
      <c r="M18" s="57"/>
    </row>
    <row r="19" spans="1:13" ht="24.75" customHeight="1">
      <c r="A19" s="718"/>
      <c r="B19" s="42"/>
      <c r="C19" s="720"/>
      <c r="D19" s="722"/>
      <c r="E19" s="723"/>
      <c r="F19" s="720"/>
      <c r="G19" s="720"/>
      <c r="H19" s="720"/>
      <c r="I19" s="722"/>
      <c r="J19" s="727"/>
      <c r="K19" s="729"/>
      <c r="L19" s="725"/>
      <c r="M19" s="42"/>
    </row>
    <row r="20" spans="1:13" ht="15.75">
      <c r="A20" s="719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L18:L19"/>
    <mergeCell ref="H18:H19"/>
    <mergeCell ref="I18:I19"/>
    <mergeCell ref="J18:J19"/>
    <mergeCell ref="K18:K19"/>
    <mergeCell ref="C15:J15"/>
    <mergeCell ref="C16:J16"/>
    <mergeCell ref="A18:A20"/>
    <mergeCell ref="C18:C19"/>
    <mergeCell ref="D18:D19"/>
    <mergeCell ref="E18:E19"/>
    <mergeCell ref="F18:F19"/>
    <mergeCell ref="G18:G19"/>
    <mergeCell ref="C11:J11"/>
    <mergeCell ref="C12:J12"/>
    <mergeCell ref="C13:J13"/>
    <mergeCell ref="C14:J14"/>
    <mergeCell ref="C6:I6"/>
    <mergeCell ref="C8:J8"/>
    <mergeCell ref="C9:J9"/>
    <mergeCell ref="C10:J10"/>
    <mergeCell ref="C5:D5"/>
    <mergeCell ref="F5:H5"/>
    <mergeCell ref="I5:J5"/>
    <mergeCell ref="B1:L2"/>
    <mergeCell ref="C4:F4"/>
    <mergeCell ref="G4:H4"/>
    <mergeCell ref="I4:J4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LENOVO</cp:lastModifiedBy>
  <cp:lastPrinted>2016-08-29T00:08:46Z</cp:lastPrinted>
  <dcterms:created xsi:type="dcterms:W3CDTF">2013-09-02T02:02:22Z</dcterms:created>
  <dcterms:modified xsi:type="dcterms:W3CDTF">2017-06-06T21:58:48Z</dcterms:modified>
</cp:coreProperties>
</file>